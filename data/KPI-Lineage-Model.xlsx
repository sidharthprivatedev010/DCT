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Coverage" sheetId="2" r:id="rId2"/>
    <sheet name="KPI Register" sheetId="3" r:id="rId3"/>
    <sheet name="Lineage (Sep 2026)" sheetId="4" r:id="rId4"/>
    <sheet name="Screen Values" sheetId="5" r:id="rId5"/>
    <sheet name="Group KPIs" sheetId="6" r:id="rId6"/>
    <sheet name="Entity KPIs" sheetId="7" r:id="rId7"/>
    <sheet name="Plant KPIs" sheetId="8" r:id="rId8"/>
    <sheet name="Group Inputs" sheetId="9" r:id="rId9"/>
    <sheet name="Entity Inputs" sheetId="10" r:id="rId10"/>
    <sheet name="Plant Inputs" sheetId="11" r:id="rId11"/>
    <sheet name="Parameters" sheetId="12" r:id="rId12"/>
  </sheets>
  <definedNames>
    <definedName name="_xlnm._FilterDatabase" localSheetId="1" hidden="1">Coverage!$A$4:$I$164</definedName>
    <definedName name="_xlnm._FilterDatabase" localSheetId="9" hidden="1">'Entity Inputs'!$A$3:$GK$15</definedName>
    <definedName name="_xlnm._FilterDatabase" localSheetId="6" hidden="1">'Entity KPIs'!$A$1:$Q$161</definedName>
    <definedName name="_xlnm._FilterDatabase" localSheetId="5" hidden="1">'Group KPIs'!$A$1:$K$161</definedName>
    <definedName name="_xlnm._FilterDatabase" localSheetId="2" hidden="1">'KPI Register'!$A$1:$U$161</definedName>
    <definedName name="_xlnm._FilterDatabase" localSheetId="10" hidden="1">'Plant Inputs'!$A$3:$CA$39</definedName>
    <definedName name="_xlnm._FilterDatabase" localSheetId="7" hidden="1">'Plant KPIs'!$A$1:$AO$67</definedName>
    <definedName name="_xlnm._FilterDatabase" localSheetId="4" hidden="1">'Screen Values'!$A$1:$J$557</definedName>
  </definedNames>
  <calcPr calcId="124519" fullCalcOnLoad="1"/>
</workbook>
</file>

<file path=xl/sharedStrings.xml><?xml version="1.0" encoding="utf-8"?>
<sst xmlns="http://schemas.openxmlformats.org/spreadsheetml/2006/main" count="15876" uniqueCount="2108">
  <si>
    <t>Name</t>
  </si>
  <si>
    <t>Value</t>
  </si>
  <si>
    <t>Meaning</t>
  </si>
  <si>
    <t>TaxRate</t>
  </si>
  <si>
    <t>Tax rate used for after-tax return</t>
  </si>
  <si>
    <t>WACC</t>
  </si>
  <si>
    <t>Cost of capital, per year</t>
  </si>
  <si>
    <t>CovenantMax</t>
  </si>
  <si>
    <t>Covenant limit: net debt ÷ EBITDA (times)</t>
  </si>
  <si>
    <t>OpeningNWC_A1</t>
  </si>
  <si>
    <t>Net working capital at 31 Mar 2026, Entity A1 (₹ thousand)</t>
  </si>
  <si>
    <t>OpeningNWC_A2</t>
  </si>
  <si>
    <t>Net working capital at 31 Mar 2026, Entity A2 (₹ thousand)</t>
  </si>
  <si>
    <t>OpeningNWC</t>
  </si>
  <si>
    <t>Net working capital at 31 Mar 2026, Group (₹ thousand)</t>
  </si>
  <si>
    <t>HoursPerFTE</t>
  </si>
  <si>
    <t>Hours worked by one full-time employee in a year</t>
  </si>
  <si>
    <t>ForecastError</t>
  </si>
  <si>
    <t>Typical forecast error for EBITDA, as a share of the forecast</t>
  </si>
  <si>
    <t>Group</t>
  </si>
  <si>
    <t>group</t>
  </si>
  <si>
    <t>Entity</t>
  </si>
  <si>
    <t>entity</t>
  </si>
  <si>
    <t>Plant</t>
  </si>
  <si>
    <t>plant</t>
  </si>
  <si>
    <t>Month</t>
  </si>
  <si>
    <t>period</t>
  </si>
  <si>
    <t>Days in month</t>
  </si>
  <si>
    <t>days</t>
  </si>
  <si>
    <t>Months since April</t>
  </si>
  <si>
    <t>ytd_months</t>
  </si>
  <si>
    <t>Nameplate rate (t/hour)</t>
  </si>
  <si>
    <t>nameplate_tph</t>
  </si>
  <si>
    <t>Calendar hours (h)</t>
  </si>
  <si>
    <t>calendar_hours</t>
  </si>
  <si>
    <t>Input (plant_base.csv)</t>
  </si>
  <si>
    <t>Planned operating hours (h)</t>
  </si>
  <si>
    <t>planned_op_hours</t>
  </si>
  <si>
    <t>Run hours (h)</t>
  </si>
  <si>
    <t>run_hours</t>
  </si>
  <si>
    <t>Unplanned downtime (h)</t>
  </si>
  <si>
    <t>unplanned_downtime_hours</t>
  </si>
  <si>
    <t>Ideal output (t)</t>
  </si>
  <si>
    <t>ideal_output_t</t>
  </si>
  <si>
    <t>Installed capacity (t)</t>
  </si>
  <si>
    <t>installed_capacity_t</t>
  </si>
  <si>
    <t>Planned production (t)</t>
  </si>
  <si>
    <t>planned_production_t</t>
  </si>
  <si>
    <t>Gross output (t)</t>
  </si>
  <si>
    <t>gross_output_t</t>
  </si>
  <si>
    <t>Good output (t)</t>
  </si>
  <si>
    <t>good_output_t</t>
  </si>
  <si>
    <t>Feed input (t)</t>
  </si>
  <si>
    <t>feed_input_t</t>
  </si>
  <si>
    <t>Valuable content in feed (t)</t>
  </si>
  <si>
    <t>feed_contained_t</t>
  </si>
  <si>
    <t>Valuable content recovered (t)</t>
  </si>
  <si>
    <t>recovered_contained_t</t>
  </si>
  <si>
    <t>Production lost to downtime (t)</t>
  </si>
  <si>
    <t>prod_loss_downtime_t</t>
  </si>
  <si>
    <t>Breakdowns (count)</t>
  </si>
  <si>
    <t>failures</t>
  </si>
  <si>
    <t>Repair hours (h)</t>
  </si>
  <si>
    <t>repair_hours</t>
  </si>
  <si>
    <t>Preventive maintenance scheduled (count)</t>
  </si>
  <si>
    <t>pm_scheduled</t>
  </si>
  <si>
    <t>Preventive maintenance completed (count)</t>
  </si>
  <si>
    <t>pm_completed</t>
  </si>
  <si>
    <t>Variable cost (₹ thousand)</t>
  </si>
  <si>
    <t>variable_cost_k</t>
  </si>
  <si>
    <t>Fuel cost (₹ thousand)</t>
  </si>
  <si>
    <t>fuel_cost_k</t>
  </si>
  <si>
    <t>Fixed cost (₹ thousand)</t>
  </si>
  <si>
    <t>fixed_cost_k</t>
  </si>
  <si>
    <t>Water used (m³)</t>
  </si>
  <si>
    <t>water_m3</t>
  </si>
  <si>
    <t>Emissions (t CO2e)</t>
  </si>
  <si>
    <t>emissions_tco2e</t>
  </si>
  <si>
    <t>Energy used (GJ)</t>
  </si>
  <si>
    <t>energy_gj</t>
  </si>
  <si>
    <t>Production at risk (t)</t>
  </si>
  <si>
    <t>production_at_risk_t</t>
  </si>
  <si>
    <t>Critical plant alerts (count)</t>
  </si>
  <si>
    <t>critical_plant_alerts</t>
  </si>
  <si>
    <t>Hours worked (h)</t>
  </si>
  <si>
    <t>hours_worked</t>
  </si>
  <si>
    <t>Recordable injuries (count)</t>
  </si>
  <si>
    <t>recordable_injuries</t>
  </si>
  <si>
    <t>Severity incidents (count)</t>
  </si>
  <si>
    <t>severity_incidents</t>
  </si>
  <si>
    <t>Near misses (count)</t>
  </si>
  <si>
    <t>near_misses</t>
  </si>
  <si>
    <t>Critical safety incidents (count)</t>
  </si>
  <si>
    <t>critical_safety_incidents</t>
  </si>
  <si>
    <t>Environmental excursions (count)</t>
  </si>
  <si>
    <t>env_excursions</t>
  </si>
  <si>
    <t>Environmental violations (count)</t>
  </si>
  <si>
    <t>env_violations</t>
  </si>
  <si>
    <t>Open EHS corrective actions (count)</t>
  </si>
  <si>
    <t>ehs_ca_open</t>
  </si>
  <si>
    <t>Overdue EHS corrective actions (count)</t>
  </si>
  <si>
    <t>ehs_ca_overdue</t>
  </si>
  <si>
    <t>EHS investigations due (count)</t>
  </si>
  <si>
    <t>investigations_due</t>
  </si>
  <si>
    <t>EHS investigations completed (count)</t>
  </si>
  <si>
    <t>investigations_completed</t>
  </si>
  <si>
    <t>Critical materials at risk (count)</t>
  </si>
  <si>
    <t>critical_material_risks</t>
  </si>
  <si>
    <t>Dispatches (count)</t>
  </si>
  <si>
    <t>dispatches_total</t>
  </si>
  <si>
    <t>Delayed dispatches (count)</t>
  </si>
  <si>
    <t>dispatches_delayed</t>
  </si>
  <si>
    <t>Days to permit expiry (days)</t>
  </si>
  <si>
    <t>permit_days_to_expiry</t>
  </si>
  <si>
    <t>Sales volume (t)</t>
  </si>
  <si>
    <t>sales_t</t>
  </si>
  <si>
    <t>Input (added for this model)</t>
  </si>
  <si>
    <t>Planned sales volume (t)</t>
  </si>
  <si>
    <t>planned_sales_t</t>
  </si>
  <si>
    <t>Revenue (₹ thousand)</t>
  </si>
  <si>
    <t>revenue_k</t>
  </si>
  <si>
    <t>Planned revenue (₹ thousand)</t>
  </si>
  <si>
    <t>planned_revenue_k</t>
  </si>
  <si>
    <t>Power cost, part of variable cost (₹ thousand)</t>
  </si>
  <si>
    <t>power_cost_k</t>
  </si>
  <si>
    <t>Depreciation and amortisation (₹ thousand)</t>
  </si>
  <si>
    <t>depreciation_k</t>
  </si>
  <si>
    <t>Purchase-order lines due (count)</t>
  </si>
  <si>
    <t>po_lines_due</t>
  </si>
  <si>
    <t>Purchase-order lines delivered on time (count)</t>
  </si>
  <si>
    <t>po_lines_on_time</t>
  </si>
  <si>
    <t>Quantity ordered from suppliers (t)</t>
  </si>
  <si>
    <t>qty_ordered_t</t>
  </si>
  <si>
    <t>Quantity received (t)</t>
  </si>
  <si>
    <t>qty_received_t</t>
  </si>
  <si>
    <t>Quantity rejected on quality (t)</t>
  </si>
  <si>
    <t>qty_rejected_t</t>
  </si>
  <si>
    <t>Planned lead time, all deliveries (days)</t>
  </si>
  <si>
    <t>lead_time_planned_days</t>
  </si>
  <si>
    <t>Actual lead time, all deliveries (days)</t>
  </si>
  <si>
    <t>lead_time_actual_days</t>
  </si>
  <si>
    <t>Supplier spend (₹ thousand)</t>
  </si>
  <si>
    <t>supplier_spend_k</t>
  </si>
  <si>
    <t>Spend with single-source suppliers (₹ thousand)</t>
  </si>
  <si>
    <t>single_source_spend_k</t>
  </si>
  <si>
    <t>Supplier EHS incidents (count)</t>
  </si>
  <si>
    <t>supplier_ehs_incidents</t>
  </si>
  <si>
    <t>Regulatory filings pending (count)</t>
  </si>
  <si>
    <t>pending_filings</t>
  </si>
  <si>
    <t>Regulatory deadlines in next 30 days (count)</t>
  </si>
  <si>
    <t>reg_deadlines_30d</t>
  </si>
  <si>
    <t>Licences expiring in next 12 months (count)</t>
  </si>
  <si>
    <t>licences_expiring_12m</t>
  </si>
  <si>
    <t>Regulatory obligations due in next 30 days (count)</t>
  </si>
  <si>
    <t>reg_obligations_due_30d</t>
  </si>
  <si>
    <t>Regulatory obligations overdue (count)</t>
  </si>
  <si>
    <t>reg_obligations_overdue</t>
  </si>
  <si>
    <t>Open regulatory actions (count)</t>
  </si>
  <si>
    <t>reg_actions_open</t>
  </si>
  <si>
    <t>Overdue compliance actions (count)</t>
  </si>
  <si>
    <t>compliance_actions_overdue</t>
  </si>
  <si>
    <t>Regulatory breaches in the month (count)</t>
  </si>
  <si>
    <t>reg_breaches</t>
  </si>
  <si>
    <t>Events that trigger a disclosure clock (count)</t>
  </si>
  <si>
    <t>disclosure_events_open</t>
  </si>
  <si>
    <t>EHS escalation clocks running (count)</t>
  </si>
  <si>
    <t>ehs_escalation_clocks</t>
  </si>
  <si>
    <t>Days until production plan is breached, forecast (days; 99 = not expected)</t>
  </si>
  <si>
    <t>days_to_breach</t>
  </si>
  <si>
    <t>Planned production next month (t)</t>
  </si>
  <si>
    <t>planned_production_next_t</t>
  </si>
  <si>
    <t>Forecast good output next month (t)</t>
  </si>
  <si>
    <t>forecast_good_next_t</t>
  </si>
  <si>
    <t>Forecast uncertainty next month (variance, t²)</t>
  </si>
  <si>
    <t>forecast_good_var_next</t>
  </si>
  <si>
    <t>Ideal output next month (t)</t>
  </si>
  <si>
    <t>ideal_output_next_t</t>
  </si>
  <si>
    <t>Forecast production lost to downtime next month (t)</t>
  </si>
  <si>
    <t>forecast_downtime_loss_next_t</t>
  </si>
  <si>
    <t>Entity A1</t>
  </si>
  <si>
    <t>Plant 01</t>
  </si>
  <si>
    <t>2026-04</t>
  </si>
  <si>
    <t>2026-05</t>
  </si>
  <si>
    <t>2026-06</t>
  </si>
  <si>
    <t>2026-07</t>
  </si>
  <si>
    <t>2026-08</t>
  </si>
  <si>
    <t>2026-09</t>
  </si>
  <si>
    <t>Plant 02</t>
  </si>
  <si>
    <t>Plant 03</t>
  </si>
  <si>
    <t>Entity A2</t>
  </si>
  <si>
    <t>Plant 04</t>
  </si>
  <si>
    <t>Plant 05</t>
  </si>
  <si>
    <t>Plant 06</t>
  </si>
  <si>
    <t>Sum of the entity's 3 plants (Plant Inputs)</t>
  </si>
  <si>
    <t>Lowest of the entity's 3 plants (Plant Inputs)</t>
  </si>
  <si>
    <t>Overheads, SG&amp;A (₹ thousand)</t>
  </si>
  <si>
    <t>overhead_k</t>
  </si>
  <si>
    <t>Entity input (exists only at entity level)</t>
  </si>
  <si>
    <t>Tax paid (₹ thousand)</t>
  </si>
  <si>
    <t>tax_paid_k</t>
  </si>
  <si>
    <t>Capital employed, month end (₹ thousand)</t>
  </si>
  <si>
    <t>capital_employed_k</t>
  </si>
  <si>
    <t>Gross debt, month end (₹ thousand)</t>
  </si>
  <si>
    <t>gross_debt_k</t>
  </si>
  <si>
    <t>Cash, month end (₹ thousand)</t>
  </si>
  <si>
    <t>cash_k</t>
  </si>
  <si>
    <t>Undrawn committed facilities (₹ thousand)</t>
  </si>
  <si>
    <t>undrawn_facilities_k</t>
  </si>
  <si>
    <t>Debt service in the month (₹ thousand)</t>
  </si>
  <si>
    <t>debt_service_k</t>
  </si>
  <si>
    <t>Debt maturing in next 12 months (₹ thousand)</t>
  </si>
  <si>
    <t>debt_maturing_12m_k</t>
  </si>
  <si>
    <t>Floating-rate debt (₹ thousand)</t>
  </si>
  <si>
    <t>floating_rate_debt_k</t>
  </si>
  <si>
    <t>EBITDA as reported in the Board pack (₹ thousand)</t>
  </si>
  <si>
    <t>board_ebitda_k</t>
  </si>
  <si>
    <t>Revenue in the flash report (₹ thousand)</t>
  </si>
  <si>
    <t>flash_revenue_k</t>
  </si>
  <si>
    <t>Trade receivables, month end (₹ thousand)</t>
  </si>
  <si>
    <t>receivables_k</t>
  </si>
  <si>
    <t>Trade payables, month end (₹ thousand)</t>
  </si>
  <si>
    <t>payables_k</t>
  </si>
  <si>
    <t>Inventory, month end (₹ thousand)</t>
  </si>
  <si>
    <t>inventory_k</t>
  </si>
  <si>
    <t>Cash collected from customers (₹ thousand)</t>
  </si>
  <si>
    <t>collections_k</t>
  </si>
  <si>
    <t>Cash released by working-capital actions (₹ thousand)</t>
  </si>
  <si>
    <t>cash_released_k</t>
  </si>
  <si>
    <t>Cash due to be upstreamed to Group, next 30 days (₹ thousand)</t>
  </si>
  <si>
    <t>upstream_due_k</t>
  </si>
  <si>
    <t>Of which covered by available cash (₹ thousand)</t>
  </si>
  <si>
    <t>upstream_covered_k</t>
  </si>
  <si>
    <t>Invoices collected (count)</t>
  </si>
  <si>
    <t>invoices_collected</t>
  </si>
  <si>
    <t>Days taken to collect, all invoices (days)</t>
  </si>
  <si>
    <t>collection_days</t>
  </si>
  <si>
    <t>Agreed payment terms, all invoices (days)</t>
  </si>
  <si>
    <t>terms_days</t>
  </si>
  <si>
    <t>Customers more than 30 days overdue (count)</t>
  </si>
  <si>
    <t>customers_overdue</t>
  </si>
  <si>
    <t>Forecast EBITDA, rest of year (₹ thousand)</t>
  </si>
  <si>
    <t>forecast_ebitda_rest_k</t>
  </si>
  <si>
    <t>Planned EBITDA, rest of year (₹ thousand)</t>
  </si>
  <si>
    <t>planned_ebitda_rest_k</t>
  </si>
  <si>
    <t>Forecast net cash flow, next 90 days (₹ thousand)</t>
  </si>
  <si>
    <t>forecast_net_cash_flow_90d_k</t>
  </si>
  <si>
    <t>Forecast net debt at quarter end (₹ thousand)</t>
  </si>
  <si>
    <t>forecast_net_debt_k</t>
  </si>
  <si>
    <t>Forecast EBITDA, 12 months to quarter end (₹ thousand)</t>
  </si>
  <si>
    <t>forecast_ebitda_ltm_k</t>
  </si>
  <si>
    <t>Foreign-currency exposure, gross (₹ thousand)</t>
  </si>
  <si>
    <t>fx_exposure_k</t>
  </si>
  <si>
    <t>Foreign-currency exposure hedged (₹ thousand)</t>
  </si>
  <si>
    <t>fx_hedged_k</t>
  </si>
  <si>
    <t>USD exposure, gross (₹ thousand)</t>
  </si>
  <si>
    <t>usd_exposure_k</t>
  </si>
  <si>
    <t>USD exposure hedged (₹ thousand)</t>
  </si>
  <si>
    <t>usd_hedged_k</t>
  </si>
  <si>
    <t>Change in value of hedges (₹ thousand)</t>
  </si>
  <si>
    <t>hedge_value_change_k</t>
  </si>
  <si>
    <t>Change in value of hedged items (₹ thousand)</t>
  </si>
  <si>
    <t>hedged_item_value_change_k</t>
  </si>
  <si>
    <t>Forecast foreign-currency flows, next 6 months (₹ thousand)</t>
  </si>
  <si>
    <t>fx_flows_6m_k</t>
  </si>
  <si>
    <t>Of which hedged (₹ thousand)</t>
  </si>
  <si>
    <t>fx_hedged_6m_k</t>
  </si>
  <si>
    <t>Approved capex budget, full year (₹ thousand)</t>
  </si>
  <si>
    <t>capex_budget_k</t>
  </si>
  <si>
    <t>Capex committed to date (₹ thousand)</t>
  </si>
  <si>
    <t>capex_committed_k</t>
  </si>
  <si>
    <t>Capex spent in the month (₹ thousand)</t>
  </si>
  <si>
    <t>capex_spend_k</t>
  </si>
  <si>
    <t>Capex work completed, valued at budget (₹ thousand)</t>
  </si>
  <si>
    <t>capex_earned_value_k</t>
  </si>
  <si>
    <t>Budget of capex projects at risk (₹ thousand)</t>
  </si>
  <si>
    <t>capex_at_risk_k</t>
  </si>
  <si>
    <t>Capex projects on track (count)</t>
  </si>
  <si>
    <t>projects_on_track</t>
  </si>
  <si>
    <t>Capex projects at risk (count)</t>
  </si>
  <si>
    <t>projects_at_risk</t>
  </si>
  <si>
    <t>Capex projects off track (count)</t>
  </si>
  <si>
    <t>projects_off_track</t>
  </si>
  <si>
    <t>Capex projects delayed (count)</t>
  </si>
  <si>
    <t>projects_delayed</t>
  </si>
  <si>
    <t>Contractor milestones due (count)</t>
  </si>
  <si>
    <t>contractor_milestones_due</t>
  </si>
  <si>
    <t>Contractor days late, all milestones (days)</t>
  </si>
  <si>
    <t>contractor_days_late</t>
  </si>
  <si>
    <t>Transformation initiatives on track (count)</t>
  </si>
  <si>
    <t>initiatives_on_track</t>
  </si>
  <si>
    <t>Transformation initiatives at risk (count)</t>
  </si>
  <si>
    <t>initiatives_at_risk</t>
  </si>
  <si>
    <t>Transformation initiatives delayed (count)</t>
  </si>
  <si>
    <t>initiatives_delayed</t>
  </si>
  <si>
    <t>Transformation milestones in plan (count)</t>
  </si>
  <si>
    <t>milestones_total</t>
  </si>
  <si>
    <t>Transformation milestones completed (count)</t>
  </si>
  <si>
    <t>milestones_done</t>
  </si>
  <si>
    <t>Programme benefits planned in the month (₹ thousand)</t>
  </si>
  <si>
    <t>benefits_planned_k</t>
  </si>
  <si>
    <t>Programme benefits delivered in the month (₹ thousand)</t>
  </si>
  <si>
    <t>benefits_delivered_k</t>
  </si>
  <si>
    <t>EBITDA benefit delivered (₹ thousand)</t>
  </si>
  <si>
    <t>ebitda_benefit_k</t>
  </si>
  <si>
    <t>Cash benefit delivered (₹ thousand)</t>
  </si>
  <si>
    <t>cash_benefit_k</t>
  </si>
  <si>
    <t>Cost savings delivered (₹ thousand)</t>
  </si>
  <si>
    <t>cost_savings_k</t>
  </si>
  <si>
    <t>Active supply contracts (count)</t>
  </si>
  <si>
    <t>contracts_total</t>
  </si>
  <si>
    <t>Contracts fully compliant (count)</t>
  </si>
  <si>
    <t>contracts_compliant</t>
  </si>
  <si>
    <t>Contracts expiring in next 90 days (count)</t>
  </si>
  <si>
    <t>contracts_expiring_90d</t>
  </si>
  <si>
    <t>Suppliers not meeting EHS requirements (count)</t>
  </si>
  <si>
    <t>supplier_ehs_noncompliance</t>
  </si>
  <si>
    <t>Critical single-source suppliers (count)</t>
  </si>
  <si>
    <t>single_source_suppliers</t>
  </si>
  <si>
    <t>Control failures (count)</t>
  </si>
  <si>
    <t>control_failures</t>
  </si>
  <si>
    <t>High-severity control failures (count)</t>
  </si>
  <si>
    <t>control_failures_high</t>
  </si>
  <si>
    <t>Assurance reviews planned (count)</t>
  </si>
  <si>
    <t>assurance_reviews_planned</t>
  </si>
  <si>
    <t>Assurance reviews completed (count)</t>
  </si>
  <si>
    <t>assurance_reviews_done</t>
  </si>
  <si>
    <t>Policy exceptions (count)</t>
  </si>
  <si>
    <t>policy_exceptions</t>
  </si>
  <si>
    <t>Unauthorised vendor uses (count)</t>
  </si>
  <si>
    <t>unauthorized_vendor_uses</t>
  </si>
  <si>
    <t>Segregation-of-duties exceptions (count)</t>
  </si>
  <si>
    <t>sod_exceptions</t>
  </si>
  <si>
    <t>Unauthorised access events (count)</t>
  </si>
  <si>
    <t>unauthorized_access_events</t>
  </si>
  <si>
    <t>Data-sharing exceptions (count)</t>
  </si>
  <si>
    <t>data_sharing_exceptions</t>
  </si>
  <si>
    <t>Manual operational or system overrides (count)</t>
  </si>
  <si>
    <t>manual_overrides</t>
  </si>
  <si>
    <t>Certification approvals past due date (count)</t>
  </si>
  <si>
    <t>cert_approvals_ageing</t>
  </si>
  <si>
    <t>KPI values overridden (count)</t>
  </si>
  <si>
    <t>kpi_overrides</t>
  </si>
  <si>
    <t>Recurring data-quality issues (count)</t>
  </si>
  <si>
    <t>dq_issues_recurring</t>
  </si>
  <si>
    <t>Open audit findings (count)</t>
  </si>
  <si>
    <t>audit_findings_open</t>
  </si>
  <si>
    <t>Overdue assurance actions (count)</t>
  </si>
  <si>
    <t>assurance_actions_overdue</t>
  </si>
  <si>
    <t>Repeat audit findings (count)</t>
  </si>
  <si>
    <t>repeat_findings</t>
  </si>
  <si>
    <t>Leadership KPIs affected by open findings (count)</t>
  </si>
  <si>
    <t>leadership_kpis_affected</t>
  </si>
  <si>
    <t>Evidence items required (count)</t>
  </si>
  <si>
    <t>evidence_required</t>
  </si>
  <si>
    <t>Evidence items complete (count)</t>
  </si>
  <si>
    <t>evidence_complete</t>
  </si>
  <si>
    <t>Audit findings closed in the month (count)</t>
  </si>
  <si>
    <t>findings_closed</t>
  </si>
  <si>
    <t>Days taken to close those findings (days)</t>
  </si>
  <si>
    <t>finding_closure_days</t>
  </si>
  <si>
    <t>Leadership KPI values reported (count)</t>
  </si>
  <si>
    <t>kpis_leadership</t>
  </si>
  <si>
    <t>Of which certified (count)</t>
  </si>
  <si>
    <t>kpis_certified</t>
  </si>
  <si>
    <t>Of which inside the certification process (count)</t>
  </si>
  <si>
    <t>kpis_in_scope</t>
  </si>
  <si>
    <t>Certifications overdue (count)</t>
  </si>
  <si>
    <t>certifications_overdue</t>
  </si>
  <si>
    <t>Open reconciliation breaks (count)</t>
  </si>
  <si>
    <t>recon_breaks_open</t>
  </si>
  <si>
    <t>Material reconciliation breaks (count)</t>
  </si>
  <si>
    <t>recon_breaks_material</t>
  </si>
  <si>
    <t>Records loaded to the data lake (count)</t>
  </si>
  <si>
    <t>lake_records_loaded</t>
  </si>
  <si>
    <t>Records reconciled to source (count)</t>
  </si>
  <si>
    <t>lake_records_reconciled</t>
  </si>
  <si>
    <t>Flash report lines (count)</t>
  </si>
  <si>
    <t>mis_lines_total</t>
  </si>
  <si>
    <t>Flash lines matching MIS (count)</t>
  </si>
  <si>
    <t>mis_lines_matched</t>
  </si>
  <si>
    <t>Open critical alerts (count)</t>
  </si>
  <si>
    <t>critical_alerts_open</t>
  </si>
  <si>
    <t>Alerts with no accepted owner (count)</t>
  </si>
  <si>
    <t>alerts_unowned</t>
  </si>
  <si>
    <t>Overdue actions (count)</t>
  </si>
  <si>
    <t>actions_overdue</t>
  </si>
  <si>
    <t>Alerts resolved in the month (count)</t>
  </si>
  <si>
    <t>alerts_resolved</t>
  </si>
  <si>
    <t>Days taken to resolve those alerts (days)</t>
  </si>
  <si>
    <t>alert_resolution_days</t>
  </si>
  <si>
    <t>Escalations closed in the month (count)</t>
  </si>
  <si>
    <t>escalations_closed</t>
  </si>
  <si>
    <t>Repeat issues raised in the month (count)</t>
  </si>
  <si>
    <t>repeat_issues</t>
  </si>
  <si>
    <t>Root causes identified (count)</t>
  </si>
  <si>
    <t>root_causes_identified</t>
  </si>
  <si>
    <t>Root causes eliminated (count)</t>
  </si>
  <si>
    <t>root_causes_eliminated</t>
  </si>
  <si>
    <t>Hours left on the earliest open disclosure clock (999 = none)</t>
  </si>
  <si>
    <t>disclosure_clock_hours</t>
  </si>
  <si>
    <t>Outbound freight cost (₹ thousand)</t>
  </si>
  <si>
    <t>freight_cost_k</t>
  </si>
  <si>
    <t>Planned outbound freight cost (₹ thousand)</t>
  </si>
  <si>
    <t>planned_freight_cost_k</t>
  </si>
  <si>
    <t>EBITDA (₹ thousand)</t>
  </si>
  <si>
    <t>ebitda_k</t>
  </si>
  <si>
    <t>Calculated: Revenue − Variable cost − Fixed cost − Overheads</t>
  </si>
  <si>
    <t>EBIT (₹ thousand)</t>
  </si>
  <si>
    <t>ebit_k</t>
  </si>
  <si>
    <t>Calculated: EBITDA − Depreciation and amortisation</t>
  </si>
  <si>
    <t>Net working capital (₹ thousand)</t>
  </si>
  <si>
    <t>nwc_k</t>
  </si>
  <si>
    <t>Calculated: Trade receivables + Inventory − Trade payables</t>
  </si>
  <si>
    <t>Change in net working capital (₹ thousand)</t>
  </si>
  <si>
    <t>nwc_change_k</t>
  </si>
  <si>
    <t>Calculated: Net working capital − last month's net working capital (April uses the 31 March balance on Parameters)</t>
  </si>
  <si>
    <t>Operating cash flow (₹ thousand)</t>
  </si>
  <si>
    <t>op_cash_flow_k</t>
  </si>
  <si>
    <t>Calculated: EBITDA − Tax paid − Change in net working capital</t>
  </si>
  <si>
    <t>Free cash flow (₹ thousand)</t>
  </si>
  <si>
    <t>fcf_k</t>
  </si>
  <si>
    <t>Calculated: Operating cash flow − Capex spent</t>
  </si>
  <si>
    <t>Net debt (₹ thousand)</t>
  </si>
  <si>
    <t>net_debt_k</t>
  </si>
  <si>
    <t>Calculated: Gross debt − Cash</t>
  </si>
  <si>
    <t>EBITDA, annualised (₹ thousand)</t>
  </si>
  <si>
    <t>ebitda_annualised_k</t>
  </si>
  <si>
    <t>Calculated: EBITDA since April × 12 ÷ months elapsed</t>
  </si>
  <si>
    <t>DSO (days)</t>
  </si>
  <si>
    <t>dso_d</t>
  </si>
  <si>
    <t>Calculated: Trade receivables ÷ Revenue × Days in month</t>
  </si>
  <si>
    <t>DPO (days)</t>
  </si>
  <si>
    <t>dpo_d</t>
  </si>
  <si>
    <t>Calculated: Trade payables ÷ Variable cost × Days in month</t>
  </si>
  <si>
    <t>Inventory days (days)</t>
  </si>
  <si>
    <t>dio_d</t>
  </si>
  <si>
    <t>Calculated: Inventory ÷ Variable cost × Days in month</t>
  </si>
  <si>
    <t>Realised price vs plan (%)</t>
  </si>
  <si>
    <t>price_vs_plan_pct</t>
  </si>
  <si>
    <t>Calculated: (Revenue ÷ Sales volume) ÷ (Planned revenue ÷ Planned sales volume) − 1, as %</t>
  </si>
  <si>
    <t>Sum of Entity A1 and Entity A2 (Entity Inputs)</t>
  </si>
  <si>
    <t>Lowest of Entity A1 and Entity A2 (Entity Inputs)</t>
  </si>
  <si>
    <t>KPI ID</t>
  </si>
  <si>
    <t>Measure</t>
  </si>
  <si>
    <t>Unit</t>
  </si>
  <si>
    <t>Time basis</t>
  </si>
  <si>
    <t>How it is calculated</t>
  </si>
  <si>
    <t>2026-04 (P01)</t>
  </si>
  <si>
    <t>2026-05 (P02)</t>
  </si>
  <si>
    <t>2026-06 (P03)</t>
  </si>
  <si>
    <t>2026-07 (P04)</t>
  </si>
  <si>
    <t>2026-08 (P05)</t>
  </si>
  <si>
    <t>2026-09 (P06)</t>
  </si>
  <si>
    <t>OPS-001</t>
  </si>
  <si>
    <t>Production vs plan</t>
  </si>
  <si>
    <t>%</t>
  </si>
  <si>
    <t>Good output ÷ Planned production × 100</t>
  </si>
  <si>
    <t>OPS-003</t>
  </si>
  <si>
    <t>Capacity utilization</t>
  </si>
  <si>
    <t>Good output ÷ Installed capacity × 100</t>
  </si>
  <si>
    <t>PLT-001</t>
  </si>
  <si>
    <t>Asset utilization</t>
  </si>
  <si>
    <t>Run hours ÷ Calendar hours × 100</t>
  </si>
  <si>
    <t>PLT-002</t>
  </si>
  <si>
    <t>OEE</t>
  </si>
  <si>
    <t>Availability × Performance × Quality = Good output ÷ Ideal output × 100</t>
  </si>
  <si>
    <t>PLT-004</t>
  </si>
  <si>
    <t>Recovery percentage</t>
  </si>
  <si>
    <t>Valuable content recovered ÷ Valuable content in feed × 100</t>
  </si>
  <si>
    <t>PLT-005</t>
  </si>
  <si>
    <t>Yield</t>
  </si>
  <si>
    <t>Good output ÷ Feed input × 100</t>
  </si>
  <si>
    <t>REL-001</t>
  </si>
  <si>
    <t>MTBF</t>
  </si>
  <si>
    <t>h</t>
  </si>
  <si>
    <t>Run hours ÷ Breakdowns</t>
  </si>
  <si>
    <t>REL-002</t>
  </si>
  <si>
    <t>Mean Time to Repair</t>
  </si>
  <si>
    <t>Repair hours ÷ Breakdowns</t>
  </si>
  <si>
    <t>REL-003</t>
  </si>
  <si>
    <t>Unplanned downtime</t>
  </si>
  <si>
    <t>REL-004</t>
  </si>
  <si>
    <t>Production loss from downtime</t>
  </si>
  <si>
    <t>t</t>
  </si>
  <si>
    <t>Production lost to downtime</t>
  </si>
  <si>
    <t>REL-005</t>
  </si>
  <si>
    <t>Preventive-maintenance compliance</t>
  </si>
  <si>
    <t>Preventive maintenance completed ÷ Preventive maintenance scheduled × 100</t>
  </si>
  <si>
    <t>CST-001</t>
  </si>
  <si>
    <t>Cost per tonne</t>
  </si>
  <si>
    <t>₹/t</t>
  </si>
  <si>
    <t>(Variable cost + Fixed cost) × 1000 ÷ Good output</t>
  </si>
  <si>
    <t>CST-002</t>
  </si>
  <si>
    <t>Variable cost</t>
  </si>
  <si>
    <t>₹ thousand</t>
  </si>
  <si>
    <t>CST-003</t>
  </si>
  <si>
    <t>Fuel cost</t>
  </si>
  <si>
    <t>SUS-001</t>
  </si>
  <si>
    <t>Water usage</t>
  </si>
  <si>
    <t>m3</t>
  </si>
  <si>
    <t>Water used</t>
  </si>
  <si>
    <t>SUS-002</t>
  </si>
  <si>
    <t>Emissions</t>
  </si>
  <si>
    <t>tCO2e</t>
  </si>
  <si>
    <t>SUS-003</t>
  </si>
  <si>
    <t>Energy intensity</t>
  </si>
  <si>
    <t>GJ/t</t>
  </si>
  <si>
    <t>Energy used ÷ Good output</t>
  </si>
  <si>
    <t>SIG-007</t>
  </si>
  <si>
    <t>Production at risk</t>
  </si>
  <si>
    <t>SIG-008</t>
  </si>
  <si>
    <t>Critical plant-state alerts</t>
  </si>
  <si>
    <t>count</t>
  </si>
  <si>
    <t>Critical plant alerts</t>
  </si>
  <si>
    <t>SIG-009</t>
  </si>
  <si>
    <t>Critical-material shortage risk</t>
  </si>
  <si>
    <t>Critical materials at risk</t>
  </si>
  <si>
    <t>SIG-012</t>
  </si>
  <si>
    <t>Dispatch delays</t>
  </si>
  <si>
    <t>Delayed dispatches ÷ Dispatches × 100</t>
  </si>
  <si>
    <t>SIG-021</t>
  </si>
  <si>
    <t>Environmental violations</t>
  </si>
  <si>
    <t>EHS-001</t>
  </si>
  <si>
    <t>TRIR</t>
  </si>
  <si>
    <t>per 200,000 h</t>
  </si>
  <si>
    <t>Recordable injuries × 200,000 ÷ Hours worked</t>
  </si>
  <si>
    <t>EHS-002</t>
  </si>
  <si>
    <t>Severity incidents</t>
  </si>
  <si>
    <t>EHS-003</t>
  </si>
  <si>
    <t>Near misses</t>
  </si>
  <si>
    <t>EHS-004</t>
  </si>
  <si>
    <t>Critical safety incidents</t>
  </si>
  <si>
    <t>EHS-005</t>
  </si>
  <si>
    <t>Environmental excursions</t>
  </si>
  <si>
    <t>EHS-006</t>
  </si>
  <si>
    <t>Open EHS corrective actions</t>
  </si>
  <si>
    <t>EHS-007</t>
  </si>
  <si>
    <t>Overdue EHS actions</t>
  </si>
  <si>
    <t>Overdue EHS corrective actions</t>
  </si>
  <si>
    <t>EHS-009</t>
  </si>
  <si>
    <t>EHS investigation completion</t>
  </si>
  <si>
    <t>EHS investigations completed ÷ EHS investigations due × 100 (100 if none due)</t>
  </si>
  <si>
    <t>REG-006</t>
  </si>
  <si>
    <t>Licence or permit expiry clock</t>
  </si>
  <si>
    <t>Days to permit expiry (lowest plant)</t>
  </si>
  <si>
    <t>OPS-005</t>
  </si>
  <si>
    <t>Capacity utilisation (same measure as OPS-003)</t>
  </si>
  <si>
    <t>OPS-006</t>
  </si>
  <si>
    <t>OEE · Group weighted (same measure as PLT-002)</t>
  </si>
  <si>
    <t>Good output ÷ Ideal output × 100 (weighted by output, not an average of plants)</t>
  </si>
  <si>
    <t>OPS-002</t>
  </si>
  <si>
    <t>Sales vs plan</t>
  </si>
  <si>
    <t>Sales volume ÷ Planned sales volume × 100</t>
  </si>
  <si>
    <t>OPS-004</t>
  </si>
  <si>
    <t>Sales vs plan · Group (same measure as OPS-002)</t>
  </si>
  <si>
    <t>CST-004</t>
  </si>
  <si>
    <t>Power cost per tonne</t>
  </si>
  <si>
    <t>Power cost × 1000 ÷ Good output</t>
  </si>
  <si>
    <t>FIN-001</t>
  </si>
  <si>
    <t>EBITDA YTD</t>
  </si>
  <si>
    <t>₹ m</t>
  </si>
  <si>
    <t>Year to date</t>
  </si>
  <si>
    <t>Sum of monthly EBITDA since April ÷ 1000</t>
  </si>
  <si>
    <t>FIN-002</t>
  </si>
  <si>
    <t>EBIT YTD</t>
  </si>
  <si>
    <t>Sum of monthly EBIT since April ÷ 1000</t>
  </si>
  <si>
    <t>FIN-003</t>
  </si>
  <si>
    <t>Revenue YTD</t>
  </si>
  <si>
    <t>Sum of monthly Revenue since April ÷ 1000</t>
  </si>
  <si>
    <t>FIN-004</t>
  </si>
  <si>
    <t>Free cash flow YTD</t>
  </si>
  <si>
    <t>Sum of monthly Free cash flow since April ÷ 1000</t>
  </si>
  <si>
    <t>FIN-005</t>
  </si>
  <si>
    <t>ROCE, annualised</t>
  </si>
  <si>
    <t>EBIT since April × 12 ÷ months elapsed ÷ Capital employed × 100</t>
  </si>
  <si>
    <t>FIN-006</t>
  </si>
  <si>
    <t>Net debt</t>
  </si>
  <si>
    <t>Month end</t>
  </si>
  <si>
    <t>(Gross debt − Cash) ÷ 1000</t>
  </si>
  <si>
    <t>FIN-007</t>
  </si>
  <si>
    <t>Shareholder-value indicator (economic profit YTD)</t>
  </si>
  <si>
    <t>(EBIT since April × (1 − Tax rate) − Capital employed × Cost of capital × months elapsed ÷ 12) ÷ 1000</t>
  </si>
  <si>
    <t>FIN-008</t>
  </si>
  <si>
    <t>FCF conversion (FCF ÷ EBITDA)</t>
  </si>
  <si>
    <t>Free cash flow since April ÷ EBITDA since April × 100</t>
  </si>
  <si>
    <t>CSH-001</t>
  </si>
  <si>
    <t>Cash position</t>
  </si>
  <si>
    <t>Cash ÷ 1000</t>
  </si>
  <si>
    <t>CSH-002</t>
  </si>
  <si>
    <t>Cash released YTD</t>
  </si>
  <si>
    <t>Sum of cash released since April ÷ 1000</t>
  </si>
  <si>
    <t>CSH-003</t>
  </si>
  <si>
    <t>Daily collections</t>
  </si>
  <si>
    <t>₹ m per day</t>
  </si>
  <si>
    <t>Cash collected ÷ Days in month ÷ 1000</t>
  </si>
  <si>
    <t>CSH-004</t>
  </si>
  <si>
    <t>Cash-conversion cycle</t>
  </si>
  <si>
    <t>DSO + Inventory days − DPO</t>
  </si>
  <si>
    <t>CSH-006</t>
  </si>
  <si>
    <t>Cash-upstream exposure</t>
  </si>
  <si>
    <t>Next 30 days</t>
  </si>
  <si>
    <t>(Cash due to be upstreamed − Amount covered by available cash) ÷ 1000</t>
  </si>
  <si>
    <t>WCP-001</t>
  </si>
  <si>
    <t>DSO</t>
  </si>
  <si>
    <t>Trade receivables ÷ Revenue × Days in month</t>
  </si>
  <si>
    <t>WCP-002</t>
  </si>
  <si>
    <t>DPO</t>
  </si>
  <si>
    <t>Trade payables ÷ Variable cost × Days in month</t>
  </si>
  <si>
    <t>WCP-003</t>
  </si>
  <si>
    <t>Inventory days</t>
  </si>
  <si>
    <t>Inventory ÷ Variable cost × Days in month</t>
  </si>
  <si>
    <t>WCP-004</t>
  </si>
  <si>
    <t>Net working capital</t>
  </si>
  <si>
    <t>(Trade receivables + Inventory − Trade payables) ÷ 1000</t>
  </si>
  <si>
    <t>WCP-005</t>
  </si>
  <si>
    <t>Working-capital movement</t>
  </si>
  <si>
    <t>(Net working capital − last month's net working capital) ÷ 1000; positive = cash tied up</t>
  </si>
  <si>
    <t>WCP-006</t>
  </si>
  <si>
    <t>Working-capital days</t>
  </si>
  <si>
    <t>Net working capital ÷ Revenue × Days in month</t>
  </si>
  <si>
    <t>LIQ-001</t>
  </si>
  <si>
    <t>Liquidity runway</t>
  </si>
  <si>
    <t>months</t>
  </si>
  <si>
    <t>(Cash + Undrawn facilities) ÷ (Fixed cost + Overheads + Debt service) per month</t>
  </si>
  <si>
    <t>LIQ-002</t>
  </si>
  <si>
    <t>Covenant headroom</t>
  </si>
  <si>
    <t>(Covenant limit − Net debt ÷ Annualised EBITDA) ÷ Covenant limit × 100</t>
  </si>
  <si>
    <t>LIQ-003</t>
  </si>
  <si>
    <t>Debt-maturity exposure, next 12 months</t>
  </si>
  <si>
    <t>Debt maturing in next 12 months ÷ 1000</t>
  </si>
  <si>
    <t>LIQ-004</t>
  </si>
  <si>
    <t>Financing exposure (floating-rate debt)</t>
  </si>
  <si>
    <t>Floating-rate debt ÷ 1000</t>
  </si>
  <si>
    <t>TRS-001</t>
  </si>
  <si>
    <t>FX exposure, unhedged</t>
  </si>
  <si>
    <t>(Foreign-currency exposure − Amount hedged) ÷ 1000</t>
  </si>
  <si>
    <t>TRS-002</t>
  </si>
  <si>
    <t>Hedging effectiveness</t>
  </si>
  <si>
    <t>Change in value of hedges ÷ Change in value of hedged items × 100</t>
  </si>
  <si>
    <t>TRS-003</t>
  </si>
  <si>
    <t>USD share of unhedged FX exposure</t>
  </si>
  <si>
    <t>(USD exposure − USD hedged) ÷ (FX exposure − FX hedged) × 100</t>
  </si>
  <si>
    <t>TRS-004</t>
  </si>
  <si>
    <t>Hedge cover, next 6 months</t>
  </si>
  <si>
    <t>Next 6 months</t>
  </si>
  <si>
    <t>Foreign-currency flows hedged ÷ Forecast foreign-currency flows, next 6 months × 100</t>
  </si>
  <si>
    <t>TRS-005</t>
  </si>
  <si>
    <t>FX sensitivity, 5% USD move</t>
  </si>
  <si>
    <t>5% × (USD exposure − USD hedged) ÷ 1000</t>
  </si>
  <si>
    <t>CPX-001</t>
  </si>
  <si>
    <t>Approved capex budget</t>
  </si>
  <si>
    <t>Full year</t>
  </si>
  <si>
    <t>Approved capex budget ÷ 1000</t>
  </si>
  <si>
    <t>CPX-002</t>
  </si>
  <si>
    <t>Committed capex</t>
  </si>
  <si>
    <t>To date</t>
  </si>
  <si>
    <t>Capex committed to date ÷ 1000</t>
  </si>
  <si>
    <t>CPX-003</t>
  </si>
  <si>
    <t>Capex actual spend YTD</t>
  </si>
  <si>
    <t>Sum of capex spent since April ÷ 1000</t>
  </si>
  <si>
    <t>CPX-004</t>
  </si>
  <si>
    <t>Capex physical progress, weighted</t>
  </si>
  <si>
    <t>Work completed valued at budget ÷ Approved budget × 100 (weights each project by its budget)</t>
  </si>
  <si>
    <t>SIG-011</t>
  </si>
  <si>
    <t>Capex value at risk</t>
  </si>
  <si>
    <t>Budget of projects at risk ÷ 1000</t>
  </si>
  <si>
    <t>PRG-001</t>
  </si>
  <si>
    <t>Capex project status</t>
  </si>
  <si>
    <t>text</t>
  </si>
  <si>
    <t>Count of projects by status</t>
  </si>
  <si>
    <t>PRG-002</t>
  </si>
  <si>
    <t>Benefits realisation</t>
  </si>
  <si>
    <t>Benefits delivered since April ÷ Benefits planned since April × 100</t>
  </si>
  <si>
    <t>PRG-003</t>
  </si>
  <si>
    <t>Delayed projects</t>
  </si>
  <si>
    <t>Capex projects delayed</t>
  </si>
  <si>
    <t>PRG-004</t>
  </si>
  <si>
    <t>Capex / transformation progress (same measure as STR-002)</t>
  </si>
  <si>
    <t>Transformation milestones completed ÷ Milestones in plan × 100</t>
  </si>
  <si>
    <t>STR-002</t>
  </si>
  <si>
    <t>Transformation progress</t>
  </si>
  <si>
    <t>PRG-005</t>
  </si>
  <si>
    <t>Transformation initiative status</t>
  </si>
  <si>
    <t>Count of transformation initiatives by status</t>
  </si>
  <si>
    <t>SUP-006</t>
  </si>
  <si>
    <t>Contractor slippage</t>
  </si>
  <si>
    <t>Contractor days late ÷ Contractor milestones due (average days late per milestone)</t>
  </si>
  <si>
    <t>VAL-001</t>
  </si>
  <si>
    <t>EBITDA benefit YTD</t>
  </si>
  <si>
    <t>Sum of EBITDA benefit since April ÷ 1000</t>
  </si>
  <si>
    <t>VAL-002</t>
  </si>
  <si>
    <t>Cash benefit YTD</t>
  </si>
  <si>
    <t>Sum of cash benefit since April ÷ 1000</t>
  </si>
  <si>
    <t>VAL-003</t>
  </si>
  <si>
    <t>Cost savings delivered YTD</t>
  </si>
  <si>
    <t>Sum of cost savings since April ÷ 1000</t>
  </si>
  <si>
    <t>SUP-001</t>
  </si>
  <si>
    <t>Supplier on-time delivery</t>
  </si>
  <si>
    <t>Purchase-order lines on time ÷ Lines due × 100</t>
  </si>
  <si>
    <t>SUP-002</t>
  </si>
  <si>
    <t>Supplier fill rate</t>
  </si>
  <si>
    <t>Quantity received ÷ Quantity ordered × 100</t>
  </si>
  <si>
    <t>SUP-003</t>
  </si>
  <si>
    <t>Supplier quality-rejection rate</t>
  </si>
  <si>
    <t>Quantity rejected ÷ Quantity received × 100</t>
  </si>
  <si>
    <t>SUP-004</t>
  </si>
  <si>
    <t>Supplier lead-time variance</t>
  </si>
  <si>
    <t>(Actual lead time − Planned lead time) ÷ Planned lead time × 100</t>
  </si>
  <si>
    <t>SUP-005</t>
  </si>
  <si>
    <t>Critical supplier exposure</t>
  </si>
  <si>
    <t>Critical single-source suppliers</t>
  </si>
  <si>
    <t>SUP-007</t>
  </si>
  <si>
    <t>Single-source spend share</t>
  </si>
  <si>
    <t>Spend with single-source suppliers ÷ Supplier spend × 100</t>
  </si>
  <si>
    <t>SUP-008</t>
  </si>
  <si>
    <t>Supplier EHS incidents YTD</t>
  </si>
  <si>
    <t>Sum of supplier EHS incidents since April</t>
  </si>
  <si>
    <t>CON-001</t>
  </si>
  <si>
    <t>Contracts expiring, next 90 days</t>
  </si>
  <si>
    <t>Contracts expiring in next 90 days</t>
  </si>
  <si>
    <t>CON-002</t>
  </si>
  <si>
    <t>Contract-compliance rate</t>
  </si>
  <si>
    <t>Contracts fully compliant ÷ Active contracts × 100</t>
  </si>
  <si>
    <t>CON-003</t>
  </si>
  <si>
    <t>Supplier EHS non-compliance</t>
  </si>
  <si>
    <t>Suppliers not meeting EHS requirements</t>
  </si>
  <si>
    <t>REG-001</t>
  </si>
  <si>
    <t>Pending filings</t>
  </si>
  <si>
    <t>Regulatory filings pending</t>
  </si>
  <si>
    <t>REG-002</t>
  </si>
  <si>
    <t>Regulatory deadlines, next 30 days</t>
  </si>
  <si>
    <t>Regulatory deadlines in next 30 days</t>
  </si>
  <si>
    <t>REG-003</t>
  </si>
  <si>
    <t>Licence expirations, next 12 months</t>
  </si>
  <si>
    <t>Licences expiring in next 12 months</t>
  </si>
  <si>
    <t>REG-004</t>
  </si>
  <si>
    <t>Regulatory obligations due, next 30 days</t>
  </si>
  <si>
    <t>Regulatory obligations due in next 30 days</t>
  </si>
  <si>
    <t>REG-005</t>
  </si>
  <si>
    <t>Overdue regulatory obligations</t>
  </si>
  <si>
    <t>Regulatory obligations overdue</t>
  </si>
  <si>
    <t>REG-007</t>
  </si>
  <si>
    <t>Open regulatory actions</t>
  </si>
  <si>
    <t>REG-008</t>
  </si>
  <si>
    <t>Overdue compliance actions</t>
  </si>
  <si>
    <t>REG-009</t>
  </si>
  <si>
    <t>Disclosure-clock status</t>
  </si>
  <si>
    <t>Triggered if any event that needs disclosure is open, otherwise Not triggered</t>
  </si>
  <si>
    <t>REG-010</t>
  </si>
  <si>
    <t>Regulatory breaches YTD</t>
  </si>
  <si>
    <t>Sum of regulatory breaches since April</t>
  </si>
  <si>
    <t>RSK-003</t>
  </si>
  <si>
    <t>Regulatory breaches YTD (same measure as REG-010)</t>
  </si>
  <si>
    <t>CMP-005</t>
  </si>
  <si>
    <t>EHS-008</t>
  </si>
  <si>
    <t>EHS escalation clocks running</t>
  </si>
  <si>
    <t>EHS-010</t>
  </si>
  <si>
    <t>EHS investigation completion rate YTD</t>
  </si>
  <si>
    <t>EHS investigations completed since April ÷ Investigations due since April × 100 (100 if none due)</t>
  </si>
  <si>
    <t>CTL-002</t>
  </si>
  <si>
    <t>Control failures YTD</t>
  </si>
  <si>
    <t>Sum of control failures since April</t>
  </si>
  <si>
    <t>CTL-004</t>
  </si>
  <si>
    <t>High-severity control failures YTD</t>
  </si>
  <si>
    <t>Sum of high-severity control failures since April</t>
  </si>
  <si>
    <t>CTL-005</t>
  </si>
  <si>
    <t>Policy exceptions YTD</t>
  </si>
  <si>
    <t>Sum of policy exceptions since April</t>
  </si>
  <si>
    <t>CTL-006</t>
  </si>
  <si>
    <t>Unauthorised-vendor usage YTD</t>
  </si>
  <si>
    <t>Sum of unauthorised vendor uses since April</t>
  </si>
  <si>
    <t>CTL-007</t>
  </si>
  <si>
    <t>Segregation-of-duties exceptions YTD</t>
  </si>
  <si>
    <t>Sum of segregation-of-duties exceptions since April</t>
  </si>
  <si>
    <t>CTL-008</t>
  </si>
  <si>
    <t>Unauthorised-access events YTD</t>
  </si>
  <si>
    <t>Sum of unauthorised access events since April</t>
  </si>
  <si>
    <t>CTL-009</t>
  </si>
  <si>
    <t>Data-sharing exceptions YTD</t>
  </si>
  <si>
    <t>Sum of data-sharing exceptions since April</t>
  </si>
  <si>
    <t>CTL-010</t>
  </si>
  <si>
    <t>Manual overrides YTD</t>
  </si>
  <si>
    <t>Sum of manual operational or system overrides since April</t>
  </si>
  <si>
    <t>CTL-003</t>
  </si>
  <si>
    <t>Assurance reviews completed</t>
  </si>
  <si>
    <t>Assurance reviews completed since April, of those planned since April</t>
  </si>
  <si>
    <t>GOV-001</t>
  </si>
  <si>
    <t>Ageing certification approvals</t>
  </si>
  <si>
    <t>Certification approvals past due date</t>
  </si>
  <si>
    <t>GOV-002</t>
  </si>
  <si>
    <t>KPI overrides</t>
  </si>
  <si>
    <t>KPI values overridden</t>
  </si>
  <si>
    <t>GOV-003</t>
  </si>
  <si>
    <t>Recurring data-quality issues</t>
  </si>
  <si>
    <t>GOV-004</t>
  </si>
  <si>
    <t>Open audit findings</t>
  </si>
  <si>
    <t>GOV-005</t>
  </si>
  <si>
    <t>Overdue assurance actions</t>
  </si>
  <si>
    <t>GOV-006</t>
  </si>
  <si>
    <t>Repeat findings</t>
  </si>
  <si>
    <t>Repeat audit findings</t>
  </si>
  <si>
    <t>GOV-007</t>
  </si>
  <si>
    <t>Leadership KPIs affected by findings</t>
  </si>
  <si>
    <t>Leadership KPIs affected by open findings</t>
  </si>
  <si>
    <t>TRU-004</t>
  </si>
  <si>
    <t>Open reconciliation breaks</t>
  </si>
  <si>
    <t>TRU-006</t>
  </si>
  <si>
    <t>Overdue certifications</t>
  </si>
  <si>
    <t>Certifications overdue</t>
  </si>
  <si>
    <t>TRU-007</t>
  </si>
  <si>
    <t>Material reconciliation breaks</t>
  </si>
  <si>
    <t>GOV-008</t>
  </si>
  <si>
    <t>Evidence completeness rate</t>
  </si>
  <si>
    <t>Evidence items complete ÷ Evidence items required × 100</t>
  </si>
  <si>
    <t>GOV-009</t>
  </si>
  <si>
    <t>Average finding-closure time</t>
  </si>
  <si>
    <t>Days taken to close findings since April ÷ Findings closed since April</t>
  </si>
  <si>
    <t>TRU-001</t>
  </si>
  <si>
    <t>Certified KPI percentage</t>
  </si>
  <si>
    <t>Leadership KPI values certified ÷ Leadership KPI values reported × 100</t>
  </si>
  <si>
    <t>TRU-002</t>
  </si>
  <si>
    <t>Uncertified KPI count</t>
  </si>
  <si>
    <t>Leadership KPI values reported − Values certified</t>
  </si>
  <si>
    <t>TRU-005</t>
  </si>
  <si>
    <t>KPI certification coverage</t>
  </si>
  <si>
    <t>Leadership KPI values inside the certification process ÷ Values reported × 100</t>
  </si>
  <si>
    <t>TRU-008</t>
  </si>
  <si>
    <t>Source-to-Lake reconciliation rate</t>
  </si>
  <si>
    <t>Records reconciled to source ÷ Records loaded × 100</t>
  </si>
  <si>
    <t>TRU-009</t>
  </si>
  <si>
    <t>Flash-to-MIS reconciliation rate</t>
  </si>
  <si>
    <t>Flash lines matching MIS ÷ Flash report lines × 100</t>
  </si>
  <si>
    <t>TRU-010</t>
  </si>
  <si>
    <t>Flash-to-close variance</t>
  </si>
  <si>
    <t>|Flash revenue − Closed revenue| ÷ Closed revenue × 100</t>
  </si>
  <si>
    <t>TRU-003</t>
  </si>
  <si>
    <t>Variance against Board number (EBITDA)</t>
  </si>
  <si>
    <t>(Board-pack EBITDA − Certified EBITDA) ÷ Certified EBITDA × 100</t>
  </si>
  <si>
    <t>TRU-011</t>
  </si>
  <si>
    <t>Largest entity variance against Board numbers</t>
  </si>
  <si>
    <t>Highest of the entities' |Board-pack EBITDA − Certified EBITDA| ÷ Certified EBITDA × 100</t>
  </si>
  <si>
    <t>EFF-002</t>
  </si>
  <si>
    <t>Open critical alerts</t>
  </si>
  <si>
    <t>EFF-006</t>
  </si>
  <si>
    <t>Alerts without accepted owners</t>
  </si>
  <si>
    <t>Alerts with no accepted owner</t>
  </si>
  <si>
    <t>EFF-007</t>
  </si>
  <si>
    <t>Overdue actions</t>
  </si>
  <si>
    <t>EFF-008</t>
  </si>
  <si>
    <t>Average resolution time</t>
  </si>
  <si>
    <t>Days taken to resolve alerts ÷ Alerts resolved</t>
  </si>
  <si>
    <t>EFF-009</t>
  </si>
  <si>
    <t>Closed escalations, last 30 days</t>
  </si>
  <si>
    <t>Escalations closed in the month</t>
  </si>
  <si>
    <t>EFF-010</t>
  </si>
  <si>
    <t>Repeat issues, last 90 days</t>
  </si>
  <si>
    <t>Last 3 months</t>
  </si>
  <si>
    <t>Sum of repeat issues over the last 3 months</t>
  </si>
  <si>
    <t>EFF-011</t>
  </si>
  <si>
    <t>Root causes eliminated YTD</t>
  </si>
  <si>
    <t>Root causes eliminated since April, of those identified since April</t>
  </si>
  <si>
    <t>SIG-004</t>
  </si>
  <si>
    <t>Collections slippage</t>
  </si>
  <si>
    <t>(Days taken to collect − Agreed payment terms) ÷ Invoices collected (average days late)</t>
  </si>
  <si>
    <t>SIG-005</t>
  </si>
  <si>
    <t>Payment delays</t>
  </si>
  <si>
    <t>customers</t>
  </si>
  <si>
    <t>Customers more than 30 days overdue</t>
  </si>
  <si>
    <t>SIG-006</t>
  </si>
  <si>
    <t>Cash burn signal</t>
  </si>
  <si>
    <t>Triggered if operating cash flow in the month is negative</t>
  </si>
  <si>
    <t>SIG-013</t>
  </si>
  <si>
    <t>Pricing pressure</t>
  </si>
  <si>
    <t>Realised price vs plan: Low if above −1%, Medium down to −3%, High below −3%</t>
  </si>
  <si>
    <t>PRD-001</t>
  </si>
  <si>
    <t>Days to breach (earliest plant)</t>
  </si>
  <si>
    <t>Forecast</t>
  </si>
  <si>
    <t>Lowest plant forecast of days until its production plan is breached (99 = not expected)</t>
  </si>
  <si>
    <t>PRD-002</t>
  </si>
  <si>
    <t>Probability of production plan miss, next month</t>
  </si>
  <si>
    <t>Next month</t>
  </si>
  <si>
    <t>Chance that output falls below plan: normal distribution with mean = Forecast good output, spread = √(sum of plant forecast variances)</t>
  </si>
  <si>
    <t>PRD-003</t>
  </si>
  <si>
    <t>Projected EBITDA gap, rest of year</t>
  </si>
  <si>
    <t>(Forecast EBITDA − Planned EBITDA, rest of year) ÷ 1000</t>
  </si>
  <si>
    <t>PRD-004</t>
  </si>
  <si>
    <t>Projected liquidity gap, next 90 days</t>
  </si>
  <si>
    <t>₹ m or text</t>
  </si>
  <si>
    <t>Next 90 days</t>
  </si>
  <si>
    <t>Cash + Undrawn facilities + Forecast net cash flow (90 days); 'None' if not negative</t>
  </si>
  <si>
    <t>PRD-005</t>
  </si>
  <si>
    <t>Forecast covenant breach</t>
  </si>
  <si>
    <t>Quarter end</t>
  </si>
  <si>
    <t>Breach forecast if Forecast net debt ÷ Forecast 12-month EBITDA exceeds the covenant limit</t>
  </si>
  <si>
    <t>PRD-006</t>
  </si>
  <si>
    <t>Production loss from downtime, next month</t>
  </si>
  <si>
    <t>kt</t>
  </si>
  <si>
    <t>Forecast production lost to downtime next month ÷ 1000</t>
  </si>
  <si>
    <t>PRD-007</t>
  </si>
  <si>
    <t>Probability OEE below 78%, next month</t>
  </si>
  <si>
    <t>Chance that Forecast good output &lt; 78% × Ideal output next month (same distribution as PRD-002)</t>
  </si>
  <si>
    <t>CST-005</t>
  </si>
  <si>
    <t>Fixed cost YTD</t>
  </si>
  <si>
    <t>Sum of fixed cost since April ÷ 1000</t>
  </si>
  <si>
    <t>PRD-008</t>
  </si>
  <si>
    <t>Projected FCF gap, full year</t>
  </si>
  <si>
    <t>(Forecast EBITDA − Planned EBITDA, rest of year) × (1 − Tax rate) ÷ 1000</t>
  </si>
  <si>
    <t>PRD-009</t>
  </si>
  <si>
    <t>ROCE at P12 (forecast)</t>
  </si>
  <si>
    <t>(EBIT since April + Forecast EBITDA rest of year − Depreciation × remaining months) ÷ Capital employed × 100</t>
  </si>
  <si>
    <t>PRD-010</t>
  </si>
  <si>
    <t>Revenue per FTE</t>
  </si>
  <si>
    <t>Revenue since April ÷ 1000 ÷ FTEs, where FTEs = Hours worked since April ÷ (2,000 h a year × months elapsed ÷ 12)</t>
  </si>
  <si>
    <t>PRD-011</t>
  </si>
  <si>
    <t>Tonnes per FTE</t>
  </si>
  <si>
    <t>Good output since April ÷ FTEs (FTEs as in PRD-010)</t>
  </si>
  <si>
    <t>PRD-012</t>
  </si>
  <si>
    <t>Probability of EBITDA plan miss, full year</t>
  </si>
  <si>
    <t>Chance that EBITDA for the rest of the year falls below plan: normal distribution with mean = Forecast EBITDA, spread = Forecast error × Forecast EBITDA</t>
  </si>
  <si>
    <t>REG-011</t>
  </si>
  <si>
    <t>Disclosure clock (open incident)</t>
  </si>
  <si>
    <t>Hours left on the earliest open disclosure clock (999 = none running)</t>
  </si>
  <si>
    <t>SIG-002</t>
  </si>
  <si>
    <t>Yield (leading signal)</t>
  </si>
  <si>
    <t>Change in Yield (PLT-005) from last month: Stable if under 1 pt, otherwise Improving or Deteriorating</t>
  </si>
  <si>
    <t>SIG-003</t>
  </si>
  <si>
    <t>Recovery (leading signal)</t>
  </si>
  <si>
    <t>Change in Recovery (PLT-004) from last month: Stable if under 1 pt, otherwise Improving or Deteriorating</t>
  </si>
  <si>
    <t>SIG-010</t>
  </si>
  <si>
    <t>Single-source supply risk</t>
  </si>
  <si>
    <t>Elevated if there are critical single-source suppliers and any critical material is at risk, otherwise Normal</t>
  </si>
  <si>
    <t>SIG-016</t>
  </si>
  <si>
    <t>Freight exposure</t>
  </si>
  <si>
    <t>Freight cost vs plan: Normal up to 2% over plan, Watch up to 5%, Alert above 5%</t>
  </si>
  <si>
    <t>Entity A1 · 2026-04 (P01)</t>
  </si>
  <si>
    <t>Entity A1 · 2026-05 (P02)</t>
  </si>
  <si>
    <t>Entity A1 · 2026-06 (P03)</t>
  </si>
  <si>
    <t>Entity A1 · 2026-07 (P04)</t>
  </si>
  <si>
    <t>Entity A1 · 2026-08 (P05)</t>
  </si>
  <si>
    <t>Entity A1 · 2026-09 (P06)</t>
  </si>
  <si>
    <t>Entity A2 · 2026-04 (P01)</t>
  </si>
  <si>
    <t>Entity A2 · 2026-05 (P02)</t>
  </si>
  <si>
    <t>Entity A2 · 2026-06 (P03)</t>
  </si>
  <si>
    <t>Entity A2 · 2026-07 (P04)</t>
  </si>
  <si>
    <t>Entity A2 · 2026-08 (P05)</t>
  </si>
  <si>
    <t>Entity A2 · 2026-09 (P06)</t>
  </si>
  <si>
    <t>Plant 01 · 2026-04 (P01)</t>
  </si>
  <si>
    <t>Plant 01 · 2026-05 (P02)</t>
  </si>
  <si>
    <t>Plant 01 · 2026-06 (P03)</t>
  </si>
  <si>
    <t>Plant 01 · 2026-07 (P04)</t>
  </si>
  <si>
    <t>Plant 01 · 2026-08 (P05)</t>
  </si>
  <si>
    <t>Plant 01 · 2026-09 (P06)</t>
  </si>
  <si>
    <t>Plant 02 · 2026-04 (P01)</t>
  </si>
  <si>
    <t>Plant 02 · 2026-05 (P02)</t>
  </si>
  <si>
    <t>Plant 02 · 2026-06 (P03)</t>
  </si>
  <si>
    <t>Plant 02 · 2026-07 (P04)</t>
  </si>
  <si>
    <t>Plant 02 · 2026-08 (P05)</t>
  </si>
  <si>
    <t>Plant 02 · 2026-09 (P06)</t>
  </si>
  <si>
    <t>Plant 03 · 2026-04 (P01)</t>
  </si>
  <si>
    <t>Plant 03 · 2026-05 (P02)</t>
  </si>
  <si>
    <t>Plant 03 · 2026-06 (P03)</t>
  </si>
  <si>
    <t>Plant 03 · 2026-07 (P04)</t>
  </si>
  <si>
    <t>Plant 03 · 2026-08 (P05)</t>
  </si>
  <si>
    <t>Plant 03 · 2026-09 (P06)</t>
  </si>
  <si>
    <t>Plant 04 · 2026-04 (P01)</t>
  </si>
  <si>
    <t>Plant 04 · 2026-05 (P02)</t>
  </si>
  <si>
    <t>Plant 04 · 2026-06 (P03)</t>
  </si>
  <si>
    <t>Plant 04 · 2026-07 (P04)</t>
  </si>
  <si>
    <t>Plant 04 · 2026-08 (P05)</t>
  </si>
  <si>
    <t>Plant 04 · 2026-09 (P06)</t>
  </si>
  <si>
    <t>Plant 05 · 2026-04 (P01)</t>
  </si>
  <si>
    <t>Plant 05 · 2026-05 (P02)</t>
  </si>
  <si>
    <t>Plant 05 · 2026-06 (P03)</t>
  </si>
  <si>
    <t>Plant 05 · 2026-07 (P04)</t>
  </si>
  <si>
    <t>Plant 05 · 2026-08 (P05)</t>
  </si>
  <si>
    <t>Plant 05 · 2026-09 (P06)</t>
  </si>
  <si>
    <t>Plant 06 · 2026-04 (P01)</t>
  </si>
  <si>
    <t>Plant 06 · 2026-05 (P02)</t>
  </si>
  <si>
    <t>Plant 06 · 2026-06 (P03)</t>
  </si>
  <si>
    <t>Plant 06 · 2026-07 (P04)</t>
  </si>
  <si>
    <t>Plant 06 · 2026-08 (P05)</t>
  </si>
  <si>
    <t>Plant 06 · 2026-09 (P06)</t>
  </si>
  <si>
    <t>Lens</t>
  </si>
  <si>
    <t>Screen</t>
  </si>
  <si>
    <t>Screen title</t>
  </si>
  <si>
    <t>Element</t>
  </si>
  <si>
    <t>Label on the screen</t>
  </si>
  <si>
    <t>Scope</t>
  </si>
  <si>
    <t>Shown on the screen</t>
  </si>
  <si>
    <t>Calculated, Sep 2026 (P06)</t>
  </si>
  <si>
    <t>Same or different</t>
  </si>
  <si>
    <t>Owner</t>
  </si>
  <si>
    <t>G-08 · Owner depth</t>
  </si>
  <si>
    <t>Trust Summary (Owner depth)</t>
  </si>
  <si>
    <t>Card</t>
  </si>
  <si>
    <t>1</t>
  </si>
  <si>
    <t>Same</t>
  </si>
  <si>
    <t>84 % of leadership KPIs</t>
  </si>
  <si>
    <t>9</t>
  </si>
  <si>
    <t>Flash-to-Close variance (P06)</t>
  </si>
  <si>
    <t>0.6 %</t>
  </si>
  <si>
    <t>Different</t>
  </si>
  <si>
    <t>Variance against Board numbers</t>
  </si>
  <si>
    <t>0.3 % (max abs)</t>
  </si>
  <si>
    <t>Table</t>
  </si>
  <si>
    <t>2 &gt; [PH] d</t>
  </si>
  <si>
    <t>Override count (KPI)</t>
  </si>
  <si>
    <t>0</t>
  </si>
  <si>
    <t>7</t>
  </si>
  <si>
    <t>88%</t>
  </si>
  <si>
    <t>34 d</t>
  </si>
  <si>
    <t>99.2%</t>
  </si>
  <si>
    <t>96.8%</t>
  </si>
  <si>
    <t>0.3% max abs · Entity B2</t>
  </si>
  <si>
    <t>O-01</t>
  </si>
  <si>
    <t>Enterprise Health</t>
  </si>
  <si>
    <t>Capex physical progress</t>
  </si>
  <si>
    <t>61 % weighted</t>
  </si>
  <si>
    <t>1 alert</t>
  </si>
  <si>
    <t>EBITDA YTD (to P06)</t>
  </si>
  <si>
    <t>361.3 ₹ m</t>
  </si>
  <si>
    <t>EBIT YTD (to P06)</t>
  </si>
  <si>
    <t>238.4 ₹ m</t>
  </si>
  <si>
    <t>Free Cash Flow YTD</t>
  </si>
  <si>
    <t>96.4 ₹ m</t>
  </si>
  <si>
    <t>ROCE · rolling 12 m</t>
  </si>
  <si>
    <t>11.8 %</t>
  </si>
  <si>
    <t>Net Debt</t>
  </si>
  <si>
    <t>1,140 ₹ m</t>
  </si>
  <si>
    <t>Production vs plan · Group MTD</t>
  </si>
  <si>
    <t>98.1 % of plan</t>
  </si>
  <si>
    <t>Tile</t>
  </si>
  <si>
    <t>Days to breach · Plant 02 plan</t>
  </si>
  <si>
    <t>4 days</t>
  </si>
  <si>
    <t>Probability of plan miss · P07</t>
  </si>
  <si>
    <t>64%</t>
  </si>
  <si>
    <t>Projected EBITDA gap · P07–P12</t>
  </si>
  <si>
    <t>−₹9.2 m</t>
  </si>
  <si>
    <t>Regulatory breaches · YTD</t>
  </si>
  <si>
    <t>2,410 ₹ m</t>
  </si>
  <si>
    <t>ROCE (rolling 12 m)</t>
  </si>
  <si>
    <t>11.8%</t>
  </si>
  <si>
    <t>Shareholder-value indicator</t>
  </si>
  <si>
    <t>[PLACEHOLDER]</t>
  </si>
  <si>
    <t>Sales vs plan · MTD</t>
  </si>
  <si>
    <t>97.6%</t>
  </si>
  <si>
    <t>86%</t>
  </si>
  <si>
    <t>Sales vs plan · Group MTD</t>
  </si>
  <si>
    <t>Capacity utilisation</t>
  </si>
  <si>
    <t>Transformation progress (weighted)</t>
  </si>
  <si>
    <t>54%</t>
  </si>
  <si>
    <t>O-01 · large display ≥ 1600</t>
  </si>
  <si>
    <t>O-02</t>
  </si>
  <si>
    <t>24-Hour Executive Change Report</t>
  </si>
  <si>
    <t>Projected EBITDA gap P07–P12</t>
  </si>
  <si>
    <t>Projected liquidity gap</t>
  </si>
  <si>
    <t>None</t>
  </si>
  <si>
    <t>Not forecast</t>
  </si>
  <si>
    <t>O-03</t>
  </si>
  <si>
    <t>Cash and Liquidity Summary</t>
  </si>
  <si>
    <t>384 ₹ m</t>
  </si>
  <si>
    <t>26 ₹ m</t>
  </si>
  <si>
    <t>14.2 months</t>
  </si>
  <si>
    <t>22 % [TERMS — PH]</t>
  </si>
  <si>
    <t>512 ₹ m</t>
  </si>
  <si>
    <t>None within 90 d</t>
  </si>
  <si>
    <t>+2 d (A1)</t>
  </si>
  <si>
    <t>Cash released · YTD</t>
  </si>
  <si>
    <t>₹21 m</t>
  </si>
  <si>
    <t>Daily collections (Group)</t>
  </si>
  <si>
    <t>₹18.6 m</t>
  </si>
  <si>
    <t>33 d</t>
  </si>
  <si>
    <t>Debt-maturity exposure · next 12 m</t>
  </si>
  <si>
    <t>₹120 m</t>
  </si>
  <si>
    <t>Financing exposure</t>
  </si>
  <si>
    <t>₹310 m</t>
  </si>
  <si>
    <t>Cash burn (leading)</t>
  </si>
  <si>
    <t>Not triggered</t>
  </si>
  <si>
    <t>FX exposure (unhedged)</t>
  </si>
  <si>
    <t>₹64 m</t>
  </si>
  <si>
    <t>91%</t>
  </si>
  <si>
    <t>FX exposure by currency (USD share)</t>
  </si>
  <si>
    <t>72% of unhedged</t>
  </si>
  <si>
    <t>Hedge cover · next 6 m</t>
  </si>
  <si>
    <t>68%</t>
  </si>
  <si>
    <t>FX sensitivity · 5% USD move</t>
  </si>
  <si>
    <t>₹3.2 m EBITDA</t>
  </si>
  <si>
    <t>47 d</t>
  </si>
  <si>
    <t>52 d</t>
  </si>
  <si>
    <t>38 d</t>
  </si>
  <si>
    <t>Working-capital movement P07</t>
  </si>
  <si>
    <t>+₹14 m</t>
  </si>
  <si>
    <t>33</t>
  </si>
  <si>
    <t>O-04</t>
  </si>
  <si>
    <t>Major Capex and Strategic Initiatives</t>
  </si>
  <si>
    <t>Approved budget</t>
  </si>
  <si>
    <t>850 ₹ m</t>
  </si>
  <si>
    <t>Committed Capex</t>
  </si>
  <si>
    <t>610 ₹ m · 72%</t>
  </si>
  <si>
    <t>Actual spend</t>
  </si>
  <si>
    <t>402 ₹ m · 47%</t>
  </si>
  <si>
    <t>Benefits realization</t>
  </si>
  <si>
    <t>48 % of plan</t>
  </si>
  <si>
    <t>34 ₹ m</t>
  </si>
  <si>
    <t>EBITDA benefit delivered YTD</t>
  </si>
  <si>
    <t>₹14 m</t>
  </si>
  <si>
    <t>Cash benefit delivered YTD</t>
  </si>
  <si>
    <t>₹9 m</t>
  </si>
  <si>
    <t>₹11 m</t>
  </si>
  <si>
    <t>₹34 m</t>
  </si>
  <si>
    <t>Initiative status</t>
  </si>
  <si>
    <t>9 on track · 2 at risk · 0 off track</t>
  </si>
  <si>
    <t>Initiative status · 24 initiatives</t>
  </si>
  <si>
    <t>15 on track · 6 at risk · 3 delayed</t>
  </si>
  <si>
    <t>EBITDA benefit</t>
  </si>
  <si>
    <t>Cash benefit</t>
  </si>
  <si>
    <t>Cost savings delivered</t>
  </si>
  <si>
    <t>O-05</t>
  </si>
  <si>
    <t>Material Risk, Compliance and EHS</t>
  </si>
  <si>
    <t>High-severity control failures</t>
  </si>
  <si>
    <t>TRIR · rolling 12 m</t>
  </si>
  <si>
    <t>0.42</t>
  </si>
  <si>
    <t>Critical safety incidents · YTD</t>
  </si>
  <si>
    <t>Nearest licence or permit expiry</t>
  </si>
  <si>
    <t>74 days · Entity C1</t>
  </si>
  <si>
    <t>Contracts expiring · 90 d</t>
  </si>
  <si>
    <t>4</t>
  </si>
  <si>
    <t>96%</t>
  </si>
  <si>
    <t>Control failures · YTD</t>
  </si>
  <si>
    <t>Policy exceptions</t>
  </si>
  <si>
    <t>3</t>
  </si>
  <si>
    <t>Unauthorized-vendor usage</t>
  </si>
  <si>
    <t>SoD exceptions</t>
  </si>
  <si>
    <t>Unauthorized-access events</t>
  </si>
  <si>
    <t>Data-sharing exceptions</t>
  </si>
  <si>
    <t>Manual overrides (operational)</t>
  </si>
  <si>
    <t>12</t>
  </si>
  <si>
    <t>Severity incidents · MTD</t>
  </si>
  <si>
    <t>Near misses · MTD</t>
  </si>
  <si>
    <t>14</t>
  </si>
  <si>
    <t>Environmental excursions · MTD</t>
  </si>
  <si>
    <t>1 (minor, closed)</t>
  </si>
  <si>
    <t>0 running</t>
  </si>
  <si>
    <t>3.1 m³/t</t>
  </si>
  <si>
    <t>0.82 tCO2e/t</t>
  </si>
  <si>
    <t>5.2 GJ/t</t>
  </si>
  <si>
    <t>O-06</t>
  </si>
  <si>
    <t>Decisions Required</t>
  </si>
  <si>
    <t>Alert resolution time</t>
  </si>
  <si>
    <t>2.4 d</t>
  </si>
  <si>
    <t>Closed escalations · 30 d</t>
  </si>
  <si>
    <t>11</t>
  </si>
  <si>
    <t>Repeat issues · 90 d</t>
  </si>
  <si>
    <t>2</t>
  </si>
  <si>
    <t>Root causes eliminated · YTD</t>
  </si>
  <si>
    <t>7 of 9</t>
  </si>
  <si>
    <t>O-09</t>
  </si>
  <si>
    <t>Operations and Assets</t>
  </si>
  <si>
    <t>Conversion cost per tonne</t>
  </si>
  <si>
    <t>412 ₹ /t</t>
  </si>
  <si>
    <t>86 %</t>
  </si>
  <si>
    <t>OEE · Group weighted</t>
  </si>
  <si>
    <t>78.4 %</t>
  </si>
  <si>
    <t>MTBF · critical assets</t>
  </si>
  <si>
    <t>205 h</t>
  </si>
  <si>
    <t>Supplier OTIF · Group</t>
  </si>
  <si>
    <t>91 %</t>
  </si>
  <si>
    <t>Production loss from downtime · P07</t>
  </si>
  <si>
    <t>11.2 kt</t>
  </si>
  <si>
    <t>Probability OEE &lt; 78% in P08</t>
  </si>
  <si>
    <t>41%</t>
  </si>
  <si>
    <t>RM-1 days of cover</t>
  </si>
  <si>
    <t>3.5 days of cover</t>
  </si>
  <si>
    <t>₹412 /t</t>
  </si>
  <si>
    <t>Variable cost per tonne</t>
  </si>
  <si>
    <t>₹214 /t</t>
  </si>
  <si>
    <t>Fuel cost per tonne</t>
  </si>
  <si>
    <t>9.8 ₹/t</t>
  </si>
  <si>
    <t>6.1 ₹/t</t>
  </si>
  <si>
    <t>MTTR · critical assets</t>
  </si>
  <si>
    <t>3.6 h</t>
  </si>
  <si>
    <t>Unplanned downtime · P07</t>
  </si>
  <si>
    <t>3.1 % of hours</t>
  </si>
  <si>
    <t>PM compliance</t>
  </si>
  <si>
    <t>93%</t>
  </si>
  <si>
    <t>Critical-material cover · RM-1</t>
  </si>
  <si>
    <t>Supplier OTIF</t>
  </si>
  <si>
    <t>38%</t>
  </si>
  <si>
    <t>S-03 · Owner view</t>
  </si>
  <si>
    <t>KPI Detail and Lineage · OPS-001 Production vs plan · Entity A1</t>
  </si>
  <si>
    <t>Production vs plan · Entity A1 MTD</t>
  </si>
  <si>
    <t>103.2 % of plan (flash)</t>
  </si>
  <si>
    <t>S-09</t>
  </si>
  <si>
    <t>Entity Contribution · projected EBITDA gap</t>
  </si>
  <si>
    <t>−9.2 ₹ m</t>
  </si>
  <si>
    <t>S-10</t>
  </si>
  <si>
    <t>Operations Impact · Plant 02 (Owner summary)</t>
  </si>
  <si>
    <t>Production vs plan · Plant 02 MTD</t>
  </si>
  <si>
    <t>100.2 % of plan</t>
  </si>
  <si>
    <t>Production at risk · Plant 02</t>
  </si>
  <si>
    <t>18.4 kt (FCST)</t>
  </si>
  <si>
    <t>Critical-material shortage risk · RM-1</t>
  </si>
  <si>
    <t>S-11</t>
  </si>
  <si>
    <t>Cash Exposure · how the supply issue reaches cash</t>
  </si>
  <si>
    <t>Daily collections · A1</t>
  </si>
  <si>
    <t>4.1 ₹ m</t>
  </si>
  <si>
    <t>2–4 days</t>
  </si>
  <si>
    <t>DSO · Entity A1</t>
  </si>
  <si>
    <t>52 days</t>
  </si>
  <si>
    <t>STATE GALLERY · O-01 + S-02</t>
  </si>
  <si>
    <t>Core Group</t>
  </si>
  <si>
    <t>G-01</t>
  </si>
  <si>
    <t>Portfolio Home</t>
  </si>
  <si>
    <t>Revenue YTD (to P06)</t>
  </si>
  <si>
    <t>Probability of plan miss</t>
  </si>
  <si>
    <t>Projected EBITDA gap</t>
  </si>
  <si>
    <t>EHS severity incidents · MTD</t>
  </si>
  <si>
    <t>ROCE</t>
  </si>
  <si>
    <t>G-01 · after T7</t>
  </si>
  <si>
    <t>Portfolio Home · updated after certification decision</t>
  </si>
  <si>
    <t>97.8 % of plan</t>
  </si>
  <si>
    <t>85 % of leadership KPIs</t>
  </si>
  <si>
    <t>G-02</t>
  </si>
  <si>
    <t>Entity Performance Comparison</t>
  </si>
  <si>
    <t>DSO · Group</t>
  </si>
  <si>
    <t>47 days</t>
  </si>
  <si>
    <t>G-03</t>
  </si>
  <si>
    <t>Financial and Value Performance</t>
  </si>
  <si>
    <t>—</t>
  </si>
  <si>
    <t>FCF conversion (FCF / EBITDA)</t>
  </si>
  <si>
    <t>27%</t>
  </si>
  <si>
    <t>98.1%</t>
  </si>
  <si>
    <t>Low</t>
  </si>
  <si>
    <t>G-04</t>
  </si>
  <si>
    <t>Cash and Working-Capital Drivers</t>
  </si>
  <si>
    <t>33 days</t>
  </si>
  <si>
    <t>38 days</t>
  </si>
  <si>
    <t>2 customers (A1)</t>
  </si>
  <si>
    <t>Cash position (Group)</t>
  </si>
  <si>
    <t>Covenant headroom (ND/EBITDA)</t>
  </si>
  <si>
    <t>Debt-maturity exposure 12 m</t>
  </si>
  <si>
    <t>FX exposure</t>
  </si>
  <si>
    <t>WC movement P07</t>
  </si>
  <si>
    <t>WC days</t>
  </si>
  <si>
    <t>G-05</t>
  </si>
  <si>
    <t>Operations Benchmarking</t>
  </si>
  <si>
    <t>78 %</t>
  </si>
  <si>
    <t>MTTR</t>
  </si>
  <si>
    <t>3 single-source (1 elevated: S-07)</t>
  </si>
  <si>
    <t>G-06</t>
  </si>
  <si>
    <t>Capex Portfolio</t>
  </si>
  <si>
    <t>Committed</t>
  </si>
  <si>
    <t>Physical progress</t>
  </si>
  <si>
    <t>Major Project 03</t>
  </si>
  <si>
    <t>+6 weeks M4 | Unowned (ALT-SYN-2047)</t>
  </si>
  <si>
    <t>Project 05</t>
  </si>
  <si>
    <t>+3 days | Projects (role) · A1</t>
  </si>
  <si>
    <t>G-07</t>
  </si>
  <si>
    <t>Consolidated Risk View</t>
  </si>
  <si>
    <t>Critical safety incidents YTD</t>
  </si>
  <si>
    <t>Assurance reviews</t>
  </si>
  <si>
    <t>6 of 8</t>
  </si>
  <si>
    <t>Severity incidents MTD</t>
  </si>
  <si>
    <t>Near misses MTD</t>
  </si>
  <si>
    <t>EHS escalation clocks</t>
  </si>
  <si>
    <t>Investigation completion</t>
  </si>
  <si>
    <t>100%</t>
  </si>
  <si>
    <t>Investigation completion rate</t>
  </si>
  <si>
    <t>83%</t>
  </si>
  <si>
    <t>Regulatory deadlines · 30 d</t>
  </si>
  <si>
    <t>Licence expirations · 12 m</t>
  </si>
  <si>
    <t>Obligations due · 30 d</t>
  </si>
  <si>
    <t>5</t>
  </si>
  <si>
    <t>G-08</t>
  </si>
  <si>
    <t>Certification Governance</t>
  </si>
  <si>
    <t>Variance vs Board number</t>
  </si>
  <si>
    <t>[BOARD FIGURE — PH]</t>
  </si>
  <si>
    <t>92%</t>
  </si>
  <si>
    <t>Variance against Board numbers (P06 pack vs certified)</t>
  </si>
  <si>
    <t>G-09</t>
  </si>
  <si>
    <t>Executive Escalation Center</t>
  </si>
  <si>
    <t>G-10</t>
  </si>
  <si>
    <t>Briefing and Inquiry Pack</t>
  </si>
  <si>
    <t>Covenant breach</t>
  </si>
  <si>
    <t>None forecast</t>
  </si>
  <si>
    <t>Production loss from downtime · P08</t>
  </si>
  <si>
    <t>S-03</t>
  </si>
  <si>
    <t>S-12</t>
  </si>
  <si>
    <t>No-Surprises Signal Board</t>
  </si>
  <si>
    <t>Days to breach · Plant 02</t>
  </si>
  <si>
    <t>64 %</t>
  </si>
  <si>
    <t>None in 90 d</t>
  </si>
  <si>
    <t>No</t>
  </si>
  <si>
    <t>Normal → Watch</t>
  </si>
  <si>
    <t>Not shown</t>
  </si>
  <si>
    <t>— → 18.4 kt</t>
  </si>
  <si>
    <t>Watch → Elevated</t>
  </si>
  <si>
    <t>Normal → Elevated</t>
  </si>
  <si>
    <t>— → 2–4 d</t>
  </si>
  <si>
    <t>E-01</t>
  </si>
  <si>
    <t>Entity Home · Entity A1</t>
  </si>
  <si>
    <t>EBITDA YTD · Entity A1</t>
  </si>
  <si>
    <t>96.2 ₹ m</t>
  </si>
  <si>
    <t>EBIT YTD · Entity A1</t>
  </si>
  <si>
    <t>68.7 ₹ m</t>
  </si>
  <si>
    <t>ROCE · Entity A1</t>
  </si>
  <si>
    <t>11.4 %</t>
  </si>
  <si>
    <t>96.8 %</t>
  </si>
  <si>
    <t>Days to breach</t>
  </si>
  <si>
    <t>18.4 kt</t>
  </si>
  <si>
    <t>Material cover RM-1</t>
  </si>
  <si>
    <t>Elevated</t>
  </si>
  <si>
    <t>S-07 · elevated</t>
  </si>
  <si>
    <t>Upstream obligation</t>
  </si>
  <si>
    <t>₹26 m at risk (FCST)</t>
  </si>
  <si>
    <t>Red alerts open</t>
  </si>
  <si>
    <t>₹68.7 m</t>
  </si>
  <si>
    <t>₹404.6 m</t>
  </si>
  <si>
    <t>₹19.8 m</t>
  </si>
  <si>
    <t>ROCE annualised</t>
  </si>
  <si>
    <t>11.4%</t>
  </si>
  <si>
    <t>84%</t>
  </si>
  <si>
    <t>Capex / transformation progress</t>
  </si>
  <si>
    <t>58%</t>
  </si>
  <si>
    <t>E-02</t>
  </si>
  <si>
    <t>Plant and Production Performance</t>
  </si>
  <si>
    <t>88 %</t>
  </si>
  <si>
    <t>82 %</t>
  </si>
  <si>
    <t>OEE · Plant 02</t>
  </si>
  <si>
    <t>74 %</t>
  </si>
  <si>
    <t>Recovery %</t>
  </si>
  <si>
    <t>91.3 %</t>
  </si>
  <si>
    <t>94.1 %</t>
  </si>
  <si>
    <t>Yield (leading)</t>
  </si>
  <si>
    <t>Stable</t>
  </si>
  <si>
    <t>Recovery (leading)</t>
  </si>
  <si>
    <t>₹425 /t</t>
  </si>
  <si>
    <t>₹221 /t</t>
  </si>
  <si>
    <t>₹38 /t</t>
  </si>
  <si>
    <t>3.0 m³/t</t>
  </si>
  <si>
    <t>0.84 tCO2e/t</t>
  </si>
  <si>
    <t>5.3 GJ/t</t>
  </si>
  <si>
    <t>E-03</t>
  </si>
  <si>
    <t>Asset Reliability and Recovery</t>
  </si>
  <si>
    <t>212 h</t>
  </si>
  <si>
    <t>3.4 h</t>
  </si>
  <si>
    <t>2.8 % of hours</t>
  </si>
  <si>
    <t>1.6 kt MTD</t>
  </si>
  <si>
    <t>Preventive-maintenance compliance [ASSUMED]</t>
  </si>
  <si>
    <t>93 %</t>
  </si>
  <si>
    <t>E-04</t>
  </si>
  <si>
    <t>Supply and Contractor Dependencies</t>
  </si>
  <si>
    <t>94 %</t>
  </si>
  <si>
    <t>Quality-rejection rate</t>
  </si>
  <si>
    <t>1.2 %</t>
  </si>
  <si>
    <t>Lead-time variance · S-07</t>
  </si>
  <si>
    <t>+6 days</t>
  </si>
  <si>
    <t>2 single-source suppliers</t>
  </si>
  <si>
    <t>3 days (Project 05)</t>
  </si>
  <si>
    <t>1 (S-07)</t>
  </si>
  <si>
    <t>95%</t>
  </si>
  <si>
    <t>E-05</t>
  </si>
  <si>
    <t>Production-to-Cash Lifecycle</t>
  </si>
  <si>
    <t>Cash-upstream obligation (own)</t>
  </si>
  <si>
    <t>2–4 days (FCST)</t>
  </si>
  <si>
    <t>₹41 m</t>
  </si>
  <si>
    <t>₹4.2 m</t>
  </si>
  <si>
    <t>55 d</t>
  </si>
  <si>
    <t>Liquidity runway (own facilities)</t>
  </si>
  <si>
    <t>7.5 months</t>
  </si>
  <si>
    <t>Covenant headroom (entity facility)</t>
  </si>
  <si>
    <t>1.2×</t>
  </si>
  <si>
    <t>Debt maturing 12 m</t>
  </si>
  <si>
    <t>₹18 m</t>
  </si>
  <si>
    <t>+2 d</t>
  </si>
  <si>
    <t>2 customers</t>
  </si>
  <si>
    <t>77%</t>
  </si>
  <si>
    <t>41 d</t>
  </si>
  <si>
    <t>₹96 m</t>
  </si>
  <si>
    <t>+₹9 m (cash out)</t>
  </si>
  <si>
    <t>E-06</t>
  </si>
  <si>
    <t>Entity Capex Execution</t>
  </si>
  <si>
    <t>Approved budget · Entity A1</t>
  </si>
  <si>
    <t>112 ₹ m</t>
  </si>
  <si>
    <t>118 ₹ m</t>
  </si>
  <si>
    <t>74 ₹ m</t>
  </si>
  <si>
    <t>58 %</t>
  </si>
  <si>
    <t>Benefits realisation · Entity A1</t>
  </si>
  <si>
    <t>71 % of plan</t>
  </si>
  <si>
    <t>Initiative status · Entity A1</t>
  </si>
  <si>
    <t>5 / 8 on track</t>
  </si>
  <si>
    <t>2 ₹ m</t>
  </si>
  <si>
    <t>₹6.1 m</t>
  </si>
  <si>
    <t>₹2.4 m</t>
  </si>
  <si>
    <t>Cost savings YTD</t>
  </si>
  <si>
    <t>₹3.9 m</t>
  </si>
  <si>
    <t>E-07</t>
  </si>
  <si>
    <t>Regulatory and EHS Workbench</t>
  </si>
  <si>
    <t>Regulatory obligations due · 30 d</t>
  </si>
  <si>
    <t>Nearest permit expiry</t>
  </si>
  <si>
    <t>112 days</t>
  </si>
  <si>
    <t>Disclosure clock · INC-SYN-0142</t>
  </si>
  <si>
    <t>38 h remaining</t>
  </si>
  <si>
    <t>0.38</t>
  </si>
  <si>
    <t>100 %</t>
  </si>
  <si>
    <t>Regulatory deadlines</t>
  </si>
  <si>
    <t>E-08</t>
  </si>
  <si>
    <t>KPI Certification Workbench</t>
  </si>
  <si>
    <t>KPI override count</t>
  </si>
  <si>
    <t>Evidence completeness</t>
  </si>
  <si>
    <t>99.2 %</t>
  </si>
  <si>
    <t>1 (L2 meter mapping)</t>
  </si>
  <si>
    <t>29 d</t>
  </si>
  <si>
    <t>Certified KPI % · Entity A1</t>
  </si>
  <si>
    <t>82%</t>
  </si>
  <si>
    <t>94.8%</t>
  </si>
  <si>
    <t>1.9%</t>
  </si>
  <si>
    <t>0.2%</t>
  </si>
  <si>
    <t>E-09</t>
  </si>
  <si>
    <t>My Alerts, Cases and Actions</t>
  </si>
  <si>
    <t>2.9 d</t>
  </si>
  <si>
    <t>3 of 5</t>
  </si>
  <si>
    <t>E-11</t>
  </si>
  <si>
    <t>Entity Financial Health</t>
  </si>
  <si>
    <t>404.6 ₹ m</t>
  </si>
  <si>
    <t>19.8 ₹ m</t>
  </si>
  <si>
    <t>ROCE · annualised</t>
  </si>
  <si>
    <t>Projected FCF gap · FY</t>
  </si>
  <si>
    <t>−₹9 m</t>
  </si>
  <si>
    <t>ROCE at P12</t>
  </si>
  <si>
    <t>11.0%</t>
  </si>
  <si>
    <t>Probability of EBITDA plan miss · FY</t>
  </si>
  <si>
    <t>₹61 m</t>
  </si>
  <si>
    <t>₹0.41 m</t>
  </si>
  <si>
    <t>236 t</t>
  </si>
  <si>
    <t>S-03 · Entity view</t>
  </si>
  <si>
    <t>S-12 · Entity view</t>
  </si>
  <si>
    <t>No-Surprises Signal Board · Entity A1</t>
  </si>
  <si>
    <t>Probability of plan miss · A1 P07</t>
  </si>
  <si>
    <t>71 %</t>
  </si>
  <si>
    <t>Projected EBITDA gap · A1</t>
  </si>
  <si>
    <t>−7.6 ₹ m</t>
  </si>
  <si>
    <t>Projected liquidity gap · A1</t>
  </si>
  <si>
    <t>Forecast covenant breach · A1 facility</t>
  </si>
  <si>
    <t>No breach · headroom 1.2×</t>
  </si>
  <si>
    <t>Formula with input names</t>
  </si>
  <si>
    <t>Inputs used</t>
  </si>
  <si>
    <t>Where the inputs come from</t>
  </si>
  <si>
    <t>Calculated at</t>
  </si>
  <si>
    <t>Bottom-up path</t>
  </si>
  <si>
    <t>Plant 01, Sep 2026</t>
  </si>
  <si>
    <t>Plant 02, Sep 2026</t>
  </si>
  <si>
    <t>Plant 03, Sep 2026</t>
  </si>
  <si>
    <t>Plant 04, Sep 2026</t>
  </si>
  <si>
    <t>Plant 05, Sep 2026</t>
  </si>
  <si>
    <t>Plant 06, Sep 2026</t>
  </si>
  <si>
    <t>Entity A1, Sep 2026</t>
  </si>
  <si>
    <t>Entity A2, Sep 2026</t>
  </si>
  <si>
    <t>Group, Sep 2026</t>
  </si>
  <si>
    <t>Shown on the mockups (value · lens · screen)</t>
  </si>
  <si>
    <t>Screen appearances: same / different</t>
  </si>
  <si>
    <t>IFERROR(100*good_output_t/planned_production_t,0)</t>
  </si>
  <si>
    <t>planned_production_t, good_output_t</t>
  </si>
  <si>
    <t>Original plant data (plant_base.csv, synthetic)</t>
  </si>
  <si>
    <t>Plant, Entity, Group</t>
  </si>
  <si>
    <t>Plant inputs → each plant's KPI; Plant inputs summed to each entity → entity KPI; entities summed to Group → Group KPI (recalculated from totals, never averaged)</t>
  </si>
  <si>
    <t>103.2 % of plan (flash) · Entity E-01, Entity E-02, Entity E-05, Core Group S-03, Entity S-03, Owner S-03; 98.1 % of plan · Core Group G-01, Core Group G-02, Core Group G-05, Owner O-01, Owner O-09, Owner STATE GALLERY; 97.8 % of plan · Core Group G-01; 98.1% · Core Group G-03; 100.2 % of plan · Owner S-10</t>
  </si>
  <si>
    <t>0 same / 16 different</t>
  </si>
  <si>
    <t>IFERROR(100*good_output_t/installed_capacity_t,0)</t>
  </si>
  <si>
    <t>installed_capacity_t, good_output_t</t>
  </si>
  <si>
    <t>88 % · Entity E-02; 86 % · Core Group G-05; 86% · Owner O-01, Owner STATE GALLERY</t>
  </si>
  <si>
    <t>0 same / 5 different</t>
  </si>
  <si>
    <t>IFERROR(100*run_hours/calendar_hours,0)</t>
  </si>
  <si>
    <t>calendar_hours, run_hours</t>
  </si>
  <si>
    <t>82 % · Entity E-02</t>
  </si>
  <si>
    <t>0 same / 1 different</t>
  </si>
  <si>
    <t>IFERROR(100*good_output_t/ideal_output_t,0)</t>
  </si>
  <si>
    <t>ideal_output_t, good_output_t</t>
  </si>
  <si>
    <t>74 % · Entity E-02; 78 % · Core Group G-05</t>
  </si>
  <si>
    <t>0 same / 2 different</t>
  </si>
  <si>
    <t>IFERROR(100*recovered_contained_t/feed_contained_t,0)</t>
  </si>
  <si>
    <t>feed_contained_t, recovered_contained_t</t>
  </si>
  <si>
    <t>91.3 % · Entity E-02</t>
  </si>
  <si>
    <t>IFERROR(100*good_output_t/feed_input_t,0)</t>
  </si>
  <si>
    <t>good_output_t, feed_input_t</t>
  </si>
  <si>
    <t>94.1 % · Entity E-02</t>
  </si>
  <si>
    <t>IFERROR(run_hours/failures,0)</t>
  </si>
  <si>
    <t>run_hours, failures</t>
  </si>
  <si>
    <t>212 h · Entity E-03; 205 h · Core Group G-05, Owner O-09</t>
  </si>
  <si>
    <t>0 same / 4 different</t>
  </si>
  <si>
    <t>IFERROR(repair_hours/failures,0)</t>
  </si>
  <si>
    <t>failures, repair_hours</t>
  </si>
  <si>
    <t>3.4 h · Entity E-03; 3.6 h · Core Group G-05, Owner O-09</t>
  </si>
  <si>
    <t>0 same / 3 different</t>
  </si>
  <si>
    <t>2.8 % of hours · Entity E-03; 3.1 % of hours · Core Group G-05, Owner O-09</t>
  </si>
  <si>
    <t>1.6 kt MTD · Entity E-03; 93% · Core Group G-05</t>
  </si>
  <si>
    <t>IFERROR(100*pm_completed/pm_scheduled,0)</t>
  </si>
  <si>
    <t>pm_scheduled, pm_completed</t>
  </si>
  <si>
    <t>93 % · Entity E-03; 93% · Owner O-09</t>
  </si>
  <si>
    <t>1 same / 1 different</t>
  </si>
  <si>
    <t>IFERROR(1000*(variable_cost_k+fixed_cost_k)/good_output_t,0)</t>
  </si>
  <si>
    <t>good_output_t, variable_cost_k, fixed_cost_k</t>
  </si>
  <si>
    <t>₹425 /t · Entity E-02, Entity E-11; ₹412 /t · Core Group G-03, Owner O-09; 412 ₹ /t · Core Group G-05, Owner O-09</t>
  </si>
  <si>
    <t>0 same / 7 different</t>
  </si>
  <si>
    <t>₹221 /t · Entity E-02, Entity E-11; ₹214 /t · Core Group G-03, Owner O-09</t>
  </si>
  <si>
    <t>₹38 /t · Entity E-02; 9.8 ₹/t · Owner O-09</t>
  </si>
  <si>
    <t>3.0 m³/t · Entity E-02, Entity E-07; 3.1 m³/t · Core Group G-05, Core Group G-07, Owner O-05, Owner O-09</t>
  </si>
  <si>
    <t>0 same / 6 different</t>
  </si>
  <si>
    <t>0.84 tCO2e/t · Entity E-02, Entity E-07; 0.82 tCO2e/t · Core Group G-05, Core Group G-07, Owner O-05, Owner O-09</t>
  </si>
  <si>
    <t>IFERROR(energy_gj/good_output_t,0)</t>
  </si>
  <si>
    <t>good_output_t, energy_gj</t>
  </si>
  <si>
    <t>5.3 GJ/t · Entity E-02, Entity E-07; 5.2 GJ/t · Core Group G-05, Core Group G-07, Owner O-05, Owner O-09</t>
  </si>
  <si>
    <t>18.4 kt · Entity E-01, Entity E-02; 18.4 kt (FCST) · Entity E-05, Owner S-10; (no value) · Core Group S-12</t>
  </si>
  <si>
    <t>0 same / 4 different / 1 other</t>
  </si>
  <si>
    <t>0 · Entity E-03</t>
  </si>
  <si>
    <t>3.5 days of cover · Entity E-01, Owner O-09, Owner S-10; Elevated · Entity E-01, Entity E-04; (no value) · Core Group S-12</t>
  </si>
  <si>
    <t>0 same / 6 different / 1 other</t>
  </si>
  <si>
    <t>IFERROR(100*dispatches_delayed/dispatches_total,0)</t>
  </si>
  <si>
    <t>dispatches_total, dispatches_delayed</t>
  </si>
  <si>
    <t>2–4 days (FCST) · Entity E-05; 2–4 days · Owner S-11; (no value) · Core Group S-12</t>
  </si>
  <si>
    <t>0 same / 2 different / 1 other</t>
  </si>
  <si>
    <t>0 · Entity E-07</t>
  </si>
  <si>
    <t>1 same / 0 different</t>
  </si>
  <si>
    <t>IFERROR(200000*recordable_injuries/hours_worked,0)</t>
  </si>
  <si>
    <t>hours_worked, recordable_injuries</t>
  </si>
  <si>
    <t>0.38 · Entity E-07; 0.42 · Core Group G-07, Owner O-05</t>
  </si>
  <si>
    <t>0 · Entity E-07, Core Group G-01, Core Group G-07, Owner O-05</t>
  </si>
  <si>
    <t>3 · Entity E-07; 14 · Core Group G-07, Owner O-05</t>
  </si>
  <si>
    <t>0 · Entity E-07, Core Group G-07, Owner O-05</t>
  </si>
  <si>
    <t>3 same / 0 different</t>
  </si>
  <si>
    <t>0 · Entity E-07; 1 (minor, closed) · Core Group G-07, Owner O-05</t>
  </si>
  <si>
    <t>2 · Entity E-07; 9 · Core Group G-07</t>
  </si>
  <si>
    <t>IF(investigations_due=0,100,100*investigations_completed/investigations_due)</t>
  </si>
  <si>
    <t>investigations_due, investigations_completed</t>
  </si>
  <si>
    <t>100 % · Entity E-07; 100% · Core Group G-07</t>
  </si>
  <si>
    <t>112 days · Entity E-07; 74 days · Entity C1 · Owner O-05</t>
  </si>
  <si>
    <t>84% · Entity E-01; 86% · Core Group G-01, Owner O-01; 86 % · Owner O-09</t>
  </si>
  <si>
    <t>78.4 % · Owner O-09</t>
  </si>
  <si>
    <t>IF(planned_sales_t=0,0,100*sales_t/planned_sales_t)</t>
  </si>
  <si>
    <t>sales_t, planned_sales_t</t>
  </si>
  <si>
    <t>Synthetic inputs added for this model</t>
  </si>
  <si>
    <t>96.8 % · Entity E-01; 97.6% · Core Group G-01, Core Group G-03, Owner O-01, Owner STATE GALLERY</t>
  </si>
  <si>
    <t>97.6% · Owner O-01</t>
  </si>
  <si>
    <t>IF(good_output_t=0,0,1000*power_cost_k/good_output_t)</t>
  </si>
  <si>
    <t>good_output_t, power_cost_k</t>
  </si>
  <si>
    <t>Original plant data + synthetic inputs added for this model</t>
  </si>
  <si>
    <t>6.1 ₹/t · Owner O-09</t>
  </si>
  <si>
    <t>SUM(ebitda_k@ytd)/1000</t>
  </si>
  <si>
    <t>variable_cost_k, fixed_cost_k, revenue_k, overhead_k</t>
  </si>
  <si>
    <t>Entity, Group</t>
  </si>
  <si>
    <t>Plant inputs summed to each entity + entity inputs → entity KPI; entities summed to Group → Group KPI (recalculated from totals, never averaged)</t>
  </si>
  <si>
    <t>96.2 ₹ m · Entity E-01, Entity E-11; 361.3 ₹ m · Core Group G-01, Core Group G-02, Core Group G-03, Owner O-01, Owner STATE GALLERY</t>
  </si>
  <si>
    <t>0 same / 9 different</t>
  </si>
  <si>
    <t>SUM(ebit_k@ytd)/1000</t>
  </si>
  <si>
    <t>variable_cost_k, fixed_cost_k, revenue_k, depreciation_k, overhead_k</t>
  </si>
  <si>
    <t>68.7 ₹ m · Entity E-01, Entity E-11; ₹68.7 m · Entity E-01; 238.4 ₹ m · Core Group G-01, Core Group G-03, Owner O-01, Owner STATE GALLERY</t>
  </si>
  <si>
    <t>0 same / 10 different</t>
  </si>
  <si>
    <t>SUM(revenue_k@ytd)/1000</t>
  </si>
  <si>
    <t>₹404.6 m · Entity E-01; 404.6 ₹ m · Entity E-11; 2,410 ₹ m · Core Group G-01, Core Group G-02, Core Group G-03, Owner O-01, Owner STATE GALLERY</t>
  </si>
  <si>
    <t>0 same / 11 different</t>
  </si>
  <si>
    <t>SUM(fcf_k@ytd)/1000</t>
  </si>
  <si>
    <t>variable_cost_k, fixed_cost_k, revenue_k, overhead_k, tax_paid_k, receivables_k, payables_k, inventory_k, capex_spend_k</t>
  </si>
  <si>
    <t>₹19.8 m · Entity E-01; 19.8 ₹ m · Entity E-11; 96.4 ₹ m · Core Group G-01, Core Group G-03, Owner O-01, Owner O-03, Owner STATE GALLERY</t>
  </si>
  <si>
    <t>IF(capital_employed_k=0,0,100*SUM(ebit_k@ytd)*12/ytd_months/capital_employed_k)</t>
  </si>
  <si>
    <t>variable_cost_k, fixed_cost_k, revenue_k, depreciation_k, overhead_k, capital_employed_k</t>
  </si>
  <si>
    <t>11.4 % · Entity E-01, Entity E-11; 11.4% · Entity E-01; 11.8% · Core Group G-01, Owner O-01, Owner STATE GALLERY; 11.8 % · Core Group G-03, Owner O-01</t>
  </si>
  <si>
    <t>net_debt_k/1000</t>
  </si>
  <si>
    <t>gross_debt_k, cash_k</t>
  </si>
  <si>
    <t>Entity inputs → entity KPI; entities summed to Group → Group KPI (recalculated from totals, never averaged)</t>
  </si>
  <si>
    <t>1,140 ₹ m · Core Group G-01, Core Group G-03, Owner O-01, Owner O-03, Owner STATE GALLERY</t>
  </si>
  <si>
    <t>(SUM(ebit_k@ytd)*(1-TaxRate)-capital_employed_k*WACC*ytd_months/12)/1000</t>
  </si>
  <si>
    <t>— · Core Group G-03; [PLACEHOLDER] · Owner O-01, Owner STATE GALLERY</t>
  </si>
  <si>
    <t>IF(SUM(ebitda_k@ytd)=0,0,100*SUM(fcf_k@ytd)/SUM(ebitda_k@ytd))</t>
  </si>
  <si>
    <t>27% · Core Group G-03</t>
  </si>
  <si>
    <t>cash_k/1000</t>
  </si>
  <si>
    <t>₹41 m · Entity E-05; 384 ₹ m · Core Group G-04, Owner O-03</t>
  </si>
  <si>
    <t>SUM(cash_released_k@ytd)/1000</t>
  </si>
  <si>
    <t>₹4.2 m · Entity E-05; ₹21 m · Core Group G-04, Owner O-03</t>
  </si>
  <si>
    <t>1 same / 2 different</t>
  </si>
  <si>
    <t>collections_k/days/1000</t>
  </si>
  <si>
    <t>4.1 ₹ m · Entity E-01, Entity E-05, Owner S-11; ₹18.6 m · Core Group G-04, Owner O-03</t>
  </si>
  <si>
    <t>dso_d+dio_d-dpo_d</t>
  </si>
  <si>
    <t>variable_cost_k, revenue_k, receivables_k, payables_k, inventory_k</t>
  </si>
  <si>
    <t>55 d · Entity E-05; 33 days · Core Group G-04; 33 d · Owner O-03</t>
  </si>
  <si>
    <t>2 same / 1 different</t>
  </si>
  <si>
    <t>(upstream_due_k-upstream_covered_k)/1000</t>
  </si>
  <si>
    <t>upstream_due_k, upstream_covered_k</t>
  </si>
  <si>
    <t>₹26 m at risk (FCST) · Entity E-01; 26 ₹ m · Entity E-05, Core Group G-04, Owner O-03, Owner S-11</t>
  </si>
  <si>
    <t>revenue_k, receivables_k</t>
  </si>
  <si>
    <t>52 d · Entity E-01, Entity E-05; 52 days · Entity E-05, Owner S-11; 47 days · Core Group G-02, Core Group G-04; 47 d · Owner O-03</t>
  </si>
  <si>
    <t>7 same / 0 different</t>
  </si>
  <si>
    <t>variable_cost_k, payables_k</t>
  </si>
  <si>
    <t>38 d · Entity E-05; 52 days · Core Group G-04; 52 d · Owner O-03</t>
  </si>
  <si>
    <t>variable_cost_k, inventory_k</t>
  </si>
  <si>
    <t>41 d · Entity E-05; 38 days · Core Group G-04; 38 d · Owner O-03</t>
  </si>
  <si>
    <t>nwc_k/1000</t>
  </si>
  <si>
    <t>receivables_k, payables_k, inventory_k</t>
  </si>
  <si>
    <t>₹96 m · Entity E-05; 512 ₹ m · Core Group G-04, Owner O-03</t>
  </si>
  <si>
    <t>nwc_change_k/1000</t>
  </si>
  <si>
    <t>+₹9 m (cash out) · Entity E-05; +₹14 m · Core Group G-04, Owner O-03</t>
  </si>
  <si>
    <t>IF(revenue_k=0,0,nwc_k/revenue_k*days)</t>
  </si>
  <si>
    <t>revenue_k, receivables_k, payables_k, inventory_k</t>
  </si>
  <si>
    <t>55 d · Entity E-05; 33 · Core Group G-04, Owner O-03</t>
  </si>
  <si>
    <t>IF((fixed_cost_k+overhead_k+debt_service_k)=0,0,(cash_k+undrawn_facilities_k)/(fixed_cost_k+overhead_k+debt_service_k))</t>
  </si>
  <si>
    <t>fixed_cost_k, overhead_k, cash_k, undrawn_facilities_k, debt_service_k</t>
  </si>
  <si>
    <t>7.5 months · Entity E-05; 14.2 months · Core Group G-04, Owner O-03</t>
  </si>
  <si>
    <t>IF(ebitda_annualised_k=0,0,100*(CovenantMax-net_debt_k/ebitda_annualised_k)/CovenantMax)</t>
  </si>
  <si>
    <t>variable_cost_k, fixed_cost_k, revenue_k, overhead_k, gross_debt_k, cash_k</t>
  </si>
  <si>
    <t>1.2× · Entity E-05; 22 % [TERMS — PH] · Core Group G-04, Owner O-03</t>
  </si>
  <si>
    <t>debt_maturing_12m_k/1000</t>
  </si>
  <si>
    <t>₹18 m · Entity E-05; ₹120 m · Core Group G-04, Owner O-03</t>
  </si>
  <si>
    <t>floating_rate_debt_k/1000</t>
  </si>
  <si>
    <t>₹310 m · Core Group G-04, Owner O-03</t>
  </si>
  <si>
    <t>(fx_exposure_k-fx_hedged_k)/1000</t>
  </si>
  <si>
    <t>fx_exposure_k, fx_hedged_k</t>
  </si>
  <si>
    <t>₹11 m · Entity E-05; ₹64 m · Core Group G-04, Owner O-03</t>
  </si>
  <si>
    <t>IF(hedged_item_value_change_k=0,0,100*hedge_value_change_k/hedged_item_value_change_k)</t>
  </si>
  <si>
    <t>hedge_value_change_k, hedged_item_value_change_k</t>
  </si>
  <si>
    <t>93% · Entity E-05; 91% · Core Group G-04, Owner O-03</t>
  </si>
  <si>
    <t>IF((fx_exposure_k-fx_hedged_k)=0,0,100*(usd_exposure_k-usd_hedged_k)/(fx_exposure_k-fx_hedged_k))</t>
  </si>
  <si>
    <t>fx_exposure_k, fx_hedged_k, usd_exposure_k, usd_hedged_k</t>
  </si>
  <si>
    <t>72% of unhedged · Owner O-03</t>
  </si>
  <si>
    <t>IF(fx_flows_6m_k=0,0,100*fx_hedged_6m_k/fx_flows_6m_k)</t>
  </si>
  <si>
    <t>fx_flows_6m_k, fx_hedged_6m_k</t>
  </si>
  <si>
    <t>77% · Entity E-05; 68% · Core Group G-04, Owner O-03</t>
  </si>
  <si>
    <t>0.05*(usd_exposure_k-usd_hedged_k)/1000</t>
  </si>
  <si>
    <t>usd_exposure_k, usd_hedged_k</t>
  </si>
  <si>
    <t>₹3.2 m EBITDA · Owner O-03</t>
  </si>
  <si>
    <t>capex_budget_k/1000</t>
  </si>
  <si>
    <t>112 ₹ m · Entity E-06; 850 ₹ m · Core Group G-06, Owner O-04</t>
  </si>
  <si>
    <t>capex_committed_k/1000</t>
  </si>
  <si>
    <t>118 ₹ m · Entity E-06; 610 ₹ m · 72% · Core Group G-06, Owner O-04</t>
  </si>
  <si>
    <t>SUM(capex_spend_k@ytd)/1000</t>
  </si>
  <si>
    <t>74 ₹ m · Entity E-06; 402 ₹ m · 47% · Core Group G-06, Owner O-04</t>
  </si>
  <si>
    <t>IF(capex_budget_k=0,0,100*capex_earned_value_k/capex_budget_k)</t>
  </si>
  <si>
    <t>capex_budget_k, capex_earned_value_k</t>
  </si>
  <si>
    <t>58 % · Entity E-06; 61 % weighted · Core Group G-01, Core Group G-06, Owner O-01, Owner O-04, Owner STATE GALLERY</t>
  </si>
  <si>
    <t>7 same / 1 different</t>
  </si>
  <si>
    <t>capex_at_risk_k/1000</t>
  </si>
  <si>
    <t>2 ₹ m · Entity E-06; ₹34 m · Core Group G-06, Owner O-04; 34 ₹ m · Owner O-04</t>
  </si>
  <si>
    <t>projects_on_track&amp;" on track · "&amp;projects_at_risk&amp;" at risk · "&amp;projects_off_track&amp;" off track"</t>
  </si>
  <si>
    <t>projects_on_track, projects_at_risk, projects_off_track</t>
  </si>
  <si>
    <t>9 on track · 2 at risk · 0 off track · Core Group G-06, Owner O-04</t>
  </si>
  <si>
    <t>2 same / 0 different</t>
  </si>
  <si>
    <t>IF(SUM(benefits_planned_k@ytd)=0,0,100*SUM(benefits_delivered_k@ytd)/SUM(benefits_planned_k@ytd))</t>
  </si>
  <si>
    <t>benefits_planned_k, benefits_delivered_k</t>
  </si>
  <si>
    <t>71 % of plan · Entity E-06; 48 % of plan · Core Group G-06, Owner O-04</t>
  </si>
  <si>
    <t>0 · Entity E-06; 1 · Core Group G-06, Owner O-04</t>
  </si>
  <si>
    <t>4 same / 0 different</t>
  </si>
  <si>
    <t>IF(milestones_total=0,0,100*milestones_done/milestones_total)</t>
  </si>
  <si>
    <t>milestones_total, milestones_done</t>
  </si>
  <si>
    <t>58% · Entity E-01; 54% · Core Group G-01, Owner O-01, Owner O-04</t>
  </si>
  <si>
    <t>4 same / 1 different</t>
  </si>
  <si>
    <t>54% · Core Group G-06, Owner O-01, Owner O-04, Owner STATE GALLERY</t>
  </si>
  <si>
    <t>5 same / 0 different</t>
  </si>
  <si>
    <t>initiatives_on_track&amp;" on track · "&amp;initiatives_at_risk&amp;" at risk · "&amp;initiatives_delayed&amp;" delayed"</t>
  </si>
  <si>
    <t>initiatives_on_track, initiatives_at_risk, initiatives_delayed</t>
  </si>
  <si>
    <t>5 / 8 on track · Entity E-06; 15 on track · 6 at risk · 3 delayed · Owner O-04</t>
  </si>
  <si>
    <t>IF(contractor_milestones_due=0,0,contractor_days_late/contractor_milestones_due)</t>
  </si>
  <si>
    <t>contractor_milestones_due, contractor_days_late</t>
  </si>
  <si>
    <t>3 days (Project 05) · Entity E-04, Entity E-06; +6 weeks M4 | Unowned (ALT-SYN-2047) · Core Group G-06; +3 days | Projects (role) · A1 · Core Group G-06</t>
  </si>
  <si>
    <t>2 same / 2 different</t>
  </si>
  <si>
    <t>SUM(ebitda_benefit_k@ytd)/1000</t>
  </si>
  <si>
    <t>₹6.1 m · Entity E-06; ₹14 m · Core Group G-06, Owner O-04</t>
  </si>
  <si>
    <t>3 same / 1 different</t>
  </si>
  <si>
    <t>SUM(cash_benefit_k@ytd)/1000</t>
  </si>
  <si>
    <t>₹2.4 m · Entity E-06; ₹9 m · Core Group G-06, Owner O-04</t>
  </si>
  <si>
    <t>SUM(cost_savings_k@ytd)/1000</t>
  </si>
  <si>
    <t>₹3.9 m · Entity E-06; ₹11 m · Core Group G-06, Owner O-04</t>
  </si>
  <si>
    <t>IF(po_lines_due=0,0,100*po_lines_on_time/po_lines_due)</t>
  </si>
  <si>
    <t>po_lines_due, po_lines_on_time</t>
  </si>
  <si>
    <t>88 % · Entity E-04; 91% · Core Group G-05, Owner O-09; 91 % · Owner O-09</t>
  </si>
  <si>
    <t>IF(qty_ordered_t=0,0,100*qty_received_t/qty_ordered_t)</t>
  </si>
  <si>
    <t>qty_ordered_t, qty_received_t</t>
  </si>
  <si>
    <t>94 % · Entity E-04</t>
  </si>
  <si>
    <t>IF(qty_received_t=0,0,100*qty_rejected_t/qty_received_t)</t>
  </si>
  <si>
    <t>qty_received_t, qty_rejected_t</t>
  </si>
  <si>
    <t>1.2 % · Entity E-04</t>
  </si>
  <si>
    <t>IF(lead_time_planned_days=0,0,100*(lead_time_actual_days-lead_time_planned_days)/lead_time_planned_days)</t>
  </si>
  <si>
    <t>lead_time_planned_days, lead_time_actual_days</t>
  </si>
  <si>
    <t>+6 days · Entity E-04; 38% · Core Group G-05</t>
  </si>
  <si>
    <t>2 single-source suppliers · Entity E-04; 3 single-source (1 elevated: S-07) · Core Group G-05</t>
  </si>
  <si>
    <t>IF(supplier_spend_k=0,0,100*single_source_spend_k/supplier_spend_k)</t>
  </si>
  <si>
    <t>supplier_spend_k, single_source_spend_k</t>
  </si>
  <si>
    <t>38% · Owner O-09</t>
  </si>
  <si>
    <t>SUM(supplier_ehs_incidents@ytd)</t>
  </si>
  <si>
    <t>0 · Owner O-09</t>
  </si>
  <si>
    <t>1 (S-07) · Entity E-04, Entity E-07; 4 · Core Group G-07, Owner O-05</t>
  </si>
  <si>
    <t>3 same / 2 different</t>
  </si>
  <si>
    <t>IF(contracts_total=0,0,100*contracts_compliant/contracts_total)</t>
  </si>
  <si>
    <t>contracts_total, contracts_compliant</t>
  </si>
  <si>
    <t>95% · Entity E-04, Entity E-07; 96% · Core Group G-07, Owner O-05</t>
  </si>
  <si>
    <t>0 · Entity E-04, Entity E-07; 1 · Core Group G-05, Core Group G-07, Owner O-05</t>
  </si>
  <si>
    <t>2 same / 3 different</t>
  </si>
  <si>
    <t>1 · Entity E-07; 3 · Core Group G-07</t>
  </si>
  <si>
    <t>3 · Entity E-07, Core Group G-07</t>
  </si>
  <si>
    <t>1 · Entity E-07; 2 · Core Group G-07</t>
  </si>
  <si>
    <t>3 · Entity E-07; 5 · Core Group G-07</t>
  </si>
  <si>
    <t>0 · Entity E-07; 2 · Core Group G-07</t>
  </si>
  <si>
    <t>0 · Entity E-07, Core Group G-07</t>
  </si>
  <si>
    <t>IF(disclosure_events_open&gt;0,"Triggered","Not triggered")</t>
  </si>
  <si>
    <t>Not triggered · Owner O-05</t>
  </si>
  <si>
    <t>SUM(reg_breaches@ytd)</t>
  </si>
  <si>
    <t>0 · Entity E-07, Core Group G-01, Owner O-05</t>
  </si>
  <si>
    <t>0 · Owner O-01, Owner STATE GALLERY</t>
  </si>
  <si>
    <t>0 · Entity E-01, Owner O-01</t>
  </si>
  <si>
    <t>0 running · Entity E-07, Core Group G-07, Owner O-05</t>
  </si>
  <si>
    <t>IF(SUM(investigations_due@ytd)=0,100,100*SUM(investigations_completed@ytd)/SUM(investigations_due@ytd))</t>
  </si>
  <si>
    <t>83% · Core Group G-07</t>
  </si>
  <si>
    <t>SUM(control_failures@ytd)</t>
  </si>
  <si>
    <t>1 · Entity E-07; 4 · Core Group G-07, Owner O-05</t>
  </si>
  <si>
    <t>SUM(control_failures_high@ytd)</t>
  </si>
  <si>
    <t>0 · Core Group G-07, Owner O-05</t>
  </si>
  <si>
    <t>SUM(policy_exceptions@ytd)</t>
  </si>
  <si>
    <t>1 · Entity E-07; 3 · Core Group G-07, Owner O-05</t>
  </si>
  <si>
    <t>SUM(unauthorized_vendor_uses@ytd)</t>
  </si>
  <si>
    <t>0 · Entity E-04, Entity E-07, Core Group G-07, Owner O-05</t>
  </si>
  <si>
    <t>SUM(sod_exceptions@ytd)</t>
  </si>
  <si>
    <t>0 · Entity E-07; 1 · Core Group G-07, Owner O-05</t>
  </si>
  <si>
    <t>SUM(unauthorized_access_events@ytd)</t>
  </si>
  <si>
    <t>SUM(data_sharing_exceptions@ytd)</t>
  </si>
  <si>
    <t>SUM(manual_overrides@ytd)</t>
  </si>
  <si>
    <t>5 · Entity E-07; 12 · Core Group G-07, Owner O-05</t>
  </si>
  <si>
    <t>SUM(assurance_reviews_done@ytd)&amp;" of "&amp;SUM(assurance_reviews_planned@ytd)</t>
  </si>
  <si>
    <t>assurance_reviews_planned, assurance_reviews_done</t>
  </si>
  <si>
    <t>6 of 8 · Core Group G-07</t>
  </si>
  <si>
    <t>1 · Entity E-08; 2 &gt; [PH] d · Core Group G-08, Owner G-08</t>
  </si>
  <si>
    <t>0 · Entity E-08, Core Group G-08, Owner G-08</t>
  </si>
  <si>
    <t>1 (L2 meter mapping) · Entity E-08; 1 · Core Group G-08, Owner G-08</t>
  </si>
  <si>
    <t>2 · Entity E-07, Entity E-08; 7 · Core Group G-07, Core Group G-08, Owner G-08, Owner O-05</t>
  </si>
  <si>
    <t>6 same / 0 different</t>
  </si>
  <si>
    <t>0 · Entity E-08; 1 · Core Group G-08, Owner G-08</t>
  </si>
  <si>
    <t>1 · Core Group G-08, Owner G-08</t>
  </si>
  <si>
    <t>1 · Entity E-08, Core Group G-08</t>
  </si>
  <si>
    <t>0 · Entity E-08; 2 · Core Group G-08</t>
  </si>
  <si>
    <t>IF(evidence_required=0,0,100*evidence_complete/evidence_required)</t>
  </si>
  <si>
    <t>evidence_required, evidence_complete</t>
  </si>
  <si>
    <t>86 % · Entity E-08; 88% · Core Group G-08, Owner G-08</t>
  </si>
  <si>
    <t>IF(SUM(findings_closed@ytd)=0,0,SUM(finding_closure_days@ytd)/SUM(findings_closed@ytd))</t>
  </si>
  <si>
    <t>findings_closed, finding_closure_days</t>
  </si>
  <si>
    <t>29 d · Entity E-08; 34 d · Core Group G-08, Owner G-08</t>
  </si>
  <si>
    <t>IF(kpis_leadership=0,0,100*kpis_certified/kpis_leadership)</t>
  </si>
  <si>
    <t>kpis_leadership, kpis_certified</t>
  </si>
  <si>
    <t>82% · Entity E-08; 84 % of leadership KPIs · Core Group G-01, Core Group G-02, Core Group G-08, Owner G-08; 85 % of leadership KPIs · Core Group G-01</t>
  </si>
  <si>
    <t>6 same / 1 different</t>
  </si>
  <si>
    <t>kpis_leadership-kpis_certified</t>
  </si>
  <si>
    <t>9 · Core Group G-08, Owner G-08</t>
  </si>
  <si>
    <t>IF(kpis_leadership=0,0,100*kpis_in_scope/kpis_leadership)</t>
  </si>
  <si>
    <t>kpis_leadership, kpis_in_scope</t>
  </si>
  <si>
    <t>92% · Core Group G-08</t>
  </si>
  <si>
    <t>IF(lake_records_loaded=0,0,100*lake_records_reconciled/lake_records_loaded)</t>
  </si>
  <si>
    <t>lake_records_loaded, lake_records_reconciled</t>
  </si>
  <si>
    <t>99.2 % · Entity E-08; 99.2% · Core Group G-08, Owner G-08</t>
  </si>
  <si>
    <t>IF(mis_lines_total=0,0,100*mis_lines_matched/mis_lines_total)</t>
  </si>
  <si>
    <t>mis_lines_total, mis_lines_matched</t>
  </si>
  <si>
    <t>94.8% · Entity E-08; 96.8% · Core Group G-08, Owner G-08</t>
  </si>
  <si>
    <t>IF(revenue_k=0,0,100*ABS(flash_revenue_k-revenue_k)/revenue_k)</t>
  </si>
  <si>
    <t>revenue_k, flash_revenue_k</t>
  </si>
  <si>
    <t>1.9% · Entity E-08; 0.6 % · Core Group G-08, Owner G-08</t>
  </si>
  <si>
    <t>IF(ebitda_k=0,0,100*(board_ebitda_k-ebitda_k)/ebitda_k)</t>
  </si>
  <si>
    <t>variable_cost_k, fixed_cost_k, revenue_k, overhead_k, board_ebitda_k</t>
  </si>
  <si>
    <t>[BOARD FIGURE — PH] · Core Group G-08</t>
  </si>
  <si>
    <t>MAX(each:IF((revenue_k-variable_cost_k-fixed_cost_k-overhead_k)=0,0,100*ABS(board_ebitda_k-(revenue_k-variable_cost_k-fixed_cost_k-overhead_k))/(revenue_k-variable_cost_k-fixed_cost_k-overhead_k)))</t>
  </si>
  <si>
    <t>0.2% · Entity E-08; 0.3% max abs · Entity B2 · Core Group G-08, Owner G-08; 0.3 % (max abs) · Owner G-08</t>
  </si>
  <si>
    <t>1 · Entity E-01, Entity E-09, Core Group G-09; 1 alert · Core Group G-01, Core Group G-02, Core Group G-07, Owner O-01, Owner STATE GALLERY</t>
  </si>
  <si>
    <t>10 same / 0 different</t>
  </si>
  <si>
    <t>1 · Core Group G-09</t>
  </si>
  <si>
    <t>0 · Entity E-01, Entity E-09, Core Group G-09</t>
  </si>
  <si>
    <t>IF(alerts_resolved=0,0,alert_resolution_days/alerts_resolved)</t>
  </si>
  <si>
    <t>alerts_resolved, alert_resolution_days</t>
  </si>
  <si>
    <t>2.9 d · Entity E-09; 2.4 d · Core Group G-09, Owner O-06</t>
  </si>
  <si>
    <t>3 · Entity E-09; 11 · Core Group G-09, Owner O-06</t>
  </si>
  <si>
    <t>SUM(repeat_issues@3m)</t>
  </si>
  <si>
    <t>2 · Entity E-09, Core Group G-09, Owner O-06</t>
  </si>
  <si>
    <t>SUM(root_causes_eliminated@ytd)&amp;" of "&amp;SUM(root_causes_identified@ytd)</t>
  </si>
  <si>
    <t>root_causes_identified, root_causes_eliminated</t>
  </si>
  <si>
    <t>3 of 5 · Entity E-09; 7 of 9 · Core Group G-09, Owner O-06</t>
  </si>
  <si>
    <t>IF(invoices_collected=0,0,(collection_days-terms_days)/invoices_collected)</t>
  </si>
  <si>
    <t>invoices_collected, collection_days, terms_days</t>
  </si>
  <si>
    <t>+2 d · Entity E-05; +2 d (A1) · Core Group G-04, Owner O-03; (no value) · Core Group S-12</t>
  </si>
  <si>
    <t>1 same / 2 different / 1 other</t>
  </si>
  <si>
    <t>2 customers · Entity E-05; 2 customers (A1) · Core Group G-04</t>
  </si>
  <si>
    <t>IF(op_cash_flow_k&lt;0,"Triggered","Not triggered")</t>
  </si>
  <si>
    <t>variable_cost_k, fixed_cost_k, revenue_k, overhead_k, tax_paid_k, receivables_k, payables_k, inventory_k</t>
  </si>
  <si>
    <t>Not triggered · Owner O-03</t>
  </si>
  <si>
    <t>IF(price_vs_plan_pct&gt;=-1,"Low",IF(price_vs_plan_pct&gt;=-3,"Medium","High"))&amp;" ("&amp;ROUND(price_vs_plan_pct,1)&amp;"% vs plan price)"</t>
  </si>
  <si>
    <t>sales_t, planned_sales_t, revenue_k, planned_revenue_k</t>
  </si>
  <si>
    <t>Low · Core Group G-03</t>
  </si>
  <si>
    <t>4 days · Entity E-01, Entity E-04, Owner O-01, Owner O-02, Owner O-09, Owner S-10, Core Group S-12, Entity S-12, Owner STATE GALLERY</t>
  </si>
  <si>
    <t>100*NORM.DIST(planned_production_next_t,forecast_good_next_t,SQRT(forecast_good_var_next),TRUE)</t>
  </si>
  <si>
    <t>planned_production_next_t, forecast_good_next_t, forecast_good_var_next</t>
  </si>
  <si>
    <t>64% · Core Group G-01, Core Group G-10, Owner O-01, Owner O-02, Owner STATE GALLERY; 64 % · Core Group S-12; 71 % · Entity S-12</t>
  </si>
  <si>
    <t>(forecast_ebitda_rest_k-planned_ebitda_rest_k)/1000</t>
  </si>
  <si>
    <t>forecast_ebitda_rest_k, planned_ebitda_rest_k</t>
  </si>
  <si>
    <t>−₹9.2 m · Core Group G-01, Core Group G-03, Core Group G-10, Owner O-01, Owner O-02, Owner STATE GALLERY; −9.2 ₹ m · Owner S-09, Core Group S-12; −7.6 ₹ m · Entity S-12</t>
  </si>
  <si>
    <t>IF(cash_k+undrawn_facilities_k+forecast_net_cash_flow_90d_k&gt;=0,"None within 90 d",ROUND((cash_k+undrawn_facilities_k+forecast_net_cash_flow_90d_k)/1000,1))</t>
  </si>
  <si>
    <t>cash_k, undrawn_facilities_k, forecast_net_cash_flow_90d_k</t>
  </si>
  <si>
    <t>None within 90 d · Core Group G-01, Core Group G-04, Owner O-03; None · Owner O-02, Entity S-12; None in 90 d · Core Group S-12</t>
  </si>
  <si>
    <t>IF(forecast_ebitda_ltm_k=0,"No forecast",IF(forecast_net_debt_k/forecast_ebitda_ltm_k&gt;CovenantMax,"Breach forecast","Not forecast"))</t>
  </si>
  <si>
    <t>forecast_net_debt_k, forecast_ebitda_ltm_k</t>
  </si>
  <si>
    <t>Not forecast · Core Group G-04, Owner O-02, Owner O-03; None forecast · Core Group G-10; No · Core Group S-12; No breach · headroom 1.2× · Entity S-12</t>
  </si>
  <si>
    <t>5 same / 2 different</t>
  </si>
  <si>
    <t>forecast_downtime_loss_next_t/1000</t>
  </si>
  <si>
    <t>11.2 kt · Core Group G-05, Core Group G-10, Owner O-09</t>
  </si>
  <si>
    <t>100*NORM.DIST(0.78*ideal_output_next_t,forecast_good_next_t,SQRT(forecast_good_var_next),TRUE)</t>
  </si>
  <si>
    <t>forecast_good_next_t, forecast_good_var_next, ideal_output_next_t</t>
  </si>
  <si>
    <t>41% · Owner O-09</t>
  </si>
  <si>
    <t>SUM(fixed_cost_k@ytd)/1000</t>
  </si>
  <si>
    <t>₹61 m · Entity E-11</t>
  </si>
  <si>
    <t>(forecast_ebitda_rest_k-planned_ebitda_rest_k)*(1-TaxRate)/1000</t>
  </si>
  <si>
    <t>−₹9 m · Entity E-11</t>
  </si>
  <si>
    <t>IF(capital_employed_k=0,0,100*(SUM(ebit_k@ytd)+forecast_ebitda_rest_k-depreciation_k*(12-ytd_months))/capital_employed_k)</t>
  </si>
  <si>
    <t>variable_cost_k, fixed_cost_k, revenue_k, depreciation_k, overhead_k, capital_employed_k, forecast_ebitda_rest_k</t>
  </si>
  <si>
    <t>11.0% · Entity E-11</t>
  </si>
  <si>
    <t>IF(SUM(hours_worked@ytd)=0,0,SUM(revenue_k@ytd)/1000/(SUM(hours_worked@ytd)/(HoursPerFTE*ytd_months/12)))</t>
  </si>
  <si>
    <t>hours_worked, revenue_k</t>
  </si>
  <si>
    <t>₹0.41 m · Entity E-11</t>
  </si>
  <si>
    <t>IF(SUM(hours_worked@ytd)=0,0,SUM(good_output_t@ytd)/(SUM(hours_worked@ytd)/(HoursPerFTE*ytd_months/12)))</t>
  </si>
  <si>
    <t>good_output_t, hours_worked</t>
  </si>
  <si>
    <t>236 t · Entity E-11</t>
  </si>
  <si>
    <t>IF(forecast_ebitda_rest_k=0,0,100*NORM.DIST(planned_ebitda_rest_k,forecast_ebitda_rest_k,ForecastError*forecast_ebitda_rest_k,TRUE))</t>
  </si>
  <si>
    <t>58% · Entity E-11</t>
  </si>
  <si>
    <t>IF(disclosure_clock_hours&gt;=999,"No clock running",disclosure_clock_hours&amp;" h remaining")</t>
  </si>
  <si>
    <t>38 h remaining · Entity E-07</t>
  </si>
  <si>
    <t>IF(ABS(100*good_output_t/feed_input_t-100*good_output_t@prev/feed_input_t@prev)&lt;1,"Stable",IF(100*good_output_t/feed_input_t&gt;100*good_output_t@prev/feed_input_t@prev,"Improving","Deteriorating"))&amp;" ("&amp;ROUND(100*good_output_t/feed_input_t-100*good_output_t@prev/feed_input_t@prev,1)&amp;" pts vs last month)"</t>
  </si>
  <si>
    <t>Stable · Entity E-02</t>
  </si>
  <si>
    <t>IF(ABS(100*recovered_contained_t/feed_contained_t-100*recovered_contained_t@prev/feed_contained_t@prev)&lt;1,"Stable",IF(100*recovered_contained_t/feed_contained_t&gt;100*recovered_contained_t@prev/feed_contained_t@prev,"Improving","Deteriorating"))&amp;" ("&amp;ROUND(100*recovered_contained_t/feed_contained_t-100*recovered_contained_t@prev/feed_contained_t@prev,1)&amp;" pts vs last month)"</t>
  </si>
  <si>
    <t>IF(AND(single_source_suppliers&gt;0,critical_material_risks&gt;0),"Elevated","Normal")&amp;" ("&amp;single_source_suppliers&amp;" single-source suppliers, "&amp;critical_material_risks&amp;" materials at risk)"</t>
  </si>
  <si>
    <t>critical_material_risks, single_source_suppliers</t>
  </si>
  <si>
    <t>S-07 · elevated · Entity E-01, Entity E-04; (no value) · Core Group S-12</t>
  </si>
  <si>
    <t>2 same / 0 different / 1 other</t>
  </si>
  <si>
    <t>IF(planned_freight_cost_k=0,"No plan",IF(100*(freight_cost_k/planned_freight_cost_k-1)&lt;=2,"Normal",IF(100*(freight_cost_k/planned_freight_cost_k-1)&lt;=5,"Watch","Alert"))&amp;" ("&amp;ROUND(100*(freight_cost_k/planned_freight_cost_k-1),1)&amp;"% vs plan)")</t>
  </si>
  <si>
    <t>freight_cost_k, planned_freight_cost_k</t>
  </si>
  <si>
    <t>(no value) · Core Group S-12</t>
  </si>
  <si>
    <t>0 same / 0 different / 1 other</t>
  </si>
  <si>
    <t>Step</t>
  </si>
  <si>
    <t>Item</t>
  </si>
  <si>
    <t>Field</t>
  </si>
  <si>
    <t>Used in the formula as</t>
  </si>
  <si>
    <t>How it rolls up</t>
  </si>
  <si>
    <t>OPS-001  Production vs plan  (%)  =  Good output ÷ Planned production × 100</t>
  </si>
  <si>
    <t>Input</t>
  </si>
  <si>
    <t>This month</t>
  </si>
  <si>
    <t>Sum of 3 plants → sum of 2 entities</t>
  </si>
  <si>
    <t>KPI result</t>
  </si>
  <si>
    <t>Same formula applied at each level to that level's inputs</t>
  </si>
  <si>
    <t>OPS-003  Capacity utilization  (%)  =  Good output ÷ Installed capacity × 100</t>
  </si>
  <si>
    <t>PLT-001  Asset utilization  (%)  =  Run hours ÷ Calendar hours × 100</t>
  </si>
  <si>
    <t>PLT-002  OEE  (%)  =  Availability × Performance × Quality = Good output ÷ Ideal output × 100</t>
  </si>
  <si>
    <t>PLT-004  Recovery percentage  (%)  =  Valuable content recovered ÷ Valuable content in feed × 100</t>
  </si>
  <si>
    <t>PLT-005  Yield  (%)  =  Good output ÷ Feed input × 100</t>
  </si>
  <si>
    <t>REL-001  MTBF  (h)  =  Run hours ÷ Breakdowns</t>
  </si>
  <si>
    <t>REL-002  Mean Time to Repair  (h)  =  Repair hours ÷ Breakdowns</t>
  </si>
  <si>
    <t>REL-003  Unplanned downtime  (h)  =  Unplanned downtime</t>
  </si>
  <si>
    <t>REL-004  Production loss from downtime  (t)  =  Production lost to downtime</t>
  </si>
  <si>
    <t>REL-005  Preventive-maintenance compliance  (%)  =  Preventive maintenance completed ÷ Preventive maintenance scheduled × 100</t>
  </si>
  <si>
    <t>CST-001  Cost per tonne  (₹/t)  =  (Variable cost + Fixed cost) × 1000 ÷ Good output</t>
  </si>
  <si>
    <t>CST-002  Variable cost  (₹ thousand)  =  Variable cost</t>
  </si>
  <si>
    <t>CST-003  Fuel cost  (₹ thousand)  =  Fuel cost</t>
  </si>
  <si>
    <t>SUS-001  Water usage  (m3)  =  Water used</t>
  </si>
  <si>
    <t>SUS-002  Emissions  (tCO2e)  =  Emissions</t>
  </si>
  <si>
    <t>SUS-003  Energy intensity  (GJ/t)  =  Energy used ÷ Good output</t>
  </si>
  <si>
    <t>SIG-007  Production at risk  (t)  =  Production at risk</t>
  </si>
  <si>
    <t>SIG-008  Critical plant-state alerts  (count)  =  Critical plant alerts</t>
  </si>
  <si>
    <t>SIG-009  Critical-material shortage risk  (count)  =  Critical materials at risk</t>
  </si>
  <si>
    <t>SIG-012  Dispatch delays  (%)  =  Delayed dispatches ÷ Dispatches × 100</t>
  </si>
  <si>
    <t>SIG-021  Environmental violations  (count)  =  Environmental violations</t>
  </si>
  <si>
    <t>EHS-001  TRIR  (per 200,000 h)  =  Recordable injuries × 200,000 ÷ Hours worked</t>
  </si>
  <si>
    <t>EHS-002  Severity incidents  (count)  =  Severity incidents</t>
  </si>
  <si>
    <t>EHS-003  Near misses  (count)  =  Near misses</t>
  </si>
  <si>
    <t>EHS-004  Critical safety incidents  (count)  =  Critical safety incidents</t>
  </si>
  <si>
    <t>EHS-005  Environmental excursions  (count)  =  Environmental excursions</t>
  </si>
  <si>
    <t>EHS-006  Open EHS corrective actions  (count)  =  Open EHS corrective actions</t>
  </si>
  <si>
    <t>EHS-007  Overdue EHS actions  (count)  =  Overdue EHS corrective actions</t>
  </si>
  <si>
    <t>EHS-009  EHS investigation completion  (%)  =  EHS investigations completed ÷ EHS investigations due × 100 (100 if none due)</t>
  </si>
  <si>
    <t>REG-006  Licence or permit expiry clock  (days)  =  Days to permit expiry (lowest plant)</t>
  </si>
  <si>
    <t>Lowest of 3 plants → lowest of 2 entities</t>
  </si>
  <si>
    <t>OPS-005  Capacity utilisation (same measure as OPS-003)  (%)  =  Good output ÷ Installed capacity × 100</t>
  </si>
  <si>
    <t>OPS-006  OEE · Group weighted (same measure as PLT-002)  (%)  =  Good output ÷ Ideal output × 100 (weighted by output, not an average of plants)</t>
  </si>
  <si>
    <t>OPS-002  Sales vs plan  (%)  =  Sales volume ÷ Planned sales volume × 100</t>
  </si>
  <si>
    <t>OPS-004  Sales vs plan · Group (same measure as OPS-002)  (%)  =  Sales volume ÷ Planned sales volume × 100</t>
  </si>
  <si>
    <t>CST-004  Power cost per tonne  (₹/t)  =  Power cost × 1000 ÷ Good output</t>
  </si>
  <si>
    <t>FIN-001  EBITDA YTD  (₹ m)  =  Sum of monthly EBITDA since April ÷ 1000</t>
  </si>
  <si>
    <t>Building block</t>
  </si>
  <si>
    <t>Sum April → this month</t>
  </si>
  <si>
    <t>Calculated at each level: Revenue − Variable cost − Fixed cost − Overheads</t>
  </si>
  <si>
    <t>FIN-002  EBIT YTD  (₹ m)  =  Sum of monthly EBIT since April ÷ 1000</t>
  </si>
  <si>
    <t>Calculated at each level: EBITDA − Depreciation and amortisation</t>
  </si>
  <si>
    <t>FIN-003  Revenue YTD  (₹ m)  =  Sum of monthly Revenue since April ÷ 1000</t>
  </si>
  <si>
    <t>FIN-004  Free cash flow YTD  (₹ m)  =  Sum of monthly Free cash flow since April ÷ 1000</t>
  </si>
  <si>
    <t>Calculated at each level: Operating cash flow − Capex spent</t>
  </si>
  <si>
    <t>FIN-005  ROCE, annualised  (%)  =  EBIT since April × 12 ÷ months elapsed ÷ Capital employed × 100</t>
  </si>
  <si>
    <t>Entity input → sum of 2 entities</t>
  </si>
  <si>
    <t>FIN-006  Net debt  (₹ m)  =  (Gross debt − Cash) ÷ 1000</t>
  </si>
  <si>
    <t>Calculated at each level: Gross debt − Cash</t>
  </si>
  <si>
    <t>FIN-007  Shareholder-value indicator (economic profit YTD)  (₹ m)  =  (EBIT since April × (1 − Tax rate) − Capital employed × Cost of capital × months elapsed ÷ 12) ÷ 1000</t>
  </si>
  <si>
    <t>FIN-008  FCF conversion (FCF ÷ EBITDA)  (%)  =  Free cash flow since April ÷ EBITDA since April × 100</t>
  </si>
  <si>
    <t>CSH-001  Cash position  (₹ m)  =  Cash ÷ 1000</t>
  </si>
  <si>
    <t>CSH-002  Cash released YTD  (₹ m)  =  Sum of cash released since April ÷ 1000</t>
  </si>
  <si>
    <t>CSH-003  Daily collections  (₹ m per day)  =  Cash collected ÷ Days in month ÷ 1000</t>
  </si>
  <si>
    <t>CSH-004  Cash-conversion cycle  (days)  =  DSO + Inventory days − DPO</t>
  </si>
  <si>
    <t>Calculated at each level: Trade receivables ÷ Revenue × Days in month</t>
  </si>
  <si>
    <t>Calculated at each level: Inventory ÷ Variable cost × Days in month</t>
  </si>
  <si>
    <t>Calculated at each level: Trade payables ÷ Variable cost × Days in month</t>
  </si>
  <si>
    <t>CSH-006  Cash-upstream exposure  (₹ m)  =  (Cash due to be upstreamed − Amount covered by available cash) ÷ 1000</t>
  </si>
  <si>
    <t>WCP-001  DSO  (days)  =  Trade receivables ÷ Revenue × Days in month</t>
  </si>
  <si>
    <t>WCP-002  DPO  (days)  =  Trade payables ÷ Variable cost × Days in month</t>
  </si>
  <si>
    <t>WCP-003  Inventory days  (days)  =  Inventory ÷ Variable cost × Days in month</t>
  </si>
  <si>
    <t>WCP-004  Net working capital  (₹ m)  =  (Trade receivables + Inventory − Trade payables) ÷ 1000</t>
  </si>
  <si>
    <t>Calculated at each level: Trade receivables + Inventory − Trade payables</t>
  </si>
  <si>
    <t>WCP-005  Working-capital movement  (₹ m)  =  (Net working capital − last month's net working capital) ÷ 1000; positive = cash tied up</t>
  </si>
  <si>
    <t>Calculated at each level: Net working capital − last month's net working capital (April uses the 31 March balance on Parameters)</t>
  </si>
  <si>
    <t>WCP-006  Working-capital days  (days)  =  Net working capital ÷ Revenue × Days in month</t>
  </si>
  <si>
    <t>LIQ-001  Liquidity runway  (months)  =  (Cash + Undrawn facilities) ÷ (Fixed cost + Overheads + Debt service) per month</t>
  </si>
  <si>
    <t>LIQ-002  Covenant headroom  (%)  =  (Covenant limit − Net debt ÷ Annualised EBITDA) ÷ Covenant limit × 100</t>
  </si>
  <si>
    <t>Calculated at each level: EBITDA since April × 12 ÷ months elapsed</t>
  </si>
  <si>
    <t>LIQ-003  Debt-maturity exposure, next 12 months  (₹ m)  =  Debt maturing in next 12 months ÷ 1000</t>
  </si>
  <si>
    <t>LIQ-004  Financing exposure (floating-rate debt)  (₹ m)  =  Floating-rate debt ÷ 1000</t>
  </si>
  <si>
    <t>TRS-001  FX exposure, unhedged  (₹ m)  =  (Foreign-currency exposure − Amount hedged) ÷ 1000</t>
  </si>
  <si>
    <t>TRS-002  Hedging effectiveness  (%)  =  Change in value of hedges ÷ Change in value of hedged items × 100</t>
  </si>
  <si>
    <t>TRS-003  USD share of unhedged FX exposure  (%)  =  (USD exposure − USD hedged) ÷ (FX exposure − FX hedged) × 100</t>
  </si>
  <si>
    <t>TRS-004  Hedge cover, next 6 months  (%)  =  Foreign-currency flows hedged ÷ Forecast foreign-currency flows, next 6 months × 100</t>
  </si>
  <si>
    <t>TRS-005  FX sensitivity, 5% USD move  (₹ m)  =  5% × (USD exposure − USD hedged) ÷ 1000</t>
  </si>
  <si>
    <t>CPX-001  Approved capex budget  (₹ m)  =  Approved capex budget ÷ 1000</t>
  </si>
  <si>
    <t>CPX-002  Committed capex  (₹ m)  =  Capex committed to date ÷ 1000</t>
  </si>
  <si>
    <t>CPX-003  Capex actual spend YTD  (₹ m)  =  Sum of capex spent since April ÷ 1000</t>
  </si>
  <si>
    <t>CPX-004  Capex physical progress, weighted  (%)  =  Work completed valued at budget ÷ Approved budget × 100 (weights each project by its budget)</t>
  </si>
  <si>
    <t>SIG-011  Capex value at risk  (₹ m)  =  Budget of projects at risk ÷ 1000</t>
  </si>
  <si>
    <t>PRG-001  Capex project status  (text)  =  Count of projects by status</t>
  </si>
  <si>
    <t>PRG-002  Benefits realisation  (%)  =  Benefits delivered since April ÷ Benefits planned since April × 100</t>
  </si>
  <si>
    <t>PRG-003  Delayed projects  (count)  =  Capex projects delayed</t>
  </si>
  <si>
    <t>PRG-004  Capex / transformation progress (same measure as STR-002)  (%)  =  Transformation milestones completed ÷ Milestones in plan × 100</t>
  </si>
  <si>
    <t>STR-002  Transformation progress  (%)  =  Transformation milestones completed ÷ Milestones in plan × 100</t>
  </si>
  <si>
    <t>PRG-005  Transformation initiative status  (text)  =  Count of transformation initiatives by status</t>
  </si>
  <si>
    <t>SUP-006  Contractor slippage  (days)  =  Contractor days late ÷ Contractor milestones due (average days late per milestone)</t>
  </si>
  <si>
    <t>VAL-001  EBITDA benefit YTD  (₹ m)  =  Sum of EBITDA benefit since April ÷ 1000</t>
  </si>
  <si>
    <t>VAL-002  Cash benefit YTD  (₹ m)  =  Sum of cash benefit since April ÷ 1000</t>
  </si>
  <si>
    <t>VAL-003  Cost savings delivered YTD  (₹ m)  =  Sum of cost savings since April ÷ 1000</t>
  </si>
  <si>
    <t>SUP-001  Supplier on-time delivery  (%)  =  Purchase-order lines on time ÷ Lines due × 100</t>
  </si>
  <si>
    <t>SUP-002  Supplier fill rate  (%)  =  Quantity received ÷ Quantity ordered × 100</t>
  </si>
  <si>
    <t>SUP-003  Supplier quality-rejection rate  (%)  =  Quantity rejected ÷ Quantity received × 100</t>
  </si>
  <si>
    <t>SUP-004  Supplier lead-time variance  (%)  =  (Actual lead time − Planned lead time) ÷ Planned lead time × 100</t>
  </si>
  <si>
    <t>SUP-005  Critical supplier exposure  (count)  =  Critical single-source suppliers</t>
  </si>
  <si>
    <t>SUP-007  Single-source spend share  (%)  =  Spend with single-source suppliers ÷ Supplier spend × 100</t>
  </si>
  <si>
    <t>SUP-008  Supplier EHS incidents YTD  (count)  =  Sum of supplier EHS incidents since April</t>
  </si>
  <si>
    <t>CON-001  Contracts expiring, next 90 days  (count)  =  Contracts expiring in next 90 days</t>
  </si>
  <si>
    <t>CON-002  Contract-compliance rate  (%)  =  Contracts fully compliant ÷ Active contracts × 100</t>
  </si>
  <si>
    <t>CON-003  Supplier EHS non-compliance  (count)  =  Suppliers not meeting EHS requirements</t>
  </si>
  <si>
    <t>REG-001  Pending filings  (count)  =  Regulatory filings pending</t>
  </si>
  <si>
    <t>REG-002  Regulatory deadlines, next 30 days  (count)  =  Regulatory deadlines in next 30 days</t>
  </si>
  <si>
    <t>REG-003  Licence expirations, next 12 months  (count)  =  Licences expiring in next 12 months</t>
  </si>
  <si>
    <t>REG-004  Regulatory obligations due, next 30 days  (count)  =  Regulatory obligations due in next 30 days</t>
  </si>
  <si>
    <t>REG-005  Overdue regulatory obligations  (count)  =  Regulatory obligations overdue</t>
  </si>
  <si>
    <t>REG-007  Open regulatory actions  (count)  =  Open regulatory actions</t>
  </si>
  <si>
    <t>REG-008  Overdue compliance actions  (count)  =  Overdue compliance actions</t>
  </si>
  <si>
    <t>REG-009  Disclosure-clock status  (text)  =  Triggered if any event that needs disclosure is open, otherwise Not triggered</t>
  </si>
  <si>
    <t>REG-010  Regulatory breaches YTD  (count)  =  Sum of regulatory breaches since April</t>
  </si>
  <si>
    <t>RSK-003  Regulatory breaches YTD (same measure as REG-010)  (count)  =  Sum of regulatory breaches since April</t>
  </si>
  <si>
    <t>CMP-005  Regulatory breaches YTD (same measure as REG-010)  (count)  =  Sum of regulatory breaches since April</t>
  </si>
  <si>
    <t>EHS-008  EHS escalation clocks running  (count)  =  EHS escalation clocks running</t>
  </si>
  <si>
    <t>EHS-010  EHS investigation completion rate YTD  (%)  =  EHS investigations completed since April ÷ Investigations due since April × 100 (100 if none due)</t>
  </si>
  <si>
    <t>CTL-002  Control failures YTD  (count)  =  Sum of control failures since April</t>
  </si>
  <si>
    <t>CTL-004  High-severity control failures YTD  (count)  =  Sum of high-severity control failures since April</t>
  </si>
  <si>
    <t>CTL-005  Policy exceptions YTD  (count)  =  Sum of policy exceptions since April</t>
  </si>
  <si>
    <t>CTL-006  Unauthorised-vendor usage YTD  (count)  =  Sum of unauthorised vendor uses since April</t>
  </si>
  <si>
    <t>CTL-007  Segregation-of-duties exceptions YTD  (count)  =  Sum of segregation-of-duties exceptions since April</t>
  </si>
  <si>
    <t>CTL-008  Unauthorised-access events YTD  (count)  =  Sum of unauthorised access events since April</t>
  </si>
  <si>
    <t>CTL-009  Data-sharing exceptions YTD  (count)  =  Sum of data-sharing exceptions since April</t>
  </si>
  <si>
    <t>CTL-010  Manual overrides YTD  (count)  =  Sum of manual operational or system overrides since April</t>
  </si>
  <si>
    <t>CTL-003  Assurance reviews completed  (text)  =  Assurance reviews completed since April, of those planned since April</t>
  </si>
  <si>
    <t>GOV-001  Ageing certification approvals  (count)  =  Certification approvals past due date</t>
  </si>
  <si>
    <t>GOV-002  KPI overrides  (count)  =  KPI values overridden</t>
  </si>
  <si>
    <t>GOV-003  Recurring data-quality issues  (count)  =  Recurring data-quality issues</t>
  </si>
  <si>
    <t>GOV-004  Open audit findings  (count)  =  Open audit findings</t>
  </si>
  <si>
    <t>GOV-005  Overdue assurance actions  (count)  =  Overdue assurance actions</t>
  </si>
  <si>
    <t>GOV-006  Repeat findings  (count)  =  Repeat audit findings</t>
  </si>
  <si>
    <t>GOV-007  Leadership KPIs affected by findings  (count)  =  Leadership KPIs affected by open findings</t>
  </si>
  <si>
    <t>TRU-004  Open reconciliation breaks  (count)  =  Open reconciliation breaks</t>
  </si>
  <si>
    <t>TRU-006  Overdue certifications  (count)  =  Certifications overdue</t>
  </si>
  <si>
    <t>TRU-007  Material reconciliation breaks  (count)  =  Material reconciliation breaks</t>
  </si>
  <si>
    <t>GOV-008  Evidence completeness rate  (%)  =  Evidence items complete ÷ Evidence items required × 100</t>
  </si>
  <si>
    <t>GOV-009  Average finding-closure time  (days)  =  Days taken to close findings since April ÷ Findings closed since April</t>
  </si>
  <si>
    <t>TRU-001  Certified KPI percentage  (%)  =  Leadership KPI values certified ÷ Leadership KPI values reported × 100</t>
  </si>
  <si>
    <t>TRU-002  Uncertified KPI count  (count)  =  Leadership KPI values reported − Values certified</t>
  </si>
  <si>
    <t>TRU-005  KPI certification coverage  (%)  =  Leadership KPI values inside the certification process ÷ Values reported × 100</t>
  </si>
  <si>
    <t>TRU-008  Source-to-Lake reconciliation rate  (%)  =  Records reconciled to source ÷ Records loaded × 100</t>
  </si>
  <si>
    <t>TRU-009  Flash-to-MIS reconciliation rate  (%)  =  Flash lines matching MIS ÷ Flash report lines × 100</t>
  </si>
  <si>
    <t>TRU-010  Flash-to-close variance  (%)  =  |Flash revenue − Closed revenue| ÷ Closed revenue × 100</t>
  </si>
  <si>
    <t>TRU-003  Variance against Board number (EBITDA)  (%)  =  (Board-pack EBITDA − Certified EBITDA) ÷ Certified EBITDA × 100</t>
  </si>
  <si>
    <t>TRU-011  Largest entity variance against Board numbers  (%)  =  Highest of the entities' |Board-pack EBITDA − Certified EBITDA| ÷ Certified EBITDA × 100</t>
  </si>
  <si>
    <t>EFF-002  Open critical alerts  (count)  =  Open critical alerts</t>
  </si>
  <si>
    <t>EFF-006  Alerts without accepted owners  (count)  =  Alerts with no accepted owner</t>
  </si>
  <si>
    <t>EFF-007  Overdue actions  (count)  =  Overdue actions</t>
  </si>
  <si>
    <t>EFF-008  Average resolution time  (days)  =  Days taken to resolve alerts ÷ Alerts resolved</t>
  </si>
  <si>
    <t>EFF-009  Closed escalations, last 30 days  (count)  =  Escalations closed in the month</t>
  </si>
  <si>
    <t>EFF-010  Repeat issues, last 90 days  (count)  =  Sum of repeat issues over the last 3 months</t>
  </si>
  <si>
    <t>Sum of last 3 months</t>
  </si>
  <si>
    <t>EFF-011  Root causes eliminated YTD  (text)  =  Root causes eliminated since April, of those identified since April</t>
  </si>
  <si>
    <t>SIG-004  Collections slippage  (days)  =  (Days taken to collect − Agreed payment terms) ÷ Invoices collected (average days late)</t>
  </si>
  <si>
    <t>SIG-005  Payment delays  (customers)  =  Customers more than 30 days overdue</t>
  </si>
  <si>
    <t>SIG-006  Cash burn signal  (text)  =  Triggered if operating cash flow in the month is negative</t>
  </si>
  <si>
    <t>Calculated at each level: EBITDA − Tax paid − Change in net working capital</t>
  </si>
  <si>
    <t>SIG-013  Pricing pressure  (text)  =  Realised price vs plan: Low if above −1%, Medium down to −3%, High below −3%</t>
  </si>
  <si>
    <t>Calculated at each level: (Revenue ÷ Sales volume) ÷ (Planned revenue ÷ Planned sales volume) − 1, as %</t>
  </si>
  <si>
    <t>PRD-001  Days to breach (earliest plant)  (days)  =  Lowest plant forecast of days until its production plan is breached (99 = not expected)</t>
  </si>
  <si>
    <t>PRD-002  Probability of production plan miss, next month  (%)  =  Chance that output falls below plan: normal distribution with mean = Forecast good output, spread = √(sum of plant forecast variances)</t>
  </si>
  <si>
    <t>PRD-003  Projected EBITDA gap, rest of year  (₹ m)  =  (Forecast EBITDA − Planned EBITDA, rest of year) ÷ 1000</t>
  </si>
  <si>
    <t>PRD-004  Projected liquidity gap, next 90 days  (₹ m or text)  =  Cash + Undrawn facilities + Forecast net cash flow (90 days); 'None' if not negative</t>
  </si>
  <si>
    <t>PRD-005  Forecast covenant breach  (text)  =  Breach forecast if Forecast net debt ÷ Forecast 12-month EBITDA exceeds the covenant limit</t>
  </si>
  <si>
    <t>PRD-006  Production loss from downtime, next month  (kt)  =  Forecast production lost to downtime next month ÷ 1000</t>
  </si>
  <si>
    <t>PRD-007  Probability OEE below 78%, next month  (%)  =  Chance that Forecast good output &lt; 78% × Ideal output next month (same distribution as PRD-002)</t>
  </si>
  <si>
    <t>CST-005  Fixed cost YTD  (₹ m)  =  Sum of fixed cost since April ÷ 1000</t>
  </si>
  <si>
    <t>PRD-008  Projected FCF gap, full year  (₹ m)  =  (Forecast EBITDA − Planned EBITDA, rest of year) × (1 − Tax rate) ÷ 1000</t>
  </si>
  <si>
    <t>PRD-009  ROCE at P12 (forecast)  (%)  =  (EBIT since April + Forecast EBITDA rest of year − Depreciation × remaining months) ÷ Capital employed × 100</t>
  </si>
  <si>
    <t>PRD-010  Revenue per FTE  (₹ m)  =  Revenue since April ÷ 1000 ÷ FTEs, where FTEs = Hours worked since April ÷ (2,000 h a year × months elapsed ÷ 12)</t>
  </si>
  <si>
    <t>PRD-011  Tonnes per FTE  (t)  =  Good output since April ÷ FTEs (FTEs as in PRD-010)</t>
  </si>
  <si>
    <t>PRD-012  Probability of EBITDA plan miss, full year  (%)  =  Chance that EBITDA for the rest of the year falls below plan: normal distribution with mean = Forecast EBITDA, spread = Forecast error × Forecast EBITDA</t>
  </si>
  <si>
    <t>REG-011  Disclosure clock (open incident)  (text)  =  Hours left on the earliest open disclosure clock (999 = none running)</t>
  </si>
  <si>
    <t>Entity input → lowest of 2 entities</t>
  </si>
  <si>
    <t>SIG-002  Yield (leading signal)  (text)  =  Change in Yield (PLT-005) from last month: Stable if under 1 pt, otherwise Improving or Deteriorating</t>
  </si>
  <si>
    <t>Last month's value</t>
  </si>
  <si>
    <t>SIG-003  Recovery (leading signal)  (text)  =  Change in Recovery (PLT-004) from last month: Stable if under 1 pt, otherwise Improving or Deteriorating</t>
  </si>
  <si>
    <t>SIG-010  Single-source supply risk  (text)  =  Elevated if there are critical single-source suppliers and any critical material is at risk, otherwise Normal</t>
  </si>
  <si>
    <t>SIG-016  Freight exposure  (text)  =  Freight cost vs plan: Normal up to 2% over plan, Watch up to 5%, Alert above 5%</t>
  </si>
  <si>
    <t>Coverage of the mockup KPIs</t>
  </si>
  <si>
    <t>160 KPI IDs appear on the mockups, 556 times in total. Covered in this workbook: 160 of 160.</t>
  </si>
  <si>
    <t>In this workbook</t>
  </si>
  <si>
    <t>Owner screens</t>
  </si>
  <si>
    <t>Core Group screens</t>
  </si>
  <si>
    <t>Entity screens</t>
  </si>
  <si>
    <t>Screens</t>
  </si>
  <si>
    <t>Appearances</t>
  </si>
  <si>
    <t>Yes</t>
  </si>
  <si>
    <t>E-01, O-01</t>
  </si>
  <si>
    <t>E-04, E-07, G-07, O-05</t>
  </si>
  <si>
    <t>E-04, E-07, G-05, G-07, O-05</t>
  </si>
  <si>
    <t>E-06, G-06, O-04</t>
  </si>
  <si>
    <t>E-06, G-01, G-01 · after T7, G-06, O-01, O-04, STATE GALLERY · O-01 + S-02, O-01 · large display ≥ 1600</t>
  </si>
  <si>
    <t>E-05, G-04, O-03</t>
  </si>
  <si>
    <t>E-01, E-05, G-04, O-03, S-11</t>
  </si>
  <si>
    <t>E-02, E-11, G-03, G-05, O-09</t>
  </si>
  <si>
    <t>E-02, E-11, G-03, O-09</t>
  </si>
  <si>
    <t>E-02, O-09</t>
  </si>
  <si>
    <t>E-07, G-07, O-05</t>
  </si>
  <si>
    <t>G-07, O-05</t>
  </si>
  <si>
    <t>E-01, E-09, G-01, G-01 · after T7, G-02, G-07, G-09, O-01, STATE GALLERY · O-01 + S-02, O-01 · large display ≥ 1600</t>
  </si>
  <si>
    <t>E-01, E-09, G-09</t>
  </si>
  <si>
    <t>E-09, G-09, O-06</t>
  </si>
  <si>
    <t>E-07, G-01, G-01 · after T7, G-07, O-05</t>
  </si>
  <si>
    <t>E-07, G-07</t>
  </si>
  <si>
    <t>E-01, E-11, G-01, G-01 · after T7, G-02, G-03, O-01, STATE GALLERY · O-01 + S-02, O-01 · large display ≥ 1600</t>
  </si>
  <si>
    <t>E-01, E-11, G-01, G-01 · after T7, G-03, O-01, STATE GALLERY · O-01 + S-02, O-01 · large display ≥ 1600</t>
  </si>
  <si>
    <t>E-01, E-11, G-01, G-01 · after T7, G-03, O-01, O-03, STATE GALLERY · O-01 + S-02, O-01 · large display ≥ 1600</t>
  </si>
  <si>
    <t>G-01, G-01 · after T7, G-03, O-01, O-03, STATE GALLERY · O-01 + S-02, O-01 · large display ≥ 1600</t>
  </si>
  <si>
    <t>G-03, O-01, STATE GALLERY · O-01 + S-02, O-01 · large display ≥ 1600</t>
  </si>
  <si>
    <t>E-08, G-08, G-08 · Owner depth</t>
  </si>
  <si>
    <t>E-07, E-08, G-07, G-08, G-08 · Owner depth, O-05</t>
  </si>
  <si>
    <t>G-08, G-08 · Owner depth</t>
  </si>
  <si>
    <t>G-04, O-03</t>
  </si>
  <si>
    <t>E-01, E-02, E-05, G-01, G-01 · after T7, G-02, G-03, G-05, O-01, O-09, S-03, S-03 · Entity view, S-03 · Owner view, S-10, STATE GALLERY · O-01 + S-02, O-01 · large display ≥ 1600</t>
  </si>
  <si>
    <t>E-01, G-01, G-01 · after T7, G-03, O-01, STATE GALLERY · O-01 + S-02, O-01 · large display ≥ 1600</t>
  </si>
  <si>
    <t>E-02, G-05, O-01, STATE GALLERY · O-01 + S-02, O-01 · large display ≥ 1600</t>
  </si>
  <si>
    <t>E-01, G-01, G-01 · after T7, O-01, O-09</t>
  </si>
  <si>
    <t>E-02, G-05</t>
  </si>
  <si>
    <t>E-01, E-04, O-01, O-02, O-09, S-10, S-12, S-12 · Entity view, STATE GALLERY · O-01 + S-02, O-01 · large display ≥ 1600</t>
  </si>
  <si>
    <t>G-01, G-01 · after T7, G-10, O-01, O-02, S-12, S-12 · Entity view, STATE GALLERY · O-01 + S-02, O-01 · large display ≥ 1600</t>
  </si>
  <si>
    <t>G-01, G-01 · after T7, G-03, G-10, O-01, O-02, S-09, S-12, S-12 · Entity view, STATE GALLERY · O-01 + S-02, O-01 · large display ≥ 1600</t>
  </si>
  <si>
    <t>G-01, G-01 · after T7, G-04, O-02, O-03, S-12, S-12 · Entity view</t>
  </si>
  <si>
    <t>G-04, G-10, O-02, O-03, S-12, S-12 · Entity view</t>
  </si>
  <si>
    <t>G-05, G-10, O-09</t>
  </si>
  <si>
    <t>G-06, O-04</t>
  </si>
  <si>
    <t>E-01, G-01, G-01 · after T7, O-01, O-04</t>
  </si>
  <si>
    <t>E-06, O-04</t>
  </si>
  <si>
    <t>E-07, O-05</t>
  </si>
  <si>
    <t>E-07, G-01, G-01 · after T7, O-05</t>
  </si>
  <si>
    <t>E-03, G-05, O-09</t>
  </si>
  <si>
    <t>E-03, G-05</t>
  </si>
  <si>
    <t>E-03, O-09</t>
  </si>
  <si>
    <t>O-01, STATE GALLERY · O-01 + S-02, O-01 · large display ≥ 1600</t>
  </si>
  <si>
    <t>E-05, G-04, O-03, S-12</t>
  </si>
  <si>
    <t>E-05, G-04</t>
  </si>
  <si>
    <t>E-01, E-02, E-05, S-10, S-12</t>
  </si>
  <si>
    <t>E-01, E-04, O-09, S-10, S-12</t>
  </si>
  <si>
    <t>E-01, E-04, S-12</t>
  </si>
  <si>
    <t>E-05, S-11, S-12</t>
  </si>
  <si>
    <t>G-06, O-01, O-04, STATE GALLERY · O-01 + S-02, O-01 · large display ≥ 1600</t>
  </si>
  <si>
    <t>E-04, G-05, O-09</t>
  </si>
  <si>
    <t>E-04, G-05</t>
  </si>
  <si>
    <t>E-04, E-06, G-06</t>
  </si>
  <si>
    <t>E-02, E-07, G-05, G-07, O-05, O-09</t>
  </si>
  <si>
    <t>E-08, G-01, G-01 · after T7, G-02, G-08, G-08 · Owner depth</t>
  </si>
  <si>
    <t>E-08, G-08</t>
  </si>
  <si>
    <t>E-01, E-05, G-02, G-04, O-03, S-11</t>
  </si>
  <si>
    <t>KPI lineage model: every KPI on the mockups, calculated bottom up</t>
  </si>
  <si>
    <t>All data is synthetic (mock) data. plant_base.csv is the original plant data; the other inputs were added so every KPI on the mockups can be calculated. Every KPI value in this workbook is a live formula; click any value to see it.</t>
  </si>
  <si>
    <t>How the numbers flow</t>
  </si>
  <si>
    <t>1. Plant Inputs: one row per plant per month (6 plants × Apr–Sep 2026).</t>
  </si>
  <si>
    <t>2. Entity Inputs: each plant input is the sum of the entity's 3 plants (Entity A1 = Plants 01–03, A2 = Plants 04–06); days to permit expiry, days to breach and disclosure clock take the lowest. Yellow inputs only exist at entity level (finance, cash, treasury, capex, programmes, controls, governance, data trust, workflow). Blue columns are building blocks (EBITDA, net working capital, DSO …) calculated from the inputs.</t>
  </si>
  <si>
    <t>3. Group Inputs: each input is the sum (or lowest) of Entity A1 and Entity A2, with the same building blocks.</t>
  </si>
  <si>
    <t>4. Plant KPIs, Entity KPIs, Group KPIs: the same formula applied at each level to that level's own totals. A KPI is never an average of the level below. Plant KPIs exist only where every input exists at plant level.</t>
  </si>
  <si>
    <t>Sheets</t>
  </si>
  <si>
    <t>Coverage: every KPI ID on the mockups, whether it is in this workbook, which lenses and screens show it.</t>
  </si>
  <si>
    <t>KPI Register: one row per KPI with its formula, inputs, where the inputs come from, the bottom-up path, the Sep 2026 value at every plant, entity and the Group, and what the mockups show.</t>
  </si>
  <si>
    <t>Lineage (Sep 2026): for each KPI, every input traced from the 6 plants to the 2 entities to the Group, then the result at each level.</t>
  </si>
  <si>
    <t>Screen Values: every KPI on every mockup screen (Owner, Core Group, Entity lenses), the value shown, the calculated value for the same scope, and Same / Different (at the precision the screen shows).</t>
  </si>
  <si>
    <t>Group KPIs / Entity KPIs / Plant KPIs: monthly values, live formulas.</t>
  </si>
  <si>
    <t>Group Inputs / Entity Inputs / Plant Inputs / Parameters: the data the formulas read.</t>
  </si>
  <si>
    <t>Formulas are working assumptions until the KPI catalogue definitions are approved. Some IDs on the mockups are the same measure and show the same value: OPS-005 = OPS-003, OPS-006 = PLT-002, OPS-004 = OPS-002, PRG-004 = STR-002, RSK-003 = CMP-005 = REG-010.</t>
  </si>
</sst>
</file>

<file path=xl/styles.xml><?xml version="1.0" encoding="utf-8"?>
<styleSheet xmlns="http://schemas.openxmlformats.org/spreadsheetml/2006/main">
  <numFmts count="3">
    <numFmt numFmtId="164" formatCode="#,##0.00"/>
    <numFmt numFmtId="165" formatCode="#,##0.##"/>
    <numFmt numFmtId="166" formatCode="#,##0.0"/>
  </numFmts>
  <fonts count="7">
    <font>
      <sz val="11"/>
      <color theme="1"/>
      <name val="Calibri"/>
      <family val="2"/>
      <scheme val="minor"/>
    </font>
    <font>
      <b/>
      <sz val="14"/>
      <color rgb="FF1F3A5F"/>
      <name val="Calibri"/>
      <family val="2"/>
      <scheme val="minor"/>
    </font>
    <font>
      <i/>
      <sz val="11"/>
      <color rgb="FF555555"/>
      <name val="Calibri"/>
      <family val="2"/>
      <scheme val="minor"/>
    </font>
    <font>
      <b/>
      <sz val="11"/>
      <color theme="1"/>
      <name val="Calibri"/>
      <family val="2"/>
      <scheme val="minor"/>
    </font>
    <font>
      <b/>
      <sz val="11"/>
      <color rgb="FFFFFFFF"/>
      <name val="Calibri"/>
      <family val="2"/>
      <scheme val="minor"/>
    </font>
    <font>
      <i/>
      <sz val="9"/>
      <color rgb="FF555555"/>
      <name val="Calibri"/>
      <family val="2"/>
      <scheme val="minor"/>
    </font>
    <font>
      <i/>
      <sz val="9"/>
      <color theme="1"/>
      <name val="Calibri"/>
      <family val="2"/>
      <scheme val="minor"/>
    </font>
  </fonts>
  <fills count="16">
    <fill>
      <patternFill patternType="none"/>
    </fill>
    <fill>
      <patternFill patternType="gray125"/>
    </fill>
    <fill>
      <patternFill patternType="solid">
        <fgColor rgb="FF1F3A5F"/>
        <bgColor indexed="64"/>
      </patternFill>
    </fill>
    <fill>
      <patternFill patternType="solid">
        <fgColor rgb="FFF4F7FB"/>
        <bgColor indexed="64"/>
      </patternFill>
    </fill>
    <fill>
      <patternFill patternType="solid">
        <fgColor rgb="FFF7F8FA"/>
        <bgColor indexed="64"/>
      </patternFill>
    </fill>
    <fill>
      <patternFill patternType="solid">
        <fgColor rgb="FFDCE6F2"/>
        <bgColor indexed="64"/>
      </patternFill>
    </fill>
    <fill>
      <patternFill patternType="solid">
        <fgColor rgb="FFEEF3FA"/>
        <bgColor indexed="64"/>
      </patternFill>
    </fill>
    <fill>
      <patternFill patternType="solid">
        <fgColor rgb="FFD9F2E3"/>
        <bgColor indexed="64"/>
      </patternFill>
    </fill>
    <fill>
      <patternFill patternType="solid">
        <fgColor rgb="FFF9D6D5"/>
        <bgColor indexed="64"/>
      </patternFill>
    </fill>
    <fill>
      <patternFill patternType="solid">
        <fgColor rgb="FFEEEEEE"/>
        <bgColor indexed="64"/>
      </patternFill>
    </fill>
    <fill>
      <patternFill patternType="solid">
        <fgColor rgb="FFD9DEE5"/>
        <bgColor indexed="64"/>
      </patternFill>
    </fill>
    <fill>
      <patternFill patternType="solid">
        <fgColor rgb="FF5B7DB1"/>
        <bgColor indexed="64"/>
      </patternFill>
    </fill>
    <fill>
      <patternFill patternType="solid">
        <fgColor rgb="FFEEF1F5"/>
        <bgColor indexed="64"/>
      </patternFill>
    </fill>
    <fill>
      <patternFill patternType="solid">
        <fgColor rgb="FFE3EAF5"/>
        <bgColor indexed="64"/>
      </patternFill>
    </fill>
    <fill>
      <patternFill patternType="solid">
        <fgColor rgb="FFFFF8E5"/>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4" fillId="2" borderId="1" xfId="0" applyFont="1" applyFill="1" applyBorder="1" applyAlignment="1">
      <alignment vertical="top" wrapText="1"/>
    </xf>
    <xf numFmtId="0" fontId="0" fillId="0" borderId="1" xfId="0" applyBorder="1" applyAlignment="1">
      <alignment vertical="top" wrapText="1"/>
    </xf>
    <xf numFmtId="164" fontId="0" fillId="3" borderId="1" xfId="0" applyNumberFormat="1" applyFill="1" applyBorder="1"/>
    <xf numFmtId="0" fontId="0" fillId="3" borderId="1" xfId="0" applyFill="1" applyBorder="1" applyAlignment="1">
      <alignment wrapText="1"/>
    </xf>
    <xf numFmtId="0" fontId="4" fillId="2" borderId="0" xfId="0" applyFont="1" applyFill="1" applyAlignment="1">
      <alignment vertical="top" wrapText="1"/>
    </xf>
    <xf numFmtId="165" fontId="0" fillId="4" borderId="0" xfId="0" applyNumberFormat="1" applyFill="1"/>
    <xf numFmtId="164" fontId="3" fillId="5" borderId="1" xfId="0" applyNumberFormat="1" applyFont="1" applyFill="1" applyBorder="1" applyAlignment="1">
      <alignment wrapText="1"/>
    </xf>
    <xf numFmtId="164" fontId="0" fillId="6" borderId="0" xfId="0" applyNumberFormat="1" applyFill="1"/>
    <xf numFmtId="0" fontId="3" fillId="7" borderId="1" xfId="0" applyFont="1" applyFill="1" applyBorder="1"/>
    <xf numFmtId="0" fontId="3" fillId="8" borderId="1" xfId="0" applyFont="1" applyFill="1" applyBorder="1"/>
    <xf numFmtId="0" fontId="0" fillId="9" borderId="1" xfId="0" applyFill="1" applyBorder="1"/>
    <xf numFmtId="0" fontId="3" fillId="10" borderId="1" xfId="0" applyFont="1" applyFill="1" applyBorder="1" applyAlignment="1">
      <alignment vertical="top" wrapText="1"/>
    </xf>
    <xf numFmtId="0" fontId="4" fillId="11" borderId="1" xfId="0" applyFont="1" applyFill="1" applyBorder="1" applyAlignment="1">
      <alignment vertical="top" wrapText="1"/>
    </xf>
    <xf numFmtId="0" fontId="5" fillId="12" borderId="1" xfId="0" applyFont="1" applyFill="1" applyBorder="1"/>
    <xf numFmtId="0" fontId="6" fillId="12" borderId="1" xfId="0" applyFont="1" applyFill="1" applyBorder="1" applyAlignment="1">
      <alignment vertical="top" wrapText="1"/>
    </xf>
    <xf numFmtId="0" fontId="6" fillId="13" borderId="1" xfId="0" applyFont="1" applyFill="1" applyBorder="1" applyAlignment="1">
      <alignment vertical="top" wrapText="1"/>
    </xf>
    <xf numFmtId="0" fontId="0" fillId="14" borderId="0" xfId="0" applyFill="1"/>
    <xf numFmtId="0" fontId="0" fillId="15" borderId="0" xfId="0" applyFill="1"/>
    <xf numFmtId="0" fontId="3" fillId="0" borderId="1" xfId="0" applyFont="1" applyBorder="1" applyAlignment="1">
      <alignment vertical="top"/>
    </xf>
    <xf numFmtId="164"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8"/>
  <sheetViews>
    <sheetView tabSelected="1" workbookViewId="0"/>
  </sheetViews>
  <sheetFormatPr defaultRowHeight="15"/>
  <cols>
    <col min="1" max="1" width="130.7109375" customWidth="1"/>
  </cols>
  <sheetData>
    <row r="1" spans="1:1">
      <c r="A1" s="1" t="s">
        <v>2093</v>
      </c>
    </row>
    <row r="2" spans="1:1">
      <c r="A2" s="2" t="s">
        <v>2094</v>
      </c>
    </row>
    <row r="3" spans="1:1">
      <c r="A3" s="3"/>
    </row>
    <row r="4" spans="1:1">
      <c r="A4" s="4" t="s">
        <v>2095</v>
      </c>
    </row>
    <row r="5" spans="1:1">
      <c r="A5" s="3" t="s">
        <v>2096</v>
      </c>
    </row>
    <row r="6" spans="1:1">
      <c r="A6" s="3" t="s">
        <v>2097</v>
      </c>
    </row>
    <row r="7" spans="1:1">
      <c r="A7" s="3" t="s">
        <v>2098</v>
      </c>
    </row>
    <row r="8" spans="1:1">
      <c r="A8" s="3" t="s">
        <v>2099</v>
      </c>
    </row>
    <row r="9" spans="1:1">
      <c r="A9" s="3"/>
    </row>
    <row r="10" spans="1:1">
      <c r="A10" s="4" t="s">
        <v>2100</v>
      </c>
    </row>
    <row r="11" spans="1:1">
      <c r="A11" s="3" t="s">
        <v>2101</v>
      </c>
    </row>
    <row r="12" spans="1:1">
      <c r="A12" s="3" t="s">
        <v>2102</v>
      </c>
    </row>
    <row r="13" spans="1:1">
      <c r="A13" s="3" t="s">
        <v>2103</v>
      </c>
    </row>
    <row r="14" spans="1:1">
      <c r="A14" s="3" t="s">
        <v>2104</v>
      </c>
    </row>
    <row r="15" spans="1:1">
      <c r="A15" s="3" t="s">
        <v>2105</v>
      </c>
    </row>
    <row r="16" spans="1:1">
      <c r="A16" s="3" t="s">
        <v>2106</v>
      </c>
    </row>
    <row r="17" spans="1:1">
      <c r="A17" s="3"/>
    </row>
    <row r="18" spans="1:1">
      <c r="A18" s="2" t="s">
        <v>2107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34.7109375" customWidth="1"/>
    <col min="3" max="3" width="10.7109375" customWidth="1"/>
    <col min="4" max="4" width="18.7109375" customWidth="1"/>
    <col min="5" max="5" width="10.7109375" customWidth="1"/>
    <col min="6" max="6" width="11.7109375" customWidth="1"/>
    <col min="7" max="7" width="10.7109375" customWidth="1"/>
    <col min="8" max="8" width="60.7109375" customWidth="1"/>
    <col min="9" max="9" width="11.7109375" customWidth="1"/>
  </cols>
  <sheetData>
    <row r="1" spans="1:9">
      <c r="A1" s="1" t="s">
        <v>2024</v>
      </c>
    </row>
    <row r="2" spans="1:9">
      <c r="A2" s="2" t="s">
        <v>2025</v>
      </c>
    </row>
    <row r="4" spans="1:9">
      <c r="A4" s="5" t="s">
        <v>442</v>
      </c>
      <c r="B4" s="5" t="s">
        <v>443</v>
      </c>
      <c r="C4" s="5" t="s">
        <v>2026</v>
      </c>
      <c r="D4" s="5" t="s">
        <v>1448</v>
      </c>
      <c r="E4" s="5" t="s">
        <v>2027</v>
      </c>
      <c r="F4" s="5" t="s">
        <v>2028</v>
      </c>
      <c r="G4" s="5" t="s">
        <v>2029</v>
      </c>
      <c r="H4" s="5" t="s">
        <v>2030</v>
      </c>
      <c r="I4" s="5" t="s">
        <v>2031</v>
      </c>
    </row>
    <row r="5" spans="1:9">
      <c r="A5" s="6" t="s">
        <v>753</v>
      </c>
      <c r="B5" s="6" t="s">
        <v>752</v>
      </c>
      <c r="C5" s="6" t="s">
        <v>2032</v>
      </c>
      <c r="D5" s="6" t="s">
        <v>1464</v>
      </c>
      <c r="E5" s="6">
        <v>1</v>
      </c>
      <c r="F5" s="6"/>
      <c r="G5" s="6">
        <v>1</v>
      </c>
      <c r="H5" s="6" t="s">
        <v>2033</v>
      </c>
      <c r="I5" s="6">
        <v>2</v>
      </c>
    </row>
    <row r="6" spans="1:9">
      <c r="A6" s="6" t="s">
        <v>717</v>
      </c>
      <c r="B6" s="6" t="s">
        <v>718</v>
      </c>
      <c r="C6" s="6" t="s">
        <v>2032</v>
      </c>
      <c r="D6" s="6" t="s">
        <v>1549</v>
      </c>
      <c r="E6" s="6">
        <v>1</v>
      </c>
      <c r="F6" s="6">
        <v>1</v>
      </c>
      <c r="G6" s="6">
        <v>2</v>
      </c>
      <c r="H6" s="6" t="s">
        <v>2034</v>
      </c>
      <c r="I6" s="6">
        <v>5</v>
      </c>
    </row>
    <row r="7" spans="1:9">
      <c r="A7" s="6" t="s">
        <v>720</v>
      </c>
      <c r="B7" s="6" t="s">
        <v>721</v>
      </c>
      <c r="C7" s="6" t="s">
        <v>2032</v>
      </c>
      <c r="D7" s="6" t="s">
        <v>1549</v>
      </c>
      <c r="E7" s="6">
        <v>1</v>
      </c>
      <c r="F7" s="6">
        <v>1</v>
      </c>
      <c r="G7" s="6">
        <v>2</v>
      </c>
      <c r="H7" s="6" t="s">
        <v>2034</v>
      </c>
      <c r="I7" s="6">
        <v>4</v>
      </c>
    </row>
    <row r="8" spans="1:9">
      <c r="A8" s="6" t="s">
        <v>723</v>
      </c>
      <c r="B8" s="6" t="s">
        <v>724</v>
      </c>
      <c r="C8" s="6" t="s">
        <v>2032</v>
      </c>
      <c r="D8" s="6" t="s">
        <v>1549</v>
      </c>
      <c r="E8" s="6">
        <v>1</v>
      </c>
      <c r="F8" s="6">
        <v>2</v>
      </c>
      <c r="G8" s="6">
        <v>2</v>
      </c>
      <c r="H8" s="6" t="s">
        <v>2035</v>
      </c>
      <c r="I8" s="6">
        <v>5</v>
      </c>
    </row>
    <row r="9" spans="1:9">
      <c r="A9" s="6" t="s">
        <v>649</v>
      </c>
      <c r="B9" s="6" t="s">
        <v>650</v>
      </c>
      <c r="C9" s="6" t="s">
        <v>2032</v>
      </c>
      <c r="D9" s="6" t="s">
        <v>1549</v>
      </c>
      <c r="E9" s="6">
        <v>1</v>
      </c>
      <c r="F9" s="6">
        <v>1</v>
      </c>
      <c r="G9" s="6">
        <v>1</v>
      </c>
      <c r="H9" s="6" t="s">
        <v>2036</v>
      </c>
      <c r="I9" s="6">
        <v>3</v>
      </c>
    </row>
    <row r="10" spans="1:9">
      <c r="A10" s="6" t="s">
        <v>653</v>
      </c>
      <c r="B10" s="6" t="s">
        <v>654</v>
      </c>
      <c r="C10" s="6" t="s">
        <v>2032</v>
      </c>
      <c r="D10" s="6" t="s">
        <v>1549</v>
      </c>
      <c r="E10" s="6">
        <v>1</v>
      </c>
      <c r="F10" s="6">
        <v>1</v>
      </c>
      <c r="G10" s="6">
        <v>1</v>
      </c>
      <c r="H10" s="6" t="s">
        <v>2036</v>
      </c>
      <c r="I10" s="6">
        <v>3</v>
      </c>
    </row>
    <row r="11" spans="1:9">
      <c r="A11" s="6" t="s">
        <v>657</v>
      </c>
      <c r="B11" s="6" t="s">
        <v>658</v>
      </c>
      <c r="C11" s="6" t="s">
        <v>2032</v>
      </c>
      <c r="D11" s="6" t="s">
        <v>1549</v>
      </c>
      <c r="E11" s="6">
        <v>1</v>
      </c>
      <c r="F11" s="6">
        <v>1</v>
      </c>
      <c r="G11" s="6">
        <v>1</v>
      </c>
      <c r="H11" s="6" t="s">
        <v>2036</v>
      </c>
      <c r="I11" s="6">
        <v>3</v>
      </c>
    </row>
    <row r="12" spans="1:9">
      <c r="A12" s="6" t="s">
        <v>660</v>
      </c>
      <c r="B12" s="6" t="s">
        <v>661</v>
      </c>
      <c r="C12" s="6" t="s">
        <v>2032</v>
      </c>
      <c r="D12" s="6" t="s">
        <v>1549</v>
      </c>
      <c r="E12" s="6">
        <v>4</v>
      </c>
      <c r="F12" s="6">
        <v>3</v>
      </c>
      <c r="G12" s="6">
        <v>1</v>
      </c>
      <c r="H12" s="6" t="s">
        <v>2037</v>
      </c>
      <c r="I12" s="6">
        <v>8</v>
      </c>
    </row>
    <row r="13" spans="1:9">
      <c r="A13" s="6" t="s">
        <v>585</v>
      </c>
      <c r="B13" s="6" t="s">
        <v>586</v>
      </c>
      <c r="C13" s="6" t="s">
        <v>2032</v>
      </c>
      <c r="D13" s="6" t="s">
        <v>1549</v>
      </c>
      <c r="E13" s="6">
        <v>1</v>
      </c>
      <c r="F13" s="6">
        <v>1</v>
      </c>
      <c r="G13" s="6">
        <v>1</v>
      </c>
      <c r="H13" s="6" t="s">
        <v>2038</v>
      </c>
      <c r="I13" s="6">
        <v>3</v>
      </c>
    </row>
    <row r="14" spans="1:9">
      <c r="A14" s="6" t="s">
        <v>588</v>
      </c>
      <c r="B14" s="6" t="s">
        <v>589</v>
      </c>
      <c r="C14" s="6" t="s">
        <v>2032</v>
      </c>
      <c r="D14" s="6" t="s">
        <v>1549</v>
      </c>
      <c r="E14" s="6">
        <v>1</v>
      </c>
      <c r="F14" s="6">
        <v>1</v>
      </c>
      <c r="G14" s="6">
        <v>1</v>
      </c>
      <c r="H14" s="6" t="s">
        <v>2038</v>
      </c>
      <c r="I14" s="6">
        <v>3</v>
      </c>
    </row>
    <row r="15" spans="1:9">
      <c r="A15" s="6" t="s">
        <v>591</v>
      </c>
      <c r="B15" s="6" t="s">
        <v>592</v>
      </c>
      <c r="C15" s="6" t="s">
        <v>2032</v>
      </c>
      <c r="D15" s="6" t="s">
        <v>1549</v>
      </c>
      <c r="E15" s="6">
        <v>2</v>
      </c>
      <c r="F15" s="6">
        <v>1</v>
      </c>
      <c r="G15" s="6">
        <v>2</v>
      </c>
      <c r="H15" s="6" t="s">
        <v>2039</v>
      </c>
      <c r="I15" s="6">
        <v>5</v>
      </c>
    </row>
    <row r="16" spans="1:9">
      <c r="A16" s="6" t="s">
        <v>595</v>
      </c>
      <c r="B16" s="6" t="s">
        <v>596</v>
      </c>
      <c r="C16" s="6" t="s">
        <v>2032</v>
      </c>
      <c r="D16" s="6" t="s">
        <v>1549</v>
      </c>
      <c r="E16" s="6">
        <v>1</v>
      </c>
      <c r="F16" s="6">
        <v>1</v>
      </c>
      <c r="G16" s="6">
        <v>1</v>
      </c>
      <c r="H16" s="6" t="s">
        <v>2038</v>
      </c>
      <c r="I16" s="6">
        <v>3</v>
      </c>
    </row>
    <row r="17" spans="1:9">
      <c r="A17" s="6" t="s">
        <v>598</v>
      </c>
      <c r="B17" s="6" t="s">
        <v>599</v>
      </c>
      <c r="C17" s="6" t="s">
        <v>2032</v>
      </c>
      <c r="D17" s="6" t="s">
        <v>1549</v>
      </c>
      <c r="E17" s="6">
        <v>2</v>
      </c>
      <c r="F17" s="6">
        <v>1</v>
      </c>
      <c r="G17" s="6">
        <v>2</v>
      </c>
      <c r="H17" s="6" t="s">
        <v>2039</v>
      </c>
      <c r="I17" s="6">
        <v>5</v>
      </c>
    </row>
    <row r="18" spans="1:9">
      <c r="A18" s="6" t="s">
        <v>488</v>
      </c>
      <c r="B18" s="6" t="s">
        <v>489</v>
      </c>
      <c r="C18" s="6" t="s">
        <v>2032</v>
      </c>
      <c r="D18" s="6" t="s">
        <v>1464</v>
      </c>
      <c r="E18" s="6">
        <v>1</v>
      </c>
      <c r="F18" s="6">
        <v>2</v>
      </c>
      <c r="G18" s="6">
        <v>2</v>
      </c>
      <c r="H18" s="6" t="s">
        <v>2040</v>
      </c>
      <c r="I18" s="6">
        <v>7</v>
      </c>
    </row>
    <row r="19" spans="1:9">
      <c r="A19" s="6" t="s">
        <v>492</v>
      </c>
      <c r="B19" s="6" t="s">
        <v>493</v>
      </c>
      <c r="C19" s="6" t="s">
        <v>2032</v>
      </c>
      <c r="D19" s="6" t="s">
        <v>1464</v>
      </c>
      <c r="E19" s="6">
        <v>1</v>
      </c>
      <c r="F19" s="6">
        <v>1</v>
      </c>
      <c r="G19" s="6">
        <v>2</v>
      </c>
      <c r="H19" s="6" t="s">
        <v>2041</v>
      </c>
      <c r="I19" s="6">
        <v>4</v>
      </c>
    </row>
    <row r="20" spans="1:9">
      <c r="A20" s="6" t="s">
        <v>495</v>
      </c>
      <c r="B20" s="6" t="s">
        <v>496</v>
      </c>
      <c r="C20" s="6" t="s">
        <v>2032</v>
      </c>
      <c r="D20" s="6" t="s">
        <v>1464</v>
      </c>
      <c r="E20" s="6">
        <v>1</v>
      </c>
      <c r="F20" s="6"/>
      <c r="G20" s="6">
        <v>1</v>
      </c>
      <c r="H20" s="6" t="s">
        <v>2042</v>
      </c>
      <c r="I20" s="6">
        <v>2</v>
      </c>
    </row>
    <row r="21" spans="1:9">
      <c r="A21" s="6" t="s">
        <v>555</v>
      </c>
      <c r="B21" s="6" t="s">
        <v>556</v>
      </c>
      <c r="C21" s="6" t="s">
        <v>2032</v>
      </c>
      <c r="D21" s="6" t="s">
        <v>1464</v>
      </c>
      <c r="E21" s="6">
        <v>1</v>
      </c>
      <c r="F21" s="6"/>
      <c r="G21" s="6"/>
      <c r="H21" s="6" t="s">
        <v>1156</v>
      </c>
      <c r="I21" s="6">
        <v>1</v>
      </c>
    </row>
    <row r="22" spans="1:9">
      <c r="A22" s="6" t="s">
        <v>901</v>
      </c>
      <c r="B22" s="6" t="s">
        <v>902</v>
      </c>
      <c r="C22" s="6" t="s">
        <v>2032</v>
      </c>
      <c r="D22" s="6" t="s">
        <v>1464</v>
      </c>
      <c r="E22" s="6"/>
      <c r="F22" s="6"/>
      <c r="G22" s="6">
        <v>1</v>
      </c>
      <c r="H22" s="6" t="s">
        <v>1422</v>
      </c>
      <c r="I22" s="6">
        <v>1</v>
      </c>
    </row>
    <row r="23" spans="1:9">
      <c r="A23" s="6" t="s">
        <v>759</v>
      </c>
      <c r="B23" s="6" t="s">
        <v>760</v>
      </c>
      <c r="C23" s="6" t="s">
        <v>2032</v>
      </c>
      <c r="D23" s="6" t="s">
        <v>1549</v>
      </c>
      <c r="E23" s="6">
        <v>1</v>
      </c>
      <c r="F23" s="6">
        <v>1</v>
      </c>
      <c r="G23" s="6">
        <v>1</v>
      </c>
      <c r="H23" s="6" t="s">
        <v>2043</v>
      </c>
      <c r="I23" s="6">
        <v>3</v>
      </c>
    </row>
    <row r="24" spans="1:9">
      <c r="A24" s="6" t="s">
        <v>783</v>
      </c>
      <c r="B24" s="6" t="s">
        <v>784</v>
      </c>
      <c r="C24" s="6" t="s">
        <v>2032</v>
      </c>
      <c r="D24" s="6" t="s">
        <v>1549</v>
      </c>
      <c r="E24" s="6"/>
      <c r="F24" s="6">
        <v>1</v>
      </c>
      <c r="G24" s="6"/>
      <c r="H24" s="6" t="s">
        <v>1257</v>
      </c>
      <c r="I24" s="6">
        <v>1</v>
      </c>
    </row>
    <row r="25" spans="1:9">
      <c r="A25" s="6" t="s">
        <v>762</v>
      </c>
      <c r="B25" s="6" t="s">
        <v>763</v>
      </c>
      <c r="C25" s="6" t="s">
        <v>2032</v>
      </c>
      <c r="D25" s="6" t="s">
        <v>1549</v>
      </c>
      <c r="E25" s="6">
        <v>1</v>
      </c>
      <c r="F25" s="6">
        <v>1</v>
      </c>
      <c r="G25" s="6"/>
      <c r="H25" s="6" t="s">
        <v>2044</v>
      </c>
      <c r="I25" s="6">
        <v>2</v>
      </c>
    </row>
    <row r="26" spans="1:9">
      <c r="A26" s="6" t="s">
        <v>765</v>
      </c>
      <c r="B26" s="6" t="s">
        <v>766</v>
      </c>
      <c r="C26" s="6" t="s">
        <v>2032</v>
      </c>
      <c r="D26" s="6" t="s">
        <v>1549</v>
      </c>
      <c r="E26" s="6">
        <v>1</v>
      </c>
      <c r="F26" s="6">
        <v>1</v>
      </c>
      <c r="G26" s="6">
        <v>1</v>
      </c>
      <c r="H26" s="6" t="s">
        <v>2043</v>
      </c>
      <c r="I26" s="6">
        <v>3</v>
      </c>
    </row>
    <row r="27" spans="1:9">
      <c r="A27" s="6" t="s">
        <v>768</v>
      </c>
      <c r="B27" s="6" t="s">
        <v>769</v>
      </c>
      <c r="C27" s="6" t="s">
        <v>2032</v>
      </c>
      <c r="D27" s="6" t="s">
        <v>1549</v>
      </c>
      <c r="E27" s="6">
        <v>1</v>
      </c>
      <c r="F27" s="6">
        <v>1</v>
      </c>
      <c r="G27" s="6">
        <v>2</v>
      </c>
      <c r="H27" s="6" t="s">
        <v>2034</v>
      </c>
      <c r="I27" s="6">
        <v>4</v>
      </c>
    </row>
    <row r="28" spans="1:9">
      <c r="A28" s="6" t="s">
        <v>771</v>
      </c>
      <c r="B28" s="6" t="s">
        <v>772</v>
      </c>
      <c r="C28" s="6" t="s">
        <v>2032</v>
      </c>
      <c r="D28" s="6" t="s">
        <v>1549</v>
      </c>
      <c r="E28" s="6">
        <v>1</v>
      </c>
      <c r="F28" s="6">
        <v>1</v>
      </c>
      <c r="G28" s="6">
        <v>1</v>
      </c>
      <c r="H28" s="6" t="s">
        <v>2043</v>
      </c>
      <c r="I28" s="6">
        <v>3</v>
      </c>
    </row>
    <row r="29" spans="1:9">
      <c r="A29" s="6" t="s">
        <v>774</v>
      </c>
      <c r="B29" s="6" t="s">
        <v>775</v>
      </c>
      <c r="C29" s="6" t="s">
        <v>2032</v>
      </c>
      <c r="D29" s="6" t="s">
        <v>1549</v>
      </c>
      <c r="E29" s="6">
        <v>1</v>
      </c>
      <c r="F29" s="6">
        <v>1</v>
      </c>
      <c r="G29" s="6">
        <v>1</v>
      </c>
      <c r="H29" s="6" t="s">
        <v>2043</v>
      </c>
      <c r="I29" s="6">
        <v>3</v>
      </c>
    </row>
    <row r="30" spans="1:9">
      <c r="A30" s="6" t="s">
        <v>777</v>
      </c>
      <c r="B30" s="6" t="s">
        <v>778</v>
      </c>
      <c r="C30" s="6" t="s">
        <v>2032</v>
      </c>
      <c r="D30" s="6" t="s">
        <v>1549</v>
      </c>
      <c r="E30" s="6">
        <v>1</v>
      </c>
      <c r="F30" s="6">
        <v>1</v>
      </c>
      <c r="G30" s="6">
        <v>1</v>
      </c>
      <c r="H30" s="6" t="s">
        <v>2043</v>
      </c>
      <c r="I30" s="6">
        <v>3</v>
      </c>
    </row>
    <row r="31" spans="1:9">
      <c r="A31" s="6" t="s">
        <v>780</v>
      </c>
      <c r="B31" s="6" t="s">
        <v>781</v>
      </c>
      <c r="C31" s="6" t="s">
        <v>2032</v>
      </c>
      <c r="D31" s="6" t="s">
        <v>1549</v>
      </c>
      <c r="E31" s="6">
        <v>1</v>
      </c>
      <c r="F31" s="6">
        <v>1</v>
      </c>
      <c r="G31" s="6">
        <v>1</v>
      </c>
      <c r="H31" s="6" t="s">
        <v>2043</v>
      </c>
      <c r="I31" s="6">
        <v>3</v>
      </c>
    </row>
    <row r="32" spans="1:9">
      <c r="A32" s="6" t="s">
        <v>841</v>
      </c>
      <c r="B32" s="6" t="s">
        <v>842</v>
      </c>
      <c r="C32" s="6" t="s">
        <v>2032</v>
      </c>
      <c r="D32" s="6" t="s">
        <v>1549</v>
      </c>
      <c r="E32" s="6">
        <v>3</v>
      </c>
      <c r="F32" s="6">
        <v>5</v>
      </c>
      <c r="G32" s="6">
        <v>2</v>
      </c>
      <c r="H32" s="6" t="s">
        <v>2045</v>
      </c>
      <c r="I32" s="6">
        <v>10</v>
      </c>
    </row>
    <row r="33" spans="1:9">
      <c r="A33" s="6" t="s">
        <v>843</v>
      </c>
      <c r="B33" s="6" t="s">
        <v>844</v>
      </c>
      <c r="C33" s="6" t="s">
        <v>2032</v>
      </c>
      <c r="D33" s="6" t="s">
        <v>1549</v>
      </c>
      <c r="E33" s="6"/>
      <c r="F33" s="6">
        <v>1</v>
      </c>
      <c r="G33" s="6"/>
      <c r="H33" s="6" t="s">
        <v>1279</v>
      </c>
      <c r="I33" s="6">
        <v>1</v>
      </c>
    </row>
    <row r="34" spans="1:9">
      <c r="A34" s="6" t="s">
        <v>846</v>
      </c>
      <c r="B34" s="6" t="s">
        <v>847</v>
      </c>
      <c r="C34" s="6" t="s">
        <v>2032</v>
      </c>
      <c r="D34" s="6" t="s">
        <v>1549</v>
      </c>
      <c r="E34" s="6"/>
      <c r="F34" s="6">
        <v>1</v>
      </c>
      <c r="G34" s="6">
        <v>2</v>
      </c>
      <c r="H34" s="6" t="s">
        <v>2046</v>
      </c>
      <c r="I34" s="6">
        <v>3</v>
      </c>
    </row>
    <row r="35" spans="1:9">
      <c r="A35" s="6" t="s">
        <v>848</v>
      </c>
      <c r="B35" s="6" t="s">
        <v>849</v>
      </c>
      <c r="C35" s="6" t="s">
        <v>2032</v>
      </c>
      <c r="D35" s="6" t="s">
        <v>1549</v>
      </c>
      <c r="E35" s="6">
        <v>1</v>
      </c>
      <c r="F35" s="6">
        <v>1</v>
      </c>
      <c r="G35" s="6">
        <v>1</v>
      </c>
      <c r="H35" s="6" t="s">
        <v>2047</v>
      </c>
      <c r="I35" s="6">
        <v>3</v>
      </c>
    </row>
    <row r="36" spans="1:9">
      <c r="A36" s="6" t="s">
        <v>851</v>
      </c>
      <c r="B36" s="6" t="s">
        <v>852</v>
      </c>
      <c r="C36" s="6" t="s">
        <v>2032</v>
      </c>
      <c r="D36" s="6" t="s">
        <v>1549</v>
      </c>
      <c r="E36" s="6">
        <v>1</v>
      </c>
      <c r="F36" s="6">
        <v>1</v>
      </c>
      <c r="G36" s="6">
        <v>1</v>
      </c>
      <c r="H36" s="6" t="s">
        <v>2047</v>
      </c>
      <c r="I36" s="6">
        <v>3</v>
      </c>
    </row>
    <row r="37" spans="1:9">
      <c r="A37" s="6" t="s">
        <v>854</v>
      </c>
      <c r="B37" s="6" t="s">
        <v>855</v>
      </c>
      <c r="C37" s="6" t="s">
        <v>2032</v>
      </c>
      <c r="D37" s="6" t="s">
        <v>1549</v>
      </c>
      <c r="E37" s="6">
        <v>1</v>
      </c>
      <c r="F37" s="6">
        <v>1</v>
      </c>
      <c r="G37" s="6">
        <v>1</v>
      </c>
      <c r="H37" s="6" t="s">
        <v>2047</v>
      </c>
      <c r="I37" s="6">
        <v>3</v>
      </c>
    </row>
    <row r="38" spans="1:9">
      <c r="A38" s="6" t="s">
        <v>858</v>
      </c>
      <c r="B38" s="6" t="s">
        <v>859</v>
      </c>
      <c r="C38" s="6" t="s">
        <v>2032</v>
      </c>
      <c r="D38" s="6" t="s">
        <v>1549</v>
      </c>
      <c r="E38" s="6">
        <v>1</v>
      </c>
      <c r="F38" s="6">
        <v>1</v>
      </c>
      <c r="G38" s="6">
        <v>1</v>
      </c>
      <c r="H38" s="6" t="s">
        <v>2047</v>
      </c>
      <c r="I38" s="6">
        <v>3</v>
      </c>
    </row>
    <row r="39" spans="1:9">
      <c r="A39" s="6" t="s">
        <v>522</v>
      </c>
      <c r="B39" s="6" t="s">
        <v>523</v>
      </c>
      <c r="C39" s="6" t="s">
        <v>2032</v>
      </c>
      <c r="D39" s="6" t="s">
        <v>1464</v>
      </c>
      <c r="E39" s="6">
        <v>1</v>
      </c>
      <c r="F39" s="6">
        <v>1</v>
      </c>
      <c r="G39" s="6">
        <v>1</v>
      </c>
      <c r="H39" s="6" t="s">
        <v>2043</v>
      </c>
      <c r="I39" s="6">
        <v>4</v>
      </c>
    </row>
    <row r="40" spans="1:9">
      <c r="A40" s="6" t="s">
        <v>526</v>
      </c>
      <c r="B40" s="6" t="s">
        <v>527</v>
      </c>
      <c r="C40" s="6" t="s">
        <v>2032</v>
      </c>
      <c r="D40" s="6" t="s">
        <v>1464</v>
      </c>
      <c r="E40" s="6">
        <v>1</v>
      </c>
      <c r="F40" s="6">
        <v>3</v>
      </c>
      <c r="G40" s="6">
        <v>1</v>
      </c>
      <c r="H40" s="6" t="s">
        <v>2048</v>
      </c>
      <c r="I40" s="6">
        <v>5</v>
      </c>
    </row>
    <row r="41" spans="1:9">
      <c r="A41" s="6" t="s">
        <v>528</v>
      </c>
      <c r="B41" s="6" t="s">
        <v>529</v>
      </c>
      <c r="C41" s="6" t="s">
        <v>2032</v>
      </c>
      <c r="D41" s="6" t="s">
        <v>1464</v>
      </c>
      <c r="E41" s="6">
        <v>1</v>
      </c>
      <c r="F41" s="6">
        <v>1</v>
      </c>
      <c r="G41" s="6">
        <v>1</v>
      </c>
      <c r="H41" s="6" t="s">
        <v>2043</v>
      </c>
      <c r="I41" s="6">
        <v>3</v>
      </c>
    </row>
    <row r="42" spans="1:9">
      <c r="A42" s="6" t="s">
        <v>530</v>
      </c>
      <c r="B42" s="6" t="s">
        <v>531</v>
      </c>
      <c r="C42" s="6" t="s">
        <v>2032</v>
      </c>
      <c r="D42" s="6" t="s">
        <v>1464</v>
      </c>
      <c r="E42" s="6">
        <v>1</v>
      </c>
      <c r="F42" s="6">
        <v>1</v>
      </c>
      <c r="G42" s="6">
        <v>1</v>
      </c>
      <c r="H42" s="6" t="s">
        <v>2043</v>
      </c>
      <c r="I42" s="6">
        <v>3</v>
      </c>
    </row>
    <row r="43" spans="1:9">
      <c r="A43" s="6" t="s">
        <v>532</v>
      </c>
      <c r="B43" s="6" t="s">
        <v>533</v>
      </c>
      <c r="C43" s="6" t="s">
        <v>2032</v>
      </c>
      <c r="D43" s="6" t="s">
        <v>1464</v>
      </c>
      <c r="E43" s="6">
        <v>1</v>
      </c>
      <c r="F43" s="6">
        <v>1</v>
      </c>
      <c r="G43" s="6">
        <v>1</v>
      </c>
      <c r="H43" s="6" t="s">
        <v>2043</v>
      </c>
      <c r="I43" s="6">
        <v>3</v>
      </c>
    </row>
    <row r="44" spans="1:9">
      <c r="A44" s="6" t="s">
        <v>534</v>
      </c>
      <c r="B44" s="6" t="s">
        <v>535</v>
      </c>
      <c r="C44" s="6" t="s">
        <v>2032</v>
      </c>
      <c r="D44" s="6" t="s">
        <v>1464</v>
      </c>
      <c r="E44" s="6"/>
      <c r="F44" s="6">
        <v>1</v>
      </c>
      <c r="G44" s="6">
        <v>1</v>
      </c>
      <c r="H44" s="6" t="s">
        <v>2049</v>
      </c>
      <c r="I44" s="6">
        <v>2</v>
      </c>
    </row>
    <row r="45" spans="1:9">
      <c r="A45" s="6" t="s">
        <v>536</v>
      </c>
      <c r="B45" s="6" t="s">
        <v>537</v>
      </c>
      <c r="C45" s="6" t="s">
        <v>2032</v>
      </c>
      <c r="D45" s="6" t="s">
        <v>1464</v>
      </c>
      <c r="E45" s="6">
        <v>1</v>
      </c>
      <c r="F45" s="6">
        <v>1</v>
      </c>
      <c r="G45" s="6">
        <v>1</v>
      </c>
      <c r="H45" s="6" t="s">
        <v>2043</v>
      </c>
      <c r="I45" s="6">
        <v>4</v>
      </c>
    </row>
    <row r="46" spans="1:9">
      <c r="A46" s="6" t="s">
        <v>754</v>
      </c>
      <c r="B46" s="6" t="s">
        <v>755</v>
      </c>
      <c r="C46" s="6" t="s">
        <v>2032</v>
      </c>
      <c r="D46" s="6" t="s">
        <v>1464</v>
      </c>
      <c r="E46" s="6">
        <v>1</v>
      </c>
      <c r="F46" s="6">
        <v>1</v>
      </c>
      <c r="G46" s="6">
        <v>1</v>
      </c>
      <c r="H46" s="6" t="s">
        <v>2043</v>
      </c>
      <c r="I46" s="6">
        <v>3</v>
      </c>
    </row>
    <row r="47" spans="1:9">
      <c r="A47" s="6" t="s">
        <v>539</v>
      </c>
      <c r="B47" s="6" t="s">
        <v>540</v>
      </c>
      <c r="C47" s="6" t="s">
        <v>2032</v>
      </c>
      <c r="D47" s="6" t="s">
        <v>1464</v>
      </c>
      <c r="E47" s="6"/>
      <c r="F47" s="6">
        <v>1</v>
      </c>
      <c r="G47" s="6">
        <v>1</v>
      </c>
      <c r="H47" s="6" t="s">
        <v>2049</v>
      </c>
      <c r="I47" s="6">
        <v>2</v>
      </c>
    </row>
    <row r="48" spans="1:9">
      <c r="A48" s="6" t="s">
        <v>756</v>
      </c>
      <c r="B48" s="6" t="s">
        <v>757</v>
      </c>
      <c r="C48" s="6" t="s">
        <v>2032</v>
      </c>
      <c r="D48" s="6" t="s">
        <v>1464</v>
      </c>
      <c r="E48" s="6"/>
      <c r="F48" s="6">
        <v>1</v>
      </c>
      <c r="G48" s="6"/>
      <c r="H48" s="6" t="s">
        <v>1257</v>
      </c>
      <c r="I48" s="6">
        <v>1</v>
      </c>
    </row>
    <row r="49" spans="1:9">
      <c r="A49" s="6" t="s">
        <v>558</v>
      </c>
      <c r="B49" s="6" t="s">
        <v>559</v>
      </c>
      <c r="C49" s="6" t="s">
        <v>2032</v>
      </c>
      <c r="D49" s="6" t="s">
        <v>1549</v>
      </c>
      <c r="E49" s="6">
        <v>3</v>
      </c>
      <c r="F49" s="6">
        <v>4</v>
      </c>
      <c r="G49" s="6">
        <v>2</v>
      </c>
      <c r="H49" s="6" t="s">
        <v>2050</v>
      </c>
      <c r="I49" s="6">
        <v>9</v>
      </c>
    </row>
    <row r="50" spans="1:9">
      <c r="A50" s="6" t="s">
        <v>563</v>
      </c>
      <c r="B50" s="6" t="s">
        <v>564</v>
      </c>
      <c r="C50" s="6" t="s">
        <v>2032</v>
      </c>
      <c r="D50" s="6" t="s">
        <v>1549</v>
      </c>
      <c r="E50" s="6">
        <v>3</v>
      </c>
      <c r="F50" s="6">
        <v>3</v>
      </c>
      <c r="G50" s="6">
        <v>2</v>
      </c>
      <c r="H50" s="6" t="s">
        <v>2051</v>
      </c>
      <c r="I50" s="6">
        <v>10</v>
      </c>
    </row>
    <row r="51" spans="1:9">
      <c r="A51" s="6" t="s">
        <v>566</v>
      </c>
      <c r="B51" s="6" t="s">
        <v>567</v>
      </c>
      <c r="C51" s="6" t="s">
        <v>2032</v>
      </c>
      <c r="D51" s="6" t="s">
        <v>1464</v>
      </c>
      <c r="E51" s="6">
        <v>3</v>
      </c>
      <c r="F51" s="6">
        <v>4</v>
      </c>
      <c r="G51" s="6">
        <v>2</v>
      </c>
      <c r="H51" s="6" t="s">
        <v>2050</v>
      </c>
      <c r="I51" s="6">
        <v>11</v>
      </c>
    </row>
    <row r="52" spans="1:9">
      <c r="A52" s="6" t="s">
        <v>569</v>
      </c>
      <c r="B52" s="6" t="s">
        <v>570</v>
      </c>
      <c r="C52" s="6" t="s">
        <v>2032</v>
      </c>
      <c r="D52" s="6" t="s">
        <v>1549</v>
      </c>
      <c r="E52" s="6">
        <v>4</v>
      </c>
      <c r="F52" s="6">
        <v>3</v>
      </c>
      <c r="G52" s="6">
        <v>2</v>
      </c>
      <c r="H52" s="6" t="s">
        <v>2052</v>
      </c>
      <c r="I52" s="6">
        <v>9</v>
      </c>
    </row>
    <row r="53" spans="1:9">
      <c r="A53" s="6" t="s">
        <v>572</v>
      </c>
      <c r="B53" s="6" t="s">
        <v>573</v>
      </c>
      <c r="C53" s="6" t="s">
        <v>2032</v>
      </c>
      <c r="D53" s="6" t="s">
        <v>1549</v>
      </c>
      <c r="E53" s="6">
        <v>3</v>
      </c>
      <c r="F53" s="6">
        <v>3</v>
      </c>
      <c r="G53" s="6">
        <v>2</v>
      </c>
      <c r="H53" s="6" t="s">
        <v>2051</v>
      </c>
      <c r="I53" s="6">
        <v>10</v>
      </c>
    </row>
    <row r="54" spans="1:9">
      <c r="A54" s="6" t="s">
        <v>575</v>
      </c>
      <c r="B54" s="6" t="s">
        <v>576</v>
      </c>
      <c r="C54" s="6" t="s">
        <v>2032</v>
      </c>
      <c r="D54" s="6" t="s">
        <v>1549</v>
      </c>
      <c r="E54" s="6">
        <v>4</v>
      </c>
      <c r="F54" s="6">
        <v>3</v>
      </c>
      <c r="G54" s="6"/>
      <c r="H54" s="6" t="s">
        <v>2053</v>
      </c>
      <c r="I54" s="6">
        <v>7</v>
      </c>
    </row>
    <row r="55" spans="1:9">
      <c r="A55" s="6" t="s">
        <v>579</v>
      </c>
      <c r="B55" s="6" t="s">
        <v>580</v>
      </c>
      <c r="C55" s="6" t="s">
        <v>2032</v>
      </c>
      <c r="D55" s="6" t="s">
        <v>1549</v>
      </c>
      <c r="E55" s="6">
        <v>3</v>
      </c>
      <c r="F55" s="6">
        <v>1</v>
      </c>
      <c r="G55" s="6"/>
      <c r="H55" s="6" t="s">
        <v>2054</v>
      </c>
      <c r="I55" s="6">
        <v>4</v>
      </c>
    </row>
    <row r="56" spans="1:9">
      <c r="A56" s="6" t="s">
        <v>582</v>
      </c>
      <c r="B56" s="6" t="s">
        <v>583</v>
      </c>
      <c r="C56" s="6" t="s">
        <v>2032</v>
      </c>
      <c r="D56" s="6" t="s">
        <v>1549</v>
      </c>
      <c r="E56" s="6"/>
      <c r="F56" s="6">
        <v>1</v>
      </c>
      <c r="G56" s="6"/>
      <c r="H56" s="6" t="s">
        <v>1226</v>
      </c>
      <c r="I56" s="6">
        <v>1</v>
      </c>
    </row>
    <row r="57" spans="1:9">
      <c r="A57" s="6" t="s">
        <v>786</v>
      </c>
      <c r="B57" s="6" t="s">
        <v>787</v>
      </c>
      <c r="C57" s="6" t="s">
        <v>2032</v>
      </c>
      <c r="D57" s="6" t="s">
        <v>1549</v>
      </c>
      <c r="E57" s="6">
        <v>1</v>
      </c>
      <c r="F57" s="6">
        <v>1</v>
      </c>
      <c r="G57" s="6">
        <v>1</v>
      </c>
      <c r="H57" s="6" t="s">
        <v>2055</v>
      </c>
      <c r="I57" s="6">
        <v>3</v>
      </c>
    </row>
    <row r="58" spans="1:9">
      <c r="A58" s="6" t="s">
        <v>789</v>
      </c>
      <c r="B58" s="6" t="s">
        <v>790</v>
      </c>
      <c r="C58" s="6" t="s">
        <v>2032</v>
      </c>
      <c r="D58" s="6" t="s">
        <v>1549</v>
      </c>
      <c r="E58" s="6">
        <v>1</v>
      </c>
      <c r="F58" s="6">
        <v>1</v>
      </c>
      <c r="G58" s="6">
        <v>1</v>
      </c>
      <c r="H58" s="6" t="s">
        <v>2055</v>
      </c>
      <c r="I58" s="6">
        <v>4</v>
      </c>
    </row>
    <row r="59" spans="1:9">
      <c r="A59" s="6" t="s">
        <v>792</v>
      </c>
      <c r="B59" s="6" t="s">
        <v>793</v>
      </c>
      <c r="C59" s="6" t="s">
        <v>2032</v>
      </c>
      <c r="D59" s="6" t="s">
        <v>1549</v>
      </c>
      <c r="E59" s="6">
        <v>1</v>
      </c>
      <c r="F59" s="6">
        <v>1</v>
      </c>
      <c r="G59" s="6">
        <v>1</v>
      </c>
      <c r="H59" s="6" t="s">
        <v>2055</v>
      </c>
      <c r="I59" s="6">
        <v>3</v>
      </c>
    </row>
    <row r="60" spans="1:9">
      <c r="A60" s="6" t="s">
        <v>794</v>
      </c>
      <c r="B60" s="6" t="s">
        <v>795</v>
      </c>
      <c r="C60" s="6" t="s">
        <v>2032</v>
      </c>
      <c r="D60" s="6" t="s">
        <v>1549</v>
      </c>
      <c r="E60" s="6">
        <v>2</v>
      </c>
      <c r="F60" s="6">
        <v>2</v>
      </c>
      <c r="G60" s="6">
        <v>2</v>
      </c>
      <c r="H60" s="6" t="s">
        <v>2056</v>
      </c>
      <c r="I60" s="6">
        <v>6</v>
      </c>
    </row>
    <row r="61" spans="1:9">
      <c r="A61" s="6" t="s">
        <v>796</v>
      </c>
      <c r="B61" s="6" t="s">
        <v>797</v>
      </c>
      <c r="C61" s="6" t="s">
        <v>2032</v>
      </c>
      <c r="D61" s="6" t="s">
        <v>1549</v>
      </c>
      <c r="E61" s="6">
        <v>1</v>
      </c>
      <c r="F61" s="6">
        <v>1</v>
      </c>
      <c r="G61" s="6">
        <v>1</v>
      </c>
      <c r="H61" s="6" t="s">
        <v>2055</v>
      </c>
      <c r="I61" s="6">
        <v>3</v>
      </c>
    </row>
    <row r="62" spans="1:9">
      <c r="A62" s="6" t="s">
        <v>798</v>
      </c>
      <c r="B62" s="6" t="s">
        <v>799</v>
      </c>
      <c r="C62" s="6" t="s">
        <v>2032</v>
      </c>
      <c r="D62" s="6" t="s">
        <v>1549</v>
      </c>
      <c r="E62" s="6">
        <v>1</v>
      </c>
      <c r="F62" s="6">
        <v>1</v>
      </c>
      <c r="G62" s="6">
        <v>1</v>
      </c>
      <c r="H62" s="6" t="s">
        <v>2055</v>
      </c>
      <c r="I62" s="6">
        <v>3</v>
      </c>
    </row>
    <row r="63" spans="1:9">
      <c r="A63" s="6" t="s">
        <v>801</v>
      </c>
      <c r="B63" s="6" t="s">
        <v>802</v>
      </c>
      <c r="C63" s="6" t="s">
        <v>2032</v>
      </c>
      <c r="D63" s="6" t="s">
        <v>1549</v>
      </c>
      <c r="E63" s="6">
        <v>1</v>
      </c>
      <c r="F63" s="6">
        <v>1</v>
      </c>
      <c r="G63" s="6"/>
      <c r="H63" s="6" t="s">
        <v>2057</v>
      </c>
      <c r="I63" s="6">
        <v>4</v>
      </c>
    </row>
    <row r="64" spans="1:9">
      <c r="A64" s="6" t="s">
        <v>811</v>
      </c>
      <c r="B64" s="6" t="s">
        <v>812</v>
      </c>
      <c r="C64" s="6" t="s">
        <v>2032</v>
      </c>
      <c r="D64" s="6" t="s">
        <v>1549</v>
      </c>
      <c r="E64" s="6">
        <v>1</v>
      </c>
      <c r="F64" s="6">
        <v>1</v>
      </c>
      <c r="G64" s="6">
        <v>1</v>
      </c>
      <c r="H64" s="6" t="s">
        <v>2055</v>
      </c>
      <c r="I64" s="6">
        <v>4</v>
      </c>
    </row>
    <row r="65" spans="1:9">
      <c r="A65" s="6" t="s">
        <v>814</v>
      </c>
      <c r="B65" s="6" t="s">
        <v>815</v>
      </c>
      <c r="C65" s="6" t="s">
        <v>2032</v>
      </c>
      <c r="D65" s="6" t="s">
        <v>1549</v>
      </c>
      <c r="E65" s="6">
        <v>1</v>
      </c>
      <c r="F65" s="6">
        <v>1</v>
      </c>
      <c r="G65" s="6">
        <v>1</v>
      </c>
      <c r="H65" s="6" t="s">
        <v>2055</v>
      </c>
      <c r="I65" s="6">
        <v>3</v>
      </c>
    </row>
    <row r="66" spans="1:9">
      <c r="A66" s="6" t="s">
        <v>620</v>
      </c>
      <c r="B66" s="6" t="s">
        <v>621</v>
      </c>
      <c r="C66" s="6" t="s">
        <v>2032</v>
      </c>
      <c r="D66" s="6" t="s">
        <v>1549</v>
      </c>
      <c r="E66" s="6">
        <v>1</v>
      </c>
      <c r="F66" s="6">
        <v>1</v>
      </c>
      <c r="G66" s="6">
        <v>1</v>
      </c>
      <c r="H66" s="6" t="s">
        <v>2038</v>
      </c>
      <c r="I66" s="6">
        <v>3</v>
      </c>
    </row>
    <row r="67" spans="1:9">
      <c r="A67" s="6" t="s">
        <v>624</v>
      </c>
      <c r="B67" s="6" t="s">
        <v>625</v>
      </c>
      <c r="C67" s="6" t="s">
        <v>2032</v>
      </c>
      <c r="D67" s="6" t="s">
        <v>1549</v>
      </c>
      <c r="E67" s="6">
        <v>1</v>
      </c>
      <c r="F67" s="6">
        <v>1</v>
      </c>
      <c r="G67" s="6">
        <v>1</v>
      </c>
      <c r="H67" s="6" t="s">
        <v>2038</v>
      </c>
      <c r="I67" s="6">
        <v>3</v>
      </c>
    </row>
    <row r="68" spans="1:9">
      <c r="A68" s="6" t="s">
        <v>627</v>
      </c>
      <c r="B68" s="6" t="s">
        <v>628</v>
      </c>
      <c r="C68" s="6" t="s">
        <v>2032</v>
      </c>
      <c r="D68" s="6" t="s">
        <v>1549</v>
      </c>
      <c r="E68" s="6">
        <v>1</v>
      </c>
      <c r="F68" s="6">
        <v>1</v>
      </c>
      <c r="G68" s="6">
        <v>1</v>
      </c>
      <c r="H68" s="6" t="s">
        <v>2038</v>
      </c>
      <c r="I68" s="6">
        <v>3</v>
      </c>
    </row>
    <row r="69" spans="1:9">
      <c r="A69" s="6" t="s">
        <v>630</v>
      </c>
      <c r="B69" s="6" t="s">
        <v>631</v>
      </c>
      <c r="C69" s="6" t="s">
        <v>2032</v>
      </c>
      <c r="D69" s="6" t="s">
        <v>1549</v>
      </c>
      <c r="E69" s="6">
        <v>1</v>
      </c>
      <c r="F69" s="6">
        <v>1</v>
      </c>
      <c r="G69" s="6"/>
      <c r="H69" s="6" t="s">
        <v>2058</v>
      </c>
      <c r="I69" s="6">
        <v>2</v>
      </c>
    </row>
    <row r="70" spans="1:9">
      <c r="A70" s="6" t="s">
        <v>453</v>
      </c>
      <c r="B70" s="6" t="s">
        <v>454</v>
      </c>
      <c r="C70" s="6" t="s">
        <v>2032</v>
      </c>
      <c r="D70" s="6" t="s">
        <v>1464</v>
      </c>
      <c r="E70" s="6">
        <v>6</v>
      </c>
      <c r="F70" s="6">
        <v>6</v>
      </c>
      <c r="G70" s="6">
        <v>4</v>
      </c>
      <c r="H70" s="6" t="s">
        <v>2059</v>
      </c>
      <c r="I70" s="6">
        <v>16</v>
      </c>
    </row>
    <row r="71" spans="1:9">
      <c r="A71" s="6" t="s">
        <v>550</v>
      </c>
      <c r="B71" s="6" t="s">
        <v>551</v>
      </c>
      <c r="C71" s="6" t="s">
        <v>2032</v>
      </c>
      <c r="D71" s="6" t="s">
        <v>1464</v>
      </c>
      <c r="E71" s="6">
        <v>3</v>
      </c>
      <c r="F71" s="6">
        <v>3</v>
      </c>
      <c r="G71" s="6">
        <v>1</v>
      </c>
      <c r="H71" s="6" t="s">
        <v>2060</v>
      </c>
      <c r="I71" s="6">
        <v>7</v>
      </c>
    </row>
    <row r="72" spans="1:9">
      <c r="A72" s="6" t="s">
        <v>457</v>
      </c>
      <c r="B72" s="6" t="s">
        <v>458</v>
      </c>
      <c r="C72" s="6" t="s">
        <v>2032</v>
      </c>
      <c r="D72" s="6" t="s">
        <v>1464</v>
      </c>
      <c r="E72" s="6">
        <v>3</v>
      </c>
      <c r="F72" s="6">
        <v>1</v>
      </c>
      <c r="G72" s="6">
        <v>1</v>
      </c>
      <c r="H72" s="6" t="s">
        <v>2061</v>
      </c>
      <c r="I72" s="6">
        <v>5</v>
      </c>
    </row>
    <row r="73" spans="1:9">
      <c r="A73" s="6" t="s">
        <v>553</v>
      </c>
      <c r="B73" s="6" t="s">
        <v>554</v>
      </c>
      <c r="C73" s="6" t="s">
        <v>2032</v>
      </c>
      <c r="D73" s="6" t="s">
        <v>1464</v>
      </c>
      <c r="E73" s="6">
        <v>1</v>
      </c>
      <c r="F73" s="6"/>
      <c r="G73" s="6"/>
      <c r="H73" s="6" t="s">
        <v>1014</v>
      </c>
      <c r="I73" s="6">
        <v>1</v>
      </c>
    </row>
    <row r="74" spans="1:9">
      <c r="A74" s="6" t="s">
        <v>545</v>
      </c>
      <c r="B74" s="6" t="s">
        <v>546</v>
      </c>
      <c r="C74" s="6" t="s">
        <v>2032</v>
      </c>
      <c r="D74" s="6" t="s">
        <v>1464</v>
      </c>
      <c r="E74" s="6">
        <v>2</v>
      </c>
      <c r="F74" s="6">
        <v>2</v>
      </c>
      <c r="G74" s="6">
        <v>1</v>
      </c>
      <c r="H74" s="6" t="s">
        <v>2062</v>
      </c>
      <c r="I74" s="6">
        <v>5</v>
      </c>
    </row>
    <row r="75" spans="1:9">
      <c r="A75" s="6" t="s">
        <v>547</v>
      </c>
      <c r="B75" s="6" t="s">
        <v>548</v>
      </c>
      <c r="C75" s="6" t="s">
        <v>2032</v>
      </c>
      <c r="D75" s="6" t="s">
        <v>1464</v>
      </c>
      <c r="E75" s="6">
        <v>1</v>
      </c>
      <c r="F75" s="6"/>
      <c r="G75" s="6"/>
      <c r="H75" s="6" t="s">
        <v>1156</v>
      </c>
      <c r="I75" s="6">
        <v>1</v>
      </c>
    </row>
    <row r="76" spans="1:9">
      <c r="A76" s="6" t="s">
        <v>460</v>
      </c>
      <c r="B76" s="6" t="s">
        <v>461</v>
      </c>
      <c r="C76" s="6" t="s">
        <v>2032</v>
      </c>
      <c r="D76" s="6" t="s">
        <v>1464</v>
      </c>
      <c r="E76" s="6"/>
      <c r="F76" s="6"/>
      <c r="G76" s="6">
        <v>1</v>
      </c>
      <c r="H76" s="6" t="s">
        <v>1324</v>
      </c>
      <c r="I76" s="6">
        <v>1</v>
      </c>
    </row>
    <row r="77" spans="1:9">
      <c r="A77" s="6" t="s">
        <v>463</v>
      </c>
      <c r="B77" s="6" t="s">
        <v>464</v>
      </c>
      <c r="C77" s="6" t="s">
        <v>2032</v>
      </c>
      <c r="D77" s="6" t="s">
        <v>1464</v>
      </c>
      <c r="E77" s="6"/>
      <c r="F77" s="6">
        <v>1</v>
      </c>
      <c r="G77" s="6">
        <v>1</v>
      </c>
      <c r="H77" s="6" t="s">
        <v>2063</v>
      </c>
      <c r="I77" s="6">
        <v>2</v>
      </c>
    </row>
    <row r="78" spans="1:9">
      <c r="A78" s="6" t="s">
        <v>466</v>
      </c>
      <c r="B78" s="6" t="s">
        <v>467</v>
      </c>
      <c r="C78" s="6" t="s">
        <v>2032</v>
      </c>
      <c r="D78" s="6" t="s">
        <v>1464</v>
      </c>
      <c r="E78" s="6"/>
      <c r="F78" s="6"/>
      <c r="G78" s="6">
        <v>1</v>
      </c>
      <c r="H78" s="6" t="s">
        <v>1324</v>
      </c>
      <c r="I78" s="6">
        <v>1</v>
      </c>
    </row>
    <row r="79" spans="1:9">
      <c r="A79" s="6" t="s">
        <v>469</v>
      </c>
      <c r="B79" s="6" t="s">
        <v>470</v>
      </c>
      <c r="C79" s="6" t="s">
        <v>2032</v>
      </c>
      <c r="D79" s="6" t="s">
        <v>1464</v>
      </c>
      <c r="E79" s="6"/>
      <c r="F79" s="6"/>
      <c r="G79" s="6">
        <v>1</v>
      </c>
      <c r="H79" s="6" t="s">
        <v>1324</v>
      </c>
      <c r="I79" s="6">
        <v>1</v>
      </c>
    </row>
    <row r="80" spans="1:9">
      <c r="A80" s="6" t="s">
        <v>874</v>
      </c>
      <c r="B80" s="6" t="s">
        <v>875</v>
      </c>
      <c r="C80" s="6" t="s">
        <v>2032</v>
      </c>
      <c r="D80" s="6" t="s">
        <v>1464</v>
      </c>
      <c r="E80" s="6">
        <v>6</v>
      </c>
      <c r="F80" s="6">
        <v>1</v>
      </c>
      <c r="G80" s="6">
        <v>3</v>
      </c>
      <c r="H80" s="6" t="s">
        <v>2064</v>
      </c>
      <c r="I80" s="6">
        <v>10</v>
      </c>
    </row>
    <row r="81" spans="1:9">
      <c r="A81" s="6" t="s">
        <v>878</v>
      </c>
      <c r="B81" s="6" t="s">
        <v>879</v>
      </c>
      <c r="C81" s="6" t="s">
        <v>2032</v>
      </c>
      <c r="D81" s="6" t="s">
        <v>1464</v>
      </c>
      <c r="E81" s="6">
        <v>4</v>
      </c>
      <c r="F81" s="6">
        <v>4</v>
      </c>
      <c r="G81" s="6">
        <v>1</v>
      </c>
      <c r="H81" s="6" t="s">
        <v>2065</v>
      </c>
      <c r="I81" s="6">
        <v>9</v>
      </c>
    </row>
    <row r="82" spans="1:9">
      <c r="A82" s="6" t="s">
        <v>882</v>
      </c>
      <c r="B82" s="6" t="s">
        <v>883</v>
      </c>
      <c r="C82" s="6" t="s">
        <v>2032</v>
      </c>
      <c r="D82" s="6" t="s">
        <v>1549</v>
      </c>
      <c r="E82" s="6">
        <v>5</v>
      </c>
      <c r="F82" s="6">
        <v>5</v>
      </c>
      <c r="G82" s="6">
        <v>1</v>
      </c>
      <c r="H82" s="6" t="s">
        <v>2066</v>
      </c>
      <c r="I82" s="6">
        <v>11</v>
      </c>
    </row>
    <row r="83" spans="1:9">
      <c r="A83" s="6" t="s">
        <v>885</v>
      </c>
      <c r="B83" s="6" t="s">
        <v>886</v>
      </c>
      <c r="C83" s="6" t="s">
        <v>2032</v>
      </c>
      <c r="D83" s="6" t="s">
        <v>1549</v>
      </c>
      <c r="E83" s="6">
        <v>2</v>
      </c>
      <c r="F83" s="6">
        <v>4</v>
      </c>
      <c r="G83" s="6">
        <v>1</v>
      </c>
      <c r="H83" s="6" t="s">
        <v>2067</v>
      </c>
      <c r="I83" s="6">
        <v>7</v>
      </c>
    </row>
    <row r="84" spans="1:9">
      <c r="A84" s="6" t="s">
        <v>890</v>
      </c>
      <c r="B84" s="6" t="s">
        <v>891</v>
      </c>
      <c r="C84" s="6" t="s">
        <v>2032</v>
      </c>
      <c r="D84" s="6" t="s">
        <v>1549</v>
      </c>
      <c r="E84" s="6">
        <v>2</v>
      </c>
      <c r="F84" s="6">
        <v>3</v>
      </c>
      <c r="G84" s="6">
        <v>1</v>
      </c>
      <c r="H84" s="6" t="s">
        <v>2068</v>
      </c>
      <c r="I84" s="6">
        <v>7</v>
      </c>
    </row>
    <row r="85" spans="1:9">
      <c r="A85" s="6" t="s">
        <v>894</v>
      </c>
      <c r="B85" s="6" t="s">
        <v>895</v>
      </c>
      <c r="C85" s="6" t="s">
        <v>2032</v>
      </c>
      <c r="D85" s="6" t="s">
        <v>1464</v>
      </c>
      <c r="E85" s="6">
        <v>1</v>
      </c>
      <c r="F85" s="6">
        <v>2</v>
      </c>
      <c r="G85" s="6"/>
      <c r="H85" s="6" t="s">
        <v>2069</v>
      </c>
      <c r="I85" s="6">
        <v>4</v>
      </c>
    </row>
    <row r="86" spans="1:9">
      <c r="A86" s="6" t="s">
        <v>898</v>
      </c>
      <c r="B86" s="6" t="s">
        <v>899</v>
      </c>
      <c r="C86" s="6" t="s">
        <v>2032</v>
      </c>
      <c r="D86" s="6" t="s">
        <v>1464</v>
      </c>
      <c r="E86" s="6">
        <v>1</v>
      </c>
      <c r="F86" s="6"/>
      <c r="G86" s="6"/>
      <c r="H86" s="6" t="s">
        <v>1156</v>
      </c>
      <c r="I86" s="6">
        <v>1</v>
      </c>
    </row>
    <row r="87" spans="1:9">
      <c r="A87" s="6" t="s">
        <v>904</v>
      </c>
      <c r="B87" s="6" t="s">
        <v>905</v>
      </c>
      <c r="C87" s="6" t="s">
        <v>2032</v>
      </c>
      <c r="D87" s="6" t="s">
        <v>1549</v>
      </c>
      <c r="E87" s="6"/>
      <c r="F87" s="6"/>
      <c r="G87" s="6">
        <v>1</v>
      </c>
      <c r="H87" s="6" t="s">
        <v>1422</v>
      </c>
      <c r="I87" s="6">
        <v>1</v>
      </c>
    </row>
    <row r="88" spans="1:9">
      <c r="A88" s="6" t="s">
        <v>907</v>
      </c>
      <c r="B88" s="6" t="s">
        <v>908</v>
      </c>
      <c r="C88" s="6" t="s">
        <v>2032</v>
      </c>
      <c r="D88" s="6" t="s">
        <v>1549</v>
      </c>
      <c r="E88" s="6"/>
      <c r="F88" s="6"/>
      <c r="G88" s="6">
        <v>1</v>
      </c>
      <c r="H88" s="6" t="s">
        <v>1422</v>
      </c>
      <c r="I88" s="6">
        <v>1</v>
      </c>
    </row>
    <row r="89" spans="1:9">
      <c r="A89" s="6" t="s">
        <v>910</v>
      </c>
      <c r="B89" s="6" t="s">
        <v>911</v>
      </c>
      <c r="C89" s="6" t="s">
        <v>2032</v>
      </c>
      <c r="D89" s="6" t="s">
        <v>1464</v>
      </c>
      <c r="E89" s="6"/>
      <c r="F89" s="6"/>
      <c r="G89" s="6">
        <v>1</v>
      </c>
      <c r="H89" s="6" t="s">
        <v>1422</v>
      </c>
      <c r="I89" s="6">
        <v>1</v>
      </c>
    </row>
    <row r="90" spans="1:9">
      <c r="A90" s="6" t="s">
        <v>913</v>
      </c>
      <c r="B90" s="6" t="s">
        <v>914</v>
      </c>
      <c r="C90" s="6" t="s">
        <v>2032</v>
      </c>
      <c r="D90" s="6" t="s">
        <v>1464</v>
      </c>
      <c r="E90" s="6"/>
      <c r="F90" s="6"/>
      <c r="G90" s="6">
        <v>1</v>
      </c>
      <c r="H90" s="6" t="s">
        <v>1422</v>
      </c>
      <c r="I90" s="6">
        <v>1</v>
      </c>
    </row>
    <row r="91" spans="1:9">
      <c r="A91" s="6" t="s">
        <v>916</v>
      </c>
      <c r="B91" s="6" t="s">
        <v>917</v>
      </c>
      <c r="C91" s="6" t="s">
        <v>2032</v>
      </c>
      <c r="D91" s="6" t="s">
        <v>1549</v>
      </c>
      <c r="E91" s="6"/>
      <c r="F91" s="6"/>
      <c r="G91" s="6">
        <v>1</v>
      </c>
      <c r="H91" s="6" t="s">
        <v>1422</v>
      </c>
      <c r="I91" s="6">
        <v>1</v>
      </c>
    </row>
    <row r="92" spans="1:9">
      <c r="A92" s="6" t="s">
        <v>666</v>
      </c>
      <c r="B92" s="6" t="s">
        <v>667</v>
      </c>
      <c r="C92" s="6" t="s">
        <v>2032</v>
      </c>
      <c r="D92" s="6" t="s">
        <v>1549</v>
      </c>
      <c r="E92" s="6">
        <v>1</v>
      </c>
      <c r="F92" s="6">
        <v>1</v>
      </c>
      <c r="G92" s="6"/>
      <c r="H92" s="6" t="s">
        <v>2070</v>
      </c>
      <c r="I92" s="6">
        <v>2</v>
      </c>
    </row>
    <row r="93" spans="1:9">
      <c r="A93" s="6" t="s">
        <v>670</v>
      </c>
      <c r="B93" s="6" t="s">
        <v>671</v>
      </c>
      <c r="C93" s="6" t="s">
        <v>2032</v>
      </c>
      <c r="D93" s="6" t="s">
        <v>1549</v>
      </c>
      <c r="E93" s="6">
        <v>1</v>
      </c>
      <c r="F93" s="6">
        <v>1</v>
      </c>
      <c r="G93" s="6">
        <v>1</v>
      </c>
      <c r="H93" s="6" t="s">
        <v>2036</v>
      </c>
      <c r="I93" s="6">
        <v>3</v>
      </c>
    </row>
    <row r="94" spans="1:9">
      <c r="A94" s="6" t="s">
        <v>673</v>
      </c>
      <c r="B94" s="6" t="s">
        <v>674</v>
      </c>
      <c r="C94" s="6" t="s">
        <v>2032</v>
      </c>
      <c r="D94" s="6" t="s">
        <v>1549</v>
      </c>
      <c r="E94" s="6">
        <v>1</v>
      </c>
      <c r="F94" s="6">
        <v>1</v>
      </c>
      <c r="G94" s="6">
        <v>1</v>
      </c>
      <c r="H94" s="6" t="s">
        <v>2036</v>
      </c>
      <c r="I94" s="6">
        <v>4</v>
      </c>
    </row>
    <row r="95" spans="1:9">
      <c r="A95" s="6" t="s">
        <v>676</v>
      </c>
      <c r="B95" s="6" t="s">
        <v>677</v>
      </c>
      <c r="C95" s="6" t="s">
        <v>2032</v>
      </c>
      <c r="D95" s="6" t="s">
        <v>1549</v>
      </c>
      <c r="E95" s="6">
        <v>2</v>
      </c>
      <c r="F95" s="6">
        <v>2</v>
      </c>
      <c r="G95" s="6">
        <v>1</v>
      </c>
      <c r="H95" s="6" t="s">
        <v>2071</v>
      </c>
      <c r="I95" s="6">
        <v>5</v>
      </c>
    </row>
    <row r="96" spans="1:9">
      <c r="A96" s="6" t="s">
        <v>681</v>
      </c>
      <c r="B96" s="6" t="s">
        <v>682</v>
      </c>
      <c r="C96" s="6" t="s">
        <v>2032</v>
      </c>
      <c r="D96" s="6" t="s">
        <v>1549</v>
      </c>
      <c r="E96" s="6">
        <v>1</v>
      </c>
      <c r="F96" s="6"/>
      <c r="G96" s="6">
        <v>1</v>
      </c>
      <c r="H96" s="6" t="s">
        <v>2072</v>
      </c>
      <c r="I96" s="6">
        <v>2</v>
      </c>
    </row>
    <row r="97" spans="1:9">
      <c r="A97" s="6" t="s">
        <v>726</v>
      </c>
      <c r="B97" s="6" t="s">
        <v>727</v>
      </c>
      <c r="C97" s="6" t="s">
        <v>2032</v>
      </c>
      <c r="D97" s="6" t="s">
        <v>1464</v>
      </c>
      <c r="E97" s="6"/>
      <c r="F97" s="6">
        <v>1</v>
      </c>
      <c r="G97" s="6">
        <v>1</v>
      </c>
      <c r="H97" s="6" t="s">
        <v>2049</v>
      </c>
      <c r="I97" s="6">
        <v>2</v>
      </c>
    </row>
    <row r="98" spans="1:9">
      <c r="A98" s="6" t="s">
        <v>729</v>
      </c>
      <c r="B98" s="6" t="s">
        <v>730</v>
      </c>
      <c r="C98" s="6" t="s">
        <v>2032</v>
      </c>
      <c r="D98" s="6" t="s">
        <v>1464</v>
      </c>
      <c r="E98" s="6"/>
      <c r="F98" s="6">
        <v>1</v>
      </c>
      <c r="G98" s="6">
        <v>1</v>
      </c>
      <c r="H98" s="6" t="s">
        <v>2049</v>
      </c>
      <c r="I98" s="6">
        <v>2</v>
      </c>
    </row>
    <row r="99" spans="1:9">
      <c r="A99" s="6" t="s">
        <v>732</v>
      </c>
      <c r="B99" s="6" t="s">
        <v>733</v>
      </c>
      <c r="C99" s="6" t="s">
        <v>2032</v>
      </c>
      <c r="D99" s="6" t="s">
        <v>1464</v>
      </c>
      <c r="E99" s="6"/>
      <c r="F99" s="6">
        <v>1</v>
      </c>
      <c r="G99" s="6">
        <v>1</v>
      </c>
      <c r="H99" s="6" t="s">
        <v>2049</v>
      </c>
      <c r="I99" s="6">
        <v>2</v>
      </c>
    </row>
    <row r="100" spans="1:9">
      <c r="A100" s="6" t="s">
        <v>735</v>
      </c>
      <c r="B100" s="6" t="s">
        <v>736</v>
      </c>
      <c r="C100" s="6" t="s">
        <v>2032</v>
      </c>
      <c r="D100" s="6" t="s">
        <v>1464</v>
      </c>
      <c r="E100" s="6"/>
      <c r="F100" s="6">
        <v>1</v>
      </c>
      <c r="G100" s="6">
        <v>1</v>
      </c>
      <c r="H100" s="6" t="s">
        <v>2049</v>
      </c>
      <c r="I100" s="6">
        <v>2</v>
      </c>
    </row>
    <row r="101" spans="1:9">
      <c r="A101" s="6" t="s">
        <v>738</v>
      </c>
      <c r="B101" s="6" t="s">
        <v>739</v>
      </c>
      <c r="C101" s="6" t="s">
        <v>2032</v>
      </c>
      <c r="D101" s="6" t="s">
        <v>1464</v>
      </c>
      <c r="E101" s="6">
        <v>1</v>
      </c>
      <c r="F101" s="6">
        <v>1</v>
      </c>
      <c r="G101" s="6">
        <v>1</v>
      </c>
      <c r="H101" s="6" t="s">
        <v>2043</v>
      </c>
      <c r="I101" s="6">
        <v>3</v>
      </c>
    </row>
    <row r="102" spans="1:9">
      <c r="A102" s="6" t="s">
        <v>542</v>
      </c>
      <c r="B102" s="6" t="s">
        <v>543</v>
      </c>
      <c r="C102" s="6" t="s">
        <v>2032</v>
      </c>
      <c r="D102" s="6" t="s">
        <v>1464</v>
      </c>
      <c r="E102" s="6">
        <v>1</v>
      </c>
      <c r="F102" s="6"/>
      <c r="G102" s="6">
        <v>1</v>
      </c>
      <c r="H102" s="6" t="s">
        <v>2073</v>
      </c>
      <c r="I102" s="6">
        <v>2</v>
      </c>
    </row>
    <row r="103" spans="1:9">
      <c r="A103" s="6" t="s">
        <v>741</v>
      </c>
      <c r="B103" s="6" t="s">
        <v>742</v>
      </c>
      <c r="C103" s="6" t="s">
        <v>2032</v>
      </c>
      <c r="D103" s="6" t="s">
        <v>1464</v>
      </c>
      <c r="E103" s="6"/>
      <c r="F103" s="6">
        <v>1</v>
      </c>
      <c r="G103" s="6">
        <v>1</v>
      </c>
      <c r="H103" s="6" t="s">
        <v>2049</v>
      </c>
      <c r="I103" s="6">
        <v>2</v>
      </c>
    </row>
    <row r="104" spans="1:9">
      <c r="A104" s="6" t="s">
        <v>743</v>
      </c>
      <c r="B104" s="6" t="s">
        <v>744</v>
      </c>
      <c r="C104" s="6" t="s">
        <v>2032</v>
      </c>
      <c r="D104" s="6" t="s">
        <v>1464</v>
      </c>
      <c r="E104" s="6"/>
      <c r="F104" s="6">
        <v>1</v>
      </c>
      <c r="G104" s="6">
        <v>1</v>
      </c>
      <c r="H104" s="6" t="s">
        <v>2049</v>
      </c>
      <c r="I104" s="6">
        <v>2</v>
      </c>
    </row>
    <row r="105" spans="1:9">
      <c r="A105" s="6" t="s">
        <v>745</v>
      </c>
      <c r="B105" s="6" t="s">
        <v>746</v>
      </c>
      <c r="C105" s="6" t="s">
        <v>2032</v>
      </c>
      <c r="D105" s="6" t="s">
        <v>1464</v>
      </c>
      <c r="E105" s="6">
        <v>1</v>
      </c>
      <c r="F105" s="6"/>
      <c r="G105" s="6"/>
      <c r="H105" s="6" t="s">
        <v>1117</v>
      </c>
      <c r="I105" s="6">
        <v>1</v>
      </c>
    </row>
    <row r="106" spans="1:9">
      <c r="A106" s="6" t="s">
        <v>748</v>
      </c>
      <c r="B106" s="6" t="s">
        <v>749</v>
      </c>
      <c r="C106" s="6" t="s">
        <v>2032</v>
      </c>
      <c r="D106" s="6" t="s">
        <v>1464</v>
      </c>
      <c r="E106" s="6">
        <v>1</v>
      </c>
      <c r="F106" s="6">
        <v>2</v>
      </c>
      <c r="G106" s="6">
        <v>1</v>
      </c>
      <c r="H106" s="6" t="s">
        <v>2074</v>
      </c>
      <c r="I106" s="6">
        <v>4</v>
      </c>
    </row>
    <row r="107" spans="1:9">
      <c r="A107" s="6" t="s">
        <v>919</v>
      </c>
      <c r="B107" s="6" t="s">
        <v>920</v>
      </c>
      <c r="C107" s="6" t="s">
        <v>2032</v>
      </c>
      <c r="D107" s="6" t="s">
        <v>1549</v>
      </c>
      <c r="E107" s="6"/>
      <c r="F107" s="6"/>
      <c r="G107" s="6">
        <v>1</v>
      </c>
      <c r="H107" s="6" t="s">
        <v>1396</v>
      </c>
      <c r="I107" s="6">
        <v>2</v>
      </c>
    </row>
    <row r="108" spans="1:9">
      <c r="A108" s="6" t="s">
        <v>472</v>
      </c>
      <c r="B108" s="6" t="s">
        <v>473</v>
      </c>
      <c r="C108" s="6" t="s">
        <v>2032</v>
      </c>
      <c r="D108" s="6" t="s">
        <v>1464</v>
      </c>
      <c r="E108" s="6">
        <v>1</v>
      </c>
      <c r="F108" s="6">
        <v>1</v>
      </c>
      <c r="G108" s="6">
        <v>1</v>
      </c>
      <c r="H108" s="6" t="s">
        <v>2075</v>
      </c>
      <c r="I108" s="6">
        <v>4</v>
      </c>
    </row>
    <row r="109" spans="1:9">
      <c r="A109" s="6" t="s">
        <v>476</v>
      </c>
      <c r="B109" s="6" t="s">
        <v>477</v>
      </c>
      <c r="C109" s="6" t="s">
        <v>2032</v>
      </c>
      <c r="D109" s="6" t="s">
        <v>1464</v>
      </c>
      <c r="E109" s="6">
        <v>1</v>
      </c>
      <c r="F109" s="6">
        <v>1</v>
      </c>
      <c r="G109" s="6">
        <v>1</v>
      </c>
      <c r="H109" s="6" t="s">
        <v>2075</v>
      </c>
      <c r="I109" s="6">
        <v>3</v>
      </c>
    </row>
    <row r="110" spans="1:9">
      <c r="A110" s="6" t="s">
        <v>479</v>
      </c>
      <c r="B110" s="6" t="s">
        <v>480</v>
      </c>
      <c r="C110" s="6" t="s">
        <v>2032</v>
      </c>
      <c r="D110" s="6" t="s">
        <v>1464</v>
      </c>
      <c r="E110" s="6">
        <v>1</v>
      </c>
      <c r="F110" s="6">
        <v>1</v>
      </c>
      <c r="G110" s="6">
        <v>1</v>
      </c>
      <c r="H110" s="6" t="s">
        <v>2075</v>
      </c>
      <c r="I110" s="6">
        <v>4</v>
      </c>
    </row>
    <row r="111" spans="1:9">
      <c r="A111" s="6" t="s">
        <v>481</v>
      </c>
      <c r="B111" s="6" t="s">
        <v>482</v>
      </c>
      <c r="C111" s="6" t="s">
        <v>2032</v>
      </c>
      <c r="D111" s="6" t="s">
        <v>1464</v>
      </c>
      <c r="E111" s="6"/>
      <c r="F111" s="6">
        <v>1</v>
      </c>
      <c r="G111" s="6">
        <v>1</v>
      </c>
      <c r="H111" s="6" t="s">
        <v>2076</v>
      </c>
      <c r="I111" s="6">
        <v>2</v>
      </c>
    </row>
    <row r="112" spans="1:9">
      <c r="A112" s="6" t="s">
        <v>485</v>
      </c>
      <c r="B112" s="6" t="s">
        <v>486</v>
      </c>
      <c r="C112" s="6" t="s">
        <v>2032</v>
      </c>
      <c r="D112" s="6" t="s">
        <v>1464</v>
      </c>
      <c r="E112" s="6">
        <v>1</v>
      </c>
      <c r="F112" s="6"/>
      <c r="G112" s="6">
        <v>1</v>
      </c>
      <c r="H112" s="6" t="s">
        <v>2077</v>
      </c>
      <c r="I112" s="6">
        <v>2</v>
      </c>
    </row>
    <row r="113" spans="1:9">
      <c r="A113" s="6" t="s">
        <v>751</v>
      </c>
      <c r="B113" s="6" t="s">
        <v>752</v>
      </c>
      <c r="C113" s="6" t="s">
        <v>2032</v>
      </c>
      <c r="D113" s="6" t="s">
        <v>1464</v>
      </c>
      <c r="E113" s="6">
        <v>3</v>
      </c>
      <c r="F113" s="6"/>
      <c r="G113" s="6"/>
      <c r="H113" s="6" t="s">
        <v>2078</v>
      </c>
      <c r="I113" s="6">
        <v>3</v>
      </c>
    </row>
    <row r="114" spans="1:9">
      <c r="A114" s="6" t="s">
        <v>922</v>
      </c>
      <c r="B114" s="6" t="s">
        <v>923</v>
      </c>
      <c r="C114" s="6" t="s">
        <v>2032</v>
      </c>
      <c r="D114" s="6" t="s">
        <v>1464</v>
      </c>
      <c r="E114" s="6"/>
      <c r="F114" s="6"/>
      <c r="G114" s="6">
        <v>1</v>
      </c>
      <c r="H114" s="6" t="s">
        <v>1324</v>
      </c>
      <c r="I114" s="6">
        <v>1</v>
      </c>
    </row>
    <row r="115" spans="1:9">
      <c r="A115" s="6" t="s">
        <v>925</v>
      </c>
      <c r="B115" s="6" t="s">
        <v>926</v>
      </c>
      <c r="C115" s="6" t="s">
        <v>2032</v>
      </c>
      <c r="D115" s="6" t="s">
        <v>1464</v>
      </c>
      <c r="E115" s="6"/>
      <c r="F115" s="6"/>
      <c r="G115" s="6">
        <v>1</v>
      </c>
      <c r="H115" s="6" t="s">
        <v>1324</v>
      </c>
      <c r="I115" s="6">
        <v>1</v>
      </c>
    </row>
    <row r="116" spans="1:9">
      <c r="A116" s="6" t="s">
        <v>861</v>
      </c>
      <c r="B116" s="6" t="s">
        <v>862</v>
      </c>
      <c r="C116" s="6" t="s">
        <v>2032</v>
      </c>
      <c r="D116" s="6" t="s">
        <v>1549</v>
      </c>
      <c r="E116" s="6">
        <v>1</v>
      </c>
      <c r="F116" s="6">
        <v>2</v>
      </c>
      <c r="G116" s="6">
        <v>1</v>
      </c>
      <c r="H116" s="6" t="s">
        <v>2079</v>
      </c>
      <c r="I116" s="6">
        <v>4</v>
      </c>
    </row>
    <row r="117" spans="1:9">
      <c r="A117" s="6" t="s">
        <v>864</v>
      </c>
      <c r="B117" s="6" t="s">
        <v>865</v>
      </c>
      <c r="C117" s="6" t="s">
        <v>2032</v>
      </c>
      <c r="D117" s="6" t="s">
        <v>1549</v>
      </c>
      <c r="E117" s="6"/>
      <c r="F117" s="6">
        <v>1</v>
      </c>
      <c r="G117" s="6">
        <v>1</v>
      </c>
      <c r="H117" s="6" t="s">
        <v>2080</v>
      </c>
      <c r="I117" s="6">
        <v>2</v>
      </c>
    </row>
    <row r="118" spans="1:9">
      <c r="A118" s="6" t="s">
        <v>868</v>
      </c>
      <c r="B118" s="6" t="s">
        <v>869</v>
      </c>
      <c r="C118" s="6" t="s">
        <v>2032</v>
      </c>
      <c r="D118" s="6" t="s">
        <v>1549</v>
      </c>
      <c r="E118" s="6">
        <v>1</v>
      </c>
      <c r="F118" s="6"/>
      <c r="G118" s="6"/>
      <c r="H118" s="6" t="s">
        <v>1058</v>
      </c>
      <c r="I118" s="6">
        <v>1</v>
      </c>
    </row>
    <row r="119" spans="1:9">
      <c r="A119" s="6" t="s">
        <v>508</v>
      </c>
      <c r="B119" s="6" t="s">
        <v>509</v>
      </c>
      <c r="C119" s="6" t="s">
        <v>2032</v>
      </c>
      <c r="D119" s="6" t="s">
        <v>1464</v>
      </c>
      <c r="E119" s="6">
        <v>1</v>
      </c>
      <c r="F119" s="6">
        <v>1</v>
      </c>
      <c r="G119" s="6">
        <v>3</v>
      </c>
      <c r="H119" s="6" t="s">
        <v>2081</v>
      </c>
      <c r="I119" s="6">
        <v>5</v>
      </c>
    </row>
    <row r="120" spans="1:9">
      <c r="A120" s="6" t="s">
        <v>510</v>
      </c>
      <c r="B120" s="6" t="s">
        <v>511</v>
      </c>
      <c r="C120" s="6" t="s">
        <v>2032</v>
      </c>
      <c r="D120" s="6" t="s">
        <v>1464</v>
      </c>
      <c r="E120" s="6"/>
      <c r="F120" s="6"/>
      <c r="G120" s="6">
        <v>1</v>
      </c>
      <c r="H120" s="6" t="s">
        <v>1342</v>
      </c>
      <c r="I120" s="6">
        <v>1</v>
      </c>
    </row>
    <row r="121" spans="1:9">
      <c r="A121" s="6" t="s">
        <v>514</v>
      </c>
      <c r="B121" s="6" t="s">
        <v>515</v>
      </c>
      <c r="C121" s="6" t="s">
        <v>2032</v>
      </c>
      <c r="D121" s="6" t="s">
        <v>1464</v>
      </c>
      <c r="E121" s="6">
        <v>2</v>
      </c>
      <c r="F121" s="6">
        <v>1</v>
      </c>
      <c r="G121" s="6">
        <v>2</v>
      </c>
      <c r="H121" s="6" t="s">
        <v>2082</v>
      </c>
      <c r="I121" s="6">
        <v>7</v>
      </c>
    </row>
    <row r="122" spans="1:9">
      <c r="A122" s="6" t="s">
        <v>928</v>
      </c>
      <c r="B122" s="6" t="s">
        <v>929</v>
      </c>
      <c r="C122" s="6" t="s">
        <v>2032</v>
      </c>
      <c r="D122" s="6" t="s">
        <v>1549</v>
      </c>
      <c r="E122" s="6"/>
      <c r="F122" s="6">
        <v>1</v>
      </c>
      <c r="G122" s="6">
        <v>2</v>
      </c>
      <c r="H122" s="6" t="s">
        <v>2083</v>
      </c>
      <c r="I122" s="6">
        <v>3</v>
      </c>
    </row>
    <row r="123" spans="1:9">
      <c r="A123" s="6" t="s">
        <v>663</v>
      </c>
      <c r="B123" s="6" t="s">
        <v>664</v>
      </c>
      <c r="C123" s="6" t="s">
        <v>2032</v>
      </c>
      <c r="D123" s="6" t="s">
        <v>1549</v>
      </c>
      <c r="E123" s="6">
        <v>1</v>
      </c>
      <c r="F123" s="6">
        <v>1</v>
      </c>
      <c r="G123" s="6">
        <v>1</v>
      </c>
      <c r="H123" s="6" t="s">
        <v>2036</v>
      </c>
      <c r="I123" s="6">
        <v>4</v>
      </c>
    </row>
    <row r="124" spans="1:9">
      <c r="A124" s="6" t="s">
        <v>517</v>
      </c>
      <c r="B124" s="6" t="s">
        <v>518</v>
      </c>
      <c r="C124" s="6" t="s">
        <v>2032</v>
      </c>
      <c r="D124" s="6" t="s">
        <v>1464</v>
      </c>
      <c r="E124" s="6">
        <v>1</v>
      </c>
      <c r="F124" s="6">
        <v>1</v>
      </c>
      <c r="G124" s="6">
        <v>1</v>
      </c>
      <c r="H124" s="6" t="s">
        <v>2084</v>
      </c>
      <c r="I124" s="6">
        <v>3</v>
      </c>
    </row>
    <row r="125" spans="1:9">
      <c r="A125" s="6" t="s">
        <v>871</v>
      </c>
      <c r="B125" s="6" t="s">
        <v>872</v>
      </c>
      <c r="C125" s="6" t="s">
        <v>2032</v>
      </c>
      <c r="D125" s="6" t="s">
        <v>1464</v>
      </c>
      <c r="E125" s="6"/>
      <c r="F125" s="6">
        <v>1</v>
      </c>
      <c r="G125" s="6"/>
      <c r="H125" s="6" t="s">
        <v>1226</v>
      </c>
      <c r="I125" s="6">
        <v>1</v>
      </c>
    </row>
    <row r="126" spans="1:9">
      <c r="A126" s="6" t="s">
        <v>931</v>
      </c>
      <c r="B126" s="6" t="s">
        <v>932</v>
      </c>
      <c r="C126" s="6" t="s">
        <v>2032</v>
      </c>
      <c r="D126" s="6" t="s">
        <v>1549</v>
      </c>
      <c r="E126" s="6"/>
      <c r="F126" s="6">
        <v>1</v>
      </c>
      <c r="G126" s="6"/>
      <c r="H126" s="6" t="s">
        <v>1287</v>
      </c>
      <c r="I126" s="6">
        <v>1</v>
      </c>
    </row>
    <row r="127" spans="1:9">
      <c r="A127" s="6" t="s">
        <v>520</v>
      </c>
      <c r="B127" s="6" t="s">
        <v>521</v>
      </c>
      <c r="C127" s="6" t="s">
        <v>2032</v>
      </c>
      <c r="D127" s="6" t="s">
        <v>1464</v>
      </c>
      <c r="E127" s="6"/>
      <c r="F127" s="6"/>
      <c r="G127" s="6">
        <v>1</v>
      </c>
      <c r="H127" s="6" t="s">
        <v>1396</v>
      </c>
      <c r="I127" s="6">
        <v>1</v>
      </c>
    </row>
    <row r="128" spans="1:9">
      <c r="A128" s="6" t="s">
        <v>679</v>
      </c>
      <c r="B128" s="6" t="s">
        <v>680</v>
      </c>
      <c r="C128" s="6" t="s">
        <v>2032</v>
      </c>
      <c r="D128" s="6" t="s">
        <v>1549</v>
      </c>
      <c r="E128" s="6">
        <v>4</v>
      </c>
      <c r="F128" s="6">
        <v>1</v>
      </c>
      <c r="G128" s="6"/>
      <c r="H128" s="6" t="s">
        <v>2085</v>
      </c>
      <c r="I128" s="6">
        <v>5</v>
      </c>
    </row>
    <row r="129" spans="1:9">
      <c r="A129" s="6" t="s">
        <v>696</v>
      </c>
      <c r="B129" s="6" t="s">
        <v>697</v>
      </c>
      <c r="C129" s="6" t="s">
        <v>2032</v>
      </c>
      <c r="D129" s="6" t="s">
        <v>1464</v>
      </c>
      <c r="E129" s="6">
        <v>1</v>
      </c>
      <c r="F129" s="6">
        <v>1</v>
      </c>
      <c r="G129" s="6">
        <v>1</v>
      </c>
      <c r="H129" s="6" t="s">
        <v>2086</v>
      </c>
      <c r="I129" s="6">
        <v>4</v>
      </c>
    </row>
    <row r="130" spans="1:9">
      <c r="A130" s="6" t="s">
        <v>699</v>
      </c>
      <c r="B130" s="6" t="s">
        <v>700</v>
      </c>
      <c r="C130" s="6" t="s">
        <v>2032</v>
      </c>
      <c r="D130" s="6" t="s">
        <v>1464</v>
      </c>
      <c r="E130" s="6"/>
      <c r="F130" s="6"/>
      <c r="G130" s="6">
        <v>1</v>
      </c>
      <c r="H130" s="6" t="s">
        <v>1350</v>
      </c>
      <c r="I130" s="6">
        <v>1</v>
      </c>
    </row>
    <row r="131" spans="1:9">
      <c r="A131" s="6" t="s">
        <v>702</v>
      </c>
      <c r="B131" s="6" t="s">
        <v>703</v>
      </c>
      <c r="C131" s="6" t="s">
        <v>2032</v>
      </c>
      <c r="D131" s="6" t="s">
        <v>1464</v>
      </c>
      <c r="E131" s="6"/>
      <c r="F131" s="6"/>
      <c r="G131" s="6">
        <v>1</v>
      </c>
      <c r="H131" s="6" t="s">
        <v>1350</v>
      </c>
      <c r="I131" s="6">
        <v>1</v>
      </c>
    </row>
    <row r="132" spans="1:9">
      <c r="A132" s="6" t="s">
        <v>705</v>
      </c>
      <c r="B132" s="6" t="s">
        <v>706</v>
      </c>
      <c r="C132" s="6" t="s">
        <v>2032</v>
      </c>
      <c r="D132" s="6" t="s">
        <v>1464</v>
      </c>
      <c r="E132" s="6"/>
      <c r="F132" s="6">
        <v>1</v>
      </c>
      <c r="G132" s="6">
        <v>1</v>
      </c>
      <c r="H132" s="6" t="s">
        <v>2087</v>
      </c>
      <c r="I132" s="6">
        <v>2</v>
      </c>
    </row>
    <row r="133" spans="1:9">
      <c r="A133" s="6" t="s">
        <v>708</v>
      </c>
      <c r="B133" s="6" t="s">
        <v>709</v>
      </c>
      <c r="C133" s="6" t="s">
        <v>2032</v>
      </c>
      <c r="D133" s="6" t="s">
        <v>1549</v>
      </c>
      <c r="E133" s="6"/>
      <c r="F133" s="6">
        <v>1</v>
      </c>
      <c r="G133" s="6">
        <v>1</v>
      </c>
      <c r="H133" s="6" t="s">
        <v>2087</v>
      </c>
      <c r="I133" s="6">
        <v>2</v>
      </c>
    </row>
    <row r="134" spans="1:9">
      <c r="A134" s="6" t="s">
        <v>684</v>
      </c>
      <c r="B134" s="6" t="s">
        <v>685</v>
      </c>
      <c r="C134" s="6" t="s">
        <v>2032</v>
      </c>
      <c r="D134" s="6" t="s">
        <v>1549</v>
      </c>
      <c r="E134" s="6"/>
      <c r="F134" s="6">
        <v>1</v>
      </c>
      <c r="G134" s="6">
        <v>2</v>
      </c>
      <c r="H134" s="6" t="s">
        <v>2088</v>
      </c>
      <c r="I134" s="6">
        <v>4</v>
      </c>
    </row>
    <row r="135" spans="1:9">
      <c r="A135" s="6" t="s">
        <v>711</v>
      </c>
      <c r="B135" s="6" t="s">
        <v>712</v>
      </c>
      <c r="C135" s="6" t="s">
        <v>2032</v>
      </c>
      <c r="D135" s="6" t="s">
        <v>1464</v>
      </c>
      <c r="E135" s="6">
        <v>1</v>
      </c>
      <c r="F135" s="6"/>
      <c r="G135" s="6"/>
      <c r="H135" s="6" t="s">
        <v>1156</v>
      </c>
      <c r="I135" s="6">
        <v>1</v>
      </c>
    </row>
    <row r="136" spans="1:9">
      <c r="A136" s="6" t="s">
        <v>714</v>
      </c>
      <c r="B136" s="6" t="s">
        <v>715</v>
      </c>
      <c r="C136" s="6" t="s">
        <v>2032</v>
      </c>
      <c r="D136" s="6" t="s">
        <v>1464</v>
      </c>
      <c r="E136" s="6">
        <v>1</v>
      </c>
      <c r="F136" s="6"/>
      <c r="G136" s="6"/>
      <c r="H136" s="6" t="s">
        <v>1156</v>
      </c>
      <c r="I136" s="6">
        <v>1</v>
      </c>
    </row>
    <row r="137" spans="1:9">
      <c r="A137" s="6" t="s">
        <v>497</v>
      </c>
      <c r="B137" s="6" t="s">
        <v>498</v>
      </c>
      <c r="C137" s="6" t="s">
        <v>2032</v>
      </c>
      <c r="D137" s="6" t="s">
        <v>1464</v>
      </c>
      <c r="E137" s="6">
        <v>2</v>
      </c>
      <c r="F137" s="6">
        <v>2</v>
      </c>
      <c r="G137" s="6">
        <v>2</v>
      </c>
      <c r="H137" s="6" t="s">
        <v>2089</v>
      </c>
      <c r="I137" s="6">
        <v>6</v>
      </c>
    </row>
    <row r="138" spans="1:9">
      <c r="A138" s="6" t="s">
        <v>501</v>
      </c>
      <c r="B138" s="6" t="s">
        <v>502</v>
      </c>
      <c r="C138" s="6" t="s">
        <v>2032</v>
      </c>
      <c r="D138" s="6" t="s">
        <v>1464</v>
      </c>
      <c r="E138" s="6">
        <v>2</v>
      </c>
      <c r="F138" s="6">
        <v>2</v>
      </c>
      <c r="G138" s="6">
        <v>2</v>
      </c>
      <c r="H138" s="6" t="s">
        <v>2089</v>
      </c>
      <c r="I138" s="6">
        <v>6</v>
      </c>
    </row>
    <row r="139" spans="1:9">
      <c r="A139" s="6" t="s">
        <v>504</v>
      </c>
      <c r="B139" s="6" t="s">
        <v>505</v>
      </c>
      <c r="C139" s="6" t="s">
        <v>2032</v>
      </c>
      <c r="D139" s="6" t="s">
        <v>1464</v>
      </c>
      <c r="E139" s="6">
        <v>2</v>
      </c>
      <c r="F139" s="6">
        <v>2</v>
      </c>
      <c r="G139" s="6">
        <v>2</v>
      </c>
      <c r="H139" s="6" t="s">
        <v>2089</v>
      </c>
      <c r="I139" s="6">
        <v>7</v>
      </c>
    </row>
    <row r="140" spans="1:9">
      <c r="A140" s="6" t="s">
        <v>633</v>
      </c>
      <c r="B140" s="6" t="s">
        <v>634</v>
      </c>
      <c r="C140" s="6" t="s">
        <v>2032</v>
      </c>
      <c r="D140" s="6" t="s">
        <v>1549</v>
      </c>
      <c r="E140" s="6">
        <v>1</v>
      </c>
      <c r="F140" s="6">
        <v>1</v>
      </c>
      <c r="G140" s="6">
        <v>1</v>
      </c>
      <c r="H140" s="6" t="s">
        <v>2038</v>
      </c>
      <c r="I140" s="6">
        <v>3</v>
      </c>
    </row>
    <row r="141" spans="1:9">
      <c r="A141" s="6" t="s">
        <v>636</v>
      </c>
      <c r="B141" s="6" t="s">
        <v>637</v>
      </c>
      <c r="C141" s="6" t="s">
        <v>2032</v>
      </c>
      <c r="D141" s="6" t="s">
        <v>1549</v>
      </c>
      <c r="E141" s="6">
        <v>1</v>
      </c>
      <c r="F141" s="6">
        <v>1</v>
      </c>
      <c r="G141" s="6">
        <v>1</v>
      </c>
      <c r="H141" s="6" t="s">
        <v>2038</v>
      </c>
      <c r="I141" s="6">
        <v>3</v>
      </c>
    </row>
    <row r="142" spans="1:9">
      <c r="A142" s="6" t="s">
        <v>639</v>
      </c>
      <c r="B142" s="6" t="s">
        <v>640</v>
      </c>
      <c r="C142" s="6" t="s">
        <v>2032</v>
      </c>
      <c r="D142" s="6" t="s">
        <v>1549</v>
      </c>
      <c r="E142" s="6">
        <v>1</v>
      </c>
      <c r="F142" s="6"/>
      <c r="G142" s="6"/>
      <c r="H142" s="6" t="s">
        <v>1058</v>
      </c>
      <c r="I142" s="6">
        <v>1</v>
      </c>
    </row>
    <row r="143" spans="1:9">
      <c r="A143" s="6" t="s">
        <v>642</v>
      </c>
      <c r="B143" s="6" t="s">
        <v>643</v>
      </c>
      <c r="C143" s="6" t="s">
        <v>2032</v>
      </c>
      <c r="D143" s="6" t="s">
        <v>1549</v>
      </c>
      <c r="E143" s="6">
        <v>1</v>
      </c>
      <c r="F143" s="6">
        <v>1</v>
      </c>
      <c r="G143" s="6">
        <v>1</v>
      </c>
      <c r="H143" s="6" t="s">
        <v>2038</v>
      </c>
      <c r="I143" s="6">
        <v>3</v>
      </c>
    </row>
    <row r="144" spans="1:9">
      <c r="A144" s="6" t="s">
        <v>646</v>
      </c>
      <c r="B144" s="6" t="s">
        <v>647</v>
      </c>
      <c r="C144" s="6" t="s">
        <v>2032</v>
      </c>
      <c r="D144" s="6" t="s">
        <v>1549</v>
      </c>
      <c r="E144" s="6">
        <v>1</v>
      </c>
      <c r="F144" s="6"/>
      <c r="G144" s="6"/>
      <c r="H144" s="6" t="s">
        <v>1058</v>
      </c>
      <c r="I144" s="6">
        <v>1</v>
      </c>
    </row>
    <row r="145" spans="1:9">
      <c r="A145" s="6" t="s">
        <v>817</v>
      </c>
      <c r="B145" s="6" t="s">
        <v>818</v>
      </c>
      <c r="C145" s="6" t="s">
        <v>2032</v>
      </c>
      <c r="D145" s="6" t="s">
        <v>1549</v>
      </c>
      <c r="E145" s="6">
        <v>1</v>
      </c>
      <c r="F145" s="6">
        <v>4</v>
      </c>
      <c r="G145" s="6">
        <v>1</v>
      </c>
      <c r="H145" s="6" t="s">
        <v>2090</v>
      </c>
      <c r="I145" s="6">
        <v>7</v>
      </c>
    </row>
    <row r="146" spans="1:9">
      <c r="A146" s="6" t="s">
        <v>820</v>
      </c>
      <c r="B146" s="6" t="s">
        <v>821</v>
      </c>
      <c r="C146" s="6" t="s">
        <v>2032</v>
      </c>
      <c r="D146" s="6" t="s">
        <v>1549</v>
      </c>
      <c r="E146" s="6">
        <v>1</v>
      </c>
      <c r="F146" s="6">
        <v>1</v>
      </c>
      <c r="G146" s="6"/>
      <c r="H146" s="6" t="s">
        <v>2057</v>
      </c>
      <c r="I146" s="6">
        <v>2</v>
      </c>
    </row>
    <row r="147" spans="1:9">
      <c r="A147" s="6" t="s">
        <v>835</v>
      </c>
      <c r="B147" s="6" t="s">
        <v>836</v>
      </c>
      <c r="C147" s="6" t="s">
        <v>2032</v>
      </c>
      <c r="D147" s="6" t="s">
        <v>1549</v>
      </c>
      <c r="E147" s="6"/>
      <c r="F147" s="6">
        <v>1</v>
      </c>
      <c r="G147" s="6"/>
      <c r="H147" s="6" t="s">
        <v>1273</v>
      </c>
      <c r="I147" s="6">
        <v>1</v>
      </c>
    </row>
    <row r="148" spans="1:9">
      <c r="A148" s="6" t="s">
        <v>804</v>
      </c>
      <c r="B148" s="6" t="s">
        <v>805</v>
      </c>
      <c r="C148" s="6" t="s">
        <v>2032</v>
      </c>
      <c r="D148" s="6" t="s">
        <v>1549</v>
      </c>
      <c r="E148" s="6"/>
      <c r="F148" s="6">
        <v>1</v>
      </c>
      <c r="G148" s="6">
        <v>1</v>
      </c>
      <c r="H148" s="6" t="s">
        <v>2091</v>
      </c>
      <c r="I148" s="6">
        <v>2</v>
      </c>
    </row>
    <row r="149" spans="1:9">
      <c r="A149" s="6" t="s">
        <v>823</v>
      </c>
      <c r="B149" s="6" t="s">
        <v>824</v>
      </c>
      <c r="C149" s="6" t="s">
        <v>2032</v>
      </c>
      <c r="D149" s="6" t="s">
        <v>1549</v>
      </c>
      <c r="E149" s="6"/>
      <c r="F149" s="6">
        <v>1</v>
      </c>
      <c r="G149" s="6"/>
      <c r="H149" s="6" t="s">
        <v>1273</v>
      </c>
      <c r="I149" s="6">
        <v>1</v>
      </c>
    </row>
    <row r="150" spans="1:9">
      <c r="A150" s="6" t="s">
        <v>806</v>
      </c>
      <c r="B150" s="6" t="s">
        <v>807</v>
      </c>
      <c r="C150" s="6" t="s">
        <v>2032</v>
      </c>
      <c r="D150" s="6" t="s">
        <v>1549</v>
      </c>
      <c r="E150" s="6"/>
      <c r="F150" s="6">
        <v>1</v>
      </c>
      <c r="G150" s="6">
        <v>1</v>
      </c>
      <c r="H150" s="6" t="s">
        <v>2091</v>
      </c>
      <c r="I150" s="6">
        <v>2</v>
      </c>
    </row>
    <row r="151" spans="1:9">
      <c r="A151" s="6" t="s">
        <v>809</v>
      </c>
      <c r="B151" s="6" t="s">
        <v>810</v>
      </c>
      <c r="C151" s="6" t="s">
        <v>2032</v>
      </c>
      <c r="D151" s="6" t="s">
        <v>1549</v>
      </c>
      <c r="E151" s="6">
        <v>1</v>
      </c>
      <c r="F151" s="6">
        <v>1</v>
      </c>
      <c r="G151" s="6"/>
      <c r="H151" s="6" t="s">
        <v>2057</v>
      </c>
      <c r="I151" s="6">
        <v>2</v>
      </c>
    </row>
    <row r="152" spans="1:9">
      <c r="A152" s="6" t="s">
        <v>826</v>
      </c>
      <c r="B152" s="6" t="s">
        <v>827</v>
      </c>
      <c r="C152" s="6" t="s">
        <v>2032</v>
      </c>
      <c r="D152" s="6" t="s">
        <v>1549</v>
      </c>
      <c r="E152" s="6">
        <v>1</v>
      </c>
      <c r="F152" s="6">
        <v>1</v>
      </c>
      <c r="G152" s="6">
        <v>1</v>
      </c>
      <c r="H152" s="6" t="s">
        <v>2055</v>
      </c>
      <c r="I152" s="6">
        <v>3</v>
      </c>
    </row>
    <row r="153" spans="1:9">
      <c r="A153" s="6" t="s">
        <v>829</v>
      </c>
      <c r="B153" s="6" t="s">
        <v>830</v>
      </c>
      <c r="C153" s="6" t="s">
        <v>2032</v>
      </c>
      <c r="D153" s="6" t="s">
        <v>1549</v>
      </c>
      <c r="E153" s="6">
        <v>1</v>
      </c>
      <c r="F153" s="6">
        <v>1</v>
      </c>
      <c r="G153" s="6">
        <v>1</v>
      </c>
      <c r="H153" s="6" t="s">
        <v>2055</v>
      </c>
      <c r="I153" s="6">
        <v>3</v>
      </c>
    </row>
    <row r="154" spans="1:9">
      <c r="A154" s="6" t="s">
        <v>832</v>
      </c>
      <c r="B154" s="6" t="s">
        <v>833</v>
      </c>
      <c r="C154" s="6" t="s">
        <v>2032</v>
      </c>
      <c r="D154" s="6" t="s">
        <v>1549</v>
      </c>
      <c r="E154" s="6">
        <v>1</v>
      </c>
      <c r="F154" s="6">
        <v>1</v>
      </c>
      <c r="G154" s="6">
        <v>1</v>
      </c>
      <c r="H154" s="6" t="s">
        <v>2055</v>
      </c>
      <c r="I154" s="6">
        <v>4</v>
      </c>
    </row>
    <row r="155" spans="1:9">
      <c r="A155" s="6" t="s">
        <v>838</v>
      </c>
      <c r="B155" s="6" t="s">
        <v>839</v>
      </c>
      <c r="C155" s="6" t="s">
        <v>2032</v>
      </c>
      <c r="D155" s="6" t="s">
        <v>1549</v>
      </c>
      <c r="E155" s="6">
        <v>1</v>
      </c>
      <c r="F155" s="6">
        <v>1</v>
      </c>
      <c r="G155" s="6">
        <v>1</v>
      </c>
      <c r="H155" s="6" t="s">
        <v>2055</v>
      </c>
      <c r="I155" s="6">
        <v>4</v>
      </c>
    </row>
    <row r="156" spans="1:9">
      <c r="A156" s="6" t="s">
        <v>687</v>
      </c>
      <c r="B156" s="6" t="s">
        <v>688</v>
      </c>
      <c r="C156" s="6" t="s">
        <v>2032</v>
      </c>
      <c r="D156" s="6" t="s">
        <v>1549</v>
      </c>
      <c r="E156" s="6">
        <v>1</v>
      </c>
      <c r="F156" s="6">
        <v>1</v>
      </c>
      <c r="G156" s="6">
        <v>1</v>
      </c>
      <c r="H156" s="6" t="s">
        <v>2036</v>
      </c>
      <c r="I156" s="6">
        <v>4</v>
      </c>
    </row>
    <row r="157" spans="1:9">
      <c r="A157" s="6" t="s">
        <v>690</v>
      </c>
      <c r="B157" s="6" t="s">
        <v>691</v>
      </c>
      <c r="C157" s="6" t="s">
        <v>2032</v>
      </c>
      <c r="D157" s="6" t="s">
        <v>1549</v>
      </c>
      <c r="E157" s="6">
        <v>1</v>
      </c>
      <c r="F157" s="6">
        <v>1</v>
      </c>
      <c r="G157" s="6">
        <v>1</v>
      </c>
      <c r="H157" s="6" t="s">
        <v>2036</v>
      </c>
      <c r="I157" s="6">
        <v>4</v>
      </c>
    </row>
    <row r="158" spans="1:9">
      <c r="A158" s="6" t="s">
        <v>693</v>
      </c>
      <c r="B158" s="6" t="s">
        <v>694</v>
      </c>
      <c r="C158" s="6" t="s">
        <v>2032</v>
      </c>
      <c r="D158" s="6" t="s">
        <v>1549</v>
      </c>
      <c r="E158" s="6">
        <v>1</v>
      </c>
      <c r="F158" s="6">
        <v>1</v>
      </c>
      <c r="G158" s="6">
        <v>1</v>
      </c>
      <c r="H158" s="6" t="s">
        <v>2036</v>
      </c>
      <c r="I158" s="6">
        <v>4</v>
      </c>
    </row>
    <row r="159" spans="1:9">
      <c r="A159" s="6" t="s">
        <v>602</v>
      </c>
      <c r="B159" s="6" t="s">
        <v>603</v>
      </c>
      <c r="C159" s="6" t="s">
        <v>2032</v>
      </c>
      <c r="D159" s="6" t="s">
        <v>1549</v>
      </c>
      <c r="E159" s="6">
        <v>2</v>
      </c>
      <c r="F159" s="6">
        <v>2</v>
      </c>
      <c r="G159" s="6">
        <v>2</v>
      </c>
      <c r="H159" s="6" t="s">
        <v>2092</v>
      </c>
      <c r="I159" s="6">
        <v>7</v>
      </c>
    </row>
    <row r="160" spans="1:9">
      <c r="A160" s="6" t="s">
        <v>605</v>
      </c>
      <c r="B160" s="6" t="s">
        <v>606</v>
      </c>
      <c r="C160" s="6" t="s">
        <v>2032</v>
      </c>
      <c r="D160" s="6" t="s">
        <v>1549</v>
      </c>
      <c r="E160" s="6">
        <v>1</v>
      </c>
      <c r="F160" s="6">
        <v>1</v>
      </c>
      <c r="G160" s="6">
        <v>1</v>
      </c>
      <c r="H160" s="6" t="s">
        <v>2038</v>
      </c>
      <c r="I160" s="6">
        <v>3</v>
      </c>
    </row>
    <row r="161" spans="1:9">
      <c r="A161" s="6" t="s">
        <v>608</v>
      </c>
      <c r="B161" s="6" t="s">
        <v>609</v>
      </c>
      <c r="C161" s="6" t="s">
        <v>2032</v>
      </c>
      <c r="D161" s="6" t="s">
        <v>1549</v>
      </c>
      <c r="E161" s="6">
        <v>1</v>
      </c>
      <c r="F161" s="6">
        <v>1</v>
      </c>
      <c r="G161" s="6">
        <v>1</v>
      </c>
      <c r="H161" s="6" t="s">
        <v>2038</v>
      </c>
      <c r="I161" s="6">
        <v>3</v>
      </c>
    </row>
    <row r="162" spans="1:9">
      <c r="A162" s="6" t="s">
        <v>611</v>
      </c>
      <c r="B162" s="6" t="s">
        <v>612</v>
      </c>
      <c r="C162" s="6" t="s">
        <v>2032</v>
      </c>
      <c r="D162" s="6" t="s">
        <v>1549</v>
      </c>
      <c r="E162" s="6">
        <v>1</v>
      </c>
      <c r="F162" s="6">
        <v>1</v>
      </c>
      <c r="G162" s="6">
        <v>1</v>
      </c>
      <c r="H162" s="6" t="s">
        <v>2038</v>
      </c>
      <c r="I162" s="6">
        <v>3</v>
      </c>
    </row>
    <row r="163" spans="1:9">
      <c r="A163" s="6" t="s">
        <v>614</v>
      </c>
      <c r="B163" s="6" t="s">
        <v>615</v>
      </c>
      <c r="C163" s="6" t="s">
        <v>2032</v>
      </c>
      <c r="D163" s="6" t="s">
        <v>1549</v>
      </c>
      <c r="E163" s="6">
        <v>1</v>
      </c>
      <c r="F163" s="6">
        <v>1</v>
      </c>
      <c r="G163" s="6">
        <v>1</v>
      </c>
      <c r="H163" s="6" t="s">
        <v>2038</v>
      </c>
      <c r="I163" s="6">
        <v>3</v>
      </c>
    </row>
    <row r="164" spans="1:9">
      <c r="A164" s="6" t="s">
        <v>617</v>
      </c>
      <c r="B164" s="6" t="s">
        <v>618</v>
      </c>
      <c r="C164" s="6" t="s">
        <v>2032</v>
      </c>
      <c r="D164" s="6" t="s">
        <v>1549</v>
      </c>
      <c r="E164" s="6">
        <v>1</v>
      </c>
      <c r="F164" s="6">
        <v>1</v>
      </c>
      <c r="G164" s="6">
        <v>1</v>
      </c>
      <c r="H164" s="6" t="s">
        <v>2038</v>
      </c>
      <c r="I164" s="6">
        <v>3</v>
      </c>
    </row>
  </sheetData>
  <autoFilter ref="A4:I16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16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customWidth="1"/>
    <col min="2" max="2" width="30.7109375" customWidth="1"/>
    <col min="3" max="3" width="10.7109375" customWidth="1"/>
    <col min="4" max="4" width="11.7109375" customWidth="1"/>
    <col min="5" max="6" width="44.7109375" customWidth="1"/>
    <col min="7" max="7" width="34.7109375" customWidth="1"/>
    <col min="8" max="8" width="26.7109375" customWidth="1"/>
    <col min="9" max="9" width="14.7109375" customWidth="1"/>
    <col min="10" max="10" width="40.7109375" customWidth="1"/>
    <col min="11" max="19" width="12.7109375" customWidth="1"/>
    <col min="20" max="20" width="44.7109375" customWidth="1"/>
    <col min="21" max="21" width="18.7109375" customWidth="1"/>
  </cols>
  <sheetData>
    <row r="1" spans="1:21">
      <c r="A1" s="5" t="s">
        <v>442</v>
      </c>
      <c r="B1" s="5" t="s">
        <v>443</v>
      </c>
      <c r="C1" s="5" t="s">
        <v>444</v>
      </c>
      <c r="D1" s="5" t="s">
        <v>445</v>
      </c>
      <c r="E1" s="5" t="s">
        <v>446</v>
      </c>
      <c r="F1" s="5" t="s">
        <v>1445</v>
      </c>
      <c r="G1" s="5" t="s">
        <v>1446</v>
      </c>
      <c r="H1" s="5" t="s">
        <v>1447</v>
      </c>
      <c r="I1" s="5" t="s">
        <v>1448</v>
      </c>
      <c r="J1" s="5" t="s">
        <v>1449</v>
      </c>
      <c r="K1" s="5" t="s">
        <v>1450</v>
      </c>
      <c r="L1" s="5" t="s">
        <v>1451</v>
      </c>
      <c r="M1" s="5" t="s">
        <v>1452</v>
      </c>
      <c r="N1" s="5" t="s">
        <v>1453</v>
      </c>
      <c r="O1" s="5" t="s">
        <v>1454</v>
      </c>
      <c r="P1" s="5" t="s">
        <v>1455</v>
      </c>
      <c r="Q1" s="5" t="s">
        <v>1456</v>
      </c>
      <c r="R1" s="5" t="s">
        <v>1457</v>
      </c>
      <c r="S1" s="5" t="s">
        <v>1458</v>
      </c>
      <c r="T1" s="5" t="s">
        <v>1459</v>
      </c>
      <c r="U1" s="5" t="s">
        <v>1460</v>
      </c>
    </row>
    <row r="2" spans="1:21">
      <c r="A2" s="6" t="s">
        <v>453</v>
      </c>
      <c r="B2" s="6" t="s">
        <v>454</v>
      </c>
      <c r="C2" s="6" t="s">
        <v>455</v>
      </c>
      <c r="D2" s="6" t="s">
        <v>25</v>
      </c>
      <c r="E2" s="6" t="s">
        <v>456</v>
      </c>
      <c r="F2" s="6" t="s">
        <v>1461</v>
      </c>
      <c r="G2" s="6" t="s">
        <v>1462</v>
      </c>
      <c r="H2" s="6" t="s">
        <v>1463</v>
      </c>
      <c r="I2" s="6" t="s">
        <v>1464</v>
      </c>
      <c r="J2" s="6" t="s">
        <v>1465</v>
      </c>
      <c r="K2" s="7">
        <f>'Plant KPIs'!K2</f>
        <v>96.03</v>
      </c>
      <c r="L2" s="7">
        <f>'Plant KPIs'!Q2</f>
        <v>78.4</v>
      </c>
      <c r="M2" s="7">
        <f>'Plant KPIs'!W2</f>
        <v>99.52</v>
      </c>
      <c r="N2" s="7">
        <f>'Plant KPIs'!AC2</f>
        <v>103.35</v>
      </c>
      <c r="O2" s="7">
        <f>'Plant KPIs'!AI2</f>
        <v>101.46</v>
      </c>
      <c r="P2" s="7">
        <f>'Plant KPIs'!AO2</f>
        <v>96.28</v>
      </c>
      <c r="Q2" s="7">
        <f>'Entity KPIs'!K2</f>
        <v>91.27</v>
      </c>
      <c r="R2" s="7">
        <f>'Entity KPIs'!Q2</f>
        <v>100.29</v>
      </c>
      <c r="S2" s="7">
        <f>'Group KPIs'!K2</f>
        <v>95.51</v>
      </c>
      <c r="T2" s="6" t="s">
        <v>1466</v>
      </c>
      <c r="U2" s="6" t="s">
        <v>1467</v>
      </c>
    </row>
    <row r="3" spans="1:21">
      <c r="A3" s="6" t="s">
        <v>457</v>
      </c>
      <c r="B3" s="6" t="s">
        <v>458</v>
      </c>
      <c r="C3" s="6" t="s">
        <v>455</v>
      </c>
      <c r="D3" s="6" t="s">
        <v>25</v>
      </c>
      <c r="E3" s="6" t="s">
        <v>459</v>
      </c>
      <c r="F3" s="6" t="s">
        <v>1468</v>
      </c>
      <c r="G3" s="6" t="s">
        <v>1469</v>
      </c>
      <c r="H3" s="6" t="s">
        <v>1463</v>
      </c>
      <c r="I3" s="6" t="s">
        <v>1464</v>
      </c>
      <c r="J3" s="6" t="s">
        <v>1465</v>
      </c>
      <c r="K3" s="7">
        <f>'Plant KPIs'!K3</f>
        <v>82.92</v>
      </c>
      <c r="L3" s="7">
        <f>'Plant KPIs'!Q3</f>
        <v>70.02</v>
      </c>
      <c r="M3" s="7">
        <f>'Plant KPIs'!W3</f>
        <v>86.09</v>
      </c>
      <c r="N3" s="7">
        <f>'Plant KPIs'!AC3</f>
        <v>89.48</v>
      </c>
      <c r="O3" s="7">
        <f>'Plant KPIs'!AI3</f>
        <v>89.96</v>
      </c>
      <c r="P3" s="7">
        <f>'Plant KPIs'!AO3</f>
        <v>82.87</v>
      </c>
      <c r="Q3" s="7">
        <f>'Entity KPIs'!K3</f>
        <v>79.8</v>
      </c>
      <c r="R3" s="7">
        <f>'Entity KPIs'!Q3</f>
        <v>87.55</v>
      </c>
      <c r="S3" s="7">
        <f>'Group KPIs'!K3</f>
        <v>83.44</v>
      </c>
      <c r="T3" s="6" t="s">
        <v>1470</v>
      </c>
      <c r="U3" s="6" t="s">
        <v>1471</v>
      </c>
    </row>
    <row r="4" spans="1:21">
      <c r="A4" s="6" t="s">
        <v>460</v>
      </c>
      <c r="B4" s="6" t="s">
        <v>461</v>
      </c>
      <c r="C4" s="6" t="s">
        <v>455</v>
      </c>
      <c r="D4" s="6" t="s">
        <v>25</v>
      </c>
      <c r="E4" s="6" t="s">
        <v>462</v>
      </c>
      <c r="F4" s="6" t="s">
        <v>1472</v>
      </c>
      <c r="G4" s="6" t="s">
        <v>1473</v>
      </c>
      <c r="H4" s="6" t="s">
        <v>1463</v>
      </c>
      <c r="I4" s="6" t="s">
        <v>1464</v>
      </c>
      <c r="J4" s="6" t="s">
        <v>1465</v>
      </c>
      <c r="K4" s="7">
        <f>'Plant KPIs'!K4</f>
        <v>92.29</v>
      </c>
      <c r="L4" s="7">
        <f>'Plant KPIs'!Q4</f>
        <v>86.71</v>
      </c>
      <c r="M4" s="7">
        <f>'Plant KPIs'!W4</f>
        <v>96.58</v>
      </c>
      <c r="N4" s="7">
        <f>'Plant KPIs'!AC4</f>
        <v>95.92</v>
      </c>
      <c r="O4" s="7">
        <f>'Plant KPIs'!AI4</f>
        <v>95.82</v>
      </c>
      <c r="P4" s="7">
        <f>'Plant KPIs'!AO4</f>
        <v>94.54</v>
      </c>
      <c r="Q4" s="7">
        <f>'Entity KPIs'!K4</f>
        <v>91.86</v>
      </c>
      <c r="R4" s="7">
        <f>'Entity KPIs'!Q4</f>
        <v>95.43</v>
      </c>
      <c r="S4" s="7">
        <f>'Group KPIs'!K4</f>
        <v>93.64</v>
      </c>
      <c r="T4" s="6" t="s">
        <v>1474</v>
      </c>
      <c r="U4" s="6" t="s">
        <v>1475</v>
      </c>
    </row>
    <row r="5" spans="1:21">
      <c r="A5" s="6" t="s">
        <v>463</v>
      </c>
      <c r="B5" s="6" t="s">
        <v>464</v>
      </c>
      <c r="C5" s="6" t="s">
        <v>455</v>
      </c>
      <c r="D5" s="6" t="s">
        <v>25</v>
      </c>
      <c r="E5" s="6" t="s">
        <v>465</v>
      </c>
      <c r="F5" s="6" t="s">
        <v>1476</v>
      </c>
      <c r="G5" s="6" t="s">
        <v>1477</v>
      </c>
      <c r="H5" s="6" t="s">
        <v>1463</v>
      </c>
      <c r="I5" s="6" t="s">
        <v>1464</v>
      </c>
      <c r="J5" s="6" t="s">
        <v>1465</v>
      </c>
      <c r="K5" s="7">
        <f>'Plant KPIs'!K5</f>
        <v>83.97</v>
      </c>
      <c r="L5" s="7">
        <f>'Plant KPIs'!Q5</f>
        <v>70.31</v>
      </c>
      <c r="M5" s="7">
        <f>'Plant KPIs'!W5</f>
        <v>86.21</v>
      </c>
      <c r="N5" s="7">
        <f>'Plant KPIs'!AC5</f>
        <v>89.73</v>
      </c>
      <c r="O5" s="7">
        <f>'Plant KPIs'!AI5</f>
        <v>91.23</v>
      </c>
      <c r="P5" s="7">
        <f>'Plant KPIs'!AO5</f>
        <v>83.8</v>
      </c>
      <c r="Q5" s="7">
        <f>'Entity KPIs'!K5</f>
        <v>80.21</v>
      </c>
      <c r="R5" s="7">
        <f>'Entity KPIs'!Q5</f>
        <v>88.44</v>
      </c>
      <c r="S5" s="7">
        <f>'Group KPIs'!K5</f>
        <v>84.07</v>
      </c>
      <c r="T5" s="6" t="s">
        <v>1478</v>
      </c>
      <c r="U5" s="6" t="s">
        <v>1479</v>
      </c>
    </row>
    <row r="6" spans="1:21">
      <c r="A6" s="6" t="s">
        <v>466</v>
      </c>
      <c r="B6" s="6" t="s">
        <v>467</v>
      </c>
      <c r="C6" s="6" t="s">
        <v>455</v>
      </c>
      <c r="D6" s="6" t="s">
        <v>25</v>
      </c>
      <c r="E6" s="6" t="s">
        <v>468</v>
      </c>
      <c r="F6" s="6" t="s">
        <v>1480</v>
      </c>
      <c r="G6" s="6" t="s">
        <v>1481</v>
      </c>
      <c r="H6" s="6" t="s">
        <v>1463</v>
      </c>
      <c r="I6" s="6" t="s">
        <v>1464</v>
      </c>
      <c r="J6" s="6" t="s">
        <v>1465</v>
      </c>
      <c r="K6" s="7">
        <f>'Plant KPIs'!K6</f>
        <v>91.69</v>
      </c>
      <c r="L6" s="7">
        <f>'Plant KPIs'!Q6</f>
        <v>86.55</v>
      </c>
      <c r="M6" s="7">
        <f>'Plant KPIs'!W6</f>
        <v>85.7</v>
      </c>
      <c r="N6" s="7">
        <f>'Plant KPIs'!AC6</f>
        <v>88.37</v>
      </c>
      <c r="O6" s="7">
        <f>'Plant KPIs'!AI6</f>
        <v>88.33</v>
      </c>
      <c r="P6" s="7">
        <f>'Plant KPIs'!AO6</f>
        <v>84.57</v>
      </c>
      <c r="Q6" s="7">
        <f>'Entity KPIs'!K6</f>
        <v>87.47</v>
      </c>
      <c r="R6" s="7">
        <f>'Entity KPIs'!Q6</f>
        <v>87.23</v>
      </c>
      <c r="S6" s="7">
        <f>'Group KPIs'!K6</f>
        <v>87.35</v>
      </c>
      <c r="T6" s="6" t="s">
        <v>1482</v>
      </c>
      <c r="U6" s="6" t="s">
        <v>1475</v>
      </c>
    </row>
    <row r="7" spans="1:21">
      <c r="A7" s="6" t="s">
        <v>469</v>
      </c>
      <c r="B7" s="6" t="s">
        <v>470</v>
      </c>
      <c r="C7" s="6" t="s">
        <v>455</v>
      </c>
      <c r="D7" s="6" t="s">
        <v>25</v>
      </c>
      <c r="E7" s="6" t="s">
        <v>471</v>
      </c>
      <c r="F7" s="6" t="s">
        <v>1483</v>
      </c>
      <c r="G7" s="6" t="s">
        <v>1484</v>
      </c>
      <c r="H7" s="6" t="s">
        <v>1463</v>
      </c>
      <c r="I7" s="6" t="s">
        <v>1464</v>
      </c>
      <c r="J7" s="6" t="s">
        <v>1465</v>
      </c>
      <c r="K7" s="7">
        <f>'Plant KPIs'!K7</f>
        <v>91.48</v>
      </c>
      <c r="L7" s="7">
        <f>'Plant KPIs'!Q7</f>
        <v>93.11</v>
      </c>
      <c r="M7" s="7">
        <f>'Plant KPIs'!W7</f>
        <v>90.37</v>
      </c>
      <c r="N7" s="7">
        <f>'Plant KPIs'!AC7</f>
        <v>90.59</v>
      </c>
      <c r="O7" s="7">
        <f>'Plant KPIs'!AI7</f>
        <v>93.25</v>
      </c>
      <c r="P7" s="7">
        <f>'Plant KPIs'!AO7</f>
        <v>92.87</v>
      </c>
      <c r="Q7" s="7">
        <f>'Entity KPIs'!K7</f>
        <v>91.46</v>
      </c>
      <c r="R7" s="7">
        <f>'Entity KPIs'!Q7</f>
        <v>92.42</v>
      </c>
      <c r="S7" s="7">
        <f>'Group KPIs'!K7</f>
        <v>91.93</v>
      </c>
      <c r="T7" s="6" t="s">
        <v>1485</v>
      </c>
      <c r="U7" s="6" t="s">
        <v>1475</v>
      </c>
    </row>
    <row r="8" spans="1:21">
      <c r="A8" s="6" t="s">
        <v>472</v>
      </c>
      <c r="B8" s="6" t="s">
        <v>473</v>
      </c>
      <c r="C8" s="6" t="s">
        <v>474</v>
      </c>
      <c r="D8" s="6" t="s">
        <v>25</v>
      </c>
      <c r="E8" s="6" t="s">
        <v>475</v>
      </c>
      <c r="F8" s="6" t="s">
        <v>1486</v>
      </c>
      <c r="G8" s="6" t="s">
        <v>1487</v>
      </c>
      <c r="H8" s="6" t="s">
        <v>1463</v>
      </c>
      <c r="I8" s="6" t="s">
        <v>1464</v>
      </c>
      <c r="J8" s="6" t="s">
        <v>1465</v>
      </c>
      <c r="K8" s="7">
        <f>'Plant KPIs'!K8</f>
        <v>166.13</v>
      </c>
      <c r="L8" s="7">
        <f>'Plant KPIs'!Q8</f>
        <v>104.05</v>
      </c>
      <c r="M8" s="7">
        <f>'Plant KPIs'!W8</f>
        <v>347.7</v>
      </c>
      <c r="N8" s="7">
        <f>'Plant KPIs'!AC8</f>
        <v>690.6</v>
      </c>
      <c r="O8" s="7">
        <f>'Plant KPIs'!AI8</f>
        <v>689.9</v>
      </c>
      <c r="P8" s="7">
        <f>'Plant KPIs'!AO8</f>
        <v>680.7</v>
      </c>
      <c r="Q8" s="7">
        <f>'Entity KPIs'!K8</f>
        <v>165.35</v>
      </c>
      <c r="R8" s="7">
        <f>'Entity KPIs'!Q8</f>
        <v>687.07</v>
      </c>
      <c r="S8" s="7">
        <f>'Group KPIs'!K8</f>
        <v>269.69</v>
      </c>
      <c r="T8" s="6" t="s">
        <v>1488</v>
      </c>
      <c r="U8" s="6" t="s">
        <v>1489</v>
      </c>
    </row>
    <row r="9" spans="1:21">
      <c r="A9" s="6" t="s">
        <v>476</v>
      </c>
      <c r="B9" s="6" t="s">
        <v>477</v>
      </c>
      <c r="C9" s="6" t="s">
        <v>474</v>
      </c>
      <c r="D9" s="6" t="s">
        <v>25</v>
      </c>
      <c r="E9" s="6" t="s">
        <v>478</v>
      </c>
      <c r="F9" s="6" t="s">
        <v>1490</v>
      </c>
      <c r="G9" s="6" t="s">
        <v>1491</v>
      </c>
      <c r="H9" s="6" t="s">
        <v>1463</v>
      </c>
      <c r="I9" s="6" t="s">
        <v>1464</v>
      </c>
      <c r="J9" s="6" t="s">
        <v>1465</v>
      </c>
      <c r="K9" s="7">
        <f>'Plant KPIs'!K9</f>
        <v>5.4</v>
      </c>
      <c r="L9" s="7">
        <f>'Plant KPIs'!Q9</f>
        <v>11.42</v>
      </c>
      <c r="M9" s="7">
        <f>'Plant KPIs'!W9</f>
        <v>4.4</v>
      </c>
      <c r="N9" s="7">
        <f>'Plant KPIs'!AC9</f>
        <v>6.8</v>
      </c>
      <c r="O9" s="7">
        <f>'Plant KPIs'!AI9</f>
        <v>5.2</v>
      </c>
      <c r="P9" s="7">
        <f>'Plant KPIs'!AO9</f>
        <v>6.5</v>
      </c>
      <c r="Q9" s="7">
        <f>'Entity KPIs'!K9</f>
        <v>8.24</v>
      </c>
      <c r="R9" s="7">
        <f>'Entity KPIs'!Q9</f>
        <v>6.17</v>
      </c>
      <c r="S9" s="7">
        <f>'Group KPIs'!K9</f>
        <v>7.83</v>
      </c>
      <c r="T9" s="6" t="s">
        <v>1492</v>
      </c>
      <c r="U9" s="6" t="s">
        <v>1493</v>
      </c>
    </row>
    <row r="10" spans="1:21">
      <c r="A10" s="6" t="s">
        <v>479</v>
      </c>
      <c r="B10" s="6" t="s">
        <v>480</v>
      </c>
      <c r="C10" s="6" t="s">
        <v>474</v>
      </c>
      <c r="D10" s="6" t="s">
        <v>25</v>
      </c>
      <c r="E10" s="6" t="s">
        <v>480</v>
      </c>
      <c r="F10" s="6" t="s">
        <v>41</v>
      </c>
      <c r="G10" s="6" t="s">
        <v>41</v>
      </c>
      <c r="H10" s="6" t="s">
        <v>1463</v>
      </c>
      <c r="I10" s="6" t="s">
        <v>1464</v>
      </c>
      <c r="J10" s="6" t="s">
        <v>1465</v>
      </c>
      <c r="K10" s="7">
        <f>'Plant KPIs'!K10</f>
        <v>30.2</v>
      </c>
      <c r="L10" s="7">
        <f>'Plant KPIs'!Q10</f>
        <v>78.2</v>
      </c>
      <c r="M10" s="7">
        <f>'Plant KPIs'!W10</f>
        <v>12.3</v>
      </c>
      <c r="N10" s="7">
        <f>'Plant KPIs'!AC10</f>
        <v>10.1</v>
      </c>
      <c r="O10" s="7">
        <f>'Plant KPIs'!AI10</f>
        <v>10.2</v>
      </c>
      <c r="P10" s="7">
        <f>'Plant KPIs'!AO10</f>
        <v>13.4</v>
      </c>
      <c r="Q10" s="7">
        <f>'Entity KPIs'!K10</f>
        <v>120.7</v>
      </c>
      <c r="R10" s="7">
        <f>'Entity KPIs'!Q10</f>
        <v>33.7</v>
      </c>
      <c r="S10" s="7">
        <f>'Group KPIs'!K10</f>
        <v>154.4</v>
      </c>
      <c r="T10" s="6" t="s">
        <v>1494</v>
      </c>
      <c r="U10" s="6" t="s">
        <v>1489</v>
      </c>
    </row>
    <row r="11" spans="1:21">
      <c r="A11" s="6" t="s">
        <v>481</v>
      </c>
      <c r="B11" s="6" t="s">
        <v>482</v>
      </c>
      <c r="C11" s="6" t="s">
        <v>483</v>
      </c>
      <c r="D11" s="6" t="s">
        <v>25</v>
      </c>
      <c r="E11" s="6" t="s">
        <v>484</v>
      </c>
      <c r="F11" s="6" t="s">
        <v>59</v>
      </c>
      <c r="G11" s="6" t="s">
        <v>59</v>
      </c>
      <c r="H11" s="6" t="s">
        <v>1463</v>
      </c>
      <c r="I11" s="6" t="s">
        <v>1464</v>
      </c>
      <c r="J11" s="6" t="s">
        <v>1465</v>
      </c>
      <c r="K11" s="7">
        <f>'Plant KPIs'!K11</f>
        <v>4140.0</v>
      </c>
      <c r="L11" s="7">
        <f>'Plant KPIs'!Q11</f>
        <v>14772.0</v>
      </c>
      <c r="M11" s="7">
        <f>'Plant KPIs'!W11</f>
        <v>2772.0</v>
      </c>
      <c r="N11" s="7">
        <f>'Plant KPIs'!AC11</f>
        <v>1281.0</v>
      </c>
      <c r="O11" s="7">
        <f>'Plant KPIs'!AI11</f>
        <v>2091.0</v>
      </c>
      <c r="P11" s="7">
        <f>'Plant KPIs'!AO11</f>
        <v>2120.0</v>
      </c>
      <c r="Q11" s="7">
        <f>'Entity KPIs'!K11</f>
        <v>21684.0</v>
      </c>
      <c r="R11" s="7">
        <f>'Entity KPIs'!Q11</f>
        <v>5492.0</v>
      </c>
      <c r="S11" s="7">
        <f>'Group KPIs'!K11</f>
        <v>27176.0</v>
      </c>
      <c r="T11" s="6" t="s">
        <v>1495</v>
      </c>
      <c r="U11" s="6" t="s">
        <v>1479</v>
      </c>
    </row>
    <row r="12" spans="1:21">
      <c r="A12" s="6" t="s">
        <v>485</v>
      </c>
      <c r="B12" s="6" t="s">
        <v>486</v>
      </c>
      <c r="C12" s="6" t="s">
        <v>455</v>
      </c>
      <c r="D12" s="6" t="s">
        <v>25</v>
      </c>
      <c r="E12" s="6" t="s">
        <v>487</v>
      </c>
      <c r="F12" s="6" t="s">
        <v>1496</v>
      </c>
      <c r="G12" s="6" t="s">
        <v>1497</v>
      </c>
      <c r="H12" s="6" t="s">
        <v>1463</v>
      </c>
      <c r="I12" s="6" t="s">
        <v>1464</v>
      </c>
      <c r="J12" s="6" t="s">
        <v>1465</v>
      </c>
      <c r="K12" s="7">
        <f>'Plant KPIs'!K12</f>
        <v>93.48</v>
      </c>
      <c r="L12" s="7">
        <f>'Plant KPIs'!Q12</f>
        <v>81.82</v>
      </c>
      <c r="M12" s="7">
        <f>'Plant KPIs'!W12</f>
        <v>100.0</v>
      </c>
      <c r="N12" s="7">
        <f>'Plant KPIs'!AC12</f>
        <v>100.0</v>
      </c>
      <c r="O12" s="7">
        <f>'Plant KPIs'!AI12</f>
        <v>97.62</v>
      </c>
      <c r="P12" s="7">
        <f>'Plant KPIs'!AO12</f>
        <v>94.44</v>
      </c>
      <c r="Q12" s="7">
        <f>'Entity KPIs'!K12</f>
        <v>93.43</v>
      </c>
      <c r="R12" s="7">
        <f>'Entity KPIs'!Q12</f>
        <v>97.81</v>
      </c>
      <c r="S12" s="7">
        <f>'Group KPIs'!K12</f>
        <v>95.62</v>
      </c>
      <c r="T12" s="6" t="s">
        <v>1498</v>
      </c>
      <c r="U12" s="6" t="s">
        <v>1499</v>
      </c>
    </row>
    <row r="13" spans="1:21">
      <c r="A13" s="6" t="s">
        <v>488</v>
      </c>
      <c r="B13" s="6" t="s">
        <v>489</v>
      </c>
      <c r="C13" s="6" t="s">
        <v>490</v>
      </c>
      <c r="D13" s="6" t="s">
        <v>25</v>
      </c>
      <c r="E13" s="6" t="s">
        <v>491</v>
      </c>
      <c r="F13" s="6" t="s">
        <v>1500</v>
      </c>
      <c r="G13" s="6" t="s">
        <v>1501</v>
      </c>
      <c r="H13" s="6" t="s">
        <v>1463</v>
      </c>
      <c r="I13" s="6" t="s">
        <v>1464</v>
      </c>
      <c r="J13" s="6" t="s">
        <v>1465</v>
      </c>
      <c r="K13" s="7">
        <f>'Plant KPIs'!K13</f>
        <v>2779.02</v>
      </c>
      <c r="L13" s="7">
        <f>'Plant KPIs'!Q13</f>
        <v>3245.21</v>
      </c>
      <c r="M13" s="7">
        <f>'Plant KPIs'!W13</f>
        <v>2629.1</v>
      </c>
      <c r="N13" s="7">
        <f>'Plant KPIs'!AC13</f>
        <v>3275.49</v>
      </c>
      <c r="O13" s="7">
        <f>'Plant KPIs'!AI13</f>
        <v>3011.79</v>
      </c>
      <c r="P13" s="7">
        <f>'Plant KPIs'!AO13</f>
        <v>2798.98</v>
      </c>
      <c r="Q13" s="7">
        <f>'Entity KPIs'!K13</f>
        <v>2853.05</v>
      </c>
      <c r="R13" s="7">
        <f>'Entity KPIs'!Q13</f>
        <v>3016.5</v>
      </c>
      <c r="S13" s="7">
        <f>'Group KPIs'!K13</f>
        <v>2933.74</v>
      </c>
      <c r="T13" s="6" t="s">
        <v>1502</v>
      </c>
      <c r="U13" s="6" t="s">
        <v>1503</v>
      </c>
    </row>
    <row r="14" spans="1:21">
      <c r="A14" s="6" t="s">
        <v>492</v>
      </c>
      <c r="B14" s="6" t="s">
        <v>493</v>
      </c>
      <c r="C14" s="6" t="s">
        <v>494</v>
      </c>
      <c r="D14" s="6" t="s">
        <v>25</v>
      </c>
      <c r="E14" s="6" t="s">
        <v>493</v>
      </c>
      <c r="F14" s="6" t="s">
        <v>69</v>
      </c>
      <c r="G14" s="6" t="s">
        <v>69</v>
      </c>
      <c r="H14" s="6" t="s">
        <v>1463</v>
      </c>
      <c r="I14" s="6" t="s">
        <v>1464</v>
      </c>
      <c r="J14" s="6" t="s">
        <v>1465</v>
      </c>
      <c r="K14" s="7">
        <f>'Plant KPIs'!K14</f>
        <v>226098.2</v>
      </c>
      <c r="L14" s="7">
        <f>'Plant KPIs'!Q14</f>
        <v>308111.0</v>
      </c>
      <c r="M14" s="7">
        <f>'Plant KPIs'!W14</f>
        <v>365860.2</v>
      </c>
      <c r="N14" s="7">
        <f>'Plant KPIs'!AC14</f>
        <v>266460.1</v>
      </c>
      <c r="O14" s="7">
        <f>'Plant KPIs'!AI14</f>
        <v>398678.1</v>
      </c>
      <c r="P14" s="7">
        <f>'Plant KPIs'!AO14</f>
        <v>262617.2</v>
      </c>
      <c r="Q14" s="7">
        <f>'Entity KPIs'!K14</f>
        <v>900069.4</v>
      </c>
      <c r="R14" s="7">
        <f>'Entity KPIs'!Q14</f>
        <v>927755.4</v>
      </c>
      <c r="S14" s="7">
        <f>'Group KPIs'!K14</f>
        <v>1827824.8</v>
      </c>
      <c r="T14" s="6" t="s">
        <v>1504</v>
      </c>
      <c r="U14" s="6" t="s">
        <v>1489</v>
      </c>
    </row>
    <row r="15" spans="1:21">
      <c r="A15" s="6" t="s">
        <v>495</v>
      </c>
      <c r="B15" s="6" t="s">
        <v>496</v>
      </c>
      <c r="C15" s="6" t="s">
        <v>494</v>
      </c>
      <c r="D15" s="6" t="s">
        <v>25</v>
      </c>
      <c r="E15" s="6" t="s">
        <v>496</v>
      </c>
      <c r="F15" s="6" t="s">
        <v>71</v>
      </c>
      <c r="G15" s="6" t="s">
        <v>71</v>
      </c>
      <c r="H15" s="6" t="s">
        <v>1463</v>
      </c>
      <c r="I15" s="6" t="s">
        <v>1464</v>
      </c>
      <c r="J15" s="6" t="s">
        <v>1465</v>
      </c>
      <c r="K15" s="7">
        <f>'Plant KPIs'!K15</f>
        <v>50616.0</v>
      </c>
      <c r="L15" s="7">
        <f>'Plant KPIs'!Q15</f>
        <v>70784.4</v>
      </c>
      <c r="M15" s="7">
        <f>'Plant KPIs'!W15</f>
        <v>97272.0</v>
      </c>
      <c r="N15" s="7">
        <f>'Plant KPIs'!AC15</f>
        <v>82640.2</v>
      </c>
      <c r="O15" s="7">
        <f>'Plant KPIs'!AI15</f>
        <v>92193.9</v>
      </c>
      <c r="P15" s="7">
        <f>'Plant KPIs'!AO15</f>
        <v>65862.8</v>
      </c>
      <c r="Q15" s="7">
        <f>'Entity KPIs'!K15</f>
        <v>218672.4</v>
      </c>
      <c r="R15" s="7">
        <f>'Entity KPIs'!Q15</f>
        <v>240696.9</v>
      </c>
      <c r="S15" s="7">
        <f>'Group KPIs'!K15</f>
        <v>459369.3</v>
      </c>
      <c r="T15" s="6" t="s">
        <v>1505</v>
      </c>
      <c r="U15" s="6" t="s">
        <v>1479</v>
      </c>
    </row>
    <row r="16" spans="1:21">
      <c r="A16" s="6" t="s">
        <v>497</v>
      </c>
      <c r="B16" s="6" t="s">
        <v>498</v>
      </c>
      <c r="C16" s="6" t="s">
        <v>499</v>
      </c>
      <c r="D16" s="6" t="s">
        <v>25</v>
      </c>
      <c r="E16" s="6" t="s">
        <v>500</v>
      </c>
      <c r="F16" s="6" t="s">
        <v>75</v>
      </c>
      <c r="G16" s="6" t="s">
        <v>75</v>
      </c>
      <c r="H16" s="6" t="s">
        <v>1463</v>
      </c>
      <c r="I16" s="6" t="s">
        <v>1464</v>
      </c>
      <c r="J16" s="6" t="s">
        <v>1465</v>
      </c>
      <c r="K16" s="7">
        <f>'Plant KPIs'!K16</f>
        <v>148807.0</v>
      </c>
      <c r="L16" s="7">
        <f>'Plant KPIs'!Q16</f>
        <v>245659.0</v>
      </c>
      <c r="M16" s="7">
        <f>'Plant KPIs'!W16</f>
        <v>346844.0</v>
      </c>
      <c r="N16" s="7">
        <f>'Plant KPIs'!AC16</f>
        <v>178267.0</v>
      </c>
      <c r="O16" s="7">
        <f>'Plant KPIs'!AI16</f>
        <v>299945.0</v>
      </c>
      <c r="P16" s="7">
        <f>'Plant KPIs'!AO16</f>
        <v>230619.0</v>
      </c>
      <c r="Q16" s="7">
        <f>'Entity KPIs'!K16</f>
        <v>741310.0</v>
      </c>
      <c r="R16" s="7">
        <f>'Entity KPIs'!Q16</f>
        <v>708831.0</v>
      </c>
      <c r="S16" s="7">
        <f>'Group KPIs'!K16</f>
        <v>1450141.0</v>
      </c>
      <c r="T16" s="6" t="s">
        <v>1506</v>
      </c>
      <c r="U16" s="6" t="s">
        <v>1507</v>
      </c>
    </row>
    <row r="17" spans="1:21">
      <c r="A17" s="6" t="s">
        <v>501</v>
      </c>
      <c r="B17" s="6" t="s">
        <v>502</v>
      </c>
      <c r="C17" s="6" t="s">
        <v>503</v>
      </c>
      <c r="D17" s="6" t="s">
        <v>25</v>
      </c>
      <c r="E17" s="6" t="s">
        <v>502</v>
      </c>
      <c r="F17" s="6" t="s">
        <v>77</v>
      </c>
      <c r="G17" s="6" t="s">
        <v>77</v>
      </c>
      <c r="H17" s="6" t="s">
        <v>1463</v>
      </c>
      <c r="I17" s="6" t="s">
        <v>1464</v>
      </c>
      <c r="J17" s="6" t="s">
        <v>1465</v>
      </c>
      <c r="K17" s="7">
        <f>'Plant KPIs'!K17</f>
        <v>59115.0</v>
      </c>
      <c r="L17" s="7">
        <f>'Plant KPIs'!Q17</f>
        <v>68824.0</v>
      </c>
      <c r="M17" s="7">
        <f>'Plant KPIs'!W17</f>
        <v>91566.0</v>
      </c>
      <c r="N17" s="7">
        <f>'Plant KPIs'!AC17</f>
        <v>58385.0</v>
      </c>
      <c r="O17" s="7">
        <f>'Plant KPIs'!AI17</f>
        <v>86535.0</v>
      </c>
      <c r="P17" s="7">
        <f>'Plant KPIs'!AO17</f>
        <v>63239.0</v>
      </c>
      <c r="Q17" s="7">
        <f>'Entity KPIs'!K17</f>
        <v>219505.0</v>
      </c>
      <c r="R17" s="7">
        <f>'Entity KPIs'!Q17</f>
        <v>208159.0</v>
      </c>
      <c r="S17" s="7">
        <f>'Group KPIs'!K17</f>
        <v>427664.0</v>
      </c>
      <c r="T17" s="6" t="s">
        <v>1508</v>
      </c>
      <c r="U17" s="6" t="s">
        <v>1507</v>
      </c>
    </row>
    <row r="18" spans="1:21">
      <c r="A18" s="6" t="s">
        <v>504</v>
      </c>
      <c r="B18" s="6" t="s">
        <v>505</v>
      </c>
      <c r="C18" s="6" t="s">
        <v>506</v>
      </c>
      <c r="D18" s="6" t="s">
        <v>25</v>
      </c>
      <c r="E18" s="6" t="s">
        <v>507</v>
      </c>
      <c r="F18" s="6" t="s">
        <v>1509</v>
      </c>
      <c r="G18" s="6" t="s">
        <v>1510</v>
      </c>
      <c r="H18" s="6" t="s">
        <v>1463</v>
      </c>
      <c r="I18" s="6" t="s">
        <v>1464</v>
      </c>
      <c r="J18" s="6" t="s">
        <v>1465</v>
      </c>
      <c r="K18" s="7">
        <f>'Plant KPIs'!K18</f>
        <v>3.54</v>
      </c>
      <c r="L18" s="7">
        <f>'Plant KPIs'!Q18</f>
        <v>3.76</v>
      </c>
      <c r="M18" s="7">
        <f>'Plant KPIs'!W18</f>
        <v>3.56</v>
      </c>
      <c r="N18" s="7">
        <f>'Plant KPIs'!AC18</f>
        <v>3.47</v>
      </c>
      <c r="O18" s="7">
        <f>'Plant KPIs'!AI18</f>
        <v>3.2</v>
      </c>
      <c r="P18" s="7">
        <f>'Plant KPIs'!AO18</f>
        <v>3.04</v>
      </c>
      <c r="Q18" s="7">
        <f>'Entity KPIs'!K18</f>
        <v>3.61</v>
      </c>
      <c r="R18" s="7">
        <f>'Entity KPIs'!Q18</f>
        <v>3.23</v>
      </c>
      <c r="S18" s="7">
        <f>'Group KPIs'!K18</f>
        <v>3.42</v>
      </c>
      <c r="T18" s="6" t="s">
        <v>1511</v>
      </c>
      <c r="U18" s="6" t="s">
        <v>1503</v>
      </c>
    </row>
    <row r="19" spans="1:21">
      <c r="A19" s="6" t="s">
        <v>508</v>
      </c>
      <c r="B19" s="6" t="s">
        <v>509</v>
      </c>
      <c r="C19" s="6" t="s">
        <v>483</v>
      </c>
      <c r="D19" s="6" t="s">
        <v>25</v>
      </c>
      <c r="E19" s="6" t="s">
        <v>509</v>
      </c>
      <c r="F19" s="6" t="s">
        <v>81</v>
      </c>
      <c r="G19" s="6" t="s">
        <v>81</v>
      </c>
      <c r="H19" s="6" t="s">
        <v>1463</v>
      </c>
      <c r="I19" s="6" t="s">
        <v>1464</v>
      </c>
      <c r="J19" s="6" t="s">
        <v>1465</v>
      </c>
      <c r="K19" s="7">
        <f>'Plant KPIs'!K19</f>
        <v>3669.0</v>
      </c>
      <c r="L19" s="7">
        <f>'Plant KPIs'!Q19</f>
        <v>24322.0</v>
      </c>
      <c r="M19" s="7">
        <f>'Plant KPIs'!W19</f>
        <v>2939.0</v>
      </c>
      <c r="N19" s="7">
        <f>'Plant KPIs'!AC19</f>
        <v>0.0</v>
      </c>
      <c r="O19" s="7">
        <f>'Plant KPIs'!AI19</f>
        <v>0.0</v>
      </c>
      <c r="P19" s="7">
        <f>'Plant KPIs'!AO19</f>
        <v>5880.0</v>
      </c>
      <c r="Q19" s="7">
        <f>'Entity KPIs'!K19</f>
        <v>30930.0</v>
      </c>
      <c r="R19" s="7">
        <f>'Entity KPIs'!Q19</f>
        <v>5880.0</v>
      </c>
      <c r="S19" s="7">
        <f>'Group KPIs'!K19</f>
        <v>36810.0</v>
      </c>
      <c r="T19" s="6" t="s">
        <v>1512</v>
      </c>
      <c r="U19" s="6" t="s">
        <v>1513</v>
      </c>
    </row>
    <row r="20" spans="1:21">
      <c r="A20" s="6" t="s">
        <v>510</v>
      </c>
      <c r="B20" s="6" t="s">
        <v>511</v>
      </c>
      <c r="C20" s="6" t="s">
        <v>512</v>
      </c>
      <c r="D20" s="6" t="s">
        <v>25</v>
      </c>
      <c r="E20" s="6" t="s">
        <v>513</v>
      </c>
      <c r="F20" s="6" t="s">
        <v>83</v>
      </c>
      <c r="G20" s="6" t="s">
        <v>83</v>
      </c>
      <c r="H20" s="6" t="s">
        <v>1463</v>
      </c>
      <c r="I20" s="6" t="s">
        <v>1464</v>
      </c>
      <c r="J20" s="6" t="s">
        <v>1465</v>
      </c>
      <c r="K20" s="7">
        <f>'Plant KPIs'!K20</f>
        <v>0.0</v>
      </c>
      <c r="L20" s="7">
        <f>'Plant KPIs'!Q20</f>
        <v>4.0</v>
      </c>
      <c r="M20" s="7">
        <f>'Plant KPIs'!W20</f>
        <v>1.0</v>
      </c>
      <c r="N20" s="7">
        <f>'Plant KPIs'!AC20</f>
        <v>0.0</v>
      </c>
      <c r="O20" s="7">
        <f>'Plant KPIs'!AI20</f>
        <v>1.0</v>
      </c>
      <c r="P20" s="7">
        <f>'Plant KPIs'!AO20</f>
        <v>1.0</v>
      </c>
      <c r="Q20" s="7">
        <f>'Entity KPIs'!K20</f>
        <v>5.0</v>
      </c>
      <c r="R20" s="7">
        <f>'Entity KPIs'!Q20</f>
        <v>2.0</v>
      </c>
      <c r="S20" s="7">
        <f>'Group KPIs'!K20</f>
        <v>7.0</v>
      </c>
      <c r="T20" s="6" t="s">
        <v>1514</v>
      </c>
      <c r="U20" s="6" t="s">
        <v>1475</v>
      </c>
    </row>
    <row r="21" spans="1:21">
      <c r="A21" s="6" t="s">
        <v>514</v>
      </c>
      <c r="B21" s="6" t="s">
        <v>515</v>
      </c>
      <c r="C21" s="6" t="s">
        <v>512</v>
      </c>
      <c r="D21" s="6" t="s">
        <v>25</v>
      </c>
      <c r="E21" s="6" t="s">
        <v>516</v>
      </c>
      <c r="F21" s="6" t="s">
        <v>107</v>
      </c>
      <c r="G21" s="6" t="s">
        <v>107</v>
      </c>
      <c r="H21" s="6" t="s">
        <v>1463</v>
      </c>
      <c r="I21" s="6" t="s">
        <v>1464</v>
      </c>
      <c r="J21" s="6" t="s">
        <v>1465</v>
      </c>
      <c r="K21" s="7">
        <f>'Plant KPIs'!K21</f>
        <v>2.0</v>
      </c>
      <c r="L21" s="7">
        <f>'Plant KPIs'!Q21</f>
        <v>1.0</v>
      </c>
      <c r="M21" s="7">
        <f>'Plant KPIs'!W21</f>
        <v>1.0</v>
      </c>
      <c r="N21" s="7">
        <f>'Plant KPIs'!AC21</f>
        <v>0.0</v>
      </c>
      <c r="O21" s="7">
        <f>'Plant KPIs'!AI21</f>
        <v>0.0</v>
      </c>
      <c r="P21" s="7">
        <f>'Plant KPIs'!AO21</f>
        <v>1.0</v>
      </c>
      <c r="Q21" s="7">
        <f>'Entity KPIs'!K21</f>
        <v>4.0</v>
      </c>
      <c r="R21" s="7">
        <f>'Entity KPIs'!Q21</f>
        <v>1.0</v>
      </c>
      <c r="S21" s="7">
        <f>'Group KPIs'!K21</f>
        <v>5.0</v>
      </c>
      <c r="T21" s="6" t="s">
        <v>1515</v>
      </c>
      <c r="U21" s="6" t="s">
        <v>1516</v>
      </c>
    </row>
    <row r="22" spans="1:21">
      <c r="A22" s="6" t="s">
        <v>517</v>
      </c>
      <c r="B22" s="6" t="s">
        <v>518</v>
      </c>
      <c r="C22" s="6" t="s">
        <v>455</v>
      </c>
      <c r="D22" s="6" t="s">
        <v>25</v>
      </c>
      <c r="E22" s="6" t="s">
        <v>519</v>
      </c>
      <c r="F22" s="6" t="s">
        <v>1517</v>
      </c>
      <c r="G22" s="6" t="s">
        <v>1518</v>
      </c>
      <c r="H22" s="6" t="s">
        <v>1463</v>
      </c>
      <c r="I22" s="6" t="s">
        <v>1464</v>
      </c>
      <c r="J22" s="6" t="s">
        <v>1465</v>
      </c>
      <c r="K22" s="7">
        <f>'Plant KPIs'!K22</f>
        <v>7.5</v>
      </c>
      <c r="L22" s="7">
        <f>'Plant KPIs'!Q22</f>
        <v>16.0</v>
      </c>
      <c r="M22" s="7">
        <f>'Plant KPIs'!W22</f>
        <v>7.48</v>
      </c>
      <c r="N22" s="7">
        <f>'Plant KPIs'!AC22</f>
        <v>7.1</v>
      </c>
      <c r="O22" s="7">
        <f>'Plant KPIs'!AI22</f>
        <v>7.58</v>
      </c>
      <c r="P22" s="7">
        <f>'Plant KPIs'!AO22</f>
        <v>2.4</v>
      </c>
      <c r="Q22" s="7">
        <f>'Entity KPIs'!K22</f>
        <v>10.91</v>
      </c>
      <c r="R22" s="7">
        <f>'Entity KPIs'!Q22</f>
        <v>6.1</v>
      </c>
      <c r="S22" s="7">
        <f>'Group KPIs'!K22</f>
        <v>8.66</v>
      </c>
      <c r="T22" s="6" t="s">
        <v>1519</v>
      </c>
      <c r="U22" s="6" t="s">
        <v>1520</v>
      </c>
    </row>
    <row r="23" spans="1:21">
      <c r="A23" s="6" t="s">
        <v>520</v>
      </c>
      <c r="B23" s="6" t="s">
        <v>521</v>
      </c>
      <c r="C23" s="6" t="s">
        <v>512</v>
      </c>
      <c r="D23" s="6" t="s">
        <v>25</v>
      </c>
      <c r="E23" s="6" t="s">
        <v>521</v>
      </c>
      <c r="F23" s="6" t="s">
        <v>97</v>
      </c>
      <c r="G23" s="6" t="s">
        <v>97</v>
      </c>
      <c r="H23" s="6" t="s">
        <v>1463</v>
      </c>
      <c r="I23" s="6" t="s">
        <v>1464</v>
      </c>
      <c r="J23" s="6" t="s">
        <v>1465</v>
      </c>
      <c r="K23" s="7">
        <f>'Plant KPIs'!K23</f>
        <v>0.0</v>
      </c>
      <c r="L23" s="7">
        <f>'Plant KPIs'!Q23</f>
        <v>0.0</v>
      </c>
      <c r="M23" s="7">
        <f>'Plant KPIs'!W23</f>
        <v>0.0</v>
      </c>
      <c r="N23" s="7">
        <f>'Plant KPIs'!AC23</f>
        <v>0.0</v>
      </c>
      <c r="O23" s="7">
        <f>'Plant KPIs'!AI23</f>
        <v>0.0</v>
      </c>
      <c r="P23" s="7">
        <f>'Plant KPIs'!AO23</f>
        <v>0.0</v>
      </c>
      <c r="Q23" s="7">
        <f>'Entity KPIs'!K23</f>
        <v>0.0</v>
      </c>
      <c r="R23" s="7">
        <f>'Entity KPIs'!Q23</f>
        <v>0.0</v>
      </c>
      <c r="S23" s="7">
        <f>'Group KPIs'!K23</f>
        <v>0.0</v>
      </c>
      <c r="T23" s="6" t="s">
        <v>1521</v>
      </c>
      <c r="U23" s="6" t="s">
        <v>1522</v>
      </c>
    </row>
    <row r="24" spans="1:21">
      <c r="A24" s="6" t="s">
        <v>522</v>
      </c>
      <c r="B24" s="6" t="s">
        <v>523</v>
      </c>
      <c r="C24" s="6" t="s">
        <v>524</v>
      </c>
      <c r="D24" s="6" t="s">
        <v>25</v>
      </c>
      <c r="E24" s="6" t="s">
        <v>525</v>
      </c>
      <c r="F24" s="6" t="s">
        <v>1523</v>
      </c>
      <c r="G24" s="6" t="s">
        <v>1524</v>
      </c>
      <c r="H24" s="6" t="s">
        <v>1463</v>
      </c>
      <c r="I24" s="6" t="s">
        <v>1464</v>
      </c>
      <c r="J24" s="6" t="s">
        <v>1465</v>
      </c>
      <c r="K24" s="7">
        <f>'Plant KPIs'!K24</f>
        <v>0.0</v>
      </c>
      <c r="L24" s="7">
        <f>'Plant KPIs'!Q24</f>
        <v>0.0</v>
      </c>
      <c r="M24" s="7">
        <f>'Plant KPIs'!W24</f>
        <v>2.9</v>
      </c>
      <c r="N24" s="7">
        <f>'Plant KPIs'!AC24</f>
        <v>0.0</v>
      </c>
      <c r="O24" s="7">
        <f>'Plant KPIs'!AI24</f>
        <v>0.0</v>
      </c>
      <c r="P24" s="7">
        <f>'Plant KPIs'!AO24</f>
        <v>0.0</v>
      </c>
      <c r="Q24" s="7">
        <f>'Entity KPIs'!K24</f>
        <v>0.91</v>
      </c>
      <c r="R24" s="7">
        <f>'Entity KPIs'!Q24</f>
        <v>0.0</v>
      </c>
      <c r="S24" s="7">
        <f>'Group KPIs'!K24</f>
        <v>0.47</v>
      </c>
      <c r="T24" s="6" t="s">
        <v>1525</v>
      </c>
      <c r="U24" s="6" t="s">
        <v>1489</v>
      </c>
    </row>
    <row r="25" spans="1:21">
      <c r="A25" s="6" t="s">
        <v>526</v>
      </c>
      <c r="B25" s="6" t="s">
        <v>527</v>
      </c>
      <c r="C25" s="6" t="s">
        <v>512</v>
      </c>
      <c r="D25" s="6" t="s">
        <v>25</v>
      </c>
      <c r="E25" s="6" t="s">
        <v>527</v>
      </c>
      <c r="F25" s="6" t="s">
        <v>89</v>
      </c>
      <c r="G25" s="6" t="s">
        <v>89</v>
      </c>
      <c r="H25" s="6" t="s">
        <v>1463</v>
      </c>
      <c r="I25" s="6" t="s">
        <v>1464</v>
      </c>
      <c r="J25" s="6" t="s">
        <v>1465</v>
      </c>
      <c r="K25" s="7">
        <f>'Plant KPIs'!K25</f>
        <v>1.0</v>
      </c>
      <c r="L25" s="7">
        <f>'Plant KPIs'!Q25</f>
        <v>0.0</v>
      </c>
      <c r="M25" s="7">
        <f>'Plant KPIs'!W25</f>
        <v>0.0</v>
      </c>
      <c r="N25" s="7">
        <f>'Plant KPIs'!AC25</f>
        <v>0.0</v>
      </c>
      <c r="O25" s="7">
        <f>'Plant KPIs'!AI25</f>
        <v>1.0</v>
      </c>
      <c r="P25" s="7">
        <f>'Plant KPIs'!AO25</f>
        <v>1.0</v>
      </c>
      <c r="Q25" s="7">
        <f>'Entity KPIs'!K25</f>
        <v>1.0</v>
      </c>
      <c r="R25" s="7">
        <f>'Entity KPIs'!Q25</f>
        <v>2.0</v>
      </c>
      <c r="S25" s="7">
        <f>'Group KPIs'!K25</f>
        <v>3.0</v>
      </c>
      <c r="T25" s="6" t="s">
        <v>1526</v>
      </c>
      <c r="U25" s="6" t="s">
        <v>1471</v>
      </c>
    </row>
    <row r="26" spans="1:21">
      <c r="A26" s="6" t="s">
        <v>528</v>
      </c>
      <c r="B26" s="6" t="s">
        <v>529</v>
      </c>
      <c r="C26" s="6" t="s">
        <v>512</v>
      </c>
      <c r="D26" s="6" t="s">
        <v>25</v>
      </c>
      <c r="E26" s="6" t="s">
        <v>529</v>
      </c>
      <c r="F26" s="6" t="s">
        <v>91</v>
      </c>
      <c r="G26" s="6" t="s">
        <v>91</v>
      </c>
      <c r="H26" s="6" t="s">
        <v>1463</v>
      </c>
      <c r="I26" s="6" t="s">
        <v>1464</v>
      </c>
      <c r="J26" s="6" t="s">
        <v>1465</v>
      </c>
      <c r="K26" s="7">
        <f>'Plant KPIs'!K26</f>
        <v>9.0</v>
      </c>
      <c r="L26" s="7">
        <f>'Plant KPIs'!Q26</f>
        <v>2.0</v>
      </c>
      <c r="M26" s="7">
        <f>'Plant KPIs'!W26</f>
        <v>9.0</v>
      </c>
      <c r="N26" s="7">
        <f>'Plant KPIs'!AC26</f>
        <v>3.0</v>
      </c>
      <c r="O26" s="7">
        <f>'Plant KPIs'!AI26</f>
        <v>9.0</v>
      </c>
      <c r="P26" s="7">
        <f>'Plant KPIs'!AO26</f>
        <v>9.0</v>
      </c>
      <c r="Q26" s="7">
        <f>'Entity KPIs'!K26</f>
        <v>20.0</v>
      </c>
      <c r="R26" s="7">
        <f>'Entity KPIs'!Q26</f>
        <v>21.0</v>
      </c>
      <c r="S26" s="7">
        <f>'Group KPIs'!K26</f>
        <v>41.0</v>
      </c>
      <c r="T26" s="6" t="s">
        <v>1527</v>
      </c>
      <c r="U26" s="6" t="s">
        <v>1493</v>
      </c>
    </row>
    <row r="27" spans="1:21">
      <c r="A27" s="6" t="s">
        <v>530</v>
      </c>
      <c r="B27" s="6" t="s">
        <v>531</v>
      </c>
      <c r="C27" s="6" t="s">
        <v>512</v>
      </c>
      <c r="D27" s="6" t="s">
        <v>25</v>
      </c>
      <c r="E27" s="6" t="s">
        <v>531</v>
      </c>
      <c r="F27" s="6" t="s">
        <v>93</v>
      </c>
      <c r="G27" s="6" t="s">
        <v>93</v>
      </c>
      <c r="H27" s="6" t="s">
        <v>1463</v>
      </c>
      <c r="I27" s="6" t="s">
        <v>1464</v>
      </c>
      <c r="J27" s="6" t="s">
        <v>1465</v>
      </c>
      <c r="K27" s="7">
        <f>'Plant KPIs'!K27</f>
        <v>0.0</v>
      </c>
      <c r="L27" s="7">
        <f>'Plant KPIs'!Q27</f>
        <v>0.0</v>
      </c>
      <c r="M27" s="7">
        <f>'Plant KPIs'!W27</f>
        <v>0.0</v>
      </c>
      <c r="N27" s="7">
        <f>'Plant KPIs'!AC27</f>
        <v>0.0</v>
      </c>
      <c r="O27" s="7">
        <f>'Plant KPIs'!AI27</f>
        <v>0.0</v>
      </c>
      <c r="P27" s="7">
        <f>'Plant KPIs'!AO27</f>
        <v>0.0</v>
      </c>
      <c r="Q27" s="7">
        <f>'Entity KPIs'!K27</f>
        <v>0.0</v>
      </c>
      <c r="R27" s="7">
        <f>'Entity KPIs'!Q27</f>
        <v>0.0</v>
      </c>
      <c r="S27" s="7">
        <f>'Group KPIs'!K27</f>
        <v>0.0</v>
      </c>
      <c r="T27" s="6" t="s">
        <v>1528</v>
      </c>
      <c r="U27" s="6" t="s">
        <v>1529</v>
      </c>
    </row>
    <row r="28" spans="1:21">
      <c r="A28" s="6" t="s">
        <v>532</v>
      </c>
      <c r="B28" s="6" t="s">
        <v>533</v>
      </c>
      <c r="C28" s="6" t="s">
        <v>512</v>
      </c>
      <c r="D28" s="6" t="s">
        <v>25</v>
      </c>
      <c r="E28" s="6" t="s">
        <v>533</v>
      </c>
      <c r="F28" s="6" t="s">
        <v>95</v>
      </c>
      <c r="G28" s="6" t="s">
        <v>95</v>
      </c>
      <c r="H28" s="6" t="s">
        <v>1463</v>
      </c>
      <c r="I28" s="6" t="s">
        <v>1464</v>
      </c>
      <c r="J28" s="6" t="s">
        <v>1465</v>
      </c>
      <c r="K28" s="7">
        <f>'Plant KPIs'!K28</f>
        <v>0.0</v>
      </c>
      <c r="L28" s="7">
        <f>'Plant KPIs'!Q28</f>
        <v>1.0</v>
      </c>
      <c r="M28" s="7">
        <f>'Plant KPIs'!W28</f>
        <v>0.0</v>
      </c>
      <c r="N28" s="7">
        <f>'Plant KPIs'!AC28</f>
        <v>1.0</v>
      </c>
      <c r="O28" s="7">
        <f>'Plant KPIs'!AI28</f>
        <v>0.0</v>
      </c>
      <c r="P28" s="7">
        <f>'Plant KPIs'!AO28</f>
        <v>0.0</v>
      </c>
      <c r="Q28" s="7">
        <f>'Entity KPIs'!K28</f>
        <v>1.0</v>
      </c>
      <c r="R28" s="7">
        <f>'Entity KPIs'!Q28</f>
        <v>1.0</v>
      </c>
      <c r="S28" s="7">
        <f>'Group KPIs'!K28</f>
        <v>2.0</v>
      </c>
      <c r="T28" s="6" t="s">
        <v>1530</v>
      </c>
      <c r="U28" s="6" t="s">
        <v>1493</v>
      </c>
    </row>
    <row r="29" spans="1:21">
      <c r="A29" s="6" t="s">
        <v>534</v>
      </c>
      <c r="B29" s="6" t="s">
        <v>535</v>
      </c>
      <c r="C29" s="6" t="s">
        <v>512</v>
      </c>
      <c r="D29" s="6" t="s">
        <v>25</v>
      </c>
      <c r="E29" s="6" t="s">
        <v>535</v>
      </c>
      <c r="F29" s="6" t="s">
        <v>99</v>
      </c>
      <c r="G29" s="6" t="s">
        <v>99</v>
      </c>
      <c r="H29" s="6" t="s">
        <v>1463</v>
      </c>
      <c r="I29" s="6" t="s">
        <v>1464</v>
      </c>
      <c r="J29" s="6" t="s">
        <v>1465</v>
      </c>
      <c r="K29" s="7">
        <f>'Plant KPIs'!K29</f>
        <v>14.0</v>
      </c>
      <c r="L29" s="7">
        <f>'Plant KPIs'!Q29</f>
        <v>6.0</v>
      </c>
      <c r="M29" s="7">
        <f>'Plant KPIs'!W29</f>
        <v>8.0</v>
      </c>
      <c r="N29" s="7">
        <f>'Plant KPIs'!AC29</f>
        <v>6.0</v>
      </c>
      <c r="O29" s="7">
        <f>'Plant KPIs'!AI29</f>
        <v>6.0</v>
      </c>
      <c r="P29" s="7">
        <f>'Plant KPIs'!AO29</f>
        <v>5.0</v>
      </c>
      <c r="Q29" s="7">
        <f>'Entity KPIs'!K29</f>
        <v>28.0</v>
      </c>
      <c r="R29" s="7">
        <f>'Entity KPIs'!Q29</f>
        <v>17.0</v>
      </c>
      <c r="S29" s="7">
        <f>'Group KPIs'!K29</f>
        <v>45.0</v>
      </c>
      <c r="T29" s="6" t="s">
        <v>1531</v>
      </c>
      <c r="U29" s="6" t="s">
        <v>1479</v>
      </c>
    </row>
    <row r="30" spans="1:21">
      <c r="A30" s="6" t="s">
        <v>536</v>
      </c>
      <c r="B30" s="6" t="s">
        <v>537</v>
      </c>
      <c r="C30" s="6" t="s">
        <v>512</v>
      </c>
      <c r="D30" s="6" t="s">
        <v>25</v>
      </c>
      <c r="E30" s="6" t="s">
        <v>538</v>
      </c>
      <c r="F30" s="6" t="s">
        <v>101</v>
      </c>
      <c r="G30" s="6" t="s">
        <v>101</v>
      </c>
      <c r="H30" s="6" t="s">
        <v>1463</v>
      </c>
      <c r="I30" s="6" t="s">
        <v>1464</v>
      </c>
      <c r="J30" s="6" t="s">
        <v>1465</v>
      </c>
      <c r="K30" s="7">
        <f>'Plant KPIs'!K30</f>
        <v>4.0</v>
      </c>
      <c r="L30" s="7">
        <f>'Plant KPIs'!Q30</f>
        <v>1.0</v>
      </c>
      <c r="M30" s="7">
        <f>'Plant KPIs'!W30</f>
        <v>2.0</v>
      </c>
      <c r="N30" s="7">
        <f>'Plant KPIs'!AC30</f>
        <v>1.0</v>
      </c>
      <c r="O30" s="7">
        <f>'Plant KPIs'!AI30</f>
        <v>0.0</v>
      </c>
      <c r="P30" s="7">
        <f>'Plant KPIs'!AO30</f>
        <v>1.0</v>
      </c>
      <c r="Q30" s="7">
        <f>'Entity KPIs'!K30</f>
        <v>7.0</v>
      </c>
      <c r="R30" s="7">
        <f>'Entity KPIs'!Q30</f>
        <v>2.0</v>
      </c>
      <c r="S30" s="7">
        <f>'Group KPIs'!K30</f>
        <v>9.0</v>
      </c>
      <c r="T30" s="6" t="s">
        <v>1528</v>
      </c>
      <c r="U30" s="6" t="s">
        <v>1489</v>
      </c>
    </row>
    <row r="31" spans="1:21">
      <c r="A31" s="6" t="s">
        <v>539</v>
      </c>
      <c r="B31" s="6" t="s">
        <v>540</v>
      </c>
      <c r="C31" s="6" t="s">
        <v>455</v>
      </c>
      <c r="D31" s="6" t="s">
        <v>25</v>
      </c>
      <c r="E31" s="6" t="s">
        <v>541</v>
      </c>
      <c r="F31" s="6" t="s">
        <v>1532</v>
      </c>
      <c r="G31" s="6" t="s">
        <v>1533</v>
      </c>
      <c r="H31" s="6" t="s">
        <v>1463</v>
      </c>
      <c r="I31" s="6" t="s">
        <v>1464</v>
      </c>
      <c r="J31" s="6" t="s">
        <v>1465</v>
      </c>
      <c r="K31" s="7">
        <f>'Plant KPIs'!K31</f>
        <v>100.0</v>
      </c>
      <c r="L31" s="7">
        <f>'Plant KPIs'!Q31</f>
        <v>50.0</v>
      </c>
      <c r="M31" s="7">
        <f>'Plant KPIs'!W31</f>
        <v>100.0</v>
      </c>
      <c r="N31" s="7">
        <f>'Plant KPIs'!AC31</f>
        <v>100.0</v>
      </c>
      <c r="O31" s="7">
        <f>'Plant KPIs'!AI31</f>
        <v>100.0</v>
      </c>
      <c r="P31" s="7">
        <f>'Plant KPIs'!AO31</f>
        <v>100.0</v>
      </c>
      <c r="Q31" s="7">
        <f>'Entity KPIs'!K31</f>
        <v>75.0</v>
      </c>
      <c r="R31" s="7">
        <f>'Entity KPIs'!Q31</f>
        <v>100.0</v>
      </c>
      <c r="S31" s="7">
        <f>'Group KPIs'!K31</f>
        <v>75.0</v>
      </c>
      <c r="T31" s="6" t="s">
        <v>1534</v>
      </c>
      <c r="U31" s="6" t="s">
        <v>1479</v>
      </c>
    </row>
    <row r="32" spans="1:21">
      <c r="A32" s="6" t="s">
        <v>542</v>
      </c>
      <c r="B32" s="6" t="s">
        <v>543</v>
      </c>
      <c r="C32" s="6" t="s">
        <v>28</v>
      </c>
      <c r="D32" s="6" t="s">
        <v>25</v>
      </c>
      <c r="E32" s="6" t="s">
        <v>544</v>
      </c>
      <c r="F32" s="6" t="s">
        <v>113</v>
      </c>
      <c r="G32" s="6" t="s">
        <v>113</v>
      </c>
      <c r="H32" s="6" t="s">
        <v>1463</v>
      </c>
      <c r="I32" s="6" t="s">
        <v>1464</v>
      </c>
      <c r="J32" s="6" t="s">
        <v>1465</v>
      </c>
      <c r="K32" s="7">
        <f>'Plant KPIs'!K32</f>
        <v>161.0</v>
      </c>
      <c r="L32" s="7">
        <f>'Plant KPIs'!Q32</f>
        <v>65.0</v>
      </c>
      <c r="M32" s="7">
        <f>'Plant KPIs'!W32</f>
        <v>68.0</v>
      </c>
      <c r="N32" s="7">
        <f>'Plant KPIs'!AC32</f>
        <v>219.0</v>
      </c>
      <c r="O32" s="7">
        <f>'Plant KPIs'!AI32</f>
        <v>102.0</v>
      </c>
      <c r="P32" s="7">
        <f>'Plant KPIs'!AO32</f>
        <v>110.0</v>
      </c>
      <c r="Q32" s="7">
        <f>'Entity KPIs'!K32</f>
        <v>65.0</v>
      </c>
      <c r="R32" s="7">
        <f>'Entity KPIs'!Q32</f>
        <v>102.0</v>
      </c>
      <c r="S32" s="7">
        <f>'Group KPIs'!K32</f>
        <v>65.0</v>
      </c>
      <c r="T32" s="6" t="s">
        <v>1535</v>
      </c>
      <c r="U32" s="6" t="s">
        <v>1479</v>
      </c>
    </row>
    <row r="33" spans="1:21">
      <c r="A33" s="6" t="s">
        <v>545</v>
      </c>
      <c r="B33" s="6" t="s">
        <v>546</v>
      </c>
      <c r="C33" s="6" t="s">
        <v>455</v>
      </c>
      <c r="D33" s="6" t="s">
        <v>25</v>
      </c>
      <c r="E33" s="6" t="s">
        <v>459</v>
      </c>
      <c r="F33" s="6" t="s">
        <v>1468</v>
      </c>
      <c r="G33" s="6" t="s">
        <v>1469</v>
      </c>
      <c r="H33" s="6" t="s">
        <v>1463</v>
      </c>
      <c r="I33" s="6" t="s">
        <v>1464</v>
      </c>
      <c r="J33" s="6" t="s">
        <v>1465</v>
      </c>
      <c r="K33" s="7">
        <f>'Plant KPIs'!K33</f>
        <v>82.92</v>
      </c>
      <c r="L33" s="7">
        <f>'Plant KPIs'!Q33</f>
        <v>70.02</v>
      </c>
      <c r="M33" s="7">
        <f>'Plant KPIs'!W33</f>
        <v>86.09</v>
      </c>
      <c r="N33" s="7">
        <f>'Plant KPIs'!AC33</f>
        <v>89.48</v>
      </c>
      <c r="O33" s="7">
        <f>'Plant KPIs'!AI33</f>
        <v>89.96</v>
      </c>
      <c r="P33" s="7">
        <f>'Plant KPIs'!AO33</f>
        <v>82.87</v>
      </c>
      <c r="Q33" s="7">
        <f>'Entity KPIs'!K33</f>
        <v>79.8</v>
      </c>
      <c r="R33" s="7">
        <f>'Entity KPIs'!Q33</f>
        <v>87.55</v>
      </c>
      <c r="S33" s="7">
        <f>'Group KPIs'!K33</f>
        <v>83.44</v>
      </c>
      <c r="T33" s="6" t="s">
        <v>1536</v>
      </c>
      <c r="U33" s="6" t="s">
        <v>1471</v>
      </c>
    </row>
    <row r="34" spans="1:21">
      <c r="A34" s="6" t="s">
        <v>547</v>
      </c>
      <c r="B34" s="6" t="s">
        <v>548</v>
      </c>
      <c r="C34" s="6" t="s">
        <v>455</v>
      </c>
      <c r="D34" s="6" t="s">
        <v>25</v>
      </c>
      <c r="E34" s="6" t="s">
        <v>549</v>
      </c>
      <c r="F34" s="6" t="s">
        <v>1476</v>
      </c>
      <c r="G34" s="6" t="s">
        <v>1477</v>
      </c>
      <c r="H34" s="6" t="s">
        <v>1463</v>
      </c>
      <c r="I34" s="6" t="s">
        <v>1464</v>
      </c>
      <c r="J34" s="6" t="s">
        <v>1465</v>
      </c>
      <c r="K34" s="7">
        <f>'Plant KPIs'!K34</f>
        <v>83.97</v>
      </c>
      <c r="L34" s="7">
        <f>'Plant KPIs'!Q34</f>
        <v>70.31</v>
      </c>
      <c r="M34" s="7">
        <f>'Plant KPIs'!W34</f>
        <v>86.21</v>
      </c>
      <c r="N34" s="7">
        <f>'Plant KPIs'!AC34</f>
        <v>89.73</v>
      </c>
      <c r="O34" s="7">
        <f>'Plant KPIs'!AI34</f>
        <v>91.23</v>
      </c>
      <c r="P34" s="7">
        <f>'Plant KPIs'!AO34</f>
        <v>83.8</v>
      </c>
      <c r="Q34" s="7">
        <f>'Entity KPIs'!K34</f>
        <v>80.21</v>
      </c>
      <c r="R34" s="7">
        <f>'Entity KPIs'!Q34</f>
        <v>88.44</v>
      </c>
      <c r="S34" s="7">
        <f>'Group KPIs'!K34</f>
        <v>84.07</v>
      </c>
      <c r="T34" s="6" t="s">
        <v>1537</v>
      </c>
      <c r="U34" s="6" t="s">
        <v>1475</v>
      </c>
    </row>
    <row r="35" spans="1:21">
      <c r="A35" s="6" t="s">
        <v>550</v>
      </c>
      <c r="B35" s="6" t="s">
        <v>551</v>
      </c>
      <c r="C35" s="6" t="s">
        <v>455</v>
      </c>
      <c r="D35" s="6" t="s">
        <v>25</v>
      </c>
      <c r="E35" s="6" t="s">
        <v>552</v>
      </c>
      <c r="F35" s="6" t="s">
        <v>1538</v>
      </c>
      <c r="G35" s="6" t="s">
        <v>1539</v>
      </c>
      <c r="H35" s="6" t="s">
        <v>1540</v>
      </c>
      <c r="I35" s="6" t="s">
        <v>1464</v>
      </c>
      <c r="J35" s="6" t="s">
        <v>1465</v>
      </c>
      <c r="K35" s="7">
        <f>'Plant KPIs'!K35</f>
        <v>92.8</v>
      </c>
      <c r="L35" s="7">
        <f>'Plant KPIs'!Q35</f>
        <v>77.61</v>
      </c>
      <c r="M35" s="7">
        <f>'Plant KPIs'!W35</f>
        <v>97.05</v>
      </c>
      <c r="N35" s="7">
        <f>'Plant KPIs'!AC35</f>
        <v>105.36</v>
      </c>
      <c r="O35" s="7">
        <f>'Plant KPIs'!AI35</f>
        <v>102.97</v>
      </c>
      <c r="P35" s="7">
        <f>'Plant KPIs'!AO35</f>
        <v>98.14</v>
      </c>
      <c r="Q35" s="7">
        <f>'Entity KPIs'!K35</f>
        <v>89.21</v>
      </c>
      <c r="R35" s="7">
        <f>'Entity KPIs'!Q35</f>
        <v>102.04</v>
      </c>
      <c r="S35" s="7">
        <f>'Group KPIs'!K35</f>
        <v>95.23</v>
      </c>
      <c r="T35" s="6" t="s">
        <v>1541</v>
      </c>
      <c r="U35" s="6" t="s">
        <v>1503</v>
      </c>
    </row>
    <row r="36" spans="1:21">
      <c r="A36" s="6" t="s">
        <v>553</v>
      </c>
      <c r="B36" s="6" t="s">
        <v>554</v>
      </c>
      <c r="C36" s="6" t="s">
        <v>455</v>
      </c>
      <c r="D36" s="6" t="s">
        <v>25</v>
      </c>
      <c r="E36" s="6" t="s">
        <v>552</v>
      </c>
      <c r="F36" s="6" t="s">
        <v>1538</v>
      </c>
      <c r="G36" s="6" t="s">
        <v>1539</v>
      </c>
      <c r="H36" s="6" t="s">
        <v>1540</v>
      </c>
      <c r="I36" s="6" t="s">
        <v>1464</v>
      </c>
      <c r="J36" s="6" t="s">
        <v>1465</v>
      </c>
      <c r="K36" s="7">
        <f>'Plant KPIs'!K36</f>
        <v>92.8</v>
      </c>
      <c r="L36" s="7">
        <f>'Plant KPIs'!Q36</f>
        <v>77.61</v>
      </c>
      <c r="M36" s="7">
        <f>'Plant KPIs'!W36</f>
        <v>97.05</v>
      </c>
      <c r="N36" s="7">
        <f>'Plant KPIs'!AC36</f>
        <v>105.36</v>
      </c>
      <c r="O36" s="7">
        <f>'Plant KPIs'!AI36</f>
        <v>102.97</v>
      </c>
      <c r="P36" s="7">
        <f>'Plant KPIs'!AO36</f>
        <v>98.14</v>
      </c>
      <c r="Q36" s="7">
        <f>'Entity KPIs'!K36</f>
        <v>89.21</v>
      </c>
      <c r="R36" s="7">
        <f>'Entity KPIs'!Q36</f>
        <v>102.04</v>
      </c>
      <c r="S36" s="7">
        <f>'Group KPIs'!K36</f>
        <v>95.23</v>
      </c>
      <c r="T36" s="6" t="s">
        <v>1542</v>
      </c>
      <c r="U36" s="6" t="s">
        <v>1475</v>
      </c>
    </row>
    <row r="37" spans="1:21">
      <c r="A37" s="6" t="s">
        <v>555</v>
      </c>
      <c r="B37" s="6" t="s">
        <v>556</v>
      </c>
      <c r="C37" s="6" t="s">
        <v>490</v>
      </c>
      <c r="D37" s="6" t="s">
        <v>25</v>
      </c>
      <c r="E37" s="6" t="s">
        <v>557</v>
      </c>
      <c r="F37" s="6" t="s">
        <v>1543</v>
      </c>
      <c r="G37" s="6" t="s">
        <v>1544</v>
      </c>
      <c r="H37" s="6" t="s">
        <v>1545</v>
      </c>
      <c r="I37" s="6" t="s">
        <v>1464</v>
      </c>
      <c r="J37" s="6" t="s">
        <v>1465</v>
      </c>
      <c r="K37" s="7">
        <f>'Plant KPIs'!K37</f>
        <v>164.79</v>
      </c>
      <c r="L37" s="7">
        <f>'Plant KPIs'!Q37</f>
        <v>215.86</v>
      </c>
      <c r="M37" s="7">
        <f>'Plant KPIs'!W37</f>
        <v>156.32</v>
      </c>
      <c r="N37" s="7">
        <f>'Plant KPIs'!AC37</f>
        <v>198.06</v>
      </c>
      <c r="O37" s="7">
        <f>'Plant KPIs'!AI37</f>
        <v>168.17</v>
      </c>
      <c r="P37" s="7">
        <f>'Plant KPIs'!AO37</f>
        <v>155.24</v>
      </c>
      <c r="Q37" s="7">
        <f>'Entity KPIs'!K37</f>
        <v>176.41</v>
      </c>
      <c r="R37" s="7">
        <f>'Entity KPIs'!Q37</f>
        <v>172.12</v>
      </c>
      <c r="S37" s="7">
        <f>'Group KPIs'!K37</f>
        <v>174.29</v>
      </c>
      <c r="T37" s="6" t="s">
        <v>1546</v>
      </c>
      <c r="U37" s="6" t="s">
        <v>1475</v>
      </c>
    </row>
    <row r="38" spans="1:21">
      <c r="A38" s="6" t="s">
        <v>558</v>
      </c>
      <c r="B38" s="6" t="s">
        <v>559</v>
      </c>
      <c r="C38" s="6" t="s">
        <v>560</v>
      </c>
      <c r="D38" s="6" t="s">
        <v>561</v>
      </c>
      <c r="E38" s="6" t="s">
        <v>562</v>
      </c>
      <c r="F38" s="6" t="s">
        <v>1547</v>
      </c>
      <c r="G38" s="6" t="s">
        <v>1548</v>
      </c>
      <c r="H38" s="6" t="s">
        <v>1545</v>
      </c>
      <c r="I38" s="6" t="s">
        <v>1549</v>
      </c>
      <c r="J38" s="6" t="s">
        <v>1550</v>
      </c>
      <c r="K38" s="6" t="s">
        <v>1228</v>
      </c>
      <c r="L38" s="6" t="s">
        <v>1228</v>
      </c>
      <c r="M38" s="6" t="s">
        <v>1228</v>
      </c>
      <c r="N38" s="6" t="s">
        <v>1228</v>
      </c>
      <c r="O38" s="6" t="s">
        <v>1228</v>
      </c>
      <c r="P38" s="6" t="s">
        <v>1228</v>
      </c>
      <c r="Q38" s="7">
        <f>'Entity KPIs'!K38</f>
        <v>890.55</v>
      </c>
      <c r="R38" s="7">
        <f>'Entity KPIs'!Q38</f>
        <v>869.54</v>
      </c>
      <c r="S38" s="7">
        <f>'Group KPIs'!K38</f>
        <v>1760.09</v>
      </c>
      <c r="T38" s="6" t="s">
        <v>1551</v>
      </c>
      <c r="U38" s="6" t="s">
        <v>1552</v>
      </c>
    </row>
    <row r="39" spans="1:21">
      <c r="A39" s="6" t="s">
        <v>563</v>
      </c>
      <c r="B39" s="6" t="s">
        <v>564</v>
      </c>
      <c r="C39" s="6" t="s">
        <v>560</v>
      </c>
      <c r="D39" s="6" t="s">
        <v>561</v>
      </c>
      <c r="E39" s="6" t="s">
        <v>565</v>
      </c>
      <c r="F39" s="6" t="s">
        <v>1553</v>
      </c>
      <c r="G39" s="6" t="s">
        <v>1554</v>
      </c>
      <c r="H39" s="6" t="s">
        <v>1545</v>
      </c>
      <c r="I39" s="6" t="s">
        <v>1549</v>
      </c>
      <c r="J39" s="6" t="s">
        <v>1550</v>
      </c>
      <c r="K39" s="6" t="s">
        <v>1228</v>
      </c>
      <c r="L39" s="6" t="s">
        <v>1228</v>
      </c>
      <c r="M39" s="6" t="s">
        <v>1228</v>
      </c>
      <c r="N39" s="6" t="s">
        <v>1228</v>
      </c>
      <c r="O39" s="6" t="s">
        <v>1228</v>
      </c>
      <c r="P39" s="6" t="s">
        <v>1228</v>
      </c>
      <c r="Q39" s="7">
        <f>'Entity KPIs'!K39</f>
        <v>610.05</v>
      </c>
      <c r="R39" s="7">
        <f>'Entity KPIs'!Q39</f>
        <v>618.1</v>
      </c>
      <c r="S39" s="7">
        <f>'Group KPIs'!K39</f>
        <v>1228.14</v>
      </c>
      <c r="T39" s="6" t="s">
        <v>1555</v>
      </c>
      <c r="U39" s="6" t="s">
        <v>1556</v>
      </c>
    </row>
    <row r="40" spans="1:21">
      <c r="A40" s="6" t="s">
        <v>566</v>
      </c>
      <c r="B40" s="6" t="s">
        <v>567</v>
      </c>
      <c r="C40" s="6" t="s">
        <v>560</v>
      </c>
      <c r="D40" s="6" t="s">
        <v>561</v>
      </c>
      <c r="E40" s="6" t="s">
        <v>568</v>
      </c>
      <c r="F40" s="6" t="s">
        <v>1557</v>
      </c>
      <c r="G40" s="6" t="s">
        <v>120</v>
      </c>
      <c r="H40" s="6" t="s">
        <v>1540</v>
      </c>
      <c r="I40" s="6" t="s">
        <v>1464</v>
      </c>
      <c r="J40" s="6" t="s">
        <v>1465</v>
      </c>
      <c r="K40" s="7">
        <f>'Plant KPIs'!K38</f>
        <v>1892.75</v>
      </c>
      <c r="L40" s="7">
        <f>'Plant KPIs'!Q38</f>
        <v>2089.58</v>
      </c>
      <c r="M40" s="7">
        <f>'Plant KPIs'!W38</f>
        <v>2989.99</v>
      </c>
      <c r="N40" s="7">
        <f>'Plant KPIs'!AC38</f>
        <v>1749.63</v>
      </c>
      <c r="O40" s="7">
        <f>'Plant KPIs'!AI38</f>
        <v>2890.84</v>
      </c>
      <c r="P40" s="7">
        <f>'Plant KPIs'!AO38</f>
        <v>2198.51</v>
      </c>
      <c r="Q40" s="7">
        <f>'Entity KPIs'!K40</f>
        <v>6972.32</v>
      </c>
      <c r="R40" s="7">
        <f>'Entity KPIs'!Q40</f>
        <v>6838.98</v>
      </c>
      <c r="S40" s="7">
        <f>'Group KPIs'!K40</f>
        <v>13811.3</v>
      </c>
      <c r="T40" s="6" t="s">
        <v>1558</v>
      </c>
      <c r="U40" s="6" t="s">
        <v>1559</v>
      </c>
    </row>
    <row r="41" spans="1:21">
      <c r="A41" s="6" t="s">
        <v>569</v>
      </c>
      <c r="B41" s="6" t="s">
        <v>570</v>
      </c>
      <c r="C41" s="6" t="s">
        <v>560</v>
      </c>
      <c r="D41" s="6" t="s">
        <v>561</v>
      </c>
      <c r="E41" s="6" t="s">
        <v>571</v>
      </c>
      <c r="F41" s="6" t="s">
        <v>1560</v>
      </c>
      <c r="G41" s="6" t="s">
        <v>1561</v>
      </c>
      <c r="H41" s="6" t="s">
        <v>1545</v>
      </c>
      <c r="I41" s="6" t="s">
        <v>1549</v>
      </c>
      <c r="J41" s="6" t="s">
        <v>1550</v>
      </c>
      <c r="K41" s="6" t="s">
        <v>1228</v>
      </c>
      <c r="L41" s="6" t="s">
        <v>1228</v>
      </c>
      <c r="M41" s="6" t="s">
        <v>1228</v>
      </c>
      <c r="N41" s="6" t="s">
        <v>1228</v>
      </c>
      <c r="O41" s="6" t="s">
        <v>1228</v>
      </c>
      <c r="P41" s="6" t="s">
        <v>1228</v>
      </c>
      <c r="Q41" s="7">
        <f>'Entity KPIs'!K41</f>
        <v>337.63</v>
      </c>
      <c r="R41" s="7">
        <f>'Entity KPIs'!Q41</f>
        <v>268.55</v>
      </c>
      <c r="S41" s="7">
        <f>'Group KPIs'!K41</f>
        <v>606.18</v>
      </c>
      <c r="T41" s="6" t="s">
        <v>1562</v>
      </c>
      <c r="U41" s="6" t="s">
        <v>1552</v>
      </c>
    </row>
    <row r="42" spans="1:21">
      <c r="A42" s="6" t="s">
        <v>572</v>
      </c>
      <c r="B42" s="6" t="s">
        <v>573</v>
      </c>
      <c r="C42" s="6" t="s">
        <v>455</v>
      </c>
      <c r="D42" s="6" t="s">
        <v>561</v>
      </c>
      <c r="E42" s="6" t="s">
        <v>574</v>
      </c>
      <c r="F42" s="6" t="s">
        <v>1563</v>
      </c>
      <c r="G42" s="6" t="s">
        <v>1564</v>
      </c>
      <c r="H42" s="6" t="s">
        <v>1545</v>
      </c>
      <c r="I42" s="6" t="s">
        <v>1549</v>
      </c>
      <c r="J42" s="6" t="s">
        <v>1550</v>
      </c>
      <c r="K42" s="6" t="s">
        <v>1228</v>
      </c>
      <c r="L42" s="6" t="s">
        <v>1228</v>
      </c>
      <c r="M42" s="6" t="s">
        <v>1228</v>
      </c>
      <c r="N42" s="6" t="s">
        <v>1228</v>
      </c>
      <c r="O42" s="6" t="s">
        <v>1228</v>
      </c>
      <c r="P42" s="6" t="s">
        <v>1228</v>
      </c>
      <c r="Q42" s="7">
        <f>'Entity KPIs'!K42</f>
        <v>11.08</v>
      </c>
      <c r="R42" s="7">
        <f>'Entity KPIs'!Q42</f>
        <v>12.12</v>
      </c>
      <c r="S42" s="7">
        <f>'Group KPIs'!K42</f>
        <v>11.58</v>
      </c>
      <c r="T42" s="6" t="s">
        <v>1565</v>
      </c>
      <c r="U42" s="6" t="s">
        <v>1556</v>
      </c>
    </row>
    <row r="43" spans="1:21">
      <c r="A43" s="6" t="s">
        <v>575</v>
      </c>
      <c r="B43" s="6" t="s">
        <v>576</v>
      </c>
      <c r="C43" s="6" t="s">
        <v>560</v>
      </c>
      <c r="D43" s="6" t="s">
        <v>577</v>
      </c>
      <c r="E43" s="6" t="s">
        <v>578</v>
      </c>
      <c r="F43" s="6" t="s">
        <v>1566</v>
      </c>
      <c r="G43" s="6" t="s">
        <v>1567</v>
      </c>
      <c r="H43" s="6" t="s">
        <v>1540</v>
      </c>
      <c r="I43" s="6" t="s">
        <v>1549</v>
      </c>
      <c r="J43" s="6" t="s">
        <v>1568</v>
      </c>
      <c r="K43" s="6" t="s">
        <v>1228</v>
      </c>
      <c r="L43" s="6" t="s">
        <v>1228</v>
      </c>
      <c r="M43" s="6" t="s">
        <v>1228</v>
      </c>
      <c r="N43" s="6" t="s">
        <v>1228</v>
      </c>
      <c r="O43" s="6" t="s">
        <v>1228</v>
      </c>
      <c r="P43" s="6" t="s">
        <v>1228</v>
      </c>
      <c r="Q43" s="7">
        <f>'Entity KPIs'!K43</f>
        <v>3610.0</v>
      </c>
      <c r="R43" s="7">
        <f>'Entity KPIs'!Q43</f>
        <v>3040.0</v>
      </c>
      <c r="S43" s="7">
        <f>'Group KPIs'!K43</f>
        <v>6650.0</v>
      </c>
      <c r="T43" s="6" t="s">
        <v>1569</v>
      </c>
      <c r="U43" s="6" t="s">
        <v>1503</v>
      </c>
    </row>
    <row r="44" spans="1:21">
      <c r="A44" s="6" t="s">
        <v>579</v>
      </c>
      <c r="B44" s="6" t="s">
        <v>580</v>
      </c>
      <c r="C44" s="6" t="s">
        <v>560</v>
      </c>
      <c r="D44" s="6" t="s">
        <v>561</v>
      </c>
      <c r="E44" s="6" t="s">
        <v>581</v>
      </c>
      <c r="F44" s="6" t="s">
        <v>1570</v>
      </c>
      <c r="G44" s="6" t="s">
        <v>1564</v>
      </c>
      <c r="H44" s="6" t="s">
        <v>1545</v>
      </c>
      <c r="I44" s="6" t="s">
        <v>1549</v>
      </c>
      <c r="J44" s="6" t="s">
        <v>1550</v>
      </c>
      <c r="K44" s="6" t="s">
        <v>1228</v>
      </c>
      <c r="L44" s="6" t="s">
        <v>1228</v>
      </c>
      <c r="M44" s="6" t="s">
        <v>1228</v>
      </c>
      <c r="N44" s="6" t="s">
        <v>1228</v>
      </c>
      <c r="O44" s="6" t="s">
        <v>1228</v>
      </c>
      <c r="P44" s="6" t="s">
        <v>1228</v>
      </c>
      <c r="Q44" s="7">
        <f>'Entity KPIs'!K44</f>
        <v>-65.72</v>
      </c>
      <c r="R44" s="7">
        <f>'Entity KPIs'!Q44</f>
        <v>-20.93</v>
      </c>
      <c r="S44" s="7">
        <f>'Group KPIs'!K44</f>
        <v>-86.65</v>
      </c>
      <c r="T44" s="6" t="s">
        <v>1571</v>
      </c>
      <c r="U44" s="6" t="s">
        <v>1489</v>
      </c>
    </row>
    <row r="45" spans="1:21">
      <c r="A45" s="6" t="s">
        <v>582</v>
      </c>
      <c r="B45" s="6" t="s">
        <v>583</v>
      </c>
      <c r="C45" s="6" t="s">
        <v>455</v>
      </c>
      <c r="D45" s="6" t="s">
        <v>561</v>
      </c>
      <c r="E45" s="6" t="s">
        <v>584</v>
      </c>
      <c r="F45" s="6" t="s">
        <v>1572</v>
      </c>
      <c r="G45" s="6" t="s">
        <v>1561</v>
      </c>
      <c r="H45" s="6" t="s">
        <v>1545</v>
      </c>
      <c r="I45" s="6" t="s">
        <v>1549</v>
      </c>
      <c r="J45" s="6" t="s">
        <v>1550</v>
      </c>
      <c r="K45" s="6" t="s">
        <v>1228</v>
      </c>
      <c r="L45" s="6" t="s">
        <v>1228</v>
      </c>
      <c r="M45" s="6" t="s">
        <v>1228</v>
      </c>
      <c r="N45" s="6" t="s">
        <v>1228</v>
      </c>
      <c r="O45" s="6" t="s">
        <v>1228</v>
      </c>
      <c r="P45" s="6" t="s">
        <v>1228</v>
      </c>
      <c r="Q45" s="7">
        <f>'Entity KPIs'!K45</f>
        <v>37.91</v>
      </c>
      <c r="R45" s="7">
        <f>'Entity KPIs'!Q45</f>
        <v>30.88</v>
      </c>
      <c r="S45" s="7">
        <f>'Group KPIs'!K45</f>
        <v>34.44</v>
      </c>
      <c r="T45" s="6" t="s">
        <v>1573</v>
      </c>
      <c r="U45" s="6" t="s">
        <v>1475</v>
      </c>
    </row>
    <row r="46" spans="1:21">
      <c r="A46" s="6" t="s">
        <v>585</v>
      </c>
      <c r="B46" s="6" t="s">
        <v>586</v>
      </c>
      <c r="C46" s="6" t="s">
        <v>560</v>
      </c>
      <c r="D46" s="6" t="s">
        <v>577</v>
      </c>
      <c r="E46" s="6" t="s">
        <v>587</v>
      </c>
      <c r="F46" s="6" t="s">
        <v>1574</v>
      </c>
      <c r="G46" s="6" t="s">
        <v>205</v>
      </c>
      <c r="H46" s="6" t="s">
        <v>1540</v>
      </c>
      <c r="I46" s="6" t="s">
        <v>1549</v>
      </c>
      <c r="J46" s="6" t="s">
        <v>1568</v>
      </c>
      <c r="K46" s="6" t="s">
        <v>1228</v>
      </c>
      <c r="L46" s="6" t="s">
        <v>1228</v>
      </c>
      <c r="M46" s="6" t="s">
        <v>1228</v>
      </c>
      <c r="N46" s="6" t="s">
        <v>1228</v>
      </c>
      <c r="O46" s="6" t="s">
        <v>1228</v>
      </c>
      <c r="P46" s="6" t="s">
        <v>1228</v>
      </c>
      <c r="Q46" s="7">
        <f>'Entity KPIs'!K46</f>
        <v>967.08</v>
      </c>
      <c r="R46" s="7">
        <f>'Entity KPIs'!Q46</f>
        <v>1174.74</v>
      </c>
      <c r="S46" s="7">
        <f>'Group KPIs'!K46</f>
        <v>2141.82</v>
      </c>
      <c r="T46" s="6" t="s">
        <v>1575</v>
      </c>
      <c r="U46" s="6" t="s">
        <v>1493</v>
      </c>
    </row>
    <row r="47" spans="1:21">
      <c r="A47" s="6" t="s">
        <v>588</v>
      </c>
      <c r="B47" s="6" t="s">
        <v>589</v>
      </c>
      <c r="C47" s="6" t="s">
        <v>560</v>
      </c>
      <c r="D47" s="6" t="s">
        <v>561</v>
      </c>
      <c r="E47" s="6" t="s">
        <v>590</v>
      </c>
      <c r="F47" s="6" t="s">
        <v>1576</v>
      </c>
      <c r="G47" s="6" t="s">
        <v>227</v>
      </c>
      <c r="H47" s="6" t="s">
        <v>1540</v>
      </c>
      <c r="I47" s="6" t="s">
        <v>1549</v>
      </c>
      <c r="J47" s="6" t="s">
        <v>1568</v>
      </c>
      <c r="K47" s="6" t="s">
        <v>1228</v>
      </c>
      <c r="L47" s="6" t="s">
        <v>1228</v>
      </c>
      <c r="M47" s="6" t="s">
        <v>1228</v>
      </c>
      <c r="N47" s="6" t="s">
        <v>1228</v>
      </c>
      <c r="O47" s="6" t="s">
        <v>1228</v>
      </c>
      <c r="P47" s="6" t="s">
        <v>1228</v>
      </c>
      <c r="Q47" s="7">
        <f>'Entity KPIs'!K47</f>
        <v>4.2</v>
      </c>
      <c r="R47" s="7">
        <f>'Entity KPIs'!Q47</f>
        <v>17.83</v>
      </c>
      <c r="S47" s="7">
        <f>'Group KPIs'!K47</f>
        <v>22.03</v>
      </c>
      <c r="T47" s="6" t="s">
        <v>1577</v>
      </c>
      <c r="U47" s="6" t="s">
        <v>1578</v>
      </c>
    </row>
    <row r="48" spans="1:21">
      <c r="A48" s="6" t="s">
        <v>591</v>
      </c>
      <c r="B48" s="6" t="s">
        <v>592</v>
      </c>
      <c r="C48" s="6" t="s">
        <v>593</v>
      </c>
      <c r="D48" s="6" t="s">
        <v>25</v>
      </c>
      <c r="E48" s="6" t="s">
        <v>594</v>
      </c>
      <c r="F48" s="6" t="s">
        <v>1579</v>
      </c>
      <c r="G48" s="6" t="s">
        <v>225</v>
      </c>
      <c r="H48" s="6" t="s">
        <v>1540</v>
      </c>
      <c r="I48" s="6" t="s">
        <v>1549</v>
      </c>
      <c r="J48" s="6" t="s">
        <v>1568</v>
      </c>
      <c r="K48" s="6" t="s">
        <v>1228</v>
      </c>
      <c r="L48" s="6" t="s">
        <v>1228</v>
      </c>
      <c r="M48" s="6" t="s">
        <v>1228</v>
      </c>
      <c r="N48" s="6" t="s">
        <v>1228</v>
      </c>
      <c r="O48" s="6" t="s">
        <v>1228</v>
      </c>
      <c r="P48" s="6" t="s">
        <v>1228</v>
      </c>
      <c r="Q48" s="7">
        <f>'Entity KPIs'!K48</f>
        <v>38.6</v>
      </c>
      <c r="R48" s="7">
        <f>'Entity KPIs'!Q48</f>
        <v>38.17</v>
      </c>
      <c r="S48" s="7">
        <f>'Group KPIs'!K48</f>
        <v>76.77</v>
      </c>
      <c r="T48" s="6" t="s">
        <v>1580</v>
      </c>
      <c r="U48" s="6" t="s">
        <v>1471</v>
      </c>
    </row>
    <row r="49" spans="1:21">
      <c r="A49" s="6" t="s">
        <v>595</v>
      </c>
      <c r="B49" s="6" t="s">
        <v>596</v>
      </c>
      <c r="C49" s="6" t="s">
        <v>28</v>
      </c>
      <c r="D49" s="6" t="s">
        <v>577</v>
      </c>
      <c r="E49" s="6" t="s">
        <v>597</v>
      </c>
      <c r="F49" s="6" t="s">
        <v>1581</v>
      </c>
      <c r="G49" s="6" t="s">
        <v>1582</v>
      </c>
      <c r="H49" s="6" t="s">
        <v>1545</v>
      </c>
      <c r="I49" s="6" t="s">
        <v>1549</v>
      </c>
      <c r="J49" s="6" t="s">
        <v>1550</v>
      </c>
      <c r="K49" s="6" t="s">
        <v>1228</v>
      </c>
      <c r="L49" s="6" t="s">
        <v>1228</v>
      </c>
      <c r="M49" s="6" t="s">
        <v>1228</v>
      </c>
      <c r="N49" s="6" t="s">
        <v>1228</v>
      </c>
      <c r="O49" s="6" t="s">
        <v>1228</v>
      </c>
      <c r="P49" s="6" t="s">
        <v>1228</v>
      </c>
      <c r="Q49" s="7">
        <f>'Entity KPIs'!K49</f>
        <v>52.3</v>
      </c>
      <c r="R49" s="7">
        <f>'Entity KPIs'!Q49</f>
        <v>13.42</v>
      </c>
      <c r="S49" s="7">
        <f>'Group KPIs'!K49</f>
        <v>32.59</v>
      </c>
      <c r="T49" s="6" t="s">
        <v>1583</v>
      </c>
      <c r="U49" s="6" t="s">
        <v>1584</v>
      </c>
    </row>
    <row r="50" spans="1:21">
      <c r="A50" s="6" t="s">
        <v>598</v>
      </c>
      <c r="B50" s="6" t="s">
        <v>599</v>
      </c>
      <c r="C50" s="6" t="s">
        <v>560</v>
      </c>
      <c r="D50" s="6" t="s">
        <v>600</v>
      </c>
      <c r="E50" s="6" t="s">
        <v>601</v>
      </c>
      <c r="F50" s="6" t="s">
        <v>1585</v>
      </c>
      <c r="G50" s="6" t="s">
        <v>1586</v>
      </c>
      <c r="H50" s="6" t="s">
        <v>1540</v>
      </c>
      <c r="I50" s="6" t="s">
        <v>1549</v>
      </c>
      <c r="J50" s="6" t="s">
        <v>1568</v>
      </c>
      <c r="K50" s="6" t="s">
        <v>1228</v>
      </c>
      <c r="L50" s="6" t="s">
        <v>1228</v>
      </c>
      <c r="M50" s="6" t="s">
        <v>1228</v>
      </c>
      <c r="N50" s="6" t="s">
        <v>1228</v>
      </c>
      <c r="O50" s="6" t="s">
        <v>1228</v>
      </c>
      <c r="P50" s="6" t="s">
        <v>1228</v>
      </c>
      <c r="Q50" s="7">
        <f>'Entity KPIs'!K50</f>
        <v>27.21</v>
      </c>
      <c r="R50" s="7">
        <f>'Entity KPIs'!Q50</f>
        <v>0.0</v>
      </c>
      <c r="S50" s="7">
        <f>'Group KPIs'!K50</f>
        <v>27.21</v>
      </c>
      <c r="T50" s="6" t="s">
        <v>1587</v>
      </c>
      <c r="U50" s="6" t="s">
        <v>1471</v>
      </c>
    </row>
    <row r="51" spans="1:21">
      <c r="A51" s="6" t="s">
        <v>602</v>
      </c>
      <c r="B51" s="6" t="s">
        <v>603</v>
      </c>
      <c r="C51" s="6" t="s">
        <v>28</v>
      </c>
      <c r="D51" s="6" t="s">
        <v>577</v>
      </c>
      <c r="E51" s="6" t="s">
        <v>604</v>
      </c>
      <c r="F51" s="6" t="s">
        <v>429</v>
      </c>
      <c r="G51" s="6" t="s">
        <v>1588</v>
      </c>
      <c r="H51" s="6" t="s">
        <v>1540</v>
      </c>
      <c r="I51" s="6" t="s">
        <v>1549</v>
      </c>
      <c r="J51" s="6" t="s">
        <v>1550</v>
      </c>
      <c r="K51" s="6" t="s">
        <v>1228</v>
      </c>
      <c r="L51" s="6" t="s">
        <v>1228</v>
      </c>
      <c r="M51" s="6" t="s">
        <v>1228</v>
      </c>
      <c r="N51" s="6" t="s">
        <v>1228</v>
      </c>
      <c r="O51" s="6" t="s">
        <v>1228</v>
      </c>
      <c r="P51" s="6" t="s">
        <v>1228</v>
      </c>
      <c r="Q51" s="7">
        <f>'Entity KPIs'!K51</f>
        <v>52.0</v>
      </c>
      <c r="R51" s="7">
        <f>'Entity KPIs'!Q51</f>
        <v>42.05</v>
      </c>
      <c r="S51" s="7">
        <f>'Group KPIs'!K51</f>
        <v>46.97</v>
      </c>
      <c r="T51" s="6" t="s">
        <v>1589</v>
      </c>
      <c r="U51" s="6" t="s">
        <v>1590</v>
      </c>
    </row>
    <row r="52" spans="1:21">
      <c r="A52" s="6" t="s">
        <v>605</v>
      </c>
      <c r="B52" s="6" t="s">
        <v>606</v>
      </c>
      <c r="C52" s="6" t="s">
        <v>28</v>
      </c>
      <c r="D52" s="6" t="s">
        <v>577</v>
      </c>
      <c r="E52" s="6" t="s">
        <v>607</v>
      </c>
      <c r="F52" s="6" t="s">
        <v>432</v>
      </c>
      <c r="G52" s="6" t="s">
        <v>1591</v>
      </c>
      <c r="H52" s="6" t="s">
        <v>1545</v>
      </c>
      <c r="I52" s="6" t="s">
        <v>1549</v>
      </c>
      <c r="J52" s="6" t="s">
        <v>1550</v>
      </c>
      <c r="K52" s="6" t="s">
        <v>1228</v>
      </c>
      <c r="L52" s="6" t="s">
        <v>1228</v>
      </c>
      <c r="M52" s="6" t="s">
        <v>1228</v>
      </c>
      <c r="N52" s="6" t="s">
        <v>1228</v>
      </c>
      <c r="O52" s="6" t="s">
        <v>1228</v>
      </c>
      <c r="P52" s="6" t="s">
        <v>1228</v>
      </c>
      <c r="Q52" s="7">
        <f>'Entity KPIs'!K52</f>
        <v>40.2</v>
      </c>
      <c r="R52" s="7">
        <f>'Entity KPIs'!Q52</f>
        <v>63.74</v>
      </c>
      <c r="S52" s="7">
        <f>'Group KPIs'!K52</f>
        <v>52.15</v>
      </c>
      <c r="T52" s="6" t="s">
        <v>1592</v>
      </c>
      <c r="U52" s="6" t="s">
        <v>1584</v>
      </c>
    </row>
    <row r="53" spans="1:21">
      <c r="A53" s="6" t="s">
        <v>608</v>
      </c>
      <c r="B53" s="6" t="s">
        <v>609</v>
      </c>
      <c r="C53" s="6" t="s">
        <v>28</v>
      </c>
      <c r="D53" s="6" t="s">
        <v>577</v>
      </c>
      <c r="E53" s="6" t="s">
        <v>610</v>
      </c>
      <c r="F53" s="6" t="s">
        <v>435</v>
      </c>
      <c r="G53" s="6" t="s">
        <v>1593</v>
      </c>
      <c r="H53" s="6" t="s">
        <v>1545</v>
      </c>
      <c r="I53" s="6" t="s">
        <v>1549</v>
      </c>
      <c r="J53" s="6" t="s">
        <v>1550</v>
      </c>
      <c r="K53" s="6" t="s">
        <v>1228</v>
      </c>
      <c r="L53" s="6" t="s">
        <v>1228</v>
      </c>
      <c r="M53" s="6" t="s">
        <v>1228</v>
      </c>
      <c r="N53" s="6" t="s">
        <v>1228</v>
      </c>
      <c r="O53" s="6" t="s">
        <v>1228</v>
      </c>
      <c r="P53" s="6" t="s">
        <v>1228</v>
      </c>
      <c r="Q53" s="7">
        <f>'Entity KPIs'!K53</f>
        <v>40.49</v>
      </c>
      <c r="R53" s="7">
        <f>'Entity KPIs'!Q53</f>
        <v>35.11</v>
      </c>
      <c r="S53" s="7">
        <f>'Group KPIs'!K53</f>
        <v>37.76</v>
      </c>
      <c r="T53" s="6" t="s">
        <v>1594</v>
      </c>
      <c r="U53" s="6" t="s">
        <v>1584</v>
      </c>
    </row>
    <row r="54" spans="1:21">
      <c r="A54" s="6" t="s">
        <v>611</v>
      </c>
      <c r="B54" s="6" t="s">
        <v>612</v>
      </c>
      <c r="C54" s="6" t="s">
        <v>560</v>
      </c>
      <c r="D54" s="6" t="s">
        <v>577</v>
      </c>
      <c r="E54" s="6" t="s">
        <v>613</v>
      </c>
      <c r="F54" s="6" t="s">
        <v>1595</v>
      </c>
      <c r="G54" s="6" t="s">
        <v>1596</v>
      </c>
      <c r="H54" s="6" t="s">
        <v>1540</v>
      </c>
      <c r="I54" s="6" t="s">
        <v>1549</v>
      </c>
      <c r="J54" s="6" t="s">
        <v>1568</v>
      </c>
      <c r="K54" s="6" t="s">
        <v>1228</v>
      </c>
      <c r="L54" s="6" t="s">
        <v>1228</v>
      </c>
      <c r="M54" s="6" t="s">
        <v>1228</v>
      </c>
      <c r="N54" s="6" t="s">
        <v>1228</v>
      </c>
      <c r="O54" s="6" t="s">
        <v>1228</v>
      </c>
      <c r="P54" s="6" t="s">
        <v>1228</v>
      </c>
      <c r="Q54" s="7">
        <f>'Entity KPIs'!K54</f>
        <v>2012.17</v>
      </c>
      <c r="R54" s="7">
        <f>'Entity KPIs'!Q54</f>
        <v>768.81</v>
      </c>
      <c r="S54" s="7">
        <f>'Group KPIs'!K54</f>
        <v>2780.99</v>
      </c>
      <c r="T54" s="6" t="s">
        <v>1597</v>
      </c>
      <c r="U54" s="6" t="s">
        <v>1493</v>
      </c>
    </row>
    <row r="55" spans="1:21">
      <c r="A55" s="6" t="s">
        <v>614</v>
      </c>
      <c r="B55" s="6" t="s">
        <v>615</v>
      </c>
      <c r="C55" s="6" t="s">
        <v>560</v>
      </c>
      <c r="D55" s="6" t="s">
        <v>25</v>
      </c>
      <c r="E55" s="6" t="s">
        <v>616</v>
      </c>
      <c r="F55" s="6" t="s">
        <v>1598</v>
      </c>
      <c r="G55" s="6" t="s">
        <v>1596</v>
      </c>
      <c r="H55" s="6" t="s">
        <v>1540</v>
      </c>
      <c r="I55" s="6" t="s">
        <v>1549</v>
      </c>
      <c r="J55" s="6" t="s">
        <v>1568</v>
      </c>
      <c r="K55" s="6" t="s">
        <v>1228</v>
      </c>
      <c r="L55" s="6" t="s">
        <v>1228</v>
      </c>
      <c r="M55" s="6" t="s">
        <v>1228</v>
      </c>
      <c r="N55" s="6" t="s">
        <v>1228</v>
      </c>
      <c r="O55" s="6" t="s">
        <v>1228</v>
      </c>
      <c r="P55" s="6" t="s">
        <v>1228</v>
      </c>
      <c r="Q55" s="7">
        <f>'Entity KPIs'!K55</f>
        <v>-9.23</v>
      </c>
      <c r="R55" s="7">
        <f>'Entity KPIs'!Q55</f>
        <v>26.49</v>
      </c>
      <c r="S55" s="7">
        <f>'Group KPIs'!K55</f>
        <v>17.26</v>
      </c>
      <c r="T55" s="6" t="s">
        <v>1599</v>
      </c>
      <c r="U55" s="6" t="s">
        <v>1493</v>
      </c>
    </row>
    <row r="56" spans="1:21">
      <c r="A56" s="6" t="s">
        <v>617</v>
      </c>
      <c r="B56" s="6" t="s">
        <v>618</v>
      </c>
      <c r="C56" s="6" t="s">
        <v>28</v>
      </c>
      <c r="D56" s="6" t="s">
        <v>577</v>
      </c>
      <c r="E56" s="6" t="s">
        <v>619</v>
      </c>
      <c r="F56" s="6" t="s">
        <v>1600</v>
      </c>
      <c r="G56" s="6" t="s">
        <v>1601</v>
      </c>
      <c r="H56" s="6" t="s">
        <v>1540</v>
      </c>
      <c r="I56" s="6" t="s">
        <v>1549</v>
      </c>
      <c r="J56" s="6" t="s">
        <v>1550</v>
      </c>
      <c r="K56" s="6" t="s">
        <v>1228</v>
      </c>
      <c r="L56" s="6" t="s">
        <v>1228</v>
      </c>
      <c r="M56" s="6" t="s">
        <v>1228</v>
      </c>
      <c r="N56" s="6" t="s">
        <v>1228</v>
      </c>
      <c r="O56" s="6" t="s">
        <v>1228</v>
      </c>
      <c r="P56" s="6" t="s">
        <v>1228</v>
      </c>
      <c r="Q56" s="7">
        <f>'Entity KPIs'!K56</f>
        <v>52.23</v>
      </c>
      <c r="R56" s="7">
        <f>'Entity KPIs'!Q56</f>
        <v>19.54</v>
      </c>
      <c r="S56" s="7">
        <f>'Group KPIs'!K56</f>
        <v>35.72</v>
      </c>
      <c r="T56" s="6" t="s">
        <v>1602</v>
      </c>
      <c r="U56" s="6" t="s">
        <v>1493</v>
      </c>
    </row>
    <row r="57" spans="1:21">
      <c r="A57" s="6" t="s">
        <v>620</v>
      </c>
      <c r="B57" s="6" t="s">
        <v>621</v>
      </c>
      <c r="C57" s="6" t="s">
        <v>622</v>
      </c>
      <c r="D57" s="6" t="s">
        <v>577</v>
      </c>
      <c r="E57" s="6" t="s">
        <v>623</v>
      </c>
      <c r="F57" s="6" t="s">
        <v>1603</v>
      </c>
      <c r="G57" s="6" t="s">
        <v>1604</v>
      </c>
      <c r="H57" s="6" t="s">
        <v>1545</v>
      </c>
      <c r="I57" s="6" t="s">
        <v>1549</v>
      </c>
      <c r="J57" s="6" t="s">
        <v>1550</v>
      </c>
      <c r="K57" s="6" t="s">
        <v>1228</v>
      </c>
      <c r="L57" s="6" t="s">
        <v>1228</v>
      </c>
      <c r="M57" s="6" t="s">
        <v>1228</v>
      </c>
      <c r="N57" s="6" t="s">
        <v>1228</v>
      </c>
      <c r="O57" s="6" t="s">
        <v>1228</v>
      </c>
      <c r="P57" s="6" t="s">
        <v>1228</v>
      </c>
      <c r="Q57" s="7">
        <f>'Entity KPIs'!K57</f>
        <v>15.37</v>
      </c>
      <c r="R57" s="7">
        <f>'Entity KPIs'!Q57</f>
        <v>18.11</v>
      </c>
      <c r="S57" s="7">
        <f>'Group KPIs'!K57</f>
        <v>16.71</v>
      </c>
      <c r="T57" s="6" t="s">
        <v>1605</v>
      </c>
      <c r="U57" s="6" t="s">
        <v>1493</v>
      </c>
    </row>
    <row r="58" spans="1:21">
      <c r="A58" s="6" t="s">
        <v>624</v>
      </c>
      <c r="B58" s="6" t="s">
        <v>625</v>
      </c>
      <c r="C58" s="6" t="s">
        <v>455</v>
      </c>
      <c r="D58" s="6" t="s">
        <v>577</v>
      </c>
      <c r="E58" s="6" t="s">
        <v>626</v>
      </c>
      <c r="F58" s="6" t="s">
        <v>1606</v>
      </c>
      <c r="G58" s="6" t="s">
        <v>1607</v>
      </c>
      <c r="H58" s="6" t="s">
        <v>1545</v>
      </c>
      <c r="I58" s="6" t="s">
        <v>1549</v>
      </c>
      <c r="J58" s="6" t="s">
        <v>1550</v>
      </c>
      <c r="K58" s="6" t="s">
        <v>1228</v>
      </c>
      <c r="L58" s="6" t="s">
        <v>1228</v>
      </c>
      <c r="M58" s="6" t="s">
        <v>1228</v>
      </c>
      <c r="N58" s="6" t="s">
        <v>1228</v>
      </c>
      <c r="O58" s="6" t="s">
        <v>1228</v>
      </c>
      <c r="P58" s="6" t="s">
        <v>1228</v>
      </c>
      <c r="Q58" s="7">
        <f>'Entity KPIs'!K58</f>
        <v>18.93</v>
      </c>
      <c r="R58" s="7">
        <f>'Entity KPIs'!Q58</f>
        <v>30.08</v>
      </c>
      <c r="S58" s="7">
        <f>'Group KPIs'!K58</f>
        <v>24.44</v>
      </c>
      <c r="T58" s="6" t="s">
        <v>1608</v>
      </c>
      <c r="U58" s="6" t="s">
        <v>1493</v>
      </c>
    </row>
    <row r="59" spans="1:21">
      <c r="A59" s="6" t="s">
        <v>627</v>
      </c>
      <c r="B59" s="6" t="s">
        <v>628</v>
      </c>
      <c r="C59" s="6" t="s">
        <v>560</v>
      </c>
      <c r="D59" s="6" t="s">
        <v>577</v>
      </c>
      <c r="E59" s="6" t="s">
        <v>629</v>
      </c>
      <c r="F59" s="6" t="s">
        <v>1609</v>
      </c>
      <c r="G59" s="6" t="s">
        <v>211</v>
      </c>
      <c r="H59" s="6" t="s">
        <v>1540</v>
      </c>
      <c r="I59" s="6" t="s">
        <v>1549</v>
      </c>
      <c r="J59" s="6" t="s">
        <v>1568</v>
      </c>
      <c r="K59" s="6" t="s">
        <v>1228</v>
      </c>
      <c r="L59" s="6" t="s">
        <v>1228</v>
      </c>
      <c r="M59" s="6" t="s">
        <v>1228</v>
      </c>
      <c r="N59" s="6" t="s">
        <v>1228</v>
      </c>
      <c r="O59" s="6" t="s">
        <v>1228</v>
      </c>
      <c r="P59" s="6" t="s">
        <v>1228</v>
      </c>
      <c r="Q59" s="7">
        <f>'Entity KPIs'!K59</f>
        <v>486.34</v>
      </c>
      <c r="R59" s="7">
        <f>'Entity KPIs'!Q59</f>
        <v>405.07</v>
      </c>
      <c r="S59" s="7">
        <f>'Group KPIs'!K59</f>
        <v>891.41</v>
      </c>
      <c r="T59" s="6" t="s">
        <v>1610</v>
      </c>
      <c r="U59" s="6" t="s">
        <v>1493</v>
      </c>
    </row>
    <row r="60" spans="1:21">
      <c r="A60" s="6" t="s">
        <v>630</v>
      </c>
      <c r="B60" s="6" t="s">
        <v>631</v>
      </c>
      <c r="C60" s="6" t="s">
        <v>560</v>
      </c>
      <c r="D60" s="6" t="s">
        <v>577</v>
      </c>
      <c r="E60" s="6" t="s">
        <v>632</v>
      </c>
      <c r="F60" s="6" t="s">
        <v>1611</v>
      </c>
      <c r="G60" s="6" t="s">
        <v>213</v>
      </c>
      <c r="H60" s="6" t="s">
        <v>1540</v>
      </c>
      <c r="I60" s="6" t="s">
        <v>1549</v>
      </c>
      <c r="J60" s="6" t="s">
        <v>1568</v>
      </c>
      <c r="K60" s="6" t="s">
        <v>1228</v>
      </c>
      <c r="L60" s="6" t="s">
        <v>1228</v>
      </c>
      <c r="M60" s="6" t="s">
        <v>1228</v>
      </c>
      <c r="N60" s="6" t="s">
        <v>1228</v>
      </c>
      <c r="O60" s="6" t="s">
        <v>1228</v>
      </c>
      <c r="P60" s="6" t="s">
        <v>1228</v>
      </c>
      <c r="Q60" s="7">
        <f>'Entity KPIs'!K60</f>
        <v>1440.7</v>
      </c>
      <c r="R60" s="7">
        <f>'Entity KPIs'!Q60</f>
        <v>1280.13</v>
      </c>
      <c r="S60" s="7">
        <f>'Group KPIs'!K60</f>
        <v>2720.83</v>
      </c>
      <c r="T60" s="6" t="s">
        <v>1612</v>
      </c>
      <c r="U60" s="6" t="s">
        <v>1479</v>
      </c>
    </row>
    <row r="61" spans="1:21">
      <c r="A61" s="6" t="s">
        <v>633</v>
      </c>
      <c r="B61" s="6" t="s">
        <v>634</v>
      </c>
      <c r="C61" s="6" t="s">
        <v>560</v>
      </c>
      <c r="D61" s="6" t="s">
        <v>577</v>
      </c>
      <c r="E61" s="6" t="s">
        <v>635</v>
      </c>
      <c r="F61" s="6" t="s">
        <v>1613</v>
      </c>
      <c r="G61" s="6" t="s">
        <v>1614</v>
      </c>
      <c r="H61" s="6" t="s">
        <v>1540</v>
      </c>
      <c r="I61" s="6" t="s">
        <v>1549</v>
      </c>
      <c r="J61" s="6" t="s">
        <v>1568</v>
      </c>
      <c r="K61" s="6" t="s">
        <v>1228</v>
      </c>
      <c r="L61" s="6" t="s">
        <v>1228</v>
      </c>
      <c r="M61" s="6" t="s">
        <v>1228</v>
      </c>
      <c r="N61" s="6" t="s">
        <v>1228</v>
      </c>
      <c r="O61" s="6" t="s">
        <v>1228</v>
      </c>
      <c r="P61" s="6" t="s">
        <v>1228</v>
      </c>
      <c r="Q61" s="7">
        <f>'Entity KPIs'!K61</f>
        <v>123.27</v>
      </c>
      <c r="R61" s="7">
        <f>'Entity KPIs'!Q61</f>
        <v>98.46</v>
      </c>
      <c r="S61" s="7">
        <f>'Group KPIs'!K61</f>
        <v>221.72</v>
      </c>
      <c r="T61" s="6" t="s">
        <v>1615</v>
      </c>
      <c r="U61" s="6" t="s">
        <v>1493</v>
      </c>
    </row>
    <row r="62" spans="1:21">
      <c r="A62" s="6" t="s">
        <v>636</v>
      </c>
      <c r="B62" s="6" t="s">
        <v>637</v>
      </c>
      <c r="C62" s="6" t="s">
        <v>455</v>
      </c>
      <c r="D62" s="6" t="s">
        <v>25</v>
      </c>
      <c r="E62" s="6" t="s">
        <v>638</v>
      </c>
      <c r="F62" s="6" t="s">
        <v>1616</v>
      </c>
      <c r="G62" s="6" t="s">
        <v>1617</v>
      </c>
      <c r="H62" s="6" t="s">
        <v>1540</v>
      </c>
      <c r="I62" s="6" t="s">
        <v>1549</v>
      </c>
      <c r="J62" s="6" t="s">
        <v>1568</v>
      </c>
      <c r="K62" s="6" t="s">
        <v>1228</v>
      </c>
      <c r="L62" s="6" t="s">
        <v>1228</v>
      </c>
      <c r="M62" s="6" t="s">
        <v>1228</v>
      </c>
      <c r="N62" s="6" t="s">
        <v>1228</v>
      </c>
      <c r="O62" s="6" t="s">
        <v>1228</v>
      </c>
      <c r="P62" s="6" t="s">
        <v>1228</v>
      </c>
      <c r="Q62" s="7">
        <f>'Entity KPIs'!K62</f>
        <v>91.55</v>
      </c>
      <c r="R62" s="7">
        <f>'Entity KPIs'!Q62</f>
        <v>91.96</v>
      </c>
      <c r="S62" s="7">
        <f>'Group KPIs'!K62</f>
        <v>91.7</v>
      </c>
      <c r="T62" s="6" t="s">
        <v>1618</v>
      </c>
      <c r="U62" s="6" t="s">
        <v>1493</v>
      </c>
    </row>
    <row r="63" spans="1:21">
      <c r="A63" s="6" t="s">
        <v>639</v>
      </c>
      <c r="B63" s="6" t="s">
        <v>640</v>
      </c>
      <c r="C63" s="6" t="s">
        <v>455</v>
      </c>
      <c r="D63" s="6" t="s">
        <v>577</v>
      </c>
      <c r="E63" s="6" t="s">
        <v>641</v>
      </c>
      <c r="F63" s="6" t="s">
        <v>1619</v>
      </c>
      <c r="G63" s="6" t="s">
        <v>1620</v>
      </c>
      <c r="H63" s="6" t="s">
        <v>1540</v>
      </c>
      <c r="I63" s="6" t="s">
        <v>1549</v>
      </c>
      <c r="J63" s="6" t="s">
        <v>1568</v>
      </c>
      <c r="K63" s="6" t="s">
        <v>1228</v>
      </c>
      <c r="L63" s="6" t="s">
        <v>1228</v>
      </c>
      <c r="M63" s="6" t="s">
        <v>1228</v>
      </c>
      <c r="N63" s="6" t="s">
        <v>1228</v>
      </c>
      <c r="O63" s="6" t="s">
        <v>1228</v>
      </c>
      <c r="P63" s="6" t="s">
        <v>1228</v>
      </c>
      <c r="Q63" s="7">
        <f>'Entity KPIs'!K63</f>
        <v>80.51</v>
      </c>
      <c r="R63" s="7">
        <f>'Entity KPIs'!Q63</f>
        <v>69.97</v>
      </c>
      <c r="S63" s="7">
        <f>'Group KPIs'!K63</f>
        <v>75.83</v>
      </c>
      <c r="T63" s="6" t="s">
        <v>1621</v>
      </c>
      <c r="U63" s="6" t="s">
        <v>1475</v>
      </c>
    </row>
    <row r="64" spans="1:21">
      <c r="A64" s="6" t="s">
        <v>642</v>
      </c>
      <c r="B64" s="6" t="s">
        <v>643</v>
      </c>
      <c r="C64" s="6" t="s">
        <v>455</v>
      </c>
      <c r="D64" s="6" t="s">
        <v>644</v>
      </c>
      <c r="E64" s="6" t="s">
        <v>645</v>
      </c>
      <c r="F64" s="6" t="s">
        <v>1622</v>
      </c>
      <c r="G64" s="6" t="s">
        <v>1623</v>
      </c>
      <c r="H64" s="6" t="s">
        <v>1540</v>
      </c>
      <c r="I64" s="6" t="s">
        <v>1549</v>
      </c>
      <c r="J64" s="6" t="s">
        <v>1568</v>
      </c>
      <c r="K64" s="6" t="s">
        <v>1228</v>
      </c>
      <c r="L64" s="6" t="s">
        <v>1228</v>
      </c>
      <c r="M64" s="6" t="s">
        <v>1228</v>
      </c>
      <c r="N64" s="6" t="s">
        <v>1228</v>
      </c>
      <c r="O64" s="6" t="s">
        <v>1228</v>
      </c>
      <c r="P64" s="6" t="s">
        <v>1228</v>
      </c>
      <c r="Q64" s="7">
        <f>'Entity KPIs'!K64</f>
        <v>77.9</v>
      </c>
      <c r="R64" s="7">
        <f>'Entity KPIs'!Q64</f>
        <v>61.09</v>
      </c>
      <c r="S64" s="7">
        <f>'Group KPIs'!K64</f>
        <v>70.65</v>
      </c>
      <c r="T64" s="6" t="s">
        <v>1624</v>
      </c>
      <c r="U64" s="6" t="s">
        <v>1493</v>
      </c>
    </row>
    <row r="65" spans="1:21">
      <c r="A65" s="6" t="s">
        <v>646</v>
      </c>
      <c r="B65" s="6" t="s">
        <v>647</v>
      </c>
      <c r="C65" s="6" t="s">
        <v>560</v>
      </c>
      <c r="D65" s="6" t="s">
        <v>577</v>
      </c>
      <c r="E65" s="6" t="s">
        <v>648</v>
      </c>
      <c r="F65" s="6" t="s">
        <v>1625</v>
      </c>
      <c r="G65" s="6" t="s">
        <v>1626</v>
      </c>
      <c r="H65" s="6" t="s">
        <v>1540</v>
      </c>
      <c r="I65" s="6" t="s">
        <v>1549</v>
      </c>
      <c r="J65" s="6" t="s">
        <v>1568</v>
      </c>
      <c r="K65" s="6" t="s">
        <v>1228</v>
      </c>
      <c r="L65" s="6" t="s">
        <v>1228</v>
      </c>
      <c r="M65" s="6" t="s">
        <v>1228</v>
      </c>
      <c r="N65" s="6" t="s">
        <v>1228</v>
      </c>
      <c r="O65" s="6" t="s">
        <v>1228</v>
      </c>
      <c r="P65" s="6" t="s">
        <v>1228</v>
      </c>
      <c r="Q65" s="7">
        <f>'Entity KPIs'!K65</f>
        <v>4.96</v>
      </c>
      <c r="R65" s="7">
        <f>'Entity KPIs'!Q65</f>
        <v>3.44</v>
      </c>
      <c r="S65" s="7">
        <f>'Group KPIs'!K65</f>
        <v>8.41</v>
      </c>
      <c r="T65" s="6" t="s">
        <v>1627</v>
      </c>
      <c r="U65" s="6" t="s">
        <v>1475</v>
      </c>
    </row>
    <row r="66" spans="1:21">
      <c r="A66" s="6" t="s">
        <v>649</v>
      </c>
      <c r="B66" s="6" t="s">
        <v>650</v>
      </c>
      <c r="C66" s="6" t="s">
        <v>560</v>
      </c>
      <c r="D66" s="6" t="s">
        <v>651</v>
      </c>
      <c r="E66" s="6" t="s">
        <v>652</v>
      </c>
      <c r="F66" s="6" t="s">
        <v>1628</v>
      </c>
      <c r="G66" s="6" t="s">
        <v>267</v>
      </c>
      <c r="H66" s="6" t="s">
        <v>1540</v>
      </c>
      <c r="I66" s="6" t="s">
        <v>1549</v>
      </c>
      <c r="J66" s="6" t="s">
        <v>1568</v>
      </c>
      <c r="K66" s="6" t="s">
        <v>1228</v>
      </c>
      <c r="L66" s="6" t="s">
        <v>1228</v>
      </c>
      <c r="M66" s="6" t="s">
        <v>1228</v>
      </c>
      <c r="N66" s="6" t="s">
        <v>1228</v>
      </c>
      <c r="O66" s="6" t="s">
        <v>1228</v>
      </c>
      <c r="P66" s="6" t="s">
        <v>1228</v>
      </c>
      <c r="Q66" s="7">
        <f>'Entity KPIs'!K66</f>
        <v>1000.0</v>
      </c>
      <c r="R66" s="7">
        <f>'Entity KPIs'!Q66</f>
        <v>860.0</v>
      </c>
      <c r="S66" s="7">
        <f>'Group KPIs'!K66</f>
        <v>1860.0</v>
      </c>
      <c r="T66" s="6" t="s">
        <v>1629</v>
      </c>
      <c r="U66" s="6" t="s">
        <v>1493</v>
      </c>
    </row>
    <row r="67" spans="1:21">
      <c r="A67" s="6" t="s">
        <v>653</v>
      </c>
      <c r="B67" s="6" t="s">
        <v>654</v>
      </c>
      <c r="C67" s="6" t="s">
        <v>560</v>
      </c>
      <c r="D67" s="6" t="s">
        <v>655</v>
      </c>
      <c r="E67" s="6" t="s">
        <v>656</v>
      </c>
      <c r="F67" s="6" t="s">
        <v>1630</v>
      </c>
      <c r="G67" s="6" t="s">
        <v>269</v>
      </c>
      <c r="H67" s="6" t="s">
        <v>1540</v>
      </c>
      <c r="I67" s="6" t="s">
        <v>1549</v>
      </c>
      <c r="J67" s="6" t="s">
        <v>1568</v>
      </c>
      <c r="K67" s="6" t="s">
        <v>1228</v>
      </c>
      <c r="L67" s="6" t="s">
        <v>1228</v>
      </c>
      <c r="M67" s="6" t="s">
        <v>1228</v>
      </c>
      <c r="N67" s="6" t="s">
        <v>1228</v>
      </c>
      <c r="O67" s="6" t="s">
        <v>1228</v>
      </c>
      <c r="P67" s="6" t="s">
        <v>1228</v>
      </c>
      <c r="Q67" s="7">
        <f>'Entity KPIs'!K67</f>
        <v>722.63</v>
      </c>
      <c r="R67" s="7">
        <f>'Entity KPIs'!Q67</f>
        <v>625.1</v>
      </c>
      <c r="S67" s="7">
        <f>'Group KPIs'!K67</f>
        <v>1347.73</v>
      </c>
      <c r="T67" s="6" t="s">
        <v>1631</v>
      </c>
      <c r="U67" s="6" t="s">
        <v>1493</v>
      </c>
    </row>
    <row r="68" spans="1:21">
      <c r="A68" s="6" t="s">
        <v>657</v>
      </c>
      <c r="B68" s="6" t="s">
        <v>658</v>
      </c>
      <c r="C68" s="6" t="s">
        <v>560</v>
      </c>
      <c r="D68" s="6" t="s">
        <v>561</v>
      </c>
      <c r="E68" s="6" t="s">
        <v>659</v>
      </c>
      <c r="F68" s="6" t="s">
        <v>1632</v>
      </c>
      <c r="G68" s="6" t="s">
        <v>271</v>
      </c>
      <c r="H68" s="6" t="s">
        <v>1540</v>
      </c>
      <c r="I68" s="6" t="s">
        <v>1549</v>
      </c>
      <c r="J68" s="6" t="s">
        <v>1568</v>
      </c>
      <c r="K68" s="6" t="s">
        <v>1228</v>
      </c>
      <c r="L68" s="6" t="s">
        <v>1228</v>
      </c>
      <c r="M68" s="6" t="s">
        <v>1228</v>
      </c>
      <c r="N68" s="6" t="s">
        <v>1228</v>
      </c>
      <c r="O68" s="6" t="s">
        <v>1228</v>
      </c>
      <c r="P68" s="6" t="s">
        <v>1228</v>
      </c>
      <c r="Q68" s="7">
        <f>'Entity KPIs'!K68</f>
        <v>468.11</v>
      </c>
      <c r="R68" s="7">
        <f>'Entity KPIs'!Q68</f>
        <v>411.6</v>
      </c>
      <c r="S68" s="7">
        <f>'Group KPIs'!K68</f>
        <v>879.71</v>
      </c>
      <c r="T68" s="6" t="s">
        <v>1633</v>
      </c>
      <c r="U68" s="6" t="s">
        <v>1493</v>
      </c>
    </row>
    <row r="69" spans="1:21">
      <c r="A69" s="6" t="s">
        <v>660</v>
      </c>
      <c r="B69" s="6" t="s">
        <v>661</v>
      </c>
      <c r="C69" s="6" t="s">
        <v>455</v>
      </c>
      <c r="D69" s="6" t="s">
        <v>655</v>
      </c>
      <c r="E69" s="6" t="s">
        <v>662</v>
      </c>
      <c r="F69" s="6" t="s">
        <v>1634</v>
      </c>
      <c r="G69" s="6" t="s">
        <v>1635</v>
      </c>
      <c r="H69" s="6" t="s">
        <v>1540</v>
      </c>
      <c r="I69" s="6" t="s">
        <v>1549</v>
      </c>
      <c r="J69" s="6" t="s">
        <v>1568</v>
      </c>
      <c r="K69" s="6" t="s">
        <v>1228</v>
      </c>
      <c r="L69" s="6" t="s">
        <v>1228</v>
      </c>
      <c r="M69" s="6" t="s">
        <v>1228</v>
      </c>
      <c r="N69" s="6" t="s">
        <v>1228</v>
      </c>
      <c r="O69" s="6" t="s">
        <v>1228</v>
      </c>
      <c r="P69" s="6" t="s">
        <v>1228</v>
      </c>
      <c r="Q69" s="7">
        <f>'Entity KPIs'!K69</f>
        <v>59.0</v>
      </c>
      <c r="R69" s="7">
        <f>'Entity KPIs'!Q69</f>
        <v>63.0</v>
      </c>
      <c r="S69" s="7">
        <f>'Group KPIs'!K69</f>
        <v>60.85</v>
      </c>
      <c r="T69" s="6" t="s">
        <v>1636</v>
      </c>
      <c r="U69" s="6" t="s">
        <v>1637</v>
      </c>
    </row>
    <row r="70" spans="1:21">
      <c r="A70" s="6" t="s">
        <v>663</v>
      </c>
      <c r="B70" s="6" t="s">
        <v>664</v>
      </c>
      <c r="C70" s="6" t="s">
        <v>560</v>
      </c>
      <c r="D70" s="6" t="s">
        <v>577</v>
      </c>
      <c r="E70" s="6" t="s">
        <v>665</v>
      </c>
      <c r="F70" s="6" t="s">
        <v>1638</v>
      </c>
      <c r="G70" s="6" t="s">
        <v>275</v>
      </c>
      <c r="H70" s="6" t="s">
        <v>1540</v>
      </c>
      <c r="I70" s="6" t="s">
        <v>1549</v>
      </c>
      <c r="J70" s="6" t="s">
        <v>1568</v>
      </c>
      <c r="K70" s="6" t="s">
        <v>1228</v>
      </c>
      <c r="L70" s="6" t="s">
        <v>1228</v>
      </c>
      <c r="M70" s="6" t="s">
        <v>1228</v>
      </c>
      <c r="N70" s="6" t="s">
        <v>1228</v>
      </c>
      <c r="O70" s="6" t="s">
        <v>1228</v>
      </c>
      <c r="P70" s="6" t="s">
        <v>1228</v>
      </c>
      <c r="Q70" s="7">
        <f>'Entity KPIs'!K70</f>
        <v>20.8</v>
      </c>
      <c r="R70" s="7">
        <f>'Entity KPIs'!Q70</f>
        <v>127.23</v>
      </c>
      <c r="S70" s="7">
        <f>'Group KPIs'!K70</f>
        <v>148.03</v>
      </c>
      <c r="T70" s="6" t="s">
        <v>1639</v>
      </c>
      <c r="U70" s="6" t="s">
        <v>1489</v>
      </c>
    </row>
    <row r="71" spans="1:21">
      <c r="A71" s="6" t="s">
        <v>666</v>
      </c>
      <c r="B71" s="6" t="s">
        <v>667</v>
      </c>
      <c r="C71" s="6" t="s">
        <v>668</v>
      </c>
      <c r="D71" s="6" t="s">
        <v>577</v>
      </c>
      <c r="E71" s="6" t="s">
        <v>669</v>
      </c>
      <c r="F71" s="6" t="s">
        <v>1640</v>
      </c>
      <c r="G71" s="6" t="s">
        <v>1641</v>
      </c>
      <c r="H71" s="6" t="s">
        <v>1540</v>
      </c>
      <c r="I71" s="6" t="s">
        <v>1549</v>
      </c>
      <c r="J71" s="6" t="s">
        <v>1568</v>
      </c>
      <c r="K71" s="6" t="s">
        <v>1228</v>
      </c>
      <c r="L71" s="6" t="s">
        <v>1228</v>
      </c>
      <c r="M71" s="6" t="s">
        <v>1228</v>
      </c>
      <c r="N71" s="6" t="s">
        <v>1228</v>
      </c>
      <c r="O71" s="6" t="s">
        <v>1228</v>
      </c>
      <c r="P71" s="6" t="s">
        <v>1228</v>
      </c>
      <c r="Q71" s="8" t="str">
        <f>'Entity KPIs'!K71</f>
        <v>5 on track · 1 at risk · 0 off track</v>
      </c>
      <c r="R71" s="8" t="str">
        <f>'Entity KPIs'!Q71</f>
        <v>4 on track · 1 at risk · 0 off track</v>
      </c>
      <c r="S71" s="8" t="str">
        <f>'Group KPIs'!K71</f>
        <v>9 on track · 2 at risk · 0 off track</v>
      </c>
      <c r="T71" s="6" t="s">
        <v>1642</v>
      </c>
      <c r="U71" s="6" t="s">
        <v>1643</v>
      </c>
    </row>
    <row r="72" spans="1:21">
      <c r="A72" s="6" t="s">
        <v>670</v>
      </c>
      <c r="B72" s="6" t="s">
        <v>671</v>
      </c>
      <c r="C72" s="6" t="s">
        <v>455</v>
      </c>
      <c r="D72" s="6" t="s">
        <v>561</v>
      </c>
      <c r="E72" s="6" t="s">
        <v>672</v>
      </c>
      <c r="F72" s="6" t="s">
        <v>1644</v>
      </c>
      <c r="G72" s="6" t="s">
        <v>1645</v>
      </c>
      <c r="H72" s="6" t="s">
        <v>1540</v>
      </c>
      <c r="I72" s="6" t="s">
        <v>1549</v>
      </c>
      <c r="J72" s="6" t="s">
        <v>1568</v>
      </c>
      <c r="K72" s="6" t="s">
        <v>1228</v>
      </c>
      <c r="L72" s="6" t="s">
        <v>1228</v>
      </c>
      <c r="M72" s="6" t="s">
        <v>1228</v>
      </c>
      <c r="N72" s="6" t="s">
        <v>1228</v>
      </c>
      <c r="O72" s="6" t="s">
        <v>1228</v>
      </c>
      <c r="P72" s="6" t="s">
        <v>1228</v>
      </c>
      <c r="Q72" s="7">
        <f>'Entity KPIs'!K72</f>
        <v>69.34</v>
      </c>
      <c r="R72" s="7">
        <f>'Entity KPIs'!Q72</f>
        <v>36.27</v>
      </c>
      <c r="S72" s="7">
        <f>'Group KPIs'!K72</f>
        <v>47.96</v>
      </c>
      <c r="T72" s="6" t="s">
        <v>1646</v>
      </c>
      <c r="U72" s="6" t="s">
        <v>1584</v>
      </c>
    </row>
    <row r="73" spans="1:21">
      <c r="A73" s="6" t="s">
        <v>673</v>
      </c>
      <c r="B73" s="6" t="s">
        <v>674</v>
      </c>
      <c r="C73" s="6" t="s">
        <v>512</v>
      </c>
      <c r="D73" s="6" t="s">
        <v>577</v>
      </c>
      <c r="E73" s="6" t="s">
        <v>675</v>
      </c>
      <c r="F73" s="6" t="s">
        <v>283</v>
      </c>
      <c r="G73" s="6" t="s">
        <v>283</v>
      </c>
      <c r="H73" s="6" t="s">
        <v>1540</v>
      </c>
      <c r="I73" s="6" t="s">
        <v>1549</v>
      </c>
      <c r="J73" s="6" t="s">
        <v>1568</v>
      </c>
      <c r="K73" s="6" t="s">
        <v>1228</v>
      </c>
      <c r="L73" s="6" t="s">
        <v>1228</v>
      </c>
      <c r="M73" s="6" t="s">
        <v>1228</v>
      </c>
      <c r="N73" s="6" t="s">
        <v>1228</v>
      </c>
      <c r="O73" s="6" t="s">
        <v>1228</v>
      </c>
      <c r="P73" s="6" t="s">
        <v>1228</v>
      </c>
      <c r="Q73" s="7">
        <f>'Entity KPIs'!K73</f>
        <v>0.0</v>
      </c>
      <c r="R73" s="7">
        <f>'Entity KPIs'!Q73</f>
        <v>1.0</v>
      </c>
      <c r="S73" s="7">
        <f>'Group KPIs'!K73</f>
        <v>1.0</v>
      </c>
      <c r="T73" s="6" t="s">
        <v>1647</v>
      </c>
      <c r="U73" s="6" t="s">
        <v>1648</v>
      </c>
    </row>
    <row r="74" spans="1:21">
      <c r="A74" s="6" t="s">
        <v>676</v>
      </c>
      <c r="B74" s="6" t="s">
        <v>677</v>
      </c>
      <c r="C74" s="6" t="s">
        <v>455</v>
      </c>
      <c r="D74" s="6" t="s">
        <v>655</v>
      </c>
      <c r="E74" s="6" t="s">
        <v>678</v>
      </c>
      <c r="F74" s="6" t="s">
        <v>1649</v>
      </c>
      <c r="G74" s="6" t="s">
        <v>1650</v>
      </c>
      <c r="H74" s="6" t="s">
        <v>1540</v>
      </c>
      <c r="I74" s="6" t="s">
        <v>1549</v>
      </c>
      <c r="J74" s="6" t="s">
        <v>1568</v>
      </c>
      <c r="K74" s="6" t="s">
        <v>1228</v>
      </c>
      <c r="L74" s="6" t="s">
        <v>1228</v>
      </c>
      <c r="M74" s="6" t="s">
        <v>1228</v>
      </c>
      <c r="N74" s="6" t="s">
        <v>1228</v>
      </c>
      <c r="O74" s="6" t="s">
        <v>1228</v>
      </c>
      <c r="P74" s="6" t="s">
        <v>1228</v>
      </c>
      <c r="Q74" s="7">
        <f>'Entity KPIs'!K74</f>
        <v>53.33</v>
      </c>
      <c r="R74" s="7">
        <f>'Entity KPIs'!Q74</f>
        <v>54.69</v>
      </c>
      <c r="S74" s="7">
        <f>'Group KPIs'!K74</f>
        <v>54.03</v>
      </c>
      <c r="T74" s="6" t="s">
        <v>1651</v>
      </c>
      <c r="U74" s="6" t="s">
        <v>1652</v>
      </c>
    </row>
    <row r="75" spans="1:21">
      <c r="A75" s="6" t="s">
        <v>679</v>
      </c>
      <c r="B75" s="6" t="s">
        <v>680</v>
      </c>
      <c r="C75" s="6" t="s">
        <v>455</v>
      </c>
      <c r="D75" s="6" t="s">
        <v>655</v>
      </c>
      <c r="E75" s="6" t="s">
        <v>678</v>
      </c>
      <c r="F75" s="6" t="s">
        <v>1649</v>
      </c>
      <c r="G75" s="6" t="s">
        <v>1650</v>
      </c>
      <c r="H75" s="6" t="s">
        <v>1540</v>
      </c>
      <c r="I75" s="6" t="s">
        <v>1549</v>
      </c>
      <c r="J75" s="6" t="s">
        <v>1568</v>
      </c>
      <c r="K75" s="6" t="s">
        <v>1228</v>
      </c>
      <c r="L75" s="6" t="s">
        <v>1228</v>
      </c>
      <c r="M75" s="6" t="s">
        <v>1228</v>
      </c>
      <c r="N75" s="6" t="s">
        <v>1228</v>
      </c>
      <c r="O75" s="6" t="s">
        <v>1228</v>
      </c>
      <c r="P75" s="6" t="s">
        <v>1228</v>
      </c>
      <c r="Q75" s="7">
        <f>'Entity KPIs'!K75</f>
        <v>53.33</v>
      </c>
      <c r="R75" s="7">
        <f>'Entity KPIs'!Q75</f>
        <v>54.69</v>
      </c>
      <c r="S75" s="7">
        <f>'Group KPIs'!K75</f>
        <v>54.03</v>
      </c>
      <c r="T75" s="6" t="s">
        <v>1653</v>
      </c>
      <c r="U75" s="6" t="s">
        <v>1654</v>
      </c>
    </row>
    <row r="76" spans="1:21">
      <c r="A76" s="6" t="s">
        <v>681</v>
      </c>
      <c r="B76" s="6" t="s">
        <v>682</v>
      </c>
      <c r="C76" s="6" t="s">
        <v>668</v>
      </c>
      <c r="D76" s="6" t="s">
        <v>577</v>
      </c>
      <c r="E76" s="6" t="s">
        <v>683</v>
      </c>
      <c r="F76" s="6" t="s">
        <v>1655</v>
      </c>
      <c r="G76" s="6" t="s">
        <v>1656</v>
      </c>
      <c r="H76" s="6" t="s">
        <v>1540</v>
      </c>
      <c r="I76" s="6" t="s">
        <v>1549</v>
      </c>
      <c r="J76" s="6" t="s">
        <v>1568</v>
      </c>
      <c r="K76" s="6" t="s">
        <v>1228</v>
      </c>
      <c r="L76" s="6" t="s">
        <v>1228</v>
      </c>
      <c r="M76" s="6" t="s">
        <v>1228</v>
      </c>
      <c r="N76" s="6" t="s">
        <v>1228</v>
      </c>
      <c r="O76" s="6" t="s">
        <v>1228</v>
      </c>
      <c r="P76" s="6" t="s">
        <v>1228</v>
      </c>
      <c r="Q76" s="8" t="str">
        <f>'Entity KPIs'!K76</f>
        <v>5 on track · 2 at risk · 1 delayed</v>
      </c>
      <c r="R76" s="8" t="str">
        <f>'Entity KPIs'!Q76</f>
        <v>10 on track · 4 at risk · 2 delayed</v>
      </c>
      <c r="S76" s="8" t="str">
        <f>'Group KPIs'!K76</f>
        <v>15 on track · 6 at risk · 3 delayed</v>
      </c>
      <c r="T76" s="6" t="s">
        <v>1657</v>
      </c>
      <c r="U76" s="6" t="s">
        <v>1643</v>
      </c>
    </row>
    <row r="77" spans="1:21">
      <c r="A77" s="6" t="s">
        <v>684</v>
      </c>
      <c r="B77" s="6" t="s">
        <v>685</v>
      </c>
      <c r="C77" s="6" t="s">
        <v>28</v>
      </c>
      <c r="D77" s="6" t="s">
        <v>25</v>
      </c>
      <c r="E77" s="6" t="s">
        <v>686</v>
      </c>
      <c r="F77" s="6" t="s">
        <v>1658</v>
      </c>
      <c r="G77" s="6" t="s">
        <v>1659</v>
      </c>
      <c r="H77" s="6" t="s">
        <v>1540</v>
      </c>
      <c r="I77" s="6" t="s">
        <v>1549</v>
      </c>
      <c r="J77" s="6" t="s">
        <v>1568</v>
      </c>
      <c r="K77" s="6" t="s">
        <v>1228</v>
      </c>
      <c r="L77" s="6" t="s">
        <v>1228</v>
      </c>
      <c r="M77" s="6" t="s">
        <v>1228</v>
      </c>
      <c r="N77" s="6" t="s">
        <v>1228</v>
      </c>
      <c r="O77" s="6" t="s">
        <v>1228</v>
      </c>
      <c r="P77" s="6" t="s">
        <v>1228</v>
      </c>
      <c r="Q77" s="7">
        <f>'Entity KPIs'!K77</f>
        <v>2.5</v>
      </c>
      <c r="R77" s="7">
        <f>'Entity KPIs'!Q77</f>
        <v>1.29</v>
      </c>
      <c r="S77" s="7">
        <f>'Group KPIs'!K77</f>
        <v>1.73</v>
      </c>
      <c r="T77" s="6" t="s">
        <v>1660</v>
      </c>
      <c r="U77" s="6" t="s">
        <v>1661</v>
      </c>
    </row>
    <row r="78" spans="1:21">
      <c r="A78" s="6" t="s">
        <v>687</v>
      </c>
      <c r="B78" s="6" t="s">
        <v>688</v>
      </c>
      <c r="C78" s="6" t="s">
        <v>560</v>
      </c>
      <c r="D78" s="6" t="s">
        <v>561</v>
      </c>
      <c r="E78" s="6" t="s">
        <v>689</v>
      </c>
      <c r="F78" s="6" t="s">
        <v>1662</v>
      </c>
      <c r="G78" s="6" t="s">
        <v>303</v>
      </c>
      <c r="H78" s="6" t="s">
        <v>1540</v>
      </c>
      <c r="I78" s="6" t="s">
        <v>1549</v>
      </c>
      <c r="J78" s="6" t="s">
        <v>1568</v>
      </c>
      <c r="K78" s="6" t="s">
        <v>1228</v>
      </c>
      <c r="L78" s="6" t="s">
        <v>1228</v>
      </c>
      <c r="M78" s="6" t="s">
        <v>1228</v>
      </c>
      <c r="N78" s="6" t="s">
        <v>1228</v>
      </c>
      <c r="O78" s="6" t="s">
        <v>1228</v>
      </c>
      <c r="P78" s="6" t="s">
        <v>1228</v>
      </c>
      <c r="Q78" s="7">
        <f>'Entity KPIs'!K78</f>
        <v>6.2</v>
      </c>
      <c r="R78" s="7">
        <f>'Entity KPIs'!Q78</f>
        <v>8.0</v>
      </c>
      <c r="S78" s="7">
        <f>'Group KPIs'!K78</f>
        <v>14.21</v>
      </c>
      <c r="T78" s="6" t="s">
        <v>1663</v>
      </c>
      <c r="U78" s="6" t="s">
        <v>1664</v>
      </c>
    </row>
    <row r="79" spans="1:21">
      <c r="A79" s="6" t="s">
        <v>690</v>
      </c>
      <c r="B79" s="6" t="s">
        <v>691</v>
      </c>
      <c r="C79" s="6" t="s">
        <v>560</v>
      </c>
      <c r="D79" s="6" t="s">
        <v>561</v>
      </c>
      <c r="E79" s="6" t="s">
        <v>692</v>
      </c>
      <c r="F79" s="6" t="s">
        <v>1665</v>
      </c>
      <c r="G79" s="6" t="s">
        <v>305</v>
      </c>
      <c r="H79" s="6" t="s">
        <v>1540</v>
      </c>
      <c r="I79" s="6" t="s">
        <v>1549</v>
      </c>
      <c r="J79" s="6" t="s">
        <v>1568</v>
      </c>
      <c r="K79" s="6" t="s">
        <v>1228</v>
      </c>
      <c r="L79" s="6" t="s">
        <v>1228</v>
      </c>
      <c r="M79" s="6" t="s">
        <v>1228</v>
      </c>
      <c r="N79" s="6" t="s">
        <v>1228</v>
      </c>
      <c r="O79" s="6" t="s">
        <v>1228</v>
      </c>
      <c r="P79" s="6" t="s">
        <v>1228</v>
      </c>
      <c r="Q79" s="7">
        <f>'Entity KPIs'!K79</f>
        <v>2.37</v>
      </c>
      <c r="R79" s="7">
        <f>'Entity KPIs'!Q79</f>
        <v>6.34</v>
      </c>
      <c r="S79" s="7">
        <f>'Group KPIs'!K79</f>
        <v>8.71</v>
      </c>
      <c r="T79" s="6" t="s">
        <v>1666</v>
      </c>
      <c r="U79" s="6" t="s">
        <v>1648</v>
      </c>
    </row>
    <row r="80" spans="1:21">
      <c r="A80" s="6" t="s">
        <v>693</v>
      </c>
      <c r="B80" s="6" t="s">
        <v>694</v>
      </c>
      <c r="C80" s="6" t="s">
        <v>560</v>
      </c>
      <c r="D80" s="6" t="s">
        <v>561</v>
      </c>
      <c r="E80" s="6" t="s">
        <v>695</v>
      </c>
      <c r="F80" s="6" t="s">
        <v>1667</v>
      </c>
      <c r="G80" s="6" t="s">
        <v>307</v>
      </c>
      <c r="H80" s="6" t="s">
        <v>1540</v>
      </c>
      <c r="I80" s="6" t="s">
        <v>1549</v>
      </c>
      <c r="J80" s="6" t="s">
        <v>1568</v>
      </c>
      <c r="K80" s="6" t="s">
        <v>1228</v>
      </c>
      <c r="L80" s="6" t="s">
        <v>1228</v>
      </c>
      <c r="M80" s="6" t="s">
        <v>1228</v>
      </c>
      <c r="N80" s="6" t="s">
        <v>1228</v>
      </c>
      <c r="O80" s="6" t="s">
        <v>1228</v>
      </c>
      <c r="P80" s="6" t="s">
        <v>1228</v>
      </c>
      <c r="Q80" s="7">
        <f>'Entity KPIs'!K80</f>
        <v>3.89</v>
      </c>
      <c r="R80" s="7">
        <f>'Entity KPIs'!Q80</f>
        <v>7.35</v>
      </c>
      <c r="S80" s="7">
        <f>'Group KPIs'!K80</f>
        <v>11.25</v>
      </c>
      <c r="T80" s="6" t="s">
        <v>1668</v>
      </c>
      <c r="U80" s="6" t="s">
        <v>1648</v>
      </c>
    </row>
    <row r="81" spans="1:21">
      <c r="A81" s="6" t="s">
        <v>696</v>
      </c>
      <c r="B81" s="6" t="s">
        <v>697</v>
      </c>
      <c r="C81" s="6" t="s">
        <v>455</v>
      </c>
      <c r="D81" s="6" t="s">
        <v>25</v>
      </c>
      <c r="E81" s="6" t="s">
        <v>698</v>
      </c>
      <c r="F81" s="6" t="s">
        <v>1669</v>
      </c>
      <c r="G81" s="6" t="s">
        <v>1670</v>
      </c>
      <c r="H81" s="6" t="s">
        <v>1540</v>
      </c>
      <c r="I81" s="6" t="s">
        <v>1464</v>
      </c>
      <c r="J81" s="6" t="s">
        <v>1465</v>
      </c>
      <c r="K81" s="7">
        <f>'Plant KPIs'!K39</f>
        <v>92.72</v>
      </c>
      <c r="L81" s="7">
        <f>'Plant KPIs'!Q39</f>
        <v>84.97</v>
      </c>
      <c r="M81" s="7">
        <f>'Plant KPIs'!W39</f>
        <v>92.41</v>
      </c>
      <c r="N81" s="7">
        <f>'Plant KPIs'!AC39</f>
        <v>93.45</v>
      </c>
      <c r="O81" s="7">
        <f>'Plant KPIs'!AI39</f>
        <v>91.9</v>
      </c>
      <c r="P81" s="7">
        <f>'Plant KPIs'!AO39</f>
        <v>90.73</v>
      </c>
      <c r="Q81" s="7">
        <f>'Entity KPIs'!K81</f>
        <v>90.39</v>
      </c>
      <c r="R81" s="7">
        <f>'Entity KPIs'!Q81</f>
        <v>92.28</v>
      </c>
      <c r="S81" s="7">
        <f>'Group KPIs'!K81</f>
        <v>91.41</v>
      </c>
      <c r="T81" s="6" t="s">
        <v>1671</v>
      </c>
      <c r="U81" s="6" t="s">
        <v>1664</v>
      </c>
    </row>
    <row r="82" spans="1:21">
      <c r="A82" s="6" t="s">
        <v>699</v>
      </c>
      <c r="B82" s="6" t="s">
        <v>700</v>
      </c>
      <c r="C82" s="6" t="s">
        <v>455</v>
      </c>
      <c r="D82" s="6" t="s">
        <v>25</v>
      </c>
      <c r="E82" s="6" t="s">
        <v>701</v>
      </c>
      <c r="F82" s="6" t="s">
        <v>1672</v>
      </c>
      <c r="G82" s="6" t="s">
        <v>1673</v>
      </c>
      <c r="H82" s="6" t="s">
        <v>1540</v>
      </c>
      <c r="I82" s="6" t="s">
        <v>1464</v>
      </c>
      <c r="J82" s="6" t="s">
        <v>1465</v>
      </c>
      <c r="K82" s="7">
        <f>'Plant KPIs'!K40</f>
        <v>96.14</v>
      </c>
      <c r="L82" s="7">
        <f>'Plant KPIs'!Q40</f>
        <v>97.38</v>
      </c>
      <c r="M82" s="7">
        <f>'Plant KPIs'!W40</f>
        <v>97.28</v>
      </c>
      <c r="N82" s="7">
        <f>'Plant KPIs'!AC40</f>
        <v>94.71</v>
      </c>
      <c r="O82" s="7">
        <f>'Plant KPIs'!AI40</f>
        <v>98.98</v>
      </c>
      <c r="P82" s="7">
        <f>'Plant KPIs'!AO40</f>
        <v>95.06</v>
      </c>
      <c r="Q82" s="7">
        <f>'Entity KPIs'!K82</f>
        <v>97.01</v>
      </c>
      <c r="R82" s="7">
        <f>'Entity KPIs'!Q82</f>
        <v>96.61</v>
      </c>
      <c r="S82" s="7">
        <f>'Group KPIs'!K82</f>
        <v>96.82</v>
      </c>
      <c r="T82" s="6" t="s">
        <v>1674</v>
      </c>
      <c r="U82" s="6" t="s">
        <v>1475</v>
      </c>
    </row>
    <row r="83" spans="1:21">
      <c r="A83" s="6" t="s">
        <v>702</v>
      </c>
      <c r="B83" s="6" t="s">
        <v>703</v>
      </c>
      <c r="C83" s="6" t="s">
        <v>455</v>
      </c>
      <c r="D83" s="6" t="s">
        <v>25</v>
      </c>
      <c r="E83" s="6" t="s">
        <v>704</v>
      </c>
      <c r="F83" s="6" t="s">
        <v>1675</v>
      </c>
      <c r="G83" s="6" t="s">
        <v>1676</v>
      </c>
      <c r="H83" s="6" t="s">
        <v>1540</v>
      </c>
      <c r="I83" s="6" t="s">
        <v>1464</v>
      </c>
      <c r="J83" s="6" t="s">
        <v>1465</v>
      </c>
      <c r="K83" s="7">
        <f>'Plant KPIs'!K41</f>
        <v>1.4</v>
      </c>
      <c r="L83" s="7">
        <f>'Plant KPIs'!Q41</f>
        <v>1.11</v>
      </c>
      <c r="M83" s="7">
        <f>'Plant KPIs'!W41</f>
        <v>0.62</v>
      </c>
      <c r="N83" s="7">
        <f>'Plant KPIs'!AC41</f>
        <v>1.61</v>
      </c>
      <c r="O83" s="7">
        <f>'Plant KPIs'!AI41</f>
        <v>1.01</v>
      </c>
      <c r="P83" s="7">
        <f>'Plant KPIs'!AO41</f>
        <v>1.37</v>
      </c>
      <c r="Q83" s="7">
        <f>'Entity KPIs'!K83</f>
        <v>0.97</v>
      </c>
      <c r="R83" s="7">
        <f>'Entity KPIs'!Q83</f>
        <v>1.28</v>
      </c>
      <c r="S83" s="7">
        <f>'Group KPIs'!K83</f>
        <v>1.12</v>
      </c>
      <c r="T83" s="6" t="s">
        <v>1677</v>
      </c>
      <c r="U83" s="6" t="s">
        <v>1475</v>
      </c>
    </row>
    <row r="84" spans="1:21">
      <c r="A84" s="6" t="s">
        <v>705</v>
      </c>
      <c r="B84" s="6" t="s">
        <v>706</v>
      </c>
      <c r="C84" s="6" t="s">
        <v>455</v>
      </c>
      <c r="D84" s="6" t="s">
        <v>25</v>
      </c>
      <c r="E84" s="6" t="s">
        <v>707</v>
      </c>
      <c r="F84" s="6" t="s">
        <v>1678</v>
      </c>
      <c r="G84" s="6" t="s">
        <v>1679</v>
      </c>
      <c r="H84" s="6" t="s">
        <v>1540</v>
      </c>
      <c r="I84" s="6" t="s">
        <v>1464</v>
      </c>
      <c r="J84" s="6" t="s">
        <v>1465</v>
      </c>
      <c r="K84" s="7">
        <f>'Plant KPIs'!K42</f>
        <v>4.97</v>
      </c>
      <c r="L84" s="7">
        <f>'Plant KPIs'!Q42</f>
        <v>17.33</v>
      </c>
      <c r="M84" s="7">
        <f>'Plant KPIs'!W42</f>
        <v>2.35</v>
      </c>
      <c r="N84" s="7">
        <f>'Plant KPIs'!AC42</f>
        <v>3.92</v>
      </c>
      <c r="O84" s="7">
        <f>'Plant KPIs'!AI42</f>
        <v>6.68</v>
      </c>
      <c r="P84" s="7">
        <f>'Plant KPIs'!AO42</f>
        <v>-1.14</v>
      </c>
      <c r="Q84" s="7">
        <f>'Entity KPIs'!K84</f>
        <v>6.91</v>
      </c>
      <c r="R84" s="7">
        <f>'Entity KPIs'!Q84</f>
        <v>3.65</v>
      </c>
      <c r="S84" s="7">
        <f>'Group KPIs'!K84</f>
        <v>5.25</v>
      </c>
      <c r="T84" s="6" t="s">
        <v>1680</v>
      </c>
      <c r="U84" s="6" t="s">
        <v>1479</v>
      </c>
    </row>
    <row r="85" spans="1:21">
      <c r="A85" s="6" t="s">
        <v>708</v>
      </c>
      <c r="B85" s="6" t="s">
        <v>709</v>
      </c>
      <c r="C85" s="6" t="s">
        <v>512</v>
      </c>
      <c r="D85" s="6" t="s">
        <v>577</v>
      </c>
      <c r="E85" s="6" t="s">
        <v>710</v>
      </c>
      <c r="F85" s="6" t="s">
        <v>317</v>
      </c>
      <c r="G85" s="6" t="s">
        <v>317</v>
      </c>
      <c r="H85" s="6" t="s">
        <v>1540</v>
      </c>
      <c r="I85" s="6" t="s">
        <v>1549</v>
      </c>
      <c r="J85" s="6" t="s">
        <v>1568</v>
      </c>
      <c r="K85" s="6" t="s">
        <v>1228</v>
      </c>
      <c r="L85" s="6" t="s">
        <v>1228</v>
      </c>
      <c r="M85" s="6" t="s">
        <v>1228</v>
      </c>
      <c r="N85" s="6" t="s">
        <v>1228</v>
      </c>
      <c r="O85" s="6" t="s">
        <v>1228</v>
      </c>
      <c r="P85" s="6" t="s">
        <v>1228</v>
      </c>
      <c r="Q85" s="7">
        <f>'Entity KPIs'!K85</f>
        <v>2.0</v>
      </c>
      <c r="R85" s="7">
        <f>'Entity KPIs'!Q85</f>
        <v>1.0</v>
      </c>
      <c r="S85" s="7">
        <f>'Group KPIs'!K85</f>
        <v>3.0</v>
      </c>
      <c r="T85" s="6" t="s">
        <v>1681</v>
      </c>
      <c r="U85" s="6" t="s">
        <v>1643</v>
      </c>
    </row>
    <row r="86" spans="1:21">
      <c r="A86" s="6" t="s">
        <v>711</v>
      </c>
      <c r="B86" s="6" t="s">
        <v>712</v>
      </c>
      <c r="C86" s="6" t="s">
        <v>455</v>
      </c>
      <c r="D86" s="6" t="s">
        <v>25</v>
      </c>
      <c r="E86" s="6" t="s">
        <v>713</v>
      </c>
      <c r="F86" s="6" t="s">
        <v>1682</v>
      </c>
      <c r="G86" s="6" t="s">
        <v>1683</v>
      </c>
      <c r="H86" s="6" t="s">
        <v>1540</v>
      </c>
      <c r="I86" s="6" t="s">
        <v>1464</v>
      </c>
      <c r="J86" s="6" t="s">
        <v>1465</v>
      </c>
      <c r="K86" s="7">
        <f>'Plant KPIs'!K43</f>
        <v>30.12</v>
      </c>
      <c r="L86" s="7">
        <f>'Plant KPIs'!Q43</f>
        <v>43.02</v>
      </c>
      <c r="M86" s="7">
        <f>'Plant KPIs'!W43</f>
        <v>30.7</v>
      </c>
      <c r="N86" s="7">
        <f>'Plant KPIs'!AC43</f>
        <v>31.2</v>
      </c>
      <c r="O86" s="7">
        <f>'Plant KPIs'!AI43</f>
        <v>35.54</v>
      </c>
      <c r="P86" s="7">
        <f>'Plant KPIs'!AO43</f>
        <v>39.87</v>
      </c>
      <c r="Q86" s="7">
        <f>'Entity KPIs'!K86</f>
        <v>34.81</v>
      </c>
      <c r="R86" s="7">
        <f>'Entity KPIs'!Q86</f>
        <v>35.55</v>
      </c>
      <c r="S86" s="7">
        <f>'Group KPIs'!K86</f>
        <v>35.19</v>
      </c>
      <c r="T86" s="6" t="s">
        <v>1684</v>
      </c>
      <c r="U86" s="6" t="s">
        <v>1475</v>
      </c>
    </row>
    <row r="87" spans="1:21">
      <c r="A87" s="6" t="s">
        <v>714</v>
      </c>
      <c r="B87" s="6" t="s">
        <v>715</v>
      </c>
      <c r="C87" s="6" t="s">
        <v>512</v>
      </c>
      <c r="D87" s="6" t="s">
        <v>561</v>
      </c>
      <c r="E87" s="6" t="s">
        <v>716</v>
      </c>
      <c r="F87" s="6" t="s">
        <v>1685</v>
      </c>
      <c r="G87" s="6" t="s">
        <v>146</v>
      </c>
      <c r="H87" s="6" t="s">
        <v>1540</v>
      </c>
      <c r="I87" s="6" t="s">
        <v>1464</v>
      </c>
      <c r="J87" s="6" t="s">
        <v>1465</v>
      </c>
      <c r="K87" s="7">
        <f>'Plant KPIs'!K44</f>
        <v>2.0</v>
      </c>
      <c r="L87" s="7">
        <f>'Plant KPIs'!Q44</f>
        <v>0.0</v>
      </c>
      <c r="M87" s="7">
        <f>'Plant KPIs'!W44</f>
        <v>0.0</v>
      </c>
      <c r="N87" s="7">
        <f>'Plant KPIs'!AC44</f>
        <v>0.0</v>
      </c>
      <c r="O87" s="7">
        <f>'Plant KPIs'!AI44</f>
        <v>1.0</v>
      </c>
      <c r="P87" s="7">
        <f>'Plant KPIs'!AO44</f>
        <v>0.0</v>
      </c>
      <c r="Q87" s="7">
        <f>'Entity KPIs'!K87</f>
        <v>2.0</v>
      </c>
      <c r="R87" s="7">
        <f>'Entity KPIs'!Q87</f>
        <v>1.0</v>
      </c>
      <c r="S87" s="7">
        <f>'Group KPIs'!K87</f>
        <v>3.0</v>
      </c>
      <c r="T87" s="6" t="s">
        <v>1686</v>
      </c>
      <c r="U87" s="6" t="s">
        <v>1475</v>
      </c>
    </row>
    <row r="88" spans="1:21">
      <c r="A88" s="6" t="s">
        <v>717</v>
      </c>
      <c r="B88" s="6" t="s">
        <v>718</v>
      </c>
      <c r="C88" s="6" t="s">
        <v>512</v>
      </c>
      <c r="D88" s="6" t="s">
        <v>577</v>
      </c>
      <c r="E88" s="6" t="s">
        <v>719</v>
      </c>
      <c r="F88" s="6" t="s">
        <v>313</v>
      </c>
      <c r="G88" s="6" t="s">
        <v>313</v>
      </c>
      <c r="H88" s="6" t="s">
        <v>1540</v>
      </c>
      <c r="I88" s="6" t="s">
        <v>1549</v>
      </c>
      <c r="J88" s="6" t="s">
        <v>1568</v>
      </c>
      <c r="K88" s="6" t="s">
        <v>1228</v>
      </c>
      <c r="L88" s="6" t="s">
        <v>1228</v>
      </c>
      <c r="M88" s="6" t="s">
        <v>1228</v>
      </c>
      <c r="N88" s="6" t="s">
        <v>1228</v>
      </c>
      <c r="O88" s="6" t="s">
        <v>1228</v>
      </c>
      <c r="P88" s="6" t="s">
        <v>1228</v>
      </c>
      <c r="Q88" s="7">
        <f>'Entity KPIs'!K88</f>
        <v>2.0</v>
      </c>
      <c r="R88" s="7">
        <f>'Entity KPIs'!Q88</f>
        <v>2.0</v>
      </c>
      <c r="S88" s="7">
        <f>'Group KPIs'!K88</f>
        <v>4.0</v>
      </c>
      <c r="T88" s="6" t="s">
        <v>1687</v>
      </c>
      <c r="U88" s="6" t="s">
        <v>1688</v>
      </c>
    </row>
    <row r="89" spans="1:21">
      <c r="A89" s="6" t="s">
        <v>720</v>
      </c>
      <c r="B89" s="6" t="s">
        <v>721</v>
      </c>
      <c r="C89" s="6" t="s">
        <v>455</v>
      </c>
      <c r="D89" s="6" t="s">
        <v>577</v>
      </c>
      <c r="E89" s="6" t="s">
        <v>722</v>
      </c>
      <c r="F89" s="6" t="s">
        <v>1689</v>
      </c>
      <c r="G89" s="6" t="s">
        <v>1690</v>
      </c>
      <c r="H89" s="6" t="s">
        <v>1540</v>
      </c>
      <c r="I89" s="6" t="s">
        <v>1549</v>
      </c>
      <c r="J89" s="6" t="s">
        <v>1568</v>
      </c>
      <c r="K89" s="6" t="s">
        <v>1228</v>
      </c>
      <c r="L89" s="6" t="s">
        <v>1228</v>
      </c>
      <c r="M89" s="6" t="s">
        <v>1228</v>
      </c>
      <c r="N89" s="6" t="s">
        <v>1228</v>
      </c>
      <c r="O89" s="6" t="s">
        <v>1228</v>
      </c>
      <c r="P89" s="6" t="s">
        <v>1228</v>
      </c>
      <c r="Q89" s="7">
        <f>'Entity KPIs'!K89</f>
        <v>95.83</v>
      </c>
      <c r="R89" s="7">
        <f>'Entity KPIs'!Q89</f>
        <v>95.59</v>
      </c>
      <c r="S89" s="7">
        <f>'Group KPIs'!K89</f>
        <v>95.71</v>
      </c>
      <c r="T89" s="6" t="s">
        <v>1691</v>
      </c>
      <c r="U89" s="6" t="s">
        <v>1661</v>
      </c>
    </row>
    <row r="90" spans="1:21">
      <c r="A90" s="6" t="s">
        <v>723</v>
      </c>
      <c r="B90" s="6" t="s">
        <v>724</v>
      </c>
      <c r="C90" s="6" t="s">
        <v>512</v>
      </c>
      <c r="D90" s="6" t="s">
        <v>577</v>
      </c>
      <c r="E90" s="6" t="s">
        <v>725</v>
      </c>
      <c r="F90" s="6" t="s">
        <v>315</v>
      </c>
      <c r="G90" s="6" t="s">
        <v>315</v>
      </c>
      <c r="H90" s="6" t="s">
        <v>1540</v>
      </c>
      <c r="I90" s="6" t="s">
        <v>1549</v>
      </c>
      <c r="J90" s="6" t="s">
        <v>1568</v>
      </c>
      <c r="K90" s="6" t="s">
        <v>1228</v>
      </c>
      <c r="L90" s="6" t="s">
        <v>1228</v>
      </c>
      <c r="M90" s="6" t="s">
        <v>1228</v>
      </c>
      <c r="N90" s="6" t="s">
        <v>1228</v>
      </c>
      <c r="O90" s="6" t="s">
        <v>1228</v>
      </c>
      <c r="P90" s="6" t="s">
        <v>1228</v>
      </c>
      <c r="Q90" s="7">
        <f>'Entity KPIs'!K90</f>
        <v>0.0</v>
      </c>
      <c r="R90" s="7">
        <f>'Entity KPIs'!Q90</f>
        <v>0.0</v>
      </c>
      <c r="S90" s="7">
        <f>'Group KPIs'!K90</f>
        <v>0.0</v>
      </c>
      <c r="T90" s="6" t="s">
        <v>1692</v>
      </c>
      <c r="U90" s="6" t="s">
        <v>1693</v>
      </c>
    </row>
    <row r="91" spans="1:21">
      <c r="A91" s="6" t="s">
        <v>726</v>
      </c>
      <c r="B91" s="6" t="s">
        <v>727</v>
      </c>
      <c r="C91" s="6" t="s">
        <v>512</v>
      </c>
      <c r="D91" s="6" t="s">
        <v>577</v>
      </c>
      <c r="E91" s="6" t="s">
        <v>728</v>
      </c>
      <c r="F91" s="6" t="s">
        <v>148</v>
      </c>
      <c r="G91" s="6" t="s">
        <v>148</v>
      </c>
      <c r="H91" s="6" t="s">
        <v>1540</v>
      </c>
      <c r="I91" s="6" t="s">
        <v>1464</v>
      </c>
      <c r="J91" s="6" t="s">
        <v>1465</v>
      </c>
      <c r="K91" s="7">
        <f>'Plant KPIs'!K45</f>
        <v>0.0</v>
      </c>
      <c r="L91" s="7">
        <f>'Plant KPIs'!Q45</f>
        <v>0.0</v>
      </c>
      <c r="M91" s="7">
        <f>'Plant KPIs'!W45</f>
        <v>0.0</v>
      </c>
      <c r="N91" s="7">
        <f>'Plant KPIs'!AC45</f>
        <v>0.0</v>
      </c>
      <c r="O91" s="7">
        <f>'Plant KPIs'!AI45</f>
        <v>0.0</v>
      </c>
      <c r="P91" s="7">
        <f>'Plant KPIs'!AO45</f>
        <v>0.0</v>
      </c>
      <c r="Q91" s="7">
        <f>'Entity KPIs'!K91</f>
        <v>0.0</v>
      </c>
      <c r="R91" s="7">
        <f>'Entity KPIs'!Q91</f>
        <v>0.0</v>
      </c>
      <c r="S91" s="7">
        <f>'Group KPIs'!K91</f>
        <v>0.0</v>
      </c>
      <c r="T91" s="6" t="s">
        <v>1694</v>
      </c>
      <c r="U91" s="6" t="s">
        <v>1479</v>
      </c>
    </row>
    <row r="92" spans="1:21">
      <c r="A92" s="6" t="s">
        <v>729</v>
      </c>
      <c r="B92" s="6" t="s">
        <v>730</v>
      </c>
      <c r="C92" s="6" t="s">
        <v>512</v>
      </c>
      <c r="D92" s="6" t="s">
        <v>577</v>
      </c>
      <c r="E92" s="6" t="s">
        <v>731</v>
      </c>
      <c r="F92" s="6" t="s">
        <v>150</v>
      </c>
      <c r="G92" s="6" t="s">
        <v>150</v>
      </c>
      <c r="H92" s="6" t="s">
        <v>1540</v>
      </c>
      <c r="I92" s="6" t="s">
        <v>1464</v>
      </c>
      <c r="J92" s="6" t="s">
        <v>1465</v>
      </c>
      <c r="K92" s="7">
        <f>'Plant KPIs'!K46</f>
        <v>1.0</v>
      </c>
      <c r="L92" s="7">
        <f>'Plant KPIs'!Q46</f>
        <v>0.0</v>
      </c>
      <c r="M92" s="7">
        <f>'Plant KPIs'!W46</f>
        <v>1.0</v>
      </c>
      <c r="N92" s="7">
        <f>'Plant KPIs'!AC46</f>
        <v>0.0</v>
      </c>
      <c r="O92" s="7">
        <f>'Plant KPIs'!AI46</f>
        <v>0.0</v>
      </c>
      <c r="P92" s="7">
        <f>'Plant KPIs'!AO46</f>
        <v>1.0</v>
      </c>
      <c r="Q92" s="7">
        <f>'Entity KPIs'!K92</f>
        <v>2.0</v>
      </c>
      <c r="R92" s="7">
        <f>'Entity KPIs'!Q92</f>
        <v>1.0</v>
      </c>
      <c r="S92" s="7">
        <f>'Group KPIs'!K92</f>
        <v>3.0</v>
      </c>
      <c r="T92" s="6" t="s">
        <v>1695</v>
      </c>
      <c r="U92" s="6" t="s">
        <v>1499</v>
      </c>
    </row>
    <row r="93" spans="1:21">
      <c r="A93" s="6" t="s">
        <v>732</v>
      </c>
      <c r="B93" s="6" t="s">
        <v>733</v>
      </c>
      <c r="C93" s="6" t="s">
        <v>512</v>
      </c>
      <c r="D93" s="6" t="s">
        <v>577</v>
      </c>
      <c r="E93" s="6" t="s">
        <v>734</v>
      </c>
      <c r="F93" s="6" t="s">
        <v>152</v>
      </c>
      <c r="G93" s="6" t="s">
        <v>152</v>
      </c>
      <c r="H93" s="6" t="s">
        <v>1540</v>
      </c>
      <c r="I93" s="6" t="s">
        <v>1464</v>
      </c>
      <c r="J93" s="6" t="s">
        <v>1465</v>
      </c>
      <c r="K93" s="7">
        <f>'Plant KPIs'!K47</f>
        <v>0.0</v>
      </c>
      <c r="L93" s="7">
        <f>'Plant KPIs'!Q47</f>
        <v>1.0</v>
      </c>
      <c r="M93" s="7">
        <f>'Plant KPIs'!W47</f>
        <v>0.0</v>
      </c>
      <c r="N93" s="7">
        <f>'Plant KPIs'!AC47</f>
        <v>0.0</v>
      </c>
      <c r="O93" s="7">
        <f>'Plant KPIs'!AI47</f>
        <v>0.0</v>
      </c>
      <c r="P93" s="7">
        <f>'Plant KPIs'!AO47</f>
        <v>0.0</v>
      </c>
      <c r="Q93" s="7">
        <f>'Entity KPIs'!K93</f>
        <v>1.0</v>
      </c>
      <c r="R93" s="7">
        <f>'Entity KPIs'!Q93</f>
        <v>0.0</v>
      </c>
      <c r="S93" s="7">
        <f>'Group KPIs'!K93</f>
        <v>1.0</v>
      </c>
      <c r="T93" s="6" t="s">
        <v>1696</v>
      </c>
      <c r="U93" s="6" t="s">
        <v>1499</v>
      </c>
    </row>
    <row r="94" spans="1:21">
      <c r="A94" s="6" t="s">
        <v>735</v>
      </c>
      <c r="B94" s="6" t="s">
        <v>736</v>
      </c>
      <c r="C94" s="6" t="s">
        <v>512</v>
      </c>
      <c r="D94" s="6" t="s">
        <v>577</v>
      </c>
      <c r="E94" s="6" t="s">
        <v>737</v>
      </c>
      <c r="F94" s="6" t="s">
        <v>154</v>
      </c>
      <c r="G94" s="6" t="s">
        <v>154</v>
      </c>
      <c r="H94" s="6" t="s">
        <v>1540</v>
      </c>
      <c r="I94" s="6" t="s">
        <v>1464</v>
      </c>
      <c r="J94" s="6" t="s">
        <v>1465</v>
      </c>
      <c r="K94" s="7">
        <f>'Plant KPIs'!K48</f>
        <v>0.0</v>
      </c>
      <c r="L94" s="7">
        <f>'Plant KPIs'!Q48</f>
        <v>1.0</v>
      </c>
      <c r="M94" s="7">
        <f>'Plant KPIs'!W48</f>
        <v>0.0</v>
      </c>
      <c r="N94" s="7">
        <f>'Plant KPIs'!AC48</f>
        <v>0.0</v>
      </c>
      <c r="O94" s="7">
        <f>'Plant KPIs'!AI48</f>
        <v>1.0</v>
      </c>
      <c r="P94" s="7">
        <f>'Plant KPIs'!AO48</f>
        <v>0.0</v>
      </c>
      <c r="Q94" s="7">
        <f>'Entity KPIs'!K94</f>
        <v>1.0</v>
      </c>
      <c r="R94" s="7">
        <f>'Entity KPIs'!Q94</f>
        <v>1.0</v>
      </c>
      <c r="S94" s="7">
        <f>'Group KPIs'!K94</f>
        <v>2.0</v>
      </c>
      <c r="T94" s="6" t="s">
        <v>1697</v>
      </c>
      <c r="U94" s="6" t="s">
        <v>1479</v>
      </c>
    </row>
    <row r="95" spans="1:21">
      <c r="A95" s="6" t="s">
        <v>738</v>
      </c>
      <c r="B95" s="6" t="s">
        <v>739</v>
      </c>
      <c r="C95" s="6" t="s">
        <v>512</v>
      </c>
      <c r="D95" s="6" t="s">
        <v>577</v>
      </c>
      <c r="E95" s="6" t="s">
        <v>740</v>
      </c>
      <c r="F95" s="6" t="s">
        <v>156</v>
      </c>
      <c r="G95" s="6" t="s">
        <v>156</v>
      </c>
      <c r="H95" s="6" t="s">
        <v>1540</v>
      </c>
      <c r="I95" s="6" t="s">
        <v>1464</v>
      </c>
      <c r="J95" s="6" t="s">
        <v>1465</v>
      </c>
      <c r="K95" s="7">
        <f>'Plant KPIs'!K49</f>
        <v>0.0</v>
      </c>
      <c r="L95" s="7">
        <f>'Plant KPIs'!Q49</f>
        <v>0.0</v>
      </c>
      <c r="M95" s="7">
        <f>'Plant KPIs'!W49</f>
        <v>0.0</v>
      </c>
      <c r="N95" s="7">
        <f>'Plant KPIs'!AC49</f>
        <v>0.0</v>
      </c>
      <c r="O95" s="7">
        <f>'Plant KPIs'!AI49</f>
        <v>0.0</v>
      </c>
      <c r="P95" s="7">
        <f>'Plant KPIs'!AO49</f>
        <v>0.0</v>
      </c>
      <c r="Q95" s="7">
        <f>'Entity KPIs'!K95</f>
        <v>0.0</v>
      </c>
      <c r="R95" s="7">
        <f>'Entity KPIs'!Q95</f>
        <v>0.0</v>
      </c>
      <c r="S95" s="7">
        <f>'Group KPIs'!K95</f>
        <v>0.0</v>
      </c>
      <c r="T95" s="6" t="s">
        <v>1528</v>
      </c>
      <c r="U95" s="6" t="s">
        <v>1529</v>
      </c>
    </row>
    <row r="96" spans="1:21">
      <c r="A96" s="6" t="s">
        <v>741</v>
      </c>
      <c r="B96" s="6" t="s">
        <v>742</v>
      </c>
      <c r="C96" s="6" t="s">
        <v>512</v>
      </c>
      <c r="D96" s="6" t="s">
        <v>577</v>
      </c>
      <c r="E96" s="6" t="s">
        <v>742</v>
      </c>
      <c r="F96" s="6" t="s">
        <v>158</v>
      </c>
      <c r="G96" s="6" t="s">
        <v>158</v>
      </c>
      <c r="H96" s="6" t="s">
        <v>1540</v>
      </c>
      <c r="I96" s="6" t="s">
        <v>1464</v>
      </c>
      <c r="J96" s="6" t="s">
        <v>1465</v>
      </c>
      <c r="K96" s="7">
        <f>'Plant KPIs'!K50</f>
        <v>0.0</v>
      </c>
      <c r="L96" s="7">
        <f>'Plant KPIs'!Q50</f>
        <v>0.0</v>
      </c>
      <c r="M96" s="7">
        <f>'Plant KPIs'!W50</f>
        <v>0.0</v>
      </c>
      <c r="N96" s="7">
        <f>'Plant KPIs'!AC50</f>
        <v>0.0</v>
      </c>
      <c r="O96" s="7">
        <f>'Plant KPIs'!AI50</f>
        <v>0.0</v>
      </c>
      <c r="P96" s="7">
        <f>'Plant KPIs'!AO50</f>
        <v>0.0</v>
      </c>
      <c r="Q96" s="7">
        <f>'Entity KPIs'!K96</f>
        <v>0.0</v>
      </c>
      <c r="R96" s="7">
        <f>'Entity KPIs'!Q96</f>
        <v>0.0</v>
      </c>
      <c r="S96" s="7">
        <f>'Group KPIs'!K96</f>
        <v>0.0</v>
      </c>
      <c r="T96" s="6" t="s">
        <v>1698</v>
      </c>
      <c r="U96" s="6" t="s">
        <v>1499</v>
      </c>
    </row>
    <row r="97" spans="1:21">
      <c r="A97" s="6" t="s">
        <v>743</v>
      </c>
      <c r="B97" s="6" t="s">
        <v>744</v>
      </c>
      <c r="C97" s="6" t="s">
        <v>512</v>
      </c>
      <c r="D97" s="6" t="s">
        <v>577</v>
      </c>
      <c r="E97" s="6" t="s">
        <v>744</v>
      </c>
      <c r="F97" s="6" t="s">
        <v>160</v>
      </c>
      <c r="G97" s="6" t="s">
        <v>160</v>
      </c>
      <c r="H97" s="6" t="s">
        <v>1540</v>
      </c>
      <c r="I97" s="6" t="s">
        <v>1464</v>
      </c>
      <c r="J97" s="6" t="s">
        <v>1465</v>
      </c>
      <c r="K97" s="7">
        <f>'Plant KPIs'!K51</f>
        <v>0.0</v>
      </c>
      <c r="L97" s="7">
        <f>'Plant KPIs'!Q51</f>
        <v>0.0</v>
      </c>
      <c r="M97" s="7">
        <f>'Plant KPIs'!W51</f>
        <v>0.0</v>
      </c>
      <c r="N97" s="7">
        <f>'Plant KPIs'!AC51</f>
        <v>0.0</v>
      </c>
      <c r="O97" s="7">
        <f>'Plant KPIs'!AI51</f>
        <v>0.0</v>
      </c>
      <c r="P97" s="7">
        <f>'Plant KPIs'!AO51</f>
        <v>0.0</v>
      </c>
      <c r="Q97" s="7">
        <f>'Entity KPIs'!K97</f>
        <v>0.0</v>
      </c>
      <c r="R97" s="7">
        <f>'Entity KPIs'!Q97</f>
        <v>0.0</v>
      </c>
      <c r="S97" s="7">
        <f>'Group KPIs'!K97</f>
        <v>0.0</v>
      </c>
      <c r="T97" s="6" t="s">
        <v>1699</v>
      </c>
      <c r="U97" s="6" t="s">
        <v>1643</v>
      </c>
    </row>
    <row r="98" spans="1:21">
      <c r="A98" s="6" t="s">
        <v>745</v>
      </c>
      <c r="B98" s="6" t="s">
        <v>746</v>
      </c>
      <c r="C98" s="6" t="s">
        <v>668</v>
      </c>
      <c r="D98" s="6" t="s">
        <v>577</v>
      </c>
      <c r="E98" s="6" t="s">
        <v>747</v>
      </c>
      <c r="F98" s="6" t="s">
        <v>1700</v>
      </c>
      <c r="G98" s="6" t="s">
        <v>164</v>
      </c>
      <c r="H98" s="6" t="s">
        <v>1540</v>
      </c>
      <c r="I98" s="6" t="s">
        <v>1464</v>
      </c>
      <c r="J98" s="6" t="s">
        <v>1465</v>
      </c>
      <c r="K98" s="8" t="str">
        <f>'Plant KPIs'!K52</f>
        <v>Not triggered</v>
      </c>
      <c r="L98" s="8" t="str">
        <f>'Plant KPIs'!Q52</f>
        <v>Not triggered</v>
      </c>
      <c r="M98" s="8" t="str">
        <f>'Plant KPIs'!W52</f>
        <v>Not triggered</v>
      </c>
      <c r="N98" s="8" t="str">
        <f>'Plant KPIs'!AC52</f>
        <v>Not triggered</v>
      </c>
      <c r="O98" s="8" t="str">
        <f>'Plant KPIs'!AI52</f>
        <v>Not triggered</v>
      </c>
      <c r="P98" s="8" t="str">
        <f>'Plant KPIs'!AO52</f>
        <v>Not triggered</v>
      </c>
      <c r="Q98" s="8" t="str">
        <f>'Entity KPIs'!K98</f>
        <v>Not triggered</v>
      </c>
      <c r="R98" s="8" t="str">
        <f>'Entity KPIs'!Q98</f>
        <v>Not triggered</v>
      </c>
      <c r="S98" s="8" t="str">
        <f>'Group KPIs'!K98</f>
        <v>Not triggered</v>
      </c>
      <c r="T98" s="6" t="s">
        <v>1701</v>
      </c>
      <c r="U98" s="6" t="s">
        <v>1522</v>
      </c>
    </row>
    <row r="99" spans="1:21">
      <c r="A99" s="6" t="s">
        <v>748</v>
      </c>
      <c r="B99" s="6" t="s">
        <v>749</v>
      </c>
      <c r="C99" s="6" t="s">
        <v>512</v>
      </c>
      <c r="D99" s="6" t="s">
        <v>561</v>
      </c>
      <c r="E99" s="6" t="s">
        <v>750</v>
      </c>
      <c r="F99" s="6" t="s">
        <v>1702</v>
      </c>
      <c r="G99" s="6" t="s">
        <v>162</v>
      </c>
      <c r="H99" s="6" t="s">
        <v>1540</v>
      </c>
      <c r="I99" s="6" t="s">
        <v>1464</v>
      </c>
      <c r="J99" s="6" t="s">
        <v>1465</v>
      </c>
      <c r="K99" s="7">
        <f>'Plant KPIs'!K53</f>
        <v>0.0</v>
      </c>
      <c r="L99" s="7">
        <f>'Plant KPIs'!Q53</f>
        <v>0.0</v>
      </c>
      <c r="M99" s="7">
        <f>'Plant KPIs'!W53</f>
        <v>0.0</v>
      </c>
      <c r="N99" s="7">
        <f>'Plant KPIs'!AC53</f>
        <v>0.0</v>
      </c>
      <c r="O99" s="7">
        <f>'Plant KPIs'!AI53</f>
        <v>0.0</v>
      </c>
      <c r="P99" s="7">
        <f>'Plant KPIs'!AO53</f>
        <v>0.0</v>
      </c>
      <c r="Q99" s="7">
        <f>'Entity KPIs'!K99</f>
        <v>0.0</v>
      </c>
      <c r="R99" s="7">
        <f>'Entity KPIs'!Q99</f>
        <v>0.0</v>
      </c>
      <c r="S99" s="7">
        <f>'Group KPIs'!K99</f>
        <v>0.0</v>
      </c>
      <c r="T99" s="6" t="s">
        <v>1703</v>
      </c>
      <c r="U99" s="6" t="s">
        <v>1648</v>
      </c>
    </row>
    <row r="100" spans="1:21">
      <c r="A100" s="6" t="s">
        <v>751</v>
      </c>
      <c r="B100" s="6" t="s">
        <v>752</v>
      </c>
      <c r="C100" s="6" t="s">
        <v>512</v>
      </c>
      <c r="D100" s="6" t="s">
        <v>561</v>
      </c>
      <c r="E100" s="6" t="s">
        <v>750</v>
      </c>
      <c r="F100" s="6" t="s">
        <v>1702</v>
      </c>
      <c r="G100" s="6" t="s">
        <v>162</v>
      </c>
      <c r="H100" s="6" t="s">
        <v>1540</v>
      </c>
      <c r="I100" s="6" t="s">
        <v>1464</v>
      </c>
      <c r="J100" s="6" t="s">
        <v>1465</v>
      </c>
      <c r="K100" s="7">
        <f>'Plant KPIs'!K54</f>
        <v>0.0</v>
      </c>
      <c r="L100" s="7">
        <f>'Plant KPIs'!Q54</f>
        <v>0.0</v>
      </c>
      <c r="M100" s="7">
        <f>'Plant KPIs'!W54</f>
        <v>0.0</v>
      </c>
      <c r="N100" s="7">
        <f>'Plant KPIs'!AC54</f>
        <v>0.0</v>
      </c>
      <c r="O100" s="7">
        <f>'Plant KPIs'!AI54</f>
        <v>0.0</v>
      </c>
      <c r="P100" s="7">
        <f>'Plant KPIs'!AO54</f>
        <v>0.0</v>
      </c>
      <c r="Q100" s="7">
        <f>'Entity KPIs'!K100</f>
        <v>0.0</v>
      </c>
      <c r="R100" s="7">
        <f>'Entity KPIs'!Q100</f>
        <v>0.0</v>
      </c>
      <c r="S100" s="7">
        <f>'Group KPIs'!K100</f>
        <v>0.0</v>
      </c>
      <c r="T100" s="6" t="s">
        <v>1704</v>
      </c>
      <c r="U100" s="6" t="s">
        <v>1529</v>
      </c>
    </row>
    <row r="101" spans="1:21">
      <c r="A101" s="6" t="s">
        <v>753</v>
      </c>
      <c r="B101" s="6" t="s">
        <v>752</v>
      </c>
      <c r="C101" s="6" t="s">
        <v>512</v>
      </c>
      <c r="D101" s="6" t="s">
        <v>561</v>
      </c>
      <c r="E101" s="6" t="s">
        <v>750</v>
      </c>
      <c r="F101" s="6" t="s">
        <v>1702</v>
      </c>
      <c r="G101" s="6" t="s">
        <v>162</v>
      </c>
      <c r="H101" s="6" t="s">
        <v>1540</v>
      </c>
      <c r="I101" s="6" t="s">
        <v>1464</v>
      </c>
      <c r="J101" s="6" t="s">
        <v>1465</v>
      </c>
      <c r="K101" s="7">
        <f>'Plant KPIs'!K55</f>
        <v>0.0</v>
      </c>
      <c r="L101" s="7">
        <f>'Plant KPIs'!Q55</f>
        <v>0.0</v>
      </c>
      <c r="M101" s="7">
        <f>'Plant KPIs'!W55</f>
        <v>0.0</v>
      </c>
      <c r="N101" s="7">
        <f>'Plant KPIs'!AC55</f>
        <v>0.0</v>
      </c>
      <c r="O101" s="7">
        <f>'Plant KPIs'!AI55</f>
        <v>0.0</v>
      </c>
      <c r="P101" s="7">
        <f>'Plant KPIs'!AO55</f>
        <v>0.0</v>
      </c>
      <c r="Q101" s="7">
        <f>'Entity KPIs'!K101</f>
        <v>0.0</v>
      </c>
      <c r="R101" s="7">
        <f>'Entity KPIs'!Q101</f>
        <v>0.0</v>
      </c>
      <c r="S101" s="7">
        <f>'Group KPIs'!K101</f>
        <v>0.0</v>
      </c>
      <c r="T101" s="6" t="s">
        <v>1705</v>
      </c>
      <c r="U101" s="6" t="s">
        <v>1643</v>
      </c>
    </row>
    <row r="102" spans="1:21">
      <c r="A102" s="6" t="s">
        <v>754</v>
      </c>
      <c r="B102" s="6" t="s">
        <v>755</v>
      </c>
      <c r="C102" s="6" t="s">
        <v>512</v>
      </c>
      <c r="D102" s="6" t="s">
        <v>577</v>
      </c>
      <c r="E102" s="6" t="s">
        <v>755</v>
      </c>
      <c r="F102" s="6" t="s">
        <v>166</v>
      </c>
      <c r="G102" s="6" t="s">
        <v>166</v>
      </c>
      <c r="H102" s="6" t="s">
        <v>1540</v>
      </c>
      <c r="I102" s="6" t="s">
        <v>1464</v>
      </c>
      <c r="J102" s="6" t="s">
        <v>1465</v>
      </c>
      <c r="K102" s="7">
        <f>'Plant KPIs'!K56</f>
        <v>0.0</v>
      </c>
      <c r="L102" s="7">
        <f>'Plant KPIs'!Q56</f>
        <v>0.0</v>
      </c>
      <c r="M102" s="7">
        <f>'Plant KPIs'!W56</f>
        <v>0.0</v>
      </c>
      <c r="N102" s="7">
        <f>'Plant KPIs'!AC56</f>
        <v>0.0</v>
      </c>
      <c r="O102" s="7">
        <f>'Plant KPIs'!AI56</f>
        <v>0.0</v>
      </c>
      <c r="P102" s="7">
        <f>'Plant KPIs'!AO56</f>
        <v>0.0</v>
      </c>
      <c r="Q102" s="7">
        <f>'Entity KPIs'!K102</f>
        <v>0.0</v>
      </c>
      <c r="R102" s="7">
        <f>'Entity KPIs'!Q102</f>
        <v>0.0</v>
      </c>
      <c r="S102" s="7">
        <f>'Group KPIs'!K102</f>
        <v>0.0</v>
      </c>
      <c r="T102" s="6" t="s">
        <v>1706</v>
      </c>
      <c r="U102" s="6" t="s">
        <v>1529</v>
      </c>
    </row>
    <row r="103" spans="1:21">
      <c r="A103" s="6" t="s">
        <v>756</v>
      </c>
      <c r="B103" s="6" t="s">
        <v>757</v>
      </c>
      <c r="C103" s="6" t="s">
        <v>455</v>
      </c>
      <c r="D103" s="6" t="s">
        <v>561</v>
      </c>
      <c r="E103" s="6" t="s">
        <v>758</v>
      </c>
      <c r="F103" s="6" t="s">
        <v>1707</v>
      </c>
      <c r="G103" s="6" t="s">
        <v>1533</v>
      </c>
      <c r="H103" s="6" t="s">
        <v>1463</v>
      </c>
      <c r="I103" s="6" t="s">
        <v>1464</v>
      </c>
      <c r="J103" s="6" t="s">
        <v>1465</v>
      </c>
      <c r="K103" s="7">
        <f>'Plant KPIs'!K57</f>
        <v>100.0</v>
      </c>
      <c r="L103" s="7">
        <f>'Plant KPIs'!Q57</f>
        <v>75.0</v>
      </c>
      <c r="M103" s="7">
        <f>'Plant KPIs'!W57</f>
        <v>60.0</v>
      </c>
      <c r="N103" s="7">
        <f>'Plant KPIs'!AC57</f>
        <v>85.71</v>
      </c>
      <c r="O103" s="7">
        <f>'Plant KPIs'!AI57</f>
        <v>83.33</v>
      </c>
      <c r="P103" s="7">
        <f>'Plant KPIs'!AO57</f>
        <v>92.31</v>
      </c>
      <c r="Q103" s="7">
        <f>'Entity KPIs'!K103</f>
        <v>81.82</v>
      </c>
      <c r="R103" s="7">
        <f>'Entity KPIs'!Q103</f>
        <v>88.46</v>
      </c>
      <c r="S103" s="7">
        <f>'Group KPIs'!K103</f>
        <v>85.42</v>
      </c>
      <c r="T103" s="6" t="s">
        <v>1708</v>
      </c>
      <c r="U103" s="6" t="s">
        <v>1475</v>
      </c>
    </row>
    <row r="104" spans="1:21">
      <c r="A104" s="6" t="s">
        <v>759</v>
      </c>
      <c r="B104" s="6" t="s">
        <v>760</v>
      </c>
      <c r="C104" s="6" t="s">
        <v>512</v>
      </c>
      <c r="D104" s="6" t="s">
        <v>561</v>
      </c>
      <c r="E104" s="6" t="s">
        <v>761</v>
      </c>
      <c r="F104" s="6" t="s">
        <v>1709</v>
      </c>
      <c r="G104" s="6" t="s">
        <v>319</v>
      </c>
      <c r="H104" s="6" t="s">
        <v>1540</v>
      </c>
      <c r="I104" s="6" t="s">
        <v>1549</v>
      </c>
      <c r="J104" s="6" t="s">
        <v>1568</v>
      </c>
      <c r="K104" s="6" t="s">
        <v>1228</v>
      </c>
      <c r="L104" s="6" t="s">
        <v>1228</v>
      </c>
      <c r="M104" s="6" t="s">
        <v>1228</v>
      </c>
      <c r="N104" s="6" t="s">
        <v>1228</v>
      </c>
      <c r="O104" s="6" t="s">
        <v>1228</v>
      </c>
      <c r="P104" s="6" t="s">
        <v>1228</v>
      </c>
      <c r="Q104" s="7">
        <f>'Entity KPIs'!K104</f>
        <v>2.0</v>
      </c>
      <c r="R104" s="7">
        <f>'Entity KPIs'!Q104</f>
        <v>2.0</v>
      </c>
      <c r="S104" s="7">
        <f>'Group KPIs'!K104</f>
        <v>4.0</v>
      </c>
      <c r="T104" s="6" t="s">
        <v>1710</v>
      </c>
      <c r="U104" s="6" t="s">
        <v>1584</v>
      </c>
    </row>
    <row r="105" spans="1:21">
      <c r="A105" s="6" t="s">
        <v>762</v>
      </c>
      <c r="B105" s="6" t="s">
        <v>763</v>
      </c>
      <c r="C105" s="6" t="s">
        <v>512</v>
      </c>
      <c r="D105" s="6" t="s">
        <v>561</v>
      </c>
      <c r="E105" s="6" t="s">
        <v>764</v>
      </c>
      <c r="F105" s="6" t="s">
        <v>1711</v>
      </c>
      <c r="G105" s="6" t="s">
        <v>321</v>
      </c>
      <c r="H105" s="6" t="s">
        <v>1540</v>
      </c>
      <c r="I105" s="6" t="s">
        <v>1549</v>
      </c>
      <c r="J105" s="6" t="s">
        <v>1568</v>
      </c>
      <c r="K105" s="6" t="s">
        <v>1228</v>
      </c>
      <c r="L105" s="6" t="s">
        <v>1228</v>
      </c>
      <c r="M105" s="6" t="s">
        <v>1228</v>
      </c>
      <c r="N105" s="6" t="s">
        <v>1228</v>
      </c>
      <c r="O105" s="6" t="s">
        <v>1228</v>
      </c>
      <c r="P105" s="6" t="s">
        <v>1228</v>
      </c>
      <c r="Q105" s="7">
        <f>'Entity KPIs'!K105</f>
        <v>0.0</v>
      </c>
      <c r="R105" s="7">
        <f>'Entity KPIs'!Q105</f>
        <v>0.0</v>
      </c>
      <c r="S105" s="7">
        <f>'Group KPIs'!K105</f>
        <v>0.0</v>
      </c>
      <c r="T105" s="6" t="s">
        <v>1712</v>
      </c>
      <c r="U105" s="6" t="s">
        <v>1643</v>
      </c>
    </row>
    <row r="106" spans="1:21">
      <c r="A106" s="6" t="s">
        <v>765</v>
      </c>
      <c r="B106" s="6" t="s">
        <v>766</v>
      </c>
      <c r="C106" s="6" t="s">
        <v>512</v>
      </c>
      <c r="D106" s="6" t="s">
        <v>561</v>
      </c>
      <c r="E106" s="6" t="s">
        <v>767</v>
      </c>
      <c r="F106" s="6" t="s">
        <v>1713</v>
      </c>
      <c r="G106" s="6" t="s">
        <v>327</v>
      </c>
      <c r="H106" s="6" t="s">
        <v>1540</v>
      </c>
      <c r="I106" s="6" t="s">
        <v>1549</v>
      </c>
      <c r="J106" s="6" t="s">
        <v>1568</v>
      </c>
      <c r="K106" s="6" t="s">
        <v>1228</v>
      </c>
      <c r="L106" s="6" t="s">
        <v>1228</v>
      </c>
      <c r="M106" s="6" t="s">
        <v>1228</v>
      </c>
      <c r="N106" s="6" t="s">
        <v>1228</v>
      </c>
      <c r="O106" s="6" t="s">
        <v>1228</v>
      </c>
      <c r="P106" s="6" t="s">
        <v>1228</v>
      </c>
      <c r="Q106" s="7">
        <f>'Entity KPIs'!K106</f>
        <v>2.0</v>
      </c>
      <c r="R106" s="7">
        <f>'Entity KPIs'!Q106</f>
        <v>2.0</v>
      </c>
      <c r="S106" s="7">
        <f>'Group KPIs'!K106</f>
        <v>4.0</v>
      </c>
      <c r="T106" s="6" t="s">
        <v>1714</v>
      </c>
      <c r="U106" s="6" t="s">
        <v>1493</v>
      </c>
    </row>
    <row r="107" spans="1:21">
      <c r="A107" s="6" t="s">
        <v>768</v>
      </c>
      <c r="B107" s="6" t="s">
        <v>769</v>
      </c>
      <c r="C107" s="6" t="s">
        <v>512</v>
      </c>
      <c r="D107" s="6" t="s">
        <v>561</v>
      </c>
      <c r="E107" s="6" t="s">
        <v>770</v>
      </c>
      <c r="F107" s="6" t="s">
        <v>1715</v>
      </c>
      <c r="G107" s="6" t="s">
        <v>329</v>
      </c>
      <c r="H107" s="6" t="s">
        <v>1540</v>
      </c>
      <c r="I107" s="6" t="s">
        <v>1549</v>
      </c>
      <c r="J107" s="6" t="s">
        <v>1568</v>
      </c>
      <c r="K107" s="6" t="s">
        <v>1228</v>
      </c>
      <c r="L107" s="6" t="s">
        <v>1228</v>
      </c>
      <c r="M107" s="6" t="s">
        <v>1228</v>
      </c>
      <c r="N107" s="6" t="s">
        <v>1228</v>
      </c>
      <c r="O107" s="6" t="s">
        <v>1228</v>
      </c>
      <c r="P107" s="6" t="s">
        <v>1228</v>
      </c>
      <c r="Q107" s="7">
        <f>'Entity KPIs'!K107</f>
        <v>0.0</v>
      </c>
      <c r="R107" s="7">
        <f>'Entity KPIs'!Q107</f>
        <v>0.0</v>
      </c>
      <c r="S107" s="7">
        <f>'Group KPIs'!K107</f>
        <v>0.0</v>
      </c>
      <c r="T107" s="6" t="s">
        <v>1716</v>
      </c>
      <c r="U107" s="6" t="s">
        <v>1648</v>
      </c>
    </row>
    <row r="108" spans="1:21">
      <c r="A108" s="6" t="s">
        <v>771</v>
      </c>
      <c r="B108" s="6" t="s">
        <v>772</v>
      </c>
      <c r="C108" s="6" t="s">
        <v>512</v>
      </c>
      <c r="D108" s="6" t="s">
        <v>561</v>
      </c>
      <c r="E108" s="6" t="s">
        <v>773</v>
      </c>
      <c r="F108" s="6" t="s">
        <v>1717</v>
      </c>
      <c r="G108" s="6" t="s">
        <v>331</v>
      </c>
      <c r="H108" s="6" t="s">
        <v>1540</v>
      </c>
      <c r="I108" s="6" t="s">
        <v>1549</v>
      </c>
      <c r="J108" s="6" t="s">
        <v>1568</v>
      </c>
      <c r="K108" s="6" t="s">
        <v>1228</v>
      </c>
      <c r="L108" s="6" t="s">
        <v>1228</v>
      </c>
      <c r="M108" s="6" t="s">
        <v>1228</v>
      </c>
      <c r="N108" s="6" t="s">
        <v>1228</v>
      </c>
      <c r="O108" s="6" t="s">
        <v>1228</v>
      </c>
      <c r="P108" s="6" t="s">
        <v>1228</v>
      </c>
      <c r="Q108" s="7">
        <f>'Entity KPIs'!K108</f>
        <v>0.0</v>
      </c>
      <c r="R108" s="7">
        <f>'Entity KPIs'!Q108</f>
        <v>1.0</v>
      </c>
      <c r="S108" s="7">
        <f>'Group KPIs'!K108</f>
        <v>1.0</v>
      </c>
      <c r="T108" s="6" t="s">
        <v>1718</v>
      </c>
      <c r="U108" s="6" t="s">
        <v>1529</v>
      </c>
    </row>
    <row r="109" spans="1:21">
      <c r="A109" s="6" t="s">
        <v>774</v>
      </c>
      <c r="B109" s="6" t="s">
        <v>775</v>
      </c>
      <c r="C109" s="6" t="s">
        <v>512</v>
      </c>
      <c r="D109" s="6" t="s">
        <v>561</v>
      </c>
      <c r="E109" s="6" t="s">
        <v>776</v>
      </c>
      <c r="F109" s="6" t="s">
        <v>1719</v>
      </c>
      <c r="G109" s="6" t="s">
        <v>333</v>
      </c>
      <c r="H109" s="6" t="s">
        <v>1540</v>
      </c>
      <c r="I109" s="6" t="s">
        <v>1549</v>
      </c>
      <c r="J109" s="6" t="s">
        <v>1568</v>
      </c>
      <c r="K109" s="6" t="s">
        <v>1228</v>
      </c>
      <c r="L109" s="6" t="s">
        <v>1228</v>
      </c>
      <c r="M109" s="6" t="s">
        <v>1228</v>
      </c>
      <c r="N109" s="6" t="s">
        <v>1228</v>
      </c>
      <c r="O109" s="6" t="s">
        <v>1228</v>
      </c>
      <c r="P109" s="6" t="s">
        <v>1228</v>
      </c>
      <c r="Q109" s="7">
        <f>'Entity KPIs'!K109</f>
        <v>0.0</v>
      </c>
      <c r="R109" s="7">
        <f>'Entity KPIs'!Q109</f>
        <v>0.0</v>
      </c>
      <c r="S109" s="7">
        <f>'Group KPIs'!K109</f>
        <v>0.0</v>
      </c>
      <c r="T109" s="6" t="s">
        <v>1528</v>
      </c>
      <c r="U109" s="6" t="s">
        <v>1529</v>
      </c>
    </row>
    <row r="110" spans="1:21">
      <c r="A110" s="6" t="s">
        <v>777</v>
      </c>
      <c r="B110" s="6" t="s">
        <v>778</v>
      </c>
      <c r="C110" s="6" t="s">
        <v>512</v>
      </c>
      <c r="D110" s="6" t="s">
        <v>561</v>
      </c>
      <c r="E110" s="6" t="s">
        <v>779</v>
      </c>
      <c r="F110" s="6" t="s">
        <v>1720</v>
      </c>
      <c r="G110" s="6" t="s">
        <v>335</v>
      </c>
      <c r="H110" s="6" t="s">
        <v>1540</v>
      </c>
      <c r="I110" s="6" t="s">
        <v>1549</v>
      </c>
      <c r="J110" s="6" t="s">
        <v>1568</v>
      </c>
      <c r="K110" s="6" t="s">
        <v>1228</v>
      </c>
      <c r="L110" s="6" t="s">
        <v>1228</v>
      </c>
      <c r="M110" s="6" t="s">
        <v>1228</v>
      </c>
      <c r="N110" s="6" t="s">
        <v>1228</v>
      </c>
      <c r="O110" s="6" t="s">
        <v>1228</v>
      </c>
      <c r="P110" s="6" t="s">
        <v>1228</v>
      </c>
      <c r="Q110" s="7">
        <f>'Entity KPIs'!K110</f>
        <v>0.0</v>
      </c>
      <c r="R110" s="7">
        <f>'Entity KPIs'!Q110</f>
        <v>0.0</v>
      </c>
      <c r="S110" s="7">
        <f>'Group KPIs'!K110</f>
        <v>0.0</v>
      </c>
      <c r="T110" s="6" t="s">
        <v>1528</v>
      </c>
      <c r="U110" s="6" t="s">
        <v>1529</v>
      </c>
    </row>
    <row r="111" spans="1:21">
      <c r="A111" s="6" t="s">
        <v>780</v>
      </c>
      <c r="B111" s="6" t="s">
        <v>781</v>
      </c>
      <c r="C111" s="6" t="s">
        <v>512</v>
      </c>
      <c r="D111" s="6" t="s">
        <v>561</v>
      </c>
      <c r="E111" s="6" t="s">
        <v>782</v>
      </c>
      <c r="F111" s="6" t="s">
        <v>1721</v>
      </c>
      <c r="G111" s="6" t="s">
        <v>337</v>
      </c>
      <c r="H111" s="6" t="s">
        <v>1540</v>
      </c>
      <c r="I111" s="6" t="s">
        <v>1549</v>
      </c>
      <c r="J111" s="6" t="s">
        <v>1568</v>
      </c>
      <c r="K111" s="6" t="s">
        <v>1228</v>
      </c>
      <c r="L111" s="6" t="s">
        <v>1228</v>
      </c>
      <c r="M111" s="6" t="s">
        <v>1228</v>
      </c>
      <c r="N111" s="6" t="s">
        <v>1228</v>
      </c>
      <c r="O111" s="6" t="s">
        <v>1228</v>
      </c>
      <c r="P111" s="6" t="s">
        <v>1228</v>
      </c>
      <c r="Q111" s="7">
        <f>'Entity KPIs'!K111</f>
        <v>7.0</v>
      </c>
      <c r="R111" s="7">
        <f>'Entity KPIs'!Q111</f>
        <v>7.0</v>
      </c>
      <c r="S111" s="7">
        <f>'Group KPIs'!K111</f>
        <v>14.0</v>
      </c>
      <c r="T111" s="6" t="s">
        <v>1722</v>
      </c>
      <c r="U111" s="6" t="s">
        <v>1493</v>
      </c>
    </row>
    <row r="112" spans="1:21">
      <c r="A112" s="6" t="s">
        <v>783</v>
      </c>
      <c r="B112" s="6" t="s">
        <v>784</v>
      </c>
      <c r="C112" s="6" t="s">
        <v>668</v>
      </c>
      <c r="D112" s="6" t="s">
        <v>561</v>
      </c>
      <c r="E112" s="6" t="s">
        <v>785</v>
      </c>
      <c r="F112" s="6" t="s">
        <v>1723</v>
      </c>
      <c r="G112" s="6" t="s">
        <v>1724</v>
      </c>
      <c r="H112" s="6" t="s">
        <v>1540</v>
      </c>
      <c r="I112" s="6" t="s">
        <v>1549</v>
      </c>
      <c r="J112" s="6" t="s">
        <v>1568</v>
      </c>
      <c r="K112" s="6" t="s">
        <v>1228</v>
      </c>
      <c r="L112" s="6" t="s">
        <v>1228</v>
      </c>
      <c r="M112" s="6" t="s">
        <v>1228</v>
      </c>
      <c r="N112" s="6" t="s">
        <v>1228</v>
      </c>
      <c r="O112" s="6" t="s">
        <v>1228</v>
      </c>
      <c r="P112" s="6" t="s">
        <v>1228</v>
      </c>
      <c r="Q112" s="8" t="str">
        <f>'Entity KPIs'!K112</f>
        <v>2 of 4</v>
      </c>
      <c r="R112" s="8" t="str">
        <f>'Entity KPIs'!Q112</f>
        <v>4 of 4</v>
      </c>
      <c r="S112" s="8" t="str">
        <f>'Group KPIs'!K112</f>
        <v>6 of 8</v>
      </c>
      <c r="T112" s="6" t="s">
        <v>1725</v>
      </c>
      <c r="U112" s="6" t="s">
        <v>1522</v>
      </c>
    </row>
    <row r="113" spans="1:21">
      <c r="A113" s="6" t="s">
        <v>786</v>
      </c>
      <c r="B113" s="6" t="s">
        <v>787</v>
      </c>
      <c r="C113" s="6" t="s">
        <v>512</v>
      </c>
      <c r="D113" s="6" t="s">
        <v>577</v>
      </c>
      <c r="E113" s="6" t="s">
        <v>788</v>
      </c>
      <c r="F113" s="6" t="s">
        <v>339</v>
      </c>
      <c r="G113" s="6" t="s">
        <v>339</v>
      </c>
      <c r="H113" s="6" t="s">
        <v>1540</v>
      </c>
      <c r="I113" s="6" t="s">
        <v>1549</v>
      </c>
      <c r="J113" s="6" t="s">
        <v>1568</v>
      </c>
      <c r="K113" s="6" t="s">
        <v>1228</v>
      </c>
      <c r="L113" s="6" t="s">
        <v>1228</v>
      </c>
      <c r="M113" s="6" t="s">
        <v>1228</v>
      </c>
      <c r="N113" s="6" t="s">
        <v>1228</v>
      </c>
      <c r="O113" s="6" t="s">
        <v>1228</v>
      </c>
      <c r="P113" s="6" t="s">
        <v>1228</v>
      </c>
      <c r="Q113" s="7">
        <f>'Entity KPIs'!K113</f>
        <v>1.0</v>
      </c>
      <c r="R113" s="7">
        <f>'Entity KPIs'!Q113</f>
        <v>1.0</v>
      </c>
      <c r="S113" s="7">
        <f>'Group KPIs'!K113</f>
        <v>2.0</v>
      </c>
      <c r="T113" s="6" t="s">
        <v>1726</v>
      </c>
      <c r="U113" s="6" t="s">
        <v>1529</v>
      </c>
    </row>
    <row r="114" spans="1:21">
      <c r="A114" s="6" t="s">
        <v>789</v>
      </c>
      <c r="B114" s="6" t="s">
        <v>790</v>
      </c>
      <c r="C114" s="6" t="s">
        <v>512</v>
      </c>
      <c r="D114" s="6" t="s">
        <v>577</v>
      </c>
      <c r="E114" s="6" t="s">
        <v>791</v>
      </c>
      <c r="F114" s="6" t="s">
        <v>341</v>
      </c>
      <c r="G114" s="6" t="s">
        <v>341</v>
      </c>
      <c r="H114" s="6" t="s">
        <v>1540</v>
      </c>
      <c r="I114" s="6" t="s">
        <v>1549</v>
      </c>
      <c r="J114" s="6" t="s">
        <v>1568</v>
      </c>
      <c r="K114" s="6" t="s">
        <v>1228</v>
      </c>
      <c r="L114" s="6" t="s">
        <v>1228</v>
      </c>
      <c r="M114" s="6" t="s">
        <v>1228</v>
      </c>
      <c r="N114" s="6" t="s">
        <v>1228</v>
      </c>
      <c r="O114" s="6" t="s">
        <v>1228</v>
      </c>
      <c r="P114" s="6" t="s">
        <v>1228</v>
      </c>
      <c r="Q114" s="7">
        <f>'Entity KPIs'!K114</f>
        <v>0.0</v>
      </c>
      <c r="R114" s="7">
        <f>'Entity KPIs'!Q114</f>
        <v>0.0</v>
      </c>
      <c r="S114" s="7">
        <f>'Group KPIs'!K114</f>
        <v>0.0</v>
      </c>
      <c r="T114" s="6" t="s">
        <v>1727</v>
      </c>
      <c r="U114" s="6" t="s">
        <v>1648</v>
      </c>
    </row>
    <row r="115" spans="1:21">
      <c r="A115" s="6" t="s">
        <v>792</v>
      </c>
      <c r="B115" s="6" t="s">
        <v>793</v>
      </c>
      <c r="C115" s="6" t="s">
        <v>512</v>
      </c>
      <c r="D115" s="6" t="s">
        <v>577</v>
      </c>
      <c r="E115" s="6" t="s">
        <v>793</v>
      </c>
      <c r="F115" s="6" t="s">
        <v>343</v>
      </c>
      <c r="G115" s="6" t="s">
        <v>343</v>
      </c>
      <c r="H115" s="6" t="s">
        <v>1540</v>
      </c>
      <c r="I115" s="6" t="s">
        <v>1549</v>
      </c>
      <c r="J115" s="6" t="s">
        <v>1568</v>
      </c>
      <c r="K115" s="6" t="s">
        <v>1228</v>
      </c>
      <c r="L115" s="6" t="s">
        <v>1228</v>
      </c>
      <c r="M115" s="6" t="s">
        <v>1228</v>
      </c>
      <c r="N115" s="6" t="s">
        <v>1228</v>
      </c>
      <c r="O115" s="6" t="s">
        <v>1228</v>
      </c>
      <c r="P115" s="6" t="s">
        <v>1228</v>
      </c>
      <c r="Q115" s="7">
        <f>'Entity KPIs'!K115</f>
        <v>1.0</v>
      </c>
      <c r="R115" s="7">
        <f>'Entity KPIs'!Q115</f>
        <v>0.0</v>
      </c>
      <c r="S115" s="7">
        <f>'Group KPIs'!K115</f>
        <v>1.0</v>
      </c>
      <c r="T115" s="6" t="s">
        <v>1728</v>
      </c>
      <c r="U115" s="6" t="s">
        <v>1529</v>
      </c>
    </row>
    <row r="116" spans="1:21">
      <c r="A116" s="6" t="s">
        <v>794</v>
      </c>
      <c r="B116" s="6" t="s">
        <v>795</v>
      </c>
      <c r="C116" s="6" t="s">
        <v>512</v>
      </c>
      <c r="D116" s="6" t="s">
        <v>577</v>
      </c>
      <c r="E116" s="6" t="s">
        <v>795</v>
      </c>
      <c r="F116" s="6" t="s">
        <v>345</v>
      </c>
      <c r="G116" s="6" t="s">
        <v>345</v>
      </c>
      <c r="H116" s="6" t="s">
        <v>1540</v>
      </c>
      <c r="I116" s="6" t="s">
        <v>1549</v>
      </c>
      <c r="J116" s="6" t="s">
        <v>1568</v>
      </c>
      <c r="K116" s="6" t="s">
        <v>1228</v>
      </c>
      <c r="L116" s="6" t="s">
        <v>1228</v>
      </c>
      <c r="M116" s="6" t="s">
        <v>1228</v>
      </c>
      <c r="N116" s="6" t="s">
        <v>1228</v>
      </c>
      <c r="O116" s="6" t="s">
        <v>1228</v>
      </c>
      <c r="P116" s="6" t="s">
        <v>1228</v>
      </c>
      <c r="Q116" s="7">
        <f>'Entity KPIs'!K116</f>
        <v>2.0</v>
      </c>
      <c r="R116" s="7">
        <f>'Entity KPIs'!Q116</f>
        <v>5.0</v>
      </c>
      <c r="S116" s="7">
        <f>'Group KPIs'!K116</f>
        <v>7.0</v>
      </c>
      <c r="T116" s="6" t="s">
        <v>1729</v>
      </c>
      <c r="U116" s="6" t="s">
        <v>1730</v>
      </c>
    </row>
    <row r="117" spans="1:21">
      <c r="A117" s="6" t="s">
        <v>796</v>
      </c>
      <c r="B117" s="6" t="s">
        <v>797</v>
      </c>
      <c r="C117" s="6" t="s">
        <v>512</v>
      </c>
      <c r="D117" s="6" t="s">
        <v>577</v>
      </c>
      <c r="E117" s="6" t="s">
        <v>797</v>
      </c>
      <c r="F117" s="6" t="s">
        <v>347</v>
      </c>
      <c r="G117" s="6" t="s">
        <v>347</v>
      </c>
      <c r="H117" s="6" t="s">
        <v>1540</v>
      </c>
      <c r="I117" s="6" t="s">
        <v>1549</v>
      </c>
      <c r="J117" s="6" t="s">
        <v>1568</v>
      </c>
      <c r="K117" s="6" t="s">
        <v>1228</v>
      </c>
      <c r="L117" s="6" t="s">
        <v>1228</v>
      </c>
      <c r="M117" s="6" t="s">
        <v>1228</v>
      </c>
      <c r="N117" s="6" t="s">
        <v>1228</v>
      </c>
      <c r="O117" s="6" t="s">
        <v>1228</v>
      </c>
      <c r="P117" s="6" t="s">
        <v>1228</v>
      </c>
      <c r="Q117" s="7">
        <f>'Entity KPIs'!K117</f>
        <v>0.0</v>
      </c>
      <c r="R117" s="7">
        <f>'Entity KPIs'!Q117</f>
        <v>0.0</v>
      </c>
      <c r="S117" s="7">
        <f>'Group KPIs'!K117</f>
        <v>0.0</v>
      </c>
      <c r="T117" s="6" t="s">
        <v>1727</v>
      </c>
      <c r="U117" s="6" t="s">
        <v>1529</v>
      </c>
    </row>
    <row r="118" spans="1:21">
      <c r="A118" s="6" t="s">
        <v>798</v>
      </c>
      <c r="B118" s="6" t="s">
        <v>799</v>
      </c>
      <c r="C118" s="6" t="s">
        <v>512</v>
      </c>
      <c r="D118" s="6" t="s">
        <v>577</v>
      </c>
      <c r="E118" s="6" t="s">
        <v>800</v>
      </c>
      <c r="F118" s="6" t="s">
        <v>349</v>
      </c>
      <c r="G118" s="6" t="s">
        <v>349</v>
      </c>
      <c r="H118" s="6" t="s">
        <v>1540</v>
      </c>
      <c r="I118" s="6" t="s">
        <v>1549</v>
      </c>
      <c r="J118" s="6" t="s">
        <v>1568</v>
      </c>
      <c r="K118" s="6" t="s">
        <v>1228</v>
      </c>
      <c r="L118" s="6" t="s">
        <v>1228</v>
      </c>
      <c r="M118" s="6" t="s">
        <v>1228</v>
      </c>
      <c r="N118" s="6" t="s">
        <v>1228</v>
      </c>
      <c r="O118" s="6" t="s">
        <v>1228</v>
      </c>
      <c r="P118" s="6" t="s">
        <v>1228</v>
      </c>
      <c r="Q118" s="7">
        <f>'Entity KPIs'!K118</f>
        <v>0.0</v>
      </c>
      <c r="R118" s="7">
        <f>'Entity KPIs'!Q118</f>
        <v>1.0</v>
      </c>
      <c r="S118" s="7">
        <f>'Group KPIs'!K118</f>
        <v>1.0</v>
      </c>
      <c r="T118" s="6" t="s">
        <v>1731</v>
      </c>
      <c r="U118" s="6" t="s">
        <v>1529</v>
      </c>
    </row>
    <row r="119" spans="1:21">
      <c r="A119" s="6" t="s">
        <v>801</v>
      </c>
      <c r="B119" s="6" t="s">
        <v>802</v>
      </c>
      <c r="C119" s="6" t="s">
        <v>512</v>
      </c>
      <c r="D119" s="6" t="s">
        <v>577</v>
      </c>
      <c r="E119" s="6" t="s">
        <v>803</v>
      </c>
      <c r="F119" s="6" t="s">
        <v>351</v>
      </c>
      <c r="G119" s="6" t="s">
        <v>351</v>
      </c>
      <c r="H119" s="6" t="s">
        <v>1540</v>
      </c>
      <c r="I119" s="6" t="s">
        <v>1549</v>
      </c>
      <c r="J119" s="6" t="s">
        <v>1568</v>
      </c>
      <c r="K119" s="6" t="s">
        <v>1228</v>
      </c>
      <c r="L119" s="6" t="s">
        <v>1228</v>
      </c>
      <c r="M119" s="6" t="s">
        <v>1228</v>
      </c>
      <c r="N119" s="6" t="s">
        <v>1228</v>
      </c>
      <c r="O119" s="6" t="s">
        <v>1228</v>
      </c>
      <c r="P119" s="6" t="s">
        <v>1228</v>
      </c>
      <c r="Q119" s="7">
        <f>'Entity KPIs'!K119</f>
        <v>0.0</v>
      </c>
      <c r="R119" s="7">
        <f>'Entity KPIs'!Q119</f>
        <v>1.0</v>
      </c>
      <c r="S119" s="7">
        <f>'Group KPIs'!K119</f>
        <v>1.0</v>
      </c>
      <c r="T119" s="6" t="s">
        <v>1732</v>
      </c>
      <c r="U119" s="6" t="s">
        <v>1648</v>
      </c>
    </row>
    <row r="120" spans="1:21">
      <c r="A120" s="6" t="s">
        <v>804</v>
      </c>
      <c r="B120" s="6" t="s">
        <v>805</v>
      </c>
      <c r="C120" s="6" t="s">
        <v>512</v>
      </c>
      <c r="D120" s="6" t="s">
        <v>577</v>
      </c>
      <c r="E120" s="6" t="s">
        <v>805</v>
      </c>
      <c r="F120" s="6" t="s">
        <v>369</v>
      </c>
      <c r="G120" s="6" t="s">
        <v>369</v>
      </c>
      <c r="H120" s="6" t="s">
        <v>1540</v>
      </c>
      <c r="I120" s="6" t="s">
        <v>1549</v>
      </c>
      <c r="J120" s="6" t="s">
        <v>1568</v>
      </c>
      <c r="K120" s="6" t="s">
        <v>1228</v>
      </c>
      <c r="L120" s="6" t="s">
        <v>1228</v>
      </c>
      <c r="M120" s="6" t="s">
        <v>1228</v>
      </c>
      <c r="N120" s="6" t="s">
        <v>1228</v>
      </c>
      <c r="O120" s="6" t="s">
        <v>1228</v>
      </c>
      <c r="P120" s="6" t="s">
        <v>1228</v>
      </c>
      <c r="Q120" s="7">
        <f>'Entity KPIs'!K120</f>
        <v>1.0</v>
      </c>
      <c r="R120" s="7">
        <f>'Entity KPIs'!Q120</f>
        <v>0.0</v>
      </c>
      <c r="S120" s="7">
        <f>'Group KPIs'!K120</f>
        <v>1.0</v>
      </c>
      <c r="T120" s="6" t="s">
        <v>1733</v>
      </c>
      <c r="U120" s="6" t="s">
        <v>1643</v>
      </c>
    </row>
    <row r="121" spans="1:21">
      <c r="A121" s="6" t="s">
        <v>806</v>
      </c>
      <c r="B121" s="6" t="s">
        <v>807</v>
      </c>
      <c r="C121" s="6" t="s">
        <v>512</v>
      </c>
      <c r="D121" s="6" t="s">
        <v>577</v>
      </c>
      <c r="E121" s="6" t="s">
        <v>808</v>
      </c>
      <c r="F121" s="6" t="s">
        <v>367</v>
      </c>
      <c r="G121" s="6" t="s">
        <v>367</v>
      </c>
      <c r="H121" s="6" t="s">
        <v>1540</v>
      </c>
      <c r="I121" s="6" t="s">
        <v>1549</v>
      </c>
      <c r="J121" s="6" t="s">
        <v>1568</v>
      </c>
      <c r="K121" s="6" t="s">
        <v>1228</v>
      </c>
      <c r="L121" s="6" t="s">
        <v>1228</v>
      </c>
      <c r="M121" s="6" t="s">
        <v>1228</v>
      </c>
      <c r="N121" s="6" t="s">
        <v>1228</v>
      </c>
      <c r="O121" s="6" t="s">
        <v>1228</v>
      </c>
      <c r="P121" s="6" t="s">
        <v>1228</v>
      </c>
      <c r="Q121" s="7">
        <f>'Entity KPIs'!K121</f>
        <v>0.0</v>
      </c>
      <c r="R121" s="7">
        <f>'Entity KPIs'!Q121</f>
        <v>2.0</v>
      </c>
      <c r="S121" s="7">
        <f>'Group KPIs'!K121</f>
        <v>2.0</v>
      </c>
      <c r="T121" s="6" t="s">
        <v>1734</v>
      </c>
      <c r="U121" s="6" t="s">
        <v>1643</v>
      </c>
    </row>
    <row r="122" spans="1:21">
      <c r="A122" s="6" t="s">
        <v>809</v>
      </c>
      <c r="B122" s="6" t="s">
        <v>810</v>
      </c>
      <c r="C122" s="6" t="s">
        <v>512</v>
      </c>
      <c r="D122" s="6" t="s">
        <v>577</v>
      </c>
      <c r="E122" s="6" t="s">
        <v>810</v>
      </c>
      <c r="F122" s="6" t="s">
        <v>371</v>
      </c>
      <c r="G122" s="6" t="s">
        <v>371</v>
      </c>
      <c r="H122" s="6" t="s">
        <v>1540</v>
      </c>
      <c r="I122" s="6" t="s">
        <v>1549</v>
      </c>
      <c r="J122" s="6" t="s">
        <v>1568</v>
      </c>
      <c r="K122" s="6" t="s">
        <v>1228</v>
      </c>
      <c r="L122" s="6" t="s">
        <v>1228</v>
      </c>
      <c r="M122" s="6" t="s">
        <v>1228</v>
      </c>
      <c r="N122" s="6" t="s">
        <v>1228</v>
      </c>
      <c r="O122" s="6" t="s">
        <v>1228</v>
      </c>
      <c r="P122" s="6" t="s">
        <v>1228</v>
      </c>
      <c r="Q122" s="7">
        <f>'Entity KPIs'!K122</f>
        <v>1.0</v>
      </c>
      <c r="R122" s="7">
        <f>'Entity KPIs'!Q122</f>
        <v>0.0</v>
      </c>
      <c r="S122" s="7">
        <f>'Group KPIs'!K122</f>
        <v>1.0</v>
      </c>
      <c r="T122" s="6" t="s">
        <v>1732</v>
      </c>
      <c r="U122" s="6" t="s">
        <v>1643</v>
      </c>
    </row>
    <row r="123" spans="1:21">
      <c r="A123" s="6" t="s">
        <v>811</v>
      </c>
      <c r="B123" s="6" t="s">
        <v>812</v>
      </c>
      <c r="C123" s="6" t="s">
        <v>455</v>
      </c>
      <c r="D123" s="6" t="s">
        <v>577</v>
      </c>
      <c r="E123" s="6" t="s">
        <v>813</v>
      </c>
      <c r="F123" s="6" t="s">
        <v>1735</v>
      </c>
      <c r="G123" s="6" t="s">
        <v>1736</v>
      </c>
      <c r="H123" s="6" t="s">
        <v>1540</v>
      </c>
      <c r="I123" s="6" t="s">
        <v>1549</v>
      </c>
      <c r="J123" s="6" t="s">
        <v>1568</v>
      </c>
      <c r="K123" s="6" t="s">
        <v>1228</v>
      </c>
      <c r="L123" s="6" t="s">
        <v>1228</v>
      </c>
      <c r="M123" s="6" t="s">
        <v>1228</v>
      </c>
      <c r="N123" s="6" t="s">
        <v>1228</v>
      </c>
      <c r="O123" s="6" t="s">
        <v>1228</v>
      </c>
      <c r="P123" s="6" t="s">
        <v>1228</v>
      </c>
      <c r="Q123" s="7">
        <f>'Entity KPIs'!K123</f>
        <v>86.0</v>
      </c>
      <c r="R123" s="7">
        <f>'Entity KPIs'!Q123</f>
        <v>89.66</v>
      </c>
      <c r="S123" s="7">
        <f>'Group KPIs'!K123</f>
        <v>87.96</v>
      </c>
      <c r="T123" s="6" t="s">
        <v>1737</v>
      </c>
      <c r="U123" s="6" t="s">
        <v>1648</v>
      </c>
    </row>
    <row r="124" spans="1:21">
      <c r="A124" s="6" t="s">
        <v>814</v>
      </c>
      <c r="B124" s="6" t="s">
        <v>815</v>
      </c>
      <c r="C124" s="6" t="s">
        <v>28</v>
      </c>
      <c r="D124" s="6" t="s">
        <v>561</v>
      </c>
      <c r="E124" s="6" t="s">
        <v>816</v>
      </c>
      <c r="F124" s="6" t="s">
        <v>1738</v>
      </c>
      <c r="G124" s="6" t="s">
        <v>1739</v>
      </c>
      <c r="H124" s="6" t="s">
        <v>1540</v>
      </c>
      <c r="I124" s="6" t="s">
        <v>1549</v>
      </c>
      <c r="J124" s="6" t="s">
        <v>1568</v>
      </c>
      <c r="K124" s="6" t="s">
        <v>1228</v>
      </c>
      <c r="L124" s="6" t="s">
        <v>1228</v>
      </c>
      <c r="M124" s="6" t="s">
        <v>1228</v>
      </c>
      <c r="N124" s="6" t="s">
        <v>1228</v>
      </c>
      <c r="O124" s="6" t="s">
        <v>1228</v>
      </c>
      <c r="P124" s="6" t="s">
        <v>1228</v>
      </c>
      <c r="Q124" s="7">
        <f>'Entity KPIs'!K124</f>
        <v>28.57</v>
      </c>
      <c r="R124" s="7">
        <f>'Entity KPIs'!Q124</f>
        <v>37.75</v>
      </c>
      <c r="S124" s="7">
        <f>'Group KPIs'!K124</f>
        <v>32.81</v>
      </c>
      <c r="T124" s="6" t="s">
        <v>1740</v>
      </c>
      <c r="U124" s="6" t="s">
        <v>1578</v>
      </c>
    </row>
    <row r="125" spans="1:21">
      <c r="A125" s="6" t="s">
        <v>817</v>
      </c>
      <c r="B125" s="6" t="s">
        <v>818</v>
      </c>
      <c r="C125" s="6" t="s">
        <v>455</v>
      </c>
      <c r="D125" s="6" t="s">
        <v>577</v>
      </c>
      <c r="E125" s="6" t="s">
        <v>819</v>
      </c>
      <c r="F125" s="6" t="s">
        <v>1741</v>
      </c>
      <c r="G125" s="6" t="s">
        <v>1742</v>
      </c>
      <c r="H125" s="6" t="s">
        <v>1540</v>
      </c>
      <c r="I125" s="6" t="s">
        <v>1549</v>
      </c>
      <c r="J125" s="6" t="s">
        <v>1568</v>
      </c>
      <c r="K125" s="6" t="s">
        <v>1228</v>
      </c>
      <c r="L125" s="6" t="s">
        <v>1228</v>
      </c>
      <c r="M125" s="6" t="s">
        <v>1228</v>
      </c>
      <c r="N125" s="6" t="s">
        <v>1228</v>
      </c>
      <c r="O125" s="6" t="s">
        <v>1228</v>
      </c>
      <c r="P125" s="6" t="s">
        <v>1228</v>
      </c>
      <c r="Q125" s="7">
        <f>'Entity KPIs'!K125</f>
        <v>82.14</v>
      </c>
      <c r="R125" s="7">
        <f>'Entity KPIs'!Q125</f>
        <v>85.71</v>
      </c>
      <c r="S125" s="7">
        <f>'Group KPIs'!K125</f>
        <v>83.93</v>
      </c>
      <c r="T125" s="6" t="s">
        <v>1743</v>
      </c>
      <c r="U125" s="6" t="s">
        <v>1744</v>
      </c>
    </row>
    <row r="126" spans="1:21">
      <c r="A126" s="6" t="s">
        <v>820</v>
      </c>
      <c r="B126" s="6" t="s">
        <v>821</v>
      </c>
      <c r="C126" s="6" t="s">
        <v>512</v>
      </c>
      <c r="D126" s="6" t="s">
        <v>577</v>
      </c>
      <c r="E126" s="6" t="s">
        <v>822</v>
      </c>
      <c r="F126" s="6" t="s">
        <v>1745</v>
      </c>
      <c r="G126" s="6" t="s">
        <v>1742</v>
      </c>
      <c r="H126" s="6" t="s">
        <v>1540</v>
      </c>
      <c r="I126" s="6" t="s">
        <v>1549</v>
      </c>
      <c r="J126" s="6" t="s">
        <v>1568</v>
      </c>
      <c r="K126" s="6" t="s">
        <v>1228</v>
      </c>
      <c r="L126" s="6" t="s">
        <v>1228</v>
      </c>
      <c r="M126" s="6" t="s">
        <v>1228</v>
      </c>
      <c r="N126" s="6" t="s">
        <v>1228</v>
      </c>
      <c r="O126" s="6" t="s">
        <v>1228</v>
      </c>
      <c r="P126" s="6" t="s">
        <v>1228</v>
      </c>
      <c r="Q126" s="7">
        <f>'Entity KPIs'!K126</f>
        <v>5.0</v>
      </c>
      <c r="R126" s="7">
        <f>'Entity KPIs'!Q126</f>
        <v>4.0</v>
      </c>
      <c r="S126" s="7">
        <f>'Group KPIs'!K126</f>
        <v>9.0</v>
      </c>
      <c r="T126" s="6" t="s">
        <v>1746</v>
      </c>
      <c r="U126" s="6" t="s">
        <v>1643</v>
      </c>
    </row>
    <row r="127" spans="1:21">
      <c r="A127" s="6" t="s">
        <v>823</v>
      </c>
      <c r="B127" s="6" t="s">
        <v>824</v>
      </c>
      <c r="C127" s="6" t="s">
        <v>455</v>
      </c>
      <c r="D127" s="6" t="s">
        <v>577</v>
      </c>
      <c r="E127" s="6" t="s">
        <v>825</v>
      </c>
      <c r="F127" s="6" t="s">
        <v>1747</v>
      </c>
      <c r="G127" s="6" t="s">
        <v>1748</v>
      </c>
      <c r="H127" s="6" t="s">
        <v>1540</v>
      </c>
      <c r="I127" s="6" t="s">
        <v>1549</v>
      </c>
      <c r="J127" s="6" t="s">
        <v>1568</v>
      </c>
      <c r="K127" s="6" t="s">
        <v>1228</v>
      </c>
      <c r="L127" s="6" t="s">
        <v>1228</v>
      </c>
      <c r="M127" s="6" t="s">
        <v>1228</v>
      </c>
      <c r="N127" s="6" t="s">
        <v>1228</v>
      </c>
      <c r="O127" s="6" t="s">
        <v>1228</v>
      </c>
      <c r="P127" s="6" t="s">
        <v>1228</v>
      </c>
      <c r="Q127" s="7">
        <f>'Entity KPIs'!K127</f>
        <v>92.86</v>
      </c>
      <c r="R127" s="7">
        <f>'Entity KPIs'!Q127</f>
        <v>92.86</v>
      </c>
      <c r="S127" s="7">
        <f>'Group KPIs'!K127</f>
        <v>92.86</v>
      </c>
      <c r="T127" s="6" t="s">
        <v>1749</v>
      </c>
      <c r="U127" s="6" t="s">
        <v>1475</v>
      </c>
    </row>
    <row r="128" spans="1:21">
      <c r="A128" s="6" t="s">
        <v>826</v>
      </c>
      <c r="B128" s="6" t="s">
        <v>827</v>
      </c>
      <c r="C128" s="6" t="s">
        <v>455</v>
      </c>
      <c r="D128" s="6" t="s">
        <v>25</v>
      </c>
      <c r="E128" s="6" t="s">
        <v>828</v>
      </c>
      <c r="F128" s="6" t="s">
        <v>1750</v>
      </c>
      <c r="G128" s="6" t="s">
        <v>1751</v>
      </c>
      <c r="H128" s="6" t="s">
        <v>1540</v>
      </c>
      <c r="I128" s="6" t="s">
        <v>1549</v>
      </c>
      <c r="J128" s="6" t="s">
        <v>1568</v>
      </c>
      <c r="K128" s="6" t="s">
        <v>1228</v>
      </c>
      <c r="L128" s="6" t="s">
        <v>1228</v>
      </c>
      <c r="M128" s="6" t="s">
        <v>1228</v>
      </c>
      <c r="N128" s="6" t="s">
        <v>1228</v>
      </c>
      <c r="O128" s="6" t="s">
        <v>1228</v>
      </c>
      <c r="P128" s="6" t="s">
        <v>1228</v>
      </c>
      <c r="Q128" s="7">
        <f>'Entity KPIs'!K128</f>
        <v>98.93</v>
      </c>
      <c r="R128" s="7">
        <f>'Entity KPIs'!Q128</f>
        <v>99.11</v>
      </c>
      <c r="S128" s="7">
        <f>'Group KPIs'!K128</f>
        <v>99.02</v>
      </c>
      <c r="T128" s="6" t="s">
        <v>1752</v>
      </c>
      <c r="U128" s="6" t="s">
        <v>1493</v>
      </c>
    </row>
    <row r="129" spans="1:21">
      <c r="A129" s="6" t="s">
        <v>829</v>
      </c>
      <c r="B129" s="6" t="s">
        <v>830</v>
      </c>
      <c r="C129" s="6" t="s">
        <v>455</v>
      </c>
      <c r="D129" s="6" t="s">
        <v>25</v>
      </c>
      <c r="E129" s="6" t="s">
        <v>831</v>
      </c>
      <c r="F129" s="6" t="s">
        <v>1753</v>
      </c>
      <c r="G129" s="6" t="s">
        <v>1754</v>
      </c>
      <c r="H129" s="6" t="s">
        <v>1540</v>
      </c>
      <c r="I129" s="6" t="s">
        <v>1549</v>
      </c>
      <c r="J129" s="6" t="s">
        <v>1568</v>
      </c>
      <c r="K129" s="6" t="s">
        <v>1228</v>
      </c>
      <c r="L129" s="6" t="s">
        <v>1228</v>
      </c>
      <c r="M129" s="6" t="s">
        <v>1228</v>
      </c>
      <c r="N129" s="6" t="s">
        <v>1228</v>
      </c>
      <c r="O129" s="6" t="s">
        <v>1228</v>
      </c>
      <c r="P129" s="6" t="s">
        <v>1228</v>
      </c>
      <c r="Q129" s="7">
        <f>'Entity KPIs'!K129</f>
        <v>94.25</v>
      </c>
      <c r="R129" s="7">
        <f>'Entity KPIs'!Q129</f>
        <v>97.62</v>
      </c>
      <c r="S129" s="7">
        <f>'Group KPIs'!K129</f>
        <v>95.98</v>
      </c>
      <c r="T129" s="6" t="s">
        <v>1755</v>
      </c>
      <c r="U129" s="6" t="s">
        <v>1493</v>
      </c>
    </row>
    <row r="130" spans="1:21">
      <c r="A130" s="6" t="s">
        <v>832</v>
      </c>
      <c r="B130" s="6" t="s">
        <v>833</v>
      </c>
      <c r="C130" s="6" t="s">
        <v>455</v>
      </c>
      <c r="D130" s="6" t="s">
        <v>25</v>
      </c>
      <c r="E130" s="6" t="s">
        <v>834</v>
      </c>
      <c r="F130" s="6" t="s">
        <v>1756</v>
      </c>
      <c r="G130" s="6" t="s">
        <v>1757</v>
      </c>
      <c r="H130" s="6" t="s">
        <v>1540</v>
      </c>
      <c r="I130" s="6" t="s">
        <v>1549</v>
      </c>
      <c r="J130" s="6" t="s">
        <v>1550</v>
      </c>
      <c r="K130" s="6" t="s">
        <v>1228</v>
      </c>
      <c r="L130" s="6" t="s">
        <v>1228</v>
      </c>
      <c r="M130" s="6" t="s">
        <v>1228</v>
      </c>
      <c r="N130" s="6" t="s">
        <v>1228</v>
      </c>
      <c r="O130" s="6" t="s">
        <v>1228</v>
      </c>
      <c r="P130" s="6" t="s">
        <v>1228</v>
      </c>
      <c r="Q130" s="7">
        <f>'Entity KPIs'!K130</f>
        <v>0.23</v>
      </c>
      <c r="R130" s="7">
        <f>'Entity KPIs'!Q130</f>
        <v>0.52</v>
      </c>
      <c r="S130" s="7">
        <f>'Group KPIs'!K130</f>
        <v>0.38</v>
      </c>
      <c r="T130" s="6" t="s">
        <v>1758</v>
      </c>
      <c r="U130" s="6" t="s">
        <v>1489</v>
      </c>
    </row>
    <row r="131" spans="1:21">
      <c r="A131" s="6" t="s">
        <v>835</v>
      </c>
      <c r="B131" s="6" t="s">
        <v>836</v>
      </c>
      <c r="C131" s="6" t="s">
        <v>455</v>
      </c>
      <c r="D131" s="6" t="s">
        <v>25</v>
      </c>
      <c r="E131" s="6" t="s">
        <v>837</v>
      </c>
      <c r="F131" s="6" t="s">
        <v>1759</v>
      </c>
      <c r="G131" s="6" t="s">
        <v>1760</v>
      </c>
      <c r="H131" s="6" t="s">
        <v>1545</v>
      </c>
      <c r="I131" s="6" t="s">
        <v>1549</v>
      </c>
      <c r="J131" s="6" t="s">
        <v>1550</v>
      </c>
      <c r="K131" s="6" t="s">
        <v>1228</v>
      </c>
      <c r="L131" s="6" t="s">
        <v>1228</v>
      </c>
      <c r="M131" s="6" t="s">
        <v>1228</v>
      </c>
      <c r="N131" s="6" t="s">
        <v>1228</v>
      </c>
      <c r="O131" s="6" t="s">
        <v>1228</v>
      </c>
      <c r="P131" s="6" t="s">
        <v>1228</v>
      </c>
      <c r="Q131" s="7">
        <f>'Entity KPIs'!K131</f>
        <v>-0.17</v>
      </c>
      <c r="R131" s="7">
        <f>'Entity KPIs'!Q131</f>
        <v>-0.27</v>
      </c>
      <c r="S131" s="7">
        <f>'Group KPIs'!K131</f>
        <v>-0.22</v>
      </c>
      <c r="T131" s="6" t="s">
        <v>1761</v>
      </c>
      <c r="U131" s="6" t="s">
        <v>1475</v>
      </c>
    </row>
    <row r="132" spans="1:21">
      <c r="A132" s="6" t="s">
        <v>838</v>
      </c>
      <c r="B132" s="6" t="s">
        <v>839</v>
      </c>
      <c r="C132" s="6" t="s">
        <v>455</v>
      </c>
      <c r="D132" s="6" t="s">
        <v>25</v>
      </c>
      <c r="E132" s="6" t="s">
        <v>840</v>
      </c>
      <c r="F132" s="6" t="s">
        <v>1762</v>
      </c>
      <c r="G132" s="6" t="s">
        <v>1760</v>
      </c>
      <c r="H132" s="6" t="s">
        <v>1545</v>
      </c>
      <c r="I132" s="6" t="s">
        <v>1549</v>
      </c>
      <c r="J132" s="6" t="s">
        <v>1550</v>
      </c>
      <c r="K132" s="6" t="s">
        <v>1228</v>
      </c>
      <c r="L132" s="6" t="s">
        <v>1228</v>
      </c>
      <c r="M132" s="6" t="s">
        <v>1228</v>
      </c>
      <c r="N132" s="6" t="s">
        <v>1228</v>
      </c>
      <c r="O132" s="6" t="s">
        <v>1228</v>
      </c>
      <c r="P132" s="6" t="s">
        <v>1228</v>
      </c>
      <c r="Q132" s="7">
        <f>'Entity KPIs'!K132</f>
        <v>0.17</v>
      </c>
      <c r="R132" s="7">
        <f>'Entity KPIs'!Q132</f>
        <v>0.27</v>
      </c>
      <c r="S132" s="7">
        <f>'Group KPIs'!K132</f>
        <v>0.27</v>
      </c>
      <c r="T132" s="6" t="s">
        <v>1763</v>
      </c>
      <c r="U132" s="6" t="s">
        <v>1648</v>
      </c>
    </row>
    <row r="133" spans="1:21">
      <c r="A133" s="6" t="s">
        <v>841</v>
      </c>
      <c r="B133" s="6" t="s">
        <v>842</v>
      </c>
      <c r="C133" s="6" t="s">
        <v>512</v>
      </c>
      <c r="D133" s="6" t="s">
        <v>577</v>
      </c>
      <c r="E133" s="6" t="s">
        <v>842</v>
      </c>
      <c r="F133" s="6" t="s">
        <v>381</v>
      </c>
      <c r="G133" s="6" t="s">
        <v>381</v>
      </c>
      <c r="H133" s="6" t="s">
        <v>1540</v>
      </c>
      <c r="I133" s="6" t="s">
        <v>1549</v>
      </c>
      <c r="J133" s="6" t="s">
        <v>1568</v>
      </c>
      <c r="K133" s="6" t="s">
        <v>1228</v>
      </c>
      <c r="L133" s="6" t="s">
        <v>1228</v>
      </c>
      <c r="M133" s="6" t="s">
        <v>1228</v>
      </c>
      <c r="N133" s="6" t="s">
        <v>1228</v>
      </c>
      <c r="O133" s="6" t="s">
        <v>1228</v>
      </c>
      <c r="P133" s="6" t="s">
        <v>1228</v>
      </c>
      <c r="Q133" s="7">
        <f>'Entity KPIs'!K133</f>
        <v>1.0</v>
      </c>
      <c r="R133" s="7">
        <f>'Entity KPIs'!Q133</f>
        <v>0.0</v>
      </c>
      <c r="S133" s="7">
        <f>'Group KPIs'!K133</f>
        <v>1.0</v>
      </c>
      <c r="T133" s="6" t="s">
        <v>1764</v>
      </c>
      <c r="U133" s="6" t="s">
        <v>1765</v>
      </c>
    </row>
    <row r="134" spans="1:21">
      <c r="A134" s="6" t="s">
        <v>843</v>
      </c>
      <c r="B134" s="6" t="s">
        <v>844</v>
      </c>
      <c r="C134" s="6" t="s">
        <v>512</v>
      </c>
      <c r="D134" s="6" t="s">
        <v>577</v>
      </c>
      <c r="E134" s="6" t="s">
        <v>845</v>
      </c>
      <c r="F134" s="6" t="s">
        <v>383</v>
      </c>
      <c r="G134" s="6" t="s">
        <v>383</v>
      </c>
      <c r="H134" s="6" t="s">
        <v>1540</v>
      </c>
      <c r="I134" s="6" t="s">
        <v>1549</v>
      </c>
      <c r="J134" s="6" t="s">
        <v>1568</v>
      </c>
      <c r="K134" s="6" t="s">
        <v>1228</v>
      </c>
      <c r="L134" s="6" t="s">
        <v>1228</v>
      </c>
      <c r="M134" s="6" t="s">
        <v>1228</v>
      </c>
      <c r="N134" s="6" t="s">
        <v>1228</v>
      </c>
      <c r="O134" s="6" t="s">
        <v>1228</v>
      </c>
      <c r="P134" s="6" t="s">
        <v>1228</v>
      </c>
      <c r="Q134" s="7">
        <f>'Entity KPIs'!K134</f>
        <v>0.0</v>
      </c>
      <c r="R134" s="7">
        <f>'Entity KPIs'!Q134</f>
        <v>1.0</v>
      </c>
      <c r="S134" s="7">
        <f>'Group KPIs'!K134</f>
        <v>1.0</v>
      </c>
      <c r="T134" s="6" t="s">
        <v>1766</v>
      </c>
      <c r="U134" s="6" t="s">
        <v>1522</v>
      </c>
    </row>
    <row r="135" spans="1:21">
      <c r="A135" s="6" t="s">
        <v>846</v>
      </c>
      <c r="B135" s="6" t="s">
        <v>847</v>
      </c>
      <c r="C135" s="6" t="s">
        <v>512</v>
      </c>
      <c r="D135" s="6" t="s">
        <v>577</v>
      </c>
      <c r="E135" s="6" t="s">
        <v>847</v>
      </c>
      <c r="F135" s="6" t="s">
        <v>385</v>
      </c>
      <c r="G135" s="6" t="s">
        <v>385</v>
      </c>
      <c r="H135" s="6" t="s">
        <v>1540</v>
      </c>
      <c r="I135" s="6" t="s">
        <v>1549</v>
      </c>
      <c r="J135" s="6" t="s">
        <v>1568</v>
      </c>
      <c r="K135" s="6" t="s">
        <v>1228</v>
      </c>
      <c r="L135" s="6" t="s">
        <v>1228</v>
      </c>
      <c r="M135" s="6" t="s">
        <v>1228</v>
      </c>
      <c r="N135" s="6" t="s">
        <v>1228</v>
      </c>
      <c r="O135" s="6" t="s">
        <v>1228</v>
      </c>
      <c r="P135" s="6" t="s">
        <v>1228</v>
      </c>
      <c r="Q135" s="7">
        <f>'Entity KPIs'!K135</f>
        <v>0.0</v>
      </c>
      <c r="R135" s="7">
        <f>'Entity KPIs'!Q135</f>
        <v>0.0</v>
      </c>
      <c r="S135" s="7">
        <f>'Group KPIs'!K135</f>
        <v>0.0</v>
      </c>
      <c r="T135" s="6" t="s">
        <v>1767</v>
      </c>
      <c r="U135" s="6" t="s">
        <v>1529</v>
      </c>
    </row>
    <row r="136" spans="1:21">
      <c r="A136" s="6" t="s">
        <v>848</v>
      </c>
      <c r="B136" s="6" t="s">
        <v>849</v>
      </c>
      <c r="C136" s="6" t="s">
        <v>28</v>
      </c>
      <c r="D136" s="6" t="s">
        <v>25</v>
      </c>
      <c r="E136" s="6" t="s">
        <v>850</v>
      </c>
      <c r="F136" s="6" t="s">
        <v>1768</v>
      </c>
      <c r="G136" s="6" t="s">
        <v>1769</v>
      </c>
      <c r="H136" s="6" t="s">
        <v>1540</v>
      </c>
      <c r="I136" s="6" t="s">
        <v>1549</v>
      </c>
      <c r="J136" s="6" t="s">
        <v>1568</v>
      </c>
      <c r="K136" s="6" t="s">
        <v>1228</v>
      </c>
      <c r="L136" s="6" t="s">
        <v>1228</v>
      </c>
      <c r="M136" s="6" t="s">
        <v>1228</v>
      </c>
      <c r="N136" s="6" t="s">
        <v>1228</v>
      </c>
      <c r="O136" s="6" t="s">
        <v>1228</v>
      </c>
      <c r="P136" s="6" t="s">
        <v>1228</v>
      </c>
      <c r="Q136" s="7">
        <f>'Entity KPIs'!K136</f>
        <v>2.78</v>
      </c>
      <c r="R136" s="7">
        <f>'Entity KPIs'!Q136</f>
        <v>2.06</v>
      </c>
      <c r="S136" s="7">
        <f>'Group KPIs'!K136</f>
        <v>2.45</v>
      </c>
      <c r="T136" s="6" t="s">
        <v>1770</v>
      </c>
      <c r="U136" s="6" t="s">
        <v>1584</v>
      </c>
    </row>
    <row r="137" spans="1:21">
      <c r="A137" s="6" t="s">
        <v>851</v>
      </c>
      <c r="B137" s="6" t="s">
        <v>852</v>
      </c>
      <c r="C137" s="6" t="s">
        <v>512</v>
      </c>
      <c r="D137" s="6" t="s">
        <v>25</v>
      </c>
      <c r="E137" s="6" t="s">
        <v>853</v>
      </c>
      <c r="F137" s="6" t="s">
        <v>391</v>
      </c>
      <c r="G137" s="6" t="s">
        <v>391</v>
      </c>
      <c r="H137" s="6" t="s">
        <v>1540</v>
      </c>
      <c r="I137" s="6" t="s">
        <v>1549</v>
      </c>
      <c r="J137" s="6" t="s">
        <v>1568</v>
      </c>
      <c r="K137" s="6" t="s">
        <v>1228</v>
      </c>
      <c r="L137" s="6" t="s">
        <v>1228</v>
      </c>
      <c r="M137" s="6" t="s">
        <v>1228</v>
      </c>
      <c r="N137" s="6" t="s">
        <v>1228</v>
      </c>
      <c r="O137" s="6" t="s">
        <v>1228</v>
      </c>
      <c r="P137" s="6" t="s">
        <v>1228</v>
      </c>
      <c r="Q137" s="7">
        <f>'Entity KPIs'!K137</f>
        <v>3.0</v>
      </c>
      <c r="R137" s="7">
        <f>'Entity KPIs'!Q137</f>
        <v>8.0</v>
      </c>
      <c r="S137" s="7">
        <f>'Group KPIs'!K137</f>
        <v>11.0</v>
      </c>
      <c r="T137" s="6" t="s">
        <v>1771</v>
      </c>
      <c r="U137" s="6" t="s">
        <v>1529</v>
      </c>
    </row>
    <row r="138" spans="1:21">
      <c r="A138" s="6" t="s">
        <v>854</v>
      </c>
      <c r="B138" s="6" t="s">
        <v>855</v>
      </c>
      <c r="C138" s="6" t="s">
        <v>512</v>
      </c>
      <c r="D138" s="6" t="s">
        <v>856</v>
      </c>
      <c r="E138" s="6" t="s">
        <v>857</v>
      </c>
      <c r="F138" s="6" t="s">
        <v>1772</v>
      </c>
      <c r="G138" s="6" t="s">
        <v>393</v>
      </c>
      <c r="H138" s="6" t="s">
        <v>1540</v>
      </c>
      <c r="I138" s="6" t="s">
        <v>1549</v>
      </c>
      <c r="J138" s="6" t="s">
        <v>1568</v>
      </c>
      <c r="K138" s="6" t="s">
        <v>1228</v>
      </c>
      <c r="L138" s="6" t="s">
        <v>1228</v>
      </c>
      <c r="M138" s="6" t="s">
        <v>1228</v>
      </c>
      <c r="N138" s="6" t="s">
        <v>1228</v>
      </c>
      <c r="O138" s="6" t="s">
        <v>1228</v>
      </c>
      <c r="P138" s="6" t="s">
        <v>1228</v>
      </c>
      <c r="Q138" s="7">
        <f>'Entity KPIs'!K138</f>
        <v>3.0</v>
      </c>
      <c r="R138" s="7">
        <f>'Entity KPIs'!Q138</f>
        <v>1.0</v>
      </c>
      <c r="S138" s="7">
        <f>'Group KPIs'!K138</f>
        <v>4.0</v>
      </c>
      <c r="T138" s="6" t="s">
        <v>1773</v>
      </c>
      <c r="U138" s="6" t="s">
        <v>1493</v>
      </c>
    </row>
    <row r="139" spans="1:21">
      <c r="A139" s="6" t="s">
        <v>858</v>
      </c>
      <c r="B139" s="6" t="s">
        <v>859</v>
      </c>
      <c r="C139" s="6" t="s">
        <v>668</v>
      </c>
      <c r="D139" s="6" t="s">
        <v>561</v>
      </c>
      <c r="E139" s="6" t="s">
        <v>860</v>
      </c>
      <c r="F139" s="6" t="s">
        <v>1774</v>
      </c>
      <c r="G139" s="6" t="s">
        <v>1775</v>
      </c>
      <c r="H139" s="6" t="s">
        <v>1540</v>
      </c>
      <c r="I139" s="6" t="s">
        <v>1549</v>
      </c>
      <c r="J139" s="6" t="s">
        <v>1568</v>
      </c>
      <c r="K139" s="6" t="s">
        <v>1228</v>
      </c>
      <c r="L139" s="6" t="s">
        <v>1228</v>
      </c>
      <c r="M139" s="6" t="s">
        <v>1228</v>
      </c>
      <c r="N139" s="6" t="s">
        <v>1228</v>
      </c>
      <c r="O139" s="6" t="s">
        <v>1228</v>
      </c>
      <c r="P139" s="6" t="s">
        <v>1228</v>
      </c>
      <c r="Q139" s="8" t="str">
        <f>'Entity KPIs'!K139</f>
        <v>4 of 4</v>
      </c>
      <c r="R139" s="8" t="str">
        <f>'Entity KPIs'!Q139</f>
        <v>4 of 5</v>
      </c>
      <c r="S139" s="8" t="str">
        <f>'Group KPIs'!K139</f>
        <v>8 of 9</v>
      </c>
      <c r="T139" s="6" t="s">
        <v>1776</v>
      </c>
      <c r="U139" s="6" t="s">
        <v>1493</v>
      </c>
    </row>
    <row r="140" spans="1:21">
      <c r="A140" s="6" t="s">
        <v>861</v>
      </c>
      <c r="B140" s="6" t="s">
        <v>862</v>
      </c>
      <c r="C140" s="6" t="s">
        <v>28</v>
      </c>
      <c r="D140" s="6" t="s">
        <v>25</v>
      </c>
      <c r="E140" s="6" t="s">
        <v>863</v>
      </c>
      <c r="F140" s="6" t="s">
        <v>1777</v>
      </c>
      <c r="G140" s="6" t="s">
        <v>1778</v>
      </c>
      <c r="H140" s="6" t="s">
        <v>1540</v>
      </c>
      <c r="I140" s="6" t="s">
        <v>1549</v>
      </c>
      <c r="J140" s="6" t="s">
        <v>1568</v>
      </c>
      <c r="K140" s="6" t="s">
        <v>1228</v>
      </c>
      <c r="L140" s="6" t="s">
        <v>1228</v>
      </c>
      <c r="M140" s="6" t="s">
        <v>1228</v>
      </c>
      <c r="N140" s="6" t="s">
        <v>1228</v>
      </c>
      <c r="O140" s="6" t="s">
        <v>1228</v>
      </c>
      <c r="P140" s="6" t="s">
        <v>1228</v>
      </c>
      <c r="Q140" s="7">
        <f>'Entity KPIs'!K140</f>
        <v>1.94</v>
      </c>
      <c r="R140" s="7">
        <f>'Entity KPIs'!Q140</f>
        <v>0.21</v>
      </c>
      <c r="S140" s="7">
        <f>'Group KPIs'!K140</f>
        <v>1.12</v>
      </c>
      <c r="T140" s="6" t="s">
        <v>1779</v>
      </c>
      <c r="U140" s="6" t="s">
        <v>1780</v>
      </c>
    </row>
    <row r="141" spans="1:21">
      <c r="A141" s="6" t="s">
        <v>864</v>
      </c>
      <c r="B141" s="6" t="s">
        <v>865</v>
      </c>
      <c r="C141" s="6" t="s">
        <v>866</v>
      </c>
      <c r="D141" s="6" t="s">
        <v>577</v>
      </c>
      <c r="E141" s="6" t="s">
        <v>867</v>
      </c>
      <c r="F141" s="6" t="s">
        <v>239</v>
      </c>
      <c r="G141" s="6" t="s">
        <v>239</v>
      </c>
      <c r="H141" s="6" t="s">
        <v>1540</v>
      </c>
      <c r="I141" s="6" t="s">
        <v>1549</v>
      </c>
      <c r="J141" s="6" t="s">
        <v>1568</v>
      </c>
      <c r="K141" s="6" t="s">
        <v>1228</v>
      </c>
      <c r="L141" s="6" t="s">
        <v>1228</v>
      </c>
      <c r="M141" s="6" t="s">
        <v>1228</v>
      </c>
      <c r="N141" s="6" t="s">
        <v>1228</v>
      </c>
      <c r="O141" s="6" t="s">
        <v>1228</v>
      </c>
      <c r="P141" s="6" t="s">
        <v>1228</v>
      </c>
      <c r="Q141" s="7">
        <f>'Entity KPIs'!K141</f>
        <v>2.0</v>
      </c>
      <c r="R141" s="7">
        <f>'Entity KPIs'!Q141</f>
        <v>1.0</v>
      </c>
      <c r="S141" s="7">
        <f>'Group KPIs'!K141</f>
        <v>3.0</v>
      </c>
      <c r="T141" s="6" t="s">
        <v>1781</v>
      </c>
      <c r="U141" s="6" t="s">
        <v>1499</v>
      </c>
    </row>
    <row r="142" spans="1:21">
      <c r="A142" s="6" t="s">
        <v>868</v>
      </c>
      <c r="B142" s="6" t="s">
        <v>869</v>
      </c>
      <c r="C142" s="6" t="s">
        <v>668</v>
      </c>
      <c r="D142" s="6" t="s">
        <v>25</v>
      </c>
      <c r="E142" s="6" t="s">
        <v>870</v>
      </c>
      <c r="F142" s="6" t="s">
        <v>1782</v>
      </c>
      <c r="G142" s="6" t="s">
        <v>1783</v>
      </c>
      <c r="H142" s="6" t="s">
        <v>1545</v>
      </c>
      <c r="I142" s="6" t="s">
        <v>1549</v>
      </c>
      <c r="J142" s="6" t="s">
        <v>1550</v>
      </c>
      <c r="K142" s="6" t="s">
        <v>1228</v>
      </c>
      <c r="L142" s="6" t="s">
        <v>1228</v>
      </c>
      <c r="M142" s="6" t="s">
        <v>1228</v>
      </c>
      <c r="N142" s="6" t="s">
        <v>1228</v>
      </c>
      <c r="O142" s="6" t="s">
        <v>1228</v>
      </c>
      <c r="P142" s="6" t="s">
        <v>1228</v>
      </c>
      <c r="Q142" s="8" t="str">
        <f>'Entity KPIs'!K142</f>
        <v>Not triggered</v>
      </c>
      <c r="R142" s="8" t="str">
        <f>'Entity KPIs'!Q142</f>
        <v>Not triggered</v>
      </c>
      <c r="S142" s="8" t="str">
        <f>'Group KPIs'!K142</f>
        <v>Not triggered</v>
      </c>
      <c r="T142" s="6" t="s">
        <v>1784</v>
      </c>
      <c r="U142" s="6" t="s">
        <v>1522</v>
      </c>
    </row>
    <row r="143" spans="1:21">
      <c r="A143" s="6" t="s">
        <v>871</v>
      </c>
      <c r="B143" s="6" t="s">
        <v>872</v>
      </c>
      <c r="C143" s="6" t="s">
        <v>668</v>
      </c>
      <c r="D143" s="6" t="s">
        <v>25</v>
      </c>
      <c r="E143" s="6" t="s">
        <v>873</v>
      </c>
      <c r="F143" s="6" t="s">
        <v>1785</v>
      </c>
      <c r="G143" s="6" t="s">
        <v>1786</v>
      </c>
      <c r="H143" s="6" t="s">
        <v>1540</v>
      </c>
      <c r="I143" s="6" t="s">
        <v>1464</v>
      </c>
      <c r="J143" s="6" t="s">
        <v>1465</v>
      </c>
      <c r="K143" s="8" t="str">
        <f>'Plant KPIs'!K58</f>
        <v>Low (0.2% vs plan price)</v>
      </c>
      <c r="L143" s="8" t="str">
        <f>'Plant KPIs'!Q58</f>
        <v>Medium (-2.3% vs plan price)</v>
      </c>
      <c r="M143" s="8" t="str">
        <f>'Plant KPIs'!W58</f>
        <v>Low (-0.5% vs plan price)</v>
      </c>
      <c r="N143" s="8" t="str">
        <f>'Plant KPIs'!AC58</f>
        <v>Low (-0.7% vs plan price)</v>
      </c>
      <c r="O143" s="8" t="str">
        <f>'Plant KPIs'!AI58</f>
        <v>Low (0.2% vs plan price)</v>
      </c>
      <c r="P143" s="8" t="str">
        <f>'Plant KPIs'!AO58</f>
        <v>Low (0.5% vs plan price)</v>
      </c>
      <c r="Q143" s="8" t="str">
        <f>'Entity KPIs'!K143</f>
        <v>Low (-0.9% vs plan price)</v>
      </c>
      <c r="R143" s="8" t="str">
        <f>'Entity KPIs'!Q143</f>
        <v>Low (0% vs plan price)</v>
      </c>
      <c r="S143" s="8" t="str">
        <f>'Group KPIs'!K143</f>
        <v>Low (-0.4% vs plan price)</v>
      </c>
      <c r="T143" s="6" t="s">
        <v>1787</v>
      </c>
      <c r="U143" s="6" t="s">
        <v>1522</v>
      </c>
    </row>
    <row r="144" spans="1:21">
      <c r="A144" s="6" t="s">
        <v>874</v>
      </c>
      <c r="B144" s="6" t="s">
        <v>875</v>
      </c>
      <c r="C144" s="6" t="s">
        <v>28</v>
      </c>
      <c r="D144" s="6" t="s">
        <v>876</v>
      </c>
      <c r="E144" s="6" t="s">
        <v>877</v>
      </c>
      <c r="F144" s="6" t="s">
        <v>168</v>
      </c>
      <c r="G144" s="6" t="s">
        <v>168</v>
      </c>
      <c r="H144" s="6" t="s">
        <v>1540</v>
      </c>
      <c r="I144" s="6" t="s">
        <v>1464</v>
      </c>
      <c r="J144" s="6" t="s">
        <v>1465</v>
      </c>
      <c r="K144" s="7">
        <f>'Plant KPIs'!K59</f>
        <v>99.0</v>
      </c>
      <c r="L144" s="7">
        <f>'Plant KPIs'!Q59</f>
        <v>4.0</v>
      </c>
      <c r="M144" s="7">
        <f>'Plant KPIs'!W59</f>
        <v>99.0</v>
      </c>
      <c r="N144" s="7">
        <f>'Plant KPIs'!AC59</f>
        <v>99.0</v>
      </c>
      <c r="O144" s="7">
        <f>'Plant KPIs'!AI59</f>
        <v>99.0</v>
      </c>
      <c r="P144" s="7">
        <f>'Plant KPIs'!AO59</f>
        <v>99.0</v>
      </c>
      <c r="Q144" s="7">
        <f>'Entity KPIs'!K144</f>
        <v>4.0</v>
      </c>
      <c r="R144" s="7">
        <f>'Entity KPIs'!Q144</f>
        <v>99.0</v>
      </c>
      <c r="S144" s="7">
        <f>'Group KPIs'!K144</f>
        <v>4.0</v>
      </c>
      <c r="T144" s="6" t="s">
        <v>1788</v>
      </c>
      <c r="U144" s="6" t="s">
        <v>1765</v>
      </c>
    </row>
    <row r="145" spans="1:21">
      <c r="A145" s="6" t="s">
        <v>878</v>
      </c>
      <c r="B145" s="6" t="s">
        <v>879</v>
      </c>
      <c r="C145" s="6" t="s">
        <v>455</v>
      </c>
      <c r="D145" s="6" t="s">
        <v>880</v>
      </c>
      <c r="E145" s="6" t="s">
        <v>881</v>
      </c>
      <c r="F145" s="6" t="s">
        <v>1789</v>
      </c>
      <c r="G145" s="6" t="s">
        <v>1790</v>
      </c>
      <c r="H145" s="6" t="s">
        <v>1540</v>
      </c>
      <c r="I145" s="6" t="s">
        <v>1464</v>
      </c>
      <c r="J145" s="6" t="s">
        <v>1465</v>
      </c>
      <c r="K145" s="7">
        <f>'Plant KPIs'!K60</f>
        <v>38.81</v>
      </c>
      <c r="L145" s="7">
        <f>'Plant KPIs'!Q60</f>
        <v>98.27</v>
      </c>
      <c r="M145" s="7">
        <f>'Plant KPIs'!W60</f>
        <v>43.19</v>
      </c>
      <c r="N145" s="7">
        <f>'Plant KPIs'!AC60</f>
        <v>52.26</v>
      </c>
      <c r="O145" s="7">
        <f>'Plant KPIs'!AI60</f>
        <v>46.86</v>
      </c>
      <c r="P145" s="7">
        <f>'Plant KPIs'!AO60</f>
        <v>43.2</v>
      </c>
      <c r="Q145" s="7">
        <f>'Entity KPIs'!K145</f>
        <v>79.36</v>
      </c>
      <c r="R145" s="7">
        <f>'Entity KPIs'!Q145</f>
        <v>45.13</v>
      </c>
      <c r="S145" s="7">
        <f>'Group KPIs'!K145</f>
        <v>69.69</v>
      </c>
      <c r="T145" s="6" t="s">
        <v>1791</v>
      </c>
      <c r="U145" s="6" t="s">
        <v>1552</v>
      </c>
    </row>
    <row r="146" spans="1:21">
      <c r="A146" s="6" t="s">
        <v>882</v>
      </c>
      <c r="B146" s="6" t="s">
        <v>883</v>
      </c>
      <c r="C146" s="6" t="s">
        <v>560</v>
      </c>
      <c r="D146" s="6" t="s">
        <v>876</v>
      </c>
      <c r="E146" s="6" t="s">
        <v>884</v>
      </c>
      <c r="F146" s="6" t="s">
        <v>1792</v>
      </c>
      <c r="G146" s="6" t="s">
        <v>1793</v>
      </c>
      <c r="H146" s="6" t="s">
        <v>1540</v>
      </c>
      <c r="I146" s="6" t="s">
        <v>1549</v>
      </c>
      <c r="J146" s="6" t="s">
        <v>1568</v>
      </c>
      <c r="K146" s="6" t="s">
        <v>1228</v>
      </c>
      <c r="L146" s="6" t="s">
        <v>1228</v>
      </c>
      <c r="M146" s="6" t="s">
        <v>1228</v>
      </c>
      <c r="N146" s="6" t="s">
        <v>1228</v>
      </c>
      <c r="O146" s="6" t="s">
        <v>1228</v>
      </c>
      <c r="P146" s="6" t="s">
        <v>1228</v>
      </c>
      <c r="Q146" s="7">
        <f>'Entity KPIs'!K146</f>
        <v>-48.53</v>
      </c>
      <c r="R146" s="7">
        <f>'Entity KPIs'!Q146</f>
        <v>-7.65</v>
      </c>
      <c r="S146" s="7">
        <f>'Group KPIs'!K146</f>
        <v>-56.18</v>
      </c>
      <c r="T146" s="6" t="s">
        <v>1794</v>
      </c>
      <c r="U146" s="6" t="s">
        <v>1559</v>
      </c>
    </row>
    <row r="147" spans="1:21">
      <c r="A147" s="6" t="s">
        <v>885</v>
      </c>
      <c r="B147" s="6" t="s">
        <v>886</v>
      </c>
      <c r="C147" s="6" t="s">
        <v>887</v>
      </c>
      <c r="D147" s="6" t="s">
        <v>888</v>
      </c>
      <c r="E147" s="6" t="s">
        <v>889</v>
      </c>
      <c r="F147" s="6" t="s">
        <v>1795</v>
      </c>
      <c r="G147" s="6" t="s">
        <v>1796</v>
      </c>
      <c r="H147" s="6" t="s">
        <v>1540</v>
      </c>
      <c r="I147" s="6" t="s">
        <v>1549</v>
      </c>
      <c r="J147" s="6" t="s">
        <v>1568</v>
      </c>
      <c r="K147" s="6" t="s">
        <v>1228</v>
      </c>
      <c r="L147" s="6" t="s">
        <v>1228</v>
      </c>
      <c r="M147" s="6" t="s">
        <v>1228</v>
      </c>
      <c r="N147" s="6" t="s">
        <v>1228</v>
      </c>
      <c r="O147" s="6" t="s">
        <v>1228</v>
      </c>
      <c r="P147" s="6" t="s">
        <v>1228</v>
      </c>
      <c r="Q147" s="8" t="str">
        <f>'Entity KPIs'!K147</f>
        <v>None within 90 d</v>
      </c>
      <c r="R147" s="8" t="str">
        <f>'Entity KPIs'!Q147</f>
        <v>None within 90 d</v>
      </c>
      <c r="S147" s="8" t="str">
        <f>'Group KPIs'!K147</f>
        <v>None within 90 d</v>
      </c>
      <c r="T147" s="6" t="s">
        <v>1797</v>
      </c>
      <c r="U147" s="6" t="s">
        <v>1590</v>
      </c>
    </row>
    <row r="148" spans="1:21">
      <c r="A148" s="6" t="s">
        <v>890</v>
      </c>
      <c r="B148" s="6" t="s">
        <v>891</v>
      </c>
      <c r="C148" s="6" t="s">
        <v>668</v>
      </c>
      <c r="D148" s="6" t="s">
        <v>892</v>
      </c>
      <c r="E148" s="6" t="s">
        <v>893</v>
      </c>
      <c r="F148" s="6" t="s">
        <v>1798</v>
      </c>
      <c r="G148" s="6" t="s">
        <v>1799</v>
      </c>
      <c r="H148" s="6" t="s">
        <v>1540</v>
      </c>
      <c r="I148" s="6" t="s">
        <v>1549</v>
      </c>
      <c r="J148" s="6" t="s">
        <v>1568</v>
      </c>
      <c r="K148" s="6" t="s">
        <v>1228</v>
      </c>
      <c r="L148" s="6" t="s">
        <v>1228</v>
      </c>
      <c r="M148" s="6" t="s">
        <v>1228</v>
      </c>
      <c r="N148" s="6" t="s">
        <v>1228</v>
      </c>
      <c r="O148" s="6" t="s">
        <v>1228</v>
      </c>
      <c r="P148" s="6" t="s">
        <v>1228</v>
      </c>
      <c r="Q148" s="8" t="str">
        <f>'Entity KPIs'!K148</f>
        <v>Not forecast</v>
      </c>
      <c r="R148" s="8" t="str">
        <f>'Entity KPIs'!Q148</f>
        <v>Not forecast</v>
      </c>
      <c r="S148" s="8" t="str">
        <f>'Group KPIs'!K148</f>
        <v>Not forecast</v>
      </c>
      <c r="T148" s="6" t="s">
        <v>1800</v>
      </c>
      <c r="U148" s="6" t="s">
        <v>1801</v>
      </c>
    </row>
    <row r="149" spans="1:21">
      <c r="A149" s="6" t="s">
        <v>894</v>
      </c>
      <c r="B149" s="6" t="s">
        <v>895</v>
      </c>
      <c r="C149" s="6" t="s">
        <v>896</v>
      </c>
      <c r="D149" s="6" t="s">
        <v>880</v>
      </c>
      <c r="E149" s="6" t="s">
        <v>897</v>
      </c>
      <c r="F149" s="6" t="s">
        <v>1802</v>
      </c>
      <c r="G149" s="6" t="s">
        <v>178</v>
      </c>
      <c r="H149" s="6" t="s">
        <v>1540</v>
      </c>
      <c r="I149" s="6" t="s">
        <v>1464</v>
      </c>
      <c r="J149" s="6" t="s">
        <v>1465</v>
      </c>
      <c r="K149" s="7">
        <f>'Plant KPIs'!K61</f>
        <v>4.17</v>
      </c>
      <c r="L149" s="7">
        <f>'Plant KPIs'!Q61</f>
        <v>15.61</v>
      </c>
      <c r="M149" s="7">
        <f>'Plant KPIs'!W61</f>
        <v>2.51</v>
      </c>
      <c r="N149" s="7">
        <f>'Plant KPIs'!AC61</f>
        <v>1.42</v>
      </c>
      <c r="O149" s="7">
        <f>'Plant KPIs'!AI61</f>
        <v>2.27</v>
      </c>
      <c r="P149" s="7">
        <f>'Plant KPIs'!AO61</f>
        <v>2.02</v>
      </c>
      <c r="Q149" s="7">
        <f>'Entity KPIs'!K149</f>
        <v>22.3</v>
      </c>
      <c r="R149" s="7">
        <f>'Entity KPIs'!Q149</f>
        <v>5.71</v>
      </c>
      <c r="S149" s="7">
        <f>'Group KPIs'!K149</f>
        <v>28.01</v>
      </c>
      <c r="T149" s="6" t="s">
        <v>1803</v>
      </c>
      <c r="U149" s="6" t="s">
        <v>1489</v>
      </c>
    </row>
    <row r="150" spans="1:21">
      <c r="A150" s="6" t="s">
        <v>898</v>
      </c>
      <c r="B150" s="6" t="s">
        <v>899</v>
      </c>
      <c r="C150" s="6" t="s">
        <v>455</v>
      </c>
      <c r="D150" s="6" t="s">
        <v>880</v>
      </c>
      <c r="E150" s="6" t="s">
        <v>900</v>
      </c>
      <c r="F150" s="6" t="s">
        <v>1804</v>
      </c>
      <c r="G150" s="6" t="s">
        <v>1805</v>
      </c>
      <c r="H150" s="6" t="s">
        <v>1540</v>
      </c>
      <c r="I150" s="6" t="s">
        <v>1464</v>
      </c>
      <c r="J150" s="6" t="s">
        <v>1465</v>
      </c>
      <c r="K150" s="7">
        <f>'Plant KPIs'!K62</f>
        <v>2.06</v>
      </c>
      <c r="L150" s="7">
        <f>'Plant KPIs'!Q62</f>
        <v>31.38</v>
      </c>
      <c r="M150" s="7">
        <f>'Plant KPIs'!W62</f>
        <v>3.14</v>
      </c>
      <c r="N150" s="7">
        <f>'Plant KPIs'!AC62</f>
        <v>2.77</v>
      </c>
      <c r="O150" s="7">
        <f>'Plant KPIs'!AI62</f>
        <v>0.63</v>
      </c>
      <c r="P150" s="7">
        <f>'Plant KPIs'!AO62</f>
        <v>1.51</v>
      </c>
      <c r="Q150" s="7">
        <f>'Entity KPIs'!K150</f>
        <v>0.59</v>
      </c>
      <c r="R150" s="7">
        <f>'Entity KPIs'!Q150</f>
        <v>0.01</v>
      </c>
      <c r="S150" s="7">
        <f>'Group KPIs'!K150</f>
        <v>0.0</v>
      </c>
      <c r="T150" s="6" t="s">
        <v>1806</v>
      </c>
      <c r="U150" s="6" t="s">
        <v>1475</v>
      </c>
    </row>
    <row r="151" spans="1:21">
      <c r="A151" s="6" t="s">
        <v>901</v>
      </c>
      <c r="B151" s="6" t="s">
        <v>902</v>
      </c>
      <c r="C151" s="6" t="s">
        <v>560</v>
      </c>
      <c r="D151" s="6" t="s">
        <v>561</v>
      </c>
      <c r="E151" s="6" t="s">
        <v>903</v>
      </c>
      <c r="F151" s="6" t="s">
        <v>1807</v>
      </c>
      <c r="G151" s="6" t="s">
        <v>73</v>
      </c>
      <c r="H151" s="6" t="s">
        <v>1463</v>
      </c>
      <c r="I151" s="6" t="s">
        <v>1464</v>
      </c>
      <c r="J151" s="6" t="s">
        <v>1465</v>
      </c>
      <c r="K151" s="7">
        <f>'Plant KPIs'!K63</f>
        <v>7.25</v>
      </c>
      <c r="L151" s="7">
        <f>'Plant KPIs'!Q63</f>
        <v>7.2</v>
      </c>
      <c r="M151" s="7">
        <f>'Plant KPIs'!W63</f>
        <v>6.99</v>
      </c>
      <c r="N151" s="7">
        <f>'Plant KPIs'!AC63</f>
        <v>7.18</v>
      </c>
      <c r="O151" s="7">
        <f>'Plant KPIs'!AI63</f>
        <v>8.37</v>
      </c>
      <c r="P151" s="7">
        <f>'Plant KPIs'!AO63</f>
        <v>7.59</v>
      </c>
      <c r="Q151" s="7">
        <f>'Entity KPIs'!K151</f>
        <v>21.44</v>
      </c>
      <c r="R151" s="7">
        <f>'Entity KPIs'!Q151</f>
        <v>23.14</v>
      </c>
      <c r="S151" s="7">
        <f>'Group KPIs'!K151</f>
        <v>44.58</v>
      </c>
      <c r="T151" s="6" t="s">
        <v>1808</v>
      </c>
      <c r="U151" s="6" t="s">
        <v>1475</v>
      </c>
    </row>
    <row r="152" spans="1:21">
      <c r="A152" s="6" t="s">
        <v>904</v>
      </c>
      <c r="B152" s="6" t="s">
        <v>905</v>
      </c>
      <c r="C152" s="6" t="s">
        <v>560</v>
      </c>
      <c r="D152" s="6" t="s">
        <v>876</v>
      </c>
      <c r="E152" s="6" t="s">
        <v>906</v>
      </c>
      <c r="F152" s="6" t="s">
        <v>1809</v>
      </c>
      <c r="G152" s="6" t="s">
        <v>1793</v>
      </c>
      <c r="H152" s="6" t="s">
        <v>1540</v>
      </c>
      <c r="I152" s="6" t="s">
        <v>1549</v>
      </c>
      <c r="J152" s="6" t="s">
        <v>1568</v>
      </c>
      <c r="K152" s="6" t="s">
        <v>1228</v>
      </c>
      <c r="L152" s="6" t="s">
        <v>1228</v>
      </c>
      <c r="M152" s="6" t="s">
        <v>1228</v>
      </c>
      <c r="N152" s="6" t="s">
        <v>1228</v>
      </c>
      <c r="O152" s="6" t="s">
        <v>1228</v>
      </c>
      <c r="P152" s="6" t="s">
        <v>1228</v>
      </c>
      <c r="Q152" s="7">
        <f>'Entity KPIs'!K152</f>
        <v>-36.4</v>
      </c>
      <c r="R152" s="7">
        <f>'Entity KPIs'!Q152</f>
        <v>-5.74</v>
      </c>
      <c r="S152" s="7">
        <f>'Group KPIs'!K152</f>
        <v>-42.14</v>
      </c>
      <c r="T152" s="6" t="s">
        <v>1810</v>
      </c>
      <c r="U152" s="6" t="s">
        <v>1475</v>
      </c>
    </row>
    <row r="153" spans="1:21">
      <c r="A153" s="6" t="s">
        <v>907</v>
      </c>
      <c r="B153" s="6" t="s">
        <v>908</v>
      </c>
      <c r="C153" s="6" t="s">
        <v>455</v>
      </c>
      <c r="D153" s="6" t="s">
        <v>876</v>
      </c>
      <c r="E153" s="6" t="s">
        <v>909</v>
      </c>
      <c r="F153" s="6" t="s">
        <v>1811</v>
      </c>
      <c r="G153" s="6" t="s">
        <v>1812</v>
      </c>
      <c r="H153" s="6" t="s">
        <v>1545</v>
      </c>
      <c r="I153" s="6" t="s">
        <v>1549</v>
      </c>
      <c r="J153" s="6" t="s">
        <v>1550</v>
      </c>
      <c r="K153" s="6" t="s">
        <v>1228</v>
      </c>
      <c r="L153" s="6" t="s">
        <v>1228</v>
      </c>
      <c r="M153" s="6" t="s">
        <v>1228</v>
      </c>
      <c r="N153" s="6" t="s">
        <v>1228</v>
      </c>
      <c r="O153" s="6" t="s">
        <v>1228</v>
      </c>
      <c r="P153" s="6" t="s">
        <v>1228</v>
      </c>
      <c r="Q153" s="7">
        <f>'Entity KPIs'!K153</f>
        <v>13.51</v>
      </c>
      <c r="R153" s="7">
        <f>'Entity KPIs'!Q153</f>
        <v>15.07</v>
      </c>
      <c r="S153" s="7">
        <f>'Group KPIs'!K153</f>
        <v>14.26</v>
      </c>
      <c r="T153" s="6" t="s">
        <v>1813</v>
      </c>
      <c r="U153" s="6" t="s">
        <v>1475</v>
      </c>
    </row>
    <row r="154" spans="1:21">
      <c r="A154" s="6" t="s">
        <v>910</v>
      </c>
      <c r="B154" s="6" t="s">
        <v>911</v>
      </c>
      <c r="C154" s="6" t="s">
        <v>560</v>
      </c>
      <c r="D154" s="6" t="s">
        <v>561</v>
      </c>
      <c r="E154" s="6" t="s">
        <v>912</v>
      </c>
      <c r="F154" s="6" t="s">
        <v>1814</v>
      </c>
      <c r="G154" s="6" t="s">
        <v>1815</v>
      </c>
      <c r="H154" s="6" t="s">
        <v>1545</v>
      </c>
      <c r="I154" s="6" t="s">
        <v>1464</v>
      </c>
      <c r="J154" s="6" t="s">
        <v>1465</v>
      </c>
      <c r="K154" s="7">
        <f>'Plant KPIs'!K64</f>
        <v>4.47</v>
      </c>
      <c r="L154" s="7">
        <f>'Plant KPIs'!Q64</f>
        <v>4.93</v>
      </c>
      <c r="M154" s="7">
        <f>'Plant KPIs'!W64</f>
        <v>6.59</v>
      </c>
      <c r="N154" s="7">
        <f>'Plant KPIs'!AC64</f>
        <v>4.27</v>
      </c>
      <c r="O154" s="7">
        <f>'Plant KPIs'!AI64</f>
        <v>6.82</v>
      </c>
      <c r="P154" s="7">
        <f>'Plant KPIs'!AO64</f>
        <v>4.86</v>
      </c>
      <c r="Q154" s="7">
        <f>'Entity KPIs'!K154</f>
        <v>5.36</v>
      </c>
      <c r="R154" s="7">
        <f>'Entity KPIs'!Q154</f>
        <v>5.32</v>
      </c>
      <c r="S154" s="7">
        <f>'Group KPIs'!K154</f>
        <v>5.34</v>
      </c>
      <c r="T154" s="6" t="s">
        <v>1816</v>
      </c>
      <c r="U154" s="6" t="s">
        <v>1475</v>
      </c>
    </row>
    <row r="155" spans="1:21">
      <c r="A155" s="6" t="s">
        <v>913</v>
      </c>
      <c r="B155" s="6" t="s">
        <v>914</v>
      </c>
      <c r="C155" s="6" t="s">
        <v>483</v>
      </c>
      <c r="D155" s="6" t="s">
        <v>561</v>
      </c>
      <c r="E155" s="6" t="s">
        <v>915</v>
      </c>
      <c r="F155" s="6" t="s">
        <v>1817</v>
      </c>
      <c r="G155" s="6" t="s">
        <v>1818</v>
      </c>
      <c r="H155" s="6" t="s">
        <v>1463</v>
      </c>
      <c r="I155" s="6" t="s">
        <v>1464</v>
      </c>
      <c r="J155" s="6" t="s">
        <v>1465</v>
      </c>
      <c r="K155" s="7">
        <f>'Plant KPIs'!K65</f>
        <v>1186.11</v>
      </c>
      <c r="L155" s="7">
        <f>'Plant KPIs'!Q65</f>
        <v>1336.62</v>
      </c>
      <c r="M155" s="7">
        <f>'Plant KPIs'!W65</f>
        <v>1779.21</v>
      </c>
      <c r="N155" s="7">
        <f>'Plant KPIs'!AC65</f>
        <v>1135.52</v>
      </c>
      <c r="O155" s="7">
        <f>'Plant KPIs'!AI65</f>
        <v>1810.4</v>
      </c>
      <c r="P155" s="7">
        <f>'Plant KPIs'!AO65</f>
        <v>1290.61</v>
      </c>
      <c r="Q155" s="7">
        <f>'Entity KPIs'!K155</f>
        <v>1442.13</v>
      </c>
      <c r="R155" s="7">
        <f>'Entity KPIs'!Q155</f>
        <v>1412.54</v>
      </c>
      <c r="S155" s="7">
        <f>'Group KPIs'!K155</f>
        <v>1427.42</v>
      </c>
      <c r="T155" s="6" t="s">
        <v>1819</v>
      </c>
      <c r="U155" s="6" t="s">
        <v>1475</v>
      </c>
    </row>
    <row r="156" spans="1:21">
      <c r="A156" s="6" t="s">
        <v>916</v>
      </c>
      <c r="B156" s="6" t="s">
        <v>917</v>
      </c>
      <c r="C156" s="6" t="s">
        <v>455</v>
      </c>
      <c r="D156" s="6" t="s">
        <v>876</v>
      </c>
      <c r="E156" s="6" t="s">
        <v>918</v>
      </c>
      <c r="F156" s="6" t="s">
        <v>1820</v>
      </c>
      <c r="G156" s="6" t="s">
        <v>1793</v>
      </c>
      <c r="H156" s="6" t="s">
        <v>1540</v>
      </c>
      <c r="I156" s="6" t="s">
        <v>1549</v>
      </c>
      <c r="J156" s="6" t="s">
        <v>1568</v>
      </c>
      <c r="K156" s="6" t="s">
        <v>1228</v>
      </c>
      <c r="L156" s="6" t="s">
        <v>1228</v>
      </c>
      <c r="M156" s="6" t="s">
        <v>1228</v>
      </c>
      <c r="N156" s="6" t="s">
        <v>1228</v>
      </c>
      <c r="O156" s="6" t="s">
        <v>1228</v>
      </c>
      <c r="P156" s="6" t="s">
        <v>1228</v>
      </c>
      <c r="Q156" s="7">
        <f>'Entity KPIs'!K156</f>
        <v>85.18</v>
      </c>
      <c r="R156" s="7">
        <f>'Entity KPIs'!Q156</f>
        <v>56.48</v>
      </c>
      <c r="S156" s="7">
        <f>'Group KPIs'!K156</f>
        <v>72.63</v>
      </c>
      <c r="T156" s="6" t="s">
        <v>1821</v>
      </c>
      <c r="U156" s="6" t="s">
        <v>1475</v>
      </c>
    </row>
    <row r="157" spans="1:21">
      <c r="A157" s="6" t="s">
        <v>919</v>
      </c>
      <c r="B157" s="6" t="s">
        <v>920</v>
      </c>
      <c r="C157" s="6" t="s">
        <v>668</v>
      </c>
      <c r="D157" s="6" t="s">
        <v>577</v>
      </c>
      <c r="E157" s="6" t="s">
        <v>921</v>
      </c>
      <c r="F157" s="6" t="s">
        <v>1822</v>
      </c>
      <c r="G157" s="6" t="s">
        <v>399</v>
      </c>
      <c r="H157" s="6" t="s">
        <v>1540</v>
      </c>
      <c r="I157" s="6" t="s">
        <v>1549</v>
      </c>
      <c r="J157" s="6" t="s">
        <v>1568</v>
      </c>
      <c r="K157" s="6" t="s">
        <v>1228</v>
      </c>
      <c r="L157" s="6" t="s">
        <v>1228</v>
      </c>
      <c r="M157" s="6" t="s">
        <v>1228</v>
      </c>
      <c r="N157" s="6" t="s">
        <v>1228</v>
      </c>
      <c r="O157" s="6" t="s">
        <v>1228</v>
      </c>
      <c r="P157" s="6" t="s">
        <v>1228</v>
      </c>
      <c r="Q157" s="8" t="str">
        <f>'Entity KPIs'!K157</f>
        <v>38 h remaining</v>
      </c>
      <c r="R157" s="8" t="str">
        <f>'Entity KPIs'!Q157</f>
        <v>No clock running</v>
      </c>
      <c r="S157" s="8" t="str">
        <f>'Group KPIs'!K157</f>
        <v>38 h remaining</v>
      </c>
      <c r="T157" s="6" t="s">
        <v>1823</v>
      </c>
      <c r="U157" s="6" t="s">
        <v>1643</v>
      </c>
    </row>
    <row r="158" spans="1:21">
      <c r="A158" s="6" t="s">
        <v>922</v>
      </c>
      <c r="B158" s="6" t="s">
        <v>923</v>
      </c>
      <c r="C158" s="6" t="s">
        <v>668</v>
      </c>
      <c r="D158" s="6" t="s">
        <v>25</v>
      </c>
      <c r="E158" s="6" t="s">
        <v>924</v>
      </c>
      <c r="F158" s="6" t="s">
        <v>1824</v>
      </c>
      <c r="G158" s="6" t="s">
        <v>1484</v>
      </c>
      <c r="H158" s="6" t="s">
        <v>1463</v>
      </c>
      <c r="I158" s="6" t="s">
        <v>1464</v>
      </c>
      <c r="J158" s="6" t="s">
        <v>1465</v>
      </c>
      <c r="K158" s="8" t="str">
        <f>'Plant KPIs'!K66</f>
        <v>Stable (-1 pts vs last month)</v>
      </c>
      <c r="L158" s="8" t="str">
        <f>'Plant KPIs'!Q66</f>
        <v>Improving (4.5 pts vs last month)</v>
      </c>
      <c r="M158" s="8" t="str">
        <f>'Plant KPIs'!W66</f>
        <v>Deteriorating (-1.7 pts vs last month)</v>
      </c>
      <c r="N158" s="8" t="str">
        <f>'Plant KPIs'!AC66</f>
        <v>Stable (-1 pts vs last month)</v>
      </c>
      <c r="O158" s="8" t="str">
        <f>'Plant KPIs'!AI66</f>
        <v>Improving (3.9 pts vs last month)</v>
      </c>
      <c r="P158" s="8" t="str">
        <f>'Plant KPIs'!AO66</f>
        <v>Stable (0.2 pts vs last month)</v>
      </c>
      <c r="Q158" s="8" t="str">
        <f>'Entity KPIs'!K158</f>
        <v>Stable (0.3 pts vs last month)</v>
      </c>
      <c r="R158" s="8" t="str">
        <f>'Entity KPIs'!Q158</f>
        <v>Improving (1.4 pts vs last month)</v>
      </c>
      <c r="S158" s="8" t="str">
        <f>'Group KPIs'!K158</f>
        <v>Stable (0.8 pts vs last month)</v>
      </c>
      <c r="T158" s="6" t="s">
        <v>1825</v>
      </c>
      <c r="U158" s="6" t="s">
        <v>1522</v>
      </c>
    </row>
    <row r="159" spans="1:21">
      <c r="A159" s="6" t="s">
        <v>925</v>
      </c>
      <c r="B159" s="6" t="s">
        <v>926</v>
      </c>
      <c r="C159" s="6" t="s">
        <v>668</v>
      </c>
      <c r="D159" s="6" t="s">
        <v>25</v>
      </c>
      <c r="E159" s="6" t="s">
        <v>927</v>
      </c>
      <c r="F159" s="6" t="s">
        <v>1826</v>
      </c>
      <c r="G159" s="6" t="s">
        <v>1481</v>
      </c>
      <c r="H159" s="6" t="s">
        <v>1463</v>
      </c>
      <c r="I159" s="6" t="s">
        <v>1464</v>
      </c>
      <c r="J159" s="6" t="s">
        <v>1465</v>
      </c>
      <c r="K159" s="8" t="str">
        <f>'Plant KPIs'!K67</f>
        <v>Improving (3 pts vs last month)</v>
      </c>
      <c r="L159" s="8" t="str">
        <f>'Plant KPIs'!Q67</f>
        <v>Improving (4.4 pts vs last month)</v>
      </c>
      <c r="M159" s="8" t="str">
        <f>'Plant KPIs'!W67</f>
        <v>Deteriorating (-3.4 pts vs last month)</v>
      </c>
      <c r="N159" s="8" t="str">
        <f>'Plant KPIs'!AC67</f>
        <v>Stable (-0.8 pts vs last month)</v>
      </c>
      <c r="O159" s="8" t="str">
        <f>'Plant KPIs'!AI67</f>
        <v>Deteriorating (-2.1 pts vs last month)</v>
      </c>
      <c r="P159" s="8" t="str">
        <f>'Plant KPIs'!AO67</f>
        <v>Deteriorating (-5.8 pts vs last month)</v>
      </c>
      <c r="Q159" s="8" t="str">
        <f>'Entity KPIs'!K159</f>
        <v>Stable (0.5 pts vs last month)</v>
      </c>
      <c r="R159" s="8" t="str">
        <f>'Entity KPIs'!Q159</f>
        <v>Deteriorating (-2.9 pts vs last month)</v>
      </c>
      <c r="S159" s="8" t="str">
        <f>'Group KPIs'!K159</f>
        <v>Deteriorating (-1.2 pts vs last month)</v>
      </c>
      <c r="T159" s="6" t="s">
        <v>1825</v>
      </c>
      <c r="U159" s="6" t="s">
        <v>1522</v>
      </c>
    </row>
    <row r="160" spans="1:21">
      <c r="A160" s="6" t="s">
        <v>928</v>
      </c>
      <c r="B160" s="6" t="s">
        <v>929</v>
      </c>
      <c r="C160" s="6" t="s">
        <v>668</v>
      </c>
      <c r="D160" s="6" t="s">
        <v>577</v>
      </c>
      <c r="E160" s="6" t="s">
        <v>930</v>
      </c>
      <c r="F160" s="6" t="s">
        <v>1827</v>
      </c>
      <c r="G160" s="6" t="s">
        <v>1828</v>
      </c>
      <c r="H160" s="6" t="s">
        <v>1545</v>
      </c>
      <c r="I160" s="6" t="s">
        <v>1549</v>
      </c>
      <c r="J160" s="6" t="s">
        <v>1550</v>
      </c>
      <c r="K160" s="6" t="s">
        <v>1228</v>
      </c>
      <c r="L160" s="6" t="s">
        <v>1228</v>
      </c>
      <c r="M160" s="6" t="s">
        <v>1228</v>
      </c>
      <c r="N160" s="6" t="s">
        <v>1228</v>
      </c>
      <c r="O160" s="6" t="s">
        <v>1228</v>
      </c>
      <c r="P160" s="6" t="s">
        <v>1228</v>
      </c>
      <c r="Q160" s="8" t="str">
        <f>'Entity KPIs'!K160</f>
        <v>Elevated (2 single-source suppliers, 4 materials at risk)</v>
      </c>
      <c r="R160" s="8" t="str">
        <f>'Entity KPIs'!Q160</f>
        <v>Elevated (1 single-source suppliers, 1 materials at risk)</v>
      </c>
      <c r="S160" s="8" t="str">
        <f>'Group KPIs'!K160</f>
        <v>Elevated (3 single-source suppliers, 5 materials at risk)</v>
      </c>
      <c r="T160" s="6" t="s">
        <v>1829</v>
      </c>
      <c r="U160" s="6" t="s">
        <v>1830</v>
      </c>
    </row>
    <row r="161" spans="1:21">
      <c r="A161" s="6" t="s">
        <v>931</v>
      </c>
      <c r="B161" s="6" t="s">
        <v>932</v>
      </c>
      <c r="C161" s="6" t="s">
        <v>668</v>
      </c>
      <c r="D161" s="6" t="s">
        <v>25</v>
      </c>
      <c r="E161" s="6" t="s">
        <v>933</v>
      </c>
      <c r="F161" s="6" t="s">
        <v>1831</v>
      </c>
      <c r="G161" s="6" t="s">
        <v>1832</v>
      </c>
      <c r="H161" s="6" t="s">
        <v>1540</v>
      </c>
      <c r="I161" s="6" t="s">
        <v>1549</v>
      </c>
      <c r="J161" s="6" t="s">
        <v>1568</v>
      </c>
      <c r="K161" s="6" t="s">
        <v>1228</v>
      </c>
      <c r="L161" s="6" t="s">
        <v>1228</v>
      </c>
      <c r="M161" s="6" t="s">
        <v>1228</v>
      </c>
      <c r="N161" s="6" t="s">
        <v>1228</v>
      </c>
      <c r="O161" s="6" t="s">
        <v>1228</v>
      </c>
      <c r="P161" s="6" t="s">
        <v>1228</v>
      </c>
      <c r="Q161" s="8" t="str">
        <f>'Entity KPIs'!K161</f>
        <v>Watch (3.5% vs plan)</v>
      </c>
      <c r="R161" s="8" t="str">
        <f>'Entity KPIs'!Q161</f>
        <v>Normal (0.5% vs plan)</v>
      </c>
      <c r="S161" s="8" t="str">
        <f>'Group KPIs'!K161</f>
        <v>Normal (2% vs plan)</v>
      </c>
      <c r="T161" s="6" t="s">
        <v>1833</v>
      </c>
      <c r="U161" s="6" t="s">
        <v>1834</v>
      </c>
    </row>
  </sheetData>
  <autoFilter ref="A1:U16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736"/>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10.7109375" customWidth="1"/>
    <col min="2" max="2" width="13.7109375" customWidth="1"/>
    <col min="3" max="3" width="36.7109375" customWidth="1"/>
    <col min="4" max="4" width="24.7109375" customWidth="1"/>
    <col min="5" max="5" width="18.7109375" customWidth="1"/>
    <col min="6" max="14" width="12.7109375" customWidth="1"/>
    <col min="15" max="15" width="42.7109375" customWidth="1"/>
  </cols>
  <sheetData>
    <row r="1" spans="1:15">
      <c r="A1" s="5" t="s">
        <v>442</v>
      </c>
      <c r="B1" s="5" t="s">
        <v>1835</v>
      </c>
      <c r="C1" s="5" t="s">
        <v>1836</v>
      </c>
      <c r="D1" s="5" t="s">
        <v>1837</v>
      </c>
      <c r="E1" s="5" t="s">
        <v>1838</v>
      </c>
      <c r="F1" s="5" t="s">
        <v>180</v>
      </c>
      <c r="G1" s="5" t="s">
        <v>187</v>
      </c>
      <c r="H1" s="5" t="s">
        <v>188</v>
      </c>
      <c r="I1" s="5" t="s">
        <v>190</v>
      </c>
      <c r="J1" s="5" t="s">
        <v>191</v>
      </c>
      <c r="K1" s="5" t="s">
        <v>192</v>
      </c>
      <c r="L1" s="5" t="s">
        <v>179</v>
      </c>
      <c r="M1" s="5" t="s">
        <v>189</v>
      </c>
      <c r="N1" s="5" t="s">
        <v>19</v>
      </c>
      <c r="O1" s="5" t="s">
        <v>1839</v>
      </c>
    </row>
    <row r="2" spans="1:15">
      <c r="A2" s="9" t="s">
        <v>1840</v>
      </c>
      <c r="B2" s="9"/>
      <c r="C2" s="9"/>
      <c r="D2" s="9"/>
      <c r="E2" s="9"/>
      <c r="F2" s="9"/>
      <c r="G2" s="9"/>
      <c r="H2" s="9"/>
      <c r="I2" s="9"/>
      <c r="J2" s="9"/>
      <c r="K2" s="9"/>
      <c r="L2" s="9"/>
      <c r="M2" s="9"/>
      <c r="N2" s="9"/>
      <c r="O2" s="9"/>
    </row>
    <row r="3" spans="1:15">
      <c r="A3" s="6" t="s">
        <v>453</v>
      </c>
      <c r="B3" s="6" t="s">
        <v>1841</v>
      </c>
      <c r="C3" s="6" t="s">
        <v>50</v>
      </c>
      <c r="D3" s="6" t="s">
        <v>51</v>
      </c>
      <c r="E3" s="6" t="s">
        <v>1842</v>
      </c>
      <c r="F3" s="10">
        <f>'Plant Inputs'!P9</f>
        <v>81854</v>
      </c>
      <c r="G3" s="10">
        <f>'Plant Inputs'!P15</f>
        <v>95233</v>
      </c>
      <c r="H3" s="10">
        <f>'Plant Inputs'!P21</f>
        <v>139711</v>
      </c>
      <c r="I3" s="10">
        <f>'Plant Inputs'!P27</f>
        <v>81694</v>
      </c>
      <c r="J3" s="10">
        <f>'Plant Inputs'!P33</f>
        <v>132787</v>
      </c>
      <c r="K3" s="10">
        <f>'Plant Inputs'!P39</f>
        <v>94388</v>
      </c>
      <c r="L3" s="10">
        <f>'Entity Inputs'!N9</f>
        <v>316798.0</v>
      </c>
      <c r="M3" s="10">
        <f>'Entity Inputs'!N15</f>
        <v>308869.0</v>
      </c>
      <c r="N3" s="10">
        <f>'Group Inputs'!M9</f>
        <v>625667.0</v>
      </c>
      <c r="O3" s="6" t="s">
        <v>1843</v>
      </c>
    </row>
    <row r="4" spans="1:15">
      <c r="A4" s="6" t="s">
        <v>453</v>
      </c>
      <c r="B4" s="6" t="s">
        <v>1841</v>
      </c>
      <c r="C4" s="6" t="s">
        <v>46</v>
      </c>
      <c r="D4" s="6" t="s">
        <v>47</v>
      </c>
      <c r="E4" s="6" t="s">
        <v>1842</v>
      </c>
      <c r="F4" s="10">
        <f>'Plant Inputs'!N9</f>
        <v>85234</v>
      </c>
      <c r="G4" s="10">
        <f>'Plant Inputs'!N15</f>
        <v>121475</v>
      </c>
      <c r="H4" s="10">
        <f>'Plant Inputs'!N21</f>
        <v>140379</v>
      </c>
      <c r="I4" s="10">
        <f>'Plant Inputs'!N27</f>
        <v>79048</v>
      </c>
      <c r="J4" s="10">
        <f>'Plant Inputs'!N33</f>
        <v>130881</v>
      </c>
      <c r="K4" s="10">
        <f>'Plant Inputs'!N39</f>
        <v>98037</v>
      </c>
      <c r="L4" s="10">
        <f>'Entity Inputs'!L9</f>
        <v>347088.0</v>
      </c>
      <c r="M4" s="10">
        <f>'Entity Inputs'!L15</f>
        <v>307966.0</v>
      </c>
      <c r="N4" s="10">
        <f>'Group Inputs'!K9</f>
        <v>655054.0</v>
      </c>
      <c r="O4" s="6" t="s">
        <v>1843</v>
      </c>
    </row>
    <row r="5" spans="1:15">
      <c r="A5" s="11" t="s">
        <v>453</v>
      </c>
      <c r="B5" s="11" t="s">
        <v>1844</v>
      </c>
      <c r="C5" s="11" t="s">
        <v>454</v>
      </c>
      <c r="D5" s="11"/>
      <c r="E5" s="11" t="s">
        <v>25</v>
      </c>
      <c r="F5" s="11">
        <f>'Plant KPIs'!K2</f>
        <v>96.03</v>
      </c>
      <c r="G5" s="11">
        <f>'Plant KPIs'!Q2</f>
        <v>78.4</v>
      </c>
      <c r="H5" s="11">
        <f>'Plant KPIs'!W2</f>
        <v>99.52</v>
      </c>
      <c r="I5" s="11">
        <f>'Plant KPIs'!AC2</f>
        <v>103.35</v>
      </c>
      <c r="J5" s="11">
        <f>'Plant KPIs'!AI2</f>
        <v>101.46</v>
      </c>
      <c r="K5" s="11">
        <f>'Plant KPIs'!AO2</f>
        <v>96.28</v>
      </c>
      <c r="L5" s="11">
        <f>'Entity KPIs'!K2</f>
        <v>91.27</v>
      </c>
      <c r="M5" s="11">
        <f>'Entity KPIs'!Q2</f>
        <v>100.29</v>
      </c>
      <c r="N5" s="11">
        <f>'Group KPIs'!K2</f>
        <v>95.51</v>
      </c>
      <c r="O5" s="11" t="s">
        <v>1845</v>
      </c>
    </row>
    <row r="7" spans="1:15">
      <c r="A7" s="9" t="s">
        <v>1846</v>
      </c>
      <c r="B7" s="9"/>
      <c r="C7" s="9"/>
      <c r="D7" s="9"/>
      <c r="E7" s="9"/>
      <c r="F7" s="9"/>
      <c r="G7" s="9"/>
      <c r="H7" s="9"/>
      <c r="I7" s="9"/>
      <c r="J7" s="9"/>
      <c r="K7" s="9"/>
      <c r="L7" s="9"/>
      <c r="M7" s="9"/>
      <c r="N7" s="9"/>
      <c r="O7" s="9"/>
    </row>
    <row r="8" spans="1:15">
      <c r="A8" s="6" t="s">
        <v>457</v>
      </c>
      <c r="B8" s="6" t="s">
        <v>1841</v>
      </c>
      <c r="C8" s="6" t="s">
        <v>50</v>
      </c>
      <c r="D8" s="6" t="s">
        <v>51</v>
      </c>
      <c r="E8" s="6" t="s">
        <v>1842</v>
      </c>
      <c r="F8" s="10">
        <f>'Plant Inputs'!P9</f>
        <v>81854</v>
      </c>
      <c r="G8" s="10">
        <f>'Plant Inputs'!P15</f>
        <v>95233</v>
      </c>
      <c r="H8" s="10">
        <f>'Plant Inputs'!P21</f>
        <v>139711</v>
      </c>
      <c r="I8" s="10">
        <f>'Plant Inputs'!P27</f>
        <v>81694</v>
      </c>
      <c r="J8" s="10">
        <f>'Plant Inputs'!P33</f>
        <v>132787</v>
      </c>
      <c r="K8" s="10">
        <f>'Plant Inputs'!P39</f>
        <v>94388</v>
      </c>
      <c r="L8" s="10">
        <f>'Entity Inputs'!N9</f>
        <v>316798.0</v>
      </c>
      <c r="M8" s="10">
        <f>'Entity Inputs'!N15</f>
        <v>308869.0</v>
      </c>
      <c r="N8" s="10">
        <f>'Group Inputs'!M9</f>
        <v>625667.0</v>
      </c>
      <c r="O8" s="6" t="s">
        <v>1843</v>
      </c>
    </row>
    <row r="9" spans="1:15">
      <c r="A9" s="6" t="s">
        <v>457</v>
      </c>
      <c r="B9" s="6" t="s">
        <v>1841</v>
      </c>
      <c r="C9" s="6" t="s">
        <v>44</v>
      </c>
      <c r="D9" s="6" t="s">
        <v>45</v>
      </c>
      <c r="E9" s="6" t="s">
        <v>1842</v>
      </c>
      <c r="F9" s="10">
        <f>'Plant Inputs'!M9</f>
        <v>98712</v>
      </c>
      <c r="G9" s="10">
        <f>'Plant Inputs'!M15</f>
        <v>136008</v>
      </c>
      <c r="H9" s="10">
        <f>'Plant Inputs'!M21</f>
        <v>162288</v>
      </c>
      <c r="I9" s="10">
        <f>'Plant Inputs'!M27</f>
        <v>91296</v>
      </c>
      <c r="J9" s="10">
        <f>'Plant Inputs'!M33</f>
        <v>147600</v>
      </c>
      <c r="K9" s="10">
        <f>'Plant Inputs'!M39</f>
        <v>113904</v>
      </c>
      <c r="L9" s="10">
        <f>'Entity Inputs'!K9</f>
        <v>397008.0</v>
      </c>
      <c r="M9" s="10">
        <f>'Entity Inputs'!K15</f>
        <v>352800.0</v>
      </c>
      <c r="N9" s="10">
        <f>'Group Inputs'!J9</f>
        <v>749808.0</v>
      </c>
      <c r="O9" s="6" t="s">
        <v>1843</v>
      </c>
    </row>
    <row r="10" spans="1:15">
      <c r="A10" s="11" t="s">
        <v>457</v>
      </c>
      <c r="B10" s="11" t="s">
        <v>1844</v>
      </c>
      <c r="C10" s="11" t="s">
        <v>458</v>
      </c>
      <c r="D10" s="11"/>
      <c r="E10" s="11" t="s">
        <v>25</v>
      </c>
      <c r="F10" s="11">
        <f>'Plant KPIs'!K3</f>
        <v>82.92</v>
      </c>
      <c r="G10" s="11">
        <f>'Plant KPIs'!Q3</f>
        <v>70.02</v>
      </c>
      <c r="H10" s="11">
        <f>'Plant KPIs'!W3</f>
        <v>86.09</v>
      </c>
      <c r="I10" s="11">
        <f>'Plant KPIs'!AC3</f>
        <v>89.48</v>
      </c>
      <c r="J10" s="11">
        <f>'Plant KPIs'!AI3</f>
        <v>89.96</v>
      </c>
      <c r="K10" s="11">
        <f>'Plant KPIs'!AO3</f>
        <v>82.87</v>
      </c>
      <c r="L10" s="11">
        <f>'Entity KPIs'!K3</f>
        <v>79.8</v>
      </c>
      <c r="M10" s="11">
        <f>'Entity KPIs'!Q3</f>
        <v>87.55</v>
      </c>
      <c r="N10" s="11">
        <f>'Group KPIs'!K3</f>
        <v>83.44</v>
      </c>
      <c r="O10" s="11" t="s">
        <v>1845</v>
      </c>
    </row>
    <row r="12" spans="1:15">
      <c r="A12" s="9" t="s">
        <v>1847</v>
      </c>
      <c r="B12" s="9"/>
      <c r="C12" s="9"/>
      <c r="D12" s="9"/>
      <c r="E12" s="9"/>
      <c r="F12" s="9"/>
      <c r="G12" s="9"/>
      <c r="H12" s="9"/>
      <c r="I12" s="9"/>
      <c r="J12" s="9"/>
      <c r="K12" s="9"/>
      <c r="L12" s="9"/>
      <c r="M12" s="9"/>
      <c r="N12" s="9"/>
      <c r="O12" s="9"/>
    </row>
    <row r="13" spans="1:15">
      <c r="A13" s="6" t="s">
        <v>460</v>
      </c>
      <c r="B13" s="6" t="s">
        <v>1841</v>
      </c>
      <c r="C13" s="6" t="s">
        <v>38</v>
      </c>
      <c r="D13" s="6" t="s">
        <v>39</v>
      </c>
      <c r="E13" s="6" t="s">
        <v>1842</v>
      </c>
      <c r="F13" s="10">
        <f>'Plant Inputs'!J9</f>
        <v>664.5</v>
      </c>
      <c r="G13" s="10">
        <f>'Plant Inputs'!J15</f>
        <v>624.3</v>
      </c>
      <c r="H13" s="10">
        <f>'Plant Inputs'!J21</f>
        <v>695.4</v>
      </c>
      <c r="I13" s="10">
        <f>'Plant Inputs'!J27</f>
        <v>690.6</v>
      </c>
      <c r="J13" s="10">
        <f>'Plant Inputs'!J33</f>
        <v>689.9</v>
      </c>
      <c r="K13" s="10">
        <f>'Plant Inputs'!J39</f>
        <v>680.7</v>
      </c>
      <c r="L13" s="10">
        <f>'Entity Inputs'!H9</f>
        <v>1984.1999999999998</v>
      </c>
      <c r="M13" s="10">
        <f>'Entity Inputs'!H15</f>
        <v>2061.2</v>
      </c>
      <c r="N13" s="10">
        <f>'Group Inputs'!G9</f>
        <v>4045.3999999999996</v>
      </c>
      <c r="O13" s="6" t="s">
        <v>1843</v>
      </c>
    </row>
    <row r="14" spans="1:15">
      <c r="A14" s="6" t="s">
        <v>460</v>
      </c>
      <c r="B14" s="6" t="s">
        <v>1841</v>
      </c>
      <c r="C14" s="6" t="s">
        <v>33</v>
      </c>
      <c r="D14" s="6" t="s">
        <v>34</v>
      </c>
      <c r="E14" s="6" t="s">
        <v>1842</v>
      </c>
      <c r="F14" s="10">
        <f>'Plant Inputs'!H9</f>
        <v>720</v>
      </c>
      <c r="G14" s="10">
        <f>'Plant Inputs'!H15</f>
        <v>720</v>
      </c>
      <c r="H14" s="10">
        <f>'Plant Inputs'!H21</f>
        <v>720</v>
      </c>
      <c r="I14" s="10">
        <f>'Plant Inputs'!H27</f>
        <v>720</v>
      </c>
      <c r="J14" s="10">
        <f>'Plant Inputs'!H33</f>
        <v>720</v>
      </c>
      <c r="K14" s="10">
        <f>'Plant Inputs'!H39</f>
        <v>720</v>
      </c>
      <c r="L14" s="10">
        <f>'Entity Inputs'!F9</f>
        <v>2160.0</v>
      </c>
      <c r="M14" s="10">
        <f>'Entity Inputs'!F15</f>
        <v>2160.0</v>
      </c>
      <c r="N14" s="10">
        <f>'Group Inputs'!E9</f>
        <v>4320.0</v>
      </c>
      <c r="O14" s="6" t="s">
        <v>1843</v>
      </c>
    </row>
    <row r="15" spans="1:15">
      <c r="A15" s="11" t="s">
        <v>460</v>
      </c>
      <c r="B15" s="11" t="s">
        <v>1844</v>
      </c>
      <c r="C15" s="11" t="s">
        <v>461</v>
      </c>
      <c r="D15" s="11"/>
      <c r="E15" s="11" t="s">
        <v>25</v>
      </c>
      <c r="F15" s="11">
        <f>'Plant KPIs'!K4</f>
        <v>92.29</v>
      </c>
      <c r="G15" s="11">
        <f>'Plant KPIs'!Q4</f>
        <v>86.71</v>
      </c>
      <c r="H15" s="11">
        <f>'Plant KPIs'!W4</f>
        <v>96.58</v>
      </c>
      <c r="I15" s="11">
        <f>'Plant KPIs'!AC4</f>
        <v>95.92</v>
      </c>
      <c r="J15" s="11">
        <f>'Plant KPIs'!AI4</f>
        <v>95.82</v>
      </c>
      <c r="K15" s="11">
        <f>'Plant KPIs'!AO4</f>
        <v>94.54</v>
      </c>
      <c r="L15" s="11">
        <f>'Entity KPIs'!K4</f>
        <v>91.86</v>
      </c>
      <c r="M15" s="11">
        <f>'Entity KPIs'!Q4</f>
        <v>95.43</v>
      </c>
      <c r="N15" s="11">
        <f>'Group KPIs'!K4</f>
        <v>93.64</v>
      </c>
      <c r="O15" s="11" t="s">
        <v>1845</v>
      </c>
    </row>
    <row r="17" spans="1:15">
      <c r="A17" s="9" t="s">
        <v>1848</v>
      </c>
      <c r="B17" s="9"/>
      <c r="C17" s="9"/>
      <c r="D17" s="9"/>
      <c r="E17" s="9"/>
      <c r="F17" s="9"/>
      <c r="G17" s="9"/>
      <c r="H17" s="9"/>
      <c r="I17" s="9"/>
      <c r="J17" s="9"/>
      <c r="K17" s="9"/>
      <c r="L17" s="9"/>
      <c r="M17" s="9"/>
      <c r="N17" s="9"/>
      <c r="O17" s="9"/>
    </row>
    <row r="18" spans="1:15">
      <c r="A18" s="6" t="s">
        <v>463</v>
      </c>
      <c r="B18" s="6" t="s">
        <v>1841</v>
      </c>
      <c r="C18" s="6" t="s">
        <v>50</v>
      </c>
      <c r="D18" s="6" t="s">
        <v>51</v>
      </c>
      <c r="E18" s="6" t="s">
        <v>1842</v>
      </c>
      <c r="F18" s="10">
        <f>'Plant Inputs'!P9</f>
        <v>81854</v>
      </c>
      <c r="G18" s="10">
        <f>'Plant Inputs'!P15</f>
        <v>95233</v>
      </c>
      <c r="H18" s="10">
        <f>'Plant Inputs'!P21</f>
        <v>139711</v>
      </c>
      <c r="I18" s="10">
        <f>'Plant Inputs'!P27</f>
        <v>81694</v>
      </c>
      <c r="J18" s="10">
        <f>'Plant Inputs'!P33</f>
        <v>132787</v>
      </c>
      <c r="K18" s="10">
        <f>'Plant Inputs'!P39</f>
        <v>94388</v>
      </c>
      <c r="L18" s="10">
        <f>'Entity Inputs'!N9</f>
        <v>316798.0</v>
      </c>
      <c r="M18" s="10">
        <f>'Entity Inputs'!N15</f>
        <v>308869.0</v>
      </c>
      <c r="N18" s="10">
        <f>'Group Inputs'!M9</f>
        <v>625667.0</v>
      </c>
      <c r="O18" s="6" t="s">
        <v>1843</v>
      </c>
    </row>
    <row r="19" spans="1:15">
      <c r="A19" s="6" t="s">
        <v>463</v>
      </c>
      <c r="B19" s="6" t="s">
        <v>1841</v>
      </c>
      <c r="C19" s="6" t="s">
        <v>42</v>
      </c>
      <c r="D19" s="6" t="s">
        <v>43</v>
      </c>
      <c r="E19" s="6" t="s">
        <v>1842</v>
      </c>
      <c r="F19" s="10">
        <f>'Plant Inputs'!L9</f>
        <v>97478</v>
      </c>
      <c r="G19" s="10">
        <f>'Plant Inputs'!L15</f>
        <v>135441</v>
      </c>
      <c r="H19" s="10">
        <f>'Plant Inputs'!L21</f>
        <v>162063</v>
      </c>
      <c r="I19" s="10">
        <f>'Plant Inputs'!L27</f>
        <v>91042</v>
      </c>
      <c r="J19" s="10">
        <f>'Plant Inputs'!L33</f>
        <v>145550</v>
      </c>
      <c r="K19" s="10">
        <f>'Plant Inputs'!L39</f>
        <v>112638</v>
      </c>
      <c r="L19" s="10">
        <f>'Entity Inputs'!J9</f>
        <v>394982.0</v>
      </c>
      <c r="M19" s="10">
        <f>'Entity Inputs'!J15</f>
        <v>349230.0</v>
      </c>
      <c r="N19" s="10">
        <f>'Group Inputs'!I9</f>
        <v>744212.0</v>
      </c>
      <c r="O19" s="6" t="s">
        <v>1843</v>
      </c>
    </row>
    <row r="20" spans="1:15">
      <c r="A20" s="11" t="s">
        <v>463</v>
      </c>
      <c r="B20" s="11" t="s">
        <v>1844</v>
      </c>
      <c r="C20" s="11" t="s">
        <v>464</v>
      </c>
      <c r="D20" s="11"/>
      <c r="E20" s="11" t="s">
        <v>25</v>
      </c>
      <c r="F20" s="11">
        <f>'Plant KPIs'!K5</f>
        <v>83.97</v>
      </c>
      <c r="G20" s="11">
        <f>'Plant KPIs'!Q5</f>
        <v>70.31</v>
      </c>
      <c r="H20" s="11">
        <f>'Plant KPIs'!W5</f>
        <v>86.21</v>
      </c>
      <c r="I20" s="11">
        <f>'Plant KPIs'!AC5</f>
        <v>89.73</v>
      </c>
      <c r="J20" s="11">
        <f>'Plant KPIs'!AI5</f>
        <v>91.23</v>
      </c>
      <c r="K20" s="11">
        <f>'Plant KPIs'!AO5</f>
        <v>83.8</v>
      </c>
      <c r="L20" s="11">
        <f>'Entity KPIs'!K5</f>
        <v>80.21</v>
      </c>
      <c r="M20" s="11">
        <f>'Entity KPIs'!Q5</f>
        <v>88.44</v>
      </c>
      <c r="N20" s="11">
        <f>'Group KPIs'!K5</f>
        <v>84.07</v>
      </c>
      <c r="O20" s="11" t="s">
        <v>1845</v>
      </c>
    </row>
    <row r="22" spans="1:15">
      <c r="A22" s="9" t="s">
        <v>1849</v>
      </c>
      <c r="B22" s="9"/>
      <c r="C22" s="9"/>
      <c r="D22" s="9"/>
      <c r="E22" s="9"/>
      <c r="F22" s="9"/>
      <c r="G22" s="9"/>
      <c r="H22" s="9"/>
      <c r="I22" s="9"/>
      <c r="J22" s="9"/>
      <c r="K22" s="9"/>
      <c r="L22" s="9"/>
      <c r="M22" s="9"/>
      <c r="N22" s="9"/>
      <c r="O22" s="9"/>
    </row>
    <row r="23" spans="1:15">
      <c r="A23" s="6" t="s">
        <v>466</v>
      </c>
      <c r="B23" s="6" t="s">
        <v>1841</v>
      </c>
      <c r="C23" s="6" t="s">
        <v>56</v>
      </c>
      <c r="D23" s="6" t="s">
        <v>57</v>
      </c>
      <c r="E23" s="6" t="s">
        <v>1842</v>
      </c>
      <c r="F23" s="10">
        <f>'Plant Inputs'!S9</f>
        <v>18334</v>
      </c>
      <c r="G23" s="10">
        <f>'Plant Inputs'!S15</f>
        <v>17994</v>
      </c>
      <c r="H23" s="10">
        <f>'Plant Inputs'!S21</f>
        <v>31527</v>
      </c>
      <c r="I23" s="10">
        <f>'Plant Inputs'!S27</f>
        <v>18005</v>
      </c>
      <c r="J23" s="10">
        <f>'Plant Inputs'!S33</f>
        <v>25111</v>
      </c>
      <c r="K23" s="10">
        <f>'Plant Inputs'!S39</f>
        <v>17410</v>
      </c>
      <c r="L23" s="10">
        <f>'Entity Inputs'!Q9</f>
        <v>67855.0</v>
      </c>
      <c r="M23" s="10">
        <f>'Entity Inputs'!Q15</f>
        <v>60526.0</v>
      </c>
      <c r="N23" s="10">
        <f>'Group Inputs'!P9</f>
        <v>128381.0</v>
      </c>
      <c r="O23" s="6" t="s">
        <v>1843</v>
      </c>
    </row>
    <row r="24" spans="1:15">
      <c r="A24" s="6" t="s">
        <v>466</v>
      </c>
      <c r="B24" s="6" t="s">
        <v>1841</v>
      </c>
      <c r="C24" s="6" t="s">
        <v>54</v>
      </c>
      <c r="D24" s="6" t="s">
        <v>55</v>
      </c>
      <c r="E24" s="6" t="s">
        <v>1842</v>
      </c>
      <c r="F24" s="10">
        <f>'Plant Inputs'!R9</f>
        <v>19996</v>
      </c>
      <c r="G24" s="10">
        <f>'Plant Inputs'!R15</f>
        <v>20791</v>
      </c>
      <c r="H24" s="10">
        <f>'Plant Inputs'!R21</f>
        <v>36789</v>
      </c>
      <c r="I24" s="10">
        <f>'Plant Inputs'!R27</f>
        <v>20374</v>
      </c>
      <c r="J24" s="10">
        <f>'Plant Inputs'!R33</f>
        <v>28428</v>
      </c>
      <c r="K24" s="10">
        <f>'Plant Inputs'!R39</f>
        <v>20587</v>
      </c>
      <c r="L24" s="10">
        <f>'Entity Inputs'!P9</f>
        <v>77576.0</v>
      </c>
      <c r="M24" s="10">
        <f>'Entity Inputs'!P15</f>
        <v>69389.0</v>
      </c>
      <c r="N24" s="10">
        <f>'Group Inputs'!O9</f>
        <v>146965.0</v>
      </c>
      <c r="O24" s="6" t="s">
        <v>1843</v>
      </c>
    </row>
    <row r="25" spans="1:15">
      <c r="A25" s="11" t="s">
        <v>466</v>
      </c>
      <c r="B25" s="11" t="s">
        <v>1844</v>
      </c>
      <c r="C25" s="11" t="s">
        <v>467</v>
      </c>
      <c r="D25" s="11"/>
      <c r="E25" s="11" t="s">
        <v>25</v>
      </c>
      <c r="F25" s="11">
        <f>'Plant KPIs'!K6</f>
        <v>91.69</v>
      </c>
      <c r="G25" s="11">
        <f>'Plant KPIs'!Q6</f>
        <v>86.55</v>
      </c>
      <c r="H25" s="11">
        <f>'Plant KPIs'!W6</f>
        <v>85.7</v>
      </c>
      <c r="I25" s="11">
        <f>'Plant KPIs'!AC6</f>
        <v>88.37</v>
      </c>
      <c r="J25" s="11">
        <f>'Plant KPIs'!AI6</f>
        <v>88.33</v>
      </c>
      <c r="K25" s="11">
        <f>'Plant KPIs'!AO6</f>
        <v>84.57</v>
      </c>
      <c r="L25" s="11">
        <f>'Entity KPIs'!K6</f>
        <v>87.47</v>
      </c>
      <c r="M25" s="11">
        <f>'Entity KPIs'!Q6</f>
        <v>87.23</v>
      </c>
      <c r="N25" s="11">
        <f>'Group KPIs'!K6</f>
        <v>87.35</v>
      </c>
      <c r="O25" s="11" t="s">
        <v>1845</v>
      </c>
    </row>
    <row r="27" spans="1:15">
      <c r="A27" s="9" t="s">
        <v>1850</v>
      </c>
      <c r="B27" s="9"/>
      <c r="C27" s="9"/>
      <c r="D27" s="9"/>
      <c r="E27" s="9"/>
      <c r="F27" s="9"/>
      <c r="G27" s="9"/>
      <c r="H27" s="9"/>
      <c r="I27" s="9"/>
      <c r="J27" s="9"/>
      <c r="K27" s="9"/>
      <c r="L27" s="9"/>
      <c r="M27" s="9"/>
      <c r="N27" s="9"/>
      <c r="O27" s="9"/>
    </row>
    <row r="28" spans="1:15">
      <c r="A28" s="6" t="s">
        <v>469</v>
      </c>
      <c r="B28" s="6" t="s">
        <v>1841</v>
      </c>
      <c r="C28" s="6" t="s">
        <v>50</v>
      </c>
      <c r="D28" s="6" t="s">
        <v>51</v>
      </c>
      <c r="E28" s="6" t="s">
        <v>1842</v>
      </c>
      <c r="F28" s="10">
        <f>'Plant Inputs'!P9</f>
        <v>81854</v>
      </c>
      <c r="G28" s="10">
        <f>'Plant Inputs'!P15</f>
        <v>95233</v>
      </c>
      <c r="H28" s="10">
        <f>'Plant Inputs'!P21</f>
        <v>139711</v>
      </c>
      <c r="I28" s="10">
        <f>'Plant Inputs'!P27</f>
        <v>81694</v>
      </c>
      <c r="J28" s="10">
        <f>'Plant Inputs'!P33</f>
        <v>132787</v>
      </c>
      <c r="K28" s="10">
        <f>'Plant Inputs'!P39</f>
        <v>94388</v>
      </c>
      <c r="L28" s="10">
        <f>'Entity Inputs'!N9</f>
        <v>316798.0</v>
      </c>
      <c r="M28" s="10">
        <f>'Entity Inputs'!N15</f>
        <v>308869.0</v>
      </c>
      <c r="N28" s="10">
        <f>'Group Inputs'!M9</f>
        <v>625667.0</v>
      </c>
      <c r="O28" s="6" t="s">
        <v>1843</v>
      </c>
    </row>
    <row r="29" spans="1:15">
      <c r="A29" s="6" t="s">
        <v>469</v>
      </c>
      <c r="B29" s="6" t="s">
        <v>1841</v>
      </c>
      <c r="C29" s="6" t="s">
        <v>52</v>
      </c>
      <c r="D29" s="6" t="s">
        <v>53</v>
      </c>
      <c r="E29" s="6" t="s">
        <v>1842</v>
      </c>
      <c r="F29" s="10">
        <f>'Plant Inputs'!Q9</f>
        <v>89479</v>
      </c>
      <c r="G29" s="10">
        <f>'Plant Inputs'!Q15</f>
        <v>102279</v>
      </c>
      <c r="H29" s="10">
        <f>'Plant Inputs'!Q21</f>
        <v>154604</v>
      </c>
      <c r="I29" s="10">
        <f>'Plant Inputs'!Q27</f>
        <v>90180</v>
      </c>
      <c r="J29" s="10">
        <f>'Plant Inputs'!Q33</f>
        <v>142400</v>
      </c>
      <c r="K29" s="10">
        <f>'Plant Inputs'!Q39</f>
        <v>101633</v>
      </c>
      <c r="L29" s="10">
        <f>'Entity Inputs'!O9</f>
        <v>346362.0</v>
      </c>
      <c r="M29" s="10">
        <f>'Entity Inputs'!O15</f>
        <v>334213.0</v>
      </c>
      <c r="N29" s="10">
        <f>'Group Inputs'!N9</f>
        <v>680575.0</v>
      </c>
      <c r="O29" s="6" t="s">
        <v>1843</v>
      </c>
    </row>
    <row r="30" spans="1:15">
      <c r="A30" s="11" t="s">
        <v>469</v>
      </c>
      <c r="B30" s="11" t="s">
        <v>1844</v>
      </c>
      <c r="C30" s="11" t="s">
        <v>470</v>
      </c>
      <c r="D30" s="11"/>
      <c r="E30" s="11" t="s">
        <v>25</v>
      </c>
      <c r="F30" s="11">
        <f>'Plant KPIs'!K7</f>
        <v>91.48</v>
      </c>
      <c r="G30" s="11">
        <f>'Plant KPIs'!Q7</f>
        <v>93.11</v>
      </c>
      <c r="H30" s="11">
        <f>'Plant KPIs'!W7</f>
        <v>90.37</v>
      </c>
      <c r="I30" s="11">
        <f>'Plant KPIs'!AC7</f>
        <v>90.59</v>
      </c>
      <c r="J30" s="11">
        <f>'Plant KPIs'!AI7</f>
        <v>93.25</v>
      </c>
      <c r="K30" s="11">
        <f>'Plant KPIs'!AO7</f>
        <v>92.87</v>
      </c>
      <c r="L30" s="11">
        <f>'Entity KPIs'!K7</f>
        <v>91.46</v>
      </c>
      <c r="M30" s="11">
        <f>'Entity KPIs'!Q7</f>
        <v>92.42</v>
      </c>
      <c r="N30" s="11">
        <f>'Group KPIs'!K7</f>
        <v>91.93</v>
      </c>
      <c r="O30" s="11" t="s">
        <v>1845</v>
      </c>
    </row>
    <row r="32" spans="1:15">
      <c r="A32" s="9" t="s">
        <v>1851</v>
      </c>
      <c r="B32" s="9"/>
      <c r="C32" s="9"/>
      <c r="D32" s="9"/>
      <c r="E32" s="9"/>
      <c r="F32" s="9"/>
      <c r="G32" s="9"/>
      <c r="H32" s="9"/>
      <c r="I32" s="9"/>
      <c r="J32" s="9"/>
      <c r="K32" s="9"/>
      <c r="L32" s="9"/>
      <c r="M32" s="9"/>
      <c r="N32" s="9"/>
      <c r="O32" s="9"/>
    </row>
    <row r="33" spans="1:15">
      <c r="A33" s="6" t="s">
        <v>472</v>
      </c>
      <c r="B33" s="6" t="s">
        <v>1841</v>
      </c>
      <c r="C33" s="6" t="s">
        <v>38</v>
      </c>
      <c r="D33" s="6" t="s">
        <v>39</v>
      </c>
      <c r="E33" s="6" t="s">
        <v>1842</v>
      </c>
      <c r="F33" s="10">
        <f>'Plant Inputs'!J9</f>
        <v>664.5</v>
      </c>
      <c r="G33" s="10">
        <f>'Plant Inputs'!J15</f>
        <v>624.3</v>
      </c>
      <c r="H33" s="10">
        <f>'Plant Inputs'!J21</f>
        <v>695.4</v>
      </c>
      <c r="I33" s="10">
        <f>'Plant Inputs'!J27</f>
        <v>690.6</v>
      </c>
      <c r="J33" s="10">
        <f>'Plant Inputs'!J33</f>
        <v>689.9</v>
      </c>
      <c r="K33" s="10">
        <f>'Plant Inputs'!J39</f>
        <v>680.7</v>
      </c>
      <c r="L33" s="10">
        <f>'Entity Inputs'!H9</f>
        <v>1984.1999999999998</v>
      </c>
      <c r="M33" s="10">
        <f>'Entity Inputs'!H15</f>
        <v>2061.2</v>
      </c>
      <c r="N33" s="10">
        <f>'Group Inputs'!G9</f>
        <v>4045.3999999999996</v>
      </c>
      <c r="O33" s="6" t="s">
        <v>1843</v>
      </c>
    </row>
    <row r="34" spans="1:15">
      <c r="A34" s="6" t="s">
        <v>472</v>
      </c>
      <c r="B34" s="6" t="s">
        <v>1841</v>
      </c>
      <c r="C34" s="6" t="s">
        <v>60</v>
      </c>
      <c r="D34" s="6" t="s">
        <v>61</v>
      </c>
      <c r="E34" s="6" t="s">
        <v>1842</v>
      </c>
      <c r="F34" s="10">
        <f>'Plant Inputs'!U9</f>
        <v>4</v>
      </c>
      <c r="G34" s="10">
        <f>'Plant Inputs'!U15</f>
        <v>6</v>
      </c>
      <c r="H34" s="10">
        <f>'Plant Inputs'!U21</f>
        <v>2</v>
      </c>
      <c r="I34" s="10">
        <f>'Plant Inputs'!U27</f>
        <v>1</v>
      </c>
      <c r="J34" s="10">
        <f>'Plant Inputs'!U33</f>
        <v>1</v>
      </c>
      <c r="K34" s="10">
        <f>'Plant Inputs'!U39</f>
        <v>1</v>
      </c>
      <c r="L34" s="10">
        <f>'Entity Inputs'!S9</f>
        <v>12.0</v>
      </c>
      <c r="M34" s="10">
        <f>'Entity Inputs'!S15</f>
        <v>3.0</v>
      </c>
      <c r="N34" s="10">
        <f>'Group Inputs'!R9</f>
        <v>15.0</v>
      </c>
      <c r="O34" s="6" t="s">
        <v>1843</v>
      </c>
    </row>
    <row r="35" spans="1:15">
      <c r="A35" s="11" t="s">
        <v>472</v>
      </c>
      <c r="B35" s="11" t="s">
        <v>1844</v>
      </c>
      <c r="C35" s="11" t="s">
        <v>473</v>
      </c>
      <c r="D35" s="11"/>
      <c r="E35" s="11" t="s">
        <v>25</v>
      </c>
      <c r="F35" s="11">
        <f>'Plant KPIs'!K8</f>
        <v>166.13</v>
      </c>
      <c r="G35" s="11">
        <f>'Plant KPIs'!Q8</f>
        <v>104.05</v>
      </c>
      <c r="H35" s="11">
        <f>'Plant KPIs'!W8</f>
        <v>347.7</v>
      </c>
      <c r="I35" s="11">
        <f>'Plant KPIs'!AC8</f>
        <v>690.6</v>
      </c>
      <c r="J35" s="11">
        <f>'Plant KPIs'!AI8</f>
        <v>689.9</v>
      </c>
      <c r="K35" s="11">
        <f>'Plant KPIs'!AO8</f>
        <v>680.7</v>
      </c>
      <c r="L35" s="11">
        <f>'Entity KPIs'!K8</f>
        <v>165.35</v>
      </c>
      <c r="M35" s="11">
        <f>'Entity KPIs'!Q8</f>
        <v>687.07</v>
      </c>
      <c r="N35" s="11">
        <f>'Group KPIs'!K8</f>
        <v>269.69</v>
      </c>
      <c r="O35" s="11" t="s">
        <v>1845</v>
      </c>
    </row>
    <row r="37" spans="1:15">
      <c r="A37" s="9" t="s">
        <v>1852</v>
      </c>
      <c r="B37" s="9"/>
      <c r="C37" s="9"/>
      <c r="D37" s="9"/>
      <c r="E37" s="9"/>
      <c r="F37" s="9"/>
      <c r="G37" s="9"/>
      <c r="H37" s="9"/>
      <c r="I37" s="9"/>
      <c r="J37" s="9"/>
      <c r="K37" s="9"/>
      <c r="L37" s="9"/>
      <c r="M37" s="9"/>
      <c r="N37" s="9"/>
      <c r="O37" s="9"/>
    </row>
    <row r="38" spans="1:15">
      <c r="A38" s="6" t="s">
        <v>476</v>
      </c>
      <c r="B38" s="6" t="s">
        <v>1841</v>
      </c>
      <c r="C38" s="6" t="s">
        <v>62</v>
      </c>
      <c r="D38" s="6" t="s">
        <v>63</v>
      </c>
      <c r="E38" s="6" t="s">
        <v>1842</v>
      </c>
      <c r="F38" s="10">
        <f>'Plant Inputs'!V9</f>
        <v>21.6</v>
      </c>
      <c r="G38" s="10">
        <f>'Plant Inputs'!V15</f>
        <v>68.5</v>
      </c>
      <c r="H38" s="10">
        <f>'Plant Inputs'!V21</f>
        <v>8.8</v>
      </c>
      <c r="I38" s="10">
        <f>'Plant Inputs'!V27</f>
        <v>6.8</v>
      </c>
      <c r="J38" s="10">
        <f>'Plant Inputs'!V33</f>
        <v>5.2</v>
      </c>
      <c r="K38" s="10">
        <f>'Plant Inputs'!V39</f>
        <v>6.5</v>
      </c>
      <c r="L38" s="10">
        <f>'Entity Inputs'!T9</f>
        <v>98.89999999999999</v>
      </c>
      <c r="M38" s="10">
        <f>'Entity Inputs'!T15</f>
        <v>18.5</v>
      </c>
      <c r="N38" s="10">
        <f>'Group Inputs'!S9</f>
        <v>117.39999999999999</v>
      </c>
      <c r="O38" s="6" t="s">
        <v>1843</v>
      </c>
    </row>
    <row r="39" spans="1:15">
      <c r="A39" s="6" t="s">
        <v>476</v>
      </c>
      <c r="B39" s="6" t="s">
        <v>1841</v>
      </c>
      <c r="C39" s="6" t="s">
        <v>60</v>
      </c>
      <c r="D39" s="6" t="s">
        <v>61</v>
      </c>
      <c r="E39" s="6" t="s">
        <v>1842</v>
      </c>
      <c r="F39" s="10">
        <f>'Plant Inputs'!U9</f>
        <v>4</v>
      </c>
      <c r="G39" s="10">
        <f>'Plant Inputs'!U15</f>
        <v>6</v>
      </c>
      <c r="H39" s="10">
        <f>'Plant Inputs'!U21</f>
        <v>2</v>
      </c>
      <c r="I39" s="10">
        <f>'Plant Inputs'!U27</f>
        <v>1</v>
      </c>
      <c r="J39" s="10">
        <f>'Plant Inputs'!U33</f>
        <v>1</v>
      </c>
      <c r="K39" s="10">
        <f>'Plant Inputs'!U39</f>
        <v>1</v>
      </c>
      <c r="L39" s="10">
        <f>'Entity Inputs'!S9</f>
        <v>12.0</v>
      </c>
      <c r="M39" s="10">
        <f>'Entity Inputs'!S15</f>
        <v>3.0</v>
      </c>
      <c r="N39" s="10">
        <f>'Group Inputs'!R9</f>
        <v>15.0</v>
      </c>
      <c r="O39" s="6" t="s">
        <v>1843</v>
      </c>
    </row>
    <row r="40" spans="1:15">
      <c r="A40" s="11" t="s">
        <v>476</v>
      </c>
      <c r="B40" s="11" t="s">
        <v>1844</v>
      </c>
      <c r="C40" s="11" t="s">
        <v>477</v>
      </c>
      <c r="D40" s="11"/>
      <c r="E40" s="11" t="s">
        <v>25</v>
      </c>
      <c r="F40" s="11">
        <f>'Plant KPIs'!K9</f>
        <v>5.4</v>
      </c>
      <c r="G40" s="11">
        <f>'Plant KPIs'!Q9</f>
        <v>11.42</v>
      </c>
      <c r="H40" s="11">
        <f>'Plant KPIs'!W9</f>
        <v>4.4</v>
      </c>
      <c r="I40" s="11">
        <f>'Plant KPIs'!AC9</f>
        <v>6.8</v>
      </c>
      <c r="J40" s="11">
        <f>'Plant KPIs'!AI9</f>
        <v>5.2</v>
      </c>
      <c r="K40" s="11">
        <f>'Plant KPIs'!AO9</f>
        <v>6.5</v>
      </c>
      <c r="L40" s="11">
        <f>'Entity KPIs'!K9</f>
        <v>8.24</v>
      </c>
      <c r="M40" s="11">
        <f>'Entity KPIs'!Q9</f>
        <v>6.17</v>
      </c>
      <c r="N40" s="11">
        <f>'Group KPIs'!K9</f>
        <v>7.83</v>
      </c>
      <c r="O40" s="11" t="s">
        <v>1845</v>
      </c>
    </row>
    <row r="42" spans="1:15">
      <c r="A42" s="9" t="s">
        <v>1853</v>
      </c>
      <c r="B42" s="9"/>
      <c r="C42" s="9"/>
      <c r="D42" s="9"/>
      <c r="E42" s="9"/>
      <c r="F42" s="9"/>
      <c r="G42" s="9"/>
      <c r="H42" s="9"/>
      <c r="I42" s="9"/>
      <c r="J42" s="9"/>
      <c r="K42" s="9"/>
      <c r="L42" s="9"/>
      <c r="M42" s="9"/>
      <c r="N42" s="9"/>
      <c r="O42" s="9"/>
    </row>
    <row r="43" spans="1:15">
      <c r="A43" s="6" t="s">
        <v>479</v>
      </c>
      <c r="B43" s="6" t="s">
        <v>1841</v>
      </c>
      <c r="C43" s="6" t="s">
        <v>40</v>
      </c>
      <c r="D43" s="6" t="s">
        <v>41</v>
      </c>
      <c r="E43" s="6" t="s">
        <v>1842</v>
      </c>
      <c r="F43" s="10">
        <f>'Plant Inputs'!K9</f>
        <v>30.2</v>
      </c>
      <c r="G43" s="10">
        <f>'Plant Inputs'!K15</f>
        <v>78.2</v>
      </c>
      <c r="H43" s="10">
        <f>'Plant Inputs'!K21</f>
        <v>12.3</v>
      </c>
      <c r="I43" s="10">
        <f>'Plant Inputs'!K27</f>
        <v>10.1</v>
      </c>
      <c r="J43" s="10">
        <f>'Plant Inputs'!K33</f>
        <v>10.2</v>
      </c>
      <c r="K43" s="10">
        <f>'Plant Inputs'!K39</f>
        <v>13.4</v>
      </c>
      <c r="L43" s="10">
        <f>'Entity Inputs'!I9</f>
        <v>120.7</v>
      </c>
      <c r="M43" s="10">
        <f>'Entity Inputs'!I15</f>
        <v>33.699999999999996</v>
      </c>
      <c r="N43" s="10">
        <f>'Group Inputs'!H9</f>
        <v>154.4</v>
      </c>
      <c r="O43" s="6" t="s">
        <v>1843</v>
      </c>
    </row>
    <row r="44" spans="1:15">
      <c r="A44" s="11" t="s">
        <v>479</v>
      </c>
      <c r="B44" s="11" t="s">
        <v>1844</v>
      </c>
      <c r="C44" s="11" t="s">
        <v>480</v>
      </c>
      <c r="D44" s="11"/>
      <c r="E44" s="11" t="s">
        <v>25</v>
      </c>
      <c r="F44" s="11">
        <f>'Plant KPIs'!K10</f>
        <v>30.2</v>
      </c>
      <c r="G44" s="11">
        <f>'Plant KPIs'!Q10</f>
        <v>78.2</v>
      </c>
      <c r="H44" s="11">
        <f>'Plant KPIs'!W10</f>
        <v>12.3</v>
      </c>
      <c r="I44" s="11">
        <f>'Plant KPIs'!AC10</f>
        <v>10.1</v>
      </c>
      <c r="J44" s="11">
        <f>'Plant KPIs'!AI10</f>
        <v>10.2</v>
      </c>
      <c r="K44" s="11">
        <f>'Plant KPIs'!AO10</f>
        <v>13.4</v>
      </c>
      <c r="L44" s="11">
        <f>'Entity KPIs'!K10</f>
        <v>120.7</v>
      </c>
      <c r="M44" s="11">
        <f>'Entity KPIs'!Q10</f>
        <v>33.7</v>
      </c>
      <c r="N44" s="11">
        <f>'Group KPIs'!K10</f>
        <v>154.4</v>
      </c>
      <c r="O44" s="11" t="s">
        <v>1845</v>
      </c>
    </row>
    <row r="46" spans="1:15">
      <c r="A46" s="9" t="s">
        <v>1854</v>
      </c>
      <c r="B46" s="9"/>
      <c r="C46" s="9"/>
      <c r="D46" s="9"/>
      <c r="E46" s="9"/>
      <c r="F46" s="9"/>
      <c r="G46" s="9"/>
      <c r="H46" s="9"/>
      <c r="I46" s="9"/>
      <c r="J46" s="9"/>
      <c r="K46" s="9"/>
      <c r="L46" s="9"/>
      <c r="M46" s="9"/>
      <c r="N46" s="9"/>
      <c r="O46" s="9"/>
    </row>
    <row r="47" spans="1:15">
      <c r="A47" s="6" t="s">
        <v>481</v>
      </c>
      <c r="B47" s="6" t="s">
        <v>1841</v>
      </c>
      <c r="C47" s="6" t="s">
        <v>58</v>
      </c>
      <c r="D47" s="6" t="s">
        <v>59</v>
      </c>
      <c r="E47" s="6" t="s">
        <v>1842</v>
      </c>
      <c r="F47" s="10">
        <f>'Plant Inputs'!T9</f>
        <v>4140</v>
      </c>
      <c r="G47" s="10">
        <f>'Plant Inputs'!T15</f>
        <v>14772</v>
      </c>
      <c r="H47" s="10">
        <f>'Plant Inputs'!T21</f>
        <v>2772</v>
      </c>
      <c r="I47" s="10">
        <f>'Plant Inputs'!T27</f>
        <v>1281</v>
      </c>
      <c r="J47" s="10">
        <f>'Plant Inputs'!T33</f>
        <v>2091</v>
      </c>
      <c r="K47" s="10">
        <f>'Plant Inputs'!T39</f>
        <v>2120</v>
      </c>
      <c r="L47" s="10">
        <f>'Entity Inputs'!R9</f>
        <v>21684.0</v>
      </c>
      <c r="M47" s="10">
        <f>'Entity Inputs'!R15</f>
        <v>5492.0</v>
      </c>
      <c r="N47" s="10">
        <f>'Group Inputs'!Q9</f>
        <v>27176.0</v>
      </c>
      <c r="O47" s="6" t="s">
        <v>1843</v>
      </c>
    </row>
    <row r="48" spans="1:15">
      <c r="A48" s="11" t="s">
        <v>481</v>
      </c>
      <c r="B48" s="11" t="s">
        <v>1844</v>
      </c>
      <c r="C48" s="11" t="s">
        <v>482</v>
      </c>
      <c r="D48" s="11"/>
      <c r="E48" s="11" t="s">
        <v>25</v>
      </c>
      <c r="F48" s="11">
        <f>'Plant KPIs'!K11</f>
        <v>4140.0</v>
      </c>
      <c r="G48" s="11">
        <f>'Plant KPIs'!Q11</f>
        <v>14772.0</v>
      </c>
      <c r="H48" s="11">
        <f>'Plant KPIs'!W11</f>
        <v>2772.0</v>
      </c>
      <c r="I48" s="11">
        <f>'Plant KPIs'!AC11</f>
        <v>1281.0</v>
      </c>
      <c r="J48" s="11">
        <f>'Plant KPIs'!AI11</f>
        <v>2091.0</v>
      </c>
      <c r="K48" s="11">
        <f>'Plant KPIs'!AO11</f>
        <v>2120.0</v>
      </c>
      <c r="L48" s="11">
        <f>'Entity KPIs'!K11</f>
        <v>21684.0</v>
      </c>
      <c r="M48" s="11">
        <f>'Entity KPIs'!Q11</f>
        <v>5492.0</v>
      </c>
      <c r="N48" s="11">
        <f>'Group KPIs'!K11</f>
        <v>27176.0</v>
      </c>
      <c r="O48" s="11" t="s">
        <v>1845</v>
      </c>
    </row>
    <row r="50" spans="1:15">
      <c r="A50" s="9" t="s">
        <v>1855</v>
      </c>
      <c r="B50" s="9"/>
      <c r="C50" s="9"/>
      <c r="D50" s="9"/>
      <c r="E50" s="9"/>
      <c r="F50" s="9"/>
      <c r="G50" s="9"/>
      <c r="H50" s="9"/>
      <c r="I50" s="9"/>
      <c r="J50" s="9"/>
      <c r="K50" s="9"/>
      <c r="L50" s="9"/>
      <c r="M50" s="9"/>
      <c r="N50" s="9"/>
      <c r="O50" s="9"/>
    </row>
    <row r="51" spans="1:15">
      <c r="A51" s="6" t="s">
        <v>485</v>
      </c>
      <c r="B51" s="6" t="s">
        <v>1841</v>
      </c>
      <c r="C51" s="6" t="s">
        <v>66</v>
      </c>
      <c r="D51" s="6" t="s">
        <v>67</v>
      </c>
      <c r="E51" s="6" t="s">
        <v>1842</v>
      </c>
      <c r="F51" s="10">
        <f>'Plant Inputs'!X9</f>
        <v>43</v>
      </c>
      <c r="G51" s="10">
        <f>'Plant Inputs'!X15</f>
        <v>27</v>
      </c>
      <c r="H51" s="10">
        <f>'Plant Inputs'!X21</f>
        <v>58</v>
      </c>
      <c r="I51" s="10">
        <f>'Plant Inputs'!X27</f>
        <v>59</v>
      </c>
      <c r="J51" s="10">
        <f>'Plant Inputs'!X33</f>
        <v>41</v>
      </c>
      <c r="K51" s="10">
        <f>'Plant Inputs'!X39</f>
        <v>34</v>
      </c>
      <c r="L51" s="10">
        <f>'Entity Inputs'!V9</f>
        <v>128.0</v>
      </c>
      <c r="M51" s="10">
        <f>'Entity Inputs'!V15</f>
        <v>134.0</v>
      </c>
      <c r="N51" s="10">
        <f>'Group Inputs'!U9</f>
        <v>262.0</v>
      </c>
      <c r="O51" s="6" t="s">
        <v>1843</v>
      </c>
    </row>
    <row r="52" spans="1:15">
      <c r="A52" s="6" t="s">
        <v>485</v>
      </c>
      <c r="B52" s="6" t="s">
        <v>1841</v>
      </c>
      <c r="C52" s="6" t="s">
        <v>64</v>
      </c>
      <c r="D52" s="6" t="s">
        <v>65</v>
      </c>
      <c r="E52" s="6" t="s">
        <v>1842</v>
      </c>
      <c r="F52" s="10">
        <f>'Plant Inputs'!W9</f>
        <v>46</v>
      </c>
      <c r="G52" s="10">
        <f>'Plant Inputs'!W15</f>
        <v>33</v>
      </c>
      <c r="H52" s="10">
        <f>'Plant Inputs'!W21</f>
        <v>58</v>
      </c>
      <c r="I52" s="10">
        <f>'Plant Inputs'!W27</f>
        <v>59</v>
      </c>
      <c r="J52" s="10">
        <f>'Plant Inputs'!W33</f>
        <v>42</v>
      </c>
      <c r="K52" s="10">
        <f>'Plant Inputs'!W39</f>
        <v>36</v>
      </c>
      <c r="L52" s="10">
        <f>'Entity Inputs'!U9</f>
        <v>137.0</v>
      </c>
      <c r="M52" s="10">
        <f>'Entity Inputs'!U15</f>
        <v>137.0</v>
      </c>
      <c r="N52" s="10">
        <f>'Group Inputs'!T9</f>
        <v>274.0</v>
      </c>
      <c r="O52" s="6" t="s">
        <v>1843</v>
      </c>
    </row>
    <row r="53" spans="1:15">
      <c r="A53" s="11" t="s">
        <v>485</v>
      </c>
      <c r="B53" s="11" t="s">
        <v>1844</v>
      </c>
      <c r="C53" s="11" t="s">
        <v>486</v>
      </c>
      <c r="D53" s="11"/>
      <c r="E53" s="11" t="s">
        <v>25</v>
      </c>
      <c r="F53" s="11">
        <f>'Plant KPIs'!K12</f>
        <v>93.48</v>
      </c>
      <c r="G53" s="11">
        <f>'Plant KPIs'!Q12</f>
        <v>81.82</v>
      </c>
      <c r="H53" s="11">
        <f>'Plant KPIs'!W12</f>
        <v>100.0</v>
      </c>
      <c r="I53" s="11">
        <f>'Plant KPIs'!AC12</f>
        <v>100.0</v>
      </c>
      <c r="J53" s="11">
        <f>'Plant KPIs'!AI12</f>
        <v>97.62</v>
      </c>
      <c r="K53" s="11">
        <f>'Plant KPIs'!AO12</f>
        <v>94.44</v>
      </c>
      <c r="L53" s="11">
        <f>'Entity KPIs'!K12</f>
        <v>93.43</v>
      </c>
      <c r="M53" s="11">
        <f>'Entity KPIs'!Q12</f>
        <v>97.81</v>
      </c>
      <c r="N53" s="11">
        <f>'Group KPIs'!K12</f>
        <v>95.62</v>
      </c>
      <c r="O53" s="11" t="s">
        <v>1845</v>
      </c>
    </row>
    <row r="55" spans="1:15">
      <c r="A55" s="9" t="s">
        <v>1856</v>
      </c>
      <c r="B55" s="9"/>
      <c r="C55" s="9"/>
      <c r="D55" s="9"/>
      <c r="E55" s="9"/>
      <c r="F55" s="9"/>
      <c r="G55" s="9"/>
      <c r="H55" s="9"/>
      <c r="I55" s="9"/>
      <c r="J55" s="9"/>
      <c r="K55" s="9"/>
      <c r="L55" s="9"/>
      <c r="M55" s="9"/>
      <c r="N55" s="9"/>
      <c r="O55" s="9"/>
    </row>
    <row r="56" spans="1:15">
      <c r="A56" s="6" t="s">
        <v>488</v>
      </c>
      <c r="B56" s="6" t="s">
        <v>1841</v>
      </c>
      <c r="C56" s="6" t="s">
        <v>68</v>
      </c>
      <c r="D56" s="6" t="s">
        <v>69</v>
      </c>
      <c r="E56" s="6" t="s">
        <v>1842</v>
      </c>
      <c r="F56" s="10">
        <f>'Plant Inputs'!Y9</f>
        <v>226098.2</v>
      </c>
      <c r="G56" s="10">
        <f>'Plant Inputs'!Y15</f>
        <v>308111</v>
      </c>
      <c r="H56" s="10">
        <f>'Plant Inputs'!Y21</f>
        <v>365860.2</v>
      </c>
      <c r="I56" s="10">
        <f>'Plant Inputs'!Y27</f>
        <v>266460.1</v>
      </c>
      <c r="J56" s="10">
        <f>'Plant Inputs'!Y33</f>
        <v>398678.1</v>
      </c>
      <c r="K56" s="10">
        <f>'Plant Inputs'!Y39</f>
        <v>262617.2</v>
      </c>
      <c r="L56" s="10">
        <f>'Entity Inputs'!W9</f>
        <v>900069.3999999999</v>
      </c>
      <c r="M56" s="10">
        <f>'Entity Inputs'!W15</f>
        <v>927755.3999999999</v>
      </c>
      <c r="N56" s="10">
        <f>'Group Inputs'!V9</f>
        <v>1827824.7999999998</v>
      </c>
      <c r="O56" s="6" t="s">
        <v>1843</v>
      </c>
    </row>
    <row r="57" spans="1:15">
      <c r="A57" s="6" t="s">
        <v>488</v>
      </c>
      <c r="B57" s="6" t="s">
        <v>1841</v>
      </c>
      <c r="C57" s="6" t="s">
        <v>72</v>
      </c>
      <c r="D57" s="6" t="s">
        <v>73</v>
      </c>
      <c r="E57" s="6" t="s">
        <v>1842</v>
      </c>
      <c r="F57" s="10">
        <f>'Plant Inputs'!AA9</f>
        <v>1375.5</v>
      </c>
      <c r="G57" s="10">
        <f>'Plant Inputs'!AA15</f>
        <v>940.2</v>
      </c>
      <c r="H57" s="10">
        <f>'Plant Inputs'!AA21</f>
        <v>1454.1</v>
      </c>
      <c r="I57" s="10">
        <f>'Plant Inputs'!AA27</f>
        <v>1127.6</v>
      </c>
      <c r="J57" s="10">
        <f>'Plant Inputs'!AA33</f>
        <v>1248.5</v>
      </c>
      <c r="K57" s="10">
        <f>'Plant Inputs'!AA39</f>
        <v>1573</v>
      </c>
      <c r="L57" s="10">
        <f>'Entity Inputs'!Y9</f>
        <v>3769.7999999999997</v>
      </c>
      <c r="M57" s="10">
        <f>'Entity Inputs'!Y15</f>
        <v>3949.1</v>
      </c>
      <c r="N57" s="10">
        <f>'Group Inputs'!X9</f>
        <v>7718.9</v>
      </c>
      <c r="O57" s="6" t="s">
        <v>1843</v>
      </c>
    </row>
    <row r="58" spans="1:15">
      <c r="A58" s="6" t="s">
        <v>488</v>
      </c>
      <c r="B58" s="6" t="s">
        <v>1841</v>
      </c>
      <c r="C58" s="6" t="s">
        <v>50</v>
      </c>
      <c r="D58" s="6" t="s">
        <v>51</v>
      </c>
      <c r="E58" s="6" t="s">
        <v>1842</v>
      </c>
      <c r="F58" s="10">
        <f>'Plant Inputs'!P9</f>
        <v>81854</v>
      </c>
      <c r="G58" s="10">
        <f>'Plant Inputs'!P15</f>
        <v>95233</v>
      </c>
      <c r="H58" s="10">
        <f>'Plant Inputs'!P21</f>
        <v>139711</v>
      </c>
      <c r="I58" s="10">
        <f>'Plant Inputs'!P27</f>
        <v>81694</v>
      </c>
      <c r="J58" s="10">
        <f>'Plant Inputs'!P33</f>
        <v>132787</v>
      </c>
      <c r="K58" s="10">
        <f>'Plant Inputs'!P39</f>
        <v>94388</v>
      </c>
      <c r="L58" s="10">
        <f>'Entity Inputs'!N9</f>
        <v>316798.0</v>
      </c>
      <c r="M58" s="10">
        <f>'Entity Inputs'!N15</f>
        <v>308869.0</v>
      </c>
      <c r="N58" s="10">
        <f>'Group Inputs'!M9</f>
        <v>625667.0</v>
      </c>
      <c r="O58" s="6" t="s">
        <v>1843</v>
      </c>
    </row>
    <row r="59" spans="1:15">
      <c r="A59" s="11" t="s">
        <v>488</v>
      </c>
      <c r="B59" s="11" t="s">
        <v>1844</v>
      </c>
      <c r="C59" s="11" t="s">
        <v>489</v>
      </c>
      <c r="D59" s="11"/>
      <c r="E59" s="11" t="s">
        <v>25</v>
      </c>
      <c r="F59" s="11">
        <f>'Plant KPIs'!K13</f>
        <v>2779.02</v>
      </c>
      <c r="G59" s="11">
        <f>'Plant KPIs'!Q13</f>
        <v>3245.21</v>
      </c>
      <c r="H59" s="11">
        <f>'Plant KPIs'!W13</f>
        <v>2629.1</v>
      </c>
      <c r="I59" s="11">
        <f>'Plant KPIs'!AC13</f>
        <v>3275.49</v>
      </c>
      <c r="J59" s="11">
        <f>'Plant KPIs'!AI13</f>
        <v>3011.79</v>
      </c>
      <c r="K59" s="11">
        <f>'Plant KPIs'!AO13</f>
        <v>2798.98</v>
      </c>
      <c r="L59" s="11">
        <f>'Entity KPIs'!K13</f>
        <v>2853.05</v>
      </c>
      <c r="M59" s="11">
        <f>'Entity KPIs'!Q13</f>
        <v>3016.5</v>
      </c>
      <c r="N59" s="11">
        <f>'Group KPIs'!K13</f>
        <v>2933.74</v>
      </c>
      <c r="O59" s="11" t="s">
        <v>1845</v>
      </c>
    </row>
    <row r="61" spans="1:15">
      <c r="A61" s="9" t="s">
        <v>1857</v>
      </c>
      <c r="B61" s="9"/>
      <c r="C61" s="9"/>
      <c r="D61" s="9"/>
      <c r="E61" s="9"/>
      <c r="F61" s="9"/>
      <c r="G61" s="9"/>
      <c r="H61" s="9"/>
      <c r="I61" s="9"/>
      <c r="J61" s="9"/>
      <c r="K61" s="9"/>
      <c r="L61" s="9"/>
      <c r="M61" s="9"/>
      <c r="N61" s="9"/>
      <c r="O61" s="9"/>
    </row>
    <row r="62" spans="1:15">
      <c r="A62" s="6" t="s">
        <v>492</v>
      </c>
      <c r="B62" s="6" t="s">
        <v>1841</v>
      </c>
      <c r="C62" s="6" t="s">
        <v>68</v>
      </c>
      <c r="D62" s="6" t="s">
        <v>69</v>
      </c>
      <c r="E62" s="6" t="s">
        <v>1842</v>
      </c>
      <c r="F62" s="10">
        <f>'Plant Inputs'!Y9</f>
        <v>226098.2</v>
      </c>
      <c r="G62" s="10">
        <f>'Plant Inputs'!Y15</f>
        <v>308111</v>
      </c>
      <c r="H62" s="10">
        <f>'Plant Inputs'!Y21</f>
        <v>365860.2</v>
      </c>
      <c r="I62" s="10">
        <f>'Plant Inputs'!Y27</f>
        <v>266460.1</v>
      </c>
      <c r="J62" s="10">
        <f>'Plant Inputs'!Y33</f>
        <v>398678.1</v>
      </c>
      <c r="K62" s="10">
        <f>'Plant Inputs'!Y39</f>
        <v>262617.2</v>
      </c>
      <c r="L62" s="10">
        <f>'Entity Inputs'!W9</f>
        <v>900069.3999999999</v>
      </c>
      <c r="M62" s="10">
        <f>'Entity Inputs'!W15</f>
        <v>927755.3999999999</v>
      </c>
      <c r="N62" s="10">
        <f>'Group Inputs'!V9</f>
        <v>1827824.7999999998</v>
      </c>
      <c r="O62" s="6" t="s">
        <v>1843</v>
      </c>
    </row>
    <row r="63" spans="1:15">
      <c r="A63" s="11" t="s">
        <v>492</v>
      </c>
      <c r="B63" s="11" t="s">
        <v>1844</v>
      </c>
      <c r="C63" s="11" t="s">
        <v>493</v>
      </c>
      <c r="D63" s="11"/>
      <c r="E63" s="11" t="s">
        <v>25</v>
      </c>
      <c r="F63" s="11">
        <f>'Plant KPIs'!K14</f>
        <v>226098.2</v>
      </c>
      <c r="G63" s="11">
        <f>'Plant KPIs'!Q14</f>
        <v>308111.0</v>
      </c>
      <c r="H63" s="11">
        <f>'Plant KPIs'!W14</f>
        <v>365860.2</v>
      </c>
      <c r="I63" s="11">
        <f>'Plant KPIs'!AC14</f>
        <v>266460.1</v>
      </c>
      <c r="J63" s="11">
        <f>'Plant KPIs'!AI14</f>
        <v>398678.1</v>
      </c>
      <c r="K63" s="11">
        <f>'Plant KPIs'!AO14</f>
        <v>262617.2</v>
      </c>
      <c r="L63" s="11">
        <f>'Entity KPIs'!K14</f>
        <v>900069.4</v>
      </c>
      <c r="M63" s="11">
        <f>'Entity KPIs'!Q14</f>
        <v>927755.4</v>
      </c>
      <c r="N63" s="11">
        <f>'Group KPIs'!K14</f>
        <v>1827824.8</v>
      </c>
      <c r="O63" s="11" t="s">
        <v>1845</v>
      </c>
    </row>
    <row r="65" spans="1:15">
      <c r="A65" s="9" t="s">
        <v>1858</v>
      </c>
      <c r="B65" s="9"/>
      <c r="C65" s="9"/>
      <c r="D65" s="9"/>
      <c r="E65" s="9"/>
      <c r="F65" s="9"/>
      <c r="G65" s="9"/>
      <c r="H65" s="9"/>
      <c r="I65" s="9"/>
      <c r="J65" s="9"/>
      <c r="K65" s="9"/>
      <c r="L65" s="9"/>
      <c r="M65" s="9"/>
      <c r="N65" s="9"/>
      <c r="O65" s="9"/>
    </row>
    <row r="66" spans="1:15">
      <c r="A66" s="6" t="s">
        <v>495</v>
      </c>
      <c r="B66" s="6" t="s">
        <v>1841</v>
      </c>
      <c r="C66" s="6" t="s">
        <v>70</v>
      </c>
      <c r="D66" s="6" t="s">
        <v>71</v>
      </c>
      <c r="E66" s="6" t="s">
        <v>1842</v>
      </c>
      <c r="F66" s="10">
        <f>'Plant Inputs'!Z9</f>
        <v>50616</v>
      </c>
      <c r="G66" s="10">
        <f>'Plant Inputs'!Z15</f>
        <v>70784.4</v>
      </c>
      <c r="H66" s="10">
        <f>'Plant Inputs'!Z21</f>
        <v>97272</v>
      </c>
      <c r="I66" s="10">
        <f>'Plant Inputs'!Z27</f>
        <v>82640.2</v>
      </c>
      <c r="J66" s="10">
        <f>'Plant Inputs'!Z33</f>
        <v>92193.9</v>
      </c>
      <c r="K66" s="10">
        <f>'Plant Inputs'!Z39</f>
        <v>65862.8</v>
      </c>
      <c r="L66" s="10">
        <f>'Entity Inputs'!X9</f>
        <v>218672.4</v>
      </c>
      <c r="M66" s="10">
        <f>'Entity Inputs'!X15</f>
        <v>240696.89999999997</v>
      </c>
      <c r="N66" s="10">
        <f>'Group Inputs'!W9</f>
        <v>459369.29999999993</v>
      </c>
      <c r="O66" s="6" t="s">
        <v>1843</v>
      </c>
    </row>
    <row r="67" spans="1:15">
      <c r="A67" s="11" t="s">
        <v>495</v>
      </c>
      <c r="B67" s="11" t="s">
        <v>1844</v>
      </c>
      <c r="C67" s="11" t="s">
        <v>496</v>
      </c>
      <c r="D67" s="11"/>
      <c r="E67" s="11" t="s">
        <v>25</v>
      </c>
      <c r="F67" s="11">
        <f>'Plant KPIs'!K15</f>
        <v>50616.0</v>
      </c>
      <c r="G67" s="11">
        <f>'Plant KPIs'!Q15</f>
        <v>70784.4</v>
      </c>
      <c r="H67" s="11">
        <f>'Plant KPIs'!W15</f>
        <v>97272.0</v>
      </c>
      <c r="I67" s="11">
        <f>'Plant KPIs'!AC15</f>
        <v>82640.2</v>
      </c>
      <c r="J67" s="11">
        <f>'Plant KPIs'!AI15</f>
        <v>92193.9</v>
      </c>
      <c r="K67" s="11">
        <f>'Plant KPIs'!AO15</f>
        <v>65862.8</v>
      </c>
      <c r="L67" s="11">
        <f>'Entity KPIs'!K15</f>
        <v>218672.4</v>
      </c>
      <c r="M67" s="11">
        <f>'Entity KPIs'!Q15</f>
        <v>240696.9</v>
      </c>
      <c r="N67" s="11">
        <f>'Group KPIs'!K15</f>
        <v>459369.3</v>
      </c>
      <c r="O67" s="11" t="s">
        <v>1845</v>
      </c>
    </row>
    <row r="69" spans="1:15">
      <c r="A69" s="9" t="s">
        <v>1859</v>
      </c>
      <c r="B69" s="9"/>
      <c r="C69" s="9"/>
      <c r="D69" s="9"/>
      <c r="E69" s="9"/>
      <c r="F69" s="9"/>
      <c r="G69" s="9"/>
      <c r="H69" s="9"/>
      <c r="I69" s="9"/>
      <c r="J69" s="9"/>
      <c r="K69" s="9"/>
      <c r="L69" s="9"/>
      <c r="M69" s="9"/>
      <c r="N69" s="9"/>
      <c r="O69" s="9"/>
    </row>
    <row r="70" spans="1:15">
      <c r="A70" s="6" t="s">
        <v>497</v>
      </c>
      <c r="B70" s="6" t="s">
        <v>1841</v>
      </c>
      <c r="C70" s="6" t="s">
        <v>74</v>
      </c>
      <c r="D70" s="6" t="s">
        <v>75</v>
      </c>
      <c r="E70" s="6" t="s">
        <v>1842</v>
      </c>
      <c r="F70" s="10">
        <f>'Plant Inputs'!AB9</f>
        <v>148807</v>
      </c>
      <c r="G70" s="10">
        <f>'Plant Inputs'!AB15</f>
        <v>245659</v>
      </c>
      <c r="H70" s="10">
        <f>'Plant Inputs'!AB21</f>
        <v>346844</v>
      </c>
      <c r="I70" s="10">
        <f>'Plant Inputs'!AB27</f>
        <v>178267</v>
      </c>
      <c r="J70" s="10">
        <f>'Plant Inputs'!AB33</f>
        <v>299945</v>
      </c>
      <c r="K70" s="10">
        <f>'Plant Inputs'!AB39</f>
        <v>230619</v>
      </c>
      <c r="L70" s="10">
        <f>'Entity Inputs'!Z9</f>
        <v>741310.0</v>
      </c>
      <c r="M70" s="10">
        <f>'Entity Inputs'!Z15</f>
        <v>708831.0</v>
      </c>
      <c r="N70" s="10">
        <f>'Group Inputs'!Y9</f>
        <v>1450141.0</v>
      </c>
      <c r="O70" s="6" t="s">
        <v>1843</v>
      </c>
    </row>
    <row r="71" spans="1:15">
      <c r="A71" s="11" t="s">
        <v>497</v>
      </c>
      <c r="B71" s="11" t="s">
        <v>1844</v>
      </c>
      <c r="C71" s="11" t="s">
        <v>498</v>
      </c>
      <c r="D71" s="11"/>
      <c r="E71" s="11" t="s">
        <v>25</v>
      </c>
      <c r="F71" s="11">
        <f>'Plant KPIs'!K16</f>
        <v>148807.0</v>
      </c>
      <c r="G71" s="11">
        <f>'Plant KPIs'!Q16</f>
        <v>245659.0</v>
      </c>
      <c r="H71" s="11">
        <f>'Plant KPIs'!W16</f>
        <v>346844.0</v>
      </c>
      <c r="I71" s="11">
        <f>'Plant KPIs'!AC16</f>
        <v>178267.0</v>
      </c>
      <c r="J71" s="11">
        <f>'Plant KPIs'!AI16</f>
        <v>299945.0</v>
      </c>
      <c r="K71" s="11">
        <f>'Plant KPIs'!AO16</f>
        <v>230619.0</v>
      </c>
      <c r="L71" s="11">
        <f>'Entity KPIs'!K16</f>
        <v>741310.0</v>
      </c>
      <c r="M71" s="11">
        <f>'Entity KPIs'!Q16</f>
        <v>708831.0</v>
      </c>
      <c r="N71" s="11">
        <f>'Group KPIs'!K16</f>
        <v>1450141.0</v>
      </c>
      <c r="O71" s="11" t="s">
        <v>1845</v>
      </c>
    </row>
    <row r="73" spans="1:15">
      <c r="A73" s="9" t="s">
        <v>1860</v>
      </c>
      <c r="B73" s="9"/>
      <c r="C73" s="9"/>
      <c r="D73" s="9"/>
      <c r="E73" s="9"/>
      <c r="F73" s="9"/>
      <c r="G73" s="9"/>
      <c r="H73" s="9"/>
      <c r="I73" s="9"/>
      <c r="J73" s="9"/>
      <c r="K73" s="9"/>
      <c r="L73" s="9"/>
      <c r="M73" s="9"/>
      <c r="N73" s="9"/>
      <c r="O73" s="9"/>
    </row>
    <row r="74" spans="1:15">
      <c r="A74" s="6" t="s">
        <v>501</v>
      </c>
      <c r="B74" s="6" t="s">
        <v>1841</v>
      </c>
      <c r="C74" s="6" t="s">
        <v>76</v>
      </c>
      <c r="D74" s="6" t="s">
        <v>77</v>
      </c>
      <c r="E74" s="6" t="s">
        <v>1842</v>
      </c>
      <c r="F74" s="10">
        <f>'Plant Inputs'!AC9</f>
        <v>59115</v>
      </c>
      <c r="G74" s="10">
        <f>'Plant Inputs'!AC15</f>
        <v>68824</v>
      </c>
      <c r="H74" s="10">
        <f>'Plant Inputs'!AC21</f>
        <v>91566</v>
      </c>
      <c r="I74" s="10">
        <f>'Plant Inputs'!AC27</f>
        <v>58385</v>
      </c>
      <c r="J74" s="10">
        <f>'Plant Inputs'!AC33</f>
        <v>86535</v>
      </c>
      <c r="K74" s="10">
        <f>'Plant Inputs'!AC39</f>
        <v>63239</v>
      </c>
      <c r="L74" s="10">
        <f>'Entity Inputs'!AA9</f>
        <v>219505.0</v>
      </c>
      <c r="M74" s="10">
        <f>'Entity Inputs'!AA15</f>
        <v>208159.0</v>
      </c>
      <c r="N74" s="10">
        <f>'Group Inputs'!Z9</f>
        <v>427664.0</v>
      </c>
      <c r="O74" s="6" t="s">
        <v>1843</v>
      </c>
    </row>
    <row r="75" spans="1:15">
      <c r="A75" s="11" t="s">
        <v>501</v>
      </c>
      <c r="B75" s="11" t="s">
        <v>1844</v>
      </c>
      <c r="C75" s="11" t="s">
        <v>502</v>
      </c>
      <c r="D75" s="11"/>
      <c r="E75" s="11" t="s">
        <v>25</v>
      </c>
      <c r="F75" s="11">
        <f>'Plant KPIs'!K17</f>
        <v>59115.0</v>
      </c>
      <c r="G75" s="11">
        <f>'Plant KPIs'!Q17</f>
        <v>68824.0</v>
      </c>
      <c r="H75" s="11">
        <f>'Plant KPIs'!W17</f>
        <v>91566.0</v>
      </c>
      <c r="I75" s="11">
        <f>'Plant KPIs'!AC17</f>
        <v>58385.0</v>
      </c>
      <c r="J75" s="11">
        <f>'Plant KPIs'!AI17</f>
        <v>86535.0</v>
      </c>
      <c r="K75" s="11">
        <f>'Plant KPIs'!AO17</f>
        <v>63239.0</v>
      </c>
      <c r="L75" s="11">
        <f>'Entity KPIs'!K17</f>
        <v>219505.0</v>
      </c>
      <c r="M75" s="11">
        <f>'Entity KPIs'!Q17</f>
        <v>208159.0</v>
      </c>
      <c r="N75" s="11">
        <f>'Group KPIs'!K17</f>
        <v>427664.0</v>
      </c>
      <c r="O75" s="11" t="s">
        <v>1845</v>
      </c>
    </row>
    <row r="77" spans="1:15">
      <c r="A77" s="9" t="s">
        <v>1861</v>
      </c>
      <c r="B77" s="9"/>
      <c r="C77" s="9"/>
      <c r="D77" s="9"/>
      <c r="E77" s="9"/>
      <c r="F77" s="9"/>
      <c r="G77" s="9"/>
      <c r="H77" s="9"/>
      <c r="I77" s="9"/>
      <c r="J77" s="9"/>
      <c r="K77" s="9"/>
      <c r="L77" s="9"/>
      <c r="M77" s="9"/>
      <c r="N77" s="9"/>
      <c r="O77" s="9"/>
    </row>
    <row r="78" spans="1:15">
      <c r="A78" s="6" t="s">
        <v>504</v>
      </c>
      <c r="B78" s="6" t="s">
        <v>1841</v>
      </c>
      <c r="C78" s="6" t="s">
        <v>78</v>
      </c>
      <c r="D78" s="6" t="s">
        <v>79</v>
      </c>
      <c r="E78" s="6" t="s">
        <v>1842</v>
      </c>
      <c r="F78" s="10">
        <f>'Plant Inputs'!AD9</f>
        <v>289576</v>
      </c>
      <c r="G78" s="10">
        <f>'Plant Inputs'!AD15</f>
        <v>358135</v>
      </c>
      <c r="H78" s="10">
        <f>'Plant Inputs'!AD21</f>
        <v>496742</v>
      </c>
      <c r="I78" s="10">
        <f>'Plant Inputs'!AD27</f>
        <v>283879</v>
      </c>
      <c r="J78" s="10">
        <f>'Plant Inputs'!AD33</f>
        <v>425107</v>
      </c>
      <c r="K78" s="10">
        <f>'Plant Inputs'!AD39</f>
        <v>287280</v>
      </c>
      <c r="L78" s="10">
        <f>'Entity Inputs'!AB9</f>
        <v>1144453.0</v>
      </c>
      <c r="M78" s="10">
        <f>'Entity Inputs'!AB15</f>
        <v>996266.0</v>
      </c>
      <c r="N78" s="10">
        <f>'Group Inputs'!AA9</f>
        <v>2140719.0</v>
      </c>
      <c r="O78" s="6" t="s">
        <v>1843</v>
      </c>
    </row>
    <row r="79" spans="1:15">
      <c r="A79" s="6" t="s">
        <v>504</v>
      </c>
      <c r="B79" s="6" t="s">
        <v>1841</v>
      </c>
      <c r="C79" s="6" t="s">
        <v>50</v>
      </c>
      <c r="D79" s="6" t="s">
        <v>51</v>
      </c>
      <c r="E79" s="6" t="s">
        <v>1842</v>
      </c>
      <c r="F79" s="10">
        <f>'Plant Inputs'!P9</f>
        <v>81854</v>
      </c>
      <c r="G79" s="10">
        <f>'Plant Inputs'!P15</f>
        <v>95233</v>
      </c>
      <c r="H79" s="10">
        <f>'Plant Inputs'!P21</f>
        <v>139711</v>
      </c>
      <c r="I79" s="10">
        <f>'Plant Inputs'!P27</f>
        <v>81694</v>
      </c>
      <c r="J79" s="10">
        <f>'Plant Inputs'!P33</f>
        <v>132787</v>
      </c>
      <c r="K79" s="10">
        <f>'Plant Inputs'!P39</f>
        <v>94388</v>
      </c>
      <c r="L79" s="10">
        <f>'Entity Inputs'!N9</f>
        <v>316798.0</v>
      </c>
      <c r="M79" s="10">
        <f>'Entity Inputs'!N15</f>
        <v>308869.0</v>
      </c>
      <c r="N79" s="10">
        <f>'Group Inputs'!M9</f>
        <v>625667.0</v>
      </c>
      <c r="O79" s="6" t="s">
        <v>1843</v>
      </c>
    </row>
    <row r="80" spans="1:15">
      <c r="A80" s="11" t="s">
        <v>504</v>
      </c>
      <c r="B80" s="11" t="s">
        <v>1844</v>
      </c>
      <c r="C80" s="11" t="s">
        <v>505</v>
      </c>
      <c r="D80" s="11"/>
      <c r="E80" s="11" t="s">
        <v>25</v>
      </c>
      <c r="F80" s="11">
        <f>'Plant KPIs'!K18</f>
        <v>3.54</v>
      </c>
      <c r="G80" s="11">
        <f>'Plant KPIs'!Q18</f>
        <v>3.76</v>
      </c>
      <c r="H80" s="11">
        <f>'Plant KPIs'!W18</f>
        <v>3.56</v>
      </c>
      <c r="I80" s="11">
        <f>'Plant KPIs'!AC18</f>
        <v>3.47</v>
      </c>
      <c r="J80" s="11">
        <f>'Plant KPIs'!AI18</f>
        <v>3.2</v>
      </c>
      <c r="K80" s="11">
        <f>'Plant KPIs'!AO18</f>
        <v>3.04</v>
      </c>
      <c r="L80" s="11">
        <f>'Entity KPIs'!K18</f>
        <v>3.61</v>
      </c>
      <c r="M80" s="11">
        <f>'Entity KPIs'!Q18</f>
        <v>3.23</v>
      </c>
      <c r="N80" s="11">
        <f>'Group KPIs'!K18</f>
        <v>3.42</v>
      </c>
      <c r="O80" s="11" t="s">
        <v>1845</v>
      </c>
    </row>
    <row r="82" spans="1:15">
      <c r="A82" s="9" t="s">
        <v>1862</v>
      </c>
      <c r="B82" s="9"/>
      <c r="C82" s="9"/>
      <c r="D82" s="9"/>
      <c r="E82" s="9"/>
      <c r="F82" s="9"/>
      <c r="G82" s="9"/>
      <c r="H82" s="9"/>
      <c r="I82" s="9"/>
      <c r="J82" s="9"/>
      <c r="K82" s="9"/>
      <c r="L82" s="9"/>
      <c r="M82" s="9"/>
      <c r="N82" s="9"/>
      <c r="O82" s="9"/>
    </row>
    <row r="83" spans="1:15">
      <c r="A83" s="6" t="s">
        <v>508</v>
      </c>
      <c r="B83" s="6" t="s">
        <v>1841</v>
      </c>
      <c r="C83" s="6" t="s">
        <v>80</v>
      </c>
      <c r="D83" s="6" t="s">
        <v>81</v>
      </c>
      <c r="E83" s="6" t="s">
        <v>1842</v>
      </c>
      <c r="F83" s="10">
        <f>'Plant Inputs'!AE9</f>
        <v>3669</v>
      </c>
      <c r="G83" s="10">
        <f>'Plant Inputs'!AE15</f>
        <v>24322</v>
      </c>
      <c r="H83" s="10">
        <f>'Plant Inputs'!AE21</f>
        <v>2939</v>
      </c>
      <c r="I83" s="10">
        <f>'Plant Inputs'!AE27</f>
        <v>0</v>
      </c>
      <c r="J83" s="10">
        <f>'Plant Inputs'!AE33</f>
        <v>0</v>
      </c>
      <c r="K83" s="10">
        <f>'Plant Inputs'!AE39</f>
        <v>5880</v>
      </c>
      <c r="L83" s="10">
        <f>'Entity Inputs'!AC9</f>
        <v>30930.0</v>
      </c>
      <c r="M83" s="10">
        <f>'Entity Inputs'!AC15</f>
        <v>5880.0</v>
      </c>
      <c r="N83" s="10">
        <f>'Group Inputs'!AB9</f>
        <v>36810.0</v>
      </c>
      <c r="O83" s="6" t="s">
        <v>1843</v>
      </c>
    </row>
    <row r="84" spans="1:15">
      <c r="A84" s="11" t="s">
        <v>508</v>
      </c>
      <c r="B84" s="11" t="s">
        <v>1844</v>
      </c>
      <c r="C84" s="11" t="s">
        <v>509</v>
      </c>
      <c r="D84" s="11"/>
      <c r="E84" s="11" t="s">
        <v>25</v>
      </c>
      <c r="F84" s="11">
        <f>'Plant KPIs'!K19</f>
        <v>3669.0</v>
      </c>
      <c r="G84" s="11">
        <f>'Plant KPIs'!Q19</f>
        <v>24322.0</v>
      </c>
      <c r="H84" s="11">
        <f>'Plant KPIs'!W19</f>
        <v>2939.0</v>
      </c>
      <c r="I84" s="11">
        <f>'Plant KPIs'!AC19</f>
        <v>0.0</v>
      </c>
      <c r="J84" s="11">
        <f>'Plant KPIs'!AI19</f>
        <v>0.0</v>
      </c>
      <c r="K84" s="11">
        <f>'Plant KPIs'!AO19</f>
        <v>5880.0</v>
      </c>
      <c r="L84" s="11">
        <f>'Entity KPIs'!K19</f>
        <v>30930.0</v>
      </c>
      <c r="M84" s="11">
        <f>'Entity KPIs'!Q19</f>
        <v>5880.0</v>
      </c>
      <c r="N84" s="11">
        <f>'Group KPIs'!K19</f>
        <v>36810.0</v>
      </c>
      <c r="O84" s="11" t="s">
        <v>1845</v>
      </c>
    </row>
    <row r="86" spans="1:15">
      <c r="A86" s="9" t="s">
        <v>1863</v>
      </c>
      <c r="B86" s="9"/>
      <c r="C86" s="9"/>
      <c r="D86" s="9"/>
      <c r="E86" s="9"/>
      <c r="F86" s="9"/>
      <c r="G86" s="9"/>
      <c r="H86" s="9"/>
      <c r="I86" s="9"/>
      <c r="J86" s="9"/>
      <c r="K86" s="9"/>
      <c r="L86" s="9"/>
      <c r="M86" s="9"/>
      <c r="N86" s="9"/>
      <c r="O86" s="9"/>
    </row>
    <row r="87" spans="1:15">
      <c r="A87" s="6" t="s">
        <v>510</v>
      </c>
      <c r="B87" s="6" t="s">
        <v>1841</v>
      </c>
      <c r="C87" s="6" t="s">
        <v>82</v>
      </c>
      <c r="D87" s="6" t="s">
        <v>83</v>
      </c>
      <c r="E87" s="6" t="s">
        <v>1842</v>
      </c>
      <c r="F87" s="10">
        <f>'Plant Inputs'!AF9</f>
        <v>0</v>
      </c>
      <c r="G87" s="10">
        <f>'Plant Inputs'!AF15</f>
        <v>4</v>
      </c>
      <c r="H87" s="10">
        <f>'Plant Inputs'!AF21</f>
        <v>1</v>
      </c>
      <c r="I87" s="10">
        <f>'Plant Inputs'!AF27</f>
        <v>0</v>
      </c>
      <c r="J87" s="10">
        <f>'Plant Inputs'!AF33</f>
        <v>1</v>
      </c>
      <c r="K87" s="10">
        <f>'Plant Inputs'!AF39</f>
        <v>1</v>
      </c>
      <c r="L87" s="10">
        <f>'Entity Inputs'!AD9</f>
        <v>5.0</v>
      </c>
      <c r="M87" s="10">
        <f>'Entity Inputs'!AD15</f>
        <v>2.0</v>
      </c>
      <c r="N87" s="10">
        <f>'Group Inputs'!AC9</f>
        <v>7.0</v>
      </c>
      <c r="O87" s="6" t="s">
        <v>1843</v>
      </c>
    </row>
    <row r="88" spans="1:15">
      <c r="A88" s="11" t="s">
        <v>510</v>
      </c>
      <c r="B88" s="11" t="s">
        <v>1844</v>
      </c>
      <c r="C88" s="11" t="s">
        <v>511</v>
      </c>
      <c r="D88" s="11"/>
      <c r="E88" s="11" t="s">
        <v>25</v>
      </c>
      <c r="F88" s="11">
        <f>'Plant KPIs'!K20</f>
        <v>0.0</v>
      </c>
      <c r="G88" s="11">
        <f>'Plant KPIs'!Q20</f>
        <v>4.0</v>
      </c>
      <c r="H88" s="11">
        <f>'Plant KPIs'!W20</f>
        <v>1.0</v>
      </c>
      <c r="I88" s="11">
        <f>'Plant KPIs'!AC20</f>
        <v>0.0</v>
      </c>
      <c r="J88" s="11">
        <f>'Plant KPIs'!AI20</f>
        <v>1.0</v>
      </c>
      <c r="K88" s="11">
        <f>'Plant KPIs'!AO20</f>
        <v>1.0</v>
      </c>
      <c r="L88" s="11">
        <f>'Entity KPIs'!K20</f>
        <v>5.0</v>
      </c>
      <c r="M88" s="11">
        <f>'Entity KPIs'!Q20</f>
        <v>2.0</v>
      </c>
      <c r="N88" s="11">
        <f>'Group KPIs'!K20</f>
        <v>7.0</v>
      </c>
      <c r="O88" s="11" t="s">
        <v>1845</v>
      </c>
    </row>
    <row r="90" spans="1:15">
      <c r="A90" s="9" t="s">
        <v>1864</v>
      </c>
      <c r="B90" s="9"/>
      <c r="C90" s="9"/>
      <c r="D90" s="9"/>
      <c r="E90" s="9"/>
      <c r="F90" s="9"/>
      <c r="G90" s="9"/>
      <c r="H90" s="9"/>
      <c r="I90" s="9"/>
      <c r="J90" s="9"/>
      <c r="K90" s="9"/>
      <c r="L90" s="9"/>
      <c r="M90" s="9"/>
      <c r="N90" s="9"/>
      <c r="O90" s="9"/>
    </row>
    <row r="91" spans="1:15">
      <c r="A91" s="6" t="s">
        <v>514</v>
      </c>
      <c r="B91" s="6" t="s">
        <v>1841</v>
      </c>
      <c r="C91" s="6" t="s">
        <v>106</v>
      </c>
      <c r="D91" s="6" t="s">
        <v>107</v>
      </c>
      <c r="E91" s="6" t="s">
        <v>1842</v>
      </c>
      <c r="F91" s="10">
        <f>'Plant Inputs'!AR9</f>
        <v>2</v>
      </c>
      <c r="G91" s="10">
        <f>'Plant Inputs'!AR15</f>
        <v>1</v>
      </c>
      <c r="H91" s="10">
        <f>'Plant Inputs'!AR21</f>
        <v>1</v>
      </c>
      <c r="I91" s="10">
        <f>'Plant Inputs'!AR27</f>
        <v>0</v>
      </c>
      <c r="J91" s="10">
        <f>'Plant Inputs'!AR33</f>
        <v>0</v>
      </c>
      <c r="K91" s="10">
        <f>'Plant Inputs'!AR39</f>
        <v>1</v>
      </c>
      <c r="L91" s="10">
        <f>'Entity Inputs'!AP9</f>
        <v>4.0</v>
      </c>
      <c r="M91" s="10">
        <f>'Entity Inputs'!AP15</f>
        <v>1.0</v>
      </c>
      <c r="N91" s="10">
        <f>'Group Inputs'!AO9</f>
        <v>5.0</v>
      </c>
      <c r="O91" s="6" t="s">
        <v>1843</v>
      </c>
    </row>
    <row r="92" spans="1:15">
      <c r="A92" s="11" t="s">
        <v>514</v>
      </c>
      <c r="B92" s="11" t="s">
        <v>1844</v>
      </c>
      <c r="C92" s="11" t="s">
        <v>515</v>
      </c>
      <c r="D92" s="11"/>
      <c r="E92" s="11" t="s">
        <v>25</v>
      </c>
      <c r="F92" s="11">
        <f>'Plant KPIs'!K21</f>
        <v>2.0</v>
      </c>
      <c r="G92" s="11">
        <f>'Plant KPIs'!Q21</f>
        <v>1.0</v>
      </c>
      <c r="H92" s="11">
        <f>'Plant KPIs'!W21</f>
        <v>1.0</v>
      </c>
      <c r="I92" s="11">
        <f>'Plant KPIs'!AC21</f>
        <v>0.0</v>
      </c>
      <c r="J92" s="11">
        <f>'Plant KPIs'!AI21</f>
        <v>0.0</v>
      </c>
      <c r="K92" s="11">
        <f>'Plant KPIs'!AO21</f>
        <v>1.0</v>
      </c>
      <c r="L92" s="11">
        <f>'Entity KPIs'!K21</f>
        <v>4.0</v>
      </c>
      <c r="M92" s="11">
        <f>'Entity KPIs'!Q21</f>
        <v>1.0</v>
      </c>
      <c r="N92" s="11">
        <f>'Group KPIs'!K21</f>
        <v>5.0</v>
      </c>
      <c r="O92" s="11" t="s">
        <v>1845</v>
      </c>
    </row>
    <row r="94" spans="1:15">
      <c r="A94" s="9" t="s">
        <v>1865</v>
      </c>
      <c r="B94" s="9"/>
      <c r="C94" s="9"/>
      <c r="D94" s="9"/>
      <c r="E94" s="9"/>
      <c r="F94" s="9"/>
      <c r="G94" s="9"/>
      <c r="H94" s="9"/>
      <c r="I94" s="9"/>
      <c r="J94" s="9"/>
      <c r="K94" s="9"/>
      <c r="L94" s="9"/>
      <c r="M94" s="9"/>
      <c r="N94" s="9"/>
      <c r="O94" s="9"/>
    </row>
    <row r="95" spans="1:15">
      <c r="A95" s="6" t="s">
        <v>517</v>
      </c>
      <c r="B95" s="6" t="s">
        <v>1841</v>
      </c>
      <c r="C95" s="6" t="s">
        <v>110</v>
      </c>
      <c r="D95" s="6" t="s">
        <v>111</v>
      </c>
      <c r="E95" s="6" t="s">
        <v>1842</v>
      </c>
      <c r="F95" s="10">
        <f>'Plant Inputs'!AT9</f>
        <v>9</v>
      </c>
      <c r="G95" s="10">
        <f>'Plant Inputs'!AT15</f>
        <v>36</v>
      </c>
      <c r="H95" s="10">
        <f>'Plant Inputs'!AT21</f>
        <v>16</v>
      </c>
      <c r="I95" s="10">
        <f>'Plant Inputs'!AT27</f>
        <v>12</v>
      </c>
      <c r="J95" s="10">
        <f>'Plant Inputs'!AT33</f>
        <v>15</v>
      </c>
      <c r="K95" s="10">
        <f>'Plant Inputs'!AT39</f>
        <v>3</v>
      </c>
      <c r="L95" s="10">
        <f>'Entity Inputs'!AR9</f>
        <v>61.0</v>
      </c>
      <c r="M95" s="10">
        <f>'Entity Inputs'!AR15</f>
        <v>30.0</v>
      </c>
      <c r="N95" s="10">
        <f>'Group Inputs'!AQ9</f>
        <v>91.0</v>
      </c>
      <c r="O95" s="6" t="s">
        <v>1843</v>
      </c>
    </row>
    <row r="96" spans="1:15">
      <c r="A96" s="6" t="s">
        <v>517</v>
      </c>
      <c r="B96" s="6" t="s">
        <v>1841</v>
      </c>
      <c r="C96" s="6" t="s">
        <v>108</v>
      </c>
      <c r="D96" s="6" t="s">
        <v>109</v>
      </c>
      <c r="E96" s="6" t="s">
        <v>1842</v>
      </c>
      <c r="F96" s="10">
        <f>'Plant Inputs'!AS9</f>
        <v>120</v>
      </c>
      <c r="G96" s="10">
        <f>'Plant Inputs'!AS15</f>
        <v>225</v>
      </c>
      <c r="H96" s="10">
        <f>'Plant Inputs'!AS21</f>
        <v>214</v>
      </c>
      <c r="I96" s="10">
        <f>'Plant Inputs'!AS27</f>
        <v>169</v>
      </c>
      <c r="J96" s="10">
        <f>'Plant Inputs'!AS33</f>
        <v>198</v>
      </c>
      <c r="K96" s="10">
        <f>'Plant Inputs'!AS39</f>
        <v>125</v>
      </c>
      <c r="L96" s="10">
        <f>'Entity Inputs'!AQ9</f>
        <v>559.0</v>
      </c>
      <c r="M96" s="10">
        <f>'Entity Inputs'!AQ15</f>
        <v>492.0</v>
      </c>
      <c r="N96" s="10">
        <f>'Group Inputs'!AP9</f>
        <v>1051.0</v>
      </c>
      <c r="O96" s="6" t="s">
        <v>1843</v>
      </c>
    </row>
    <row r="97" spans="1:15">
      <c r="A97" s="11" t="s">
        <v>517</v>
      </c>
      <c r="B97" s="11" t="s">
        <v>1844</v>
      </c>
      <c r="C97" s="11" t="s">
        <v>518</v>
      </c>
      <c r="D97" s="11"/>
      <c r="E97" s="11" t="s">
        <v>25</v>
      </c>
      <c r="F97" s="11">
        <f>'Plant KPIs'!K22</f>
        <v>7.5</v>
      </c>
      <c r="G97" s="11">
        <f>'Plant KPIs'!Q22</f>
        <v>16.0</v>
      </c>
      <c r="H97" s="11">
        <f>'Plant KPIs'!W22</f>
        <v>7.48</v>
      </c>
      <c r="I97" s="11">
        <f>'Plant KPIs'!AC22</f>
        <v>7.1</v>
      </c>
      <c r="J97" s="11">
        <f>'Plant KPIs'!AI22</f>
        <v>7.58</v>
      </c>
      <c r="K97" s="11">
        <f>'Plant KPIs'!AO22</f>
        <v>2.4</v>
      </c>
      <c r="L97" s="11">
        <f>'Entity KPIs'!K22</f>
        <v>10.91</v>
      </c>
      <c r="M97" s="11">
        <f>'Entity KPIs'!Q22</f>
        <v>6.1</v>
      </c>
      <c r="N97" s="11">
        <f>'Group KPIs'!K22</f>
        <v>8.66</v>
      </c>
      <c r="O97" s="11" t="s">
        <v>1845</v>
      </c>
    </row>
    <row r="99" spans="1:15">
      <c r="A99" s="9" t="s">
        <v>1866</v>
      </c>
      <c r="B99" s="9"/>
      <c r="C99" s="9"/>
      <c r="D99" s="9"/>
      <c r="E99" s="9"/>
      <c r="F99" s="9"/>
      <c r="G99" s="9"/>
      <c r="H99" s="9"/>
      <c r="I99" s="9"/>
      <c r="J99" s="9"/>
      <c r="K99" s="9"/>
      <c r="L99" s="9"/>
      <c r="M99" s="9"/>
      <c r="N99" s="9"/>
      <c r="O99" s="9"/>
    </row>
    <row r="100" spans="1:15">
      <c r="A100" s="6" t="s">
        <v>520</v>
      </c>
      <c r="B100" s="6" t="s">
        <v>1841</v>
      </c>
      <c r="C100" s="6" t="s">
        <v>96</v>
      </c>
      <c r="D100" s="6" t="s">
        <v>97</v>
      </c>
      <c r="E100" s="6" t="s">
        <v>1842</v>
      </c>
      <c r="F100" s="10">
        <f>'Plant Inputs'!AM9</f>
        <v>0</v>
      </c>
      <c r="G100" s="10">
        <f>'Plant Inputs'!AM15</f>
        <v>0</v>
      </c>
      <c r="H100" s="10">
        <f>'Plant Inputs'!AM21</f>
        <v>0</v>
      </c>
      <c r="I100" s="10">
        <f>'Plant Inputs'!AM27</f>
        <v>0</v>
      </c>
      <c r="J100" s="10">
        <f>'Plant Inputs'!AM33</f>
        <v>0</v>
      </c>
      <c r="K100" s="10">
        <f>'Plant Inputs'!AM39</f>
        <v>0</v>
      </c>
      <c r="L100" s="10">
        <f>'Entity Inputs'!AK9</f>
        <v>0.0</v>
      </c>
      <c r="M100" s="10">
        <f>'Entity Inputs'!AK15</f>
        <v>0.0</v>
      </c>
      <c r="N100" s="10">
        <f>'Group Inputs'!AJ9</f>
        <v>0.0</v>
      </c>
      <c r="O100" s="6" t="s">
        <v>1843</v>
      </c>
    </row>
    <row r="101" spans="1:15">
      <c r="A101" s="11" t="s">
        <v>520</v>
      </c>
      <c r="B101" s="11" t="s">
        <v>1844</v>
      </c>
      <c r="C101" s="11" t="s">
        <v>521</v>
      </c>
      <c r="D101" s="11"/>
      <c r="E101" s="11" t="s">
        <v>25</v>
      </c>
      <c r="F101" s="11">
        <f>'Plant KPIs'!K23</f>
        <v>0.0</v>
      </c>
      <c r="G101" s="11">
        <f>'Plant KPIs'!Q23</f>
        <v>0.0</v>
      </c>
      <c r="H101" s="11">
        <f>'Plant KPIs'!W23</f>
        <v>0.0</v>
      </c>
      <c r="I101" s="11">
        <f>'Plant KPIs'!AC23</f>
        <v>0.0</v>
      </c>
      <c r="J101" s="11">
        <f>'Plant KPIs'!AI23</f>
        <v>0.0</v>
      </c>
      <c r="K101" s="11">
        <f>'Plant KPIs'!AO23</f>
        <v>0.0</v>
      </c>
      <c r="L101" s="11">
        <f>'Entity KPIs'!K23</f>
        <v>0.0</v>
      </c>
      <c r="M101" s="11">
        <f>'Entity KPIs'!Q23</f>
        <v>0.0</v>
      </c>
      <c r="N101" s="11">
        <f>'Group KPIs'!K23</f>
        <v>0.0</v>
      </c>
      <c r="O101" s="11" t="s">
        <v>1845</v>
      </c>
    </row>
    <row r="103" spans="1:15">
      <c r="A103" s="9" t="s">
        <v>1867</v>
      </c>
      <c r="B103" s="9"/>
      <c r="C103" s="9"/>
      <c r="D103" s="9"/>
      <c r="E103" s="9"/>
      <c r="F103" s="9"/>
      <c r="G103" s="9"/>
      <c r="H103" s="9"/>
      <c r="I103" s="9"/>
      <c r="J103" s="9"/>
      <c r="K103" s="9"/>
      <c r="L103" s="9"/>
      <c r="M103" s="9"/>
      <c r="N103" s="9"/>
      <c r="O103" s="9"/>
    </row>
    <row r="104" spans="1:15">
      <c r="A104" s="6" t="s">
        <v>522</v>
      </c>
      <c r="B104" s="6" t="s">
        <v>1841</v>
      </c>
      <c r="C104" s="6" t="s">
        <v>86</v>
      </c>
      <c r="D104" s="6" t="s">
        <v>87</v>
      </c>
      <c r="E104" s="6" t="s">
        <v>1842</v>
      </c>
      <c r="F104" s="10">
        <f>'Plant Inputs'!AH9</f>
        <v>0</v>
      </c>
      <c r="G104" s="10">
        <f>'Plant Inputs'!AH15</f>
        <v>0</v>
      </c>
      <c r="H104" s="10">
        <f>'Plant Inputs'!AH21</f>
        <v>1</v>
      </c>
      <c r="I104" s="10">
        <f>'Plant Inputs'!AH27</f>
        <v>0</v>
      </c>
      <c r="J104" s="10">
        <f>'Plant Inputs'!AH33</f>
        <v>0</v>
      </c>
      <c r="K104" s="10">
        <f>'Plant Inputs'!AH39</f>
        <v>0</v>
      </c>
      <c r="L104" s="10">
        <f>'Entity Inputs'!AF9</f>
        <v>1.0</v>
      </c>
      <c r="M104" s="10">
        <f>'Entity Inputs'!AF15</f>
        <v>0.0</v>
      </c>
      <c r="N104" s="10">
        <f>'Group Inputs'!AE9</f>
        <v>1.0</v>
      </c>
      <c r="O104" s="6" t="s">
        <v>1843</v>
      </c>
    </row>
    <row r="105" spans="1:15">
      <c r="A105" s="6" t="s">
        <v>522</v>
      </c>
      <c r="B105" s="6" t="s">
        <v>1841</v>
      </c>
      <c r="C105" s="6" t="s">
        <v>84</v>
      </c>
      <c r="D105" s="6" t="s">
        <v>85</v>
      </c>
      <c r="E105" s="6" t="s">
        <v>1842</v>
      </c>
      <c r="F105" s="10">
        <f>'Plant Inputs'!AG9</f>
        <v>55000</v>
      </c>
      <c r="G105" s="10">
        <f>'Plant Inputs'!AG15</f>
        <v>95000</v>
      </c>
      <c r="H105" s="10">
        <f>'Plant Inputs'!AG21</f>
        <v>69000</v>
      </c>
      <c r="I105" s="10">
        <f>'Plant Inputs'!AG27</f>
        <v>57000</v>
      </c>
      <c r="J105" s="10">
        <f>'Plant Inputs'!AG33</f>
        <v>60000</v>
      </c>
      <c r="K105" s="10">
        <f>'Plant Inputs'!AG39</f>
        <v>89000</v>
      </c>
      <c r="L105" s="10">
        <f>'Entity Inputs'!AE9</f>
        <v>219000.0</v>
      </c>
      <c r="M105" s="10">
        <f>'Entity Inputs'!AE15</f>
        <v>206000.0</v>
      </c>
      <c r="N105" s="10">
        <f>'Group Inputs'!AD9</f>
        <v>425000.0</v>
      </c>
      <c r="O105" s="6" t="s">
        <v>1843</v>
      </c>
    </row>
    <row r="106" spans="1:15">
      <c r="A106" s="11" t="s">
        <v>522</v>
      </c>
      <c r="B106" s="11" t="s">
        <v>1844</v>
      </c>
      <c r="C106" s="11" t="s">
        <v>523</v>
      </c>
      <c r="D106" s="11"/>
      <c r="E106" s="11" t="s">
        <v>25</v>
      </c>
      <c r="F106" s="11">
        <f>'Plant KPIs'!K24</f>
        <v>0.0</v>
      </c>
      <c r="G106" s="11">
        <f>'Plant KPIs'!Q24</f>
        <v>0.0</v>
      </c>
      <c r="H106" s="11">
        <f>'Plant KPIs'!W24</f>
        <v>2.9</v>
      </c>
      <c r="I106" s="11">
        <f>'Plant KPIs'!AC24</f>
        <v>0.0</v>
      </c>
      <c r="J106" s="11">
        <f>'Plant KPIs'!AI24</f>
        <v>0.0</v>
      </c>
      <c r="K106" s="11">
        <f>'Plant KPIs'!AO24</f>
        <v>0.0</v>
      </c>
      <c r="L106" s="11">
        <f>'Entity KPIs'!K24</f>
        <v>0.91</v>
      </c>
      <c r="M106" s="11">
        <f>'Entity KPIs'!Q24</f>
        <v>0.0</v>
      </c>
      <c r="N106" s="11">
        <f>'Group KPIs'!K24</f>
        <v>0.47</v>
      </c>
      <c r="O106" s="11" t="s">
        <v>1845</v>
      </c>
    </row>
    <row r="108" spans="1:15">
      <c r="A108" s="9" t="s">
        <v>1868</v>
      </c>
      <c r="B108" s="9"/>
      <c r="C108" s="9"/>
      <c r="D108" s="9"/>
      <c r="E108" s="9"/>
      <c r="F108" s="9"/>
      <c r="G108" s="9"/>
      <c r="H108" s="9"/>
      <c r="I108" s="9"/>
      <c r="J108" s="9"/>
      <c r="K108" s="9"/>
      <c r="L108" s="9"/>
      <c r="M108" s="9"/>
      <c r="N108" s="9"/>
      <c r="O108" s="9"/>
    </row>
    <row r="109" spans="1:15">
      <c r="A109" s="6" t="s">
        <v>526</v>
      </c>
      <c r="B109" s="6" t="s">
        <v>1841</v>
      </c>
      <c r="C109" s="6" t="s">
        <v>88</v>
      </c>
      <c r="D109" s="6" t="s">
        <v>89</v>
      </c>
      <c r="E109" s="6" t="s">
        <v>1842</v>
      </c>
      <c r="F109" s="10">
        <f>'Plant Inputs'!AI9</f>
        <v>1</v>
      </c>
      <c r="G109" s="10">
        <f>'Plant Inputs'!AI15</f>
        <v>0</v>
      </c>
      <c r="H109" s="10">
        <f>'Plant Inputs'!AI21</f>
        <v>0</v>
      </c>
      <c r="I109" s="10">
        <f>'Plant Inputs'!AI27</f>
        <v>0</v>
      </c>
      <c r="J109" s="10">
        <f>'Plant Inputs'!AI33</f>
        <v>1</v>
      </c>
      <c r="K109" s="10">
        <f>'Plant Inputs'!AI39</f>
        <v>1</v>
      </c>
      <c r="L109" s="10">
        <f>'Entity Inputs'!AG9</f>
        <v>1.0</v>
      </c>
      <c r="M109" s="10">
        <f>'Entity Inputs'!AG15</f>
        <v>2.0</v>
      </c>
      <c r="N109" s="10">
        <f>'Group Inputs'!AF9</f>
        <v>3.0</v>
      </c>
      <c r="O109" s="6" t="s">
        <v>1843</v>
      </c>
    </row>
    <row r="110" spans="1:15">
      <c r="A110" s="11" t="s">
        <v>526</v>
      </c>
      <c r="B110" s="11" t="s">
        <v>1844</v>
      </c>
      <c r="C110" s="11" t="s">
        <v>527</v>
      </c>
      <c r="D110" s="11"/>
      <c r="E110" s="11" t="s">
        <v>25</v>
      </c>
      <c r="F110" s="11">
        <f>'Plant KPIs'!K25</f>
        <v>1.0</v>
      </c>
      <c r="G110" s="11">
        <f>'Plant KPIs'!Q25</f>
        <v>0.0</v>
      </c>
      <c r="H110" s="11">
        <f>'Plant KPIs'!W25</f>
        <v>0.0</v>
      </c>
      <c r="I110" s="11">
        <f>'Plant KPIs'!AC25</f>
        <v>0.0</v>
      </c>
      <c r="J110" s="11">
        <f>'Plant KPIs'!AI25</f>
        <v>1.0</v>
      </c>
      <c r="K110" s="11">
        <f>'Plant KPIs'!AO25</f>
        <v>1.0</v>
      </c>
      <c r="L110" s="11">
        <f>'Entity KPIs'!K25</f>
        <v>1.0</v>
      </c>
      <c r="M110" s="11">
        <f>'Entity KPIs'!Q25</f>
        <v>2.0</v>
      </c>
      <c r="N110" s="11">
        <f>'Group KPIs'!K25</f>
        <v>3.0</v>
      </c>
      <c r="O110" s="11" t="s">
        <v>1845</v>
      </c>
    </row>
    <row r="112" spans="1:15">
      <c r="A112" s="9" t="s">
        <v>1869</v>
      </c>
      <c r="B112" s="9"/>
      <c r="C112" s="9"/>
      <c r="D112" s="9"/>
      <c r="E112" s="9"/>
      <c r="F112" s="9"/>
      <c r="G112" s="9"/>
      <c r="H112" s="9"/>
      <c r="I112" s="9"/>
      <c r="J112" s="9"/>
      <c r="K112" s="9"/>
      <c r="L112" s="9"/>
      <c r="M112" s="9"/>
      <c r="N112" s="9"/>
      <c r="O112" s="9"/>
    </row>
    <row r="113" spans="1:15">
      <c r="A113" s="6" t="s">
        <v>528</v>
      </c>
      <c r="B113" s="6" t="s">
        <v>1841</v>
      </c>
      <c r="C113" s="6" t="s">
        <v>90</v>
      </c>
      <c r="D113" s="6" t="s">
        <v>91</v>
      </c>
      <c r="E113" s="6" t="s">
        <v>1842</v>
      </c>
      <c r="F113" s="10">
        <f>'Plant Inputs'!AJ9</f>
        <v>9</v>
      </c>
      <c r="G113" s="10">
        <f>'Plant Inputs'!AJ15</f>
        <v>2</v>
      </c>
      <c r="H113" s="10">
        <f>'Plant Inputs'!AJ21</f>
        <v>9</v>
      </c>
      <c r="I113" s="10">
        <f>'Plant Inputs'!AJ27</f>
        <v>3</v>
      </c>
      <c r="J113" s="10">
        <f>'Plant Inputs'!AJ33</f>
        <v>9</v>
      </c>
      <c r="K113" s="10">
        <f>'Plant Inputs'!AJ39</f>
        <v>9</v>
      </c>
      <c r="L113" s="10">
        <f>'Entity Inputs'!AH9</f>
        <v>20.0</v>
      </c>
      <c r="M113" s="10">
        <f>'Entity Inputs'!AH15</f>
        <v>21.0</v>
      </c>
      <c r="N113" s="10">
        <f>'Group Inputs'!AG9</f>
        <v>41.0</v>
      </c>
      <c r="O113" s="6" t="s">
        <v>1843</v>
      </c>
    </row>
    <row r="114" spans="1:15">
      <c r="A114" s="11" t="s">
        <v>528</v>
      </c>
      <c r="B114" s="11" t="s">
        <v>1844</v>
      </c>
      <c r="C114" s="11" t="s">
        <v>529</v>
      </c>
      <c r="D114" s="11"/>
      <c r="E114" s="11" t="s">
        <v>25</v>
      </c>
      <c r="F114" s="11">
        <f>'Plant KPIs'!K26</f>
        <v>9.0</v>
      </c>
      <c r="G114" s="11">
        <f>'Plant KPIs'!Q26</f>
        <v>2.0</v>
      </c>
      <c r="H114" s="11">
        <f>'Plant KPIs'!W26</f>
        <v>9.0</v>
      </c>
      <c r="I114" s="11">
        <f>'Plant KPIs'!AC26</f>
        <v>3.0</v>
      </c>
      <c r="J114" s="11">
        <f>'Plant KPIs'!AI26</f>
        <v>9.0</v>
      </c>
      <c r="K114" s="11">
        <f>'Plant KPIs'!AO26</f>
        <v>9.0</v>
      </c>
      <c r="L114" s="11">
        <f>'Entity KPIs'!K26</f>
        <v>20.0</v>
      </c>
      <c r="M114" s="11">
        <f>'Entity KPIs'!Q26</f>
        <v>21.0</v>
      </c>
      <c r="N114" s="11">
        <f>'Group KPIs'!K26</f>
        <v>41.0</v>
      </c>
      <c r="O114" s="11" t="s">
        <v>1845</v>
      </c>
    </row>
    <row r="116" spans="1:15">
      <c r="A116" s="9" t="s">
        <v>1870</v>
      </c>
      <c r="B116" s="9"/>
      <c r="C116" s="9"/>
      <c r="D116" s="9"/>
      <c r="E116" s="9"/>
      <c r="F116" s="9"/>
      <c r="G116" s="9"/>
      <c r="H116" s="9"/>
      <c r="I116" s="9"/>
      <c r="J116" s="9"/>
      <c r="K116" s="9"/>
      <c r="L116" s="9"/>
      <c r="M116" s="9"/>
      <c r="N116" s="9"/>
      <c r="O116" s="9"/>
    </row>
    <row r="117" spans="1:15">
      <c r="A117" s="6" t="s">
        <v>530</v>
      </c>
      <c r="B117" s="6" t="s">
        <v>1841</v>
      </c>
      <c r="C117" s="6" t="s">
        <v>92</v>
      </c>
      <c r="D117" s="6" t="s">
        <v>93</v>
      </c>
      <c r="E117" s="6" t="s">
        <v>1842</v>
      </c>
      <c r="F117" s="10">
        <f>'Plant Inputs'!AK9</f>
        <v>0</v>
      </c>
      <c r="G117" s="10">
        <f>'Plant Inputs'!AK15</f>
        <v>0</v>
      </c>
      <c r="H117" s="10">
        <f>'Plant Inputs'!AK21</f>
        <v>0</v>
      </c>
      <c r="I117" s="10">
        <f>'Plant Inputs'!AK27</f>
        <v>0</v>
      </c>
      <c r="J117" s="10">
        <f>'Plant Inputs'!AK33</f>
        <v>0</v>
      </c>
      <c r="K117" s="10">
        <f>'Plant Inputs'!AK39</f>
        <v>0</v>
      </c>
      <c r="L117" s="10">
        <f>'Entity Inputs'!AI9</f>
        <v>0.0</v>
      </c>
      <c r="M117" s="10">
        <f>'Entity Inputs'!AI15</f>
        <v>0.0</v>
      </c>
      <c r="N117" s="10">
        <f>'Group Inputs'!AH9</f>
        <v>0.0</v>
      </c>
      <c r="O117" s="6" t="s">
        <v>1843</v>
      </c>
    </row>
    <row r="118" spans="1:15">
      <c r="A118" s="11" t="s">
        <v>530</v>
      </c>
      <c r="B118" s="11" t="s">
        <v>1844</v>
      </c>
      <c r="C118" s="11" t="s">
        <v>531</v>
      </c>
      <c r="D118" s="11"/>
      <c r="E118" s="11" t="s">
        <v>25</v>
      </c>
      <c r="F118" s="11">
        <f>'Plant KPIs'!K27</f>
        <v>0.0</v>
      </c>
      <c r="G118" s="11">
        <f>'Plant KPIs'!Q27</f>
        <v>0.0</v>
      </c>
      <c r="H118" s="11">
        <f>'Plant KPIs'!W27</f>
        <v>0.0</v>
      </c>
      <c r="I118" s="11">
        <f>'Plant KPIs'!AC27</f>
        <v>0.0</v>
      </c>
      <c r="J118" s="11">
        <f>'Plant KPIs'!AI27</f>
        <v>0.0</v>
      </c>
      <c r="K118" s="11">
        <f>'Plant KPIs'!AO27</f>
        <v>0.0</v>
      </c>
      <c r="L118" s="11">
        <f>'Entity KPIs'!K27</f>
        <v>0.0</v>
      </c>
      <c r="M118" s="11">
        <f>'Entity KPIs'!Q27</f>
        <v>0.0</v>
      </c>
      <c r="N118" s="11">
        <f>'Group KPIs'!K27</f>
        <v>0.0</v>
      </c>
      <c r="O118" s="11" t="s">
        <v>1845</v>
      </c>
    </row>
    <row r="120" spans="1:15">
      <c r="A120" s="9" t="s">
        <v>1871</v>
      </c>
      <c r="B120" s="9"/>
      <c r="C120" s="9"/>
      <c r="D120" s="9"/>
      <c r="E120" s="9"/>
      <c r="F120" s="9"/>
      <c r="G120" s="9"/>
      <c r="H120" s="9"/>
      <c r="I120" s="9"/>
      <c r="J120" s="9"/>
      <c r="K120" s="9"/>
      <c r="L120" s="9"/>
      <c r="M120" s="9"/>
      <c r="N120" s="9"/>
      <c r="O120" s="9"/>
    </row>
    <row r="121" spans="1:15">
      <c r="A121" s="6" t="s">
        <v>532</v>
      </c>
      <c r="B121" s="6" t="s">
        <v>1841</v>
      </c>
      <c r="C121" s="6" t="s">
        <v>94</v>
      </c>
      <c r="D121" s="6" t="s">
        <v>95</v>
      </c>
      <c r="E121" s="6" t="s">
        <v>1842</v>
      </c>
      <c r="F121" s="10">
        <f>'Plant Inputs'!AL9</f>
        <v>0</v>
      </c>
      <c r="G121" s="10">
        <f>'Plant Inputs'!AL15</f>
        <v>1</v>
      </c>
      <c r="H121" s="10">
        <f>'Plant Inputs'!AL21</f>
        <v>0</v>
      </c>
      <c r="I121" s="10">
        <f>'Plant Inputs'!AL27</f>
        <v>1</v>
      </c>
      <c r="J121" s="10">
        <f>'Plant Inputs'!AL33</f>
        <v>0</v>
      </c>
      <c r="K121" s="10">
        <f>'Plant Inputs'!AL39</f>
        <v>0</v>
      </c>
      <c r="L121" s="10">
        <f>'Entity Inputs'!AJ9</f>
        <v>1.0</v>
      </c>
      <c r="M121" s="10">
        <f>'Entity Inputs'!AJ15</f>
        <v>1.0</v>
      </c>
      <c r="N121" s="10">
        <f>'Group Inputs'!AI9</f>
        <v>2.0</v>
      </c>
      <c r="O121" s="6" t="s">
        <v>1843</v>
      </c>
    </row>
    <row r="122" spans="1:15">
      <c r="A122" s="11" t="s">
        <v>532</v>
      </c>
      <c r="B122" s="11" t="s">
        <v>1844</v>
      </c>
      <c r="C122" s="11" t="s">
        <v>533</v>
      </c>
      <c r="D122" s="11"/>
      <c r="E122" s="11" t="s">
        <v>25</v>
      </c>
      <c r="F122" s="11">
        <f>'Plant KPIs'!K28</f>
        <v>0.0</v>
      </c>
      <c r="G122" s="11">
        <f>'Plant KPIs'!Q28</f>
        <v>1.0</v>
      </c>
      <c r="H122" s="11">
        <f>'Plant KPIs'!W28</f>
        <v>0.0</v>
      </c>
      <c r="I122" s="11">
        <f>'Plant KPIs'!AC28</f>
        <v>1.0</v>
      </c>
      <c r="J122" s="11">
        <f>'Plant KPIs'!AI28</f>
        <v>0.0</v>
      </c>
      <c r="K122" s="11">
        <f>'Plant KPIs'!AO28</f>
        <v>0.0</v>
      </c>
      <c r="L122" s="11">
        <f>'Entity KPIs'!K28</f>
        <v>1.0</v>
      </c>
      <c r="M122" s="11">
        <f>'Entity KPIs'!Q28</f>
        <v>1.0</v>
      </c>
      <c r="N122" s="11">
        <f>'Group KPIs'!K28</f>
        <v>2.0</v>
      </c>
      <c r="O122" s="11" t="s">
        <v>1845</v>
      </c>
    </row>
    <row r="124" spans="1:15">
      <c r="A124" s="9" t="s">
        <v>1872</v>
      </c>
      <c r="B124" s="9"/>
      <c r="C124" s="9"/>
      <c r="D124" s="9"/>
      <c r="E124" s="9"/>
      <c r="F124" s="9"/>
      <c r="G124" s="9"/>
      <c r="H124" s="9"/>
      <c r="I124" s="9"/>
      <c r="J124" s="9"/>
      <c r="K124" s="9"/>
      <c r="L124" s="9"/>
      <c r="M124" s="9"/>
      <c r="N124" s="9"/>
      <c r="O124" s="9"/>
    </row>
    <row r="125" spans="1:15">
      <c r="A125" s="6" t="s">
        <v>534</v>
      </c>
      <c r="B125" s="6" t="s">
        <v>1841</v>
      </c>
      <c r="C125" s="6" t="s">
        <v>98</v>
      </c>
      <c r="D125" s="6" t="s">
        <v>99</v>
      </c>
      <c r="E125" s="6" t="s">
        <v>1842</v>
      </c>
      <c r="F125" s="10">
        <f>'Plant Inputs'!AN9</f>
        <v>14</v>
      </c>
      <c r="G125" s="10">
        <f>'Plant Inputs'!AN15</f>
        <v>6</v>
      </c>
      <c r="H125" s="10">
        <f>'Plant Inputs'!AN21</f>
        <v>8</v>
      </c>
      <c r="I125" s="10">
        <f>'Plant Inputs'!AN27</f>
        <v>6</v>
      </c>
      <c r="J125" s="10">
        <f>'Plant Inputs'!AN33</f>
        <v>6</v>
      </c>
      <c r="K125" s="10">
        <f>'Plant Inputs'!AN39</f>
        <v>5</v>
      </c>
      <c r="L125" s="10">
        <f>'Entity Inputs'!AL9</f>
        <v>28.0</v>
      </c>
      <c r="M125" s="10">
        <f>'Entity Inputs'!AL15</f>
        <v>17.0</v>
      </c>
      <c r="N125" s="10">
        <f>'Group Inputs'!AK9</f>
        <v>45.0</v>
      </c>
      <c r="O125" s="6" t="s">
        <v>1843</v>
      </c>
    </row>
    <row r="126" spans="1:15">
      <c r="A126" s="11" t="s">
        <v>534</v>
      </c>
      <c r="B126" s="11" t="s">
        <v>1844</v>
      </c>
      <c r="C126" s="11" t="s">
        <v>535</v>
      </c>
      <c r="D126" s="11"/>
      <c r="E126" s="11" t="s">
        <v>25</v>
      </c>
      <c r="F126" s="11">
        <f>'Plant KPIs'!K29</f>
        <v>14.0</v>
      </c>
      <c r="G126" s="11">
        <f>'Plant KPIs'!Q29</f>
        <v>6.0</v>
      </c>
      <c r="H126" s="11">
        <f>'Plant KPIs'!W29</f>
        <v>8.0</v>
      </c>
      <c r="I126" s="11">
        <f>'Plant KPIs'!AC29</f>
        <v>6.0</v>
      </c>
      <c r="J126" s="11">
        <f>'Plant KPIs'!AI29</f>
        <v>6.0</v>
      </c>
      <c r="K126" s="11">
        <f>'Plant KPIs'!AO29</f>
        <v>5.0</v>
      </c>
      <c r="L126" s="11">
        <f>'Entity KPIs'!K29</f>
        <v>28.0</v>
      </c>
      <c r="M126" s="11">
        <f>'Entity KPIs'!Q29</f>
        <v>17.0</v>
      </c>
      <c r="N126" s="11">
        <f>'Group KPIs'!K29</f>
        <v>45.0</v>
      </c>
      <c r="O126" s="11" t="s">
        <v>1845</v>
      </c>
    </row>
    <row r="128" spans="1:15">
      <c r="A128" s="9" t="s">
        <v>1873</v>
      </c>
      <c r="B128" s="9"/>
      <c r="C128" s="9"/>
      <c r="D128" s="9"/>
      <c r="E128" s="9"/>
      <c r="F128" s="9"/>
      <c r="G128" s="9"/>
      <c r="H128" s="9"/>
      <c r="I128" s="9"/>
      <c r="J128" s="9"/>
      <c r="K128" s="9"/>
      <c r="L128" s="9"/>
      <c r="M128" s="9"/>
      <c r="N128" s="9"/>
      <c r="O128" s="9"/>
    </row>
    <row r="129" spans="1:15">
      <c r="A129" s="6" t="s">
        <v>536</v>
      </c>
      <c r="B129" s="6" t="s">
        <v>1841</v>
      </c>
      <c r="C129" s="6" t="s">
        <v>100</v>
      </c>
      <c r="D129" s="6" t="s">
        <v>101</v>
      </c>
      <c r="E129" s="6" t="s">
        <v>1842</v>
      </c>
      <c r="F129" s="10">
        <f>'Plant Inputs'!AO9</f>
        <v>4</v>
      </c>
      <c r="G129" s="10">
        <f>'Plant Inputs'!AO15</f>
        <v>1</v>
      </c>
      <c r="H129" s="10">
        <f>'Plant Inputs'!AO21</f>
        <v>2</v>
      </c>
      <c r="I129" s="10">
        <f>'Plant Inputs'!AO27</f>
        <v>1</v>
      </c>
      <c r="J129" s="10">
        <f>'Plant Inputs'!AO33</f>
        <v>0</v>
      </c>
      <c r="K129" s="10">
        <f>'Plant Inputs'!AO39</f>
        <v>1</v>
      </c>
      <c r="L129" s="10">
        <f>'Entity Inputs'!AM9</f>
        <v>7.0</v>
      </c>
      <c r="M129" s="10">
        <f>'Entity Inputs'!AM15</f>
        <v>2.0</v>
      </c>
      <c r="N129" s="10">
        <f>'Group Inputs'!AL9</f>
        <v>9.0</v>
      </c>
      <c r="O129" s="6" t="s">
        <v>1843</v>
      </c>
    </row>
    <row r="130" spans="1:15">
      <c r="A130" s="11" t="s">
        <v>536</v>
      </c>
      <c r="B130" s="11" t="s">
        <v>1844</v>
      </c>
      <c r="C130" s="11" t="s">
        <v>537</v>
      </c>
      <c r="D130" s="11"/>
      <c r="E130" s="11" t="s">
        <v>25</v>
      </c>
      <c r="F130" s="11">
        <f>'Plant KPIs'!K30</f>
        <v>4.0</v>
      </c>
      <c r="G130" s="11">
        <f>'Plant KPIs'!Q30</f>
        <v>1.0</v>
      </c>
      <c r="H130" s="11">
        <f>'Plant KPIs'!W30</f>
        <v>2.0</v>
      </c>
      <c r="I130" s="11">
        <f>'Plant KPIs'!AC30</f>
        <v>1.0</v>
      </c>
      <c r="J130" s="11">
        <f>'Plant KPIs'!AI30</f>
        <v>0.0</v>
      </c>
      <c r="K130" s="11">
        <f>'Plant KPIs'!AO30</f>
        <v>1.0</v>
      </c>
      <c r="L130" s="11">
        <f>'Entity KPIs'!K30</f>
        <v>7.0</v>
      </c>
      <c r="M130" s="11">
        <f>'Entity KPIs'!Q30</f>
        <v>2.0</v>
      </c>
      <c r="N130" s="11">
        <f>'Group KPIs'!K30</f>
        <v>9.0</v>
      </c>
      <c r="O130" s="11" t="s">
        <v>1845</v>
      </c>
    </row>
    <row r="132" spans="1:15">
      <c r="A132" s="9" t="s">
        <v>1874</v>
      </c>
      <c r="B132" s="9"/>
      <c r="C132" s="9"/>
      <c r="D132" s="9"/>
      <c r="E132" s="9"/>
      <c r="F132" s="9"/>
      <c r="G132" s="9"/>
      <c r="H132" s="9"/>
      <c r="I132" s="9"/>
      <c r="J132" s="9"/>
      <c r="K132" s="9"/>
      <c r="L132" s="9"/>
      <c r="M132" s="9"/>
      <c r="N132" s="9"/>
      <c r="O132" s="9"/>
    </row>
    <row r="133" spans="1:15">
      <c r="A133" s="6" t="s">
        <v>539</v>
      </c>
      <c r="B133" s="6" t="s">
        <v>1841</v>
      </c>
      <c r="C133" s="6" t="s">
        <v>102</v>
      </c>
      <c r="D133" s="6" t="s">
        <v>103</v>
      </c>
      <c r="E133" s="6" t="s">
        <v>1842</v>
      </c>
      <c r="F133" s="10">
        <f>'Plant Inputs'!AP9</f>
        <v>2</v>
      </c>
      <c r="G133" s="10">
        <f>'Plant Inputs'!AP15</f>
        <v>2</v>
      </c>
      <c r="H133" s="10">
        <f>'Plant Inputs'!AP21</f>
        <v>0</v>
      </c>
      <c r="I133" s="10">
        <f>'Plant Inputs'!AP27</f>
        <v>0</v>
      </c>
      <c r="J133" s="10">
        <f>'Plant Inputs'!AP33</f>
        <v>0</v>
      </c>
      <c r="K133" s="10">
        <f>'Plant Inputs'!AP39</f>
        <v>0</v>
      </c>
      <c r="L133" s="10">
        <f>'Entity Inputs'!AN9</f>
        <v>4.0</v>
      </c>
      <c r="M133" s="10">
        <f>'Entity Inputs'!AN15</f>
        <v>0.0</v>
      </c>
      <c r="N133" s="10">
        <f>'Group Inputs'!AM9</f>
        <v>4.0</v>
      </c>
      <c r="O133" s="6" t="s">
        <v>1843</v>
      </c>
    </row>
    <row r="134" spans="1:15">
      <c r="A134" s="6" t="s">
        <v>539</v>
      </c>
      <c r="B134" s="6" t="s">
        <v>1841</v>
      </c>
      <c r="C134" s="6" t="s">
        <v>104</v>
      </c>
      <c r="D134" s="6" t="s">
        <v>105</v>
      </c>
      <c r="E134" s="6" t="s">
        <v>1842</v>
      </c>
      <c r="F134" s="10">
        <f>'Plant Inputs'!AQ9</f>
        <v>2</v>
      </c>
      <c r="G134" s="10">
        <f>'Plant Inputs'!AQ15</f>
        <v>1</v>
      </c>
      <c r="H134" s="10">
        <f>'Plant Inputs'!AQ21</f>
        <v>0</v>
      </c>
      <c r="I134" s="10">
        <f>'Plant Inputs'!AQ27</f>
        <v>0</v>
      </c>
      <c r="J134" s="10">
        <f>'Plant Inputs'!AQ33</f>
        <v>0</v>
      </c>
      <c r="K134" s="10">
        <f>'Plant Inputs'!AQ39</f>
        <v>0</v>
      </c>
      <c r="L134" s="10">
        <f>'Entity Inputs'!AO9</f>
        <v>3.0</v>
      </c>
      <c r="M134" s="10">
        <f>'Entity Inputs'!AO15</f>
        <v>0.0</v>
      </c>
      <c r="N134" s="10">
        <f>'Group Inputs'!AN9</f>
        <v>3.0</v>
      </c>
      <c r="O134" s="6" t="s">
        <v>1843</v>
      </c>
    </row>
    <row r="135" spans="1:15">
      <c r="A135" s="11" t="s">
        <v>539</v>
      </c>
      <c r="B135" s="11" t="s">
        <v>1844</v>
      </c>
      <c r="C135" s="11" t="s">
        <v>540</v>
      </c>
      <c r="D135" s="11"/>
      <c r="E135" s="11" t="s">
        <v>25</v>
      </c>
      <c r="F135" s="11">
        <f>'Plant KPIs'!K31</f>
        <v>100.0</v>
      </c>
      <c r="G135" s="11">
        <f>'Plant KPIs'!Q31</f>
        <v>50.0</v>
      </c>
      <c r="H135" s="11">
        <f>'Plant KPIs'!W31</f>
        <v>100.0</v>
      </c>
      <c r="I135" s="11">
        <f>'Plant KPIs'!AC31</f>
        <v>100.0</v>
      </c>
      <c r="J135" s="11">
        <f>'Plant KPIs'!AI31</f>
        <v>100.0</v>
      </c>
      <c r="K135" s="11">
        <f>'Plant KPIs'!AO31</f>
        <v>100.0</v>
      </c>
      <c r="L135" s="11">
        <f>'Entity KPIs'!K31</f>
        <v>75.0</v>
      </c>
      <c r="M135" s="11">
        <f>'Entity KPIs'!Q31</f>
        <v>100.0</v>
      </c>
      <c r="N135" s="11">
        <f>'Group KPIs'!K31</f>
        <v>75.0</v>
      </c>
      <c r="O135" s="11" t="s">
        <v>1845</v>
      </c>
    </row>
    <row r="137" spans="1:15">
      <c r="A137" s="9" t="s">
        <v>1875</v>
      </c>
      <c r="B137" s="9"/>
      <c r="C137" s="9"/>
      <c r="D137" s="9"/>
      <c r="E137" s="9"/>
      <c r="F137" s="9"/>
      <c r="G137" s="9"/>
      <c r="H137" s="9"/>
      <c r="I137" s="9"/>
      <c r="J137" s="9"/>
      <c r="K137" s="9"/>
      <c r="L137" s="9"/>
      <c r="M137" s="9"/>
      <c r="N137" s="9"/>
      <c r="O137" s="9"/>
    </row>
    <row r="138" spans="1:15">
      <c r="A138" s="6" t="s">
        <v>542</v>
      </c>
      <c r="B138" s="6" t="s">
        <v>1841</v>
      </c>
      <c r="C138" s="6" t="s">
        <v>112</v>
      </c>
      <c r="D138" s="6" t="s">
        <v>113</v>
      </c>
      <c r="E138" s="6" t="s">
        <v>1842</v>
      </c>
      <c r="F138" s="10">
        <f>'Plant Inputs'!AU9</f>
        <v>161</v>
      </c>
      <c r="G138" s="10">
        <f>'Plant Inputs'!AU15</f>
        <v>65</v>
      </c>
      <c r="H138" s="10">
        <f>'Plant Inputs'!AU21</f>
        <v>68</v>
      </c>
      <c r="I138" s="10">
        <f>'Plant Inputs'!AU27</f>
        <v>219</v>
      </c>
      <c r="J138" s="10">
        <f>'Plant Inputs'!AU33</f>
        <v>102</v>
      </c>
      <c r="K138" s="10">
        <f>'Plant Inputs'!AU39</f>
        <v>110</v>
      </c>
      <c r="L138" s="10">
        <f>'Entity Inputs'!AS9</f>
        <v>65</v>
      </c>
      <c r="M138" s="10">
        <f>'Entity Inputs'!AS15</f>
        <v>102</v>
      </c>
      <c r="N138" s="10">
        <f>'Group Inputs'!AR9</f>
        <v>65</v>
      </c>
      <c r="O138" s="6" t="s">
        <v>1876</v>
      </c>
    </row>
    <row r="139" spans="1:15">
      <c r="A139" s="11" t="s">
        <v>542</v>
      </c>
      <c r="B139" s="11" t="s">
        <v>1844</v>
      </c>
      <c r="C139" s="11" t="s">
        <v>543</v>
      </c>
      <c r="D139" s="11"/>
      <c r="E139" s="11" t="s">
        <v>25</v>
      </c>
      <c r="F139" s="11">
        <f>'Plant KPIs'!K32</f>
        <v>161.0</v>
      </c>
      <c r="G139" s="11">
        <f>'Plant KPIs'!Q32</f>
        <v>65.0</v>
      </c>
      <c r="H139" s="11">
        <f>'Plant KPIs'!W32</f>
        <v>68.0</v>
      </c>
      <c r="I139" s="11">
        <f>'Plant KPIs'!AC32</f>
        <v>219.0</v>
      </c>
      <c r="J139" s="11">
        <f>'Plant KPIs'!AI32</f>
        <v>102.0</v>
      </c>
      <c r="K139" s="11">
        <f>'Plant KPIs'!AO32</f>
        <v>110.0</v>
      </c>
      <c r="L139" s="11">
        <f>'Entity KPIs'!K32</f>
        <v>65.0</v>
      </c>
      <c r="M139" s="11">
        <f>'Entity KPIs'!Q32</f>
        <v>102.0</v>
      </c>
      <c r="N139" s="11">
        <f>'Group KPIs'!K32</f>
        <v>65.0</v>
      </c>
      <c r="O139" s="11" t="s">
        <v>1845</v>
      </c>
    </row>
    <row r="141" spans="1:15">
      <c r="A141" s="9" t="s">
        <v>1877</v>
      </c>
      <c r="B141" s="9"/>
      <c r="C141" s="9"/>
      <c r="D141" s="9"/>
      <c r="E141" s="9"/>
      <c r="F141" s="9"/>
      <c r="G141" s="9"/>
      <c r="H141" s="9"/>
      <c r="I141" s="9"/>
      <c r="J141" s="9"/>
      <c r="K141" s="9"/>
      <c r="L141" s="9"/>
      <c r="M141" s="9"/>
      <c r="N141" s="9"/>
      <c r="O141" s="9"/>
    </row>
    <row r="142" spans="1:15">
      <c r="A142" s="6" t="s">
        <v>545</v>
      </c>
      <c r="B142" s="6" t="s">
        <v>1841</v>
      </c>
      <c r="C142" s="6" t="s">
        <v>50</v>
      </c>
      <c r="D142" s="6" t="s">
        <v>51</v>
      </c>
      <c r="E142" s="6" t="s">
        <v>1842</v>
      </c>
      <c r="F142" s="10">
        <f>'Plant Inputs'!P9</f>
        <v>81854</v>
      </c>
      <c r="G142" s="10">
        <f>'Plant Inputs'!P15</f>
        <v>95233</v>
      </c>
      <c r="H142" s="10">
        <f>'Plant Inputs'!P21</f>
        <v>139711</v>
      </c>
      <c r="I142" s="10">
        <f>'Plant Inputs'!P27</f>
        <v>81694</v>
      </c>
      <c r="J142" s="10">
        <f>'Plant Inputs'!P33</f>
        <v>132787</v>
      </c>
      <c r="K142" s="10">
        <f>'Plant Inputs'!P39</f>
        <v>94388</v>
      </c>
      <c r="L142" s="10">
        <f>'Entity Inputs'!N9</f>
        <v>316798.0</v>
      </c>
      <c r="M142" s="10">
        <f>'Entity Inputs'!N15</f>
        <v>308869.0</v>
      </c>
      <c r="N142" s="10">
        <f>'Group Inputs'!M9</f>
        <v>625667.0</v>
      </c>
      <c r="O142" s="6" t="s">
        <v>1843</v>
      </c>
    </row>
    <row r="143" spans="1:15">
      <c r="A143" s="6" t="s">
        <v>545</v>
      </c>
      <c r="B143" s="6" t="s">
        <v>1841</v>
      </c>
      <c r="C143" s="6" t="s">
        <v>44</v>
      </c>
      <c r="D143" s="6" t="s">
        <v>45</v>
      </c>
      <c r="E143" s="6" t="s">
        <v>1842</v>
      </c>
      <c r="F143" s="10">
        <f>'Plant Inputs'!M9</f>
        <v>98712</v>
      </c>
      <c r="G143" s="10">
        <f>'Plant Inputs'!M15</f>
        <v>136008</v>
      </c>
      <c r="H143" s="10">
        <f>'Plant Inputs'!M21</f>
        <v>162288</v>
      </c>
      <c r="I143" s="10">
        <f>'Plant Inputs'!M27</f>
        <v>91296</v>
      </c>
      <c r="J143" s="10">
        <f>'Plant Inputs'!M33</f>
        <v>147600</v>
      </c>
      <c r="K143" s="10">
        <f>'Plant Inputs'!M39</f>
        <v>113904</v>
      </c>
      <c r="L143" s="10">
        <f>'Entity Inputs'!K9</f>
        <v>397008.0</v>
      </c>
      <c r="M143" s="10">
        <f>'Entity Inputs'!K15</f>
        <v>352800.0</v>
      </c>
      <c r="N143" s="10">
        <f>'Group Inputs'!J9</f>
        <v>749808.0</v>
      </c>
      <c r="O143" s="6" t="s">
        <v>1843</v>
      </c>
    </row>
    <row r="144" spans="1:15">
      <c r="A144" s="11" t="s">
        <v>545</v>
      </c>
      <c r="B144" s="11" t="s">
        <v>1844</v>
      </c>
      <c r="C144" s="11" t="s">
        <v>546</v>
      </c>
      <c r="D144" s="11"/>
      <c r="E144" s="11" t="s">
        <v>25</v>
      </c>
      <c r="F144" s="11">
        <f>'Plant KPIs'!K33</f>
        <v>82.92</v>
      </c>
      <c r="G144" s="11">
        <f>'Plant KPIs'!Q33</f>
        <v>70.02</v>
      </c>
      <c r="H144" s="11">
        <f>'Plant KPIs'!W33</f>
        <v>86.09</v>
      </c>
      <c r="I144" s="11">
        <f>'Plant KPIs'!AC33</f>
        <v>89.48</v>
      </c>
      <c r="J144" s="11">
        <f>'Plant KPIs'!AI33</f>
        <v>89.96</v>
      </c>
      <c r="K144" s="11">
        <f>'Plant KPIs'!AO33</f>
        <v>82.87</v>
      </c>
      <c r="L144" s="11">
        <f>'Entity KPIs'!K33</f>
        <v>79.8</v>
      </c>
      <c r="M144" s="11">
        <f>'Entity KPIs'!Q33</f>
        <v>87.55</v>
      </c>
      <c r="N144" s="11">
        <f>'Group KPIs'!K33</f>
        <v>83.44</v>
      </c>
      <c r="O144" s="11" t="s">
        <v>1845</v>
      </c>
    </row>
    <row r="146" spans="1:15">
      <c r="A146" s="9" t="s">
        <v>1878</v>
      </c>
      <c r="B146" s="9"/>
      <c r="C146" s="9"/>
      <c r="D146" s="9"/>
      <c r="E146" s="9"/>
      <c r="F146" s="9"/>
      <c r="G146" s="9"/>
      <c r="H146" s="9"/>
      <c r="I146" s="9"/>
      <c r="J146" s="9"/>
      <c r="K146" s="9"/>
      <c r="L146" s="9"/>
      <c r="M146" s="9"/>
      <c r="N146" s="9"/>
      <c r="O146" s="9"/>
    </row>
    <row r="147" spans="1:15">
      <c r="A147" s="6" t="s">
        <v>547</v>
      </c>
      <c r="B147" s="6" t="s">
        <v>1841</v>
      </c>
      <c r="C147" s="6" t="s">
        <v>50</v>
      </c>
      <c r="D147" s="6" t="s">
        <v>51</v>
      </c>
      <c r="E147" s="6" t="s">
        <v>1842</v>
      </c>
      <c r="F147" s="10">
        <f>'Plant Inputs'!P9</f>
        <v>81854</v>
      </c>
      <c r="G147" s="10">
        <f>'Plant Inputs'!P15</f>
        <v>95233</v>
      </c>
      <c r="H147" s="10">
        <f>'Plant Inputs'!P21</f>
        <v>139711</v>
      </c>
      <c r="I147" s="10">
        <f>'Plant Inputs'!P27</f>
        <v>81694</v>
      </c>
      <c r="J147" s="10">
        <f>'Plant Inputs'!P33</f>
        <v>132787</v>
      </c>
      <c r="K147" s="10">
        <f>'Plant Inputs'!P39</f>
        <v>94388</v>
      </c>
      <c r="L147" s="10">
        <f>'Entity Inputs'!N9</f>
        <v>316798.0</v>
      </c>
      <c r="M147" s="10">
        <f>'Entity Inputs'!N15</f>
        <v>308869.0</v>
      </c>
      <c r="N147" s="10">
        <f>'Group Inputs'!M9</f>
        <v>625667.0</v>
      </c>
      <c r="O147" s="6" t="s">
        <v>1843</v>
      </c>
    </row>
    <row r="148" spans="1:15">
      <c r="A148" s="6" t="s">
        <v>547</v>
      </c>
      <c r="B148" s="6" t="s">
        <v>1841</v>
      </c>
      <c r="C148" s="6" t="s">
        <v>42</v>
      </c>
      <c r="D148" s="6" t="s">
        <v>43</v>
      </c>
      <c r="E148" s="6" t="s">
        <v>1842</v>
      </c>
      <c r="F148" s="10">
        <f>'Plant Inputs'!L9</f>
        <v>97478</v>
      </c>
      <c r="G148" s="10">
        <f>'Plant Inputs'!L15</f>
        <v>135441</v>
      </c>
      <c r="H148" s="10">
        <f>'Plant Inputs'!L21</f>
        <v>162063</v>
      </c>
      <c r="I148" s="10">
        <f>'Plant Inputs'!L27</f>
        <v>91042</v>
      </c>
      <c r="J148" s="10">
        <f>'Plant Inputs'!L33</f>
        <v>145550</v>
      </c>
      <c r="K148" s="10">
        <f>'Plant Inputs'!L39</f>
        <v>112638</v>
      </c>
      <c r="L148" s="10">
        <f>'Entity Inputs'!J9</f>
        <v>394982.0</v>
      </c>
      <c r="M148" s="10">
        <f>'Entity Inputs'!J15</f>
        <v>349230.0</v>
      </c>
      <c r="N148" s="10">
        <f>'Group Inputs'!I9</f>
        <v>744212.0</v>
      </c>
      <c r="O148" s="6" t="s">
        <v>1843</v>
      </c>
    </row>
    <row r="149" spans="1:15">
      <c r="A149" s="11" t="s">
        <v>547</v>
      </c>
      <c r="B149" s="11" t="s">
        <v>1844</v>
      </c>
      <c r="C149" s="11" t="s">
        <v>548</v>
      </c>
      <c r="D149" s="11"/>
      <c r="E149" s="11" t="s">
        <v>25</v>
      </c>
      <c r="F149" s="11">
        <f>'Plant KPIs'!K34</f>
        <v>83.97</v>
      </c>
      <c r="G149" s="11">
        <f>'Plant KPIs'!Q34</f>
        <v>70.31</v>
      </c>
      <c r="H149" s="11">
        <f>'Plant KPIs'!W34</f>
        <v>86.21</v>
      </c>
      <c r="I149" s="11">
        <f>'Plant KPIs'!AC34</f>
        <v>89.73</v>
      </c>
      <c r="J149" s="11">
        <f>'Plant KPIs'!AI34</f>
        <v>91.23</v>
      </c>
      <c r="K149" s="11">
        <f>'Plant KPIs'!AO34</f>
        <v>83.8</v>
      </c>
      <c r="L149" s="11">
        <f>'Entity KPIs'!K34</f>
        <v>80.21</v>
      </c>
      <c r="M149" s="11">
        <f>'Entity KPIs'!Q34</f>
        <v>88.44</v>
      </c>
      <c r="N149" s="11">
        <f>'Group KPIs'!K34</f>
        <v>84.07</v>
      </c>
      <c r="O149" s="11" t="s">
        <v>1845</v>
      </c>
    </row>
    <row r="151" spans="1:15">
      <c r="A151" s="9" t="s">
        <v>1879</v>
      </c>
      <c r="B151" s="9"/>
      <c r="C151" s="9"/>
      <c r="D151" s="9"/>
      <c r="E151" s="9"/>
      <c r="F151" s="9"/>
      <c r="G151" s="9"/>
      <c r="H151" s="9"/>
      <c r="I151" s="9"/>
      <c r="J151" s="9"/>
      <c r="K151" s="9"/>
      <c r="L151" s="9"/>
      <c r="M151" s="9"/>
      <c r="N151" s="9"/>
      <c r="O151" s="9"/>
    </row>
    <row r="152" spans="1:15">
      <c r="A152" s="6" t="s">
        <v>550</v>
      </c>
      <c r="B152" s="6" t="s">
        <v>1841</v>
      </c>
      <c r="C152" s="6" t="s">
        <v>117</v>
      </c>
      <c r="D152" s="6" t="s">
        <v>118</v>
      </c>
      <c r="E152" s="6" t="s">
        <v>1842</v>
      </c>
      <c r="F152" s="10">
        <f>'Plant Inputs'!AW9</f>
        <v>86061</v>
      </c>
      <c r="G152" s="10">
        <f>'Plant Inputs'!AW15</f>
        <v>121397</v>
      </c>
      <c r="H152" s="10">
        <f>'Plant Inputs'!AW21</f>
        <v>140098</v>
      </c>
      <c r="I152" s="10">
        <f>'Plant Inputs'!AW27</f>
        <v>78942</v>
      </c>
      <c r="J152" s="10">
        <f>'Plant Inputs'!AW33</f>
        <v>130597</v>
      </c>
      <c r="K152" s="10">
        <f>'Plant Inputs'!AW39</f>
        <v>97878</v>
      </c>
      <c r="L152" s="10">
        <f>'Entity Inputs'!AU9</f>
        <v>347556.0</v>
      </c>
      <c r="M152" s="10">
        <f>'Entity Inputs'!AU15</f>
        <v>307417.0</v>
      </c>
      <c r="N152" s="10">
        <f>'Group Inputs'!AT9</f>
        <v>654973.0</v>
      </c>
      <c r="O152" s="6" t="s">
        <v>1843</v>
      </c>
    </row>
    <row r="153" spans="1:15">
      <c r="A153" s="6" t="s">
        <v>550</v>
      </c>
      <c r="B153" s="6" t="s">
        <v>1841</v>
      </c>
      <c r="C153" s="6" t="s">
        <v>114</v>
      </c>
      <c r="D153" s="6" t="s">
        <v>115</v>
      </c>
      <c r="E153" s="6" t="s">
        <v>1842</v>
      </c>
      <c r="F153" s="10">
        <f>'Plant Inputs'!AV9</f>
        <v>79865</v>
      </c>
      <c r="G153" s="10">
        <f>'Plant Inputs'!AV15</f>
        <v>94217</v>
      </c>
      <c r="H153" s="10">
        <f>'Plant Inputs'!AV21</f>
        <v>135965</v>
      </c>
      <c r="I153" s="10">
        <f>'Plant Inputs'!AV27</f>
        <v>83171</v>
      </c>
      <c r="J153" s="10">
        <f>'Plant Inputs'!AV33</f>
        <v>134472</v>
      </c>
      <c r="K153" s="10">
        <f>'Plant Inputs'!AV39</f>
        <v>96056</v>
      </c>
      <c r="L153" s="10">
        <f>'Entity Inputs'!AT9</f>
        <v>310047.0</v>
      </c>
      <c r="M153" s="10">
        <f>'Entity Inputs'!AT15</f>
        <v>313699.0</v>
      </c>
      <c r="N153" s="10">
        <f>'Group Inputs'!AS9</f>
        <v>623746.0</v>
      </c>
      <c r="O153" s="6" t="s">
        <v>1843</v>
      </c>
    </row>
    <row r="154" spans="1:15">
      <c r="A154" s="11" t="s">
        <v>550</v>
      </c>
      <c r="B154" s="11" t="s">
        <v>1844</v>
      </c>
      <c r="C154" s="11" t="s">
        <v>551</v>
      </c>
      <c r="D154" s="11"/>
      <c r="E154" s="11" t="s">
        <v>25</v>
      </c>
      <c r="F154" s="11">
        <f>'Plant KPIs'!K35</f>
        <v>92.8</v>
      </c>
      <c r="G154" s="11">
        <f>'Plant KPIs'!Q35</f>
        <v>77.61</v>
      </c>
      <c r="H154" s="11">
        <f>'Plant KPIs'!W35</f>
        <v>97.05</v>
      </c>
      <c r="I154" s="11">
        <f>'Plant KPIs'!AC35</f>
        <v>105.36</v>
      </c>
      <c r="J154" s="11">
        <f>'Plant KPIs'!AI35</f>
        <v>102.97</v>
      </c>
      <c r="K154" s="11">
        <f>'Plant KPIs'!AO35</f>
        <v>98.14</v>
      </c>
      <c r="L154" s="11">
        <f>'Entity KPIs'!K35</f>
        <v>89.21</v>
      </c>
      <c r="M154" s="11">
        <f>'Entity KPIs'!Q35</f>
        <v>102.04</v>
      </c>
      <c r="N154" s="11">
        <f>'Group KPIs'!K35</f>
        <v>95.23</v>
      </c>
      <c r="O154" s="11" t="s">
        <v>1845</v>
      </c>
    </row>
    <row r="156" spans="1:15">
      <c r="A156" s="9" t="s">
        <v>1880</v>
      </c>
      <c r="B156" s="9"/>
      <c r="C156" s="9"/>
      <c r="D156" s="9"/>
      <c r="E156" s="9"/>
      <c r="F156" s="9"/>
      <c r="G156" s="9"/>
      <c r="H156" s="9"/>
      <c r="I156" s="9"/>
      <c r="J156" s="9"/>
      <c r="K156" s="9"/>
      <c r="L156" s="9"/>
      <c r="M156" s="9"/>
      <c r="N156" s="9"/>
      <c r="O156" s="9"/>
    </row>
    <row r="157" spans="1:15">
      <c r="A157" s="6" t="s">
        <v>553</v>
      </c>
      <c r="B157" s="6" t="s">
        <v>1841</v>
      </c>
      <c r="C157" s="6" t="s">
        <v>117</v>
      </c>
      <c r="D157" s="6" t="s">
        <v>118</v>
      </c>
      <c r="E157" s="6" t="s">
        <v>1842</v>
      </c>
      <c r="F157" s="10">
        <f>'Plant Inputs'!AW9</f>
        <v>86061</v>
      </c>
      <c r="G157" s="10">
        <f>'Plant Inputs'!AW15</f>
        <v>121397</v>
      </c>
      <c r="H157" s="10">
        <f>'Plant Inputs'!AW21</f>
        <v>140098</v>
      </c>
      <c r="I157" s="10">
        <f>'Plant Inputs'!AW27</f>
        <v>78942</v>
      </c>
      <c r="J157" s="10">
        <f>'Plant Inputs'!AW33</f>
        <v>130597</v>
      </c>
      <c r="K157" s="10">
        <f>'Plant Inputs'!AW39</f>
        <v>97878</v>
      </c>
      <c r="L157" s="10">
        <f>'Entity Inputs'!AU9</f>
        <v>347556.0</v>
      </c>
      <c r="M157" s="10">
        <f>'Entity Inputs'!AU15</f>
        <v>307417.0</v>
      </c>
      <c r="N157" s="10">
        <f>'Group Inputs'!AT9</f>
        <v>654973.0</v>
      </c>
      <c r="O157" s="6" t="s">
        <v>1843</v>
      </c>
    </row>
    <row r="158" spans="1:15">
      <c r="A158" s="6" t="s">
        <v>553</v>
      </c>
      <c r="B158" s="6" t="s">
        <v>1841</v>
      </c>
      <c r="C158" s="6" t="s">
        <v>114</v>
      </c>
      <c r="D158" s="6" t="s">
        <v>115</v>
      </c>
      <c r="E158" s="6" t="s">
        <v>1842</v>
      </c>
      <c r="F158" s="10">
        <f>'Plant Inputs'!AV9</f>
        <v>79865</v>
      </c>
      <c r="G158" s="10">
        <f>'Plant Inputs'!AV15</f>
        <v>94217</v>
      </c>
      <c r="H158" s="10">
        <f>'Plant Inputs'!AV21</f>
        <v>135965</v>
      </c>
      <c r="I158" s="10">
        <f>'Plant Inputs'!AV27</f>
        <v>83171</v>
      </c>
      <c r="J158" s="10">
        <f>'Plant Inputs'!AV33</f>
        <v>134472</v>
      </c>
      <c r="K158" s="10">
        <f>'Plant Inputs'!AV39</f>
        <v>96056</v>
      </c>
      <c r="L158" s="10">
        <f>'Entity Inputs'!AT9</f>
        <v>310047.0</v>
      </c>
      <c r="M158" s="10">
        <f>'Entity Inputs'!AT15</f>
        <v>313699.0</v>
      </c>
      <c r="N158" s="10">
        <f>'Group Inputs'!AS9</f>
        <v>623746.0</v>
      </c>
      <c r="O158" s="6" t="s">
        <v>1843</v>
      </c>
    </row>
    <row r="159" spans="1:15">
      <c r="A159" s="11" t="s">
        <v>553</v>
      </c>
      <c r="B159" s="11" t="s">
        <v>1844</v>
      </c>
      <c r="C159" s="11" t="s">
        <v>554</v>
      </c>
      <c r="D159" s="11"/>
      <c r="E159" s="11" t="s">
        <v>25</v>
      </c>
      <c r="F159" s="11">
        <f>'Plant KPIs'!K36</f>
        <v>92.8</v>
      </c>
      <c r="G159" s="11">
        <f>'Plant KPIs'!Q36</f>
        <v>77.61</v>
      </c>
      <c r="H159" s="11">
        <f>'Plant KPIs'!W36</f>
        <v>97.05</v>
      </c>
      <c r="I159" s="11">
        <f>'Plant KPIs'!AC36</f>
        <v>105.36</v>
      </c>
      <c r="J159" s="11">
        <f>'Plant KPIs'!AI36</f>
        <v>102.97</v>
      </c>
      <c r="K159" s="11">
        <f>'Plant KPIs'!AO36</f>
        <v>98.14</v>
      </c>
      <c r="L159" s="11">
        <f>'Entity KPIs'!K36</f>
        <v>89.21</v>
      </c>
      <c r="M159" s="11">
        <f>'Entity KPIs'!Q36</f>
        <v>102.04</v>
      </c>
      <c r="N159" s="11">
        <f>'Group KPIs'!K36</f>
        <v>95.23</v>
      </c>
      <c r="O159" s="11" t="s">
        <v>1845</v>
      </c>
    </row>
    <row r="161" spans="1:15">
      <c r="A161" s="9" t="s">
        <v>1881</v>
      </c>
      <c r="B161" s="9"/>
      <c r="C161" s="9"/>
      <c r="D161" s="9"/>
      <c r="E161" s="9"/>
      <c r="F161" s="9"/>
      <c r="G161" s="9"/>
      <c r="H161" s="9"/>
      <c r="I161" s="9"/>
      <c r="J161" s="9"/>
      <c r="K161" s="9"/>
      <c r="L161" s="9"/>
      <c r="M161" s="9"/>
      <c r="N161" s="9"/>
      <c r="O161" s="9"/>
    </row>
    <row r="162" spans="1:15">
      <c r="A162" s="6" t="s">
        <v>555</v>
      </c>
      <c r="B162" s="6" t="s">
        <v>1841</v>
      </c>
      <c r="C162" s="6" t="s">
        <v>50</v>
      </c>
      <c r="D162" s="6" t="s">
        <v>51</v>
      </c>
      <c r="E162" s="6" t="s">
        <v>1842</v>
      </c>
      <c r="F162" s="10">
        <f>'Plant Inputs'!P9</f>
        <v>81854</v>
      </c>
      <c r="G162" s="10">
        <f>'Plant Inputs'!P15</f>
        <v>95233</v>
      </c>
      <c r="H162" s="10">
        <f>'Plant Inputs'!P21</f>
        <v>139711</v>
      </c>
      <c r="I162" s="10">
        <f>'Plant Inputs'!P27</f>
        <v>81694</v>
      </c>
      <c r="J162" s="10">
        <f>'Plant Inputs'!P33</f>
        <v>132787</v>
      </c>
      <c r="K162" s="10">
        <f>'Plant Inputs'!P39</f>
        <v>94388</v>
      </c>
      <c r="L162" s="10">
        <f>'Entity Inputs'!N9</f>
        <v>316798.0</v>
      </c>
      <c r="M162" s="10">
        <f>'Entity Inputs'!N15</f>
        <v>308869.0</v>
      </c>
      <c r="N162" s="10">
        <f>'Group Inputs'!M9</f>
        <v>625667.0</v>
      </c>
      <c r="O162" s="6" t="s">
        <v>1843</v>
      </c>
    </row>
    <row r="163" spans="1:15">
      <c r="A163" s="6" t="s">
        <v>555</v>
      </c>
      <c r="B163" s="6" t="s">
        <v>1841</v>
      </c>
      <c r="C163" s="6" t="s">
        <v>123</v>
      </c>
      <c r="D163" s="6" t="s">
        <v>124</v>
      </c>
      <c r="E163" s="6" t="s">
        <v>1842</v>
      </c>
      <c r="F163" s="10">
        <f>'Plant Inputs'!AZ9</f>
        <v>13488.8</v>
      </c>
      <c r="G163" s="10">
        <f>'Plant Inputs'!AZ15</f>
        <v>20557.3</v>
      </c>
      <c r="H163" s="10">
        <f>'Plant Inputs'!AZ21</f>
        <v>21839.8</v>
      </c>
      <c r="I163" s="10">
        <f>'Plant Inputs'!AZ27</f>
        <v>16180</v>
      </c>
      <c r="J163" s="10">
        <f>'Plant Inputs'!AZ33</f>
        <v>22330.4</v>
      </c>
      <c r="K163" s="10">
        <f>'Plant Inputs'!AZ39</f>
        <v>14652.5</v>
      </c>
      <c r="L163" s="10">
        <f>'Entity Inputs'!AX9</f>
        <v>55885.899999999994</v>
      </c>
      <c r="M163" s="10">
        <f>'Entity Inputs'!AX15</f>
        <v>53162.9</v>
      </c>
      <c r="N163" s="10">
        <f>'Group Inputs'!AW9</f>
        <v>109048.79999999999</v>
      </c>
      <c r="O163" s="6" t="s">
        <v>1843</v>
      </c>
    </row>
    <row r="164" spans="1:15">
      <c r="A164" s="11" t="s">
        <v>555</v>
      </c>
      <c r="B164" s="11" t="s">
        <v>1844</v>
      </c>
      <c r="C164" s="11" t="s">
        <v>556</v>
      </c>
      <c r="D164" s="11"/>
      <c r="E164" s="11" t="s">
        <v>25</v>
      </c>
      <c r="F164" s="11">
        <f>'Plant KPIs'!K37</f>
        <v>164.79</v>
      </c>
      <c r="G164" s="11">
        <f>'Plant KPIs'!Q37</f>
        <v>215.86</v>
      </c>
      <c r="H164" s="11">
        <f>'Plant KPIs'!W37</f>
        <v>156.32</v>
      </c>
      <c r="I164" s="11">
        <f>'Plant KPIs'!AC37</f>
        <v>198.06</v>
      </c>
      <c r="J164" s="11">
        <f>'Plant KPIs'!AI37</f>
        <v>168.17</v>
      </c>
      <c r="K164" s="11">
        <f>'Plant KPIs'!AO37</f>
        <v>155.24</v>
      </c>
      <c r="L164" s="11">
        <f>'Entity KPIs'!K37</f>
        <v>176.41</v>
      </c>
      <c r="M164" s="11">
        <f>'Entity KPIs'!Q37</f>
        <v>172.12</v>
      </c>
      <c r="N164" s="11">
        <f>'Group KPIs'!K37</f>
        <v>174.29</v>
      </c>
      <c r="O164" s="11" t="s">
        <v>1845</v>
      </c>
    </row>
    <row r="166" spans="1:15">
      <c r="A166" s="9" t="s">
        <v>1882</v>
      </c>
      <c r="B166" s="9"/>
      <c r="C166" s="9"/>
      <c r="D166" s="9"/>
      <c r="E166" s="9"/>
      <c r="F166" s="9"/>
      <c r="G166" s="9"/>
      <c r="H166" s="9"/>
      <c r="I166" s="9"/>
      <c r="J166" s="9"/>
      <c r="K166" s="9"/>
      <c r="L166" s="9"/>
      <c r="M166" s="9"/>
      <c r="N166" s="9"/>
      <c r="O166" s="9"/>
    </row>
    <row r="167" spans="1:15">
      <c r="A167" s="6" t="s">
        <v>558</v>
      </c>
      <c r="B167" s="6" t="s">
        <v>1883</v>
      </c>
      <c r="C167" s="6" t="s">
        <v>404</v>
      </c>
      <c r="D167" s="6" t="s">
        <v>405</v>
      </c>
      <c r="E167" s="6" t="s">
        <v>1884</v>
      </c>
      <c r="F167" s="6" t="s">
        <v>1228</v>
      </c>
      <c r="G167" s="6" t="s">
        <v>1228</v>
      </c>
      <c r="H167" s="6" t="s">
        <v>1228</v>
      </c>
      <c r="I167" s="6" t="s">
        <v>1228</v>
      </c>
      <c r="J167" s="6" t="s">
        <v>1228</v>
      </c>
      <c r="K167" s="6" t="s">
        <v>1228</v>
      </c>
      <c r="L167" s="12">
        <f>'Entity Inputs'!FZ9</f>
        <v>201436.20000000007</v>
      </c>
      <c r="M167" s="12">
        <f>'Entity Inputs'!FZ15</f>
        <v>195544.10000000018</v>
      </c>
      <c r="N167" s="12">
        <f>'Group Inputs'!FY9</f>
        <v>396980.3</v>
      </c>
      <c r="O167" s="6" t="s">
        <v>1885</v>
      </c>
    </row>
    <row r="168" spans="1:15">
      <c r="A168" s="11" t="s">
        <v>558</v>
      </c>
      <c r="B168" s="11" t="s">
        <v>1844</v>
      </c>
      <c r="C168" s="11" t="s">
        <v>559</v>
      </c>
      <c r="D168" s="11"/>
      <c r="E168" s="11" t="s">
        <v>561</v>
      </c>
      <c r="F168" s="11" t="s">
        <v>1228</v>
      </c>
      <c r="G168" s="11" t="s">
        <v>1228</v>
      </c>
      <c r="H168" s="11" t="s">
        <v>1228</v>
      </c>
      <c r="I168" s="11" t="s">
        <v>1228</v>
      </c>
      <c r="J168" s="11" t="s">
        <v>1228</v>
      </c>
      <c r="K168" s="11" t="s">
        <v>1228</v>
      </c>
      <c r="L168" s="11">
        <f>'Entity KPIs'!K38</f>
        <v>890.55</v>
      </c>
      <c r="M168" s="11">
        <f>'Entity KPIs'!Q38</f>
        <v>869.54</v>
      </c>
      <c r="N168" s="11">
        <f>'Group KPIs'!K38</f>
        <v>1760.09</v>
      </c>
      <c r="O168" s="11" t="s">
        <v>1845</v>
      </c>
    </row>
    <row r="170" spans="1:15">
      <c r="A170" s="9" t="s">
        <v>1886</v>
      </c>
      <c r="B170" s="9"/>
      <c r="C170" s="9"/>
      <c r="D170" s="9"/>
      <c r="E170" s="9"/>
      <c r="F170" s="9"/>
      <c r="G170" s="9"/>
      <c r="H170" s="9"/>
      <c r="I170" s="9"/>
      <c r="J170" s="9"/>
      <c r="K170" s="9"/>
      <c r="L170" s="9"/>
      <c r="M170" s="9"/>
      <c r="N170" s="9"/>
      <c r="O170" s="9"/>
    </row>
    <row r="171" spans="1:15">
      <c r="A171" s="6" t="s">
        <v>563</v>
      </c>
      <c r="B171" s="6" t="s">
        <v>1883</v>
      </c>
      <c r="C171" s="6" t="s">
        <v>407</v>
      </c>
      <c r="D171" s="6" t="s">
        <v>408</v>
      </c>
      <c r="E171" s="6" t="s">
        <v>1884</v>
      </c>
      <c r="F171" s="6" t="s">
        <v>1228</v>
      </c>
      <c r="G171" s="6" t="s">
        <v>1228</v>
      </c>
      <c r="H171" s="6" t="s">
        <v>1228</v>
      </c>
      <c r="I171" s="6" t="s">
        <v>1228</v>
      </c>
      <c r="J171" s="6" t="s">
        <v>1228</v>
      </c>
      <c r="K171" s="6" t="s">
        <v>1228</v>
      </c>
      <c r="L171" s="12">
        <f>'Entity Inputs'!GA9</f>
        <v>154108.00000000006</v>
      </c>
      <c r="M171" s="12">
        <f>'Entity Inputs'!GA15</f>
        <v>153398.60000000018</v>
      </c>
      <c r="N171" s="12">
        <f>'Group Inputs'!FZ9</f>
        <v>307506.6</v>
      </c>
      <c r="O171" s="6" t="s">
        <v>1887</v>
      </c>
    </row>
    <row r="172" spans="1:15">
      <c r="A172" s="11" t="s">
        <v>563</v>
      </c>
      <c r="B172" s="11" t="s">
        <v>1844</v>
      </c>
      <c r="C172" s="11" t="s">
        <v>564</v>
      </c>
      <c r="D172" s="11"/>
      <c r="E172" s="11" t="s">
        <v>561</v>
      </c>
      <c r="F172" s="11" t="s">
        <v>1228</v>
      </c>
      <c r="G172" s="11" t="s">
        <v>1228</v>
      </c>
      <c r="H172" s="11" t="s">
        <v>1228</v>
      </c>
      <c r="I172" s="11" t="s">
        <v>1228</v>
      </c>
      <c r="J172" s="11" t="s">
        <v>1228</v>
      </c>
      <c r="K172" s="11" t="s">
        <v>1228</v>
      </c>
      <c r="L172" s="11">
        <f>'Entity KPIs'!K39</f>
        <v>610.05</v>
      </c>
      <c r="M172" s="11">
        <f>'Entity KPIs'!Q39</f>
        <v>618.1</v>
      </c>
      <c r="N172" s="11">
        <f>'Group KPIs'!K39</f>
        <v>1228.14</v>
      </c>
      <c r="O172" s="11" t="s">
        <v>1845</v>
      </c>
    </row>
    <row r="174" spans="1:15">
      <c r="A174" s="9" t="s">
        <v>1888</v>
      </c>
      <c r="B174" s="9"/>
      <c r="C174" s="9"/>
      <c r="D174" s="9"/>
      <c r="E174" s="9"/>
      <c r="F174" s="9"/>
      <c r="G174" s="9"/>
      <c r="H174" s="9"/>
      <c r="I174" s="9"/>
      <c r="J174" s="9"/>
      <c r="K174" s="9"/>
      <c r="L174" s="9"/>
      <c r="M174" s="9"/>
      <c r="N174" s="9"/>
      <c r="O174" s="9"/>
    </row>
    <row r="175" spans="1:15">
      <c r="A175" s="6" t="s">
        <v>566</v>
      </c>
      <c r="B175" s="6" t="s">
        <v>1841</v>
      </c>
      <c r="C175" s="6" t="s">
        <v>119</v>
      </c>
      <c r="D175" s="6" t="s">
        <v>120</v>
      </c>
      <c r="E175" s="6" t="s">
        <v>1884</v>
      </c>
      <c r="F175" s="10">
        <f>'Plant Inputs'!AX9</f>
        <v>300900.3</v>
      </c>
      <c r="G175" s="10">
        <f>'Plant Inputs'!AX15</f>
        <v>346059.3</v>
      </c>
      <c r="H175" s="10">
        <f>'Plant Inputs'!AX21</f>
        <v>508764.6</v>
      </c>
      <c r="I175" s="10">
        <f>'Plant Inputs'!AX27</f>
        <v>310595</v>
      </c>
      <c r="J175" s="10">
        <f>'Plant Inputs'!AX33</f>
        <v>506388.4</v>
      </c>
      <c r="K175" s="10">
        <f>'Plant Inputs'!AX39</f>
        <v>363110.2</v>
      </c>
      <c r="L175" s="10">
        <f>'Entity Inputs'!AV9</f>
        <v>1155724.2</v>
      </c>
      <c r="M175" s="10">
        <f>'Entity Inputs'!AV15</f>
        <v>1180093.6</v>
      </c>
      <c r="N175" s="10">
        <f>'Group Inputs'!AU9</f>
        <v>2335817.8</v>
      </c>
      <c r="O175" s="6" t="s">
        <v>1843</v>
      </c>
    </row>
    <row r="176" spans="1:15">
      <c r="A176" s="11" t="s">
        <v>566</v>
      </c>
      <c r="B176" s="11" t="s">
        <v>1844</v>
      </c>
      <c r="C176" s="11" t="s">
        <v>567</v>
      </c>
      <c r="D176" s="11"/>
      <c r="E176" s="11" t="s">
        <v>561</v>
      </c>
      <c r="F176" s="11">
        <f>'Plant KPIs'!K38</f>
        <v>1892.75</v>
      </c>
      <c r="G176" s="11">
        <f>'Plant KPIs'!Q38</f>
        <v>2089.58</v>
      </c>
      <c r="H176" s="11">
        <f>'Plant KPIs'!W38</f>
        <v>2989.99</v>
      </c>
      <c r="I176" s="11">
        <f>'Plant KPIs'!AC38</f>
        <v>1749.63</v>
      </c>
      <c r="J176" s="11">
        <f>'Plant KPIs'!AI38</f>
        <v>2890.84</v>
      </c>
      <c r="K176" s="11">
        <f>'Plant KPIs'!AO38</f>
        <v>2198.51</v>
      </c>
      <c r="L176" s="11">
        <f>'Entity KPIs'!K40</f>
        <v>6972.32</v>
      </c>
      <c r="M176" s="11">
        <f>'Entity KPIs'!Q40</f>
        <v>6838.98</v>
      </c>
      <c r="N176" s="11">
        <f>'Group KPIs'!K40</f>
        <v>13811.3</v>
      </c>
      <c r="O176" s="11" t="s">
        <v>1845</v>
      </c>
    </row>
    <row r="178" spans="1:15">
      <c r="A178" s="9" t="s">
        <v>1889</v>
      </c>
      <c r="B178" s="9"/>
      <c r="C178" s="9"/>
      <c r="D178" s="9"/>
      <c r="E178" s="9"/>
      <c r="F178" s="9"/>
      <c r="G178" s="9"/>
      <c r="H178" s="9"/>
      <c r="I178" s="9"/>
      <c r="J178" s="9"/>
      <c r="K178" s="9"/>
      <c r="L178" s="9"/>
      <c r="M178" s="9"/>
      <c r="N178" s="9"/>
      <c r="O178" s="9"/>
    </row>
    <row r="179" spans="1:15">
      <c r="A179" s="6" t="s">
        <v>569</v>
      </c>
      <c r="B179" s="6" t="s">
        <v>1883</v>
      </c>
      <c r="C179" s="6" t="s">
        <v>419</v>
      </c>
      <c r="D179" s="6" t="s">
        <v>420</v>
      </c>
      <c r="E179" s="6" t="s">
        <v>1884</v>
      </c>
      <c r="F179" s="6" t="s">
        <v>1228</v>
      </c>
      <c r="G179" s="6" t="s">
        <v>1228</v>
      </c>
      <c r="H179" s="6" t="s">
        <v>1228</v>
      </c>
      <c r="I179" s="6" t="s">
        <v>1228</v>
      </c>
      <c r="J179" s="6" t="s">
        <v>1228</v>
      </c>
      <c r="K179" s="6" t="s">
        <v>1228</v>
      </c>
      <c r="L179" s="12">
        <f>'Entity Inputs'!GE9</f>
        <v>94325.29999999955</v>
      </c>
      <c r="M179" s="12">
        <f>'Entity Inputs'!GE15</f>
        <v>63101.30000000035</v>
      </c>
      <c r="N179" s="12">
        <f>'Group Inputs'!GD9</f>
        <v>157426.60000000038</v>
      </c>
      <c r="O179" s="6" t="s">
        <v>1890</v>
      </c>
    </row>
    <row r="180" spans="1:15">
      <c r="A180" s="11" t="s">
        <v>569</v>
      </c>
      <c r="B180" s="11" t="s">
        <v>1844</v>
      </c>
      <c r="C180" s="11" t="s">
        <v>570</v>
      </c>
      <c r="D180" s="11"/>
      <c r="E180" s="11" t="s">
        <v>561</v>
      </c>
      <c r="F180" s="11" t="s">
        <v>1228</v>
      </c>
      <c r="G180" s="11" t="s">
        <v>1228</v>
      </c>
      <c r="H180" s="11" t="s">
        <v>1228</v>
      </c>
      <c r="I180" s="11" t="s">
        <v>1228</v>
      </c>
      <c r="J180" s="11" t="s">
        <v>1228</v>
      </c>
      <c r="K180" s="11" t="s">
        <v>1228</v>
      </c>
      <c r="L180" s="11">
        <f>'Entity KPIs'!K41</f>
        <v>337.63</v>
      </c>
      <c r="M180" s="11">
        <f>'Entity KPIs'!Q41</f>
        <v>268.55</v>
      </c>
      <c r="N180" s="11">
        <f>'Group KPIs'!K41</f>
        <v>606.18</v>
      </c>
      <c r="O180" s="11" t="s">
        <v>1845</v>
      </c>
    </row>
    <row r="182" spans="1:15">
      <c r="A182" s="9" t="s">
        <v>1891</v>
      </c>
      <c r="B182" s="9"/>
      <c r="C182" s="9"/>
      <c r="D182" s="9"/>
      <c r="E182" s="9"/>
      <c r="F182" s="9"/>
      <c r="G182" s="9"/>
      <c r="H182" s="9"/>
      <c r="I182" s="9"/>
      <c r="J182" s="9"/>
      <c r="K182" s="9"/>
      <c r="L182" s="9"/>
      <c r="M182" s="9"/>
      <c r="N182" s="9"/>
      <c r="O182" s="9"/>
    </row>
    <row r="183" spans="1:15">
      <c r="A183" s="6" t="s">
        <v>572</v>
      </c>
      <c r="B183" s="6" t="s">
        <v>1841</v>
      </c>
      <c r="C183" s="6" t="s">
        <v>200</v>
      </c>
      <c r="D183" s="6" t="s">
        <v>201</v>
      </c>
      <c r="E183" s="6" t="s">
        <v>1842</v>
      </c>
      <c r="F183" s="6" t="s">
        <v>1228</v>
      </c>
      <c r="G183" s="6" t="s">
        <v>1228</v>
      </c>
      <c r="H183" s="6" t="s">
        <v>1228</v>
      </c>
      <c r="I183" s="6" t="s">
        <v>1228</v>
      </c>
      <c r="J183" s="6" t="s">
        <v>1228</v>
      </c>
      <c r="K183" s="6" t="s">
        <v>1228</v>
      </c>
      <c r="L183" s="10">
        <f>'Entity Inputs'!CB9</f>
        <v>11016000</v>
      </c>
      <c r="M183" s="10">
        <f>'Entity Inputs'!CB15</f>
        <v>10200000</v>
      </c>
      <c r="N183" s="10">
        <f>'Group Inputs'!CA9</f>
        <v>21216000.0</v>
      </c>
      <c r="O183" s="6" t="s">
        <v>1892</v>
      </c>
    </row>
    <row r="184" spans="1:15">
      <c r="A184" s="6" t="s">
        <v>572</v>
      </c>
      <c r="B184" s="6" t="s">
        <v>1883</v>
      </c>
      <c r="C184" s="6" t="s">
        <v>407</v>
      </c>
      <c r="D184" s="6" t="s">
        <v>408</v>
      </c>
      <c r="E184" s="6" t="s">
        <v>1884</v>
      </c>
      <c r="F184" s="6" t="s">
        <v>1228</v>
      </c>
      <c r="G184" s="6" t="s">
        <v>1228</v>
      </c>
      <c r="H184" s="6" t="s">
        <v>1228</v>
      </c>
      <c r="I184" s="6" t="s">
        <v>1228</v>
      </c>
      <c r="J184" s="6" t="s">
        <v>1228</v>
      </c>
      <c r="K184" s="6" t="s">
        <v>1228</v>
      </c>
      <c r="L184" s="12">
        <f>'Entity Inputs'!GA9</f>
        <v>154108.00000000006</v>
      </c>
      <c r="M184" s="12">
        <f>'Entity Inputs'!GA15</f>
        <v>153398.60000000018</v>
      </c>
      <c r="N184" s="12">
        <f>'Group Inputs'!FZ9</f>
        <v>307506.6</v>
      </c>
      <c r="O184" s="6" t="s">
        <v>1887</v>
      </c>
    </row>
    <row r="185" spans="1:15">
      <c r="A185" s="11" t="s">
        <v>572</v>
      </c>
      <c r="B185" s="11" t="s">
        <v>1844</v>
      </c>
      <c r="C185" s="11" t="s">
        <v>573</v>
      </c>
      <c r="D185" s="11"/>
      <c r="E185" s="11" t="s">
        <v>561</v>
      </c>
      <c r="F185" s="11" t="s">
        <v>1228</v>
      </c>
      <c r="G185" s="11" t="s">
        <v>1228</v>
      </c>
      <c r="H185" s="11" t="s">
        <v>1228</v>
      </c>
      <c r="I185" s="11" t="s">
        <v>1228</v>
      </c>
      <c r="J185" s="11" t="s">
        <v>1228</v>
      </c>
      <c r="K185" s="11" t="s">
        <v>1228</v>
      </c>
      <c r="L185" s="11">
        <f>'Entity KPIs'!K42</f>
        <v>11.08</v>
      </c>
      <c r="M185" s="11">
        <f>'Entity KPIs'!Q42</f>
        <v>12.12</v>
      </c>
      <c r="N185" s="11">
        <f>'Group KPIs'!K42</f>
        <v>11.58</v>
      </c>
      <c r="O185" s="11" t="s">
        <v>1845</v>
      </c>
    </row>
    <row r="187" spans="1:15">
      <c r="A187" s="9" t="s">
        <v>1893</v>
      </c>
      <c r="B187" s="9"/>
      <c r="C187" s="9"/>
      <c r="D187" s="9"/>
      <c r="E187" s="9"/>
      <c r="F187" s="9"/>
      <c r="G187" s="9"/>
      <c r="H187" s="9"/>
      <c r="I187" s="9"/>
      <c r="J187" s="9"/>
      <c r="K187" s="9"/>
      <c r="L187" s="9"/>
      <c r="M187" s="9"/>
      <c r="N187" s="9"/>
      <c r="O187" s="9"/>
    </row>
    <row r="188" spans="1:15">
      <c r="A188" s="6" t="s">
        <v>575</v>
      </c>
      <c r="B188" s="6" t="s">
        <v>1883</v>
      </c>
      <c r="C188" s="6" t="s">
        <v>422</v>
      </c>
      <c r="D188" s="6" t="s">
        <v>423</v>
      </c>
      <c r="E188" s="6" t="s">
        <v>1842</v>
      </c>
      <c r="F188" s="6" t="s">
        <v>1228</v>
      </c>
      <c r="G188" s="6" t="s">
        <v>1228</v>
      </c>
      <c r="H188" s="6" t="s">
        <v>1228</v>
      </c>
      <c r="I188" s="6" t="s">
        <v>1228</v>
      </c>
      <c r="J188" s="6" t="s">
        <v>1228</v>
      </c>
      <c r="K188" s="6" t="s">
        <v>1228</v>
      </c>
      <c r="L188" s="12">
        <f>'Entity Inputs'!GF9</f>
        <v>3609999.9999999995</v>
      </c>
      <c r="M188" s="12">
        <f>'Entity Inputs'!GF15</f>
        <v>3040000.0</v>
      </c>
      <c r="N188" s="12">
        <f>'Group Inputs'!GE9</f>
        <v>6649999.999999998</v>
      </c>
      <c r="O188" s="6" t="s">
        <v>1894</v>
      </c>
    </row>
    <row r="189" spans="1:15">
      <c r="A189" s="11" t="s">
        <v>575</v>
      </c>
      <c r="B189" s="11" t="s">
        <v>1844</v>
      </c>
      <c r="C189" s="11" t="s">
        <v>576</v>
      </c>
      <c r="D189" s="11"/>
      <c r="E189" s="11" t="s">
        <v>577</v>
      </c>
      <c r="F189" s="11" t="s">
        <v>1228</v>
      </c>
      <c r="G189" s="11" t="s">
        <v>1228</v>
      </c>
      <c r="H189" s="11" t="s">
        <v>1228</v>
      </c>
      <c r="I189" s="11" t="s">
        <v>1228</v>
      </c>
      <c r="J189" s="11" t="s">
        <v>1228</v>
      </c>
      <c r="K189" s="11" t="s">
        <v>1228</v>
      </c>
      <c r="L189" s="11">
        <f>'Entity KPIs'!K43</f>
        <v>3610.0</v>
      </c>
      <c r="M189" s="11">
        <f>'Entity KPIs'!Q43</f>
        <v>3040.0</v>
      </c>
      <c r="N189" s="11">
        <f>'Group KPIs'!K43</f>
        <v>6650.0</v>
      </c>
      <c r="O189" s="11" t="s">
        <v>1845</v>
      </c>
    </row>
    <row r="191" spans="1:15">
      <c r="A191" s="9" t="s">
        <v>1895</v>
      </c>
      <c r="B191" s="9"/>
      <c r="C191" s="9"/>
      <c r="D191" s="9"/>
      <c r="E191" s="9"/>
      <c r="F191" s="9"/>
      <c r="G191" s="9"/>
      <c r="H191" s="9"/>
      <c r="I191" s="9"/>
      <c r="J191" s="9"/>
      <c r="K191" s="9"/>
      <c r="L191" s="9"/>
      <c r="M191" s="9"/>
      <c r="N191" s="9"/>
      <c r="O191" s="9"/>
    </row>
    <row r="192" spans="1:15">
      <c r="A192" s="6" t="s">
        <v>579</v>
      </c>
      <c r="B192" s="6" t="s">
        <v>1883</v>
      </c>
      <c r="C192" s="6" t="s">
        <v>407</v>
      </c>
      <c r="D192" s="6" t="s">
        <v>408</v>
      </c>
      <c r="E192" s="6" t="s">
        <v>1884</v>
      </c>
      <c r="F192" s="6" t="s">
        <v>1228</v>
      </c>
      <c r="G192" s="6" t="s">
        <v>1228</v>
      </c>
      <c r="H192" s="6" t="s">
        <v>1228</v>
      </c>
      <c r="I192" s="6" t="s">
        <v>1228</v>
      </c>
      <c r="J192" s="6" t="s">
        <v>1228</v>
      </c>
      <c r="K192" s="6" t="s">
        <v>1228</v>
      </c>
      <c r="L192" s="12">
        <f>'Entity Inputs'!GA9</f>
        <v>154108.00000000006</v>
      </c>
      <c r="M192" s="12">
        <f>'Entity Inputs'!GA15</f>
        <v>153398.60000000018</v>
      </c>
      <c r="N192" s="12">
        <f>'Group Inputs'!FZ9</f>
        <v>307506.6</v>
      </c>
      <c r="O192" s="6" t="s">
        <v>1887</v>
      </c>
    </row>
    <row r="193" spans="1:15">
      <c r="A193" s="6" t="s">
        <v>579</v>
      </c>
      <c r="B193" s="6" t="s">
        <v>1841</v>
      </c>
      <c r="C193" s="6" t="s">
        <v>200</v>
      </c>
      <c r="D193" s="6" t="s">
        <v>201</v>
      </c>
      <c r="E193" s="6" t="s">
        <v>1842</v>
      </c>
      <c r="F193" s="6" t="s">
        <v>1228</v>
      </c>
      <c r="G193" s="6" t="s">
        <v>1228</v>
      </c>
      <c r="H193" s="6" t="s">
        <v>1228</v>
      </c>
      <c r="I193" s="6" t="s">
        <v>1228</v>
      </c>
      <c r="J193" s="6" t="s">
        <v>1228</v>
      </c>
      <c r="K193" s="6" t="s">
        <v>1228</v>
      </c>
      <c r="L193" s="10">
        <f>'Entity Inputs'!CB9</f>
        <v>11016000</v>
      </c>
      <c r="M193" s="10">
        <f>'Entity Inputs'!CB15</f>
        <v>10200000</v>
      </c>
      <c r="N193" s="10">
        <f>'Group Inputs'!CA9</f>
        <v>21216000.0</v>
      </c>
      <c r="O193" s="6" t="s">
        <v>1892</v>
      </c>
    </row>
    <row r="194" spans="1:15">
      <c r="A194" s="11" t="s">
        <v>579</v>
      </c>
      <c r="B194" s="11" t="s">
        <v>1844</v>
      </c>
      <c r="C194" s="11" t="s">
        <v>580</v>
      </c>
      <c r="D194" s="11"/>
      <c r="E194" s="11" t="s">
        <v>561</v>
      </c>
      <c r="F194" s="11" t="s">
        <v>1228</v>
      </c>
      <c r="G194" s="11" t="s">
        <v>1228</v>
      </c>
      <c r="H194" s="11" t="s">
        <v>1228</v>
      </c>
      <c r="I194" s="11" t="s">
        <v>1228</v>
      </c>
      <c r="J194" s="11" t="s">
        <v>1228</v>
      </c>
      <c r="K194" s="11" t="s">
        <v>1228</v>
      </c>
      <c r="L194" s="11">
        <f>'Entity KPIs'!K44</f>
        <v>-65.72</v>
      </c>
      <c r="M194" s="11">
        <f>'Entity KPIs'!Q44</f>
        <v>-20.93</v>
      </c>
      <c r="N194" s="11">
        <f>'Group KPIs'!K44</f>
        <v>-86.65</v>
      </c>
      <c r="O194" s="11" t="s">
        <v>1845</v>
      </c>
    </row>
    <row r="196" spans="1:15">
      <c r="A196" s="9" t="s">
        <v>1896</v>
      </c>
      <c r="B196" s="9"/>
      <c r="C196" s="9"/>
      <c r="D196" s="9"/>
      <c r="E196" s="9"/>
      <c r="F196" s="9"/>
      <c r="G196" s="9"/>
      <c r="H196" s="9"/>
      <c r="I196" s="9"/>
      <c r="J196" s="9"/>
      <c r="K196" s="9"/>
      <c r="L196" s="9"/>
      <c r="M196" s="9"/>
      <c r="N196" s="9"/>
      <c r="O196" s="9"/>
    </row>
    <row r="197" spans="1:15">
      <c r="A197" s="6" t="s">
        <v>582</v>
      </c>
      <c r="B197" s="6" t="s">
        <v>1883</v>
      </c>
      <c r="C197" s="6" t="s">
        <v>404</v>
      </c>
      <c r="D197" s="6" t="s">
        <v>405</v>
      </c>
      <c r="E197" s="6" t="s">
        <v>1884</v>
      </c>
      <c r="F197" s="6" t="s">
        <v>1228</v>
      </c>
      <c r="G197" s="6" t="s">
        <v>1228</v>
      </c>
      <c r="H197" s="6" t="s">
        <v>1228</v>
      </c>
      <c r="I197" s="6" t="s">
        <v>1228</v>
      </c>
      <c r="J197" s="6" t="s">
        <v>1228</v>
      </c>
      <c r="K197" s="6" t="s">
        <v>1228</v>
      </c>
      <c r="L197" s="12">
        <f>'Entity Inputs'!FZ9</f>
        <v>201436.20000000007</v>
      </c>
      <c r="M197" s="12">
        <f>'Entity Inputs'!FZ15</f>
        <v>195544.10000000018</v>
      </c>
      <c r="N197" s="12">
        <f>'Group Inputs'!FY9</f>
        <v>396980.3</v>
      </c>
      <c r="O197" s="6" t="s">
        <v>1885</v>
      </c>
    </row>
    <row r="198" spans="1:15">
      <c r="A198" s="6" t="s">
        <v>582</v>
      </c>
      <c r="B198" s="6" t="s">
        <v>1883</v>
      </c>
      <c r="C198" s="6" t="s">
        <v>419</v>
      </c>
      <c r="D198" s="6" t="s">
        <v>420</v>
      </c>
      <c r="E198" s="6" t="s">
        <v>1884</v>
      </c>
      <c r="F198" s="6" t="s">
        <v>1228</v>
      </c>
      <c r="G198" s="6" t="s">
        <v>1228</v>
      </c>
      <c r="H198" s="6" t="s">
        <v>1228</v>
      </c>
      <c r="I198" s="6" t="s">
        <v>1228</v>
      </c>
      <c r="J198" s="6" t="s">
        <v>1228</v>
      </c>
      <c r="K198" s="6" t="s">
        <v>1228</v>
      </c>
      <c r="L198" s="12">
        <f>'Entity Inputs'!GE9</f>
        <v>94325.29999999955</v>
      </c>
      <c r="M198" s="12">
        <f>'Entity Inputs'!GE15</f>
        <v>63101.30000000035</v>
      </c>
      <c r="N198" s="12">
        <f>'Group Inputs'!GD9</f>
        <v>157426.60000000038</v>
      </c>
      <c r="O198" s="6" t="s">
        <v>1890</v>
      </c>
    </row>
    <row r="199" spans="1:15">
      <c r="A199" s="11" t="s">
        <v>582</v>
      </c>
      <c r="B199" s="11" t="s">
        <v>1844</v>
      </c>
      <c r="C199" s="11" t="s">
        <v>583</v>
      </c>
      <c r="D199" s="11"/>
      <c r="E199" s="11" t="s">
        <v>561</v>
      </c>
      <c r="F199" s="11" t="s">
        <v>1228</v>
      </c>
      <c r="G199" s="11" t="s">
        <v>1228</v>
      </c>
      <c r="H199" s="11" t="s">
        <v>1228</v>
      </c>
      <c r="I199" s="11" t="s">
        <v>1228</v>
      </c>
      <c r="J199" s="11" t="s">
        <v>1228</v>
      </c>
      <c r="K199" s="11" t="s">
        <v>1228</v>
      </c>
      <c r="L199" s="11">
        <f>'Entity KPIs'!K45</f>
        <v>37.91</v>
      </c>
      <c r="M199" s="11">
        <f>'Entity KPIs'!Q45</f>
        <v>30.88</v>
      </c>
      <c r="N199" s="11">
        <f>'Group KPIs'!K45</f>
        <v>34.44</v>
      </c>
      <c r="O199" s="11" t="s">
        <v>1845</v>
      </c>
    </row>
    <row r="201" spans="1:15">
      <c r="A201" s="9" t="s">
        <v>1897</v>
      </c>
      <c r="B201" s="9"/>
      <c r="C201" s="9"/>
      <c r="D201" s="9"/>
      <c r="E201" s="9"/>
      <c r="F201" s="9"/>
      <c r="G201" s="9"/>
      <c r="H201" s="9"/>
      <c r="I201" s="9"/>
      <c r="J201" s="9"/>
      <c r="K201" s="9"/>
      <c r="L201" s="9"/>
      <c r="M201" s="9"/>
      <c r="N201" s="9"/>
      <c r="O201" s="9"/>
    </row>
    <row r="202" spans="1:15">
      <c r="A202" s="6" t="s">
        <v>585</v>
      </c>
      <c r="B202" s="6" t="s">
        <v>1841</v>
      </c>
      <c r="C202" s="6" t="s">
        <v>204</v>
      </c>
      <c r="D202" s="6" t="s">
        <v>205</v>
      </c>
      <c r="E202" s="6" t="s">
        <v>1842</v>
      </c>
      <c r="F202" s="6" t="s">
        <v>1228</v>
      </c>
      <c r="G202" s="6" t="s">
        <v>1228</v>
      </c>
      <c r="H202" s="6" t="s">
        <v>1228</v>
      </c>
      <c r="I202" s="6" t="s">
        <v>1228</v>
      </c>
      <c r="J202" s="6" t="s">
        <v>1228</v>
      </c>
      <c r="K202" s="6" t="s">
        <v>1228</v>
      </c>
      <c r="L202" s="10">
        <f>'Entity Inputs'!CD9</f>
        <v>967082.6</v>
      </c>
      <c r="M202" s="10">
        <f>'Entity Inputs'!CD15</f>
        <v>1174739.8</v>
      </c>
      <c r="N202" s="10">
        <f>'Group Inputs'!CC9</f>
        <v>2141822.4</v>
      </c>
      <c r="O202" s="6" t="s">
        <v>1892</v>
      </c>
    </row>
    <row r="203" spans="1:15">
      <c r="A203" s="11" t="s">
        <v>585</v>
      </c>
      <c r="B203" s="11" t="s">
        <v>1844</v>
      </c>
      <c r="C203" s="11" t="s">
        <v>586</v>
      </c>
      <c r="D203" s="11"/>
      <c r="E203" s="11" t="s">
        <v>577</v>
      </c>
      <c r="F203" s="11" t="s">
        <v>1228</v>
      </c>
      <c r="G203" s="11" t="s">
        <v>1228</v>
      </c>
      <c r="H203" s="11" t="s">
        <v>1228</v>
      </c>
      <c r="I203" s="11" t="s">
        <v>1228</v>
      </c>
      <c r="J203" s="11" t="s">
        <v>1228</v>
      </c>
      <c r="K203" s="11" t="s">
        <v>1228</v>
      </c>
      <c r="L203" s="11">
        <f>'Entity KPIs'!K46</f>
        <v>967.08</v>
      </c>
      <c r="M203" s="11">
        <f>'Entity KPIs'!Q46</f>
        <v>1174.74</v>
      </c>
      <c r="N203" s="11">
        <f>'Group KPIs'!K46</f>
        <v>2141.82</v>
      </c>
      <c r="O203" s="11" t="s">
        <v>1845</v>
      </c>
    </row>
    <row r="205" spans="1:15">
      <c r="A205" s="9" t="s">
        <v>1898</v>
      </c>
      <c r="B205" s="9"/>
      <c r="C205" s="9"/>
      <c r="D205" s="9"/>
      <c r="E205" s="9"/>
      <c r="F205" s="9"/>
      <c r="G205" s="9"/>
      <c r="H205" s="9"/>
      <c r="I205" s="9"/>
      <c r="J205" s="9"/>
      <c r="K205" s="9"/>
      <c r="L205" s="9"/>
      <c r="M205" s="9"/>
      <c r="N205" s="9"/>
      <c r="O205" s="9"/>
    </row>
    <row r="206" spans="1:15">
      <c r="A206" s="6" t="s">
        <v>588</v>
      </c>
      <c r="B206" s="6" t="s">
        <v>1841</v>
      </c>
      <c r="C206" s="6" t="s">
        <v>226</v>
      </c>
      <c r="D206" s="6" t="s">
        <v>227</v>
      </c>
      <c r="E206" s="6" t="s">
        <v>1884</v>
      </c>
      <c r="F206" s="6" t="s">
        <v>1228</v>
      </c>
      <c r="G206" s="6" t="s">
        <v>1228</v>
      </c>
      <c r="H206" s="6" t="s">
        <v>1228</v>
      </c>
      <c r="I206" s="6" t="s">
        <v>1228</v>
      </c>
      <c r="J206" s="6" t="s">
        <v>1228</v>
      </c>
      <c r="K206" s="6" t="s">
        <v>1228</v>
      </c>
      <c r="L206" s="10">
        <f>'Entity Inputs'!CO9</f>
        <v>843.3</v>
      </c>
      <c r="M206" s="10">
        <f>'Entity Inputs'!CO15</f>
        <v>2567.4</v>
      </c>
      <c r="N206" s="10">
        <f>'Group Inputs'!CN9</f>
        <v>3410.7</v>
      </c>
      <c r="O206" s="6" t="s">
        <v>1892</v>
      </c>
    </row>
    <row r="207" spans="1:15">
      <c r="A207" s="11" t="s">
        <v>588</v>
      </c>
      <c r="B207" s="11" t="s">
        <v>1844</v>
      </c>
      <c r="C207" s="11" t="s">
        <v>589</v>
      </c>
      <c r="D207" s="11"/>
      <c r="E207" s="11" t="s">
        <v>561</v>
      </c>
      <c r="F207" s="11" t="s">
        <v>1228</v>
      </c>
      <c r="G207" s="11" t="s">
        <v>1228</v>
      </c>
      <c r="H207" s="11" t="s">
        <v>1228</v>
      </c>
      <c r="I207" s="11" t="s">
        <v>1228</v>
      </c>
      <c r="J207" s="11" t="s">
        <v>1228</v>
      </c>
      <c r="K207" s="11" t="s">
        <v>1228</v>
      </c>
      <c r="L207" s="11">
        <f>'Entity KPIs'!K47</f>
        <v>4.2</v>
      </c>
      <c r="M207" s="11">
        <f>'Entity KPIs'!Q47</f>
        <v>17.83</v>
      </c>
      <c r="N207" s="11">
        <f>'Group KPIs'!K47</f>
        <v>22.03</v>
      </c>
      <c r="O207" s="11" t="s">
        <v>1845</v>
      </c>
    </row>
    <row r="209" spans="1:15">
      <c r="A209" s="9" t="s">
        <v>1899</v>
      </c>
      <c r="B209" s="9"/>
      <c r="C209" s="9"/>
      <c r="D209" s="9"/>
      <c r="E209" s="9"/>
      <c r="F209" s="9"/>
      <c r="G209" s="9"/>
      <c r="H209" s="9"/>
      <c r="I209" s="9"/>
      <c r="J209" s="9"/>
      <c r="K209" s="9"/>
      <c r="L209" s="9"/>
      <c r="M209" s="9"/>
      <c r="N209" s="9"/>
      <c r="O209" s="9"/>
    </row>
    <row r="210" spans="1:15">
      <c r="A210" s="6" t="s">
        <v>591</v>
      </c>
      <c r="B210" s="6" t="s">
        <v>1841</v>
      </c>
      <c r="C210" s="6" t="s">
        <v>224</v>
      </c>
      <c r="D210" s="6" t="s">
        <v>225</v>
      </c>
      <c r="E210" s="6" t="s">
        <v>1842</v>
      </c>
      <c r="F210" s="6" t="s">
        <v>1228</v>
      </c>
      <c r="G210" s="6" t="s">
        <v>1228</v>
      </c>
      <c r="H210" s="6" t="s">
        <v>1228</v>
      </c>
      <c r="I210" s="6" t="s">
        <v>1228</v>
      </c>
      <c r="J210" s="6" t="s">
        <v>1228</v>
      </c>
      <c r="K210" s="6" t="s">
        <v>1228</v>
      </c>
      <c r="L210" s="10">
        <f>'Entity Inputs'!CN9</f>
        <v>1158127.3</v>
      </c>
      <c r="M210" s="10">
        <f>'Entity Inputs'!CN15</f>
        <v>1145104.1</v>
      </c>
      <c r="N210" s="10">
        <f>'Group Inputs'!CM9</f>
        <v>2303231.4000000004</v>
      </c>
      <c r="O210" s="6" t="s">
        <v>1892</v>
      </c>
    </row>
    <row r="211" spans="1:15">
      <c r="A211" s="11" t="s">
        <v>591</v>
      </c>
      <c r="B211" s="11" t="s">
        <v>1844</v>
      </c>
      <c r="C211" s="11" t="s">
        <v>592</v>
      </c>
      <c r="D211" s="11"/>
      <c r="E211" s="11" t="s">
        <v>25</v>
      </c>
      <c r="F211" s="11" t="s">
        <v>1228</v>
      </c>
      <c r="G211" s="11" t="s">
        <v>1228</v>
      </c>
      <c r="H211" s="11" t="s">
        <v>1228</v>
      </c>
      <c r="I211" s="11" t="s">
        <v>1228</v>
      </c>
      <c r="J211" s="11" t="s">
        <v>1228</v>
      </c>
      <c r="K211" s="11" t="s">
        <v>1228</v>
      </c>
      <c r="L211" s="11">
        <f>'Entity KPIs'!K48</f>
        <v>38.6</v>
      </c>
      <c r="M211" s="11">
        <f>'Entity KPIs'!Q48</f>
        <v>38.17</v>
      </c>
      <c r="N211" s="11">
        <f>'Group KPIs'!K48</f>
        <v>76.77</v>
      </c>
      <c r="O211" s="11" t="s">
        <v>1845</v>
      </c>
    </row>
    <row r="213" spans="1:15">
      <c r="A213" s="9" t="s">
        <v>1900</v>
      </c>
      <c r="B213" s="9"/>
      <c r="C213" s="9"/>
      <c r="D213" s="9"/>
      <c r="E213" s="9"/>
      <c r="F213" s="9"/>
      <c r="G213" s="9"/>
      <c r="H213" s="9"/>
      <c r="I213" s="9"/>
      <c r="J213" s="9"/>
      <c r="K213" s="9"/>
      <c r="L213" s="9"/>
      <c r="M213" s="9"/>
      <c r="N213" s="9"/>
      <c r="O213" s="9"/>
    </row>
    <row r="214" spans="1:15">
      <c r="A214" s="6" t="s">
        <v>595</v>
      </c>
      <c r="B214" s="6" t="s">
        <v>1883</v>
      </c>
      <c r="C214" s="6" t="s">
        <v>428</v>
      </c>
      <c r="D214" s="6" t="s">
        <v>429</v>
      </c>
      <c r="E214" s="6" t="s">
        <v>1842</v>
      </c>
      <c r="F214" s="6" t="s">
        <v>1228</v>
      </c>
      <c r="G214" s="6" t="s">
        <v>1228</v>
      </c>
      <c r="H214" s="6" t="s">
        <v>1228</v>
      </c>
      <c r="I214" s="6" t="s">
        <v>1228</v>
      </c>
      <c r="J214" s="6" t="s">
        <v>1228</v>
      </c>
      <c r="K214" s="6" t="s">
        <v>1228</v>
      </c>
      <c r="L214" s="12">
        <f>'Entity Inputs'!GH9</f>
        <v>51.998910293649644</v>
      </c>
      <c r="M214" s="12">
        <f>'Entity Inputs'!GH15</f>
        <v>42.05452092952627</v>
      </c>
      <c r="N214" s="12">
        <f>'Group Inputs'!GG9</f>
        <v>46.97484110276068</v>
      </c>
      <c r="O214" s="6" t="s">
        <v>1901</v>
      </c>
    </row>
    <row r="215" spans="1:15">
      <c r="A215" s="6" t="s">
        <v>595</v>
      </c>
      <c r="B215" s="6" t="s">
        <v>1883</v>
      </c>
      <c r="C215" s="6" t="s">
        <v>434</v>
      </c>
      <c r="D215" s="6" t="s">
        <v>435</v>
      </c>
      <c r="E215" s="6" t="s">
        <v>1842</v>
      </c>
      <c r="F215" s="6" t="s">
        <v>1228</v>
      </c>
      <c r="G215" s="6" t="s">
        <v>1228</v>
      </c>
      <c r="H215" s="6" t="s">
        <v>1228</v>
      </c>
      <c r="I215" s="6" t="s">
        <v>1228</v>
      </c>
      <c r="J215" s="6" t="s">
        <v>1228</v>
      </c>
      <c r="K215" s="6" t="s">
        <v>1228</v>
      </c>
      <c r="L215" s="12">
        <f>'Entity Inputs'!GJ9</f>
        <v>40.49417078283076</v>
      </c>
      <c r="M215" s="12">
        <f>'Entity Inputs'!GJ15</f>
        <v>35.10707779227154</v>
      </c>
      <c r="N215" s="12">
        <f>'Group Inputs'!GI9</f>
        <v>37.759825230514444</v>
      </c>
      <c r="O215" s="6" t="s">
        <v>1902</v>
      </c>
    </row>
    <row r="216" spans="1:15">
      <c r="A216" s="6" t="s">
        <v>595</v>
      </c>
      <c r="B216" s="6" t="s">
        <v>1883</v>
      </c>
      <c r="C216" s="6" t="s">
        <v>431</v>
      </c>
      <c r="D216" s="6" t="s">
        <v>432</v>
      </c>
      <c r="E216" s="6" t="s">
        <v>1842</v>
      </c>
      <c r="F216" s="6" t="s">
        <v>1228</v>
      </c>
      <c r="G216" s="6" t="s">
        <v>1228</v>
      </c>
      <c r="H216" s="6" t="s">
        <v>1228</v>
      </c>
      <c r="I216" s="6" t="s">
        <v>1228</v>
      </c>
      <c r="J216" s="6" t="s">
        <v>1228</v>
      </c>
      <c r="K216" s="6" t="s">
        <v>1228</v>
      </c>
      <c r="L216" s="12">
        <f>'Entity Inputs'!GI9</f>
        <v>40.195493814143674</v>
      </c>
      <c r="M216" s="12">
        <f>'Entity Inputs'!GI15</f>
        <v>63.73951905857946</v>
      </c>
      <c r="N216" s="12">
        <f>'Group Inputs'!GH9</f>
        <v>52.14581671066069</v>
      </c>
      <c r="O216" s="6" t="s">
        <v>1903</v>
      </c>
    </row>
    <row r="217" spans="1:15">
      <c r="A217" s="11" t="s">
        <v>595</v>
      </c>
      <c r="B217" s="11" t="s">
        <v>1844</v>
      </c>
      <c r="C217" s="11" t="s">
        <v>596</v>
      </c>
      <c r="D217" s="11"/>
      <c r="E217" s="11" t="s">
        <v>577</v>
      </c>
      <c r="F217" s="11" t="s">
        <v>1228</v>
      </c>
      <c r="G217" s="11" t="s">
        <v>1228</v>
      </c>
      <c r="H217" s="11" t="s">
        <v>1228</v>
      </c>
      <c r="I217" s="11" t="s">
        <v>1228</v>
      </c>
      <c r="J217" s="11" t="s">
        <v>1228</v>
      </c>
      <c r="K217" s="11" t="s">
        <v>1228</v>
      </c>
      <c r="L217" s="11">
        <f>'Entity KPIs'!K49</f>
        <v>52.3</v>
      </c>
      <c r="M217" s="11">
        <f>'Entity KPIs'!Q49</f>
        <v>13.42</v>
      </c>
      <c r="N217" s="11">
        <f>'Group KPIs'!K49</f>
        <v>32.59</v>
      </c>
      <c r="O217" s="11" t="s">
        <v>1845</v>
      </c>
    </row>
    <row r="219" spans="1:15">
      <c r="A219" s="9" t="s">
        <v>1904</v>
      </c>
      <c r="B219" s="9"/>
      <c r="C219" s="9"/>
      <c r="D219" s="9"/>
      <c r="E219" s="9"/>
      <c r="F219" s="9"/>
      <c r="G219" s="9"/>
      <c r="H219" s="9"/>
      <c r="I219" s="9"/>
      <c r="J219" s="9"/>
      <c r="K219" s="9"/>
      <c r="L219" s="9"/>
      <c r="M219" s="9"/>
      <c r="N219" s="9"/>
      <c r="O219" s="9"/>
    </row>
    <row r="220" spans="1:15">
      <c r="A220" s="6" t="s">
        <v>598</v>
      </c>
      <c r="B220" s="6" t="s">
        <v>1841</v>
      </c>
      <c r="C220" s="6" t="s">
        <v>228</v>
      </c>
      <c r="D220" s="6" t="s">
        <v>229</v>
      </c>
      <c r="E220" s="6" t="s">
        <v>1842</v>
      </c>
      <c r="F220" s="6" t="s">
        <v>1228</v>
      </c>
      <c r="G220" s="6" t="s">
        <v>1228</v>
      </c>
      <c r="H220" s="6" t="s">
        <v>1228</v>
      </c>
      <c r="I220" s="6" t="s">
        <v>1228</v>
      </c>
      <c r="J220" s="6" t="s">
        <v>1228</v>
      </c>
      <c r="K220" s="6" t="s">
        <v>1228</v>
      </c>
      <c r="L220" s="10">
        <f>'Entity Inputs'!CP9</f>
        <v>122055.2</v>
      </c>
      <c r="M220" s="10">
        <f>'Entity Inputs'!CP15</f>
        <v>83215.8</v>
      </c>
      <c r="N220" s="10">
        <f>'Group Inputs'!CO9</f>
        <v>205271.0</v>
      </c>
      <c r="O220" s="6" t="s">
        <v>1892</v>
      </c>
    </row>
    <row r="221" spans="1:15">
      <c r="A221" s="6" t="s">
        <v>598</v>
      </c>
      <c r="B221" s="6" t="s">
        <v>1841</v>
      </c>
      <c r="C221" s="6" t="s">
        <v>230</v>
      </c>
      <c r="D221" s="6" t="s">
        <v>231</v>
      </c>
      <c r="E221" s="6" t="s">
        <v>1842</v>
      </c>
      <c r="F221" s="6" t="s">
        <v>1228</v>
      </c>
      <c r="G221" s="6" t="s">
        <v>1228</v>
      </c>
      <c r="H221" s="6" t="s">
        <v>1228</v>
      </c>
      <c r="I221" s="6" t="s">
        <v>1228</v>
      </c>
      <c r="J221" s="6" t="s">
        <v>1228</v>
      </c>
      <c r="K221" s="6" t="s">
        <v>1228</v>
      </c>
      <c r="L221" s="10">
        <f>'Entity Inputs'!CQ9</f>
        <v>94842.6</v>
      </c>
      <c r="M221" s="10">
        <f>'Entity Inputs'!CQ15</f>
        <v>83215.8</v>
      </c>
      <c r="N221" s="10">
        <f>'Group Inputs'!CP9</f>
        <v>178058.40000000002</v>
      </c>
      <c r="O221" s="6" t="s">
        <v>1892</v>
      </c>
    </row>
    <row r="222" spans="1:15">
      <c r="A222" s="11" t="s">
        <v>598</v>
      </c>
      <c r="B222" s="11" t="s">
        <v>1844</v>
      </c>
      <c r="C222" s="11" t="s">
        <v>599</v>
      </c>
      <c r="D222" s="11"/>
      <c r="E222" s="11" t="s">
        <v>600</v>
      </c>
      <c r="F222" s="11" t="s">
        <v>1228</v>
      </c>
      <c r="G222" s="11" t="s">
        <v>1228</v>
      </c>
      <c r="H222" s="11" t="s">
        <v>1228</v>
      </c>
      <c r="I222" s="11" t="s">
        <v>1228</v>
      </c>
      <c r="J222" s="11" t="s">
        <v>1228</v>
      </c>
      <c r="K222" s="11" t="s">
        <v>1228</v>
      </c>
      <c r="L222" s="11">
        <f>'Entity KPIs'!K50</f>
        <v>27.21</v>
      </c>
      <c r="M222" s="11">
        <f>'Entity KPIs'!Q50</f>
        <v>0.0</v>
      </c>
      <c r="N222" s="11">
        <f>'Group KPIs'!K50</f>
        <v>27.21</v>
      </c>
      <c r="O222" s="11" t="s">
        <v>1845</v>
      </c>
    </row>
    <row r="224" spans="1:15">
      <c r="A224" s="9" t="s">
        <v>1905</v>
      </c>
      <c r="B224" s="9"/>
      <c r="C224" s="9"/>
      <c r="D224" s="9"/>
      <c r="E224" s="9"/>
      <c r="F224" s="9"/>
      <c r="G224" s="9"/>
      <c r="H224" s="9"/>
      <c r="I224" s="9"/>
      <c r="J224" s="9"/>
      <c r="K224" s="9"/>
      <c r="L224" s="9"/>
      <c r="M224" s="9"/>
      <c r="N224" s="9"/>
      <c r="O224" s="9"/>
    </row>
    <row r="225" spans="1:15">
      <c r="A225" s="6" t="s">
        <v>602</v>
      </c>
      <c r="B225" s="6" t="s">
        <v>1883</v>
      </c>
      <c r="C225" s="6" t="s">
        <v>428</v>
      </c>
      <c r="D225" s="6" t="s">
        <v>429</v>
      </c>
      <c r="E225" s="6" t="s">
        <v>1842</v>
      </c>
      <c r="F225" s="6" t="s">
        <v>1228</v>
      </c>
      <c r="G225" s="6" t="s">
        <v>1228</v>
      </c>
      <c r="H225" s="6" t="s">
        <v>1228</v>
      </c>
      <c r="I225" s="6" t="s">
        <v>1228</v>
      </c>
      <c r="J225" s="6" t="s">
        <v>1228</v>
      </c>
      <c r="K225" s="6" t="s">
        <v>1228</v>
      </c>
      <c r="L225" s="12">
        <f>'Entity Inputs'!GH9</f>
        <v>51.998910293649644</v>
      </c>
      <c r="M225" s="12">
        <f>'Entity Inputs'!GH15</f>
        <v>42.05452092952627</v>
      </c>
      <c r="N225" s="12">
        <f>'Group Inputs'!GG9</f>
        <v>46.97484110276068</v>
      </c>
      <c r="O225" s="6" t="s">
        <v>1901</v>
      </c>
    </row>
    <row r="226" spans="1:15">
      <c r="A226" s="11" t="s">
        <v>602</v>
      </c>
      <c r="B226" s="11" t="s">
        <v>1844</v>
      </c>
      <c r="C226" s="11" t="s">
        <v>603</v>
      </c>
      <c r="D226" s="11"/>
      <c r="E226" s="11" t="s">
        <v>577</v>
      </c>
      <c r="F226" s="11" t="s">
        <v>1228</v>
      </c>
      <c r="G226" s="11" t="s">
        <v>1228</v>
      </c>
      <c r="H226" s="11" t="s">
        <v>1228</v>
      </c>
      <c r="I226" s="11" t="s">
        <v>1228</v>
      </c>
      <c r="J226" s="11" t="s">
        <v>1228</v>
      </c>
      <c r="K226" s="11" t="s">
        <v>1228</v>
      </c>
      <c r="L226" s="11">
        <f>'Entity KPIs'!K51</f>
        <v>52.0</v>
      </c>
      <c r="M226" s="11">
        <f>'Entity KPIs'!Q51</f>
        <v>42.05</v>
      </c>
      <c r="N226" s="11">
        <f>'Group KPIs'!K51</f>
        <v>46.97</v>
      </c>
      <c r="O226" s="11" t="s">
        <v>1845</v>
      </c>
    </row>
    <row r="228" spans="1:15">
      <c r="A228" s="9" t="s">
        <v>1906</v>
      </c>
      <c r="B228" s="9"/>
      <c r="C228" s="9"/>
      <c r="D228" s="9"/>
      <c r="E228" s="9"/>
      <c r="F228" s="9"/>
      <c r="G228" s="9"/>
      <c r="H228" s="9"/>
      <c r="I228" s="9"/>
      <c r="J228" s="9"/>
      <c r="K228" s="9"/>
      <c r="L228" s="9"/>
      <c r="M228" s="9"/>
      <c r="N228" s="9"/>
      <c r="O228" s="9"/>
    </row>
    <row r="229" spans="1:15">
      <c r="A229" s="6" t="s">
        <v>605</v>
      </c>
      <c r="B229" s="6" t="s">
        <v>1883</v>
      </c>
      <c r="C229" s="6" t="s">
        <v>431</v>
      </c>
      <c r="D229" s="6" t="s">
        <v>432</v>
      </c>
      <c r="E229" s="6" t="s">
        <v>1842</v>
      </c>
      <c r="F229" s="6" t="s">
        <v>1228</v>
      </c>
      <c r="G229" s="6" t="s">
        <v>1228</v>
      </c>
      <c r="H229" s="6" t="s">
        <v>1228</v>
      </c>
      <c r="I229" s="6" t="s">
        <v>1228</v>
      </c>
      <c r="J229" s="6" t="s">
        <v>1228</v>
      </c>
      <c r="K229" s="6" t="s">
        <v>1228</v>
      </c>
      <c r="L229" s="12">
        <f>'Entity Inputs'!GI9</f>
        <v>40.195493814143674</v>
      </c>
      <c r="M229" s="12">
        <f>'Entity Inputs'!GI15</f>
        <v>63.73951905857946</v>
      </c>
      <c r="N229" s="12">
        <f>'Group Inputs'!GH9</f>
        <v>52.14581671066069</v>
      </c>
      <c r="O229" s="6" t="s">
        <v>1903</v>
      </c>
    </row>
    <row r="230" spans="1:15">
      <c r="A230" s="11" t="s">
        <v>605</v>
      </c>
      <c r="B230" s="11" t="s">
        <v>1844</v>
      </c>
      <c r="C230" s="11" t="s">
        <v>606</v>
      </c>
      <c r="D230" s="11"/>
      <c r="E230" s="11" t="s">
        <v>577</v>
      </c>
      <c r="F230" s="11" t="s">
        <v>1228</v>
      </c>
      <c r="G230" s="11" t="s">
        <v>1228</v>
      </c>
      <c r="H230" s="11" t="s">
        <v>1228</v>
      </c>
      <c r="I230" s="11" t="s">
        <v>1228</v>
      </c>
      <c r="J230" s="11" t="s">
        <v>1228</v>
      </c>
      <c r="K230" s="11" t="s">
        <v>1228</v>
      </c>
      <c r="L230" s="11">
        <f>'Entity KPIs'!K52</f>
        <v>40.2</v>
      </c>
      <c r="M230" s="11">
        <f>'Entity KPIs'!Q52</f>
        <v>63.74</v>
      </c>
      <c r="N230" s="11">
        <f>'Group KPIs'!K52</f>
        <v>52.15</v>
      </c>
      <c r="O230" s="11" t="s">
        <v>1845</v>
      </c>
    </row>
    <row r="232" spans="1:15">
      <c r="A232" s="9" t="s">
        <v>1907</v>
      </c>
      <c r="B232" s="9"/>
      <c r="C232" s="9"/>
      <c r="D232" s="9"/>
      <c r="E232" s="9"/>
      <c r="F232" s="9"/>
      <c r="G232" s="9"/>
      <c r="H232" s="9"/>
      <c r="I232" s="9"/>
      <c r="J232" s="9"/>
      <c r="K232" s="9"/>
      <c r="L232" s="9"/>
      <c r="M232" s="9"/>
      <c r="N232" s="9"/>
      <c r="O232" s="9"/>
    </row>
    <row r="233" spans="1:15">
      <c r="A233" s="6" t="s">
        <v>608</v>
      </c>
      <c r="B233" s="6" t="s">
        <v>1883</v>
      </c>
      <c r="C233" s="6" t="s">
        <v>434</v>
      </c>
      <c r="D233" s="6" t="s">
        <v>435</v>
      </c>
      <c r="E233" s="6" t="s">
        <v>1842</v>
      </c>
      <c r="F233" s="6" t="s">
        <v>1228</v>
      </c>
      <c r="G233" s="6" t="s">
        <v>1228</v>
      </c>
      <c r="H233" s="6" t="s">
        <v>1228</v>
      </c>
      <c r="I233" s="6" t="s">
        <v>1228</v>
      </c>
      <c r="J233" s="6" t="s">
        <v>1228</v>
      </c>
      <c r="K233" s="6" t="s">
        <v>1228</v>
      </c>
      <c r="L233" s="12">
        <f>'Entity Inputs'!GJ9</f>
        <v>40.49417078283076</v>
      </c>
      <c r="M233" s="12">
        <f>'Entity Inputs'!GJ15</f>
        <v>35.10707779227154</v>
      </c>
      <c r="N233" s="12">
        <f>'Group Inputs'!GI9</f>
        <v>37.759825230514444</v>
      </c>
      <c r="O233" s="6" t="s">
        <v>1902</v>
      </c>
    </row>
    <row r="234" spans="1:15">
      <c r="A234" s="11" t="s">
        <v>608</v>
      </c>
      <c r="B234" s="11" t="s">
        <v>1844</v>
      </c>
      <c r="C234" s="11" t="s">
        <v>609</v>
      </c>
      <c r="D234" s="11"/>
      <c r="E234" s="11" t="s">
        <v>577</v>
      </c>
      <c r="F234" s="11" t="s">
        <v>1228</v>
      </c>
      <c r="G234" s="11" t="s">
        <v>1228</v>
      </c>
      <c r="H234" s="11" t="s">
        <v>1228</v>
      </c>
      <c r="I234" s="11" t="s">
        <v>1228</v>
      </c>
      <c r="J234" s="11" t="s">
        <v>1228</v>
      </c>
      <c r="K234" s="11" t="s">
        <v>1228</v>
      </c>
      <c r="L234" s="11">
        <f>'Entity KPIs'!K53</f>
        <v>40.49</v>
      </c>
      <c r="M234" s="11">
        <f>'Entity KPIs'!Q53</f>
        <v>35.11</v>
      </c>
      <c r="N234" s="11">
        <f>'Group KPIs'!K53</f>
        <v>37.76</v>
      </c>
      <c r="O234" s="11" t="s">
        <v>1845</v>
      </c>
    </row>
    <row r="236" spans="1:15">
      <c r="A236" s="9" t="s">
        <v>1908</v>
      </c>
      <c r="B236" s="9"/>
      <c r="C236" s="9"/>
      <c r="D236" s="9"/>
      <c r="E236" s="9"/>
      <c r="F236" s="9"/>
      <c r="G236" s="9"/>
      <c r="H236" s="9"/>
      <c r="I236" s="9"/>
      <c r="J236" s="9"/>
      <c r="K236" s="9"/>
      <c r="L236" s="9"/>
      <c r="M236" s="9"/>
      <c r="N236" s="9"/>
      <c r="O236" s="9"/>
    </row>
    <row r="237" spans="1:15">
      <c r="A237" s="6" t="s">
        <v>611</v>
      </c>
      <c r="B237" s="6" t="s">
        <v>1883</v>
      </c>
      <c r="C237" s="6" t="s">
        <v>410</v>
      </c>
      <c r="D237" s="6" t="s">
        <v>411</v>
      </c>
      <c r="E237" s="6" t="s">
        <v>1842</v>
      </c>
      <c r="F237" s="6" t="s">
        <v>1228</v>
      </c>
      <c r="G237" s="6" t="s">
        <v>1228</v>
      </c>
      <c r="H237" s="6" t="s">
        <v>1228</v>
      </c>
      <c r="I237" s="6" t="s">
        <v>1228</v>
      </c>
      <c r="J237" s="6" t="s">
        <v>1228</v>
      </c>
      <c r="K237" s="6" t="s">
        <v>1228</v>
      </c>
      <c r="L237" s="12">
        <f>'Entity Inputs'!GB9</f>
        <v>2012174.3</v>
      </c>
      <c r="M237" s="12">
        <f>'Entity Inputs'!GB15</f>
        <v>768812.2999999998</v>
      </c>
      <c r="N237" s="12">
        <f>'Group Inputs'!GA9</f>
        <v>2780986.5999999996</v>
      </c>
      <c r="O237" s="6" t="s">
        <v>1909</v>
      </c>
    </row>
    <row r="238" spans="1:15">
      <c r="A238" s="11" t="s">
        <v>611</v>
      </c>
      <c r="B238" s="11" t="s">
        <v>1844</v>
      </c>
      <c r="C238" s="11" t="s">
        <v>612</v>
      </c>
      <c r="D238" s="11"/>
      <c r="E238" s="11" t="s">
        <v>577</v>
      </c>
      <c r="F238" s="11" t="s">
        <v>1228</v>
      </c>
      <c r="G238" s="11" t="s">
        <v>1228</v>
      </c>
      <c r="H238" s="11" t="s">
        <v>1228</v>
      </c>
      <c r="I238" s="11" t="s">
        <v>1228</v>
      </c>
      <c r="J238" s="11" t="s">
        <v>1228</v>
      </c>
      <c r="K238" s="11" t="s">
        <v>1228</v>
      </c>
      <c r="L238" s="11">
        <f>'Entity KPIs'!K54</f>
        <v>2012.17</v>
      </c>
      <c r="M238" s="11">
        <f>'Entity KPIs'!Q54</f>
        <v>768.81</v>
      </c>
      <c r="N238" s="11">
        <f>'Group KPIs'!K54</f>
        <v>2780.99</v>
      </c>
      <c r="O238" s="11" t="s">
        <v>1845</v>
      </c>
    </row>
    <row r="240" spans="1:15">
      <c r="A240" s="9" t="s">
        <v>1910</v>
      </c>
      <c r="B240" s="9"/>
      <c r="C240" s="9"/>
      <c r="D240" s="9"/>
      <c r="E240" s="9"/>
      <c r="F240" s="9"/>
      <c r="G240" s="9"/>
      <c r="H240" s="9"/>
      <c r="I240" s="9"/>
      <c r="J240" s="9"/>
      <c r="K240" s="9"/>
      <c r="L240" s="9"/>
      <c r="M240" s="9"/>
      <c r="N240" s="9"/>
      <c r="O240" s="9"/>
    </row>
    <row r="241" spans="1:15">
      <c r="A241" s="6" t="s">
        <v>614</v>
      </c>
      <c r="B241" s="6" t="s">
        <v>1883</v>
      </c>
      <c r="C241" s="6" t="s">
        <v>413</v>
      </c>
      <c r="D241" s="6" t="s">
        <v>414</v>
      </c>
      <c r="E241" s="6" t="s">
        <v>1842</v>
      </c>
      <c r="F241" s="6" t="s">
        <v>1228</v>
      </c>
      <c r="G241" s="6" t="s">
        <v>1228</v>
      </c>
      <c r="H241" s="6" t="s">
        <v>1228</v>
      </c>
      <c r="I241" s="6" t="s">
        <v>1228</v>
      </c>
      <c r="J241" s="6" t="s">
        <v>1228</v>
      </c>
      <c r="K241" s="6" t="s">
        <v>1228</v>
      </c>
      <c r="L241" s="12">
        <f>'Entity Inputs'!GC9</f>
        <v>-9233.699999999488</v>
      </c>
      <c r="M241" s="12">
        <f>'Entity Inputs'!GC15</f>
        <v>26492.299999999814</v>
      </c>
      <c r="N241" s="12">
        <f>'Group Inputs'!GB9</f>
        <v>17258.599999999627</v>
      </c>
      <c r="O241" s="6" t="s">
        <v>1911</v>
      </c>
    </row>
    <row r="242" spans="1:15">
      <c r="A242" s="11" t="s">
        <v>614</v>
      </c>
      <c r="B242" s="11" t="s">
        <v>1844</v>
      </c>
      <c r="C242" s="11" t="s">
        <v>615</v>
      </c>
      <c r="D242" s="11"/>
      <c r="E242" s="11" t="s">
        <v>25</v>
      </c>
      <c r="F242" s="11" t="s">
        <v>1228</v>
      </c>
      <c r="G242" s="11" t="s">
        <v>1228</v>
      </c>
      <c r="H242" s="11" t="s">
        <v>1228</v>
      </c>
      <c r="I242" s="11" t="s">
        <v>1228</v>
      </c>
      <c r="J242" s="11" t="s">
        <v>1228</v>
      </c>
      <c r="K242" s="11" t="s">
        <v>1228</v>
      </c>
      <c r="L242" s="11">
        <f>'Entity KPIs'!K55</f>
        <v>-9.23</v>
      </c>
      <c r="M242" s="11">
        <f>'Entity KPIs'!Q55</f>
        <v>26.49</v>
      </c>
      <c r="N242" s="11">
        <f>'Group KPIs'!K55</f>
        <v>17.26</v>
      </c>
      <c r="O242" s="11" t="s">
        <v>1845</v>
      </c>
    </row>
    <row r="244" spans="1:15">
      <c r="A244" s="9" t="s">
        <v>1912</v>
      </c>
      <c r="B244" s="9"/>
      <c r="C244" s="9"/>
      <c r="D244" s="9"/>
      <c r="E244" s="9"/>
      <c r="F244" s="9"/>
      <c r="G244" s="9"/>
      <c r="H244" s="9"/>
      <c r="I244" s="9"/>
      <c r="J244" s="9"/>
      <c r="K244" s="9"/>
      <c r="L244" s="9"/>
      <c r="M244" s="9"/>
      <c r="N244" s="9"/>
      <c r="O244" s="9"/>
    </row>
    <row r="245" spans="1:15">
      <c r="A245" s="6" t="s">
        <v>617</v>
      </c>
      <c r="B245" s="6" t="s">
        <v>1841</v>
      </c>
      <c r="C245" s="6" t="s">
        <v>119</v>
      </c>
      <c r="D245" s="6" t="s">
        <v>120</v>
      </c>
      <c r="E245" s="6" t="s">
        <v>1842</v>
      </c>
      <c r="F245" s="10">
        <f>'Plant Inputs'!AX9</f>
        <v>300900.3</v>
      </c>
      <c r="G245" s="10">
        <f>'Plant Inputs'!AX15</f>
        <v>346059.3</v>
      </c>
      <c r="H245" s="10">
        <f>'Plant Inputs'!AX21</f>
        <v>508764.6</v>
      </c>
      <c r="I245" s="10">
        <f>'Plant Inputs'!AX27</f>
        <v>310595</v>
      </c>
      <c r="J245" s="10">
        <f>'Plant Inputs'!AX33</f>
        <v>506388.4</v>
      </c>
      <c r="K245" s="10">
        <f>'Plant Inputs'!AX39</f>
        <v>363110.2</v>
      </c>
      <c r="L245" s="10">
        <f>'Entity Inputs'!AV9</f>
        <v>1155724.2</v>
      </c>
      <c r="M245" s="10">
        <f>'Entity Inputs'!AV15</f>
        <v>1180093.6</v>
      </c>
      <c r="N245" s="10">
        <f>'Group Inputs'!AU9</f>
        <v>2335817.8</v>
      </c>
      <c r="O245" s="6" t="s">
        <v>1843</v>
      </c>
    </row>
    <row r="246" spans="1:15">
      <c r="A246" s="6" t="s">
        <v>617</v>
      </c>
      <c r="B246" s="6" t="s">
        <v>1883</v>
      </c>
      <c r="C246" s="6" t="s">
        <v>410</v>
      </c>
      <c r="D246" s="6" t="s">
        <v>411</v>
      </c>
      <c r="E246" s="6" t="s">
        <v>1842</v>
      </c>
      <c r="F246" s="6" t="s">
        <v>1228</v>
      </c>
      <c r="G246" s="6" t="s">
        <v>1228</v>
      </c>
      <c r="H246" s="6" t="s">
        <v>1228</v>
      </c>
      <c r="I246" s="6" t="s">
        <v>1228</v>
      </c>
      <c r="J246" s="6" t="s">
        <v>1228</v>
      </c>
      <c r="K246" s="6" t="s">
        <v>1228</v>
      </c>
      <c r="L246" s="12">
        <f>'Entity Inputs'!GB9</f>
        <v>2012174.3</v>
      </c>
      <c r="M246" s="12">
        <f>'Entity Inputs'!GB15</f>
        <v>768812.2999999998</v>
      </c>
      <c r="N246" s="12">
        <f>'Group Inputs'!GA9</f>
        <v>2780986.5999999996</v>
      </c>
      <c r="O246" s="6" t="s">
        <v>1909</v>
      </c>
    </row>
    <row r="247" spans="1:15">
      <c r="A247" s="11" t="s">
        <v>617</v>
      </c>
      <c r="B247" s="11" t="s">
        <v>1844</v>
      </c>
      <c r="C247" s="11" t="s">
        <v>618</v>
      </c>
      <c r="D247" s="11"/>
      <c r="E247" s="11" t="s">
        <v>577</v>
      </c>
      <c r="F247" s="11" t="s">
        <v>1228</v>
      </c>
      <c r="G247" s="11" t="s">
        <v>1228</v>
      </c>
      <c r="H247" s="11" t="s">
        <v>1228</v>
      </c>
      <c r="I247" s="11" t="s">
        <v>1228</v>
      </c>
      <c r="J247" s="11" t="s">
        <v>1228</v>
      </c>
      <c r="K247" s="11" t="s">
        <v>1228</v>
      </c>
      <c r="L247" s="11">
        <f>'Entity KPIs'!K56</f>
        <v>52.23</v>
      </c>
      <c r="M247" s="11">
        <f>'Entity KPIs'!Q56</f>
        <v>19.54</v>
      </c>
      <c r="N247" s="11">
        <f>'Group KPIs'!K56</f>
        <v>35.72</v>
      </c>
      <c r="O247" s="11" t="s">
        <v>1845</v>
      </c>
    </row>
    <row r="249" spans="1:15">
      <c r="A249" s="9" t="s">
        <v>1913</v>
      </c>
      <c r="B249" s="9"/>
      <c r="C249" s="9"/>
      <c r="D249" s="9"/>
      <c r="E249" s="9"/>
      <c r="F249" s="9"/>
      <c r="G249" s="9"/>
      <c r="H249" s="9"/>
      <c r="I249" s="9"/>
      <c r="J249" s="9"/>
      <c r="K249" s="9"/>
      <c r="L249" s="9"/>
      <c r="M249" s="9"/>
      <c r="N249" s="9"/>
      <c r="O249" s="9"/>
    </row>
    <row r="250" spans="1:15">
      <c r="A250" s="6" t="s">
        <v>620</v>
      </c>
      <c r="B250" s="6" t="s">
        <v>1841</v>
      </c>
      <c r="C250" s="6" t="s">
        <v>72</v>
      </c>
      <c r="D250" s="6" t="s">
        <v>73</v>
      </c>
      <c r="E250" s="6" t="s">
        <v>1842</v>
      </c>
      <c r="F250" s="10">
        <f>'Plant Inputs'!AA9</f>
        <v>1375.5</v>
      </c>
      <c r="G250" s="10">
        <f>'Plant Inputs'!AA15</f>
        <v>940.2</v>
      </c>
      <c r="H250" s="10">
        <f>'Plant Inputs'!AA21</f>
        <v>1454.1</v>
      </c>
      <c r="I250" s="10">
        <f>'Plant Inputs'!AA27</f>
        <v>1127.6</v>
      </c>
      <c r="J250" s="10">
        <f>'Plant Inputs'!AA33</f>
        <v>1248.5</v>
      </c>
      <c r="K250" s="10">
        <f>'Plant Inputs'!AA39</f>
        <v>1573</v>
      </c>
      <c r="L250" s="10">
        <f>'Entity Inputs'!Y9</f>
        <v>3769.7999999999997</v>
      </c>
      <c r="M250" s="10">
        <f>'Entity Inputs'!Y15</f>
        <v>3949.1</v>
      </c>
      <c r="N250" s="10">
        <f>'Group Inputs'!X9</f>
        <v>7718.9</v>
      </c>
      <c r="O250" s="6" t="s">
        <v>1843</v>
      </c>
    </row>
    <row r="251" spans="1:15">
      <c r="A251" s="6" t="s">
        <v>620</v>
      </c>
      <c r="B251" s="6" t="s">
        <v>1841</v>
      </c>
      <c r="C251" s="6" t="s">
        <v>195</v>
      </c>
      <c r="D251" s="6" t="s">
        <v>196</v>
      </c>
      <c r="E251" s="6" t="s">
        <v>1842</v>
      </c>
      <c r="F251" s="6" t="s">
        <v>1228</v>
      </c>
      <c r="G251" s="6" t="s">
        <v>1228</v>
      </c>
      <c r="H251" s="6" t="s">
        <v>1228</v>
      </c>
      <c r="I251" s="6" t="s">
        <v>1228</v>
      </c>
      <c r="J251" s="6" t="s">
        <v>1228</v>
      </c>
      <c r="K251" s="6" t="s">
        <v>1228</v>
      </c>
      <c r="L251" s="10">
        <f>'Entity Inputs'!BZ9</f>
        <v>50448.8</v>
      </c>
      <c r="M251" s="10">
        <f>'Entity Inputs'!BZ15</f>
        <v>52845</v>
      </c>
      <c r="N251" s="10">
        <f>'Group Inputs'!BY9</f>
        <v>103293.8</v>
      </c>
      <c r="O251" s="6" t="s">
        <v>1892</v>
      </c>
    </row>
    <row r="252" spans="1:15">
      <c r="A252" s="6" t="s">
        <v>620</v>
      </c>
      <c r="B252" s="6" t="s">
        <v>1841</v>
      </c>
      <c r="C252" s="6" t="s">
        <v>208</v>
      </c>
      <c r="D252" s="6" t="s">
        <v>209</v>
      </c>
      <c r="E252" s="6" t="s">
        <v>1842</v>
      </c>
      <c r="F252" s="6" t="s">
        <v>1228</v>
      </c>
      <c r="G252" s="6" t="s">
        <v>1228</v>
      </c>
      <c r="H252" s="6" t="s">
        <v>1228</v>
      </c>
      <c r="I252" s="6" t="s">
        <v>1228</v>
      </c>
      <c r="J252" s="6" t="s">
        <v>1228</v>
      </c>
      <c r="K252" s="6" t="s">
        <v>1228</v>
      </c>
      <c r="L252" s="10">
        <f>'Entity Inputs'!CF9</f>
        <v>37905</v>
      </c>
      <c r="M252" s="10">
        <f>'Entity Inputs'!CF15</f>
        <v>31920</v>
      </c>
      <c r="N252" s="10">
        <f>'Group Inputs'!CE9</f>
        <v>69825.0</v>
      </c>
      <c r="O252" s="6" t="s">
        <v>1892</v>
      </c>
    </row>
    <row r="253" spans="1:15">
      <c r="A253" s="6" t="s">
        <v>620</v>
      </c>
      <c r="B253" s="6" t="s">
        <v>1841</v>
      </c>
      <c r="C253" s="6" t="s">
        <v>204</v>
      </c>
      <c r="D253" s="6" t="s">
        <v>205</v>
      </c>
      <c r="E253" s="6" t="s">
        <v>1842</v>
      </c>
      <c r="F253" s="6" t="s">
        <v>1228</v>
      </c>
      <c r="G253" s="6" t="s">
        <v>1228</v>
      </c>
      <c r="H253" s="6" t="s">
        <v>1228</v>
      </c>
      <c r="I253" s="6" t="s">
        <v>1228</v>
      </c>
      <c r="J253" s="6" t="s">
        <v>1228</v>
      </c>
      <c r="K253" s="6" t="s">
        <v>1228</v>
      </c>
      <c r="L253" s="10">
        <f>'Entity Inputs'!CD9</f>
        <v>967082.6</v>
      </c>
      <c r="M253" s="10">
        <f>'Entity Inputs'!CD15</f>
        <v>1174739.8</v>
      </c>
      <c r="N253" s="10">
        <f>'Group Inputs'!CC9</f>
        <v>2141822.4</v>
      </c>
      <c r="O253" s="6" t="s">
        <v>1892</v>
      </c>
    </row>
    <row r="254" spans="1:15">
      <c r="A254" s="6" t="s">
        <v>620</v>
      </c>
      <c r="B254" s="6" t="s">
        <v>1841</v>
      </c>
      <c r="C254" s="6" t="s">
        <v>206</v>
      </c>
      <c r="D254" s="6" t="s">
        <v>207</v>
      </c>
      <c r="E254" s="6" t="s">
        <v>1842</v>
      </c>
      <c r="F254" s="6" t="s">
        <v>1228</v>
      </c>
      <c r="G254" s="6" t="s">
        <v>1228</v>
      </c>
      <c r="H254" s="6" t="s">
        <v>1228</v>
      </c>
      <c r="I254" s="6" t="s">
        <v>1228</v>
      </c>
      <c r="J254" s="6" t="s">
        <v>1228</v>
      </c>
      <c r="K254" s="6" t="s">
        <v>1228</v>
      </c>
      <c r="L254" s="10">
        <f>'Entity Inputs'!CE9</f>
        <v>449031.4</v>
      </c>
      <c r="M254" s="10">
        <f>'Entity Inputs'!CE15</f>
        <v>431783.2</v>
      </c>
      <c r="N254" s="10">
        <f>'Group Inputs'!CD9</f>
        <v>880814.6000000001</v>
      </c>
      <c r="O254" s="6" t="s">
        <v>1892</v>
      </c>
    </row>
    <row r="255" spans="1:15">
      <c r="A255" s="11" t="s">
        <v>620</v>
      </c>
      <c r="B255" s="11" t="s">
        <v>1844</v>
      </c>
      <c r="C255" s="11" t="s">
        <v>621</v>
      </c>
      <c r="D255" s="11"/>
      <c r="E255" s="11" t="s">
        <v>577</v>
      </c>
      <c r="F255" s="11" t="s">
        <v>1228</v>
      </c>
      <c r="G255" s="11" t="s">
        <v>1228</v>
      </c>
      <c r="H255" s="11" t="s">
        <v>1228</v>
      </c>
      <c r="I255" s="11" t="s">
        <v>1228</v>
      </c>
      <c r="J255" s="11" t="s">
        <v>1228</v>
      </c>
      <c r="K255" s="11" t="s">
        <v>1228</v>
      </c>
      <c r="L255" s="11">
        <f>'Entity KPIs'!K57</f>
        <v>15.37</v>
      </c>
      <c r="M255" s="11">
        <f>'Entity KPIs'!Q57</f>
        <v>18.11</v>
      </c>
      <c r="N255" s="11">
        <f>'Group KPIs'!K57</f>
        <v>16.71</v>
      </c>
      <c r="O255" s="11" t="s">
        <v>1845</v>
      </c>
    </row>
    <row r="257" spans="1:15">
      <c r="A257" s="9" t="s">
        <v>1914</v>
      </c>
      <c r="B257" s="9"/>
      <c r="C257" s="9"/>
      <c r="D257" s="9"/>
      <c r="E257" s="9"/>
      <c r="F257" s="9"/>
      <c r="G257" s="9"/>
      <c r="H257" s="9"/>
      <c r="I257" s="9"/>
      <c r="J257" s="9"/>
      <c r="K257" s="9"/>
      <c r="L257" s="9"/>
      <c r="M257" s="9"/>
      <c r="N257" s="9"/>
      <c r="O257" s="9"/>
    </row>
    <row r="258" spans="1:15">
      <c r="A258" s="6" t="s">
        <v>624</v>
      </c>
      <c r="B258" s="6" t="s">
        <v>1883</v>
      </c>
      <c r="C258" s="6" t="s">
        <v>425</v>
      </c>
      <c r="D258" s="6" t="s">
        <v>426</v>
      </c>
      <c r="E258" s="6" t="s">
        <v>1842</v>
      </c>
      <c r="F258" s="6" t="s">
        <v>1228</v>
      </c>
      <c r="G258" s="6" t="s">
        <v>1228</v>
      </c>
      <c r="H258" s="6" t="s">
        <v>1228</v>
      </c>
      <c r="I258" s="6" t="s">
        <v>1228</v>
      </c>
      <c r="J258" s="6" t="s">
        <v>1228</v>
      </c>
      <c r="K258" s="6" t="s">
        <v>1228</v>
      </c>
      <c r="L258" s="12">
        <f>'Entity Inputs'!GG9</f>
        <v>1781107.599999999</v>
      </c>
      <c r="M258" s="12">
        <f>'Entity Inputs'!GG15</f>
        <v>1739078.8</v>
      </c>
      <c r="N258" s="12">
        <f>'Group Inputs'!GF9</f>
        <v>3520186.4</v>
      </c>
      <c r="O258" s="6" t="s">
        <v>1915</v>
      </c>
    </row>
    <row r="259" spans="1:15">
      <c r="A259" s="6" t="s">
        <v>624</v>
      </c>
      <c r="B259" s="6" t="s">
        <v>1883</v>
      </c>
      <c r="C259" s="6" t="s">
        <v>422</v>
      </c>
      <c r="D259" s="6" t="s">
        <v>423</v>
      </c>
      <c r="E259" s="6" t="s">
        <v>1842</v>
      </c>
      <c r="F259" s="6" t="s">
        <v>1228</v>
      </c>
      <c r="G259" s="6" t="s">
        <v>1228</v>
      </c>
      <c r="H259" s="6" t="s">
        <v>1228</v>
      </c>
      <c r="I259" s="6" t="s">
        <v>1228</v>
      </c>
      <c r="J259" s="6" t="s">
        <v>1228</v>
      </c>
      <c r="K259" s="6" t="s">
        <v>1228</v>
      </c>
      <c r="L259" s="12">
        <f>'Entity Inputs'!GF9</f>
        <v>3609999.9999999995</v>
      </c>
      <c r="M259" s="12">
        <f>'Entity Inputs'!GF15</f>
        <v>3040000.0</v>
      </c>
      <c r="N259" s="12">
        <f>'Group Inputs'!GE9</f>
        <v>6649999.999999998</v>
      </c>
      <c r="O259" s="6" t="s">
        <v>1894</v>
      </c>
    </row>
    <row r="260" spans="1:15">
      <c r="A260" s="11" t="s">
        <v>624</v>
      </c>
      <c r="B260" s="11" t="s">
        <v>1844</v>
      </c>
      <c r="C260" s="11" t="s">
        <v>625</v>
      </c>
      <c r="D260" s="11"/>
      <c r="E260" s="11" t="s">
        <v>577</v>
      </c>
      <c r="F260" s="11" t="s">
        <v>1228</v>
      </c>
      <c r="G260" s="11" t="s">
        <v>1228</v>
      </c>
      <c r="H260" s="11" t="s">
        <v>1228</v>
      </c>
      <c r="I260" s="11" t="s">
        <v>1228</v>
      </c>
      <c r="J260" s="11" t="s">
        <v>1228</v>
      </c>
      <c r="K260" s="11" t="s">
        <v>1228</v>
      </c>
      <c r="L260" s="11">
        <f>'Entity KPIs'!K58</f>
        <v>18.93</v>
      </c>
      <c r="M260" s="11">
        <f>'Entity KPIs'!Q58</f>
        <v>30.08</v>
      </c>
      <c r="N260" s="11">
        <f>'Group KPIs'!K58</f>
        <v>24.44</v>
      </c>
      <c r="O260" s="11" t="s">
        <v>1845</v>
      </c>
    </row>
    <row r="262" spans="1:15">
      <c r="A262" s="9" t="s">
        <v>1916</v>
      </c>
      <c r="B262" s="9"/>
      <c r="C262" s="9"/>
      <c r="D262" s="9"/>
      <c r="E262" s="9"/>
      <c r="F262" s="9"/>
      <c r="G262" s="9"/>
      <c r="H262" s="9"/>
      <c r="I262" s="9"/>
      <c r="J262" s="9"/>
      <c r="K262" s="9"/>
      <c r="L262" s="9"/>
      <c r="M262" s="9"/>
      <c r="N262" s="9"/>
      <c r="O262" s="9"/>
    </row>
    <row r="263" spans="1:15">
      <c r="A263" s="6" t="s">
        <v>627</v>
      </c>
      <c r="B263" s="6" t="s">
        <v>1841</v>
      </c>
      <c r="C263" s="6" t="s">
        <v>210</v>
      </c>
      <c r="D263" s="6" t="s">
        <v>211</v>
      </c>
      <c r="E263" s="6" t="s">
        <v>1842</v>
      </c>
      <c r="F263" s="6" t="s">
        <v>1228</v>
      </c>
      <c r="G263" s="6" t="s">
        <v>1228</v>
      </c>
      <c r="H263" s="6" t="s">
        <v>1228</v>
      </c>
      <c r="I263" s="6" t="s">
        <v>1228</v>
      </c>
      <c r="J263" s="6" t="s">
        <v>1228</v>
      </c>
      <c r="K263" s="6" t="s">
        <v>1228</v>
      </c>
      <c r="L263" s="10">
        <f>'Entity Inputs'!CG9</f>
        <v>486342.3</v>
      </c>
      <c r="M263" s="10">
        <f>'Entity Inputs'!CG15</f>
        <v>405067.9</v>
      </c>
      <c r="N263" s="10">
        <f>'Group Inputs'!CF9</f>
        <v>891410.2</v>
      </c>
      <c r="O263" s="6" t="s">
        <v>1892</v>
      </c>
    </row>
    <row r="264" spans="1:15">
      <c r="A264" s="11" t="s">
        <v>627</v>
      </c>
      <c r="B264" s="11" t="s">
        <v>1844</v>
      </c>
      <c r="C264" s="11" t="s">
        <v>628</v>
      </c>
      <c r="D264" s="11"/>
      <c r="E264" s="11" t="s">
        <v>577</v>
      </c>
      <c r="F264" s="11" t="s">
        <v>1228</v>
      </c>
      <c r="G264" s="11" t="s">
        <v>1228</v>
      </c>
      <c r="H264" s="11" t="s">
        <v>1228</v>
      </c>
      <c r="I264" s="11" t="s">
        <v>1228</v>
      </c>
      <c r="J264" s="11" t="s">
        <v>1228</v>
      </c>
      <c r="K264" s="11" t="s">
        <v>1228</v>
      </c>
      <c r="L264" s="11">
        <f>'Entity KPIs'!K59</f>
        <v>486.34</v>
      </c>
      <c r="M264" s="11">
        <f>'Entity KPIs'!Q59</f>
        <v>405.07</v>
      </c>
      <c r="N264" s="11">
        <f>'Group KPIs'!K59</f>
        <v>891.41</v>
      </c>
      <c r="O264" s="11" t="s">
        <v>1845</v>
      </c>
    </row>
    <row r="266" spans="1:15">
      <c r="A266" s="9" t="s">
        <v>1917</v>
      </c>
      <c r="B266" s="9"/>
      <c r="C266" s="9"/>
      <c r="D266" s="9"/>
      <c r="E266" s="9"/>
      <c r="F266" s="9"/>
      <c r="G266" s="9"/>
      <c r="H266" s="9"/>
      <c r="I266" s="9"/>
      <c r="J266" s="9"/>
      <c r="K266" s="9"/>
      <c r="L266" s="9"/>
      <c r="M266" s="9"/>
      <c r="N266" s="9"/>
      <c r="O266" s="9"/>
    </row>
    <row r="267" spans="1:15">
      <c r="A267" s="6" t="s">
        <v>630</v>
      </c>
      <c r="B267" s="6" t="s">
        <v>1841</v>
      </c>
      <c r="C267" s="6" t="s">
        <v>212</v>
      </c>
      <c r="D267" s="6" t="s">
        <v>213</v>
      </c>
      <c r="E267" s="6" t="s">
        <v>1842</v>
      </c>
      <c r="F267" s="6" t="s">
        <v>1228</v>
      </c>
      <c r="G267" s="6" t="s">
        <v>1228</v>
      </c>
      <c r="H267" s="6" t="s">
        <v>1228</v>
      </c>
      <c r="I267" s="6" t="s">
        <v>1228</v>
      </c>
      <c r="J267" s="6" t="s">
        <v>1228</v>
      </c>
      <c r="K267" s="6" t="s">
        <v>1228</v>
      </c>
      <c r="L267" s="10">
        <f>'Entity Inputs'!CH9</f>
        <v>1440701.8</v>
      </c>
      <c r="M267" s="10">
        <f>'Entity Inputs'!CH15</f>
        <v>1280130.3</v>
      </c>
      <c r="N267" s="10">
        <f>'Group Inputs'!CG9</f>
        <v>2720832.1</v>
      </c>
      <c r="O267" s="6" t="s">
        <v>1892</v>
      </c>
    </row>
    <row r="268" spans="1:15">
      <c r="A268" s="11" t="s">
        <v>630</v>
      </c>
      <c r="B268" s="11" t="s">
        <v>1844</v>
      </c>
      <c r="C268" s="11" t="s">
        <v>631</v>
      </c>
      <c r="D268" s="11"/>
      <c r="E268" s="11" t="s">
        <v>577</v>
      </c>
      <c r="F268" s="11" t="s">
        <v>1228</v>
      </c>
      <c r="G268" s="11" t="s">
        <v>1228</v>
      </c>
      <c r="H268" s="11" t="s">
        <v>1228</v>
      </c>
      <c r="I268" s="11" t="s">
        <v>1228</v>
      </c>
      <c r="J268" s="11" t="s">
        <v>1228</v>
      </c>
      <c r="K268" s="11" t="s">
        <v>1228</v>
      </c>
      <c r="L268" s="11">
        <f>'Entity KPIs'!K60</f>
        <v>1440.7</v>
      </c>
      <c r="M268" s="11">
        <f>'Entity KPIs'!Q60</f>
        <v>1280.13</v>
      </c>
      <c r="N268" s="11">
        <f>'Group KPIs'!K60</f>
        <v>2720.83</v>
      </c>
      <c r="O268" s="11" t="s">
        <v>1845</v>
      </c>
    </row>
    <row r="270" spans="1:15">
      <c r="A270" s="9" t="s">
        <v>1918</v>
      </c>
      <c r="B270" s="9"/>
      <c r="C270" s="9"/>
      <c r="D270" s="9"/>
      <c r="E270" s="9"/>
      <c r="F270" s="9"/>
      <c r="G270" s="9"/>
      <c r="H270" s="9"/>
      <c r="I270" s="9"/>
      <c r="J270" s="9"/>
      <c r="K270" s="9"/>
      <c r="L270" s="9"/>
      <c r="M270" s="9"/>
      <c r="N270" s="9"/>
      <c r="O270" s="9"/>
    </row>
    <row r="271" spans="1:15">
      <c r="A271" s="6" t="s">
        <v>633</v>
      </c>
      <c r="B271" s="6" t="s">
        <v>1841</v>
      </c>
      <c r="C271" s="6" t="s">
        <v>250</v>
      </c>
      <c r="D271" s="6" t="s">
        <v>251</v>
      </c>
      <c r="E271" s="6" t="s">
        <v>1842</v>
      </c>
      <c r="F271" s="6" t="s">
        <v>1228</v>
      </c>
      <c r="G271" s="6" t="s">
        <v>1228</v>
      </c>
      <c r="H271" s="6" t="s">
        <v>1228</v>
      </c>
      <c r="I271" s="6" t="s">
        <v>1228</v>
      </c>
      <c r="J271" s="6" t="s">
        <v>1228</v>
      </c>
      <c r="K271" s="6" t="s">
        <v>1228</v>
      </c>
      <c r="L271" s="10">
        <f>'Entity Inputs'!DA9</f>
        <v>437492.4</v>
      </c>
      <c r="M271" s="10">
        <f>'Entity Inputs'!DA15</f>
        <v>330230.9</v>
      </c>
      <c r="N271" s="10">
        <f>'Group Inputs'!CZ9</f>
        <v>767723.3</v>
      </c>
      <c r="O271" s="6" t="s">
        <v>1892</v>
      </c>
    </row>
    <row r="272" spans="1:15">
      <c r="A272" s="6" t="s">
        <v>633</v>
      </c>
      <c r="B272" s="6" t="s">
        <v>1841</v>
      </c>
      <c r="C272" s="6" t="s">
        <v>252</v>
      </c>
      <c r="D272" s="6" t="s">
        <v>253</v>
      </c>
      <c r="E272" s="6" t="s">
        <v>1842</v>
      </c>
      <c r="F272" s="6" t="s">
        <v>1228</v>
      </c>
      <c r="G272" s="6" t="s">
        <v>1228</v>
      </c>
      <c r="H272" s="6" t="s">
        <v>1228</v>
      </c>
      <c r="I272" s="6" t="s">
        <v>1228</v>
      </c>
      <c r="J272" s="6" t="s">
        <v>1228</v>
      </c>
      <c r="K272" s="6" t="s">
        <v>1228</v>
      </c>
      <c r="L272" s="10">
        <f>'Entity Inputs'!DB9</f>
        <v>314223.8</v>
      </c>
      <c r="M272" s="10">
        <f>'Entity Inputs'!DB15</f>
        <v>231774.8</v>
      </c>
      <c r="N272" s="10">
        <f>'Group Inputs'!DA9</f>
        <v>545998.6</v>
      </c>
      <c r="O272" s="6" t="s">
        <v>1892</v>
      </c>
    </row>
    <row r="273" spans="1:15">
      <c r="A273" s="11" t="s">
        <v>633</v>
      </c>
      <c r="B273" s="11" t="s">
        <v>1844</v>
      </c>
      <c r="C273" s="11" t="s">
        <v>634</v>
      </c>
      <c r="D273" s="11"/>
      <c r="E273" s="11" t="s">
        <v>577</v>
      </c>
      <c r="F273" s="11" t="s">
        <v>1228</v>
      </c>
      <c r="G273" s="11" t="s">
        <v>1228</v>
      </c>
      <c r="H273" s="11" t="s">
        <v>1228</v>
      </c>
      <c r="I273" s="11" t="s">
        <v>1228</v>
      </c>
      <c r="J273" s="11" t="s">
        <v>1228</v>
      </c>
      <c r="K273" s="11" t="s">
        <v>1228</v>
      </c>
      <c r="L273" s="11">
        <f>'Entity KPIs'!K61</f>
        <v>123.27</v>
      </c>
      <c r="M273" s="11">
        <f>'Entity KPIs'!Q61</f>
        <v>98.46</v>
      </c>
      <c r="N273" s="11">
        <f>'Group KPIs'!K61</f>
        <v>221.72</v>
      </c>
      <c r="O273" s="11" t="s">
        <v>1845</v>
      </c>
    </row>
    <row r="275" spans="1:15">
      <c r="A275" s="9" t="s">
        <v>1919</v>
      </c>
      <c r="B275" s="9"/>
      <c r="C275" s="9"/>
      <c r="D275" s="9"/>
      <c r="E275" s="9"/>
      <c r="F275" s="9"/>
      <c r="G275" s="9"/>
      <c r="H275" s="9"/>
      <c r="I275" s="9"/>
      <c r="J275" s="9"/>
      <c r="K275" s="9"/>
      <c r="L275" s="9"/>
      <c r="M275" s="9"/>
      <c r="N275" s="9"/>
      <c r="O275" s="9"/>
    </row>
    <row r="276" spans="1:15">
      <c r="A276" s="6" t="s">
        <v>636</v>
      </c>
      <c r="B276" s="6" t="s">
        <v>1841</v>
      </c>
      <c r="C276" s="6" t="s">
        <v>260</v>
      </c>
      <c r="D276" s="6" t="s">
        <v>261</v>
      </c>
      <c r="E276" s="6" t="s">
        <v>1842</v>
      </c>
      <c r="F276" s="6" t="s">
        <v>1228</v>
      </c>
      <c r="G276" s="6" t="s">
        <v>1228</v>
      </c>
      <c r="H276" s="6" t="s">
        <v>1228</v>
      </c>
      <c r="I276" s="6" t="s">
        <v>1228</v>
      </c>
      <c r="J276" s="6" t="s">
        <v>1228</v>
      </c>
      <c r="K276" s="6" t="s">
        <v>1228</v>
      </c>
      <c r="L276" s="10">
        <f>'Entity Inputs'!DF9</f>
        <v>7653.2</v>
      </c>
      <c r="M276" s="10">
        <f>'Entity Inputs'!DF15</f>
        <v>4752.9</v>
      </c>
      <c r="N276" s="10">
        <f>'Group Inputs'!DE9</f>
        <v>12406.099999999999</v>
      </c>
      <c r="O276" s="6" t="s">
        <v>1892</v>
      </c>
    </row>
    <row r="277" spans="1:15">
      <c r="A277" s="6" t="s">
        <v>636</v>
      </c>
      <c r="B277" s="6" t="s">
        <v>1841</v>
      </c>
      <c r="C277" s="6" t="s">
        <v>258</v>
      </c>
      <c r="D277" s="6" t="s">
        <v>259</v>
      </c>
      <c r="E277" s="6" t="s">
        <v>1842</v>
      </c>
      <c r="F277" s="6" t="s">
        <v>1228</v>
      </c>
      <c r="G277" s="6" t="s">
        <v>1228</v>
      </c>
      <c r="H277" s="6" t="s">
        <v>1228</v>
      </c>
      <c r="I277" s="6" t="s">
        <v>1228</v>
      </c>
      <c r="J277" s="6" t="s">
        <v>1228</v>
      </c>
      <c r="K277" s="6" t="s">
        <v>1228</v>
      </c>
      <c r="L277" s="10">
        <f>'Entity Inputs'!DE9</f>
        <v>7006.3</v>
      </c>
      <c r="M277" s="10">
        <f>'Entity Inputs'!DE15</f>
        <v>4370.6</v>
      </c>
      <c r="N277" s="10">
        <f>'Group Inputs'!DD9</f>
        <v>11376.900000000001</v>
      </c>
      <c r="O277" s="6" t="s">
        <v>1892</v>
      </c>
    </row>
    <row r="278" spans="1:15">
      <c r="A278" s="11" t="s">
        <v>636</v>
      </c>
      <c r="B278" s="11" t="s">
        <v>1844</v>
      </c>
      <c r="C278" s="11" t="s">
        <v>637</v>
      </c>
      <c r="D278" s="11"/>
      <c r="E278" s="11" t="s">
        <v>25</v>
      </c>
      <c r="F278" s="11" t="s">
        <v>1228</v>
      </c>
      <c r="G278" s="11" t="s">
        <v>1228</v>
      </c>
      <c r="H278" s="11" t="s">
        <v>1228</v>
      </c>
      <c r="I278" s="11" t="s">
        <v>1228</v>
      </c>
      <c r="J278" s="11" t="s">
        <v>1228</v>
      </c>
      <c r="K278" s="11" t="s">
        <v>1228</v>
      </c>
      <c r="L278" s="11">
        <f>'Entity KPIs'!K62</f>
        <v>91.55</v>
      </c>
      <c r="M278" s="11">
        <f>'Entity KPIs'!Q62</f>
        <v>91.96</v>
      </c>
      <c r="N278" s="11">
        <f>'Group KPIs'!K62</f>
        <v>91.7</v>
      </c>
      <c r="O278" s="11" t="s">
        <v>1845</v>
      </c>
    </row>
    <row r="280" spans="1:15">
      <c r="A280" s="9" t="s">
        <v>1920</v>
      </c>
      <c r="B280" s="9"/>
      <c r="C280" s="9"/>
      <c r="D280" s="9"/>
      <c r="E280" s="9"/>
      <c r="F280" s="9"/>
      <c r="G280" s="9"/>
      <c r="H280" s="9"/>
      <c r="I280" s="9"/>
      <c r="J280" s="9"/>
      <c r="K280" s="9"/>
      <c r="L280" s="9"/>
      <c r="M280" s="9"/>
      <c r="N280" s="9"/>
      <c r="O280" s="9"/>
    </row>
    <row r="281" spans="1:15">
      <c r="A281" s="6" t="s">
        <v>639</v>
      </c>
      <c r="B281" s="6" t="s">
        <v>1841</v>
      </c>
      <c r="C281" s="6" t="s">
        <v>250</v>
      </c>
      <c r="D281" s="6" t="s">
        <v>251</v>
      </c>
      <c r="E281" s="6" t="s">
        <v>1842</v>
      </c>
      <c r="F281" s="6" t="s">
        <v>1228</v>
      </c>
      <c r="G281" s="6" t="s">
        <v>1228</v>
      </c>
      <c r="H281" s="6" t="s">
        <v>1228</v>
      </c>
      <c r="I281" s="6" t="s">
        <v>1228</v>
      </c>
      <c r="J281" s="6" t="s">
        <v>1228</v>
      </c>
      <c r="K281" s="6" t="s">
        <v>1228</v>
      </c>
      <c r="L281" s="10">
        <f>'Entity Inputs'!DA9</f>
        <v>437492.4</v>
      </c>
      <c r="M281" s="10">
        <f>'Entity Inputs'!DA15</f>
        <v>330230.9</v>
      </c>
      <c r="N281" s="10">
        <f>'Group Inputs'!CZ9</f>
        <v>767723.3</v>
      </c>
      <c r="O281" s="6" t="s">
        <v>1892</v>
      </c>
    </row>
    <row r="282" spans="1:15">
      <c r="A282" s="6" t="s">
        <v>639</v>
      </c>
      <c r="B282" s="6" t="s">
        <v>1841</v>
      </c>
      <c r="C282" s="6" t="s">
        <v>252</v>
      </c>
      <c r="D282" s="6" t="s">
        <v>253</v>
      </c>
      <c r="E282" s="6" t="s">
        <v>1842</v>
      </c>
      <c r="F282" s="6" t="s">
        <v>1228</v>
      </c>
      <c r="G282" s="6" t="s">
        <v>1228</v>
      </c>
      <c r="H282" s="6" t="s">
        <v>1228</v>
      </c>
      <c r="I282" s="6" t="s">
        <v>1228</v>
      </c>
      <c r="J282" s="6" t="s">
        <v>1228</v>
      </c>
      <c r="K282" s="6" t="s">
        <v>1228</v>
      </c>
      <c r="L282" s="10">
        <f>'Entity Inputs'!DB9</f>
        <v>314223.8</v>
      </c>
      <c r="M282" s="10">
        <f>'Entity Inputs'!DB15</f>
        <v>231774.8</v>
      </c>
      <c r="N282" s="10">
        <f>'Group Inputs'!DA9</f>
        <v>545998.6</v>
      </c>
      <c r="O282" s="6" t="s">
        <v>1892</v>
      </c>
    </row>
    <row r="283" spans="1:15">
      <c r="A283" s="6" t="s">
        <v>639</v>
      </c>
      <c r="B283" s="6" t="s">
        <v>1841</v>
      </c>
      <c r="C283" s="6" t="s">
        <v>254</v>
      </c>
      <c r="D283" s="6" t="s">
        <v>255</v>
      </c>
      <c r="E283" s="6" t="s">
        <v>1842</v>
      </c>
      <c r="F283" s="6" t="s">
        <v>1228</v>
      </c>
      <c r="G283" s="6" t="s">
        <v>1228</v>
      </c>
      <c r="H283" s="6" t="s">
        <v>1228</v>
      </c>
      <c r="I283" s="6" t="s">
        <v>1228</v>
      </c>
      <c r="J283" s="6" t="s">
        <v>1228</v>
      </c>
      <c r="K283" s="6" t="s">
        <v>1228</v>
      </c>
      <c r="L283" s="10">
        <f>'Entity Inputs'!DC9</f>
        <v>354951.3</v>
      </c>
      <c r="M283" s="10">
        <f>'Entity Inputs'!DC15</f>
        <v>259974.1</v>
      </c>
      <c r="N283" s="10">
        <f>'Group Inputs'!DB9</f>
        <v>614925.4</v>
      </c>
      <c r="O283" s="6" t="s">
        <v>1892</v>
      </c>
    </row>
    <row r="284" spans="1:15">
      <c r="A284" s="6" t="s">
        <v>639</v>
      </c>
      <c r="B284" s="6" t="s">
        <v>1841</v>
      </c>
      <c r="C284" s="6" t="s">
        <v>256</v>
      </c>
      <c r="D284" s="6" t="s">
        <v>257</v>
      </c>
      <c r="E284" s="6" t="s">
        <v>1842</v>
      </c>
      <c r="F284" s="6" t="s">
        <v>1228</v>
      </c>
      <c r="G284" s="6" t="s">
        <v>1228</v>
      </c>
      <c r="H284" s="6" t="s">
        <v>1228</v>
      </c>
      <c r="I284" s="6" t="s">
        <v>1228</v>
      </c>
      <c r="J284" s="6" t="s">
        <v>1228</v>
      </c>
      <c r="K284" s="6" t="s">
        <v>1228</v>
      </c>
      <c r="L284" s="10">
        <f>'Entity Inputs'!DD9</f>
        <v>255711.3</v>
      </c>
      <c r="M284" s="10">
        <f>'Entity Inputs'!DD15</f>
        <v>191082.1</v>
      </c>
      <c r="N284" s="10">
        <f>'Group Inputs'!DC9</f>
        <v>446793.4</v>
      </c>
      <c r="O284" s="6" t="s">
        <v>1892</v>
      </c>
    </row>
    <row r="285" spans="1:15">
      <c r="A285" s="11" t="s">
        <v>639</v>
      </c>
      <c r="B285" s="11" t="s">
        <v>1844</v>
      </c>
      <c r="C285" s="11" t="s">
        <v>640</v>
      </c>
      <c r="D285" s="11"/>
      <c r="E285" s="11" t="s">
        <v>577</v>
      </c>
      <c r="F285" s="11" t="s">
        <v>1228</v>
      </c>
      <c r="G285" s="11" t="s">
        <v>1228</v>
      </c>
      <c r="H285" s="11" t="s">
        <v>1228</v>
      </c>
      <c r="I285" s="11" t="s">
        <v>1228</v>
      </c>
      <c r="J285" s="11" t="s">
        <v>1228</v>
      </c>
      <c r="K285" s="11" t="s">
        <v>1228</v>
      </c>
      <c r="L285" s="11">
        <f>'Entity KPIs'!K63</f>
        <v>80.51</v>
      </c>
      <c r="M285" s="11">
        <f>'Entity KPIs'!Q63</f>
        <v>69.97</v>
      </c>
      <c r="N285" s="11">
        <f>'Group KPIs'!K63</f>
        <v>75.83</v>
      </c>
      <c r="O285" s="11" t="s">
        <v>1845</v>
      </c>
    </row>
    <row r="287" spans="1:15">
      <c r="A287" s="9" t="s">
        <v>1921</v>
      </c>
      <c r="B287" s="9"/>
      <c r="C287" s="9"/>
      <c r="D287" s="9"/>
      <c r="E287" s="9"/>
      <c r="F287" s="9"/>
      <c r="G287" s="9"/>
      <c r="H287" s="9"/>
      <c r="I287" s="9"/>
      <c r="J287" s="9"/>
      <c r="K287" s="9"/>
      <c r="L287" s="9"/>
      <c r="M287" s="9"/>
      <c r="N287" s="9"/>
      <c r="O287" s="9"/>
    </row>
    <row r="288" spans="1:15">
      <c r="A288" s="6" t="s">
        <v>642</v>
      </c>
      <c r="B288" s="6" t="s">
        <v>1841</v>
      </c>
      <c r="C288" s="6" t="s">
        <v>262</v>
      </c>
      <c r="D288" s="6" t="s">
        <v>263</v>
      </c>
      <c r="E288" s="6" t="s">
        <v>1842</v>
      </c>
      <c r="F288" s="6" t="s">
        <v>1228</v>
      </c>
      <c r="G288" s="6" t="s">
        <v>1228</v>
      </c>
      <c r="H288" s="6" t="s">
        <v>1228</v>
      </c>
      <c r="I288" s="6" t="s">
        <v>1228</v>
      </c>
      <c r="J288" s="6" t="s">
        <v>1228</v>
      </c>
      <c r="K288" s="6" t="s">
        <v>1228</v>
      </c>
      <c r="L288" s="10">
        <f>'Entity Inputs'!DG9</f>
        <v>2579231.2</v>
      </c>
      <c r="M288" s="10">
        <f>'Entity Inputs'!DG15</f>
        <v>1953973.8</v>
      </c>
      <c r="N288" s="10">
        <f>'Group Inputs'!DF9</f>
        <v>4533205.0</v>
      </c>
      <c r="O288" s="6" t="s">
        <v>1892</v>
      </c>
    </row>
    <row r="289" spans="1:15">
      <c r="A289" s="6" t="s">
        <v>642</v>
      </c>
      <c r="B289" s="6" t="s">
        <v>1841</v>
      </c>
      <c r="C289" s="6" t="s">
        <v>264</v>
      </c>
      <c r="D289" s="6" t="s">
        <v>265</v>
      </c>
      <c r="E289" s="6" t="s">
        <v>1842</v>
      </c>
      <c r="F289" s="6" t="s">
        <v>1228</v>
      </c>
      <c r="G289" s="6" t="s">
        <v>1228</v>
      </c>
      <c r="H289" s="6" t="s">
        <v>1228</v>
      </c>
      <c r="I289" s="6" t="s">
        <v>1228</v>
      </c>
      <c r="J289" s="6" t="s">
        <v>1228</v>
      </c>
      <c r="K289" s="6" t="s">
        <v>1228</v>
      </c>
      <c r="L289" s="10">
        <f>'Entity Inputs'!DH9</f>
        <v>2009224.9</v>
      </c>
      <c r="M289" s="10">
        <f>'Entity Inputs'!DH15</f>
        <v>1193687.3</v>
      </c>
      <c r="N289" s="10">
        <f>'Group Inputs'!DG9</f>
        <v>3202912.2</v>
      </c>
      <c r="O289" s="6" t="s">
        <v>1892</v>
      </c>
    </row>
    <row r="290" spans="1:15">
      <c r="A290" s="11" t="s">
        <v>642</v>
      </c>
      <c r="B290" s="11" t="s">
        <v>1844</v>
      </c>
      <c r="C290" s="11" t="s">
        <v>643</v>
      </c>
      <c r="D290" s="11"/>
      <c r="E290" s="11" t="s">
        <v>644</v>
      </c>
      <c r="F290" s="11" t="s">
        <v>1228</v>
      </c>
      <c r="G290" s="11" t="s">
        <v>1228</v>
      </c>
      <c r="H290" s="11" t="s">
        <v>1228</v>
      </c>
      <c r="I290" s="11" t="s">
        <v>1228</v>
      </c>
      <c r="J290" s="11" t="s">
        <v>1228</v>
      </c>
      <c r="K290" s="11" t="s">
        <v>1228</v>
      </c>
      <c r="L290" s="11">
        <f>'Entity KPIs'!K64</f>
        <v>77.9</v>
      </c>
      <c r="M290" s="11">
        <f>'Entity KPIs'!Q64</f>
        <v>61.09</v>
      </c>
      <c r="N290" s="11">
        <f>'Group KPIs'!K64</f>
        <v>70.65</v>
      </c>
      <c r="O290" s="11" t="s">
        <v>1845</v>
      </c>
    </row>
    <row r="292" spans="1:15">
      <c r="A292" s="9" t="s">
        <v>1922</v>
      </c>
      <c r="B292" s="9"/>
      <c r="C292" s="9"/>
      <c r="D292" s="9"/>
      <c r="E292" s="9"/>
      <c r="F292" s="9"/>
      <c r="G292" s="9"/>
      <c r="H292" s="9"/>
      <c r="I292" s="9"/>
      <c r="J292" s="9"/>
      <c r="K292" s="9"/>
      <c r="L292" s="9"/>
      <c r="M292" s="9"/>
      <c r="N292" s="9"/>
      <c r="O292" s="9"/>
    </row>
    <row r="293" spans="1:15">
      <c r="A293" s="6" t="s">
        <v>646</v>
      </c>
      <c r="B293" s="6" t="s">
        <v>1841</v>
      </c>
      <c r="C293" s="6" t="s">
        <v>254</v>
      </c>
      <c r="D293" s="6" t="s">
        <v>255</v>
      </c>
      <c r="E293" s="6" t="s">
        <v>1842</v>
      </c>
      <c r="F293" s="6" t="s">
        <v>1228</v>
      </c>
      <c r="G293" s="6" t="s">
        <v>1228</v>
      </c>
      <c r="H293" s="6" t="s">
        <v>1228</v>
      </c>
      <c r="I293" s="6" t="s">
        <v>1228</v>
      </c>
      <c r="J293" s="6" t="s">
        <v>1228</v>
      </c>
      <c r="K293" s="6" t="s">
        <v>1228</v>
      </c>
      <c r="L293" s="10">
        <f>'Entity Inputs'!DC9</f>
        <v>354951.3</v>
      </c>
      <c r="M293" s="10">
        <f>'Entity Inputs'!DC15</f>
        <v>259974.1</v>
      </c>
      <c r="N293" s="10">
        <f>'Group Inputs'!DB9</f>
        <v>614925.4</v>
      </c>
      <c r="O293" s="6" t="s">
        <v>1892</v>
      </c>
    </row>
    <row r="294" spans="1:15">
      <c r="A294" s="6" t="s">
        <v>646</v>
      </c>
      <c r="B294" s="6" t="s">
        <v>1841</v>
      </c>
      <c r="C294" s="6" t="s">
        <v>256</v>
      </c>
      <c r="D294" s="6" t="s">
        <v>257</v>
      </c>
      <c r="E294" s="6" t="s">
        <v>1842</v>
      </c>
      <c r="F294" s="6" t="s">
        <v>1228</v>
      </c>
      <c r="G294" s="6" t="s">
        <v>1228</v>
      </c>
      <c r="H294" s="6" t="s">
        <v>1228</v>
      </c>
      <c r="I294" s="6" t="s">
        <v>1228</v>
      </c>
      <c r="J294" s="6" t="s">
        <v>1228</v>
      </c>
      <c r="K294" s="6" t="s">
        <v>1228</v>
      </c>
      <c r="L294" s="10">
        <f>'Entity Inputs'!DD9</f>
        <v>255711.3</v>
      </c>
      <c r="M294" s="10">
        <f>'Entity Inputs'!DD15</f>
        <v>191082.1</v>
      </c>
      <c r="N294" s="10">
        <f>'Group Inputs'!DC9</f>
        <v>446793.4</v>
      </c>
      <c r="O294" s="6" t="s">
        <v>1892</v>
      </c>
    </row>
    <row r="295" spans="1:15">
      <c r="A295" s="11" t="s">
        <v>646</v>
      </c>
      <c r="B295" s="11" t="s">
        <v>1844</v>
      </c>
      <c r="C295" s="11" t="s">
        <v>647</v>
      </c>
      <c r="D295" s="11"/>
      <c r="E295" s="11" t="s">
        <v>577</v>
      </c>
      <c r="F295" s="11" t="s">
        <v>1228</v>
      </c>
      <c r="G295" s="11" t="s">
        <v>1228</v>
      </c>
      <c r="H295" s="11" t="s">
        <v>1228</v>
      </c>
      <c r="I295" s="11" t="s">
        <v>1228</v>
      </c>
      <c r="J295" s="11" t="s">
        <v>1228</v>
      </c>
      <c r="K295" s="11" t="s">
        <v>1228</v>
      </c>
      <c r="L295" s="11">
        <f>'Entity KPIs'!K65</f>
        <v>4.96</v>
      </c>
      <c r="M295" s="11">
        <f>'Entity KPIs'!Q65</f>
        <v>3.44</v>
      </c>
      <c r="N295" s="11">
        <f>'Group KPIs'!K65</f>
        <v>8.41</v>
      </c>
      <c r="O295" s="11" t="s">
        <v>1845</v>
      </c>
    </row>
    <row r="297" spans="1:15">
      <c r="A297" s="9" t="s">
        <v>1923</v>
      </c>
      <c r="B297" s="9"/>
      <c r="C297" s="9"/>
      <c r="D297" s="9"/>
      <c r="E297" s="9"/>
      <c r="F297" s="9"/>
      <c r="G297" s="9"/>
      <c r="H297" s="9"/>
      <c r="I297" s="9"/>
      <c r="J297" s="9"/>
      <c r="K297" s="9"/>
      <c r="L297" s="9"/>
      <c r="M297" s="9"/>
      <c r="N297" s="9"/>
      <c r="O297" s="9"/>
    </row>
    <row r="298" spans="1:15">
      <c r="A298" s="6" t="s">
        <v>649</v>
      </c>
      <c r="B298" s="6" t="s">
        <v>1841</v>
      </c>
      <c r="C298" s="6" t="s">
        <v>266</v>
      </c>
      <c r="D298" s="6" t="s">
        <v>267</v>
      </c>
      <c r="E298" s="6" t="s">
        <v>1842</v>
      </c>
      <c r="F298" s="6" t="s">
        <v>1228</v>
      </c>
      <c r="G298" s="6" t="s">
        <v>1228</v>
      </c>
      <c r="H298" s="6" t="s">
        <v>1228</v>
      </c>
      <c r="I298" s="6" t="s">
        <v>1228</v>
      </c>
      <c r="J298" s="6" t="s">
        <v>1228</v>
      </c>
      <c r="K298" s="6" t="s">
        <v>1228</v>
      </c>
      <c r="L298" s="10">
        <f>'Entity Inputs'!DI9</f>
        <v>1000000</v>
      </c>
      <c r="M298" s="10">
        <f>'Entity Inputs'!DI15</f>
        <v>860000</v>
      </c>
      <c r="N298" s="10">
        <f>'Group Inputs'!DH9</f>
        <v>1860000.0</v>
      </c>
      <c r="O298" s="6" t="s">
        <v>1892</v>
      </c>
    </row>
    <row r="299" spans="1:15">
      <c r="A299" s="11" t="s">
        <v>649</v>
      </c>
      <c r="B299" s="11" t="s">
        <v>1844</v>
      </c>
      <c r="C299" s="11" t="s">
        <v>650</v>
      </c>
      <c r="D299" s="11"/>
      <c r="E299" s="11" t="s">
        <v>651</v>
      </c>
      <c r="F299" s="11" t="s">
        <v>1228</v>
      </c>
      <c r="G299" s="11" t="s">
        <v>1228</v>
      </c>
      <c r="H299" s="11" t="s">
        <v>1228</v>
      </c>
      <c r="I299" s="11" t="s">
        <v>1228</v>
      </c>
      <c r="J299" s="11" t="s">
        <v>1228</v>
      </c>
      <c r="K299" s="11" t="s">
        <v>1228</v>
      </c>
      <c r="L299" s="11">
        <f>'Entity KPIs'!K66</f>
        <v>1000.0</v>
      </c>
      <c r="M299" s="11">
        <f>'Entity KPIs'!Q66</f>
        <v>860.0</v>
      </c>
      <c r="N299" s="11">
        <f>'Group KPIs'!K66</f>
        <v>1860.0</v>
      </c>
      <c r="O299" s="11" t="s">
        <v>1845</v>
      </c>
    </row>
    <row r="301" spans="1:15">
      <c r="A301" s="9" t="s">
        <v>1924</v>
      </c>
      <c r="B301" s="9"/>
      <c r="C301" s="9"/>
      <c r="D301" s="9"/>
      <c r="E301" s="9"/>
      <c r="F301" s="9"/>
      <c r="G301" s="9"/>
      <c r="H301" s="9"/>
      <c r="I301" s="9"/>
      <c r="J301" s="9"/>
      <c r="K301" s="9"/>
      <c r="L301" s="9"/>
      <c r="M301" s="9"/>
      <c r="N301" s="9"/>
      <c r="O301" s="9"/>
    </row>
    <row r="302" spans="1:15">
      <c r="A302" s="6" t="s">
        <v>653</v>
      </c>
      <c r="B302" s="6" t="s">
        <v>1841</v>
      </c>
      <c r="C302" s="6" t="s">
        <v>268</v>
      </c>
      <c r="D302" s="6" t="s">
        <v>269</v>
      </c>
      <c r="E302" s="6" t="s">
        <v>1842</v>
      </c>
      <c r="F302" s="6" t="s">
        <v>1228</v>
      </c>
      <c r="G302" s="6" t="s">
        <v>1228</v>
      </c>
      <c r="H302" s="6" t="s">
        <v>1228</v>
      </c>
      <c r="I302" s="6" t="s">
        <v>1228</v>
      </c>
      <c r="J302" s="6" t="s">
        <v>1228</v>
      </c>
      <c r="K302" s="6" t="s">
        <v>1228</v>
      </c>
      <c r="L302" s="10">
        <f>'Entity Inputs'!DJ9</f>
        <v>722629.1</v>
      </c>
      <c r="M302" s="10">
        <f>'Entity Inputs'!DJ15</f>
        <v>625104.2</v>
      </c>
      <c r="N302" s="10">
        <f>'Group Inputs'!DI9</f>
        <v>1347733.2999999998</v>
      </c>
      <c r="O302" s="6" t="s">
        <v>1892</v>
      </c>
    </row>
    <row r="303" spans="1:15">
      <c r="A303" s="11" t="s">
        <v>653</v>
      </c>
      <c r="B303" s="11" t="s">
        <v>1844</v>
      </c>
      <c r="C303" s="11" t="s">
        <v>654</v>
      </c>
      <c r="D303" s="11"/>
      <c r="E303" s="11" t="s">
        <v>655</v>
      </c>
      <c r="F303" s="11" t="s">
        <v>1228</v>
      </c>
      <c r="G303" s="11" t="s">
        <v>1228</v>
      </c>
      <c r="H303" s="11" t="s">
        <v>1228</v>
      </c>
      <c r="I303" s="11" t="s">
        <v>1228</v>
      </c>
      <c r="J303" s="11" t="s">
        <v>1228</v>
      </c>
      <c r="K303" s="11" t="s">
        <v>1228</v>
      </c>
      <c r="L303" s="11">
        <f>'Entity KPIs'!K67</f>
        <v>722.63</v>
      </c>
      <c r="M303" s="11">
        <f>'Entity KPIs'!Q67</f>
        <v>625.1</v>
      </c>
      <c r="N303" s="11">
        <f>'Group KPIs'!K67</f>
        <v>1347.73</v>
      </c>
      <c r="O303" s="11" t="s">
        <v>1845</v>
      </c>
    </row>
    <row r="305" spans="1:15">
      <c r="A305" s="9" t="s">
        <v>1925</v>
      </c>
      <c r="B305" s="9"/>
      <c r="C305" s="9"/>
      <c r="D305" s="9"/>
      <c r="E305" s="9"/>
      <c r="F305" s="9"/>
      <c r="G305" s="9"/>
      <c r="H305" s="9"/>
      <c r="I305" s="9"/>
      <c r="J305" s="9"/>
      <c r="K305" s="9"/>
      <c r="L305" s="9"/>
      <c r="M305" s="9"/>
      <c r="N305" s="9"/>
      <c r="O305" s="9"/>
    </row>
    <row r="306" spans="1:15">
      <c r="A306" s="6" t="s">
        <v>657</v>
      </c>
      <c r="B306" s="6" t="s">
        <v>1841</v>
      </c>
      <c r="C306" s="6" t="s">
        <v>270</v>
      </c>
      <c r="D306" s="6" t="s">
        <v>271</v>
      </c>
      <c r="E306" s="6" t="s">
        <v>1884</v>
      </c>
      <c r="F306" s="6" t="s">
        <v>1228</v>
      </c>
      <c r="G306" s="6" t="s">
        <v>1228</v>
      </c>
      <c r="H306" s="6" t="s">
        <v>1228</v>
      </c>
      <c r="I306" s="6" t="s">
        <v>1228</v>
      </c>
      <c r="J306" s="6" t="s">
        <v>1228</v>
      </c>
      <c r="K306" s="6" t="s">
        <v>1228</v>
      </c>
      <c r="L306" s="10">
        <f>'Entity Inputs'!DK9</f>
        <v>79170.5</v>
      </c>
      <c r="M306" s="10">
        <f>'Entity Inputs'!DK15</f>
        <v>65703.7</v>
      </c>
      <c r="N306" s="10">
        <f>'Group Inputs'!DJ9</f>
        <v>144874.2</v>
      </c>
      <c r="O306" s="6" t="s">
        <v>1892</v>
      </c>
    </row>
    <row r="307" spans="1:15">
      <c r="A307" s="11" t="s">
        <v>657</v>
      </c>
      <c r="B307" s="11" t="s">
        <v>1844</v>
      </c>
      <c r="C307" s="11" t="s">
        <v>658</v>
      </c>
      <c r="D307" s="11"/>
      <c r="E307" s="11" t="s">
        <v>561</v>
      </c>
      <c r="F307" s="11" t="s">
        <v>1228</v>
      </c>
      <c r="G307" s="11" t="s">
        <v>1228</v>
      </c>
      <c r="H307" s="11" t="s">
        <v>1228</v>
      </c>
      <c r="I307" s="11" t="s">
        <v>1228</v>
      </c>
      <c r="J307" s="11" t="s">
        <v>1228</v>
      </c>
      <c r="K307" s="11" t="s">
        <v>1228</v>
      </c>
      <c r="L307" s="11">
        <f>'Entity KPIs'!K68</f>
        <v>468.11</v>
      </c>
      <c r="M307" s="11">
        <f>'Entity KPIs'!Q68</f>
        <v>411.6</v>
      </c>
      <c r="N307" s="11">
        <f>'Group KPIs'!K68</f>
        <v>879.71</v>
      </c>
      <c r="O307" s="11" t="s">
        <v>1845</v>
      </c>
    </row>
    <row r="309" spans="1:15">
      <c r="A309" s="9" t="s">
        <v>1926</v>
      </c>
      <c r="B309" s="9"/>
      <c r="C309" s="9"/>
      <c r="D309" s="9"/>
      <c r="E309" s="9"/>
      <c r="F309" s="9"/>
      <c r="G309" s="9"/>
      <c r="H309" s="9"/>
      <c r="I309" s="9"/>
      <c r="J309" s="9"/>
      <c r="K309" s="9"/>
      <c r="L309" s="9"/>
      <c r="M309" s="9"/>
      <c r="N309" s="9"/>
      <c r="O309" s="9"/>
    </row>
    <row r="310" spans="1:15">
      <c r="A310" s="6" t="s">
        <v>660</v>
      </c>
      <c r="B310" s="6" t="s">
        <v>1841</v>
      </c>
      <c r="C310" s="6" t="s">
        <v>266</v>
      </c>
      <c r="D310" s="6" t="s">
        <v>267</v>
      </c>
      <c r="E310" s="6" t="s">
        <v>1842</v>
      </c>
      <c r="F310" s="6" t="s">
        <v>1228</v>
      </c>
      <c r="G310" s="6" t="s">
        <v>1228</v>
      </c>
      <c r="H310" s="6" t="s">
        <v>1228</v>
      </c>
      <c r="I310" s="6" t="s">
        <v>1228</v>
      </c>
      <c r="J310" s="6" t="s">
        <v>1228</v>
      </c>
      <c r="K310" s="6" t="s">
        <v>1228</v>
      </c>
      <c r="L310" s="10">
        <f>'Entity Inputs'!DI9</f>
        <v>1000000</v>
      </c>
      <c r="M310" s="10">
        <f>'Entity Inputs'!DI15</f>
        <v>860000</v>
      </c>
      <c r="N310" s="10">
        <f>'Group Inputs'!DH9</f>
        <v>1860000.0</v>
      </c>
      <c r="O310" s="6" t="s">
        <v>1892</v>
      </c>
    </row>
    <row r="311" spans="1:15">
      <c r="A311" s="6" t="s">
        <v>660</v>
      </c>
      <c r="B311" s="6" t="s">
        <v>1841</v>
      </c>
      <c r="C311" s="6" t="s">
        <v>272</v>
      </c>
      <c r="D311" s="6" t="s">
        <v>273</v>
      </c>
      <c r="E311" s="6" t="s">
        <v>1842</v>
      </c>
      <c r="F311" s="6" t="s">
        <v>1228</v>
      </c>
      <c r="G311" s="6" t="s">
        <v>1228</v>
      </c>
      <c r="H311" s="6" t="s">
        <v>1228</v>
      </c>
      <c r="I311" s="6" t="s">
        <v>1228</v>
      </c>
      <c r="J311" s="6" t="s">
        <v>1228</v>
      </c>
      <c r="K311" s="6" t="s">
        <v>1228</v>
      </c>
      <c r="L311" s="10">
        <f>'Entity Inputs'!DL9</f>
        <v>590000</v>
      </c>
      <c r="M311" s="10">
        <f>'Entity Inputs'!DL15</f>
        <v>541800</v>
      </c>
      <c r="N311" s="10">
        <f>'Group Inputs'!DK9</f>
        <v>1131800.0</v>
      </c>
      <c r="O311" s="6" t="s">
        <v>1892</v>
      </c>
    </row>
    <row r="312" spans="1:15">
      <c r="A312" s="11" t="s">
        <v>660</v>
      </c>
      <c r="B312" s="11" t="s">
        <v>1844</v>
      </c>
      <c r="C312" s="11" t="s">
        <v>661</v>
      </c>
      <c r="D312" s="11"/>
      <c r="E312" s="11" t="s">
        <v>655</v>
      </c>
      <c r="F312" s="11" t="s">
        <v>1228</v>
      </c>
      <c r="G312" s="11" t="s">
        <v>1228</v>
      </c>
      <c r="H312" s="11" t="s">
        <v>1228</v>
      </c>
      <c r="I312" s="11" t="s">
        <v>1228</v>
      </c>
      <c r="J312" s="11" t="s">
        <v>1228</v>
      </c>
      <c r="K312" s="11" t="s">
        <v>1228</v>
      </c>
      <c r="L312" s="11">
        <f>'Entity KPIs'!K69</f>
        <v>59.0</v>
      </c>
      <c r="M312" s="11">
        <f>'Entity KPIs'!Q69</f>
        <v>63.0</v>
      </c>
      <c r="N312" s="11">
        <f>'Group KPIs'!K69</f>
        <v>60.85</v>
      </c>
      <c r="O312" s="11" t="s">
        <v>1845</v>
      </c>
    </row>
    <row r="314" spans="1:15">
      <c r="A314" s="9" t="s">
        <v>1927</v>
      </c>
      <c r="B314" s="9"/>
      <c r="C314" s="9"/>
      <c r="D314" s="9"/>
      <c r="E314" s="9"/>
      <c r="F314" s="9"/>
      <c r="G314" s="9"/>
      <c r="H314" s="9"/>
      <c r="I314" s="9"/>
      <c r="J314" s="9"/>
      <c r="K314" s="9"/>
      <c r="L314" s="9"/>
      <c r="M314" s="9"/>
      <c r="N314" s="9"/>
      <c r="O314" s="9"/>
    </row>
    <row r="315" spans="1:15">
      <c r="A315" s="6" t="s">
        <v>663</v>
      </c>
      <c r="B315" s="6" t="s">
        <v>1841</v>
      </c>
      <c r="C315" s="6" t="s">
        <v>274</v>
      </c>
      <c r="D315" s="6" t="s">
        <v>275</v>
      </c>
      <c r="E315" s="6" t="s">
        <v>1842</v>
      </c>
      <c r="F315" s="6" t="s">
        <v>1228</v>
      </c>
      <c r="G315" s="6" t="s">
        <v>1228</v>
      </c>
      <c r="H315" s="6" t="s">
        <v>1228</v>
      </c>
      <c r="I315" s="6" t="s">
        <v>1228</v>
      </c>
      <c r="J315" s="6" t="s">
        <v>1228</v>
      </c>
      <c r="K315" s="6" t="s">
        <v>1228</v>
      </c>
      <c r="L315" s="10">
        <f>'Entity Inputs'!DM9</f>
        <v>20798.4</v>
      </c>
      <c r="M315" s="10">
        <f>'Entity Inputs'!DM15</f>
        <v>127233</v>
      </c>
      <c r="N315" s="10">
        <f>'Group Inputs'!DL9</f>
        <v>148031.4</v>
      </c>
      <c r="O315" s="6" t="s">
        <v>1892</v>
      </c>
    </row>
    <row r="316" spans="1:15">
      <c r="A316" s="11" t="s">
        <v>663</v>
      </c>
      <c r="B316" s="11" t="s">
        <v>1844</v>
      </c>
      <c r="C316" s="11" t="s">
        <v>664</v>
      </c>
      <c r="D316" s="11"/>
      <c r="E316" s="11" t="s">
        <v>577</v>
      </c>
      <c r="F316" s="11" t="s">
        <v>1228</v>
      </c>
      <c r="G316" s="11" t="s">
        <v>1228</v>
      </c>
      <c r="H316" s="11" t="s">
        <v>1228</v>
      </c>
      <c r="I316" s="11" t="s">
        <v>1228</v>
      </c>
      <c r="J316" s="11" t="s">
        <v>1228</v>
      </c>
      <c r="K316" s="11" t="s">
        <v>1228</v>
      </c>
      <c r="L316" s="11">
        <f>'Entity KPIs'!K70</f>
        <v>20.8</v>
      </c>
      <c r="M316" s="11">
        <f>'Entity KPIs'!Q70</f>
        <v>127.23</v>
      </c>
      <c r="N316" s="11">
        <f>'Group KPIs'!K70</f>
        <v>148.03</v>
      </c>
      <c r="O316" s="11" t="s">
        <v>1845</v>
      </c>
    </row>
    <row r="318" spans="1:15">
      <c r="A318" s="9" t="s">
        <v>1928</v>
      </c>
      <c r="B318" s="9"/>
      <c r="C318" s="9"/>
      <c r="D318" s="9"/>
      <c r="E318" s="9"/>
      <c r="F318" s="9"/>
      <c r="G318" s="9"/>
      <c r="H318" s="9"/>
      <c r="I318" s="9"/>
      <c r="J318" s="9"/>
      <c r="K318" s="9"/>
      <c r="L318" s="9"/>
      <c r="M318" s="9"/>
      <c r="N318" s="9"/>
      <c r="O318" s="9"/>
    </row>
    <row r="319" spans="1:15">
      <c r="A319" s="6" t="s">
        <v>666</v>
      </c>
      <c r="B319" s="6" t="s">
        <v>1841</v>
      </c>
      <c r="C319" s="6" t="s">
        <v>276</v>
      </c>
      <c r="D319" s="6" t="s">
        <v>277</v>
      </c>
      <c r="E319" s="6" t="s">
        <v>1842</v>
      </c>
      <c r="F319" s="6" t="s">
        <v>1228</v>
      </c>
      <c r="G319" s="6" t="s">
        <v>1228</v>
      </c>
      <c r="H319" s="6" t="s">
        <v>1228</v>
      </c>
      <c r="I319" s="6" t="s">
        <v>1228</v>
      </c>
      <c r="J319" s="6" t="s">
        <v>1228</v>
      </c>
      <c r="K319" s="6" t="s">
        <v>1228</v>
      </c>
      <c r="L319" s="10">
        <f>'Entity Inputs'!DN9</f>
        <v>5</v>
      </c>
      <c r="M319" s="10">
        <f>'Entity Inputs'!DN15</f>
        <v>4</v>
      </c>
      <c r="N319" s="10">
        <f>'Group Inputs'!DM9</f>
        <v>9.0</v>
      </c>
      <c r="O319" s="6" t="s">
        <v>1892</v>
      </c>
    </row>
    <row r="320" spans="1:15">
      <c r="A320" s="6" t="s">
        <v>666</v>
      </c>
      <c r="B320" s="6" t="s">
        <v>1841</v>
      </c>
      <c r="C320" s="6" t="s">
        <v>278</v>
      </c>
      <c r="D320" s="6" t="s">
        <v>279</v>
      </c>
      <c r="E320" s="6" t="s">
        <v>1842</v>
      </c>
      <c r="F320" s="6" t="s">
        <v>1228</v>
      </c>
      <c r="G320" s="6" t="s">
        <v>1228</v>
      </c>
      <c r="H320" s="6" t="s">
        <v>1228</v>
      </c>
      <c r="I320" s="6" t="s">
        <v>1228</v>
      </c>
      <c r="J320" s="6" t="s">
        <v>1228</v>
      </c>
      <c r="K320" s="6" t="s">
        <v>1228</v>
      </c>
      <c r="L320" s="10">
        <f>'Entity Inputs'!DO9</f>
        <v>1</v>
      </c>
      <c r="M320" s="10">
        <f>'Entity Inputs'!DO15</f>
        <v>1</v>
      </c>
      <c r="N320" s="10">
        <f>'Group Inputs'!DN9</f>
        <v>2.0</v>
      </c>
      <c r="O320" s="6" t="s">
        <v>1892</v>
      </c>
    </row>
    <row r="321" spans="1:15">
      <c r="A321" s="6" t="s">
        <v>666</v>
      </c>
      <c r="B321" s="6" t="s">
        <v>1841</v>
      </c>
      <c r="C321" s="6" t="s">
        <v>280</v>
      </c>
      <c r="D321" s="6" t="s">
        <v>281</v>
      </c>
      <c r="E321" s="6" t="s">
        <v>1842</v>
      </c>
      <c r="F321" s="6" t="s">
        <v>1228</v>
      </c>
      <c r="G321" s="6" t="s">
        <v>1228</v>
      </c>
      <c r="H321" s="6" t="s">
        <v>1228</v>
      </c>
      <c r="I321" s="6" t="s">
        <v>1228</v>
      </c>
      <c r="J321" s="6" t="s">
        <v>1228</v>
      </c>
      <c r="K321" s="6" t="s">
        <v>1228</v>
      </c>
      <c r="L321" s="10">
        <f>'Entity Inputs'!DP9</f>
        <v>0</v>
      </c>
      <c r="M321" s="10">
        <f>'Entity Inputs'!DP15</f>
        <v>0</v>
      </c>
      <c r="N321" s="10">
        <f>'Group Inputs'!DO9</f>
        <v>0.0</v>
      </c>
      <c r="O321" s="6" t="s">
        <v>1892</v>
      </c>
    </row>
    <row r="322" spans="1:15">
      <c r="A322" s="11" t="s">
        <v>666</v>
      </c>
      <c r="B322" s="11" t="s">
        <v>1844</v>
      </c>
      <c r="C322" s="11" t="s">
        <v>667</v>
      </c>
      <c r="D322" s="11"/>
      <c r="E322" s="11" t="s">
        <v>577</v>
      </c>
      <c r="F322" s="11" t="s">
        <v>1228</v>
      </c>
      <c r="G322" s="11" t="s">
        <v>1228</v>
      </c>
      <c r="H322" s="11" t="s">
        <v>1228</v>
      </c>
      <c r="I322" s="11" t="s">
        <v>1228</v>
      </c>
      <c r="J322" s="11" t="s">
        <v>1228</v>
      </c>
      <c r="K322" s="11" t="s">
        <v>1228</v>
      </c>
      <c r="L322" s="11" t="str">
        <f>'Entity KPIs'!K71</f>
        <v>5 on track · 1 at risk · 0 off track</v>
      </c>
      <c r="M322" s="11" t="str">
        <f>'Entity KPIs'!Q71</f>
        <v>4 on track · 1 at risk · 0 off track</v>
      </c>
      <c r="N322" s="11" t="str">
        <f>'Group KPIs'!K71</f>
        <v>9 on track · 2 at risk · 0 off track</v>
      </c>
      <c r="O322" s="11" t="s">
        <v>1845</v>
      </c>
    </row>
    <row r="324" spans="1:15">
      <c r="A324" s="9" t="s">
        <v>1929</v>
      </c>
      <c r="B324" s="9"/>
      <c r="C324" s="9"/>
      <c r="D324" s="9"/>
      <c r="E324" s="9"/>
      <c r="F324" s="9"/>
      <c r="G324" s="9"/>
      <c r="H324" s="9"/>
      <c r="I324" s="9"/>
      <c r="J324" s="9"/>
      <c r="K324" s="9"/>
      <c r="L324" s="9"/>
      <c r="M324" s="9"/>
      <c r="N324" s="9"/>
      <c r="O324" s="9"/>
    </row>
    <row r="325" spans="1:15">
      <c r="A325" s="6" t="s">
        <v>670</v>
      </c>
      <c r="B325" s="6" t="s">
        <v>1841</v>
      </c>
      <c r="C325" s="6" t="s">
        <v>298</v>
      </c>
      <c r="D325" s="6" t="s">
        <v>299</v>
      </c>
      <c r="E325" s="6" t="s">
        <v>1884</v>
      </c>
      <c r="F325" s="6" t="s">
        <v>1228</v>
      </c>
      <c r="G325" s="6" t="s">
        <v>1228</v>
      </c>
      <c r="H325" s="6" t="s">
        <v>1228</v>
      </c>
      <c r="I325" s="6" t="s">
        <v>1228</v>
      </c>
      <c r="J325" s="6" t="s">
        <v>1228</v>
      </c>
      <c r="K325" s="6" t="s">
        <v>1228</v>
      </c>
      <c r="L325" s="10">
        <f>'Entity Inputs'!DY9</f>
        <v>4825.8</v>
      </c>
      <c r="M325" s="10">
        <f>'Entity Inputs'!DY15</f>
        <v>9329.9</v>
      </c>
      <c r="N325" s="10">
        <f>'Group Inputs'!DX9</f>
        <v>14155.7</v>
      </c>
      <c r="O325" s="6" t="s">
        <v>1892</v>
      </c>
    </row>
    <row r="326" spans="1:15">
      <c r="A326" s="6" t="s">
        <v>670</v>
      </c>
      <c r="B326" s="6" t="s">
        <v>1841</v>
      </c>
      <c r="C326" s="6" t="s">
        <v>300</v>
      </c>
      <c r="D326" s="6" t="s">
        <v>301</v>
      </c>
      <c r="E326" s="6" t="s">
        <v>1884</v>
      </c>
      <c r="F326" s="6" t="s">
        <v>1228</v>
      </c>
      <c r="G326" s="6" t="s">
        <v>1228</v>
      </c>
      <c r="H326" s="6" t="s">
        <v>1228</v>
      </c>
      <c r="I326" s="6" t="s">
        <v>1228</v>
      </c>
      <c r="J326" s="6" t="s">
        <v>1228</v>
      </c>
      <c r="K326" s="6" t="s">
        <v>1228</v>
      </c>
      <c r="L326" s="10">
        <f>'Entity Inputs'!DZ9</f>
        <v>3192.7</v>
      </c>
      <c r="M326" s="10">
        <f>'Entity Inputs'!DZ15</f>
        <v>3492</v>
      </c>
      <c r="N326" s="10">
        <f>'Group Inputs'!DY9</f>
        <v>6684.7</v>
      </c>
      <c r="O326" s="6" t="s">
        <v>1892</v>
      </c>
    </row>
    <row r="327" spans="1:15">
      <c r="A327" s="11" t="s">
        <v>670</v>
      </c>
      <c r="B327" s="11" t="s">
        <v>1844</v>
      </c>
      <c r="C327" s="11" t="s">
        <v>671</v>
      </c>
      <c r="D327" s="11"/>
      <c r="E327" s="11" t="s">
        <v>561</v>
      </c>
      <c r="F327" s="11" t="s">
        <v>1228</v>
      </c>
      <c r="G327" s="11" t="s">
        <v>1228</v>
      </c>
      <c r="H327" s="11" t="s">
        <v>1228</v>
      </c>
      <c r="I327" s="11" t="s">
        <v>1228</v>
      </c>
      <c r="J327" s="11" t="s">
        <v>1228</v>
      </c>
      <c r="K327" s="11" t="s">
        <v>1228</v>
      </c>
      <c r="L327" s="11">
        <f>'Entity KPIs'!K72</f>
        <v>69.34</v>
      </c>
      <c r="M327" s="11">
        <f>'Entity KPIs'!Q72</f>
        <v>36.27</v>
      </c>
      <c r="N327" s="11">
        <f>'Group KPIs'!K72</f>
        <v>47.96</v>
      </c>
      <c r="O327" s="11" t="s">
        <v>1845</v>
      </c>
    </row>
    <row r="329" spans="1:15">
      <c r="A329" s="9" t="s">
        <v>1930</v>
      </c>
      <c r="B329" s="9"/>
      <c r="C329" s="9"/>
      <c r="D329" s="9"/>
      <c r="E329" s="9"/>
      <c r="F329" s="9"/>
      <c r="G329" s="9"/>
      <c r="H329" s="9"/>
      <c r="I329" s="9"/>
      <c r="J329" s="9"/>
      <c r="K329" s="9"/>
      <c r="L329" s="9"/>
      <c r="M329" s="9"/>
      <c r="N329" s="9"/>
      <c r="O329" s="9"/>
    </row>
    <row r="330" spans="1:15">
      <c r="A330" s="6" t="s">
        <v>673</v>
      </c>
      <c r="B330" s="6" t="s">
        <v>1841</v>
      </c>
      <c r="C330" s="6" t="s">
        <v>282</v>
      </c>
      <c r="D330" s="6" t="s">
        <v>283</v>
      </c>
      <c r="E330" s="6" t="s">
        <v>1842</v>
      </c>
      <c r="F330" s="6" t="s">
        <v>1228</v>
      </c>
      <c r="G330" s="6" t="s">
        <v>1228</v>
      </c>
      <c r="H330" s="6" t="s">
        <v>1228</v>
      </c>
      <c r="I330" s="6" t="s">
        <v>1228</v>
      </c>
      <c r="J330" s="6" t="s">
        <v>1228</v>
      </c>
      <c r="K330" s="6" t="s">
        <v>1228</v>
      </c>
      <c r="L330" s="10">
        <f>'Entity Inputs'!DQ9</f>
        <v>0</v>
      </c>
      <c r="M330" s="10">
        <f>'Entity Inputs'!DQ15</f>
        <v>1</v>
      </c>
      <c r="N330" s="10">
        <f>'Group Inputs'!DP9</f>
        <v>1.0</v>
      </c>
      <c r="O330" s="6" t="s">
        <v>1892</v>
      </c>
    </row>
    <row r="331" spans="1:15">
      <c r="A331" s="11" t="s">
        <v>673</v>
      </c>
      <c r="B331" s="11" t="s">
        <v>1844</v>
      </c>
      <c r="C331" s="11" t="s">
        <v>674</v>
      </c>
      <c r="D331" s="11"/>
      <c r="E331" s="11" t="s">
        <v>577</v>
      </c>
      <c r="F331" s="11" t="s">
        <v>1228</v>
      </c>
      <c r="G331" s="11" t="s">
        <v>1228</v>
      </c>
      <c r="H331" s="11" t="s">
        <v>1228</v>
      </c>
      <c r="I331" s="11" t="s">
        <v>1228</v>
      </c>
      <c r="J331" s="11" t="s">
        <v>1228</v>
      </c>
      <c r="K331" s="11" t="s">
        <v>1228</v>
      </c>
      <c r="L331" s="11">
        <f>'Entity KPIs'!K73</f>
        <v>0.0</v>
      </c>
      <c r="M331" s="11">
        <f>'Entity KPIs'!Q73</f>
        <v>1.0</v>
      </c>
      <c r="N331" s="11">
        <f>'Group KPIs'!K73</f>
        <v>1.0</v>
      </c>
      <c r="O331" s="11" t="s">
        <v>1845</v>
      </c>
    </row>
    <row r="333" spans="1:15">
      <c r="A333" s="9" t="s">
        <v>1931</v>
      </c>
      <c r="B333" s="9"/>
      <c r="C333" s="9"/>
      <c r="D333" s="9"/>
      <c r="E333" s="9"/>
      <c r="F333" s="9"/>
      <c r="G333" s="9"/>
      <c r="H333" s="9"/>
      <c r="I333" s="9"/>
      <c r="J333" s="9"/>
      <c r="K333" s="9"/>
      <c r="L333" s="9"/>
      <c r="M333" s="9"/>
      <c r="N333" s="9"/>
      <c r="O333" s="9"/>
    </row>
    <row r="334" spans="1:15">
      <c r="A334" s="6" t="s">
        <v>676</v>
      </c>
      <c r="B334" s="6" t="s">
        <v>1841</v>
      </c>
      <c r="C334" s="6" t="s">
        <v>294</v>
      </c>
      <c r="D334" s="6" t="s">
        <v>295</v>
      </c>
      <c r="E334" s="6" t="s">
        <v>1842</v>
      </c>
      <c r="F334" s="6" t="s">
        <v>1228</v>
      </c>
      <c r="G334" s="6" t="s">
        <v>1228</v>
      </c>
      <c r="H334" s="6" t="s">
        <v>1228</v>
      </c>
      <c r="I334" s="6" t="s">
        <v>1228</v>
      </c>
      <c r="J334" s="6" t="s">
        <v>1228</v>
      </c>
      <c r="K334" s="6" t="s">
        <v>1228</v>
      </c>
      <c r="L334" s="10">
        <f>'Entity Inputs'!DW9</f>
        <v>60</v>
      </c>
      <c r="M334" s="10">
        <f>'Entity Inputs'!DW15</f>
        <v>64</v>
      </c>
      <c r="N334" s="10">
        <f>'Group Inputs'!DV9</f>
        <v>124.0</v>
      </c>
      <c r="O334" s="6" t="s">
        <v>1892</v>
      </c>
    </row>
    <row r="335" spans="1:15">
      <c r="A335" s="6" t="s">
        <v>676</v>
      </c>
      <c r="B335" s="6" t="s">
        <v>1841</v>
      </c>
      <c r="C335" s="6" t="s">
        <v>296</v>
      </c>
      <c r="D335" s="6" t="s">
        <v>297</v>
      </c>
      <c r="E335" s="6" t="s">
        <v>1842</v>
      </c>
      <c r="F335" s="6" t="s">
        <v>1228</v>
      </c>
      <c r="G335" s="6" t="s">
        <v>1228</v>
      </c>
      <c r="H335" s="6" t="s">
        <v>1228</v>
      </c>
      <c r="I335" s="6" t="s">
        <v>1228</v>
      </c>
      <c r="J335" s="6" t="s">
        <v>1228</v>
      </c>
      <c r="K335" s="6" t="s">
        <v>1228</v>
      </c>
      <c r="L335" s="10">
        <f>'Entity Inputs'!DX9</f>
        <v>32</v>
      </c>
      <c r="M335" s="10">
        <f>'Entity Inputs'!DX15</f>
        <v>35</v>
      </c>
      <c r="N335" s="10">
        <f>'Group Inputs'!DW9</f>
        <v>67.0</v>
      </c>
      <c r="O335" s="6" t="s">
        <v>1892</v>
      </c>
    </row>
    <row r="336" spans="1:15">
      <c r="A336" s="11" t="s">
        <v>676</v>
      </c>
      <c r="B336" s="11" t="s">
        <v>1844</v>
      </c>
      <c r="C336" s="11" t="s">
        <v>677</v>
      </c>
      <c r="D336" s="11"/>
      <c r="E336" s="11" t="s">
        <v>655</v>
      </c>
      <c r="F336" s="11" t="s">
        <v>1228</v>
      </c>
      <c r="G336" s="11" t="s">
        <v>1228</v>
      </c>
      <c r="H336" s="11" t="s">
        <v>1228</v>
      </c>
      <c r="I336" s="11" t="s">
        <v>1228</v>
      </c>
      <c r="J336" s="11" t="s">
        <v>1228</v>
      </c>
      <c r="K336" s="11" t="s">
        <v>1228</v>
      </c>
      <c r="L336" s="11">
        <f>'Entity KPIs'!K74</f>
        <v>53.33</v>
      </c>
      <c r="M336" s="11">
        <f>'Entity KPIs'!Q74</f>
        <v>54.69</v>
      </c>
      <c r="N336" s="11">
        <f>'Group KPIs'!K74</f>
        <v>54.03</v>
      </c>
      <c r="O336" s="11" t="s">
        <v>1845</v>
      </c>
    </row>
    <row r="338" spans="1:15">
      <c r="A338" s="9" t="s">
        <v>1932</v>
      </c>
      <c r="B338" s="9"/>
      <c r="C338" s="9"/>
      <c r="D338" s="9"/>
      <c r="E338" s="9"/>
      <c r="F338" s="9"/>
      <c r="G338" s="9"/>
      <c r="H338" s="9"/>
      <c r="I338" s="9"/>
      <c r="J338" s="9"/>
      <c r="K338" s="9"/>
      <c r="L338" s="9"/>
      <c r="M338" s="9"/>
      <c r="N338" s="9"/>
      <c r="O338" s="9"/>
    </row>
    <row r="339" spans="1:15">
      <c r="A339" s="6" t="s">
        <v>679</v>
      </c>
      <c r="B339" s="6" t="s">
        <v>1841</v>
      </c>
      <c r="C339" s="6" t="s">
        <v>294</v>
      </c>
      <c r="D339" s="6" t="s">
        <v>295</v>
      </c>
      <c r="E339" s="6" t="s">
        <v>1842</v>
      </c>
      <c r="F339" s="6" t="s">
        <v>1228</v>
      </c>
      <c r="G339" s="6" t="s">
        <v>1228</v>
      </c>
      <c r="H339" s="6" t="s">
        <v>1228</v>
      </c>
      <c r="I339" s="6" t="s">
        <v>1228</v>
      </c>
      <c r="J339" s="6" t="s">
        <v>1228</v>
      </c>
      <c r="K339" s="6" t="s">
        <v>1228</v>
      </c>
      <c r="L339" s="10">
        <f>'Entity Inputs'!DW9</f>
        <v>60</v>
      </c>
      <c r="M339" s="10">
        <f>'Entity Inputs'!DW15</f>
        <v>64</v>
      </c>
      <c r="N339" s="10">
        <f>'Group Inputs'!DV9</f>
        <v>124.0</v>
      </c>
      <c r="O339" s="6" t="s">
        <v>1892</v>
      </c>
    </row>
    <row r="340" spans="1:15">
      <c r="A340" s="6" t="s">
        <v>679</v>
      </c>
      <c r="B340" s="6" t="s">
        <v>1841</v>
      </c>
      <c r="C340" s="6" t="s">
        <v>296</v>
      </c>
      <c r="D340" s="6" t="s">
        <v>297</v>
      </c>
      <c r="E340" s="6" t="s">
        <v>1842</v>
      </c>
      <c r="F340" s="6" t="s">
        <v>1228</v>
      </c>
      <c r="G340" s="6" t="s">
        <v>1228</v>
      </c>
      <c r="H340" s="6" t="s">
        <v>1228</v>
      </c>
      <c r="I340" s="6" t="s">
        <v>1228</v>
      </c>
      <c r="J340" s="6" t="s">
        <v>1228</v>
      </c>
      <c r="K340" s="6" t="s">
        <v>1228</v>
      </c>
      <c r="L340" s="10">
        <f>'Entity Inputs'!DX9</f>
        <v>32</v>
      </c>
      <c r="M340" s="10">
        <f>'Entity Inputs'!DX15</f>
        <v>35</v>
      </c>
      <c r="N340" s="10">
        <f>'Group Inputs'!DW9</f>
        <v>67.0</v>
      </c>
      <c r="O340" s="6" t="s">
        <v>1892</v>
      </c>
    </row>
    <row r="341" spans="1:15">
      <c r="A341" s="11" t="s">
        <v>679</v>
      </c>
      <c r="B341" s="11" t="s">
        <v>1844</v>
      </c>
      <c r="C341" s="11" t="s">
        <v>680</v>
      </c>
      <c r="D341" s="11"/>
      <c r="E341" s="11" t="s">
        <v>655</v>
      </c>
      <c r="F341" s="11" t="s">
        <v>1228</v>
      </c>
      <c r="G341" s="11" t="s">
        <v>1228</v>
      </c>
      <c r="H341" s="11" t="s">
        <v>1228</v>
      </c>
      <c r="I341" s="11" t="s">
        <v>1228</v>
      </c>
      <c r="J341" s="11" t="s">
        <v>1228</v>
      </c>
      <c r="K341" s="11" t="s">
        <v>1228</v>
      </c>
      <c r="L341" s="11">
        <f>'Entity KPIs'!K75</f>
        <v>53.33</v>
      </c>
      <c r="M341" s="11">
        <f>'Entity KPIs'!Q75</f>
        <v>54.69</v>
      </c>
      <c r="N341" s="11">
        <f>'Group KPIs'!K75</f>
        <v>54.03</v>
      </c>
      <c r="O341" s="11" t="s">
        <v>1845</v>
      </c>
    </row>
    <row r="343" spans="1:15">
      <c r="A343" s="9" t="s">
        <v>1933</v>
      </c>
      <c r="B343" s="9"/>
      <c r="C343" s="9"/>
      <c r="D343" s="9"/>
      <c r="E343" s="9"/>
      <c r="F343" s="9"/>
      <c r="G343" s="9"/>
      <c r="H343" s="9"/>
      <c r="I343" s="9"/>
      <c r="J343" s="9"/>
      <c r="K343" s="9"/>
      <c r="L343" s="9"/>
      <c r="M343" s="9"/>
      <c r="N343" s="9"/>
      <c r="O343" s="9"/>
    </row>
    <row r="344" spans="1:15">
      <c r="A344" s="6" t="s">
        <v>681</v>
      </c>
      <c r="B344" s="6" t="s">
        <v>1841</v>
      </c>
      <c r="C344" s="6" t="s">
        <v>288</v>
      </c>
      <c r="D344" s="6" t="s">
        <v>289</v>
      </c>
      <c r="E344" s="6" t="s">
        <v>1842</v>
      </c>
      <c r="F344" s="6" t="s">
        <v>1228</v>
      </c>
      <c r="G344" s="6" t="s">
        <v>1228</v>
      </c>
      <c r="H344" s="6" t="s">
        <v>1228</v>
      </c>
      <c r="I344" s="6" t="s">
        <v>1228</v>
      </c>
      <c r="J344" s="6" t="s">
        <v>1228</v>
      </c>
      <c r="K344" s="6" t="s">
        <v>1228</v>
      </c>
      <c r="L344" s="10">
        <f>'Entity Inputs'!DT9</f>
        <v>5</v>
      </c>
      <c r="M344" s="10">
        <f>'Entity Inputs'!DT15</f>
        <v>10</v>
      </c>
      <c r="N344" s="10">
        <f>'Group Inputs'!DS9</f>
        <v>15.0</v>
      </c>
      <c r="O344" s="6" t="s">
        <v>1892</v>
      </c>
    </row>
    <row r="345" spans="1:15">
      <c r="A345" s="6" t="s">
        <v>681</v>
      </c>
      <c r="B345" s="6" t="s">
        <v>1841</v>
      </c>
      <c r="C345" s="6" t="s">
        <v>290</v>
      </c>
      <c r="D345" s="6" t="s">
        <v>291</v>
      </c>
      <c r="E345" s="6" t="s">
        <v>1842</v>
      </c>
      <c r="F345" s="6" t="s">
        <v>1228</v>
      </c>
      <c r="G345" s="6" t="s">
        <v>1228</v>
      </c>
      <c r="H345" s="6" t="s">
        <v>1228</v>
      </c>
      <c r="I345" s="6" t="s">
        <v>1228</v>
      </c>
      <c r="J345" s="6" t="s">
        <v>1228</v>
      </c>
      <c r="K345" s="6" t="s">
        <v>1228</v>
      </c>
      <c r="L345" s="10">
        <f>'Entity Inputs'!DU9</f>
        <v>2</v>
      </c>
      <c r="M345" s="10">
        <f>'Entity Inputs'!DU15</f>
        <v>4</v>
      </c>
      <c r="N345" s="10">
        <f>'Group Inputs'!DT9</f>
        <v>6.0</v>
      </c>
      <c r="O345" s="6" t="s">
        <v>1892</v>
      </c>
    </row>
    <row r="346" spans="1:15">
      <c r="A346" s="6" t="s">
        <v>681</v>
      </c>
      <c r="B346" s="6" t="s">
        <v>1841</v>
      </c>
      <c r="C346" s="6" t="s">
        <v>292</v>
      </c>
      <c r="D346" s="6" t="s">
        <v>293</v>
      </c>
      <c r="E346" s="6" t="s">
        <v>1842</v>
      </c>
      <c r="F346" s="6" t="s">
        <v>1228</v>
      </c>
      <c r="G346" s="6" t="s">
        <v>1228</v>
      </c>
      <c r="H346" s="6" t="s">
        <v>1228</v>
      </c>
      <c r="I346" s="6" t="s">
        <v>1228</v>
      </c>
      <c r="J346" s="6" t="s">
        <v>1228</v>
      </c>
      <c r="K346" s="6" t="s">
        <v>1228</v>
      </c>
      <c r="L346" s="10">
        <f>'Entity Inputs'!DV9</f>
        <v>1</v>
      </c>
      <c r="M346" s="10">
        <f>'Entity Inputs'!DV15</f>
        <v>2</v>
      </c>
      <c r="N346" s="10">
        <f>'Group Inputs'!DU9</f>
        <v>3.0</v>
      </c>
      <c r="O346" s="6" t="s">
        <v>1892</v>
      </c>
    </row>
    <row r="347" spans="1:15">
      <c r="A347" s="11" t="s">
        <v>681</v>
      </c>
      <c r="B347" s="11" t="s">
        <v>1844</v>
      </c>
      <c r="C347" s="11" t="s">
        <v>682</v>
      </c>
      <c r="D347" s="11"/>
      <c r="E347" s="11" t="s">
        <v>577</v>
      </c>
      <c r="F347" s="11" t="s">
        <v>1228</v>
      </c>
      <c r="G347" s="11" t="s">
        <v>1228</v>
      </c>
      <c r="H347" s="11" t="s">
        <v>1228</v>
      </c>
      <c r="I347" s="11" t="s">
        <v>1228</v>
      </c>
      <c r="J347" s="11" t="s">
        <v>1228</v>
      </c>
      <c r="K347" s="11" t="s">
        <v>1228</v>
      </c>
      <c r="L347" s="11" t="str">
        <f>'Entity KPIs'!K76</f>
        <v>5 on track · 2 at risk · 1 delayed</v>
      </c>
      <c r="M347" s="11" t="str">
        <f>'Entity KPIs'!Q76</f>
        <v>10 on track · 4 at risk · 2 delayed</v>
      </c>
      <c r="N347" s="11" t="str">
        <f>'Group KPIs'!K76</f>
        <v>15 on track · 6 at risk · 3 delayed</v>
      </c>
      <c r="O347" s="11" t="s">
        <v>1845</v>
      </c>
    </row>
    <row r="349" spans="1:15">
      <c r="A349" s="9" t="s">
        <v>1934</v>
      </c>
      <c r="B349" s="9"/>
      <c r="C349" s="9"/>
      <c r="D349" s="9"/>
      <c r="E349" s="9"/>
      <c r="F349" s="9"/>
      <c r="G349" s="9"/>
      <c r="H349" s="9"/>
      <c r="I349" s="9"/>
      <c r="J349" s="9"/>
      <c r="K349" s="9"/>
      <c r="L349" s="9"/>
      <c r="M349" s="9"/>
      <c r="N349" s="9"/>
      <c r="O349" s="9"/>
    </row>
    <row r="350" spans="1:15">
      <c r="A350" s="6" t="s">
        <v>684</v>
      </c>
      <c r="B350" s="6" t="s">
        <v>1841</v>
      </c>
      <c r="C350" s="6" t="s">
        <v>284</v>
      </c>
      <c r="D350" s="6" t="s">
        <v>285</v>
      </c>
      <c r="E350" s="6" t="s">
        <v>1842</v>
      </c>
      <c r="F350" s="6" t="s">
        <v>1228</v>
      </c>
      <c r="G350" s="6" t="s">
        <v>1228</v>
      </c>
      <c r="H350" s="6" t="s">
        <v>1228</v>
      </c>
      <c r="I350" s="6" t="s">
        <v>1228</v>
      </c>
      <c r="J350" s="6" t="s">
        <v>1228</v>
      </c>
      <c r="K350" s="6" t="s">
        <v>1228</v>
      </c>
      <c r="L350" s="10">
        <f>'Entity Inputs'!DR9</f>
        <v>4</v>
      </c>
      <c r="M350" s="10">
        <f>'Entity Inputs'!DR15</f>
        <v>7</v>
      </c>
      <c r="N350" s="10">
        <f>'Group Inputs'!DQ9</f>
        <v>11.0</v>
      </c>
      <c r="O350" s="6" t="s">
        <v>1892</v>
      </c>
    </row>
    <row r="351" spans="1:15">
      <c r="A351" s="6" t="s">
        <v>684</v>
      </c>
      <c r="B351" s="6" t="s">
        <v>1841</v>
      </c>
      <c r="C351" s="6" t="s">
        <v>286</v>
      </c>
      <c r="D351" s="6" t="s">
        <v>287</v>
      </c>
      <c r="E351" s="6" t="s">
        <v>1842</v>
      </c>
      <c r="F351" s="6" t="s">
        <v>1228</v>
      </c>
      <c r="G351" s="6" t="s">
        <v>1228</v>
      </c>
      <c r="H351" s="6" t="s">
        <v>1228</v>
      </c>
      <c r="I351" s="6" t="s">
        <v>1228</v>
      </c>
      <c r="J351" s="6" t="s">
        <v>1228</v>
      </c>
      <c r="K351" s="6" t="s">
        <v>1228</v>
      </c>
      <c r="L351" s="10">
        <f>'Entity Inputs'!DS9</f>
        <v>10</v>
      </c>
      <c r="M351" s="10">
        <f>'Entity Inputs'!DS15</f>
        <v>9</v>
      </c>
      <c r="N351" s="10">
        <f>'Group Inputs'!DR9</f>
        <v>19.0</v>
      </c>
      <c r="O351" s="6" t="s">
        <v>1892</v>
      </c>
    </row>
    <row r="352" spans="1:15">
      <c r="A352" s="11" t="s">
        <v>684</v>
      </c>
      <c r="B352" s="11" t="s">
        <v>1844</v>
      </c>
      <c r="C352" s="11" t="s">
        <v>685</v>
      </c>
      <c r="D352" s="11"/>
      <c r="E352" s="11" t="s">
        <v>25</v>
      </c>
      <c r="F352" s="11" t="s">
        <v>1228</v>
      </c>
      <c r="G352" s="11" t="s">
        <v>1228</v>
      </c>
      <c r="H352" s="11" t="s">
        <v>1228</v>
      </c>
      <c r="I352" s="11" t="s">
        <v>1228</v>
      </c>
      <c r="J352" s="11" t="s">
        <v>1228</v>
      </c>
      <c r="K352" s="11" t="s">
        <v>1228</v>
      </c>
      <c r="L352" s="11">
        <f>'Entity KPIs'!K77</f>
        <v>2.5</v>
      </c>
      <c r="M352" s="11">
        <f>'Entity KPIs'!Q77</f>
        <v>1.29</v>
      </c>
      <c r="N352" s="11">
        <f>'Group KPIs'!K77</f>
        <v>1.73</v>
      </c>
      <c r="O352" s="11" t="s">
        <v>1845</v>
      </c>
    </row>
    <row r="354" spans="1:15">
      <c r="A354" s="9" t="s">
        <v>1935</v>
      </c>
      <c r="B354" s="9"/>
      <c r="C354" s="9"/>
      <c r="D354" s="9"/>
      <c r="E354" s="9"/>
      <c r="F354" s="9"/>
      <c r="G354" s="9"/>
      <c r="H354" s="9"/>
      <c r="I354" s="9"/>
      <c r="J354" s="9"/>
      <c r="K354" s="9"/>
      <c r="L354" s="9"/>
      <c r="M354" s="9"/>
      <c r="N354" s="9"/>
      <c r="O354" s="9"/>
    </row>
    <row r="355" spans="1:15">
      <c r="A355" s="6" t="s">
        <v>687</v>
      </c>
      <c r="B355" s="6" t="s">
        <v>1841</v>
      </c>
      <c r="C355" s="6" t="s">
        <v>302</v>
      </c>
      <c r="D355" s="6" t="s">
        <v>303</v>
      </c>
      <c r="E355" s="6" t="s">
        <v>1884</v>
      </c>
      <c r="F355" s="6" t="s">
        <v>1228</v>
      </c>
      <c r="G355" s="6" t="s">
        <v>1228</v>
      </c>
      <c r="H355" s="6" t="s">
        <v>1228</v>
      </c>
      <c r="I355" s="6" t="s">
        <v>1228</v>
      </c>
      <c r="J355" s="6" t="s">
        <v>1228</v>
      </c>
      <c r="K355" s="6" t="s">
        <v>1228</v>
      </c>
      <c r="L355" s="10">
        <f>'Entity Inputs'!EA9</f>
        <v>1075</v>
      </c>
      <c r="M355" s="10">
        <f>'Entity Inputs'!EA15</f>
        <v>1271.7</v>
      </c>
      <c r="N355" s="10">
        <f>'Group Inputs'!DZ9</f>
        <v>2346.7</v>
      </c>
      <c r="O355" s="6" t="s">
        <v>1892</v>
      </c>
    </row>
    <row r="356" spans="1:15">
      <c r="A356" s="11" t="s">
        <v>687</v>
      </c>
      <c r="B356" s="11" t="s">
        <v>1844</v>
      </c>
      <c r="C356" s="11" t="s">
        <v>688</v>
      </c>
      <c r="D356" s="11"/>
      <c r="E356" s="11" t="s">
        <v>561</v>
      </c>
      <c r="F356" s="11" t="s">
        <v>1228</v>
      </c>
      <c r="G356" s="11" t="s">
        <v>1228</v>
      </c>
      <c r="H356" s="11" t="s">
        <v>1228</v>
      </c>
      <c r="I356" s="11" t="s">
        <v>1228</v>
      </c>
      <c r="J356" s="11" t="s">
        <v>1228</v>
      </c>
      <c r="K356" s="11" t="s">
        <v>1228</v>
      </c>
      <c r="L356" s="11">
        <f>'Entity KPIs'!K78</f>
        <v>6.2</v>
      </c>
      <c r="M356" s="11">
        <f>'Entity KPIs'!Q78</f>
        <v>8.0</v>
      </c>
      <c r="N356" s="11">
        <f>'Group KPIs'!K78</f>
        <v>14.21</v>
      </c>
      <c r="O356" s="11" t="s">
        <v>1845</v>
      </c>
    </row>
    <row r="358" spans="1:15">
      <c r="A358" s="9" t="s">
        <v>1936</v>
      </c>
      <c r="B358" s="9"/>
      <c r="C358" s="9"/>
      <c r="D358" s="9"/>
      <c r="E358" s="9"/>
      <c r="F358" s="9"/>
      <c r="G358" s="9"/>
      <c r="H358" s="9"/>
      <c r="I358" s="9"/>
      <c r="J358" s="9"/>
      <c r="K358" s="9"/>
      <c r="L358" s="9"/>
      <c r="M358" s="9"/>
      <c r="N358" s="9"/>
      <c r="O358" s="9"/>
    </row>
    <row r="359" spans="1:15">
      <c r="A359" s="6" t="s">
        <v>690</v>
      </c>
      <c r="B359" s="6" t="s">
        <v>1841</v>
      </c>
      <c r="C359" s="6" t="s">
        <v>304</v>
      </c>
      <c r="D359" s="6" t="s">
        <v>305</v>
      </c>
      <c r="E359" s="6" t="s">
        <v>1884</v>
      </c>
      <c r="F359" s="6" t="s">
        <v>1228</v>
      </c>
      <c r="G359" s="6" t="s">
        <v>1228</v>
      </c>
      <c r="H359" s="6" t="s">
        <v>1228</v>
      </c>
      <c r="I359" s="6" t="s">
        <v>1228</v>
      </c>
      <c r="J359" s="6" t="s">
        <v>1228</v>
      </c>
      <c r="K359" s="6" t="s">
        <v>1228</v>
      </c>
      <c r="L359" s="10">
        <f>'Entity Inputs'!EB9</f>
        <v>391.3</v>
      </c>
      <c r="M359" s="10">
        <f>'Entity Inputs'!EB15</f>
        <v>1040.2</v>
      </c>
      <c r="N359" s="10">
        <f>'Group Inputs'!EA9</f>
        <v>1431.5</v>
      </c>
      <c r="O359" s="6" t="s">
        <v>1892</v>
      </c>
    </row>
    <row r="360" spans="1:15">
      <c r="A360" s="11" t="s">
        <v>690</v>
      </c>
      <c r="B360" s="11" t="s">
        <v>1844</v>
      </c>
      <c r="C360" s="11" t="s">
        <v>691</v>
      </c>
      <c r="D360" s="11"/>
      <c r="E360" s="11" t="s">
        <v>561</v>
      </c>
      <c r="F360" s="11" t="s">
        <v>1228</v>
      </c>
      <c r="G360" s="11" t="s">
        <v>1228</v>
      </c>
      <c r="H360" s="11" t="s">
        <v>1228</v>
      </c>
      <c r="I360" s="11" t="s">
        <v>1228</v>
      </c>
      <c r="J360" s="11" t="s">
        <v>1228</v>
      </c>
      <c r="K360" s="11" t="s">
        <v>1228</v>
      </c>
      <c r="L360" s="11">
        <f>'Entity KPIs'!K79</f>
        <v>2.37</v>
      </c>
      <c r="M360" s="11">
        <f>'Entity KPIs'!Q79</f>
        <v>6.34</v>
      </c>
      <c r="N360" s="11">
        <f>'Group KPIs'!K79</f>
        <v>8.71</v>
      </c>
      <c r="O360" s="11" t="s">
        <v>1845</v>
      </c>
    </row>
    <row r="362" spans="1:15">
      <c r="A362" s="9" t="s">
        <v>1937</v>
      </c>
      <c r="B362" s="9"/>
      <c r="C362" s="9"/>
      <c r="D362" s="9"/>
      <c r="E362" s="9"/>
      <c r="F362" s="9"/>
      <c r="G362" s="9"/>
      <c r="H362" s="9"/>
      <c r="I362" s="9"/>
      <c r="J362" s="9"/>
      <c r="K362" s="9"/>
      <c r="L362" s="9"/>
      <c r="M362" s="9"/>
      <c r="N362" s="9"/>
      <c r="O362" s="9"/>
    </row>
    <row r="363" spans="1:15">
      <c r="A363" s="6" t="s">
        <v>693</v>
      </c>
      <c r="B363" s="6" t="s">
        <v>1841</v>
      </c>
      <c r="C363" s="6" t="s">
        <v>306</v>
      </c>
      <c r="D363" s="6" t="s">
        <v>307</v>
      </c>
      <c r="E363" s="6" t="s">
        <v>1884</v>
      </c>
      <c r="F363" s="6" t="s">
        <v>1228</v>
      </c>
      <c r="G363" s="6" t="s">
        <v>1228</v>
      </c>
      <c r="H363" s="6" t="s">
        <v>1228</v>
      </c>
      <c r="I363" s="6" t="s">
        <v>1228</v>
      </c>
      <c r="J363" s="6" t="s">
        <v>1228</v>
      </c>
      <c r="K363" s="6" t="s">
        <v>1228</v>
      </c>
      <c r="L363" s="10">
        <f>'Entity Inputs'!EC9</f>
        <v>648.2</v>
      </c>
      <c r="M363" s="10">
        <f>'Entity Inputs'!EC15</f>
        <v>1241.7</v>
      </c>
      <c r="N363" s="10">
        <f>'Group Inputs'!EB9</f>
        <v>1889.9</v>
      </c>
      <c r="O363" s="6" t="s">
        <v>1892</v>
      </c>
    </row>
    <row r="364" spans="1:15">
      <c r="A364" s="11" t="s">
        <v>693</v>
      </c>
      <c r="B364" s="11" t="s">
        <v>1844</v>
      </c>
      <c r="C364" s="11" t="s">
        <v>694</v>
      </c>
      <c r="D364" s="11"/>
      <c r="E364" s="11" t="s">
        <v>561</v>
      </c>
      <c r="F364" s="11" t="s">
        <v>1228</v>
      </c>
      <c r="G364" s="11" t="s">
        <v>1228</v>
      </c>
      <c r="H364" s="11" t="s">
        <v>1228</v>
      </c>
      <c r="I364" s="11" t="s">
        <v>1228</v>
      </c>
      <c r="J364" s="11" t="s">
        <v>1228</v>
      </c>
      <c r="K364" s="11" t="s">
        <v>1228</v>
      </c>
      <c r="L364" s="11">
        <f>'Entity KPIs'!K80</f>
        <v>3.89</v>
      </c>
      <c r="M364" s="11">
        <f>'Entity KPIs'!Q80</f>
        <v>7.35</v>
      </c>
      <c r="N364" s="11">
        <f>'Group KPIs'!K80</f>
        <v>11.25</v>
      </c>
      <c r="O364" s="11" t="s">
        <v>1845</v>
      </c>
    </row>
    <row r="366" spans="1:15">
      <c r="A366" s="9" t="s">
        <v>1938</v>
      </c>
      <c r="B366" s="9"/>
      <c r="C366" s="9"/>
      <c r="D366" s="9"/>
      <c r="E366" s="9"/>
      <c r="F366" s="9"/>
      <c r="G366" s="9"/>
      <c r="H366" s="9"/>
      <c r="I366" s="9"/>
      <c r="J366" s="9"/>
      <c r="K366" s="9"/>
      <c r="L366" s="9"/>
      <c r="M366" s="9"/>
      <c r="N366" s="9"/>
      <c r="O366" s="9"/>
    </row>
    <row r="367" spans="1:15">
      <c r="A367" s="6" t="s">
        <v>696</v>
      </c>
      <c r="B367" s="6" t="s">
        <v>1841</v>
      </c>
      <c r="C367" s="6" t="s">
        <v>127</v>
      </c>
      <c r="D367" s="6" t="s">
        <v>128</v>
      </c>
      <c r="E367" s="6" t="s">
        <v>1842</v>
      </c>
      <c r="F367" s="10">
        <f>'Plant Inputs'!BB9</f>
        <v>151</v>
      </c>
      <c r="G367" s="10">
        <f>'Plant Inputs'!BB15</f>
        <v>173</v>
      </c>
      <c r="H367" s="10">
        <f>'Plant Inputs'!BB21</f>
        <v>290</v>
      </c>
      <c r="I367" s="10">
        <f>'Plant Inputs'!BB27</f>
        <v>290</v>
      </c>
      <c r="J367" s="10">
        <f>'Plant Inputs'!BB33</f>
        <v>284</v>
      </c>
      <c r="K367" s="10">
        <f>'Plant Inputs'!BB39</f>
        <v>151</v>
      </c>
      <c r="L367" s="10">
        <f>'Entity Inputs'!AZ9</f>
        <v>614.0</v>
      </c>
      <c r="M367" s="10">
        <f>'Entity Inputs'!AZ15</f>
        <v>725.0</v>
      </c>
      <c r="N367" s="10">
        <f>'Group Inputs'!AY9</f>
        <v>1339.0</v>
      </c>
      <c r="O367" s="6" t="s">
        <v>1843</v>
      </c>
    </row>
    <row r="368" spans="1:15">
      <c r="A368" s="6" t="s">
        <v>696</v>
      </c>
      <c r="B368" s="6" t="s">
        <v>1841</v>
      </c>
      <c r="C368" s="6" t="s">
        <v>129</v>
      </c>
      <c r="D368" s="6" t="s">
        <v>130</v>
      </c>
      <c r="E368" s="6" t="s">
        <v>1842</v>
      </c>
      <c r="F368" s="10">
        <f>'Plant Inputs'!BC9</f>
        <v>140</v>
      </c>
      <c r="G368" s="10">
        <f>'Plant Inputs'!BC15</f>
        <v>147</v>
      </c>
      <c r="H368" s="10">
        <f>'Plant Inputs'!BC21</f>
        <v>268</v>
      </c>
      <c r="I368" s="10">
        <f>'Plant Inputs'!BC27</f>
        <v>271</v>
      </c>
      <c r="J368" s="10">
        <f>'Plant Inputs'!BC33</f>
        <v>261</v>
      </c>
      <c r="K368" s="10">
        <f>'Plant Inputs'!BC39</f>
        <v>137</v>
      </c>
      <c r="L368" s="10">
        <f>'Entity Inputs'!BA9</f>
        <v>555.0</v>
      </c>
      <c r="M368" s="10">
        <f>'Entity Inputs'!BA15</f>
        <v>669.0</v>
      </c>
      <c r="N368" s="10">
        <f>'Group Inputs'!AZ9</f>
        <v>1224.0</v>
      </c>
      <c r="O368" s="6" t="s">
        <v>1843</v>
      </c>
    </row>
    <row r="369" spans="1:15">
      <c r="A369" s="11" t="s">
        <v>696</v>
      </c>
      <c r="B369" s="11" t="s">
        <v>1844</v>
      </c>
      <c r="C369" s="11" t="s">
        <v>697</v>
      </c>
      <c r="D369" s="11"/>
      <c r="E369" s="11" t="s">
        <v>25</v>
      </c>
      <c r="F369" s="11">
        <f>'Plant KPIs'!K39</f>
        <v>92.72</v>
      </c>
      <c r="G369" s="11">
        <f>'Plant KPIs'!Q39</f>
        <v>84.97</v>
      </c>
      <c r="H369" s="11">
        <f>'Plant KPIs'!W39</f>
        <v>92.41</v>
      </c>
      <c r="I369" s="11">
        <f>'Plant KPIs'!AC39</f>
        <v>93.45</v>
      </c>
      <c r="J369" s="11">
        <f>'Plant KPIs'!AI39</f>
        <v>91.9</v>
      </c>
      <c r="K369" s="11">
        <f>'Plant KPIs'!AO39</f>
        <v>90.73</v>
      </c>
      <c r="L369" s="11">
        <f>'Entity KPIs'!K81</f>
        <v>90.39</v>
      </c>
      <c r="M369" s="11">
        <f>'Entity KPIs'!Q81</f>
        <v>92.28</v>
      </c>
      <c r="N369" s="11">
        <f>'Group KPIs'!K81</f>
        <v>91.41</v>
      </c>
      <c r="O369" s="11" t="s">
        <v>1845</v>
      </c>
    </row>
    <row r="371" spans="1:15">
      <c r="A371" s="9" t="s">
        <v>1939</v>
      </c>
      <c r="B371" s="9"/>
      <c r="C371" s="9"/>
      <c r="D371" s="9"/>
      <c r="E371" s="9"/>
      <c r="F371" s="9"/>
      <c r="G371" s="9"/>
      <c r="H371" s="9"/>
      <c r="I371" s="9"/>
      <c r="J371" s="9"/>
      <c r="K371" s="9"/>
      <c r="L371" s="9"/>
      <c r="M371" s="9"/>
      <c r="N371" s="9"/>
      <c r="O371" s="9"/>
    </row>
    <row r="372" spans="1:15">
      <c r="A372" s="6" t="s">
        <v>699</v>
      </c>
      <c r="B372" s="6" t="s">
        <v>1841</v>
      </c>
      <c r="C372" s="6" t="s">
        <v>131</v>
      </c>
      <c r="D372" s="6" t="s">
        <v>132</v>
      </c>
      <c r="E372" s="6" t="s">
        <v>1842</v>
      </c>
      <c r="F372" s="10">
        <f>'Plant Inputs'!BD9</f>
        <v>89804</v>
      </c>
      <c r="G372" s="10">
        <f>'Plant Inputs'!BD15</f>
        <v>103840</v>
      </c>
      <c r="H372" s="10">
        <f>'Plant Inputs'!BD21</f>
        <v>150109</v>
      </c>
      <c r="I372" s="10">
        <f>'Plant Inputs'!BD27</f>
        <v>90306</v>
      </c>
      <c r="J372" s="10">
        <f>'Plant Inputs'!BD33</f>
        <v>138360</v>
      </c>
      <c r="K372" s="10">
        <f>'Plant Inputs'!BD39</f>
        <v>100510</v>
      </c>
      <c r="L372" s="10">
        <f>'Entity Inputs'!BB9</f>
        <v>343753.0</v>
      </c>
      <c r="M372" s="10">
        <f>'Entity Inputs'!BB15</f>
        <v>329176.0</v>
      </c>
      <c r="N372" s="10">
        <f>'Group Inputs'!BA9</f>
        <v>672929.0</v>
      </c>
      <c r="O372" s="6" t="s">
        <v>1843</v>
      </c>
    </row>
    <row r="373" spans="1:15">
      <c r="A373" s="6" t="s">
        <v>699</v>
      </c>
      <c r="B373" s="6" t="s">
        <v>1841</v>
      </c>
      <c r="C373" s="6" t="s">
        <v>133</v>
      </c>
      <c r="D373" s="6" t="s">
        <v>134</v>
      </c>
      <c r="E373" s="6" t="s">
        <v>1842</v>
      </c>
      <c r="F373" s="10">
        <f>'Plant Inputs'!BE9</f>
        <v>86335</v>
      </c>
      <c r="G373" s="10">
        <f>'Plant Inputs'!BE15</f>
        <v>101122</v>
      </c>
      <c r="H373" s="10">
        <f>'Plant Inputs'!BE21</f>
        <v>146024</v>
      </c>
      <c r="I373" s="10">
        <f>'Plant Inputs'!BE27</f>
        <v>85528</v>
      </c>
      <c r="J373" s="10">
        <f>'Plant Inputs'!BE33</f>
        <v>136947</v>
      </c>
      <c r="K373" s="10">
        <f>'Plant Inputs'!BE39</f>
        <v>95543</v>
      </c>
      <c r="L373" s="10">
        <f>'Entity Inputs'!BC9</f>
        <v>333481.0</v>
      </c>
      <c r="M373" s="10">
        <f>'Entity Inputs'!BC15</f>
        <v>318018.0</v>
      </c>
      <c r="N373" s="10">
        <f>'Group Inputs'!BB9</f>
        <v>651499.0</v>
      </c>
      <c r="O373" s="6" t="s">
        <v>1843</v>
      </c>
    </row>
    <row r="374" spans="1:15">
      <c r="A374" s="11" t="s">
        <v>699</v>
      </c>
      <c r="B374" s="11" t="s">
        <v>1844</v>
      </c>
      <c r="C374" s="11" t="s">
        <v>700</v>
      </c>
      <c r="D374" s="11"/>
      <c r="E374" s="11" t="s">
        <v>25</v>
      </c>
      <c r="F374" s="11">
        <f>'Plant KPIs'!K40</f>
        <v>96.14</v>
      </c>
      <c r="G374" s="11">
        <f>'Plant KPIs'!Q40</f>
        <v>97.38</v>
      </c>
      <c r="H374" s="11">
        <f>'Plant KPIs'!W40</f>
        <v>97.28</v>
      </c>
      <c r="I374" s="11">
        <f>'Plant KPIs'!AC40</f>
        <v>94.71</v>
      </c>
      <c r="J374" s="11">
        <f>'Plant KPIs'!AI40</f>
        <v>98.98</v>
      </c>
      <c r="K374" s="11">
        <f>'Plant KPIs'!AO40</f>
        <v>95.06</v>
      </c>
      <c r="L374" s="11">
        <f>'Entity KPIs'!K82</f>
        <v>97.01</v>
      </c>
      <c r="M374" s="11">
        <f>'Entity KPIs'!Q82</f>
        <v>96.61</v>
      </c>
      <c r="N374" s="11">
        <f>'Group KPIs'!K82</f>
        <v>96.82</v>
      </c>
      <c r="O374" s="11" t="s">
        <v>1845</v>
      </c>
    </row>
    <row r="376" spans="1:15">
      <c r="A376" s="9" t="s">
        <v>1940</v>
      </c>
      <c r="B376" s="9"/>
      <c r="C376" s="9"/>
      <c r="D376" s="9"/>
      <c r="E376" s="9"/>
      <c r="F376" s="9"/>
      <c r="G376" s="9"/>
      <c r="H376" s="9"/>
      <c r="I376" s="9"/>
      <c r="J376" s="9"/>
      <c r="K376" s="9"/>
      <c r="L376" s="9"/>
      <c r="M376" s="9"/>
      <c r="N376" s="9"/>
      <c r="O376" s="9"/>
    </row>
    <row r="377" spans="1:15">
      <c r="A377" s="6" t="s">
        <v>702</v>
      </c>
      <c r="B377" s="6" t="s">
        <v>1841</v>
      </c>
      <c r="C377" s="6" t="s">
        <v>133</v>
      </c>
      <c r="D377" s="6" t="s">
        <v>134</v>
      </c>
      <c r="E377" s="6" t="s">
        <v>1842</v>
      </c>
      <c r="F377" s="10">
        <f>'Plant Inputs'!BE9</f>
        <v>86335</v>
      </c>
      <c r="G377" s="10">
        <f>'Plant Inputs'!BE15</f>
        <v>101122</v>
      </c>
      <c r="H377" s="10">
        <f>'Plant Inputs'!BE21</f>
        <v>146024</v>
      </c>
      <c r="I377" s="10">
        <f>'Plant Inputs'!BE27</f>
        <v>85528</v>
      </c>
      <c r="J377" s="10">
        <f>'Plant Inputs'!BE33</f>
        <v>136947</v>
      </c>
      <c r="K377" s="10">
        <f>'Plant Inputs'!BE39</f>
        <v>95543</v>
      </c>
      <c r="L377" s="10">
        <f>'Entity Inputs'!BC9</f>
        <v>333481.0</v>
      </c>
      <c r="M377" s="10">
        <f>'Entity Inputs'!BC15</f>
        <v>318018.0</v>
      </c>
      <c r="N377" s="10">
        <f>'Group Inputs'!BB9</f>
        <v>651499.0</v>
      </c>
      <c r="O377" s="6" t="s">
        <v>1843</v>
      </c>
    </row>
    <row r="378" spans="1:15">
      <c r="A378" s="6" t="s">
        <v>702</v>
      </c>
      <c r="B378" s="6" t="s">
        <v>1841</v>
      </c>
      <c r="C378" s="6" t="s">
        <v>135</v>
      </c>
      <c r="D378" s="6" t="s">
        <v>136</v>
      </c>
      <c r="E378" s="6" t="s">
        <v>1842</v>
      </c>
      <c r="F378" s="10">
        <f>'Plant Inputs'!BF9</f>
        <v>1211</v>
      </c>
      <c r="G378" s="10">
        <f>'Plant Inputs'!BF15</f>
        <v>1125</v>
      </c>
      <c r="H378" s="10">
        <f>'Plant Inputs'!BF21</f>
        <v>907</v>
      </c>
      <c r="I378" s="10">
        <f>'Plant Inputs'!BF27</f>
        <v>1378</v>
      </c>
      <c r="J378" s="10">
        <f>'Plant Inputs'!BF33</f>
        <v>1389</v>
      </c>
      <c r="K378" s="10">
        <f>'Plant Inputs'!BF39</f>
        <v>1310</v>
      </c>
      <c r="L378" s="10">
        <f>'Entity Inputs'!BD9</f>
        <v>3243.0</v>
      </c>
      <c r="M378" s="10">
        <f>'Entity Inputs'!BD15</f>
        <v>4077.0</v>
      </c>
      <c r="N378" s="10">
        <f>'Group Inputs'!BC9</f>
        <v>7320.0</v>
      </c>
      <c r="O378" s="6" t="s">
        <v>1843</v>
      </c>
    </row>
    <row r="379" spans="1:15">
      <c r="A379" s="11" t="s">
        <v>702</v>
      </c>
      <c r="B379" s="11" t="s">
        <v>1844</v>
      </c>
      <c r="C379" s="11" t="s">
        <v>703</v>
      </c>
      <c r="D379" s="11"/>
      <c r="E379" s="11" t="s">
        <v>25</v>
      </c>
      <c r="F379" s="11">
        <f>'Plant KPIs'!K41</f>
        <v>1.4</v>
      </c>
      <c r="G379" s="11">
        <f>'Plant KPIs'!Q41</f>
        <v>1.11</v>
      </c>
      <c r="H379" s="11">
        <f>'Plant KPIs'!W41</f>
        <v>0.62</v>
      </c>
      <c r="I379" s="11">
        <f>'Plant KPIs'!AC41</f>
        <v>1.61</v>
      </c>
      <c r="J379" s="11">
        <f>'Plant KPIs'!AI41</f>
        <v>1.01</v>
      </c>
      <c r="K379" s="11">
        <f>'Plant KPIs'!AO41</f>
        <v>1.37</v>
      </c>
      <c r="L379" s="11">
        <f>'Entity KPIs'!K83</f>
        <v>0.97</v>
      </c>
      <c r="M379" s="11">
        <f>'Entity KPIs'!Q83</f>
        <v>1.28</v>
      </c>
      <c r="N379" s="11">
        <f>'Group KPIs'!K83</f>
        <v>1.12</v>
      </c>
      <c r="O379" s="11" t="s">
        <v>1845</v>
      </c>
    </row>
    <row r="381" spans="1:15">
      <c r="A381" s="9" t="s">
        <v>1941</v>
      </c>
      <c r="B381" s="9"/>
      <c r="C381" s="9"/>
      <c r="D381" s="9"/>
      <c r="E381" s="9"/>
      <c r="F381" s="9"/>
      <c r="G381" s="9"/>
      <c r="H381" s="9"/>
      <c r="I381" s="9"/>
      <c r="J381" s="9"/>
      <c r="K381" s="9"/>
      <c r="L381" s="9"/>
      <c r="M381" s="9"/>
      <c r="N381" s="9"/>
      <c r="O381" s="9"/>
    </row>
    <row r="382" spans="1:15">
      <c r="A382" s="6" t="s">
        <v>705</v>
      </c>
      <c r="B382" s="6" t="s">
        <v>1841</v>
      </c>
      <c r="C382" s="6" t="s">
        <v>137</v>
      </c>
      <c r="D382" s="6" t="s">
        <v>138</v>
      </c>
      <c r="E382" s="6" t="s">
        <v>1842</v>
      </c>
      <c r="F382" s="10">
        <f>'Plant Inputs'!BG9</f>
        <v>644</v>
      </c>
      <c r="G382" s="10">
        <f>'Plant Inputs'!BG15</f>
        <v>658</v>
      </c>
      <c r="H382" s="10">
        <f>'Plant Inputs'!BG21</f>
        <v>1232</v>
      </c>
      <c r="I382" s="10">
        <f>'Plant Inputs'!BG27</f>
        <v>1148</v>
      </c>
      <c r="J382" s="10">
        <f>'Plant Inputs'!BG33</f>
        <v>868</v>
      </c>
      <c r="K382" s="10">
        <f>'Plant Inputs'!BG39</f>
        <v>616</v>
      </c>
      <c r="L382" s="10">
        <f>'Entity Inputs'!BE9</f>
        <v>2534.0</v>
      </c>
      <c r="M382" s="10">
        <f>'Entity Inputs'!BE15</f>
        <v>2632.0</v>
      </c>
      <c r="N382" s="10">
        <f>'Group Inputs'!BD9</f>
        <v>5166.0</v>
      </c>
      <c r="O382" s="6" t="s">
        <v>1843</v>
      </c>
    </row>
    <row r="383" spans="1:15">
      <c r="A383" s="6" t="s">
        <v>705</v>
      </c>
      <c r="B383" s="6" t="s">
        <v>1841</v>
      </c>
      <c r="C383" s="6" t="s">
        <v>139</v>
      </c>
      <c r="D383" s="6" t="s">
        <v>140</v>
      </c>
      <c r="E383" s="6" t="s">
        <v>1842</v>
      </c>
      <c r="F383" s="10">
        <f>'Plant Inputs'!BH9</f>
        <v>676</v>
      </c>
      <c r="G383" s="10">
        <f>'Plant Inputs'!BH15</f>
        <v>772</v>
      </c>
      <c r="H383" s="10">
        <f>'Plant Inputs'!BH21</f>
        <v>1261</v>
      </c>
      <c r="I383" s="10">
        <f>'Plant Inputs'!BH27</f>
        <v>1193</v>
      </c>
      <c r="J383" s="10">
        <f>'Plant Inputs'!BH33</f>
        <v>926</v>
      </c>
      <c r="K383" s="10">
        <f>'Plant Inputs'!BH39</f>
        <v>609</v>
      </c>
      <c r="L383" s="10">
        <f>'Entity Inputs'!BF9</f>
        <v>2709.0</v>
      </c>
      <c r="M383" s="10">
        <f>'Entity Inputs'!BF15</f>
        <v>2728.0</v>
      </c>
      <c r="N383" s="10">
        <f>'Group Inputs'!BE9</f>
        <v>5437.0</v>
      </c>
      <c r="O383" s="6" t="s">
        <v>1843</v>
      </c>
    </row>
    <row r="384" spans="1:15">
      <c r="A384" s="11" t="s">
        <v>705</v>
      </c>
      <c r="B384" s="11" t="s">
        <v>1844</v>
      </c>
      <c r="C384" s="11" t="s">
        <v>706</v>
      </c>
      <c r="D384" s="11"/>
      <c r="E384" s="11" t="s">
        <v>25</v>
      </c>
      <c r="F384" s="11">
        <f>'Plant KPIs'!K42</f>
        <v>4.97</v>
      </c>
      <c r="G384" s="11">
        <f>'Plant KPIs'!Q42</f>
        <v>17.33</v>
      </c>
      <c r="H384" s="11">
        <f>'Plant KPIs'!W42</f>
        <v>2.35</v>
      </c>
      <c r="I384" s="11">
        <f>'Plant KPIs'!AC42</f>
        <v>3.92</v>
      </c>
      <c r="J384" s="11">
        <f>'Plant KPIs'!AI42</f>
        <v>6.68</v>
      </c>
      <c r="K384" s="11">
        <f>'Plant KPIs'!AO42</f>
        <v>-1.14</v>
      </c>
      <c r="L384" s="11">
        <f>'Entity KPIs'!K84</f>
        <v>6.91</v>
      </c>
      <c r="M384" s="11">
        <f>'Entity KPIs'!Q84</f>
        <v>3.65</v>
      </c>
      <c r="N384" s="11">
        <f>'Group KPIs'!K84</f>
        <v>5.25</v>
      </c>
      <c r="O384" s="11" t="s">
        <v>1845</v>
      </c>
    </row>
    <row r="386" spans="1:15">
      <c r="A386" s="9" t="s">
        <v>1942</v>
      </c>
      <c r="B386" s="9"/>
      <c r="C386" s="9"/>
      <c r="D386" s="9"/>
      <c r="E386" s="9"/>
      <c r="F386" s="9"/>
      <c r="G386" s="9"/>
      <c r="H386" s="9"/>
      <c r="I386" s="9"/>
      <c r="J386" s="9"/>
      <c r="K386" s="9"/>
      <c r="L386" s="9"/>
      <c r="M386" s="9"/>
      <c r="N386" s="9"/>
      <c r="O386" s="9"/>
    </row>
    <row r="387" spans="1:15">
      <c r="A387" s="6" t="s">
        <v>708</v>
      </c>
      <c r="B387" s="6" t="s">
        <v>1841</v>
      </c>
      <c r="C387" s="6" t="s">
        <v>316</v>
      </c>
      <c r="D387" s="6" t="s">
        <v>317</v>
      </c>
      <c r="E387" s="6" t="s">
        <v>1842</v>
      </c>
      <c r="F387" s="6" t="s">
        <v>1228</v>
      </c>
      <c r="G387" s="6" t="s">
        <v>1228</v>
      </c>
      <c r="H387" s="6" t="s">
        <v>1228</v>
      </c>
      <c r="I387" s="6" t="s">
        <v>1228</v>
      </c>
      <c r="J387" s="6" t="s">
        <v>1228</v>
      </c>
      <c r="K387" s="6" t="s">
        <v>1228</v>
      </c>
      <c r="L387" s="10">
        <f>'Entity Inputs'!EH9</f>
        <v>2</v>
      </c>
      <c r="M387" s="10">
        <f>'Entity Inputs'!EH15</f>
        <v>1</v>
      </c>
      <c r="N387" s="10">
        <f>'Group Inputs'!EG9</f>
        <v>3.0</v>
      </c>
      <c r="O387" s="6" t="s">
        <v>1892</v>
      </c>
    </row>
    <row r="388" spans="1:15">
      <c r="A388" s="11" t="s">
        <v>708</v>
      </c>
      <c r="B388" s="11" t="s">
        <v>1844</v>
      </c>
      <c r="C388" s="11" t="s">
        <v>709</v>
      </c>
      <c r="D388" s="11"/>
      <c r="E388" s="11" t="s">
        <v>577</v>
      </c>
      <c r="F388" s="11" t="s">
        <v>1228</v>
      </c>
      <c r="G388" s="11" t="s">
        <v>1228</v>
      </c>
      <c r="H388" s="11" t="s">
        <v>1228</v>
      </c>
      <c r="I388" s="11" t="s">
        <v>1228</v>
      </c>
      <c r="J388" s="11" t="s">
        <v>1228</v>
      </c>
      <c r="K388" s="11" t="s">
        <v>1228</v>
      </c>
      <c r="L388" s="11">
        <f>'Entity KPIs'!K85</f>
        <v>2.0</v>
      </c>
      <c r="M388" s="11">
        <f>'Entity KPIs'!Q85</f>
        <v>1.0</v>
      </c>
      <c r="N388" s="11">
        <f>'Group KPIs'!K85</f>
        <v>3.0</v>
      </c>
      <c r="O388" s="11" t="s">
        <v>1845</v>
      </c>
    </row>
    <row r="390" spans="1:15">
      <c r="A390" s="9" t="s">
        <v>1943</v>
      </c>
      <c r="B390" s="9"/>
      <c r="C390" s="9"/>
      <c r="D390" s="9"/>
      <c r="E390" s="9"/>
      <c r="F390" s="9"/>
      <c r="G390" s="9"/>
      <c r="H390" s="9"/>
      <c r="I390" s="9"/>
      <c r="J390" s="9"/>
      <c r="K390" s="9"/>
      <c r="L390" s="9"/>
      <c r="M390" s="9"/>
      <c r="N390" s="9"/>
      <c r="O390" s="9"/>
    </row>
    <row r="391" spans="1:15">
      <c r="A391" s="6" t="s">
        <v>711</v>
      </c>
      <c r="B391" s="6" t="s">
        <v>1841</v>
      </c>
      <c r="C391" s="6" t="s">
        <v>141</v>
      </c>
      <c r="D391" s="6" t="s">
        <v>142</v>
      </c>
      <c r="E391" s="6" t="s">
        <v>1842</v>
      </c>
      <c r="F391" s="10">
        <f>'Plant Inputs'!BI9</f>
        <v>116619.5</v>
      </c>
      <c r="G391" s="10">
        <f>'Plant Inputs'!BI15</f>
        <v>171707.4</v>
      </c>
      <c r="H391" s="10">
        <f>'Plant Inputs'!BI21</f>
        <v>209913.3</v>
      </c>
      <c r="I391" s="10">
        <f>'Plant Inputs'!BI27</f>
        <v>145373</v>
      </c>
      <c r="J391" s="10">
        <f>'Plant Inputs'!BI33</f>
        <v>229069.1</v>
      </c>
      <c r="K391" s="10">
        <f>'Plant Inputs'!BI39</f>
        <v>146401.1</v>
      </c>
      <c r="L391" s="10">
        <f>'Entity Inputs'!BG9</f>
        <v>498240.2</v>
      </c>
      <c r="M391" s="10">
        <f>'Entity Inputs'!BG15</f>
        <v>520843.19999999995</v>
      </c>
      <c r="N391" s="10">
        <f>'Group Inputs'!BF9</f>
        <v>1019083.3999999999</v>
      </c>
      <c r="O391" s="6" t="s">
        <v>1843</v>
      </c>
    </row>
    <row r="392" spans="1:15">
      <c r="A392" s="6" t="s">
        <v>711</v>
      </c>
      <c r="B392" s="6" t="s">
        <v>1841</v>
      </c>
      <c r="C392" s="6" t="s">
        <v>143</v>
      </c>
      <c r="D392" s="6" t="s">
        <v>144</v>
      </c>
      <c r="E392" s="6" t="s">
        <v>1842</v>
      </c>
      <c r="F392" s="10">
        <f>'Plant Inputs'!BJ9</f>
        <v>35125</v>
      </c>
      <c r="G392" s="10">
        <f>'Plant Inputs'!BJ15</f>
        <v>73868.5</v>
      </c>
      <c r="H392" s="10">
        <f>'Plant Inputs'!BJ21</f>
        <v>64451.6</v>
      </c>
      <c r="I392" s="10">
        <f>'Plant Inputs'!BJ27</f>
        <v>45358</v>
      </c>
      <c r="J392" s="10">
        <f>'Plant Inputs'!BJ33</f>
        <v>81412.2</v>
      </c>
      <c r="K392" s="10">
        <f>'Plant Inputs'!BJ39</f>
        <v>58367</v>
      </c>
      <c r="L392" s="10">
        <f>'Entity Inputs'!BH9</f>
        <v>173445.1</v>
      </c>
      <c r="M392" s="10">
        <f>'Entity Inputs'!BH15</f>
        <v>185137.2</v>
      </c>
      <c r="N392" s="10">
        <f>'Group Inputs'!BG9</f>
        <v>358582.30000000005</v>
      </c>
      <c r="O392" s="6" t="s">
        <v>1843</v>
      </c>
    </row>
    <row r="393" spans="1:15">
      <c r="A393" s="11" t="s">
        <v>711</v>
      </c>
      <c r="B393" s="11" t="s">
        <v>1844</v>
      </c>
      <c r="C393" s="11" t="s">
        <v>712</v>
      </c>
      <c r="D393" s="11"/>
      <c r="E393" s="11" t="s">
        <v>25</v>
      </c>
      <c r="F393" s="11">
        <f>'Plant KPIs'!K43</f>
        <v>30.12</v>
      </c>
      <c r="G393" s="11">
        <f>'Plant KPIs'!Q43</f>
        <v>43.02</v>
      </c>
      <c r="H393" s="11">
        <f>'Plant KPIs'!W43</f>
        <v>30.7</v>
      </c>
      <c r="I393" s="11">
        <f>'Plant KPIs'!AC43</f>
        <v>31.2</v>
      </c>
      <c r="J393" s="11">
        <f>'Plant KPIs'!AI43</f>
        <v>35.54</v>
      </c>
      <c r="K393" s="11">
        <f>'Plant KPIs'!AO43</f>
        <v>39.87</v>
      </c>
      <c r="L393" s="11">
        <f>'Entity KPIs'!K86</f>
        <v>34.81</v>
      </c>
      <c r="M393" s="11">
        <f>'Entity KPIs'!Q86</f>
        <v>35.55</v>
      </c>
      <c r="N393" s="11">
        <f>'Group KPIs'!K86</f>
        <v>35.19</v>
      </c>
      <c r="O393" s="11" t="s">
        <v>1845</v>
      </c>
    </row>
    <row r="395" spans="1:15">
      <c r="A395" s="9" t="s">
        <v>1944</v>
      </c>
      <c r="B395" s="9"/>
      <c r="C395" s="9"/>
      <c r="D395" s="9"/>
      <c r="E395" s="9"/>
      <c r="F395" s="9"/>
      <c r="G395" s="9"/>
      <c r="H395" s="9"/>
      <c r="I395" s="9"/>
      <c r="J395" s="9"/>
      <c r="K395" s="9"/>
      <c r="L395" s="9"/>
      <c r="M395" s="9"/>
      <c r="N395" s="9"/>
      <c r="O395" s="9"/>
    </row>
    <row r="396" spans="1:15">
      <c r="A396" s="6" t="s">
        <v>714</v>
      </c>
      <c r="B396" s="6" t="s">
        <v>1841</v>
      </c>
      <c r="C396" s="6" t="s">
        <v>145</v>
      </c>
      <c r="D396" s="6" t="s">
        <v>146</v>
      </c>
      <c r="E396" s="6" t="s">
        <v>1884</v>
      </c>
      <c r="F396" s="10">
        <f>'Plant Inputs'!BK9</f>
        <v>1</v>
      </c>
      <c r="G396" s="10">
        <f>'Plant Inputs'!BK15</f>
        <v>0</v>
      </c>
      <c r="H396" s="10">
        <f>'Plant Inputs'!BK21</f>
        <v>0</v>
      </c>
      <c r="I396" s="10">
        <f>'Plant Inputs'!BK27</f>
        <v>0</v>
      </c>
      <c r="J396" s="10">
        <f>'Plant Inputs'!BK33</f>
        <v>1</v>
      </c>
      <c r="K396" s="10">
        <f>'Plant Inputs'!BK39</f>
        <v>0</v>
      </c>
      <c r="L396" s="10">
        <f>'Entity Inputs'!BI9</f>
        <v>1.0</v>
      </c>
      <c r="M396" s="10">
        <f>'Entity Inputs'!BI15</f>
        <v>1.0</v>
      </c>
      <c r="N396" s="10">
        <f>'Group Inputs'!BH9</f>
        <v>2.0</v>
      </c>
      <c r="O396" s="6" t="s">
        <v>1843</v>
      </c>
    </row>
    <row r="397" spans="1:15">
      <c r="A397" s="11" t="s">
        <v>714</v>
      </c>
      <c r="B397" s="11" t="s">
        <v>1844</v>
      </c>
      <c r="C397" s="11" t="s">
        <v>715</v>
      </c>
      <c r="D397" s="11"/>
      <c r="E397" s="11" t="s">
        <v>561</v>
      </c>
      <c r="F397" s="11">
        <f>'Plant KPIs'!K44</f>
        <v>2.0</v>
      </c>
      <c r="G397" s="11">
        <f>'Plant KPIs'!Q44</f>
        <v>0.0</v>
      </c>
      <c r="H397" s="11">
        <f>'Plant KPIs'!W44</f>
        <v>0.0</v>
      </c>
      <c r="I397" s="11">
        <f>'Plant KPIs'!AC44</f>
        <v>0.0</v>
      </c>
      <c r="J397" s="11">
        <f>'Plant KPIs'!AI44</f>
        <v>1.0</v>
      </c>
      <c r="K397" s="11">
        <f>'Plant KPIs'!AO44</f>
        <v>0.0</v>
      </c>
      <c r="L397" s="11">
        <f>'Entity KPIs'!K87</f>
        <v>2.0</v>
      </c>
      <c r="M397" s="11">
        <f>'Entity KPIs'!Q87</f>
        <v>1.0</v>
      </c>
      <c r="N397" s="11">
        <f>'Group KPIs'!K87</f>
        <v>3.0</v>
      </c>
      <c r="O397" s="11" t="s">
        <v>1845</v>
      </c>
    </row>
    <row r="399" spans="1:15">
      <c r="A399" s="9" t="s">
        <v>1945</v>
      </c>
      <c r="B399" s="9"/>
      <c r="C399" s="9"/>
      <c r="D399" s="9"/>
      <c r="E399" s="9"/>
      <c r="F399" s="9"/>
      <c r="G399" s="9"/>
      <c r="H399" s="9"/>
      <c r="I399" s="9"/>
      <c r="J399" s="9"/>
      <c r="K399" s="9"/>
      <c r="L399" s="9"/>
      <c r="M399" s="9"/>
      <c r="N399" s="9"/>
      <c r="O399" s="9"/>
    </row>
    <row r="400" spans="1:15">
      <c r="A400" s="6" t="s">
        <v>717</v>
      </c>
      <c r="B400" s="6" t="s">
        <v>1841</v>
      </c>
      <c r="C400" s="6" t="s">
        <v>312</v>
      </c>
      <c r="D400" s="6" t="s">
        <v>313</v>
      </c>
      <c r="E400" s="6" t="s">
        <v>1842</v>
      </c>
      <c r="F400" s="6" t="s">
        <v>1228</v>
      </c>
      <c r="G400" s="6" t="s">
        <v>1228</v>
      </c>
      <c r="H400" s="6" t="s">
        <v>1228</v>
      </c>
      <c r="I400" s="6" t="s">
        <v>1228</v>
      </c>
      <c r="J400" s="6" t="s">
        <v>1228</v>
      </c>
      <c r="K400" s="6" t="s">
        <v>1228</v>
      </c>
      <c r="L400" s="10">
        <f>'Entity Inputs'!EF9</f>
        <v>2</v>
      </c>
      <c r="M400" s="10">
        <f>'Entity Inputs'!EF15</f>
        <v>2</v>
      </c>
      <c r="N400" s="10">
        <f>'Group Inputs'!EE9</f>
        <v>4.0</v>
      </c>
      <c r="O400" s="6" t="s">
        <v>1892</v>
      </c>
    </row>
    <row r="401" spans="1:15">
      <c r="A401" s="11" t="s">
        <v>717</v>
      </c>
      <c r="B401" s="11" t="s">
        <v>1844</v>
      </c>
      <c r="C401" s="11" t="s">
        <v>718</v>
      </c>
      <c r="D401" s="11"/>
      <c r="E401" s="11" t="s">
        <v>577</v>
      </c>
      <c r="F401" s="11" t="s">
        <v>1228</v>
      </c>
      <c r="G401" s="11" t="s">
        <v>1228</v>
      </c>
      <c r="H401" s="11" t="s">
        <v>1228</v>
      </c>
      <c r="I401" s="11" t="s">
        <v>1228</v>
      </c>
      <c r="J401" s="11" t="s">
        <v>1228</v>
      </c>
      <c r="K401" s="11" t="s">
        <v>1228</v>
      </c>
      <c r="L401" s="11">
        <f>'Entity KPIs'!K88</f>
        <v>2.0</v>
      </c>
      <c r="M401" s="11">
        <f>'Entity KPIs'!Q88</f>
        <v>2.0</v>
      </c>
      <c r="N401" s="11">
        <f>'Group KPIs'!K88</f>
        <v>4.0</v>
      </c>
      <c r="O401" s="11" t="s">
        <v>1845</v>
      </c>
    </row>
    <row r="403" spans="1:15">
      <c r="A403" s="9" t="s">
        <v>1946</v>
      </c>
      <c r="B403" s="9"/>
      <c r="C403" s="9"/>
      <c r="D403" s="9"/>
      <c r="E403" s="9"/>
      <c r="F403" s="9"/>
      <c r="G403" s="9"/>
      <c r="H403" s="9"/>
      <c r="I403" s="9"/>
      <c r="J403" s="9"/>
      <c r="K403" s="9"/>
      <c r="L403" s="9"/>
      <c r="M403" s="9"/>
      <c r="N403" s="9"/>
      <c r="O403" s="9"/>
    </row>
    <row r="404" spans="1:15">
      <c r="A404" s="6" t="s">
        <v>720</v>
      </c>
      <c r="B404" s="6" t="s">
        <v>1841</v>
      </c>
      <c r="C404" s="6" t="s">
        <v>308</v>
      </c>
      <c r="D404" s="6" t="s">
        <v>309</v>
      </c>
      <c r="E404" s="6" t="s">
        <v>1842</v>
      </c>
      <c r="F404" s="6" t="s">
        <v>1228</v>
      </c>
      <c r="G404" s="6" t="s">
        <v>1228</v>
      </c>
      <c r="H404" s="6" t="s">
        <v>1228</v>
      </c>
      <c r="I404" s="6" t="s">
        <v>1228</v>
      </c>
      <c r="J404" s="6" t="s">
        <v>1228</v>
      </c>
      <c r="K404" s="6" t="s">
        <v>1228</v>
      </c>
      <c r="L404" s="10">
        <f>'Entity Inputs'!ED9</f>
        <v>72</v>
      </c>
      <c r="M404" s="10">
        <f>'Entity Inputs'!ED15</f>
        <v>68</v>
      </c>
      <c r="N404" s="10">
        <f>'Group Inputs'!EC9</f>
        <v>140.0</v>
      </c>
      <c r="O404" s="6" t="s">
        <v>1892</v>
      </c>
    </row>
    <row r="405" spans="1:15">
      <c r="A405" s="6" t="s">
        <v>720</v>
      </c>
      <c r="B405" s="6" t="s">
        <v>1841</v>
      </c>
      <c r="C405" s="6" t="s">
        <v>310</v>
      </c>
      <c r="D405" s="6" t="s">
        <v>311</v>
      </c>
      <c r="E405" s="6" t="s">
        <v>1842</v>
      </c>
      <c r="F405" s="6" t="s">
        <v>1228</v>
      </c>
      <c r="G405" s="6" t="s">
        <v>1228</v>
      </c>
      <c r="H405" s="6" t="s">
        <v>1228</v>
      </c>
      <c r="I405" s="6" t="s">
        <v>1228</v>
      </c>
      <c r="J405" s="6" t="s">
        <v>1228</v>
      </c>
      <c r="K405" s="6" t="s">
        <v>1228</v>
      </c>
      <c r="L405" s="10">
        <f>'Entity Inputs'!EE9</f>
        <v>69</v>
      </c>
      <c r="M405" s="10">
        <f>'Entity Inputs'!EE15</f>
        <v>65</v>
      </c>
      <c r="N405" s="10">
        <f>'Group Inputs'!ED9</f>
        <v>134.0</v>
      </c>
      <c r="O405" s="6" t="s">
        <v>1892</v>
      </c>
    </row>
    <row r="406" spans="1:15">
      <c r="A406" s="11" t="s">
        <v>720</v>
      </c>
      <c r="B406" s="11" t="s">
        <v>1844</v>
      </c>
      <c r="C406" s="11" t="s">
        <v>721</v>
      </c>
      <c r="D406" s="11"/>
      <c r="E406" s="11" t="s">
        <v>577</v>
      </c>
      <c r="F406" s="11" t="s">
        <v>1228</v>
      </c>
      <c r="G406" s="11" t="s">
        <v>1228</v>
      </c>
      <c r="H406" s="11" t="s">
        <v>1228</v>
      </c>
      <c r="I406" s="11" t="s">
        <v>1228</v>
      </c>
      <c r="J406" s="11" t="s">
        <v>1228</v>
      </c>
      <c r="K406" s="11" t="s">
        <v>1228</v>
      </c>
      <c r="L406" s="11">
        <f>'Entity KPIs'!K89</f>
        <v>95.83</v>
      </c>
      <c r="M406" s="11">
        <f>'Entity KPIs'!Q89</f>
        <v>95.59</v>
      </c>
      <c r="N406" s="11">
        <f>'Group KPIs'!K89</f>
        <v>95.71</v>
      </c>
      <c r="O406" s="11" t="s">
        <v>1845</v>
      </c>
    </row>
    <row r="408" spans="1:15">
      <c r="A408" s="9" t="s">
        <v>1947</v>
      </c>
      <c r="B408" s="9"/>
      <c r="C408" s="9"/>
      <c r="D408" s="9"/>
      <c r="E408" s="9"/>
      <c r="F408" s="9"/>
      <c r="G408" s="9"/>
      <c r="H408" s="9"/>
      <c r="I408" s="9"/>
      <c r="J408" s="9"/>
      <c r="K408" s="9"/>
      <c r="L408" s="9"/>
      <c r="M408" s="9"/>
      <c r="N408" s="9"/>
      <c r="O408" s="9"/>
    </row>
    <row r="409" spans="1:15">
      <c r="A409" s="6" t="s">
        <v>723</v>
      </c>
      <c r="B409" s="6" t="s">
        <v>1841</v>
      </c>
      <c r="C409" s="6" t="s">
        <v>314</v>
      </c>
      <c r="D409" s="6" t="s">
        <v>315</v>
      </c>
      <c r="E409" s="6" t="s">
        <v>1842</v>
      </c>
      <c r="F409" s="6" t="s">
        <v>1228</v>
      </c>
      <c r="G409" s="6" t="s">
        <v>1228</v>
      </c>
      <c r="H409" s="6" t="s">
        <v>1228</v>
      </c>
      <c r="I409" s="6" t="s">
        <v>1228</v>
      </c>
      <c r="J409" s="6" t="s">
        <v>1228</v>
      </c>
      <c r="K409" s="6" t="s">
        <v>1228</v>
      </c>
      <c r="L409" s="10">
        <f>'Entity Inputs'!EG9</f>
        <v>0</v>
      </c>
      <c r="M409" s="10">
        <f>'Entity Inputs'!EG15</f>
        <v>0</v>
      </c>
      <c r="N409" s="10">
        <f>'Group Inputs'!EF9</f>
        <v>0.0</v>
      </c>
      <c r="O409" s="6" t="s">
        <v>1892</v>
      </c>
    </row>
    <row r="410" spans="1:15">
      <c r="A410" s="11" t="s">
        <v>723</v>
      </c>
      <c r="B410" s="11" t="s">
        <v>1844</v>
      </c>
      <c r="C410" s="11" t="s">
        <v>724</v>
      </c>
      <c r="D410" s="11"/>
      <c r="E410" s="11" t="s">
        <v>577</v>
      </c>
      <c r="F410" s="11" t="s">
        <v>1228</v>
      </c>
      <c r="G410" s="11" t="s">
        <v>1228</v>
      </c>
      <c r="H410" s="11" t="s">
        <v>1228</v>
      </c>
      <c r="I410" s="11" t="s">
        <v>1228</v>
      </c>
      <c r="J410" s="11" t="s">
        <v>1228</v>
      </c>
      <c r="K410" s="11" t="s">
        <v>1228</v>
      </c>
      <c r="L410" s="11">
        <f>'Entity KPIs'!K90</f>
        <v>0.0</v>
      </c>
      <c r="M410" s="11">
        <f>'Entity KPIs'!Q90</f>
        <v>0.0</v>
      </c>
      <c r="N410" s="11">
        <f>'Group KPIs'!K90</f>
        <v>0.0</v>
      </c>
      <c r="O410" s="11" t="s">
        <v>1845</v>
      </c>
    </row>
    <row r="412" spans="1:15">
      <c r="A412" s="9" t="s">
        <v>1948</v>
      </c>
      <c r="B412" s="9"/>
      <c r="C412" s="9"/>
      <c r="D412" s="9"/>
      <c r="E412" s="9"/>
      <c r="F412" s="9"/>
      <c r="G412" s="9"/>
      <c r="H412" s="9"/>
      <c r="I412" s="9"/>
      <c r="J412" s="9"/>
      <c r="K412" s="9"/>
      <c r="L412" s="9"/>
      <c r="M412" s="9"/>
      <c r="N412" s="9"/>
      <c r="O412" s="9"/>
    </row>
    <row r="413" spans="1:15">
      <c r="A413" s="6" t="s">
        <v>726</v>
      </c>
      <c r="B413" s="6" t="s">
        <v>1841</v>
      </c>
      <c r="C413" s="6" t="s">
        <v>147</v>
      </c>
      <c r="D413" s="6" t="s">
        <v>148</v>
      </c>
      <c r="E413" s="6" t="s">
        <v>1842</v>
      </c>
      <c r="F413" s="10">
        <f>'Plant Inputs'!BL9</f>
        <v>0</v>
      </c>
      <c r="G413" s="10">
        <f>'Plant Inputs'!BL15</f>
        <v>0</v>
      </c>
      <c r="H413" s="10">
        <f>'Plant Inputs'!BL21</f>
        <v>0</v>
      </c>
      <c r="I413" s="10">
        <f>'Plant Inputs'!BL27</f>
        <v>0</v>
      </c>
      <c r="J413" s="10">
        <f>'Plant Inputs'!BL33</f>
        <v>0</v>
      </c>
      <c r="K413" s="10">
        <f>'Plant Inputs'!BL39</f>
        <v>0</v>
      </c>
      <c r="L413" s="10">
        <f>'Entity Inputs'!BJ9</f>
        <v>0.0</v>
      </c>
      <c r="M413" s="10">
        <f>'Entity Inputs'!BJ15</f>
        <v>0.0</v>
      </c>
      <c r="N413" s="10">
        <f>'Group Inputs'!BI9</f>
        <v>0.0</v>
      </c>
      <c r="O413" s="6" t="s">
        <v>1843</v>
      </c>
    </row>
    <row r="414" spans="1:15">
      <c r="A414" s="11" t="s">
        <v>726</v>
      </c>
      <c r="B414" s="11" t="s">
        <v>1844</v>
      </c>
      <c r="C414" s="11" t="s">
        <v>727</v>
      </c>
      <c r="D414" s="11"/>
      <c r="E414" s="11" t="s">
        <v>577</v>
      </c>
      <c r="F414" s="11">
        <f>'Plant KPIs'!K45</f>
        <v>0.0</v>
      </c>
      <c r="G414" s="11">
        <f>'Plant KPIs'!Q45</f>
        <v>0.0</v>
      </c>
      <c r="H414" s="11">
        <f>'Plant KPIs'!W45</f>
        <v>0.0</v>
      </c>
      <c r="I414" s="11">
        <f>'Plant KPIs'!AC45</f>
        <v>0.0</v>
      </c>
      <c r="J414" s="11">
        <f>'Plant KPIs'!AI45</f>
        <v>0.0</v>
      </c>
      <c r="K414" s="11">
        <f>'Plant KPIs'!AO45</f>
        <v>0.0</v>
      </c>
      <c r="L414" s="11">
        <f>'Entity KPIs'!K91</f>
        <v>0.0</v>
      </c>
      <c r="M414" s="11">
        <f>'Entity KPIs'!Q91</f>
        <v>0.0</v>
      </c>
      <c r="N414" s="11">
        <f>'Group KPIs'!K91</f>
        <v>0.0</v>
      </c>
      <c r="O414" s="11" t="s">
        <v>1845</v>
      </c>
    </row>
    <row r="416" spans="1:15">
      <c r="A416" s="9" t="s">
        <v>1949</v>
      </c>
      <c r="B416" s="9"/>
      <c r="C416" s="9"/>
      <c r="D416" s="9"/>
      <c r="E416" s="9"/>
      <c r="F416" s="9"/>
      <c r="G416" s="9"/>
      <c r="H416" s="9"/>
      <c r="I416" s="9"/>
      <c r="J416" s="9"/>
      <c r="K416" s="9"/>
      <c r="L416" s="9"/>
      <c r="M416" s="9"/>
      <c r="N416" s="9"/>
      <c r="O416" s="9"/>
    </row>
    <row r="417" spans="1:15">
      <c r="A417" s="6" t="s">
        <v>729</v>
      </c>
      <c r="B417" s="6" t="s">
        <v>1841</v>
      </c>
      <c r="C417" s="6" t="s">
        <v>149</v>
      </c>
      <c r="D417" s="6" t="s">
        <v>150</v>
      </c>
      <c r="E417" s="6" t="s">
        <v>1842</v>
      </c>
      <c r="F417" s="10">
        <f>'Plant Inputs'!BM9</f>
        <v>1</v>
      </c>
      <c r="G417" s="10">
        <f>'Plant Inputs'!BM15</f>
        <v>0</v>
      </c>
      <c r="H417" s="10">
        <f>'Plant Inputs'!BM21</f>
        <v>1</v>
      </c>
      <c r="I417" s="10">
        <f>'Plant Inputs'!BM27</f>
        <v>0</v>
      </c>
      <c r="J417" s="10">
        <f>'Plant Inputs'!BM33</f>
        <v>0</v>
      </c>
      <c r="K417" s="10">
        <f>'Plant Inputs'!BM39</f>
        <v>1</v>
      </c>
      <c r="L417" s="10">
        <f>'Entity Inputs'!BK9</f>
        <v>2.0</v>
      </c>
      <c r="M417" s="10">
        <f>'Entity Inputs'!BK15</f>
        <v>1.0</v>
      </c>
      <c r="N417" s="10">
        <f>'Group Inputs'!BJ9</f>
        <v>3.0</v>
      </c>
      <c r="O417" s="6" t="s">
        <v>1843</v>
      </c>
    </row>
    <row r="418" spans="1:15">
      <c r="A418" s="11" t="s">
        <v>729</v>
      </c>
      <c r="B418" s="11" t="s">
        <v>1844</v>
      </c>
      <c r="C418" s="11" t="s">
        <v>730</v>
      </c>
      <c r="D418" s="11"/>
      <c r="E418" s="11" t="s">
        <v>577</v>
      </c>
      <c r="F418" s="11">
        <f>'Plant KPIs'!K46</f>
        <v>1.0</v>
      </c>
      <c r="G418" s="11">
        <f>'Plant KPIs'!Q46</f>
        <v>0.0</v>
      </c>
      <c r="H418" s="11">
        <f>'Plant KPIs'!W46</f>
        <v>1.0</v>
      </c>
      <c r="I418" s="11">
        <f>'Plant KPIs'!AC46</f>
        <v>0.0</v>
      </c>
      <c r="J418" s="11">
        <f>'Plant KPIs'!AI46</f>
        <v>0.0</v>
      </c>
      <c r="K418" s="11">
        <f>'Plant KPIs'!AO46</f>
        <v>1.0</v>
      </c>
      <c r="L418" s="11">
        <f>'Entity KPIs'!K92</f>
        <v>2.0</v>
      </c>
      <c r="M418" s="11">
        <f>'Entity KPIs'!Q92</f>
        <v>1.0</v>
      </c>
      <c r="N418" s="11">
        <f>'Group KPIs'!K92</f>
        <v>3.0</v>
      </c>
      <c r="O418" s="11" t="s">
        <v>1845</v>
      </c>
    </row>
    <row r="420" spans="1:15">
      <c r="A420" s="9" t="s">
        <v>1950</v>
      </c>
      <c r="B420" s="9"/>
      <c r="C420" s="9"/>
      <c r="D420" s="9"/>
      <c r="E420" s="9"/>
      <c r="F420" s="9"/>
      <c r="G420" s="9"/>
      <c r="H420" s="9"/>
      <c r="I420" s="9"/>
      <c r="J420" s="9"/>
      <c r="K420" s="9"/>
      <c r="L420" s="9"/>
      <c r="M420" s="9"/>
      <c r="N420" s="9"/>
      <c r="O420" s="9"/>
    </row>
    <row r="421" spans="1:15">
      <c r="A421" s="6" t="s">
        <v>732</v>
      </c>
      <c r="B421" s="6" t="s">
        <v>1841</v>
      </c>
      <c r="C421" s="6" t="s">
        <v>151</v>
      </c>
      <c r="D421" s="6" t="s">
        <v>152</v>
      </c>
      <c r="E421" s="6" t="s">
        <v>1842</v>
      </c>
      <c r="F421" s="10">
        <f>'Plant Inputs'!BN9</f>
        <v>0</v>
      </c>
      <c r="G421" s="10">
        <f>'Plant Inputs'!BN15</f>
        <v>1</v>
      </c>
      <c r="H421" s="10">
        <f>'Plant Inputs'!BN21</f>
        <v>0</v>
      </c>
      <c r="I421" s="10">
        <f>'Plant Inputs'!BN27</f>
        <v>0</v>
      </c>
      <c r="J421" s="10">
        <f>'Plant Inputs'!BN33</f>
        <v>0</v>
      </c>
      <c r="K421" s="10">
        <f>'Plant Inputs'!BN39</f>
        <v>0</v>
      </c>
      <c r="L421" s="10">
        <f>'Entity Inputs'!BL9</f>
        <v>1.0</v>
      </c>
      <c r="M421" s="10">
        <f>'Entity Inputs'!BL15</f>
        <v>0.0</v>
      </c>
      <c r="N421" s="10">
        <f>'Group Inputs'!BK9</f>
        <v>1.0</v>
      </c>
      <c r="O421" s="6" t="s">
        <v>1843</v>
      </c>
    </row>
    <row r="422" spans="1:15">
      <c r="A422" s="11" t="s">
        <v>732</v>
      </c>
      <c r="B422" s="11" t="s">
        <v>1844</v>
      </c>
      <c r="C422" s="11" t="s">
        <v>733</v>
      </c>
      <c r="D422" s="11"/>
      <c r="E422" s="11" t="s">
        <v>577</v>
      </c>
      <c r="F422" s="11">
        <f>'Plant KPIs'!K47</f>
        <v>0.0</v>
      </c>
      <c r="G422" s="11">
        <f>'Plant KPIs'!Q47</f>
        <v>1.0</v>
      </c>
      <c r="H422" s="11">
        <f>'Plant KPIs'!W47</f>
        <v>0.0</v>
      </c>
      <c r="I422" s="11">
        <f>'Plant KPIs'!AC47</f>
        <v>0.0</v>
      </c>
      <c r="J422" s="11">
        <f>'Plant KPIs'!AI47</f>
        <v>0.0</v>
      </c>
      <c r="K422" s="11">
        <f>'Plant KPIs'!AO47</f>
        <v>0.0</v>
      </c>
      <c r="L422" s="11">
        <f>'Entity KPIs'!K93</f>
        <v>1.0</v>
      </c>
      <c r="M422" s="11">
        <f>'Entity KPIs'!Q93</f>
        <v>0.0</v>
      </c>
      <c r="N422" s="11">
        <f>'Group KPIs'!K93</f>
        <v>1.0</v>
      </c>
      <c r="O422" s="11" t="s">
        <v>1845</v>
      </c>
    </row>
    <row r="424" spans="1:15">
      <c r="A424" s="9" t="s">
        <v>1951</v>
      </c>
      <c r="B424" s="9"/>
      <c r="C424" s="9"/>
      <c r="D424" s="9"/>
      <c r="E424" s="9"/>
      <c r="F424" s="9"/>
      <c r="G424" s="9"/>
      <c r="H424" s="9"/>
      <c r="I424" s="9"/>
      <c r="J424" s="9"/>
      <c r="K424" s="9"/>
      <c r="L424" s="9"/>
      <c r="M424" s="9"/>
      <c r="N424" s="9"/>
      <c r="O424" s="9"/>
    </row>
    <row r="425" spans="1:15">
      <c r="A425" s="6" t="s">
        <v>735</v>
      </c>
      <c r="B425" s="6" t="s">
        <v>1841</v>
      </c>
      <c r="C425" s="6" t="s">
        <v>153</v>
      </c>
      <c r="D425" s="6" t="s">
        <v>154</v>
      </c>
      <c r="E425" s="6" t="s">
        <v>1842</v>
      </c>
      <c r="F425" s="10">
        <f>'Plant Inputs'!BO9</f>
        <v>0</v>
      </c>
      <c r="G425" s="10">
        <f>'Plant Inputs'!BO15</f>
        <v>1</v>
      </c>
      <c r="H425" s="10">
        <f>'Plant Inputs'!BO21</f>
        <v>0</v>
      </c>
      <c r="I425" s="10">
        <f>'Plant Inputs'!BO27</f>
        <v>0</v>
      </c>
      <c r="J425" s="10">
        <f>'Plant Inputs'!BO33</f>
        <v>1</v>
      </c>
      <c r="K425" s="10">
        <f>'Plant Inputs'!BO39</f>
        <v>0</v>
      </c>
      <c r="L425" s="10">
        <f>'Entity Inputs'!BM9</f>
        <v>1.0</v>
      </c>
      <c r="M425" s="10">
        <f>'Entity Inputs'!BM15</f>
        <v>1.0</v>
      </c>
      <c r="N425" s="10">
        <f>'Group Inputs'!BL9</f>
        <v>2.0</v>
      </c>
      <c r="O425" s="6" t="s">
        <v>1843</v>
      </c>
    </row>
    <row r="426" spans="1:15">
      <c r="A426" s="11" t="s">
        <v>735</v>
      </c>
      <c r="B426" s="11" t="s">
        <v>1844</v>
      </c>
      <c r="C426" s="11" t="s">
        <v>736</v>
      </c>
      <c r="D426" s="11"/>
      <c r="E426" s="11" t="s">
        <v>577</v>
      </c>
      <c r="F426" s="11">
        <f>'Plant KPIs'!K48</f>
        <v>0.0</v>
      </c>
      <c r="G426" s="11">
        <f>'Plant KPIs'!Q48</f>
        <v>1.0</v>
      </c>
      <c r="H426" s="11">
        <f>'Plant KPIs'!W48</f>
        <v>0.0</v>
      </c>
      <c r="I426" s="11">
        <f>'Plant KPIs'!AC48</f>
        <v>0.0</v>
      </c>
      <c r="J426" s="11">
        <f>'Plant KPIs'!AI48</f>
        <v>1.0</v>
      </c>
      <c r="K426" s="11">
        <f>'Plant KPIs'!AO48</f>
        <v>0.0</v>
      </c>
      <c r="L426" s="11">
        <f>'Entity KPIs'!K94</f>
        <v>1.0</v>
      </c>
      <c r="M426" s="11">
        <f>'Entity KPIs'!Q94</f>
        <v>1.0</v>
      </c>
      <c r="N426" s="11">
        <f>'Group KPIs'!K94</f>
        <v>2.0</v>
      </c>
      <c r="O426" s="11" t="s">
        <v>1845</v>
      </c>
    </row>
    <row r="428" spans="1:15">
      <c r="A428" s="9" t="s">
        <v>1952</v>
      </c>
      <c r="B428" s="9"/>
      <c r="C428" s="9"/>
      <c r="D428" s="9"/>
      <c r="E428" s="9"/>
      <c r="F428" s="9"/>
      <c r="G428" s="9"/>
      <c r="H428" s="9"/>
      <c r="I428" s="9"/>
      <c r="J428" s="9"/>
      <c r="K428" s="9"/>
      <c r="L428" s="9"/>
      <c r="M428" s="9"/>
      <c r="N428" s="9"/>
      <c r="O428" s="9"/>
    </row>
    <row r="429" spans="1:15">
      <c r="A429" s="6" t="s">
        <v>738</v>
      </c>
      <c r="B429" s="6" t="s">
        <v>1841</v>
      </c>
      <c r="C429" s="6" t="s">
        <v>155</v>
      </c>
      <c r="D429" s="6" t="s">
        <v>156</v>
      </c>
      <c r="E429" s="6" t="s">
        <v>1842</v>
      </c>
      <c r="F429" s="10">
        <f>'Plant Inputs'!BP9</f>
        <v>0</v>
      </c>
      <c r="G429" s="10">
        <f>'Plant Inputs'!BP15</f>
        <v>0</v>
      </c>
      <c r="H429" s="10">
        <f>'Plant Inputs'!BP21</f>
        <v>0</v>
      </c>
      <c r="I429" s="10">
        <f>'Plant Inputs'!BP27</f>
        <v>0</v>
      </c>
      <c r="J429" s="10">
        <f>'Plant Inputs'!BP33</f>
        <v>0</v>
      </c>
      <c r="K429" s="10">
        <f>'Plant Inputs'!BP39</f>
        <v>0</v>
      </c>
      <c r="L429" s="10">
        <f>'Entity Inputs'!BN9</f>
        <v>0.0</v>
      </c>
      <c r="M429" s="10">
        <f>'Entity Inputs'!BN15</f>
        <v>0.0</v>
      </c>
      <c r="N429" s="10">
        <f>'Group Inputs'!BM9</f>
        <v>0.0</v>
      </c>
      <c r="O429" s="6" t="s">
        <v>1843</v>
      </c>
    </row>
    <row r="430" spans="1:15">
      <c r="A430" s="11" t="s">
        <v>738</v>
      </c>
      <c r="B430" s="11" t="s">
        <v>1844</v>
      </c>
      <c r="C430" s="11" t="s">
        <v>739</v>
      </c>
      <c r="D430" s="11"/>
      <c r="E430" s="11" t="s">
        <v>577</v>
      </c>
      <c r="F430" s="11">
        <f>'Plant KPIs'!K49</f>
        <v>0.0</v>
      </c>
      <c r="G430" s="11">
        <f>'Plant KPIs'!Q49</f>
        <v>0.0</v>
      </c>
      <c r="H430" s="11">
        <f>'Plant KPIs'!W49</f>
        <v>0.0</v>
      </c>
      <c r="I430" s="11">
        <f>'Plant KPIs'!AC49</f>
        <v>0.0</v>
      </c>
      <c r="J430" s="11">
        <f>'Plant KPIs'!AI49</f>
        <v>0.0</v>
      </c>
      <c r="K430" s="11">
        <f>'Plant KPIs'!AO49</f>
        <v>0.0</v>
      </c>
      <c r="L430" s="11">
        <f>'Entity KPIs'!K95</f>
        <v>0.0</v>
      </c>
      <c r="M430" s="11">
        <f>'Entity KPIs'!Q95</f>
        <v>0.0</v>
      </c>
      <c r="N430" s="11">
        <f>'Group KPIs'!K95</f>
        <v>0.0</v>
      </c>
      <c r="O430" s="11" t="s">
        <v>1845</v>
      </c>
    </row>
    <row r="432" spans="1:15">
      <c r="A432" s="9" t="s">
        <v>1953</v>
      </c>
      <c r="B432" s="9"/>
      <c r="C432" s="9"/>
      <c r="D432" s="9"/>
      <c r="E432" s="9"/>
      <c r="F432" s="9"/>
      <c r="G432" s="9"/>
      <c r="H432" s="9"/>
      <c r="I432" s="9"/>
      <c r="J432" s="9"/>
      <c r="K432" s="9"/>
      <c r="L432" s="9"/>
      <c r="M432" s="9"/>
      <c r="N432" s="9"/>
      <c r="O432" s="9"/>
    </row>
    <row r="433" spans="1:15">
      <c r="A433" s="6" t="s">
        <v>741</v>
      </c>
      <c r="B433" s="6" t="s">
        <v>1841</v>
      </c>
      <c r="C433" s="6" t="s">
        <v>157</v>
      </c>
      <c r="D433" s="6" t="s">
        <v>158</v>
      </c>
      <c r="E433" s="6" t="s">
        <v>1842</v>
      </c>
      <c r="F433" s="10">
        <f>'Plant Inputs'!BQ9</f>
        <v>0</v>
      </c>
      <c r="G433" s="10">
        <f>'Plant Inputs'!BQ15</f>
        <v>0</v>
      </c>
      <c r="H433" s="10">
        <f>'Plant Inputs'!BQ21</f>
        <v>0</v>
      </c>
      <c r="I433" s="10">
        <f>'Plant Inputs'!BQ27</f>
        <v>0</v>
      </c>
      <c r="J433" s="10">
        <f>'Plant Inputs'!BQ33</f>
        <v>0</v>
      </c>
      <c r="K433" s="10">
        <f>'Plant Inputs'!BQ39</f>
        <v>0</v>
      </c>
      <c r="L433" s="10">
        <f>'Entity Inputs'!BO9</f>
        <v>0.0</v>
      </c>
      <c r="M433" s="10">
        <f>'Entity Inputs'!BO15</f>
        <v>0.0</v>
      </c>
      <c r="N433" s="10">
        <f>'Group Inputs'!BN9</f>
        <v>0.0</v>
      </c>
      <c r="O433" s="6" t="s">
        <v>1843</v>
      </c>
    </row>
    <row r="434" spans="1:15">
      <c r="A434" s="11" t="s">
        <v>741</v>
      </c>
      <c r="B434" s="11" t="s">
        <v>1844</v>
      </c>
      <c r="C434" s="11" t="s">
        <v>742</v>
      </c>
      <c r="D434" s="11"/>
      <c r="E434" s="11" t="s">
        <v>577</v>
      </c>
      <c r="F434" s="11">
        <f>'Plant KPIs'!K50</f>
        <v>0.0</v>
      </c>
      <c r="G434" s="11">
        <f>'Plant KPIs'!Q50</f>
        <v>0.0</v>
      </c>
      <c r="H434" s="11">
        <f>'Plant KPIs'!W50</f>
        <v>0.0</v>
      </c>
      <c r="I434" s="11">
        <f>'Plant KPIs'!AC50</f>
        <v>0.0</v>
      </c>
      <c r="J434" s="11">
        <f>'Plant KPIs'!AI50</f>
        <v>0.0</v>
      </c>
      <c r="K434" s="11">
        <f>'Plant KPIs'!AO50</f>
        <v>0.0</v>
      </c>
      <c r="L434" s="11">
        <f>'Entity KPIs'!K96</f>
        <v>0.0</v>
      </c>
      <c r="M434" s="11">
        <f>'Entity KPIs'!Q96</f>
        <v>0.0</v>
      </c>
      <c r="N434" s="11">
        <f>'Group KPIs'!K96</f>
        <v>0.0</v>
      </c>
      <c r="O434" s="11" t="s">
        <v>1845</v>
      </c>
    </row>
    <row r="436" spans="1:15">
      <c r="A436" s="9" t="s">
        <v>1954</v>
      </c>
      <c r="B436" s="9"/>
      <c r="C436" s="9"/>
      <c r="D436" s="9"/>
      <c r="E436" s="9"/>
      <c r="F436" s="9"/>
      <c r="G436" s="9"/>
      <c r="H436" s="9"/>
      <c r="I436" s="9"/>
      <c r="J436" s="9"/>
      <c r="K436" s="9"/>
      <c r="L436" s="9"/>
      <c r="M436" s="9"/>
      <c r="N436" s="9"/>
      <c r="O436" s="9"/>
    </row>
    <row r="437" spans="1:15">
      <c r="A437" s="6" t="s">
        <v>743</v>
      </c>
      <c r="B437" s="6" t="s">
        <v>1841</v>
      </c>
      <c r="C437" s="6" t="s">
        <v>159</v>
      </c>
      <c r="D437" s="6" t="s">
        <v>160</v>
      </c>
      <c r="E437" s="6" t="s">
        <v>1842</v>
      </c>
      <c r="F437" s="10">
        <f>'Plant Inputs'!BR9</f>
        <v>0</v>
      </c>
      <c r="G437" s="10">
        <f>'Plant Inputs'!BR15</f>
        <v>0</v>
      </c>
      <c r="H437" s="10">
        <f>'Plant Inputs'!BR21</f>
        <v>0</v>
      </c>
      <c r="I437" s="10">
        <f>'Plant Inputs'!BR27</f>
        <v>0</v>
      </c>
      <c r="J437" s="10">
        <f>'Plant Inputs'!BR33</f>
        <v>0</v>
      </c>
      <c r="K437" s="10">
        <f>'Plant Inputs'!BR39</f>
        <v>0</v>
      </c>
      <c r="L437" s="10">
        <f>'Entity Inputs'!BP9</f>
        <v>0.0</v>
      </c>
      <c r="M437" s="10">
        <f>'Entity Inputs'!BP15</f>
        <v>0.0</v>
      </c>
      <c r="N437" s="10">
        <f>'Group Inputs'!BO9</f>
        <v>0.0</v>
      </c>
      <c r="O437" s="6" t="s">
        <v>1843</v>
      </c>
    </row>
    <row r="438" spans="1:15">
      <c r="A438" s="11" t="s">
        <v>743</v>
      </c>
      <c r="B438" s="11" t="s">
        <v>1844</v>
      </c>
      <c r="C438" s="11" t="s">
        <v>744</v>
      </c>
      <c r="D438" s="11"/>
      <c r="E438" s="11" t="s">
        <v>577</v>
      </c>
      <c r="F438" s="11">
        <f>'Plant KPIs'!K51</f>
        <v>0.0</v>
      </c>
      <c r="G438" s="11">
        <f>'Plant KPIs'!Q51</f>
        <v>0.0</v>
      </c>
      <c r="H438" s="11">
        <f>'Plant KPIs'!W51</f>
        <v>0.0</v>
      </c>
      <c r="I438" s="11">
        <f>'Plant KPIs'!AC51</f>
        <v>0.0</v>
      </c>
      <c r="J438" s="11">
        <f>'Plant KPIs'!AI51</f>
        <v>0.0</v>
      </c>
      <c r="K438" s="11">
        <f>'Plant KPIs'!AO51</f>
        <v>0.0</v>
      </c>
      <c r="L438" s="11">
        <f>'Entity KPIs'!K97</f>
        <v>0.0</v>
      </c>
      <c r="M438" s="11">
        <f>'Entity KPIs'!Q97</f>
        <v>0.0</v>
      </c>
      <c r="N438" s="11">
        <f>'Group KPIs'!K97</f>
        <v>0.0</v>
      </c>
      <c r="O438" s="11" t="s">
        <v>1845</v>
      </c>
    </row>
    <row r="440" spans="1:15">
      <c r="A440" s="9" t="s">
        <v>1955</v>
      </c>
      <c r="B440" s="9"/>
      <c r="C440" s="9"/>
      <c r="D440" s="9"/>
      <c r="E440" s="9"/>
      <c r="F440" s="9"/>
      <c r="G440" s="9"/>
      <c r="H440" s="9"/>
      <c r="I440" s="9"/>
      <c r="J440" s="9"/>
      <c r="K440" s="9"/>
      <c r="L440" s="9"/>
      <c r="M440" s="9"/>
      <c r="N440" s="9"/>
      <c r="O440" s="9"/>
    </row>
    <row r="441" spans="1:15">
      <c r="A441" s="6" t="s">
        <v>745</v>
      </c>
      <c r="B441" s="6" t="s">
        <v>1841</v>
      </c>
      <c r="C441" s="6" t="s">
        <v>163</v>
      </c>
      <c r="D441" s="6" t="s">
        <v>164</v>
      </c>
      <c r="E441" s="6" t="s">
        <v>1842</v>
      </c>
      <c r="F441" s="10">
        <f>'Plant Inputs'!BT9</f>
        <v>0</v>
      </c>
      <c r="G441" s="10">
        <f>'Plant Inputs'!BT15</f>
        <v>0</v>
      </c>
      <c r="H441" s="10">
        <f>'Plant Inputs'!BT21</f>
        <v>0</v>
      </c>
      <c r="I441" s="10">
        <f>'Plant Inputs'!BT27</f>
        <v>0</v>
      </c>
      <c r="J441" s="10">
        <f>'Plant Inputs'!BT33</f>
        <v>0</v>
      </c>
      <c r="K441" s="10">
        <f>'Plant Inputs'!BT39</f>
        <v>0</v>
      </c>
      <c r="L441" s="10">
        <f>'Entity Inputs'!BR9</f>
        <v>0.0</v>
      </c>
      <c r="M441" s="10">
        <f>'Entity Inputs'!BR15</f>
        <v>0.0</v>
      </c>
      <c r="N441" s="10">
        <f>'Group Inputs'!BQ9</f>
        <v>0.0</v>
      </c>
      <c r="O441" s="6" t="s">
        <v>1843</v>
      </c>
    </row>
    <row r="442" spans="1:15">
      <c r="A442" s="11" t="s">
        <v>745</v>
      </c>
      <c r="B442" s="11" t="s">
        <v>1844</v>
      </c>
      <c r="C442" s="11" t="s">
        <v>746</v>
      </c>
      <c r="D442" s="11"/>
      <c r="E442" s="11" t="s">
        <v>577</v>
      </c>
      <c r="F442" s="11" t="str">
        <f>'Plant KPIs'!K52</f>
        <v>Not triggered</v>
      </c>
      <c r="G442" s="11" t="str">
        <f>'Plant KPIs'!Q52</f>
        <v>Not triggered</v>
      </c>
      <c r="H442" s="11" t="str">
        <f>'Plant KPIs'!W52</f>
        <v>Not triggered</v>
      </c>
      <c r="I442" s="11" t="str">
        <f>'Plant KPIs'!AC52</f>
        <v>Not triggered</v>
      </c>
      <c r="J442" s="11" t="str">
        <f>'Plant KPIs'!AI52</f>
        <v>Not triggered</v>
      </c>
      <c r="K442" s="11" t="str">
        <f>'Plant KPIs'!AO52</f>
        <v>Not triggered</v>
      </c>
      <c r="L442" s="11" t="str">
        <f>'Entity KPIs'!K98</f>
        <v>Not triggered</v>
      </c>
      <c r="M442" s="11" t="str">
        <f>'Entity KPIs'!Q98</f>
        <v>Not triggered</v>
      </c>
      <c r="N442" s="11" t="str">
        <f>'Group KPIs'!K98</f>
        <v>Not triggered</v>
      </c>
      <c r="O442" s="11" t="s">
        <v>1845</v>
      </c>
    </row>
    <row r="444" spans="1:15">
      <c r="A444" s="9" t="s">
        <v>1956</v>
      </c>
      <c r="B444" s="9"/>
      <c r="C444" s="9"/>
      <c r="D444" s="9"/>
      <c r="E444" s="9"/>
      <c r="F444" s="9"/>
      <c r="G444" s="9"/>
      <c r="H444" s="9"/>
      <c r="I444" s="9"/>
      <c r="J444" s="9"/>
      <c r="K444" s="9"/>
      <c r="L444" s="9"/>
      <c r="M444" s="9"/>
      <c r="N444" s="9"/>
      <c r="O444" s="9"/>
    </row>
    <row r="445" spans="1:15">
      <c r="A445" s="6" t="s">
        <v>748</v>
      </c>
      <c r="B445" s="6" t="s">
        <v>1841</v>
      </c>
      <c r="C445" s="6" t="s">
        <v>161</v>
      </c>
      <c r="D445" s="6" t="s">
        <v>162</v>
      </c>
      <c r="E445" s="6" t="s">
        <v>1884</v>
      </c>
      <c r="F445" s="10">
        <f>'Plant Inputs'!BS9</f>
        <v>0</v>
      </c>
      <c r="G445" s="10">
        <f>'Plant Inputs'!BS15</f>
        <v>0</v>
      </c>
      <c r="H445" s="10">
        <f>'Plant Inputs'!BS21</f>
        <v>0</v>
      </c>
      <c r="I445" s="10">
        <f>'Plant Inputs'!BS27</f>
        <v>0</v>
      </c>
      <c r="J445" s="10">
        <f>'Plant Inputs'!BS33</f>
        <v>0</v>
      </c>
      <c r="K445" s="10">
        <f>'Plant Inputs'!BS39</f>
        <v>0</v>
      </c>
      <c r="L445" s="10">
        <f>'Entity Inputs'!BQ9</f>
        <v>0.0</v>
      </c>
      <c r="M445" s="10">
        <f>'Entity Inputs'!BQ15</f>
        <v>0.0</v>
      </c>
      <c r="N445" s="10">
        <f>'Group Inputs'!BP9</f>
        <v>0.0</v>
      </c>
      <c r="O445" s="6" t="s">
        <v>1843</v>
      </c>
    </row>
    <row r="446" spans="1:15">
      <c r="A446" s="11" t="s">
        <v>748</v>
      </c>
      <c r="B446" s="11" t="s">
        <v>1844</v>
      </c>
      <c r="C446" s="11" t="s">
        <v>749</v>
      </c>
      <c r="D446" s="11"/>
      <c r="E446" s="11" t="s">
        <v>561</v>
      </c>
      <c r="F446" s="11">
        <f>'Plant KPIs'!K53</f>
        <v>0.0</v>
      </c>
      <c r="G446" s="11">
        <f>'Plant KPIs'!Q53</f>
        <v>0.0</v>
      </c>
      <c r="H446" s="11">
        <f>'Plant KPIs'!W53</f>
        <v>0.0</v>
      </c>
      <c r="I446" s="11">
        <f>'Plant KPIs'!AC53</f>
        <v>0.0</v>
      </c>
      <c r="J446" s="11">
        <f>'Plant KPIs'!AI53</f>
        <v>0.0</v>
      </c>
      <c r="K446" s="11">
        <f>'Plant KPIs'!AO53</f>
        <v>0.0</v>
      </c>
      <c r="L446" s="11">
        <f>'Entity KPIs'!K99</f>
        <v>0.0</v>
      </c>
      <c r="M446" s="11">
        <f>'Entity KPIs'!Q99</f>
        <v>0.0</v>
      </c>
      <c r="N446" s="11">
        <f>'Group KPIs'!K99</f>
        <v>0.0</v>
      </c>
      <c r="O446" s="11" t="s">
        <v>1845</v>
      </c>
    </row>
    <row r="448" spans="1:15">
      <c r="A448" s="9" t="s">
        <v>1957</v>
      </c>
      <c r="B448" s="9"/>
      <c r="C448" s="9"/>
      <c r="D448" s="9"/>
      <c r="E448" s="9"/>
      <c r="F448" s="9"/>
      <c r="G448" s="9"/>
      <c r="H448" s="9"/>
      <c r="I448" s="9"/>
      <c r="J448" s="9"/>
      <c r="K448" s="9"/>
      <c r="L448" s="9"/>
      <c r="M448" s="9"/>
      <c r="N448" s="9"/>
      <c r="O448" s="9"/>
    </row>
    <row r="449" spans="1:15">
      <c r="A449" s="6" t="s">
        <v>751</v>
      </c>
      <c r="B449" s="6" t="s">
        <v>1841</v>
      </c>
      <c r="C449" s="6" t="s">
        <v>161</v>
      </c>
      <c r="D449" s="6" t="s">
        <v>162</v>
      </c>
      <c r="E449" s="6" t="s">
        <v>1884</v>
      </c>
      <c r="F449" s="10">
        <f>'Plant Inputs'!BS9</f>
        <v>0</v>
      </c>
      <c r="G449" s="10">
        <f>'Plant Inputs'!BS15</f>
        <v>0</v>
      </c>
      <c r="H449" s="10">
        <f>'Plant Inputs'!BS21</f>
        <v>0</v>
      </c>
      <c r="I449" s="10">
        <f>'Plant Inputs'!BS27</f>
        <v>0</v>
      </c>
      <c r="J449" s="10">
        <f>'Plant Inputs'!BS33</f>
        <v>0</v>
      </c>
      <c r="K449" s="10">
        <f>'Plant Inputs'!BS39</f>
        <v>0</v>
      </c>
      <c r="L449" s="10">
        <f>'Entity Inputs'!BQ9</f>
        <v>0.0</v>
      </c>
      <c r="M449" s="10">
        <f>'Entity Inputs'!BQ15</f>
        <v>0.0</v>
      </c>
      <c r="N449" s="10">
        <f>'Group Inputs'!BP9</f>
        <v>0.0</v>
      </c>
      <c r="O449" s="6" t="s">
        <v>1843</v>
      </c>
    </row>
    <row r="450" spans="1:15">
      <c r="A450" s="11" t="s">
        <v>751</v>
      </c>
      <c r="B450" s="11" t="s">
        <v>1844</v>
      </c>
      <c r="C450" s="11" t="s">
        <v>752</v>
      </c>
      <c r="D450" s="11"/>
      <c r="E450" s="11" t="s">
        <v>561</v>
      </c>
      <c r="F450" s="11">
        <f>'Plant KPIs'!K54</f>
        <v>0.0</v>
      </c>
      <c r="G450" s="11">
        <f>'Plant KPIs'!Q54</f>
        <v>0.0</v>
      </c>
      <c r="H450" s="11">
        <f>'Plant KPIs'!W54</f>
        <v>0.0</v>
      </c>
      <c r="I450" s="11">
        <f>'Plant KPIs'!AC54</f>
        <v>0.0</v>
      </c>
      <c r="J450" s="11">
        <f>'Plant KPIs'!AI54</f>
        <v>0.0</v>
      </c>
      <c r="K450" s="11">
        <f>'Plant KPIs'!AO54</f>
        <v>0.0</v>
      </c>
      <c r="L450" s="11">
        <f>'Entity KPIs'!K100</f>
        <v>0.0</v>
      </c>
      <c r="M450" s="11">
        <f>'Entity KPIs'!Q100</f>
        <v>0.0</v>
      </c>
      <c r="N450" s="11">
        <f>'Group KPIs'!K100</f>
        <v>0.0</v>
      </c>
      <c r="O450" s="11" t="s">
        <v>1845</v>
      </c>
    </row>
    <row r="452" spans="1:15">
      <c r="A452" s="9" t="s">
        <v>1958</v>
      </c>
      <c r="B452" s="9"/>
      <c r="C452" s="9"/>
      <c r="D452" s="9"/>
      <c r="E452" s="9"/>
      <c r="F452" s="9"/>
      <c r="G452" s="9"/>
      <c r="H452" s="9"/>
      <c r="I452" s="9"/>
      <c r="J452" s="9"/>
      <c r="K452" s="9"/>
      <c r="L452" s="9"/>
      <c r="M452" s="9"/>
      <c r="N452" s="9"/>
      <c r="O452" s="9"/>
    </row>
    <row r="453" spans="1:15">
      <c r="A453" s="6" t="s">
        <v>753</v>
      </c>
      <c r="B453" s="6" t="s">
        <v>1841</v>
      </c>
      <c r="C453" s="6" t="s">
        <v>161</v>
      </c>
      <c r="D453" s="6" t="s">
        <v>162</v>
      </c>
      <c r="E453" s="6" t="s">
        <v>1884</v>
      </c>
      <c r="F453" s="10">
        <f>'Plant Inputs'!BS9</f>
        <v>0</v>
      </c>
      <c r="G453" s="10">
        <f>'Plant Inputs'!BS15</f>
        <v>0</v>
      </c>
      <c r="H453" s="10">
        <f>'Plant Inputs'!BS21</f>
        <v>0</v>
      </c>
      <c r="I453" s="10">
        <f>'Plant Inputs'!BS27</f>
        <v>0</v>
      </c>
      <c r="J453" s="10">
        <f>'Plant Inputs'!BS33</f>
        <v>0</v>
      </c>
      <c r="K453" s="10">
        <f>'Plant Inputs'!BS39</f>
        <v>0</v>
      </c>
      <c r="L453" s="10">
        <f>'Entity Inputs'!BQ9</f>
        <v>0.0</v>
      </c>
      <c r="M453" s="10">
        <f>'Entity Inputs'!BQ15</f>
        <v>0.0</v>
      </c>
      <c r="N453" s="10">
        <f>'Group Inputs'!BP9</f>
        <v>0.0</v>
      </c>
      <c r="O453" s="6" t="s">
        <v>1843</v>
      </c>
    </row>
    <row r="454" spans="1:15">
      <c r="A454" s="11" t="s">
        <v>753</v>
      </c>
      <c r="B454" s="11" t="s">
        <v>1844</v>
      </c>
      <c r="C454" s="11" t="s">
        <v>752</v>
      </c>
      <c r="D454" s="11"/>
      <c r="E454" s="11" t="s">
        <v>561</v>
      </c>
      <c r="F454" s="11">
        <f>'Plant KPIs'!K55</f>
        <v>0.0</v>
      </c>
      <c r="G454" s="11">
        <f>'Plant KPIs'!Q55</f>
        <v>0.0</v>
      </c>
      <c r="H454" s="11">
        <f>'Plant KPIs'!W55</f>
        <v>0.0</v>
      </c>
      <c r="I454" s="11">
        <f>'Plant KPIs'!AC55</f>
        <v>0.0</v>
      </c>
      <c r="J454" s="11">
        <f>'Plant KPIs'!AI55</f>
        <v>0.0</v>
      </c>
      <c r="K454" s="11">
        <f>'Plant KPIs'!AO55</f>
        <v>0.0</v>
      </c>
      <c r="L454" s="11">
        <f>'Entity KPIs'!K101</f>
        <v>0.0</v>
      </c>
      <c r="M454" s="11">
        <f>'Entity KPIs'!Q101</f>
        <v>0.0</v>
      </c>
      <c r="N454" s="11">
        <f>'Group KPIs'!K101</f>
        <v>0.0</v>
      </c>
      <c r="O454" s="11" t="s">
        <v>1845</v>
      </c>
    </row>
    <row r="456" spans="1:15">
      <c r="A456" s="9" t="s">
        <v>1959</v>
      </c>
      <c r="B456" s="9"/>
      <c r="C456" s="9"/>
      <c r="D456" s="9"/>
      <c r="E456" s="9"/>
      <c r="F456" s="9"/>
      <c r="G456" s="9"/>
      <c r="H456" s="9"/>
      <c r="I456" s="9"/>
      <c r="J456" s="9"/>
      <c r="K456" s="9"/>
      <c r="L456" s="9"/>
      <c r="M456" s="9"/>
      <c r="N456" s="9"/>
      <c r="O456" s="9"/>
    </row>
    <row r="457" spans="1:15">
      <c r="A457" s="6" t="s">
        <v>754</v>
      </c>
      <c r="B457" s="6" t="s">
        <v>1841</v>
      </c>
      <c r="C457" s="6" t="s">
        <v>165</v>
      </c>
      <c r="D457" s="6" t="s">
        <v>166</v>
      </c>
      <c r="E457" s="6" t="s">
        <v>1842</v>
      </c>
      <c r="F457" s="10">
        <f>'Plant Inputs'!BU9</f>
        <v>0</v>
      </c>
      <c r="G457" s="10">
        <f>'Plant Inputs'!BU15</f>
        <v>0</v>
      </c>
      <c r="H457" s="10">
        <f>'Plant Inputs'!BU21</f>
        <v>0</v>
      </c>
      <c r="I457" s="10">
        <f>'Plant Inputs'!BU27</f>
        <v>0</v>
      </c>
      <c r="J457" s="10">
        <f>'Plant Inputs'!BU33</f>
        <v>0</v>
      </c>
      <c r="K457" s="10">
        <f>'Plant Inputs'!BU39</f>
        <v>0</v>
      </c>
      <c r="L457" s="10">
        <f>'Entity Inputs'!BS9</f>
        <v>0.0</v>
      </c>
      <c r="M457" s="10">
        <f>'Entity Inputs'!BS15</f>
        <v>0.0</v>
      </c>
      <c r="N457" s="10">
        <f>'Group Inputs'!BR9</f>
        <v>0.0</v>
      </c>
      <c r="O457" s="6" t="s">
        <v>1843</v>
      </c>
    </row>
    <row r="458" spans="1:15">
      <c r="A458" s="11" t="s">
        <v>754</v>
      </c>
      <c r="B458" s="11" t="s">
        <v>1844</v>
      </c>
      <c r="C458" s="11" t="s">
        <v>755</v>
      </c>
      <c r="D458" s="11"/>
      <c r="E458" s="11" t="s">
        <v>577</v>
      </c>
      <c r="F458" s="11">
        <f>'Plant KPIs'!K56</f>
        <v>0.0</v>
      </c>
      <c r="G458" s="11">
        <f>'Plant KPIs'!Q56</f>
        <v>0.0</v>
      </c>
      <c r="H458" s="11">
        <f>'Plant KPIs'!W56</f>
        <v>0.0</v>
      </c>
      <c r="I458" s="11">
        <f>'Plant KPIs'!AC56</f>
        <v>0.0</v>
      </c>
      <c r="J458" s="11">
        <f>'Plant KPIs'!AI56</f>
        <v>0.0</v>
      </c>
      <c r="K458" s="11">
        <f>'Plant KPIs'!AO56</f>
        <v>0.0</v>
      </c>
      <c r="L458" s="11">
        <f>'Entity KPIs'!K102</f>
        <v>0.0</v>
      </c>
      <c r="M458" s="11">
        <f>'Entity KPIs'!Q102</f>
        <v>0.0</v>
      </c>
      <c r="N458" s="11">
        <f>'Group KPIs'!K102</f>
        <v>0.0</v>
      </c>
      <c r="O458" s="11" t="s">
        <v>1845</v>
      </c>
    </row>
    <row r="460" spans="1:15">
      <c r="A460" s="9" t="s">
        <v>1960</v>
      </c>
      <c r="B460" s="9"/>
      <c r="C460" s="9"/>
      <c r="D460" s="9"/>
      <c r="E460" s="9"/>
      <c r="F460" s="9"/>
      <c r="G460" s="9"/>
      <c r="H460" s="9"/>
      <c r="I460" s="9"/>
      <c r="J460" s="9"/>
      <c r="K460" s="9"/>
      <c r="L460" s="9"/>
      <c r="M460" s="9"/>
      <c r="N460" s="9"/>
      <c r="O460" s="9"/>
    </row>
    <row r="461" spans="1:15">
      <c r="A461" s="6" t="s">
        <v>756</v>
      </c>
      <c r="B461" s="6" t="s">
        <v>1841</v>
      </c>
      <c r="C461" s="6" t="s">
        <v>102</v>
      </c>
      <c r="D461" s="6" t="s">
        <v>103</v>
      </c>
      <c r="E461" s="6" t="s">
        <v>1884</v>
      </c>
      <c r="F461" s="10">
        <f>'Plant Inputs'!AP9</f>
        <v>2</v>
      </c>
      <c r="G461" s="10">
        <f>'Plant Inputs'!AP15</f>
        <v>2</v>
      </c>
      <c r="H461" s="10">
        <f>'Plant Inputs'!AP21</f>
        <v>0</v>
      </c>
      <c r="I461" s="10">
        <f>'Plant Inputs'!AP27</f>
        <v>0</v>
      </c>
      <c r="J461" s="10">
        <f>'Plant Inputs'!AP33</f>
        <v>0</v>
      </c>
      <c r="K461" s="10">
        <f>'Plant Inputs'!AP39</f>
        <v>0</v>
      </c>
      <c r="L461" s="10">
        <f>'Entity Inputs'!AN9</f>
        <v>4.0</v>
      </c>
      <c r="M461" s="10">
        <f>'Entity Inputs'!AN15</f>
        <v>0.0</v>
      </c>
      <c r="N461" s="10">
        <f>'Group Inputs'!AM9</f>
        <v>4.0</v>
      </c>
      <c r="O461" s="6" t="s">
        <v>1843</v>
      </c>
    </row>
    <row r="462" spans="1:15">
      <c r="A462" s="6" t="s">
        <v>756</v>
      </c>
      <c r="B462" s="6" t="s">
        <v>1841</v>
      </c>
      <c r="C462" s="6" t="s">
        <v>104</v>
      </c>
      <c r="D462" s="6" t="s">
        <v>105</v>
      </c>
      <c r="E462" s="6" t="s">
        <v>1884</v>
      </c>
      <c r="F462" s="10">
        <f>'Plant Inputs'!AQ9</f>
        <v>2</v>
      </c>
      <c r="G462" s="10">
        <f>'Plant Inputs'!AQ15</f>
        <v>1</v>
      </c>
      <c r="H462" s="10">
        <f>'Plant Inputs'!AQ21</f>
        <v>0</v>
      </c>
      <c r="I462" s="10">
        <f>'Plant Inputs'!AQ27</f>
        <v>0</v>
      </c>
      <c r="J462" s="10">
        <f>'Plant Inputs'!AQ33</f>
        <v>0</v>
      </c>
      <c r="K462" s="10">
        <f>'Plant Inputs'!AQ39</f>
        <v>0</v>
      </c>
      <c r="L462" s="10">
        <f>'Entity Inputs'!AO9</f>
        <v>3.0</v>
      </c>
      <c r="M462" s="10">
        <f>'Entity Inputs'!AO15</f>
        <v>0.0</v>
      </c>
      <c r="N462" s="10">
        <f>'Group Inputs'!AN9</f>
        <v>3.0</v>
      </c>
      <c r="O462" s="6" t="s">
        <v>1843</v>
      </c>
    </row>
    <row r="463" spans="1:15">
      <c r="A463" s="11" t="s">
        <v>756</v>
      </c>
      <c r="B463" s="11" t="s">
        <v>1844</v>
      </c>
      <c r="C463" s="11" t="s">
        <v>757</v>
      </c>
      <c r="D463" s="11"/>
      <c r="E463" s="11" t="s">
        <v>561</v>
      </c>
      <c r="F463" s="11">
        <f>'Plant KPIs'!K57</f>
        <v>100.0</v>
      </c>
      <c r="G463" s="11">
        <f>'Plant KPIs'!Q57</f>
        <v>75.0</v>
      </c>
      <c r="H463" s="11">
        <f>'Plant KPIs'!W57</f>
        <v>60.0</v>
      </c>
      <c r="I463" s="11">
        <f>'Plant KPIs'!AC57</f>
        <v>85.71</v>
      </c>
      <c r="J463" s="11">
        <f>'Plant KPIs'!AI57</f>
        <v>83.33</v>
      </c>
      <c r="K463" s="11">
        <f>'Plant KPIs'!AO57</f>
        <v>92.31</v>
      </c>
      <c r="L463" s="11">
        <f>'Entity KPIs'!K103</f>
        <v>81.82</v>
      </c>
      <c r="M463" s="11">
        <f>'Entity KPIs'!Q103</f>
        <v>88.46</v>
      </c>
      <c r="N463" s="11">
        <f>'Group KPIs'!K103</f>
        <v>85.42</v>
      </c>
      <c r="O463" s="11" t="s">
        <v>1845</v>
      </c>
    </row>
    <row r="465" spans="1:15">
      <c r="A465" s="9" t="s">
        <v>1961</v>
      </c>
      <c r="B465" s="9"/>
      <c r="C465" s="9"/>
      <c r="D465" s="9"/>
      <c r="E465" s="9"/>
      <c r="F465" s="9"/>
      <c r="G465" s="9"/>
      <c r="H465" s="9"/>
      <c r="I465" s="9"/>
      <c r="J465" s="9"/>
      <c r="K465" s="9"/>
      <c r="L465" s="9"/>
      <c r="M465" s="9"/>
      <c r="N465" s="9"/>
      <c r="O465" s="9"/>
    </row>
    <row r="466" spans="1:15">
      <c r="A466" s="6" t="s">
        <v>759</v>
      </c>
      <c r="B466" s="6" t="s">
        <v>1841</v>
      </c>
      <c r="C466" s="6" t="s">
        <v>318</v>
      </c>
      <c r="D466" s="6" t="s">
        <v>319</v>
      </c>
      <c r="E466" s="6" t="s">
        <v>1884</v>
      </c>
      <c r="F466" s="6" t="s">
        <v>1228</v>
      </c>
      <c r="G466" s="6" t="s">
        <v>1228</v>
      </c>
      <c r="H466" s="6" t="s">
        <v>1228</v>
      </c>
      <c r="I466" s="6" t="s">
        <v>1228</v>
      </c>
      <c r="J466" s="6" t="s">
        <v>1228</v>
      </c>
      <c r="K466" s="6" t="s">
        <v>1228</v>
      </c>
      <c r="L466" s="10">
        <f>'Entity Inputs'!EI9</f>
        <v>0</v>
      </c>
      <c r="M466" s="10">
        <f>'Entity Inputs'!EI15</f>
        <v>1</v>
      </c>
      <c r="N466" s="10">
        <f>'Group Inputs'!EH9</f>
        <v>1.0</v>
      </c>
      <c r="O466" s="6" t="s">
        <v>1892</v>
      </c>
    </row>
    <row r="467" spans="1:15">
      <c r="A467" s="11" t="s">
        <v>759</v>
      </c>
      <c r="B467" s="11" t="s">
        <v>1844</v>
      </c>
      <c r="C467" s="11" t="s">
        <v>760</v>
      </c>
      <c r="D467" s="11"/>
      <c r="E467" s="11" t="s">
        <v>561</v>
      </c>
      <c r="F467" s="11" t="s">
        <v>1228</v>
      </c>
      <c r="G467" s="11" t="s">
        <v>1228</v>
      </c>
      <c r="H467" s="11" t="s">
        <v>1228</v>
      </c>
      <c r="I467" s="11" t="s">
        <v>1228</v>
      </c>
      <c r="J467" s="11" t="s">
        <v>1228</v>
      </c>
      <c r="K467" s="11" t="s">
        <v>1228</v>
      </c>
      <c r="L467" s="11">
        <f>'Entity KPIs'!K104</f>
        <v>2.0</v>
      </c>
      <c r="M467" s="11">
        <f>'Entity KPIs'!Q104</f>
        <v>2.0</v>
      </c>
      <c r="N467" s="11">
        <f>'Group KPIs'!K104</f>
        <v>4.0</v>
      </c>
      <c r="O467" s="11" t="s">
        <v>1845</v>
      </c>
    </row>
    <row r="469" spans="1:15">
      <c r="A469" s="9" t="s">
        <v>1962</v>
      </c>
      <c r="B469" s="9"/>
      <c r="C469" s="9"/>
      <c r="D469" s="9"/>
      <c r="E469" s="9"/>
      <c r="F469" s="9"/>
      <c r="G469" s="9"/>
      <c r="H469" s="9"/>
      <c r="I469" s="9"/>
      <c r="J469" s="9"/>
      <c r="K469" s="9"/>
      <c r="L469" s="9"/>
      <c r="M469" s="9"/>
      <c r="N469" s="9"/>
      <c r="O469" s="9"/>
    </row>
    <row r="470" spans="1:15">
      <c r="A470" s="6" t="s">
        <v>762</v>
      </c>
      <c r="B470" s="6" t="s">
        <v>1841</v>
      </c>
      <c r="C470" s="6" t="s">
        <v>320</v>
      </c>
      <c r="D470" s="6" t="s">
        <v>321</v>
      </c>
      <c r="E470" s="6" t="s">
        <v>1884</v>
      </c>
      <c r="F470" s="6" t="s">
        <v>1228</v>
      </c>
      <c r="G470" s="6" t="s">
        <v>1228</v>
      </c>
      <c r="H470" s="6" t="s">
        <v>1228</v>
      </c>
      <c r="I470" s="6" t="s">
        <v>1228</v>
      </c>
      <c r="J470" s="6" t="s">
        <v>1228</v>
      </c>
      <c r="K470" s="6" t="s">
        <v>1228</v>
      </c>
      <c r="L470" s="10">
        <f>'Entity Inputs'!EJ9</f>
        <v>0</v>
      </c>
      <c r="M470" s="10">
        <f>'Entity Inputs'!EJ15</f>
        <v>0</v>
      </c>
      <c r="N470" s="10">
        <f>'Group Inputs'!EI9</f>
        <v>0.0</v>
      </c>
      <c r="O470" s="6" t="s">
        <v>1892</v>
      </c>
    </row>
    <row r="471" spans="1:15">
      <c r="A471" s="11" t="s">
        <v>762</v>
      </c>
      <c r="B471" s="11" t="s">
        <v>1844</v>
      </c>
      <c r="C471" s="11" t="s">
        <v>763</v>
      </c>
      <c r="D471" s="11"/>
      <c r="E471" s="11" t="s">
        <v>561</v>
      </c>
      <c r="F471" s="11" t="s">
        <v>1228</v>
      </c>
      <c r="G471" s="11" t="s">
        <v>1228</v>
      </c>
      <c r="H471" s="11" t="s">
        <v>1228</v>
      </c>
      <c r="I471" s="11" t="s">
        <v>1228</v>
      </c>
      <c r="J471" s="11" t="s">
        <v>1228</v>
      </c>
      <c r="K471" s="11" t="s">
        <v>1228</v>
      </c>
      <c r="L471" s="11">
        <f>'Entity KPIs'!K105</f>
        <v>0.0</v>
      </c>
      <c r="M471" s="11">
        <f>'Entity KPIs'!Q105</f>
        <v>0.0</v>
      </c>
      <c r="N471" s="11">
        <f>'Group KPIs'!K105</f>
        <v>0.0</v>
      </c>
      <c r="O471" s="11" t="s">
        <v>1845</v>
      </c>
    </row>
    <row r="473" spans="1:15">
      <c r="A473" s="9" t="s">
        <v>1963</v>
      </c>
      <c r="B473" s="9"/>
      <c r="C473" s="9"/>
      <c r="D473" s="9"/>
      <c r="E473" s="9"/>
      <c r="F473" s="9"/>
      <c r="G473" s="9"/>
      <c r="H473" s="9"/>
      <c r="I473" s="9"/>
      <c r="J473" s="9"/>
      <c r="K473" s="9"/>
      <c r="L473" s="9"/>
      <c r="M473" s="9"/>
      <c r="N473" s="9"/>
      <c r="O473" s="9"/>
    </row>
    <row r="474" spans="1:15">
      <c r="A474" s="6" t="s">
        <v>765</v>
      </c>
      <c r="B474" s="6" t="s">
        <v>1841</v>
      </c>
      <c r="C474" s="6" t="s">
        <v>326</v>
      </c>
      <c r="D474" s="6" t="s">
        <v>327</v>
      </c>
      <c r="E474" s="6" t="s">
        <v>1884</v>
      </c>
      <c r="F474" s="6" t="s">
        <v>1228</v>
      </c>
      <c r="G474" s="6" t="s">
        <v>1228</v>
      </c>
      <c r="H474" s="6" t="s">
        <v>1228</v>
      </c>
      <c r="I474" s="6" t="s">
        <v>1228</v>
      </c>
      <c r="J474" s="6" t="s">
        <v>1228</v>
      </c>
      <c r="K474" s="6" t="s">
        <v>1228</v>
      </c>
      <c r="L474" s="10">
        <f>'Entity Inputs'!EM9</f>
        <v>1</v>
      </c>
      <c r="M474" s="10">
        <f>'Entity Inputs'!EM15</f>
        <v>0</v>
      </c>
      <c r="N474" s="10">
        <f>'Group Inputs'!EL9</f>
        <v>1.0</v>
      </c>
      <c r="O474" s="6" t="s">
        <v>1892</v>
      </c>
    </row>
    <row r="475" spans="1:15">
      <c r="A475" s="11" t="s">
        <v>765</v>
      </c>
      <c r="B475" s="11" t="s">
        <v>1844</v>
      </c>
      <c r="C475" s="11" t="s">
        <v>766</v>
      </c>
      <c r="D475" s="11"/>
      <c r="E475" s="11" t="s">
        <v>561</v>
      </c>
      <c r="F475" s="11" t="s">
        <v>1228</v>
      </c>
      <c r="G475" s="11" t="s">
        <v>1228</v>
      </c>
      <c r="H475" s="11" t="s">
        <v>1228</v>
      </c>
      <c r="I475" s="11" t="s">
        <v>1228</v>
      </c>
      <c r="J475" s="11" t="s">
        <v>1228</v>
      </c>
      <c r="K475" s="11" t="s">
        <v>1228</v>
      </c>
      <c r="L475" s="11">
        <f>'Entity KPIs'!K106</f>
        <v>2.0</v>
      </c>
      <c r="M475" s="11">
        <f>'Entity KPIs'!Q106</f>
        <v>2.0</v>
      </c>
      <c r="N475" s="11">
        <f>'Group KPIs'!K106</f>
        <v>4.0</v>
      </c>
      <c r="O475" s="11" t="s">
        <v>1845</v>
      </c>
    </row>
    <row r="477" spans="1:15">
      <c r="A477" s="9" t="s">
        <v>1964</v>
      </c>
      <c r="B477" s="9"/>
      <c r="C477" s="9"/>
      <c r="D477" s="9"/>
      <c r="E477" s="9"/>
      <c r="F477" s="9"/>
      <c r="G477" s="9"/>
      <c r="H477" s="9"/>
      <c r="I477" s="9"/>
      <c r="J477" s="9"/>
      <c r="K477" s="9"/>
      <c r="L477" s="9"/>
      <c r="M477" s="9"/>
      <c r="N477" s="9"/>
      <c r="O477" s="9"/>
    </row>
    <row r="478" spans="1:15">
      <c r="A478" s="6" t="s">
        <v>768</v>
      </c>
      <c r="B478" s="6" t="s">
        <v>1841</v>
      </c>
      <c r="C478" s="6" t="s">
        <v>328</v>
      </c>
      <c r="D478" s="6" t="s">
        <v>329</v>
      </c>
      <c r="E478" s="6" t="s">
        <v>1884</v>
      </c>
      <c r="F478" s="6" t="s">
        <v>1228</v>
      </c>
      <c r="G478" s="6" t="s">
        <v>1228</v>
      </c>
      <c r="H478" s="6" t="s">
        <v>1228</v>
      </c>
      <c r="I478" s="6" t="s">
        <v>1228</v>
      </c>
      <c r="J478" s="6" t="s">
        <v>1228</v>
      </c>
      <c r="K478" s="6" t="s">
        <v>1228</v>
      </c>
      <c r="L478" s="10">
        <f>'Entity Inputs'!EN9</f>
        <v>0</v>
      </c>
      <c r="M478" s="10">
        <f>'Entity Inputs'!EN15</f>
        <v>0</v>
      </c>
      <c r="N478" s="10">
        <f>'Group Inputs'!EM9</f>
        <v>0.0</v>
      </c>
      <c r="O478" s="6" t="s">
        <v>1892</v>
      </c>
    </row>
    <row r="479" spans="1:15">
      <c r="A479" s="11" t="s">
        <v>768</v>
      </c>
      <c r="B479" s="11" t="s">
        <v>1844</v>
      </c>
      <c r="C479" s="11" t="s">
        <v>769</v>
      </c>
      <c r="D479" s="11"/>
      <c r="E479" s="11" t="s">
        <v>561</v>
      </c>
      <c r="F479" s="11" t="s">
        <v>1228</v>
      </c>
      <c r="G479" s="11" t="s">
        <v>1228</v>
      </c>
      <c r="H479" s="11" t="s">
        <v>1228</v>
      </c>
      <c r="I479" s="11" t="s">
        <v>1228</v>
      </c>
      <c r="J479" s="11" t="s">
        <v>1228</v>
      </c>
      <c r="K479" s="11" t="s">
        <v>1228</v>
      </c>
      <c r="L479" s="11">
        <f>'Entity KPIs'!K107</f>
        <v>0.0</v>
      </c>
      <c r="M479" s="11">
        <f>'Entity KPIs'!Q107</f>
        <v>0.0</v>
      </c>
      <c r="N479" s="11">
        <f>'Group KPIs'!K107</f>
        <v>0.0</v>
      </c>
      <c r="O479" s="11" t="s">
        <v>1845</v>
      </c>
    </row>
    <row r="481" spans="1:15">
      <c r="A481" s="9" t="s">
        <v>1965</v>
      </c>
      <c r="B481" s="9"/>
      <c r="C481" s="9"/>
      <c r="D481" s="9"/>
      <c r="E481" s="9"/>
      <c r="F481" s="9"/>
      <c r="G481" s="9"/>
      <c r="H481" s="9"/>
      <c r="I481" s="9"/>
      <c r="J481" s="9"/>
      <c r="K481" s="9"/>
      <c r="L481" s="9"/>
      <c r="M481" s="9"/>
      <c r="N481" s="9"/>
      <c r="O481" s="9"/>
    </row>
    <row r="482" spans="1:15">
      <c r="A482" s="6" t="s">
        <v>771</v>
      </c>
      <c r="B482" s="6" t="s">
        <v>1841</v>
      </c>
      <c r="C482" s="6" t="s">
        <v>330</v>
      </c>
      <c r="D482" s="6" t="s">
        <v>331</v>
      </c>
      <c r="E482" s="6" t="s">
        <v>1884</v>
      </c>
      <c r="F482" s="6" t="s">
        <v>1228</v>
      </c>
      <c r="G482" s="6" t="s">
        <v>1228</v>
      </c>
      <c r="H482" s="6" t="s">
        <v>1228</v>
      </c>
      <c r="I482" s="6" t="s">
        <v>1228</v>
      </c>
      <c r="J482" s="6" t="s">
        <v>1228</v>
      </c>
      <c r="K482" s="6" t="s">
        <v>1228</v>
      </c>
      <c r="L482" s="10">
        <f>'Entity Inputs'!EO9</f>
        <v>0</v>
      </c>
      <c r="M482" s="10">
        <f>'Entity Inputs'!EO15</f>
        <v>0</v>
      </c>
      <c r="N482" s="10">
        <f>'Group Inputs'!EN9</f>
        <v>0.0</v>
      </c>
      <c r="O482" s="6" t="s">
        <v>1892</v>
      </c>
    </row>
    <row r="483" spans="1:15">
      <c r="A483" s="11" t="s">
        <v>771</v>
      </c>
      <c r="B483" s="11" t="s">
        <v>1844</v>
      </c>
      <c r="C483" s="11" t="s">
        <v>772</v>
      </c>
      <c r="D483" s="11"/>
      <c r="E483" s="11" t="s">
        <v>561</v>
      </c>
      <c r="F483" s="11" t="s">
        <v>1228</v>
      </c>
      <c r="G483" s="11" t="s">
        <v>1228</v>
      </c>
      <c r="H483" s="11" t="s">
        <v>1228</v>
      </c>
      <c r="I483" s="11" t="s">
        <v>1228</v>
      </c>
      <c r="J483" s="11" t="s">
        <v>1228</v>
      </c>
      <c r="K483" s="11" t="s">
        <v>1228</v>
      </c>
      <c r="L483" s="11">
        <f>'Entity KPIs'!K108</f>
        <v>0.0</v>
      </c>
      <c r="M483" s="11">
        <f>'Entity KPIs'!Q108</f>
        <v>1.0</v>
      </c>
      <c r="N483" s="11">
        <f>'Group KPIs'!K108</f>
        <v>1.0</v>
      </c>
      <c r="O483" s="11" t="s">
        <v>1845</v>
      </c>
    </row>
    <row r="485" spans="1:15">
      <c r="A485" s="9" t="s">
        <v>1966</v>
      </c>
      <c r="B485" s="9"/>
      <c r="C485" s="9"/>
      <c r="D485" s="9"/>
      <c r="E485" s="9"/>
      <c r="F485" s="9"/>
      <c r="G485" s="9"/>
      <c r="H485" s="9"/>
      <c r="I485" s="9"/>
      <c r="J485" s="9"/>
      <c r="K485" s="9"/>
      <c r="L485" s="9"/>
      <c r="M485" s="9"/>
      <c r="N485" s="9"/>
      <c r="O485" s="9"/>
    </row>
    <row r="486" spans="1:15">
      <c r="A486" s="6" t="s">
        <v>774</v>
      </c>
      <c r="B486" s="6" t="s">
        <v>1841</v>
      </c>
      <c r="C486" s="6" t="s">
        <v>332</v>
      </c>
      <c r="D486" s="6" t="s">
        <v>333</v>
      </c>
      <c r="E486" s="6" t="s">
        <v>1884</v>
      </c>
      <c r="F486" s="6" t="s">
        <v>1228</v>
      </c>
      <c r="G486" s="6" t="s">
        <v>1228</v>
      </c>
      <c r="H486" s="6" t="s">
        <v>1228</v>
      </c>
      <c r="I486" s="6" t="s">
        <v>1228</v>
      </c>
      <c r="J486" s="6" t="s">
        <v>1228</v>
      </c>
      <c r="K486" s="6" t="s">
        <v>1228</v>
      </c>
      <c r="L486" s="10">
        <f>'Entity Inputs'!EP9</f>
        <v>0</v>
      </c>
      <c r="M486" s="10">
        <f>'Entity Inputs'!EP15</f>
        <v>0</v>
      </c>
      <c r="N486" s="10">
        <f>'Group Inputs'!EO9</f>
        <v>0.0</v>
      </c>
      <c r="O486" s="6" t="s">
        <v>1892</v>
      </c>
    </row>
    <row r="487" spans="1:15">
      <c r="A487" s="11" t="s">
        <v>774</v>
      </c>
      <c r="B487" s="11" t="s">
        <v>1844</v>
      </c>
      <c r="C487" s="11" t="s">
        <v>775</v>
      </c>
      <c r="D487" s="11"/>
      <c r="E487" s="11" t="s">
        <v>561</v>
      </c>
      <c r="F487" s="11" t="s">
        <v>1228</v>
      </c>
      <c r="G487" s="11" t="s">
        <v>1228</v>
      </c>
      <c r="H487" s="11" t="s">
        <v>1228</v>
      </c>
      <c r="I487" s="11" t="s">
        <v>1228</v>
      </c>
      <c r="J487" s="11" t="s">
        <v>1228</v>
      </c>
      <c r="K487" s="11" t="s">
        <v>1228</v>
      </c>
      <c r="L487" s="11">
        <f>'Entity KPIs'!K109</f>
        <v>0.0</v>
      </c>
      <c r="M487" s="11">
        <f>'Entity KPIs'!Q109</f>
        <v>0.0</v>
      </c>
      <c r="N487" s="11">
        <f>'Group KPIs'!K109</f>
        <v>0.0</v>
      </c>
      <c r="O487" s="11" t="s">
        <v>1845</v>
      </c>
    </row>
    <row r="489" spans="1:15">
      <c r="A489" s="9" t="s">
        <v>1967</v>
      </c>
      <c r="B489" s="9"/>
      <c r="C489" s="9"/>
      <c r="D489" s="9"/>
      <c r="E489" s="9"/>
      <c r="F489" s="9"/>
      <c r="G489" s="9"/>
      <c r="H489" s="9"/>
      <c r="I489" s="9"/>
      <c r="J489" s="9"/>
      <c r="K489" s="9"/>
      <c r="L489" s="9"/>
      <c r="M489" s="9"/>
      <c r="N489" s="9"/>
      <c r="O489" s="9"/>
    </row>
    <row r="490" spans="1:15">
      <c r="A490" s="6" t="s">
        <v>777</v>
      </c>
      <c r="B490" s="6" t="s">
        <v>1841</v>
      </c>
      <c r="C490" s="6" t="s">
        <v>334</v>
      </c>
      <c r="D490" s="6" t="s">
        <v>335</v>
      </c>
      <c r="E490" s="6" t="s">
        <v>1884</v>
      </c>
      <c r="F490" s="6" t="s">
        <v>1228</v>
      </c>
      <c r="G490" s="6" t="s">
        <v>1228</v>
      </c>
      <c r="H490" s="6" t="s">
        <v>1228</v>
      </c>
      <c r="I490" s="6" t="s">
        <v>1228</v>
      </c>
      <c r="J490" s="6" t="s">
        <v>1228</v>
      </c>
      <c r="K490" s="6" t="s">
        <v>1228</v>
      </c>
      <c r="L490" s="10">
        <f>'Entity Inputs'!EQ9</f>
        <v>0</v>
      </c>
      <c r="M490" s="10">
        <f>'Entity Inputs'!EQ15</f>
        <v>0</v>
      </c>
      <c r="N490" s="10">
        <f>'Group Inputs'!EP9</f>
        <v>0.0</v>
      </c>
      <c r="O490" s="6" t="s">
        <v>1892</v>
      </c>
    </row>
    <row r="491" spans="1:15">
      <c r="A491" s="11" t="s">
        <v>777</v>
      </c>
      <c r="B491" s="11" t="s">
        <v>1844</v>
      </c>
      <c r="C491" s="11" t="s">
        <v>778</v>
      </c>
      <c r="D491" s="11"/>
      <c r="E491" s="11" t="s">
        <v>561</v>
      </c>
      <c r="F491" s="11" t="s">
        <v>1228</v>
      </c>
      <c r="G491" s="11" t="s">
        <v>1228</v>
      </c>
      <c r="H491" s="11" t="s">
        <v>1228</v>
      </c>
      <c r="I491" s="11" t="s">
        <v>1228</v>
      </c>
      <c r="J491" s="11" t="s">
        <v>1228</v>
      </c>
      <c r="K491" s="11" t="s">
        <v>1228</v>
      </c>
      <c r="L491" s="11">
        <f>'Entity KPIs'!K110</f>
        <v>0.0</v>
      </c>
      <c r="M491" s="11">
        <f>'Entity KPIs'!Q110</f>
        <v>0.0</v>
      </c>
      <c r="N491" s="11">
        <f>'Group KPIs'!K110</f>
        <v>0.0</v>
      </c>
      <c r="O491" s="11" t="s">
        <v>1845</v>
      </c>
    </row>
    <row r="493" spans="1:15">
      <c r="A493" s="9" t="s">
        <v>1968</v>
      </c>
      <c r="B493" s="9"/>
      <c r="C493" s="9"/>
      <c r="D493" s="9"/>
      <c r="E493" s="9"/>
      <c r="F493" s="9"/>
      <c r="G493" s="9"/>
      <c r="H493" s="9"/>
      <c r="I493" s="9"/>
      <c r="J493" s="9"/>
      <c r="K493" s="9"/>
      <c r="L493" s="9"/>
      <c r="M493" s="9"/>
      <c r="N493" s="9"/>
      <c r="O493" s="9"/>
    </row>
    <row r="494" spans="1:15">
      <c r="A494" s="6" t="s">
        <v>780</v>
      </c>
      <c r="B494" s="6" t="s">
        <v>1841</v>
      </c>
      <c r="C494" s="6" t="s">
        <v>336</v>
      </c>
      <c r="D494" s="6" t="s">
        <v>337</v>
      </c>
      <c r="E494" s="6" t="s">
        <v>1884</v>
      </c>
      <c r="F494" s="6" t="s">
        <v>1228</v>
      </c>
      <c r="G494" s="6" t="s">
        <v>1228</v>
      </c>
      <c r="H494" s="6" t="s">
        <v>1228</v>
      </c>
      <c r="I494" s="6" t="s">
        <v>1228</v>
      </c>
      <c r="J494" s="6" t="s">
        <v>1228</v>
      </c>
      <c r="K494" s="6" t="s">
        <v>1228</v>
      </c>
      <c r="L494" s="10">
        <f>'Entity Inputs'!ER9</f>
        <v>1</v>
      </c>
      <c r="M494" s="10">
        <f>'Entity Inputs'!ER15</f>
        <v>2</v>
      </c>
      <c r="N494" s="10">
        <f>'Group Inputs'!EQ9</f>
        <v>3.0</v>
      </c>
      <c r="O494" s="6" t="s">
        <v>1892</v>
      </c>
    </row>
    <row r="495" spans="1:15">
      <c r="A495" s="11" t="s">
        <v>780</v>
      </c>
      <c r="B495" s="11" t="s">
        <v>1844</v>
      </c>
      <c r="C495" s="11" t="s">
        <v>781</v>
      </c>
      <c r="D495" s="11"/>
      <c r="E495" s="11" t="s">
        <v>561</v>
      </c>
      <c r="F495" s="11" t="s">
        <v>1228</v>
      </c>
      <c r="G495" s="11" t="s">
        <v>1228</v>
      </c>
      <c r="H495" s="11" t="s">
        <v>1228</v>
      </c>
      <c r="I495" s="11" t="s">
        <v>1228</v>
      </c>
      <c r="J495" s="11" t="s">
        <v>1228</v>
      </c>
      <c r="K495" s="11" t="s">
        <v>1228</v>
      </c>
      <c r="L495" s="11">
        <f>'Entity KPIs'!K111</f>
        <v>7.0</v>
      </c>
      <c r="M495" s="11">
        <f>'Entity KPIs'!Q111</f>
        <v>7.0</v>
      </c>
      <c r="N495" s="11">
        <f>'Group KPIs'!K111</f>
        <v>14.0</v>
      </c>
      <c r="O495" s="11" t="s">
        <v>1845</v>
      </c>
    </row>
    <row r="497" spans="1:15">
      <c r="A497" s="9" t="s">
        <v>1969</v>
      </c>
      <c r="B497" s="9"/>
      <c r="C497" s="9"/>
      <c r="D497" s="9"/>
      <c r="E497" s="9"/>
      <c r="F497" s="9"/>
      <c r="G497" s="9"/>
      <c r="H497" s="9"/>
      <c r="I497" s="9"/>
      <c r="J497" s="9"/>
      <c r="K497" s="9"/>
      <c r="L497" s="9"/>
      <c r="M497" s="9"/>
      <c r="N497" s="9"/>
      <c r="O497" s="9"/>
    </row>
    <row r="498" spans="1:15">
      <c r="A498" s="6" t="s">
        <v>783</v>
      </c>
      <c r="B498" s="6" t="s">
        <v>1841</v>
      </c>
      <c r="C498" s="6" t="s">
        <v>324</v>
      </c>
      <c r="D498" s="6" t="s">
        <v>325</v>
      </c>
      <c r="E498" s="6" t="s">
        <v>1884</v>
      </c>
      <c r="F498" s="6" t="s">
        <v>1228</v>
      </c>
      <c r="G498" s="6" t="s">
        <v>1228</v>
      </c>
      <c r="H498" s="6" t="s">
        <v>1228</v>
      </c>
      <c r="I498" s="6" t="s">
        <v>1228</v>
      </c>
      <c r="J498" s="6" t="s">
        <v>1228</v>
      </c>
      <c r="K498" s="6" t="s">
        <v>1228</v>
      </c>
      <c r="L498" s="10">
        <f>'Entity Inputs'!EL9</f>
        <v>0</v>
      </c>
      <c r="M498" s="10">
        <f>'Entity Inputs'!EL15</f>
        <v>0</v>
      </c>
      <c r="N498" s="10">
        <f>'Group Inputs'!EK9</f>
        <v>0.0</v>
      </c>
      <c r="O498" s="6" t="s">
        <v>1892</v>
      </c>
    </row>
    <row r="499" spans="1:15">
      <c r="A499" s="6" t="s">
        <v>783</v>
      </c>
      <c r="B499" s="6" t="s">
        <v>1841</v>
      </c>
      <c r="C499" s="6" t="s">
        <v>322</v>
      </c>
      <c r="D499" s="6" t="s">
        <v>323</v>
      </c>
      <c r="E499" s="6" t="s">
        <v>1884</v>
      </c>
      <c r="F499" s="6" t="s">
        <v>1228</v>
      </c>
      <c r="G499" s="6" t="s">
        <v>1228</v>
      </c>
      <c r="H499" s="6" t="s">
        <v>1228</v>
      </c>
      <c r="I499" s="6" t="s">
        <v>1228</v>
      </c>
      <c r="J499" s="6" t="s">
        <v>1228</v>
      </c>
      <c r="K499" s="6" t="s">
        <v>1228</v>
      </c>
      <c r="L499" s="10">
        <f>'Entity Inputs'!EK9</f>
        <v>0</v>
      </c>
      <c r="M499" s="10">
        <f>'Entity Inputs'!EK15</f>
        <v>0</v>
      </c>
      <c r="N499" s="10">
        <f>'Group Inputs'!EJ9</f>
        <v>0.0</v>
      </c>
      <c r="O499" s="6" t="s">
        <v>1892</v>
      </c>
    </row>
    <row r="500" spans="1:15">
      <c r="A500" s="11" t="s">
        <v>783</v>
      </c>
      <c r="B500" s="11" t="s">
        <v>1844</v>
      </c>
      <c r="C500" s="11" t="s">
        <v>784</v>
      </c>
      <c r="D500" s="11"/>
      <c r="E500" s="11" t="s">
        <v>561</v>
      </c>
      <c r="F500" s="11" t="s">
        <v>1228</v>
      </c>
      <c r="G500" s="11" t="s">
        <v>1228</v>
      </c>
      <c r="H500" s="11" t="s">
        <v>1228</v>
      </c>
      <c r="I500" s="11" t="s">
        <v>1228</v>
      </c>
      <c r="J500" s="11" t="s">
        <v>1228</v>
      </c>
      <c r="K500" s="11" t="s">
        <v>1228</v>
      </c>
      <c r="L500" s="11" t="str">
        <f>'Entity KPIs'!K112</f>
        <v>2 of 4</v>
      </c>
      <c r="M500" s="11" t="str">
        <f>'Entity KPIs'!Q112</f>
        <v>4 of 4</v>
      </c>
      <c r="N500" s="11" t="str">
        <f>'Group KPIs'!K112</f>
        <v>6 of 8</v>
      </c>
      <c r="O500" s="11" t="s">
        <v>1845</v>
      </c>
    </row>
    <row r="502" spans="1:15">
      <c r="A502" s="9" t="s">
        <v>1970</v>
      </c>
      <c r="B502" s="9"/>
      <c r="C502" s="9"/>
      <c r="D502" s="9"/>
      <c r="E502" s="9"/>
      <c r="F502" s="9"/>
      <c r="G502" s="9"/>
      <c r="H502" s="9"/>
      <c r="I502" s="9"/>
      <c r="J502" s="9"/>
      <c r="K502" s="9"/>
      <c r="L502" s="9"/>
      <c r="M502" s="9"/>
      <c r="N502" s="9"/>
      <c r="O502" s="9"/>
    </row>
    <row r="503" spans="1:15">
      <c r="A503" s="6" t="s">
        <v>786</v>
      </c>
      <c r="B503" s="6" t="s">
        <v>1841</v>
      </c>
      <c r="C503" s="6" t="s">
        <v>338</v>
      </c>
      <c r="D503" s="6" t="s">
        <v>339</v>
      </c>
      <c r="E503" s="6" t="s">
        <v>1842</v>
      </c>
      <c r="F503" s="6" t="s">
        <v>1228</v>
      </c>
      <c r="G503" s="6" t="s">
        <v>1228</v>
      </c>
      <c r="H503" s="6" t="s">
        <v>1228</v>
      </c>
      <c r="I503" s="6" t="s">
        <v>1228</v>
      </c>
      <c r="J503" s="6" t="s">
        <v>1228</v>
      </c>
      <c r="K503" s="6" t="s">
        <v>1228</v>
      </c>
      <c r="L503" s="10">
        <f>'Entity Inputs'!ES9</f>
        <v>1</v>
      </c>
      <c r="M503" s="10">
        <f>'Entity Inputs'!ES15</f>
        <v>1</v>
      </c>
      <c r="N503" s="10">
        <f>'Group Inputs'!ER9</f>
        <v>2.0</v>
      </c>
      <c r="O503" s="6" t="s">
        <v>1892</v>
      </c>
    </row>
    <row r="504" spans="1:15">
      <c r="A504" s="11" t="s">
        <v>786</v>
      </c>
      <c r="B504" s="11" t="s">
        <v>1844</v>
      </c>
      <c r="C504" s="11" t="s">
        <v>787</v>
      </c>
      <c r="D504" s="11"/>
      <c r="E504" s="11" t="s">
        <v>577</v>
      </c>
      <c r="F504" s="11" t="s">
        <v>1228</v>
      </c>
      <c r="G504" s="11" t="s">
        <v>1228</v>
      </c>
      <c r="H504" s="11" t="s">
        <v>1228</v>
      </c>
      <c r="I504" s="11" t="s">
        <v>1228</v>
      </c>
      <c r="J504" s="11" t="s">
        <v>1228</v>
      </c>
      <c r="K504" s="11" t="s">
        <v>1228</v>
      </c>
      <c r="L504" s="11">
        <f>'Entity KPIs'!K113</f>
        <v>1.0</v>
      </c>
      <c r="M504" s="11">
        <f>'Entity KPIs'!Q113</f>
        <v>1.0</v>
      </c>
      <c r="N504" s="11">
        <f>'Group KPIs'!K113</f>
        <v>2.0</v>
      </c>
      <c r="O504" s="11" t="s">
        <v>1845</v>
      </c>
    </row>
    <row r="506" spans="1:15">
      <c r="A506" s="9" t="s">
        <v>1971</v>
      </c>
      <c r="B506" s="9"/>
      <c r="C506" s="9"/>
      <c r="D506" s="9"/>
      <c r="E506" s="9"/>
      <c r="F506" s="9"/>
      <c r="G506" s="9"/>
      <c r="H506" s="9"/>
      <c r="I506" s="9"/>
      <c r="J506" s="9"/>
      <c r="K506" s="9"/>
      <c r="L506" s="9"/>
      <c r="M506" s="9"/>
      <c r="N506" s="9"/>
      <c r="O506" s="9"/>
    </row>
    <row r="507" spans="1:15">
      <c r="A507" s="6" t="s">
        <v>789</v>
      </c>
      <c r="B507" s="6" t="s">
        <v>1841</v>
      </c>
      <c r="C507" s="6" t="s">
        <v>340</v>
      </c>
      <c r="D507" s="6" t="s">
        <v>341</v>
      </c>
      <c r="E507" s="6" t="s">
        <v>1842</v>
      </c>
      <c r="F507" s="6" t="s">
        <v>1228</v>
      </c>
      <c r="G507" s="6" t="s">
        <v>1228</v>
      </c>
      <c r="H507" s="6" t="s">
        <v>1228</v>
      </c>
      <c r="I507" s="6" t="s">
        <v>1228</v>
      </c>
      <c r="J507" s="6" t="s">
        <v>1228</v>
      </c>
      <c r="K507" s="6" t="s">
        <v>1228</v>
      </c>
      <c r="L507" s="10">
        <f>'Entity Inputs'!ET9</f>
        <v>0</v>
      </c>
      <c r="M507" s="10">
        <f>'Entity Inputs'!ET15</f>
        <v>0</v>
      </c>
      <c r="N507" s="10">
        <f>'Group Inputs'!ES9</f>
        <v>0.0</v>
      </c>
      <c r="O507" s="6" t="s">
        <v>1892</v>
      </c>
    </row>
    <row r="508" spans="1:15">
      <c r="A508" s="11" t="s">
        <v>789</v>
      </c>
      <c r="B508" s="11" t="s">
        <v>1844</v>
      </c>
      <c r="C508" s="11" t="s">
        <v>790</v>
      </c>
      <c r="D508" s="11"/>
      <c r="E508" s="11" t="s">
        <v>577</v>
      </c>
      <c r="F508" s="11" t="s">
        <v>1228</v>
      </c>
      <c r="G508" s="11" t="s">
        <v>1228</v>
      </c>
      <c r="H508" s="11" t="s">
        <v>1228</v>
      </c>
      <c r="I508" s="11" t="s">
        <v>1228</v>
      </c>
      <c r="J508" s="11" t="s">
        <v>1228</v>
      </c>
      <c r="K508" s="11" t="s">
        <v>1228</v>
      </c>
      <c r="L508" s="11">
        <f>'Entity KPIs'!K114</f>
        <v>0.0</v>
      </c>
      <c r="M508" s="11">
        <f>'Entity KPIs'!Q114</f>
        <v>0.0</v>
      </c>
      <c r="N508" s="11">
        <f>'Group KPIs'!K114</f>
        <v>0.0</v>
      </c>
      <c r="O508" s="11" t="s">
        <v>1845</v>
      </c>
    </row>
    <row r="510" spans="1:15">
      <c r="A510" s="9" t="s">
        <v>1972</v>
      </c>
      <c r="B510" s="9"/>
      <c r="C510" s="9"/>
      <c r="D510" s="9"/>
      <c r="E510" s="9"/>
      <c r="F510" s="9"/>
      <c r="G510" s="9"/>
      <c r="H510" s="9"/>
      <c r="I510" s="9"/>
      <c r="J510" s="9"/>
      <c r="K510" s="9"/>
      <c r="L510" s="9"/>
      <c r="M510" s="9"/>
      <c r="N510" s="9"/>
      <c r="O510" s="9"/>
    </row>
    <row r="511" spans="1:15">
      <c r="A511" s="6" t="s">
        <v>792</v>
      </c>
      <c r="B511" s="6" t="s">
        <v>1841</v>
      </c>
      <c r="C511" s="6" t="s">
        <v>342</v>
      </c>
      <c r="D511" s="6" t="s">
        <v>343</v>
      </c>
      <c r="E511" s="6" t="s">
        <v>1842</v>
      </c>
      <c r="F511" s="6" t="s">
        <v>1228</v>
      </c>
      <c r="G511" s="6" t="s">
        <v>1228</v>
      </c>
      <c r="H511" s="6" t="s">
        <v>1228</v>
      </c>
      <c r="I511" s="6" t="s">
        <v>1228</v>
      </c>
      <c r="J511" s="6" t="s">
        <v>1228</v>
      </c>
      <c r="K511" s="6" t="s">
        <v>1228</v>
      </c>
      <c r="L511" s="10">
        <f>'Entity Inputs'!EU9</f>
        <v>1</v>
      </c>
      <c r="M511" s="10">
        <f>'Entity Inputs'!EU15</f>
        <v>0</v>
      </c>
      <c r="N511" s="10">
        <f>'Group Inputs'!ET9</f>
        <v>1.0</v>
      </c>
      <c r="O511" s="6" t="s">
        <v>1892</v>
      </c>
    </row>
    <row r="512" spans="1:15">
      <c r="A512" s="11" t="s">
        <v>792</v>
      </c>
      <c r="B512" s="11" t="s">
        <v>1844</v>
      </c>
      <c r="C512" s="11" t="s">
        <v>793</v>
      </c>
      <c r="D512" s="11"/>
      <c r="E512" s="11" t="s">
        <v>577</v>
      </c>
      <c r="F512" s="11" t="s">
        <v>1228</v>
      </c>
      <c r="G512" s="11" t="s">
        <v>1228</v>
      </c>
      <c r="H512" s="11" t="s">
        <v>1228</v>
      </c>
      <c r="I512" s="11" t="s">
        <v>1228</v>
      </c>
      <c r="J512" s="11" t="s">
        <v>1228</v>
      </c>
      <c r="K512" s="11" t="s">
        <v>1228</v>
      </c>
      <c r="L512" s="11">
        <f>'Entity KPIs'!K115</f>
        <v>1.0</v>
      </c>
      <c r="M512" s="11">
        <f>'Entity KPIs'!Q115</f>
        <v>0.0</v>
      </c>
      <c r="N512" s="11">
        <f>'Group KPIs'!K115</f>
        <v>1.0</v>
      </c>
      <c r="O512" s="11" t="s">
        <v>1845</v>
      </c>
    </row>
    <row r="514" spans="1:15">
      <c r="A514" s="9" t="s">
        <v>1973</v>
      </c>
      <c r="B514" s="9"/>
      <c r="C514" s="9"/>
      <c r="D514" s="9"/>
      <c r="E514" s="9"/>
      <c r="F514" s="9"/>
      <c r="G514" s="9"/>
      <c r="H514" s="9"/>
      <c r="I514" s="9"/>
      <c r="J514" s="9"/>
      <c r="K514" s="9"/>
      <c r="L514" s="9"/>
      <c r="M514" s="9"/>
      <c r="N514" s="9"/>
      <c r="O514" s="9"/>
    </row>
    <row r="515" spans="1:15">
      <c r="A515" s="6" t="s">
        <v>794</v>
      </c>
      <c r="B515" s="6" t="s">
        <v>1841</v>
      </c>
      <c r="C515" s="6" t="s">
        <v>344</v>
      </c>
      <c r="D515" s="6" t="s">
        <v>345</v>
      </c>
      <c r="E515" s="6" t="s">
        <v>1842</v>
      </c>
      <c r="F515" s="6" t="s">
        <v>1228</v>
      </c>
      <c r="G515" s="6" t="s">
        <v>1228</v>
      </c>
      <c r="H515" s="6" t="s">
        <v>1228</v>
      </c>
      <c r="I515" s="6" t="s">
        <v>1228</v>
      </c>
      <c r="J515" s="6" t="s">
        <v>1228</v>
      </c>
      <c r="K515" s="6" t="s">
        <v>1228</v>
      </c>
      <c r="L515" s="10">
        <f>'Entity Inputs'!EV9</f>
        <v>2</v>
      </c>
      <c r="M515" s="10">
        <f>'Entity Inputs'!EV15</f>
        <v>5</v>
      </c>
      <c r="N515" s="10">
        <f>'Group Inputs'!EU9</f>
        <v>7.0</v>
      </c>
      <c r="O515" s="6" t="s">
        <v>1892</v>
      </c>
    </row>
    <row r="516" spans="1:15">
      <c r="A516" s="11" t="s">
        <v>794</v>
      </c>
      <c r="B516" s="11" t="s">
        <v>1844</v>
      </c>
      <c r="C516" s="11" t="s">
        <v>795</v>
      </c>
      <c r="D516" s="11"/>
      <c r="E516" s="11" t="s">
        <v>577</v>
      </c>
      <c r="F516" s="11" t="s">
        <v>1228</v>
      </c>
      <c r="G516" s="11" t="s">
        <v>1228</v>
      </c>
      <c r="H516" s="11" t="s">
        <v>1228</v>
      </c>
      <c r="I516" s="11" t="s">
        <v>1228</v>
      </c>
      <c r="J516" s="11" t="s">
        <v>1228</v>
      </c>
      <c r="K516" s="11" t="s">
        <v>1228</v>
      </c>
      <c r="L516" s="11">
        <f>'Entity KPIs'!K116</f>
        <v>2.0</v>
      </c>
      <c r="M516" s="11">
        <f>'Entity KPIs'!Q116</f>
        <v>5.0</v>
      </c>
      <c r="N516" s="11">
        <f>'Group KPIs'!K116</f>
        <v>7.0</v>
      </c>
      <c r="O516" s="11" t="s">
        <v>1845</v>
      </c>
    </row>
    <row r="518" spans="1:15">
      <c r="A518" s="9" t="s">
        <v>1974</v>
      </c>
      <c r="B518" s="9"/>
      <c r="C518" s="9"/>
      <c r="D518" s="9"/>
      <c r="E518" s="9"/>
      <c r="F518" s="9"/>
      <c r="G518" s="9"/>
      <c r="H518" s="9"/>
      <c r="I518" s="9"/>
      <c r="J518" s="9"/>
      <c r="K518" s="9"/>
      <c r="L518" s="9"/>
      <c r="M518" s="9"/>
      <c r="N518" s="9"/>
      <c r="O518" s="9"/>
    </row>
    <row r="519" spans="1:15">
      <c r="A519" s="6" t="s">
        <v>796</v>
      </c>
      <c r="B519" s="6" t="s">
        <v>1841</v>
      </c>
      <c r="C519" s="6" t="s">
        <v>346</v>
      </c>
      <c r="D519" s="6" t="s">
        <v>347</v>
      </c>
      <c r="E519" s="6" t="s">
        <v>1842</v>
      </c>
      <c r="F519" s="6" t="s">
        <v>1228</v>
      </c>
      <c r="G519" s="6" t="s">
        <v>1228</v>
      </c>
      <c r="H519" s="6" t="s">
        <v>1228</v>
      </c>
      <c r="I519" s="6" t="s">
        <v>1228</v>
      </c>
      <c r="J519" s="6" t="s">
        <v>1228</v>
      </c>
      <c r="K519" s="6" t="s">
        <v>1228</v>
      </c>
      <c r="L519" s="10">
        <f>'Entity Inputs'!EW9</f>
        <v>0</v>
      </c>
      <c r="M519" s="10">
        <f>'Entity Inputs'!EW15</f>
        <v>0</v>
      </c>
      <c r="N519" s="10">
        <f>'Group Inputs'!EV9</f>
        <v>0.0</v>
      </c>
      <c r="O519" s="6" t="s">
        <v>1892</v>
      </c>
    </row>
    <row r="520" spans="1:15">
      <c r="A520" s="11" t="s">
        <v>796</v>
      </c>
      <c r="B520" s="11" t="s">
        <v>1844</v>
      </c>
      <c r="C520" s="11" t="s">
        <v>797</v>
      </c>
      <c r="D520" s="11"/>
      <c r="E520" s="11" t="s">
        <v>577</v>
      </c>
      <c r="F520" s="11" t="s">
        <v>1228</v>
      </c>
      <c r="G520" s="11" t="s">
        <v>1228</v>
      </c>
      <c r="H520" s="11" t="s">
        <v>1228</v>
      </c>
      <c r="I520" s="11" t="s">
        <v>1228</v>
      </c>
      <c r="J520" s="11" t="s">
        <v>1228</v>
      </c>
      <c r="K520" s="11" t="s">
        <v>1228</v>
      </c>
      <c r="L520" s="11">
        <f>'Entity KPIs'!K117</f>
        <v>0.0</v>
      </c>
      <c r="M520" s="11">
        <f>'Entity KPIs'!Q117</f>
        <v>0.0</v>
      </c>
      <c r="N520" s="11">
        <f>'Group KPIs'!K117</f>
        <v>0.0</v>
      </c>
      <c r="O520" s="11" t="s">
        <v>1845</v>
      </c>
    </row>
    <row r="522" spans="1:15">
      <c r="A522" s="9" t="s">
        <v>1975</v>
      </c>
      <c r="B522" s="9"/>
      <c r="C522" s="9"/>
      <c r="D522" s="9"/>
      <c r="E522" s="9"/>
      <c r="F522" s="9"/>
      <c r="G522" s="9"/>
      <c r="H522" s="9"/>
      <c r="I522" s="9"/>
      <c r="J522" s="9"/>
      <c r="K522" s="9"/>
      <c r="L522" s="9"/>
      <c r="M522" s="9"/>
      <c r="N522" s="9"/>
      <c r="O522" s="9"/>
    </row>
    <row r="523" spans="1:15">
      <c r="A523" s="6" t="s">
        <v>798</v>
      </c>
      <c r="B523" s="6" t="s">
        <v>1841</v>
      </c>
      <c r="C523" s="6" t="s">
        <v>348</v>
      </c>
      <c r="D523" s="6" t="s">
        <v>349</v>
      </c>
      <c r="E523" s="6" t="s">
        <v>1842</v>
      </c>
      <c r="F523" s="6" t="s">
        <v>1228</v>
      </c>
      <c r="G523" s="6" t="s">
        <v>1228</v>
      </c>
      <c r="H523" s="6" t="s">
        <v>1228</v>
      </c>
      <c r="I523" s="6" t="s">
        <v>1228</v>
      </c>
      <c r="J523" s="6" t="s">
        <v>1228</v>
      </c>
      <c r="K523" s="6" t="s">
        <v>1228</v>
      </c>
      <c r="L523" s="10">
        <f>'Entity Inputs'!EX9</f>
        <v>0</v>
      </c>
      <c r="M523" s="10">
        <f>'Entity Inputs'!EX15</f>
        <v>1</v>
      </c>
      <c r="N523" s="10">
        <f>'Group Inputs'!EW9</f>
        <v>1.0</v>
      </c>
      <c r="O523" s="6" t="s">
        <v>1892</v>
      </c>
    </row>
    <row r="524" spans="1:15">
      <c r="A524" s="11" t="s">
        <v>798</v>
      </c>
      <c r="B524" s="11" t="s">
        <v>1844</v>
      </c>
      <c r="C524" s="11" t="s">
        <v>799</v>
      </c>
      <c r="D524" s="11"/>
      <c r="E524" s="11" t="s">
        <v>577</v>
      </c>
      <c r="F524" s="11" t="s">
        <v>1228</v>
      </c>
      <c r="G524" s="11" t="s">
        <v>1228</v>
      </c>
      <c r="H524" s="11" t="s">
        <v>1228</v>
      </c>
      <c r="I524" s="11" t="s">
        <v>1228</v>
      </c>
      <c r="J524" s="11" t="s">
        <v>1228</v>
      </c>
      <c r="K524" s="11" t="s">
        <v>1228</v>
      </c>
      <c r="L524" s="11">
        <f>'Entity KPIs'!K118</f>
        <v>0.0</v>
      </c>
      <c r="M524" s="11">
        <f>'Entity KPIs'!Q118</f>
        <v>1.0</v>
      </c>
      <c r="N524" s="11">
        <f>'Group KPIs'!K118</f>
        <v>1.0</v>
      </c>
      <c r="O524" s="11" t="s">
        <v>1845</v>
      </c>
    </row>
    <row r="526" spans="1:15">
      <c r="A526" s="9" t="s">
        <v>1976</v>
      </c>
      <c r="B526" s="9"/>
      <c r="C526" s="9"/>
      <c r="D526" s="9"/>
      <c r="E526" s="9"/>
      <c r="F526" s="9"/>
      <c r="G526" s="9"/>
      <c r="H526" s="9"/>
      <c r="I526" s="9"/>
      <c r="J526" s="9"/>
      <c r="K526" s="9"/>
      <c r="L526" s="9"/>
      <c r="M526" s="9"/>
      <c r="N526" s="9"/>
      <c r="O526" s="9"/>
    </row>
    <row r="527" spans="1:15">
      <c r="A527" s="6" t="s">
        <v>801</v>
      </c>
      <c r="B527" s="6" t="s">
        <v>1841</v>
      </c>
      <c r="C527" s="6" t="s">
        <v>350</v>
      </c>
      <c r="D527" s="6" t="s">
        <v>351</v>
      </c>
      <c r="E527" s="6" t="s">
        <v>1842</v>
      </c>
      <c r="F527" s="6" t="s">
        <v>1228</v>
      </c>
      <c r="G527" s="6" t="s">
        <v>1228</v>
      </c>
      <c r="H527" s="6" t="s">
        <v>1228</v>
      </c>
      <c r="I527" s="6" t="s">
        <v>1228</v>
      </c>
      <c r="J527" s="6" t="s">
        <v>1228</v>
      </c>
      <c r="K527" s="6" t="s">
        <v>1228</v>
      </c>
      <c r="L527" s="10">
        <f>'Entity Inputs'!EY9</f>
        <v>0</v>
      </c>
      <c r="M527" s="10">
        <f>'Entity Inputs'!EY15</f>
        <v>1</v>
      </c>
      <c r="N527" s="10">
        <f>'Group Inputs'!EX9</f>
        <v>1.0</v>
      </c>
      <c r="O527" s="6" t="s">
        <v>1892</v>
      </c>
    </row>
    <row r="528" spans="1:15">
      <c r="A528" s="11" t="s">
        <v>801</v>
      </c>
      <c r="B528" s="11" t="s">
        <v>1844</v>
      </c>
      <c r="C528" s="11" t="s">
        <v>802</v>
      </c>
      <c r="D528" s="11"/>
      <c r="E528" s="11" t="s">
        <v>577</v>
      </c>
      <c r="F528" s="11" t="s">
        <v>1228</v>
      </c>
      <c r="G528" s="11" t="s">
        <v>1228</v>
      </c>
      <c r="H528" s="11" t="s">
        <v>1228</v>
      </c>
      <c r="I528" s="11" t="s">
        <v>1228</v>
      </c>
      <c r="J528" s="11" t="s">
        <v>1228</v>
      </c>
      <c r="K528" s="11" t="s">
        <v>1228</v>
      </c>
      <c r="L528" s="11">
        <f>'Entity KPIs'!K119</f>
        <v>0.0</v>
      </c>
      <c r="M528" s="11">
        <f>'Entity KPIs'!Q119</f>
        <v>1.0</v>
      </c>
      <c r="N528" s="11">
        <f>'Group KPIs'!K119</f>
        <v>1.0</v>
      </c>
      <c r="O528" s="11" t="s">
        <v>1845</v>
      </c>
    </row>
    <row r="530" spans="1:15">
      <c r="A530" s="9" t="s">
        <v>1977</v>
      </c>
      <c r="B530" s="9"/>
      <c r="C530" s="9"/>
      <c r="D530" s="9"/>
      <c r="E530" s="9"/>
      <c r="F530" s="9"/>
      <c r="G530" s="9"/>
      <c r="H530" s="9"/>
      <c r="I530" s="9"/>
      <c r="J530" s="9"/>
      <c r="K530" s="9"/>
      <c r="L530" s="9"/>
      <c r="M530" s="9"/>
      <c r="N530" s="9"/>
      <c r="O530" s="9"/>
    </row>
    <row r="531" spans="1:15">
      <c r="A531" s="6" t="s">
        <v>804</v>
      </c>
      <c r="B531" s="6" t="s">
        <v>1841</v>
      </c>
      <c r="C531" s="6" t="s">
        <v>368</v>
      </c>
      <c r="D531" s="6" t="s">
        <v>369</v>
      </c>
      <c r="E531" s="6" t="s">
        <v>1842</v>
      </c>
      <c r="F531" s="6" t="s">
        <v>1228</v>
      </c>
      <c r="G531" s="6" t="s">
        <v>1228</v>
      </c>
      <c r="H531" s="6" t="s">
        <v>1228</v>
      </c>
      <c r="I531" s="6" t="s">
        <v>1228</v>
      </c>
      <c r="J531" s="6" t="s">
        <v>1228</v>
      </c>
      <c r="K531" s="6" t="s">
        <v>1228</v>
      </c>
      <c r="L531" s="10">
        <f>'Entity Inputs'!FH9</f>
        <v>1</v>
      </c>
      <c r="M531" s="10">
        <f>'Entity Inputs'!FH15</f>
        <v>0</v>
      </c>
      <c r="N531" s="10">
        <f>'Group Inputs'!FG9</f>
        <v>1.0</v>
      </c>
      <c r="O531" s="6" t="s">
        <v>1892</v>
      </c>
    </row>
    <row r="532" spans="1:15">
      <c r="A532" s="11" t="s">
        <v>804</v>
      </c>
      <c r="B532" s="11" t="s">
        <v>1844</v>
      </c>
      <c r="C532" s="11" t="s">
        <v>805</v>
      </c>
      <c r="D532" s="11"/>
      <c r="E532" s="11" t="s">
        <v>577</v>
      </c>
      <c r="F532" s="11" t="s">
        <v>1228</v>
      </c>
      <c r="G532" s="11" t="s">
        <v>1228</v>
      </c>
      <c r="H532" s="11" t="s">
        <v>1228</v>
      </c>
      <c r="I532" s="11" t="s">
        <v>1228</v>
      </c>
      <c r="J532" s="11" t="s">
        <v>1228</v>
      </c>
      <c r="K532" s="11" t="s">
        <v>1228</v>
      </c>
      <c r="L532" s="11">
        <f>'Entity KPIs'!K120</f>
        <v>1.0</v>
      </c>
      <c r="M532" s="11">
        <f>'Entity KPIs'!Q120</f>
        <v>0.0</v>
      </c>
      <c r="N532" s="11">
        <f>'Group KPIs'!K120</f>
        <v>1.0</v>
      </c>
      <c r="O532" s="11" t="s">
        <v>1845</v>
      </c>
    </row>
    <row r="534" spans="1:15">
      <c r="A534" s="9" t="s">
        <v>1978</v>
      </c>
      <c r="B534" s="9"/>
      <c r="C534" s="9"/>
      <c r="D534" s="9"/>
      <c r="E534" s="9"/>
      <c r="F534" s="9"/>
      <c r="G534" s="9"/>
      <c r="H534" s="9"/>
      <c r="I534" s="9"/>
      <c r="J534" s="9"/>
      <c r="K534" s="9"/>
      <c r="L534" s="9"/>
      <c r="M534" s="9"/>
      <c r="N534" s="9"/>
      <c r="O534" s="9"/>
    </row>
    <row r="535" spans="1:15">
      <c r="A535" s="6" t="s">
        <v>806</v>
      </c>
      <c r="B535" s="6" t="s">
        <v>1841</v>
      </c>
      <c r="C535" s="6" t="s">
        <v>366</v>
      </c>
      <c r="D535" s="6" t="s">
        <v>367</v>
      </c>
      <c r="E535" s="6" t="s">
        <v>1842</v>
      </c>
      <c r="F535" s="6" t="s">
        <v>1228</v>
      </c>
      <c r="G535" s="6" t="s">
        <v>1228</v>
      </c>
      <c r="H535" s="6" t="s">
        <v>1228</v>
      </c>
      <c r="I535" s="6" t="s">
        <v>1228</v>
      </c>
      <c r="J535" s="6" t="s">
        <v>1228</v>
      </c>
      <c r="K535" s="6" t="s">
        <v>1228</v>
      </c>
      <c r="L535" s="10">
        <f>'Entity Inputs'!FG9</f>
        <v>0</v>
      </c>
      <c r="M535" s="10">
        <f>'Entity Inputs'!FG15</f>
        <v>2</v>
      </c>
      <c r="N535" s="10">
        <f>'Group Inputs'!FF9</f>
        <v>2.0</v>
      </c>
      <c r="O535" s="6" t="s">
        <v>1892</v>
      </c>
    </row>
    <row r="536" spans="1:15">
      <c r="A536" s="11" t="s">
        <v>806</v>
      </c>
      <c r="B536" s="11" t="s">
        <v>1844</v>
      </c>
      <c r="C536" s="11" t="s">
        <v>807</v>
      </c>
      <c r="D536" s="11"/>
      <c r="E536" s="11" t="s">
        <v>577</v>
      </c>
      <c r="F536" s="11" t="s">
        <v>1228</v>
      </c>
      <c r="G536" s="11" t="s">
        <v>1228</v>
      </c>
      <c r="H536" s="11" t="s">
        <v>1228</v>
      </c>
      <c r="I536" s="11" t="s">
        <v>1228</v>
      </c>
      <c r="J536" s="11" t="s">
        <v>1228</v>
      </c>
      <c r="K536" s="11" t="s">
        <v>1228</v>
      </c>
      <c r="L536" s="11">
        <f>'Entity KPIs'!K121</f>
        <v>0.0</v>
      </c>
      <c r="M536" s="11">
        <f>'Entity KPIs'!Q121</f>
        <v>2.0</v>
      </c>
      <c r="N536" s="11">
        <f>'Group KPIs'!K121</f>
        <v>2.0</v>
      </c>
      <c r="O536" s="11" t="s">
        <v>1845</v>
      </c>
    </row>
    <row r="538" spans="1:15">
      <c r="A538" s="9" t="s">
        <v>1979</v>
      </c>
      <c r="B538" s="9"/>
      <c r="C538" s="9"/>
      <c r="D538" s="9"/>
      <c r="E538" s="9"/>
      <c r="F538" s="9"/>
      <c r="G538" s="9"/>
      <c r="H538" s="9"/>
      <c r="I538" s="9"/>
      <c r="J538" s="9"/>
      <c r="K538" s="9"/>
      <c r="L538" s="9"/>
      <c r="M538" s="9"/>
      <c r="N538" s="9"/>
      <c r="O538" s="9"/>
    </row>
    <row r="539" spans="1:15">
      <c r="A539" s="6" t="s">
        <v>809</v>
      </c>
      <c r="B539" s="6" t="s">
        <v>1841</v>
      </c>
      <c r="C539" s="6" t="s">
        <v>370</v>
      </c>
      <c r="D539" s="6" t="s">
        <v>371</v>
      </c>
      <c r="E539" s="6" t="s">
        <v>1842</v>
      </c>
      <c r="F539" s="6" t="s">
        <v>1228</v>
      </c>
      <c r="G539" s="6" t="s">
        <v>1228</v>
      </c>
      <c r="H539" s="6" t="s">
        <v>1228</v>
      </c>
      <c r="I539" s="6" t="s">
        <v>1228</v>
      </c>
      <c r="J539" s="6" t="s">
        <v>1228</v>
      </c>
      <c r="K539" s="6" t="s">
        <v>1228</v>
      </c>
      <c r="L539" s="10">
        <f>'Entity Inputs'!FI9</f>
        <v>1</v>
      </c>
      <c r="M539" s="10">
        <f>'Entity Inputs'!FI15</f>
        <v>0</v>
      </c>
      <c r="N539" s="10">
        <f>'Group Inputs'!FH9</f>
        <v>1.0</v>
      </c>
      <c r="O539" s="6" t="s">
        <v>1892</v>
      </c>
    </row>
    <row r="540" spans="1:15">
      <c r="A540" s="11" t="s">
        <v>809</v>
      </c>
      <c r="B540" s="11" t="s">
        <v>1844</v>
      </c>
      <c r="C540" s="11" t="s">
        <v>810</v>
      </c>
      <c r="D540" s="11"/>
      <c r="E540" s="11" t="s">
        <v>577</v>
      </c>
      <c r="F540" s="11" t="s">
        <v>1228</v>
      </c>
      <c r="G540" s="11" t="s">
        <v>1228</v>
      </c>
      <c r="H540" s="11" t="s">
        <v>1228</v>
      </c>
      <c r="I540" s="11" t="s">
        <v>1228</v>
      </c>
      <c r="J540" s="11" t="s">
        <v>1228</v>
      </c>
      <c r="K540" s="11" t="s">
        <v>1228</v>
      </c>
      <c r="L540" s="11">
        <f>'Entity KPIs'!K122</f>
        <v>1.0</v>
      </c>
      <c r="M540" s="11">
        <f>'Entity KPIs'!Q122</f>
        <v>0.0</v>
      </c>
      <c r="N540" s="11">
        <f>'Group KPIs'!K122</f>
        <v>1.0</v>
      </c>
      <c r="O540" s="11" t="s">
        <v>1845</v>
      </c>
    </row>
    <row r="542" spans="1:15">
      <c r="A542" s="9" t="s">
        <v>1980</v>
      </c>
      <c r="B542" s="9"/>
      <c r="C542" s="9"/>
      <c r="D542" s="9"/>
      <c r="E542" s="9"/>
      <c r="F542" s="9"/>
      <c r="G542" s="9"/>
      <c r="H542" s="9"/>
      <c r="I542" s="9"/>
      <c r="J542" s="9"/>
      <c r="K542" s="9"/>
      <c r="L542" s="9"/>
      <c r="M542" s="9"/>
      <c r="N542" s="9"/>
      <c r="O542" s="9"/>
    </row>
    <row r="543" spans="1:15">
      <c r="A543" s="6" t="s">
        <v>811</v>
      </c>
      <c r="B543" s="6" t="s">
        <v>1841</v>
      </c>
      <c r="C543" s="6" t="s">
        <v>352</v>
      </c>
      <c r="D543" s="6" t="s">
        <v>353</v>
      </c>
      <c r="E543" s="6" t="s">
        <v>1842</v>
      </c>
      <c r="F543" s="6" t="s">
        <v>1228</v>
      </c>
      <c r="G543" s="6" t="s">
        <v>1228</v>
      </c>
      <c r="H543" s="6" t="s">
        <v>1228</v>
      </c>
      <c r="I543" s="6" t="s">
        <v>1228</v>
      </c>
      <c r="J543" s="6" t="s">
        <v>1228</v>
      </c>
      <c r="K543" s="6" t="s">
        <v>1228</v>
      </c>
      <c r="L543" s="10">
        <f>'Entity Inputs'!EZ9</f>
        <v>50</v>
      </c>
      <c r="M543" s="10">
        <f>'Entity Inputs'!EZ15</f>
        <v>58</v>
      </c>
      <c r="N543" s="10">
        <f>'Group Inputs'!EY9</f>
        <v>108.0</v>
      </c>
      <c r="O543" s="6" t="s">
        <v>1892</v>
      </c>
    </row>
    <row r="544" spans="1:15">
      <c r="A544" s="6" t="s">
        <v>811</v>
      </c>
      <c r="B544" s="6" t="s">
        <v>1841</v>
      </c>
      <c r="C544" s="6" t="s">
        <v>354</v>
      </c>
      <c r="D544" s="6" t="s">
        <v>355</v>
      </c>
      <c r="E544" s="6" t="s">
        <v>1842</v>
      </c>
      <c r="F544" s="6" t="s">
        <v>1228</v>
      </c>
      <c r="G544" s="6" t="s">
        <v>1228</v>
      </c>
      <c r="H544" s="6" t="s">
        <v>1228</v>
      </c>
      <c r="I544" s="6" t="s">
        <v>1228</v>
      </c>
      <c r="J544" s="6" t="s">
        <v>1228</v>
      </c>
      <c r="K544" s="6" t="s">
        <v>1228</v>
      </c>
      <c r="L544" s="10">
        <f>'Entity Inputs'!FA9</f>
        <v>43</v>
      </c>
      <c r="M544" s="10">
        <f>'Entity Inputs'!FA15</f>
        <v>52</v>
      </c>
      <c r="N544" s="10">
        <f>'Group Inputs'!EZ9</f>
        <v>95.0</v>
      </c>
      <c r="O544" s="6" t="s">
        <v>1892</v>
      </c>
    </row>
    <row r="545" spans="1:15">
      <c r="A545" s="11" t="s">
        <v>811</v>
      </c>
      <c r="B545" s="11" t="s">
        <v>1844</v>
      </c>
      <c r="C545" s="11" t="s">
        <v>812</v>
      </c>
      <c r="D545" s="11"/>
      <c r="E545" s="11" t="s">
        <v>577</v>
      </c>
      <c r="F545" s="11" t="s">
        <v>1228</v>
      </c>
      <c r="G545" s="11" t="s">
        <v>1228</v>
      </c>
      <c r="H545" s="11" t="s">
        <v>1228</v>
      </c>
      <c r="I545" s="11" t="s">
        <v>1228</v>
      </c>
      <c r="J545" s="11" t="s">
        <v>1228</v>
      </c>
      <c r="K545" s="11" t="s">
        <v>1228</v>
      </c>
      <c r="L545" s="11">
        <f>'Entity KPIs'!K123</f>
        <v>86.0</v>
      </c>
      <c r="M545" s="11">
        <f>'Entity KPIs'!Q123</f>
        <v>89.66</v>
      </c>
      <c r="N545" s="11">
        <f>'Group KPIs'!K123</f>
        <v>87.96</v>
      </c>
      <c r="O545" s="11" t="s">
        <v>1845</v>
      </c>
    </row>
    <row r="547" spans="1:15">
      <c r="A547" s="9" t="s">
        <v>1981</v>
      </c>
      <c r="B547" s="9"/>
      <c r="C547" s="9"/>
      <c r="D547" s="9"/>
      <c r="E547" s="9"/>
      <c r="F547" s="9"/>
      <c r="G547" s="9"/>
      <c r="H547" s="9"/>
      <c r="I547" s="9"/>
      <c r="J547" s="9"/>
      <c r="K547" s="9"/>
      <c r="L547" s="9"/>
      <c r="M547" s="9"/>
      <c r="N547" s="9"/>
      <c r="O547" s="9"/>
    </row>
    <row r="548" spans="1:15">
      <c r="A548" s="6" t="s">
        <v>814</v>
      </c>
      <c r="B548" s="6" t="s">
        <v>1841</v>
      </c>
      <c r="C548" s="6" t="s">
        <v>356</v>
      </c>
      <c r="D548" s="6" t="s">
        <v>357</v>
      </c>
      <c r="E548" s="6" t="s">
        <v>1884</v>
      </c>
      <c r="F548" s="6" t="s">
        <v>1228</v>
      </c>
      <c r="G548" s="6" t="s">
        <v>1228</v>
      </c>
      <c r="H548" s="6" t="s">
        <v>1228</v>
      </c>
      <c r="I548" s="6" t="s">
        <v>1228</v>
      </c>
      <c r="J548" s="6" t="s">
        <v>1228</v>
      </c>
      <c r="K548" s="6" t="s">
        <v>1228</v>
      </c>
      <c r="L548" s="10">
        <f>'Entity Inputs'!FB9</f>
        <v>3</v>
      </c>
      <c r="M548" s="10">
        <f>'Entity Inputs'!FB15</f>
        <v>2</v>
      </c>
      <c r="N548" s="10">
        <f>'Group Inputs'!FA9</f>
        <v>5.0</v>
      </c>
      <c r="O548" s="6" t="s">
        <v>1892</v>
      </c>
    </row>
    <row r="549" spans="1:15">
      <c r="A549" s="6" t="s">
        <v>814</v>
      </c>
      <c r="B549" s="6" t="s">
        <v>1841</v>
      </c>
      <c r="C549" s="6" t="s">
        <v>358</v>
      </c>
      <c r="D549" s="6" t="s">
        <v>359</v>
      </c>
      <c r="E549" s="6" t="s">
        <v>1884</v>
      </c>
      <c r="F549" s="6" t="s">
        <v>1228</v>
      </c>
      <c r="G549" s="6" t="s">
        <v>1228</v>
      </c>
      <c r="H549" s="6" t="s">
        <v>1228</v>
      </c>
      <c r="I549" s="6" t="s">
        <v>1228</v>
      </c>
      <c r="J549" s="6" t="s">
        <v>1228</v>
      </c>
      <c r="K549" s="6" t="s">
        <v>1228</v>
      </c>
      <c r="L549" s="10">
        <f>'Entity Inputs'!FC9</f>
        <v>88</v>
      </c>
      <c r="M549" s="10">
        <f>'Entity Inputs'!FC15</f>
        <v>78</v>
      </c>
      <c r="N549" s="10">
        <f>'Group Inputs'!FB9</f>
        <v>166.0</v>
      </c>
      <c r="O549" s="6" t="s">
        <v>1892</v>
      </c>
    </row>
    <row r="550" spans="1:15">
      <c r="A550" s="11" t="s">
        <v>814</v>
      </c>
      <c r="B550" s="11" t="s">
        <v>1844</v>
      </c>
      <c r="C550" s="11" t="s">
        <v>815</v>
      </c>
      <c r="D550" s="11"/>
      <c r="E550" s="11" t="s">
        <v>561</v>
      </c>
      <c r="F550" s="11" t="s">
        <v>1228</v>
      </c>
      <c r="G550" s="11" t="s">
        <v>1228</v>
      </c>
      <c r="H550" s="11" t="s">
        <v>1228</v>
      </c>
      <c r="I550" s="11" t="s">
        <v>1228</v>
      </c>
      <c r="J550" s="11" t="s">
        <v>1228</v>
      </c>
      <c r="K550" s="11" t="s">
        <v>1228</v>
      </c>
      <c r="L550" s="11">
        <f>'Entity KPIs'!K124</f>
        <v>28.57</v>
      </c>
      <c r="M550" s="11">
        <f>'Entity KPIs'!Q124</f>
        <v>37.75</v>
      </c>
      <c r="N550" s="11">
        <f>'Group KPIs'!K124</f>
        <v>32.81</v>
      </c>
      <c r="O550" s="11" t="s">
        <v>1845</v>
      </c>
    </row>
    <row r="552" spans="1:15">
      <c r="A552" s="9" t="s">
        <v>1982</v>
      </c>
      <c r="B552" s="9"/>
      <c r="C552" s="9"/>
      <c r="D552" s="9"/>
      <c r="E552" s="9"/>
      <c r="F552" s="9"/>
      <c r="G552" s="9"/>
      <c r="H552" s="9"/>
      <c r="I552" s="9"/>
      <c r="J552" s="9"/>
      <c r="K552" s="9"/>
      <c r="L552" s="9"/>
      <c r="M552" s="9"/>
      <c r="N552" s="9"/>
      <c r="O552" s="9"/>
    </row>
    <row r="553" spans="1:15">
      <c r="A553" s="6" t="s">
        <v>817</v>
      </c>
      <c r="B553" s="6" t="s">
        <v>1841</v>
      </c>
      <c r="C553" s="6" t="s">
        <v>360</v>
      </c>
      <c r="D553" s="6" t="s">
        <v>361</v>
      </c>
      <c r="E553" s="6" t="s">
        <v>1842</v>
      </c>
      <c r="F553" s="6" t="s">
        <v>1228</v>
      </c>
      <c r="G553" s="6" t="s">
        <v>1228</v>
      </c>
      <c r="H553" s="6" t="s">
        <v>1228</v>
      </c>
      <c r="I553" s="6" t="s">
        <v>1228</v>
      </c>
      <c r="J553" s="6" t="s">
        <v>1228</v>
      </c>
      <c r="K553" s="6" t="s">
        <v>1228</v>
      </c>
      <c r="L553" s="10">
        <f>'Entity Inputs'!FD9</f>
        <v>28</v>
      </c>
      <c r="M553" s="10">
        <f>'Entity Inputs'!FD15</f>
        <v>28</v>
      </c>
      <c r="N553" s="10">
        <f>'Group Inputs'!FC9</f>
        <v>56.0</v>
      </c>
      <c r="O553" s="6" t="s">
        <v>1892</v>
      </c>
    </row>
    <row r="554" spans="1:15">
      <c r="A554" s="6" t="s">
        <v>817</v>
      </c>
      <c r="B554" s="6" t="s">
        <v>1841</v>
      </c>
      <c r="C554" s="6" t="s">
        <v>362</v>
      </c>
      <c r="D554" s="6" t="s">
        <v>363</v>
      </c>
      <c r="E554" s="6" t="s">
        <v>1842</v>
      </c>
      <c r="F554" s="6" t="s">
        <v>1228</v>
      </c>
      <c r="G554" s="6" t="s">
        <v>1228</v>
      </c>
      <c r="H554" s="6" t="s">
        <v>1228</v>
      </c>
      <c r="I554" s="6" t="s">
        <v>1228</v>
      </c>
      <c r="J554" s="6" t="s">
        <v>1228</v>
      </c>
      <c r="K554" s="6" t="s">
        <v>1228</v>
      </c>
      <c r="L554" s="10">
        <f>'Entity Inputs'!FE9</f>
        <v>23</v>
      </c>
      <c r="M554" s="10">
        <f>'Entity Inputs'!FE15</f>
        <v>24</v>
      </c>
      <c r="N554" s="10">
        <f>'Group Inputs'!FD9</f>
        <v>47.0</v>
      </c>
      <c r="O554" s="6" t="s">
        <v>1892</v>
      </c>
    </row>
    <row r="555" spans="1:15">
      <c r="A555" s="11" t="s">
        <v>817</v>
      </c>
      <c r="B555" s="11" t="s">
        <v>1844</v>
      </c>
      <c r="C555" s="11" t="s">
        <v>818</v>
      </c>
      <c r="D555" s="11"/>
      <c r="E555" s="11" t="s">
        <v>577</v>
      </c>
      <c r="F555" s="11" t="s">
        <v>1228</v>
      </c>
      <c r="G555" s="11" t="s">
        <v>1228</v>
      </c>
      <c r="H555" s="11" t="s">
        <v>1228</v>
      </c>
      <c r="I555" s="11" t="s">
        <v>1228</v>
      </c>
      <c r="J555" s="11" t="s">
        <v>1228</v>
      </c>
      <c r="K555" s="11" t="s">
        <v>1228</v>
      </c>
      <c r="L555" s="11">
        <f>'Entity KPIs'!K125</f>
        <v>82.14</v>
      </c>
      <c r="M555" s="11">
        <f>'Entity KPIs'!Q125</f>
        <v>85.71</v>
      </c>
      <c r="N555" s="11">
        <f>'Group KPIs'!K125</f>
        <v>83.93</v>
      </c>
      <c r="O555" s="11" t="s">
        <v>1845</v>
      </c>
    </row>
    <row r="557" spans="1:15">
      <c r="A557" s="9" t="s">
        <v>1983</v>
      </c>
      <c r="B557" s="9"/>
      <c r="C557" s="9"/>
      <c r="D557" s="9"/>
      <c r="E557" s="9"/>
      <c r="F557" s="9"/>
      <c r="G557" s="9"/>
      <c r="H557" s="9"/>
      <c r="I557" s="9"/>
      <c r="J557" s="9"/>
      <c r="K557" s="9"/>
      <c r="L557" s="9"/>
      <c r="M557" s="9"/>
      <c r="N557" s="9"/>
      <c r="O557" s="9"/>
    </row>
    <row r="558" spans="1:15">
      <c r="A558" s="6" t="s">
        <v>820</v>
      </c>
      <c r="B558" s="6" t="s">
        <v>1841</v>
      </c>
      <c r="C558" s="6" t="s">
        <v>360</v>
      </c>
      <c r="D558" s="6" t="s">
        <v>361</v>
      </c>
      <c r="E558" s="6" t="s">
        <v>1842</v>
      </c>
      <c r="F558" s="6" t="s">
        <v>1228</v>
      </c>
      <c r="G558" s="6" t="s">
        <v>1228</v>
      </c>
      <c r="H558" s="6" t="s">
        <v>1228</v>
      </c>
      <c r="I558" s="6" t="s">
        <v>1228</v>
      </c>
      <c r="J558" s="6" t="s">
        <v>1228</v>
      </c>
      <c r="K558" s="6" t="s">
        <v>1228</v>
      </c>
      <c r="L558" s="10">
        <f>'Entity Inputs'!FD9</f>
        <v>28</v>
      </c>
      <c r="M558" s="10">
        <f>'Entity Inputs'!FD15</f>
        <v>28</v>
      </c>
      <c r="N558" s="10">
        <f>'Group Inputs'!FC9</f>
        <v>56.0</v>
      </c>
      <c r="O558" s="6" t="s">
        <v>1892</v>
      </c>
    </row>
    <row r="559" spans="1:15">
      <c r="A559" s="6" t="s">
        <v>820</v>
      </c>
      <c r="B559" s="6" t="s">
        <v>1841</v>
      </c>
      <c r="C559" s="6" t="s">
        <v>362</v>
      </c>
      <c r="D559" s="6" t="s">
        <v>363</v>
      </c>
      <c r="E559" s="6" t="s">
        <v>1842</v>
      </c>
      <c r="F559" s="6" t="s">
        <v>1228</v>
      </c>
      <c r="G559" s="6" t="s">
        <v>1228</v>
      </c>
      <c r="H559" s="6" t="s">
        <v>1228</v>
      </c>
      <c r="I559" s="6" t="s">
        <v>1228</v>
      </c>
      <c r="J559" s="6" t="s">
        <v>1228</v>
      </c>
      <c r="K559" s="6" t="s">
        <v>1228</v>
      </c>
      <c r="L559" s="10">
        <f>'Entity Inputs'!FE9</f>
        <v>23</v>
      </c>
      <c r="M559" s="10">
        <f>'Entity Inputs'!FE15</f>
        <v>24</v>
      </c>
      <c r="N559" s="10">
        <f>'Group Inputs'!FD9</f>
        <v>47.0</v>
      </c>
      <c r="O559" s="6" t="s">
        <v>1892</v>
      </c>
    </row>
    <row r="560" spans="1:15">
      <c r="A560" s="11" t="s">
        <v>820</v>
      </c>
      <c r="B560" s="11" t="s">
        <v>1844</v>
      </c>
      <c r="C560" s="11" t="s">
        <v>821</v>
      </c>
      <c r="D560" s="11"/>
      <c r="E560" s="11" t="s">
        <v>577</v>
      </c>
      <c r="F560" s="11" t="s">
        <v>1228</v>
      </c>
      <c r="G560" s="11" t="s">
        <v>1228</v>
      </c>
      <c r="H560" s="11" t="s">
        <v>1228</v>
      </c>
      <c r="I560" s="11" t="s">
        <v>1228</v>
      </c>
      <c r="J560" s="11" t="s">
        <v>1228</v>
      </c>
      <c r="K560" s="11" t="s">
        <v>1228</v>
      </c>
      <c r="L560" s="11">
        <f>'Entity KPIs'!K126</f>
        <v>5.0</v>
      </c>
      <c r="M560" s="11">
        <f>'Entity KPIs'!Q126</f>
        <v>4.0</v>
      </c>
      <c r="N560" s="11">
        <f>'Group KPIs'!K126</f>
        <v>9.0</v>
      </c>
      <c r="O560" s="11" t="s">
        <v>1845</v>
      </c>
    </row>
    <row r="562" spans="1:15">
      <c r="A562" s="9" t="s">
        <v>1984</v>
      </c>
      <c r="B562" s="9"/>
      <c r="C562" s="9"/>
      <c r="D562" s="9"/>
      <c r="E562" s="9"/>
      <c r="F562" s="9"/>
      <c r="G562" s="9"/>
      <c r="H562" s="9"/>
      <c r="I562" s="9"/>
      <c r="J562" s="9"/>
      <c r="K562" s="9"/>
      <c r="L562" s="9"/>
      <c r="M562" s="9"/>
      <c r="N562" s="9"/>
      <c r="O562" s="9"/>
    </row>
    <row r="563" spans="1:15">
      <c r="A563" s="6" t="s">
        <v>823</v>
      </c>
      <c r="B563" s="6" t="s">
        <v>1841</v>
      </c>
      <c r="C563" s="6" t="s">
        <v>360</v>
      </c>
      <c r="D563" s="6" t="s">
        <v>361</v>
      </c>
      <c r="E563" s="6" t="s">
        <v>1842</v>
      </c>
      <c r="F563" s="6" t="s">
        <v>1228</v>
      </c>
      <c r="G563" s="6" t="s">
        <v>1228</v>
      </c>
      <c r="H563" s="6" t="s">
        <v>1228</v>
      </c>
      <c r="I563" s="6" t="s">
        <v>1228</v>
      </c>
      <c r="J563" s="6" t="s">
        <v>1228</v>
      </c>
      <c r="K563" s="6" t="s">
        <v>1228</v>
      </c>
      <c r="L563" s="10">
        <f>'Entity Inputs'!FD9</f>
        <v>28</v>
      </c>
      <c r="M563" s="10">
        <f>'Entity Inputs'!FD15</f>
        <v>28</v>
      </c>
      <c r="N563" s="10">
        <f>'Group Inputs'!FC9</f>
        <v>56.0</v>
      </c>
      <c r="O563" s="6" t="s">
        <v>1892</v>
      </c>
    </row>
    <row r="564" spans="1:15">
      <c r="A564" s="6" t="s">
        <v>823</v>
      </c>
      <c r="B564" s="6" t="s">
        <v>1841</v>
      </c>
      <c r="C564" s="6" t="s">
        <v>364</v>
      </c>
      <c r="D564" s="6" t="s">
        <v>365</v>
      </c>
      <c r="E564" s="6" t="s">
        <v>1842</v>
      </c>
      <c r="F564" s="6" t="s">
        <v>1228</v>
      </c>
      <c r="G564" s="6" t="s">
        <v>1228</v>
      </c>
      <c r="H564" s="6" t="s">
        <v>1228</v>
      </c>
      <c r="I564" s="6" t="s">
        <v>1228</v>
      </c>
      <c r="J564" s="6" t="s">
        <v>1228</v>
      </c>
      <c r="K564" s="6" t="s">
        <v>1228</v>
      </c>
      <c r="L564" s="10">
        <f>'Entity Inputs'!FF9</f>
        <v>26</v>
      </c>
      <c r="M564" s="10">
        <f>'Entity Inputs'!FF15</f>
        <v>26</v>
      </c>
      <c r="N564" s="10">
        <f>'Group Inputs'!FE9</f>
        <v>52.0</v>
      </c>
      <c r="O564" s="6" t="s">
        <v>1892</v>
      </c>
    </row>
    <row r="565" spans="1:15">
      <c r="A565" s="11" t="s">
        <v>823</v>
      </c>
      <c r="B565" s="11" t="s">
        <v>1844</v>
      </c>
      <c r="C565" s="11" t="s">
        <v>824</v>
      </c>
      <c r="D565" s="11"/>
      <c r="E565" s="11" t="s">
        <v>577</v>
      </c>
      <c r="F565" s="11" t="s">
        <v>1228</v>
      </c>
      <c r="G565" s="11" t="s">
        <v>1228</v>
      </c>
      <c r="H565" s="11" t="s">
        <v>1228</v>
      </c>
      <c r="I565" s="11" t="s">
        <v>1228</v>
      </c>
      <c r="J565" s="11" t="s">
        <v>1228</v>
      </c>
      <c r="K565" s="11" t="s">
        <v>1228</v>
      </c>
      <c r="L565" s="11">
        <f>'Entity KPIs'!K127</f>
        <v>92.86</v>
      </c>
      <c r="M565" s="11">
        <f>'Entity KPIs'!Q127</f>
        <v>92.86</v>
      </c>
      <c r="N565" s="11">
        <f>'Group KPIs'!K127</f>
        <v>92.86</v>
      </c>
      <c r="O565" s="11" t="s">
        <v>1845</v>
      </c>
    </row>
    <row r="567" spans="1:15">
      <c r="A567" s="9" t="s">
        <v>1985</v>
      </c>
      <c r="B567" s="9"/>
      <c r="C567" s="9"/>
      <c r="D567" s="9"/>
      <c r="E567" s="9"/>
      <c r="F567" s="9"/>
      <c r="G567" s="9"/>
      <c r="H567" s="9"/>
      <c r="I567" s="9"/>
      <c r="J567" s="9"/>
      <c r="K567" s="9"/>
      <c r="L567" s="9"/>
      <c r="M567" s="9"/>
      <c r="N567" s="9"/>
      <c r="O567" s="9"/>
    </row>
    <row r="568" spans="1:15">
      <c r="A568" s="6" t="s">
        <v>826</v>
      </c>
      <c r="B568" s="6" t="s">
        <v>1841</v>
      </c>
      <c r="C568" s="6" t="s">
        <v>372</v>
      </c>
      <c r="D568" s="6" t="s">
        <v>373</v>
      </c>
      <c r="E568" s="6" t="s">
        <v>1842</v>
      </c>
      <c r="F568" s="6" t="s">
        <v>1228</v>
      </c>
      <c r="G568" s="6" t="s">
        <v>1228</v>
      </c>
      <c r="H568" s="6" t="s">
        <v>1228</v>
      </c>
      <c r="I568" s="6" t="s">
        <v>1228</v>
      </c>
      <c r="J568" s="6" t="s">
        <v>1228</v>
      </c>
      <c r="K568" s="6" t="s">
        <v>1228</v>
      </c>
      <c r="L568" s="10">
        <f>'Entity Inputs'!FJ9</f>
        <v>500044</v>
      </c>
      <c r="M568" s="10">
        <f>'Entity Inputs'!FJ15</f>
        <v>504265</v>
      </c>
      <c r="N568" s="10">
        <f>'Group Inputs'!FI9</f>
        <v>1004309.0</v>
      </c>
      <c r="O568" s="6" t="s">
        <v>1892</v>
      </c>
    </row>
    <row r="569" spans="1:15">
      <c r="A569" s="6" t="s">
        <v>826</v>
      </c>
      <c r="B569" s="6" t="s">
        <v>1841</v>
      </c>
      <c r="C569" s="6" t="s">
        <v>374</v>
      </c>
      <c r="D569" s="6" t="s">
        <v>375</v>
      </c>
      <c r="E569" s="6" t="s">
        <v>1842</v>
      </c>
      <c r="F569" s="6" t="s">
        <v>1228</v>
      </c>
      <c r="G569" s="6" t="s">
        <v>1228</v>
      </c>
      <c r="H569" s="6" t="s">
        <v>1228</v>
      </c>
      <c r="I569" s="6" t="s">
        <v>1228</v>
      </c>
      <c r="J569" s="6" t="s">
        <v>1228</v>
      </c>
      <c r="K569" s="6" t="s">
        <v>1228</v>
      </c>
      <c r="L569" s="10">
        <f>'Entity Inputs'!FK9</f>
        <v>494690</v>
      </c>
      <c r="M569" s="10">
        <f>'Entity Inputs'!FK15</f>
        <v>499753</v>
      </c>
      <c r="N569" s="10">
        <f>'Group Inputs'!FJ9</f>
        <v>994443.0</v>
      </c>
      <c r="O569" s="6" t="s">
        <v>1892</v>
      </c>
    </row>
    <row r="570" spans="1:15">
      <c r="A570" s="11" t="s">
        <v>826</v>
      </c>
      <c r="B570" s="11" t="s">
        <v>1844</v>
      </c>
      <c r="C570" s="11" t="s">
        <v>827</v>
      </c>
      <c r="D570" s="11"/>
      <c r="E570" s="11" t="s">
        <v>25</v>
      </c>
      <c r="F570" s="11" t="s">
        <v>1228</v>
      </c>
      <c r="G570" s="11" t="s">
        <v>1228</v>
      </c>
      <c r="H570" s="11" t="s">
        <v>1228</v>
      </c>
      <c r="I570" s="11" t="s">
        <v>1228</v>
      </c>
      <c r="J570" s="11" t="s">
        <v>1228</v>
      </c>
      <c r="K570" s="11" t="s">
        <v>1228</v>
      </c>
      <c r="L570" s="11">
        <f>'Entity KPIs'!K128</f>
        <v>98.93</v>
      </c>
      <c r="M570" s="11">
        <f>'Entity KPIs'!Q128</f>
        <v>99.11</v>
      </c>
      <c r="N570" s="11">
        <f>'Group KPIs'!K128</f>
        <v>99.02</v>
      </c>
      <c r="O570" s="11" t="s">
        <v>1845</v>
      </c>
    </row>
    <row r="572" spans="1:15">
      <c r="A572" s="9" t="s">
        <v>1986</v>
      </c>
      <c r="B572" s="9"/>
      <c r="C572" s="9"/>
      <c r="D572" s="9"/>
      <c r="E572" s="9"/>
      <c r="F572" s="9"/>
      <c r="G572" s="9"/>
      <c r="H572" s="9"/>
      <c r="I572" s="9"/>
      <c r="J572" s="9"/>
      <c r="K572" s="9"/>
      <c r="L572" s="9"/>
      <c r="M572" s="9"/>
      <c r="N572" s="9"/>
      <c r="O572" s="9"/>
    </row>
    <row r="573" spans="1:15">
      <c r="A573" s="6" t="s">
        <v>829</v>
      </c>
      <c r="B573" s="6" t="s">
        <v>1841</v>
      </c>
      <c r="C573" s="6" t="s">
        <v>376</v>
      </c>
      <c r="D573" s="6" t="s">
        <v>377</v>
      </c>
      <c r="E573" s="6" t="s">
        <v>1842</v>
      </c>
      <c r="F573" s="6" t="s">
        <v>1228</v>
      </c>
      <c r="G573" s="6" t="s">
        <v>1228</v>
      </c>
      <c r="H573" s="6" t="s">
        <v>1228</v>
      </c>
      <c r="I573" s="6" t="s">
        <v>1228</v>
      </c>
      <c r="J573" s="6" t="s">
        <v>1228</v>
      </c>
      <c r="K573" s="6" t="s">
        <v>1228</v>
      </c>
      <c r="L573" s="10">
        <f>'Entity Inputs'!FL9</f>
        <v>400</v>
      </c>
      <c r="M573" s="10">
        <f>'Entity Inputs'!FL15</f>
        <v>420</v>
      </c>
      <c r="N573" s="10">
        <f>'Group Inputs'!FK9</f>
        <v>820.0</v>
      </c>
      <c r="O573" s="6" t="s">
        <v>1892</v>
      </c>
    </row>
    <row r="574" spans="1:15">
      <c r="A574" s="6" t="s">
        <v>829</v>
      </c>
      <c r="B574" s="6" t="s">
        <v>1841</v>
      </c>
      <c r="C574" s="6" t="s">
        <v>378</v>
      </c>
      <c r="D574" s="6" t="s">
        <v>379</v>
      </c>
      <c r="E574" s="6" t="s">
        <v>1842</v>
      </c>
      <c r="F574" s="6" t="s">
        <v>1228</v>
      </c>
      <c r="G574" s="6" t="s">
        <v>1228</v>
      </c>
      <c r="H574" s="6" t="s">
        <v>1228</v>
      </c>
      <c r="I574" s="6" t="s">
        <v>1228</v>
      </c>
      <c r="J574" s="6" t="s">
        <v>1228</v>
      </c>
      <c r="K574" s="6" t="s">
        <v>1228</v>
      </c>
      <c r="L574" s="10">
        <f>'Entity Inputs'!FM9</f>
        <v>377</v>
      </c>
      <c r="M574" s="10">
        <f>'Entity Inputs'!FM15</f>
        <v>410</v>
      </c>
      <c r="N574" s="10">
        <f>'Group Inputs'!FL9</f>
        <v>787.0</v>
      </c>
      <c r="O574" s="6" t="s">
        <v>1892</v>
      </c>
    </row>
    <row r="575" spans="1:15">
      <c r="A575" s="11" t="s">
        <v>829</v>
      </c>
      <c r="B575" s="11" t="s">
        <v>1844</v>
      </c>
      <c r="C575" s="11" t="s">
        <v>830</v>
      </c>
      <c r="D575" s="11"/>
      <c r="E575" s="11" t="s">
        <v>25</v>
      </c>
      <c r="F575" s="11" t="s">
        <v>1228</v>
      </c>
      <c r="G575" s="11" t="s">
        <v>1228</v>
      </c>
      <c r="H575" s="11" t="s">
        <v>1228</v>
      </c>
      <c r="I575" s="11" t="s">
        <v>1228</v>
      </c>
      <c r="J575" s="11" t="s">
        <v>1228</v>
      </c>
      <c r="K575" s="11" t="s">
        <v>1228</v>
      </c>
      <c r="L575" s="11">
        <f>'Entity KPIs'!K129</f>
        <v>94.25</v>
      </c>
      <c r="M575" s="11">
        <f>'Entity KPIs'!Q129</f>
        <v>97.62</v>
      </c>
      <c r="N575" s="11">
        <f>'Group KPIs'!K129</f>
        <v>95.98</v>
      </c>
      <c r="O575" s="11" t="s">
        <v>1845</v>
      </c>
    </row>
    <row r="577" spans="1:15">
      <c r="A577" s="9" t="s">
        <v>1987</v>
      </c>
      <c r="B577" s="9"/>
      <c r="C577" s="9"/>
      <c r="D577" s="9"/>
      <c r="E577" s="9"/>
      <c r="F577" s="9"/>
      <c r="G577" s="9"/>
      <c r="H577" s="9"/>
      <c r="I577" s="9"/>
      <c r="J577" s="9"/>
      <c r="K577" s="9"/>
      <c r="L577" s="9"/>
      <c r="M577" s="9"/>
      <c r="N577" s="9"/>
      <c r="O577" s="9"/>
    </row>
    <row r="578" spans="1:15">
      <c r="A578" s="6" t="s">
        <v>832</v>
      </c>
      <c r="B578" s="6" t="s">
        <v>1841</v>
      </c>
      <c r="C578" s="6" t="s">
        <v>119</v>
      </c>
      <c r="D578" s="6" t="s">
        <v>120</v>
      </c>
      <c r="E578" s="6" t="s">
        <v>1842</v>
      </c>
      <c r="F578" s="10">
        <f>'Plant Inputs'!AX9</f>
        <v>300900.3</v>
      </c>
      <c r="G578" s="10">
        <f>'Plant Inputs'!AX15</f>
        <v>346059.3</v>
      </c>
      <c r="H578" s="10">
        <f>'Plant Inputs'!AX21</f>
        <v>508764.6</v>
      </c>
      <c r="I578" s="10">
        <f>'Plant Inputs'!AX27</f>
        <v>310595</v>
      </c>
      <c r="J578" s="10">
        <f>'Plant Inputs'!AX33</f>
        <v>506388.4</v>
      </c>
      <c r="K578" s="10">
        <f>'Plant Inputs'!AX39</f>
        <v>363110.2</v>
      </c>
      <c r="L578" s="10">
        <f>'Entity Inputs'!AV9</f>
        <v>1155724.2</v>
      </c>
      <c r="M578" s="10">
        <f>'Entity Inputs'!AV15</f>
        <v>1180093.6</v>
      </c>
      <c r="N578" s="10">
        <f>'Group Inputs'!AU9</f>
        <v>2335817.8</v>
      </c>
      <c r="O578" s="6" t="s">
        <v>1843</v>
      </c>
    </row>
    <row r="579" spans="1:15">
      <c r="A579" s="6" t="s">
        <v>832</v>
      </c>
      <c r="B579" s="6" t="s">
        <v>1841</v>
      </c>
      <c r="C579" s="6" t="s">
        <v>216</v>
      </c>
      <c r="D579" s="6" t="s">
        <v>217</v>
      </c>
      <c r="E579" s="6" t="s">
        <v>1842</v>
      </c>
      <c r="F579" s="6" t="s">
        <v>1228</v>
      </c>
      <c r="G579" s="6" t="s">
        <v>1228</v>
      </c>
      <c r="H579" s="6" t="s">
        <v>1228</v>
      </c>
      <c r="I579" s="6" t="s">
        <v>1228</v>
      </c>
      <c r="J579" s="6" t="s">
        <v>1228</v>
      </c>
      <c r="K579" s="6" t="s">
        <v>1228</v>
      </c>
      <c r="L579" s="10">
        <f>'Entity Inputs'!CJ9</f>
        <v>1153045</v>
      </c>
      <c r="M579" s="10">
        <f>'Entity Inputs'!CJ15</f>
        <v>1173926.1</v>
      </c>
      <c r="N579" s="10">
        <f>'Group Inputs'!CI9</f>
        <v>2326971.1</v>
      </c>
      <c r="O579" s="6" t="s">
        <v>1892</v>
      </c>
    </row>
    <row r="580" spans="1:15">
      <c r="A580" s="11" t="s">
        <v>832</v>
      </c>
      <c r="B580" s="11" t="s">
        <v>1844</v>
      </c>
      <c r="C580" s="11" t="s">
        <v>833</v>
      </c>
      <c r="D580" s="11"/>
      <c r="E580" s="11" t="s">
        <v>25</v>
      </c>
      <c r="F580" s="11" t="s">
        <v>1228</v>
      </c>
      <c r="G580" s="11" t="s">
        <v>1228</v>
      </c>
      <c r="H580" s="11" t="s">
        <v>1228</v>
      </c>
      <c r="I580" s="11" t="s">
        <v>1228</v>
      </c>
      <c r="J580" s="11" t="s">
        <v>1228</v>
      </c>
      <c r="K580" s="11" t="s">
        <v>1228</v>
      </c>
      <c r="L580" s="11">
        <f>'Entity KPIs'!K130</f>
        <v>0.23</v>
      </c>
      <c r="M580" s="11">
        <f>'Entity KPIs'!Q130</f>
        <v>0.52</v>
      </c>
      <c r="N580" s="11">
        <f>'Group KPIs'!K130</f>
        <v>0.38</v>
      </c>
      <c r="O580" s="11" t="s">
        <v>1845</v>
      </c>
    </row>
    <row r="582" spans="1:15">
      <c r="A582" s="9" t="s">
        <v>1988</v>
      </c>
      <c r="B582" s="9"/>
      <c r="C582" s="9"/>
      <c r="D582" s="9"/>
      <c r="E582" s="9"/>
      <c r="F582" s="9"/>
      <c r="G582" s="9"/>
      <c r="H582" s="9"/>
      <c r="I582" s="9"/>
      <c r="J582" s="9"/>
      <c r="K582" s="9"/>
      <c r="L582" s="9"/>
      <c r="M582" s="9"/>
      <c r="N582" s="9"/>
      <c r="O582" s="9"/>
    </row>
    <row r="583" spans="1:15">
      <c r="A583" s="6" t="s">
        <v>835</v>
      </c>
      <c r="B583" s="6" t="s">
        <v>1883</v>
      </c>
      <c r="C583" s="6" t="s">
        <v>404</v>
      </c>
      <c r="D583" s="6" t="s">
        <v>405</v>
      </c>
      <c r="E583" s="6" t="s">
        <v>1842</v>
      </c>
      <c r="F583" s="6" t="s">
        <v>1228</v>
      </c>
      <c r="G583" s="6" t="s">
        <v>1228</v>
      </c>
      <c r="H583" s="6" t="s">
        <v>1228</v>
      </c>
      <c r="I583" s="6" t="s">
        <v>1228</v>
      </c>
      <c r="J583" s="6" t="s">
        <v>1228</v>
      </c>
      <c r="K583" s="6" t="s">
        <v>1228</v>
      </c>
      <c r="L583" s="12">
        <f>'Entity Inputs'!FZ9</f>
        <v>201436.20000000007</v>
      </c>
      <c r="M583" s="12">
        <f>'Entity Inputs'!FZ15</f>
        <v>195544.10000000018</v>
      </c>
      <c r="N583" s="12">
        <f>'Group Inputs'!FY9</f>
        <v>396980.3</v>
      </c>
      <c r="O583" s="6" t="s">
        <v>1885</v>
      </c>
    </row>
    <row r="584" spans="1:15">
      <c r="A584" s="6" t="s">
        <v>835</v>
      </c>
      <c r="B584" s="6" t="s">
        <v>1841</v>
      </c>
      <c r="C584" s="6" t="s">
        <v>214</v>
      </c>
      <c r="D584" s="6" t="s">
        <v>215</v>
      </c>
      <c r="E584" s="6" t="s">
        <v>1842</v>
      </c>
      <c r="F584" s="6" t="s">
        <v>1228</v>
      </c>
      <c r="G584" s="6" t="s">
        <v>1228</v>
      </c>
      <c r="H584" s="6" t="s">
        <v>1228</v>
      </c>
      <c r="I584" s="6" t="s">
        <v>1228</v>
      </c>
      <c r="J584" s="6" t="s">
        <v>1228</v>
      </c>
      <c r="K584" s="6" t="s">
        <v>1228</v>
      </c>
      <c r="L584" s="10">
        <f>'Entity Inputs'!CI9</f>
        <v>201088.9</v>
      </c>
      <c r="M584" s="10">
        <f>'Entity Inputs'!CI15</f>
        <v>195011.3</v>
      </c>
      <c r="N584" s="10">
        <f>'Group Inputs'!CH9</f>
        <v>396100.19999999995</v>
      </c>
      <c r="O584" s="6" t="s">
        <v>1892</v>
      </c>
    </row>
    <row r="585" spans="1:15">
      <c r="A585" s="11" t="s">
        <v>835</v>
      </c>
      <c r="B585" s="11" t="s">
        <v>1844</v>
      </c>
      <c r="C585" s="11" t="s">
        <v>836</v>
      </c>
      <c r="D585" s="11"/>
      <c r="E585" s="11" t="s">
        <v>25</v>
      </c>
      <c r="F585" s="11" t="s">
        <v>1228</v>
      </c>
      <c r="G585" s="11" t="s">
        <v>1228</v>
      </c>
      <c r="H585" s="11" t="s">
        <v>1228</v>
      </c>
      <c r="I585" s="11" t="s">
        <v>1228</v>
      </c>
      <c r="J585" s="11" t="s">
        <v>1228</v>
      </c>
      <c r="K585" s="11" t="s">
        <v>1228</v>
      </c>
      <c r="L585" s="11">
        <f>'Entity KPIs'!K131</f>
        <v>-0.17</v>
      </c>
      <c r="M585" s="11">
        <f>'Entity KPIs'!Q131</f>
        <v>-0.27</v>
      </c>
      <c r="N585" s="11">
        <f>'Group KPIs'!K131</f>
        <v>-0.22</v>
      </c>
      <c r="O585" s="11" t="s">
        <v>1845</v>
      </c>
    </row>
    <row r="587" spans="1:15">
      <c r="A587" s="9" t="s">
        <v>1989</v>
      </c>
      <c r="B587" s="9"/>
      <c r="C587" s="9"/>
      <c r="D587" s="9"/>
      <c r="E587" s="9"/>
      <c r="F587" s="9"/>
      <c r="G587" s="9"/>
      <c r="H587" s="9"/>
      <c r="I587" s="9"/>
      <c r="J587" s="9"/>
      <c r="K587" s="9"/>
      <c r="L587" s="9"/>
      <c r="M587" s="9"/>
      <c r="N587" s="9"/>
      <c r="O587" s="9"/>
    </row>
    <row r="588" spans="1:15">
      <c r="A588" s="6" t="s">
        <v>838</v>
      </c>
      <c r="B588" s="6" t="s">
        <v>1841</v>
      </c>
      <c r="C588" s="6" t="s">
        <v>119</v>
      </c>
      <c r="D588" s="6" t="s">
        <v>120</v>
      </c>
      <c r="E588" s="6" t="s">
        <v>1842</v>
      </c>
      <c r="F588" s="10">
        <f>'Plant Inputs'!AX9</f>
        <v>300900.3</v>
      </c>
      <c r="G588" s="10">
        <f>'Plant Inputs'!AX15</f>
        <v>346059.3</v>
      </c>
      <c r="H588" s="10">
        <f>'Plant Inputs'!AX21</f>
        <v>508764.6</v>
      </c>
      <c r="I588" s="10">
        <f>'Plant Inputs'!AX27</f>
        <v>310595</v>
      </c>
      <c r="J588" s="10">
        <f>'Plant Inputs'!AX33</f>
        <v>506388.4</v>
      </c>
      <c r="K588" s="10">
        <f>'Plant Inputs'!AX39</f>
        <v>363110.2</v>
      </c>
      <c r="L588" s="10">
        <f>'Entity Inputs'!AV9</f>
        <v>1155724.2</v>
      </c>
      <c r="M588" s="10">
        <f>'Entity Inputs'!AV15</f>
        <v>1180093.6</v>
      </c>
      <c r="N588" s="10">
        <f>'Group Inputs'!AU9</f>
        <v>2335817.8</v>
      </c>
      <c r="O588" s="6" t="s">
        <v>1843</v>
      </c>
    </row>
    <row r="589" spans="1:15">
      <c r="A589" s="6" t="s">
        <v>838</v>
      </c>
      <c r="B589" s="6" t="s">
        <v>1841</v>
      </c>
      <c r="C589" s="6" t="s">
        <v>68</v>
      </c>
      <c r="D589" s="6" t="s">
        <v>69</v>
      </c>
      <c r="E589" s="6" t="s">
        <v>1842</v>
      </c>
      <c r="F589" s="10">
        <f>'Plant Inputs'!Y9</f>
        <v>226098.2</v>
      </c>
      <c r="G589" s="10">
        <f>'Plant Inputs'!Y15</f>
        <v>308111</v>
      </c>
      <c r="H589" s="10">
        <f>'Plant Inputs'!Y21</f>
        <v>365860.2</v>
      </c>
      <c r="I589" s="10">
        <f>'Plant Inputs'!Y27</f>
        <v>266460.1</v>
      </c>
      <c r="J589" s="10">
        <f>'Plant Inputs'!Y33</f>
        <v>398678.1</v>
      </c>
      <c r="K589" s="10">
        <f>'Plant Inputs'!Y39</f>
        <v>262617.2</v>
      </c>
      <c r="L589" s="10">
        <f>'Entity Inputs'!W9</f>
        <v>900069.3999999999</v>
      </c>
      <c r="M589" s="10">
        <f>'Entity Inputs'!W15</f>
        <v>927755.3999999999</v>
      </c>
      <c r="N589" s="10">
        <f>'Group Inputs'!V9</f>
        <v>1827824.7999999998</v>
      </c>
      <c r="O589" s="6" t="s">
        <v>1843</v>
      </c>
    </row>
    <row r="590" spans="1:15">
      <c r="A590" s="6" t="s">
        <v>838</v>
      </c>
      <c r="B590" s="6" t="s">
        <v>1841</v>
      </c>
      <c r="C590" s="6" t="s">
        <v>72</v>
      </c>
      <c r="D590" s="6" t="s">
        <v>73</v>
      </c>
      <c r="E590" s="6" t="s">
        <v>1842</v>
      </c>
      <c r="F590" s="10">
        <f>'Plant Inputs'!AA9</f>
        <v>1375.5</v>
      </c>
      <c r="G590" s="10">
        <f>'Plant Inputs'!AA15</f>
        <v>940.2</v>
      </c>
      <c r="H590" s="10">
        <f>'Plant Inputs'!AA21</f>
        <v>1454.1</v>
      </c>
      <c r="I590" s="10">
        <f>'Plant Inputs'!AA27</f>
        <v>1127.6</v>
      </c>
      <c r="J590" s="10">
        <f>'Plant Inputs'!AA33</f>
        <v>1248.5</v>
      </c>
      <c r="K590" s="10">
        <f>'Plant Inputs'!AA39</f>
        <v>1573</v>
      </c>
      <c r="L590" s="10">
        <f>'Entity Inputs'!Y9</f>
        <v>3769.7999999999997</v>
      </c>
      <c r="M590" s="10">
        <f>'Entity Inputs'!Y15</f>
        <v>3949.1</v>
      </c>
      <c r="N590" s="10">
        <f>'Group Inputs'!X9</f>
        <v>7718.9</v>
      </c>
      <c r="O590" s="6" t="s">
        <v>1843</v>
      </c>
    </row>
    <row r="591" spans="1:15">
      <c r="A591" s="6" t="s">
        <v>838</v>
      </c>
      <c r="B591" s="6" t="s">
        <v>1841</v>
      </c>
      <c r="C591" s="6" t="s">
        <v>195</v>
      </c>
      <c r="D591" s="6" t="s">
        <v>196</v>
      </c>
      <c r="E591" s="6" t="s">
        <v>1842</v>
      </c>
      <c r="F591" s="6" t="s">
        <v>1228</v>
      </c>
      <c r="G591" s="6" t="s">
        <v>1228</v>
      </c>
      <c r="H591" s="6" t="s">
        <v>1228</v>
      </c>
      <c r="I591" s="6" t="s">
        <v>1228</v>
      </c>
      <c r="J591" s="6" t="s">
        <v>1228</v>
      </c>
      <c r="K591" s="6" t="s">
        <v>1228</v>
      </c>
      <c r="L591" s="10">
        <f>'Entity Inputs'!BZ9</f>
        <v>50448.8</v>
      </c>
      <c r="M591" s="10">
        <f>'Entity Inputs'!BZ15</f>
        <v>52845</v>
      </c>
      <c r="N591" s="10">
        <f>'Group Inputs'!BY9</f>
        <v>103293.8</v>
      </c>
      <c r="O591" s="6" t="s">
        <v>1892</v>
      </c>
    </row>
    <row r="592" spans="1:15">
      <c r="A592" s="6" t="s">
        <v>838</v>
      </c>
      <c r="B592" s="6" t="s">
        <v>1841</v>
      </c>
      <c r="C592" s="6" t="s">
        <v>214</v>
      </c>
      <c r="D592" s="6" t="s">
        <v>215</v>
      </c>
      <c r="E592" s="6" t="s">
        <v>1842</v>
      </c>
      <c r="F592" s="6" t="s">
        <v>1228</v>
      </c>
      <c r="G592" s="6" t="s">
        <v>1228</v>
      </c>
      <c r="H592" s="6" t="s">
        <v>1228</v>
      </c>
      <c r="I592" s="6" t="s">
        <v>1228</v>
      </c>
      <c r="J592" s="6" t="s">
        <v>1228</v>
      </c>
      <c r="K592" s="6" t="s">
        <v>1228</v>
      </c>
      <c r="L592" s="10">
        <f>'Entity Inputs'!CI9</f>
        <v>201088.9</v>
      </c>
      <c r="M592" s="10">
        <f>'Entity Inputs'!CI15</f>
        <v>195011.3</v>
      </c>
      <c r="N592" s="10">
        <f>'Group Inputs'!CH9</f>
        <v>396100.19999999995</v>
      </c>
      <c r="O592" s="6" t="s">
        <v>1892</v>
      </c>
    </row>
    <row r="593" spans="1:15">
      <c r="A593" s="11" t="s">
        <v>838</v>
      </c>
      <c r="B593" s="11" t="s">
        <v>1844</v>
      </c>
      <c r="C593" s="11" t="s">
        <v>839</v>
      </c>
      <c r="D593" s="11"/>
      <c r="E593" s="11" t="s">
        <v>25</v>
      </c>
      <c r="F593" s="11" t="s">
        <v>1228</v>
      </c>
      <c r="G593" s="11" t="s">
        <v>1228</v>
      </c>
      <c r="H593" s="11" t="s">
        <v>1228</v>
      </c>
      <c r="I593" s="11" t="s">
        <v>1228</v>
      </c>
      <c r="J593" s="11" t="s">
        <v>1228</v>
      </c>
      <c r="K593" s="11" t="s">
        <v>1228</v>
      </c>
      <c r="L593" s="11">
        <f>'Entity KPIs'!K132</f>
        <v>0.17</v>
      </c>
      <c r="M593" s="11">
        <f>'Entity KPIs'!Q132</f>
        <v>0.27</v>
      </c>
      <c r="N593" s="11">
        <f>'Group KPIs'!K132</f>
        <v>0.27</v>
      </c>
      <c r="O593" s="11" t="s">
        <v>1845</v>
      </c>
    </row>
    <row r="595" spans="1:15">
      <c r="A595" s="9" t="s">
        <v>1990</v>
      </c>
      <c r="B595" s="9"/>
      <c r="C595" s="9"/>
      <c r="D595" s="9"/>
      <c r="E595" s="9"/>
      <c r="F595" s="9"/>
      <c r="G595" s="9"/>
      <c r="H595" s="9"/>
      <c r="I595" s="9"/>
      <c r="J595" s="9"/>
      <c r="K595" s="9"/>
      <c r="L595" s="9"/>
      <c r="M595" s="9"/>
      <c r="N595" s="9"/>
      <c r="O595" s="9"/>
    </row>
    <row r="596" spans="1:15">
      <c r="A596" s="6" t="s">
        <v>841</v>
      </c>
      <c r="B596" s="6" t="s">
        <v>1841</v>
      </c>
      <c r="C596" s="6" t="s">
        <v>380</v>
      </c>
      <c r="D596" s="6" t="s">
        <v>381</v>
      </c>
      <c r="E596" s="6" t="s">
        <v>1842</v>
      </c>
      <c r="F596" s="6" t="s">
        <v>1228</v>
      </c>
      <c r="G596" s="6" t="s">
        <v>1228</v>
      </c>
      <c r="H596" s="6" t="s">
        <v>1228</v>
      </c>
      <c r="I596" s="6" t="s">
        <v>1228</v>
      </c>
      <c r="J596" s="6" t="s">
        <v>1228</v>
      </c>
      <c r="K596" s="6" t="s">
        <v>1228</v>
      </c>
      <c r="L596" s="10">
        <f>'Entity Inputs'!FN9</f>
        <v>1</v>
      </c>
      <c r="M596" s="10">
        <f>'Entity Inputs'!FN15</f>
        <v>0</v>
      </c>
      <c r="N596" s="10">
        <f>'Group Inputs'!FM9</f>
        <v>1.0</v>
      </c>
      <c r="O596" s="6" t="s">
        <v>1892</v>
      </c>
    </row>
    <row r="597" spans="1:15">
      <c r="A597" s="11" t="s">
        <v>841</v>
      </c>
      <c r="B597" s="11" t="s">
        <v>1844</v>
      </c>
      <c r="C597" s="11" t="s">
        <v>842</v>
      </c>
      <c r="D597" s="11"/>
      <c r="E597" s="11" t="s">
        <v>577</v>
      </c>
      <c r="F597" s="11" t="s">
        <v>1228</v>
      </c>
      <c r="G597" s="11" t="s">
        <v>1228</v>
      </c>
      <c r="H597" s="11" t="s">
        <v>1228</v>
      </c>
      <c r="I597" s="11" t="s">
        <v>1228</v>
      </c>
      <c r="J597" s="11" t="s">
        <v>1228</v>
      </c>
      <c r="K597" s="11" t="s">
        <v>1228</v>
      </c>
      <c r="L597" s="11">
        <f>'Entity KPIs'!K133</f>
        <v>1.0</v>
      </c>
      <c r="M597" s="11">
        <f>'Entity KPIs'!Q133</f>
        <v>0.0</v>
      </c>
      <c r="N597" s="11">
        <f>'Group KPIs'!K133</f>
        <v>1.0</v>
      </c>
      <c r="O597" s="11" t="s">
        <v>1845</v>
      </c>
    </row>
    <row r="599" spans="1:15">
      <c r="A599" s="9" t="s">
        <v>1991</v>
      </c>
      <c r="B599" s="9"/>
      <c r="C599" s="9"/>
      <c r="D599" s="9"/>
      <c r="E599" s="9"/>
      <c r="F599" s="9"/>
      <c r="G599" s="9"/>
      <c r="H599" s="9"/>
      <c r="I599" s="9"/>
      <c r="J599" s="9"/>
      <c r="K599" s="9"/>
      <c r="L599" s="9"/>
      <c r="M599" s="9"/>
      <c r="N599" s="9"/>
      <c r="O599" s="9"/>
    </row>
    <row r="600" spans="1:15">
      <c r="A600" s="6" t="s">
        <v>843</v>
      </c>
      <c r="B600" s="6" t="s">
        <v>1841</v>
      </c>
      <c r="C600" s="6" t="s">
        <v>382</v>
      </c>
      <c r="D600" s="6" t="s">
        <v>383</v>
      </c>
      <c r="E600" s="6" t="s">
        <v>1842</v>
      </c>
      <c r="F600" s="6" t="s">
        <v>1228</v>
      </c>
      <c r="G600" s="6" t="s">
        <v>1228</v>
      </c>
      <c r="H600" s="6" t="s">
        <v>1228</v>
      </c>
      <c r="I600" s="6" t="s">
        <v>1228</v>
      </c>
      <c r="J600" s="6" t="s">
        <v>1228</v>
      </c>
      <c r="K600" s="6" t="s">
        <v>1228</v>
      </c>
      <c r="L600" s="10">
        <f>'Entity Inputs'!FO9</f>
        <v>0</v>
      </c>
      <c r="M600" s="10">
        <f>'Entity Inputs'!FO15</f>
        <v>1</v>
      </c>
      <c r="N600" s="10">
        <f>'Group Inputs'!FN9</f>
        <v>1.0</v>
      </c>
      <c r="O600" s="6" t="s">
        <v>1892</v>
      </c>
    </row>
    <row r="601" spans="1:15">
      <c r="A601" s="11" t="s">
        <v>843</v>
      </c>
      <c r="B601" s="11" t="s">
        <v>1844</v>
      </c>
      <c r="C601" s="11" t="s">
        <v>844</v>
      </c>
      <c r="D601" s="11"/>
      <c r="E601" s="11" t="s">
        <v>577</v>
      </c>
      <c r="F601" s="11" t="s">
        <v>1228</v>
      </c>
      <c r="G601" s="11" t="s">
        <v>1228</v>
      </c>
      <c r="H601" s="11" t="s">
        <v>1228</v>
      </c>
      <c r="I601" s="11" t="s">
        <v>1228</v>
      </c>
      <c r="J601" s="11" t="s">
        <v>1228</v>
      </c>
      <c r="K601" s="11" t="s">
        <v>1228</v>
      </c>
      <c r="L601" s="11">
        <f>'Entity KPIs'!K134</f>
        <v>0.0</v>
      </c>
      <c r="M601" s="11">
        <f>'Entity KPIs'!Q134</f>
        <v>1.0</v>
      </c>
      <c r="N601" s="11">
        <f>'Group KPIs'!K134</f>
        <v>1.0</v>
      </c>
      <c r="O601" s="11" t="s">
        <v>1845</v>
      </c>
    </row>
    <row r="603" spans="1:15">
      <c r="A603" s="9" t="s">
        <v>1992</v>
      </c>
      <c r="B603" s="9"/>
      <c r="C603" s="9"/>
      <c r="D603" s="9"/>
      <c r="E603" s="9"/>
      <c r="F603" s="9"/>
      <c r="G603" s="9"/>
      <c r="H603" s="9"/>
      <c r="I603" s="9"/>
      <c r="J603" s="9"/>
      <c r="K603" s="9"/>
      <c r="L603" s="9"/>
      <c r="M603" s="9"/>
      <c r="N603" s="9"/>
      <c r="O603" s="9"/>
    </row>
    <row r="604" spans="1:15">
      <c r="A604" s="6" t="s">
        <v>846</v>
      </c>
      <c r="B604" s="6" t="s">
        <v>1841</v>
      </c>
      <c r="C604" s="6" t="s">
        <v>384</v>
      </c>
      <c r="D604" s="6" t="s">
        <v>385</v>
      </c>
      <c r="E604" s="6" t="s">
        <v>1842</v>
      </c>
      <c r="F604" s="6" t="s">
        <v>1228</v>
      </c>
      <c r="G604" s="6" t="s">
        <v>1228</v>
      </c>
      <c r="H604" s="6" t="s">
        <v>1228</v>
      </c>
      <c r="I604" s="6" t="s">
        <v>1228</v>
      </c>
      <c r="J604" s="6" t="s">
        <v>1228</v>
      </c>
      <c r="K604" s="6" t="s">
        <v>1228</v>
      </c>
      <c r="L604" s="10">
        <f>'Entity Inputs'!FP9</f>
        <v>0</v>
      </c>
      <c r="M604" s="10">
        <f>'Entity Inputs'!FP15</f>
        <v>0</v>
      </c>
      <c r="N604" s="10">
        <f>'Group Inputs'!FO9</f>
        <v>0.0</v>
      </c>
      <c r="O604" s="6" t="s">
        <v>1892</v>
      </c>
    </row>
    <row r="605" spans="1:15">
      <c r="A605" s="11" t="s">
        <v>846</v>
      </c>
      <c r="B605" s="11" t="s">
        <v>1844</v>
      </c>
      <c r="C605" s="11" t="s">
        <v>847</v>
      </c>
      <c r="D605" s="11"/>
      <c r="E605" s="11" t="s">
        <v>577</v>
      </c>
      <c r="F605" s="11" t="s">
        <v>1228</v>
      </c>
      <c r="G605" s="11" t="s">
        <v>1228</v>
      </c>
      <c r="H605" s="11" t="s">
        <v>1228</v>
      </c>
      <c r="I605" s="11" t="s">
        <v>1228</v>
      </c>
      <c r="J605" s="11" t="s">
        <v>1228</v>
      </c>
      <c r="K605" s="11" t="s">
        <v>1228</v>
      </c>
      <c r="L605" s="11">
        <f>'Entity KPIs'!K135</f>
        <v>0.0</v>
      </c>
      <c r="M605" s="11">
        <f>'Entity KPIs'!Q135</f>
        <v>0.0</v>
      </c>
      <c r="N605" s="11">
        <f>'Group KPIs'!K135</f>
        <v>0.0</v>
      </c>
      <c r="O605" s="11" t="s">
        <v>1845</v>
      </c>
    </row>
    <row r="607" spans="1:15">
      <c r="A607" s="9" t="s">
        <v>1993</v>
      </c>
      <c r="B607" s="9"/>
      <c r="C607" s="9"/>
      <c r="D607" s="9"/>
      <c r="E607" s="9"/>
      <c r="F607" s="9"/>
      <c r="G607" s="9"/>
      <c r="H607" s="9"/>
      <c r="I607" s="9"/>
      <c r="J607" s="9"/>
      <c r="K607" s="9"/>
      <c r="L607" s="9"/>
      <c r="M607" s="9"/>
      <c r="N607" s="9"/>
      <c r="O607" s="9"/>
    </row>
    <row r="608" spans="1:15">
      <c r="A608" s="6" t="s">
        <v>848</v>
      </c>
      <c r="B608" s="6" t="s">
        <v>1841</v>
      </c>
      <c r="C608" s="6" t="s">
        <v>386</v>
      </c>
      <c r="D608" s="6" t="s">
        <v>387</v>
      </c>
      <c r="E608" s="6" t="s">
        <v>1842</v>
      </c>
      <c r="F608" s="6" t="s">
        <v>1228</v>
      </c>
      <c r="G608" s="6" t="s">
        <v>1228</v>
      </c>
      <c r="H608" s="6" t="s">
        <v>1228</v>
      </c>
      <c r="I608" s="6" t="s">
        <v>1228</v>
      </c>
      <c r="J608" s="6" t="s">
        <v>1228</v>
      </c>
      <c r="K608" s="6" t="s">
        <v>1228</v>
      </c>
      <c r="L608" s="10">
        <f>'Entity Inputs'!FQ9</f>
        <v>6</v>
      </c>
      <c r="M608" s="10">
        <f>'Entity Inputs'!FQ15</f>
        <v>5</v>
      </c>
      <c r="N608" s="10">
        <f>'Group Inputs'!FP9</f>
        <v>11.0</v>
      </c>
      <c r="O608" s="6" t="s">
        <v>1892</v>
      </c>
    </row>
    <row r="609" spans="1:15">
      <c r="A609" s="6" t="s">
        <v>848</v>
      </c>
      <c r="B609" s="6" t="s">
        <v>1841</v>
      </c>
      <c r="C609" s="6" t="s">
        <v>388</v>
      </c>
      <c r="D609" s="6" t="s">
        <v>389</v>
      </c>
      <c r="E609" s="6" t="s">
        <v>1842</v>
      </c>
      <c r="F609" s="6" t="s">
        <v>1228</v>
      </c>
      <c r="G609" s="6" t="s">
        <v>1228</v>
      </c>
      <c r="H609" s="6" t="s">
        <v>1228</v>
      </c>
      <c r="I609" s="6" t="s">
        <v>1228</v>
      </c>
      <c r="J609" s="6" t="s">
        <v>1228</v>
      </c>
      <c r="K609" s="6" t="s">
        <v>1228</v>
      </c>
      <c r="L609" s="10">
        <f>'Entity Inputs'!FR9</f>
        <v>16.7</v>
      </c>
      <c r="M609" s="10">
        <f>'Entity Inputs'!FR15</f>
        <v>10.3</v>
      </c>
      <c r="N609" s="10">
        <f>'Group Inputs'!FQ9</f>
        <v>27.0</v>
      </c>
      <c r="O609" s="6" t="s">
        <v>1892</v>
      </c>
    </row>
    <row r="610" spans="1:15">
      <c r="A610" s="11" t="s">
        <v>848</v>
      </c>
      <c r="B610" s="11" t="s">
        <v>1844</v>
      </c>
      <c r="C610" s="11" t="s">
        <v>849</v>
      </c>
      <c r="D610" s="11"/>
      <c r="E610" s="11" t="s">
        <v>25</v>
      </c>
      <c r="F610" s="11" t="s">
        <v>1228</v>
      </c>
      <c r="G610" s="11" t="s">
        <v>1228</v>
      </c>
      <c r="H610" s="11" t="s">
        <v>1228</v>
      </c>
      <c r="I610" s="11" t="s">
        <v>1228</v>
      </c>
      <c r="J610" s="11" t="s">
        <v>1228</v>
      </c>
      <c r="K610" s="11" t="s">
        <v>1228</v>
      </c>
      <c r="L610" s="11">
        <f>'Entity KPIs'!K136</f>
        <v>2.78</v>
      </c>
      <c r="M610" s="11">
        <f>'Entity KPIs'!Q136</f>
        <v>2.06</v>
      </c>
      <c r="N610" s="11">
        <f>'Group KPIs'!K136</f>
        <v>2.45</v>
      </c>
      <c r="O610" s="11" t="s">
        <v>1845</v>
      </c>
    </row>
    <row r="612" spans="1:15">
      <c r="A612" s="9" t="s">
        <v>1994</v>
      </c>
      <c r="B612" s="9"/>
      <c r="C612" s="9"/>
      <c r="D612" s="9"/>
      <c r="E612" s="9"/>
      <c r="F612" s="9"/>
      <c r="G612" s="9"/>
      <c r="H612" s="9"/>
      <c r="I612" s="9"/>
      <c r="J612" s="9"/>
      <c r="K612" s="9"/>
      <c r="L612" s="9"/>
      <c r="M612" s="9"/>
      <c r="N612" s="9"/>
      <c r="O612" s="9"/>
    </row>
    <row r="613" spans="1:15">
      <c r="A613" s="6" t="s">
        <v>851</v>
      </c>
      <c r="B613" s="6" t="s">
        <v>1841</v>
      </c>
      <c r="C613" s="6" t="s">
        <v>390</v>
      </c>
      <c r="D613" s="6" t="s">
        <v>391</v>
      </c>
      <c r="E613" s="6" t="s">
        <v>1842</v>
      </c>
      <c r="F613" s="6" t="s">
        <v>1228</v>
      </c>
      <c r="G613" s="6" t="s">
        <v>1228</v>
      </c>
      <c r="H613" s="6" t="s">
        <v>1228</v>
      </c>
      <c r="I613" s="6" t="s">
        <v>1228</v>
      </c>
      <c r="J613" s="6" t="s">
        <v>1228</v>
      </c>
      <c r="K613" s="6" t="s">
        <v>1228</v>
      </c>
      <c r="L613" s="10">
        <f>'Entity Inputs'!FS9</f>
        <v>3</v>
      </c>
      <c r="M613" s="10">
        <f>'Entity Inputs'!FS15</f>
        <v>8</v>
      </c>
      <c r="N613" s="10">
        <f>'Group Inputs'!FR9</f>
        <v>11.0</v>
      </c>
      <c r="O613" s="6" t="s">
        <v>1892</v>
      </c>
    </row>
    <row r="614" spans="1:15">
      <c r="A614" s="11" t="s">
        <v>851</v>
      </c>
      <c r="B614" s="11" t="s">
        <v>1844</v>
      </c>
      <c r="C614" s="11" t="s">
        <v>852</v>
      </c>
      <c r="D614" s="11"/>
      <c r="E614" s="11" t="s">
        <v>25</v>
      </c>
      <c r="F614" s="11" t="s">
        <v>1228</v>
      </c>
      <c r="G614" s="11" t="s">
        <v>1228</v>
      </c>
      <c r="H614" s="11" t="s">
        <v>1228</v>
      </c>
      <c r="I614" s="11" t="s">
        <v>1228</v>
      </c>
      <c r="J614" s="11" t="s">
        <v>1228</v>
      </c>
      <c r="K614" s="11" t="s">
        <v>1228</v>
      </c>
      <c r="L614" s="11">
        <f>'Entity KPIs'!K137</f>
        <v>3.0</v>
      </c>
      <c r="M614" s="11">
        <f>'Entity KPIs'!Q137</f>
        <v>8.0</v>
      </c>
      <c r="N614" s="11">
        <f>'Group KPIs'!K137</f>
        <v>11.0</v>
      </c>
      <c r="O614" s="11" t="s">
        <v>1845</v>
      </c>
    </row>
    <row r="616" spans="1:15">
      <c r="A616" s="9" t="s">
        <v>1995</v>
      </c>
      <c r="B616" s="9"/>
      <c r="C616" s="9"/>
      <c r="D616" s="9"/>
      <c r="E616" s="9"/>
      <c r="F616" s="9"/>
      <c r="G616" s="9"/>
      <c r="H616" s="9"/>
      <c r="I616" s="9"/>
      <c r="J616" s="9"/>
      <c r="K616" s="9"/>
      <c r="L616" s="9"/>
      <c r="M616" s="9"/>
      <c r="N616" s="9"/>
      <c r="O616" s="9"/>
    </row>
    <row r="617" spans="1:15">
      <c r="A617" s="6" t="s">
        <v>854</v>
      </c>
      <c r="B617" s="6" t="s">
        <v>1841</v>
      </c>
      <c r="C617" s="6" t="s">
        <v>392</v>
      </c>
      <c r="D617" s="6" t="s">
        <v>393</v>
      </c>
      <c r="E617" s="6" t="s">
        <v>1996</v>
      </c>
      <c r="F617" s="6" t="s">
        <v>1228</v>
      </c>
      <c r="G617" s="6" t="s">
        <v>1228</v>
      </c>
      <c r="H617" s="6" t="s">
        <v>1228</v>
      </c>
      <c r="I617" s="6" t="s">
        <v>1228</v>
      </c>
      <c r="J617" s="6" t="s">
        <v>1228</v>
      </c>
      <c r="K617" s="6" t="s">
        <v>1228</v>
      </c>
      <c r="L617" s="10">
        <f>'Entity Inputs'!FT9</f>
        <v>1</v>
      </c>
      <c r="M617" s="10">
        <f>'Entity Inputs'!FT15</f>
        <v>0</v>
      </c>
      <c r="N617" s="10">
        <f>'Group Inputs'!FS9</f>
        <v>1.0</v>
      </c>
      <c r="O617" s="6" t="s">
        <v>1892</v>
      </c>
    </row>
    <row r="618" spans="1:15">
      <c r="A618" s="11" t="s">
        <v>854</v>
      </c>
      <c r="B618" s="11" t="s">
        <v>1844</v>
      </c>
      <c r="C618" s="11" t="s">
        <v>855</v>
      </c>
      <c r="D618" s="11"/>
      <c r="E618" s="11" t="s">
        <v>856</v>
      </c>
      <c r="F618" s="11" t="s">
        <v>1228</v>
      </c>
      <c r="G618" s="11" t="s">
        <v>1228</v>
      </c>
      <c r="H618" s="11" t="s">
        <v>1228</v>
      </c>
      <c r="I618" s="11" t="s">
        <v>1228</v>
      </c>
      <c r="J618" s="11" t="s">
        <v>1228</v>
      </c>
      <c r="K618" s="11" t="s">
        <v>1228</v>
      </c>
      <c r="L618" s="11">
        <f>'Entity KPIs'!K138</f>
        <v>3.0</v>
      </c>
      <c r="M618" s="11">
        <f>'Entity KPIs'!Q138</f>
        <v>1.0</v>
      </c>
      <c r="N618" s="11">
        <f>'Group KPIs'!K138</f>
        <v>4.0</v>
      </c>
      <c r="O618" s="11" t="s">
        <v>1845</v>
      </c>
    </row>
    <row r="620" spans="1:15">
      <c r="A620" s="9" t="s">
        <v>1997</v>
      </c>
      <c r="B620" s="9"/>
      <c r="C620" s="9"/>
      <c r="D620" s="9"/>
      <c r="E620" s="9"/>
      <c r="F620" s="9"/>
      <c r="G620" s="9"/>
      <c r="H620" s="9"/>
      <c r="I620" s="9"/>
      <c r="J620" s="9"/>
      <c r="K620" s="9"/>
      <c r="L620" s="9"/>
      <c r="M620" s="9"/>
      <c r="N620" s="9"/>
      <c r="O620" s="9"/>
    </row>
    <row r="621" spans="1:15">
      <c r="A621" s="6" t="s">
        <v>858</v>
      </c>
      <c r="B621" s="6" t="s">
        <v>1841</v>
      </c>
      <c r="C621" s="6" t="s">
        <v>396</v>
      </c>
      <c r="D621" s="6" t="s">
        <v>397</v>
      </c>
      <c r="E621" s="6" t="s">
        <v>1884</v>
      </c>
      <c r="F621" s="6" t="s">
        <v>1228</v>
      </c>
      <c r="G621" s="6" t="s">
        <v>1228</v>
      </c>
      <c r="H621" s="6" t="s">
        <v>1228</v>
      </c>
      <c r="I621" s="6" t="s">
        <v>1228</v>
      </c>
      <c r="J621" s="6" t="s">
        <v>1228</v>
      </c>
      <c r="K621" s="6" t="s">
        <v>1228</v>
      </c>
      <c r="L621" s="10">
        <f>'Entity Inputs'!FV9</f>
        <v>1</v>
      </c>
      <c r="M621" s="10">
        <f>'Entity Inputs'!FV15</f>
        <v>1</v>
      </c>
      <c r="N621" s="10">
        <f>'Group Inputs'!FU9</f>
        <v>2.0</v>
      </c>
      <c r="O621" s="6" t="s">
        <v>1892</v>
      </c>
    </row>
    <row r="622" spans="1:15">
      <c r="A622" s="6" t="s">
        <v>858</v>
      </c>
      <c r="B622" s="6" t="s">
        <v>1841</v>
      </c>
      <c r="C622" s="6" t="s">
        <v>394</v>
      </c>
      <c r="D622" s="6" t="s">
        <v>395</v>
      </c>
      <c r="E622" s="6" t="s">
        <v>1884</v>
      </c>
      <c r="F622" s="6" t="s">
        <v>1228</v>
      </c>
      <c r="G622" s="6" t="s">
        <v>1228</v>
      </c>
      <c r="H622" s="6" t="s">
        <v>1228</v>
      </c>
      <c r="I622" s="6" t="s">
        <v>1228</v>
      </c>
      <c r="J622" s="6" t="s">
        <v>1228</v>
      </c>
      <c r="K622" s="6" t="s">
        <v>1228</v>
      </c>
      <c r="L622" s="10">
        <f>'Entity Inputs'!FU9</f>
        <v>1</v>
      </c>
      <c r="M622" s="10">
        <f>'Entity Inputs'!FU15</f>
        <v>1</v>
      </c>
      <c r="N622" s="10">
        <f>'Group Inputs'!FT9</f>
        <v>2.0</v>
      </c>
      <c r="O622" s="6" t="s">
        <v>1892</v>
      </c>
    </row>
    <row r="623" spans="1:15">
      <c r="A623" s="11" t="s">
        <v>858</v>
      </c>
      <c r="B623" s="11" t="s">
        <v>1844</v>
      </c>
      <c r="C623" s="11" t="s">
        <v>859</v>
      </c>
      <c r="D623" s="11"/>
      <c r="E623" s="11" t="s">
        <v>561</v>
      </c>
      <c r="F623" s="11" t="s">
        <v>1228</v>
      </c>
      <c r="G623" s="11" t="s">
        <v>1228</v>
      </c>
      <c r="H623" s="11" t="s">
        <v>1228</v>
      </c>
      <c r="I623" s="11" t="s">
        <v>1228</v>
      </c>
      <c r="J623" s="11" t="s">
        <v>1228</v>
      </c>
      <c r="K623" s="11" t="s">
        <v>1228</v>
      </c>
      <c r="L623" s="11" t="str">
        <f>'Entity KPIs'!K139</f>
        <v>4 of 4</v>
      </c>
      <c r="M623" s="11" t="str">
        <f>'Entity KPIs'!Q139</f>
        <v>4 of 5</v>
      </c>
      <c r="N623" s="11" t="str">
        <f>'Group KPIs'!K139</f>
        <v>8 of 9</v>
      </c>
      <c r="O623" s="11" t="s">
        <v>1845</v>
      </c>
    </row>
    <row r="625" spans="1:15">
      <c r="A625" s="9" t="s">
        <v>1998</v>
      </c>
      <c r="B625" s="9"/>
      <c r="C625" s="9"/>
      <c r="D625" s="9"/>
      <c r="E625" s="9"/>
      <c r="F625" s="9"/>
      <c r="G625" s="9"/>
      <c r="H625" s="9"/>
      <c r="I625" s="9"/>
      <c r="J625" s="9"/>
      <c r="K625" s="9"/>
      <c r="L625" s="9"/>
      <c r="M625" s="9"/>
      <c r="N625" s="9"/>
      <c r="O625" s="9"/>
    </row>
    <row r="626" spans="1:15">
      <c r="A626" s="6" t="s">
        <v>861</v>
      </c>
      <c r="B626" s="6" t="s">
        <v>1841</v>
      </c>
      <c r="C626" s="6" t="s">
        <v>232</v>
      </c>
      <c r="D626" s="6" t="s">
        <v>233</v>
      </c>
      <c r="E626" s="6" t="s">
        <v>1842</v>
      </c>
      <c r="F626" s="6" t="s">
        <v>1228</v>
      </c>
      <c r="G626" s="6" t="s">
        <v>1228</v>
      </c>
      <c r="H626" s="6" t="s">
        <v>1228</v>
      </c>
      <c r="I626" s="6" t="s">
        <v>1228</v>
      </c>
      <c r="J626" s="6" t="s">
        <v>1228</v>
      </c>
      <c r="K626" s="6" t="s">
        <v>1228</v>
      </c>
      <c r="L626" s="10">
        <f>'Entity Inputs'!CR9</f>
        <v>395</v>
      </c>
      <c r="M626" s="10">
        <f>'Entity Inputs'!CR15</f>
        <v>355</v>
      </c>
      <c r="N626" s="10">
        <f>'Group Inputs'!CQ9</f>
        <v>750.0</v>
      </c>
      <c r="O626" s="6" t="s">
        <v>1892</v>
      </c>
    </row>
    <row r="627" spans="1:15">
      <c r="A627" s="6" t="s">
        <v>861</v>
      </c>
      <c r="B627" s="6" t="s">
        <v>1841</v>
      </c>
      <c r="C627" s="6" t="s">
        <v>234</v>
      </c>
      <c r="D627" s="6" t="s">
        <v>235</v>
      </c>
      <c r="E627" s="6" t="s">
        <v>1842</v>
      </c>
      <c r="F627" s="6" t="s">
        <v>1228</v>
      </c>
      <c r="G627" s="6" t="s">
        <v>1228</v>
      </c>
      <c r="H627" s="6" t="s">
        <v>1228</v>
      </c>
      <c r="I627" s="6" t="s">
        <v>1228</v>
      </c>
      <c r="J627" s="6" t="s">
        <v>1228</v>
      </c>
      <c r="K627" s="6" t="s">
        <v>1228</v>
      </c>
      <c r="L627" s="10">
        <f>'Entity Inputs'!CS9</f>
        <v>18541</v>
      </c>
      <c r="M627" s="10">
        <f>'Entity Inputs'!CS15</f>
        <v>16051</v>
      </c>
      <c r="N627" s="10">
        <f>'Group Inputs'!CR9</f>
        <v>34592.0</v>
      </c>
      <c r="O627" s="6" t="s">
        <v>1892</v>
      </c>
    </row>
    <row r="628" spans="1:15">
      <c r="A628" s="6" t="s">
        <v>861</v>
      </c>
      <c r="B628" s="6" t="s">
        <v>1841</v>
      </c>
      <c r="C628" s="6" t="s">
        <v>236</v>
      </c>
      <c r="D628" s="6" t="s">
        <v>237</v>
      </c>
      <c r="E628" s="6" t="s">
        <v>1842</v>
      </c>
      <c r="F628" s="6" t="s">
        <v>1228</v>
      </c>
      <c r="G628" s="6" t="s">
        <v>1228</v>
      </c>
      <c r="H628" s="6" t="s">
        <v>1228</v>
      </c>
      <c r="I628" s="6" t="s">
        <v>1228</v>
      </c>
      <c r="J628" s="6" t="s">
        <v>1228</v>
      </c>
      <c r="K628" s="6" t="s">
        <v>1228</v>
      </c>
      <c r="L628" s="10">
        <f>'Entity Inputs'!CT9</f>
        <v>17775</v>
      </c>
      <c r="M628" s="10">
        <f>'Entity Inputs'!CT15</f>
        <v>15975</v>
      </c>
      <c r="N628" s="10">
        <f>'Group Inputs'!CS9</f>
        <v>33750.0</v>
      </c>
      <c r="O628" s="6" t="s">
        <v>1892</v>
      </c>
    </row>
    <row r="629" spans="1:15">
      <c r="A629" s="11" t="s">
        <v>861</v>
      </c>
      <c r="B629" s="11" t="s">
        <v>1844</v>
      </c>
      <c r="C629" s="11" t="s">
        <v>862</v>
      </c>
      <c r="D629" s="11"/>
      <c r="E629" s="11" t="s">
        <v>25</v>
      </c>
      <c r="F629" s="11" t="s">
        <v>1228</v>
      </c>
      <c r="G629" s="11" t="s">
        <v>1228</v>
      </c>
      <c r="H629" s="11" t="s">
        <v>1228</v>
      </c>
      <c r="I629" s="11" t="s">
        <v>1228</v>
      </c>
      <c r="J629" s="11" t="s">
        <v>1228</v>
      </c>
      <c r="K629" s="11" t="s">
        <v>1228</v>
      </c>
      <c r="L629" s="11">
        <f>'Entity KPIs'!K140</f>
        <v>1.94</v>
      </c>
      <c r="M629" s="11">
        <f>'Entity KPIs'!Q140</f>
        <v>0.21</v>
      </c>
      <c r="N629" s="11">
        <f>'Group KPIs'!K140</f>
        <v>1.12</v>
      </c>
      <c r="O629" s="11" t="s">
        <v>1845</v>
      </c>
    </row>
    <row r="631" spans="1:15">
      <c r="A631" s="9" t="s">
        <v>1999</v>
      </c>
      <c r="B631" s="9"/>
      <c r="C631" s="9"/>
      <c r="D631" s="9"/>
      <c r="E631" s="9"/>
      <c r="F631" s="9"/>
      <c r="G631" s="9"/>
      <c r="H631" s="9"/>
      <c r="I631" s="9"/>
      <c r="J631" s="9"/>
      <c r="K631" s="9"/>
      <c r="L631" s="9"/>
      <c r="M631" s="9"/>
      <c r="N631" s="9"/>
      <c r="O631" s="9"/>
    </row>
    <row r="632" spans="1:15">
      <c r="A632" s="6" t="s">
        <v>864</v>
      </c>
      <c r="B632" s="6" t="s">
        <v>1841</v>
      </c>
      <c r="C632" s="6" t="s">
        <v>238</v>
      </c>
      <c r="D632" s="6" t="s">
        <v>239</v>
      </c>
      <c r="E632" s="6" t="s">
        <v>1842</v>
      </c>
      <c r="F632" s="6" t="s">
        <v>1228</v>
      </c>
      <c r="G632" s="6" t="s">
        <v>1228</v>
      </c>
      <c r="H632" s="6" t="s">
        <v>1228</v>
      </c>
      <c r="I632" s="6" t="s">
        <v>1228</v>
      </c>
      <c r="J632" s="6" t="s">
        <v>1228</v>
      </c>
      <c r="K632" s="6" t="s">
        <v>1228</v>
      </c>
      <c r="L632" s="10">
        <f>'Entity Inputs'!CU9</f>
        <v>2</v>
      </c>
      <c r="M632" s="10">
        <f>'Entity Inputs'!CU15</f>
        <v>1</v>
      </c>
      <c r="N632" s="10">
        <f>'Group Inputs'!CT9</f>
        <v>3.0</v>
      </c>
      <c r="O632" s="6" t="s">
        <v>1892</v>
      </c>
    </row>
    <row r="633" spans="1:15">
      <c r="A633" s="11" t="s">
        <v>864</v>
      </c>
      <c r="B633" s="11" t="s">
        <v>1844</v>
      </c>
      <c r="C633" s="11" t="s">
        <v>865</v>
      </c>
      <c r="D633" s="11"/>
      <c r="E633" s="11" t="s">
        <v>577</v>
      </c>
      <c r="F633" s="11" t="s">
        <v>1228</v>
      </c>
      <c r="G633" s="11" t="s">
        <v>1228</v>
      </c>
      <c r="H633" s="11" t="s">
        <v>1228</v>
      </c>
      <c r="I633" s="11" t="s">
        <v>1228</v>
      </c>
      <c r="J633" s="11" t="s">
        <v>1228</v>
      </c>
      <c r="K633" s="11" t="s">
        <v>1228</v>
      </c>
      <c r="L633" s="11">
        <f>'Entity KPIs'!K141</f>
        <v>2.0</v>
      </c>
      <c r="M633" s="11">
        <f>'Entity KPIs'!Q141</f>
        <v>1.0</v>
      </c>
      <c r="N633" s="11">
        <f>'Group KPIs'!K141</f>
        <v>3.0</v>
      </c>
      <c r="O633" s="11" t="s">
        <v>1845</v>
      </c>
    </row>
    <row r="635" spans="1:15">
      <c r="A635" s="9" t="s">
        <v>2000</v>
      </c>
      <c r="B635" s="9"/>
      <c r="C635" s="9"/>
      <c r="D635" s="9"/>
      <c r="E635" s="9"/>
      <c r="F635" s="9"/>
      <c r="G635" s="9"/>
      <c r="H635" s="9"/>
      <c r="I635" s="9"/>
      <c r="J635" s="9"/>
      <c r="K635" s="9"/>
      <c r="L635" s="9"/>
      <c r="M635" s="9"/>
      <c r="N635" s="9"/>
      <c r="O635" s="9"/>
    </row>
    <row r="636" spans="1:15">
      <c r="A636" s="6" t="s">
        <v>868</v>
      </c>
      <c r="B636" s="6" t="s">
        <v>1883</v>
      </c>
      <c r="C636" s="6" t="s">
        <v>416</v>
      </c>
      <c r="D636" s="6" t="s">
        <v>417</v>
      </c>
      <c r="E636" s="6" t="s">
        <v>1842</v>
      </c>
      <c r="F636" s="6" t="s">
        <v>1228</v>
      </c>
      <c r="G636" s="6" t="s">
        <v>1228</v>
      </c>
      <c r="H636" s="6" t="s">
        <v>1228</v>
      </c>
      <c r="I636" s="6" t="s">
        <v>1228</v>
      </c>
      <c r="J636" s="6" t="s">
        <v>1228</v>
      </c>
      <c r="K636" s="6" t="s">
        <v>1228</v>
      </c>
      <c r="L636" s="12">
        <f>'Entity Inputs'!GD9</f>
        <v>173495.79999999955</v>
      </c>
      <c r="M636" s="12">
        <f>'Entity Inputs'!GD15</f>
        <v>128805.00000000035</v>
      </c>
      <c r="N636" s="12">
        <f>'Group Inputs'!GC9</f>
        <v>302300.8000000004</v>
      </c>
      <c r="O636" s="6" t="s">
        <v>2001</v>
      </c>
    </row>
    <row r="637" spans="1:15">
      <c r="A637" s="11" t="s">
        <v>868</v>
      </c>
      <c r="B637" s="11" t="s">
        <v>1844</v>
      </c>
      <c r="C637" s="11" t="s">
        <v>869</v>
      </c>
      <c r="D637" s="11"/>
      <c r="E637" s="11" t="s">
        <v>25</v>
      </c>
      <c r="F637" s="11" t="s">
        <v>1228</v>
      </c>
      <c r="G637" s="11" t="s">
        <v>1228</v>
      </c>
      <c r="H637" s="11" t="s">
        <v>1228</v>
      </c>
      <c r="I637" s="11" t="s">
        <v>1228</v>
      </c>
      <c r="J637" s="11" t="s">
        <v>1228</v>
      </c>
      <c r="K637" s="11" t="s">
        <v>1228</v>
      </c>
      <c r="L637" s="11" t="str">
        <f>'Entity KPIs'!K142</f>
        <v>Not triggered</v>
      </c>
      <c r="M637" s="11" t="str">
        <f>'Entity KPIs'!Q142</f>
        <v>Not triggered</v>
      </c>
      <c r="N637" s="11" t="str">
        <f>'Group KPIs'!K142</f>
        <v>Not triggered</v>
      </c>
      <c r="O637" s="11" t="s">
        <v>1845</v>
      </c>
    </row>
    <row r="639" spans="1:15">
      <c r="A639" s="9" t="s">
        <v>2002</v>
      </c>
      <c r="B639" s="9"/>
      <c r="C639" s="9"/>
      <c r="D639" s="9"/>
      <c r="E639" s="9"/>
      <c r="F639" s="9"/>
      <c r="G639" s="9"/>
      <c r="H639" s="9"/>
      <c r="I639" s="9"/>
      <c r="J639" s="9"/>
      <c r="K639" s="9"/>
      <c r="L639" s="9"/>
      <c r="M639" s="9"/>
      <c r="N639" s="9"/>
      <c r="O639" s="9"/>
    </row>
    <row r="640" spans="1:15">
      <c r="A640" s="6" t="s">
        <v>871</v>
      </c>
      <c r="B640" s="6" t="s">
        <v>1883</v>
      </c>
      <c r="C640" s="6" t="s">
        <v>437</v>
      </c>
      <c r="D640" s="6" t="s">
        <v>438</v>
      </c>
      <c r="E640" s="6" t="s">
        <v>1842</v>
      </c>
      <c r="F640" s="6" t="s">
        <v>1228</v>
      </c>
      <c r="G640" s="6" t="s">
        <v>1228</v>
      </c>
      <c r="H640" s="6" t="s">
        <v>1228</v>
      </c>
      <c r="I640" s="6" t="s">
        <v>1228</v>
      </c>
      <c r="J640" s="6" t="s">
        <v>1228</v>
      </c>
      <c r="K640" s="6" t="s">
        <v>1228</v>
      </c>
      <c r="L640" s="12">
        <f>'Entity Inputs'!GK9</f>
        <v>-0.8623053800058345</v>
      </c>
      <c r="M640" s="12">
        <f>'Entity Inputs'!GK15</f>
        <v>0.04962919282567313</v>
      </c>
      <c r="N640" s="12">
        <f>'Group Inputs'!GJ9</f>
        <v>-0.40366860023611784</v>
      </c>
      <c r="O640" s="6" t="s">
        <v>2003</v>
      </c>
    </row>
    <row r="641" spans="1:15">
      <c r="A641" s="11" t="s">
        <v>871</v>
      </c>
      <c r="B641" s="11" t="s">
        <v>1844</v>
      </c>
      <c r="C641" s="11" t="s">
        <v>872</v>
      </c>
      <c r="D641" s="11"/>
      <c r="E641" s="11" t="s">
        <v>25</v>
      </c>
      <c r="F641" s="11" t="str">
        <f>'Plant KPIs'!K58</f>
        <v>Low (0.2% vs plan price)</v>
      </c>
      <c r="G641" s="11" t="str">
        <f>'Plant KPIs'!Q58</f>
        <v>Medium (-2.3% vs plan price)</v>
      </c>
      <c r="H641" s="11" t="str">
        <f>'Plant KPIs'!W58</f>
        <v>Low (-0.5% vs plan price)</v>
      </c>
      <c r="I641" s="11" t="str">
        <f>'Plant KPIs'!AC58</f>
        <v>Low (-0.7% vs plan price)</v>
      </c>
      <c r="J641" s="11" t="str">
        <f>'Plant KPIs'!AI58</f>
        <v>Low (0.2% vs plan price)</v>
      </c>
      <c r="K641" s="11" t="str">
        <f>'Plant KPIs'!AO58</f>
        <v>Low (0.5% vs plan price)</v>
      </c>
      <c r="L641" s="11" t="str">
        <f>'Entity KPIs'!K143</f>
        <v>Low (-0.9% vs plan price)</v>
      </c>
      <c r="M641" s="11" t="str">
        <f>'Entity KPIs'!Q143</f>
        <v>Low (0% vs plan price)</v>
      </c>
      <c r="N641" s="11" t="str">
        <f>'Group KPIs'!K143</f>
        <v>Low (-0.4% vs plan price)</v>
      </c>
      <c r="O641" s="11" t="s">
        <v>1845</v>
      </c>
    </row>
    <row r="643" spans="1:15">
      <c r="A643" s="9" t="s">
        <v>2004</v>
      </c>
      <c r="B643" s="9"/>
      <c r="C643" s="9"/>
      <c r="D643" s="9"/>
      <c r="E643" s="9"/>
      <c r="F643" s="9"/>
      <c r="G643" s="9"/>
      <c r="H643" s="9"/>
      <c r="I643" s="9"/>
      <c r="J643" s="9"/>
      <c r="K643" s="9"/>
      <c r="L643" s="9"/>
      <c r="M643" s="9"/>
      <c r="N643" s="9"/>
      <c r="O643" s="9"/>
    </row>
    <row r="644" spans="1:15">
      <c r="A644" s="6" t="s">
        <v>874</v>
      </c>
      <c r="B644" s="6" t="s">
        <v>1841</v>
      </c>
      <c r="C644" s="6" t="s">
        <v>167</v>
      </c>
      <c r="D644" s="6" t="s">
        <v>168</v>
      </c>
      <c r="E644" s="6" t="s">
        <v>1842</v>
      </c>
      <c r="F644" s="10">
        <f>'Plant Inputs'!BV9</f>
        <v>99</v>
      </c>
      <c r="G644" s="10">
        <f>'Plant Inputs'!BV15</f>
        <v>4</v>
      </c>
      <c r="H644" s="10">
        <f>'Plant Inputs'!BV21</f>
        <v>99</v>
      </c>
      <c r="I644" s="10">
        <f>'Plant Inputs'!BV27</f>
        <v>99</v>
      </c>
      <c r="J644" s="10">
        <f>'Plant Inputs'!BV33</f>
        <v>99</v>
      </c>
      <c r="K644" s="10">
        <f>'Plant Inputs'!BV39</f>
        <v>99</v>
      </c>
      <c r="L644" s="10">
        <f>'Entity Inputs'!BT9</f>
        <v>4</v>
      </c>
      <c r="M644" s="10">
        <f>'Entity Inputs'!BT15</f>
        <v>99</v>
      </c>
      <c r="N644" s="10">
        <f>'Group Inputs'!BS9</f>
        <v>4</v>
      </c>
      <c r="O644" s="6" t="s">
        <v>1876</v>
      </c>
    </row>
    <row r="645" spans="1:15">
      <c r="A645" s="11" t="s">
        <v>874</v>
      </c>
      <c r="B645" s="11" t="s">
        <v>1844</v>
      </c>
      <c r="C645" s="11" t="s">
        <v>875</v>
      </c>
      <c r="D645" s="11"/>
      <c r="E645" s="11" t="s">
        <v>876</v>
      </c>
      <c r="F645" s="11">
        <f>'Plant KPIs'!K59</f>
        <v>99.0</v>
      </c>
      <c r="G645" s="11">
        <f>'Plant KPIs'!Q59</f>
        <v>4.0</v>
      </c>
      <c r="H645" s="11">
        <f>'Plant KPIs'!W59</f>
        <v>99.0</v>
      </c>
      <c r="I645" s="11">
        <f>'Plant KPIs'!AC59</f>
        <v>99.0</v>
      </c>
      <c r="J645" s="11">
        <f>'Plant KPIs'!AI59</f>
        <v>99.0</v>
      </c>
      <c r="K645" s="11">
        <f>'Plant KPIs'!AO59</f>
        <v>99.0</v>
      </c>
      <c r="L645" s="11">
        <f>'Entity KPIs'!K144</f>
        <v>4.0</v>
      </c>
      <c r="M645" s="11">
        <f>'Entity KPIs'!Q144</f>
        <v>99.0</v>
      </c>
      <c r="N645" s="11">
        <f>'Group KPIs'!K144</f>
        <v>4.0</v>
      </c>
      <c r="O645" s="11" t="s">
        <v>1845</v>
      </c>
    </row>
    <row r="647" spans="1:15">
      <c r="A647" s="9" t="s">
        <v>2005</v>
      </c>
      <c r="B647" s="9"/>
      <c r="C647" s="9"/>
      <c r="D647" s="9"/>
      <c r="E647" s="9"/>
      <c r="F647" s="9"/>
      <c r="G647" s="9"/>
      <c r="H647" s="9"/>
      <c r="I647" s="9"/>
      <c r="J647" s="9"/>
      <c r="K647" s="9"/>
      <c r="L647" s="9"/>
      <c r="M647" s="9"/>
      <c r="N647" s="9"/>
      <c r="O647" s="9"/>
    </row>
    <row r="648" spans="1:15">
      <c r="A648" s="6" t="s">
        <v>878</v>
      </c>
      <c r="B648" s="6" t="s">
        <v>1841</v>
      </c>
      <c r="C648" s="6" t="s">
        <v>169</v>
      </c>
      <c r="D648" s="6" t="s">
        <v>170</v>
      </c>
      <c r="E648" s="6" t="s">
        <v>1842</v>
      </c>
      <c r="F648" s="10">
        <f>'Plant Inputs'!BW9</f>
        <v>85101</v>
      </c>
      <c r="G648" s="10">
        <f>'Plant Inputs'!BW15</f>
        <v>121378</v>
      </c>
      <c r="H648" s="10">
        <f>'Plant Inputs'!BW21</f>
        <v>141499</v>
      </c>
      <c r="I648" s="10">
        <f>'Plant Inputs'!BW27</f>
        <v>80582</v>
      </c>
      <c r="J648" s="10">
        <f>'Plant Inputs'!BW33</f>
        <v>133388</v>
      </c>
      <c r="K648" s="10">
        <f>'Plant Inputs'!BW39</f>
        <v>99398</v>
      </c>
      <c r="L648" s="10">
        <f>'Entity Inputs'!BU9</f>
        <v>347978.0</v>
      </c>
      <c r="M648" s="10">
        <f>'Entity Inputs'!BU15</f>
        <v>313368.0</v>
      </c>
      <c r="N648" s="10">
        <f>'Group Inputs'!BT9</f>
        <v>661346.0</v>
      </c>
      <c r="O648" s="6" t="s">
        <v>1843</v>
      </c>
    </row>
    <row r="649" spans="1:15">
      <c r="A649" s="6" t="s">
        <v>878</v>
      </c>
      <c r="B649" s="6" t="s">
        <v>1841</v>
      </c>
      <c r="C649" s="6" t="s">
        <v>171</v>
      </c>
      <c r="D649" s="6" t="s">
        <v>172</v>
      </c>
      <c r="E649" s="6" t="s">
        <v>1842</v>
      </c>
      <c r="F649" s="10">
        <f>'Plant Inputs'!BX9</f>
        <v>86567</v>
      </c>
      <c r="G649" s="10">
        <f>'Plant Inputs'!BX15</f>
        <v>108581</v>
      </c>
      <c r="H649" s="10">
        <f>'Plant Inputs'!BX21</f>
        <v>143032</v>
      </c>
      <c r="I649" s="10">
        <f>'Plant Inputs'!BX27</f>
        <v>80307</v>
      </c>
      <c r="J649" s="10">
        <f>'Plant Inputs'!BX33</f>
        <v>134036</v>
      </c>
      <c r="K649" s="10">
        <f>'Plant Inputs'!BX39</f>
        <v>100389</v>
      </c>
      <c r="L649" s="10">
        <f>'Entity Inputs'!BV9</f>
        <v>338180.0</v>
      </c>
      <c r="M649" s="10">
        <f>'Entity Inputs'!BV15</f>
        <v>314732.0</v>
      </c>
      <c r="N649" s="10">
        <f>'Group Inputs'!BU9</f>
        <v>652912.0</v>
      </c>
      <c r="O649" s="6" t="s">
        <v>1843</v>
      </c>
    </row>
    <row r="650" spans="1:15">
      <c r="A650" s="6" t="s">
        <v>878</v>
      </c>
      <c r="B650" s="6" t="s">
        <v>1841</v>
      </c>
      <c r="C650" s="6" t="s">
        <v>173</v>
      </c>
      <c r="D650" s="6" t="s">
        <v>174</v>
      </c>
      <c r="E650" s="6" t="s">
        <v>1842</v>
      </c>
      <c r="F650" s="10">
        <f>'Plant Inputs'!BY9</f>
        <v>26609951</v>
      </c>
      <c r="G650" s="10">
        <f>'Plant Inputs'!BY15</f>
        <v>36663480</v>
      </c>
      <c r="H650" s="10">
        <f>'Plant Inputs'!BY21</f>
        <v>79830315</v>
      </c>
      <c r="I650" s="10">
        <f>'Plant Inputs'!BY27</f>
        <v>23556548</v>
      </c>
      <c r="J650" s="10">
        <f>'Plant Inputs'!BY33</f>
        <v>67486316</v>
      </c>
      <c r="K650" s="10">
        <f>'Plant Inputs'!BY39</f>
        <v>33437653</v>
      </c>
      <c r="L650" s="10">
        <f>'Entity Inputs'!BW9</f>
        <v>143103746.0</v>
      </c>
      <c r="M650" s="10">
        <f>'Entity Inputs'!BW15</f>
        <v>124480517.0</v>
      </c>
      <c r="N650" s="10">
        <f>'Group Inputs'!BV9</f>
        <v>267584263.0</v>
      </c>
      <c r="O650" s="6" t="s">
        <v>1843</v>
      </c>
    </row>
    <row r="651" spans="1:15">
      <c r="A651" s="11" t="s">
        <v>878</v>
      </c>
      <c r="B651" s="11" t="s">
        <v>1844</v>
      </c>
      <c r="C651" s="11" t="s">
        <v>879</v>
      </c>
      <c r="D651" s="11"/>
      <c r="E651" s="11" t="s">
        <v>880</v>
      </c>
      <c r="F651" s="11">
        <f>'Plant KPIs'!K60</f>
        <v>38.81</v>
      </c>
      <c r="G651" s="11">
        <f>'Plant KPIs'!Q60</f>
        <v>98.27</v>
      </c>
      <c r="H651" s="11">
        <f>'Plant KPIs'!W60</f>
        <v>43.19</v>
      </c>
      <c r="I651" s="11">
        <f>'Plant KPIs'!AC60</f>
        <v>52.26</v>
      </c>
      <c r="J651" s="11">
        <f>'Plant KPIs'!AI60</f>
        <v>46.86</v>
      </c>
      <c r="K651" s="11">
        <f>'Plant KPIs'!AO60</f>
        <v>43.2</v>
      </c>
      <c r="L651" s="11">
        <f>'Entity KPIs'!K145</f>
        <v>79.36</v>
      </c>
      <c r="M651" s="11">
        <f>'Entity KPIs'!Q145</f>
        <v>45.13</v>
      </c>
      <c r="N651" s="11">
        <f>'Group KPIs'!K145</f>
        <v>69.69</v>
      </c>
      <c r="O651" s="11" t="s">
        <v>1845</v>
      </c>
    </row>
    <row r="653" spans="1:15">
      <c r="A653" s="9" t="s">
        <v>2006</v>
      </c>
      <c r="B653" s="9"/>
      <c r="C653" s="9"/>
      <c r="D653" s="9"/>
      <c r="E653" s="9"/>
      <c r="F653" s="9"/>
      <c r="G653" s="9"/>
      <c r="H653" s="9"/>
      <c r="I653" s="9"/>
      <c r="J653" s="9"/>
      <c r="K653" s="9"/>
      <c r="L653" s="9"/>
      <c r="M653" s="9"/>
      <c r="N653" s="9"/>
      <c r="O653" s="9"/>
    </row>
    <row r="654" spans="1:15">
      <c r="A654" s="6" t="s">
        <v>882</v>
      </c>
      <c r="B654" s="6" t="s">
        <v>1841</v>
      </c>
      <c r="C654" s="6" t="s">
        <v>240</v>
      </c>
      <c r="D654" s="6" t="s">
        <v>241</v>
      </c>
      <c r="E654" s="6" t="s">
        <v>1842</v>
      </c>
      <c r="F654" s="6" t="s">
        <v>1228</v>
      </c>
      <c r="G654" s="6" t="s">
        <v>1228</v>
      </c>
      <c r="H654" s="6" t="s">
        <v>1228</v>
      </c>
      <c r="I654" s="6" t="s">
        <v>1228</v>
      </c>
      <c r="J654" s="6" t="s">
        <v>1228</v>
      </c>
      <c r="K654" s="6" t="s">
        <v>1228</v>
      </c>
      <c r="L654" s="10">
        <f>'Entity Inputs'!CV9</f>
        <v>1161973.5</v>
      </c>
      <c r="M654" s="10">
        <f>'Entity Inputs'!CV15</f>
        <v>1172252.9</v>
      </c>
      <c r="N654" s="10">
        <f>'Group Inputs'!CU9</f>
        <v>2334226.4</v>
      </c>
      <c r="O654" s="6" t="s">
        <v>1892</v>
      </c>
    </row>
    <row r="655" spans="1:15">
      <c r="A655" s="6" t="s">
        <v>882</v>
      </c>
      <c r="B655" s="6" t="s">
        <v>1841</v>
      </c>
      <c r="C655" s="6" t="s">
        <v>242</v>
      </c>
      <c r="D655" s="6" t="s">
        <v>243</v>
      </c>
      <c r="E655" s="6" t="s">
        <v>1842</v>
      </c>
      <c r="F655" s="6" t="s">
        <v>1228</v>
      </c>
      <c r="G655" s="6" t="s">
        <v>1228</v>
      </c>
      <c r="H655" s="6" t="s">
        <v>1228</v>
      </c>
      <c r="I655" s="6" t="s">
        <v>1228</v>
      </c>
      <c r="J655" s="6" t="s">
        <v>1228</v>
      </c>
      <c r="K655" s="6" t="s">
        <v>1228</v>
      </c>
      <c r="L655" s="10">
        <f>'Entity Inputs'!CW9</f>
        <v>1210504.1</v>
      </c>
      <c r="M655" s="10">
        <f>'Entity Inputs'!CW15</f>
        <v>1179902.4</v>
      </c>
      <c r="N655" s="10">
        <f>'Group Inputs'!CV9</f>
        <v>2390406.5</v>
      </c>
      <c r="O655" s="6" t="s">
        <v>1892</v>
      </c>
    </row>
    <row r="656" spans="1:15">
      <c r="A656" s="11" t="s">
        <v>882</v>
      </c>
      <c r="B656" s="11" t="s">
        <v>1844</v>
      </c>
      <c r="C656" s="11" t="s">
        <v>883</v>
      </c>
      <c r="D656" s="11"/>
      <c r="E656" s="11" t="s">
        <v>876</v>
      </c>
      <c r="F656" s="11" t="s">
        <v>1228</v>
      </c>
      <c r="G656" s="11" t="s">
        <v>1228</v>
      </c>
      <c r="H656" s="11" t="s">
        <v>1228</v>
      </c>
      <c r="I656" s="11" t="s">
        <v>1228</v>
      </c>
      <c r="J656" s="11" t="s">
        <v>1228</v>
      </c>
      <c r="K656" s="11" t="s">
        <v>1228</v>
      </c>
      <c r="L656" s="11">
        <f>'Entity KPIs'!K146</f>
        <v>-48.53</v>
      </c>
      <c r="M656" s="11">
        <f>'Entity KPIs'!Q146</f>
        <v>-7.65</v>
      </c>
      <c r="N656" s="11">
        <f>'Group KPIs'!K146</f>
        <v>-56.18</v>
      </c>
      <c r="O656" s="11" t="s">
        <v>1845</v>
      </c>
    </row>
    <row r="658" spans="1:15">
      <c r="A658" s="9" t="s">
        <v>2007</v>
      </c>
      <c r="B658" s="9"/>
      <c r="C658" s="9"/>
      <c r="D658" s="9"/>
      <c r="E658" s="9"/>
      <c r="F658" s="9"/>
      <c r="G658" s="9"/>
      <c r="H658" s="9"/>
      <c r="I658" s="9"/>
      <c r="J658" s="9"/>
      <c r="K658" s="9"/>
      <c r="L658" s="9"/>
      <c r="M658" s="9"/>
      <c r="N658" s="9"/>
      <c r="O658" s="9"/>
    </row>
    <row r="659" spans="1:15">
      <c r="A659" s="6" t="s">
        <v>885</v>
      </c>
      <c r="B659" s="6" t="s">
        <v>1841</v>
      </c>
      <c r="C659" s="6" t="s">
        <v>204</v>
      </c>
      <c r="D659" s="6" t="s">
        <v>205</v>
      </c>
      <c r="E659" s="6" t="s">
        <v>1842</v>
      </c>
      <c r="F659" s="6" t="s">
        <v>1228</v>
      </c>
      <c r="G659" s="6" t="s">
        <v>1228</v>
      </c>
      <c r="H659" s="6" t="s">
        <v>1228</v>
      </c>
      <c r="I659" s="6" t="s">
        <v>1228</v>
      </c>
      <c r="J659" s="6" t="s">
        <v>1228</v>
      </c>
      <c r="K659" s="6" t="s">
        <v>1228</v>
      </c>
      <c r="L659" s="10">
        <f>'Entity Inputs'!CD9</f>
        <v>967082.6</v>
      </c>
      <c r="M659" s="10">
        <f>'Entity Inputs'!CD15</f>
        <v>1174739.8</v>
      </c>
      <c r="N659" s="10">
        <f>'Group Inputs'!CC9</f>
        <v>2141822.4</v>
      </c>
      <c r="O659" s="6" t="s">
        <v>1892</v>
      </c>
    </row>
    <row r="660" spans="1:15">
      <c r="A660" s="6" t="s">
        <v>885</v>
      </c>
      <c r="B660" s="6" t="s">
        <v>1841</v>
      </c>
      <c r="C660" s="6" t="s">
        <v>206</v>
      </c>
      <c r="D660" s="6" t="s">
        <v>207</v>
      </c>
      <c r="E660" s="6" t="s">
        <v>1842</v>
      </c>
      <c r="F660" s="6" t="s">
        <v>1228</v>
      </c>
      <c r="G660" s="6" t="s">
        <v>1228</v>
      </c>
      <c r="H660" s="6" t="s">
        <v>1228</v>
      </c>
      <c r="I660" s="6" t="s">
        <v>1228</v>
      </c>
      <c r="J660" s="6" t="s">
        <v>1228</v>
      </c>
      <c r="K660" s="6" t="s">
        <v>1228</v>
      </c>
      <c r="L660" s="10">
        <f>'Entity Inputs'!CE9</f>
        <v>449031.4</v>
      </c>
      <c r="M660" s="10">
        <f>'Entity Inputs'!CE15</f>
        <v>431783.2</v>
      </c>
      <c r="N660" s="10">
        <f>'Group Inputs'!CD9</f>
        <v>880814.6000000001</v>
      </c>
      <c r="O660" s="6" t="s">
        <v>1892</v>
      </c>
    </row>
    <row r="661" spans="1:15">
      <c r="A661" s="6" t="s">
        <v>885</v>
      </c>
      <c r="B661" s="6" t="s">
        <v>1841</v>
      </c>
      <c r="C661" s="6" t="s">
        <v>244</v>
      </c>
      <c r="D661" s="6" t="s">
        <v>245</v>
      </c>
      <c r="E661" s="6" t="s">
        <v>1842</v>
      </c>
      <c r="F661" s="6" t="s">
        <v>1228</v>
      </c>
      <c r="G661" s="6" t="s">
        <v>1228</v>
      </c>
      <c r="H661" s="6" t="s">
        <v>1228</v>
      </c>
      <c r="I661" s="6" t="s">
        <v>1228</v>
      </c>
      <c r="J661" s="6" t="s">
        <v>1228</v>
      </c>
      <c r="K661" s="6" t="s">
        <v>1228</v>
      </c>
      <c r="L661" s="10">
        <f>'Entity Inputs'!CX9</f>
        <v>164691.3</v>
      </c>
      <c r="M661" s="10">
        <f>'Entity Inputs'!CX15</f>
        <v>182427</v>
      </c>
      <c r="N661" s="10">
        <f>'Group Inputs'!CW9</f>
        <v>347118.3</v>
      </c>
      <c r="O661" s="6" t="s">
        <v>1892</v>
      </c>
    </row>
    <row r="662" spans="1:15">
      <c r="A662" s="11" t="s">
        <v>885</v>
      </c>
      <c r="B662" s="11" t="s">
        <v>1844</v>
      </c>
      <c r="C662" s="11" t="s">
        <v>886</v>
      </c>
      <c r="D662" s="11"/>
      <c r="E662" s="11" t="s">
        <v>888</v>
      </c>
      <c r="F662" s="11" t="s">
        <v>1228</v>
      </c>
      <c r="G662" s="11" t="s">
        <v>1228</v>
      </c>
      <c r="H662" s="11" t="s">
        <v>1228</v>
      </c>
      <c r="I662" s="11" t="s">
        <v>1228</v>
      </c>
      <c r="J662" s="11" t="s">
        <v>1228</v>
      </c>
      <c r="K662" s="11" t="s">
        <v>1228</v>
      </c>
      <c r="L662" s="11" t="str">
        <f>'Entity KPIs'!K147</f>
        <v>None within 90 d</v>
      </c>
      <c r="M662" s="11" t="str">
        <f>'Entity KPIs'!Q147</f>
        <v>None within 90 d</v>
      </c>
      <c r="N662" s="11" t="str">
        <f>'Group KPIs'!K147</f>
        <v>None within 90 d</v>
      </c>
      <c r="O662" s="11" t="s">
        <v>1845</v>
      </c>
    </row>
    <row r="664" spans="1:15">
      <c r="A664" s="9" t="s">
        <v>2008</v>
      </c>
      <c r="B664" s="9"/>
      <c r="C664" s="9"/>
      <c r="D664" s="9"/>
      <c r="E664" s="9"/>
      <c r="F664" s="9"/>
      <c r="G664" s="9"/>
      <c r="H664" s="9"/>
      <c r="I664" s="9"/>
      <c r="J664" s="9"/>
      <c r="K664" s="9"/>
      <c r="L664" s="9"/>
      <c r="M664" s="9"/>
      <c r="N664" s="9"/>
      <c r="O664" s="9"/>
    </row>
    <row r="665" spans="1:15">
      <c r="A665" s="6" t="s">
        <v>890</v>
      </c>
      <c r="B665" s="6" t="s">
        <v>1841</v>
      </c>
      <c r="C665" s="6" t="s">
        <v>248</v>
      </c>
      <c r="D665" s="6" t="s">
        <v>249</v>
      </c>
      <c r="E665" s="6" t="s">
        <v>1842</v>
      </c>
      <c r="F665" s="6" t="s">
        <v>1228</v>
      </c>
      <c r="G665" s="6" t="s">
        <v>1228</v>
      </c>
      <c r="H665" s="6" t="s">
        <v>1228</v>
      </c>
      <c r="I665" s="6" t="s">
        <v>1228</v>
      </c>
      <c r="J665" s="6" t="s">
        <v>1228</v>
      </c>
      <c r="K665" s="6" t="s">
        <v>1228</v>
      </c>
      <c r="L665" s="10">
        <f>'Entity Inputs'!CZ9</f>
        <v>2391562.6</v>
      </c>
      <c r="M665" s="10">
        <f>'Entity Inputs'!CZ15</f>
        <v>2303674.3</v>
      </c>
      <c r="N665" s="10">
        <f>'Group Inputs'!CY9</f>
        <v>4695236.9</v>
      </c>
      <c r="O665" s="6" t="s">
        <v>1892</v>
      </c>
    </row>
    <row r="666" spans="1:15">
      <c r="A666" s="6" t="s">
        <v>890</v>
      </c>
      <c r="B666" s="6" t="s">
        <v>1841</v>
      </c>
      <c r="C666" s="6" t="s">
        <v>246</v>
      </c>
      <c r="D666" s="6" t="s">
        <v>247</v>
      </c>
      <c r="E666" s="6" t="s">
        <v>1842</v>
      </c>
      <c r="F666" s="6" t="s">
        <v>1228</v>
      </c>
      <c r="G666" s="6" t="s">
        <v>1228</v>
      </c>
      <c r="H666" s="6" t="s">
        <v>1228</v>
      </c>
      <c r="I666" s="6" t="s">
        <v>1228</v>
      </c>
      <c r="J666" s="6" t="s">
        <v>1228</v>
      </c>
      <c r="K666" s="6" t="s">
        <v>1228</v>
      </c>
      <c r="L666" s="10">
        <f>'Entity Inputs'!CY9</f>
        <v>3584699.7</v>
      </c>
      <c r="M666" s="10">
        <f>'Entity Inputs'!CY15</f>
        <v>2999569.4</v>
      </c>
      <c r="N666" s="10">
        <f>'Group Inputs'!CX9</f>
        <v>6584269.1</v>
      </c>
      <c r="O666" s="6" t="s">
        <v>1892</v>
      </c>
    </row>
    <row r="667" spans="1:15">
      <c r="A667" s="11" t="s">
        <v>890</v>
      </c>
      <c r="B667" s="11" t="s">
        <v>1844</v>
      </c>
      <c r="C667" s="11" t="s">
        <v>891</v>
      </c>
      <c r="D667" s="11"/>
      <c r="E667" s="11" t="s">
        <v>892</v>
      </c>
      <c r="F667" s="11" t="s">
        <v>1228</v>
      </c>
      <c r="G667" s="11" t="s">
        <v>1228</v>
      </c>
      <c r="H667" s="11" t="s">
        <v>1228</v>
      </c>
      <c r="I667" s="11" t="s">
        <v>1228</v>
      </c>
      <c r="J667" s="11" t="s">
        <v>1228</v>
      </c>
      <c r="K667" s="11" t="s">
        <v>1228</v>
      </c>
      <c r="L667" s="11" t="str">
        <f>'Entity KPIs'!K148</f>
        <v>Not forecast</v>
      </c>
      <c r="M667" s="11" t="str">
        <f>'Entity KPIs'!Q148</f>
        <v>Not forecast</v>
      </c>
      <c r="N667" s="11" t="str">
        <f>'Group KPIs'!K148</f>
        <v>Not forecast</v>
      </c>
      <c r="O667" s="11" t="s">
        <v>1845</v>
      </c>
    </row>
    <row r="669" spans="1:15">
      <c r="A669" s="9" t="s">
        <v>2009</v>
      </c>
      <c r="B669" s="9"/>
      <c r="C669" s="9"/>
      <c r="D669" s="9"/>
      <c r="E669" s="9"/>
      <c r="F669" s="9"/>
      <c r="G669" s="9"/>
      <c r="H669" s="9"/>
      <c r="I669" s="9"/>
      <c r="J669" s="9"/>
      <c r="K669" s="9"/>
      <c r="L669" s="9"/>
      <c r="M669" s="9"/>
      <c r="N669" s="9"/>
      <c r="O669" s="9"/>
    </row>
    <row r="670" spans="1:15">
      <c r="A670" s="6" t="s">
        <v>894</v>
      </c>
      <c r="B670" s="6" t="s">
        <v>1841</v>
      </c>
      <c r="C670" s="6" t="s">
        <v>177</v>
      </c>
      <c r="D670" s="6" t="s">
        <v>178</v>
      </c>
      <c r="E670" s="6" t="s">
        <v>1842</v>
      </c>
      <c r="F670" s="10">
        <f>'Plant Inputs'!CA9</f>
        <v>4173</v>
      </c>
      <c r="G670" s="10">
        <f>'Plant Inputs'!CA15</f>
        <v>15611</v>
      </c>
      <c r="H670" s="10">
        <f>'Plant Inputs'!CA21</f>
        <v>2511</v>
      </c>
      <c r="I670" s="10">
        <f>'Plant Inputs'!CA27</f>
        <v>1421</v>
      </c>
      <c r="J670" s="10">
        <f>'Plant Inputs'!CA33</f>
        <v>2268</v>
      </c>
      <c r="K670" s="10">
        <f>'Plant Inputs'!CA39</f>
        <v>2024</v>
      </c>
      <c r="L670" s="10">
        <f>'Entity Inputs'!BY9</f>
        <v>22295.0</v>
      </c>
      <c r="M670" s="10">
        <f>'Entity Inputs'!BY15</f>
        <v>5713.0</v>
      </c>
      <c r="N670" s="10">
        <f>'Group Inputs'!BX9</f>
        <v>28008.0</v>
      </c>
      <c r="O670" s="6" t="s">
        <v>1843</v>
      </c>
    </row>
    <row r="671" spans="1:15">
      <c r="A671" s="11" t="s">
        <v>894</v>
      </c>
      <c r="B671" s="11" t="s">
        <v>1844</v>
      </c>
      <c r="C671" s="11" t="s">
        <v>895</v>
      </c>
      <c r="D671" s="11"/>
      <c r="E671" s="11" t="s">
        <v>880</v>
      </c>
      <c r="F671" s="11">
        <f>'Plant KPIs'!K61</f>
        <v>4.17</v>
      </c>
      <c r="G671" s="11">
        <f>'Plant KPIs'!Q61</f>
        <v>15.61</v>
      </c>
      <c r="H671" s="11">
        <f>'Plant KPIs'!W61</f>
        <v>2.51</v>
      </c>
      <c r="I671" s="11">
        <f>'Plant KPIs'!AC61</f>
        <v>1.42</v>
      </c>
      <c r="J671" s="11">
        <f>'Plant KPIs'!AI61</f>
        <v>2.27</v>
      </c>
      <c r="K671" s="11">
        <f>'Plant KPIs'!AO61</f>
        <v>2.02</v>
      </c>
      <c r="L671" s="11">
        <f>'Entity KPIs'!K149</f>
        <v>22.3</v>
      </c>
      <c r="M671" s="11">
        <f>'Entity KPIs'!Q149</f>
        <v>5.71</v>
      </c>
      <c r="N671" s="11">
        <f>'Group KPIs'!K149</f>
        <v>28.01</v>
      </c>
      <c r="O671" s="11" t="s">
        <v>1845</v>
      </c>
    </row>
    <row r="673" spans="1:15">
      <c r="A673" s="9" t="s">
        <v>2010</v>
      </c>
      <c r="B673" s="9"/>
      <c r="C673" s="9"/>
      <c r="D673" s="9"/>
      <c r="E673" s="9"/>
      <c r="F673" s="9"/>
      <c r="G673" s="9"/>
      <c r="H673" s="9"/>
      <c r="I673" s="9"/>
      <c r="J673" s="9"/>
      <c r="K673" s="9"/>
      <c r="L673" s="9"/>
      <c r="M673" s="9"/>
      <c r="N673" s="9"/>
      <c r="O673" s="9"/>
    </row>
    <row r="674" spans="1:15">
      <c r="A674" s="6" t="s">
        <v>898</v>
      </c>
      <c r="B674" s="6" t="s">
        <v>1841</v>
      </c>
      <c r="C674" s="6" t="s">
        <v>175</v>
      </c>
      <c r="D674" s="6" t="s">
        <v>176</v>
      </c>
      <c r="E674" s="6" t="s">
        <v>1842</v>
      </c>
      <c r="F674" s="10">
        <f>'Plant Inputs'!BZ9</f>
        <v>97478</v>
      </c>
      <c r="G674" s="10">
        <f>'Plant Inputs'!BZ15</f>
        <v>135441</v>
      </c>
      <c r="H674" s="10">
        <f>'Plant Inputs'!BZ21</f>
        <v>162063</v>
      </c>
      <c r="I674" s="10">
        <f>'Plant Inputs'!BZ27</f>
        <v>91042</v>
      </c>
      <c r="J674" s="10">
        <f>'Plant Inputs'!BZ33</f>
        <v>145550</v>
      </c>
      <c r="K674" s="10">
        <f>'Plant Inputs'!BZ39</f>
        <v>112638</v>
      </c>
      <c r="L674" s="10">
        <f>'Entity Inputs'!BX9</f>
        <v>394982.0</v>
      </c>
      <c r="M674" s="10">
        <f>'Entity Inputs'!BX15</f>
        <v>349230.0</v>
      </c>
      <c r="N674" s="10">
        <f>'Group Inputs'!BW9</f>
        <v>744212.0</v>
      </c>
      <c r="O674" s="6" t="s">
        <v>1843</v>
      </c>
    </row>
    <row r="675" spans="1:15">
      <c r="A675" s="6" t="s">
        <v>898</v>
      </c>
      <c r="B675" s="6" t="s">
        <v>1841</v>
      </c>
      <c r="C675" s="6" t="s">
        <v>171</v>
      </c>
      <c r="D675" s="6" t="s">
        <v>172</v>
      </c>
      <c r="E675" s="6" t="s">
        <v>1842</v>
      </c>
      <c r="F675" s="10">
        <f>'Plant Inputs'!BX9</f>
        <v>86567</v>
      </c>
      <c r="G675" s="10">
        <f>'Plant Inputs'!BX15</f>
        <v>108581</v>
      </c>
      <c r="H675" s="10">
        <f>'Plant Inputs'!BX21</f>
        <v>143032</v>
      </c>
      <c r="I675" s="10">
        <f>'Plant Inputs'!BX27</f>
        <v>80307</v>
      </c>
      <c r="J675" s="10">
        <f>'Plant Inputs'!BX33</f>
        <v>134036</v>
      </c>
      <c r="K675" s="10">
        <f>'Plant Inputs'!BX39</f>
        <v>100389</v>
      </c>
      <c r="L675" s="10">
        <f>'Entity Inputs'!BV9</f>
        <v>338180.0</v>
      </c>
      <c r="M675" s="10">
        <f>'Entity Inputs'!BV15</f>
        <v>314732.0</v>
      </c>
      <c r="N675" s="10">
        <f>'Group Inputs'!BU9</f>
        <v>652912.0</v>
      </c>
      <c r="O675" s="6" t="s">
        <v>1843</v>
      </c>
    </row>
    <row r="676" spans="1:15">
      <c r="A676" s="6" t="s">
        <v>898</v>
      </c>
      <c r="B676" s="6" t="s">
        <v>1841</v>
      </c>
      <c r="C676" s="6" t="s">
        <v>173</v>
      </c>
      <c r="D676" s="6" t="s">
        <v>174</v>
      </c>
      <c r="E676" s="6" t="s">
        <v>1842</v>
      </c>
      <c r="F676" s="10">
        <f>'Plant Inputs'!BY9</f>
        <v>26609951</v>
      </c>
      <c r="G676" s="10">
        <f>'Plant Inputs'!BY15</f>
        <v>36663480</v>
      </c>
      <c r="H676" s="10">
        <f>'Plant Inputs'!BY21</f>
        <v>79830315</v>
      </c>
      <c r="I676" s="10">
        <f>'Plant Inputs'!BY27</f>
        <v>23556548</v>
      </c>
      <c r="J676" s="10">
        <f>'Plant Inputs'!BY33</f>
        <v>67486316</v>
      </c>
      <c r="K676" s="10">
        <f>'Plant Inputs'!BY39</f>
        <v>33437653</v>
      </c>
      <c r="L676" s="10">
        <f>'Entity Inputs'!BW9</f>
        <v>143103746.0</v>
      </c>
      <c r="M676" s="10">
        <f>'Entity Inputs'!BW15</f>
        <v>124480517.0</v>
      </c>
      <c r="N676" s="10">
        <f>'Group Inputs'!BV9</f>
        <v>267584263.0</v>
      </c>
      <c r="O676" s="6" t="s">
        <v>1843</v>
      </c>
    </row>
    <row r="677" spans="1:15">
      <c r="A677" s="11" t="s">
        <v>898</v>
      </c>
      <c r="B677" s="11" t="s">
        <v>1844</v>
      </c>
      <c r="C677" s="11" t="s">
        <v>899</v>
      </c>
      <c r="D677" s="11"/>
      <c r="E677" s="11" t="s">
        <v>880</v>
      </c>
      <c r="F677" s="11">
        <f>'Plant KPIs'!K62</f>
        <v>2.06</v>
      </c>
      <c r="G677" s="11">
        <f>'Plant KPIs'!Q62</f>
        <v>31.38</v>
      </c>
      <c r="H677" s="11">
        <f>'Plant KPIs'!W62</f>
        <v>3.14</v>
      </c>
      <c r="I677" s="11">
        <f>'Plant KPIs'!AC62</f>
        <v>2.77</v>
      </c>
      <c r="J677" s="11">
        <f>'Plant KPIs'!AI62</f>
        <v>0.63</v>
      </c>
      <c r="K677" s="11">
        <f>'Plant KPIs'!AO62</f>
        <v>1.51</v>
      </c>
      <c r="L677" s="11">
        <f>'Entity KPIs'!K150</f>
        <v>0.59</v>
      </c>
      <c r="M677" s="11">
        <f>'Entity KPIs'!Q150</f>
        <v>0.01</v>
      </c>
      <c r="N677" s="11">
        <f>'Group KPIs'!K150</f>
        <v>0.0</v>
      </c>
      <c r="O677" s="11" t="s">
        <v>1845</v>
      </c>
    </row>
    <row r="679" spans="1:15">
      <c r="A679" s="9" t="s">
        <v>2011</v>
      </c>
      <c r="B679" s="9"/>
      <c r="C679" s="9"/>
      <c r="D679" s="9"/>
      <c r="E679" s="9"/>
      <c r="F679" s="9"/>
      <c r="G679" s="9"/>
      <c r="H679" s="9"/>
      <c r="I679" s="9"/>
      <c r="J679" s="9"/>
      <c r="K679" s="9"/>
      <c r="L679" s="9"/>
      <c r="M679" s="9"/>
      <c r="N679" s="9"/>
      <c r="O679" s="9"/>
    </row>
    <row r="680" spans="1:15">
      <c r="A680" s="6" t="s">
        <v>901</v>
      </c>
      <c r="B680" s="6" t="s">
        <v>1841</v>
      </c>
      <c r="C680" s="6" t="s">
        <v>72</v>
      </c>
      <c r="D680" s="6" t="s">
        <v>73</v>
      </c>
      <c r="E680" s="6" t="s">
        <v>1884</v>
      </c>
      <c r="F680" s="10">
        <f>'Plant Inputs'!AA9</f>
        <v>1375.5</v>
      </c>
      <c r="G680" s="10">
        <f>'Plant Inputs'!AA15</f>
        <v>940.2</v>
      </c>
      <c r="H680" s="10">
        <f>'Plant Inputs'!AA21</f>
        <v>1454.1</v>
      </c>
      <c r="I680" s="10">
        <f>'Plant Inputs'!AA27</f>
        <v>1127.6</v>
      </c>
      <c r="J680" s="10">
        <f>'Plant Inputs'!AA33</f>
        <v>1248.5</v>
      </c>
      <c r="K680" s="10">
        <f>'Plant Inputs'!AA39</f>
        <v>1573</v>
      </c>
      <c r="L680" s="10">
        <f>'Entity Inputs'!Y9</f>
        <v>3769.7999999999997</v>
      </c>
      <c r="M680" s="10">
        <f>'Entity Inputs'!Y15</f>
        <v>3949.1</v>
      </c>
      <c r="N680" s="10">
        <f>'Group Inputs'!X9</f>
        <v>7718.9</v>
      </c>
      <c r="O680" s="6" t="s">
        <v>1843</v>
      </c>
    </row>
    <row r="681" spans="1:15">
      <c r="A681" s="11" t="s">
        <v>901</v>
      </c>
      <c r="B681" s="11" t="s">
        <v>1844</v>
      </c>
      <c r="C681" s="11" t="s">
        <v>902</v>
      </c>
      <c r="D681" s="11"/>
      <c r="E681" s="11" t="s">
        <v>561</v>
      </c>
      <c r="F681" s="11">
        <f>'Plant KPIs'!K63</f>
        <v>7.25</v>
      </c>
      <c r="G681" s="11">
        <f>'Plant KPIs'!Q63</f>
        <v>7.2</v>
      </c>
      <c r="H681" s="11">
        <f>'Plant KPIs'!W63</f>
        <v>6.99</v>
      </c>
      <c r="I681" s="11">
        <f>'Plant KPIs'!AC63</f>
        <v>7.18</v>
      </c>
      <c r="J681" s="11">
        <f>'Plant KPIs'!AI63</f>
        <v>8.37</v>
      </c>
      <c r="K681" s="11">
        <f>'Plant KPIs'!AO63</f>
        <v>7.59</v>
      </c>
      <c r="L681" s="11">
        <f>'Entity KPIs'!K151</f>
        <v>21.44</v>
      </c>
      <c r="M681" s="11">
        <f>'Entity KPIs'!Q151</f>
        <v>23.14</v>
      </c>
      <c r="N681" s="11">
        <f>'Group KPIs'!K151</f>
        <v>44.58</v>
      </c>
      <c r="O681" s="11" t="s">
        <v>1845</v>
      </c>
    </row>
    <row r="683" spans="1:15">
      <c r="A683" s="9" t="s">
        <v>2012</v>
      </c>
      <c r="B683" s="9"/>
      <c r="C683" s="9"/>
      <c r="D683" s="9"/>
      <c r="E683" s="9"/>
      <c r="F683" s="9"/>
      <c r="G683" s="9"/>
      <c r="H683" s="9"/>
      <c r="I683" s="9"/>
      <c r="J683" s="9"/>
      <c r="K683" s="9"/>
      <c r="L683" s="9"/>
      <c r="M683" s="9"/>
      <c r="N683" s="9"/>
      <c r="O683" s="9"/>
    </row>
    <row r="684" spans="1:15">
      <c r="A684" s="6" t="s">
        <v>904</v>
      </c>
      <c r="B684" s="6" t="s">
        <v>1841</v>
      </c>
      <c r="C684" s="6" t="s">
        <v>240</v>
      </c>
      <c r="D684" s="6" t="s">
        <v>241</v>
      </c>
      <c r="E684" s="6" t="s">
        <v>1842</v>
      </c>
      <c r="F684" s="6" t="s">
        <v>1228</v>
      </c>
      <c r="G684" s="6" t="s">
        <v>1228</v>
      </c>
      <c r="H684" s="6" t="s">
        <v>1228</v>
      </c>
      <c r="I684" s="6" t="s">
        <v>1228</v>
      </c>
      <c r="J684" s="6" t="s">
        <v>1228</v>
      </c>
      <c r="K684" s="6" t="s">
        <v>1228</v>
      </c>
      <c r="L684" s="10">
        <f>'Entity Inputs'!CV9</f>
        <v>1161973.5</v>
      </c>
      <c r="M684" s="10">
        <f>'Entity Inputs'!CV15</f>
        <v>1172252.9</v>
      </c>
      <c r="N684" s="10">
        <f>'Group Inputs'!CU9</f>
        <v>2334226.4</v>
      </c>
      <c r="O684" s="6" t="s">
        <v>1892</v>
      </c>
    </row>
    <row r="685" spans="1:15">
      <c r="A685" s="6" t="s">
        <v>904</v>
      </c>
      <c r="B685" s="6" t="s">
        <v>1841</v>
      </c>
      <c r="C685" s="6" t="s">
        <v>242</v>
      </c>
      <c r="D685" s="6" t="s">
        <v>243</v>
      </c>
      <c r="E685" s="6" t="s">
        <v>1842</v>
      </c>
      <c r="F685" s="6" t="s">
        <v>1228</v>
      </c>
      <c r="G685" s="6" t="s">
        <v>1228</v>
      </c>
      <c r="H685" s="6" t="s">
        <v>1228</v>
      </c>
      <c r="I685" s="6" t="s">
        <v>1228</v>
      </c>
      <c r="J685" s="6" t="s">
        <v>1228</v>
      </c>
      <c r="K685" s="6" t="s">
        <v>1228</v>
      </c>
      <c r="L685" s="10">
        <f>'Entity Inputs'!CW9</f>
        <v>1210504.1</v>
      </c>
      <c r="M685" s="10">
        <f>'Entity Inputs'!CW15</f>
        <v>1179902.4</v>
      </c>
      <c r="N685" s="10">
        <f>'Group Inputs'!CV9</f>
        <v>2390406.5</v>
      </c>
      <c r="O685" s="6" t="s">
        <v>1892</v>
      </c>
    </row>
    <row r="686" spans="1:15">
      <c r="A686" s="11" t="s">
        <v>904</v>
      </c>
      <c r="B686" s="11" t="s">
        <v>1844</v>
      </c>
      <c r="C686" s="11" t="s">
        <v>905</v>
      </c>
      <c r="D686" s="11"/>
      <c r="E686" s="11" t="s">
        <v>876</v>
      </c>
      <c r="F686" s="11" t="s">
        <v>1228</v>
      </c>
      <c r="G686" s="11" t="s">
        <v>1228</v>
      </c>
      <c r="H686" s="11" t="s">
        <v>1228</v>
      </c>
      <c r="I686" s="11" t="s">
        <v>1228</v>
      </c>
      <c r="J686" s="11" t="s">
        <v>1228</v>
      </c>
      <c r="K686" s="11" t="s">
        <v>1228</v>
      </c>
      <c r="L686" s="11">
        <f>'Entity KPIs'!K152</f>
        <v>-36.4</v>
      </c>
      <c r="M686" s="11">
        <f>'Entity KPIs'!Q152</f>
        <v>-5.74</v>
      </c>
      <c r="N686" s="11">
        <f>'Group KPIs'!K152</f>
        <v>-42.14</v>
      </c>
      <c r="O686" s="11" t="s">
        <v>1845</v>
      </c>
    </row>
    <row r="688" spans="1:15">
      <c r="A688" s="9" t="s">
        <v>2013</v>
      </c>
      <c r="B688" s="9"/>
      <c r="C688" s="9"/>
      <c r="D688" s="9"/>
      <c r="E688" s="9"/>
      <c r="F688" s="9"/>
      <c r="G688" s="9"/>
      <c r="H688" s="9"/>
      <c r="I688" s="9"/>
      <c r="J688" s="9"/>
      <c r="K688" s="9"/>
      <c r="L688" s="9"/>
      <c r="M688" s="9"/>
      <c r="N688" s="9"/>
      <c r="O688" s="9"/>
    </row>
    <row r="689" spans="1:15">
      <c r="A689" s="6" t="s">
        <v>907</v>
      </c>
      <c r="B689" s="6" t="s">
        <v>1841</v>
      </c>
      <c r="C689" s="6" t="s">
        <v>200</v>
      </c>
      <c r="D689" s="6" t="s">
        <v>201</v>
      </c>
      <c r="E689" s="6" t="s">
        <v>1842</v>
      </c>
      <c r="F689" s="6" t="s">
        <v>1228</v>
      </c>
      <c r="G689" s="6" t="s">
        <v>1228</v>
      </c>
      <c r="H689" s="6" t="s">
        <v>1228</v>
      </c>
      <c r="I689" s="6" t="s">
        <v>1228</v>
      </c>
      <c r="J689" s="6" t="s">
        <v>1228</v>
      </c>
      <c r="K689" s="6" t="s">
        <v>1228</v>
      </c>
      <c r="L689" s="10">
        <f>'Entity Inputs'!CB9</f>
        <v>11016000</v>
      </c>
      <c r="M689" s="10">
        <f>'Entity Inputs'!CB15</f>
        <v>10200000</v>
      </c>
      <c r="N689" s="10">
        <f>'Group Inputs'!CA9</f>
        <v>21216000.0</v>
      </c>
      <c r="O689" s="6" t="s">
        <v>1892</v>
      </c>
    </row>
    <row r="690" spans="1:15">
      <c r="A690" s="6" t="s">
        <v>907</v>
      </c>
      <c r="B690" s="6" t="s">
        <v>1883</v>
      </c>
      <c r="C690" s="6" t="s">
        <v>407</v>
      </c>
      <c r="D690" s="6" t="s">
        <v>408</v>
      </c>
      <c r="E690" s="6" t="s">
        <v>1884</v>
      </c>
      <c r="F690" s="6" t="s">
        <v>1228</v>
      </c>
      <c r="G690" s="6" t="s">
        <v>1228</v>
      </c>
      <c r="H690" s="6" t="s">
        <v>1228</v>
      </c>
      <c r="I690" s="6" t="s">
        <v>1228</v>
      </c>
      <c r="J690" s="6" t="s">
        <v>1228</v>
      </c>
      <c r="K690" s="6" t="s">
        <v>1228</v>
      </c>
      <c r="L690" s="12">
        <f>'Entity Inputs'!GA9</f>
        <v>154108.00000000006</v>
      </c>
      <c r="M690" s="12">
        <f>'Entity Inputs'!GA15</f>
        <v>153398.60000000018</v>
      </c>
      <c r="N690" s="12">
        <f>'Group Inputs'!FZ9</f>
        <v>307506.6</v>
      </c>
      <c r="O690" s="6" t="s">
        <v>1887</v>
      </c>
    </row>
    <row r="691" spans="1:15">
      <c r="A691" s="6" t="s">
        <v>907</v>
      </c>
      <c r="B691" s="6" t="s">
        <v>1841</v>
      </c>
      <c r="C691" s="6" t="s">
        <v>240</v>
      </c>
      <c r="D691" s="6" t="s">
        <v>241</v>
      </c>
      <c r="E691" s="6" t="s">
        <v>1842</v>
      </c>
      <c r="F691" s="6" t="s">
        <v>1228</v>
      </c>
      <c r="G691" s="6" t="s">
        <v>1228</v>
      </c>
      <c r="H691" s="6" t="s">
        <v>1228</v>
      </c>
      <c r="I691" s="6" t="s">
        <v>1228</v>
      </c>
      <c r="J691" s="6" t="s">
        <v>1228</v>
      </c>
      <c r="K691" s="6" t="s">
        <v>1228</v>
      </c>
      <c r="L691" s="10">
        <f>'Entity Inputs'!CV9</f>
        <v>1161973.5</v>
      </c>
      <c r="M691" s="10">
        <f>'Entity Inputs'!CV15</f>
        <v>1172252.9</v>
      </c>
      <c r="N691" s="10">
        <f>'Group Inputs'!CU9</f>
        <v>2334226.4</v>
      </c>
      <c r="O691" s="6" t="s">
        <v>1892</v>
      </c>
    </row>
    <row r="692" spans="1:15">
      <c r="A692" s="6" t="s">
        <v>907</v>
      </c>
      <c r="B692" s="6" t="s">
        <v>1841</v>
      </c>
      <c r="C692" s="6" t="s">
        <v>125</v>
      </c>
      <c r="D692" s="6" t="s">
        <v>126</v>
      </c>
      <c r="E692" s="6" t="s">
        <v>1842</v>
      </c>
      <c r="F692" s="10">
        <f>'Plant Inputs'!BA9</f>
        <v>11990.8</v>
      </c>
      <c r="G692" s="10">
        <f>'Plant Inputs'!BA15</f>
        <v>16054.5</v>
      </c>
      <c r="H692" s="10">
        <f>'Plant Inputs'!BA21</f>
        <v>19282.9</v>
      </c>
      <c r="I692" s="10">
        <f>'Plant Inputs'!BA27</f>
        <v>11077.3</v>
      </c>
      <c r="J692" s="10">
        <f>'Plant Inputs'!BA33</f>
        <v>17627.7</v>
      </c>
      <c r="K692" s="10">
        <f>'Plant Inputs'!BA39</f>
        <v>13440.5</v>
      </c>
      <c r="L692" s="10">
        <f>'Entity Inputs'!AY9</f>
        <v>47328.2</v>
      </c>
      <c r="M692" s="10">
        <f>'Entity Inputs'!AY15</f>
        <v>42145.5</v>
      </c>
      <c r="N692" s="10">
        <f>'Group Inputs'!AX9</f>
        <v>89473.7</v>
      </c>
      <c r="O692" s="6" t="s">
        <v>1843</v>
      </c>
    </row>
    <row r="693" spans="1:15">
      <c r="A693" s="11" t="s">
        <v>907</v>
      </c>
      <c r="B693" s="11" t="s">
        <v>1844</v>
      </c>
      <c r="C693" s="11" t="s">
        <v>908</v>
      </c>
      <c r="D693" s="11"/>
      <c r="E693" s="11" t="s">
        <v>876</v>
      </c>
      <c r="F693" s="11" t="s">
        <v>1228</v>
      </c>
      <c r="G693" s="11" t="s">
        <v>1228</v>
      </c>
      <c r="H693" s="11" t="s">
        <v>1228</v>
      </c>
      <c r="I693" s="11" t="s">
        <v>1228</v>
      </c>
      <c r="J693" s="11" t="s">
        <v>1228</v>
      </c>
      <c r="K693" s="11" t="s">
        <v>1228</v>
      </c>
      <c r="L693" s="11">
        <f>'Entity KPIs'!K153</f>
        <v>13.51</v>
      </c>
      <c r="M693" s="11">
        <f>'Entity KPIs'!Q153</f>
        <v>15.07</v>
      </c>
      <c r="N693" s="11">
        <f>'Group KPIs'!K153</f>
        <v>14.26</v>
      </c>
      <c r="O693" s="11" t="s">
        <v>1845</v>
      </c>
    </row>
    <row r="695" spans="1:15">
      <c r="A695" s="9" t="s">
        <v>2014</v>
      </c>
      <c r="B695" s="9"/>
      <c r="C695" s="9"/>
      <c r="D695" s="9"/>
      <c r="E695" s="9"/>
      <c r="F695" s="9"/>
      <c r="G695" s="9"/>
      <c r="H695" s="9"/>
      <c r="I695" s="9"/>
      <c r="J695" s="9"/>
      <c r="K695" s="9"/>
      <c r="L695" s="9"/>
      <c r="M695" s="9"/>
      <c r="N695" s="9"/>
      <c r="O695" s="9"/>
    </row>
    <row r="696" spans="1:15">
      <c r="A696" s="6" t="s">
        <v>910</v>
      </c>
      <c r="B696" s="6" t="s">
        <v>1841</v>
      </c>
      <c r="C696" s="6" t="s">
        <v>84</v>
      </c>
      <c r="D696" s="6" t="s">
        <v>85</v>
      </c>
      <c r="E696" s="6" t="s">
        <v>1884</v>
      </c>
      <c r="F696" s="10">
        <f>'Plant Inputs'!AG9</f>
        <v>55000</v>
      </c>
      <c r="G696" s="10">
        <f>'Plant Inputs'!AG15</f>
        <v>95000</v>
      </c>
      <c r="H696" s="10">
        <f>'Plant Inputs'!AG21</f>
        <v>69000</v>
      </c>
      <c r="I696" s="10">
        <f>'Plant Inputs'!AG27</f>
        <v>57000</v>
      </c>
      <c r="J696" s="10">
        <f>'Plant Inputs'!AG33</f>
        <v>60000</v>
      </c>
      <c r="K696" s="10">
        <f>'Plant Inputs'!AG39</f>
        <v>89000</v>
      </c>
      <c r="L696" s="10">
        <f>'Entity Inputs'!AE9</f>
        <v>219000.0</v>
      </c>
      <c r="M696" s="10">
        <f>'Entity Inputs'!AE15</f>
        <v>206000.0</v>
      </c>
      <c r="N696" s="10">
        <f>'Group Inputs'!AD9</f>
        <v>425000.0</v>
      </c>
      <c r="O696" s="6" t="s">
        <v>1843</v>
      </c>
    </row>
    <row r="697" spans="1:15">
      <c r="A697" s="6" t="s">
        <v>910</v>
      </c>
      <c r="B697" s="6" t="s">
        <v>1841</v>
      </c>
      <c r="C697" s="6" t="s">
        <v>119</v>
      </c>
      <c r="D697" s="6" t="s">
        <v>120</v>
      </c>
      <c r="E697" s="6" t="s">
        <v>1884</v>
      </c>
      <c r="F697" s="10">
        <f>'Plant Inputs'!AX9</f>
        <v>300900.3</v>
      </c>
      <c r="G697" s="10">
        <f>'Plant Inputs'!AX15</f>
        <v>346059.3</v>
      </c>
      <c r="H697" s="10">
        <f>'Plant Inputs'!AX21</f>
        <v>508764.6</v>
      </c>
      <c r="I697" s="10">
        <f>'Plant Inputs'!AX27</f>
        <v>310595</v>
      </c>
      <c r="J697" s="10">
        <f>'Plant Inputs'!AX33</f>
        <v>506388.4</v>
      </c>
      <c r="K697" s="10">
        <f>'Plant Inputs'!AX39</f>
        <v>363110.2</v>
      </c>
      <c r="L697" s="10">
        <f>'Entity Inputs'!AV9</f>
        <v>1155724.2</v>
      </c>
      <c r="M697" s="10">
        <f>'Entity Inputs'!AV15</f>
        <v>1180093.6</v>
      </c>
      <c r="N697" s="10">
        <f>'Group Inputs'!AU9</f>
        <v>2335817.8</v>
      </c>
      <c r="O697" s="6" t="s">
        <v>1843</v>
      </c>
    </row>
    <row r="698" spans="1:15">
      <c r="A698" s="11" t="s">
        <v>910</v>
      </c>
      <c r="B698" s="11" t="s">
        <v>1844</v>
      </c>
      <c r="C698" s="11" t="s">
        <v>911</v>
      </c>
      <c r="D698" s="11"/>
      <c r="E698" s="11" t="s">
        <v>561</v>
      </c>
      <c r="F698" s="11">
        <f>'Plant KPIs'!K64</f>
        <v>4.47</v>
      </c>
      <c r="G698" s="11">
        <f>'Plant KPIs'!Q64</f>
        <v>4.93</v>
      </c>
      <c r="H698" s="11">
        <f>'Plant KPIs'!W64</f>
        <v>6.59</v>
      </c>
      <c r="I698" s="11">
        <f>'Plant KPIs'!AC64</f>
        <v>4.27</v>
      </c>
      <c r="J698" s="11">
        <f>'Plant KPIs'!AI64</f>
        <v>6.82</v>
      </c>
      <c r="K698" s="11">
        <f>'Plant KPIs'!AO64</f>
        <v>4.86</v>
      </c>
      <c r="L698" s="11">
        <f>'Entity KPIs'!K154</f>
        <v>5.36</v>
      </c>
      <c r="M698" s="11">
        <f>'Entity KPIs'!Q154</f>
        <v>5.32</v>
      </c>
      <c r="N698" s="11">
        <f>'Group KPIs'!K154</f>
        <v>5.34</v>
      </c>
      <c r="O698" s="11" t="s">
        <v>1845</v>
      </c>
    </row>
    <row r="700" spans="1:15">
      <c r="A700" s="9" t="s">
        <v>2015</v>
      </c>
      <c r="B700" s="9"/>
      <c r="C700" s="9"/>
      <c r="D700" s="9"/>
      <c r="E700" s="9"/>
      <c r="F700" s="9"/>
      <c r="G700" s="9"/>
      <c r="H700" s="9"/>
      <c r="I700" s="9"/>
      <c r="J700" s="9"/>
      <c r="K700" s="9"/>
      <c r="L700" s="9"/>
      <c r="M700" s="9"/>
      <c r="N700" s="9"/>
      <c r="O700" s="9"/>
    </row>
    <row r="701" spans="1:15">
      <c r="A701" s="6" t="s">
        <v>913</v>
      </c>
      <c r="B701" s="6" t="s">
        <v>1841</v>
      </c>
      <c r="C701" s="6" t="s">
        <v>84</v>
      </c>
      <c r="D701" s="6" t="s">
        <v>85</v>
      </c>
      <c r="E701" s="6" t="s">
        <v>1884</v>
      </c>
      <c r="F701" s="10">
        <f>'Plant Inputs'!AG9</f>
        <v>55000</v>
      </c>
      <c r="G701" s="10">
        <f>'Plant Inputs'!AG15</f>
        <v>95000</v>
      </c>
      <c r="H701" s="10">
        <f>'Plant Inputs'!AG21</f>
        <v>69000</v>
      </c>
      <c r="I701" s="10">
        <f>'Plant Inputs'!AG27</f>
        <v>57000</v>
      </c>
      <c r="J701" s="10">
        <f>'Plant Inputs'!AG33</f>
        <v>60000</v>
      </c>
      <c r="K701" s="10">
        <f>'Plant Inputs'!AG39</f>
        <v>89000</v>
      </c>
      <c r="L701" s="10">
        <f>'Entity Inputs'!AE9</f>
        <v>219000.0</v>
      </c>
      <c r="M701" s="10">
        <f>'Entity Inputs'!AE15</f>
        <v>206000.0</v>
      </c>
      <c r="N701" s="10">
        <f>'Group Inputs'!AD9</f>
        <v>425000.0</v>
      </c>
      <c r="O701" s="6" t="s">
        <v>1843</v>
      </c>
    </row>
    <row r="702" spans="1:15">
      <c r="A702" s="6" t="s">
        <v>913</v>
      </c>
      <c r="B702" s="6" t="s">
        <v>1841</v>
      </c>
      <c r="C702" s="6" t="s">
        <v>50</v>
      </c>
      <c r="D702" s="6" t="s">
        <v>51</v>
      </c>
      <c r="E702" s="6" t="s">
        <v>1884</v>
      </c>
      <c r="F702" s="10">
        <f>'Plant Inputs'!P9</f>
        <v>81854</v>
      </c>
      <c r="G702" s="10">
        <f>'Plant Inputs'!P15</f>
        <v>95233</v>
      </c>
      <c r="H702" s="10">
        <f>'Plant Inputs'!P21</f>
        <v>139711</v>
      </c>
      <c r="I702" s="10">
        <f>'Plant Inputs'!P27</f>
        <v>81694</v>
      </c>
      <c r="J702" s="10">
        <f>'Plant Inputs'!P33</f>
        <v>132787</v>
      </c>
      <c r="K702" s="10">
        <f>'Plant Inputs'!P39</f>
        <v>94388</v>
      </c>
      <c r="L702" s="10">
        <f>'Entity Inputs'!N9</f>
        <v>316798.0</v>
      </c>
      <c r="M702" s="10">
        <f>'Entity Inputs'!N15</f>
        <v>308869.0</v>
      </c>
      <c r="N702" s="10">
        <f>'Group Inputs'!M9</f>
        <v>625667.0</v>
      </c>
      <c r="O702" s="6" t="s">
        <v>1843</v>
      </c>
    </row>
    <row r="703" spans="1:15">
      <c r="A703" s="11" t="s">
        <v>913</v>
      </c>
      <c r="B703" s="11" t="s">
        <v>1844</v>
      </c>
      <c r="C703" s="11" t="s">
        <v>914</v>
      </c>
      <c r="D703" s="11"/>
      <c r="E703" s="11" t="s">
        <v>561</v>
      </c>
      <c r="F703" s="11">
        <f>'Plant KPIs'!K65</f>
        <v>1186.11</v>
      </c>
      <c r="G703" s="11">
        <f>'Plant KPIs'!Q65</f>
        <v>1336.62</v>
      </c>
      <c r="H703" s="11">
        <f>'Plant KPIs'!W65</f>
        <v>1779.21</v>
      </c>
      <c r="I703" s="11">
        <f>'Plant KPIs'!AC65</f>
        <v>1135.52</v>
      </c>
      <c r="J703" s="11">
        <f>'Plant KPIs'!AI65</f>
        <v>1810.4</v>
      </c>
      <c r="K703" s="11">
        <f>'Plant KPIs'!AO65</f>
        <v>1290.61</v>
      </c>
      <c r="L703" s="11">
        <f>'Entity KPIs'!K155</f>
        <v>1442.13</v>
      </c>
      <c r="M703" s="11">
        <f>'Entity KPIs'!Q155</f>
        <v>1412.54</v>
      </c>
      <c r="N703" s="11">
        <f>'Group KPIs'!K155</f>
        <v>1427.42</v>
      </c>
      <c r="O703" s="11" t="s">
        <v>1845</v>
      </c>
    </row>
    <row r="705" spans="1:15">
      <c r="A705" s="9" t="s">
        <v>2016</v>
      </c>
      <c r="B705" s="9"/>
      <c r="C705" s="9"/>
      <c r="D705" s="9"/>
      <c r="E705" s="9"/>
      <c r="F705" s="9"/>
      <c r="G705" s="9"/>
      <c r="H705" s="9"/>
      <c r="I705" s="9"/>
      <c r="J705" s="9"/>
      <c r="K705" s="9"/>
      <c r="L705" s="9"/>
      <c r="M705" s="9"/>
      <c r="N705" s="9"/>
      <c r="O705" s="9"/>
    </row>
    <row r="706" spans="1:15">
      <c r="A706" s="6" t="s">
        <v>916</v>
      </c>
      <c r="B706" s="6" t="s">
        <v>1841</v>
      </c>
      <c r="C706" s="6" t="s">
        <v>240</v>
      </c>
      <c r="D706" s="6" t="s">
        <v>241</v>
      </c>
      <c r="E706" s="6" t="s">
        <v>1842</v>
      </c>
      <c r="F706" s="6" t="s">
        <v>1228</v>
      </c>
      <c r="G706" s="6" t="s">
        <v>1228</v>
      </c>
      <c r="H706" s="6" t="s">
        <v>1228</v>
      </c>
      <c r="I706" s="6" t="s">
        <v>1228</v>
      </c>
      <c r="J706" s="6" t="s">
        <v>1228</v>
      </c>
      <c r="K706" s="6" t="s">
        <v>1228</v>
      </c>
      <c r="L706" s="10">
        <f>'Entity Inputs'!CV9</f>
        <v>1161973.5</v>
      </c>
      <c r="M706" s="10">
        <f>'Entity Inputs'!CV15</f>
        <v>1172252.9</v>
      </c>
      <c r="N706" s="10">
        <f>'Group Inputs'!CU9</f>
        <v>2334226.4</v>
      </c>
      <c r="O706" s="6" t="s">
        <v>1892</v>
      </c>
    </row>
    <row r="707" spans="1:15">
      <c r="A707" s="6" t="s">
        <v>916</v>
      </c>
      <c r="B707" s="6" t="s">
        <v>1841</v>
      </c>
      <c r="C707" s="6" t="s">
        <v>242</v>
      </c>
      <c r="D707" s="6" t="s">
        <v>243</v>
      </c>
      <c r="E707" s="6" t="s">
        <v>1842</v>
      </c>
      <c r="F707" s="6" t="s">
        <v>1228</v>
      </c>
      <c r="G707" s="6" t="s">
        <v>1228</v>
      </c>
      <c r="H707" s="6" t="s">
        <v>1228</v>
      </c>
      <c r="I707" s="6" t="s">
        <v>1228</v>
      </c>
      <c r="J707" s="6" t="s">
        <v>1228</v>
      </c>
      <c r="K707" s="6" t="s">
        <v>1228</v>
      </c>
      <c r="L707" s="10">
        <f>'Entity Inputs'!CW9</f>
        <v>1210504.1</v>
      </c>
      <c r="M707" s="10">
        <f>'Entity Inputs'!CW15</f>
        <v>1179902.4</v>
      </c>
      <c r="N707" s="10">
        <f>'Group Inputs'!CV9</f>
        <v>2390406.5</v>
      </c>
      <c r="O707" s="6" t="s">
        <v>1892</v>
      </c>
    </row>
    <row r="708" spans="1:15">
      <c r="A708" s="11" t="s">
        <v>916</v>
      </c>
      <c r="B708" s="11" t="s">
        <v>1844</v>
      </c>
      <c r="C708" s="11" t="s">
        <v>917</v>
      </c>
      <c r="D708" s="11"/>
      <c r="E708" s="11" t="s">
        <v>876</v>
      </c>
      <c r="F708" s="11" t="s">
        <v>1228</v>
      </c>
      <c r="G708" s="11" t="s">
        <v>1228</v>
      </c>
      <c r="H708" s="11" t="s">
        <v>1228</v>
      </c>
      <c r="I708" s="11" t="s">
        <v>1228</v>
      </c>
      <c r="J708" s="11" t="s">
        <v>1228</v>
      </c>
      <c r="K708" s="11" t="s">
        <v>1228</v>
      </c>
      <c r="L708" s="11">
        <f>'Entity KPIs'!K156</f>
        <v>85.18</v>
      </c>
      <c r="M708" s="11">
        <f>'Entity KPIs'!Q156</f>
        <v>56.48</v>
      </c>
      <c r="N708" s="11">
        <f>'Group KPIs'!K156</f>
        <v>72.63</v>
      </c>
      <c r="O708" s="11" t="s">
        <v>1845</v>
      </c>
    </row>
    <row r="710" spans="1:15">
      <c r="A710" s="9" t="s">
        <v>2017</v>
      </c>
      <c r="B710" s="9"/>
      <c r="C710" s="9"/>
      <c r="D710" s="9"/>
      <c r="E710" s="9"/>
      <c r="F710" s="9"/>
      <c r="G710" s="9"/>
      <c r="H710" s="9"/>
      <c r="I710" s="9"/>
      <c r="J710" s="9"/>
      <c r="K710" s="9"/>
      <c r="L710" s="9"/>
      <c r="M710" s="9"/>
      <c r="N710" s="9"/>
      <c r="O710" s="9"/>
    </row>
    <row r="711" spans="1:15">
      <c r="A711" s="6" t="s">
        <v>919</v>
      </c>
      <c r="B711" s="6" t="s">
        <v>1841</v>
      </c>
      <c r="C711" s="6" t="s">
        <v>398</v>
      </c>
      <c r="D711" s="6" t="s">
        <v>399</v>
      </c>
      <c r="E711" s="6" t="s">
        <v>1842</v>
      </c>
      <c r="F711" s="6" t="s">
        <v>1228</v>
      </c>
      <c r="G711" s="6" t="s">
        <v>1228</v>
      </c>
      <c r="H711" s="6" t="s">
        <v>1228</v>
      </c>
      <c r="I711" s="6" t="s">
        <v>1228</v>
      </c>
      <c r="J711" s="6" t="s">
        <v>1228</v>
      </c>
      <c r="K711" s="6" t="s">
        <v>1228</v>
      </c>
      <c r="L711" s="10">
        <f>'Entity Inputs'!FW9</f>
        <v>38</v>
      </c>
      <c r="M711" s="10">
        <f>'Entity Inputs'!FW15</f>
        <v>999</v>
      </c>
      <c r="N711" s="10">
        <f>'Group Inputs'!FV9</f>
        <v>38</v>
      </c>
      <c r="O711" s="6" t="s">
        <v>2018</v>
      </c>
    </row>
    <row r="712" spans="1:15">
      <c r="A712" s="11" t="s">
        <v>919</v>
      </c>
      <c r="B712" s="11" t="s">
        <v>1844</v>
      </c>
      <c r="C712" s="11" t="s">
        <v>920</v>
      </c>
      <c r="D712" s="11"/>
      <c r="E712" s="11" t="s">
        <v>577</v>
      </c>
      <c r="F712" s="11" t="s">
        <v>1228</v>
      </c>
      <c r="G712" s="11" t="s">
        <v>1228</v>
      </c>
      <c r="H712" s="11" t="s">
        <v>1228</v>
      </c>
      <c r="I712" s="11" t="s">
        <v>1228</v>
      </c>
      <c r="J712" s="11" t="s">
        <v>1228</v>
      </c>
      <c r="K712" s="11" t="s">
        <v>1228</v>
      </c>
      <c r="L712" s="11" t="str">
        <f>'Entity KPIs'!K157</f>
        <v>38 h remaining</v>
      </c>
      <c r="M712" s="11" t="str">
        <f>'Entity KPIs'!Q157</f>
        <v>No clock running</v>
      </c>
      <c r="N712" s="11" t="str">
        <f>'Group KPIs'!K157</f>
        <v>38 h remaining</v>
      </c>
      <c r="O712" s="11" t="s">
        <v>1845</v>
      </c>
    </row>
    <row r="714" spans="1:15">
      <c r="A714" s="9" t="s">
        <v>2019</v>
      </c>
      <c r="B714" s="9"/>
      <c r="C714" s="9"/>
      <c r="D714" s="9"/>
      <c r="E714" s="9"/>
      <c r="F714" s="9"/>
      <c r="G714" s="9"/>
      <c r="H714" s="9"/>
      <c r="I714" s="9"/>
      <c r="J714" s="9"/>
      <c r="K714" s="9"/>
      <c r="L714" s="9"/>
      <c r="M714" s="9"/>
      <c r="N714" s="9"/>
      <c r="O714" s="9"/>
    </row>
    <row r="715" spans="1:15">
      <c r="A715" s="6" t="s">
        <v>922</v>
      </c>
      <c r="B715" s="6" t="s">
        <v>1841</v>
      </c>
      <c r="C715" s="6" t="s">
        <v>50</v>
      </c>
      <c r="D715" s="6" t="s">
        <v>51</v>
      </c>
      <c r="E715" s="6" t="s">
        <v>1842</v>
      </c>
      <c r="F715" s="10">
        <f>'Plant Inputs'!P9</f>
        <v>81854</v>
      </c>
      <c r="G715" s="10">
        <f>'Plant Inputs'!P15</f>
        <v>95233</v>
      </c>
      <c r="H715" s="10">
        <f>'Plant Inputs'!P21</f>
        <v>139711</v>
      </c>
      <c r="I715" s="10">
        <f>'Plant Inputs'!P27</f>
        <v>81694</v>
      </c>
      <c r="J715" s="10">
        <f>'Plant Inputs'!P33</f>
        <v>132787</v>
      </c>
      <c r="K715" s="10">
        <f>'Plant Inputs'!P39</f>
        <v>94388</v>
      </c>
      <c r="L715" s="10">
        <f>'Entity Inputs'!N9</f>
        <v>316798.0</v>
      </c>
      <c r="M715" s="10">
        <f>'Entity Inputs'!N15</f>
        <v>308869.0</v>
      </c>
      <c r="N715" s="10">
        <f>'Group Inputs'!M9</f>
        <v>625667.0</v>
      </c>
      <c r="O715" s="6" t="s">
        <v>1843</v>
      </c>
    </row>
    <row r="716" spans="1:15">
      <c r="A716" s="6" t="s">
        <v>922</v>
      </c>
      <c r="B716" s="6" t="s">
        <v>1841</v>
      </c>
      <c r="C716" s="6" t="s">
        <v>52</v>
      </c>
      <c r="D716" s="6" t="s">
        <v>53</v>
      </c>
      <c r="E716" s="6" t="s">
        <v>1842</v>
      </c>
      <c r="F716" s="10">
        <f>'Plant Inputs'!Q9</f>
        <v>89479</v>
      </c>
      <c r="G716" s="10">
        <f>'Plant Inputs'!Q15</f>
        <v>102279</v>
      </c>
      <c r="H716" s="10">
        <f>'Plant Inputs'!Q21</f>
        <v>154604</v>
      </c>
      <c r="I716" s="10">
        <f>'Plant Inputs'!Q27</f>
        <v>90180</v>
      </c>
      <c r="J716" s="10">
        <f>'Plant Inputs'!Q33</f>
        <v>142400</v>
      </c>
      <c r="K716" s="10">
        <f>'Plant Inputs'!Q39</f>
        <v>101633</v>
      </c>
      <c r="L716" s="10">
        <f>'Entity Inputs'!O9</f>
        <v>346362.0</v>
      </c>
      <c r="M716" s="10">
        <f>'Entity Inputs'!O15</f>
        <v>334213.0</v>
      </c>
      <c r="N716" s="10">
        <f>'Group Inputs'!N9</f>
        <v>680575.0</v>
      </c>
      <c r="O716" s="6" t="s">
        <v>1843</v>
      </c>
    </row>
    <row r="717" spans="1:15">
      <c r="A717" s="6" t="s">
        <v>922</v>
      </c>
      <c r="B717" s="6" t="s">
        <v>1841</v>
      </c>
      <c r="C717" s="6" t="s">
        <v>50</v>
      </c>
      <c r="D717" s="6" t="s">
        <v>51</v>
      </c>
      <c r="E717" s="6" t="s">
        <v>2020</v>
      </c>
      <c r="F717" s="10">
        <f>'Plant Inputs'!P9</f>
        <v>81854</v>
      </c>
      <c r="G717" s="10">
        <f>'Plant Inputs'!P15</f>
        <v>95233</v>
      </c>
      <c r="H717" s="10">
        <f>'Plant Inputs'!P21</f>
        <v>139711</v>
      </c>
      <c r="I717" s="10">
        <f>'Plant Inputs'!P27</f>
        <v>81694</v>
      </c>
      <c r="J717" s="10">
        <f>'Plant Inputs'!P33</f>
        <v>132787</v>
      </c>
      <c r="K717" s="10">
        <f>'Plant Inputs'!P39</f>
        <v>94388</v>
      </c>
      <c r="L717" s="10">
        <f>'Entity Inputs'!N9</f>
        <v>316798.0</v>
      </c>
      <c r="M717" s="10">
        <f>'Entity Inputs'!N15</f>
        <v>308869.0</v>
      </c>
      <c r="N717" s="10">
        <f>'Group Inputs'!M9</f>
        <v>625667.0</v>
      </c>
      <c r="O717" s="6" t="s">
        <v>1843</v>
      </c>
    </row>
    <row r="718" spans="1:15">
      <c r="A718" s="6" t="s">
        <v>922</v>
      </c>
      <c r="B718" s="6" t="s">
        <v>1841</v>
      </c>
      <c r="C718" s="6" t="s">
        <v>52</v>
      </c>
      <c r="D718" s="6" t="s">
        <v>53</v>
      </c>
      <c r="E718" s="6" t="s">
        <v>2020</v>
      </c>
      <c r="F718" s="10">
        <f>'Plant Inputs'!Q9</f>
        <v>89479</v>
      </c>
      <c r="G718" s="10">
        <f>'Plant Inputs'!Q15</f>
        <v>102279</v>
      </c>
      <c r="H718" s="10">
        <f>'Plant Inputs'!Q21</f>
        <v>154604</v>
      </c>
      <c r="I718" s="10">
        <f>'Plant Inputs'!Q27</f>
        <v>90180</v>
      </c>
      <c r="J718" s="10">
        <f>'Plant Inputs'!Q33</f>
        <v>142400</v>
      </c>
      <c r="K718" s="10">
        <f>'Plant Inputs'!Q39</f>
        <v>101633</v>
      </c>
      <c r="L718" s="10">
        <f>'Entity Inputs'!O9</f>
        <v>346362.0</v>
      </c>
      <c r="M718" s="10">
        <f>'Entity Inputs'!O15</f>
        <v>334213.0</v>
      </c>
      <c r="N718" s="10">
        <f>'Group Inputs'!N9</f>
        <v>680575.0</v>
      </c>
      <c r="O718" s="6" t="s">
        <v>1843</v>
      </c>
    </row>
    <row r="719" spans="1:15">
      <c r="A719" s="11" t="s">
        <v>922</v>
      </c>
      <c r="B719" s="11" t="s">
        <v>1844</v>
      </c>
      <c r="C719" s="11" t="s">
        <v>923</v>
      </c>
      <c r="D719" s="11"/>
      <c r="E719" s="11" t="s">
        <v>25</v>
      </c>
      <c r="F719" s="11" t="str">
        <f>'Plant KPIs'!K66</f>
        <v>Stable (-1 pts vs last month)</v>
      </c>
      <c r="G719" s="11" t="str">
        <f>'Plant KPIs'!Q66</f>
        <v>Improving (4.5 pts vs last month)</v>
      </c>
      <c r="H719" s="11" t="str">
        <f>'Plant KPIs'!W66</f>
        <v>Deteriorating (-1.7 pts vs last month)</v>
      </c>
      <c r="I719" s="11" t="str">
        <f>'Plant KPIs'!AC66</f>
        <v>Stable (-1 pts vs last month)</v>
      </c>
      <c r="J719" s="11" t="str">
        <f>'Plant KPIs'!AI66</f>
        <v>Improving (3.9 pts vs last month)</v>
      </c>
      <c r="K719" s="11" t="str">
        <f>'Plant KPIs'!AO66</f>
        <v>Stable (0.2 pts vs last month)</v>
      </c>
      <c r="L719" s="11" t="str">
        <f>'Entity KPIs'!K158</f>
        <v>Stable (0.3 pts vs last month)</v>
      </c>
      <c r="M719" s="11" t="str">
        <f>'Entity KPIs'!Q158</f>
        <v>Improving (1.4 pts vs last month)</v>
      </c>
      <c r="N719" s="11" t="str">
        <f>'Group KPIs'!K158</f>
        <v>Stable (0.8 pts vs last month)</v>
      </c>
      <c r="O719" s="11" t="s">
        <v>1845</v>
      </c>
    </row>
    <row r="721" spans="1:15">
      <c r="A721" s="9" t="s">
        <v>2021</v>
      </c>
      <c r="B721" s="9"/>
      <c r="C721" s="9"/>
      <c r="D721" s="9"/>
      <c r="E721" s="9"/>
      <c r="F721" s="9"/>
      <c r="G721" s="9"/>
      <c r="H721" s="9"/>
      <c r="I721" s="9"/>
      <c r="J721" s="9"/>
      <c r="K721" s="9"/>
      <c r="L721" s="9"/>
      <c r="M721" s="9"/>
      <c r="N721" s="9"/>
      <c r="O721" s="9"/>
    </row>
    <row r="722" spans="1:15">
      <c r="A722" s="6" t="s">
        <v>925</v>
      </c>
      <c r="B722" s="6" t="s">
        <v>1841</v>
      </c>
      <c r="C722" s="6" t="s">
        <v>56</v>
      </c>
      <c r="D722" s="6" t="s">
        <v>57</v>
      </c>
      <c r="E722" s="6" t="s">
        <v>1842</v>
      </c>
      <c r="F722" s="10">
        <f>'Plant Inputs'!S9</f>
        <v>18334</v>
      </c>
      <c r="G722" s="10">
        <f>'Plant Inputs'!S15</f>
        <v>17994</v>
      </c>
      <c r="H722" s="10">
        <f>'Plant Inputs'!S21</f>
        <v>31527</v>
      </c>
      <c r="I722" s="10">
        <f>'Plant Inputs'!S27</f>
        <v>18005</v>
      </c>
      <c r="J722" s="10">
        <f>'Plant Inputs'!S33</f>
        <v>25111</v>
      </c>
      <c r="K722" s="10">
        <f>'Plant Inputs'!S39</f>
        <v>17410</v>
      </c>
      <c r="L722" s="10">
        <f>'Entity Inputs'!Q9</f>
        <v>67855.0</v>
      </c>
      <c r="M722" s="10">
        <f>'Entity Inputs'!Q15</f>
        <v>60526.0</v>
      </c>
      <c r="N722" s="10">
        <f>'Group Inputs'!P9</f>
        <v>128381.0</v>
      </c>
      <c r="O722" s="6" t="s">
        <v>1843</v>
      </c>
    </row>
    <row r="723" spans="1:15">
      <c r="A723" s="6" t="s">
        <v>925</v>
      </c>
      <c r="B723" s="6" t="s">
        <v>1841</v>
      </c>
      <c r="C723" s="6" t="s">
        <v>54</v>
      </c>
      <c r="D723" s="6" t="s">
        <v>55</v>
      </c>
      <c r="E723" s="6" t="s">
        <v>1842</v>
      </c>
      <c r="F723" s="10">
        <f>'Plant Inputs'!R9</f>
        <v>19996</v>
      </c>
      <c r="G723" s="10">
        <f>'Plant Inputs'!R15</f>
        <v>20791</v>
      </c>
      <c r="H723" s="10">
        <f>'Plant Inputs'!R21</f>
        <v>36789</v>
      </c>
      <c r="I723" s="10">
        <f>'Plant Inputs'!R27</f>
        <v>20374</v>
      </c>
      <c r="J723" s="10">
        <f>'Plant Inputs'!R33</f>
        <v>28428</v>
      </c>
      <c r="K723" s="10">
        <f>'Plant Inputs'!R39</f>
        <v>20587</v>
      </c>
      <c r="L723" s="10">
        <f>'Entity Inputs'!P9</f>
        <v>77576.0</v>
      </c>
      <c r="M723" s="10">
        <f>'Entity Inputs'!P15</f>
        <v>69389.0</v>
      </c>
      <c r="N723" s="10">
        <f>'Group Inputs'!O9</f>
        <v>146965.0</v>
      </c>
      <c r="O723" s="6" t="s">
        <v>1843</v>
      </c>
    </row>
    <row r="724" spans="1:15">
      <c r="A724" s="6" t="s">
        <v>925</v>
      </c>
      <c r="B724" s="6" t="s">
        <v>1841</v>
      </c>
      <c r="C724" s="6" t="s">
        <v>56</v>
      </c>
      <c r="D724" s="6" t="s">
        <v>57</v>
      </c>
      <c r="E724" s="6" t="s">
        <v>2020</v>
      </c>
      <c r="F724" s="10">
        <f>'Plant Inputs'!S9</f>
        <v>18334</v>
      </c>
      <c r="G724" s="10">
        <f>'Plant Inputs'!S15</f>
        <v>17994</v>
      </c>
      <c r="H724" s="10">
        <f>'Plant Inputs'!S21</f>
        <v>31527</v>
      </c>
      <c r="I724" s="10">
        <f>'Plant Inputs'!S27</f>
        <v>18005</v>
      </c>
      <c r="J724" s="10">
        <f>'Plant Inputs'!S33</f>
        <v>25111</v>
      </c>
      <c r="K724" s="10">
        <f>'Plant Inputs'!S39</f>
        <v>17410</v>
      </c>
      <c r="L724" s="10">
        <f>'Entity Inputs'!Q9</f>
        <v>67855.0</v>
      </c>
      <c r="M724" s="10">
        <f>'Entity Inputs'!Q15</f>
        <v>60526.0</v>
      </c>
      <c r="N724" s="10">
        <f>'Group Inputs'!P9</f>
        <v>128381.0</v>
      </c>
      <c r="O724" s="6" t="s">
        <v>1843</v>
      </c>
    </row>
    <row r="725" spans="1:15">
      <c r="A725" s="6" t="s">
        <v>925</v>
      </c>
      <c r="B725" s="6" t="s">
        <v>1841</v>
      </c>
      <c r="C725" s="6" t="s">
        <v>54</v>
      </c>
      <c r="D725" s="6" t="s">
        <v>55</v>
      </c>
      <c r="E725" s="6" t="s">
        <v>2020</v>
      </c>
      <c r="F725" s="10">
        <f>'Plant Inputs'!R9</f>
        <v>19996</v>
      </c>
      <c r="G725" s="10">
        <f>'Plant Inputs'!R15</f>
        <v>20791</v>
      </c>
      <c r="H725" s="10">
        <f>'Plant Inputs'!R21</f>
        <v>36789</v>
      </c>
      <c r="I725" s="10">
        <f>'Plant Inputs'!R27</f>
        <v>20374</v>
      </c>
      <c r="J725" s="10">
        <f>'Plant Inputs'!R33</f>
        <v>28428</v>
      </c>
      <c r="K725" s="10">
        <f>'Plant Inputs'!R39</f>
        <v>20587</v>
      </c>
      <c r="L725" s="10">
        <f>'Entity Inputs'!P9</f>
        <v>77576.0</v>
      </c>
      <c r="M725" s="10">
        <f>'Entity Inputs'!P15</f>
        <v>69389.0</v>
      </c>
      <c r="N725" s="10">
        <f>'Group Inputs'!O9</f>
        <v>146965.0</v>
      </c>
      <c r="O725" s="6" t="s">
        <v>1843</v>
      </c>
    </row>
    <row r="726" spans="1:15">
      <c r="A726" s="11" t="s">
        <v>925</v>
      </c>
      <c r="B726" s="11" t="s">
        <v>1844</v>
      </c>
      <c r="C726" s="11" t="s">
        <v>926</v>
      </c>
      <c r="D726" s="11"/>
      <c r="E726" s="11" t="s">
        <v>25</v>
      </c>
      <c r="F726" s="11" t="str">
        <f>'Plant KPIs'!K67</f>
        <v>Improving (3 pts vs last month)</v>
      </c>
      <c r="G726" s="11" t="str">
        <f>'Plant KPIs'!Q67</f>
        <v>Improving (4.4 pts vs last month)</v>
      </c>
      <c r="H726" s="11" t="str">
        <f>'Plant KPIs'!W67</f>
        <v>Deteriorating (-3.4 pts vs last month)</v>
      </c>
      <c r="I726" s="11" t="str">
        <f>'Plant KPIs'!AC67</f>
        <v>Stable (-0.8 pts vs last month)</v>
      </c>
      <c r="J726" s="11" t="str">
        <f>'Plant KPIs'!AI67</f>
        <v>Deteriorating (-2.1 pts vs last month)</v>
      </c>
      <c r="K726" s="11" t="str">
        <f>'Plant KPIs'!AO67</f>
        <v>Deteriorating (-5.8 pts vs last month)</v>
      </c>
      <c r="L726" s="11" t="str">
        <f>'Entity KPIs'!K159</f>
        <v>Stable (0.5 pts vs last month)</v>
      </c>
      <c r="M726" s="11" t="str">
        <f>'Entity KPIs'!Q159</f>
        <v>Deteriorating (-2.9 pts vs last month)</v>
      </c>
      <c r="N726" s="11" t="str">
        <f>'Group KPIs'!K159</f>
        <v>Deteriorating (-1.2 pts vs last month)</v>
      </c>
      <c r="O726" s="11" t="s">
        <v>1845</v>
      </c>
    </row>
    <row r="728" spans="1:15">
      <c r="A728" s="9" t="s">
        <v>2022</v>
      </c>
      <c r="B728" s="9"/>
      <c r="C728" s="9"/>
      <c r="D728" s="9"/>
      <c r="E728" s="9"/>
      <c r="F728" s="9"/>
      <c r="G728" s="9"/>
      <c r="H728" s="9"/>
      <c r="I728" s="9"/>
      <c r="J728" s="9"/>
      <c r="K728" s="9"/>
      <c r="L728" s="9"/>
      <c r="M728" s="9"/>
      <c r="N728" s="9"/>
      <c r="O728" s="9"/>
    </row>
    <row r="729" spans="1:15">
      <c r="A729" s="6" t="s">
        <v>928</v>
      </c>
      <c r="B729" s="6" t="s">
        <v>1841</v>
      </c>
      <c r="C729" s="6" t="s">
        <v>316</v>
      </c>
      <c r="D729" s="6" t="s">
        <v>317</v>
      </c>
      <c r="E729" s="6" t="s">
        <v>1842</v>
      </c>
      <c r="F729" s="6" t="s">
        <v>1228</v>
      </c>
      <c r="G729" s="6" t="s">
        <v>1228</v>
      </c>
      <c r="H729" s="6" t="s">
        <v>1228</v>
      </c>
      <c r="I729" s="6" t="s">
        <v>1228</v>
      </c>
      <c r="J729" s="6" t="s">
        <v>1228</v>
      </c>
      <c r="K729" s="6" t="s">
        <v>1228</v>
      </c>
      <c r="L729" s="10">
        <f>'Entity Inputs'!EH9</f>
        <v>2</v>
      </c>
      <c r="M729" s="10">
        <f>'Entity Inputs'!EH15</f>
        <v>1</v>
      </c>
      <c r="N729" s="10">
        <f>'Group Inputs'!EG9</f>
        <v>3.0</v>
      </c>
      <c r="O729" s="6" t="s">
        <v>1892</v>
      </c>
    </row>
    <row r="730" spans="1:15">
      <c r="A730" s="6" t="s">
        <v>928</v>
      </c>
      <c r="B730" s="6" t="s">
        <v>1841</v>
      </c>
      <c r="C730" s="6" t="s">
        <v>106</v>
      </c>
      <c r="D730" s="6" t="s">
        <v>107</v>
      </c>
      <c r="E730" s="6" t="s">
        <v>1842</v>
      </c>
      <c r="F730" s="10">
        <f>'Plant Inputs'!AR9</f>
        <v>2</v>
      </c>
      <c r="G730" s="10">
        <f>'Plant Inputs'!AR15</f>
        <v>1</v>
      </c>
      <c r="H730" s="10">
        <f>'Plant Inputs'!AR21</f>
        <v>1</v>
      </c>
      <c r="I730" s="10">
        <f>'Plant Inputs'!AR27</f>
        <v>0</v>
      </c>
      <c r="J730" s="10">
        <f>'Plant Inputs'!AR33</f>
        <v>0</v>
      </c>
      <c r="K730" s="10">
        <f>'Plant Inputs'!AR39</f>
        <v>1</v>
      </c>
      <c r="L730" s="10">
        <f>'Entity Inputs'!AP9</f>
        <v>4.0</v>
      </c>
      <c r="M730" s="10">
        <f>'Entity Inputs'!AP15</f>
        <v>1.0</v>
      </c>
      <c r="N730" s="10">
        <f>'Group Inputs'!AO9</f>
        <v>5.0</v>
      </c>
      <c r="O730" s="6" t="s">
        <v>1843</v>
      </c>
    </row>
    <row r="731" spans="1:15">
      <c r="A731" s="11" t="s">
        <v>928</v>
      </c>
      <c r="B731" s="11" t="s">
        <v>1844</v>
      </c>
      <c r="C731" s="11" t="s">
        <v>929</v>
      </c>
      <c r="D731" s="11"/>
      <c r="E731" s="11" t="s">
        <v>577</v>
      </c>
      <c r="F731" s="11" t="s">
        <v>1228</v>
      </c>
      <c r="G731" s="11" t="s">
        <v>1228</v>
      </c>
      <c r="H731" s="11" t="s">
        <v>1228</v>
      </c>
      <c r="I731" s="11" t="s">
        <v>1228</v>
      </c>
      <c r="J731" s="11" t="s">
        <v>1228</v>
      </c>
      <c r="K731" s="11" t="s">
        <v>1228</v>
      </c>
      <c r="L731" s="11" t="str">
        <f>'Entity KPIs'!K160</f>
        <v>Elevated (2 single-source suppliers, 4 materials at risk)</v>
      </c>
      <c r="M731" s="11" t="str">
        <f>'Entity KPIs'!Q160</f>
        <v>Elevated (1 single-source suppliers, 1 materials at risk)</v>
      </c>
      <c r="N731" s="11" t="str">
        <f>'Group KPIs'!K160</f>
        <v>Elevated (3 single-source suppliers, 5 materials at risk)</v>
      </c>
      <c r="O731" s="11" t="s">
        <v>1845</v>
      </c>
    </row>
    <row r="733" spans="1:15">
      <c r="A733" s="9" t="s">
        <v>2023</v>
      </c>
      <c r="B733" s="9"/>
      <c r="C733" s="9"/>
      <c r="D733" s="9"/>
      <c r="E733" s="9"/>
      <c r="F733" s="9"/>
      <c r="G733" s="9"/>
      <c r="H733" s="9"/>
      <c r="I733" s="9"/>
      <c r="J733" s="9"/>
      <c r="K733" s="9"/>
      <c r="L733" s="9"/>
      <c r="M733" s="9"/>
      <c r="N733" s="9"/>
      <c r="O733" s="9"/>
    </row>
    <row r="734" spans="1:15">
      <c r="A734" s="6" t="s">
        <v>931</v>
      </c>
      <c r="B734" s="6" t="s">
        <v>1841</v>
      </c>
      <c r="C734" s="6" t="s">
        <v>402</v>
      </c>
      <c r="D734" s="6" t="s">
        <v>403</v>
      </c>
      <c r="E734" s="6" t="s">
        <v>1842</v>
      </c>
      <c r="F734" s="6" t="s">
        <v>1228</v>
      </c>
      <c r="G734" s="6" t="s">
        <v>1228</v>
      </c>
      <c r="H734" s="6" t="s">
        <v>1228</v>
      </c>
      <c r="I734" s="6" t="s">
        <v>1228</v>
      </c>
      <c r="J734" s="6" t="s">
        <v>1228</v>
      </c>
      <c r="K734" s="6" t="s">
        <v>1228</v>
      </c>
      <c r="L734" s="10">
        <f>'Entity Inputs'!FY9</f>
        <v>49607.5</v>
      </c>
      <c r="M734" s="10">
        <f>'Entity Inputs'!FY15</f>
        <v>50191.8</v>
      </c>
      <c r="N734" s="10">
        <f>'Group Inputs'!FX9</f>
        <v>99799.3</v>
      </c>
      <c r="O734" s="6" t="s">
        <v>1892</v>
      </c>
    </row>
    <row r="735" spans="1:15">
      <c r="A735" s="6" t="s">
        <v>931</v>
      </c>
      <c r="B735" s="6" t="s">
        <v>1841</v>
      </c>
      <c r="C735" s="6" t="s">
        <v>400</v>
      </c>
      <c r="D735" s="6" t="s">
        <v>401</v>
      </c>
      <c r="E735" s="6" t="s">
        <v>1842</v>
      </c>
      <c r="F735" s="6" t="s">
        <v>1228</v>
      </c>
      <c r="G735" s="6" t="s">
        <v>1228</v>
      </c>
      <c r="H735" s="6" t="s">
        <v>1228</v>
      </c>
      <c r="I735" s="6" t="s">
        <v>1228</v>
      </c>
      <c r="J735" s="6" t="s">
        <v>1228</v>
      </c>
      <c r="K735" s="6" t="s">
        <v>1228</v>
      </c>
      <c r="L735" s="10">
        <f>'Entity Inputs'!FX9</f>
        <v>51343.8</v>
      </c>
      <c r="M735" s="10">
        <f>'Entity Inputs'!FX15</f>
        <v>50442.8</v>
      </c>
      <c r="N735" s="10">
        <f>'Group Inputs'!FW9</f>
        <v>101786.6</v>
      </c>
      <c r="O735" s="6" t="s">
        <v>1892</v>
      </c>
    </row>
    <row r="736" spans="1:15">
      <c r="A736" s="11" t="s">
        <v>931</v>
      </c>
      <c r="B736" s="11" t="s">
        <v>1844</v>
      </c>
      <c r="C736" s="11" t="s">
        <v>932</v>
      </c>
      <c r="D736" s="11"/>
      <c r="E736" s="11" t="s">
        <v>25</v>
      </c>
      <c r="F736" s="11" t="s">
        <v>1228</v>
      </c>
      <c r="G736" s="11" t="s">
        <v>1228</v>
      </c>
      <c r="H736" s="11" t="s">
        <v>1228</v>
      </c>
      <c r="I736" s="11" t="s">
        <v>1228</v>
      </c>
      <c r="J736" s="11" t="s">
        <v>1228</v>
      </c>
      <c r="K736" s="11" t="s">
        <v>1228</v>
      </c>
      <c r="L736" s="11" t="str">
        <f>'Entity KPIs'!K161</f>
        <v>Watch (3.5% vs plan)</v>
      </c>
      <c r="M736" s="11" t="str">
        <f>'Entity KPIs'!Q161</f>
        <v>Normal (0.5% vs plan)</v>
      </c>
      <c r="N736" s="11" t="str">
        <f>'Group KPIs'!K161</f>
        <v>Normal (2% vs plan)</v>
      </c>
      <c r="O736" s="11" t="s">
        <v>1845</v>
      </c>
    </row>
  </sheetData>
  <mergeCells count="160">
    <mergeCell ref="A2:O2"/>
    <mergeCell ref="A7:O7"/>
    <mergeCell ref="A12:O12"/>
    <mergeCell ref="A17:O17"/>
    <mergeCell ref="A22:O22"/>
    <mergeCell ref="A27:O27"/>
    <mergeCell ref="A32:O32"/>
    <mergeCell ref="A37:O37"/>
    <mergeCell ref="A42:O42"/>
    <mergeCell ref="A46:O46"/>
    <mergeCell ref="A50:O50"/>
    <mergeCell ref="A55:O55"/>
    <mergeCell ref="A61:O61"/>
    <mergeCell ref="A65:O65"/>
    <mergeCell ref="A69:O69"/>
    <mergeCell ref="A73:O73"/>
    <mergeCell ref="A77:O77"/>
    <mergeCell ref="A82:O82"/>
    <mergeCell ref="A86:O86"/>
    <mergeCell ref="A90:O90"/>
    <mergeCell ref="A94:O94"/>
    <mergeCell ref="A99:O99"/>
    <mergeCell ref="A103:O103"/>
    <mergeCell ref="A108:O108"/>
    <mergeCell ref="A112:O112"/>
    <mergeCell ref="A116:O116"/>
    <mergeCell ref="A120:O120"/>
    <mergeCell ref="A124:O124"/>
    <mergeCell ref="A128:O128"/>
    <mergeCell ref="A132:O132"/>
    <mergeCell ref="A137:O137"/>
    <mergeCell ref="A141:O141"/>
    <mergeCell ref="A146:O146"/>
    <mergeCell ref="A151:O151"/>
    <mergeCell ref="A156:O156"/>
    <mergeCell ref="A161:O161"/>
    <mergeCell ref="A166:O166"/>
    <mergeCell ref="A170:O170"/>
    <mergeCell ref="A174:O174"/>
    <mergeCell ref="A178:O178"/>
    <mergeCell ref="A182:O182"/>
    <mergeCell ref="A187:O187"/>
    <mergeCell ref="A191:O191"/>
    <mergeCell ref="A196:O196"/>
    <mergeCell ref="A201:O201"/>
    <mergeCell ref="A205:O205"/>
    <mergeCell ref="A209:O209"/>
    <mergeCell ref="A213:O213"/>
    <mergeCell ref="A219:O219"/>
    <mergeCell ref="A224:O224"/>
    <mergeCell ref="A228:O228"/>
    <mergeCell ref="A232:O232"/>
    <mergeCell ref="A236:O236"/>
    <mergeCell ref="A240:O240"/>
    <mergeCell ref="A244:O244"/>
    <mergeCell ref="A249:O249"/>
    <mergeCell ref="A257:O257"/>
    <mergeCell ref="A262:O262"/>
    <mergeCell ref="A266:O266"/>
    <mergeCell ref="A270:O270"/>
    <mergeCell ref="A275:O275"/>
    <mergeCell ref="A280:O280"/>
    <mergeCell ref="A287:O287"/>
    <mergeCell ref="A292:O292"/>
    <mergeCell ref="A297:O297"/>
    <mergeCell ref="A301:O301"/>
    <mergeCell ref="A305:O305"/>
    <mergeCell ref="A309:O309"/>
    <mergeCell ref="A314:O314"/>
    <mergeCell ref="A318:O318"/>
    <mergeCell ref="A324:O324"/>
    <mergeCell ref="A329:O329"/>
    <mergeCell ref="A333:O333"/>
    <mergeCell ref="A338:O338"/>
    <mergeCell ref="A343:O343"/>
    <mergeCell ref="A349:O349"/>
    <mergeCell ref="A354:O354"/>
    <mergeCell ref="A358:O358"/>
    <mergeCell ref="A362:O362"/>
    <mergeCell ref="A366:O366"/>
    <mergeCell ref="A371:O371"/>
    <mergeCell ref="A376:O376"/>
    <mergeCell ref="A381:O381"/>
    <mergeCell ref="A386:O386"/>
    <mergeCell ref="A390:O390"/>
    <mergeCell ref="A395:O395"/>
    <mergeCell ref="A399:O399"/>
    <mergeCell ref="A403:O403"/>
    <mergeCell ref="A408:O408"/>
    <mergeCell ref="A412:O412"/>
    <mergeCell ref="A416:O416"/>
    <mergeCell ref="A420:O420"/>
    <mergeCell ref="A424:O424"/>
    <mergeCell ref="A428:O428"/>
    <mergeCell ref="A432:O432"/>
    <mergeCell ref="A436:O436"/>
    <mergeCell ref="A440:O440"/>
    <mergeCell ref="A444:O444"/>
    <mergeCell ref="A448:O448"/>
    <mergeCell ref="A452:O452"/>
    <mergeCell ref="A456:O456"/>
    <mergeCell ref="A460:O460"/>
    <mergeCell ref="A465:O465"/>
    <mergeCell ref="A469:O469"/>
    <mergeCell ref="A473:O473"/>
    <mergeCell ref="A477:O477"/>
    <mergeCell ref="A481:O481"/>
    <mergeCell ref="A485:O485"/>
    <mergeCell ref="A489:O489"/>
    <mergeCell ref="A493:O493"/>
    <mergeCell ref="A497:O497"/>
    <mergeCell ref="A502:O502"/>
    <mergeCell ref="A506:O506"/>
    <mergeCell ref="A510:O510"/>
    <mergeCell ref="A514:O514"/>
    <mergeCell ref="A518:O518"/>
    <mergeCell ref="A522:O522"/>
    <mergeCell ref="A526:O526"/>
    <mergeCell ref="A530:O530"/>
    <mergeCell ref="A534:O534"/>
    <mergeCell ref="A538:O538"/>
    <mergeCell ref="A542:O542"/>
    <mergeCell ref="A547:O547"/>
    <mergeCell ref="A552:O552"/>
    <mergeCell ref="A557:O557"/>
    <mergeCell ref="A562:O562"/>
    <mergeCell ref="A567:O567"/>
    <mergeCell ref="A572:O572"/>
    <mergeCell ref="A577:O577"/>
    <mergeCell ref="A582:O582"/>
    <mergeCell ref="A587:O587"/>
    <mergeCell ref="A595:O595"/>
    <mergeCell ref="A599:O599"/>
    <mergeCell ref="A603:O603"/>
    <mergeCell ref="A607:O607"/>
    <mergeCell ref="A612:O612"/>
    <mergeCell ref="A616:O616"/>
    <mergeCell ref="A620:O620"/>
    <mergeCell ref="A625:O625"/>
    <mergeCell ref="A631:O631"/>
    <mergeCell ref="A635:O635"/>
    <mergeCell ref="A639:O639"/>
    <mergeCell ref="A643:O643"/>
    <mergeCell ref="A647:O647"/>
    <mergeCell ref="A653:O653"/>
    <mergeCell ref="A658:O658"/>
    <mergeCell ref="A664:O664"/>
    <mergeCell ref="A669:O669"/>
    <mergeCell ref="A673:O673"/>
    <mergeCell ref="A679:O679"/>
    <mergeCell ref="A683:O683"/>
    <mergeCell ref="A688:O688"/>
    <mergeCell ref="A695:O695"/>
    <mergeCell ref="A700:O700"/>
    <mergeCell ref="A705:O705"/>
    <mergeCell ref="A710:O710"/>
    <mergeCell ref="A714:O714"/>
    <mergeCell ref="A721:O721"/>
    <mergeCell ref="A728:O728"/>
    <mergeCell ref="A733:O73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55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1.7109375" customWidth="1"/>
    <col min="2" max="2" width="16.7109375" customWidth="1"/>
    <col min="3" max="3" width="32.7109375" customWidth="1"/>
    <col min="4" max="4" width="9.7109375" customWidth="1"/>
    <col min="5" max="5" width="34.7109375" customWidth="1"/>
    <col min="6" max="6" width="10.7109375" customWidth="1"/>
    <col min="7" max="7" width="11.7109375" customWidth="1"/>
    <col min="8" max="8" width="24.7109375" customWidth="1"/>
    <col min="9" max="9" width="15.7109375" customWidth="1"/>
    <col min="10" max="10" width="13.7109375" customWidth="1"/>
  </cols>
  <sheetData>
    <row r="1" spans="1:10">
      <c r="A1" s="5" t="s">
        <v>982</v>
      </c>
      <c r="B1" s="5" t="s">
        <v>983</v>
      </c>
      <c r="C1" s="5" t="s">
        <v>984</v>
      </c>
      <c r="D1" s="5" t="s">
        <v>985</v>
      </c>
      <c r="E1" s="5" t="s">
        <v>986</v>
      </c>
      <c r="F1" s="5" t="s">
        <v>442</v>
      </c>
      <c r="G1" s="5" t="s">
        <v>987</v>
      </c>
      <c r="H1" s="5" t="s">
        <v>988</v>
      </c>
      <c r="I1" s="5" t="s">
        <v>989</v>
      </c>
      <c r="J1" s="5" t="s">
        <v>990</v>
      </c>
    </row>
    <row r="2" spans="1:10">
      <c r="A2" s="6" t="s">
        <v>991</v>
      </c>
      <c r="B2" s="6" t="s">
        <v>992</v>
      </c>
      <c r="C2" s="6" t="s">
        <v>993</v>
      </c>
      <c r="D2" s="6" t="s">
        <v>994</v>
      </c>
      <c r="E2" s="6" t="s">
        <v>802</v>
      </c>
      <c r="F2" s="6" t="s">
        <v>801</v>
      </c>
      <c r="G2" s="6" t="s">
        <v>19</v>
      </c>
      <c r="H2" s="6" t="s">
        <v>995</v>
      </c>
      <c r="I2" s="7">
        <f>'Group KPIs'!K119</f>
        <v>1.0</v>
      </c>
      <c r="J2" s="13" t="s">
        <v>996</v>
      </c>
    </row>
    <row r="3" spans="1:10">
      <c r="A3" s="6" t="s">
        <v>991</v>
      </c>
      <c r="B3" s="6" t="s">
        <v>992</v>
      </c>
      <c r="C3" s="6" t="s">
        <v>993</v>
      </c>
      <c r="D3" s="6" t="s">
        <v>994</v>
      </c>
      <c r="E3" s="6" t="s">
        <v>818</v>
      </c>
      <c r="F3" s="6" t="s">
        <v>817</v>
      </c>
      <c r="G3" s="6" t="s">
        <v>19</v>
      </c>
      <c r="H3" s="6" t="s">
        <v>997</v>
      </c>
      <c r="I3" s="7">
        <f>'Group KPIs'!K125</f>
        <v>83.93</v>
      </c>
      <c r="J3" s="13" t="s">
        <v>996</v>
      </c>
    </row>
    <row r="4" spans="1:10">
      <c r="A4" s="6" t="s">
        <v>991</v>
      </c>
      <c r="B4" s="6" t="s">
        <v>992</v>
      </c>
      <c r="C4" s="6" t="s">
        <v>993</v>
      </c>
      <c r="D4" s="6" t="s">
        <v>994</v>
      </c>
      <c r="E4" s="6" t="s">
        <v>821</v>
      </c>
      <c r="F4" s="6" t="s">
        <v>820</v>
      </c>
      <c r="G4" s="6" t="s">
        <v>19</v>
      </c>
      <c r="H4" s="6" t="s">
        <v>998</v>
      </c>
      <c r="I4" s="7">
        <f>'Group KPIs'!K126</f>
        <v>9.0</v>
      </c>
      <c r="J4" s="13" t="s">
        <v>996</v>
      </c>
    </row>
    <row r="5" spans="1:10">
      <c r="A5" s="6" t="s">
        <v>991</v>
      </c>
      <c r="B5" s="6" t="s">
        <v>992</v>
      </c>
      <c r="C5" s="6" t="s">
        <v>993</v>
      </c>
      <c r="D5" s="6" t="s">
        <v>994</v>
      </c>
      <c r="E5" s="6" t="s">
        <v>810</v>
      </c>
      <c r="F5" s="6" t="s">
        <v>809</v>
      </c>
      <c r="G5" s="6" t="s">
        <v>19</v>
      </c>
      <c r="H5" s="6" t="s">
        <v>995</v>
      </c>
      <c r="I5" s="7">
        <f>'Group KPIs'!K122</f>
        <v>1.0</v>
      </c>
      <c r="J5" s="13" t="s">
        <v>996</v>
      </c>
    </row>
    <row r="6" spans="1:10">
      <c r="A6" s="6" t="s">
        <v>991</v>
      </c>
      <c r="B6" s="6" t="s">
        <v>992</v>
      </c>
      <c r="C6" s="6" t="s">
        <v>993</v>
      </c>
      <c r="D6" s="6" t="s">
        <v>994</v>
      </c>
      <c r="E6" s="6" t="s">
        <v>999</v>
      </c>
      <c r="F6" s="6" t="s">
        <v>832</v>
      </c>
      <c r="G6" s="6" t="s">
        <v>19</v>
      </c>
      <c r="H6" s="6" t="s">
        <v>1000</v>
      </c>
      <c r="I6" s="7">
        <f>'Group KPIs'!K130</f>
        <v>0.38</v>
      </c>
      <c r="J6" s="14" t="s">
        <v>1001</v>
      </c>
    </row>
    <row r="7" spans="1:10">
      <c r="A7" s="6" t="s">
        <v>991</v>
      </c>
      <c r="B7" s="6" t="s">
        <v>992</v>
      </c>
      <c r="C7" s="6" t="s">
        <v>993</v>
      </c>
      <c r="D7" s="6" t="s">
        <v>994</v>
      </c>
      <c r="E7" s="6" t="s">
        <v>1002</v>
      </c>
      <c r="F7" s="6" t="s">
        <v>838</v>
      </c>
      <c r="G7" s="6" t="s">
        <v>19</v>
      </c>
      <c r="H7" s="6" t="s">
        <v>1003</v>
      </c>
      <c r="I7" s="7">
        <f>'Group KPIs'!K132</f>
        <v>0.27</v>
      </c>
      <c r="J7" s="13" t="s">
        <v>996</v>
      </c>
    </row>
    <row r="8" spans="1:10">
      <c r="A8" s="6" t="s">
        <v>991</v>
      </c>
      <c r="B8" s="6" t="s">
        <v>992</v>
      </c>
      <c r="C8" s="6" t="s">
        <v>993</v>
      </c>
      <c r="D8" s="6" t="s">
        <v>1004</v>
      </c>
      <c r="E8" s="6" t="s">
        <v>787</v>
      </c>
      <c r="F8" s="6" t="s">
        <v>786</v>
      </c>
      <c r="G8" s="6" t="s">
        <v>19</v>
      </c>
      <c r="H8" s="6" t="s">
        <v>1005</v>
      </c>
      <c r="I8" s="7">
        <f>'Group KPIs'!K113</f>
        <v>2.0</v>
      </c>
      <c r="J8" s="13" t="s">
        <v>996</v>
      </c>
    </row>
    <row r="9" spans="1:10">
      <c r="A9" s="6" t="s">
        <v>991</v>
      </c>
      <c r="B9" s="6" t="s">
        <v>992</v>
      </c>
      <c r="C9" s="6" t="s">
        <v>993</v>
      </c>
      <c r="D9" s="6" t="s">
        <v>1004</v>
      </c>
      <c r="E9" s="6" t="s">
        <v>1006</v>
      </c>
      <c r="F9" s="6" t="s">
        <v>789</v>
      </c>
      <c r="G9" s="6" t="s">
        <v>19</v>
      </c>
      <c r="H9" s="6" t="s">
        <v>1007</v>
      </c>
      <c r="I9" s="7">
        <f>'Group KPIs'!K114</f>
        <v>0.0</v>
      </c>
      <c r="J9" s="13" t="s">
        <v>996</v>
      </c>
    </row>
    <row r="10" spans="1:10">
      <c r="A10" s="6" t="s">
        <v>991</v>
      </c>
      <c r="B10" s="6" t="s">
        <v>992</v>
      </c>
      <c r="C10" s="6" t="s">
        <v>993</v>
      </c>
      <c r="D10" s="6" t="s">
        <v>1004</v>
      </c>
      <c r="E10" s="6" t="s">
        <v>793</v>
      </c>
      <c r="F10" s="6" t="s">
        <v>792</v>
      </c>
      <c r="G10" s="6" t="s">
        <v>19</v>
      </c>
      <c r="H10" s="6" t="s">
        <v>995</v>
      </c>
      <c r="I10" s="7">
        <f>'Group KPIs'!K115</f>
        <v>1.0</v>
      </c>
      <c r="J10" s="13" t="s">
        <v>996</v>
      </c>
    </row>
    <row r="11" spans="1:10">
      <c r="A11" s="6" t="s">
        <v>991</v>
      </c>
      <c r="B11" s="6" t="s">
        <v>992</v>
      </c>
      <c r="C11" s="6" t="s">
        <v>993</v>
      </c>
      <c r="D11" s="6" t="s">
        <v>1004</v>
      </c>
      <c r="E11" s="6" t="s">
        <v>795</v>
      </c>
      <c r="F11" s="6" t="s">
        <v>794</v>
      </c>
      <c r="G11" s="6" t="s">
        <v>19</v>
      </c>
      <c r="H11" s="6" t="s">
        <v>1008</v>
      </c>
      <c r="I11" s="7">
        <f>'Group KPIs'!K116</f>
        <v>7.0</v>
      </c>
      <c r="J11" s="13" t="s">
        <v>996</v>
      </c>
    </row>
    <row r="12" spans="1:10">
      <c r="A12" s="6" t="s">
        <v>991</v>
      </c>
      <c r="B12" s="6" t="s">
        <v>992</v>
      </c>
      <c r="C12" s="6" t="s">
        <v>993</v>
      </c>
      <c r="D12" s="6" t="s">
        <v>1004</v>
      </c>
      <c r="E12" s="6" t="s">
        <v>797</v>
      </c>
      <c r="F12" s="6" t="s">
        <v>796</v>
      </c>
      <c r="G12" s="6" t="s">
        <v>19</v>
      </c>
      <c r="H12" s="6" t="s">
        <v>1007</v>
      </c>
      <c r="I12" s="7">
        <f>'Group KPIs'!K117</f>
        <v>0.0</v>
      </c>
      <c r="J12" s="13" t="s">
        <v>996</v>
      </c>
    </row>
    <row r="13" spans="1:10">
      <c r="A13" s="6" t="s">
        <v>991</v>
      </c>
      <c r="B13" s="6" t="s">
        <v>992</v>
      </c>
      <c r="C13" s="6" t="s">
        <v>993</v>
      </c>
      <c r="D13" s="6" t="s">
        <v>1004</v>
      </c>
      <c r="E13" s="6" t="s">
        <v>799</v>
      </c>
      <c r="F13" s="6" t="s">
        <v>798</v>
      </c>
      <c r="G13" s="6" t="s">
        <v>19</v>
      </c>
      <c r="H13" s="6" t="s">
        <v>995</v>
      </c>
      <c r="I13" s="7">
        <f>'Group KPIs'!K118</f>
        <v>1.0</v>
      </c>
      <c r="J13" s="13" t="s">
        <v>996</v>
      </c>
    </row>
    <row r="14" spans="1:10">
      <c r="A14" s="6" t="s">
        <v>991</v>
      </c>
      <c r="B14" s="6" t="s">
        <v>992</v>
      </c>
      <c r="C14" s="6" t="s">
        <v>993</v>
      </c>
      <c r="D14" s="6" t="s">
        <v>1004</v>
      </c>
      <c r="E14" s="6" t="s">
        <v>802</v>
      </c>
      <c r="F14" s="6" t="s">
        <v>801</v>
      </c>
      <c r="G14" s="6" t="s">
        <v>19</v>
      </c>
      <c r="H14" s="6" t="s">
        <v>995</v>
      </c>
      <c r="I14" s="7">
        <f>'Group KPIs'!K119</f>
        <v>1.0</v>
      </c>
      <c r="J14" s="13" t="s">
        <v>996</v>
      </c>
    </row>
    <row r="15" spans="1:10">
      <c r="A15" s="6" t="s">
        <v>991</v>
      </c>
      <c r="B15" s="6" t="s">
        <v>992</v>
      </c>
      <c r="C15" s="6" t="s">
        <v>993</v>
      </c>
      <c r="D15" s="6" t="s">
        <v>1004</v>
      </c>
      <c r="E15" s="6" t="s">
        <v>812</v>
      </c>
      <c r="F15" s="6" t="s">
        <v>811</v>
      </c>
      <c r="G15" s="6" t="s">
        <v>19</v>
      </c>
      <c r="H15" s="6" t="s">
        <v>1009</v>
      </c>
      <c r="I15" s="7">
        <f>'Group KPIs'!K123</f>
        <v>87.96</v>
      </c>
      <c r="J15" s="13" t="s">
        <v>996</v>
      </c>
    </row>
    <row r="16" spans="1:10">
      <c r="A16" s="6" t="s">
        <v>991</v>
      </c>
      <c r="B16" s="6" t="s">
        <v>992</v>
      </c>
      <c r="C16" s="6" t="s">
        <v>993</v>
      </c>
      <c r="D16" s="6" t="s">
        <v>1004</v>
      </c>
      <c r="E16" s="6" t="s">
        <v>815</v>
      </c>
      <c r="F16" s="6" t="s">
        <v>814</v>
      </c>
      <c r="G16" s="6" t="s">
        <v>19</v>
      </c>
      <c r="H16" s="6" t="s">
        <v>1010</v>
      </c>
      <c r="I16" s="7">
        <f>'Group KPIs'!K124</f>
        <v>32.81</v>
      </c>
      <c r="J16" s="14" t="s">
        <v>1001</v>
      </c>
    </row>
    <row r="17" spans="1:10">
      <c r="A17" s="6" t="s">
        <v>991</v>
      </c>
      <c r="B17" s="6" t="s">
        <v>992</v>
      </c>
      <c r="C17" s="6" t="s">
        <v>993</v>
      </c>
      <c r="D17" s="6" t="s">
        <v>1004</v>
      </c>
      <c r="E17" s="6" t="s">
        <v>824</v>
      </c>
      <c r="F17" s="6" t="s">
        <v>817</v>
      </c>
      <c r="G17" s="6" t="s">
        <v>19</v>
      </c>
      <c r="H17" s="6" t="s">
        <v>997</v>
      </c>
      <c r="I17" s="7">
        <f>'Group KPIs'!K125</f>
        <v>83.93</v>
      </c>
      <c r="J17" s="13" t="s">
        <v>996</v>
      </c>
    </row>
    <row r="18" spans="1:10">
      <c r="A18" s="6" t="s">
        <v>991</v>
      </c>
      <c r="B18" s="6" t="s">
        <v>992</v>
      </c>
      <c r="C18" s="6" t="s">
        <v>993</v>
      </c>
      <c r="D18" s="6" t="s">
        <v>1004</v>
      </c>
      <c r="E18" s="6" t="s">
        <v>827</v>
      </c>
      <c r="F18" s="6" t="s">
        <v>826</v>
      </c>
      <c r="G18" s="6" t="s">
        <v>19</v>
      </c>
      <c r="H18" s="6" t="s">
        <v>1011</v>
      </c>
      <c r="I18" s="7">
        <f>'Group KPIs'!K128</f>
        <v>99.02</v>
      </c>
      <c r="J18" s="14" t="s">
        <v>1001</v>
      </c>
    </row>
    <row r="19" spans="1:10">
      <c r="A19" s="6" t="s">
        <v>991</v>
      </c>
      <c r="B19" s="6" t="s">
        <v>992</v>
      </c>
      <c r="C19" s="6" t="s">
        <v>993</v>
      </c>
      <c r="D19" s="6" t="s">
        <v>1004</v>
      </c>
      <c r="E19" s="6" t="s">
        <v>830</v>
      </c>
      <c r="F19" s="6" t="s">
        <v>829</v>
      </c>
      <c r="G19" s="6" t="s">
        <v>19</v>
      </c>
      <c r="H19" s="6" t="s">
        <v>1012</v>
      </c>
      <c r="I19" s="7">
        <f>'Group KPIs'!K129</f>
        <v>95.98</v>
      </c>
      <c r="J19" s="14" t="s">
        <v>1001</v>
      </c>
    </row>
    <row r="20" spans="1:10">
      <c r="A20" s="6" t="s">
        <v>991</v>
      </c>
      <c r="B20" s="6" t="s">
        <v>992</v>
      </c>
      <c r="C20" s="6" t="s">
        <v>993</v>
      </c>
      <c r="D20" s="6" t="s">
        <v>1004</v>
      </c>
      <c r="E20" s="6" t="s">
        <v>999</v>
      </c>
      <c r="F20" s="6" t="s">
        <v>832</v>
      </c>
      <c r="G20" s="6" t="s">
        <v>19</v>
      </c>
      <c r="H20" s="6" t="s">
        <v>1000</v>
      </c>
      <c r="I20" s="7">
        <f>'Group KPIs'!K130</f>
        <v>0.38</v>
      </c>
      <c r="J20" s="14" t="s">
        <v>1001</v>
      </c>
    </row>
    <row r="21" spans="1:10">
      <c r="A21" s="6" t="s">
        <v>991</v>
      </c>
      <c r="B21" s="6" t="s">
        <v>992</v>
      </c>
      <c r="C21" s="6" t="s">
        <v>993</v>
      </c>
      <c r="D21" s="6" t="s">
        <v>1004</v>
      </c>
      <c r="E21" s="6" t="s">
        <v>1002</v>
      </c>
      <c r="F21" s="6" t="s">
        <v>838</v>
      </c>
      <c r="G21" s="6" t="s">
        <v>19</v>
      </c>
      <c r="H21" s="6" t="s">
        <v>1013</v>
      </c>
      <c r="I21" s="7">
        <f>'Group KPIs'!K132</f>
        <v>0.27</v>
      </c>
      <c r="J21" s="13" t="s">
        <v>996</v>
      </c>
    </row>
    <row r="22" spans="1:10">
      <c r="A22" s="6" t="s">
        <v>991</v>
      </c>
      <c r="B22" s="6" t="s">
        <v>1014</v>
      </c>
      <c r="C22" s="6" t="s">
        <v>1015</v>
      </c>
      <c r="D22" s="6" t="s">
        <v>994</v>
      </c>
      <c r="E22" s="6" t="s">
        <v>1016</v>
      </c>
      <c r="F22" s="6" t="s">
        <v>660</v>
      </c>
      <c r="G22" s="6" t="s">
        <v>19</v>
      </c>
      <c r="H22" s="6" t="s">
        <v>1017</v>
      </c>
      <c r="I22" s="7">
        <f>'Group KPIs'!K69</f>
        <v>60.85</v>
      </c>
      <c r="J22" s="13" t="s">
        <v>996</v>
      </c>
    </row>
    <row r="23" spans="1:10">
      <c r="A23" s="6" t="s">
        <v>991</v>
      </c>
      <c r="B23" s="6" t="s">
        <v>1014</v>
      </c>
      <c r="C23" s="6" t="s">
        <v>1015</v>
      </c>
      <c r="D23" s="6" t="s">
        <v>994</v>
      </c>
      <c r="E23" s="6" t="s">
        <v>842</v>
      </c>
      <c r="F23" s="6" t="s">
        <v>841</v>
      </c>
      <c r="G23" s="6" t="s">
        <v>19</v>
      </c>
      <c r="H23" s="6" t="s">
        <v>1018</v>
      </c>
      <c r="I23" s="7">
        <f>'Group KPIs'!K133</f>
        <v>1.0</v>
      </c>
      <c r="J23" s="13" t="s">
        <v>996</v>
      </c>
    </row>
    <row r="24" spans="1:10">
      <c r="A24" s="6" t="s">
        <v>991</v>
      </c>
      <c r="B24" s="6" t="s">
        <v>1014</v>
      </c>
      <c r="C24" s="6" t="s">
        <v>1015</v>
      </c>
      <c r="D24" s="6" t="s">
        <v>994</v>
      </c>
      <c r="E24" s="6" t="s">
        <v>1019</v>
      </c>
      <c r="F24" s="6" t="s">
        <v>558</v>
      </c>
      <c r="G24" s="6" t="s">
        <v>19</v>
      </c>
      <c r="H24" s="6" t="s">
        <v>1020</v>
      </c>
      <c r="I24" s="7">
        <f>'Group KPIs'!K38</f>
        <v>1760.09</v>
      </c>
      <c r="J24" s="14" t="s">
        <v>1001</v>
      </c>
    </row>
    <row r="25" spans="1:10">
      <c r="A25" s="6" t="s">
        <v>991</v>
      </c>
      <c r="B25" s="6" t="s">
        <v>1014</v>
      </c>
      <c r="C25" s="6" t="s">
        <v>1015</v>
      </c>
      <c r="D25" s="6" t="s">
        <v>994</v>
      </c>
      <c r="E25" s="6" t="s">
        <v>1021</v>
      </c>
      <c r="F25" s="6" t="s">
        <v>563</v>
      </c>
      <c r="G25" s="6" t="s">
        <v>19</v>
      </c>
      <c r="H25" s="6" t="s">
        <v>1022</v>
      </c>
      <c r="I25" s="7">
        <f>'Group KPIs'!K39</f>
        <v>1228.14</v>
      </c>
      <c r="J25" s="14" t="s">
        <v>1001</v>
      </c>
    </row>
    <row r="26" spans="1:10">
      <c r="A26" s="6" t="s">
        <v>991</v>
      </c>
      <c r="B26" s="6" t="s">
        <v>1014</v>
      </c>
      <c r="C26" s="6" t="s">
        <v>1015</v>
      </c>
      <c r="D26" s="6" t="s">
        <v>994</v>
      </c>
      <c r="E26" s="6" t="s">
        <v>1023</v>
      </c>
      <c r="F26" s="6" t="s">
        <v>569</v>
      </c>
      <c r="G26" s="6" t="s">
        <v>19</v>
      </c>
      <c r="H26" s="6" t="s">
        <v>1024</v>
      </c>
      <c r="I26" s="7">
        <f>'Group KPIs'!K41</f>
        <v>606.18</v>
      </c>
      <c r="J26" s="14" t="s">
        <v>1001</v>
      </c>
    </row>
    <row r="27" spans="1:10">
      <c r="A27" s="6" t="s">
        <v>991</v>
      </c>
      <c r="B27" s="6" t="s">
        <v>1014</v>
      </c>
      <c r="C27" s="6" t="s">
        <v>1015</v>
      </c>
      <c r="D27" s="6" t="s">
        <v>994</v>
      </c>
      <c r="E27" s="6" t="s">
        <v>1025</v>
      </c>
      <c r="F27" s="6" t="s">
        <v>572</v>
      </c>
      <c r="G27" s="6" t="s">
        <v>19</v>
      </c>
      <c r="H27" s="6" t="s">
        <v>1026</v>
      </c>
      <c r="I27" s="7">
        <f>'Group KPIs'!K42</f>
        <v>11.58</v>
      </c>
      <c r="J27" s="14" t="s">
        <v>1001</v>
      </c>
    </row>
    <row r="28" spans="1:10">
      <c r="A28" s="6" t="s">
        <v>991</v>
      </c>
      <c r="B28" s="6" t="s">
        <v>1014</v>
      </c>
      <c r="C28" s="6" t="s">
        <v>1015</v>
      </c>
      <c r="D28" s="6" t="s">
        <v>994</v>
      </c>
      <c r="E28" s="6" t="s">
        <v>1027</v>
      </c>
      <c r="F28" s="6" t="s">
        <v>575</v>
      </c>
      <c r="G28" s="6" t="s">
        <v>19</v>
      </c>
      <c r="H28" s="6" t="s">
        <v>1028</v>
      </c>
      <c r="I28" s="7">
        <f>'Group KPIs'!K43</f>
        <v>6650.0</v>
      </c>
      <c r="J28" s="14" t="s">
        <v>1001</v>
      </c>
    </row>
    <row r="29" spans="1:10">
      <c r="A29" s="6" t="s">
        <v>991</v>
      </c>
      <c r="B29" s="6" t="s">
        <v>1014</v>
      </c>
      <c r="C29" s="6" t="s">
        <v>1015</v>
      </c>
      <c r="D29" s="6" t="s">
        <v>994</v>
      </c>
      <c r="E29" s="6" t="s">
        <v>1029</v>
      </c>
      <c r="F29" s="6" t="s">
        <v>453</v>
      </c>
      <c r="G29" s="6" t="s">
        <v>19</v>
      </c>
      <c r="H29" s="6" t="s">
        <v>1030</v>
      </c>
      <c r="I29" s="7">
        <f>'Group KPIs'!K2</f>
        <v>95.51</v>
      </c>
      <c r="J29" s="14" t="s">
        <v>1001</v>
      </c>
    </row>
    <row r="30" spans="1:10">
      <c r="A30" s="6" t="s">
        <v>991</v>
      </c>
      <c r="B30" s="6" t="s">
        <v>1014</v>
      </c>
      <c r="C30" s="6" t="s">
        <v>1015</v>
      </c>
      <c r="D30" s="6" t="s">
        <v>1031</v>
      </c>
      <c r="E30" s="6" t="s">
        <v>1032</v>
      </c>
      <c r="F30" s="6" t="s">
        <v>874</v>
      </c>
      <c r="G30" s="6" t="s">
        <v>187</v>
      </c>
      <c r="H30" s="6" t="s">
        <v>1033</v>
      </c>
      <c r="I30" s="7">
        <f>'Plant KPIs'!Q59</f>
        <v>4.0</v>
      </c>
      <c r="J30" s="13" t="s">
        <v>996</v>
      </c>
    </row>
    <row r="31" spans="1:10">
      <c r="A31" s="6" t="s">
        <v>991</v>
      </c>
      <c r="B31" s="6" t="s">
        <v>1014</v>
      </c>
      <c r="C31" s="6" t="s">
        <v>1015</v>
      </c>
      <c r="D31" s="6" t="s">
        <v>1031</v>
      </c>
      <c r="E31" s="6" t="s">
        <v>1034</v>
      </c>
      <c r="F31" s="6" t="s">
        <v>878</v>
      </c>
      <c r="G31" s="6" t="s">
        <v>19</v>
      </c>
      <c r="H31" s="6" t="s">
        <v>1035</v>
      </c>
      <c r="I31" s="7">
        <f>'Group KPIs'!K145</f>
        <v>69.69</v>
      </c>
      <c r="J31" s="14" t="s">
        <v>1001</v>
      </c>
    </row>
    <row r="32" spans="1:10">
      <c r="A32" s="6" t="s">
        <v>991</v>
      </c>
      <c r="B32" s="6" t="s">
        <v>1014</v>
      </c>
      <c r="C32" s="6" t="s">
        <v>1015</v>
      </c>
      <c r="D32" s="6" t="s">
        <v>1031</v>
      </c>
      <c r="E32" s="6" t="s">
        <v>1036</v>
      </c>
      <c r="F32" s="6" t="s">
        <v>882</v>
      </c>
      <c r="G32" s="6" t="s">
        <v>19</v>
      </c>
      <c r="H32" s="6" t="s">
        <v>1037</v>
      </c>
      <c r="I32" s="7">
        <f>'Group KPIs'!K146</f>
        <v>-56.18</v>
      </c>
      <c r="J32" s="14" t="s">
        <v>1001</v>
      </c>
    </row>
    <row r="33" spans="1:10">
      <c r="A33" s="6" t="s">
        <v>991</v>
      </c>
      <c r="B33" s="6" t="s">
        <v>1014</v>
      </c>
      <c r="C33" s="6" t="s">
        <v>1015</v>
      </c>
      <c r="D33" s="6" t="s">
        <v>1004</v>
      </c>
      <c r="E33" s="6" t="s">
        <v>1038</v>
      </c>
      <c r="F33" s="6" t="s">
        <v>753</v>
      </c>
      <c r="G33" s="6" t="s">
        <v>19</v>
      </c>
      <c r="H33" s="6" t="s">
        <v>1007</v>
      </c>
      <c r="I33" s="7">
        <f>'Group KPIs'!K101</f>
        <v>0.0</v>
      </c>
      <c r="J33" s="13" t="s">
        <v>996</v>
      </c>
    </row>
    <row r="34" spans="1:10">
      <c r="A34" s="6" t="s">
        <v>991</v>
      </c>
      <c r="B34" s="6" t="s">
        <v>1014</v>
      </c>
      <c r="C34" s="6" t="s">
        <v>1015</v>
      </c>
      <c r="D34" s="6" t="s">
        <v>1004</v>
      </c>
      <c r="E34" s="6" t="s">
        <v>564</v>
      </c>
      <c r="F34" s="6" t="s">
        <v>563</v>
      </c>
      <c r="G34" s="6" t="s">
        <v>19</v>
      </c>
      <c r="H34" s="6" t="s">
        <v>1022</v>
      </c>
      <c r="I34" s="7">
        <f>'Group KPIs'!K39</f>
        <v>1228.14</v>
      </c>
      <c r="J34" s="14" t="s">
        <v>1001</v>
      </c>
    </row>
    <row r="35" spans="1:10">
      <c r="A35" s="6" t="s">
        <v>991</v>
      </c>
      <c r="B35" s="6" t="s">
        <v>1014</v>
      </c>
      <c r="C35" s="6" t="s">
        <v>1015</v>
      </c>
      <c r="D35" s="6" t="s">
        <v>1004</v>
      </c>
      <c r="E35" s="6" t="s">
        <v>567</v>
      </c>
      <c r="F35" s="6" t="s">
        <v>566</v>
      </c>
      <c r="G35" s="6" t="s">
        <v>19</v>
      </c>
      <c r="H35" s="6" t="s">
        <v>1039</v>
      </c>
      <c r="I35" s="7">
        <f>'Group KPIs'!K40</f>
        <v>13811.3</v>
      </c>
      <c r="J35" s="14" t="s">
        <v>1001</v>
      </c>
    </row>
    <row r="36" spans="1:10">
      <c r="A36" s="6" t="s">
        <v>991</v>
      </c>
      <c r="B36" s="6" t="s">
        <v>1014</v>
      </c>
      <c r="C36" s="6" t="s">
        <v>1015</v>
      </c>
      <c r="D36" s="6" t="s">
        <v>1004</v>
      </c>
      <c r="E36" s="6" t="s">
        <v>1040</v>
      </c>
      <c r="F36" s="6" t="s">
        <v>572</v>
      </c>
      <c r="G36" s="6" t="s">
        <v>19</v>
      </c>
      <c r="H36" s="6" t="s">
        <v>1041</v>
      </c>
      <c r="I36" s="7">
        <f>'Group KPIs'!K42</f>
        <v>11.58</v>
      </c>
      <c r="J36" s="14" t="s">
        <v>1001</v>
      </c>
    </row>
    <row r="37" spans="1:10">
      <c r="A37" s="6" t="s">
        <v>991</v>
      </c>
      <c r="B37" s="6" t="s">
        <v>1014</v>
      </c>
      <c r="C37" s="6" t="s">
        <v>1015</v>
      </c>
      <c r="D37" s="6" t="s">
        <v>1004</v>
      </c>
      <c r="E37" s="6" t="s">
        <v>1042</v>
      </c>
      <c r="F37" s="6" t="s">
        <v>579</v>
      </c>
      <c r="G37" s="6" t="s">
        <v>19</v>
      </c>
      <c r="H37" s="6" t="s">
        <v>1043</v>
      </c>
      <c r="I37" s="7">
        <f>'Group KPIs'!K44</f>
        <v>-86.65</v>
      </c>
      <c r="J37" s="14" t="s">
        <v>1001</v>
      </c>
    </row>
    <row r="38" spans="1:10">
      <c r="A38" s="6" t="s">
        <v>991</v>
      </c>
      <c r="B38" s="6" t="s">
        <v>1014</v>
      </c>
      <c r="C38" s="6" t="s">
        <v>1015</v>
      </c>
      <c r="D38" s="6" t="s">
        <v>1004</v>
      </c>
      <c r="E38" s="6" t="s">
        <v>1044</v>
      </c>
      <c r="F38" s="6" t="s">
        <v>550</v>
      </c>
      <c r="G38" s="6" t="s">
        <v>19</v>
      </c>
      <c r="H38" s="6" t="s">
        <v>1045</v>
      </c>
      <c r="I38" s="7">
        <f>'Group KPIs'!K35</f>
        <v>95.23</v>
      </c>
      <c r="J38" s="14" t="s">
        <v>1001</v>
      </c>
    </row>
    <row r="39" spans="1:10">
      <c r="A39" s="6" t="s">
        <v>991</v>
      </c>
      <c r="B39" s="6" t="s">
        <v>1014</v>
      </c>
      <c r="C39" s="6" t="s">
        <v>1015</v>
      </c>
      <c r="D39" s="6" t="s">
        <v>1004</v>
      </c>
      <c r="E39" s="6" t="s">
        <v>458</v>
      </c>
      <c r="F39" s="6" t="s">
        <v>457</v>
      </c>
      <c r="G39" s="6" t="s">
        <v>19</v>
      </c>
      <c r="H39" s="6" t="s">
        <v>1046</v>
      </c>
      <c r="I39" s="7">
        <f>'Group KPIs'!K3</f>
        <v>83.44</v>
      </c>
      <c r="J39" s="14" t="s">
        <v>1001</v>
      </c>
    </row>
    <row r="40" spans="1:10">
      <c r="A40" s="6" t="s">
        <v>991</v>
      </c>
      <c r="B40" s="6" t="s">
        <v>1014</v>
      </c>
      <c r="C40" s="6" t="s">
        <v>1015</v>
      </c>
      <c r="D40" s="6" t="s">
        <v>1004</v>
      </c>
      <c r="E40" s="6" t="s">
        <v>1047</v>
      </c>
      <c r="F40" s="6" t="s">
        <v>553</v>
      </c>
      <c r="G40" s="6" t="s">
        <v>19</v>
      </c>
      <c r="H40" s="6" t="s">
        <v>1045</v>
      </c>
      <c r="I40" s="7">
        <f>'Group KPIs'!K36</f>
        <v>95.23</v>
      </c>
      <c r="J40" s="14" t="s">
        <v>1001</v>
      </c>
    </row>
    <row r="41" spans="1:10">
      <c r="A41" s="6" t="s">
        <v>991</v>
      </c>
      <c r="B41" s="6" t="s">
        <v>1014</v>
      </c>
      <c r="C41" s="6" t="s">
        <v>1015</v>
      </c>
      <c r="D41" s="6" t="s">
        <v>1004</v>
      </c>
      <c r="E41" s="6" t="s">
        <v>1048</v>
      </c>
      <c r="F41" s="6" t="s">
        <v>545</v>
      </c>
      <c r="G41" s="6" t="s">
        <v>19</v>
      </c>
      <c r="H41" s="6" t="s">
        <v>1046</v>
      </c>
      <c r="I41" s="7">
        <f>'Group KPIs'!K33</f>
        <v>83.44</v>
      </c>
      <c r="J41" s="14" t="s">
        <v>1001</v>
      </c>
    </row>
    <row r="42" spans="1:10">
      <c r="A42" s="6" t="s">
        <v>991</v>
      </c>
      <c r="B42" s="6" t="s">
        <v>1014</v>
      </c>
      <c r="C42" s="6" t="s">
        <v>1015</v>
      </c>
      <c r="D42" s="6" t="s">
        <v>1004</v>
      </c>
      <c r="E42" s="6" t="s">
        <v>1049</v>
      </c>
      <c r="F42" s="6" t="s">
        <v>676</v>
      </c>
      <c r="G42" s="6" t="s">
        <v>19</v>
      </c>
      <c r="H42" s="6" t="s">
        <v>1050</v>
      </c>
      <c r="I42" s="7">
        <f>'Group KPIs'!K74</f>
        <v>54.03</v>
      </c>
      <c r="J42" s="13" t="s">
        <v>996</v>
      </c>
    </row>
    <row r="43" spans="1:10">
      <c r="A43" s="6" t="s">
        <v>991</v>
      </c>
      <c r="B43" s="6" t="s">
        <v>1014</v>
      </c>
      <c r="C43" s="6" t="s">
        <v>1015</v>
      </c>
      <c r="D43" s="6" t="s">
        <v>1004</v>
      </c>
      <c r="E43" s="6" t="s">
        <v>1038</v>
      </c>
      <c r="F43" s="6" t="s">
        <v>751</v>
      </c>
      <c r="G43" s="6" t="s">
        <v>19</v>
      </c>
      <c r="H43" s="6" t="s">
        <v>1007</v>
      </c>
      <c r="I43" s="7">
        <f>'Group KPIs'!K100</f>
        <v>0.0</v>
      </c>
      <c r="J43" s="13" t="s">
        <v>996</v>
      </c>
    </row>
    <row r="44" spans="1:10">
      <c r="A44" s="6" t="s">
        <v>991</v>
      </c>
      <c r="B44" s="6" t="s">
        <v>1014</v>
      </c>
      <c r="C44" s="6" t="s">
        <v>1015</v>
      </c>
      <c r="D44" s="6" t="s">
        <v>1004</v>
      </c>
      <c r="E44" s="6" t="s">
        <v>680</v>
      </c>
      <c r="F44" s="6" t="s">
        <v>679</v>
      </c>
      <c r="G44" s="6" t="s">
        <v>19</v>
      </c>
      <c r="H44" s="6" t="s">
        <v>1050</v>
      </c>
      <c r="I44" s="7">
        <f>'Group KPIs'!K75</f>
        <v>54.03</v>
      </c>
      <c r="J44" s="13" t="s">
        <v>996</v>
      </c>
    </row>
    <row r="45" spans="1:10">
      <c r="A45" s="6" t="s">
        <v>991</v>
      </c>
      <c r="B45" s="6" t="s">
        <v>1051</v>
      </c>
      <c r="C45" s="6" t="s">
        <v>1015</v>
      </c>
      <c r="D45" s="6" t="s">
        <v>994</v>
      </c>
      <c r="E45" s="6" t="s">
        <v>1016</v>
      </c>
      <c r="F45" s="6" t="s">
        <v>660</v>
      </c>
      <c r="G45" s="6" t="s">
        <v>19</v>
      </c>
      <c r="H45" s="6" t="s">
        <v>1017</v>
      </c>
      <c r="I45" s="7">
        <f>'Group KPIs'!K69</f>
        <v>60.85</v>
      </c>
      <c r="J45" s="13" t="s">
        <v>996</v>
      </c>
    </row>
    <row r="46" spans="1:10">
      <c r="A46" s="6" t="s">
        <v>991</v>
      </c>
      <c r="B46" s="6" t="s">
        <v>1051</v>
      </c>
      <c r="C46" s="6" t="s">
        <v>1015</v>
      </c>
      <c r="D46" s="6" t="s">
        <v>994</v>
      </c>
      <c r="E46" s="6" t="s">
        <v>842</v>
      </c>
      <c r="F46" s="6" t="s">
        <v>841</v>
      </c>
      <c r="G46" s="6" t="s">
        <v>19</v>
      </c>
      <c r="H46" s="6" t="s">
        <v>1018</v>
      </c>
      <c r="I46" s="7">
        <f>'Group KPIs'!K133</f>
        <v>1.0</v>
      </c>
      <c r="J46" s="13" t="s">
        <v>996</v>
      </c>
    </row>
    <row r="47" spans="1:10">
      <c r="A47" s="6" t="s">
        <v>991</v>
      </c>
      <c r="B47" s="6" t="s">
        <v>1051</v>
      </c>
      <c r="C47" s="6" t="s">
        <v>1015</v>
      </c>
      <c r="D47" s="6" t="s">
        <v>994</v>
      </c>
      <c r="E47" s="6" t="s">
        <v>1019</v>
      </c>
      <c r="F47" s="6" t="s">
        <v>558</v>
      </c>
      <c r="G47" s="6" t="s">
        <v>19</v>
      </c>
      <c r="H47" s="6" t="s">
        <v>1020</v>
      </c>
      <c r="I47" s="7">
        <f>'Group KPIs'!K38</f>
        <v>1760.09</v>
      </c>
      <c r="J47" s="14" t="s">
        <v>1001</v>
      </c>
    </row>
    <row r="48" spans="1:10">
      <c r="A48" s="6" t="s">
        <v>991</v>
      </c>
      <c r="B48" s="6" t="s">
        <v>1051</v>
      </c>
      <c r="C48" s="6" t="s">
        <v>1015</v>
      </c>
      <c r="D48" s="6" t="s">
        <v>994</v>
      </c>
      <c r="E48" s="6" t="s">
        <v>1023</v>
      </c>
      <c r="F48" s="6" t="s">
        <v>569</v>
      </c>
      <c r="G48" s="6" t="s">
        <v>19</v>
      </c>
      <c r="H48" s="6" t="s">
        <v>1024</v>
      </c>
      <c r="I48" s="7">
        <f>'Group KPIs'!K41</f>
        <v>606.18</v>
      </c>
      <c r="J48" s="14" t="s">
        <v>1001</v>
      </c>
    </row>
    <row r="49" spans="1:10">
      <c r="A49" s="6" t="s">
        <v>991</v>
      </c>
      <c r="B49" s="6" t="s">
        <v>1051</v>
      </c>
      <c r="C49" s="6" t="s">
        <v>1015</v>
      </c>
      <c r="D49" s="6" t="s">
        <v>994</v>
      </c>
      <c r="E49" s="6" t="s">
        <v>1027</v>
      </c>
      <c r="F49" s="6" t="s">
        <v>575</v>
      </c>
      <c r="G49" s="6" t="s">
        <v>19</v>
      </c>
      <c r="H49" s="6" t="s">
        <v>1028</v>
      </c>
      <c r="I49" s="7">
        <f>'Group KPIs'!K43</f>
        <v>6650.0</v>
      </c>
      <c r="J49" s="14" t="s">
        <v>1001</v>
      </c>
    </row>
    <row r="50" spans="1:10">
      <c r="A50" s="6" t="s">
        <v>991</v>
      </c>
      <c r="B50" s="6" t="s">
        <v>1051</v>
      </c>
      <c r="C50" s="6" t="s">
        <v>1015</v>
      </c>
      <c r="D50" s="6" t="s">
        <v>994</v>
      </c>
      <c r="E50" s="6" t="s">
        <v>1029</v>
      </c>
      <c r="F50" s="6" t="s">
        <v>453</v>
      </c>
      <c r="G50" s="6" t="s">
        <v>19</v>
      </c>
      <c r="H50" s="6" t="s">
        <v>1030</v>
      </c>
      <c r="I50" s="7">
        <f>'Group KPIs'!K2</f>
        <v>95.51</v>
      </c>
      <c r="J50" s="14" t="s">
        <v>1001</v>
      </c>
    </row>
    <row r="51" spans="1:10">
      <c r="A51" s="6" t="s">
        <v>991</v>
      </c>
      <c r="B51" s="6" t="s">
        <v>1051</v>
      </c>
      <c r="C51" s="6" t="s">
        <v>1015</v>
      </c>
      <c r="D51" s="6" t="s">
        <v>1031</v>
      </c>
      <c r="E51" s="6" t="s">
        <v>1032</v>
      </c>
      <c r="F51" s="6" t="s">
        <v>874</v>
      </c>
      <c r="G51" s="6" t="s">
        <v>187</v>
      </c>
      <c r="H51" s="6" t="s">
        <v>1033</v>
      </c>
      <c r="I51" s="7">
        <f>'Plant KPIs'!Q59</f>
        <v>4.0</v>
      </c>
      <c r="J51" s="13" t="s">
        <v>996</v>
      </c>
    </row>
    <row r="52" spans="1:10">
      <c r="A52" s="6" t="s">
        <v>991</v>
      </c>
      <c r="B52" s="6" t="s">
        <v>1051</v>
      </c>
      <c r="C52" s="6" t="s">
        <v>1015</v>
      </c>
      <c r="D52" s="6" t="s">
        <v>1031</v>
      </c>
      <c r="E52" s="6" t="s">
        <v>1034</v>
      </c>
      <c r="F52" s="6" t="s">
        <v>878</v>
      </c>
      <c r="G52" s="6" t="s">
        <v>19</v>
      </c>
      <c r="H52" s="6" t="s">
        <v>1035</v>
      </c>
      <c r="I52" s="7">
        <f>'Group KPIs'!K145</f>
        <v>69.69</v>
      </c>
      <c r="J52" s="14" t="s">
        <v>1001</v>
      </c>
    </row>
    <row r="53" spans="1:10">
      <c r="A53" s="6" t="s">
        <v>991</v>
      </c>
      <c r="B53" s="6" t="s">
        <v>1051</v>
      </c>
      <c r="C53" s="6" t="s">
        <v>1015</v>
      </c>
      <c r="D53" s="6" t="s">
        <v>1031</v>
      </c>
      <c r="E53" s="6" t="s">
        <v>1036</v>
      </c>
      <c r="F53" s="6" t="s">
        <v>882</v>
      </c>
      <c r="G53" s="6" t="s">
        <v>19</v>
      </c>
      <c r="H53" s="6" t="s">
        <v>1037</v>
      </c>
      <c r="I53" s="7">
        <f>'Group KPIs'!K146</f>
        <v>-56.18</v>
      </c>
      <c r="J53" s="14" t="s">
        <v>1001</v>
      </c>
    </row>
    <row r="54" spans="1:10">
      <c r="A54" s="6" t="s">
        <v>991</v>
      </c>
      <c r="B54" s="6" t="s">
        <v>1051</v>
      </c>
      <c r="C54" s="6" t="s">
        <v>1015</v>
      </c>
      <c r="D54" s="6" t="s">
        <v>1004</v>
      </c>
      <c r="E54" s="6" t="s">
        <v>564</v>
      </c>
      <c r="F54" s="6" t="s">
        <v>563</v>
      </c>
      <c r="G54" s="6" t="s">
        <v>19</v>
      </c>
      <c r="H54" s="6" t="s">
        <v>1022</v>
      </c>
      <c r="I54" s="7">
        <f>'Group KPIs'!K39</f>
        <v>1228.14</v>
      </c>
      <c r="J54" s="14" t="s">
        <v>1001</v>
      </c>
    </row>
    <row r="55" spans="1:10">
      <c r="A55" s="6" t="s">
        <v>991</v>
      </c>
      <c r="B55" s="6" t="s">
        <v>1051</v>
      </c>
      <c r="C55" s="6" t="s">
        <v>1015</v>
      </c>
      <c r="D55" s="6" t="s">
        <v>1004</v>
      </c>
      <c r="E55" s="6" t="s">
        <v>567</v>
      </c>
      <c r="F55" s="6" t="s">
        <v>566</v>
      </c>
      <c r="G55" s="6" t="s">
        <v>19</v>
      </c>
      <c r="H55" s="6" t="s">
        <v>1039</v>
      </c>
      <c r="I55" s="7">
        <f>'Group KPIs'!K40</f>
        <v>13811.3</v>
      </c>
      <c r="J55" s="14" t="s">
        <v>1001</v>
      </c>
    </row>
    <row r="56" spans="1:10">
      <c r="A56" s="6" t="s">
        <v>991</v>
      </c>
      <c r="B56" s="6" t="s">
        <v>1051</v>
      </c>
      <c r="C56" s="6" t="s">
        <v>1015</v>
      </c>
      <c r="D56" s="6" t="s">
        <v>1004</v>
      </c>
      <c r="E56" s="6" t="s">
        <v>1040</v>
      </c>
      <c r="F56" s="6" t="s">
        <v>572</v>
      </c>
      <c r="G56" s="6" t="s">
        <v>19</v>
      </c>
      <c r="H56" s="6" t="s">
        <v>1041</v>
      </c>
      <c r="I56" s="7">
        <f>'Group KPIs'!K42</f>
        <v>11.58</v>
      </c>
      <c r="J56" s="14" t="s">
        <v>1001</v>
      </c>
    </row>
    <row r="57" spans="1:10">
      <c r="A57" s="6" t="s">
        <v>991</v>
      </c>
      <c r="B57" s="6" t="s">
        <v>1051</v>
      </c>
      <c r="C57" s="6" t="s">
        <v>1015</v>
      </c>
      <c r="D57" s="6" t="s">
        <v>1004</v>
      </c>
      <c r="E57" s="6" t="s">
        <v>1042</v>
      </c>
      <c r="F57" s="6" t="s">
        <v>579</v>
      </c>
      <c r="G57" s="6" t="s">
        <v>19</v>
      </c>
      <c r="H57" s="6" t="s">
        <v>1043</v>
      </c>
      <c r="I57" s="7">
        <f>'Group KPIs'!K44</f>
        <v>-86.65</v>
      </c>
      <c r="J57" s="14" t="s">
        <v>1001</v>
      </c>
    </row>
    <row r="58" spans="1:10">
      <c r="A58" s="6" t="s">
        <v>991</v>
      </c>
      <c r="B58" s="6" t="s">
        <v>1051</v>
      </c>
      <c r="C58" s="6" t="s">
        <v>1015</v>
      </c>
      <c r="D58" s="6" t="s">
        <v>1004</v>
      </c>
      <c r="E58" s="6" t="s">
        <v>1044</v>
      </c>
      <c r="F58" s="6" t="s">
        <v>550</v>
      </c>
      <c r="G58" s="6" t="s">
        <v>19</v>
      </c>
      <c r="H58" s="6" t="s">
        <v>1045</v>
      </c>
      <c r="I58" s="7">
        <f>'Group KPIs'!K35</f>
        <v>95.23</v>
      </c>
      <c r="J58" s="14" t="s">
        <v>1001</v>
      </c>
    </row>
    <row r="59" spans="1:10">
      <c r="A59" s="6" t="s">
        <v>991</v>
      </c>
      <c r="B59" s="6" t="s">
        <v>1051</v>
      </c>
      <c r="C59" s="6" t="s">
        <v>1015</v>
      </c>
      <c r="D59" s="6" t="s">
        <v>1004</v>
      </c>
      <c r="E59" s="6" t="s">
        <v>458</v>
      </c>
      <c r="F59" s="6" t="s">
        <v>457</v>
      </c>
      <c r="G59" s="6" t="s">
        <v>19</v>
      </c>
      <c r="H59" s="6" t="s">
        <v>1046</v>
      </c>
      <c r="I59" s="7">
        <f>'Group KPIs'!K3</f>
        <v>83.44</v>
      </c>
      <c r="J59" s="14" t="s">
        <v>1001</v>
      </c>
    </row>
    <row r="60" spans="1:10">
      <c r="A60" s="6" t="s">
        <v>991</v>
      </c>
      <c r="B60" s="6" t="s">
        <v>1051</v>
      </c>
      <c r="C60" s="6" t="s">
        <v>1015</v>
      </c>
      <c r="D60" s="6" t="s">
        <v>1004</v>
      </c>
      <c r="E60" s="6" t="s">
        <v>1038</v>
      </c>
      <c r="F60" s="6" t="s">
        <v>751</v>
      </c>
      <c r="G60" s="6" t="s">
        <v>19</v>
      </c>
      <c r="H60" s="6" t="s">
        <v>1007</v>
      </c>
      <c r="I60" s="7">
        <f>'Group KPIs'!K100</f>
        <v>0.0</v>
      </c>
      <c r="J60" s="13" t="s">
        <v>996</v>
      </c>
    </row>
    <row r="61" spans="1:10">
      <c r="A61" s="6" t="s">
        <v>991</v>
      </c>
      <c r="B61" s="6" t="s">
        <v>1051</v>
      </c>
      <c r="C61" s="6" t="s">
        <v>1015</v>
      </c>
      <c r="D61" s="6" t="s">
        <v>1004</v>
      </c>
      <c r="E61" s="6" t="s">
        <v>680</v>
      </c>
      <c r="F61" s="6" t="s">
        <v>679</v>
      </c>
      <c r="G61" s="6" t="s">
        <v>19</v>
      </c>
      <c r="H61" s="6" t="s">
        <v>1050</v>
      </c>
      <c r="I61" s="7">
        <f>'Group KPIs'!K75</f>
        <v>54.03</v>
      </c>
      <c r="J61" s="13" t="s">
        <v>996</v>
      </c>
    </row>
    <row r="62" spans="1:10">
      <c r="A62" s="6" t="s">
        <v>991</v>
      </c>
      <c r="B62" s="6" t="s">
        <v>1052</v>
      </c>
      <c r="C62" s="6" t="s">
        <v>1053</v>
      </c>
      <c r="D62" s="6" t="s">
        <v>1031</v>
      </c>
      <c r="E62" s="6" t="s">
        <v>1032</v>
      </c>
      <c r="F62" s="6" t="s">
        <v>874</v>
      </c>
      <c r="G62" s="6" t="s">
        <v>187</v>
      </c>
      <c r="H62" s="6" t="s">
        <v>1033</v>
      </c>
      <c r="I62" s="7">
        <f>'Plant KPIs'!Q59</f>
        <v>4.0</v>
      </c>
      <c r="J62" s="13" t="s">
        <v>996</v>
      </c>
    </row>
    <row r="63" spans="1:10">
      <c r="A63" s="6" t="s">
        <v>991</v>
      </c>
      <c r="B63" s="6" t="s">
        <v>1052</v>
      </c>
      <c r="C63" s="6" t="s">
        <v>1053</v>
      </c>
      <c r="D63" s="6" t="s">
        <v>1031</v>
      </c>
      <c r="E63" s="6" t="s">
        <v>1034</v>
      </c>
      <c r="F63" s="6" t="s">
        <v>878</v>
      </c>
      <c r="G63" s="6" t="s">
        <v>19</v>
      </c>
      <c r="H63" s="6" t="s">
        <v>1035</v>
      </c>
      <c r="I63" s="7">
        <f>'Group KPIs'!K145</f>
        <v>69.69</v>
      </c>
      <c r="J63" s="14" t="s">
        <v>1001</v>
      </c>
    </row>
    <row r="64" spans="1:10">
      <c r="A64" s="6" t="s">
        <v>991</v>
      </c>
      <c r="B64" s="6" t="s">
        <v>1052</v>
      </c>
      <c r="C64" s="6" t="s">
        <v>1053</v>
      </c>
      <c r="D64" s="6" t="s">
        <v>1031</v>
      </c>
      <c r="E64" s="6" t="s">
        <v>1054</v>
      </c>
      <c r="F64" s="6" t="s">
        <v>882</v>
      </c>
      <c r="G64" s="6" t="s">
        <v>19</v>
      </c>
      <c r="H64" s="6" t="s">
        <v>1037</v>
      </c>
      <c r="I64" s="7">
        <f>'Group KPIs'!K146</f>
        <v>-56.18</v>
      </c>
      <c r="J64" s="14" t="s">
        <v>1001</v>
      </c>
    </row>
    <row r="65" spans="1:10">
      <c r="A65" s="6" t="s">
        <v>991</v>
      </c>
      <c r="B65" s="6" t="s">
        <v>1052</v>
      </c>
      <c r="C65" s="6" t="s">
        <v>1053</v>
      </c>
      <c r="D65" s="6" t="s">
        <v>1031</v>
      </c>
      <c r="E65" s="6" t="s">
        <v>1055</v>
      </c>
      <c r="F65" s="6" t="s">
        <v>885</v>
      </c>
      <c r="G65" s="6" t="s">
        <v>19</v>
      </c>
      <c r="H65" s="6" t="s">
        <v>1056</v>
      </c>
      <c r="I65" s="8" t="str">
        <f>'Group KPIs'!K147</f>
        <v>None within 90 d</v>
      </c>
      <c r="J65" s="13" t="s">
        <v>996</v>
      </c>
    </row>
    <row r="66" spans="1:10">
      <c r="A66" s="6" t="s">
        <v>991</v>
      </c>
      <c r="B66" s="6" t="s">
        <v>1052</v>
      </c>
      <c r="C66" s="6" t="s">
        <v>1053</v>
      </c>
      <c r="D66" s="6" t="s">
        <v>1031</v>
      </c>
      <c r="E66" s="6" t="s">
        <v>891</v>
      </c>
      <c r="F66" s="6" t="s">
        <v>890</v>
      </c>
      <c r="G66" s="6" t="s">
        <v>19</v>
      </c>
      <c r="H66" s="6" t="s">
        <v>1057</v>
      </c>
      <c r="I66" s="8" t="str">
        <f>'Group KPIs'!K148</f>
        <v>Not forecast</v>
      </c>
      <c r="J66" s="13" t="s">
        <v>996</v>
      </c>
    </row>
    <row r="67" spans="1:10">
      <c r="A67" s="6" t="s">
        <v>991</v>
      </c>
      <c r="B67" s="6" t="s">
        <v>1058</v>
      </c>
      <c r="C67" s="6" t="s">
        <v>1059</v>
      </c>
      <c r="D67" s="6" t="s">
        <v>994</v>
      </c>
      <c r="E67" s="6" t="s">
        <v>586</v>
      </c>
      <c r="F67" s="6" t="s">
        <v>585</v>
      </c>
      <c r="G67" s="6" t="s">
        <v>19</v>
      </c>
      <c r="H67" s="6" t="s">
        <v>1060</v>
      </c>
      <c r="I67" s="7">
        <f>'Group KPIs'!K46</f>
        <v>2141.82</v>
      </c>
      <c r="J67" s="14" t="s">
        <v>1001</v>
      </c>
    </row>
    <row r="68" spans="1:10">
      <c r="A68" s="6" t="s">
        <v>991</v>
      </c>
      <c r="B68" s="6" t="s">
        <v>1058</v>
      </c>
      <c r="C68" s="6" t="s">
        <v>1059</v>
      </c>
      <c r="D68" s="6" t="s">
        <v>994</v>
      </c>
      <c r="E68" s="6" t="s">
        <v>599</v>
      </c>
      <c r="F68" s="6" t="s">
        <v>598</v>
      </c>
      <c r="G68" s="6" t="s">
        <v>19</v>
      </c>
      <c r="H68" s="6" t="s">
        <v>1061</v>
      </c>
      <c r="I68" s="7">
        <f>'Group KPIs'!K50</f>
        <v>27.21</v>
      </c>
      <c r="J68" s="14" t="s">
        <v>1001</v>
      </c>
    </row>
    <row r="69" spans="1:10">
      <c r="A69" s="6" t="s">
        <v>991</v>
      </c>
      <c r="B69" s="6" t="s">
        <v>1058</v>
      </c>
      <c r="C69" s="6" t="s">
        <v>1059</v>
      </c>
      <c r="D69" s="6" t="s">
        <v>994</v>
      </c>
      <c r="E69" s="6" t="s">
        <v>1023</v>
      </c>
      <c r="F69" s="6" t="s">
        <v>569</v>
      </c>
      <c r="G69" s="6" t="s">
        <v>19</v>
      </c>
      <c r="H69" s="6" t="s">
        <v>1024</v>
      </c>
      <c r="I69" s="7">
        <f>'Group KPIs'!K41</f>
        <v>606.18</v>
      </c>
      <c r="J69" s="14" t="s">
        <v>1001</v>
      </c>
    </row>
    <row r="70" spans="1:10">
      <c r="A70" s="6" t="s">
        <v>991</v>
      </c>
      <c r="B70" s="6" t="s">
        <v>1058</v>
      </c>
      <c r="C70" s="6" t="s">
        <v>1059</v>
      </c>
      <c r="D70" s="6" t="s">
        <v>994</v>
      </c>
      <c r="E70" s="6" t="s">
        <v>621</v>
      </c>
      <c r="F70" s="6" t="s">
        <v>620</v>
      </c>
      <c r="G70" s="6" t="s">
        <v>19</v>
      </c>
      <c r="H70" s="6" t="s">
        <v>1062</v>
      </c>
      <c r="I70" s="7">
        <f>'Group KPIs'!K57</f>
        <v>16.71</v>
      </c>
      <c r="J70" s="14" t="s">
        <v>1001</v>
      </c>
    </row>
    <row r="71" spans="1:10">
      <c r="A71" s="6" t="s">
        <v>991</v>
      </c>
      <c r="B71" s="6" t="s">
        <v>1058</v>
      </c>
      <c r="C71" s="6" t="s">
        <v>1059</v>
      </c>
      <c r="D71" s="6" t="s">
        <v>994</v>
      </c>
      <c r="E71" s="6" t="s">
        <v>625</v>
      </c>
      <c r="F71" s="6" t="s">
        <v>624</v>
      </c>
      <c r="G71" s="6" t="s">
        <v>19</v>
      </c>
      <c r="H71" s="6" t="s">
        <v>1063</v>
      </c>
      <c r="I71" s="7">
        <f>'Group KPIs'!K58</f>
        <v>24.44</v>
      </c>
      <c r="J71" s="14" t="s">
        <v>1001</v>
      </c>
    </row>
    <row r="72" spans="1:10">
      <c r="A72" s="6" t="s">
        <v>991</v>
      </c>
      <c r="B72" s="6" t="s">
        <v>1058</v>
      </c>
      <c r="C72" s="6" t="s">
        <v>1059</v>
      </c>
      <c r="D72" s="6" t="s">
        <v>994</v>
      </c>
      <c r="E72" s="6" t="s">
        <v>612</v>
      </c>
      <c r="F72" s="6" t="s">
        <v>611</v>
      </c>
      <c r="G72" s="6" t="s">
        <v>19</v>
      </c>
      <c r="H72" s="6" t="s">
        <v>1064</v>
      </c>
      <c r="I72" s="7">
        <f>'Group KPIs'!K54</f>
        <v>2780.99</v>
      </c>
      <c r="J72" s="14" t="s">
        <v>1001</v>
      </c>
    </row>
    <row r="73" spans="1:10">
      <c r="A73" s="6" t="s">
        <v>991</v>
      </c>
      <c r="B73" s="6" t="s">
        <v>1058</v>
      </c>
      <c r="C73" s="6" t="s">
        <v>1059</v>
      </c>
      <c r="D73" s="6" t="s">
        <v>1031</v>
      </c>
      <c r="E73" s="6" t="s">
        <v>1055</v>
      </c>
      <c r="F73" s="6" t="s">
        <v>885</v>
      </c>
      <c r="G73" s="6" t="s">
        <v>19</v>
      </c>
      <c r="H73" s="6" t="s">
        <v>1065</v>
      </c>
      <c r="I73" s="8" t="str">
        <f>'Group KPIs'!K147</f>
        <v>None within 90 d</v>
      </c>
      <c r="J73" s="13" t="s">
        <v>996</v>
      </c>
    </row>
    <row r="74" spans="1:10">
      <c r="A74" s="6" t="s">
        <v>991</v>
      </c>
      <c r="B74" s="6" t="s">
        <v>1058</v>
      </c>
      <c r="C74" s="6" t="s">
        <v>1059</v>
      </c>
      <c r="D74" s="6" t="s">
        <v>1031</v>
      </c>
      <c r="E74" s="6" t="s">
        <v>891</v>
      </c>
      <c r="F74" s="6" t="s">
        <v>890</v>
      </c>
      <c r="G74" s="6" t="s">
        <v>19</v>
      </c>
      <c r="H74" s="6" t="s">
        <v>1057</v>
      </c>
      <c r="I74" s="8" t="str">
        <f>'Group KPIs'!K148</f>
        <v>Not forecast</v>
      </c>
      <c r="J74" s="13" t="s">
        <v>996</v>
      </c>
    </row>
    <row r="75" spans="1:10">
      <c r="A75" s="6" t="s">
        <v>991</v>
      </c>
      <c r="B75" s="6" t="s">
        <v>1058</v>
      </c>
      <c r="C75" s="6" t="s">
        <v>1059</v>
      </c>
      <c r="D75" s="6" t="s">
        <v>1031</v>
      </c>
      <c r="E75" s="6" t="s">
        <v>862</v>
      </c>
      <c r="F75" s="6" t="s">
        <v>861</v>
      </c>
      <c r="G75" s="6" t="s">
        <v>19</v>
      </c>
      <c r="H75" s="6" t="s">
        <v>1066</v>
      </c>
      <c r="I75" s="7">
        <f>'Group KPIs'!K140</f>
        <v>1.12</v>
      </c>
      <c r="J75" s="14" t="s">
        <v>1001</v>
      </c>
    </row>
    <row r="76" spans="1:10">
      <c r="A76" s="6" t="s">
        <v>991</v>
      </c>
      <c r="B76" s="6" t="s">
        <v>1058</v>
      </c>
      <c r="C76" s="6" t="s">
        <v>1059</v>
      </c>
      <c r="D76" s="6" t="s">
        <v>1004</v>
      </c>
      <c r="E76" s="6" t="s">
        <v>1067</v>
      </c>
      <c r="F76" s="6" t="s">
        <v>588</v>
      </c>
      <c r="G76" s="6" t="s">
        <v>19</v>
      </c>
      <c r="H76" s="6" t="s">
        <v>1068</v>
      </c>
      <c r="I76" s="7">
        <f>'Group KPIs'!K47</f>
        <v>22.03</v>
      </c>
      <c r="J76" s="14" t="s">
        <v>1001</v>
      </c>
    </row>
    <row r="77" spans="1:10">
      <c r="A77" s="6" t="s">
        <v>991</v>
      </c>
      <c r="B77" s="6" t="s">
        <v>1058</v>
      </c>
      <c r="C77" s="6" t="s">
        <v>1059</v>
      </c>
      <c r="D77" s="6" t="s">
        <v>1004</v>
      </c>
      <c r="E77" s="6" t="s">
        <v>1069</v>
      </c>
      <c r="F77" s="6" t="s">
        <v>591</v>
      </c>
      <c r="G77" s="6" t="s">
        <v>19</v>
      </c>
      <c r="H77" s="6" t="s">
        <v>1070</v>
      </c>
      <c r="I77" s="7">
        <f>'Group KPIs'!K48</f>
        <v>76.77</v>
      </c>
      <c r="J77" s="14" t="s">
        <v>1001</v>
      </c>
    </row>
    <row r="78" spans="1:10">
      <c r="A78" s="6" t="s">
        <v>991</v>
      </c>
      <c r="B78" s="6" t="s">
        <v>1058</v>
      </c>
      <c r="C78" s="6" t="s">
        <v>1059</v>
      </c>
      <c r="D78" s="6" t="s">
        <v>1004</v>
      </c>
      <c r="E78" s="6" t="s">
        <v>596</v>
      </c>
      <c r="F78" s="6" t="s">
        <v>595</v>
      </c>
      <c r="G78" s="6" t="s">
        <v>19</v>
      </c>
      <c r="H78" s="6" t="s">
        <v>1071</v>
      </c>
      <c r="I78" s="7">
        <f>'Group KPIs'!K49</f>
        <v>32.59</v>
      </c>
      <c r="J78" s="13" t="s">
        <v>996</v>
      </c>
    </row>
    <row r="79" spans="1:10">
      <c r="A79" s="6" t="s">
        <v>991</v>
      </c>
      <c r="B79" s="6" t="s">
        <v>1058</v>
      </c>
      <c r="C79" s="6" t="s">
        <v>1059</v>
      </c>
      <c r="D79" s="6" t="s">
        <v>1004</v>
      </c>
      <c r="E79" s="6" t="s">
        <v>1027</v>
      </c>
      <c r="F79" s="6" t="s">
        <v>575</v>
      </c>
      <c r="G79" s="6" t="s">
        <v>19</v>
      </c>
      <c r="H79" s="6" t="s">
        <v>1028</v>
      </c>
      <c r="I79" s="7">
        <f>'Group KPIs'!K43</f>
        <v>6650.0</v>
      </c>
      <c r="J79" s="14" t="s">
        <v>1001</v>
      </c>
    </row>
    <row r="80" spans="1:10">
      <c r="A80" s="6" t="s">
        <v>991</v>
      </c>
      <c r="B80" s="6" t="s">
        <v>1058</v>
      </c>
      <c r="C80" s="6" t="s">
        <v>1059</v>
      </c>
      <c r="D80" s="6" t="s">
        <v>1004</v>
      </c>
      <c r="E80" s="6" t="s">
        <v>1072</v>
      </c>
      <c r="F80" s="6" t="s">
        <v>627</v>
      </c>
      <c r="G80" s="6" t="s">
        <v>19</v>
      </c>
      <c r="H80" s="6" t="s">
        <v>1073</v>
      </c>
      <c r="I80" s="7">
        <f>'Group KPIs'!K59</f>
        <v>891.41</v>
      </c>
      <c r="J80" s="14" t="s">
        <v>1001</v>
      </c>
    </row>
    <row r="81" spans="1:10">
      <c r="A81" s="6" t="s">
        <v>991</v>
      </c>
      <c r="B81" s="6" t="s">
        <v>1058</v>
      </c>
      <c r="C81" s="6" t="s">
        <v>1059</v>
      </c>
      <c r="D81" s="6" t="s">
        <v>1004</v>
      </c>
      <c r="E81" s="6" t="s">
        <v>1074</v>
      </c>
      <c r="F81" s="6" t="s">
        <v>630</v>
      </c>
      <c r="G81" s="6" t="s">
        <v>19</v>
      </c>
      <c r="H81" s="6" t="s">
        <v>1075</v>
      </c>
      <c r="I81" s="7">
        <f>'Group KPIs'!K60</f>
        <v>2720.83</v>
      </c>
      <c r="J81" s="14" t="s">
        <v>1001</v>
      </c>
    </row>
    <row r="82" spans="1:10">
      <c r="A82" s="6" t="s">
        <v>991</v>
      </c>
      <c r="B82" s="6" t="s">
        <v>1058</v>
      </c>
      <c r="C82" s="6" t="s">
        <v>1059</v>
      </c>
      <c r="D82" s="6" t="s">
        <v>1004</v>
      </c>
      <c r="E82" s="6" t="s">
        <v>1076</v>
      </c>
      <c r="F82" s="6" t="s">
        <v>868</v>
      </c>
      <c r="G82" s="6" t="s">
        <v>19</v>
      </c>
      <c r="H82" s="6" t="s">
        <v>1077</v>
      </c>
      <c r="I82" s="8" t="str">
        <f>'Group KPIs'!K142</f>
        <v>Not triggered</v>
      </c>
      <c r="J82" s="13" t="s">
        <v>996</v>
      </c>
    </row>
    <row r="83" spans="1:10">
      <c r="A83" s="6" t="s">
        <v>991</v>
      </c>
      <c r="B83" s="6" t="s">
        <v>1058</v>
      </c>
      <c r="C83" s="6" t="s">
        <v>1059</v>
      </c>
      <c r="D83" s="6" t="s">
        <v>1004</v>
      </c>
      <c r="E83" s="6" t="s">
        <v>1078</v>
      </c>
      <c r="F83" s="6" t="s">
        <v>633</v>
      </c>
      <c r="G83" s="6" t="s">
        <v>19</v>
      </c>
      <c r="H83" s="6" t="s">
        <v>1079</v>
      </c>
      <c r="I83" s="7">
        <f>'Group KPIs'!K61</f>
        <v>221.72</v>
      </c>
      <c r="J83" s="14" t="s">
        <v>1001</v>
      </c>
    </row>
    <row r="84" spans="1:10">
      <c r="A84" s="6" t="s">
        <v>991</v>
      </c>
      <c r="B84" s="6" t="s">
        <v>1058</v>
      </c>
      <c r="C84" s="6" t="s">
        <v>1059</v>
      </c>
      <c r="D84" s="6" t="s">
        <v>1004</v>
      </c>
      <c r="E84" s="6" t="s">
        <v>637</v>
      </c>
      <c r="F84" s="6" t="s">
        <v>636</v>
      </c>
      <c r="G84" s="6" t="s">
        <v>19</v>
      </c>
      <c r="H84" s="6" t="s">
        <v>1080</v>
      </c>
      <c r="I84" s="7">
        <f>'Group KPIs'!K62</f>
        <v>91.7</v>
      </c>
      <c r="J84" s="14" t="s">
        <v>1001</v>
      </c>
    </row>
    <row r="85" spans="1:10">
      <c r="A85" s="6" t="s">
        <v>991</v>
      </c>
      <c r="B85" s="6" t="s">
        <v>1058</v>
      </c>
      <c r="C85" s="6" t="s">
        <v>1059</v>
      </c>
      <c r="D85" s="6" t="s">
        <v>1004</v>
      </c>
      <c r="E85" s="6" t="s">
        <v>1081</v>
      </c>
      <c r="F85" s="6" t="s">
        <v>639</v>
      </c>
      <c r="G85" s="6" t="s">
        <v>19</v>
      </c>
      <c r="H85" s="6" t="s">
        <v>1082</v>
      </c>
      <c r="I85" s="7">
        <f>'Group KPIs'!K63</f>
        <v>75.83</v>
      </c>
      <c r="J85" s="14" t="s">
        <v>1001</v>
      </c>
    </row>
    <row r="86" spans="1:10">
      <c r="A86" s="6" t="s">
        <v>991</v>
      </c>
      <c r="B86" s="6" t="s">
        <v>1058</v>
      </c>
      <c r="C86" s="6" t="s">
        <v>1059</v>
      </c>
      <c r="D86" s="6" t="s">
        <v>1004</v>
      </c>
      <c r="E86" s="6" t="s">
        <v>1083</v>
      </c>
      <c r="F86" s="6" t="s">
        <v>642</v>
      </c>
      <c r="G86" s="6" t="s">
        <v>19</v>
      </c>
      <c r="H86" s="6" t="s">
        <v>1084</v>
      </c>
      <c r="I86" s="7">
        <f>'Group KPIs'!K64</f>
        <v>70.65</v>
      </c>
      <c r="J86" s="14" t="s">
        <v>1001</v>
      </c>
    </row>
    <row r="87" spans="1:10">
      <c r="A87" s="6" t="s">
        <v>991</v>
      </c>
      <c r="B87" s="6" t="s">
        <v>1058</v>
      </c>
      <c r="C87" s="6" t="s">
        <v>1059</v>
      </c>
      <c r="D87" s="6" t="s">
        <v>1004</v>
      </c>
      <c r="E87" s="6" t="s">
        <v>1085</v>
      </c>
      <c r="F87" s="6" t="s">
        <v>646</v>
      </c>
      <c r="G87" s="6" t="s">
        <v>19</v>
      </c>
      <c r="H87" s="6" t="s">
        <v>1086</v>
      </c>
      <c r="I87" s="7">
        <f>'Group KPIs'!K65</f>
        <v>8.41</v>
      </c>
      <c r="J87" s="14" t="s">
        <v>1001</v>
      </c>
    </row>
    <row r="88" spans="1:10">
      <c r="A88" s="6" t="s">
        <v>991</v>
      </c>
      <c r="B88" s="6" t="s">
        <v>1058</v>
      </c>
      <c r="C88" s="6" t="s">
        <v>1059</v>
      </c>
      <c r="D88" s="6" t="s">
        <v>1004</v>
      </c>
      <c r="E88" s="6" t="s">
        <v>603</v>
      </c>
      <c r="F88" s="6" t="s">
        <v>602</v>
      </c>
      <c r="G88" s="6" t="s">
        <v>19</v>
      </c>
      <c r="H88" s="6" t="s">
        <v>1087</v>
      </c>
      <c r="I88" s="7">
        <f>'Group KPIs'!K51</f>
        <v>46.97</v>
      </c>
      <c r="J88" s="13" t="s">
        <v>996</v>
      </c>
    </row>
    <row r="89" spans="1:10">
      <c r="A89" s="6" t="s">
        <v>991</v>
      </c>
      <c r="B89" s="6" t="s">
        <v>1058</v>
      </c>
      <c r="C89" s="6" t="s">
        <v>1059</v>
      </c>
      <c r="D89" s="6" t="s">
        <v>1004</v>
      </c>
      <c r="E89" s="6" t="s">
        <v>606</v>
      </c>
      <c r="F89" s="6" t="s">
        <v>605</v>
      </c>
      <c r="G89" s="6" t="s">
        <v>19</v>
      </c>
      <c r="H89" s="6" t="s">
        <v>1088</v>
      </c>
      <c r="I89" s="7">
        <f>'Group KPIs'!K52</f>
        <v>52.15</v>
      </c>
      <c r="J89" s="13" t="s">
        <v>996</v>
      </c>
    </row>
    <row r="90" spans="1:10">
      <c r="A90" s="6" t="s">
        <v>991</v>
      </c>
      <c r="B90" s="6" t="s">
        <v>1058</v>
      </c>
      <c r="C90" s="6" t="s">
        <v>1059</v>
      </c>
      <c r="D90" s="6" t="s">
        <v>1004</v>
      </c>
      <c r="E90" s="6" t="s">
        <v>609</v>
      </c>
      <c r="F90" s="6" t="s">
        <v>608</v>
      </c>
      <c r="G90" s="6" t="s">
        <v>19</v>
      </c>
      <c r="H90" s="6" t="s">
        <v>1089</v>
      </c>
      <c r="I90" s="7">
        <f>'Group KPIs'!K53</f>
        <v>37.76</v>
      </c>
      <c r="J90" s="13" t="s">
        <v>996</v>
      </c>
    </row>
    <row r="91" spans="1:10">
      <c r="A91" s="6" t="s">
        <v>991</v>
      </c>
      <c r="B91" s="6" t="s">
        <v>1058</v>
      </c>
      <c r="C91" s="6" t="s">
        <v>1059</v>
      </c>
      <c r="D91" s="6" t="s">
        <v>1004</v>
      </c>
      <c r="E91" s="6" t="s">
        <v>1090</v>
      </c>
      <c r="F91" s="6" t="s">
        <v>614</v>
      </c>
      <c r="G91" s="6" t="s">
        <v>19</v>
      </c>
      <c r="H91" s="6" t="s">
        <v>1091</v>
      </c>
      <c r="I91" s="7">
        <f>'Group KPIs'!K55</f>
        <v>17.26</v>
      </c>
      <c r="J91" s="14" t="s">
        <v>1001</v>
      </c>
    </row>
    <row r="92" spans="1:10">
      <c r="A92" s="6" t="s">
        <v>991</v>
      </c>
      <c r="B92" s="6" t="s">
        <v>1058</v>
      </c>
      <c r="C92" s="6" t="s">
        <v>1059</v>
      </c>
      <c r="D92" s="6" t="s">
        <v>1004</v>
      </c>
      <c r="E92" s="6" t="s">
        <v>618</v>
      </c>
      <c r="F92" s="6" t="s">
        <v>617</v>
      </c>
      <c r="G92" s="6" t="s">
        <v>19</v>
      </c>
      <c r="H92" s="6" t="s">
        <v>1092</v>
      </c>
      <c r="I92" s="7">
        <f>'Group KPIs'!K56</f>
        <v>35.72</v>
      </c>
      <c r="J92" s="14" t="s">
        <v>1001</v>
      </c>
    </row>
    <row r="93" spans="1:10">
      <c r="A93" s="6" t="s">
        <v>991</v>
      </c>
      <c r="B93" s="6" t="s">
        <v>1093</v>
      </c>
      <c r="C93" s="6" t="s">
        <v>1094</v>
      </c>
      <c r="D93" s="6" t="s">
        <v>994</v>
      </c>
      <c r="E93" s="6" t="s">
        <v>1095</v>
      </c>
      <c r="F93" s="6" t="s">
        <v>649</v>
      </c>
      <c r="G93" s="6" t="s">
        <v>19</v>
      </c>
      <c r="H93" s="6" t="s">
        <v>1096</v>
      </c>
      <c r="I93" s="7">
        <f>'Group KPIs'!K66</f>
        <v>1860.0</v>
      </c>
      <c r="J93" s="14" t="s">
        <v>1001</v>
      </c>
    </row>
    <row r="94" spans="1:10">
      <c r="A94" s="6" t="s">
        <v>991</v>
      </c>
      <c r="B94" s="6" t="s">
        <v>1093</v>
      </c>
      <c r="C94" s="6" t="s">
        <v>1094</v>
      </c>
      <c r="D94" s="6" t="s">
        <v>994</v>
      </c>
      <c r="E94" s="6" t="s">
        <v>1097</v>
      </c>
      <c r="F94" s="6" t="s">
        <v>653</v>
      </c>
      <c r="G94" s="6" t="s">
        <v>19</v>
      </c>
      <c r="H94" s="6" t="s">
        <v>1098</v>
      </c>
      <c r="I94" s="7">
        <f>'Group KPIs'!K67</f>
        <v>1347.73</v>
      </c>
      <c r="J94" s="14" t="s">
        <v>1001</v>
      </c>
    </row>
    <row r="95" spans="1:10">
      <c r="A95" s="6" t="s">
        <v>991</v>
      </c>
      <c r="B95" s="6" t="s">
        <v>1093</v>
      </c>
      <c r="C95" s="6" t="s">
        <v>1094</v>
      </c>
      <c r="D95" s="6" t="s">
        <v>994</v>
      </c>
      <c r="E95" s="6" t="s">
        <v>1099</v>
      </c>
      <c r="F95" s="6" t="s">
        <v>657</v>
      </c>
      <c r="G95" s="6" t="s">
        <v>19</v>
      </c>
      <c r="H95" s="6" t="s">
        <v>1100</v>
      </c>
      <c r="I95" s="7">
        <f>'Group KPIs'!K68</f>
        <v>879.71</v>
      </c>
      <c r="J95" s="14" t="s">
        <v>1001</v>
      </c>
    </row>
    <row r="96" spans="1:10">
      <c r="A96" s="6" t="s">
        <v>991</v>
      </c>
      <c r="B96" s="6" t="s">
        <v>1093</v>
      </c>
      <c r="C96" s="6" t="s">
        <v>1094</v>
      </c>
      <c r="D96" s="6" t="s">
        <v>994</v>
      </c>
      <c r="E96" s="6" t="s">
        <v>1016</v>
      </c>
      <c r="F96" s="6" t="s">
        <v>660</v>
      </c>
      <c r="G96" s="6" t="s">
        <v>19</v>
      </c>
      <c r="H96" s="6" t="s">
        <v>1017</v>
      </c>
      <c r="I96" s="7">
        <f>'Group KPIs'!K69</f>
        <v>60.85</v>
      </c>
      <c r="J96" s="13" t="s">
        <v>996</v>
      </c>
    </row>
    <row r="97" spans="1:10">
      <c r="A97" s="6" t="s">
        <v>991</v>
      </c>
      <c r="B97" s="6" t="s">
        <v>1093</v>
      </c>
      <c r="C97" s="6" t="s">
        <v>1094</v>
      </c>
      <c r="D97" s="6" t="s">
        <v>994</v>
      </c>
      <c r="E97" s="6" t="s">
        <v>1101</v>
      </c>
      <c r="F97" s="6" t="s">
        <v>670</v>
      </c>
      <c r="G97" s="6" t="s">
        <v>19</v>
      </c>
      <c r="H97" s="6" t="s">
        <v>1102</v>
      </c>
      <c r="I97" s="7">
        <f>'Group KPIs'!K72</f>
        <v>47.96</v>
      </c>
      <c r="J97" s="13" t="s">
        <v>996</v>
      </c>
    </row>
    <row r="98" spans="1:10">
      <c r="A98" s="6" t="s">
        <v>991</v>
      </c>
      <c r="B98" s="6" t="s">
        <v>1093</v>
      </c>
      <c r="C98" s="6" t="s">
        <v>1094</v>
      </c>
      <c r="D98" s="6" t="s">
        <v>994</v>
      </c>
      <c r="E98" s="6" t="s">
        <v>664</v>
      </c>
      <c r="F98" s="6" t="s">
        <v>663</v>
      </c>
      <c r="G98" s="6" t="s">
        <v>19</v>
      </c>
      <c r="H98" s="6" t="s">
        <v>1103</v>
      </c>
      <c r="I98" s="7">
        <f>'Group KPIs'!K70</f>
        <v>148.03</v>
      </c>
      <c r="J98" s="14" t="s">
        <v>1001</v>
      </c>
    </row>
    <row r="99" spans="1:10">
      <c r="A99" s="6" t="s">
        <v>991</v>
      </c>
      <c r="B99" s="6" t="s">
        <v>1093</v>
      </c>
      <c r="C99" s="6" t="s">
        <v>1094</v>
      </c>
      <c r="D99" s="6" t="s">
        <v>994</v>
      </c>
      <c r="E99" s="6" t="s">
        <v>1104</v>
      </c>
      <c r="F99" s="6" t="s">
        <v>687</v>
      </c>
      <c r="G99" s="6" t="s">
        <v>19</v>
      </c>
      <c r="H99" s="6" t="s">
        <v>1105</v>
      </c>
      <c r="I99" s="7">
        <f>'Group KPIs'!K78</f>
        <v>14.21</v>
      </c>
      <c r="J99" s="13" t="s">
        <v>996</v>
      </c>
    </row>
    <row r="100" spans="1:10">
      <c r="A100" s="6" t="s">
        <v>991</v>
      </c>
      <c r="B100" s="6" t="s">
        <v>1093</v>
      </c>
      <c r="C100" s="6" t="s">
        <v>1094</v>
      </c>
      <c r="D100" s="6" t="s">
        <v>994</v>
      </c>
      <c r="E100" s="6" t="s">
        <v>1106</v>
      </c>
      <c r="F100" s="6" t="s">
        <v>690</v>
      </c>
      <c r="G100" s="6" t="s">
        <v>19</v>
      </c>
      <c r="H100" s="6" t="s">
        <v>1107</v>
      </c>
      <c r="I100" s="7">
        <f>'Group KPIs'!K79</f>
        <v>8.71</v>
      </c>
      <c r="J100" s="13" t="s">
        <v>996</v>
      </c>
    </row>
    <row r="101" spans="1:10">
      <c r="A101" s="6" t="s">
        <v>991</v>
      </c>
      <c r="B101" s="6" t="s">
        <v>1093</v>
      </c>
      <c r="C101" s="6" t="s">
        <v>1094</v>
      </c>
      <c r="D101" s="6" t="s">
        <v>994</v>
      </c>
      <c r="E101" s="6" t="s">
        <v>694</v>
      </c>
      <c r="F101" s="6" t="s">
        <v>693</v>
      </c>
      <c r="G101" s="6" t="s">
        <v>19</v>
      </c>
      <c r="H101" s="6" t="s">
        <v>1108</v>
      </c>
      <c r="I101" s="7">
        <f>'Group KPIs'!K80</f>
        <v>11.25</v>
      </c>
      <c r="J101" s="13" t="s">
        <v>996</v>
      </c>
    </row>
    <row r="102" spans="1:10">
      <c r="A102" s="6" t="s">
        <v>991</v>
      </c>
      <c r="B102" s="6" t="s">
        <v>1093</v>
      </c>
      <c r="C102" s="6" t="s">
        <v>1094</v>
      </c>
      <c r="D102" s="6" t="s">
        <v>1031</v>
      </c>
      <c r="E102" s="6" t="s">
        <v>674</v>
      </c>
      <c r="F102" s="6" t="s">
        <v>673</v>
      </c>
      <c r="G102" s="6" t="s">
        <v>19</v>
      </c>
      <c r="H102" s="6" t="s">
        <v>995</v>
      </c>
      <c r="I102" s="7">
        <f>'Group KPIs'!K73</f>
        <v>1.0</v>
      </c>
      <c r="J102" s="13" t="s">
        <v>996</v>
      </c>
    </row>
    <row r="103" spans="1:10">
      <c r="A103" s="6" t="s">
        <v>991</v>
      </c>
      <c r="B103" s="6" t="s">
        <v>1093</v>
      </c>
      <c r="C103" s="6" t="s">
        <v>1094</v>
      </c>
      <c r="D103" s="6" t="s">
        <v>1031</v>
      </c>
      <c r="E103" s="6" t="s">
        <v>664</v>
      </c>
      <c r="F103" s="6" t="s">
        <v>663</v>
      </c>
      <c r="G103" s="6" t="s">
        <v>19</v>
      </c>
      <c r="H103" s="6" t="s">
        <v>1109</v>
      </c>
      <c r="I103" s="7">
        <f>'Group KPIs'!K70</f>
        <v>148.03</v>
      </c>
      <c r="J103" s="14" t="s">
        <v>1001</v>
      </c>
    </row>
    <row r="104" spans="1:10">
      <c r="A104" s="6" t="s">
        <v>991</v>
      </c>
      <c r="B104" s="6" t="s">
        <v>1093</v>
      </c>
      <c r="C104" s="6" t="s">
        <v>1094</v>
      </c>
      <c r="D104" s="6" t="s">
        <v>1004</v>
      </c>
      <c r="E104" s="6" t="s">
        <v>1110</v>
      </c>
      <c r="F104" s="6" t="s">
        <v>666</v>
      </c>
      <c r="G104" s="6" t="s">
        <v>19</v>
      </c>
      <c r="H104" s="6" t="s">
        <v>1111</v>
      </c>
      <c r="I104" s="8" t="str">
        <f>'Group KPIs'!K71</f>
        <v>9 on track · 2 at risk · 0 off track</v>
      </c>
      <c r="J104" s="13" t="s">
        <v>996</v>
      </c>
    </row>
    <row r="105" spans="1:10">
      <c r="A105" s="6" t="s">
        <v>991</v>
      </c>
      <c r="B105" s="6" t="s">
        <v>1093</v>
      </c>
      <c r="C105" s="6" t="s">
        <v>1094</v>
      </c>
      <c r="D105" s="6" t="s">
        <v>1004</v>
      </c>
      <c r="E105" s="6" t="s">
        <v>674</v>
      </c>
      <c r="F105" s="6" t="s">
        <v>673</v>
      </c>
      <c r="G105" s="6" t="s">
        <v>19</v>
      </c>
      <c r="H105" s="6" t="s">
        <v>995</v>
      </c>
      <c r="I105" s="7">
        <f>'Group KPIs'!K73</f>
        <v>1.0</v>
      </c>
      <c r="J105" s="13" t="s">
        <v>996</v>
      </c>
    </row>
    <row r="106" spans="1:10">
      <c r="A106" s="6" t="s">
        <v>991</v>
      </c>
      <c r="B106" s="6" t="s">
        <v>1093</v>
      </c>
      <c r="C106" s="6" t="s">
        <v>1094</v>
      </c>
      <c r="D106" s="6" t="s">
        <v>1004</v>
      </c>
      <c r="E106" s="6" t="s">
        <v>1049</v>
      </c>
      <c r="F106" s="6" t="s">
        <v>676</v>
      </c>
      <c r="G106" s="6" t="s">
        <v>19</v>
      </c>
      <c r="H106" s="6" t="s">
        <v>1050</v>
      </c>
      <c r="I106" s="7">
        <f>'Group KPIs'!K74</f>
        <v>54.03</v>
      </c>
      <c r="J106" s="13" t="s">
        <v>996</v>
      </c>
    </row>
    <row r="107" spans="1:10">
      <c r="A107" s="6" t="s">
        <v>991</v>
      </c>
      <c r="B107" s="6" t="s">
        <v>1093</v>
      </c>
      <c r="C107" s="6" t="s">
        <v>1094</v>
      </c>
      <c r="D107" s="6" t="s">
        <v>1004</v>
      </c>
      <c r="E107" s="6" t="s">
        <v>1112</v>
      </c>
      <c r="F107" s="6" t="s">
        <v>681</v>
      </c>
      <c r="G107" s="6" t="s">
        <v>19</v>
      </c>
      <c r="H107" s="6" t="s">
        <v>1113</v>
      </c>
      <c r="I107" s="8" t="str">
        <f>'Group KPIs'!K76</f>
        <v>15 on track · 6 at risk · 3 delayed</v>
      </c>
      <c r="J107" s="13" t="s">
        <v>996</v>
      </c>
    </row>
    <row r="108" spans="1:10">
      <c r="A108" s="6" t="s">
        <v>991</v>
      </c>
      <c r="B108" s="6" t="s">
        <v>1093</v>
      </c>
      <c r="C108" s="6" t="s">
        <v>1094</v>
      </c>
      <c r="D108" s="6" t="s">
        <v>1004</v>
      </c>
      <c r="E108" s="6" t="s">
        <v>680</v>
      </c>
      <c r="F108" s="6" t="s">
        <v>679</v>
      </c>
      <c r="G108" s="6" t="s">
        <v>19</v>
      </c>
      <c r="H108" s="6" t="s">
        <v>1050</v>
      </c>
      <c r="I108" s="7">
        <f>'Group KPIs'!K75</f>
        <v>54.03</v>
      </c>
      <c r="J108" s="13" t="s">
        <v>996</v>
      </c>
    </row>
    <row r="109" spans="1:10">
      <c r="A109" s="6" t="s">
        <v>991</v>
      </c>
      <c r="B109" s="6" t="s">
        <v>1093</v>
      </c>
      <c r="C109" s="6" t="s">
        <v>1094</v>
      </c>
      <c r="D109" s="6" t="s">
        <v>1004</v>
      </c>
      <c r="E109" s="6" t="s">
        <v>1114</v>
      </c>
      <c r="F109" s="6" t="s">
        <v>687</v>
      </c>
      <c r="G109" s="6" t="s">
        <v>19</v>
      </c>
      <c r="H109" s="6" t="s">
        <v>1105</v>
      </c>
      <c r="I109" s="7">
        <f>'Group KPIs'!K78</f>
        <v>14.21</v>
      </c>
      <c r="J109" s="13" t="s">
        <v>996</v>
      </c>
    </row>
    <row r="110" spans="1:10">
      <c r="A110" s="6" t="s">
        <v>991</v>
      </c>
      <c r="B110" s="6" t="s">
        <v>1093</v>
      </c>
      <c r="C110" s="6" t="s">
        <v>1094</v>
      </c>
      <c r="D110" s="6" t="s">
        <v>1004</v>
      </c>
      <c r="E110" s="6" t="s">
        <v>1115</v>
      </c>
      <c r="F110" s="6" t="s">
        <v>690</v>
      </c>
      <c r="G110" s="6" t="s">
        <v>19</v>
      </c>
      <c r="H110" s="6" t="s">
        <v>1107</v>
      </c>
      <c r="I110" s="7">
        <f>'Group KPIs'!K79</f>
        <v>8.71</v>
      </c>
      <c r="J110" s="13" t="s">
        <v>996</v>
      </c>
    </row>
    <row r="111" spans="1:10">
      <c r="A111" s="6" t="s">
        <v>991</v>
      </c>
      <c r="B111" s="6" t="s">
        <v>1093</v>
      </c>
      <c r="C111" s="6" t="s">
        <v>1094</v>
      </c>
      <c r="D111" s="6" t="s">
        <v>1004</v>
      </c>
      <c r="E111" s="6" t="s">
        <v>1116</v>
      </c>
      <c r="F111" s="6" t="s">
        <v>693</v>
      </c>
      <c r="G111" s="6" t="s">
        <v>19</v>
      </c>
      <c r="H111" s="6" t="s">
        <v>1108</v>
      </c>
      <c r="I111" s="7">
        <f>'Group KPIs'!K80</f>
        <v>11.25</v>
      </c>
      <c r="J111" s="13" t="s">
        <v>996</v>
      </c>
    </row>
    <row r="112" spans="1:10">
      <c r="A112" s="6" t="s">
        <v>991</v>
      </c>
      <c r="B112" s="6" t="s">
        <v>1117</v>
      </c>
      <c r="C112" s="6" t="s">
        <v>1118</v>
      </c>
      <c r="D112" s="6" t="s">
        <v>994</v>
      </c>
      <c r="E112" s="6" t="s">
        <v>1119</v>
      </c>
      <c r="F112" s="6" t="s">
        <v>762</v>
      </c>
      <c r="G112" s="6" t="s">
        <v>19</v>
      </c>
      <c r="H112" s="6" t="s">
        <v>1007</v>
      </c>
      <c r="I112" s="7">
        <f>'Group KPIs'!K105</f>
        <v>0.0</v>
      </c>
      <c r="J112" s="13" t="s">
        <v>996</v>
      </c>
    </row>
    <row r="113" spans="1:10">
      <c r="A113" s="6" t="s">
        <v>991</v>
      </c>
      <c r="B113" s="6" t="s">
        <v>1117</v>
      </c>
      <c r="C113" s="6" t="s">
        <v>1118</v>
      </c>
      <c r="D113" s="6" t="s">
        <v>994</v>
      </c>
      <c r="E113" s="6" t="s">
        <v>1120</v>
      </c>
      <c r="F113" s="6" t="s">
        <v>522</v>
      </c>
      <c r="G113" s="6" t="s">
        <v>19</v>
      </c>
      <c r="H113" s="6" t="s">
        <v>1121</v>
      </c>
      <c r="I113" s="7">
        <f>'Group KPIs'!K24</f>
        <v>0.47</v>
      </c>
      <c r="J113" s="14" t="s">
        <v>1001</v>
      </c>
    </row>
    <row r="114" spans="1:10">
      <c r="A114" s="6" t="s">
        <v>991</v>
      </c>
      <c r="B114" s="6" t="s">
        <v>1117</v>
      </c>
      <c r="C114" s="6" t="s">
        <v>1118</v>
      </c>
      <c r="D114" s="6" t="s">
        <v>994</v>
      </c>
      <c r="E114" s="6" t="s">
        <v>1122</v>
      </c>
      <c r="F114" s="6" t="s">
        <v>530</v>
      </c>
      <c r="G114" s="6" t="s">
        <v>19</v>
      </c>
      <c r="H114" s="6" t="s">
        <v>1007</v>
      </c>
      <c r="I114" s="7">
        <f>'Group KPIs'!K27</f>
        <v>0.0</v>
      </c>
      <c r="J114" s="13" t="s">
        <v>996</v>
      </c>
    </row>
    <row r="115" spans="1:10">
      <c r="A115" s="6" t="s">
        <v>991</v>
      </c>
      <c r="B115" s="6" t="s">
        <v>1117</v>
      </c>
      <c r="C115" s="6" t="s">
        <v>1118</v>
      </c>
      <c r="D115" s="6" t="s">
        <v>994</v>
      </c>
      <c r="E115" s="6" t="s">
        <v>739</v>
      </c>
      <c r="F115" s="6" t="s">
        <v>738</v>
      </c>
      <c r="G115" s="6" t="s">
        <v>19</v>
      </c>
      <c r="H115" s="6" t="s">
        <v>1007</v>
      </c>
      <c r="I115" s="7">
        <f>'Group KPIs'!K95</f>
        <v>0.0</v>
      </c>
      <c r="J115" s="13" t="s">
        <v>996</v>
      </c>
    </row>
    <row r="116" spans="1:10">
      <c r="A116" s="6" t="s">
        <v>991</v>
      </c>
      <c r="B116" s="6" t="s">
        <v>1117</v>
      </c>
      <c r="C116" s="6" t="s">
        <v>1118</v>
      </c>
      <c r="D116" s="6" t="s">
        <v>994</v>
      </c>
      <c r="E116" s="6" t="s">
        <v>1123</v>
      </c>
      <c r="F116" s="6" t="s">
        <v>542</v>
      </c>
      <c r="G116" s="6" t="s">
        <v>19</v>
      </c>
      <c r="H116" s="6" t="s">
        <v>1124</v>
      </c>
      <c r="I116" s="7">
        <f>'Group KPIs'!K32</f>
        <v>65.0</v>
      </c>
      <c r="J116" s="14" t="s">
        <v>1001</v>
      </c>
    </row>
    <row r="117" spans="1:10">
      <c r="A117" s="6" t="s">
        <v>991</v>
      </c>
      <c r="B117" s="6" t="s">
        <v>1117</v>
      </c>
      <c r="C117" s="6" t="s">
        <v>1118</v>
      </c>
      <c r="D117" s="6" t="s">
        <v>994</v>
      </c>
      <c r="E117" s="6" t="s">
        <v>746</v>
      </c>
      <c r="F117" s="6" t="s">
        <v>745</v>
      </c>
      <c r="G117" s="6" t="s">
        <v>19</v>
      </c>
      <c r="H117" s="6" t="s">
        <v>1077</v>
      </c>
      <c r="I117" s="8" t="str">
        <f>'Group KPIs'!K98</f>
        <v>Not triggered</v>
      </c>
      <c r="J117" s="13" t="s">
        <v>996</v>
      </c>
    </row>
    <row r="118" spans="1:10">
      <c r="A118" s="6" t="s">
        <v>991</v>
      </c>
      <c r="B118" s="6" t="s">
        <v>1117</v>
      </c>
      <c r="C118" s="6" t="s">
        <v>1118</v>
      </c>
      <c r="D118" s="6" t="s">
        <v>1004</v>
      </c>
      <c r="E118" s="6" t="s">
        <v>1125</v>
      </c>
      <c r="F118" s="6" t="s">
        <v>717</v>
      </c>
      <c r="G118" s="6" t="s">
        <v>19</v>
      </c>
      <c r="H118" s="6" t="s">
        <v>1126</v>
      </c>
      <c r="I118" s="7">
        <f>'Group KPIs'!K88</f>
        <v>4.0</v>
      </c>
      <c r="J118" s="13" t="s">
        <v>996</v>
      </c>
    </row>
    <row r="119" spans="1:10">
      <c r="A119" s="6" t="s">
        <v>991</v>
      </c>
      <c r="B119" s="6" t="s">
        <v>1117</v>
      </c>
      <c r="C119" s="6" t="s">
        <v>1118</v>
      </c>
      <c r="D119" s="6" t="s">
        <v>1004</v>
      </c>
      <c r="E119" s="6" t="s">
        <v>721</v>
      </c>
      <c r="F119" s="6" t="s">
        <v>720</v>
      </c>
      <c r="G119" s="6" t="s">
        <v>19</v>
      </c>
      <c r="H119" s="6" t="s">
        <v>1127</v>
      </c>
      <c r="I119" s="7">
        <f>'Group KPIs'!K89</f>
        <v>95.71</v>
      </c>
      <c r="J119" s="13" t="s">
        <v>996</v>
      </c>
    </row>
    <row r="120" spans="1:10">
      <c r="A120" s="6" t="s">
        <v>991</v>
      </c>
      <c r="B120" s="6" t="s">
        <v>1117</v>
      </c>
      <c r="C120" s="6" t="s">
        <v>1118</v>
      </c>
      <c r="D120" s="6" t="s">
        <v>1004</v>
      </c>
      <c r="E120" s="6" t="s">
        <v>724</v>
      </c>
      <c r="F120" s="6" t="s">
        <v>723</v>
      </c>
      <c r="G120" s="6" t="s">
        <v>19</v>
      </c>
      <c r="H120" s="6" t="s">
        <v>995</v>
      </c>
      <c r="I120" s="7">
        <f>'Group KPIs'!K90</f>
        <v>0.0</v>
      </c>
      <c r="J120" s="14" t="s">
        <v>1001</v>
      </c>
    </row>
    <row r="121" spans="1:10">
      <c r="A121" s="6" t="s">
        <v>991</v>
      </c>
      <c r="B121" s="6" t="s">
        <v>1117</v>
      </c>
      <c r="C121" s="6" t="s">
        <v>1118</v>
      </c>
      <c r="D121" s="6" t="s">
        <v>1004</v>
      </c>
      <c r="E121" s="6" t="s">
        <v>1128</v>
      </c>
      <c r="F121" s="6" t="s">
        <v>759</v>
      </c>
      <c r="G121" s="6" t="s">
        <v>19</v>
      </c>
      <c r="H121" s="6" t="s">
        <v>1126</v>
      </c>
      <c r="I121" s="7">
        <f>'Group KPIs'!K104</f>
        <v>4.0</v>
      </c>
      <c r="J121" s="13" t="s">
        <v>996</v>
      </c>
    </row>
    <row r="122" spans="1:10">
      <c r="A122" s="6" t="s">
        <v>991</v>
      </c>
      <c r="B122" s="6" t="s">
        <v>1117</v>
      </c>
      <c r="C122" s="6" t="s">
        <v>1118</v>
      </c>
      <c r="D122" s="6" t="s">
        <v>1004</v>
      </c>
      <c r="E122" s="6" t="s">
        <v>1129</v>
      </c>
      <c r="F122" s="6" t="s">
        <v>765</v>
      </c>
      <c r="G122" s="6" t="s">
        <v>19</v>
      </c>
      <c r="H122" s="6" t="s">
        <v>1130</v>
      </c>
      <c r="I122" s="7">
        <f>'Group KPIs'!K106</f>
        <v>4.0</v>
      </c>
      <c r="J122" s="14" t="s">
        <v>1001</v>
      </c>
    </row>
    <row r="123" spans="1:10">
      <c r="A123" s="6" t="s">
        <v>991</v>
      </c>
      <c r="B123" s="6" t="s">
        <v>1117</v>
      </c>
      <c r="C123" s="6" t="s">
        <v>1118</v>
      </c>
      <c r="D123" s="6" t="s">
        <v>1004</v>
      </c>
      <c r="E123" s="6" t="s">
        <v>1131</v>
      </c>
      <c r="F123" s="6" t="s">
        <v>768</v>
      </c>
      <c r="G123" s="6" t="s">
        <v>19</v>
      </c>
      <c r="H123" s="6" t="s">
        <v>1007</v>
      </c>
      <c r="I123" s="7">
        <f>'Group KPIs'!K107</f>
        <v>0.0</v>
      </c>
      <c r="J123" s="13" t="s">
        <v>996</v>
      </c>
    </row>
    <row r="124" spans="1:10">
      <c r="A124" s="6" t="s">
        <v>991</v>
      </c>
      <c r="B124" s="6" t="s">
        <v>1117</v>
      </c>
      <c r="C124" s="6" t="s">
        <v>1118</v>
      </c>
      <c r="D124" s="6" t="s">
        <v>1004</v>
      </c>
      <c r="E124" s="6" t="s">
        <v>1132</v>
      </c>
      <c r="F124" s="6" t="s">
        <v>771</v>
      </c>
      <c r="G124" s="6" t="s">
        <v>19</v>
      </c>
      <c r="H124" s="6" t="s">
        <v>995</v>
      </c>
      <c r="I124" s="7">
        <f>'Group KPIs'!K108</f>
        <v>1.0</v>
      </c>
      <c r="J124" s="13" t="s">
        <v>996</v>
      </c>
    </row>
    <row r="125" spans="1:10">
      <c r="A125" s="6" t="s">
        <v>991</v>
      </c>
      <c r="B125" s="6" t="s">
        <v>1117</v>
      </c>
      <c r="C125" s="6" t="s">
        <v>1118</v>
      </c>
      <c r="D125" s="6" t="s">
        <v>1004</v>
      </c>
      <c r="E125" s="6" t="s">
        <v>1133</v>
      </c>
      <c r="F125" s="6" t="s">
        <v>774</v>
      </c>
      <c r="G125" s="6" t="s">
        <v>19</v>
      </c>
      <c r="H125" s="6" t="s">
        <v>1007</v>
      </c>
      <c r="I125" s="7">
        <f>'Group KPIs'!K109</f>
        <v>0.0</v>
      </c>
      <c r="J125" s="13" t="s">
        <v>996</v>
      </c>
    </row>
    <row r="126" spans="1:10">
      <c r="A126" s="6" t="s">
        <v>991</v>
      </c>
      <c r="B126" s="6" t="s">
        <v>1117</v>
      </c>
      <c r="C126" s="6" t="s">
        <v>1118</v>
      </c>
      <c r="D126" s="6" t="s">
        <v>1004</v>
      </c>
      <c r="E126" s="6" t="s">
        <v>1134</v>
      </c>
      <c r="F126" s="6" t="s">
        <v>777</v>
      </c>
      <c r="G126" s="6" t="s">
        <v>19</v>
      </c>
      <c r="H126" s="6" t="s">
        <v>1007</v>
      </c>
      <c r="I126" s="7">
        <f>'Group KPIs'!K110</f>
        <v>0.0</v>
      </c>
      <c r="J126" s="13" t="s">
        <v>996</v>
      </c>
    </row>
    <row r="127" spans="1:10">
      <c r="A127" s="6" t="s">
        <v>991</v>
      </c>
      <c r="B127" s="6" t="s">
        <v>1117</v>
      </c>
      <c r="C127" s="6" t="s">
        <v>1118</v>
      </c>
      <c r="D127" s="6" t="s">
        <v>1004</v>
      </c>
      <c r="E127" s="6" t="s">
        <v>1135</v>
      </c>
      <c r="F127" s="6" t="s">
        <v>780</v>
      </c>
      <c r="G127" s="6" t="s">
        <v>19</v>
      </c>
      <c r="H127" s="6" t="s">
        <v>1136</v>
      </c>
      <c r="I127" s="7">
        <f>'Group KPIs'!K111</f>
        <v>14.0</v>
      </c>
      <c r="J127" s="14" t="s">
        <v>1001</v>
      </c>
    </row>
    <row r="128" spans="1:10">
      <c r="A128" s="6" t="s">
        <v>991</v>
      </c>
      <c r="B128" s="6" t="s">
        <v>1117</v>
      </c>
      <c r="C128" s="6" t="s">
        <v>1118</v>
      </c>
      <c r="D128" s="6" t="s">
        <v>1004</v>
      </c>
      <c r="E128" s="6" t="s">
        <v>1120</v>
      </c>
      <c r="F128" s="6" t="s">
        <v>522</v>
      </c>
      <c r="G128" s="6" t="s">
        <v>19</v>
      </c>
      <c r="H128" s="6" t="s">
        <v>1121</v>
      </c>
      <c r="I128" s="7">
        <f>'Group KPIs'!K24</f>
        <v>0.47</v>
      </c>
      <c r="J128" s="14" t="s">
        <v>1001</v>
      </c>
    </row>
    <row r="129" spans="1:10">
      <c r="A129" s="6" t="s">
        <v>991</v>
      </c>
      <c r="B129" s="6" t="s">
        <v>1117</v>
      </c>
      <c r="C129" s="6" t="s">
        <v>1118</v>
      </c>
      <c r="D129" s="6" t="s">
        <v>1004</v>
      </c>
      <c r="E129" s="6" t="s">
        <v>1137</v>
      </c>
      <c r="F129" s="6" t="s">
        <v>526</v>
      </c>
      <c r="G129" s="6" t="s">
        <v>19</v>
      </c>
      <c r="H129" s="6" t="s">
        <v>1007</v>
      </c>
      <c r="I129" s="7">
        <f>'Group KPIs'!K25</f>
        <v>3.0</v>
      </c>
      <c r="J129" s="14" t="s">
        <v>1001</v>
      </c>
    </row>
    <row r="130" spans="1:10">
      <c r="A130" s="6" t="s">
        <v>991</v>
      </c>
      <c r="B130" s="6" t="s">
        <v>1117</v>
      </c>
      <c r="C130" s="6" t="s">
        <v>1118</v>
      </c>
      <c r="D130" s="6" t="s">
        <v>1004</v>
      </c>
      <c r="E130" s="6" t="s">
        <v>1138</v>
      </c>
      <c r="F130" s="6" t="s">
        <v>528</v>
      </c>
      <c r="G130" s="6" t="s">
        <v>19</v>
      </c>
      <c r="H130" s="6" t="s">
        <v>1139</v>
      </c>
      <c r="I130" s="7">
        <f>'Group KPIs'!K26</f>
        <v>41.0</v>
      </c>
      <c r="J130" s="14" t="s">
        <v>1001</v>
      </c>
    </row>
    <row r="131" spans="1:10">
      <c r="A131" s="6" t="s">
        <v>991</v>
      </c>
      <c r="B131" s="6" t="s">
        <v>1117</v>
      </c>
      <c r="C131" s="6" t="s">
        <v>1118</v>
      </c>
      <c r="D131" s="6" t="s">
        <v>1004</v>
      </c>
      <c r="E131" s="6" t="s">
        <v>1140</v>
      </c>
      <c r="F131" s="6" t="s">
        <v>532</v>
      </c>
      <c r="G131" s="6" t="s">
        <v>19</v>
      </c>
      <c r="H131" s="6" t="s">
        <v>1141</v>
      </c>
      <c r="I131" s="7">
        <f>'Group KPIs'!K28</f>
        <v>2.0</v>
      </c>
      <c r="J131" s="14" t="s">
        <v>1001</v>
      </c>
    </row>
    <row r="132" spans="1:10">
      <c r="A132" s="6" t="s">
        <v>991</v>
      </c>
      <c r="B132" s="6" t="s">
        <v>1117</v>
      </c>
      <c r="C132" s="6" t="s">
        <v>1118</v>
      </c>
      <c r="D132" s="6" t="s">
        <v>1004</v>
      </c>
      <c r="E132" s="6" t="s">
        <v>537</v>
      </c>
      <c r="F132" s="6" t="s">
        <v>536</v>
      </c>
      <c r="G132" s="6" t="s">
        <v>19</v>
      </c>
      <c r="H132" s="6" t="s">
        <v>1007</v>
      </c>
      <c r="I132" s="7">
        <f>'Group KPIs'!K30</f>
        <v>9.0</v>
      </c>
      <c r="J132" s="14" t="s">
        <v>1001</v>
      </c>
    </row>
    <row r="133" spans="1:10">
      <c r="A133" s="6" t="s">
        <v>991</v>
      </c>
      <c r="B133" s="6" t="s">
        <v>1117</v>
      </c>
      <c r="C133" s="6" t="s">
        <v>1118</v>
      </c>
      <c r="D133" s="6" t="s">
        <v>1004</v>
      </c>
      <c r="E133" s="6" t="s">
        <v>755</v>
      </c>
      <c r="F133" s="6" t="s">
        <v>754</v>
      </c>
      <c r="G133" s="6" t="s">
        <v>19</v>
      </c>
      <c r="H133" s="6" t="s">
        <v>1142</v>
      </c>
      <c r="I133" s="7">
        <f>'Group KPIs'!K102</f>
        <v>0.0</v>
      </c>
      <c r="J133" s="13" t="s">
        <v>996</v>
      </c>
    </row>
    <row r="134" spans="1:10">
      <c r="A134" s="6" t="s">
        <v>991</v>
      </c>
      <c r="B134" s="6" t="s">
        <v>1117</v>
      </c>
      <c r="C134" s="6" t="s">
        <v>1118</v>
      </c>
      <c r="D134" s="6" t="s">
        <v>1004</v>
      </c>
      <c r="E134" s="6" t="s">
        <v>795</v>
      </c>
      <c r="F134" s="6" t="s">
        <v>794</v>
      </c>
      <c r="G134" s="6" t="s">
        <v>19</v>
      </c>
      <c r="H134" s="6" t="s">
        <v>1008</v>
      </c>
      <c r="I134" s="7">
        <f>'Group KPIs'!K116</f>
        <v>7.0</v>
      </c>
      <c r="J134" s="13" t="s">
        <v>996</v>
      </c>
    </row>
    <row r="135" spans="1:10">
      <c r="A135" s="6" t="s">
        <v>991</v>
      </c>
      <c r="B135" s="6" t="s">
        <v>1117</v>
      </c>
      <c r="C135" s="6" t="s">
        <v>1118</v>
      </c>
      <c r="D135" s="6" t="s">
        <v>1004</v>
      </c>
      <c r="E135" s="6" t="s">
        <v>1038</v>
      </c>
      <c r="F135" s="6" t="s">
        <v>748</v>
      </c>
      <c r="G135" s="6" t="s">
        <v>19</v>
      </c>
      <c r="H135" s="6" t="s">
        <v>1007</v>
      </c>
      <c r="I135" s="7">
        <f>'Group KPIs'!K99</f>
        <v>0.0</v>
      </c>
      <c r="J135" s="13" t="s">
        <v>996</v>
      </c>
    </row>
    <row r="136" spans="1:10">
      <c r="A136" s="6" t="s">
        <v>991</v>
      </c>
      <c r="B136" s="6" t="s">
        <v>1117</v>
      </c>
      <c r="C136" s="6" t="s">
        <v>1118</v>
      </c>
      <c r="D136" s="6" t="s">
        <v>1004</v>
      </c>
      <c r="E136" s="6" t="s">
        <v>498</v>
      </c>
      <c r="F136" s="6" t="s">
        <v>497</v>
      </c>
      <c r="G136" s="6" t="s">
        <v>19</v>
      </c>
      <c r="H136" s="6" t="s">
        <v>1143</v>
      </c>
      <c r="I136" s="7">
        <f>'Group KPIs'!K16</f>
        <v>1450141.0</v>
      </c>
      <c r="J136" s="14" t="s">
        <v>1001</v>
      </c>
    </row>
    <row r="137" spans="1:10">
      <c r="A137" s="6" t="s">
        <v>991</v>
      </c>
      <c r="B137" s="6" t="s">
        <v>1117</v>
      </c>
      <c r="C137" s="6" t="s">
        <v>1118</v>
      </c>
      <c r="D137" s="6" t="s">
        <v>1004</v>
      </c>
      <c r="E137" s="6" t="s">
        <v>502</v>
      </c>
      <c r="F137" s="6" t="s">
        <v>501</v>
      </c>
      <c r="G137" s="6" t="s">
        <v>19</v>
      </c>
      <c r="H137" s="6" t="s">
        <v>1144</v>
      </c>
      <c r="I137" s="7">
        <f>'Group KPIs'!K17</f>
        <v>427664.0</v>
      </c>
      <c r="J137" s="14" t="s">
        <v>1001</v>
      </c>
    </row>
    <row r="138" spans="1:10">
      <c r="A138" s="6" t="s">
        <v>991</v>
      </c>
      <c r="B138" s="6" t="s">
        <v>1117</v>
      </c>
      <c r="C138" s="6" t="s">
        <v>1118</v>
      </c>
      <c r="D138" s="6" t="s">
        <v>1004</v>
      </c>
      <c r="E138" s="6" t="s">
        <v>505</v>
      </c>
      <c r="F138" s="6" t="s">
        <v>504</v>
      </c>
      <c r="G138" s="6" t="s">
        <v>19</v>
      </c>
      <c r="H138" s="6" t="s">
        <v>1145</v>
      </c>
      <c r="I138" s="7">
        <f>'Group KPIs'!K18</f>
        <v>3.42</v>
      </c>
      <c r="J138" s="14" t="s">
        <v>1001</v>
      </c>
    </row>
    <row r="139" spans="1:10">
      <c r="A139" s="6" t="s">
        <v>991</v>
      </c>
      <c r="B139" s="6" t="s">
        <v>1146</v>
      </c>
      <c r="C139" s="6" t="s">
        <v>1147</v>
      </c>
      <c r="D139" s="6" t="s">
        <v>1031</v>
      </c>
      <c r="E139" s="6" t="s">
        <v>1148</v>
      </c>
      <c r="F139" s="6" t="s">
        <v>848</v>
      </c>
      <c r="G139" s="6" t="s">
        <v>19</v>
      </c>
      <c r="H139" s="6" t="s">
        <v>1149</v>
      </c>
      <c r="I139" s="7">
        <f>'Group KPIs'!K136</f>
        <v>2.45</v>
      </c>
      <c r="J139" s="13" t="s">
        <v>996</v>
      </c>
    </row>
    <row r="140" spans="1:10">
      <c r="A140" s="6" t="s">
        <v>991</v>
      </c>
      <c r="B140" s="6" t="s">
        <v>1146</v>
      </c>
      <c r="C140" s="6" t="s">
        <v>1147</v>
      </c>
      <c r="D140" s="6" t="s">
        <v>1031</v>
      </c>
      <c r="E140" s="6" t="s">
        <v>1150</v>
      </c>
      <c r="F140" s="6" t="s">
        <v>851</v>
      </c>
      <c r="G140" s="6" t="s">
        <v>19</v>
      </c>
      <c r="H140" s="6" t="s">
        <v>1151</v>
      </c>
      <c r="I140" s="7">
        <f>'Group KPIs'!K137</f>
        <v>11.0</v>
      </c>
      <c r="J140" s="13" t="s">
        <v>996</v>
      </c>
    </row>
    <row r="141" spans="1:10">
      <c r="A141" s="6" t="s">
        <v>991</v>
      </c>
      <c r="B141" s="6" t="s">
        <v>1146</v>
      </c>
      <c r="C141" s="6" t="s">
        <v>1147</v>
      </c>
      <c r="D141" s="6" t="s">
        <v>1031</v>
      </c>
      <c r="E141" s="6" t="s">
        <v>1152</v>
      </c>
      <c r="F141" s="6" t="s">
        <v>854</v>
      </c>
      <c r="G141" s="6" t="s">
        <v>19</v>
      </c>
      <c r="H141" s="6" t="s">
        <v>1153</v>
      </c>
      <c r="I141" s="7">
        <f>'Group KPIs'!K138</f>
        <v>4.0</v>
      </c>
      <c r="J141" s="14" t="s">
        <v>1001</v>
      </c>
    </row>
    <row r="142" spans="1:10">
      <c r="A142" s="6" t="s">
        <v>991</v>
      </c>
      <c r="B142" s="6" t="s">
        <v>1146</v>
      </c>
      <c r="C142" s="6" t="s">
        <v>1147</v>
      </c>
      <c r="D142" s="6" t="s">
        <v>1031</v>
      </c>
      <c r="E142" s="6" t="s">
        <v>1154</v>
      </c>
      <c r="F142" s="6" t="s">
        <v>858</v>
      </c>
      <c r="G142" s="6" t="s">
        <v>19</v>
      </c>
      <c r="H142" s="6" t="s">
        <v>1155</v>
      </c>
      <c r="I142" s="8" t="str">
        <f>'Group KPIs'!K139</f>
        <v>8 of 9</v>
      </c>
      <c r="J142" s="14" t="s">
        <v>1001</v>
      </c>
    </row>
    <row r="143" spans="1:10">
      <c r="A143" s="6" t="s">
        <v>991</v>
      </c>
      <c r="B143" s="6" t="s">
        <v>1156</v>
      </c>
      <c r="C143" s="6" t="s">
        <v>1157</v>
      </c>
      <c r="D143" s="6" t="s">
        <v>994</v>
      </c>
      <c r="E143" s="6" t="s">
        <v>1158</v>
      </c>
      <c r="F143" s="6" t="s">
        <v>488</v>
      </c>
      <c r="G143" s="6" t="s">
        <v>19</v>
      </c>
      <c r="H143" s="6" t="s">
        <v>1159</v>
      </c>
      <c r="I143" s="7">
        <f>'Group KPIs'!K13</f>
        <v>2933.74</v>
      </c>
      <c r="J143" s="14" t="s">
        <v>1001</v>
      </c>
    </row>
    <row r="144" spans="1:10">
      <c r="A144" s="6" t="s">
        <v>991</v>
      </c>
      <c r="B144" s="6" t="s">
        <v>1156</v>
      </c>
      <c r="C144" s="6" t="s">
        <v>1157</v>
      </c>
      <c r="D144" s="6" t="s">
        <v>994</v>
      </c>
      <c r="E144" s="6" t="s">
        <v>1029</v>
      </c>
      <c r="F144" s="6" t="s">
        <v>453</v>
      </c>
      <c r="G144" s="6" t="s">
        <v>19</v>
      </c>
      <c r="H144" s="6" t="s">
        <v>1030</v>
      </c>
      <c r="I144" s="7">
        <f>'Group KPIs'!K2</f>
        <v>95.51</v>
      </c>
      <c r="J144" s="14" t="s">
        <v>1001</v>
      </c>
    </row>
    <row r="145" spans="1:10">
      <c r="A145" s="6" t="s">
        <v>991</v>
      </c>
      <c r="B145" s="6" t="s">
        <v>1156</v>
      </c>
      <c r="C145" s="6" t="s">
        <v>1157</v>
      </c>
      <c r="D145" s="6" t="s">
        <v>994</v>
      </c>
      <c r="E145" s="6" t="s">
        <v>1048</v>
      </c>
      <c r="F145" s="6" t="s">
        <v>545</v>
      </c>
      <c r="G145" s="6" t="s">
        <v>19</v>
      </c>
      <c r="H145" s="6" t="s">
        <v>1160</v>
      </c>
      <c r="I145" s="7">
        <f>'Group KPIs'!K33</f>
        <v>83.44</v>
      </c>
      <c r="J145" s="14" t="s">
        <v>1001</v>
      </c>
    </row>
    <row r="146" spans="1:10">
      <c r="A146" s="6" t="s">
        <v>991</v>
      </c>
      <c r="B146" s="6" t="s">
        <v>1156</v>
      </c>
      <c r="C146" s="6" t="s">
        <v>1157</v>
      </c>
      <c r="D146" s="6" t="s">
        <v>994</v>
      </c>
      <c r="E146" s="6" t="s">
        <v>1161</v>
      </c>
      <c r="F146" s="6" t="s">
        <v>547</v>
      </c>
      <c r="G146" s="6" t="s">
        <v>19</v>
      </c>
      <c r="H146" s="6" t="s">
        <v>1162</v>
      </c>
      <c r="I146" s="7">
        <f>'Group KPIs'!K34</f>
        <v>84.07</v>
      </c>
      <c r="J146" s="14" t="s">
        <v>1001</v>
      </c>
    </row>
    <row r="147" spans="1:10">
      <c r="A147" s="6" t="s">
        <v>991</v>
      </c>
      <c r="B147" s="6" t="s">
        <v>1156</v>
      </c>
      <c r="C147" s="6" t="s">
        <v>1157</v>
      </c>
      <c r="D147" s="6" t="s">
        <v>994</v>
      </c>
      <c r="E147" s="6" t="s">
        <v>1163</v>
      </c>
      <c r="F147" s="6" t="s">
        <v>472</v>
      </c>
      <c r="G147" s="6" t="s">
        <v>19</v>
      </c>
      <c r="H147" s="6" t="s">
        <v>1164</v>
      </c>
      <c r="I147" s="7">
        <f>'Group KPIs'!K8</f>
        <v>269.69</v>
      </c>
      <c r="J147" s="14" t="s">
        <v>1001</v>
      </c>
    </row>
    <row r="148" spans="1:10">
      <c r="A148" s="6" t="s">
        <v>991</v>
      </c>
      <c r="B148" s="6" t="s">
        <v>1156</v>
      </c>
      <c r="C148" s="6" t="s">
        <v>1157</v>
      </c>
      <c r="D148" s="6" t="s">
        <v>994</v>
      </c>
      <c r="E148" s="6" t="s">
        <v>1165</v>
      </c>
      <c r="F148" s="6" t="s">
        <v>696</v>
      </c>
      <c r="G148" s="6" t="s">
        <v>19</v>
      </c>
      <c r="H148" s="6" t="s">
        <v>1166</v>
      </c>
      <c r="I148" s="7">
        <f>'Group KPIs'!K81</f>
        <v>91.41</v>
      </c>
      <c r="J148" s="13" t="s">
        <v>996</v>
      </c>
    </row>
    <row r="149" spans="1:10">
      <c r="A149" s="6" t="s">
        <v>991</v>
      </c>
      <c r="B149" s="6" t="s">
        <v>1156</v>
      </c>
      <c r="C149" s="6" t="s">
        <v>1157</v>
      </c>
      <c r="D149" s="6" t="s">
        <v>1031</v>
      </c>
      <c r="E149" s="6" t="s">
        <v>1032</v>
      </c>
      <c r="F149" s="6" t="s">
        <v>874</v>
      </c>
      <c r="G149" s="6" t="s">
        <v>187</v>
      </c>
      <c r="H149" s="6" t="s">
        <v>1033</v>
      </c>
      <c r="I149" s="7">
        <f>'Plant KPIs'!Q59</f>
        <v>4.0</v>
      </c>
      <c r="J149" s="13" t="s">
        <v>996</v>
      </c>
    </row>
    <row r="150" spans="1:10">
      <c r="A150" s="6" t="s">
        <v>991</v>
      </c>
      <c r="B150" s="6" t="s">
        <v>1156</v>
      </c>
      <c r="C150" s="6" t="s">
        <v>1157</v>
      </c>
      <c r="D150" s="6" t="s">
        <v>1031</v>
      </c>
      <c r="E150" s="6" t="s">
        <v>1167</v>
      </c>
      <c r="F150" s="6" t="s">
        <v>894</v>
      </c>
      <c r="G150" s="6" t="s">
        <v>19</v>
      </c>
      <c r="H150" s="6" t="s">
        <v>1168</v>
      </c>
      <c r="I150" s="7">
        <f>'Group KPIs'!K149</f>
        <v>28.01</v>
      </c>
      <c r="J150" s="14" t="s">
        <v>1001</v>
      </c>
    </row>
    <row r="151" spans="1:10">
      <c r="A151" s="6" t="s">
        <v>991</v>
      </c>
      <c r="B151" s="6" t="s">
        <v>1156</v>
      </c>
      <c r="C151" s="6" t="s">
        <v>1157</v>
      </c>
      <c r="D151" s="6" t="s">
        <v>1031</v>
      </c>
      <c r="E151" s="6" t="s">
        <v>1169</v>
      </c>
      <c r="F151" s="6" t="s">
        <v>898</v>
      </c>
      <c r="G151" s="6" t="s">
        <v>19</v>
      </c>
      <c r="H151" s="6" t="s">
        <v>1170</v>
      </c>
      <c r="I151" s="7">
        <f>'Group KPIs'!K150</f>
        <v>0.0</v>
      </c>
      <c r="J151" s="14" t="s">
        <v>1001</v>
      </c>
    </row>
    <row r="152" spans="1:10">
      <c r="A152" s="6" t="s">
        <v>991</v>
      </c>
      <c r="B152" s="6" t="s">
        <v>1156</v>
      </c>
      <c r="C152" s="6" t="s">
        <v>1157</v>
      </c>
      <c r="D152" s="6" t="s">
        <v>1031</v>
      </c>
      <c r="E152" s="6" t="s">
        <v>1171</v>
      </c>
      <c r="F152" s="6" t="s">
        <v>514</v>
      </c>
      <c r="G152" s="6" t="s">
        <v>19</v>
      </c>
      <c r="H152" s="6" t="s">
        <v>1172</v>
      </c>
      <c r="I152" s="7">
        <f>'Group KPIs'!K21</f>
        <v>5.0</v>
      </c>
      <c r="J152" s="14" t="s">
        <v>1001</v>
      </c>
    </row>
    <row r="153" spans="1:10">
      <c r="A153" s="6" t="s">
        <v>991</v>
      </c>
      <c r="B153" s="6" t="s">
        <v>1156</v>
      </c>
      <c r="C153" s="6" t="s">
        <v>1157</v>
      </c>
      <c r="D153" s="6" t="s">
        <v>1004</v>
      </c>
      <c r="E153" s="6" t="s">
        <v>1158</v>
      </c>
      <c r="F153" s="6" t="s">
        <v>488</v>
      </c>
      <c r="G153" s="6" t="s">
        <v>19</v>
      </c>
      <c r="H153" s="6" t="s">
        <v>1173</v>
      </c>
      <c r="I153" s="7">
        <f>'Group KPIs'!K13</f>
        <v>2933.74</v>
      </c>
      <c r="J153" s="14" t="s">
        <v>1001</v>
      </c>
    </row>
    <row r="154" spans="1:10">
      <c r="A154" s="6" t="s">
        <v>991</v>
      </c>
      <c r="B154" s="6" t="s">
        <v>1156</v>
      </c>
      <c r="C154" s="6" t="s">
        <v>1157</v>
      </c>
      <c r="D154" s="6" t="s">
        <v>1004</v>
      </c>
      <c r="E154" s="6" t="s">
        <v>1174</v>
      </c>
      <c r="F154" s="6" t="s">
        <v>492</v>
      </c>
      <c r="G154" s="6" t="s">
        <v>19</v>
      </c>
      <c r="H154" s="6" t="s">
        <v>1175</v>
      </c>
      <c r="I154" s="7">
        <f>'Group KPIs'!K14</f>
        <v>1827824.8</v>
      </c>
      <c r="J154" s="14" t="s">
        <v>1001</v>
      </c>
    </row>
    <row r="155" spans="1:10">
      <c r="A155" s="6" t="s">
        <v>991</v>
      </c>
      <c r="B155" s="6" t="s">
        <v>1156</v>
      </c>
      <c r="C155" s="6" t="s">
        <v>1157</v>
      </c>
      <c r="D155" s="6" t="s">
        <v>1004</v>
      </c>
      <c r="E155" s="6" t="s">
        <v>1176</v>
      </c>
      <c r="F155" s="6" t="s">
        <v>495</v>
      </c>
      <c r="G155" s="6" t="s">
        <v>19</v>
      </c>
      <c r="H155" s="6" t="s">
        <v>1177</v>
      </c>
      <c r="I155" s="7">
        <f>'Group KPIs'!K15</f>
        <v>459369.3</v>
      </c>
      <c r="J155" s="14" t="s">
        <v>1001</v>
      </c>
    </row>
    <row r="156" spans="1:10">
      <c r="A156" s="6" t="s">
        <v>991</v>
      </c>
      <c r="B156" s="6" t="s">
        <v>1156</v>
      </c>
      <c r="C156" s="6" t="s">
        <v>1157</v>
      </c>
      <c r="D156" s="6" t="s">
        <v>1004</v>
      </c>
      <c r="E156" s="6" t="s">
        <v>556</v>
      </c>
      <c r="F156" s="6" t="s">
        <v>555</v>
      </c>
      <c r="G156" s="6" t="s">
        <v>19</v>
      </c>
      <c r="H156" s="6" t="s">
        <v>1178</v>
      </c>
      <c r="I156" s="7">
        <f>'Group KPIs'!K37</f>
        <v>174.29</v>
      </c>
      <c r="J156" s="14" t="s">
        <v>1001</v>
      </c>
    </row>
    <row r="157" spans="1:10">
      <c r="A157" s="6" t="s">
        <v>991</v>
      </c>
      <c r="B157" s="6" t="s">
        <v>1156</v>
      </c>
      <c r="C157" s="6" t="s">
        <v>1157</v>
      </c>
      <c r="D157" s="6" t="s">
        <v>1004</v>
      </c>
      <c r="E157" s="6" t="s">
        <v>482</v>
      </c>
      <c r="F157" s="6" t="s">
        <v>894</v>
      </c>
      <c r="G157" s="6" t="s">
        <v>19</v>
      </c>
      <c r="H157" s="6" t="s">
        <v>1168</v>
      </c>
      <c r="I157" s="7">
        <f>'Group KPIs'!K149</f>
        <v>28.01</v>
      </c>
      <c r="J157" s="14" t="s">
        <v>1001</v>
      </c>
    </row>
    <row r="158" spans="1:10">
      <c r="A158" s="6" t="s">
        <v>991</v>
      </c>
      <c r="B158" s="6" t="s">
        <v>1156</v>
      </c>
      <c r="C158" s="6" t="s">
        <v>1157</v>
      </c>
      <c r="D158" s="6" t="s">
        <v>1004</v>
      </c>
      <c r="E158" s="6" t="s">
        <v>1163</v>
      </c>
      <c r="F158" s="6" t="s">
        <v>472</v>
      </c>
      <c r="G158" s="6" t="s">
        <v>19</v>
      </c>
      <c r="H158" s="6" t="s">
        <v>1164</v>
      </c>
      <c r="I158" s="7">
        <f>'Group KPIs'!K8</f>
        <v>269.69</v>
      </c>
      <c r="J158" s="14" t="s">
        <v>1001</v>
      </c>
    </row>
    <row r="159" spans="1:10">
      <c r="A159" s="6" t="s">
        <v>991</v>
      </c>
      <c r="B159" s="6" t="s">
        <v>1156</v>
      </c>
      <c r="C159" s="6" t="s">
        <v>1157</v>
      </c>
      <c r="D159" s="6" t="s">
        <v>1004</v>
      </c>
      <c r="E159" s="6" t="s">
        <v>1179</v>
      </c>
      <c r="F159" s="6" t="s">
        <v>476</v>
      </c>
      <c r="G159" s="6" t="s">
        <v>19</v>
      </c>
      <c r="H159" s="6" t="s">
        <v>1180</v>
      </c>
      <c r="I159" s="7">
        <f>'Group KPIs'!K9</f>
        <v>7.83</v>
      </c>
      <c r="J159" s="14" t="s">
        <v>1001</v>
      </c>
    </row>
    <row r="160" spans="1:10">
      <c r="A160" s="6" t="s">
        <v>991</v>
      </c>
      <c r="B160" s="6" t="s">
        <v>1156</v>
      </c>
      <c r="C160" s="6" t="s">
        <v>1157</v>
      </c>
      <c r="D160" s="6" t="s">
        <v>1004</v>
      </c>
      <c r="E160" s="6" t="s">
        <v>1181</v>
      </c>
      <c r="F160" s="6" t="s">
        <v>479</v>
      </c>
      <c r="G160" s="6" t="s">
        <v>19</v>
      </c>
      <c r="H160" s="6" t="s">
        <v>1182</v>
      </c>
      <c r="I160" s="7">
        <f>'Group KPIs'!K10</f>
        <v>154.4</v>
      </c>
      <c r="J160" s="14" t="s">
        <v>1001</v>
      </c>
    </row>
    <row r="161" spans="1:10">
      <c r="A161" s="6" t="s">
        <v>991</v>
      </c>
      <c r="B161" s="6" t="s">
        <v>1156</v>
      </c>
      <c r="C161" s="6" t="s">
        <v>1157</v>
      </c>
      <c r="D161" s="6" t="s">
        <v>1004</v>
      </c>
      <c r="E161" s="6" t="s">
        <v>1183</v>
      </c>
      <c r="F161" s="6" t="s">
        <v>485</v>
      </c>
      <c r="G161" s="6" t="s">
        <v>19</v>
      </c>
      <c r="H161" s="6" t="s">
        <v>1184</v>
      </c>
      <c r="I161" s="7">
        <f>'Group KPIs'!K12</f>
        <v>95.62</v>
      </c>
      <c r="J161" s="14" t="s">
        <v>1001</v>
      </c>
    </row>
    <row r="162" spans="1:10">
      <c r="A162" s="6" t="s">
        <v>991</v>
      </c>
      <c r="B162" s="6" t="s">
        <v>1156</v>
      </c>
      <c r="C162" s="6" t="s">
        <v>1157</v>
      </c>
      <c r="D162" s="6" t="s">
        <v>1004</v>
      </c>
      <c r="E162" s="6" t="s">
        <v>1185</v>
      </c>
      <c r="F162" s="6" t="s">
        <v>514</v>
      </c>
      <c r="G162" s="6" t="s">
        <v>19</v>
      </c>
      <c r="H162" s="6" t="s">
        <v>1172</v>
      </c>
      <c r="I162" s="7">
        <f>'Group KPIs'!K21</f>
        <v>5.0</v>
      </c>
      <c r="J162" s="14" t="s">
        <v>1001</v>
      </c>
    </row>
    <row r="163" spans="1:10">
      <c r="A163" s="6" t="s">
        <v>991</v>
      </c>
      <c r="B163" s="6" t="s">
        <v>1156</v>
      </c>
      <c r="C163" s="6" t="s">
        <v>1157</v>
      </c>
      <c r="D163" s="6" t="s">
        <v>1004</v>
      </c>
      <c r="E163" s="6" t="s">
        <v>1186</v>
      </c>
      <c r="F163" s="6" t="s">
        <v>696</v>
      </c>
      <c r="G163" s="6" t="s">
        <v>19</v>
      </c>
      <c r="H163" s="6" t="s">
        <v>1080</v>
      </c>
      <c r="I163" s="7">
        <f>'Group KPIs'!K81</f>
        <v>91.41</v>
      </c>
      <c r="J163" s="13" t="s">
        <v>996</v>
      </c>
    </row>
    <row r="164" spans="1:10">
      <c r="A164" s="6" t="s">
        <v>991</v>
      </c>
      <c r="B164" s="6" t="s">
        <v>1156</v>
      </c>
      <c r="C164" s="6" t="s">
        <v>1157</v>
      </c>
      <c r="D164" s="6" t="s">
        <v>1004</v>
      </c>
      <c r="E164" s="6" t="s">
        <v>712</v>
      </c>
      <c r="F164" s="6" t="s">
        <v>711</v>
      </c>
      <c r="G164" s="6" t="s">
        <v>19</v>
      </c>
      <c r="H164" s="6" t="s">
        <v>1187</v>
      </c>
      <c r="I164" s="7">
        <f>'Group KPIs'!K86</f>
        <v>35.19</v>
      </c>
      <c r="J164" s="14" t="s">
        <v>1001</v>
      </c>
    </row>
    <row r="165" spans="1:10">
      <c r="A165" s="6" t="s">
        <v>991</v>
      </c>
      <c r="B165" s="6" t="s">
        <v>1156</v>
      </c>
      <c r="C165" s="6" t="s">
        <v>1157</v>
      </c>
      <c r="D165" s="6" t="s">
        <v>1004</v>
      </c>
      <c r="E165" s="6" t="s">
        <v>715</v>
      </c>
      <c r="F165" s="6" t="s">
        <v>714</v>
      </c>
      <c r="G165" s="6" t="s">
        <v>19</v>
      </c>
      <c r="H165" s="6" t="s">
        <v>1007</v>
      </c>
      <c r="I165" s="7">
        <f>'Group KPIs'!K87</f>
        <v>3.0</v>
      </c>
      <c r="J165" s="14" t="s">
        <v>1001</v>
      </c>
    </row>
    <row r="166" spans="1:10">
      <c r="A166" s="6" t="s">
        <v>991</v>
      </c>
      <c r="B166" s="6" t="s">
        <v>1156</v>
      </c>
      <c r="C166" s="6" t="s">
        <v>1157</v>
      </c>
      <c r="D166" s="6" t="s">
        <v>1004</v>
      </c>
      <c r="E166" s="6" t="s">
        <v>498</v>
      </c>
      <c r="F166" s="6" t="s">
        <v>497</v>
      </c>
      <c r="G166" s="6" t="s">
        <v>19</v>
      </c>
      <c r="H166" s="6" t="s">
        <v>1143</v>
      </c>
      <c r="I166" s="7">
        <f>'Group KPIs'!K16</f>
        <v>1450141.0</v>
      </c>
      <c r="J166" s="14" t="s">
        <v>1001</v>
      </c>
    </row>
    <row r="167" spans="1:10">
      <c r="A167" s="6" t="s">
        <v>991</v>
      </c>
      <c r="B167" s="6" t="s">
        <v>1156</v>
      </c>
      <c r="C167" s="6" t="s">
        <v>1157</v>
      </c>
      <c r="D167" s="6" t="s">
        <v>1004</v>
      </c>
      <c r="E167" s="6" t="s">
        <v>502</v>
      </c>
      <c r="F167" s="6" t="s">
        <v>501</v>
      </c>
      <c r="G167" s="6" t="s">
        <v>19</v>
      </c>
      <c r="H167" s="6" t="s">
        <v>1144</v>
      </c>
      <c r="I167" s="7">
        <f>'Group KPIs'!K17</f>
        <v>427664.0</v>
      </c>
      <c r="J167" s="14" t="s">
        <v>1001</v>
      </c>
    </row>
    <row r="168" spans="1:10">
      <c r="A168" s="6" t="s">
        <v>991</v>
      </c>
      <c r="B168" s="6" t="s">
        <v>1156</v>
      </c>
      <c r="C168" s="6" t="s">
        <v>1157</v>
      </c>
      <c r="D168" s="6" t="s">
        <v>1004</v>
      </c>
      <c r="E168" s="6" t="s">
        <v>505</v>
      </c>
      <c r="F168" s="6" t="s">
        <v>504</v>
      </c>
      <c r="G168" s="6" t="s">
        <v>19</v>
      </c>
      <c r="H168" s="6" t="s">
        <v>1145</v>
      </c>
      <c r="I168" s="7">
        <f>'Group KPIs'!K18</f>
        <v>3.42</v>
      </c>
      <c r="J168" s="14" t="s">
        <v>1001</v>
      </c>
    </row>
    <row r="169" spans="1:10">
      <c r="A169" s="6" t="s">
        <v>991</v>
      </c>
      <c r="B169" s="6" t="s">
        <v>1188</v>
      </c>
      <c r="C169" s="6" t="s">
        <v>1189</v>
      </c>
      <c r="D169" s="6" t="s">
        <v>994</v>
      </c>
      <c r="E169" s="6" t="s">
        <v>1190</v>
      </c>
      <c r="F169" s="6" t="s">
        <v>453</v>
      </c>
      <c r="G169" s="6" t="s">
        <v>179</v>
      </c>
      <c r="H169" s="6" t="s">
        <v>1191</v>
      </c>
      <c r="I169" s="7">
        <f>'Entity KPIs'!K2</f>
        <v>91.27</v>
      </c>
      <c r="J169" s="14" t="s">
        <v>1001</v>
      </c>
    </row>
    <row r="170" spans="1:10">
      <c r="A170" s="6" t="s">
        <v>991</v>
      </c>
      <c r="B170" s="6" t="s">
        <v>1192</v>
      </c>
      <c r="C170" s="6" t="s">
        <v>1193</v>
      </c>
      <c r="D170" s="6" t="s">
        <v>994</v>
      </c>
      <c r="E170" s="6" t="s">
        <v>1036</v>
      </c>
      <c r="F170" s="6" t="s">
        <v>882</v>
      </c>
      <c r="G170" s="6" t="s">
        <v>19</v>
      </c>
      <c r="H170" s="6" t="s">
        <v>1194</v>
      </c>
      <c r="I170" s="7">
        <f>'Group KPIs'!K146</f>
        <v>-56.18</v>
      </c>
      <c r="J170" s="14" t="s">
        <v>1001</v>
      </c>
    </row>
    <row r="171" spans="1:10">
      <c r="A171" s="6" t="s">
        <v>991</v>
      </c>
      <c r="B171" s="6" t="s">
        <v>1195</v>
      </c>
      <c r="C171" s="6" t="s">
        <v>1196</v>
      </c>
      <c r="D171" s="6" t="s">
        <v>994</v>
      </c>
      <c r="E171" s="6" t="s">
        <v>1197</v>
      </c>
      <c r="F171" s="6" t="s">
        <v>453</v>
      </c>
      <c r="G171" s="6" t="s">
        <v>187</v>
      </c>
      <c r="H171" s="6" t="s">
        <v>1198</v>
      </c>
      <c r="I171" s="7">
        <f>'Plant KPIs'!Q2</f>
        <v>78.4</v>
      </c>
      <c r="J171" s="14" t="s">
        <v>1001</v>
      </c>
    </row>
    <row r="172" spans="1:10">
      <c r="A172" s="6" t="s">
        <v>991</v>
      </c>
      <c r="B172" s="6" t="s">
        <v>1195</v>
      </c>
      <c r="C172" s="6" t="s">
        <v>1196</v>
      </c>
      <c r="D172" s="6" t="s">
        <v>994</v>
      </c>
      <c r="E172" s="6" t="s">
        <v>1032</v>
      </c>
      <c r="F172" s="6" t="s">
        <v>874</v>
      </c>
      <c r="G172" s="6" t="s">
        <v>187</v>
      </c>
      <c r="H172" s="6" t="s">
        <v>1033</v>
      </c>
      <c r="I172" s="7">
        <f>'Plant KPIs'!Q59</f>
        <v>4.0</v>
      </c>
      <c r="J172" s="13" t="s">
        <v>996</v>
      </c>
    </row>
    <row r="173" spans="1:10">
      <c r="A173" s="6" t="s">
        <v>991</v>
      </c>
      <c r="B173" s="6" t="s">
        <v>1195</v>
      </c>
      <c r="C173" s="6" t="s">
        <v>1196</v>
      </c>
      <c r="D173" s="6" t="s">
        <v>994</v>
      </c>
      <c r="E173" s="6" t="s">
        <v>1199</v>
      </c>
      <c r="F173" s="6" t="s">
        <v>508</v>
      </c>
      <c r="G173" s="6" t="s">
        <v>187</v>
      </c>
      <c r="H173" s="6" t="s">
        <v>1200</v>
      </c>
      <c r="I173" s="7">
        <f>'Plant KPIs'!Q19</f>
        <v>24322.0</v>
      </c>
      <c r="J173" s="14" t="s">
        <v>1001</v>
      </c>
    </row>
    <row r="174" spans="1:10">
      <c r="A174" s="6" t="s">
        <v>991</v>
      </c>
      <c r="B174" s="6" t="s">
        <v>1195</v>
      </c>
      <c r="C174" s="6" t="s">
        <v>1196</v>
      </c>
      <c r="D174" s="6" t="s">
        <v>994</v>
      </c>
      <c r="E174" s="6" t="s">
        <v>1201</v>
      </c>
      <c r="F174" s="6" t="s">
        <v>514</v>
      </c>
      <c r="G174" s="6" t="s">
        <v>19</v>
      </c>
      <c r="H174" s="6" t="s">
        <v>1172</v>
      </c>
      <c r="I174" s="7">
        <f>'Group KPIs'!K21</f>
        <v>5.0</v>
      </c>
      <c r="J174" s="14" t="s">
        <v>1001</v>
      </c>
    </row>
    <row r="175" spans="1:10">
      <c r="A175" s="6" t="s">
        <v>991</v>
      </c>
      <c r="B175" s="6" t="s">
        <v>1202</v>
      </c>
      <c r="C175" s="6" t="s">
        <v>1203</v>
      </c>
      <c r="D175" s="6" t="s">
        <v>994</v>
      </c>
      <c r="E175" s="6" t="s">
        <v>1204</v>
      </c>
      <c r="F175" s="6" t="s">
        <v>591</v>
      </c>
      <c r="G175" s="6" t="s">
        <v>179</v>
      </c>
      <c r="H175" s="6" t="s">
        <v>1205</v>
      </c>
      <c r="I175" s="7">
        <f>'Entity KPIs'!K48</f>
        <v>38.6</v>
      </c>
      <c r="J175" s="14" t="s">
        <v>1001</v>
      </c>
    </row>
    <row r="176" spans="1:10">
      <c r="A176" s="6" t="s">
        <v>991</v>
      </c>
      <c r="B176" s="6" t="s">
        <v>1202</v>
      </c>
      <c r="C176" s="6" t="s">
        <v>1203</v>
      </c>
      <c r="D176" s="6" t="s">
        <v>994</v>
      </c>
      <c r="E176" s="6" t="s">
        <v>599</v>
      </c>
      <c r="F176" s="6" t="s">
        <v>598</v>
      </c>
      <c r="G176" s="6" t="s">
        <v>19</v>
      </c>
      <c r="H176" s="6" t="s">
        <v>1061</v>
      </c>
      <c r="I176" s="7">
        <f>'Group KPIs'!K50</f>
        <v>27.21</v>
      </c>
      <c r="J176" s="14" t="s">
        <v>1001</v>
      </c>
    </row>
    <row r="177" spans="1:10">
      <c r="A177" s="6" t="s">
        <v>991</v>
      </c>
      <c r="B177" s="6" t="s">
        <v>1202</v>
      </c>
      <c r="C177" s="6" t="s">
        <v>1203</v>
      </c>
      <c r="D177" s="6" t="s">
        <v>994</v>
      </c>
      <c r="E177" s="6" t="s">
        <v>518</v>
      </c>
      <c r="F177" s="6" t="s">
        <v>517</v>
      </c>
      <c r="G177" s="6" t="s">
        <v>19</v>
      </c>
      <c r="H177" s="6" t="s">
        <v>1206</v>
      </c>
      <c r="I177" s="7">
        <f>'Group KPIs'!K22</f>
        <v>8.66</v>
      </c>
      <c r="J177" s="14" t="s">
        <v>1001</v>
      </c>
    </row>
    <row r="178" spans="1:10">
      <c r="A178" s="6" t="s">
        <v>991</v>
      </c>
      <c r="B178" s="6" t="s">
        <v>1202</v>
      </c>
      <c r="C178" s="6" t="s">
        <v>1203</v>
      </c>
      <c r="D178" s="6" t="s">
        <v>994</v>
      </c>
      <c r="E178" s="6" t="s">
        <v>1207</v>
      </c>
      <c r="F178" s="6" t="s">
        <v>602</v>
      </c>
      <c r="G178" s="6" t="s">
        <v>179</v>
      </c>
      <c r="H178" s="6" t="s">
        <v>1208</v>
      </c>
      <c r="I178" s="7">
        <f>'Entity KPIs'!K51</f>
        <v>52.0</v>
      </c>
      <c r="J178" s="13" t="s">
        <v>996</v>
      </c>
    </row>
    <row r="179" spans="1:10">
      <c r="A179" s="6" t="s">
        <v>991</v>
      </c>
      <c r="B179" s="6" t="s">
        <v>1209</v>
      </c>
      <c r="C179" s="6" t="s">
        <v>1015</v>
      </c>
      <c r="D179" s="6" t="s">
        <v>994</v>
      </c>
      <c r="E179" s="6" t="s">
        <v>1016</v>
      </c>
      <c r="F179" s="6" t="s">
        <v>660</v>
      </c>
      <c r="G179" s="6" t="s">
        <v>19</v>
      </c>
      <c r="H179" s="6" t="s">
        <v>1017</v>
      </c>
      <c r="I179" s="7">
        <f>'Group KPIs'!K69</f>
        <v>60.85</v>
      </c>
      <c r="J179" s="13" t="s">
        <v>996</v>
      </c>
    </row>
    <row r="180" spans="1:10">
      <c r="A180" s="6" t="s">
        <v>991</v>
      </c>
      <c r="B180" s="6" t="s">
        <v>1209</v>
      </c>
      <c r="C180" s="6" t="s">
        <v>1015</v>
      </c>
      <c r="D180" s="6" t="s">
        <v>994</v>
      </c>
      <c r="E180" s="6" t="s">
        <v>842</v>
      </c>
      <c r="F180" s="6" t="s">
        <v>841</v>
      </c>
      <c r="G180" s="6" t="s">
        <v>19</v>
      </c>
      <c r="H180" s="6" t="s">
        <v>1018</v>
      </c>
      <c r="I180" s="7">
        <f>'Group KPIs'!K133</f>
        <v>1.0</v>
      </c>
      <c r="J180" s="13" t="s">
        <v>996</v>
      </c>
    </row>
    <row r="181" spans="1:10">
      <c r="A181" s="6" t="s">
        <v>991</v>
      </c>
      <c r="B181" s="6" t="s">
        <v>1209</v>
      </c>
      <c r="C181" s="6" t="s">
        <v>1015</v>
      </c>
      <c r="D181" s="6" t="s">
        <v>994</v>
      </c>
      <c r="E181" s="6" t="s">
        <v>1019</v>
      </c>
      <c r="F181" s="6" t="s">
        <v>558</v>
      </c>
      <c r="G181" s="6" t="s">
        <v>19</v>
      </c>
      <c r="H181" s="6" t="s">
        <v>1020</v>
      </c>
      <c r="I181" s="7">
        <f>'Group KPIs'!K38</f>
        <v>1760.09</v>
      </c>
      <c r="J181" s="14" t="s">
        <v>1001</v>
      </c>
    </row>
    <row r="182" spans="1:10">
      <c r="A182" s="6" t="s">
        <v>991</v>
      </c>
      <c r="B182" s="6" t="s">
        <v>1209</v>
      </c>
      <c r="C182" s="6" t="s">
        <v>1015</v>
      </c>
      <c r="D182" s="6" t="s">
        <v>994</v>
      </c>
      <c r="E182" s="6" t="s">
        <v>1023</v>
      </c>
      <c r="F182" s="6" t="s">
        <v>569</v>
      </c>
      <c r="G182" s="6" t="s">
        <v>19</v>
      </c>
      <c r="H182" s="6" t="s">
        <v>1024</v>
      </c>
      <c r="I182" s="7">
        <f>'Group KPIs'!K41</f>
        <v>606.18</v>
      </c>
      <c r="J182" s="14" t="s">
        <v>1001</v>
      </c>
    </row>
    <row r="183" spans="1:10">
      <c r="A183" s="6" t="s">
        <v>991</v>
      </c>
      <c r="B183" s="6" t="s">
        <v>1209</v>
      </c>
      <c r="C183" s="6" t="s">
        <v>1015</v>
      </c>
      <c r="D183" s="6" t="s">
        <v>994</v>
      </c>
      <c r="E183" s="6" t="s">
        <v>1027</v>
      </c>
      <c r="F183" s="6" t="s">
        <v>575</v>
      </c>
      <c r="G183" s="6" t="s">
        <v>19</v>
      </c>
      <c r="H183" s="6" t="s">
        <v>1028</v>
      </c>
      <c r="I183" s="7">
        <f>'Group KPIs'!K43</f>
        <v>6650.0</v>
      </c>
      <c r="J183" s="14" t="s">
        <v>1001</v>
      </c>
    </row>
    <row r="184" spans="1:10">
      <c r="A184" s="6" t="s">
        <v>991</v>
      </c>
      <c r="B184" s="6" t="s">
        <v>1209</v>
      </c>
      <c r="C184" s="6" t="s">
        <v>1015</v>
      </c>
      <c r="D184" s="6" t="s">
        <v>994</v>
      </c>
      <c r="E184" s="6" t="s">
        <v>1029</v>
      </c>
      <c r="F184" s="6" t="s">
        <v>453</v>
      </c>
      <c r="G184" s="6" t="s">
        <v>19</v>
      </c>
      <c r="H184" s="6" t="s">
        <v>1030</v>
      </c>
      <c r="I184" s="7">
        <f>'Group KPIs'!K2</f>
        <v>95.51</v>
      </c>
      <c r="J184" s="14" t="s">
        <v>1001</v>
      </c>
    </row>
    <row r="185" spans="1:10">
      <c r="A185" s="6" t="s">
        <v>991</v>
      </c>
      <c r="B185" s="6" t="s">
        <v>1209</v>
      </c>
      <c r="C185" s="6" t="s">
        <v>1015</v>
      </c>
      <c r="D185" s="6" t="s">
        <v>1031</v>
      </c>
      <c r="E185" s="6" t="s">
        <v>1032</v>
      </c>
      <c r="F185" s="6" t="s">
        <v>874</v>
      </c>
      <c r="G185" s="6" t="s">
        <v>187</v>
      </c>
      <c r="H185" s="6" t="s">
        <v>1033</v>
      </c>
      <c r="I185" s="7">
        <f>'Plant KPIs'!Q59</f>
        <v>4.0</v>
      </c>
      <c r="J185" s="13" t="s">
        <v>996</v>
      </c>
    </row>
    <row r="186" spans="1:10">
      <c r="A186" s="6" t="s">
        <v>991</v>
      </c>
      <c r="B186" s="6" t="s">
        <v>1209</v>
      </c>
      <c r="C186" s="6" t="s">
        <v>1015</v>
      </c>
      <c r="D186" s="6" t="s">
        <v>1031</v>
      </c>
      <c r="E186" s="6" t="s">
        <v>1034</v>
      </c>
      <c r="F186" s="6" t="s">
        <v>878</v>
      </c>
      <c r="G186" s="6" t="s">
        <v>19</v>
      </c>
      <c r="H186" s="6" t="s">
        <v>1035</v>
      </c>
      <c r="I186" s="7">
        <f>'Group KPIs'!K145</f>
        <v>69.69</v>
      </c>
      <c r="J186" s="14" t="s">
        <v>1001</v>
      </c>
    </row>
    <row r="187" spans="1:10">
      <c r="A187" s="6" t="s">
        <v>991</v>
      </c>
      <c r="B187" s="6" t="s">
        <v>1209</v>
      </c>
      <c r="C187" s="6" t="s">
        <v>1015</v>
      </c>
      <c r="D187" s="6" t="s">
        <v>1031</v>
      </c>
      <c r="E187" s="6" t="s">
        <v>1036</v>
      </c>
      <c r="F187" s="6" t="s">
        <v>882</v>
      </c>
      <c r="G187" s="6" t="s">
        <v>19</v>
      </c>
      <c r="H187" s="6" t="s">
        <v>1037</v>
      </c>
      <c r="I187" s="7">
        <f>'Group KPIs'!K146</f>
        <v>-56.18</v>
      </c>
      <c r="J187" s="14" t="s">
        <v>1001</v>
      </c>
    </row>
    <row r="188" spans="1:10">
      <c r="A188" s="6" t="s">
        <v>991</v>
      </c>
      <c r="B188" s="6" t="s">
        <v>1209</v>
      </c>
      <c r="C188" s="6" t="s">
        <v>1015</v>
      </c>
      <c r="D188" s="6" t="s">
        <v>1004</v>
      </c>
      <c r="E188" s="6" t="s">
        <v>564</v>
      </c>
      <c r="F188" s="6" t="s">
        <v>563</v>
      </c>
      <c r="G188" s="6" t="s">
        <v>19</v>
      </c>
      <c r="H188" s="6" t="s">
        <v>1022</v>
      </c>
      <c r="I188" s="7">
        <f>'Group KPIs'!K39</f>
        <v>1228.14</v>
      </c>
      <c r="J188" s="14" t="s">
        <v>1001</v>
      </c>
    </row>
    <row r="189" spans="1:10">
      <c r="A189" s="6" t="s">
        <v>991</v>
      </c>
      <c r="B189" s="6" t="s">
        <v>1209</v>
      </c>
      <c r="C189" s="6" t="s">
        <v>1015</v>
      </c>
      <c r="D189" s="6" t="s">
        <v>1004</v>
      </c>
      <c r="E189" s="6" t="s">
        <v>567</v>
      </c>
      <c r="F189" s="6" t="s">
        <v>566</v>
      </c>
      <c r="G189" s="6" t="s">
        <v>19</v>
      </c>
      <c r="H189" s="6" t="s">
        <v>1039</v>
      </c>
      <c r="I189" s="7">
        <f>'Group KPIs'!K40</f>
        <v>13811.3</v>
      </c>
      <c r="J189" s="14" t="s">
        <v>1001</v>
      </c>
    </row>
    <row r="190" spans="1:10">
      <c r="A190" s="6" t="s">
        <v>991</v>
      </c>
      <c r="B190" s="6" t="s">
        <v>1209</v>
      </c>
      <c r="C190" s="6" t="s">
        <v>1015</v>
      </c>
      <c r="D190" s="6" t="s">
        <v>1004</v>
      </c>
      <c r="E190" s="6" t="s">
        <v>1040</v>
      </c>
      <c r="F190" s="6" t="s">
        <v>572</v>
      </c>
      <c r="G190" s="6" t="s">
        <v>19</v>
      </c>
      <c r="H190" s="6" t="s">
        <v>1041</v>
      </c>
      <c r="I190" s="7">
        <f>'Group KPIs'!K42</f>
        <v>11.58</v>
      </c>
      <c r="J190" s="14" t="s">
        <v>1001</v>
      </c>
    </row>
    <row r="191" spans="1:10">
      <c r="A191" s="6" t="s">
        <v>991</v>
      </c>
      <c r="B191" s="6" t="s">
        <v>1209</v>
      </c>
      <c r="C191" s="6" t="s">
        <v>1015</v>
      </c>
      <c r="D191" s="6" t="s">
        <v>1004</v>
      </c>
      <c r="E191" s="6" t="s">
        <v>1042</v>
      </c>
      <c r="F191" s="6" t="s">
        <v>579</v>
      </c>
      <c r="G191" s="6" t="s">
        <v>19</v>
      </c>
      <c r="H191" s="6" t="s">
        <v>1043</v>
      </c>
      <c r="I191" s="7">
        <f>'Group KPIs'!K44</f>
        <v>-86.65</v>
      </c>
      <c r="J191" s="14" t="s">
        <v>1001</v>
      </c>
    </row>
    <row r="192" spans="1:10">
      <c r="A192" s="6" t="s">
        <v>991</v>
      </c>
      <c r="B192" s="6" t="s">
        <v>1209</v>
      </c>
      <c r="C192" s="6" t="s">
        <v>1015</v>
      </c>
      <c r="D192" s="6" t="s">
        <v>1004</v>
      </c>
      <c r="E192" s="6" t="s">
        <v>1044</v>
      </c>
      <c r="F192" s="6" t="s">
        <v>550</v>
      </c>
      <c r="G192" s="6" t="s">
        <v>19</v>
      </c>
      <c r="H192" s="6" t="s">
        <v>1045</v>
      </c>
      <c r="I192" s="7">
        <f>'Group KPIs'!K35</f>
        <v>95.23</v>
      </c>
      <c r="J192" s="14" t="s">
        <v>1001</v>
      </c>
    </row>
    <row r="193" spans="1:10">
      <c r="A193" s="6" t="s">
        <v>991</v>
      </c>
      <c r="B193" s="6" t="s">
        <v>1209</v>
      </c>
      <c r="C193" s="6" t="s">
        <v>1015</v>
      </c>
      <c r="D193" s="6" t="s">
        <v>1004</v>
      </c>
      <c r="E193" s="6" t="s">
        <v>458</v>
      </c>
      <c r="F193" s="6" t="s">
        <v>457</v>
      </c>
      <c r="G193" s="6" t="s">
        <v>19</v>
      </c>
      <c r="H193" s="6" t="s">
        <v>1046</v>
      </c>
      <c r="I193" s="7">
        <f>'Group KPIs'!K3</f>
        <v>83.44</v>
      </c>
      <c r="J193" s="14" t="s">
        <v>1001</v>
      </c>
    </row>
    <row r="194" spans="1:10">
      <c r="A194" s="6" t="s">
        <v>991</v>
      </c>
      <c r="B194" s="6" t="s">
        <v>1209</v>
      </c>
      <c r="C194" s="6" t="s">
        <v>1015</v>
      </c>
      <c r="D194" s="6" t="s">
        <v>1004</v>
      </c>
      <c r="E194" s="6" t="s">
        <v>1038</v>
      </c>
      <c r="F194" s="6" t="s">
        <v>751</v>
      </c>
      <c r="G194" s="6" t="s">
        <v>19</v>
      </c>
      <c r="H194" s="6" t="s">
        <v>1007</v>
      </c>
      <c r="I194" s="7">
        <f>'Group KPIs'!K100</f>
        <v>0.0</v>
      </c>
      <c r="J194" s="13" t="s">
        <v>996</v>
      </c>
    </row>
    <row r="195" spans="1:10">
      <c r="A195" s="6" t="s">
        <v>991</v>
      </c>
      <c r="B195" s="6" t="s">
        <v>1209</v>
      </c>
      <c r="C195" s="6" t="s">
        <v>1015</v>
      </c>
      <c r="D195" s="6" t="s">
        <v>1004</v>
      </c>
      <c r="E195" s="6" t="s">
        <v>680</v>
      </c>
      <c r="F195" s="6" t="s">
        <v>679</v>
      </c>
      <c r="G195" s="6" t="s">
        <v>19</v>
      </c>
      <c r="H195" s="6" t="s">
        <v>1050</v>
      </c>
      <c r="I195" s="7">
        <f>'Group KPIs'!K75</f>
        <v>54.03</v>
      </c>
      <c r="J195" s="13" t="s">
        <v>996</v>
      </c>
    </row>
    <row r="196" spans="1:10">
      <c r="A196" s="6" t="s">
        <v>1210</v>
      </c>
      <c r="B196" s="6" t="s">
        <v>1211</v>
      </c>
      <c r="C196" s="6" t="s">
        <v>1212</v>
      </c>
      <c r="D196" s="6" t="s">
        <v>994</v>
      </c>
      <c r="E196" s="6" t="s">
        <v>842</v>
      </c>
      <c r="F196" s="6" t="s">
        <v>841</v>
      </c>
      <c r="G196" s="6" t="s">
        <v>19</v>
      </c>
      <c r="H196" s="6" t="s">
        <v>1018</v>
      </c>
      <c r="I196" s="7">
        <f>'Group KPIs'!K133</f>
        <v>1.0</v>
      </c>
      <c r="J196" s="13" t="s">
        <v>996</v>
      </c>
    </row>
    <row r="197" spans="1:10">
      <c r="A197" s="6" t="s">
        <v>1210</v>
      </c>
      <c r="B197" s="6" t="s">
        <v>1211</v>
      </c>
      <c r="C197" s="6" t="s">
        <v>1212</v>
      </c>
      <c r="D197" s="6" t="s">
        <v>994</v>
      </c>
      <c r="E197" s="6" t="s">
        <v>1019</v>
      </c>
      <c r="F197" s="6" t="s">
        <v>558</v>
      </c>
      <c r="G197" s="6" t="s">
        <v>19</v>
      </c>
      <c r="H197" s="6" t="s">
        <v>1020</v>
      </c>
      <c r="I197" s="7">
        <f>'Group KPIs'!K38</f>
        <v>1760.09</v>
      </c>
      <c r="J197" s="14" t="s">
        <v>1001</v>
      </c>
    </row>
    <row r="198" spans="1:10">
      <c r="A198" s="6" t="s">
        <v>1210</v>
      </c>
      <c r="B198" s="6" t="s">
        <v>1211</v>
      </c>
      <c r="C198" s="6" t="s">
        <v>1212</v>
      </c>
      <c r="D198" s="6" t="s">
        <v>994</v>
      </c>
      <c r="E198" s="6" t="s">
        <v>1213</v>
      </c>
      <c r="F198" s="6" t="s">
        <v>566</v>
      </c>
      <c r="G198" s="6" t="s">
        <v>19</v>
      </c>
      <c r="H198" s="6" t="s">
        <v>1039</v>
      </c>
      <c r="I198" s="7">
        <f>'Group KPIs'!K40</f>
        <v>13811.3</v>
      </c>
      <c r="J198" s="14" t="s">
        <v>1001</v>
      </c>
    </row>
    <row r="199" spans="1:10">
      <c r="A199" s="6" t="s">
        <v>1210</v>
      </c>
      <c r="B199" s="6" t="s">
        <v>1211</v>
      </c>
      <c r="C199" s="6" t="s">
        <v>1212</v>
      </c>
      <c r="D199" s="6" t="s">
        <v>994</v>
      </c>
      <c r="E199" s="6" t="s">
        <v>1023</v>
      </c>
      <c r="F199" s="6" t="s">
        <v>569</v>
      </c>
      <c r="G199" s="6" t="s">
        <v>19</v>
      </c>
      <c r="H199" s="6" t="s">
        <v>1024</v>
      </c>
      <c r="I199" s="7">
        <f>'Group KPIs'!K41</f>
        <v>606.18</v>
      </c>
      <c r="J199" s="14" t="s">
        <v>1001</v>
      </c>
    </row>
    <row r="200" spans="1:10">
      <c r="A200" s="6" t="s">
        <v>1210</v>
      </c>
      <c r="B200" s="6" t="s">
        <v>1211</v>
      </c>
      <c r="C200" s="6" t="s">
        <v>1212</v>
      </c>
      <c r="D200" s="6" t="s">
        <v>994</v>
      </c>
      <c r="E200" s="6" t="s">
        <v>1029</v>
      </c>
      <c r="F200" s="6" t="s">
        <v>453</v>
      </c>
      <c r="G200" s="6" t="s">
        <v>19</v>
      </c>
      <c r="H200" s="6" t="s">
        <v>1030</v>
      </c>
      <c r="I200" s="7">
        <f>'Group KPIs'!K2</f>
        <v>95.51</v>
      </c>
      <c r="J200" s="14" t="s">
        <v>1001</v>
      </c>
    </row>
    <row r="201" spans="1:10">
      <c r="A201" s="6" t="s">
        <v>1210</v>
      </c>
      <c r="B201" s="6" t="s">
        <v>1211</v>
      </c>
      <c r="C201" s="6" t="s">
        <v>1212</v>
      </c>
      <c r="D201" s="6" t="s">
        <v>994</v>
      </c>
      <c r="E201" s="6" t="s">
        <v>818</v>
      </c>
      <c r="F201" s="6" t="s">
        <v>817</v>
      </c>
      <c r="G201" s="6" t="s">
        <v>19</v>
      </c>
      <c r="H201" s="6" t="s">
        <v>997</v>
      </c>
      <c r="I201" s="7">
        <f>'Group KPIs'!K125</f>
        <v>83.93</v>
      </c>
      <c r="J201" s="13" t="s">
        <v>996</v>
      </c>
    </row>
    <row r="202" spans="1:10">
      <c r="A202" s="6" t="s">
        <v>1210</v>
      </c>
      <c r="B202" s="6" t="s">
        <v>1211</v>
      </c>
      <c r="C202" s="6" t="s">
        <v>1212</v>
      </c>
      <c r="D202" s="6" t="s">
        <v>1031</v>
      </c>
      <c r="E202" s="6" t="s">
        <v>1214</v>
      </c>
      <c r="F202" s="6" t="s">
        <v>878</v>
      </c>
      <c r="G202" s="6" t="s">
        <v>19</v>
      </c>
      <c r="H202" s="6" t="s">
        <v>1035</v>
      </c>
      <c r="I202" s="7">
        <f>'Group KPIs'!K145</f>
        <v>69.69</v>
      </c>
      <c r="J202" s="14" t="s">
        <v>1001</v>
      </c>
    </row>
    <row r="203" spans="1:10">
      <c r="A203" s="6" t="s">
        <v>1210</v>
      </c>
      <c r="B203" s="6" t="s">
        <v>1211</v>
      </c>
      <c r="C203" s="6" t="s">
        <v>1212</v>
      </c>
      <c r="D203" s="6" t="s">
        <v>1031</v>
      </c>
      <c r="E203" s="6" t="s">
        <v>1215</v>
      </c>
      <c r="F203" s="6" t="s">
        <v>882</v>
      </c>
      <c r="G203" s="6" t="s">
        <v>19</v>
      </c>
      <c r="H203" s="6" t="s">
        <v>1037</v>
      </c>
      <c r="I203" s="7">
        <f>'Group KPIs'!K146</f>
        <v>-56.18</v>
      </c>
      <c r="J203" s="14" t="s">
        <v>1001</v>
      </c>
    </row>
    <row r="204" spans="1:10">
      <c r="A204" s="6" t="s">
        <v>1210</v>
      </c>
      <c r="B204" s="6" t="s">
        <v>1211</v>
      </c>
      <c r="C204" s="6" t="s">
        <v>1212</v>
      </c>
      <c r="D204" s="6" t="s">
        <v>1031</v>
      </c>
      <c r="E204" s="6" t="s">
        <v>1055</v>
      </c>
      <c r="F204" s="6" t="s">
        <v>885</v>
      </c>
      <c r="G204" s="6" t="s">
        <v>19</v>
      </c>
      <c r="H204" s="6" t="s">
        <v>1065</v>
      </c>
      <c r="I204" s="8" t="str">
        <f>'Group KPIs'!K147</f>
        <v>None within 90 d</v>
      </c>
      <c r="J204" s="13" t="s">
        <v>996</v>
      </c>
    </row>
    <row r="205" spans="1:10">
      <c r="A205" s="6" t="s">
        <v>1210</v>
      </c>
      <c r="B205" s="6" t="s">
        <v>1211</v>
      </c>
      <c r="C205" s="6" t="s">
        <v>1212</v>
      </c>
      <c r="D205" s="6" t="s">
        <v>1004</v>
      </c>
      <c r="E205" s="6" t="s">
        <v>1016</v>
      </c>
      <c r="F205" s="6" t="s">
        <v>660</v>
      </c>
      <c r="G205" s="6" t="s">
        <v>19</v>
      </c>
      <c r="H205" s="6" t="s">
        <v>1017</v>
      </c>
      <c r="I205" s="7">
        <f>'Group KPIs'!K69</f>
        <v>60.85</v>
      </c>
      <c r="J205" s="13" t="s">
        <v>996</v>
      </c>
    </row>
    <row r="206" spans="1:10">
      <c r="A206" s="6" t="s">
        <v>1210</v>
      </c>
      <c r="B206" s="6" t="s">
        <v>1211</v>
      </c>
      <c r="C206" s="6" t="s">
        <v>1212</v>
      </c>
      <c r="D206" s="6" t="s">
        <v>1004</v>
      </c>
      <c r="E206" s="6" t="s">
        <v>1216</v>
      </c>
      <c r="F206" s="6" t="s">
        <v>526</v>
      </c>
      <c r="G206" s="6" t="s">
        <v>19</v>
      </c>
      <c r="H206" s="6" t="s">
        <v>1007</v>
      </c>
      <c r="I206" s="7">
        <f>'Group KPIs'!K25</f>
        <v>3.0</v>
      </c>
      <c r="J206" s="14" t="s">
        <v>1001</v>
      </c>
    </row>
    <row r="207" spans="1:10">
      <c r="A207" s="6" t="s">
        <v>1210</v>
      </c>
      <c r="B207" s="6" t="s">
        <v>1211</v>
      </c>
      <c r="C207" s="6" t="s">
        <v>1212</v>
      </c>
      <c r="D207" s="6" t="s">
        <v>1004</v>
      </c>
      <c r="E207" s="6" t="s">
        <v>564</v>
      </c>
      <c r="F207" s="6" t="s">
        <v>563</v>
      </c>
      <c r="G207" s="6" t="s">
        <v>19</v>
      </c>
      <c r="H207" s="6" t="s">
        <v>1022</v>
      </c>
      <c r="I207" s="7">
        <f>'Group KPIs'!K39</f>
        <v>1228.14</v>
      </c>
      <c r="J207" s="14" t="s">
        <v>1001</v>
      </c>
    </row>
    <row r="208" spans="1:10">
      <c r="A208" s="6" t="s">
        <v>1210</v>
      </c>
      <c r="B208" s="6" t="s">
        <v>1211</v>
      </c>
      <c r="C208" s="6" t="s">
        <v>1212</v>
      </c>
      <c r="D208" s="6" t="s">
        <v>1004</v>
      </c>
      <c r="E208" s="6" t="s">
        <v>567</v>
      </c>
      <c r="F208" s="6" t="s">
        <v>566</v>
      </c>
      <c r="G208" s="6" t="s">
        <v>19</v>
      </c>
      <c r="H208" s="6" t="s">
        <v>1039</v>
      </c>
      <c r="I208" s="7">
        <f>'Group KPIs'!K40</f>
        <v>13811.3</v>
      </c>
      <c r="J208" s="14" t="s">
        <v>1001</v>
      </c>
    </row>
    <row r="209" spans="1:10">
      <c r="A209" s="6" t="s">
        <v>1210</v>
      </c>
      <c r="B209" s="6" t="s">
        <v>1211</v>
      </c>
      <c r="C209" s="6" t="s">
        <v>1212</v>
      </c>
      <c r="D209" s="6" t="s">
        <v>1004</v>
      </c>
      <c r="E209" s="6" t="s">
        <v>1217</v>
      </c>
      <c r="F209" s="6" t="s">
        <v>572</v>
      </c>
      <c r="G209" s="6" t="s">
        <v>19</v>
      </c>
      <c r="H209" s="6" t="s">
        <v>1041</v>
      </c>
      <c r="I209" s="7">
        <f>'Group KPIs'!K42</f>
        <v>11.58</v>
      </c>
      <c r="J209" s="14" t="s">
        <v>1001</v>
      </c>
    </row>
    <row r="210" spans="1:10">
      <c r="A210" s="6" t="s">
        <v>1210</v>
      </c>
      <c r="B210" s="6" t="s">
        <v>1211</v>
      </c>
      <c r="C210" s="6" t="s">
        <v>1212</v>
      </c>
      <c r="D210" s="6" t="s">
        <v>1004</v>
      </c>
      <c r="E210" s="6" t="s">
        <v>1027</v>
      </c>
      <c r="F210" s="6" t="s">
        <v>575</v>
      </c>
      <c r="G210" s="6" t="s">
        <v>19</v>
      </c>
      <c r="H210" s="6" t="s">
        <v>1028</v>
      </c>
      <c r="I210" s="7">
        <f>'Group KPIs'!K43</f>
        <v>6650.0</v>
      </c>
      <c r="J210" s="14" t="s">
        <v>1001</v>
      </c>
    </row>
    <row r="211" spans="1:10">
      <c r="A211" s="6" t="s">
        <v>1210</v>
      </c>
      <c r="B211" s="6" t="s">
        <v>1211</v>
      </c>
      <c r="C211" s="6" t="s">
        <v>1212</v>
      </c>
      <c r="D211" s="6" t="s">
        <v>1004</v>
      </c>
      <c r="E211" s="6" t="s">
        <v>1044</v>
      </c>
      <c r="F211" s="6" t="s">
        <v>550</v>
      </c>
      <c r="G211" s="6" t="s">
        <v>19</v>
      </c>
      <c r="H211" s="6" t="s">
        <v>1045</v>
      </c>
      <c r="I211" s="7">
        <f>'Group KPIs'!K35</f>
        <v>95.23</v>
      </c>
      <c r="J211" s="14" t="s">
        <v>1001</v>
      </c>
    </row>
    <row r="212" spans="1:10">
      <c r="A212" s="6" t="s">
        <v>1210</v>
      </c>
      <c r="B212" s="6" t="s">
        <v>1211</v>
      </c>
      <c r="C212" s="6" t="s">
        <v>1212</v>
      </c>
      <c r="D212" s="6" t="s">
        <v>1004</v>
      </c>
      <c r="E212" s="6" t="s">
        <v>1048</v>
      </c>
      <c r="F212" s="6" t="s">
        <v>545</v>
      </c>
      <c r="G212" s="6" t="s">
        <v>19</v>
      </c>
      <c r="H212" s="6" t="s">
        <v>1046</v>
      </c>
      <c r="I212" s="7">
        <f>'Group KPIs'!K33</f>
        <v>83.44</v>
      </c>
      <c r="J212" s="14" t="s">
        <v>1001</v>
      </c>
    </row>
    <row r="213" spans="1:10">
      <c r="A213" s="6" t="s">
        <v>1210</v>
      </c>
      <c r="B213" s="6" t="s">
        <v>1211</v>
      </c>
      <c r="C213" s="6" t="s">
        <v>1212</v>
      </c>
      <c r="D213" s="6" t="s">
        <v>1004</v>
      </c>
      <c r="E213" s="6" t="s">
        <v>680</v>
      </c>
      <c r="F213" s="6" t="s">
        <v>676</v>
      </c>
      <c r="G213" s="6" t="s">
        <v>19</v>
      </c>
      <c r="H213" s="6" t="s">
        <v>1050</v>
      </c>
      <c r="I213" s="7">
        <f>'Group KPIs'!K74</f>
        <v>54.03</v>
      </c>
      <c r="J213" s="13" t="s">
        <v>996</v>
      </c>
    </row>
    <row r="214" spans="1:10">
      <c r="A214" s="6" t="s">
        <v>1210</v>
      </c>
      <c r="B214" s="6" t="s">
        <v>1211</v>
      </c>
      <c r="C214" s="6" t="s">
        <v>1212</v>
      </c>
      <c r="D214" s="6" t="s">
        <v>1004</v>
      </c>
      <c r="E214" s="6" t="s">
        <v>1038</v>
      </c>
      <c r="F214" s="6" t="s">
        <v>748</v>
      </c>
      <c r="G214" s="6" t="s">
        <v>19</v>
      </c>
      <c r="H214" s="6" t="s">
        <v>1007</v>
      </c>
      <c r="I214" s="7">
        <f>'Group KPIs'!K99</f>
        <v>0.0</v>
      </c>
      <c r="J214" s="13" t="s">
        <v>996</v>
      </c>
    </row>
    <row r="215" spans="1:10">
      <c r="A215" s="6" t="s">
        <v>1210</v>
      </c>
      <c r="B215" s="6" t="s">
        <v>1218</v>
      </c>
      <c r="C215" s="6" t="s">
        <v>1219</v>
      </c>
      <c r="D215" s="6" t="s">
        <v>994</v>
      </c>
      <c r="E215" s="6" t="s">
        <v>842</v>
      </c>
      <c r="F215" s="6" t="s">
        <v>841</v>
      </c>
      <c r="G215" s="6" t="s">
        <v>19</v>
      </c>
      <c r="H215" s="6" t="s">
        <v>1018</v>
      </c>
      <c r="I215" s="7">
        <f>'Group KPIs'!K133</f>
        <v>1.0</v>
      </c>
      <c r="J215" s="13" t="s">
        <v>996</v>
      </c>
    </row>
    <row r="216" spans="1:10">
      <c r="A216" s="6" t="s">
        <v>1210</v>
      </c>
      <c r="B216" s="6" t="s">
        <v>1218</v>
      </c>
      <c r="C216" s="6" t="s">
        <v>1219</v>
      </c>
      <c r="D216" s="6" t="s">
        <v>994</v>
      </c>
      <c r="E216" s="6" t="s">
        <v>1019</v>
      </c>
      <c r="F216" s="6" t="s">
        <v>558</v>
      </c>
      <c r="G216" s="6" t="s">
        <v>19</v>
      </c>
      <c r="H216" s="6" t="s">
        <v>1020</v>
      </c>
      <c r="I216" s="7">
        <f>'Group KPIs'!K38</f>
        <v>1760.09</v>
      </c>
      <c r="J216" s="14" t="s">
        <v>1001</v>
      </c>
    </row>
    <row r="217" spans="1:10">
      <c r="A217" s="6" t="s">
        <v>1210</v>
      </c>
      <c r="B217" s="6" t="s">
        <v>1218</v>
      </c>
      <c r="C217" s="6" t="s">
        <v>1219</v>
      </c>
      <c r="D217" s="6" t="s">
        <v>994</v>
      </c>
      <c r="E217" s="6" t="s">
        <v>1213</v>
      </c>
      <c r="F217" s="6" t="s">
        <v>566</v>
      </c>
      <c r="G217" s="6" t="s">
        <v>19</v>
      </c>
      <c r="H217" s="6" t="s">
        <v>1039</v>
      </c>
      <c r="I217" s="7">
        <f>'Group KPIs'!K40</f>
        <v>13811.3</v>
      </c>
      <c r="J217" s="14" t="s">
        <v>1001</v>
      </c>
    </row>
    <row r="218" spans="1:10">
      <c r="A218" s="6" t="s">
        <v>1210</v>
      </c>
      <c r="B218" s="6" t="s">
        <v>1218</v>
      </c>
      <c r="C218" s="6" t="s">
        <v>1219</v>
      </c>
      <c r="D218" s="6" t="s">
        <v>994</v>
      </c>
      <c r="E218" s="6" t="s">
        <v>1023</v>
      </c>
      <c r="F218" s="6" t="s">
        <v>569</v>
      </c>
      <c r="G218" s="6" t="s">
        <v>19</v>
      </c>
      <c r="H218" s="6" t="s">
        <v>1024</v>
      </c>
      <c r="I218" s="7">
        <f>'Group KPIs'!K41</f>
        <v>606.18</v>
      </c>
      <c r="J218" s="14" t="s">
        <v>1001</v>
      </c>
    </row>
    <row r="219" spans="1:10">
      <c r="A219" s="6" t="s">
        <v>1210</v>
      </c>
      <c r="B219" s="6" t="s">
        <v>1218</v>
      </c>
      <c r="C219" s="6" t="s">
        <v>1219</v>
      </c>
      <c r="D219" s="6" t="s">
        <v>994</v>
      </c>
      <c r="E219" s="6" t="s">
        <v>1029</v>
      </c>
      <c r="F219" s="6" t="s">
        <v>453</v>
      </c>
      <c r="G219" s="6" t="s">
        <v>19</v>
      </c>
      <c r="H219" s="6" t="s">
        <v>1220</v>
      </c>
      <c r="I219" s="7">
        <f>'Group KPIs'!K2</f>
        <v>95.51</v>
      </c>
      <c r="J219" s="14" t="s">
        <v>1001</v>
      </c>
    </row>
    <row r="220" spans="1:10">
      <c r="A220" s="6" t="s">
        <v>1210</v>
      </c>
      <c r="B220" s="6" t="s">
        <v>1218</v>
      </c>
      <c r="C220" s="6" t="s">
        <v>1219</v>
      </c>
      <c r="D220" s="6" t="s">
        <v>994</v>
      </c>
      <c r="E220" s="6" t="s">
        <v>818</v>
      </c>
      <c r="F220" s="6" t="s">
        <v>817</v>
      </c>
      <c r="G220" s="6" t="s">
        <v>19</v>
      </c>
      <c r="H220" s="6" t="s">
        <v>1221</v>
      </c>
      <c r="I220" s="7">
        <f>'Group KPIs'!K125</f>
        <v>83.93</v>
      </c>
      <c r="J220" s="14" t="s">
        <v>1001</v>
      </c>
    </row>
    <row r="221" spans="1:10">
      <c r="A221" s="6" t="s">
        <v>1210</v>
      </c>
      <c r="B221" s="6" t="s">
        <v>1218</v>
      </c>
      <c r="C221" s="6" t="s">
        <v>1219</v>
      </c>
      <c r="D221" s="6" t="s">
        <v>1031</v>
      </c>
      <c r="E221" s="6" t="s">
        <v>1214</v>
      </c>
      <c r="F221" s="6" t="s">
        <v>878</v>
      </c>
      <c r="G221" s="6" t="s">
        <v>19</v>
      </c>
      <c r="H221" s="6" t="s">
        <v>1035</v>
      </c>
      <c r="I221" s="7">
        <f>'Group KPIs'!K145</f>
        <v>69.69</v>
      </c>
      <c r="J221" s="14" t="s">
        <v>1001</v>
      </c>
    </row>
    <row r="222" spans="1:10">
      <c r="A222" s="6" t="s">
        <v>1210</v>
      </c>
      <c r="B222" s="6" t="s">
        <v>1218</v>
      </c>
      <c r="C222" s="6" t="s">
        <v>1219</v>
      </c>
      <c r="D222" s="6" t="s">
        <v>1031</v>
      </c>
      <c r="E222" s="6" t="s">
        <v>1215</v>
      </c>
      <c r="F222" s="6" t="s">
        <v>882</v>
      </c>
      <c r="G222" s="6" t="s">
        <v>19</v>
      </c>
      <c r="H222" s="6" t="s">
        <v>1037</v>
      </c>
      <c r="I222" s="7">
        <f>'Group KPIs'!K146</f>
        <v>-56.18</v>
      </c>
      <c r="J222" s="14" t="s">
        <v>1001</v>
      </c>
    </row>
    <row r="223" spans="1:10">
      <c r="A223" s="6" t="s">
        <v>1210</v>
      </c>
      <c r="B223" s="6" t="s">
        <v>1218</v>
      </c>
      <c r="C223" s="6" t="s">
        <v>1219</v>
      </c>
      <c r="D223" s="6" t="s">
        <v>1031</v>
      </c>
      <c r="E223" s="6" t="s">
        <v>1055</v>
      </c>
      <c r="F223" s="6" t="s">
        <v>885</v>
      </c>
      <c r="G223" s="6" t="s">
        <v>19</v>
      </c>
      <c r="H223" s="6" t="s">
        <v>1065</v>
      </c>
      <c r="I223" s="8" t="str">
        <f>'Group KPIs'!K147</f>
        <v>None within 90 d</v>
      </c>
      <c r="J223" s="13" t="s">
        <v>996</v>
      </c>
    </row>
    <row r="224" spans="1:10">
      <c r="A224" s="6" t="s">
        <v>1210</v>
      </c>
      <c r="B224" s="6" t="s">
        <v>1218</v>
      </c>
      <c r="C224" s="6" t="s">
        <v>1219</v>
      </c>
      <c r="D224" s="6" t="s">
        <v>1004</v>
      </c>
      <c r="E224" s="6" t="s">
        <v>1016</v>
      </c>
      <c r="F224" s="6" t="s">
        <v>660</v>
      </c>
      <c r="G224" s="6" t="s">
        <v>19</v>
      </c>
      <c r="H224" s="6" t="s">
        <v>1017</v>
      </c>
      <c r="I224" s="7">
        <f>'Group KPIs'!K69</f>
        <v>60.85</v>
      </c>
      <c r="J224" s="13" t="s">
        <v>996</v>
      </c>
    </row>
    <row r="225" spans="1:10">
      <c r="A225" s="6" t="s">
        <v>1210</v>
      </c>
      <c r="B225" s="6" t="s">
        <v>1218</v>
      </c>
      <c r="C225" s="6" t="s">
        <v>1219</v>
      </c>
      <c r="D225" s="6" t="s">
        <v>1004</v>
      </c>
      <c r="E225" s="6" t="s">
        <v>1216</v>
      </c>
      <c r="F225" s="6" t="s">
        <v>526</v>
      </c>
      <c r="G225" s="6" t="s">
        <v>19</v>
      </c>
      <c r="H225" s="6" t="s">
        <v>1007</v>
      </c>
      <c r="I225" s="7">
        <f>'Group KPIs'!K25</f>
        <v>3.0</v>
      </c>
      <c r="J225" s="14" t="s">
        <v>1001</v>
      </c>
    </row>
    <row r="226" spans="1:10">
      <c r="A226" s="6" t="s">
        <v>1210</v>
      </c>
      <c r="B226" s="6" t="s">
        <v>1218</v>
      </c>
      <c r="C226" s="6" t="s">
        <v>1219</v>
      </c>
      <c r="D226" s="6" t="s">
        <v>1004</v>
      </c>
      <c r="E226" s="6" t="s">
        <v>564</v>
      </c>
      <c r="F226" s="6" t="s">
        <v>563</v>
      </c>
      <c r="G226" s="6" t="s">
        <v>19</v>
      </c>
      <c r="H226" s="6" t="s">
        <v>1022</v>
      </c>
      <c r="I226" s="7">
        <f>'Group KPIs'!K39</f>
        <v>1228.14</v>
      </c>
      <c r="J226" s="14" t="s">
        <v>1001</v>
      </c>
    </row>
    <row r="227" spans="1:10">
      <c r="A227" s="6" t="s">
        <v>1210</v>
      </c>
      <c r="B227" s="6" t="s">
        <v>1218</v>
      </c>
      <c r="C227" s="6" t="s">
        <v>1219</v>
      </c>
      <c r="D227" s="6" t="s">
        <v>1004</v>
      </c>
      <c r="E227" s="6" t="s">
        <v>567</v>
      </c>
      <c r="F227" s="6" t="s">
        <v>566</v>
      </c>
      <c r="G227" s="6" t="s">
        <v>19</v>
      </c>
      <c r="H227" s="6" t="s">
        <v>1039</v>
      </c>
      <c r="I227" s="7">
        <f>'Group KPIs'!K40</f>
        <v>13811.3</v>
      </c>
      <c r="J227" s="14" t="s">
        <v>1001</v>
      </c>
    </row>
    <row r="228" spans="1:10">
      <c r="A228" s="6" t="s">
        <v>1210</v>
      </c>
      <c r="B228" s="6" t="s">
        <v>1218</v>
      </c>
      <c r="C228" s="6" t="s">
        <v>1219</v>
      </c>
      <c r="D228" s="6" t="s">
        <v>1004</v>
      </c>
      <c r="E228" s="6" t="s">
        <v>1217</v>
      </c>
      <c r="F228" s="6" t="s">
        <v>572</v>
      </c>
      <c r="G228" s="6" t="s">
        <v>19</v>
      </c>
      <c r="H228" s="6" t="s">
        <v>1041</v>
      </c>
      <c r="I228" s="7">
        <f>'Group KPIs'!K42</f>
        <v>11.58</v>
      </c>
      <c r="J228" s="14" t="s">
        <v>1001</v>
      </c>
    </row>
    <row r="229" spans="1:10">
      <c r="A229" s="6" t="s">
        <v>1210</v>
      </c>
      <c r="B229" s="6" t="s">
        <v>1218</v>
      </c>
      <c r="C229" s="6" t="s">
        <v>1219</v>
      </c>
      <c r="D229" s="6" t="s">
        <v>1004</v>
      </c>
      <c r="E229" s="6" t="s">
        <v>1027</v>
      </c>
      <c r="F229" s="6" t="s">
        <v>575</v>
      </c>
      <c r="G229" s="6" t="s">
        <v>19</v>
      </c>
      <c r="H229" s="6" t="s">
        <v>1028</v>
      </c>
      <c r="I229" s="7">
        <f>'Group KPIs'!K43</f>
        <v>6650.0</v>
      </c>
      <c r="J229" s="14" t="s">
        <v>1001</v>
      </c>
    </row>
    <row r="230" spans="1:10">
      <c r="A230" s="6" t="s">
        <v>1210</v>
      </c>
      <c r="B230" s="6" t="s">
        <v>1218</v>
      </c>
      <c r="C230" s="6" t="s">
        <v>1219</v>
      </c>
      <c r="D230" s="6" t="s">
        <v>1004</v>
      </c>
      <c r="E230" s="6" t="s">
        <v>1044</v>
      </c>
      <c r="F230" s="6" t="s">
        <v>550</v>
      </c>
      <c r="G230" s="6" t="s">
        <v>19</v>
      </c>
      <c r="H230" s="6" t="s">
        <v>1045</v>
      </c>
      <c r="I230" s="7">
        <f>'Group KPIs'!K35</f>
        <v>95.23</v>
      </c>
      <c r="J230" s="14" t="s">
        <v>1001</v>
      </c>
    </row>
    <row r="231" spans="1:10">
      <c r="A231" s="6" t="s">
        <v>1210</v>
      </c>
      <c r="B231" s="6" t="s">
        <v>1218</v>
      </c>
      <c r="C231" s="6" t="s">
        <v>1219</v>
      </c>
      <c r="D231" s="6" t="s">
        <v>1004</v>
      </c>
      <c r="E231" s="6" t="s">
        <v>1048</v>
      </c>
      <c r="F231" s="6" t="s">
        <v>545</v>
      </c>
      <c r="G231" s="6" t="s">
        <v>19</v>
      </c>
      <c r="H231" s="6" t="s">
        <v>1046</v>
      </c>
      <c r="I231" s="7">
        <f>'Group KPIs'!K33</f>
        <v>83.44</v>
      </c>
      <c r="J231" s="14" t="s">
        <v>1001</v>
      </c>
    </row>
    <row r="232" spans="1:10">
      <c r="A232" s="6" t="s">
        <v>1210</v>
      </c>
      <c r="B232" s="6" t="s">
        <v>1218</v>
      </c>
      <c r="C232" s="6" t="s">
        <v>1219</v>
      </c>
      <c r="D232" s="6" t="s">
        <v>1004</v>
      </c>
      <c r="E232" s="6" t="s">
        <v>680</v>
      </c>
      <c r="F232" s="6" t="s">
        <v>676</v>
      </c>
      <c r="G232" s="6" t="s">
        <v>19</v>
      </c>
      <c r="H232" s="6" t="s">
        <v>1050</v>
      </c>
      <c r="I232" s="7">
        <f>'Group KPIs'!K74</f>
        <v>54.03</v>
      </c>
      <c r="J232" s="13" t="s">
        <v>996</v>
      </c>
    </row>
    <row r="233" spans="1:10">
      <c r="A233" s="6" t="s">
        <v>1210</v>
      </c>
      <c r="B233" s="6" t="s">
        <v>1218</v>
      </c>
      <c r="C233" s="6" t="s">
        <v>1219</v>
      </c>
      <c r="D233" s="6" t="s">
        <v>1004</v>
      </c>
      <c r="E233" s="6" t="s">
        <v>1038</v>
      </c>
      <c r="F233" s="6" t="s">
        <v>748</v>
      </c>
      <c r="G233" s="6" t="s">
        <v>19</v>
      </c>
      <c r="H233" s="6" t="s">
        <v>1007</v>
      </c>
      <c r="I233" s="7">
        <f>'Group KPIs'!K99</f>
        <v>0.0</v>
      </c>
      <c r="J233" s="13" t="s">
        <v>996</v>
      </c>
    </row>
    <row r="234" spans="1:10">
      <c r="A234" s="6" t="s">
        <v>1210</v>
      </c>
      <c r="B234" s="6" t="s">
        <v>1222</v>
      </c>
      <c r="C234" s="6" t="s">
        <v>1223</v>
      </c>
      <c r="D234" s="6" t="s">
        <v>994</v>
      </c>
      <c r="E234" s="6" t="s">
        <v>842</v>
      </c>
      <c r="F234" s="6" t="s">
        <v>841</v>
      </c>
      <c r="G234" s="6" t="s">
        <v>19</v>
      </c>
      <c r="H234" s="6" t="s">
        <v>1018</v>
      </c>
      <c r="I234" s="7">
        <f>'Group KPIs'!K133</f>
        <v>1.0</v>
      </c>
      <c r="J234" s="13" t="s">
        <v>996</v>
      </c>
    </row>
    <row r="235" spans="1:10">
      <c r="A235" s="6" t="s">
        <v>1210</v>
      </c>
      <c r="B235" s="6" t="s">
        <v>1222</v>
      </c>
      <c r="C235" s="6" t="s">
        <v>1223</v>
      </c>
      <c r="D235" s="6" t="s">
        <v>994</v>
      </c>
      <c r="E235" s="6" t="s">
        <v>1019</v>
      </c>
      <c r="F235" s="6" t="s">
        <v>558</v>
      </c>
      <c r="G235" s="6" t="s">
        <v>19</v>
      </c>
      <c r="H235" s="6" t="s">
        <v>1020</v>
      </c>
      <c r="I235" s="7">
        <f>'Group KPIs'!K38</f>
        <v>1760.09</v>
      </c>
      <c r="J235" s="14" t="s">
        <v>1001</v>
      </c>
    </row>
    <row r="236" spans="1:10">
      <c r="A236" s="6" t="s">
        <v>1210</v>
      </c>
      <c r="B236" s="6" t="s">
        <v>1222</v>
      </c>
      <c r="C236" s="6" t="s">
        <v>1223</v>
      </c>
      <c r="D236" s="6" t="s">
        <v>994</v>
      </c>
      <c r="E236" s="6" t="s">
        <v>1213</v>
      </c>
      <c r="F236" s="6" t="s">
        <v>566</v>
      </c>
      <c r="G236" s="6" t="s">
        <v>19</v>
      </c>
      <c r="H236" s="6" t="s">
        <v>1039</v>
      </c>
      <c r="I236" s="7">
        <f>'Group KPIs'!K40</f>
        <v>13811.3</v>
      </c>
      <c r="J236" s="14" t="s">
        <v>1001</v>
      </c>
    </row>
    <row r="237" spans="1:10">
      <c r="A237" s="6" t="s">
        <v>1210</v>
      </c>
      <c r="B237" s="6" t="s">
        <v>1222</v>
      </c>
      <c r="C237" s="6" t="s">
        <v>1223</v>
      </c>
      <c r="D237" s="6" t="s">
        <v>994</v>
      </c>
      <c r="E237" s="6" t="s">
        <v>1029</v>
      </c>
      <c r="F237" s="6" t="s">
        <v>453</v>
      </c>
      <c r="G237" s="6" t="s">
        <v>19</v>
      </c>
      <c r="H237" s="6" t="s">
        <v>1030</v>
      </c>
      <c r="I237" s="7">
        <f>'Group KPIs'!K2</f>
        <v>95.51</v>
      </c>
      <c r="J237" s="14" t="s">
        <v>1001</v>
      </c>
    </row>
    <row r="238" spans="1:10">
      <c r="A238" s="6" t="s">
        <v>1210</v>
      </c>
      <c r="B238" s="6" t="s">
        <v>1222</v>
      </c>
      <c r="C238" s="6" t="s">
        <v>1223</v>
      </c>
      <c r="D238" s="6" t="s">
        <v>994</v>
      </c>
      <c r="E238" s="6" t="s">
        <v>818</v>
      </c>
      <c r="F238" s="6" t="s">
        <v>817</v>
      </c>
      <c r="G238" s="6" t="s">
        <v>19</v>
      </c>
      <c r="H238" s="6" t="s">
        <v>997</v>
      </c>
      <c r="I238" s="7">
        <f>'Group KPIs'!K125</f>
        <v>83.93</v>
      </c>
      <c r="J238" s="13" t="s">
        <v>996</v>
      </c>
    </row>
    <row r="239" spans="1:10">
      <c r="A239" s="6" t="s">
        <v>1210</v>
      </c>
      <c r="B239" s="6" t="s">
        <v>1222</v>
      </c>
      <c r="C239" s="6" t="s">
        <v>1223</v>
      </c>
      <c r="D239" s="6" t="s">
        <v>994</v>
      </c>
      <c r="E239" s="6" t="s">
        <v>1224</v>
      </c>
      <c r="F239" s="6" t="s">
        <v>602</v>
      </c>
      <c r="G239" s="6" t="s">
        <v>19</v>
      </c>
      <c r="H239" s="6" t="s">
        <v>1225</v>
      </c>
      <c r="I239" s="7">
        <f>'Group KPIs'!K51</f>
        <v>46.97</v>
      </c>
      <c r="J239" s="13" t="s">
        <v>996</v>
      </c>
    </row>
    <row r="240" spans="1:10">
      <c r="A240" s="6" t="s">
        <v>1210</v>
      </c>
      <c r="B240" s="6" t="s">
        <v>1226</v>
      </c>
      <c r="C240" s="6" t="s">
        <v>1227</v>
      </c>
      <c r="D240" s="6" t="s">
        <v>994</v>
      </c>
      <c r="E240" s="6" t="s">
        <v>1019</v>
      </c>
      <c r="F240" s="6" t="s">
        <v>558</v>
      </c>
      <c r="G240" s="6" t="s">
        <v>19</v>
      </c>
      <c r="H240" s="6" t="s">
        <v>1020</v>
      </c>
      <c r="I240" s="7">
        <f>'Group KPIs'!K38</f>
        <v>1760.09</v>
      </c>
      <c r="J240" s="14" t="s">
        <v>1001</v>
      </c>
    </row>
    <row r="241" spans="1:10">
      <c r="A241" s="6" t="s">
        <v>1210</v>
      </c>
      <c r="B241" s="6" t="s">
        <v>1226</v>
      </c>
      <c r="C241" s="6" t="s">
        <v>1227</v>
      </c>
      <c r="D241" s="6" t="s">
        <v>994</v>
      </c>
      <c r="E241" s="6" t="s">
        <v>564</v>
      </c>
      <c r="F241" s="6" t="s">
        <v>563</v>
      </c>
      <c r="G241" s="6" t="s">
        <v>19</v>
      </c>
      <c r="H241" s="6" t="s">
        <v>1022</v>
      </c>
      <c r="I241" s="7">
        <f>'Group KPIs'!K39</f>
        <v>1228.14</v>
      </c>
      <c r="J241" s="14" t="s">
        <v>1001</v>
      </c>
    </row>
    <row r="242" spans="1:10">
      <c r="A242" s="6" t="s">
        <v>1210</v>
      </c>
      <c r="B242" s="6" t="s">
        <v>1226</v>
      </c>
      <c r="C242" s="6" t="s">
        <v>1227</v>
      </c>
      <c r="D242" s="6" t="s">
        <v>994</v>
      </c>
      <c r="E242" s="6" t="s">
        <v>1213</v>
      </c>
      <c r="F242" s="6" t="s">
        <v>566</v>
      </c>
      <c r="G242" s="6" t="s">
        <v>19</v>
      </c>
      <c r="H242" s="6" t="s">
        <v>1039</v>
      </c>
      <c r="I242" s="7">
        <f>'Group KPIs'!K40</f>
        <v>13811.3</v>
      </c>
      <c r="J242" s="14" t="s">
        <v>1001</v>
      </c>
    </row>
    <row r="243" spans="1:10">
      <c r="A243" s="6" t="s">
        <v>1210</v>
      </c>
      <c r="B243" s="6" t="s">
        <v>1226</v>
      </c>
      <c r="C243" s="6" t="s">
        <v>1227</v>
      </c>
      <c r="D243" s="6" t="s">
        <v>994</v>
      </c>
      <c r="E243" s="6" t="s">
        <v>1040</v>
      </c>
      <c r="F243" s="6" t="s">
        <v>572</v>
      </c>
      <c r="G243" s="6" t="s">
        <v>19</v>
      </c>
      <c r="H243" s="6" t="s">
        <v>1026</v>
      </c>
      <c r="I243" s="7">
        <f>'Group KPIs'!K42</f>
        <v>11.58</v>
      </c>
      <c r="J243" s="14" t="s">
        <v>1001</v>
      </c>
    </row>
    <row r="244" spans="1:10">
      <c r="A244" s="6" t="s">
        <v>1210</v>
      </c>
      <c r="B244" s="6" t="s">
        <v>1226</v>
      </c>
      <c r="C244" s="6" t="s">
        <v>1227</v>
      </c>
      <c r="D244" s="6" t="s">
        <v>994</v>
      </c>
      <c r="E244" s="6" t="s">
        <v>1027</v>
      </c>
      <c r="F244" s="6" t="s">
        <v>575</v>
      </c>
      <c r="G244" s="6" t="s">
        <v>19</v>
      </c>
      <c r="H244" s="6" t="s">
        <v>1028</v>
      </c>
      <c r="I244" s="7">
        <f>'Group KPIs'!K43</f>
        <v>6650.0</v>
      </c>
      <c r="J244" s="14" t="s">
        <v>1001</v>
      </c>
    </row>
    <row r="245" spans="1:10">
      <c r="A245" s="6" t="s">
        <v>1210</v>
      </c>
      <c r="B245" s="6" t="s">
        <v>1226</v>
      </c>
      <c r="C245" s="6" t="s">
        <v>1227</v>
      </c>
      <c r="D245" s="6" t="s">
        <v>994</v>
      </c>
      <c r="E245" s="6" t="s">
        <v>1042</v>
      </c>
      <c r="F245" s="6" t="s">
        <v>579</v>
      </c>
      <c r="G245" s="6" t="s">
        <v>19</v>
      </c>
      <c r="H245" s="6" t="s">
        <v>1228</v>
      </c>
      <c r="I245" s="7">
        <f>'Group KPIs'!K44</f>
        <v>-86.65</v>
      </c>
      <c r="J245" s="14" t="s">
        <v>1001</v>
      </c>
    </row>
    <row r="246" spans="1:10">
      <c r="A246" s="6" t="s">
        <v>1210</v>
      </c>
      <c r="B246" s="6" t="s">
        <v>1226</v>
      </c>
      <c r="C246" s="6" t="s">
        <v>1227</v>
      </c>
      <c r="D246" s="6" t="s">
        <v>1031</v>
      </c>
      <c r="E246" s="6" t="s">
        <v>1054</v>
      </c>
      <c r="F246" s="6" t="s">
        <v>882</v>
      </c>
      <c r="G246" s="6" t="s">
        <v>19</v>
      </c>
      <c r="H246" s="6" t="s">
        <v>1037</v>
      </c>
      <c r="I246" s="7">
        <f>'Group KPIs'!K146</f>
        <v>-56.18</v>
      </c>
      <c r="J246" s="14" t="s">
        <v>1001</v>
      </c>
    </row>
    <row r="247" spans="1:10">
      <c r="A247" s="6" t="s">
        <v>1210</v>
      </c>
      <c r="B247" s="6" t="s">
        <v>1226</v>
      </c>
      <c r="C247" s="6" t="s">
        <v>1227</v>
      </c>
      <c r="D247" s="6" t="s">
        <v>1004</v>
      </c>
      <c r="E247" s="6" t="s">
        <v>489</v>
      </c>
      <c r="F247" s="6" t="s">
        <v>488</v>
      </c>
      <c r="G247" s="6" t="s">
        <v>19</v>
      </c>
      <c r="H247" s="6" t="s">
        <v>1173</v>
      </c>
      <c r="I247" s="7">
        <f>'Group KPIs'!K13</f>
        <v>2933.74</v>
      </c>
      <c r="J247" s="14" t="s">
        <v>1001</v>
      </c>
    </row>
    <row r="248" spans="1:10">
      <c r="A248" s="6" t="s">
        <v>1210</v>
      </c>
      <c r="B248" s="6" t="s">
        <v>1226</v>
      </c>
      <c r="C248" s="6" t="s">
        <v>1227</v>
      </c>
      <c r="D248" s="6" t="s">
        <v>1004</v>
      </c>
      <c r="E248" s="6" t="s">
        <v>493</v>
      </c>
      <c r="F248" s="6" t="s">
        <v>492</v>
      </c>
      <c r="G248" s="6" t="s">
        <v>19</v>
      </c>
      <c r="H248" s="6" t="s">
        <v>1175</v>
      </c>
      <c r="I248" s="7">
        <f>'Group KPIs'!K14</f>
        <v>1827824.8</v>
      </c>
      <c r="J248" s="14" t="s">
        <v>1001</v>
      </c>
    </row>
    <row r="249" spans="1:10">
      <c r="A249" s="6" t="s">
        <v>1210</v>
      </c>
      <c r="B249" s="6" t="s">
        <v>1226</v>
      </c>
      <c r="C249" s="6" t="s">
        <v>1227</v>
      </c>
      <c r="D249" s="6" t="s">
        <v>1004</v>
      </c>
      <c r="E249" s="6" t="s">
        <v>1023</v>
      </c>
      <c r="F249" s="6" t="s">
        <v>569</v>
      </c>
      <c r="G249" s="6" t="s">
        <v>19</v>
      </c>
      <c r="H249" s="6" t="s">
        <v>1024</v>
      </c>
      <c r="I249" s="7">
        <f>'Group KPIs'!K41</f>
        <v>606.18</v>
      </c>
      <c r="J249" s="14" t="s">
        <v>1001</v>
      </c>
    </row>
    <row r="250" spans="1:10">
      <c r="A250" s="6" t="s">
        <v>1210</v>
      </c>
      <c r="B250" s="6" t="s">
        <v>1226</v>
      </c>
      <c r="C250" s="6" t="s">
        <v>1227</v>
      </c>
      <c r="D250" s="6" t="s">
        <v>1004</v>
      </c>
      <c r="E250" s="6" t="s">
        <v>1229</v>
      </c>
      <c r="F250" s="6" t="s">
        <v>582</v>
      </c>
      <c r="G250" s="6" t="s">
        <v>19</v>
      </c>
      <c r="H250" s="6" t="s">
        <v>1230</v>
      </c>
      <c r="I250" s="7">
        <f>'Group KPIs'!K45</f>
        <v>34.44</v>
      </c>
      <c r="J250" s="14" t="s">
        <v>1001</v>
      </c>
    </row>
    <row r="251" spans="1:10">
      <c r="A251" s="6" t="s">
        <v>1210</v>
      </c>
      <c r="B251" s="6" t="s">
        <v>1226</v>
      </c>
      <c r="C251" s="6" t="s">
        <v>1227</v>
      </c>
      <c r="D251" s="6" t="s">
        <v>1004</v>
      </c>
      <c r="E251" s="6" t="s">
        <v>454</v>
      </c>
      <c r="F251" s="6" t="s">
        <v>453</v>
      </c>
      <c r="G251" s="6" t="s">
        <v>19</v>
      </c>
      <c r="H251" s="6" t="s">
        <v>1231</v>
      </c>
      <c r="I251" s="7">
        <f>'Group KPIs'!K2</f>
        <v>95.51</v>
      </c>
      <c r="J251" s="14" t="s">
        <v>1001</v>
      </c>
    </row>
    <row r="252" spans="1:10">
      <c r="A252" s="6" t="s">
        <v>1210</v>
      </c>
      <c r="B252" s="6" t="s">
        <v>1226</v>
      </c>
      <c r="C252" s="6" t="s">
        <v>1227</v>
      </c>
      <c r="D252" s="6" t="s">
        <v>1004</v>
      </c>
      <c r="E252" s="6" t="s">
        <v>551</v>
      </c>
      <c r="F252" s="6" t="s">
        <v>550</v>
      </c>
      <c r="G252" s="6" t="s">
        <v>19</v>
      </c>
      <c r="H252" s="6" t="s">
        <v>1045</v>
      </c>
      <c r="I252" s="7">
        <f>'Group KPIs'!K35</f>
        <v>95.23</v>
      </c>
      <c r="J252" s="14" t="s">
        <v>1001</v>
      </c>
    </row>
    <row r="253" spans="1:10">
      <c r="A253" s="6" t="s">
        <v>1210</v>
      </c>
      <c r="B253" s="6" t="s">
        <v>1226</v>
      </c>
      <c r="C253" s="6" t="s">
        <v>1227</v>
      </c>
      <c r="D253" s="6" t="s">
        <v>1004</v>
      </c>
      <c r="E253" s="6" t="s">
        <v>872</v>
      </c>
      <c r="F253" s="6" t="s">
        <v>871</v>
      </c>
      <c r="G253" s="6" t="s">
        <v>19</v>
      </c>
      <c r="H253" s="6" t="s">
        <v>1232</v>
      </c>
      <c r="I253" s="8" t="str">
        <f>'Group KPIs'!K143</f>
        <v>Low (-0.4% vs plan price)</v>
      </c>
      <c r="J253" s="13" t="s">
        <v>996</v>
      </c>
    </row>
    <row r="254" spans="1:10">
      <c r="A254" s="6" t="s">
        <v>1210</v>
      </c>
      <c r="B254" s="6" t="s">
        <v>1233</v>
      </c>
      <c r="C254" s="6" t="s">
        <v>1234</v>
      </c>
      <c r="D254" s="6" t="s">
        <v>994</v>
      </c>
      <c r="E254" s="6" t="s">
        <v>596</v>
      </c>
      <c r="F254" s="6" t="s">
        <v>595</v>
      </c>
      <c r="G254" s="6" t="s">
        <v>19</v>
      </c>
      <c r="H254" s="6" t="s">
        <v>1235</v>
      </c>
      <c r="I254" s="7">
        <f>'Group KPIs'!K49</f>
        <v>32.59</v>
      </c>
      <c r="J254" s="13" t="s">
        <v>996</v>
      </c>
    </row>
    <row r="255" spans="1:10">
      <c r="A255" s="6" t="s">
        <v>1210</v>
      </c>
      <c r="B255" s="6" t="s">
        <v>1233</v>
      </c>
      <c r="C255" s="6" t="s">
        <v>1234</v>
      </c>
      <c r="D255" s="6" t="s">
        <v>994</v>
      </c>
      <c r="E255" s="6" t="s">
        <v>599</v>
      </c>
      <c r="F255" s="6" t="s">
        <v>598</v>
      </c>
      <c r="G255" s="6" t="s">
        <v>19</v>
      </c>
      <c r="H255" s="6" t="s">
        <v>1061</v>
      </c>
      <c r="I255" s="7">
        <f>'Group KPIs'!K50</f>
        <v>27.21</v>
      </c>
      <c r="J255" s="14" t="s">
        <v>1001</v>
      </c>
    </row>
    <row r="256" spans="1:10">
      <c r="A256" s="6" t="s">
        <v>1210</v>
      </c>
      <c r="B256" s="6" t="s">
        <v>1233</v>
      </c>
      <c r="C256" s="6" t="s">
        <v>1234</v>
      </c>
      <c r="D256" s="6" t="s">
        <v>994</v>
      </c>
      <c r="E256" s="6" t="s">
        <v>603</v>
      </c>
      <c r="F256" s="6" t="s">
        <v>602</v>
      </c>
      <c r="G256" s="6" t="s">
        <v>19</v>
      </c>
      <c r="H256" s="6" t="s">
        <v>1225</v>
      </c>
      <c r="I256" s="7">
        <f>'Group KPIs'!K51</f>
        <v>46.97</v>
      </c>
      <c r="J256" s="13" t="s">
        <v>996</v>
      </c>
    </row>
    <row r="257" spans="1:10">
      <c r="A257" s="6" t="s">
        <v>1210</v>
      </c>
      <c r="B257" s="6" t="s">
        <v>1233</v>
      </c>
      <c r="C257" s="6" t="s">
        <v>1234</v>
      </c>
      <c r="D257" s="6" t="s">
        <v>994</v>
      </c>
      <c r="E257" s="6" t="s">
        <v>606</v>
      </c>
      <c r="F257" s="6" t="s">
        <v>605</v>
      </c>
      <c r="G257" s="6" t="s">
        <v>19</v>
      </c>
      <c r="H257" s="6" t="s">
        <v>1208</v>
      </c>
      <c r="I257" s="7">
        <f>'Group KPIs'!K52</f>
        <v>52.15</v>
      </c>
      <c r="J257" s="13" t="s">
        <v>996</v>
      </c>
    </row>
    <row r="258" spans="1:10">
      <c r="A258" s="6" t="s">
        <v>1210</v>
      </c>
      <c r="B258" s="6" t="s">
        <v>1233</v>
      </c>
      <c r="C258" s="6" t="s">
        <v>1234</v>
      </c>
      <c r="D258" s="6" t="s">
        <v>994</v>
      </c>
      <c r="E258" s="6" t="s">
        <v>609</v>
      </c>
      <c r="F258" s="6" t="s">
        <v>608</v>
      </c>
      <c r="G258" s="6" t="s">
        <v>19</v>
      </c>
      <c r="H258" s="6" t="s">
        <v>1236</v>
      </c>
      <c r="I258" s="7">
        <f>'Group KPIs'!K53</f>
        <v>37.76</v>
      </c>
      <c r="J258" s="13" t="s">
        <v>996</v>
      </c>
    </row>
    <row r="259" spans="1:10">
      <c r="A259" s="6" t="s">
        <v>1210</v>
      </c>
      <c r="B259" s="6" t="s">
        <v>1233</v>
      </c>
      <c r="C259" s="6" t="s">
        <v>1234</v>
      </c>
      <c r="D259" s="6" t="s">
        <v>994</v>
      </c>
      <c r="E259" s="6" t="s">
        <v>612</v>
      </c>
      <c r="F259" s="6" t="s">
        <v>611</v>
      </c>
      <c r="G259" s="6" t="s">
        <v>19</v>
      </c>
      <c r="H259" s="6" t="s">
        <v>1064</v>
      </c>
      <c r="I259" s="7">
        <f>'Group KPIs'!K54</f>
        <v>2780.99</v>
      </c>
      <c r="J259" s="14" t="s">
        <v>1001</v>
      </c>
    </row>
    <row r="260" spans="1:10">
      <c r="A260" s="6" t="s">
        <v>1210</v>
      </c>
      <c r="B260" s="6" t="s">
        <v>1233</v>
      </c>
      <c r="C260" s="6" t="s">
        <v>1234</v>
      </c>
      <c r="D260" s="6" t="s">
        <v>1031</v>
      </c>
      <c r="E260" s="6" t="s">
        <v>1055</v>
      </c>
      <c r="F260" s="6" t="s">
        <v>885</v>
      </c>
      <c r="G260" s="6" t="s">
        <v>19</v>
      </c>
      <c r="H260" s="6" t="s">
        <v>1065</v>
      </c>
      <c r="I260" s="8" t="str">
        <f>'Group KPIs'!K147</f>
        <v>None within 90 d</v>
      </c>
      <c r="J260" s="13" t="s">
        <v>996</v>
      </c>
    </row>
    <row r="261" spans="1:10">
      <c r="A261" s="6" t="s">
        <v>1210</v>
      </c>
      <c r="B261" s="6" t="s">
        <v>1233</v>
      </c>
      <c r="C261" s="6" t="s">
        <v>1234</v>
      </c>
      <c r="D261" s="6" t="s">
        <v>1031</v>
      </c>
      <c r="E261" s="6" t="s">
        <v>891</v>
      </c>
      <c r="F261" s="6" t="s">
        <v>890</v>
      </c>
      <c r="G261" s="6" t="s">
        <v>19</v>
      </c>
      <c r="H261" s="6" t="s">
        <v>1057</v>
      </c>
      <c r="I261" s="8" t="str">
        <f>'Group KPIs'!K148</f>
        <v>Not forecast</v>
      </c>
      <c r="J261" s="13" t="s">
        <v>996</v>
      </c>
    </row>
    <row r="262" spans="1:10">
      <c r="A262" s="6" t="s">
        <v>1210</v>
      </c>
      <c r="B262" s="6" t="s">
        <v>1233</v>
      </c>
      <c r="C262" s="6" t="s">
        <v>1234</v>
      </c>
      <c r="D262" s="6" t="s">
        <v>1031</v>
      </c>
      <c r="E262" s="6" t="s">
        <v>862</v>
      </c>
      <c r="F262" s="6" t="s">
        <v>861</v>
      </c>
      <c r="G262" s="6" t="s">
        <v>19</v>
      </c>
      <c r="H262" s="6" t="s">
        <v>1066</v>
      </c>
      <c r="I262" s="7">
        <f>'Group KPIs'!K140</f>
        <v>1.12</v>
      </c>
      <c r="J262" s="14" t="s">
        <v>1001</v>
      </c>
    </row>
    <row r="263" spans="1:10">
      <c r="A263" s="6" t="s">
        <v>1210</v>
      </c>
      <c r="B263" s="6" t="s">
        <v>1233</v>
      </c>
      <c r="C263" s="6" t="s">
        <v>1234</v>
      </c>
      <c r="D263" s="6" t="s">
        <v>1031</v>
      </c>
      <c r="E263" s="6" t="s">
        <v>865</v>
      </c>
      <c r="F263" s="6" t="s">
        <v>864</v>
      </c>
      <c r="G263" s="6" t="s">
        <v>19</v>
      </c>
      <c r="H263" s="6" t="s">
        <v>1237</v>
      </c>
      <c r="I263" s="7">
        <f>'Group KPIs'!K141</f>
        <v>3.0</v>
      </c>
      <c r="J263" s="14" t="s">
        <v>1001</v>
      </c>
    </row>
    <row r="264" spans="1:10">
      <c r="A264" s="6" t="s">
        <v>1210</v>
      </c>
      <c r="B264" s="6" t="s">
        <v>1233</v>
      </c>
      <c r="C264" s="6" t="s">
        <v>1234</v>
      </c>
      <c r="D264" s="6" t="s">
        <v>1004</v>
      </c>
      <c r="E264" s="6" t="s">
        <v>1238</v>
      </c>
      <c r="F264" s="6" t="s">
        <v>585</v>
      </c>
      <c r="G264" s="6" t="s">
        <v>19</v>
      </c>
      <c r="H264" s="6" t="s">
        <v>1060</v>
      </c>
      <c r="I264" s="7">
        <f>'Group KPIs'!K46</f>
        <v>2141.82</v>
      </c>
      <c r="J264" s="14" t="s">
        <v>1001</v>
      </c>
    </row>
    <row r="265" spans="1:10">
      <c r="A265" s="6" t="s">
        <v>1210</v>
      </c>
      <c r="B265" s="6" t="s">
        <v>1233</v>
      </c>
      <c r="C265" s="6" t="s">
        <v>1234</v>
      </c>
      <c r="D265" s="6" t="s">
        <v>1004</v>
      </c>
      <c r="E265" s="6" t="s">
        <v>589</v>
      </c>
      <c r="F265" s="6" t="s">
        <v>588</v>
      </c>
      <c r="G265" s="6" t="s">
        <v>19</v>
      </c>
      <c r="H265" s="6" t="s">
        <v>1068</v>
      </c>
      <c r="I265" s="7">
        <f>'Group KPIs'!K47</f>
        <v>22.03</v>
      </c>
      <c r="J265" s="14" t="s">
        <v>1001</v>
      </c>
    </row>
    <row r="266" spans="1:10">
      <c r="A266" s="6" t="s">
        <v>1210</v>
      </c>
      <c r="B266" s="6" t="s">
        <v>1233</v>
      </c>
      <c r="C266" s="6" t="s">
        <v>1234</v>
      </c>
      <c r="D266" s="6" t="s">
        <v>1004</v>
      </c>
      <c r="E266" s="6" t="s">
        <v>1069</v>
      </c>
      <c r="F266" s="6" t="s">
        <v>591</v>
      </c>
      <c r="G266" s="6" t="s">
        <v>19</v>
      </c>
      <c r="H266" s="6" t="s">
        <v>1070</v>
      </c>
      <c r="I266" s="7">
        <f>'Group KPIs'!K48</f>
        <v>76.77</v>
      </c>
      <c r="J266" s="14" t="s">
        <v>1001</v>
      </c>
    </row>
    <row r="267" spans="1:10">
      <c r="A267" s="6" t="s">
        <v>1210</v>
      </c>
      <c r="B267" s="6" t="s">
        <v>1233</v>
      </c>
      <c r="C267" s="6" t="s">
        <v>1234</v>
      </c>
      <c r="D267" s="6" t="s">
        <v>1004</v>
      </c>
      <c r="E267" s="6" t="s">
        <v>621</v>
      </c>
      <c r="F267" s="6" t="s">
        <v>620</v>
      </c>
      <c r="G267" s="6" t="s">
        <v>19</v>
      </c>
      <c r="H267" s="6" t="s">
        <v>1062</v>
      </c>
      <c r="I267" s="7">
        <f>'Group KPIs'!K57</f>
        <v>16.71</v>
      </c>
      <c r="J267" s="14" t="s">
        <v>1001</v>
      </c>
    </row>
    <row r="268" spans="1:10">
      <c r="A268" s="6" t="s">
        <v>1210</v>
      </c>
      <c r="B268" s="6" t="s">
        <v>1233</v>
      </c>
      <c r="C268" s="6" t="s">
        <v>1234</v>
      </c>
      <c r="D268" s="6" t="s">
        <v>1004</v>
      </c>
      <c r="E268" s="6" t="s">
        <v>1239</v>
      </c>
      <c r="F268" s="6" t="s">
        <v>624</v>
      </c>
      <c r="G268" s="6" t="s">
        <v>19</v>
      </c>
      <c r="H268" s="6" t="s">
        <v>1063</v>
      </c>
      <c r="I268" s="7">
        <f>'Group KPIs'!K58</f>
        <v>24.44</v>
      </c>
      <c r="J268" s="14" t="s">
        <v>1001</v>
      </c>
    </row>
    <row r="269" spans="1:10">
      <c r="A269" s="6" t="s">
        <v>1210</v>
      </c>
      <c r="B269" s="6" t="s">
        <v>1233</v>
      </c>
      <c r="C269" s="6" t="s">
        <v>1234</v>
      </c>
      <c r="D269" s="6" t="s">
        <v>1004</v>
      </c>
      <c r="E269" s="6" t="s">
        <v>1240</v>
      </c>
      <c r="F269" s="6" t="s">
        <v>627</v>
      </c>
      <c r="G269" s="6" t="s">
        <v>19</v>
      </c>
      <c r="H269" s="6" t="s">
        <v>1073</v>
      </c>
      <c r="I269" s="7">
        <f>'Group KPIs'!K59</f>
        <v>891.41</v>
      </c>
      <c r="J269" s="14" t="s">
        <v>1001</v>
      </c>
    </row>
    <row r="270" spans="1:10">
      <c r="A270" s="6" t="s">
        <v>1210</v>
      </c>
      <c r="B270" s="6" t="s">
        <v>1233</v>
      </c>
      <c r="C270" s="6" t="s">
        <v>1234</v>
      </c>
      <c r="D270" s="6" t="s">
        <v>1004</v>
      </c>
      <c r="E270" s="6" t="s">
        <v>1074</v>
      </c>
      <c r="F270" s="6" t="s">
        <v>630</v>
      </c>
      <c r="G270" s="6" t="s">
        <v>19</v>
      </c>
      <c r="H270" s="6" t="s">
        <v>1075</v>
      </c>
      <c r="I270" s="7">
        <f>'Group KPIs'!K60</f>
        <v>2720.83</v>
      </c>
      <c r="J270" s="14" t="s">
        <v>1001</v>
      </c>
    </row>
    <row r="271" spans="1:10">
      <c r="A271" s="6" t="s">
        <v>1210</v>
      </c>
      <c r="B271" s="6" t="s">
        <v>1233</v>
      </c>
      <c r="C271" s="6" t="s">
        <v>1234</v>
      </c>
      <c r="D271" s="6" t="s">
        <v>1004</v>
      </c>
      <c r="E271" s="6" t="s">
        <v>891</v>
      </c>
      <c r="F271" s="6" t="s">
        <v>890</v>
      </c>
      <c r="G271" s="6" t="s">
        <v>19</v>
      </c>
      <c r="H271" s="6" t="s">
        <v>1057</v>
      </c>
      <c r="I271" s="8" t="str">
        <f>'Group KPIs'!K148</f>
        <v>Not forecast</v>
      </c>
      <c r="J271" s="13" t="s">
        <v>996</v>
      </c>
    </row>
    <row r="272" spans="1:10">
      <c r="A272" s="6" t="s">
        <v>1210</v>
      </c>
      <c r="B272" s="6" t="s">
        <v>1233</v>
      </c>
      <c r="C272" s="6" t="s">
        <v>1234</v>
      </c>
      <c r="D272" s="6" t="s">
        <v>1004</v>
      </c>
      <c r="E272" s="6" t="s">
        <v>1241</v>
      </c>
      <c r="F272" s="6" t="s">
        <v>633</v>
      </c>
      <c r="G272" s="6" t="s">
        <v>19</v>
      </c>
      <c r="H272" s="6" t="s">
        <v>1079</v>
      </c>
      <c r="I272" s="7">
        <f>'Group KPIs'!K61</f>
        <v>221.72</v>
      </c>
      <c r="J272" s="14" t="s">
        <v>1001</v>
      </c>
    </row>
    <row r="273" spans="1:10">
      <c r="A273" s="6" t="s">
        <v>1210</v>
      </c>
      <c r="B273" s="6" t="s">
        <v>1233</v>
      </c>
      <c r="C273" s="6" t="s">
        <v>1234</v>
      </c>
      <c r="D273" s="6" t="s">
        <v>1004</v>
      </c>
      <c r="E273" s="6" t="s">
        <v>637</v>
      </c>
      <c r="F273" s="6" t="s">
        <v>636</v>
      </c>
      <c r="G273" s="6" t="s">
        <v>19</v>
      </c>
      <c r="H273" s="6" t="s">
        <v>1080</v>
      </c>
      <c r="I273" s="7">
        <f>'Group KPIs'!K62</f>
        <v>91.7</v>
      </c>
      <c r="J273" s="14" t="s">
        <v>1001</v>
      </c>
    </row>
    <row r="274" spans="1:10">
      <c r="A274" s="6" t="s">
        <v>1210</v>
      </c>
      <c r="B274" s="6" t="s">
        <v>1233</v>
      </c>
      <c r="C274" s="6" t="s">
        <v>1234</v>
      </c>
      <c r="D274" s="6" t="s">
        <v>1004</v>
      </c>
      <c r="E274" s="6" t="s">
        <v>1083</v>
      </c>
      <c r="F274" s="6" t="s">
        <v>642</v>
      </c>
      <c r="G274" s="6" t="s">
        <v>19</v>
      </c>
      <c r="H274" s="6" t="s">
        <v>1084</v>
      </c>
      <c r="I274" s="7">
        <f>'Group KPIs'!K64</f>
        <v>70.65</v>
      </c>
      <c r="J274" s="14" t="s">
        <v>1001</v>
      </c>
    </row>
    <row r="275" spans="1:10">
      <c r="A275" s="6" t="s">
        <v>1210</v>
      </c>
      <c r="B275" s="6" t="s">
        <v>1233</v>
      </c>
      <c r="C275" s="6" t="s">
        <v>1234</v>
      </c>
      <c r="D275" s="6" t="s">
        <v>1004</v>
      </c>
      <c r="E275" s="6" t="s">
        <v>1242</v>
      </c>
      <c r="F275" s="6" t="s">
        <v>614</v>
      </c>
      <c r="G275" s="6" t="s">
        <v>19</v>
      </c>
      <c r="H275" s="6" t="s">
        <v>1091</v>
      </c>
      <c r="I275" s="7">
        <f>'Group KPIs'!K55</f>
        <v>17.26</v>
      </c>
      <c r="J275" s="14" t="s">
        <v>1001</v>
      </c>
    </row>
    <row r="276" spans="1:10">
      <c r="A276" s="6" t="s">
        <v>1210</v>
      </c>
      <c r="B276" s="6" t="s">
        <v>1233</v>
      </c>
      <c r="C276" s="6" t="s">
        <v>1234</v>
      </c>
      <c r="D276" s="6" t="s">
        <v>1004</v>
      </c>
      <c r="E276" s="6" t="s">
        <v>1243</v>
      </c>
      <c r="F276" s="6" t="s">
        <v>617</v>
      </c>
      <c r="G276" s="6" t="s">
        <v>19</v>
      </c>
      <c r="H276" s="6" t="s">
        <v>1092</v>
      </c>
      <c r="I276" s="7">
        <f>'Group KPIs'!K56</f>
        <v>35.72</v>
      </c>
      <c r="J276" s="14" t="s">
        <v>1001</v>
      </c>
    </row>
    <row r="277" spans="1:10">
      <c r="A277" s="6" t="s">
        <v>1210</v>
      </c>
      <c r="B277" s="6" t="s">
        <v>1244</v>
      </c>
      <c r="C277" s="6" t="s">
        <v>1245</v>
      </c>
      <c r="D277" s="6" t="s">
        <v>994</v>
      </c>
      <c r="E277" s="6" t="s">
        <v>489</v>
      </c>
      <c r="F277" s="6" t="s">
        <v>488</v>
      </c>
      <c r="G277" s="6" t="s">
        <v>19</v>
      </c>
      <c r="H277" s="6" t="s">
        <v>1159</v>
      </c>
      <c r="I277" s="7">
        <f>'Group KPIs'!K13</f>
        <v>2933.74</v>
      </c>
      <c r="J277" s="14" t="s">
        <v>1001</v>
      </c>
    </row>
    <row r="278" spans="1:10">
      <c r="A278" s="6" t="s">
        <v>1210</v>
      </c>
      <c r="B278" s="6" t="s">
        <v>1244</v>
      </c>
      <c r="C278" s="6" t="s">
        <v>1245</v>
      </c>
      <c r="D278" s="6" t="s">
        <v>994</v>
      </c>
      <c r="E278" s="6" t="s">
        <v>1029</v>
      </c>
      <c r="F278" s="6" t="s">
        <v>453</v>
      </c>
      <c r="G278" s="6" t="s">
        <v>19</v>
      </c>
      <c r="H278" s="6" t="s">
        <v>1030</v>
      </c>
      <c r="I278" s="7">
        <f>'Group KPIs'!K2</f>
        <v>95.51</v>
      </c>
      <c r="J278" s="14" t="s">
        <v>1001</v>
      </c>
    </row>
    <row r="279" spans="1:10">
      <c r="A279" s="6" t="s">
        <v>1210</v>
      </c>
      <c r="B279" s="6" t="s">
        <v>1244</v>
      </c>
      <c r="C279" s="6" t="s">
        <v>1245</v>
      </c>
      <c r="D279" s="6" t="s">
        <v>994</v>
      </c>
      <c r="E279" s="6" t="s">
        <v>458</v>
      </c>
      <c r="F279" s="6" t="s">
        <v>457</v>
      </c>
      <c r="G279" s="6" t="s">
        <v>19</v>
      </c>
      <c r="H279" s="6" t="s">
        <v>1160</v>
      </c>
      <c r="I279" s="7">
        <f>'Group KPIs'!K3</f>
        <v>83.44</v>
      </c>
      <c r="J279" s="14" t="s">
        <v>1001</v>
      </c>
    </row>
    <row r="280" spans="1:10">
      <c r="A280" s="6" t="s">
        <v>1210</v>
      </c>
      <c r="B280" s="6" t="s">
        <v>1244</v>
      </c>
      <c r="C280" s="6" t="s">
        <v>1245</v>
      </c>
      <c r="D280" s="6" t="s">
        <v>994</v>
      </c>
      <c r="E280" s="6" t="s">
        <v>464</v>
      </c>
      <c r="F280" s="6" t="s">
        <v>463</v>
      </c>
      <c r="G280" s="6" t="s">
        <v>19</v>
      </c>
      <c r="H280" s="6" t="s">
        <v>1246</v>
      </c>
      <c r="I280" s="7">
        <f>'Group KPIs'!K5</f>
        <v>84.07</v>
      </c>
      <c r="J280" s="14" t="s">
        <v>1001</v>
      </c>
    </row>
    <row r="281" spans="1:10">
      <c r="A281" s="6" t="s">
        <v>1210</v>
      </c>
      <c r="B281" s="6" t="s">
        <v>1244</v>
      </c>
      <c r="C281" s="6" t="s">
        <v>1245</v>
      </c>
      <c r="D281" s="6" t="s">
        <v>994</v>
      </c>
      <c r="E281" s="6" t="s">
        <v>480</v>
      </c>
      <c r="F281" s="6" t="s">
        <v>479</v>
      </c>
      <c r="G281" s="6" t="s">
        <v>19</v>
      </c>
      <c r="H281" s="6" t="s">
        <v>1182</v>
      </c>
      <c r="I281" s="7">
        <f>'Group KPIs'!K10</f>
        <v>154.4</v>
      </c>
      <c r="J281" s="14" t="s">
        <v>1001</v>
      </c>
    </row>
    <row r="282" spans="1:10">
      <c r="A282" s="6" t="s">
        <v>1210</v>
      </c>
      <c r="B282" s="6" t="s">
        <v>1244</v>
      </c>
      <c r="C282" s="6" t="s">
        <v>1245</v>
      </c>
      <c r="D282" s="6" t="s">
        <v>994</v>
      </c>
      <c r="E282" s="6" t="s">
        <v>505</v>
      </c>
      <c r="F282" s="6" t="s">
        <v>504</v>
      </c>
      <c r="G282" s="6" t="s">
        <v>19</v>
      </c>
      <c r="H282" s="6" t="s">
        <v>1145</v>
      </c>
      <c r="I282" s="7">
        <f>'Group KPIs'!K18</f>
        <v>3.42</v>
      </c>
      <c r="J282" s="14" t="s">
        <v>1001</v>
      </c>
    </row>
    <row r="283" spans="1:10">
      <c r="A283" s="6" t="s">
        <v>1210</v>
      </c>
      <c r="B283" s="6" t="s">
        <v>1244</v>
      </c>
      <c r="C283" s="6" t="s">
        <v>1245</v>
      </c>
      <c r="D283" s="6" t="s">
        <v>1004</v>
      </c>
      <c r="E283" s="6" t="s">
        <v>724</v>
      </c>
      <c r="F283" s="6" t="s">
        <v>723</v>
      </c>
      <c r="G283" s="6" t="s">
        <v>19</v>
      </c>
      <c r="H283" s="6" t="s">
        <v>995</v>
      </c>
      <c r="I283" s="7">
        <f>'Group KPIs'!K90</f>
        <v>0.0</v>
      </c>
      <c r="J283" s="14" t="s">
        <v>1001</v>
      </c>
    </row>
    <row r="284" spans="1:10">
      <c r="A284" s="6" t="s">
        <v>1210</v>
      </c>
      <c r="B284" s="6" t="s">
        <v>1244</v>
      </c>
      <c r="C284" s="6" t="s">
        <v>1245</v>
      </c>
      <c r="D284" s="6" t="s">
        <v>1004</v>
      </c>
      <c r="E284" s="6" t="s">
        <v>482</v>
      </c>
      <c r="F284" s="6" t="s">
        <v>894</v>
      </c>
      <c r="G284" s="6" t="s">
        <v>19</v>
      </c>
      <c r="H284" s="6" t="s">
        <v>1168</v>
      </c>
      <c r="I284" s="7">
        <f>'Group KPIs'!K149</f>
        <v>28.01</v>
      </c>
      <c r="J284" s="14" t="s">
        <v>1001</v>
      </c>
    </row>
    <row r="285" spans="1:10">
      <c r="A285" s="6" t="s">
        <v>1210</v>
      </c>
      <c r="B285" s="6" t="s">
        <v>1244</v>
      </c>
      <c r="C285" s="6" t="s">
        <v>1245</v>
      </c>
      <c r="D285" s="6" t="s">
        <v>1004</v>
      </c>
      <c r="E285" s="6" t="s">
        <v>473</v>
      </c>
      <c r="F285" s="6" t="s">
        <v>472</v>
      </c>
      <c r="G285" s="6" t="s">
        <v>19</v>
      </c>
      <c r="H285" s="6" t="s">
        <v>1164</v>
      </c>
      <c r="I285" s="7">
        <f>'Group KPIs'!K8</f>
        <v>269.69</v>
      </c>
      <c r="J285" s="14" t="s">
        <v>1001</v>
      </c>
    </row>
    <row r="286" spans="1:10">
      <c r="A286" s="6" t="s">
        <v>1210</v>
      </c>
      <c r="B286" s="6" t="s">
        <v>1244</v>
      </c>
      <c r="C286" s="6" t="s">
        <v>1245</v>
      </c>
      <c r="D286" s="6" t="s">
        <v>1004</v>
      </c>
      <c r="E286" s="6" t="s">
        <v>1247</v>
      </c>
      <c r="F286" s="6" t="s">
        <v>476</v>
      </c>
      <c r="G286" s="6" t="s">
        <v>19</v>
      </c>
      <c r="H286" s="6" t="s">
        <v>1180</v>
      </c>
      <c r="I286" s="7">
        <f>'Group KPIs'!K9</f>
        <v>7.83</v>
      </c>
      <c r="J286" s="14" t="s">
        <v>1001</v>
      </c>
    </row>
    <row r="287" spans="1:10">
      <c r="A287" s="6" t="s">
        <v>1210</v>
      </c>
      <c r="B287" s="6" t="s">
        <v>1244</v>
      </c>
      <c r="C287" s="6" t="s">
        <v>1245</v>
      </c>
      <c r="D287" s="6" t="s">
        <v>1004</v>
      </c>
      <c r="E287" s="6" t="s">
        <v>1181</v>
      </c>
      <c r="F287" s="6" t="s">
        <v>479</v>
      </c>
      <c r="G287" s="6" t="s">
        <v>19</v>
      </c>
      <c r="H287" s="6" t="s">
        <v>1182</v>
      </c>
      <c r="I287" s="7">
        <f>'Group KPIs'!K10</f>
        <v>154.4</v>
      </c>
      <c r="J287" s="14" t="s">
        <v>1001</v>
      </c>
    </row>
    <row r="288" spans="1:10">
      <c r="A288" s="6" t="s">
        <v>1210</v>
      </c>
      <c r="B288" s="6" t="s">
        <v>1244</v>
      </c>
      <c r="C288" s="6" t="s">
        <v>1245</v>
      </c>
      <c r="D288" s="6" t="s">
        <v>1004</v>
      </c>
      <c r="E288" s="6" t="s">
        <v>1183</v>
      </c>
      <c r="F288" s="6" t="s">
        <v>481</v>
      </c>
      <c r="G288" s="6" t="s">
        <v>19</v>
      </c>
      <c r="H288" s="6" t="s">
        <v>1184</v>
      </c>
      <c r="I288" s="7">
        <f>'Group KPIs'!K11</f>
        <v>27176.0</v>
      </c>
      <c r="J288" s="14" t="s">
        <v>1001</v>
      </c>
    </row>
    <row r="289" spans="1:10">
      <c r="A289" s="6" t="s">
        <v>1210</v>
      </c>
      <c r="B289" s="6" t="s">
        <v>1244</v>
      </c>
      <c r="C289" s="6" t="s">
        <v>1245</v>
      </c>
      <c r="D289" s="6" t="s">
        <v>1004</v>
      </c>
      <c r="E289" s="6" t="s">
        <v>1186</v>
      </c>
      <c r="F289" s="6" t="s">
        <v>696</v>
      </c>
      <c r="G289" s="6" t="s">
        <v>19</v>
      </c>
      <c r="H289" s="6" t="s">
        <v>1080</v>
      </c>
      <c r="I289" s="7">
        <f>'Group KPIs'!K81</f>
        <v>91.41</v>
      </c>
      <c r="J289" s="13" t="s">
        <v>996</v>
      </c>
    </row>
    <row r="290" spans="1:10">
      <c r="A290" s="6" t="s">
        <v>1210</v>
      </c>
      <c r="B290" s="6" t="s">
        <v>1244</v>
      </c>
      <c r="C290" s="6" t="s">
        <v>1245</v>
      </c>
      <c r="D290" s="6" t="s">
        <v>1004</v>
      </c>
      <c r="E290" s="6" t="s">
        <v>712</v>
      </c>
      <c r="F290" s="6" t="s">
        <v>705</v>
      </c>
      <c r="G290" s="6" t="s">
        <v>19</v>
      </c>
      <c r="H290" s="6" t="s">
        <v>1187</v>
      </c>
      <c r="I290" s="7">
        <f>'Group KPIs'!K84</f>
        <v>5.25</v>
      </c>
      <c r="J290" s="14" t="s">
        <v>1001</v>
      </c>
    </row>
    <row r="291" spans="1:10">
      <c r="A291" s="6" t="s">
        <v>1210</v>
      </c>
      <c r="B291" s="6" t="s">
        <v>1244</v>
      </c>
      <c r="C291" s="6" t="s">
        <v>1245</v>
      </c>
      <c r="D291" s="6" t="s">
        <v>1004</v>
      </c>
      <c r="E291" s="6" t="s">
        <v>709</v>
      </c>
      <c r="F291" s="6" t="s">
        <v>708</v>
      </c>
      <c r="G291" s="6" t="s">
        <v>19</v>
      </c>
      <c r="H291" s="6" t="s">
        <v>1248</v>
      </c>
      <c r="I291" s="7">
        <f>'Group KPIs'!K85</f>
        <v>3.0</v>
      </c>
      <c r="J291" s="13" t="s">
        <v>996</v>
      </c>
    </row>
    <row r="292" spans="1:10">
      <c r="A292" s="6" t="s">
        <v>1210</v>
      </c>
      <c r="B292" s="6" t="s">
        <v>1244</v>
      </c>
      <c r="C292" s="6" t="s">
        <v>1245</v>
      </c>
      <c r="D292" s="6" t="s">
        <v>1004</v>
      </c>
      <c r="E292" s="6" t="s">
        <v>498</v>
      </c>
      <c r="F292" s="6" t="s">
        <v>497</v>
      </c>
      <c r="G292" s="6" t="s">
        <v>19</v>
      </c>
      <c r="H292" s="6" t="s">
        <v>1143</v>
      </c>
      <c r="I292" s="7">
        <f>'Group KPIs'!K16</f>
        <v>1450141.0</v>
      </c>
      <c r="J292" s="14" t="s">
        <v>1001</v>
      </c>
    </row>
    <row r="293" spans="1:10">
      <c r="A293" s="6" t="s">
        <v>1210</v>
      </c>
      <c r="B293" s="6" t="s">
        <v>1244</v>
      </c>
      <c r="C293" s="6" t="s">
        <v>1245</v>
      </c>
      <c r="D293" s="6" t="s">
        <v>1004</v>
      </c>
      <c r="E293" s="6" t="s">
        <v>502</v>
      </c>
      <c r="F293" s="6" t="s">
        <v>501</v>
      </c>
      <c r="G293" s="6" t="s">
        <v>19</v>
      </c>
      <c r="H293" s="6" t="s">
        <v>1144</v>
      </c>
      <c r="I293" s="7">
        <f>'Group KPIs'!K17</f>
        <v>427664.0</v>
      </c>
      <c r="J293" s="14" t="s">
        <v>1001</v>
      </c>
    </row>
    <row r="294" spans="1:10">
      <c r="A294" s="6" t="s">
        <v>1210</v>
      </c>
      <c r="B294" s="6" t="s">
        <v>1244</v>
      </c>
      <c r="C294" s="6" t="s">
        <v>1245</v>
      </c>
      <c r="D294" s="6" t="s">
        <v>1004</v>
      </c>
      <c r="E294" s="6" t="s">
        <v>505</v>
      </c>
      <c r="F294" s="6" t="s">
        <v>504</v>
      </c>
      <c r="G294" s="6" t="s">
        <v>19</v>
      </c>
      <c r="H294" s="6" t="s">
        <v>1145</v>
      </c>
      <c r="I294" s="7">
        <f>'Group KPIs'!K18</f>
        <v>3.42</v>
      </c>
      <c r="J294" s="14" t="s">
        <v>1001</v>
      </c>
    </row>
    <row r="295" spans="1:10">
      <c r="A295" s="6" t="s">
        <v>1210</v>
      </c>
      <c r="B295" s="6" t="s">
        <v>1249</v>
      </c>
      <c r="C295" s="6" t="s">
        <v>1250</v>
      </c>
      <c r="D295" s="6" t="s">
        <v>994</v>
      </c>
      <c r="E295" s="6" t="s">
        <v>1095</v>
      </c>
      <c r="F295" s="6" t="s">
        <v>649</v>
      </c>
      <c r="G295" s="6" t="s">
        <v>19</v>
      </c>
      <c r="H295" s="6" t="s">
        <v>1096</v>
      </c>
      <c r="I295" s="7">
        <f>'Group KPIs'!K66</f>
        <v>1860.0</v>
      </c>
      <c r="J295" s="14" t="s">
        <v>1001</v>
      </c>
    </row>
    <row r="296" spans="1:10">
      <c r="A296" s="6" t="s">
        <v>1210</v>
      </c>
      <c r="B296" s="6" t="s">
        <v>1249</v>
      </c>
      <c r="C296" s="6" t="s">
        <v>1250</v>
      </c>
      <c r="D296" s="6" t="s">
        <v>994</v>
      </c>
      <c r="E296" s="6" t="s">
        <v>1251</v>
      </c>
      <c r="F296" s="6" t="s">
        <v>653</v>
      </c>
      <c r="G296" s="6" t="s">
        <v>19</v>
      </c>
      <c r="H296" s="6" t="s">
        <v>1098</v>
      </c>
      <c r="I296" s="7">
        <f>'Group KPIs'!K67</f>
        <v>1347.73</v>
      </c>
      <c r="J296" s="14" t="s">
        <v>1001</v>
      </c>
    </row>
    <row r="297" spans="1:10">
      <c r="A297" s="6" t="s">
        <v>1210</v>
      </c>
      <c r="B297" s="6" t="s">
        <v>1249</v>
      </c>
      <c r="C297" s="6" t="s">
        <v>1250</v>
      </c>
      <c r="D297" s="6" t="s">
        <v>994</v>
      </c>
      <c r="E297" s="6" t="s">
        <v>1099</v>
      </c>
      <c r="F297" s="6" t="s">
        <v>657</v>
      </c>
      <c r="G297" s="6" t="s">
        <v>19</v>
      </c>
      <c r="H297" s="6" t="s">
        <v>1100</v>
      </c>
      <c r="I297" s="7">
        <f>'Group KPIs'!K68</f>
        <v>879.71</v>
      </c>
      <c r="J297" s="14" t="s">
        <v>1001</v>
      </c>
    </row>
    <row r="298" spans="1:10">
      <c r="A298" s="6" t="s">
        <v>1210</v>
      </c>
      <c r="B298" s="6" t="s">
        <v>1249</v>
      </c>
      <c r="C298" s="6" t="s">
        <v>1250</v>
      </c>
      <c r="D298" s="6" t="s">
        <v>994</v>
      </c>
      <c r="E298" s="6" t="s">
        <v>1252</v>
      </c>
      <c r="F298" s="6" t="s">
        <v>660</v>
      </c>
      <c r="G298" s="6" t="s">
        <v>19</v>
      </c>
      <c r="H298" s="6" t="s">
        <v>1017</v>
      </c>
      <c r="I298" s="7">
        <f>'Group KPIs'!K69</f>
        <v>60.85</v>
      </c>
      <c r="J298" s="13" t="s">
        <v>996</v>
      </c>
    </row>
    <row r="299" spans="1:10">
      <c r="A299" s="6" t="s">
        <v>1210</v>
      </c>
      <c r="B299" s="6" t="s">
        <v>1249</v>
      </c>
      <c r="C299" s="6" t="s">
        <v>1250</v>
      </c>
      <c r="D299" s="6" t="s">
        <v>994</v>
      </c>
      <c r="E299" s="6" t="s">
        <v>1101</v>
      </c>
      <c r="F299" s="6" t="s">
        <v>670</v>
      </c>
      <c r="G299" s="6" t="s">
        <v>19</v>
      </c>
      <c r="H299" s="6" t="s">
        <v>1102</v>
      </c>
      <c r="I299" s="7">
        <f>'Group KPIs'!K72</f>
        <v>47.96</v>
      </c>
      <c r="J299" s="13" t="s">
        <v>996</v>
      </c>
    </row>
    <row r="300" spans="1:10">
      <c r="A300" s="6" t="s">
        <v>1210</v>
      </c>
      <c r="B300" s="6" t="s">
        <v>1249</v>
      </c>
      <c r="C300" s="6" t="s">
        <v>1250</v>
      </c>
      <c r="D300" s="6" t="s">
        <v>994</v>
      </c>
      <c r="E300" s="6" t="s">
        <v>674</v>
      </c>
      <c r="F300" s="6" t="s">
        <v>673</v>
      </c>
      <c r="G300" s="6" t="s">
        <v>19</v>
      </c>
      <c r="H300" s="6" t="s">
        <v>995</v>
      </c>
      <c r="I300" s="7">
        <f>'Group KPIs'!K73</f>
        <v>1.0</v>
      </c>
      <c r="J300" s="13" t="s">
        <v>996</v>
      </c>
    </row>
    <row r="301" spans="1:10">
      <c r="A301" s="6" t="s">
        <v>1210</v>
      </c>
      <c r="B301" s="6" t="s">
        <v>1249</v>
      </c>
      <c r="C301" s="6" t="s">
        <v>1250</v>
      </c>
      <c r="D301" s="6" t="s">
        <v>1031</v>
      </c>
      <c r="E301" s="6" t="s">
        <v>664</v>
      </c>
      <c r="F301" s="6" t="s">
        <v>663</v>
      </c>
      <c r="G301" s="6" t="s">
        <v>19</v>
      </c>
      <c r="H301" s="6" t="s">
        <v>1109</v>
      </c>
      <c r="I301" s="7">
        <f>'Group KPIs'!K70</f>
        <v>148.03</v>
      </c>
      <c r="J301" s="14" t="s">
        <v>1001</v>
      </c>
    </row>
    <row r="302" spans="1:10">
      <c r="A302" s="6" t="s">
        <v>1210</v>
      </c>
      <c r="B302" s="6" t="s">
        <v>1249</v>
      </c>
      <c r="C302" s="6" t="s">
        <v>1250</v>
      </c>
      <c r="D302" s="6" t="s">
        <v>1004</v>
      </c>
      <c r="E302" s="6" t="s">
        <v>1110</v>
      </c>
      <c r="F302" s="6" t="s">
        <v>666</v>
      </c>
      <c r="G302" s="6" t="s">
        <v>19</v>
      </c>
      <c r="H302" s="6" t="s">
        <v>1111</v>
      </c>
      <c r="I302" s="8" t="str">
        <f>'Group KPIs'!K71</f>
        <v>9 on track · 2 at risk · 0 off track</v>
      </c>
      <c r="J302" s="13" t="s">
        <v>996</v>
      </c>
    </row>
    <row r="303" spans="1:10">
      <c r="A303" s="6" t="s">
        <v>1210</v>
      </c>
      <c r="B303" s="6" t="s">
        <v>1249</v>
      </c>
      <c r="C303" s="6" t="s">
        <v>1250</v>
      </c>
      <c r="D303" s="6" t="s">
        <v>1004</v>
      </c>
      <c r="E303" s="6" t="s">
        <v>680</v>
      </c>
      <c r="F303" s="6" t="s">
        <v>679</v>
      </c>
      <c r="G303" s="6" t="s">
        <v>19</v>
      </c>
      <c r="H303" s="6" t="s">
        <v>1050</v>
      </c>
      <c r="I303" s="7">
        <f>'Group KPIs'!K75</f>
        <v>54.03</v>
      </c>
      <c r="J303" s="13" t="s">
        <v>996</v>
      </c>
    </row>
    <row r="304" spans="1:10">
      <c r="A304" s="6" t="s">
        <v>1210</v>
      </c>
      <c r="B304" s="6" t="s">
        <v>1249</v>
      </c>
      <c r="C304" s="6" t="s">
        <v>1250</v>
      </c>
      <c r="D304" s="6" t="s">
        <v>1004</v>
      </c>
      <c r="E304" s="6" t="s">
        <v>1253</v>
      </c>
      <c r="F304" s="6" t="s">
        <v>684</v>
      </c>
      <c r="G304" s="6" t="s">
        <v>19</v>
      </c>
      <c r="H304" s="6" t="s">
        <v>1254</v>
      </c>
      <c r="I304" s="7">
        <f>'Group KPIs'!K77</f>
        <v>1.73</v>
      </c>
      <c r="J304" s="14" t="s">
        <v>1001</v>
      </c>
    </row>
    <row r="305" spans="1:10">
      <c r="A305" s="6" t="s">
        <v>1210</v>
      </c>
      <c r="B305" s="6" t="s">
        <v>1249</v>
      </c>
      <c r="C305" s="6" t="s">
        <v>1250</v>
      </c>
      <c r="D305" s="6" t="s">
        <v>1004</v>
      </c>
      <c r="E305" s="6" t="s">
        <v>1255</v>
      </c>
      <c r="F305" s="6" t="s">
        <v>684</v>
      </c>
      <c r="G305" s="6" t="s">
        <v>19</v>
      </c>
      <c r="H305" s="6" t="s">
        <v>1256</v>
      </c>
      <c r="I305" s="7">
        <f>'Group KPIs'!K77</f>
        <v>1.73</v>
      </c>
      <c r="J305" s="14" t="s">
        <v>1001</v>
      </c>
    </row>
    <row r="306" spans="1:10">
      <c r="A306" s="6" t="s">
        <v>1210</v>
      </c>
      <c r="B306" s="6" t="s">
        <v>1249</v>
      </c>
      <c r="C306" s="6" t="s">
        <v>1250</v>
      </c>
      <c r="D306" s="6" t="s">
        <v>1004</v>
      </c>
      <c r="E306" s="6" t="s">
        <v>1114</v>
      </c>
      <c r="F306" s="6" t="s">
        <v>687</v>
      </c>
      <c r="G306" s="6" t="s">
        <v>19</v>
      </c>
      <c r="H306" s="6" t="s">
        <v>1105</v>
      </c>
      <c r="I306" s="7">
        <f>'Group KPIs'!K78</f>
        <v>14.21</v>
      </c>
      <c r="J306" s="13" t="s">
        <v>996</v>
      </c>
    </row>
    <row r="307" spans="1:10">
      <c r="A307" s="6" t="s">
        <v>1210</v>
      </c>
      <c r="B307" s="6" t="s">
        <v>1249</v>
      </c>
      <c r="C307" s="6" t="s">
        <v>1250</v>
      </c>
      <c r="D307" s="6" t="s">
        <v>1004</v>
      </c>
      <c r="E307" s="6" t="s">
        <v>1115</v>
      </c>
      <c r="F307" s="6" t="s">
        <v>690</v>
      </c>
      <c r="G307" s="6" t="s">
        <v>19</v>
      </c>
      <c r="H307" s="6" t="s">
        <v>1107</v>
      </c>
      <c r="I307" s="7">
        <f>'Group KPIs'!K79</f>
        <v>8.71</v>
      </c>
      <c r="J307" s="13" t="s">
        <v>996</v>
      </c>
    </row>
    <row r="308" spans="1:10">
      <c r="A308" s="6" t="s">
        <v>1210</v>
      </c>
      <c r="B308" s="6" t="s">
        <v>1249</v>
      </c>
      <c r="C308" s="6" t="s">
        <v>1250</v>
      </c>
      <c r="D308" s="6" t="s">
        <v>1004</v>
      </c>
      <c r="E308" s="6" t="s">
        <v>1116</v>
      </c>
      <c r="F308" s="6" t="s">
        <v>693</v>
      </c>
      <c r="G308" s="6" t="s">
        <v>19</v>
      </c>
      <c r="H308" s="6" t="s">
        <v>1108</v>
      </c>
      <c r="I308" s="7">
        <f>'Group KPIs'!K80</f>
        <v>11.25</v>
      </c>
      <c r="J308" s="13" t="s">
        <v>996</v>
      </c>
    </row>
    <row r="309" spans="1:10">
      <c r="A309" s="6" t="s">
        <v>1210</v>
      </c>
      <c r="B309" s="6" t="s">
        <v>1257</v>
      </c>
      <c r="C309" s="6" t="s">
        <v>1258</v>
      </c>
      <c r="D309" s="6" t="s">
        <v>994</v>
      </c>
      <c r="E309" s="6" t="s">
        <v>1125</v>
      </c>
      <c r="F309" s="6" t="s">
        <v>717</v>
      </c>
      <c r="G309" s="6" t="s">
        <v>19</v>
      </c>
      <c r="H309" s="6" t="s">
        <v>1126</v>
      </c>
      <c r="I309" s="7">
        <f>'Group KPIs'!K88</f>
        <v>4.0</v>
      </c>
      <c r="J309" s="13" t="s">
        <v>996</v>
      </c>
    </row>
    <row r="310" spans="1:10">
      <c r="A310" s="6" t="s">
        <v>1210</v>
      </c>
      <c r="B310" s="6" t="s">
        <v>1257</v>
      </c>
      <c r="C310" s="6" t="s">
        <v>1258</v>
      </c>
      <c r="D310" s="6" t="s">
        <v>994</v>
      </c>
      <c r="E310" s="6" t="s">
        <v>1119</v>
      </c>
      <c r="F310" s="6" t="s">
        <v>762</v>
      </c>
      <c r="G310" s="6" t="s">
        <v>19</v>
      </c>
      <c r="H310" s="6" t="s">
        <v>1007</v>
      </c>
      <c r="I310" s="7">
        <f>'Group KPIs'!K105</f>
        <v>0.0</v>
      </c>
      <c r="J310" s="13" t="s">
        <v>996</v>
      </c>
    </row>
    <row r="311" spans="1:10">
      <c r="A311" s="6" t="s">
        <v>1210</v>
      </c>
      <c r="B311" s="6" t="s">
        <v>1257</v>
      </c>
      <c r="C311" s="6" t="s">
        <v>1258</v>
      </c>
      <c r="D311" s="6" t="s">
        <v>994</v>
      </c>
      <c r="E311" s="6" t="s">
        <v>842</v>
      </c>
      <c r="F311" s="6" t="s">
        <v>841</v>
      </c>
      <c r="G311" s="6" t="s">
        <v>19</v>
      </c>
      <c r="H311" s="6" t="s">
        <v>1018</v>
      </c>
      <c r="I311" s="7">
        <f>'Group KPIs'!K133</f>
        <v>1.0</v>
      </c>
      <c r="J311" s="13" t="s">
        <v>996</v>
      </c>
    </row>
    <row r="312" spans="1:10">
      <c r="A312" s="6" t="s">
        <v>1210</v>
      </c>
      <c r="B312" s="6" t="s">
        <v>1257</v>
      </c>
      <c r="C312" s="6" t="s">
        <v>1258</v>
      </c>
      <c r="D312" s="6" t="s">
        <v>994</v>
      </c>
      <c r="E312" s="6" t="s">
        <v>1259</v>
      </c>
      <c r="F312" s="6" t="s">
        <v>530</v>
      </c>
      <c r="G312" s="6" t="s">
        <v>19</v>
      </c>
      <c r="H312" s="6" t="s">
        <v>1007</v>
      </c>
      <c r="I312" s="7">
        <f>'Group KPIs'!K27</f>
        <v>0.0</v>
      </c>
      <c r="J312" s="13" t="s">
        <v>996</v>
      </c>
    </row>
    <row r="313" spans="1:10">
      <c r="A313" s="6" t="s">
        <v>1210</v>
      </c>
      <c r="B313" s="6" t="s">
        <v>1257</v>
      </c>
      <c r="C313" s="6" t="s">
        <v>1258</v>
      </c>
      <c r="D313" s="6" t="s">
        <v>994</v>
      </c>
      <c r="E313" s="6" t="s">
        <v>795</v>
      </c>
      <c r="F313" s="6" t="s">
        <v>794</v>
      </c>
      <c r="G313" s="6" t="s">
        <v>19</v>
      </c>
      <c r="H313" s="6" t="s">
        <v>1008</v>
      </c>
      <c r="I313" s="7">
        <f>'Group KPIs'!K116</f>
        <v>7.0</v>
      </c>
      <c r="J313" s="13" t="s">
        <v>996</v>
      </c>
    </row>
    <row r="314" spans="1:10">
      <c r="A314" s="6" t="s">
        <v>1210</v>
      </c>
      <c r="B314" s="6" t="s">
        <v>1257</v>
      </c>
      <c r="C314" s="6" t="s">
        <v>1258</v>
      </c>
      <c r="D314" s="6" t="s">
        <v>994</v>
      </c>
      <c r="E314" s="6" t="s">
        <v>739</v>
      </c>
      <c r="F314" s="6" t="s">
        <v>738</v>
      </c>
      <c r="G314" s="6" t="s">
        <v>19</v>
      </c>
      <c r="H314" s="6" t="s">
        <v>1007</v>
      </c>
      <c r="I314" s="7">
        <f>'Group KPIs'!K95</f>
        <v>0.0</v>
      </c>
      <c r="J314" s="13" t="s">
        <v>996</v>
      </c>
    </row>
    <row r="315" spans="1:10">
      <c r="A315" s="6" t="s">
        <v>1210</v>
      </c>
      <c r="B315" s="6" t="s">
        <v>1257</v>
      </c>
      <c r="C315" s="6" t="s">
        <v>1258</v>
      </c>
      <c r="D315" s="6" t="s">
        <v>1004</v>
      </c>
      <c r="E315" s="6" t="s">
        <v>1125</v>
      </c>
      <c r="F315" s="6" t="s">
        <v>717</v>
      </c>
      <c r="G315" s="6" t="s">
        <v>19</v>
      </c>
      <c r="H315" s="6" t="s">
        <v>1126</v>
      </c>
      <c r="I315" s="7">
        <f>'Group KPIs'!K88</f>
        <v>4.0</v>
      </c>
      <c r="J315" s="13" t="s">
        <v>996</v>
      </c>
    </row>
    <row r="316" spans="1:10">
      <c r="A316" s="6" t="s">
        <v>1210</v>
      </c>
      <c r="B316" s="6" t="s">
        <v>1257</v>
      </c>
      <c r="C316" s="6" t="s">
        <v>1258</v>
      </c>
      <c r="D316" s="6" t="s">
        <v>1004</v>
      </c>
      <c r="E316" s="6" t="s">
        <v>721</v>
      </c>
      <c r="F316" s="6" t="s">
        <v>720</v>
      </c>
      <c r="G316" s="6" t="s">
        <v>19</v>
      </c>
      <c r="H316" s="6" t="s">
        <v>1127</v>
      </c>
      <c r="I316" s="7">
        <f>'Group KPIs'!K89</f>
        <v>95.71</v>
      </c>
      <c r="J316" s="13" t="s">
        <v>996</v>
      </c>
    </row>
    <row r="317" spans="1:10">
      <c r="A317" s="6" t="s">
        <v>1210</v>
      </c>
      <c r="B317" s="6" t="s">
        <v>1257</v>
      </c>
      <c r="C317" s="6" t="s">
        <v>1258</v>
      </c>
      <c r="D317" s="6" t="s">
        <v>1004</v>
      </c>
      <c r="E317" s="6" t="s">
        <v>724</v>
      </c>
      <c r="F317" s="6" t="s">
        <v>723</v>
      </c>
      <c r="G317" s="6" t="s">
        <v>19</v>
      </c>
      <c r="H317" s="6" t="s">
        <v>995</v>
      </c>
      <c r="I317" s="7">
        <f>'Group KPIs'!K90</f>
        <v>0.0</v>
      </c>
      <c r="J317" s="14" t="s">
        <v>1001</v>
      </c>
    </row>
    <row r="318" spans="1:10">
      <c r="A318" s="6" t="s">
        <v>1210</v>
      </c>
      <c r="B318" s="6" t="s">
        <v>1257</v>
      </c>
      <c r="C318" s="6" t="s">
        <v>1258</v>
      </c>
      <c r="D318" s="6" t="s">
        <v>1004</v>
      </c>
      <c r="E318" s="6" t="s">
        <v>760</v>
      </c>
      <c r="F318" s="6" t="s">
        <v>759</v>
      </c>
      <c r="G318" s="6" t="s">
        <v>19</v>
      </c>
      <c r="H318" s="6" t="s">
        <v>1126</v>
      </c>
      <c r="I318" s="7">
        <f>'Group KPIs'!K104</f>
        <v>4.0</v>
      </c>
      <c r="J318" s="13" t="s">
        <v>996</v>
      </c>
    </row>
    <row r="319" spans="1:10">
      <c r="A319" s="6" t="s">
        <v>1210</v>
      </c>
      <c r="B319" s="6" t="s">
        <v>1257</v>
      </c>
      <c r="C319" s="6" t="s">
        <v>1258</v>
      </c>
      <c r="D319" s="6" t="s">
        <v>1004</v>
      </c>
      <c r="E319" s="6" t="s">
        <v>1260</v>
      </c>
      <c r="F319" s="6" t="s">
        <v>783</v>
      </c>
      <c r="G319" s="6" t="s">
        <v>19</v>
      </c>
      <c r="H319" s="6" t="s">
        <v>1261</v>
      </c>
      <c r="I319" s="8" t="str">
        <f>'Group KPIs'!K112</f>
        <v>6 of 8</v>
      </c>
      <c r="J319" s="13" t="s">
        <v>996</v>
      </c>
    </row>
    <row r="320" spans="1:10">
      <c r="A320" s="6" t="s">
        <v>1210</v>
      </c>
      <c r="B320" s="6" t="s">
        <v>1257</v>
      </c>
      <c r="C320" s="6" t="s">
        <v>1258</v>
      </c>
      <c r="D320" s="6" t="s">
        <v>1004</v>
      </c>
      <c r="E320" s="6" t="s">
        <v>1129</v>
      </c>
      <c r="F320" s="6" t="s">
        <v>765</v>
      </c>
      <c r="G320" s="6" t="s">
        <v>19</v>
      </c>
      <c r="H320" s="6" t="s">
        <v>1130</v>
      </c>
      <c r="I320" s="7">
        <f>'Group KPIs'!K106</f>
        <v>4.0</v>
      </c>
      <c r="J320" s="14" t="s">
        <v>1001</v>
      </c>
    </row>
    <row r="321" spans="1:10">
      <c r="A321" s="6" t="s">
        <v>1210</v>
      </c>
      <c r="B321" s="6" t="s">
        <v>1257</v>
      </c>
      <c r="C321" s="6" t="s">
        <v>1258</v>
      </c>
      <c r="D321" s="6" t="s">
        <v>1004</v>
      </c>
      <c r="E321" s="6" t="s">
        <v>1131</v>
      </c>
      <c r="F321" s="6" t="s">
        <v>768</v>
      </c>
      <c r="G321" s="6" t="s">
        <v>19</v>
      </c>
      <c r="H321" s="6" t="s">
        <v>1007</v>
      </c>
      <c r="I321" s="7">
        <f>'Group KPIs'!K107</f>
        <v>0.0</v>
      </c>
      <c r="J321" s="13" t="s">
        <v>996</v>
      </c>
    </row>
    <row r="322" spans="1:10">
      <c r="A322" s="6" t="s">
        <v>1210</v>
      </c>
      <c r="B322" s="6" t="s">
        <v>1257</v>
      </c>
      <c r="C322" s="6" t="s">
        <v>1258</v>
      </c>
      <c r="D322" s="6" t="s">
        <v>1004</v>
      </c>
      <c r="E322" s="6" t="s">
        <v>1132</v>
      </c>
      <c r="F322" s="6" t="s">
        <v>771</v>
      </c>
      <c r="G322" s="6" t="s">
        <v>19</v>
      </c>
      <c r="H322" s="6" t="s">
        <v>995</v>
      </c>
      <c r="I322" s="7">
        <f>'Group KPIs'!K108</f>
        <v>1.0</v>
      </c>
      <c r="J322" s="13" t="s">
        <v>996</v>
      </c>
    </row>
    <row r="323" spans="1:10">
      <c r="A323" s="6" t="s">
        <v>1210</v>
      </c>
      <c r="B323" s="6" t="s">
        <v>1257</v>
      </c>
      <c r="C323" s="6" t="s">
        <v>1258</v>
      </c>
      <c r="D323" s="6" t="s">
        <v>1004</v>
      </c>
      <c r="E323" s="6" t="s">
        <v>1133</v>
      </c>
      <c r="F323" s="6" t="s">
        <v>774</v>
      </c>
      <c r="G323" s="6" t="s">
        <v>19</v>
      </c>
      <c r="H323" s="6" t="s">
        <v>1007</v>
      </c>
      <c r="I323" s="7">
        <f>'Group KPIs'!K109</f>
        <v>0.0</v>
      </c>
      <c r="J323" s="13" t="s">
        <v>996</v>
      </c>
    </row>
    <row r="324" spans="1:10">
      <c r="A324" s="6" t="s">
        <v>1210</v>
      </c>
      <c r="B324" s="6" t="s">
        <v>1257</v>
      </c>
      <c r="C324" s="6" t="s">
        <v>1258</v>
      </c>
      <c r="D324" s="6" t="s">
        <v>1004</v>
      </c>
      <c r="E324" s="6" t="s">
        <v>1134</v>
      </c>
      <c r="F324" s="6" t="s">
        <v>777</v>
      </c>
      <c r="G324" s="6" t="s">
        <v>19</v>
      </c>
      <c r="H324" s="6" t="s">
        <v>1007</v>
      </c>
      <c r="I324" s="7">
        <f>'Group KPIs'!K110</f>
        <v>0.0</v>
      </c>
      <c r="J324" s="13" t="s">
        <v>996</v>
      </c>
    </row>
    <row r="325" spans="1:10">
      <c r="A325" s="6" t="s">
        <v>1210</v>
      </c>
      <c r="B325" s="6" t="s">
        <v>1257</v>
      </c>
      <c r="C325" s="6" t="s">
        <v>1258</v>
      </c>
      <c r="D325" s="6" t="s">
        <v>1004</v>
      </c>
      <c r="E325" s="6" t="s">
        <v>1135</v>
      </c>
      <c r="F325" s="6" t="s">
        <v>780</v>
      </c>
      <c r="G325" s="6" t="s">
        <v>19</v>
      </c>
      <c r="H325" s="6" t="s">
        <v>1136</v>
      </c>
      <c r="I325" s="7">
        <f>'Group KPIs'!K111</f>
        <v>14.0</v>
      </c>
      <c r="J325" s="14" t="s">
        <v>1001</v>
      </c>
    </row>
    <row r="326" spans="1:10">
      <c r="A326" s="6" t="s">
        <v>1210</v>
      </c>
      <c r="B326" s="6" t="s">
        <v>1257</v>
      </c>
      <c r="C326" s="6" t="s">
        <v>1258</v>
      </c>
      <c r="D326" s="6" t="s">
        <v>1004</v>
      </c>
      <c r="E326" s="6" t="s">
        <v>523</v>
      </c>
      <c r="F326" s="6" t="s">
        <v>522</v>
      </c>
      <c r="G326" s="6" t="s">
        <v>19</v>
      </c>
      <c r="H326" s="6" t="s">
        <v>1121</v>
      </c>
      <c r="I326" s="7">
        <f>'Group KPIs'!K24</f>
        <v>0.47</v>
      </c>
      <c r="J326" s="14" t="s">
        <v>1001</v>
      </c>
    </row>
    <row r="327" spans="1:10">
      <c r="A327" s="6" t="s">
        <v>1210</v>
      </c>
      <c r="B327" s="6" t="s">
        <v>1257</v>
      </c>
      <c r="C327" s="6" t="s">
        <v>1258</v>
      </c>
      <c r="D327" s="6" t="s">
        <v>1004</v>
      </c>
      <c r="E327" s="6" t="s">
        <v>1262</v>
      </c>
      <c r="F327" s="6" t="s">
        <v>526</v>
      </c>
      <c r="G327" s="6" t="s">
        <v>19</v>
      </c>
      <c r="H327" s="6" t="s">
        <v>1007</v>
      </c>
      <c r="I327" s="7">
        <f>'Group KPIs'!K25</f>
        <v>3.0</v>
      </c>
      <c r="J327" s="14" t="s">
        <v>1001</v>
      </c>
    </row>
    <row r="328" spans="1:10">
      <c r="A328" s="6" t="s">
        <v>1210</v>
      </c>
      <c r="B328" s="6" t="s">
        <v>1257</v>
      </c>
      <c r="C328" s="6" t="s">
        <v>1258</v>
      </c>
      <c r="D328" s="6" t="s">
        <v>1004</v>
      </c>
      <c r="E328" s="6" t="s">
        <v>1263</v>
      </c>
      <c r="F328" s="6" t="s">
        <v>528</v>
      </c>
      <c r="G328" s="6" t="s">
        <v>19</v>
      </c>
      <c r="H328" s="6" t="s">
        <v>1139</v>
      </c>
      <c r="I328" s="7">
        <f>'Group KPIs'!K26</f>
        <v>41.0</v>
      </c>
      <c r="J328" s="14" t="s">
        <v>1001</v>
      </c>
    </row>
    <row r="329" spans="1:10">
      <c r="A329" s="6" t="s">
        <v>1210</v>
      </c>
      <c r="B329" s="6" t="s">
        <v>1257</v>
      </c>
      <c r="C329" s="6" t="s">
        <v>1258</v>
      </c>
      <c r="D329" s="6" t="s">
        <v>1004</v>
      </c>
      <c r="E329" s="6" t="s">
        <v>533</v>
      </c>
      <c r="F329" s="6" t="s">
        <v>532</v>
      </c>
      <c r="G329" s="6" t="s">
        <v>19</v>
      </c>
      <c r="H329" s="6" t="s">
        <v>1141</v>
      </c>
      <c r="I329" s="7">
        <f>'Group KPIs'!K28</f>
        <v>2.0</v>
      </c>
      <c r="J329" s="14" t="s">
        <v>1001</v>
      </c>
    </row>
    <row r="330" spans="1:10">
      <c r="A330" s="6" t="s">
        <v>1210</v>
      </c>
      <c r="B330" s="6" t="s">
        <v>1257</v>
      </c>
      <c r="C330" s="6" t="s">
        <v>1258</v>
      </c>
      <c r="D330" s="6" t="s">
        <v>1004</v>
      </c>
      <c r="E330" s="6" t="s">
        <v>535</v>
      </c>
      <c r="F330" s="6" t="s">
        <v>534</v>
      </c>
      <c r="G330" s="6" t="s">
        <v>19</v>
      </c>
      <c r="H330" s="6" t="s">
        <v>998</v>
      </c>
      <c r="I330" s="7">
        <f>'Group KPIs'!K29</f>
        <v>45.0</v>
      </c>
      <c r="J330" s="14" t="s">
        <v>1001</v>
      </c>
    </row>
    <row r="331" spans="1:10">
      <c r="A331" s="6" t="s">
        <v>1210</v>
      </c>
      <c r="B331" s="6" t="s">
        <v>1257</v>
      </c>
      <c r="C331" s="6" t="s">
        <v>1258</v>
      </c>
      <c r="D331" s="6" t="s">
        <v>1004</v>
      </c>
      <c r="E331" s="6" t="s">
        <v>537</v>
      </c>
      <c r="F331" s="6" t="s">
        <v>536</v>
      </c>
      <c r="G331" s="6" t="s">
        <v>19</v>
      </c>
      <c r="H331" s="6" t="s">
        <v>1007</v>
      </c>
      <c r="I331" s="7">
        <f>'Group KPIs'!K30</f>
        <v>9.0</v>
      </c>
      <c r="J331" s="14" t="s">
        <v>1001</v>
      </c>
    </row>
    <row r="332" spans="1:10">
      <c r="A332" s="6" t="s">
        <v>1210</v>
      </c>
      <c r="B332" s="6" t="s">
        <v>1257</v>
      </c>
      <c r="C332" s="6" t="s">
        <v>1258</v>
      </c>
      <c r="D332" s="6" t="s">
        <v>1004</v>
      </c>
      <c r="E332" s="6" t="s">
        <v>1264</v>
      </c>
      <c r="F332" s="6" t="s">
        <v>754</v>
      </c>
      <c r="G332" s="6" t="s">
        <v>19</v>
      </c>
      <c r="H332" s="6" t="s">
        <v>1142</v>
      </c>
      <c r="I332" s="7">
        <f>'Group KPIs'!K102</f>
        <v>0.0</v>
      </c>
      <c r="J332" s="13" t="s">
        <v>996</v>
      </c>
    </row>
    <row r="333" spans="1:10">
      <c r="A333" s="6" t="s">
        <v>1210</v>
      </c>
      <c r="B333" s="6" t="s">
        <v>1257</v>
      </c>
      <c r="C333" s="6" t="s">
        <v>1258</v>
      </c>
      <c r="D333" s="6" t="s">
        <v>1004</v>
      </c>
      <c r="E333" s="6" t="s">
        <v>1265</v>
      </c>
      <c r="F333" s="6" t="s">
        <v>539</v>
      </c>
      <c r="G333" s="6" t="s">
        <v>19</v>
      </c>
      <c r="H333" s="6" t="s">
        <v>1266</v>
      </c>
      <c r="I333" s="7">
        <f>'Group KPIs'!K31</f>
        <v>75.0</v>
      </c>
      <c r="J333" s="14" t="s">
        <v>1001</v>
      </c>
    </row>
    <row r="334" spans="1:10">
      <c r="A334" s="6" t="s">
        <v>1210</v>
      </c>
      <c r="B334" s="6" t="s">
        <v>1257</v>
      </c>
      <c r="C334" s="6" t="s">
        <v>1258</v>
      </c>
      <c r="D334" s="6" t="s">
        <v>1004</v>
      </c>
      <c r="E334" s="6" t="s">
        <v>1267</v>
      </c>
      <c r="F334" s="6" t="s">
        <v>756</v>
      </c>
      <c r="G334" s="6" t="s">
        <v>19</v>
      </c>
      <c r="H334" s="6" t="s">
        <v>1268</v>
      </c>
      <c r="I334" s="7">
        <f>'Group KPIs'!K103</f>
        <v>85.42</v>
      </c>
      <c r="J334" s="14" t="s">
        <v>1001</v>
      </c>
    </row>
    <row r="335" spans="1:10">
      <c r="A335" s="6" t="s">
        <v>1210</v>
      </c>
      <c r="B335" s="6" t="s">
        <v>1257</v>
      </c>
      <c r="C335" s="6" t="s">
        <v>1258</v>
      </c>
      <c r="D335" s="6" t="s">
        <v>1004</v>
      </c>
      <c r="E335" s="6" t="s">
        <v>727</v>
      </c>
      <c r="F335" s="6" t="s">
        <v>726</v>
      </c>
      <c r="G335" s="6" t="s">
        <v>19</v>
      </c>
      <c r="H335" s="6" t="s">
        <v>1130</v>
      </c>
      <c r="I335" s="7">
        <f>'Group KPIs'!K91</f>
        <v>0.0</v>
      </c>
      <c r="J335" s="14" t="s">
        <v>1001</v>
      </c>
    </row>
    <row r="336" spans="1:10">
      <c r="A336" s="6" t="s">
        <v>1210</v>
      </c>
      <c r="B336" s="6" t="s">
        <v>1257</v>
      </c>
      <c r="C336" s="6" t="s">
        <v>1258</v>
      </c>
      <c r="D336" s="6" t="s">
        <v>1004</v>
      </c>
      <c r="E336" s="6" t="s">
        <v>1269</v>
      </c>
      <c r="F336" s="6" t="s">
        <v>729</v>
      </c>
      <c r="G336" s="6" t="s">
        <v>19</v>
      </c>
      <c r="H336" s="6" t="s">
        <v>1130</v>
      </c>
      <c r="I336" s="7">
        <f>'Group KPIs'!K92</f>
        <v>3.0</v>
      </c>
      <c r="J336" s="13" t="s">
        <v>996</v>
      </c>
    </row>
    <row r="337" spans="1:10">
      <c r="A337" s="6" t="s">
        <v>1210</v>
      </c>
      <c r="B337" s="6" t="s">
        <v>1257</v>
      </c>
      <c r="C337" s="6" t="s">
        <v>1258</v>
      </c>
      <c r="D337" s="6" t="s">
        <v>1004</v>
      </c>
      <c r="E337" s="6" t="s">
        <v>1270</v>
      </c>
      <c r="F337" s="6" t="s">
        <v>732</v>
      </c>
      <c r="G337" s="6" t="s">
        <v>19</v>
      </c>
      <c r="H337" s="6" t="s">
        <v>1153</v>
      </c>
      <c r="I337" s="7">
        <f>'Group KPIs'!K93</f>
        <v>1.0</v>
      </c>
      <c r="J337" s="14" t="s">
        <v>1001</v>
      </c>
    </row>
    <row r="338" spans="1:10">
      <c r="A338" s="6" t="s">
        <v>1210</v>
      </c>
      <c r="B338" s="6" t="s">
        <v>1257</v>
      </c>
      <c r="C338" s="6" t="s">
        <v>1258</v>
      </c>
      <c r="D338" s="6" t="s">
        <v>1004</v>
      </c>
      <c r="E338" s="6" t="s">
        <v>1271</v>
      </c>
      <c r="F338" s="6" t="s">
        <v>735</v>
      </c>
      <c r="G338" s="6" t="s">
        <v>19</v>
      </c>
      <c r="H338" s="6" t="s">
        <v>1272</v>
      </c>
      <c r="I338" s="7">
        <f>'Group KPIs'!K94</f>
        <v>2.0</v>
      </c>
      <c r="J338" s="14" t="s">
        <v>1001</v>
      </c>
    </row>
    <row r="339" spans="1:10">
      <c r="A339" s="6" t="s">
        <v>1210</v>
      </c>
      <c r="B339" s="6" t="s">
        <v>1257</v>
      </c>
      <c r="C339" s="6" t="s">
        <v>1258</v>
      </c>
      <c r="D339" s="6" t="s">
        <v>1004</v>
      </c>
      <c r="E339" s="6" t="s">
        <v>742</v>
      </c>
      <c r="F339" s="6" t="s">
        <v>741</v>
      </c>
      <c r="G339" s="6" t="s">
        <v>19</v>
      </c>
      <c r="H339" s="6" t="s">
        <v>1153</v>
      </c>
      <c r="I339" s="7">
        <f>'Group KPIs'!K96</f>
        <v>0.0</v>
      </c>
      <c r="J339" s="14" t="s">
        <v>1001</v>
      </c>
    </row>
    <row r="340" spans="1:10">
      <c r="A340" s="6" t="s">
        <v>1210</v>
      </c>
      <c r="B340" s="6" t="s">
        <v>1257</v>
      </c>
      <c r="C340" s="6" t="s">
        <v>1258</v>
      </c>
      <c r="D340" s="6" t="s">
        <v>1004</v>
      </c>
      <c r="E340" s="6" t="s">
        <v>744</v>
      </c>
      <c r="F340" s="6" t="s">
        <v>743</v>
      </c>
      <c r="G340" s="6" t="s">
        <v>19</v>
      </c>
      <c r="H340" s="6" t="s">
        <v>1007</v>
      </c>
      <c r="I340" s="7">
        <f>'Group KPIs'!K97</f>
        <v>0.0</v>
      </c>
      <c r="J340" s="13" t="s">
        <v>996</v>
      </c>
    </row>
    <row r="341" spans="1:10">
      <c r="A341" s="6" t="s">
        <v>1210</v>
      </c>
      <c r="B341" s="6" t="s">
        <v>1257</v>
      </c>
      <c r="C341" s="6" t="s">
        <v>1258</v>
      </c>
      <c r="D341" s="6" t="s">
        <v>1004</v>
      </c>
      <c r="E341" s="6" t="s">
        <v>498</v>
      </c>
      <c r="F341" s="6" t="s">
        <v>497</v>
      </c>
      <c r="G341" s="6" t="s">
        <v>19</v>
      </c>
      <c r="H341" s="6" t="s">
        <v>1143</v>
      </c>
      <c r="I341" s="7">
        <f>'Group KPIs'!K16</f>
        <v>1450141.0</v>
      </c>
      <c r="J341" s="14" t="s">
        <v>1001</v>
      </c>
    </row>
    <row r="342" spans="1:10">
      <c r="A342" s="6" t="s">
        <v>1210</v>
      </c>
      <c r="B342" s="6" t="s">
        <v>1257</v>
      </c>
      <c r="C342" s="6" t="s">
        <v>1258</v>
      </c>
      <c r="D342" s="6" t="s">
        <v>1004</v>
      </c>
      <c r="E342" s="6" t="s">
        <v>502</v>
      </c>
      <c r="F342" s="6" t="s">
        <v>501</v>
      </c>
      <c r="G342" s="6" t="s">
        <v>19</v>
      </c>
      <c r="H342" s="6" t="s">
        <v>1144</v>
      </c>
      <c r="I342" s="7">
        <f>'Group KPIs'!K17</f>
        <v>427664.0</v>
      </c>
      <c r="J342" s="14" t="s">
        <v>1001</v>
      </c>
    </row>
    <row r="343" spans="1:10">
      <c r="A343" s="6" t="s">
        <v>1210</v>
      </c>
      <c r="B343" s="6" t="s">
        <v>1257</v>
      </c>
      <c r="C343" s="6" t="s">
        <v>1258</v>
      </c>
      <c r="D343" s="6" t="s">
        <v>1004</v>
      </c>
      <c r="E343" s="6" t="s">
        <v>505</v>
      </c>
      <c r="F343" s="6" t="s">
        <v>504</v>
      </c>
      <c r="G343" s="6" t="s">
        <v>19</v>
      </c>
      <c r="H343" s="6" t="s">
        <v>1145</v>
      </c>
      <c r="I343" s="7">
        <f>'Group KPIs'!K18</f>
        <v>3.42</v>
      </c>
      <c r="J343" s="14" t="s">
        <v>1001</v>
      </c>
    </row>
    <row r="344" spans="1:10">
      <c r="A344" s="6" t="s">
        <v>1210</v>
      </c>
      <c r="B344" s="6" t="s">
        <v>1273</v>
      </c>
      <c r="C344" s="6" t="s">
        <v>1274</v>
      </c>
      <c r="D344" s="6" t="s">
        <v>994</v>
      </c>
      <c r="E344" s="6" t="s">
        <v>802</v>
      </c>
      <c r="F344" s="6" t="s">
        <v>801</v>
      </c>
      <c r="G344" s="6" t="s">
        <v>19</v>
      </c>
      <c r="H344" s="6" t="s">
        <v>995</v>
      </c>
      <c r="I344" s="7">
        <f>'Group KPIs'!K119</f>
        <v>1.0</v>
      </c>
      <c r="J344" s="13" t="s">
        <v>996</v>
      </c>
    </row>
    <row r="345" spans="1:10">
      <c r="A345" s="6" t="s">
        <v>1210</v>
      </c>
      <c r="B345" s="6" t="s">
        <v>1273</v>
      </c>
      <c r="C345" s="6" t="s">
        <v>1274</v>
      </c>
      <c r="D345" s="6" t="s">
        <v>994</v>
      </c>
      <c r="E345" s="6" t="s">
        <v>818</v>
      </c>
      <c r="F345" s="6" t="s">
        <v>817</v>
      </c>
      <c r="G345" s="6" t="s">
        <v>19</v>
      </c>
      <c r="H345" s="6" t="s">
        <v>997</v>
      </c>
      <c r="I345" s="7">
        <f>'Group KPIs'!K125</f>
        <v>83.93</v>
      </c>
      <c r="J345" s="13" t="s">
        <v>996</v>
      </c>
    </row>
    <row r="346" spans="1:10">
      <c r="A346" s="6" t="s">
        <v>1210</v>
      </c>
      <c r="B346" s="6" t="s">
        <v>1273</v>
      </c>
      <c r="C346" s="6" t="s">
        <v>1274</v>
      </c>
      <c r="D346" s="6" t="s">
        <v>994</v>
      </c>
      <c r="E346" s="6" t="s">
        <v>821</v>
      </c>
      <c r="F346" s="6" t="s">
        <v>820</v>
      </c>
      <c r="G346" s="6" t="s">
        <v>19</v>
      </c>
      <c r="H346" s="6" t="s">
        <v>998</v>
      </c>
      <c r="I346" s="7">
        <f>'Group KPIs'!K126</f>
        <v>9.0</v>
      </c>
      <c r="J346" s="13" t="s">
        <v>996</v>
      </c>
    </row>
    <row r="347" spans="1:10">
      <c r="A347" s="6" t="s">
        <v>1210</v>
      </c>
      <c r="B347" s="6" t="s">
        <v>1273</v>
      </c>
      <c r="C347" s="6" t="s">
        <v>1274</v>
      </c>
      <c r="D347" s="6" t="s">
        <v>994</v>
      </c>
      <c r="E347" s="6" t="s">
        <v>807</v>
      </c>
      <c r="F347" s="6" t="s">
        <v>806</v>
      </c>
      <c r="G347" s="6" t="s">
        <v>19</v>
      </c>
      <c r="H347" s="6" t="s">
        <v>1153</v>
      </c>
      <c r="I347" s="7">
        <f>'Group KPIs'!K121</f>
        <v>2.0</v>
      </c>
      <c r="J347" s="13" t="s">
        <v>996</v>
      </c>
    </row>
    <row r="348" spans="1:10">
      <c r="A348" s="6" t="s">
        <v>1210</v>
      </c>
      <c r="B348" s="6" t="s">
        <v>1273</v>
      </c>
      <c r="C348" s="6" t="s">
        <v>1274</v>
      </c>
      <c r="D348" s="6" t="s">
        <v>994</v>
      </c>
      <c r="E348" s="6" t="s">
        <v>810</v>
      </c>
      <c r="F348" s="6" t="s">
        <v>809</v>
      </c>
      <c r="G348" s="6" t="s">
        <v>19</v>
      </c>
      <c r="H348" s="6" t="s">
        <v>995</v>
      </c>
      <c r="I348" s="7">
        <f>'Group KPIs'!K122</f>
        <v>1.0</v>
      </c>
      <c r="J348" s="13" t="s">
        <v>996</v>
      </c>
    </row>
    <row r="349" spans="1:10">
      <c r="A349" s="6" t="s">
        <v>1210</v>
      </c>
      <c r="B349" s="6" t="s">
        <v>1273</v>
      </c>
      <c r="C349" s="6" t="s">
        <v>1274</v>
      </c>
      <c r="D349" s="6" t="s">
        <v>994</v>
      </c>
      <c r="E349" s="6" t="s">
        <v>999</v>
      </c>
      <c r="F349" s="6" t="s">
        <v>832</v>
      </c>
      <c r="G349" s="6" t="s">
        <v>19</v>
      </c>
      <c r="H349" s="6" t="s">
        <v>1000</v>
      </c>
      <c r="I349" s="7">
        <f>'Group KPIs'!K130</f>
        <v>0.38</v>
      </c>
      <c r="J349" s="14" t="s">
        <v>1001</v>
      </c>
    </row>
    <row r="350" spans="1:10">
      <c r="A350" s="6" t="s">
        <v>1210</v>
      </c>
      <c r="B350" s="6" t="s">
        <v>1273</v>
      </c>
      <c r="C350" s="6" t="s">
        <v>1274</v>
      </c>
      <c r="D350" s="6" t="s">
        <v>1004</v>
      </c>
      <c r="E350" s="6" t="s">
        <v>787</v>
      </c>
      <c r="F350" s="6" t="s">
        <v>786</v>
      </c>
      <c r="G350" s="6" t="s">
        <v>19</v>
      </c>
      <c r="H350" s="6" t="s">
        <v>1005</v>
      </c>
      <c r="I350" s="7">
        <f>'Group KPIs'!K113</f>
        <v>2.0</v>
      </c>
      <c r="J350" s="13" t="s">
        <v>996</v>
      </c>
    </row>
    <row r="351" spans="1:10">
      <c r="A351" s="6" t="s">
        <v>1210</v>
      </c>
      <c r="B351" s="6" t="s">
        <v>1273</v>
      </c>
      <c r="C351" s="6" t="s">
        <v>1274</v>
      </c>
      <c r="D351" s="6" t="s">
        <v>1004</v>
      </c>
      <c r="E351" s="6" t="s">
        <v>1006</v>
      </c>
      <c r="F351" s="6" t="s">
        <v>789</v>
      </c>
      <c r="G351" s="6" t="s">
        <v>19</v>
      </c>
      <c r="H351" s="6" t="s">
        <v>1007</v>
      </c>
      <c r="I351" s="7">
        <f>'Group KPIs'!K114</f>
        <v>0.0</v>
      </c>
      <c r="J351" s="13" t="s">
        <v>996</v>
      </c>
    </row>
    <row r="352" spans="1:10">
      <c r="A352" s="6" t="s">
        <v>1210</v>
      </c>
      <c r="B352" s="6" t="s">
        <v>1273</v>
      </c>
      <c r="C352" s="6" t="s">
        <v>1274</v>
      </c>
      <c r="D352" s="6" t="s">
        <v>1004</v>
      </c>
      <c r="E352" s="6" t="s">
        <v>793</v>
      </c>
      <c r="F352" s="6" t="s">
        <v>792</v>
      </c>
      <c r="G352" s="6" t="s">
        <v>19</v>
      </c>
      <c r="H352" s="6" t="s">
        <v>995</v>
      </c>
      <c r="I352" s="7">
        <f>'Group KPIs'!K115</f>
        <v>1.0</v>
      </c>
      <c r="J352" s="13" t="s">
        <v>996</v>
      </c>
    </row>
    <row r="353" spans="1:10">
      <c r="A353" s="6" t="s">
        <v>1210</v>
      </c>
      <c r="B353" s="6" t="s">
        <v>1273</v>
      </c>
      <c r="C353" s="6" t="s">
        <v>1274</v>
      </c>
      <c r="D353" s="6" t="s">
        <v>1004</v>
      </c>
      <c r="E353" s="6" t="s">
        <v>795</v>
      </c>
      <c r="F353" s="6" t="s">
        <v>794</v>
      </c>
      <c r="G353" s="6" t="s">
        <v>19</v>
      </c>
      <c r="H353" s="6" t="s">
        <v>1008</v>
      </c>
      <c r="I353" s="7">
        <f>'Group KPIs'!K116</f>
        <v>7.0</v>
      </c>
      <c r="J353" s="13" t="s">
        <v>996</v>
      </c>
    </row>
    <row r="354" spans="1:10">
      <c r="A354" s="6" t="s">
        <v>1210</v>
      </c>
      <c r="B354" s="6" t="s">
        <v>1273</v>
      </c>
      <c r="C354" s="6" t="s">
        <v>1274</v>
      </c>
      <c r="D354" s="6" t="s">
        <v>1004</v>
      </c>
      <c r="E354" s="6" t="s">
        <v>797</v>
      </c>
      <c r="F354" s="6" t="s">
        <v>796</v>
      </c>
      <c r="G354" s="6" t="s">
        <v>19</v>
      </c>
      <c r="H354" s="6" t="s">
        <v>1007</v>
      </c>
      <c r="I354" s="7">
        <f>'Group KPIs'!K117</f>
        <v>0.0</v>
      </c>
      <c r="J354" s="13" t="s">
        <v>996</v>
      </c>
    </row>
    <row r="355" spans="1:10">
      <c r="A355" s="6" t="s">
        <v>1210</v>
      </c>
      <c r="B355" s="6" t="s">
        <v>1273</v>
      </c>
      <c r="C355" s="6" t="s">
        <v>1274</v>
      </c>
      <c r="D355" s="6" t="s">
        <v>1004</v>
      </c>
      <c r="E355" s="6" t="s">
        <v>799</v>
      </c>
      <c r="F355" s="6" t="s">
        <v>798</v>
      </c>
      <c r="G355" s="6" t="s">
        <v>19</v>
      </c>
      <c r="H355" s="6" t="s">
        <v>995</v>
      </c>
      <c r="I355" s="7">
        <f>'Group KPIs'!K118</f>
        <v>1.0</v>
      </c>
      <c r="J355" s="13" t="s">
        <v>996</v>
      </c>
    </row>
    <row r="356" spans="1:10">
      <c r="A356" s="6" t="s">
        <v>1210</v>
      </c>
      <c r="B356" s="6" t="s">
        <v>1273</v>
      </c>
      <c r="C356" s="6" t="s">
        <v>1274</v>
      </c>
      <c r="D356" s="6" t="s">
        <v>1004</v>
      </c>
      <c r="E356" s="6" t="s">
        <v>802</v>
      </c>
      <c r="F356" s="6" t="s">
        <v>801</v>
      </c>
      <c r="G356" s="6" t="s">
        <v>19</v>
      </c>
      <c r="H356" s="6" t="s">
        <v>995</v>
      </c>
      <c r="I356" s="7">
        <f>'Group KPIs'!K119</f>
        <v>1.0</v>
      </c>
      <c r="J356" s="13" t="s">
        <v>996</v>
      </c>
    </row>
    <row r="357" spans="1:10">
      <c r="A357" s="6" t="s">
        <v>1210</v>
      </c>
      <c r="B357" s="6" t="s">
        <v>1273</v>
      </c>
      <c r="C357" s="6" t="s">
        <v>1274</v>
      </c>
      <c r="D357" s="6" t="s">
        <v>1004</v>
      </c>
      <c r="E357" s="6" t="s">
        <v>812</v>
      </c>
      <c r="F357" s="6" t="s">
        <v>811</v>
      </c>
      <c r="G357" s="6" t="s">
        <v>19</v>
      </c>
      <c r="H357" s="6" t="s">
        <v>1009</v>
      </c>
      <c r="I357" s="7">
        <f>'Group KPIs'!K123</f>
        <v>87.96</v>
      </c>
      <c r="J357" s="13" t="s">
        <v>996</v>
      </c>
    </row>
    <row r="358" spans="1:10">
      <c r="A358" s="6" t="s">
        <v>1210</v>
      </c>
      <c r="B358" s="6" t="s">
        <v>1273</v>
      </c>
      <c r="C358" s="6" t="s">
        <v>1274</v>
      </c>
      <c r="D358" s="6" t="s">
        <v>1004</v>
      </c>
      <c r="E358" s="6" t="s">
        <v>815</v>
      </c>
      <c r="F358" s="6" t="s">
        <v>814</v>
      </c>
      <c r="G358" s="6" t="s">
        <v>19</v>
      </c>
      <c r="H358" s="6" t="s">
        <v>1010</v>
      </c>
      <c r="I358" s="7">
        <f>'Group KPIs'!K124</f>
        <v>32.81</v>
      </c>
      <c r="J358" s="14" t="s">
        <v>1001</v>
      </c>
    </row>
    <row r="359" spans="1:10">
      <c r="A359" s="6" t="s">
        <v>1210</v>
      </c>
      <c r="B359" s="6" t="s">
        <v>1273</v>
      </c>
      <c r="C359" s="6" t="s">
        <v>1274</v>
      </c>
      <c r="D359" s="6" t="s">
        <v>1004</v>
      </c>
      <c r="E359" s="6" t="s">
        <v>1275</v>
      </c>
      <c r="F359" s="6" t="s">
        <v>835</v>
      </c>
      <c r="G359" s="6" t="s">
        <v>19</v>
      </c>
      <c r="H359" s="6" t="s">
        <v>1276</v>
      </c>
      <c r="I359" s="7">
        <f>'Group KPIs'!K131</f>
        <v>-0.22</v>
      </c>
      <c r="J359" s="14" t="s">
        <v>1001</v>
      </c>
    </row>
    <row r="360" spans="1:10">
      <c r="A360" s="6" t="s">
        <v>1210</v>
      </c>
      <c r="B360" s="6" t="s">
        <v>1273</v>
      </c>
      <c r="C360" s="6" t="s">
        <v>1274</v>
      </c>
      <c r="D360" s="6" t="s">
        <v>1004</v>
      </c>
      <c r="E360" s="6" t="s">
        <v>805</v>
      </c>
      <c r="F360" s="6" t="s">
        <v>804</v>
      </c>
      <c r="G360" s="6" t="s">
        <v>19</v>
      </c>
      <c r="H360" s="6" t="s">
        <v>995</v>
      </c>
      <c r="I360" s="7">
        <f>'Group KPIs'!K120</f>
        <v>1.0</v>
      </c>
      <c r="J360" s="13" t="s">
        <v>996</v>
      </c>
    </row>
    <row r="361" spans="1:10">
      <c r="A361" s="6" t="s">
        <v>1210</v>
      </c>
      <c r="B361" s="6" t="s">
        <v>1273</v>
      </c>
      <c r="C361" s="6" t="s">
        <v>1274</v>
      </c>
      <c r="D361" s="6" t="s">
        <v>1004</v>
      </c>
      <c r="E361" s="6" t="s">
        <v>824</v>
      </c>
      <c r="F361" s="6" t="s">
        <v>823</v>
      </c>
      <c r="G361" s="6" t="s">
        <v>19</v>
      </c>
      <c r="H361" s="6" t="s">
        <v>1277</v>
      </c>
      <c r="I361" s="7">
        <f>'Group KPIs'!K127</f>
        <v>92.86</v>
      </c>
      <c r="J361" s="14" t="s">
        <v>1001</v>
      </c>
    </row>
    <row r="362" spans="1:10">
      <c r="A362" s="6" t="s">
        <v>1210</v>
      </c>
      <c r="B362" s="6" t="s">
        <v>1273</v>
      </c>
      <c r="C362" s="6" t="s">
        <v>1274</v>
      </c>
      <c r="D362" s="6" t="s">
        <v>1004</v>
      </c>
      <c r="E362" s="6" t="s">
        <v>827</v>
      </c>
      <c r="F362" s="6" t="s">
        <v>826</v>
      </c>
      <c r="G362" s="6" t="s">
        <v>19</v>
      </c>
      <c r="H362" s="6" t="s">
        <v>1011</v>
      </c>
      <c r="I362" s="7">
        <f>'Group KPIs'!K128</f>
        <v>99.02</v>
      </c>
      <c r="J362" s="14" t="s">
        <v>1001</v>
      </c>
    </row>
    <row r="363" spans="1:10">
      <c r="A363" s="6" t="s">
        <v>1210</v>
      </c>
      <c r="B363" s="6" t="s">
        <v>1273</v>
      </c>
      <c r="C363" s="6" t="s">
        <v>1274</v>
      </c>
      <c r="D363" s="6" t="s">
        <v>1004</v>
      </c>
      <c r="E363" s="6" t="s">
        <v>830</v>
      </c>
      <c r="F363" s="6" t="s">
        <v>829</v>
      </c>
      <c r="G363" s="6" t="s">
        <v>19</v>
      </c>
      <c r="H363" s="6" t="s">
        <v>1012</v>
      </c>
      <c r="I363" s="7">
        <f>'Group KPIs'!K129</f>
        <v>95.98</v>
      </c>
      <c r="J363" s="14" t="s">
        <v>1001</v>
      </c>
    </row>
    <row r="364" spans="1:10">
      <c r="A364" s="6" t="s">
        <v>1210</v>
      </c>
      <c r="B364" s="6" t="s">
        <v>1273</v>
      </c>
      <c r="C364" s="6" t="s">
        <v>1274</v>
      </c>
      <c r="D364" s="6" t="s">
        <v>1004</v>
      </c>
      <c r="E364" s="6" t="s">
        <v>1278</v>
      </c>
      <c r="F364" s="6" t="s">
        <v>838</v>
      </c>
      <c r="G364" s="6" t="s">
        <v>19</v>
      </c>
      <c r="H364" s="6" t="s">
        <v>1013</v>
      </c>
      <c r="I364" s="7">
        <f>'Group KPIs'!K132</f>
        <v>0.27</v>
      </c>
      <c r="J364" s="13" t="s">
        <v>996</v>
      </c>
    </row>
    <row r="365" spans="1:10">
      <c r="A365" s="6" t="s">
        <v>1210</v>
      </c>
      <c r="B365" s="6" t="s">
        <v>1279</v>
      </c>
      <c r="C365" s="6" t="s">
        <v>1280</v>
      </c>
      <c r="D365" s="6" t="s">
        <v>1031</v>
      </c>
      <c r="E365" s="6" t="s">
        <v>842</v>
      </c>
      <c r="F365" s="6" t="s">
        <v>841</v>
      </c>
      <c r="G365" s="6" t="s">
        <v>19</v>
      </c>
      <c r="H365" s="6" t="s">
        <v>995</v>
      </c>
      <c r="I365" s="7">
        <f>'Group KPIs'!K133</f>
        <v>1.0</v>
      </c>
      <c r="J365" s="13" t="s">
        <v>996</v>
      </c>
    </row>
    <row r="366" spans="1:10">
      <c r="A366" s="6" t="s">
        <v>1210</v>
      </c>
      <c r="B366" s="6" t="s">
        <v>1279</v>
      </c>
      <c r="C366" s="6" t="s">
        <v>1280</v>
      </c>
      <c r="D366" s="6" t="s">
        <v>1031</v>
      </c>
      <c r="E366" s="6" t="s">
        <v>844</v>
      </c>
      <c r="F366" s="6" t="s">
        <v>843</v>
      </c>
      <c r="G366" s="6" t="s">
        <v>19</v>
      </c>
      <c r="H366" s="6" t="s">
        <v>995</v>
      </c>
      <c r="I366" s="7">
        <f>'Group KPIs'!K134</f>
        <v>1.0</v>
      </c>
      <c r="J366" s="13" t="s">
        <v>996</v>
      </c>
    </row>
    <row r="367" spans="1:10">
      <c r="A367" s="6" t="s">
        <v>1210</v>
      </c>
      <c r="B367" s="6" t="s">
        <v>1279</v>
      </c>
      <c r="C367" s="6" t="s">
        <v>1280</v>
      </c>
      <c r="D367" s="6" t="s">
        <v>1031</v>
      </c>
      <c r="E367" s="6" t="s">
        <v>847</v>
      </c>
      <c r="F367" s="6" t="s">
        <v>846</v>
      </c>
      <c r="G367" s="6" t="s">
        <v>19</v>
      </c>
      <c r="H367" s="6" t="s">
        <v>1007</v>
      </c>
      <c r="I367" s="7">
        <f>'Group KPIs'!K135</f>
        <v>0.0</v>
      </c>
      <c r="J367" s="13" t="s">
        <v>996</v>
      </c>
    </row>
    <row r="368" spans="1:10">
      <c r="A368" s="6" t="s">
        <v>1210</v>
      </c>
      <c r="B368" s="6" t="s">
        <v>1279</v>
      </c>
      <c r="C368" s="6" t="s">
        <v>1280</v>
      </c>
      <c r="D368" s="6" t="s">
        <v>1031</v>
      </c>
      <c r="E368" s="6" t="s">
        <v>849</v>
      </c>
      <c r="F368" s="6" t="s">
        <v>848</v>
      </c>
      <c r="G368" s="6" t="s">
        <v>19</v>
      </c>
      <c r="H368" s="6" t="s">
        <v>1149</v>
      </c>
      <c r="I368" s="7">
        <f>'Group KPIs'!K136</f>
        <v>2.45</v>
      </c>
      <c r="J368" s="13" t="s">
        <v>996</v>
      </c>
    </row>
    <row r="369" spans="1:10">
      <c r="A369" s="6" t="s">
        <v>1210</v>
      </c>
      <c r="B369" s="6" t="s">
        <v>1279</v>
      </c>
      <c r="C369" s="6" t="s">
        <v>1280</v>
      </c>
      <c r="D369" s="6" t="s">
        <v>1031</v>
      </c>
      <c r="E369" s="6" t="s">
        <v>1150</v>
      </c>
      <c r="F369" s="6" t="s">
        <v>851</v>
      </c>
      <c r="G369" s="6" t="s">
        <v>19</v>
      </c>
      <c r="H369" s="6" t="s">
        <v>1151</v>
      </c>
      <c r="I369" s="7">
        <f>'Group KPIs'!K137</f>
        <v>11.0</v>
      </c>
      <c r="J369" s="13" t="s">
        <v>996</v>
      </c>
    </row>
    <row r="370" spans="1:10">
      <c r="A370" s="6" t="s">
        <v>1210</v>
      </c>
      <c r="B370" s="6" t="s">
        <v>1279</v>
      </c>
      <c r="C370" s="6" t="s">
        <v>1280</v>
      </c>
      <c r="D370" s="6" t="s">
        <v>1031</v>
      </c>
      <c r="E370" s="6" t="s">
        <v>1152</v>
      </c>
      <c r="F370" s="6" t="s">
        <v>854</v>
      </c>
      <c r="G370" s="6" t="s">
        <v>19</v>
      </c>
      <c r="H370" s="6" t="s">
        <v>1153</v>
      </c>
      <c r="I370" s="7">
        <f>'Group KPIs'!K138</f>
        <v>4.0</v>
      </c>
      <c r="J370" s="14" t="s">
        <v>1001</v>
      </c>
    </row>
    <row r="371" spans="1:10">
      <c r="A371" s="6" t="s">
        <v>1210</v>
      </c>
      <c r="B371" s="6" t="s">
        <v>1279</v>
      </c>
      <c r="C371" s="6" t="s">
        <v>1280</v>
      </c>
      <c r="D371" s="6" t="s">
        <v>1031</v>
      </c>
      <c r="E371" s="6" t="s">
        <v>1154</v>
      </c>
      <c r="F371" s="6" t="s">
        <v>858</v>
      </c>
      <c r="G371" s="6" t="s">
        <v>19</v>
      </c>
      <c r="H371" s="6" t="s">
        <v>1155</v>
      </c>
      <c r="I371" s="8" t="str">
        <f>'Group KPIs'!K139</f>
        <v>8 of 9</v>
      </c>
      <c r="J371" s="14" t="s">
        <v>1001</v>
      </c>
    </row>
    <row r="372" spans="1:10">
      <c r="A372" s="6" t="s">
        <v>1210</v>
      </c>
      <c r="B372" s="6" t="s">
        <v>1281</v>
      </c>
      <c r="C372" s="6" t="s">
        <v>1282</v>
      </c>
      <c r="D372" s="6" t="s">
        <v>1031</v>
      </c>
      <c r="E372" s="6" t="s">
        <v>1034</v>
      </c>
      <c r="F372" s="6" t="s">
        <v>878</v>
      </c>
      <c r="G372" s="6" t="s">
        <v>19</v>
      </c>
      <c r="H372" s="6" t="s">
        <v>1035</v>
      </c>
      <c r="I372" s="7">
        <f>'Group KPIs'!K145</f>
        <v>69.69</v>
      </c>
      <c r="J372" s="14" t="s">
        <v>1001</v>
      </c>
    </row>
    <row r="373" spans="1:10">
      <c r="A373" s="6" t="s">
        <v>1210</v>
      </c>
      <c r="B373" s="6" t="s">
        <v>1281</v>
      </c>
      <c r="C373" s="6" t="s">
        <v>1282</v>
      </c>
      <c r="D373" s="6" t="s">
        <v>1031</v>
      </c>
      <c r="E373" s="6" t="s">
        <v>1054</v>
      </c>
      <c r="F373" s="6" t="s">
        <v>882</v>
      </c>
      <c r="G373" s="6" t="s">
        <v>19</v>
      </c>
      <c r="H373" s="6" t="s">
        <v>1037</v>
      </c>
      <c r="I373" s="7">
        <f>'Group KPIs'!K146</f>
        <v>-56.18</v>
      </c>
      <c r="J373" s="14" t="s">
        <v>1001</v>
      </c>
    </row>
    <row r="374" spans="1:10">
      <c r="A374" s="6" t="s">
        <v>1210</v>
      </c>
      <c r="B374" s="6" t="s">
        <v>1281</v>
      </c>
      <c r="C374" s="6" t="s">
        <v>1282</v>
      </c>
      <c r="D374" s="6" t="s">
        <v>1031</v>
      </c>
      <c r="E374" s="6" t="s">
        <v>1283</v>
      </c>
      <c r="F374" s="6" t="s">
        <v>890</v>
      </c>
      <c r="G374" s="6" t="s">
        <v>19</v>
      </c>
      <c r="H374" s="6" t="s">
        <v>1284</v>
      </c>
      <c r="I374" s="8" t="str">
        <f>'Group KPIs'!K148</f>
        <v>Not forecast</v>
      </c>
      <c r="J374" s="14" t="s">
        <v>1001</v>
      </c>
    </row>
    <row r="375" spans="1:10">
      <c r="A375" s="6" t="s">
        <v>1210</v>
      </c>
      <c r="B375" s="6" t="s">
        <v>1281</v>
      </c>
      <c r="C375" s="6" t="s">
        <v>1282</v>
      </c>
      <c r="D375" s="6" t="s">
        <v>1031</v>
      </c>
      <c r="E375" s="6" t="s">
        <v>1285</v>
      </c>
      <c r="F375" s="6" t="s">
        <v>894</v>
      </c>
      <c r="G375" s="6" t="s">
        <v>19</v>
      </c>
      <c r="H375" s="6" t="s">
        <v>1168</v>
      </c>
      <c r="I375" s="7">
        <f>'Group KPIs'!K149</f>
        <v>28.01</v>
      </c>
      <c r="J375" s="14" t="s">
        <v>1001</v>
      </c>
    </row>
    <row r="376" spans="1:10">
      <c r="A376" s="6" t="s">
        <v>1210</v>
      </c>
      <c r="B376" s="6" t="s">
        <v>1286</v>
      </c>
      <c r="C376" s="6" t="s">
        <v>1189</v>
      </c>
      <c r="D376" s="6" t="s">
        <v>994</v>
      </c>
      <c r="E376" s="6" t="s">
        <v>1190</v>
      </c>
      <c r="F376" s="6" t="s">
        <v>453</v>
      </c>
      <c r="G376" s="6" t="s">
        <v>179</v>
      </c>
      <c r="H376" s="6" t="s">
        <v>1191</v>
      </c>
      <c r="I376" s="7">
        <f>'Entity KPIs'!K2</f>
        <v>91.27</v>
      </c>
      <c r="J376" s="14" t="s">
        <v>1001</v>
      </c>
    </row>
    <row r="377" spans="1:10">
      <c r="A377" s="6" t="s">
        <v>1210</v>
      </c>
      <c r="B377" s="6" t="s">
        <v>1287</v>
      </c>
      <c r="C377" s="6" t="s">
        <v>1288</v>
      </c>
      <c r="D377" s="6" t="s">
        <v>994</v>
      </c>
      <c r="E377" s="6" t="s">
        <v>1289</v>
      </c>
      <c r="F377" s="6" t="s">
        <v>874</v>
      </c>
      <c r="G377" s="6" t="s">
        <v>187</v>
      </c>
      <c r="H377" s="6" t="s">
        <v>1033</v>
      </c>
      <c r="I377" s="7">
        <f>'Plant KPIs'!Q59</f>
        <v>4.0</v>
      </c>
      <c r="J377" s="13" t="s">
        <v>996</v>
      </c>
    </row>
    <row r="378" spans="1:10">
      <c r="A378" s="6" t="s">
        <v>1210</v>
      </c>
      <c r="B378" s="6" t="s">
        <v>1287</v>
      </c>
      <c r="C378" s="6" t="s">
        <v>1288</v>
      </c>
      <c r="D378" s="6" t="s">
        <v>994</v>
      </c>
      <c r="E378" s="6" t="s">
        <v>1034</v>
      </c>
      <c r="F378" s="6" t="s">
        <v>878</v>
      </c>
      <c r="G378" s="6" t="s">
        <v>19</v>
      </c>
      <c r="H378" s="6" t="s">
        <v>1290</v>
      </c>
      <c r="I378" s="7">
        <f>'Group KPIs'!K145</f>
        <v>69.69</v>
      </c>
      <c r="J378" s="14" t="s">
        <v>1001</v>
      </c>
    </row>
    <row r="379" spans="1:10">
      <c r="A379" s="6" t="s">
        <v>1210</v>
      </c>
      <c r="B379" s="6" t="s">
        <v>1287</v>
      </c>
      <c r="C379" s="6" t="s">
        <v>1288</v>
      </c>
      <c r="D379" s="6" t="s">
        <v>994</v>
      </c>
      <c r="E379" s="6" t="s">
        <v>1215</v>
      </c>
      <c r="F379" s="6" t="s">
        <v>882</v>
      </c>
      <c r="G379" s="6" t="s">
        <v>19</v>
      </c>
      <c r="H379" s="6" t="s">
        <v>1194</v>
      </c>
      <c r="I379" s="7">
        <f>'Group KPIs'!K146</f>
        <v>-56.18</v>
      </c>
      <c r="J379" s="14" t="s">
        <v>1001</v>
      </c>
    </row>
    <row r="380" spans="1:10">
      <c r="A380" s="6" t="s">
        <v>1210</v>
      </c>
      <c r="B380" s="6" t="s">
        <v>1287</v>
      </c>
      <c r="C380" s="6" t="s">
        <v>1288</v>
      </c>
      <c r="D380" s="6" t="s">
        <v>994</v>
      </c>
      <c r="E380" s="6" t="s">
        <v>1055</v>
      </c>
      <c r="F380" s="6" t="s">
        <v>885</v>
      </c>
      <c r="G380" s="6" t="s">
        <v>19</v>
      </c>
      <c r="H380" s="6" t="s">
        <v>1291</v>
      </c>
      <c r="I380" s="8" t="str">
        <f>'Group KPIs'!K147</f>
        <v>None within 90 d</v>
      </c>
      <c r="J380" s="13" t="s">
        <v>996</v>
      </c>
    </row>
    <row r="381" spans="1:10">
      <c r="A381" s="6" t="s">
        <v>1210</v>
      </c>
      <c r="B381" s="6" t="s">
        <v>1287</v>
      </c>
      <c r="C381" s="6" t="s">
        <v>1288</v>
      </c>
      <c r="D381" s="6" t="s">
        <v>994</v>
      </c>
      <c r="E381" s="6" t="s">
        <v>891</v>
      </c>
      <c r="F381" s="6" t="s">
        <v>890</v>
      </c>
      <c r="G381" s="6" t="s">
        <v>19</v>
      </c>
      <c r="H381" s="6" t="s">
        <v>1292</v>
      </c>
      <c r="I381" s="8" t="str">
        <f>'Group KPIs'!K148</f>
        <v>Not forecast</v>
      </c>
      <c r="J381" s="13" t="s">
        <v>996</v>
      </c>
    </row>
    <row r="382" spans="1:10">
      <c r="A382" s="6" t="s">
        <v>1210</v>
      </c>
      <c r="B382" s="6" t="s">
        <v>1287</v>
      </c>
      <c r="C382" s="6" t="s">
        <v>1288</v>
      </c>
      <c r="D382" s="6" t="s">
        <v>1004</v>
      </c>
      <c r="E382" s="6" t="s">
        <v>1293</v>
      </c>
      <c r="F382" s="6" t="s">
        <v>861</v>
      </c>
      <c r="G382" s="6" t="s">
        <v>19</v>
      </c>
      <c r="H382" s="6" t="s">
        <v>1294</v>
      </c>
      <c r="I382" s="7">
        <f>'Group KPIs'!K140</f>
        <v>1.12</v>
      </c>
      <c r="J382" s="15" t="s">
        <v>1294</v>
      </c>
    </row>
    <row r="383" spans="1:10">
      <c r="A383" s="6" t="s">
        <v>1210</v>
      </c>
      <c r="B383" s="6" t="s">
        <v>1287</v>
      </c>
      <c r="C383" s="6" t="s">
        <v>1288</v>
      </c>
      <c r="D383" s="6" t="s">
        <v>1004</v>
      </c>
      <c r="E383" s="6" t="s">
        <v>1295</v>
      </c>
      <c r="F383" s="6" t="s">
        <v>508</v>
      </c>
      <c r="G383" s="6" t="s">
        <v>19</v>
      </c>
      <c r="H383" s="6" t="s">
        <v>1294</v>
      </c>
      <c r="I383" s="7">
        <f>'Group KPIs'!K19</f>
        <v>36810.0</v>
      </c>
      <c r="J383" s="15" t="s">
        <v>1294</v>
      </c>
    </row>
    <row r="384" spans="1:10">
      <c r="A384" s="6" t="s">
        <v>1210</v>
      </c>
      <c r="B384" s="6" t="s">
        <v>1287</v>
      </c>
      <c r="C384" s="6" t="s">
        <v>1288</v>
      </c>
      <c r="D384" s="6" t="s">
        <v>1004</v>
      </c>
      <c r="E384" s="6" t="s">
        <v>1296</v>
      </c>
      <c r="F384" s="6" t="s">
        <v>514</v>
      </c>
      <c r="G384" s="6" t="s">
        <v>19</v>
      </c>
      <c r="H384" s="6" t="s">
        <v>1294</v>
      </c>
      <c r="I384" s="7">
        <f>'Group KPIs'!K21</f>
        <v>5.0</v>
      </c>
      <c r="J384" s="15" t="s">
        <v>1294</v>
      </c>
    </row>
    <row r="385" spans="1:10">
      <c r="A385" s="6" t="s">
        <v>1210</v>
      </c>
      <c r="B385" s="6" t="s">
        <v>1287</v>
      </c>
      <c r="C385" s="6" t="s">
        <v>1288</v>
      </c>
      <c r="D385" s="6" t="s">
        <v>1004</v>
      </c>
      <c r="E385" s="6" t="s">
        <v>1297</v>
      </c>
      <c r="F385" s="6" t="s">
        <v>928</v>
      </c>
      <c r="G385" s="6" t="s">
        <v>19</v>
      </c>
      <c r="H385" s="6" t="s">
        <v>1294</v>
      </c>
      <c r="I385" s="8" t="str">
        <f>'Group KPIs'!K160</f>
        <v>Elevated (3 single-source suppliers, 5 materials at risk)</v>
      </c>
      <c r="J385" s="15" t="s">
        <v>1294</v>
      </c>
    </row>
    <row r="386" spans="1:10">
      <c r="A386" s="6" t="s">
        <v>1210</v>
      </c>
      <c r="B386" s="6" t="s">
        <v>1287</v>
      </c>
      <c r="C386" s="6" t="s">
        <v>1288</v>
      </c>
      <c r="D386" s="6" t="s">
        <v>1004</v>
      </c>
      <c r="E386" s="6" t="s">
        <v>1298</v>
      </c>
      <c r="F386" s="6" t="s">
        <v>517</v>
      </c>
      <c r="G386" s="6" t="s">
        <v>19</v>
      </c>
      <c r="H386" s="6" t="s">
        <v>1294</v>
      </c>
      <c r="I386" s="7">
        <f>'Group KPIs'!K22</f>
        <v>8.66</v>
      </c>
      <c r="J386" s="15" t="s">
        <v>1294</v>
      </c>
    </row>
    <row r="387" spans="1:10">
      <c r="A387" s="6" t="s">
        <v>1210</v>
      </c>
      <c r="B387" s="6" t="s">
        <v>1287</v>
      </c>
      <c r="C387" s="6" t="s">
        <v>1288</v>
      </c>
      <c r="D387" s="6" t="s">
        <v>1004</v>
      </c>
      <c r="E387" s="6" t="s">
        <v>1293</v>
      </c>
      <c r="F387" s="6" t="s">
        <v>931</v>
      </c>
      <c r="G387" s="6" t="s">
        <v>19</v>
      </c>
      <c r="H387" s="6" t="s">
        <v>1294</v>
      </c>
      <c r="I387" s="8" t="str">
        <f>'Group KPIs'!K161</f>
        <v>Normal (2% vs plan)</v>
      </c>
      <c r="J387" s="15" t="s">
        <v>1294</v>
      </c>
    </row>
    <row r="388" spans="1:10">
      <c r="A388" s="6" t="s">
        <v>21</v>
      </c>
      <c r="B388" s="6" t="s">
        <v>1299</v>
      </c>
      <c r="C388" s="6" t="s">
        <v>1300</v>
      </c>
      <c r="D388" s="6" t="s">
        <v>994</v>
      </c>
      <c r="E388" s="6" t="s">
        <v>592</v>
      </c>
      <c r="F388" s="6" t="s">
        <v>591</v>
      </c>
      <c r="G388" s="6" t="s">
        <v>179</v>
      </c>
      <c r="H388" s="6" t="s">
        <v>1205</v>
      </c>
      <c r="I388" s="7">
        <f>'Entity KPIs'!K48</f>
        <v>38.6</v>
      </c>
      <c r="J388" s="14" t="s">
        <v>1001</v>
      </c>
    </row>
    <row r="389" spans="1:10">
      <c r="A389" s="6" t="s">
        <v>21</v>
      </c>
      <c r="B389" s="6" t="s">
        <v>1299</v>
      </c>
      <c r="C389" s="6" t="s">
        <v>1300</v>
      </c>
      <c r="D389" s="6" t="s">
        <v>994</v>
      </c>
      <c r="E389" s="6" t="s">
        <v>847</v>
      </c>
      <c r="F389" s="6" t="s">
        <v>846</v>
      </c>
      <c r="G389" s="6" t="s">
        <v>179</v>
      </c>
      <c r="H389" s="6" t="s">
        <v>1007</v>
      </c>
      <c r="I389" s="7">
        <f>'Entity KPIs'!K135</f>
        <v>0.0</v>
      </c>
      <c r="J389" s="13" t="s">
        <v>996</v>
      </c>
    </row>
    <row r="390" spans="1:10">
      <c r="A390" s="6" t="s">
        <v>21</v>
      </c>
      <c r="B390" s="6" t="s">
        <v>1299</v>
      </c>
      <c r="C390" s="6" t="s">
        <v>1300</v>
      </c>
      <c r="D390" s="6" t="s">
        <v>994</v>
      </c>
      <c r="E390" s="6" t="s">
        <v>1301</v>
      </c>
      <c r="F390" s="6" t="s">
        <v>558</v>
      </c>
      <c r="G390" s="6" t="s">
        <v>179</v>
      </c>
      <c r="H390" s="6" t="s">
        <v>1302</v>
      </c>
      <c r="I390" s="7">
        <f>'Entity KPIs'!K38</f>
        <v>890.55</v>
      </c>
      <c r="J390" s="14" t="s">
        <v>1001</v>
      </c>
    </row>
    <row r="391" spans="1:10">
      <c r="A391" s="6" t="s">
        <v>21</v>
      </c>
      <c r="B391" s="6" t="s">
        <v>1299</v>
      </c>
      <c r="C391" s="6" t="s">
        <v>1300</v>
      </c>
      <c r="D391" s="6" t="s">
        <v>994</v>
      </c>
      <c r="E391" s="6" t="s">
        <v>1303</v>
      </c>
      <c r="F391" s="6" t="s">
        <v>563</v>
      </c>
      <c r="G391" s="6" t="s">
        <v>179</v>
      </c>
      <c r="H391" s="6" t="s">
        <v>1304</v>
      </c>
      <c r="I391" s="7">
        <f>'Entity KPIs'!K39</f>
        <v>610.05</v>
      </c>
      <c r="J391" s="14" t="s">
        <v>1001</v>
      </c>
    </row>
    <row r="392" spans="1:10">
      <c r="A392" s="6" t="s">
        <v>21</v>
      </c>
      <c r="B392" s="6" t="s">
        <v>1299</v>
      </c>
      <c r="C392" s="6" t="s">
        <v>1300</v>
      </c>
      <c r="D392" s="6" t="s">
        <v>994</v>
      </c>
      <c r="E392" s="6" t="s">
        <v>1305</v>
      </c>
      <c r="F392" s="6" t="s">
        <v>572</v>
      </c>
      <c r="G392" s="6" t="s">
        <v>179</v>
      </c>
      <c r="H392" s="6" t="s">
        <v>1306</v>
      </c>
      <c r="I392" s="7">
        <f>'Entity KPIs'!K42</f>
        <v>11.08</v>
      </c>
      <c r="J392" s="14" t="s">
        <v>1001</v>
      </c>
    </row>
    <row r="393" spans="1:10">
      <c r="A393" s="6" t="s">
        <v>21</v>
      </c>
      <c r="B393" s="6" t="s">
        <v>1299</v>
      </c>
      <c r="C393" s="6" t="s">
        <v>1300</v>
      </c>
      <c r="D393" s="6" t="s">
        <v>994</v>
      </c>
      <c r="E393" s="6" t="s">
        <v>1190</v>
      </c>
      <c r="F393" s="6" t="s">
        <v>453</v>
      </c>
      <c r="G393" s="6" t="s">
        <v>179</v>
      </c>
      <c r="H393" s="6" t="s">
        <v>1191</v>
      </c>
      <c r="I393" s="7">
        <f>'Entity KPIs'!K2</f>
        <v>91.27</v>
      </c>
      <c r="J393" s="14" t="s">
        <v>1001</v>
      </c>
    </row>
    <row r="394" spans="1:10">
      <c r="A394" s="6" t="s">
        <v>21</v>
      </c>
      <c r="B394" s="6" t="s">
        <v>1299</v>
      </c>
      <c r="C394" s="6" t="s">
        <v>1300</v>
      </c>
      <c r="D394" s="6" t="s">
        <v>994</v>
      </c>
      <c r="E394" s="6" t="s">
        <v>1044</v>
      </c>
      <c r="F394" s="6" t="s">
        <v>550</v>
      </c>
      <c r="G394" s="6" t="s">
        <v>179</v>
      </c>
      <c r="H394" s="6" t="s">
        <v>1307</v>
      </c>
      <c r="I394" s="7">
        <f>'Entity KPIs'!K35</f>
        <v>89.21</v>
      </c>
      <c r="J394" s="14" t="s">
        <v>1001</v>
      </c>
    </row>
    <row r="395" spans="1:10">
      <c r="A395" s="6" t="s">
        <v>21</v>
      </c>
      <c r="B395" s="6" t="s">
        <v>1299</v>
      </c>
      <c r="C395" s="6" t="s">
        <v>1300</v>
      </c>
      <c r="D395" s="6" t="s">
        <v>994</v>
      </c>
      <c r="E395" s="6" t="s">
        <v>1201</v>
      </c>
      <c r="F395" s="6" t="s">
        <v>514</v>
      </c>
      <c r="G395" s="6" t="s">
        <v>179</v>
      </c>
      <c r="H395" s="6" t="s">
        <v>1172</v>
      </c>
      <c r="I395" s="7">
        <f>'Entity KPIs'!K21</f>
        <v>4.0</v>
      </c>
      <c r="J395" s="14" t="s">
        <v>1001</v>
      </c>
    </row>
    <row r="396" spans="1:10">
      <c r="A396" s="6" t="s">
        <v>21</v>
      </c>
      <c r="B396" s="6" t="s">
        <v>1299</v>
      </c>
      <c r="C396" s="6" t="s">
        <v>1300</v>
      </c>
      <c r="D396" s="6" t="s">
        <v>1031</v>
      </c>
      <c r="E396" s="6" t="s">
        <v>1308</v>
      </c>
      <c r="F396" s="6" t="s">
        <v>874</v>
      </c>
      <c r="G396" s="6" t="s">
        <v>179</v>
      </c>
      <c r="H396" s="6" t="s">
        <v>1033</v>
      </c>
      <c r="I396" s="7">
        <f>'Entity KPIs'!K144</f>
        <v>4.0</v>
      </c>
      <c r="J396" s="13" t="s">
        <v>996</v>
      </c>
    </row>
    <row r="397" spans="1:10">
      <c r="A397" s="6" t="s">
        <v>21</v>
      </c>
      <c r="B397" s="6" t="s">
        <v>1299</v>
      </c>
      <c r="C397" s="6" t="s">
        <v>1300</v>
      </c>
      <c r="D397" s="6" t="s">
        <v>1031</v>
      </c>
      <c r="E397" s="6" t="s">
        <v>509</v>
      </c>
      <c r="F397" s="6" t="s">
        <v>508</v>
      </c>
      <c r="G397" s="6" t="s">
        <v>179</v>
      </c>
      <c r="H397" s="6" t="s">
        <v>1309</v>
      </c>
      <c r="I397" s="7">
        <f>'Entity KPIs'!K19</f>
        <v>30930.0</v>
      </c>
      <c r="J397" s="14" t="s">
        <v>1001</v>
      </c>
    </row>
    <row r="398" spans="1:10">
      <c r="A398" s="6" t="s">
        <v>21</v>
      </c>
      <c r="B398" s="6" t="s">
        <v>1299</v>
      </c>
      <c r="C398" s="6" t="s">
        <v>1300</v>
      </c>
      <c r="D398" s="6" t="s">
        <v>1031</v>
      </c>
      <c r="E398" s="6" t="s">
        <v>1310</v>
      </c>
      <c r="F398" s="6" t="s">
        <v>514</v>
      </c>
      <c r="G398" s="6" t="s">
        <v>179</v>
      </c>
      <c r="H398" s="6" t="s">
        <v>1311</v>
      </c>
      <c r="I398" s="7">
        <f>'Entity KPIs'!K21</f>
        <v>4.0</v>
      </c>
      <c r="J398" s="14" t="s">
        <v>1001</v>
      </c>
    </row>
    <row r="399" spans="1:10">
      <c r="A399" s="6" t="s">
        <v>21</v>
      </c>
      <c r="B399" s="6" t="s">
        <v>1299</v>
      </c>
      <c r="C399" s="6" t="s">
        <v>1300</v>
      </c>
      <c r="D399" s="6" t="s">
        <v>1031</v>
      </c>
      <c r="E399" s="6" t="s">
        <v>929</v>
      </c>
      <c r="F399" s="6" t="s">
        <v>928</v>
      </c>
      <c r="G399" s="6" t="s">
        <v>179</v>
      </c>
      <c r="H399" s="6" t="s">
        <v>1312</v>
      </c>
      <c r="I399" s="8" t="str">
        <f>'Entity KPIs'!K160</f>
        <v>Elevated (2 single-source suppliers, 4 materials at risk)</v>
      </c>
      <c r="J399" s="13" t="s">
        <v>996</v>
      </c>
    </row>
    <row r="400" spans="1:10">
      <c r="A400" s="6" t="s">
        <v>21</v>
      </c>
      <c r="B400" s="6" t="s">
        <v>1299</v>
      </c>
      <c r="C400" s="6" t="s">
        <v>1300</v>
      </c>
      <c r="D400" s="6" t="s">
        <v>1004</v>
      </c>
      <c r="E400" s="6" t="s">
        <v>749</v>
      </c>
      <c r="F400" s="6" t="s">
        <v>753</v>
      </c>
      <c r="G400" s="6" t="s">
        <v>179</v>
      </c>
      <c r="H400" s="6" t="s">
        <v>1007</v>
      </c>
      <c r="I400" s="7">
        <f>'Entity KPIs'!K101</f>
        <v>0.0</v>
      </c>
      <c r="J400" s="13" t="s">
        <v>996</v>
      </c>
    </row>
    <row r="401" spans="1:10">
      <c r="A401" s="6" t="s">
        <v>21</v>
      </c>
      <c r="B401" s="6" t="s">
        <v>1299</v>
      </c>
      <c r="C401" s="6" t="s">
        <v>1300</v>
      </c>
      <c r="D401" s="6" t="s">
        <v>1004</v>
      </c>
      <c r="E401" s="6" t="s">
        <v>1313</v>
      </c>
      <c r="F401" s="6" t="s">
        <v>598</v>
      </c>
      <c r="G401" s="6" t="s">
        <v>179</v>
      </c>
      <c r="H401" s="6" t="s">
        <v>1314</v>
      </c>
      <c r="I401" s="7">
        <f>'Entity KPIs'!K50</f>
        <v>27.21</v>
      </c>
      <c r="J401" s="14" t="s">
        <v>1001</v>
      </c>
    </row>
    <row r="402" spans="1:10">
      <c r="A402" s="6" t="s">
        <v>21</v>
      </c>
      <c r="B402" s="6" t="s">
        <v>1299</v>
      </c>
      <c r="C402" s="6" t="s">
        <v>1300</v>
      </c>
      <c r="D402" s="6" t="s">
        <v>1004</v>
      </c>
      <c r="E402" s="6" t="s">
        <v>1315</v>
      </c>
      <c r="F402" s="6" t="s">
        <v>841</v>
      </c>
      <c r="G402" s="6" t="s">
        <v>179</v>
      </c>
      <c r="H402" s="6" t="s">
        <v>995</v>
      </c>
      <c r="I402" s="7">
        <f>'Entity KPIs'!K133</f>
        <v>1.0</v>
      </c>
      <c r="J402" s="13" t="s">
        <v>996</v>
      </c>
    </row>
    <row r="403" spans="1:10">
      <c r="A403" s="6" t="s">
        <v>21</v>
      </c>
      <c r="B403" s="6" t="s">
        <v>1299</v>
      </c>
      <c r="C403" s="6" t="s">
        <v>1300</v>
      </c>
      <c r="D403" s="6" t="s">
        <v>1004</v>
      </c>
      <c r="E403" s="6" t="s">
        <v>564</v>
      </c>
      <c r="F403" s="6" t="s">
        <v>563</v>
      </c>
      <c r="G403" s="6" t="s">
        <v>179</v>
      </c>
      <c r="H403" s="6" t="s">
        <v>1316</v>
      </c>
      <c r="I403" s="7">
        <f>'Entity KPIs'!K39</f>
        <v>610.05</v>
      </c>
      <c r="J403" s="14" t="s">
        <v>1001</v>
      </c>
    </row>
    <row r="404" spans="1:10">
      <c r="A404" s="6" t="s">
        <v>21</v>
      </c>
      <c r="B404" s="6" t="s">
        <v>1299</v>
      </c>
      <c r="C404" s="6" t="s">
        <v>1300</v>
      </c>
      <c r="D404" s="6" t="s">
        <v>1004</v>
      </c>
      <c r="E404" s="6" t="s">
        <v>567</v>
      </c>
      <c r="F404" s="6" t="s">
        <v>566</v>
      </c>
      <c r="G404" s="6" t="s">
        <v>179</v>
      </c>
      <c r="H404" s="6" t="s">
        <v>1317</v>
      </c>
      <c r="I404" s="7">
        <f>'Entity KPIs'!K40</f>
        <v>6972.32</v>
      </c>
      <c r="J404" s="14" t="s">
        <v>1001</v>
      </c>
    </row>
    <row r="405" spans="1:10">
      <c r="A405" s="6" t="s">
        <v>21</v>
      </c>
      <c r="B405" s="6" t="s">
        <v>1299</v>
      </c>
      <c r="C405" s="6" t="s">
        <v>1300</v>
      </c>
      <c r="D405" s="6" t="s">
        <v>1004</v>
      </c>
      <c r="E405" s="6" t="s">
        <v>1023</v>
      </c>
      <c r="F405" s="6" t="s">
        <v>569</v>
      </c>
      <c r="G405" s="6" t="s">
        <v>179</v>
      </c>
      <c r="H405" s="6" t="s">
        <v>1318</v>
      </c>
      <c r="I405" s="7">
        <f>'Entity KPIs'!K41</f>
        <v>337.63</v>
      </c>
      <c r="J405" s="14" t="s">
        <v>1001</v>
      </c>
    </row>
    <row r="406" spans="1:10">
      <c r="A406" s="6" t="s">
        <v>21</v>
      </c>
      <c r="B406" s="6" t="s">
        <v>1299</v>
      </c>
      <c r="C406" s="6" t="s">
        <v>1300</v>
      </c>
      <c r="D406" s="6" t="s">
        <v>1004</v>
      </c>
      <c r="E406" s="6" t="s">
        <v>1319</v>
      </c>
      <c r="F406" s="6" t="s">
        <v>572</v>
      </c>
      <c r="G406" s="6" t="s">
        <v>179</v>
      </c>
      <c r="H406" s="6" t="s">
        <v>1320</v>
      </c>
      <c r="I406" s="7">
        <f>'Entity KPIs'!K42</f>
        <v>11.08</v>
      </c>
      <c r="J406" s="14" t="s">
        <v>1001</v>
      </c>
    </row>
    <row r="407" spans="1:10">
      <c r="A407" s="6" t="s">
        <v>21</v>
      </c>
      <c r="B407" s="6" t="s">
        <v>1299</v>
      </c>
      <c r="C407" s="6" t="s">
        <v>1300</v>
      </c>
      <c r="D407" s="6" t="s">
        <v>1004</v>
      </c>
      <c r="E407" s="6" t="s">
        <v>1048</v>
      </c>
      <c r="F407" s="6" t="s">
        <v>545</v>
      </c>
      <c r="G407" s="6" t="s">
        <v>179</v>
      </c>
      <c r="H407" s="6" t="s">
        <v>1321</v>
      </c>
      <c r="I407" s="7">
        <f>'Entity KPIs'!K33</f>
        <v>79.8</v>
      </c>
      <c r="J407" s="14" t="s">
        <v>1001</v>
      </c>
    </row>
    <row r="408" spans="1:10">
      <c r="A408" s="6" t="s">
        <v>21</v>
      </c>
      <c r="B408" s="6" t="s">
        <v>1299</v>
      </c>
      <c r="C408" s="6" t="s">
        <v>1300</v>
      </c>
      <c r="D408" s="6" t="s">
        <v>1004</v>
      </c>
      <c r="E408" s="6" t="s">
        <v>1322</v>
      </c>
      <c r="F408" s="6" t="s">
        <v>676</v>
      </c>
      <c r="G408" s="6" t="s">
        <v>179</v>
      </c>
      <c r="H408" s="6" t="s">
        <v>1323</v>
      </c>
      <c r="I408" s="7">
        <f>'Entity KPIs'!K74</f>
        <v>53.33</v>
      </c>
      <c r="J408" s="14" t="s">
        <v>1001</v>
      </c>
    </row>
    <row r="409" spans="1:10">
      <c r="A409" s="6" t="s">
        <v>21</v>
      </c>
      <c r="B409" s="6" t="s">
        <v>1299</v>
      </c>
      <c r="C409" s="6" t="s">
        <v>1300</v>
      </c>
      <c r="D409" s="6" t="s">
        <v>1004</v>
      </c>
      <c r="E409" s="6" t="s">
        <v>603</v>
      </c>
      <c r="F409" s="6" t="s">
        <v>602</v>
      </c>
      <c r="G409" s="6" t="s">
        <v>179</v>
      </c>
      <c r="H409" s="6" t="s">
        <v>1088</v>
      </c>
      <c r="I409" s="7">
        <f>'Entity KPIs'!K51</f>
        <v>52.0</v>
      </c>
      <c r="J409" s="13" t="s">
        <v>996</v>
      </c>
    </row>
    <row r="410" spans="1:10">
      <c r="A410" s="6" t="s">
        <v>21</v>
      </c>
      <c r="B410" s="6" t="s">
        <v>1324</v>
      </c>
      <c r="C410" s="6" t="s">
        <v>1325</v>
      </c>
      <c r="D410" s="6" t="s">
        <v>994</v>
      </c>
      <c r="E410" s="6" t="s">
        <v>1190</v>
      </c>
      <c r="F410" s="6" t="s">
        <v>453</v>
      </c>
      <c r="G410" s="6" t="s">
        <v>179</v>
      </c>
      <c r="H410" s="6" t="s">
        <v>1191</v>
      </c>
      <c r="I410" s="7">
        <f>'Entity KPIs'!K2</f>
        <v>91.27</v>
      </c>
      <c r="J410" s="14" t="s">
        <v>1001</v>
      </c>
    </row>
    <row r="411" spans="1:10">
      <c r="A411" s="6" t="s">
        <v>21</v>
      </c>
      <c r="B411" s="6" t="s">
        <v>1324</v>
      </c>
      <c r="C411" s="6" t="s">
        <v>1325</v>
      </c>
      <c r="D411" s="6" t="s">
        <v>994</v>
      </c>
      <c r="E411" s="6" t="s">
        <v>458</v>
      </c>
      <c r="F411" s="6" t="s">
        <v>457</v>
      </c>
      <c r="G411" s="6" t="s">
        <v>179</v>
      </c>
      <c r="H411" s="6" t="s">
        <v>1326</v>
      </c>
      <c r="I411" s="7">
        <f>'Entity KPIs'!K3</f>
        <v>79.8</v>
      </c>
      <c r="J411" s="14" t="s">
        <v>1001</v>
      </c>
    </row>
    <row r="412" spans="1:10">
      <c r="A412" s="6" t="s">
        <v>21</v>
      </c>
      <c r="B412" s="6" t="s">
        <v>1324</v>
      </c>
      <c r="C412" s="6" t="s">
        <v>1325</v>
      </c>
      <c r="D412" s="6" t="s">
        <v>994</v>
      </c>
      <c r="E412" s="6" t="s">
        <v>461</v>
      </c>
      <c r="F412" s="6" t="s">
        <v>460</v>
      </c>
      <c r="G412" s="6" t="s">
        <v>179</v>
      </c>
      <c r="H412" s="6" t="s">
        <v>1327</v>
      </c>
      <c r="I412" s="7">
        <f>'Entity KPIs'!K4</f>
        <v>91.86</v>
      </c>
      <c r="J412" s="14" t="s">
        <v>1001</v>
      </c>
    </row>
    <row r="413" spans="1:10">
      <c r="A413" s="6" t="s">
        <v>21</v>
      </c>
      <c r="B413" s="6" t="s">
        <v>1324</v>
      </c>
      <c r="C413" s="6" t="s">
        <v>1325</v>
      </c>
      <c r="D413" s="6" t="s">
        <v>994</v>
      </c>
      <c r="E413" s="6" t="s">
        <v>1328</v>
      </c>
      <c r="F413" s="6" t="s">
        <v>463</v>
      </c>
      <c r="G413" s="6" t="s">
        <v>187</v>
      </c>
      <c r="H413" s="6" t="s">
        <v>1329</v>
      </c>
      <c r="I413" s="7">
        <f>'Plant KPIs'!Q5</f>
        <v>70.31</v>
      </c>
      <c r="J413" s="14" t="s">
        <v>1001</v>
      </c>
    </row>
    <row r="414" spans="1:10">
      <c r="A414" s="6" t="s">
        <v>21</v>
      </c>
      <c r="B414" s="6" t="s">
        <v>1324</v>
      </c>
      <c r="C414" s="6" t="s">
        <v>1325</v>
      </c>
      <c r="D414" s="6" t="s">
        <v>994</v>
      </c>
      <c r="E414" s="6" t="s">
        <v>1330</v>
      </c>
      <c r="F414" s="6" t="s">
        <v>466</v>
      </c>
      <c r="G414" s="6" t="s">
        <v>179</v>
      </c>
      <c r="H414" s="6" t="s">
        <v>1331</v>
      </c>
      <c r="I414" s="7">
        <f>'Entity KPIs'!K6</f>
        <v>87.47</v>
      </c>
      <c r="J414" s="14" t="s">
        <v>1001</v>
      </c>
    </row>
    <row r="415" spans="1:10">
      <c r="A415" s="6" t="s">
        <v>21</v>
      </c>
      <c r="B415" s="6" t="s">
        <v>1324</v>
      </c>
      <c r="C415" s="6" t="s">
        <v>1325</v>
      </c>
      <c r="D415" s="6" t="s">
        <v>994</v>
      </c>
      <c r="E415" s="6" t="s">
        <v>470</v>
      </c>
      <c r="F415" s="6" t="s">
        <v>469</v>
      </c>
      <c r="G415" s="6" t="s">
        <v>179</v>
      </c>
      <c r="H415" s="6" t="s">
        <v>1332</v>
      </c>
      <c r="I415" s="7">
        <f>'Entity KPIs'!K7</f>
        <v>91.46</v>
      </c>
      <c r="J415" s="14" t="s">
        <v>1001</v>
      </c>
    </row>
    <row r="416" spans="1:10">
      <c r="A416" s="6" t="s">
        <v>21</v>
      </c>
      <c r="B416" s="6" t="s">
        <v>1324</v>
      </c>
      <c r="C416" s="6" t="s">
        <v>1325</v>
      </c>
      <c r="D416" s="6" t="s">
        <v>1031</v>
      </c>
      <c r="E416" s="6" t="s">
        <v>1333</v>
      </c>
      <c r="F416" s="6" t="s">
        <v>922</v>
      </c>
      <c r="G416" s="6" t="s">
        <v>179</v>
      </c>
      <c r="H416" s="6" t="s">
        <v>1334</v>
      </c>
      <c r="I416" s="8" t="str">
        <f>'Entity KPIs'!K158</f>
        <v>Stable (0.3 pts vs last month)</v>
      </c>
      <c r="J416" s="13" t="s">
        <v>996</v>
      </c>
    </row>
    <row r="417" spans="1:10">
      <c r="A417" s="6" t="s">
        <v>21</v>
      </c>
      <c r="B417" s="6" t="s">
        <v>1324</v>
      </c>
      <c r="C417" s="6" t="s">
        <v>1325</v>
      </c>
      <c r="D417" s="6" t="s">
        <v>1031</v>
      </c>
      <c r="E417" s="6" t="s">
        <v>1335</v>
      </c>
      <c r="F417" s="6" t="s">
        <v>925</v>
      </c>
      <c r="G417" s="6" t="s">
        <v>179</v>
      </c>
      <c r="H417" s="6" t="s">
        <v>1334</v>
      </c>
      <c r="I417" s="8" t="str">
        <f>'Entity KPIs'!K159</f>
        <v>Stable (0.5 pts vs last month)</v>
      </c>
      <c r="J417" s="13" t="s">
        <v>996</v>
      </c>
    </row>
    <row r="418" spans="1:10">
      <c r="A418" s="6" t="s">
        <v>21</v>
      </c>
      <c r="B418" s="6" t="s">
        <v>1324</v>
      </c>
      <c r="C418" s="6" t="s">
        <v>1325</v>
      </c>
      <c r="D418" s="6" t="s">
        <v>1031</v>
      </c>
      <c r="E418" s="6" t="s">
        <v>509</v>
      </c>
      <c r="F418" s="6" t="s">
        <v>508</v>
      </c>
      <c r="G418" s="6" t="s">
        <v>179</v>
      </c>
      <c r="H418" s="6" t="s">
        <v>1309</v>
      </c>
      <c r="I418" s="7">
        <f>'Entity KPIs'!K19</f>
        <v>30930.0</v>
      </c>
      <c r="J418" s="14" t="s">
        <v>1001</v>
      </c>
    </row>
    <row r="419" spans="1:10">
      <c r="A419" s="6" t="s">
        <v>21</v>
      </c>
      <c r="B419" s="6" t="s">
        <v>1324</v>
      </c>
      <c r="C419" s="6" t="s">
        <v>1325</v>
      </c>
      <c r="D419" s="6" t="s">
        <v>1004</v>
      </c>
      <c r="E419" s="6" t="s">
        <v>489</v>
      </c>
      <c r="F419" s="6" t="s">
        <v>488</v>
      </c>
      <c r="G419" s="6" t="s">
        <v>179</v>
      </c>
      <c r="H419" s="6" t="s">
        <v>1336</v>
      </c>
      <c r="I419" s="7">
        <f>'Entity KPIs'!K13</f>
        <v>2853.05</v>
      </c>
      <c r="J419" s="14" t="s">
        <v>1001</v>
      </c>
    </row>
    <row r="420" spans="1:10">
      <c r="A420" s="6" t="s">
        <v>21</v>
      </c>
      <c r="B420" s="6" t="s">
        <v>1324</v>
      </c>
      <c r="C420" s="6" t="s">
        <v>1325</v>
      </c>
      <c r="D420" s="6" t="s">
        <v>1004</v>
      </c>
      <c r="E420" s="6" t="s">
        <v>493</v>
      </c>
      <c r="F420" s="6" t="s">
        <v>492</v>
      </c>
      <c r="G420" s="6" t="s">
        <v>179</v>
      </c>
      <c r="H420" s="6" t="s">
        <v>1337</v>
      </c>
      <c r="I420" s="7">
        <f>'Entity KPIs'!K14</f>
        <v>900069.4</v>
      </c>
      <c r="J420" s="14" t="s">
        <v>1001</v>
      </c>
    </row>
    <row r="421" spans="1:10">
      <c r="A421" s="6" t="s">
        <v>21</v>
      </c>
      <c r="B421" s="6" t="s">
        <v>1324</v>
      </c>
      <c r="C421" s="6" t="s">
        <v>1325</v>
      </c>
      <c r="D421" s="6" t="s">
        <v>1004</v>
      </c>
      <c r="E421" s="6" t="s">
        <v>496</v>
      </c>
      <c r="F421" s="6" t="s">
        <v>495</v>
      </c>
      <c r="G421" s="6" t="s">
        <v>179</v>
      </c>
      <c r="H421" s="6" t="s">
        <v>1338</v>
      </c>
      <c r="I421" s="7">
        <f>'Entity KPIs'!K15</f>
        <v>218672.4</v>
      </c>
      <c r="J421" s="14" t="s">
        <v>1001</v>
      </c>
    </row>
    <row r="422" spans="1:10">
      <c r="A422" s="6" t="s">
        <v>21</v>
      </c>
      <c r="B422" s="6" t="s">
        <v>1324</v>
      </c>
      <c r="C422" s="6" t="s">
        <v>1325</v>
      </c>
      <c r="D422" s="6" t="s">
        <v>1004</v>
      </c>
      <c r="E422" s="6" t="s">
        <v>498</v>
      </c>
      <c r="F422" s="6" t="s">
        <v>497</v>
      </c>
      <c r="G422" s="6" t="s">
        <v>179</v>
      </c>
      <c r="H422" s="6" t="s">
        <v>1339</v>
      </c>
      <c r="I422" s="7">
        <f>'Entity KPIs'!K16</f>
        <v>741310.0</v>
      </c>
      <c r="J422" s="14" t="s">
        <v>1001</v>
      </c>
    </row>
    <row r="423" spans="1:10">
      <c r="A423" s="6" t="s">
        <v>21</v>
      </c>
      <c r="B423" s="6" t="s">
        <v>1324</v>
      </c>
      <c r="C423" s="6" t="s">
        <v>1325</v>
      </c>
      <c r="D423" s="6" t="s">
        <v>1004</v>
      </c>
      <c r="E423" s="6" t="s">
        <v>502</v>
      </c>
      <c r="F423" s="6" t="s">
        <v>501</v>
      </c>
      <c r="G423" s="6" t="s">
        <v>179</v>
      </c>
      <c r="H423" s="6" t="s">
        <v>1340</v>
      </c>
      <c r="I423" s="7">
        <f>'Entity KPIs'!K17</f>
        <v>219505.0</v>
      </c>
      <c r="J423" s="14" t="s">
        <v>1001</v>
      </c>
    </row>
    <row r="424" spans="1:10">
      <c r="A424" s="6" t="s">
        <v>21</v>
      </c>
      <c r="B424" s="6" t="s">
        <v>1324</v>
      </c>
      <c r="C424" s="6" t="s">
        <v>1325</v>
      </c>
      <c r="D424" s="6" t="s">
        <v>1004</v>
      </c>
      <c r="E424" s="6" t="s">
        <v>505</v>
      </c>
      <c r="F424" s="6" t="s">
        <v>504</v>
      </c>
      <c r="G424" s="6" t="s">
        <v>179</v>
      </c>
      <c r="H424" s="6" t="s">
        <v>1341</v>
      </c>
      <c r="I424" s="7">
        <f>'Entity KPIs'!K18</f>
        <v>3.61</v>
      </c>
      <c r="J424" s="14" t="s">
        <v>1001</v>
      </c>
    </row>
    <row r="425" spans="1:10">
      <c r="A425" s="6" t="s">
        <v>21</v>
      </c>
      <c r="B425" s="6" t="s">
        <v>1342</v>
      </c>
      <c r="C425" s="6" t="s">
        <v>1343</v>
      </c>
      <c r="D425" s="6" t="s">
        <v>994</v>
      </c>
      <c r="E425" s="6" t="s">
        <v>473</v>
      </c>
      <c r="F425" s="6" t="s">
        <v>472</v>
      </c>
      <c r="G425" s="6" t="s">
        <v>179</v>
      </c>
      <c r="H425" s="6" t="s">
        <v>1344</v>
      </c>
      <c r="I425" s="7">
        <f>'Entity KPIs'!K8</f>
        <v>165.35</v>
      </c>
      <c r="J425" s="14" t="s">
        <v>1001</v>
      </c>
    </row>
    <row r="426" spans="1:10">
      <c r="A426" s="6" t="s">
        <v>21</v>
      </c>
      <c r="B426" s="6" t="s">
        <v>1342</v>
      </c>
      <c r="C426" s="6" t="s">
        <v>1343</v>
      </c>
      <c r="D426" s="6" t="s">
        <v>994</v>
      </c>
      <c r="E426" s="6" t="s">
        <v>477</v>
      </c>
      <c r="F426" s="6" t="s">
        <v>476</v>
      </c>
      <c r="G426" s="6" t="s">
        <v>179</v>
      </c>
      <c r="H426" s="6" t="s">
        <v>1345</v>
      </c>
      <c r="I426" s="7">
        <f>'Entity KPIs'!K9</f>
        <v>8.24</v>
      </c>
      <c r="J426" s="14" t="s">
        <v>1001</v>
      </c>
    </row>
    <row r="427" spans="1:10">
      <c r="A427" s="6" t="s">
        <v>21</v>
      </c>
      <c r="B427" s="6" t="s">
        <v>1342</v>
      </c>
      <c r="C427" s="6" t="s">
        <v>1343</v>
      </c>
      <c r="D427" s="6" t="s">
        <v>994</v>
      </c>
      <c r="E427" s="6" t="s">
        <v>480</v>
      </c>
      <c r="F427" s="6" t="s">
        <v>479</v>
      </c>
      <c r="G427" s="6" t="s">
        <v>179</v>
      </c>
      <c r="H427" s="6" t="s">
        <v>1346</v>
      </c>
      <c r="I427" s="7">
        <f>'Entity KPIs'!K10</f>
        <v>120.7</v>
      </c>
      <c r="J427" s="14" t="s">
        <v>1001</v>
      </c>
    </row>
    <row r="428" spans="1:10">
      <c r="A428" s="6" t="s">
        <v>21</v>
      </c>
      <c r="B428" s="6" t="s">
        <v>1342</v>
      </c>
      <c r="C428" s="6" t="s">
        <v>1343</v>
      </c>
      <c r="D428" s="6" t="s">
        <v>994</v>
      </c>
      <c r="E428" s="6" t="s">
        <v>482</v>
      </c>
      <c r="F428" s="6" t="s">
        <v>481</v>
      </c>
      <c r="G428" s="6" t="s">
        <v>179</v>
      </c>
      <c r="H428" s="6" t="s">
        <v>1347</v>
      </c>
      <c r="I428" s="7">
        <f>'Entity KPIs'!K11</f>
        <v>21684.0</v>
      </c>
      <c r="J428" s="14" t="s">
        <v>1001</v>
      </c>
    </row>
    <row r="429" spans="1:10">
      <c r="A429" s="6" t="s">
        <v>21</v>
      </c>
      <c r="B429" s="6" t="s">
        <v>1342</v>
      </c>
      <c r="C429" s="6" t="s">
        <v>1343</v>
      </c>
      <c r="D429" s="6" t="s">
        <v>994</v>
      </c>
      <c r="E429" s="6" t="s">
        <v>1348</v>
      </c>
      <c r="F429" s="6" t="s">
        <v>485</v>
      </c>
      <c r="G429" s="6" t="s">
        <v>179</v>
      </c>
      <c r="H429" s="6" t="s">
        <v>1349</v>
      </c>
      <c r="I429" s="7">
        <f>'Entity KPIs'!K12</f>
        <v>93.43</v>
      </c>
      <c r="J429" s="13" t="s">
        <v>996</v>
      </c>
    </row>
    <row r="430" spans="1:10">
      <c r="A430" s="6" t="s">
        <v>21</v>
      </c>
      <c r="B430" s="6" t="s">
        <v>1342</v>
      </c>
      <c r="C430" s="6" t="s">
        <v>1343</v>
      </c>
      <c r="D430" s="6" t="s">
        <v>994</v>
      </c>
      <c r="E430" s="6" t="s">
        <v>511</v>
      </c>
      <c r="F430" s="6" t="s">
        <v>510</v>
      </c>
      <c r="G430" s="6" t="s">
        <v>179</v>
      </c>
      <c r="H430" s="6" t="s">
        <v>1007</v>
      </c>
      <c r="I430" s="7">
        <f>'Entity KPIs'!K20</f>
        <v>5.0</v>
      </c>
      <c r="J430" s="14" t="s">
        <v>1001</v>
      </c>
    </row>
    <row r="431" spans="1:10">
      <c r="A431" s="6" t="s">
        <v>21</v>
      </c>
      <c r="B431" s="6" t="s">
        <v>1350</v>
      </c>
      <c r="C431" s="6" t="s">
        <v>1351</v>
      </c>
      <c r="D431" s="6" t="s">
        <v>994</v>
      </c>
      <c r="E431" s="6" t="s">
        <v>697</v>
      </c>
      <c r="F431" s="6" t="s">
        <v>696</v>
      </c>
      <c r="G431" s="6" t="s">
        <v>179</v>
      </c>
      <c r="H431" s="6" t="s">
        <v>1326</v>
      </c>
      <c r="I431" s="7">
        <f>'Entity KPIs'!K81</f>
        <v>90.39</v>
      </c>
      <c r="J431" s="14" t="s">
        <v>1001</v>
      </c>
    </row>
    <row r="432" spans="1:10">
      <c r="A432" s="6" t="s">
        <v>21</v>
      </c>
      <c r="B432" s="6" t="s">
        <v>1350</v>
      </c>
      <c r="C432" s="6" t="s">
        <v>1351</v>
      </c>
      <c r="D432" s="6" t="s">
        <v>994</v>
      </c>
      <c r="E432" s="6" t="s">
        <v>700</v>
      </c>
      <c r="F432" s="6" t="s">
        <v>699</v>
      </c>
      <c r="G432" s="6" t="s">
        <v>179</v>
      </c>
      <c r="H432" s="6" t="s">
        <v>1352</v>
      </c>
      <c r="I432" s="7">
        <f>'Entity KPIs'!K82</f>
        <v>97.01</v>
      </c>
      <c r="J432" s="14" t="s">
        <v>1001</v>
      </c>
    </row>
    <row r="433" spans="1:10">
      <c r="A433" s="6" t="s">
        <v>21</v>
      </c>
      <c r="B433" s="6" t="s">
        <v>1350</v>
      </c>
      <c r="C433" s="6" t="s">
        <v>1351</v>
      </c>
      <c r="D433" s="6" t="s">
        <v>994</v>
      </c>
      <c r="E433" s="6" t="s">
        <v>1353</v>
      </c>
      <c r="F433" s="6" t="s">
        <v>702</v>
      </c>
      <c r="G433" s="6" t="s">
        <v>179</v>
      </c>
      <c r="H433" s="6" t="s">
        <v>1354</v>
      </c>
      <c r="I433" s="7">
        <f>'Entity KPIs'!K83</f>
        <v>0.97</v>
      </c>
      <c r="J433" s="14" t="s">
        <v>1001</v>
      </c>
    </row>
    <row r="434" spans="1:10">
      <c r="A434" s="6" t="s">
        <v>21</v>
      </c>
      <c r="B434" s="6" t="s">
        <v>1350</v>
      </c>
      <c r="C434" s="6" t="s">
        <v>1351</v>
      </c>
      <c r="D434" s="6" t="s">
        <v>994</v>
      </c>
      <c r="E434" s="6" t="s">
        <v>1355</v>
      </c>
      <c r="F434" s="6" t="s">
        <v>705</v>
      </c>
      <c r="G434" s="6" t="s">
        <v>179</v>
      </c>
      <c r="H434" s="6" t="s">
        <v>1356</v>
      </c>
      <c r="I434" s="7">
        <f>'Entity KPIs'!K84</f>
        <v>6.91</v>
      </c>
      <c r="J434" s="14" t="s">
        <v>1001</v>
      </c>
    </row>
    <row r="435" spans="1:10">
      <c r="A435" s="6" t="s">
        <v>21</v>
      </c>
      <c r="B435" s="6" t="s">
        <v>1350</v>
      </c>
      <c r="C435" s="6" t="s">
        <v>1351</v>
      </c>
      <c r="D435" s="6" t="s">
        <v>994</v>
      </c>
      <c r="E435" s="6" t="s">
        <v>709</v>
      </c>
      <c r="F435" s="6" t="s">
        <v>708</v>
      </c>
      <c r="G435" s="6" t="s">
        <v>179</v>
      </c>
      <c r="H435" s="6" t="s">
        <v>1357</v>
      </c>
      <c r="I435" s="7">
        <f>'Entity KPIs'!K85</f>
        <v>2.0</v>
      </c>
      <c r="J435" s="13" t="s">
        <v>996</v>
      </c>
    </row>
    <row r="436" spans="1:10">
      <c r="A436" s="6" t="s">
        <v>21</v>
      </c>
      <c r="B436" s="6" t="s">
        <v>1350</v>
      </c>
      <c r="C436" s="6" t="s">
        <v>1351</v>
      </c>
      <c r="D436" s="6" t="s">
        <v>994</v>
      </c>
      <c r="E436" s="6" t="s">
        <v>685</v>
      </c>
      <c r="F436" s="6" t="s">
        <v>684</v>
      </c>
      <c r="G436" s="6" t="s">
        <v>179</v>
      </c>
      <c r="H436" s="6" t="s">
        <v>1358</v>
      </c>
      <c r="I436" s="7">
        <f>'Entity KPIs'!K77</f>
        <v>2.5</v>
      </c>
      <c r="J436" s="13" t="s">
        <v>996</v>
      </c>
    </row>
    <row r="437" spans="1:10">
      <c r="A437" s="6" t="s">
        <v>21</v>
      </c>
      <c r="B437" s="6" t="s">
        <v>1350</v>
      </c>
      <c r="C437" s="6" t="s">
        <v>1351</v>
      </c>
      <c r="D437" s="6" t="s">
        <v>1031</v>
      </c>
      <c r="E437" s="6" t="s">
        <v>1308</v>
      </c>
      <c r="F437" s="6" t="s">
        <v>874</v>
      </c>
      <c r="G437" s="6" t="s">
        <v>179</v>
      </c>
      <c r="H437" s="6" t="s">
        <v>1033</v>
      </c>
      <c r="I437" s="7">
        <f>'Entity KPIs'!K144</f>
        <v>4.0</v>
      </c>
      <c r="J437" s="13" t="s">
        <v>996</v>
      </c>
    </row>
    <row r="438" spans="1:10">
      <c r="A438" s="6" t="s">
        <v>21</v>
      </c>
      <c r="B438" s="6" t="s">
        <v>1350</v>
      </c>
      <c r="C438" s="6" t="s">
        <v>1351</v>
      </c>
      <c r="D438" s="6" t="s">
        <v>1031</v>
      </c>
      <c r="E438" s="6" t="s">
        <v>515</v>
      </c>
      <c r="F438" s="6" t="s">
        <v>514</v>
      </c>
      <c r="G438" s="6" t="s">
        <v>179</v>
      </c>
      <c r="H438" s="6" t="s">
        <v>1311</v>
      </c>
      <c r="I438" s="7">
        <f>'Entity KPIs'!K21</f>
        <v>4.0</v>
      </c>
      <c r="J438" s="14" t="s">
        <v>1001</v>
      </c>
    </row>
    <row r="439" spans="1:10">
      <c r="A439" s="6" t="s">
        <v>21</v>
      </c>
      <c r="B439" s="6" t="s">
        <v>1350</v>
      </c>
      <c r="C439" s="6" t="s">
        <v>1351</v>
      </c>
      <c r="D439" s="6" t="s">
        <v>1031</v>
      </c>
      <c r="E439" s="6" t="s">
        <v>929</v>
      </c>
      <c r="F439" s="6" t="s">
        <v>928</v>
      </c>
      <c r="G439" s="6" t="s">
        <v>179</v>
      </c>
      <c r="H439" s="6" t="s">
        <v>1312</v>
      </c>
      <c r="I439" s="8" t="str">
        <f>'Entity KPIs'!K160</f>
        <v>Elevated (2 single-source suppliers, 4 materials at risk)</v>
      </c>
      <c r="J439" s="13" t="s">
        <v>996</v>
      </c>
    </row>
    <row r="440" spans="1:10">
      <c r="A440" s="6" t="s">
        <v>21</v>
      </c>
      <c r="B440" s="6" t="s">
        <v>1350</v>
      </c>
      <c r="C440" s="6" t="s">
        <v>1351</v>
      </c>
      <c r="D440" s="6" t="s">
        <v>1004</v>
      </c>
      <c r="E440" s="6" t="s">
        <v>1125</v>
      </c>
      <c r="F440" s="6" t="s">
        <v>717</v>
      </c>
      <c r="G440" s="6" t="s">
        <v>179</v>
      </c>
      <c r="H440" s="6" t="s">
        <v>1359</v>
      </c>
      <c r="I440" s="7">
        <f>'Entity KPIs'!K88</f>
        <v>2.0</v>
      </c>
      <c r="J440" s="14" t="s">
        <v>1001</v>
      </c>
    </row>
    <row r="441" spans="1:10">
      <c r="A441" s="6" t="s">
        <v>21</v>
      </c>
      <c r="B441" s="6" t="s">
        <v>1350</v>
      </c>
      <c r="C441" s="6" t="s">
        <v>1351</v>
      </c>
      <c r="D441" s="6" t="s">
        <v>1004</v>
      </c>
      <c r="E441" s="6" t="s">
        <v>721</v>
      </c>
      <c r="F441" s="6" t="s">
        <v>720</v>
      </c>
      <c r="G441" s="6" t="s">
        <v>179</v>
      </c>
      <c r="H441" s="6" t="s">
        <v>1360</v>
      </c>
      <c r="I441" s="7">
        <f>'Entity KPIs'!K89</f>
        <v>95.83</v>
      </c>
      <c r="J441" s="14" t="s">
        <v>1001</v>
      </c>
    </row>
    <row r="442" spans="1:10">
      <c r="A442" s="6" t="s">
        <v>21</v>
      </c>
      <c r="B442" s="6" t="s">
        <v>1350</v>
      </c>
      <c r="C442" s="6" t="s">
        <v>1351</v>
      </c>
      <c r="D442" s="6" t="s">
        <v>1004</v>
      </c>
      <c r="E442" s="6" t="s">
        <v>724</v>
      </c>
      <c r="F442" s="6" t="s">
        <v>723</v>
      </c>
      <c r="G442" s="6" t="s">
        <v>179</v>
      </c>
      <c r="H442" s="6" t="s">
        <v>1007</v>
      </c>
      <c r="I442" s="7">
        <f>'Entity KPIs'!K90</f>
        <v>0.0</v>
      </c>
      <c r="J442" s="13" t="s">
        <v>996</v>
      </c>
    </row>
    <row r="443" spans="1:10">
      <c r="A443" s="6" t="s">
        <v>21</v>
      </c>
      <c r="B443" s="6" t="s">
        <v>1350</v>
      </c>
      <c r="C443" s="6" t="s">
        <v>1351</v>
      </c>
      <c r="D443" s="6" t="s">
        <v>1004</v>
      </c>
      <c r="E443" s="6" t="s">
        <v>1131</v>
      </c>
      <c r="F443" s="6" t="s">
        <v>768</v>
      </c>
      <c r="G443" s="6" t="s">
        <v>179</v>
      </c>
      <c r="H443" s="6" t="s">
        <v>1007</v>
      </c>
      <c r="I443" s="7">
        <f>'Entity KPIs'!K107</f>
        <v>0.0</v>
      </c>
      <c r="J443" s="13" t="s">
        <v>996</v>
      </c>
    </row>
    <row r="444" spans="1:10">
      <c r="A444" s="6" t="s">
        <v>21</v>
      </c>
      <c r="B444" s="6" t="s">
        <v>1361</v>
      </c>
      <c r="C444" s="6" t="s">
        <v>1362</v>
      </c>
      <c r="D444" s="6" t="s">
        <v>994</v>
      </c>
      <c r="E444" s="6" t="s">
        <v>592</v>
      </c>
      <c r="F444" s="6" t="s">
        <v>591</v>
      </c>
      <c r="G444" s="6" t="s">
        <v>179</v>
      </c>
      <c r="H444" s="6" t="s">
        <v>1205</v>
      </c>
      <c r="I444" s="7">
        <f>'Entity KPIs'!K48</f>
        <v>38.6</v>
      </c>
      <c r="J444" s="14" t="s">
        <v>1001</v>
      </c>
    </row>
    <row r="445" spans="1:10">
      <c r="A445" s="6" t="s">
        <v>21</v>
      </c>
      <c r="B445" s="6" t="s">
        <v>1361</v>
      </c>
      <c r="C445" s="6" t="s">
        <v>1362</v>
      </c>
      <c r="D445" s="6" t="s">
        <v>994</v>
      </c>
      <c r="E445" s="6" t="s">
        <v>1363</v>
      </c>
      <c r="F445" s="6" t="s">
        <v>598</v>
      </c>
      <c r="G445" s="6" t="s">
        <v>179</v>
      </c>
      <c r="H445" s="6" t="s">
        <v>1061</v>
      </c>
      <c r="I445" s="7">
        <f>'Entity KPIs'!K50</f>
        <v>27.21</v>
      </c>
      <c r="J445" s="14" t="s">
        <v>1001</v>
      </c>
    </row>
    <row r="446" spans="1:10">
      <c r="A446" s="6" t="s">
        <v>21</v>
      </c>
      <c r="B446" s="6" t="s">
        <v>1361</v>
      </c>
      <c r="C446" s="6" t="s">
        <v>1362</v>
      </c>
      <c r="D446" s="6" t="s">
        <v>994</v>
      </c>
      <c r="E446" s="6" t="s">
        <v>1190</v>
      </c>
      <c r="F446" s="6" t="s">
        <v>453</v>
      </c>
      <c r="G446" s="6" t="s">
        <v>179</v>
      </c>
      <c r="H446" s="6" t="s">
        <v>1191</v>
      </c>
      <c r="I446" s="7">
        <f>'Entity KPIs'!K2</f>
        <v>91.27</v>
      </c>
      <c r="J446" s="14" t="s">
        <v>1001</v>
      </c>
    </row>
    <row r="447" spans="1:10">
      <c r="A447" s="6" t="s">
        <v>21</v>
      </c>
      <c r="B447" s="6" t="s">
        <v>1361</v>
      </c>
      <c r="C447" s="6" t="s">
        <v>1362</v>
      </c>
      <c r="D447" s="6" t="s">
        <v>994</v>
      </c>
      <c r="E447" s="6" t="s">
        <v>1199</v>
      </c>
      <c r="F447" s="6" t="s">
        <v>508</v>
      </c>
      <c r="G447" s="6" t="s">
        <v>187</v>
      </c>
      <c r="H447" s="6" t="s">
        <v>1200</v>
      </c>
      <c r="I447" s="7">
        <f>'Plant KPIs'!Q19</f>
        <v>24322.0</v>
      </c>
      <c r="J447" s="14" t="s">
        <v>1001</v>
      </c>
    </row>
    <row r="448" spans="1:10">
      <c r="A448" s="6" t="s">
        <v>21</v>
      </c>
      <c r="B448" s="6" t="s">
        <v>1361</v>
      </c>
      <c r="C448" s="6" t="s">
        <v>1362</v>
      </c>
      <c r="D448" s="6" t="s">
        <v>994</v>
      </c>
      <c r="E448" s="6" t="s">
        <v>518</v>
      </c>
      <c r="F448" s="6" t="s">
        <v>517</v>
      </c>
      <c r="G448" s="6" t="s">
        <v>179</v>
      </c>
      <c r="H448" s="6" t="s">
        <v>1364</v>
      </c>
      <c r="I448" s="7">
        <f>'Entity KPIs'!K22</f>
        <v>10.91</v>
      </c>
      <c r="J448" s="14" t="s">
        <v>1001</v>
      </c>
    </row>
    <row r="449" spans="1:10">
      <c r="A449" s="6" t="s">
        <v>21</v>
      </c>
      <c r="B449" s="6" t="s">
        <v>1361</v>
      </c>
      <c r="C449" s="6" t="s">
        <v>1362</v>
      </c>
      <c r="D449" s="6" t="s">
        <v>994</v>
      </c>
      <c r="E449" s="6" t="s">
        <v>1207</v>
      </c>
      <c r="F449" s="6" t="s">
        <v>602</v>
      </c>
      <c r="G449" s="6" t="s">
        <v>179</v>
      </c>
      <c r="H449" s="6" t="s">
        <v>1208</v>
      </c>
      <c r="I449" s="7">
        <f>'Entity KPIs'!K51</f>
        <v>52.0</v>
      </c>
      <c r="J449" s="13" t="s">
        <v>996</v>
      </c>
    </row>
    <row r="450" spans="1:10">
      <c r="A450" s="6" t="s">
        <v>21</v>
      </c>
      <c r="B450" s="6" t="s">
        <v>1361</v>
      </c>
      <c r="C450" s="6" t="s">
        <v>1362</v>
      </c>
      <c r="D450" s="6" t="s">
        <v>1004</v>
      </c>
      <c r="E450" s="6" t="s">
        <v>586</v>
      </c>
      <c r="F450" s="6" t="s">
        <v>585</v>
      </c>
      <c r="G450" s="6" t="s">
        <v>179</v>
      </c>
      <c r="H450" s="6" t="s">
        <v>1365</v>
      </c>
      <c r="I450" s="7">
        <f>'Entity KPIs'!K46</f>
        <v>967.08</v>
      </c>
      <c r="J450" s="14" t="s">
        <v>1001</v>
      </c>
    </row>
    <row r="451" spans="1:10">
      <c r="A451" s="6" t="s">
        <v>21</v>
      </c>
      <c r="B451" s="6" t="s">
        <v>1361</v>
      </c>
      <c r="C451" s="6" t="s">
        <v>1362</v>
      </c>
      <c r="D451" s="6" t="s">
        <v>1004</v>
      </c>
      <c r="E451" s="6" t="s">
        <v>589</v>
      </c>
      <c r="F451" s="6" t="s">
        <v>588</v>
      </c>
      <c r="G451" s="6" t="s">
        <v>179</v>
      </c>
      <c r="H451" s="6" t="s">
        <v>1366</v>
      </c>
      <c r="I451" s="7">
        <f>'Entity KPIs'!K47</f>
        <v>4.2</v>
      </c>
      <c r="J451" s="13" t="s">
        <v>996</v>
      </c>
    </row>
    <row r="452" spans="1:10">
      <c r="A452" s="6" t="s">
        <v>21</v>
      </c>
      <c r="B452" s="6" t="s">
        <v>1361</v>
      </c>
      <c r="C452" s="6" t="s">
        <v>1362</v>
      </c>
      <c r="D452" s="6" t="s">
        <v>1004</v>
      </c>
      <c r="E452" s="6" t="s">
        <v>596</v>
      </c>
      <c r="F452" s="6" t="s">
        <v>595</v>
      </c>
      <c r="G452" s="6" t="s">
        <v>179</v>
      </c>
      <c r="H452" s="6" t="s">
        <v>1367</v>
      </c>
      <c r="I452" s="7">
        <f>'Entity KPIs'!K49</f>
        <v>52.3</v>
      </c>
      <c r="J452" s="14" t="s">
        <v>1001</v>
      </c>
    </row>
    <row r="453" spans="1:10">
      <c r="A453" s="6" t="s">
        <v>21</v>
      </c>
      <c r="B453" s="6" t="s">
        <v>1361</v>
      </c>
      <c r="C453" s="6" t="s">
        <v>1362</v>
      </c>
      <c r="D453" s="6" t="s">
        <v>1004</v>
      </c>
      <c r="E453" s="6" t="s">
        <v>1368</v>
      </c>
      <c r="F453" s="6" t="s">
        <v>620</v>
      </c>
      <c r="G453" s="6" t="s">
        <v>179</v>
      </c>
      <c r="H453" s="6" t="s">
        <v>1369</v>
      </c>
      <c r="I453" s="7">
        <f>'Entity KPIs'!K57</f>
        <v>15.37</v>
      </c>
      <c r="J453" s="14" t="s">
        <v>1001</v>
      </c>
    </row>
    <row r="454" spans="1:10">
      <c r="A454" s="6" t="s">
        <v>21</v>
      </c>
      <c r="B454" s="6" t="s">
        <v>1361</v>
      </c>
      <c r="C454" s="6" t="s">
        <v>1362</v>
      </c>
      <c r="D454" s="6" t="s">
        <v>1004</v>
      </c>
      <c r="E454" s="6" t="s">
        <v>1370</v>
      </c>
      <c r="F454" s="6" t="s">
        <v>624</v>
      </c>
      <c r="G454" s="6" t="s">
        <v>179</v>
      </c>
      <c r="H454" s="6" t="s">
        <v>1371</v>
      </c>
      <c r="I454" s="7">
        <f>'Entity KPIs'!K58</f>
        <v>18.93</v>
      </c>
      <c r="J454" s="14" t="s">
        <v>1001</v>
      </c>
    </row>
    <row r="455" spans="1:10">
      <c r="A455" s="6" t="s">
        <v>21</v>
      </c>
      <c r="B455" s="6" t="s">
        <v>1361</v>
      </c>
      <c r="C455" s="6" t="s">
        <v>1362</v>
      </c>
      <c r="D455" s="6" t="s">
        <v>1004</v>
      </c>
      <c r="E455" s="6" t="s">
        <v>1372</v>
      </c>
      <c r="F455" s="6" t="s">
        <v>627</v>
      </c>
      <c r="G455" s="6" t="s">
        <v>179</v>
      </c>
      <c r="H455" s="6" t="s">
        <v>1373</v>
      </c>
      <c r="I455" s="7">
        <f>'Entity KPIs'!K59</f>
        <v>486.34</v>
      </c>
      <c r="J455" s="14" t="s">
        <v>1001</v>
      </c>
    </row>
    <row r="456" spans="1:10">
      <c r="A456" s="6" t="s">
        <v>21</v>
      </c>
      <c r="B456" s="6" t="s">
        <v>1361</v>
      </c>
      <c r="C456" s="6" t="s">
        <v>1362</v>
      </c>
      <c r="D456" s="6" t="s">
        <v>1004</v>
      </c>
      <c r="E456" s="6" t="s">
        <v>862</v>
      </c>
      <c r="F456" s="6" t="s">
        <v>861</v>
      </c>
      <c r="G456" s="6" t="s">
        <v>179</v>
      </c>
      <c r="H456" s="6" t="s">
        <v>1374</v>
      </c>
      <c r="I456" s="7">
        <f>'Entity KPIs'!K140</f>
        <v>1.94</v>
      </c>
      <c r="J456" s="13" t="s">
        <v>996</v>
      </c>
    </row>
    <row r="457" spans="1:10">
      <c r="A457" s="6" t="s">
        <v>21</v>
      </c>
      <c r="B457" s="6" t="s">
        <v>1361</v>
      </c>
      <c r="C457" s="6" t="s">
        <v>1362</v>
      </c>
      <c r="D457" s="6" t="s">
        <v>1004</v>
      </c>
      <c r="E457" s="6" t="s">
        <v>865</v>
      </c>
      <c r="F457" s="6" t="s">
        <v>864</v>
      </c>
      <c r="G457" s="6" t="s">
        <v>179</v>
      </c>
      <c r="H457" s="6" t="s">
        <v>1375</v>
      </c>
      <c r="I457" s="7">
        <f>'Entity KPIs'!K141</f>
        <v>2.0</v>
      </c>
      <c r="J457" s="13" t="s">
        <v>996</v>
      </c>
    </row>
    <row r="458" spans="1:10">
      <c r="A458" s="6" t="s">
        <v>21</v>
      </c>
      <c r="B458" s="6" t="s">
        <v>1361</v>
      </c>
      <c r="C458" s="6" t="s">
        <v>1362</v>
      </c>
      <c r="D458" s="6" t="s">
        <v>1004</v>
      </c>
      <c r="E458" s="6" t="s">
        <v>1078</v>
      </c>
      <c r="F458" s="6" t="s">
        <v>633</v>
      </c>
      <c r="G458" s="6" t="s">
        <v>179</v>
      </c>
      <c r="H458" s="6" t="s">
        <v>1108</v>
      </c>
      <c r="I458" s="7">
        <f>'Entity KPIs'!K61</f>
        <v>123.27</v>
      </c>
      <c r="J458" s="14" t="s">
        <v>1001</v>
      </c>
    </row>
    <row r="459" spans="1:10">
      <c r="A459" s="6" t="s">
        <v>21</v>
      </c>
      <c r="B459" s="6" t="s">
        <v>1361</v>
      </c>
      <c r="C459" s="6" t="s">
        <v>1362</v>
      </c>
      <c r="D459" s="6" t="s">
        <v>1004</v>
      </c>
      <c r="E459" s="6" t="s">
        <v>637</v>
      </c>
      <c r="F459" s="6" t="s">
        <v>636</v>
      </c>
      <c r="G459" s="6" t="s">
        <v>179</v>
      </c>
      <c r="H459" s="6" t="s">
        <v>1184</v>
      </c>
      <c r="I459" s="7">
        <f>'Entity KPIs'!K62</f>
        <v>91.55</v>
      </c>
      <c r="J459" s="14" t="s">
        <v>1001</v>
      </c>
    </row>
    <row r="460" spans="1:10">
      <c r="A460" s="6" t="s">
        <v>21</v>
      </c>
      <c r="B460" s="6" t="s">
        <v>1361</v>
      </c>
      <c r="C460" s="6" t="s">
        <v>1362</v>
      </c>
      <c r="D460" s="6" t="s">
        <v>1004</v>
      </c>
      <c r="E460" s="6" t="s">
        <v>1083</v>
      </c>
      <c r="F460" s="6" t="s">
        <v>642</v>
      </c>
      <c r="G460" s="6" t="s">
        <v>179</v>
      </c>
      <c r="H460" s="6" t="s">
        <v>1376</v>
      </c>
      <c r="I460" s="7">
        <f>'Entity KPIs'!K64</f>
        <v>77.9</v>
      </c>
      <c r="J460" s="14" t="s">
        <v>1001</v>
      </c>
    </row>
    <row r="461" spans="1:10">
      <c r="A461" s="6" t="s">
        <v>21</v>
      </c>
      <c r="B461" s="6" t="s">
        <v>1361</v>
      </c>
      <c r="C461" s="6" t="s">
        <v>1362</v>
      </c>
      <c r="D461" s="6" t="s">
        <v>1004</v>
      </c>
      <c r="E461" s="6" t="s">
        <v>603</v>
      </c>
      <c r="F461" s="6" t="s">
        <v>602</v>
      </c>
      <c r="G461" s="6" t="s">
        <v>179</v>
      </c>
      <c r="H461" s="6" t="s">
        <v>1088</v>
      </c>
      <c r="I461" s="7">
        <f>'Entity KPIs'!K51</f>
        <v>52.0</v>
      </c>
      <c r="J461" s="13" t="s">
        <v>996</v>
      </c>
    </row>
    <row r="462" spans="1:10">
      <c r="A462" s="6" t="s">
        <v>21</v>
      </c>
      <c r="B462" s="6" t="s">
        <v>1361</v>
      </c>
      <c r="C462" s="6" t="s">
        <v>1362</v>
      </c>
      <c r="D462" s="6" t="s">
        <v>1004</v>
      </c>
      <c r="E462" s="6" t="s">
        <v>606</v>
      </c>
      <c r="F462" s="6" t="s">
        <v>605</v>
      </c>
      <c r="G462" s="6" t="s">
        <v>179</v>
      </c>
      <c r="H462" s="6" t="s">
        <v>1089</v>
      </c>
      <c r="I462" s="7">
        <f>'Entity KPIs'!K52</f>
        <v>40.2</v>
      </c>
      <c r="J462" s="14" t="s">
        <v>1001</v>
      </c>
    </row>
    <row r="463" spans="1:10">
      <c r="A463" s="6" t="s">
        <v>21</v>
      </c>
      <c r="B463" s="6" t="s">
        <v>1361</v>
      </c>
      <c r="C463" s="6" t="s">
        <v>1362</v>
      </c>
      <c r="D463" s="6" t="s">
        <v>1004</v>
      </c>
      <c r="E463" s="6" t="s">
        <v>609</v>
      </c>
      <c r="F463" s="6" t="s">
        <v>608</v>
      </c>
      <c r="G463" s="6" t="s">
        <v>179</v>
      </c>
      <c r="H463" s="6" t="s">
        <v>1377</v>
      </c>
      <c r="I463" s="7">
        <f>'Entity KPIs'!K53</f>
        <v>40.49</v>
      </c>
      <c r="J463" s="14" t="s">
        <v>1001</v>
      </c>
    </row>
    <row r="464" spans="1:10">
      <c r="A464" s="6" t="s">
        <v>21</v>
      </c>
      <c r="B464" s="6" t="s">
        <v>1361</v>
      </c>
      <c r="C464" s="6" t="s">
        <v>1362</v>
      </c>
      <c r="D464" s="6" t="s">
        <v>1004</v>
      </c>
      <c r="E464" s="6" t="s">
        <v>612</v>
      </c>
      <c r="F464" s="6" t="s">
        <v>611</v>
      </c>
      <c r="G464" s="6" t="s">
        <v>179</v>
      </c>
      <c r="H464" s="6" t="s">
        <v>1378</v>
      </c>
      <c r="I464" s="7">
        <f>'Entity KPIs'!K54</f>
        <v>2012.17</v>
      </c>
      <c r="J464" s="14" t="s">
        <v>1001</v>
      </c>
    </row>
    <row r="465" spans="1:10">
      <c r="A465" s="6" t="s">
        <v>21</v>
      </c>
      <c r="B465" s="6" t="s">
        <v>1361</v>
      </c>
      <c r="C465" s="6" t="s">
        <v>1362</v>
      </c>
      <c r="D465" s="6" t="s">
        <v>1004</v>
      </c>
      <c r="E465" s="6" t="s">
        <v>1090</v>
      </c>
      <c r="F465" s="6" t="s">
        <v>614</v>
      </c>
      <c r="G465" s="6" t="s">
        <v>179</v>
      </c>
      <c r="H465" s="6" t="s">
        <v>1379</v>
      </c>
      <c r="I465" s="7">
        <f>'Entity KPIs'!K55</f>
        <v>-9.23</v>
      </c>
      <c r="J465" s="14" t="s">
        <v>1001</v>
      </c>
    </row>
    <row r="466" spans="1:10">
      <c r="A466" s="6" t="s">
        <v>21</v>
      </c>
      <c r="B466" s="6" t="s">
        <v>1361</v>
      </c>
      <c r="C466" s="6" t="s">
        <v>1362</v>
      </c>
      <c r="D466" s="6" t="s">
        <v>1004</v>
      </c>
      <c r="E466" s="6" t="s">
        <v>618</v>
      </c>
      <c r="F466" s="6" t="s">
        <v>617</v>
      </c>
      <c r="G466" s="6" t="s">
        <v>179</v>
      </c>
      <c r="H466" s="6" t="s">
        <v>1367</v>
      </c>
      <c r="I466" s="7">
        <f>'Entity KPIs'!K56</f>
        <v>52.23</v>
      </c>
      <c r="J466" s="14" t="s">
        <v>1001</v>
      </c>
    </row>
    <row r="467" spans="1:10">
      <c r="A467" s="6" t="s">
        <v>21</v>
      </c>
      <c r="B467" s="6" t="s">
        <v>1380</v>
      </c>
      <c r="C467" s="6" t="s">
        <v>1381</v>
      </c>
      <c r="D467" s="6" t="s">
        <v>994</v>
      </c>
      <c r="E467" s="6" t="s">
        <v>1382</v>
      </c>
      <c r="F467" s="6" t="s">
        <v>649</v>
      </c>
      <c r="G467" s="6" t="s">
        <v>179</v>
      </c>
      <c r="H467" s="6" t="s">
        <v>1383</v>
      </c>
      <c r="I467" s="7">
        <f>'Entity KPIs'!K66</f>
        <v>1000.0</v>
      </c>
      <c r="J467" s="14" t="s">
        <v>1001</v>
      </c>
    </row>
    <row r="468" spans="1:10">
      <c r="A468" s="6" t="s">
        <v>21</v>
      </c>
      <c r="B468" s="6" t="s">
        <v>1380</v>
      </c>
      <c r="C468" s="6" t="s">
        <v>1381</v>
      </c>
      <c r="D468" s="6" t="s">
        <v>994</v>
      </c>
      <c r="E468" s="6" t="s">
        <v>1251</v>
      </c>
      <c r="F468" s="6" t="s">
        <v>653</v>
      </c>
      <c r="G468" s="6" t="s">
        <v>179</v>
      </c>
      <c r="H468" s="6" t="s">
        <v>1384</v>
      </c>
      <c r="I468" s="7">
        <f>'Entity KPIs'!K67</f>
        <v>722.63</v>
      </c>
      <c r="J468" s="14" t="s">
        <v>1001</v>
      </c>
    </row>
    <row r="469" spans="1:10">
      <c r="A469" s="6" t="s">
        <v>21</v>
      </c>
      <c r="B469" s="6" t="s">
        <v>1380</v>
      </c>
      <c r="C469" s="6" t="s">
        <v>1381</v>
      </c>
      <c r="D469" s="6" t="s">
        <v>994</v>
      </c>
      <c r="E469" s="6" t="s">
        <v>1099</v>
      </c>
      <c r="F469" s="6" t="s">
        <v>657</v>
      </c>
      <c r="G469" s="6" t="s">
        <v>179</v>
      </c>
      <c r="H469" s="6" t="s">
        <v>1385</v>
      </c>
      <c r="I469" s="7">
        <f>'Entity KPIs'!K68</f>
        <v>468.11</v>
      </c>
      <c r="J469" s="14" t="s">
        <v>1001</v>
      </c>
    </row>
    <row r="470" spans="1:10">
      <c r="A470" s="6" t="s">
        <v>21</v>
      </c>
      <c r="B470" s="6" t="s">
        <v>1380</v>
      </c>
      <c r="C470" s="6" t="s">
        <v>1381</v>
      </c>
      <c r="D470" s="6" t="s">
        <v>994</v>
      </c>
      <c r="E470" s="6" t="s">
        <v>1252</v>
      </c>
      <c r="F470" s="6" t="s">
        <v>660</v>
      </c>
      <c r="G470" s="6" t="s">
        <v>179</v>
      </c>
      <c r="H470" s="6" t="s">
        <v>1386</v>
      </c>
      <c r="I470" s="7">
        <f>'Entity KPIs'!K69</f>
        <v>59.0</v>
      </c>
      <c r="J470" s="14" t="s">
        <v>1001</v>
      </c>
    </row>
    <row r="471" spans="1:10">
      <c r="A471" s="6" t="s">
        <v>21</v>
      </c>
      <c r="B471" s="6" t="s">
        <v>1380</v>
      </c>
      <c r="C471" s="6" t="s">
        <v>1381</v>
      </c>
      <c r="D471" s="6" t="s">
        <v>994</v>
      </c>
      <c r="E471" s="6" t="s">
        <v>1387</v>
      </c>
      <c r="F471" s="6" t="s">
        <v>670</v>
      </c>
      <c r="G471" s="6" t="s">
        <v>179</v>
      </c>
      <c r="H471" s="6" t="s">
        <v>1388</v>
      </c>
      <c r="I471" s="7">
        <f>'Entity KPIs'!K72</f>
        <v>69.34</v>
      </c>
      <c r="J471" s="14" t="s">
        <v>1001</v>
      </c>
    </row>
    <row r="472" spans="1:10">
      <c r="A472" s="6" t="s">
        <v>21</v>
      </c>
      <c r="B472" s="6" t="s">
        <v>1380</v>
      </c>
      <c r="C472" s="6" t="s">
        <v>1381</v>
      </c>
      <c r="D472" s="6" t="s">
        <v>994</v>
      </c>
      <c r="E472" s="6" t="s">
        <v>674</v>
      </c>
      <c r="F472" s="6" t="s">
        <v>673</v>
      </c>
      <c r="G472" s="6" t="s">
        <v>179</v>
      </c>
      <c r="H472" s="6" t="s">
        <v>1007</v>
      </c>
      <c r="I472" s="7">
        <f>'Entity KPIs'!K73</f>
        <v>0.0</v>
      </c>
      <c r="J472" s="13" t="s">
        <v>996</v>
      </c>
    </row>
    <row r="473" spans="1:10">
      <c r="A473" s="6" t="s">
        <v>21</v>
      </c>
      <c r="B473" s="6" t="s">
        <v>1380</v>
      </c>
      <c r="C473" s="6" t="s">
        <v>1381</v>
      </c>
      <c r="D473" s="6" t="s">
        <v>994</v>
      </c>
      <c r="E473" s="6" t="s">
        <v>1389</v>
      </c>
      <c r="F473" s="6" t="s">
        <v>681</v>
      </c>
      <c r="G473" s="6" t="s">
        <v>179</v>
      </c>
      <c r="H473" s="6" t="s">
        <v>1390</v>
      </c>
      <c r="I473" s="8" t="str">
        <f>'Entity KPIs'!K76</f>
        <v>5 on track · 2 at risk · 1 delayed</v>
      </c>
      <c r="J473" s="13" t="s">
        <v>996</v>
      </c>
    </row>
    <row r="474" spans="1:10">
      <c r="A474" s="6" t="s">
        <v>21</v>
      </c>
      <c r="B474" s="6" t="s">
        <v>1380</v>
      </c>
      <c r="C474" s="6" t="s">
        <v>1381</v>
      </c>
      <c r="D474" s="6" t="s">
        <v>994</v>
      </c>
      <c r="E474" s="6" t="s">
        <v>664</v>
      </c>
      <c r="F474" s="6" t="s">
        <v>663</v>
      </c>
      <c r="G474" s="6" t="s">
        <v>179</v>
      </c>
      <c r="H474" s="6" t="s">
        <v>1391</v>
      </c>
      <c r="I474" s="7">
        <f>'Entity KPIs'!K70</f>
        <v>20.8</v>
      </c>
      <c r="J474" s="14" t="s">
        <v>1001</v>
      </c>
    </row>
    <row r="475" spans="1:10">
      <c r="A475" s="6" t="s">
        <v>21</v>
      </c>
      <c r="B475" s="6" t="s">
        <v>1380</v>
      </c>
      <c r="C475" s="6" t="s">
        <v>1381</v>
      </c>
      <c r="D475" s="6" t="s">
        <v>994</v>
      </c>
      <c r="E475" s="6" t="s">
        <v>685</v>
      </c>
      <c r="F475" s="6" t="s">
        <v>684</v>
      </c>
      <c r="G475" s="6" t="s">
        <v>179</v>
      </c>
      <c r="H475" s="6" t="s">
        <v>1358</v>
      </c>
      <c r="I475" s="7">
        <f>'Entity KPIs'!K77</f>
        <v>2.5</v>
      </c>
      <c r="J475" s="13" t="s">
        <v>996</v>
      </c>
    </row>
    <row r="476" spans="1:10">
      <c r="A476" s="6" t="s">
        <v>21</v>
      </c>
      <c r="B476" s="6" t="s">
        <v>1380</v>
      </c>
      <c r="C476" s="6" t="s">
        <v>1381</v>
      </c>
      <c r="D476" s="6" t="s">
        <v>1004</v>
      </c>
      <c r="E476" s="6" t="s">
        <v>688</v>
      </c>
      <c r="F476" s="6" t="s">
        <v>687</v>
      </c>
      <c r="G476" s="6" t="s">
        <v>179</v>
      </c>
      <c r="H476" s="6" t="s">
        <v>1392</v>
      </c>
      <c r="I476" s="7">
        <f>'Entity KPIs'!K78</f>
        <v>6.2</v>
      </c>
      <c r="J476" s="14" t="s">
        <v>1001</v>
      </c>
    </row>
    <row r="477" spans="1:10">
      <c r="A477" s="6" t="s">
        <v>21</v>
      </c>
      <c r="B477" s="6" t="s">
        <v>1380</v>
      </c>
      <c r="C477" s="6" t="s">
        <v>1381</v>
      </c>
      <c r="D477" s="6" t="s">
        <v>1004</v>
      </c>
      <c r="E477" s="6" t="s">
        <v>691</v>
      </c>
      <c r="F477" s="6" t="s">
        <v>690</v>
      </c>
      <c r="G477" s="6" t="s">
        <v>179</v>
      </c>
      <c r="H477" s="6" t="s">
        <v>1393</v>
      </c>
      <c r="I477" s="7">
        <f>'Entity KPIs'!K79</f>
        <v>2.37</v>
      </c>
      <c r="J477" s="13" t="s">
        <v>996</v>
      </c>
    </row>
    <row r="478" spans="1:10">
      <c r="A478" s="6" t="s">
        <v>21</v>
      </c>
      <c r="B478" s="6" t="s">
        <v>1380</v>
      </c>
      <c r="C478" s="6" t="s">
        <v>1381</v>
      </c>
      <c r="D478" s="6" t="s">
        <v>1004</v>
      </c>
      <c r="E478" s="6" t="s">
        <v>1394</v>
      </c>
      <c r="F478" s="6" t="s">
        <v>693</v>
      </c>
      <c r="G478" s="6" t="s">
        <v>179</v>
      </c>
      <c r="H478" s="6" t="s">
        <v>1395</v>
      </c>
      <c r="I478" s="7">
        <f>'Entity KPIs'!K80</f>
        <v>3.89</v>
      </c>
      <c r="J478" s="13" t="s">
        <v>996</v>
      </c>
    </row>
    <row r="479" spans="1:10">
      <c r="A479" s="6" t="s">
        <v>21</v>
      </c>
      <c r="B479" s="6" t="s">
        <v>1396</v>
      </c>
      <c r="C479" s="6" t="s">
        <v>1397</v>
      </c>
      <c r="D479" s="6" t="s">
        <v>994</v>
      </c>
      <c r="E479" s="6" t="s">
        <v>535</v>
      </c>
      <c r="F479" s="6" t="s">
        <v>534</v>
      </c>
      <c r="G479" s="6" t="s">
        <v>179</v>
      </c>
      <c r="H479" s="6" t="s">
        <v>1153</v>
      </c>
      <c r="I479" s="7">
        <f>'Entity KPIs'!K29</f>
        <v>28.0</v>
      </c>
      <c r="J479" s="14" t="s">
        <v>1001</v>
      </c>
    </row>
    <row r="480" spans="1:10">
      <c r="A480" s="6" t="s">
        <v>21</v>
      </c>
      <c r="B480" s="6" t="s">
        <v>1396</v>
      </c>
      <c r="C480" s="6" t="s">
        <v>1397</v>
      </c>
      <c r="D480" s="6" t="s">
        <v>994</v>
      </c>
      <c r="E480" s="6" t="s">
        <v>537</v>
      </c>
      <c r="F480" s="6" t="s">
        <v>536</v>
      </c>
      <c r="G480" s="6" t="s">
        <v>179</v>
      </c>
      <c r="H480" s="6" t="s">
        <v>1007</v>
      </c>
      <c r="I480" s="7">
        <f>'Entity KPIs'!K30</f>
        <v>7.0</v>
      </c>
      <c r="J480" s="14" t="s">
        <v>1001</v>
      </c>
    </row>
    <row r="481" spans="1:10">
      <c r="A481" s="6" t="s">
        <v>21</v>
      </c>
      <c r="B481" s="6" t="s">
        <v>1396</v>
      </c>
      <c r="C481" s="6" t="s">
        <v>1397</v>
      </c>
      <c r="D481" s="6" t="s">
        <v>994</v>
      </c>
      <c r="E481" s="6" t="s">
        <v>1398</v>
      </c>
      <c r="F481" s="6" t="s">
        <v>735</v>
      </c>
      <c r="G481" s="6" t="s">
        <v>179</v>
      </c>
      <c r="H481" s="6" t="s">
        <v>1130</v>
      </c>
      <c r="I481" s="7">
        <f>'Entity KPIs'!K94</f>
        <v>1.0</v>
      </c>
      <c r="J481" s="14" t="s">
        <v>1001</v>
      </c>
    </row>
    <row r="482" spans="1:10">
      <c r="A482" s="6" t="s">
        <v>21</v>
      </c>
      <c r="B482" s="6" t="s">
        <v>1396</v>
      </c>
      <c r="C482" s="6" t="s">
        <v>1397</v>
      </c>
      <c r="D482" s="6" t="s">
        <v>994</v>
      </c>
      <c r="E482" s="6" t="s">
        <v>739</v>
      </c>
      <c r="F482" s="6" t="s">
        <v>738</v>
      </c>
      <c r="G482" s="6" t="s">
        <v>179</v>
      </c>
      <c r="H482" s="6" t="s">
        <v>1007</v>
      </c>
      <c r="I482" s="7">
        <f>'Entity KPIs'!K95</f>
        <v>0.0</v>
      </c>
      <c r="J482" s="13" t="s">
        <v>996</v>
      </c>
    </row>
    <row r="483" spans="1:10">
      <c r="A483" s="6" t="s">
        <v>21</v>
      </c>
      <c r="B483" s="6" t="s">
        <v>1396</v>
      </c>
      <c r="C483" s="6" t="s">
        <v>1397</v>
      </c>
      <c r="D483" s="6" t="s">
        <v>994</v>
      </c>
      <c r="E483" s="6" t="s">
        <v>1399</v>
      </c>
      <c r="F483" s="6" t="s">
        <v>542</v>
      </c>
      <c r="G483" s="6" t="s">
        <v>179</v>
      </c>
      <c r="H483" s="6" t="s">
        <v>1400</v>
      </c>
      <c r="I483" s="7">
        <f>'Entity KPIs'!K32</f>
        <v>65.0</v>
      </c>
      <c r="J483" s="14" t="s">
        <v>1001</v>
      </c>
    </row>
    <row r="484" spans="1:10">
      <c r="A484" s="6" t="s">
        <v>21</v>
      </c>
      <c r="B484" s="6" t="s">
        <v>1396</v>
      </c>
      <c r="C484" s="6" t="s">
        <v>1397</v>
      </c>
      <c r="D484" s="6" t="s">
        <v>994</v>
      </c>
      <c r="E484" s="6" t="s">
        <v>1401</v>
      </c>
      <c r="F484" s="6" t="s">
        <v>919</v>
      </c>
      <c r="G484" s="6" t="s">
        <v>179</v>
      </c>
      <c r="H484" s="6" t="s">
        <v>1402</v>
      </c>
      <c r="I484" s="8" t="str">
        <f>'Entity KPIs'!K157</f>
        <v>38 h remaining</v>
      </c>
      <c r="J484" s="13" t="s">
        <v>996</v>
      </c>
    </row>
    <row r="485" spans="1:10">
      <c r="A485" s="6" t="s">
        <v>21</v>
      </c>
      <c r="B485" s="6" t="s">
        <v>1396</v>
      </c>
      <c r="C485" s="6" t="s">
        <v>1397</v>
      </c>
      <c r="D485" s="6" t="s">
        <v>1004</v>
      </c>
      <c r="E485" s="6" t="s">
        <v>1125</v>
      </c>
      <c r="F485" s="6" t="s">
        <v>717</v>
      </c>
      <c r="G485" s="6" t="s">
        <v>179</v>
      </c>
      <c r="H485" s="6" t="s">
        <v>1359</v>
      </c>
      <c r="I485" s="7">
        <f>'Entity KPIs'!K88</f>
        <v>2.0</v>
      </c>
      <c r="J485" s="14" t="s">
        <v>1001</v>
      </c>
    </row>
    <row r="486" spans="1:10">
      <c r="A486" s="6" t="s">
        <v>21</v>
      </c>
      <c r="B486" s="6" t="s">
        <v>1396</v>
      </c>
      <c r="C486" s="6" t="s">
        <v>1397</v>
      </c>
      <c r="D486" s="6" t="s">
        <v>1004</v>
      </c>
      <c r="E486" s="6" t="s">
        <v>721</v>
      </c>
      <c r="F486" s="6" t="s">
        <v>720</v>
      </c>
      <c r="G486" s="6" t="s">
        <v>179</v>
      </c>
      <c r="H486" s="6" t="s">
        <v>1360</v>
      </c>
      <c r="I486" s="7">
        <f>'Entity KPIs'!K89</f>
        <v>95.83</v>
      </c>
      <c r="J486" s="14" t="s">
        <v>1001</v>
      </c>
    </row>
    <row r="487" spans="1:10">
      <c r="A487" s="6" t="s">
        <v>21</v>
      </c>
      <c r="B487" s="6" t="s">
        <v>1396</v>
      </c>
      <c r="C487" s="6" t="s">
        <v>1397</v>
      </c>
      <c r="D487" s="6" t="s">
        <v>1004</v>
      </c>
      <c r="E487" s="6" t="s">
        <v>724</v>
      </c>
      <c r="F487" s="6" t="s">
        <v>723</v>
      </c>
      <c r="G487" s="6" t="s">
        <v>179</v>
      </c>
      <c r="H487" s="6" t="s">
        <v>1007</v>
      </c>
      <c r="I487" s="7">
        <f>'Entity KPIs'!K90</f>
        <v>0.0</v>
      </c>
      <c r="J487" s="13" t="s">
        <v>996</v>
      </c>
    </row>
    <row r="488" spans="1:10">
      <c r="A488" s="6" t="s">
        <v>21</v>
      </c>
      <c r="B488" s="6" t="s">
        <v>1396</v>
      </c>
      <c r="C488" s="6" t="s">
        <v>1397</v>
      </c>
      <c r="D488" s="6" t="s">
        <v>1004</v>
      </c>
      <c r="E488" s="6" t="s">
        <v>760</v>
      </c>
      <c r="F488" s="6" t="s">
        <v>759</v>
      </c>
      <c r="G488" s="6" t="s">
        <v>179</v>
      </c>
      <c r="H488" s="6" t="s">
        <v>995</v>
      </c>
      <c r="I488" s="7">
        <f>'Entity KPIs'!K104</f>
        <v>2.0</v>
      </c>
      <c r="J488" s="14" t="s">
        <v>1001</v>
      </c>
    </row>
    <row r="489" spans="1:10">
      <c r="A489" s="6" t="s">
        <v>21</v>
      </c>
      <c r="B489" s="6" t="s">
        <v>1396</v>
      </c>
      <c r="C489" s="6" t="s">
        <v>1397</v>
      </c>
      <c r="D489" s="6" t="s">
        <v>1004</v>
      </c>
      <c r="E489" s="6" t="s">
        <v>1129</v>
      </c>
      <c r="F489" s="6" t="s">
        <v>765</v>
      </c>
      <c r="G489" s="6" t="s">
        <v>179</v>
      </c>
      <c r="H489" s="6" t="s">
        <v>995</v>
      </c>
      <c r="I489" s="7">
        <f>'Entity KPIs'!K106</f>
        <v>2.0</v>
      </c>
      <c r="J489" s="14" t="s">
        <v>1001</v>
      </c>
    </row>
    <row r="490" spans="1:10">
      <c r="A490" s="6" t="s">
        <v>21</v>
      </c>
      <c r="B490" s="6" t="s">
        <v>1396</v>
      </c>
      <c r="C490" s="6" t="s">
        <v>1397</v>
      </c>
      <c r="D490" s="6" t="s">
        <v>1004</v>
      </c>
      <c r="E490" s="6" t="s">
        <v>1131</v>
      </c>
      <c r="F490" s="6" t="s">
        <v>768</v>
      </c>
      <c r="G490" s="6" t="s">
        <v>179</v>
      </c>
      <c r="H490" s="6" t="s">
        <v>1007</v>
      </c>
      <c r="I490" s="7">
        <f>'Entity KPIs'!K107</f>
        <v>0.0</v>
      </c>
      <c r="J490" s="13" t="s">
        <v>996</v>
      </c>
    </row>
    <row r="491" spans="1:10">
      <c r="A491" s="6" t="s">
        <v>21</v>
      </c>
      <c r="B491" s="6" t="s">
        <v>1396</v>
      </c>
      <c r="C491" s="6" t="s">
        <v>1397</v>
      </c>
      <c r="D491" s="6" t="s">
        <v>1004</v>
      </c>
      <c r="E491" s="6" t="s">
        <v>1132</v>
      </c>
      <c r="F491" s="6" t="s">
        <v>771</v>
      </c>
      <c r="G491" s="6" t="s">
        <v>179</v>
      </c>
      <c r="H491" s="6" t="s">
        <v>1007</v>
      </c>
      <c r="I491" s="7">
        <f>'Entity KPIs'!K108</f>
        <v>0.0</v>
      </c>
      <c r="J491" s="13" t="s">
        <v>996</v>
      </c>
    </row>
    <row r="492" spans="1:10">
      <c r="A492" s="6" t="s">
        <v>21</v>
      </c>
      <c r="B492" s="6" t="s">
        <v>1396</v>
      </c>
      <c r="C492" s="6" t="s">
        <v>1397</v>
      </c>
      <c r="D492" s="6" t="s">
        <v>1004</v>
      </c>
      <c r="E492" s="6" t="s">
        <v>1133</v>
      </c>
      <c r="F492" s="6" t="s">
        <v>774</v>
      </c>
      <c r="G492" s="6" t="s">
        <v>179</v>
      </c>
      <c r="H492" s="6" t="s">
        <v>1007</v>
      </c>
      <c r="I492" s="7">
        <f>'Entity KPIs'!K109</f>
        <v>0.0</v>
      </c>
      <c r="J492" s="13" t="s">
        <v>996</v>
      </c>
    </row>
    <row r="493" spans="1:10">
      <c r="A493" s="6" t="s">
        <v>21</v>
      </c>
      <c r="B493" s="6" t="s">
        <v>1396</v>
      </c>
      <c r="C493" s="6" t="s">
        <v>1397</v>
      </c>
      <c r="D493" s="6" t="s">
        <v>1004</v>
      </c>
      <c r="E493" s="6" t="s">
        <v>1134</v>
      </c>
      <c r="F493" s="6" t="s">
        <v>777</v>
      </c>
      <c r="G493" s="6" t="s">
        <v>179</v>
      </c>
      <c r="H493" s="6" t="s">
        <v>1007</v>
      </c>
      <c r="I493" s="7">
        <f>'Entity KPIs'!K110</f>
        <v>0.0</v>
      </c>
      <c r="J493" s="13" t="s">
        <v>996</v>
      </c>
    </row>
    <row r="494" spans="1:10">
      <c r="A494" s="6" t="s">
        <v>21</v>
      </c>
      <c r="B494" s="6" t="s">
        <v>1396</v>
      </c>
      <c r="C494" s="6" t="s">
        <v>1397</v>
      </c>
      <c r="D494" s="6" t="s">
        <v>1004</v>
      </c>
      <c r="E494" s="6" t="s">
        <v>1135</v>
      </c>
      <c r="F494" s="6" t="s">
        <v>780</v>
      </c>
      <c r="G494" s="6" t="s">
        <v>179</v>
      </c>
      <c r="H494" s="6" t="s">
        <v>1272</v>
      </c>
      <c r="I494" s="7">
        <f>'Entity KPIs'!K111</f>
        <v>7.0</v>
      </c>
      <c r="J494" s="14" t="s">
        <v>1001</v>
      </c>
    </row>
    <row r="495" spans="1:10">
      <c r="A495" s="6" t="s">
        <v>21</v>
      </c>
      <c r="B495" s="6" t="s">
        <v>1396</v>
      </c>
      <c r="C495" s="6" t="s">
        <v>1397</v>
      </c>
      <c r="D495" s="6" t="s">
        <v>1004</v>
      </c>
      <c r="E495" s="6" t="s">
        <v>523</v>
      </c>
      <c r="F495" s="6" t="s">
        <v>522</v>
      </c>
      <c r="G495" s="6" t="s">
        <v>179</v>
      </c>
      <c r="H495" s="6" t="s">
        <v>1403</v>
      </c>
      <c r="I495" s="7">
        <f>'Entity KPIs'!K24</f>
        <v>0.91</v>
      </c>
      <c r="J495" s="14" t="s">
        <v>1001</v>
      </c>
    </row>
    <row r="496" spans="1:10">
      <c r="A496" s="6" t="s">
        <v>21</v>
      </c>
      <c r="B496" s="6" t="s">
        <v>1396</v>
      </c>
      <c r="C496" s="6" t="s">
        <v>1397</v>
      </c>
      <c r="D496" s="6" t="s">
        <v>1004</v>
      </c>
      <c r="E496" s="6" t="s">
        <v>527</v>
      </c>
      <c r="F496" s="6" t="s">
        <v>526</v>
      </c>
      <c r="G496" s="6" t="s">
        <v>179</v>
      </c>
      <c r="H496" s="6" t="s">
        <v>1007</v>
      </c>
      <c r="I496" s="7">
        <f>'Entity KPIs'!K25</f>
        <v>1.0</v>
      </c>
      <c r="J496" s="14" t="s">
        <v>1001</v>
      </c>
    </row>
    <row r="497" spans="1:10">
      <c r="A497" s="6" t="s">
        <v>21</v>
      </c>
      <c r="B497" s="6" t="s">
        <v>1396</v>
      </c>
      <c r="C497" s="6" t="s">
        <v>1397</v>
      </c>
      <c r="D497" s="6" t="s">
        <v>1004</v>
      </c>
      <c r="E497" s="6" t="s">
        <v>1263</v>
      </c>
      <c r="F497" s="6" t="s">
        <v>528</v>
      </c>
      <c r="G497" s="6" t="s">
        <v>179</v>
      </c>
      <c r="H497" s="6" t="s">
        <v>1130</v>
      </c>
      <c r="I497" s="7">
        <f>'Entity KPIs'!K26</f>
        <v>20.0</v>
      </c>
      <c r="J497" s="14" t="s">
        <v>1001</v>
      </c>
    </row>
    <row r="498" spans="1:10">
      <c r="A498" s="6" t="s">
        <v>21</v>
      </c>
      <c r="B498" s="6" t="s">
        <v>1396</v>
      </c>
      <c r="C498" s="6" t="s">
        <v>1397</v>
      </c>
      <c r="D498" s="6" t="s">
        <v>1004</v>
      </c>
      <c r="E498" s="6" t="s">
        <v>1122</v>
      </c>
      <c r="F498" s="6" t="s">
        <v>530</v>
      </c>
      <c r="G498" s="6" t="s">
        <v>179</v>
      </c>
      <c r="H498" s="6" t="s">
        <v>1007</v>
      </c>
      <c r="I498" s="7">
        <f>'Entity KPIs'!K27</f>
        <v>0.0</v>
      </c>
      <c r="J498" s="13" t="s">
        <v>996</v>
      </c>
    </row>
    <row r="499" spans="1:10">
      <c r="A499" s="6" t="s">
        <v>21</v>
      </c>
      <c r="B499" s="6" t="s">
        <v>1396</v>
      </c>
      <c r="C499" s="6" t="s">
        <v>1397</v>
      </c>
      <c r="D499" s="6" t="s">
        <v>1004</v>
      </c>
      <c r="E499" s="6" t="s">
        <v>533</v>
      </c>
      <c r="F499" s="6" t="s">
        <v>532</v>
      </c>
      <c r="G499" s="6" t="s">
        <v>179</v>
      </c>
      <c r="H499" s="6" t="s">
        <v>1007</v>
      </c>
      <c r="I499" s="7">
        <f>'Entity KPIs'!K28</f>
        <v>1.0</v>
      </c>
      <c r="J499" s="14" t="s">
        <v>1001</v>
      </c>
    </row>
    <row r="500" spans="1:10">
      <c r="A500" s="6" t="s">
        <v>21</v>
      </c>
      <c r="B500" s="6" t="s">
        <v>1396</v>
      </c>
      <c r="C500" s="6" t="s">
        <v>1397</v>
      </c>
      <c r="D500" s="6" t="s">
        <v>1004</v>
      </c>
      <c r="E500" s="6" t="s">
        <v>537</v>
      </c>
      <c r="F500" s="6" t="s">
        <v>536</v>
      </c>
      <c r="G500" s="6" t="s">
        <v>179</v>
      </c>
      <c r="H500" s="6" t="s">
        <v>1007</v>
      </c>
      <c r="I500" s="7">
        <f>'Entity KPIs'!K30</f>
        <v>7.0</v>
      </c>
      <c r="J500" s="14" t="s">
        <v>1001</v>
      </c>
    </row>
    <row r="501" spans="1:10">
      <c r="A501" s="6" t="s">
        <v>21</v>
      </c>
      <c r="B501" s="6" t="s">
        <v>1396</v>
      </c>
      <c r="C501" s="6" t="s">
        <v>1397</v>
      </c>
      <c r="D501" s="6" t="s">
        <v>1004</v>
      </c>
      <c r="E501" s="6" t="s">
        <v>1264</v>
      </c>
      <c r="F501" s="6" t="s">
        <v>754</v>
      </c>
      <c r="G501" s="6" t="s">
        <v>179</v>
      </c>
      <c r="H501" s="6" t="s">
        <v>1142</v>
      </c>
      <c r="I501" s="7">
        <f>'Entity KPIs'!K102</f>
        <v>0.0</v>
      </c>
      <c r="J501" s="13" t="s">
        <v>996</v>
      </c>
    </row>
    <row r="502" spans="1:10">
      <c r="A502" s="6" t="s">
        <v>21</v>
      </c>
      <c r="B502" s="6" t="s">
        <v>1396</v>
      </c>
      <c r="C502" s="6" t="s">
        <v>1397</v>
      </c>
      <c r="D502" s="6" t="s">
        <v>1004</v>
      </c>
      <c r="E502" s="6" t="s">
        <v>1267</v>
      </c>
      <c r="F502" s="6" t="s">
        <v>539</v>
      </c>
      <c r="G502" s="6" t="s">
        <v>179</v>
      </c>
      <c r="H502" s="6" t="s">
        <v>1404</v>
      </c>
      <c r="I502" s="7">
        <f>'Entity KPIs'!K31</f>
        <v>75.0</v>
      </c>
      <c r="J502" s="14" t="s">
        <v>1001</v>
      </c>
    </row>
    <row r="503" spans="1:10">
      <c r="A503" s="6" t="s">
        <v>21</v>
      </c>
      <c r="B503" s="6" t="s">
        <v>1396</v>
      </c>
      <c r="C503" s="6" t="s">
        <v>1397</v>
      </c>
      <c r="D503" s="6" t="s">
        <v>1004</v>
      </c>
      <c r="E503" s="6" t="s">
        <v>795</v>
      </c>
      <c r="F503" s="6" t="s">
        <v>794</v>
      </c>
      <c r="G503" s="6" t="s">
        <v>179</v>
      </c>
      <c r="H503" s="6" t="s">
        <v>1153</v>
      </c>
      <c r="I503" s="7">
        <f>'Entity KPIs'!K116</f>
        <v>2.0</v>
      </c>
      <c r="J503" s="13" t="s">
        <v>996</v>
      </c>
    </row>
    <row r="504" spans="1:10">
      <c r="A504" s="6" t="s">
        <v>21</v>
      </c>
      <c r="B504" s="6" t="s">
        <v>1396</v>
      </c>
      <c r="C504" s="6" t="s">
        <v>1397</v>
      </c>
      <c r="D504" s="6" t="s">
        <v>1004</v>
      </c>
      <c r="E504" s="6" t="s">
        <v>727</v>
      </c>
      <c r="F504" s="6" t="s">
        <v>726</v>
      </c>
      <c r="G504" s="6" t="s">
        <v>179</v>
      </c>
      <c r="H504" s="6" t="s">
        <v>995</v>
      </c>
      <c r="I504" s="7">
        <f>'Entity KPIs'!K91</f>
        <v>0.0</v>
      </c>
      <c r="J504" s="14" t="s">
        <v>1001</v>
      </c>
    </row>
    <row r="505" spans="1:10">
      <c r="A505" s="6" t="s">
        <v>21</v>
      </c>
      <c r="B505" s="6" t="s">
        <v>1396</v>
      </c>
      <c r="C505" s="6" t="s">
        <v>1397</v>
      </c>
      <c r="D505" s="6" t="s">
        <v>1004</v>
      </c>
      <c r="E505" s="6" t="s">
        <v>1405</v>
      </c>
      <c r="F505" s="6" t="s">
        <v>729</v>
      </c>
      <c r="G505" s="6" t="s">
        <v>179</v>
      </c>
      <c r="H505" s="6" t="s">
        <v>1130</v>
      </c>
      <c r="I505" s="7">
        <f>'Entity KPIs'!K92</f>
        <v>2.0</v>
      </c>
      <c r="J505" s="14" t="s">
        <v>1001</v>
      </c>
    </row>
    <row r="506" spans="1:10">
      <c r="A506" s="6" t="s">
        <v>21</v>
      </c>
      <c r="B506" s="6" t="s">
        <v>1396</v>
      </c>
      <c r="C506" s="6" t="s">
        <v>1397</v>
      </c>
      <c r="D506" s="6" t="s">
        <v>1004</v>
      </c>
      <c r="E506" s="6" t="s">
        <v>1270</v>
      </c>
      <c r="F506" s="6" t="s">
        <v>732</v>
      </c>
      <c r="G506" s="6" t="s">
        <v>179</v>
      </c>
      <c r="H506" s="6" t="s">
        <v>995</v>
      </c>
      <c r="I506" s="7">
        <f>'Entity KPIs'!K93</f>
        <v>1.0</v>
      </c>
      <c r="J506" s="13" t="s">
        <v>996</v>
      </c>
    </row>
    <row r="507" spans="1:10">
      <c r="A507" s="6" t="s">
        <v>21</v>
      </c>
      <c r="B507" s="6" t="s">
        <v>1396</v>
      </c>
      <c r="C507" s="6" t="s">
        <v>1397</v>
      </c>
      <c r="D507" s="6" t="s">
        <v>1004</v>
      </c>
      <c r="E507" s="6" t="s">
        <v>742</v>
      </c>
      <c r="F507" s="6" t="s">
        <v>741</v>
      </c>
      <c r="G507" s="6" t="s">
        <v>179</v>
      </c>
      <c r="H507" s="6" t="s">
        <v>1007</v>
      </c>
      <c r="I507" s="7">
        <f>'Entity KPIs'!K96</f>
        <v>0.0</v>
      </c>
      <c r="J507" s="13" t="s">
        <v>996</v>
      </c>
    </row>
    <row r="508" spans="1:10">
      <c r="A508" s="6" t="s">
        <v>21</v>
      </c>
      <c r="B508" s="6" t="s">
        <v>1396</v>
      </c>
      <c r="C508" s="6" t="s">
        <v>1397</v>
      </c>
      <c r="D508" s="6" t="s">
        <v>1004</v>
      </c>
      <c r="E508" s="6" t="s">
        <v>744</v>
      </c>
      <c r="F508" s="6" t="s">
        <v>743</v>
      </c>
      <c r="G508" s="6" t="s">
        <v>179</v>
      </c>
      <c r="H508" s="6" t="s">
        <v>1007</v>
      </c>
      <c r="I508" s="7">
        <f>'Entity KPIs'!K97</f>
        <v>0.0</v>
      </c>
      <c r="J508" s="13" t="s">
        <v>996</v>
      </c>
    </row>
    <row r="509" spans="1:10">
      <c r="A509" s="6" t="s">
        <v>21</v>
      </c>
      <c r="B509" s="6" t="s">
        <v>1396</v>
      </c>
      <c r="C509" s="6" t="s">
        <v>1397</v>
      </c>
      <c r="D509" s="6" t="s">
        <v>1004</v>
      </c>
      <c r="E509" s="6" t="s">
        <v>1038</v>
      </c>
      <c r="F509" s="6" t="s">
        <v>748</v>
      </c>
      <c r="G509" s="6" t="s">
        <v>179</v>
      </c>
      <c r="H509" s="6" t="s">
        <v>1007</v>
      </c>
      <c r="I509" s="7">
        <f>'Entity KPIs'!K99</f>
        <v>0.0</v>
      </c>
      <c r="J509" s="13" t="s">
        <v>996</v>
      </c>
    </row>
    <row r="510" spans="1:10">
      <c r="A510" s="6" t="s">
        <v>21</v>
      </c>
      <c r="B510" s="6" t="s">
        <v>1396</v>
      </c>
      <c r="C510" s="6" t="s">
        <v>1397</v>
      </c>
      <c r="D510" s="6" t="s">
        <v>1004</v>
      </c>
      <c r="E510" s="6" t="s">
        <v>1401</v>
      </c>
      <c r="F510" s="6" t="s">
        <v>919</v>
      </c>
      <c r="G510" s="6" t="s">
        <v>179</v>
      </c>
      <c r="H510" s="6" t="s">
        <v>1402</v>
      </c>
      <c r="I510" s="8" t="str">
        <f>'Entity KPIs'!K157</f>
        <v>38 h remaining</v>
      </c>
      <c r="J510" s="13" t="s">
        <v>996</v>
      </c>
    </row>
    <row r="511" spans="1:10">
      <c r="A511" s="6" t="s">
        <v>21</v>
      </c>
      <c r="B511" s="6" t="s">
        <v>1396</v>
      </c>
      <c r="C511" s="6" t="s">
        <v>1397</v>
      </c>
      <c r="D511" s="6" t="s">
        <v>1004</v>
      </c>
      <c r="E511" s="6" t="s">
        <v>521</v>
      </c>
      <c r="F511" s="6" t="s">
        <v>520</v>
      </c>
      <c r="G511" s="6" t="s">
        <v>179</v>
      </c>
      <c r="H511" s="6" t="s">
        <v>1007</v>
      </c>
      <c r="I511" s="7">
        <f>'Entity KPIs'!K23</f>
        <v>0.0</v>
      </c>
      <c r="J511" s="13" t="s">
        <v>996</v>
      </c>
    </row>
    <row r="512" spans="1:10">
      <c r="A512" s="6" t="s">
        <v>21</v>
      </c>
      <c r="B512" s="6" t="s">
        <v>1396</v>
      </c>
      <c r="C512" s="6" t="s">
        <v>1397</v>
      </c>
      <c r="D512" s="6" t="s">
        <v>1004</v>
      </c>
      <c r="E512" s="6" t="s">
        <v>498</v>
      </c>
      <c r="F512" s="6" t="s">
        <v>497</v>
      </c>
      <c r="G512" s="6" t="s">
        <v>179</v>
      </c>
      <c r="H512" s="6" t="s">
        <v>1339</v>
      </c>
      <c r="I512" s="7">
        <f>'Entity KPIs'!K16</f>
        <v>741310.0</v>
      </c>
      <c r="J512" s="14" t="s">
        <v>1001</v>
      </c>
    </row>
    <row r="513" spans="1:10">
      <c r="A513" s="6" t="s">
        <v>21</v>
      </c>
      <c r="B513" s="6" t="s">
        <v>1396</v>
      </c>
      <c r="C513" s="6" t="s">
        <v>1397</v>
      </c>
      <c r="D513" s="6" t="s">
        <v>1004</v>
      </c>
      <c r="E513" s="6" t="s">
        <v>502</v>
      </c>
      <c r="F513" s="6" t="s">
        <v>501</v>
      </c>
      <c r="G513" s="6" t="s">
        <v>179</v>
      </c>
      <c r="H513" s="6" t="s">
        <v>1340</v>
      </c>
      <c r="I513" s="7">
        <f>'Entity KPIs'!K17</f>
        <v>219505.0</v>
      </c>
      <c r="J513" s="14" t="s">
        <v>1001</v>
      </c>
    </row>
    <row r="514" spans="1:10">
      <c r="A514" s="6" t="s">
        <v>21</v>
      </c>
      <c r="B514" s="6" t="s">
        <v>1396</v>
      </c>
      <c r="C514" s="6" t="s">
        <v>1397</v>
      </c>
      <c r="D514" s="6" t="s">
        <v>1004</v>
      </c>
      <c r="E514" s="6" t="s">
        <v>505</v>
      </c>
      <c r="F514" s="6" t="s">
        <v>504</v>
      </c>
      <c r="G514" s="6" t="s">
        <v>179</v>
      </c>
      <c r="H514" s="6" t="s">
        <v>1341</v>
      </c>
      <c r="I514" s="7">
        <f>'Entity KPIs'!K18</f>
        <v>3.61</v>
      </c>
      <c r="J514" s="14" t="s">
        <v>1001</v>
      </c>
    </row>
    <row r="515" spans="1:10">
      <c r="A515" s="6" t="s">
        <v>21</v>
      </c>
      <c r="B515" s="6" t="s">
        <v>1406</v>
      </c>
      <c r="C515" s="6" t="s">
        <v>1407</v>
      </c>
      <c r="D515" s="6" t="s">
        <v>994</v>
      </c>
      <c r="E515" s="6" t="s">
        <v>1408</v>
      </c>
      <c r="F515" s="6" t="s">
        <v>789</v>
      </c>
      <c r="G515" s="6" t="s">
        <v>179</v>
      </c>
      <c r="H515" s="6" t="s">
        <v>1007</v>
      </c>
      <c r="I515" s="7">
        <f>'Entity KPIs'!K114</f>
        <v>0.0</v>
      </c>
      <c r="J515" s="13" t="s">
        <v>996</v>
      </c>
    </row>
    <row r="516" spans="1:10">
      <c r="A516" s="6" t="s">
        <v>21</v>
      </c>
      <c r="B516" s="6" t="s">
        <v>1406</v>
      </c>
      <c r="C516" s="6" t="s">
        <v>1407</v>
      </c>
      <c r="D516" s="6" t="s">
        <v>994</v>
      </c>
      <c r="E516" s="6" t="s">
        <v>1409</v>
      </c>
      <c r="F516" s="6" t="s">
        <v>811</v>
      </c>
      <c r="G516" s="6" t="s">
        <v>179</v>
      </c>
      <c r="H516" s="6" t="s">
        <v>1160</v>
      </c>
      <c r="I516" s="7">
        <f>'Entity KPIs'!K123</f>
        <v>86.0</v>
      </c>
      <c r="J516" s="13" t="s">
        <v>996</v>
      </c>
    </row>
    <row r="517" spans="1:10">
      <c r="A517" s="6" t="s">
        <v>21</v>
      </c>
      <c r="B517" s="6" t="s">
        <v>1406</v>
      </c>
      <c r="C517" s="6" t="s">
        <v>1407</v>
      </c>
      <c r="D517" s="6" t="s">
        <v>994</v>
      </c>
      <c r="E517" s="6" t="s">
        <v>805</v>
      </c>
      <c r="F517" s="6" t="s">
        <v>804</v>
      </c>
      <c r="G517" s="6" t="s">
        <v>179</v>
      </c>
      <c r="H517" s="6" t="s">
        <v>995</v>
      </c>
      <c r="I517" s="7">
        <f>'Entity KPIs'!K120</f>
        <v>1.0</v>
      </c>
      <c r="J517" s="13" t="s">
        <v>996</v>
      </c>
    </row>
    <row r="518" spans="1:10">
      <c r="A518" s="6" t="s">
        <v>21</v>
      </c>
      <c r="B518" s="6" t="s">
        <v>1406</v>
      </c>
      <c r="C518" s="6" t="s">
        <v>1407</v>
      </c>
      <c r="D518" s="6" t="s">
        <v>994</v>
      </c>
      <c r="E518" s="6" t="s">
        <v>807</v>
      </c>
      <c r="F518" s="6" t="s">
        <v>806</v>
      </c>
      <c r="G518" s="6" t="s">
        <v>179</v>
      </c>
      <c r="H518" s="6" t="s">
        <v>1007</v>
      </c>
      <c r="I518" s="7">
        <f>'Entity KPIs'!K121</f>
        <v>0.0</v>
      </c>
      <c r="J518" s="13" t="s">
        <v>996</v>
      </c>
    </row>
    <row r="519" spans="1:10">
      <c r="A519" s="6" t="s">
        <v>21</v>
      </c>
      <c r="B519" s="6" t="s">
        <v>1406</v>
      </c>
      <c r="C519" s="6" t="s">
        <v>1407</v>
      </c>
      <c r="D519" s="6" t="s">
        <v>994</v>
      </c>
      <c r="E519" s="6" t="s">
        <v>827</v>
      </c>
      <c r="F519" s="6" t="s">
        <v>826</v>
      </c>
      <c r="G519" s="6" t="s">
        <v>179</v>
      </c>
      <c r="H519" s="6" t="s">
        <v>1410</v>
      </c>
      <c r="I519" s="7">
        <f>'Entity KPIs'!K128</f>
        <v>98.93</v>
      </c>
      <c r="J519" s="14" t="s">
        <v>1001</v>
      </c>
    </row>
    <row r="520" spans="1:10">
      <c r="A520" s="6" t="s">
        <v>21</v>
      </c>
      <c r="B520" s="6" t="s">
        <v>1406</v>
      </c>
      <c r="C520" s="6" t="s">
        <v>1407</v>
      </c>
      <c r="D520" s="6" t="s">
        <v>1004</v>
      </c>
      <c r="E520" s="6" t="s">
        <v>787</v>
      </c>
      <c r="F520" s="6" t="s">
        <v>786</v>
      </c>
      <c r="G520" s="6" t="s">
        <v>179</v>
      </c>
      <c r="H520" s="6" t="s">
        <v>995</v>
      </c>
      <c r="I520" s="7">
        <f>'Entity KPIs'!K113</f>
        <v>1.0</v>
      </c>
      <c r="J520" s="13" t="s">
        <v>996</v>
      </c>
    </row>
    <row r="521" spans="1:10">
      <c r="A521" s="6" t="s">
        <v>21</v>
      </c>
      <c r="B521" s="6" t="s">
        <v>1406</v>
      </c>
      <c r="C521" s="6" t="s">
        <v>1407</v>
      </c>
      <c r="D521" s="6" t="s">
        <v>1004</v>
      </c>
      <c r="E521" s="6" t="s">
        <v>1006</v>
      </c>
      <c r="F521" s="6" t="s">
        <v>789</v>
      </c>
      <c r="G521" s="6" t="s">
        <v>179</v>
      </c>
      <c r="H521" s="6" t="s">
        <v>1007</v>
      </c>
      <c r="I521" s="7">
        <f>'Entity KPIs'!K114</f>
        <v>0.0</v>
      </c>
      <c r="J521" s="13" t="s">
        <v>996</v>
      </c>
    </row>
    <row r="522" spans="1:10">
      <c r="A522" s="6" t="s">
        <v>21</v>
      </c>
      <c r="B522" s="6" t="s">
        <v>1406</v>
      </c>
      <c r="C522" s="6" t="s">
        <v>1407</v>
      </c>
      <c r="D522" s="6" t="s">
        <v>1004</v>
      </c>
      <c r="E522" s="6" t="s">
        <v>793</v>
      </c>
      <c r="F522" s="6" t="s">
        <v>792</v>
      </c>
      <c r="G522" s="6" t="s">
        <v>179</v>
      </c>
      <c r="H522" s="6" t="s">
        <v>1411</v>
      </c>
      <c r="I522" s="7">
        <f>'Entity KPIs'!K115</f>
        <v>1.0</v>
      </c>
      <c r="J522" s="13" t="s">
        <v>996</v>
      </c>
    </row>
    <row r="523" spans="1:10">
      <c r="A523" s="6" t="s">
        <v>21</v>
      </c>
      <c r="B523" s="6" t="s">
        <v>1406</v>
      </c>
      <c r="C523" s="6" t="s">
        <v>1407</v>
      </c>
      <c r="D523" s="6" t="s">
        <v>1004</v>
      </c>
      <c r="E523" s="6" t="s">
        <v>795</v>
      </c>
      <c r="F523" s="6" t="s">
        <v>794</v>
      </c>
      <c r="G523" s="6" t="s">
        <v>179</v>
      </c>
      <c r="H523" s="6" t="s">
        <v>1153</v>
      </c>
      <c r="I523" s="7">
        <f>'Entity KPIs'!K116</f>
        <v>2.0</v>
      </c>
      <c r="J523" s="13" t="s">
        <v>996</v>
      </c>
    </row>
    <row r="524" spans="1:10">
      <c r="A524" s="6" t="s">
        <v>21</v>
      </c>
      <c r="B524" s="6" t="s">
        <v>1406</v>
      </c>
      <c r="C524" s="6" t="s">
        <v>1407</v>
      </c>
      <c r="D524" s="6" t="s">
        <v>1004</v>
      </c>
      <c r="E524" s="6" t="s">
        <v>797</v>
      </c>
      <c r="F524" s="6" t="s">
        <v>796</v>
      </c>
      <c r="G524" s="6" t="s">
        <v>179</v>
      </c>
      <c r="H524" s="6" t="s">
        <v>1007</v>
      </c>
      <c r="I524" s="7">
        <f>'Entity KPIs'!K117</f>
        <v>0.0</v>
      </c>
      <c r="J524" s="13" t="s">
        <v>996</v>
      </c>
    </row>
    <row r="525" spans="1:10">
      <c r="A525" s="6" t="s">
        <v>21</v>
      </c>
      <c r="B525" s="6" t="s">
        <v>1406</v>
      </c>
      <c r="C525" s="6" t="s">
        <v>1407</v>
      </c>
      <c r="D525" s="6" t="s">
        <v>1004</v>
      </c>
      <c r="E525" s="6" t="s">
        <v>799</v>
      </c>
      <c r="F525" s="6" t="s">
        <v>798</v>
      </c>
      <c r="G525" s="6" t="s">
        <v>179</v>
      </c>
      <c r="H525" s="6" t="s">
        <v>1007</v>
      </c>
      <c r="I525" s="7">
        <f>'Entity KPIs'!K118</f>
        <v>0.0</v>
      </c>
      <c r="J525" s="13" t="s">
        <v>996</v>
      </c>
    </row>
    <row r="526" spans="1:10">
      <c r="A526" s="6" t="s">
        <v>21</v>
      </c>
      <c r="B526" s="6" t="s">
        <v>1406</v>
      </c>
      <c r="C526" s="6" t="s">
        <v>1407</v>
      </c>
      <c r="D526" s="6" t="s">
        <v>1004</v>
      </c>
      <c r="E526" s="6" t="s">
        <v>812</v>
      </c>
      <c r="F526" s="6" t="s">
        <v>811</v>
      </c>
      <c r="G526" s="6" t="s">
        <v>179</v>
      </c>
      <c r="H526" s="6" t="s">
        <v>1160</v>
      </c>
      <c r="I526" s="7">
        <f>'Entity KPIs'!K123</f>
        <v>86.0</v>
      </c>
      <c r="J526" s="13" t="s">
        <v>996</v>
      </c>
    </row>
    <row r="527" spans="1:10">
      <c r="A527" s="6" t="s">
        <v>21</v>
      </c>
      <c r="B527" s="6" t="s">
        <v>1406</v>
      </c>
      <c r="C527" s="6" t="s">
        <v>1407</v>
      </c>
      <c r="D527" s="6" t="s">
        <v>1004</v>
      </c>
      <c r="E527" s="6" t="s">
        <v>815</v>
      </c>
      <c r="F527" s="6" t="s">
        <v>814</v>
      </c>
      <c r="G527" s="6" t="s">
        <v>179</v>
      </c>
      <c r="H527" s="6" t="s">
        <v>1412</v>
      </c>
      <c r="I527" s="7">
        <f>'Entity KPIs'!K124</f>
        <v>28.57</v>
      </c>
      <c r="J527" s="13" t="s">
        <v>996</v>
      </c>
    </row>
    <row r="528" spans="1:10">
      <c r="A528" s="6" t="s">
        <v>21</v>
      </c>
      <c r="B528" s="6" t="s">
        <v>1406</v>
      </c>
      <c r="C528" s="6" t="s">
        <v>1407</v>
      </c>
      <c r="D528" s="6" t="s">
        <v>1004</v>
      </c>
      <c r="E528" s="6" t="s">
        <v>1413</v>
      </c>
      <c r="F528" s="6" t="s">
        <v>817</v>
      </c>
      <c r="G528" s="6" t="s">
        <v>179</v>
      </c>
      <c r="H528" s="6" t="s">
        <v>1414</v>
      </c>
      <c r="I528" s="7">
        <f>'Entity KPIs'!K125</f>
        <v>82.14</v>
      </c>
      <c r="J528" s="13" t="s">
        <v>996</v>
      </c>
    </row>
    <row r="529" spans="1:10">
      <c r="A529" s="6" t="s">
        <v>21</v>
      </c>
      <c r="B529" s="6" t="s">
        <v>1406</v>
      </c>
      <c r="C529" s="6" t="s">
        <v>1407</v>
      </c>
      <c r="D529" s="6" t="s">
        <v>1004</v>
      </c>
      <c r="E529" s="6" t="s">
        <v>830</v>
      </c>
      <c r="F529" s="6" t="s">
        <v>829</v>
      </c>
      <c r="G529" s="6" t="s">
        <v>179</v>
      </c>
      <c r="H529" s="6" t="s">
        <v>1415</v>
      </c>
      <c r="I529" s="7">
        <f>'Entity KPIs'!K129</f>
        <v>94.25</v>
      </c>
      <c r="J529" s="14" t="s">
        <v>1001</v>
      </c>
    </row>
    <row r="530" spans="1:10">
      <c r="A530" s="6" t="s">
        <v>21</v>
      </c>
      <c r="B530" s="6" t="s">
        <v>1406</v>
      </c>
      <c r="C530" s="6" t="s">
        <v>1407</v>
      </c>
      <c r="D530" s="6" t="s">
        <v>1004</v>
      </c>
      <c r="E530" s="6" t="s">
        <v>999</v>
      </c>
      <c r="F530" s="6" t="s">
        <v>832</v>
      </c>
      <c r="G530" s="6" t="s">
        <v>179</v>
      </c>
      <c r="H530" s="6" t="s">
        <v>1416</v>
      </c>
      <c r="I530" s="7">
        <f>'Entity KPIs'!K130</f>
        <v>0.23</v>
      </c>
      <c r="J530" s="14" t="s">
        <v>1001</v>
      </c>
    </row>
    <row r="531" spans="1:10">
      <c r="A531" s="6" t="s">
        <v>21</v>
      </c>
      <c r="B531" s="6" t="s">
        <v>1406</v>
      </c>
      <c r="C531" s="6" t="s">
        <v>1407</v>
      </c>
      <c r="D531" s="6" t="s">
        <v>1004</v>
      </c>
      <c r="E531" s="6" t="s">
        <v>1002</v>
      </c>
      <c r="F531" s="6" t="s">
        <v>838</v>
      </c>
      <c r="G531" s="6" t="s">
        <v>179</v>
      </c>
      <c r="H531" s="6" t="s">
        <v>1417</v>
      </c>
      <c r="I531" s="7">
        <f>'Entity KPIs'!K132</f>
        <v>0.17</v>
      </c>
      <c r="J531" s="13" t="s">
        <v>996</v>
      </c>
    </row>
    <row r="532" spans="1:10">
      <c r="A532" s="6" t="s">
        <v>21</v>
      </c>
      <c r="B532" s="6" t="s">
        <v>1418</v>
      </c>
      <c r="C532" s="6" t="s">
        <v>1419</v>
      </c>
      <c r="D532" s="6" t="s">
        <v>1031</v>
      </c>
      <c r="E532" s="6" t="s">
        <v>842</v>
      </c>
      <c r="F532" s="6" t="s">
        <v>841</v>
      </c>
      <c r="G532" s="6" t="s">
        <v>179</v>
      </c>
      <c r="H532" s="6" t="s">
        <v>995</v>
      </c>
      <c r="I532" s="7">
        <f>'Entity KPIs'!K133</f>
        <v>1.0</v>
      </c>
      <c r="J532" s="13" t="s">
        <v>996</v>
      </c>
    </row>
    <row r="533" spans="1:10">
      <c r="A533" s="6" t="s">
        <v>21</v>
      </c>
      <c r="B533" s="6" t="s">
        <v>1418</v>
      </c>
      <c r="C533" s="6" t="s">
        <v>1419</v>
      </c>
      <c r="D533" s="6" t="s">
        <v>1031</v>
      </c>
      <c r="E533" s="6" t="s">
        <v>847</v>
      </c>
      <c r="F533" s="6" t="s">
        <v>846</v>
      </c>
      <c r="G533" s="6" t="s">
        <v>179</v>
      </c>
      <c r="H533" s="6" t="s">
        <v>1007</v>
      </c>
      <c r="I533" s="7">
        <f>'Entity KPIs'!K135</f>
        <v>0.0</v>
      </c>
      <c r="J533" s="13" t="s">
        <v>996</v>
      </c>
    </row>
    <row r="534" spans="1:10">
      <c r="A534" s="6" t="s">
        <v>21</v>
      </c>
      <c r="B534" s="6" t="s">
        <v>1418</v>
      </c>
      <c r="C534" s="6" t="s">
        <v>1419</v>
      </c>
      <c r="D534" s="6" t="s">
        <v>1031</v>
      </c>
      <c r="E534" s="6" t="s">
        <v>1148</v>
      </c>
      <c r="F534" s="6" t="s">
        <v>848</v>
      </c>
      <c r="G534" s="6" t="s">
        <v>179</v>
      </c>
      <c r="H534" s="6" t="s">
        <v>1420</v>
      </c>
      <c r="I534" s="7">
        <f>'Entity KPIs'!K136</f>
        <v>2.78</v>
      </c>
      <c r="J534" s="14" t="s">
        <v>1001</v>
      </c>
    </row>
    <row r="535" spans="1:10">
      <c r="A535" s="6" t="s">
        <v>21</v>
      </c>
      <c r="B535" s="6" t="s">
        <v>1418</v>
      </c>
      <c r="C535" s="6" t="s">
        <v>1419</v>
      </c>
      <c r="D535" s="6" t="s">
        <v>1031</v>
      </c>
      <c r="E535" s="6" t="s">
        <v>1150</v>
      </c>
      <c r="F535" s="6" t="s">
        <v>851</v>
      </c>
      <c r="G535" s="6" t="s">
        <v>179</v>
      </c>
      <c r="H535" s="6" t="s">
        <v>1130</v>
      </c>
      <c r="I535" s="7">
        <f>'Entity KPIs'!K137</f>
        <v>3.0</v>
      </c>
      <c r="J535" s="13" t="s">
        <v>996</v>
      </c>
    </row>
    <row r="536" spans="1:10">
      <c r="A536" s="6" t="s">
        <v>21</v>
      </c>
      <c r="B536" s="6" t="s">
        <v>1418</v>
      </c>
      <c r="C536" s="6" t="s">
        <v>1419</v>
      </c>
      <c r="D536" s="6" t="s">
        <v>1031</v>
      </c>
      <c r="E536" s="6" t="s">
        <v>1152</v>
      </c>
      <c r="F536" s="6" t="s">
        <v>854</v>
      </c>
      <c r="G536" s="6" t="s">
        <v>179</v>
      </c>
      <c r="H536" s="6" t="s">
        <v>1153</v>
      </c>
      <c r="I536" s="7">
        <f>'Entity KPIs'!K138</f>
        <v>3.0</v>
      </c>
      <c r="J536" s="14" t="s">
        <v>1001</v>
      </c>
    </row>
    <row r="537" spans="1:10">
      <c r="A537" s="6" t="s">
        <v>21</v>
      </c>
      <c r="B537" s="6" t="s">
        <v>1418</v>
      </c>
      <c r="C537" s="6" t="s">
        <v>1419</v>
      </c>
      <c r="D537" s="6" t="s">
        <v>1031</v>
      </c>
      <c r="E537" s="6" t="s">
        <v>1154</v>
      </c>
      <c r="F537" s="6" t="s">
        <v>858</v>
      </c>
      <c r="G537" s="6" t="s">
        <v>179</v>
      </c>
      <c r="H537" s="6" t="s">
        <v>1421</v>
      </c>
      <c r="I537" s="8" t="str">
        <f>'Entity KPIs'!K139</f>
        <v>4 of 4</v>
      </c>
      <c r="J537" s="14" t="s">
        <v>1001</v>
      </c>
    </row>
    <row r="538" spans="1:10">
      <c r="A538" s="6" t="s">
        <v>21</v>
      </c>
      <c r="B538" s="6" t="s">
        <v>1422</v>
      </c>
      <c r="C538" s="6" t="s">
        <v>1423</v>
      </c>
      <c r="D538" s="6" t="s">
        <v>994</v>
      </c>
      <c r="E538" s="6" t="s">
        <v>1158</v>
      </c>
      <c r="F538" s="6" t="s">
        <v>488</v>
      </c>
      <c r="G538" s="6" t="s">
        <v>179</v>
      </c>
      <c r="H538" s="6" t="s">
        <v>1336</v>
      </c>
      <c r="I538" s="7">
        <f>'Entity KPIs'!K13</f>
        <v>2853.05</v>
      </c>
      <c r="J538" s="14" t="s">
        <v>1001</v>
      </c>
    </row>
    <row r="539" spans="1:10">
      <c r="A539" s="6" t="s">
        <v>21</v>
      </c>
      <c r="B539" s="6" t="s">
        <v>1422</v>
      </c>
      <c r="C539" s="6" t="s">
        <v>1423</v>
      </c>
      <c r="D539" s="6" t="s">
        <v>994</v>
      </c>
      <c r="E539" s="6" t="s">
        <v>559</v>
      </c>
      <c r="F539" s="6" t="s">
        <v>558</v>
      </c>
      <c r="G539" s="6" t="s">
        <v>179</v>
      </c>
      <c r="H539" s="6" t="s">
        <v>1302</v>
      </c>
      <c r="I539" s="7">
        <f>'Entity KPIs'!K38</f>
        <v>890.55</v>
      </c>
      <c r="J539" s="14" t="s">
        <v>1001</v>
      </c>
    </row>
    <row r="540" spans="1:10">
      <c r="A540" s="6" t="s">
        <v>21</v>
      </c>
      <c r="B540" s="6" t="s">
        <v>1422</v>
      </c>
      <c r="C540" s="6" t="s">
        <v>1423</v>
      </c>
      <c r="D540" s="6" t="s">
        <v>994</v>
      </c>
      <c r="E540" s="6" t="s">
        <v>564</v>
      </c>
      <c r="F540" s="6" t="s">
        <v>563</v>
      </c>
      <c r="G540" s="6" t="s">
        <v>179</v>
      </c>
      <c r="H540" s="6" t="s">
        <v>1304</v>
      </c>
      <c r="I540" s="7">
        <f>'Entity KPIs'!K39</f>
        <v>610.05</v>
      </c>
      <c r="J540" s="14" t="s">
        <v>1001</v>
      </c>
    </row>
    <row r="541" spans="1:10">
      <c r="A541" s="6" t="s">
        <v>21</v>
      </c>
      <c r="B541" s="6" t="s">
        <v>1422</v>
      </c>
      <c r="C541" s="6" t="s">
        <v>1423</v>
      </c>
      <c r="D541" s="6" t="s">
        <v>994</v>
      </c>
      <c r="E541" s="6" t="s">
        <v>567</v>
      </c>
      <c r="F541" s="6" t="s">
        <v>566</v>
      </c>
      <c r="G541" s="6" t="s">
        <v>179</v>
      </c>
      <c r="H541" s="6" t="s">
        <v>1424</v>
      </c>
      <c r="I541" s="7">
        <f>'Entity KPIs'!K40</f>
        <v>6972.32</v>
      </c>
      <c r="J541" s="14" t="s">
        <v>1001</v>
      </c>
    </row>
    <row r="542" spans="1:10">
      <c r="A542" s="6" t="s">
        <v>21</v>
      </c>
      <c r="B542" s="6" t="s">
        <v>1422</v>
      </c>
      <c r="C542" s="6" t="s">
        <v>1423</v>
      </c>
      <c r="D542" s="6" t="s">
        <v>994</v>
      </c>
      <c r="E542" s="6" t="s">
        <v>1023</v>
      </c>
      <c r="F542" s="6" t="s">
        <v>569</v>
      </c>
      <c r="G542" s="6" t="s">
        <v>179</v>
      </c>
      <c r="H542" s="6" t="s">
        <v>1425</v>
      </c>
      <c r="I542" s="7">
        <f>'Entity KPIs'!K41</f>
        <v>337.63</v>
      </c>
      <c r="J542" s="14" t="s">
        <v>1001</v>
      </c>
    </row>
    <row r="543" spans="1:10">
      <c r="A543" s="6" t="s">
        <v>21</v>
      </c>
      <c r="B543" s="6" t="s">
        <v>1422</v>
      </c>
      <c r="C543" s="6" t="s">
        <v>1423</v>
      </c>
      <c r="D543" s="6" t="s">
        <v>994</v>
      </c>
      <c r="E543" s="6" t="s">
        <v>1426</v>
      </c>
      <c r="F543" s="6" t="s">
        <v>572</v>
      </c>
      <c r="G543" s="6" t="s">
        <v>179</v>
      </c>
      <c r="H543" s="6" t="s">
        <v>1306</v>
      </c>
      <c r="I543" s="7">
        <f>'Entity KPIs'!K42</f>
        <v>11.08</v>
      </c>
      <c r="J543" s="14" t="s">
        <v>1001</v>
      </c>
    </row>
    <row r="544" spans="1:10">
      <c r="A544" s="6" t="s">
        <v>21</v>
      </c>
      <c r="B544" s="6" t="s">
        <v>1422</v>
      </c>
      <c r="C544" s="6" t="s">
        <v>1423</v>
      </c>
      <c r="D544" s="6" t="s">
        <v>1031</v>
      </c>
      <c r="E544" s="6" t="s">
        <v>1427</v>
      </c>
      <c r="F544" s="6" t="s">
        <v>904</v>
      </c>
      <c r="G544" s="6" t="s">
        <v>179</v>
      </c>
      <c r="H544" s="6" t="s">
        <v>1428</v>
      </c>
      <c r="I544" s="7">
        <f>'Entity KPIs'!K152</f>
        <v>-36.4</v>
      </c>
      <c r="J544" s="14" t="s">
        <v>1001</v>
      </c>
    </row>
    <row r="545" spans="1:10">
      <c r="A545" s="6" t="s">
        <v>21</v>
      </c>
      <c r="B545" s="6" t="s">
        <v>1422</v>
      </c>
      <c r="C545" s="6" t="s">
        <v>1423</v>
      </c>
      <c r="D545" s="6" t="s">
        <v>1031</v>
      </c>
      <c r="E545" s="6" t="s">
        <v>1429</v>
      </c>
      <c r="F545" s="6" t="s">
        <v>907</v>
      </c>
      <c r="G545" s="6" t="s">
        <v>179</v>
      </c>
      <c r="H545" s="6" t="s">
        <v>1430</v>
      </c>
      <c r="I545" s="7">
        <f>'Entity KPIs'!K153</f>
        <v>13.51</v>
      </c>
      <c r="J545" s="14" t="s">
        <v>1001</v>
      </c>
    </row>
    <row r="546" spans="1:10">
      <c r="A546" s="6" t="s">
        <v>21</v>
      </c>
      <c r="B546" s="6" t="s">
        <v>1422</v>
      </c>
      <c r="C546" s="6" t="s">
        <v>1423</v>
      </c>
      <c r="D546" s="6" t="s">
        <v>1031</v>
      </c>
      <c r="E546" s="6" t="s">
        <v>1431</v>
      </c>
      <c r="F546" s="6" t="s">
        <v>916</v>
      </c>
      <c r="G546" s="6" t="s">
        <v>179</v>
      </c>
      <c r="H546" s="6" t="s">
        <v>1323</v>
      </c>
      <c r="I546" s="7">
        <f>'Entity KPIs'!K156</f>
        <v>85.18</v>
      </c>
      <c r="J546" s="14" t="s">
        <v>1001</v>
      </c>
    </row>
    <row r="547" spans="1:10">
      <c r="A547" s="6" t="s">
        <v>21</v>
      </c>
      <c r="B547" s="6" t="s">
        <v>1422</v>
      </c>
      <c r="C547" s="6" t="s">
        <v>1423</v>
      </c>
      <c r="D547" s="6" t="s">
        <v>1004</v>
      </c>
      <c r="E547" s="6" t="s">
        <v>1158</v>
      </c>
      <c r="F547" s="6" t="s">
        <v>488</v>
      </c>
      <c r="G547" s="6" t="s">
        <v>179</v>
      </c>
      <c r="H547" s="6" t="s">
        <v>1336</v>
      </c>
      <c r="I547" s="7">
        <f>'Entity KPIs'!K13</f>
        <v>2853.05</v>
      </c>
      <c r="J547" s="14" t="s">
        <v>1001</v>
      </c>
    </row>
    <row r="548" spans="1:10">
      <c r="A548" s="6" t="s">
        <v>21</v>
      </c>
      <c r="B548" s="6" t="s">
        <v>1422</v>
      </c>
      <c r="C548" s="6" t="s">
        <v>1423</v>
      </c>
      <c r="D548" s="6" t="s">
        <v>1004</v>
      </c>
      <c r="E548" s="6" t="s">
        <v>1174</v>
      </c>
      <c r="F548" s="6" t="s">
        <v>492</v>
      </c>
      <c r="G548" s="6" t="s">
        <v>179</v>
      </c>
      <c r="H548" s="6" t="s">
        <v>1337</v>
      </c>
      <c r="I548" s="7">
        <f>'Entity KPIs'!K14</f>
        <v>900069.4</v>
      </c>
      <c r="J548" s="14" t="s">
        <v>1001</v>
      </c>
    </row>
    <row r="549" spans="1:10">
      <c r="A549" s="6" t="s">
        <v>21</v>
      </c>
      <c r="B549" s="6" t="s">
        <v>1422</v>
      </c>
      <c r="C549" s="6" t="s">
        <v>1423</v>
      </c>
      <c r="D549" s="6" t="s">
        <v>1004</v>
      </c>
      <c r="E549" s="6" t="s">
        <v>902</v>
      </c>
      <c r="F549" s="6" t="s">
        <v>901</v>
      </c>
      <c r="G549" s="6" t="s">
        <v>179</v>
      </c>
      <c r="H549" s="6" t="s">
        <v>1432</v>
      </c>
      <c r="I549" s="7">
        <f>'Entity KPIs'!K151</f>
        <v>21.44</v>
      </c>
      <c r="J549" s="14" t="s">
        <v>1001</v>
      </c>
    </row>
    <row r="550" spans="1:10">
      <c r="A550" s="6" t="s">
        <v>21</v>
      </c>
      <c r="B550" s="6" t="s">
        <v>1422</v>
      </c>
      <c r="C550" s="6" t="s">
        <v>1423</v>
      </c>
      <c r="D550" s="6" t="s">
        <v>1004</v>
      </c>
      <c r="E550" s="6" t="s">
        <v>911</v>
      </c>
      <c r="F550" s="6" t="s">
        <v>910</v>
      </c>
      <c r="G550" s="6" t="s">
        <v>179</v>
      </c>
      <c r="H550" s="6" t="s">
        <v>1433</v>
      </c>
      <c r="I550" s="7">
        <f>'Entity KPIs'!K154</f>
        <v>5.36</v>
      </c>
      <c r="J550" s="14" t="s">
        <v>1001</v>
      </c>
    </row>
    <row r="551" spans="1:10">
      <c r="A551" s="6" t="s">
        <v>21</v>
      </c>
      <c r="B551" s="6" t="s">
        <v>1422</v>
      </c>
      <c r="C551" s="6" t="s">
        <v>1423</v>
      </c>
      <c r="D551" s="6" t="s">
        <v>1004</v>
      </c>
      <c r="E551" s="6" t="s">
        <v>914</v>
      </c>
      <c r="F551" s="6" t="s">
        <v>913</v>
      </c>
      <c r="G551" s="6" t="s">
        <v>179</v>
      </c>
      <c r="H551" s="6" t="s">
        <v>1434</v>
      </c>
      <c r="I551" s="7">
        <f>'Entity KPIs'!K155</f>
        <v>1442.13</v>
      </c>
      <c r="J551" s="14" t="s">
        <v>1001</v>
      </c>
    </row>
    <row r="552" spans="1:10">
      <c r="A552" s="6" t="s">
        <v>21</v>
      </c>
      <c r="B552" s="6" t="s">
        <v>1435</v>
      </c>
      <c r="C552" s="6" t="s">
        <v>1189</v>
      </c>
      <c r="D552" s="6" t="s">
        <v>994</v>
      </c>
      <c r="E552" s="6" t="s">
        <v>1190</v>
      </c>
      <c r="F552" s="6" t="s">
        <v>453</v>
      </c>
      <c r="G552" s="6" t="s">
        <v>179</v>
      </c>
      <c r="H552" s="6" t="s">
        <v>1191</v>
      </c>
      <c r="I552" s="7">
        <f>'Entity KPIs'!K2</f>
        <v>91.27</v>
      </c>
      <c r="J552" s="14" t="s">
        <v>1001</v>
      </c>
    </row>
    <row r="553" spans="1:10">
      <c r="A553" s="6" t="s">
        <v>21</v>
      </c>
      <c r="B553" s="6" t="s">
        <v>1436</v>
      </c>
      <c r="C553" s="6" t="s">
        <v>1437</v>
      </c>
      <c r="D553" s="6" t="s">
        <v>994</v>
      </c>
      <c r="E553" s="6" t="s">
        <v>1289</v>
      </c>
      <c r="F553" s="6" t="s">
        <v>874</v>
      </c>
      <c r="G553" s="6" t="s">
        <v>187</v>
      </c>
      <c r="H553" s="6" t="s">
        <v>1033</v>
      </c>
      <c r="I553" s="7">
        <f>'Plant KPIs'!Q59</f>
        <v>4.0</v>
      </c>
      <c r="J553" s="13" t="s">
        <v>996</v>
      </c>
    </row>
    <row r="554" spans="1:10">
      <c r="A554" s="6" t="s">
        <v>21</v>
      </c>
      <c r="B554" s="6" t="s">
        <v>1436</v>
      </c>
      <c r="C554" s="6" t="s">
        <v>1437</v>
      </c>
      <c r="D554" s="6" t="s">
        <v>994</v>
      </c>
      <c r="E554" s="6" t="s">
        <v>1438</v>
      </c>
      <c r="F554" s="6" t="s">
        <v>878</v>
      </c>
      <c r="G554" s="6" t="s">
        <v>179</v>
      </c>
      <c r="H554" s="6" t="s">
        <v>1439</v>
      </c>
      <c r="I554" s="7">
        <f>'Entity KPIs'!K145</f>
        <v>79.36</v>
      </c>
      <c r="J554" s="14" t="s">
        <v>1001</v>
      </c>
    </row>
    <row r="555" spans="1:10">
      <c r="A555" s="6" t="s">
        <v>21</v>
      </c>
      <c r="B555" s="6" t="s">
        <v>1436</v>
      </c>
      <c r="C555" s="6" t="s">
        <v>1437</v>
      </c>
      <c r="D555" s="6" t="s">
        <v>994</v>
      </c>
      <c r="E555" s="6" t="s">
        <v>1440</v>
      </c>
      <c r="F555" s="6" t="s">
        <v>882</v>
      </c>
      <c r="G555" s="6" t="s">
        <v>179</v>
      </c>
      <c r="H555" s="6" t="s">
        <v>1441</v>
      </c>
      <c r="I555" s="7">
        <f>'Entity KPIs'!K146</f>
        <v>-48.53</v>
      </c>
      <c r="J555" s="14" t="s">
        <v>1001</v>
      </c>
    </row>
    <row r="556" spans="1:10">
      <c r="A556" s="6" t="s">
        <v>21</v>
      </c>
      <c r="B556" s="6" t="s">
        <v>1436</v>
      </c>
      <c r="C556" s="6" t="s">
        <v>1437</v>
      </c>
      <c r="D556" s="6" t="s">
        <v>994</v>
      </c>
      <c r="E556" s="6" t="s">
        <v>1442</v>
      </c>
      <c r="F556" s="6" t="s">
        <v>885</v>
      </c>
      <c r="G556" s="6" t="s">
        <v>179</v>
      </c>
      <c r="H556" s="6" t="s">
        <v>1056</v>
      </c>
      <c r="I556" s="8" t="str">
        <f>'Entity KPIs'!K147</f>
        <v>None within 90 d</v>
      </c>
      <c r="J556" s="13" t="s">
        <v>996</v>
      </c>
    </row>
    <row r="557" spans="1:10">
      <c r="A557" s="6" t="s">
        <v>21</v>
      </c>
      <c r="B557" s="6" t="s">
        <v>1436</v>
      </c>
      <c r="C557" s="6" t="s">
        <v>1437</v>
      </c>
      <c r="D557" s="6" t="s">
        <v>994</v>
      </c>
      <c r="E557" s="6" t="s">
        <v>1443</v>
      </c>
      <c r="F557" s="6" t="s">
        <v>890</v>
      </c>
      <c r="G557" s="6" t="s">
        <v>179</v>
      </c>
      <c r="H557" s="6" t="s">
        <v>1444</v>
      </c>
      <c r="I557" s="8" t="str">
        <f>'Entity KPIs'!K148</f>
        <v>Not forecast</v>
      </c>
      <c r="J557" s="14" t="s">
        <v>1001</v>
      </c>
    </row>
  </sheetData>
  <autoFilter ref="A1:J55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6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customWidth="1"/>
    <col min="2" max="2" width="32.7109375" customWidth="1"/>
    <col min="3" max="3" width="11.7109375" customWidth="1"/>
    <col min="4" max="4" width="12.7109375" customWidth="1"/>
    <col min="5" max="5" width="46.7109375" customWidth="1"/>
    <col min="6" max="11" width="13.7109375" customWidth="1"/>
  </cols>
  <sheetData>
    <row r="1" spans="1:11">
      <c r="A1" s="5" t="s">
        <v>442</v>
      </c>
      <c r="B1" s="5" t="s">
        <v>443</v>
      </c>
      <c r="C1" s="5" t="s">
        <v>444</v>
      </c>
      <c r="D1" s="5" t="s">
        <v>445</v>
      </c>
      <c r="E1" s="5" t="s">
        <v>446</v>
      </c>
      <c r="F1" s="5" t="s">
        <v>447</v>
      </c>
      <c r="G1" s="5" t="s">
        <v>448</v>
      </c>
      <c r="H1" s="5" t="s">
        <v>449</v>
      </c>
      <c r="I1" s="5" t="s">
        <v>450</v>
      </c>
      <c r="J1" s="5" t="s">
        <v>451</v>
      </c>
      <c r="K1" s="5" t="s">
        <v>452</v>
      </c>
    </row>
    <row r="2" spans="1:11">
      <c r="A2" s="6" t="s">
        <v>453</v>
      </c>
      <c r="B2" s="6" t="s">
        <v>454</v>
      </c>
      <c r="C2" s="6" t="s">
        <v>455</v>
      </c>
      <c r="D2" s="6" t="s">
        <v>25</v>
      </c>
      <c r="E2" s="6" t="s">
        <v>456</v>
      </c>
      <c r="F2" s="7">
        <f>ROUND(IFERROR(100*'Group Inputs'!M4/'Group Inputs'!K4,0),2)</f>
        <v>96.24</v>
      </c>
      <c r="G2" s="7">
        <f>ROUND(IFERROR(100*'Group Inputs'!M5/'Group Inputs'!K5,0),2)</f>
        <v>91.56</v>
      </c>
      <c r="H2" s="7">
        <f>ROUND(IFERROR(100*'Group Inputs'!M6/'Group Inputs'!K6,0),2)</f>
        <v>89.93</v>
      </c>
      <c r="I2" s="7">
        <f>ROUND(IFERROR(100*'Group Inputs'!M7/'Group Inputs'!K7,0),2)</f>
        <v>94.02</v>
      </c>
      <c r="J2" s="7">
        <f>ROUND(IFERROR(100*'Group Inputs'!M8/'Group Inputs'!K8,0),2)</f>
        <v>92.36</v>
      </c>
      <c r="K2" s="7">
        <f>ROUND(IFERROR(100*'Group Inputs'!M9/'Group Inputs'!K9,0),2)</f>
        <v>95.51</v>
      </c>
    </row>
    <row r="3" spans="1:11">
      <c r="A3" s="6" t="s">
        <v>457</v>
      </c>
      <c r="B3" s="6" t="s">
        <v>458</v>
      </c>
      <c r="C3" s="6" t="s">
        <v>455</v>
      </c>
      <c r="D3" s="6" t="s">
        <v>25</v>
      </c>
      <c r="E3" s="6" t="s">
        <v>459</v>
      </c>
      <c r="F3" s="7">
        <f>ROUND(IFERROR(100*'Group Inputs'!M4/'Group Inputs'!J4,0),2)</f>
        <v>83.98</v>
      </c>
      <c r="G3" s="7">
        <f>ROUND(IFERROR(100*'Group Inputs'!M5/'Group Inputs'!J5,0),2)</f>
        <v>76.21</v>
      </c>
      <c r="H3" s="7">
        <f>ROUND(IFERROR(100*'Group Inputs'!M6/'Group Inputs'!J6,0),2)</f>
        <v>79.77</v>
      </c>
      <c r="I3" s="7">
        <f>ROUND(IFERROR(100*'Group Inputs'!M7/'Group Inputs'!J7,0),2)</f>
        <v>82.31</v>
      </c>
      <c r="J3" s="7">
        <f>ROUND(IFERROR(100*'Group Inputs'!M8/'Group Inputs'!J8,0),2)</f>
        <v>78.87</v>
      </c>
      <c r="K3" s="7">
        <f>ROUND(IFERROR(100*'Group Inputs'!M9/'Group Inputs'!J9,0),2)</f>
        <v>83.44</v>
      </c>
    </row>
    <row r="4" spans="1:11">
      <c r="A4" s="6" t="s">
        <v>460</v>
      </c>
      <c r="B4" s="6" t="s">
        <v>461</v>
      </c>
      <c r="C4" s="6" t="s">
        <v>455</v>
      </c>
      <c r="D4" s="6" t="s">
        <v>25</v>
      </c>
      <c r="E4" s="6" t="s">
        <v>462</v>
      </c>
      <c r="F4" s="7">
        <f>ROUND(IFERROR(100*'Group Inputs'!G4/'Group Inputs'!E4,0),2)</f>
        <v>95.22</v>
      </c>
      <c r="G4" s="7">
        <f>ROUND(IFERROR(100*'Group Inputs'!G5/'Group Inputs'!E5,0),2)</f>
        <v>88.71</v>
      </c>
      <c r="H4" s="7">
        <f>ROUND(IFERROR(100*'Group Inputs'!G6/'Group Inputs'!E6,0),2)</f>
        <v>94.06</v>
      </c>
      <c r="I4" s="7">
        <f>ROUND(IFERROR(100*'Group Inputs'!G7/'Group Inputs'!E7,0),2)</f>
        <v>93.6</v>
      </c>
      <c r="J4" s="7">
        <f>ROUND(IFERROR(100*'Group Inputs'!G8/'Group Inputs'!E8,0),2)</f>
        <v>90.1</v>
      </c>
      <c r="K4" s="7">
        <f>ROUND(IFERROR(100*'Group Inputs'!G9/'Group Inputs'!E9,0),2)</f>
        <v>93.64</v>
      </c>
    </row>
    <row r="5" spans="1:11">
      <c r="A5" s="6" t="s">
        <v>463</v>
      </c>
      <c r="B5" s="6" t="s">
        <v>464</v>
      </c>
      <c r="C5" s="6" t="s">
        <v>455</v>
      </c>
      <c r="D5" s="6" t="s">
        <v>25</v>
      </c>
      <c r="E5" s="6" t="s">
        <v>465</v>
      </c>
      <c r="F5" s="7">
        <f>ROUND(IFERROR(100*'Group Inputs'!M4/'Group Inputs'!I4,0),2)</f>
        <v>84.74</v>
      </c>
      <c r="G5" s="7">
        <f>ROUND(IFERROR(100*'Group Inputs'!M5/'Group Inputs'!I5,0),2)</f>
        <v>81.53</v>
      </c>
      <c r="H5" s="7">
        <f>ROUND(IFERROR(100*'Group Inputs'!M6/'Group Inputs'!I6,0),2)</f>
        <v>80.23</v>
      </c>
      <c r="I5" s="7">
        <f>ROUND(IFERROR(100*'Group Inputs'!M7/'Group Inputs'!I7,0),2)</f>
        <v>82.78</v>
      </c>
      <c r="J5" s="7">
        <f>ROUND(IFERROR(100*'Group Inputs'!M8/'Group Inputs'!I8,0),2)</f>
        <v>82.21</v>
      </c>
      <c r="K5" s="7">
        <f>ROUND(IFERROR(100*'Group Inputs'!M9/'Group Inputs'!I9,0),2)</f>
        <v>84.07</v>
      </c>
    </row>
    <row r="6" spans="1:11">
      <c r="A6" s="6" t="s">
        <v>466</v>
      </c>
      <c r="B6" s="6" t="s">
        <v>467</v>
      </c>
      <c r="C6" s="6" t="s">
        <v>455</v>
      </c>
      <c r="D6" s="6" t="s">
        <v>25</v>
      </c>
      <c r="E6" s="6" t="s">
        <v>468</v>
      </c>
      <c r="F6" s="7">
        <f>ROUND(IFERROR(100*'Group Inputs'!P4/'Group Inputs'!O4,0),2)</f>
        <v>86.99</v>
      </c>
      <c r="G6" s="7">
        <f>ROUND(IFERROR(100*'Group Inputs'!P5/'Group Inputs'!O5,0),2)</f>
        <v>86.1</v>
      </c>
      <c r="H6" s="7">
        <f>ROUND(IFERROR(100*'Group Inputs'!P6/'Group Inputs'!O6,0),2)</f>
        <v>88.15</v>
      </c>
      <c r="I6" s="7">
        <f>ROUND(IFERROR(100*'Group Inputs'!P7/'Group Inputs'!O7,0),2)</f>
        <v>87.16</v>
      </c>
      <c r="J6" s="7">
        <f>ROUND(IFERROR(100*'Group Inputs'!P8/'Group Inputs'!O8,0),2)</f>
        <v>88.51</v>
      </c>
      <c r="K6" s="7">
        <f>ROUND(IFERROR(100*'Group Inputs'!P9/'Group Inputs'!O9,0),2)</f>
        <v>87.35</v>
      </c>
    </row>
    <row r="7" spans="1:11">
      <c r="A7" s="6" t="s">
        <v>469</v>
      </c>
      <c r="B7" s="6" t="s">
        <v>470</v>
      </c>
      <c r="C7" s="6" t="s">
        <v>455</v>
      </c>
      <c r="D7" s="6" t="s">
        <v>25</v>
      </c>
      <c r="E7" s="6" t="s">
        <v>471</v>
      </c>
      <c r="F7" s="7">
        <f>ROUND(IFERROR(100*'Group Inputs'!M4/'Group Inputs'!N4,0),2)</f>
        <v>90.5</v>
      </c>
      <c r="G7" s="7">
        <f>ROUND(IFERROR(100*'Group Inputs'!M5/'Group Inputs'!N5,0),2)</f>
        <v>92.35</v>
      </c>
      <c r="H7" s="7">
        <f>ROUND(IFERROR(100*'Group Inputs'!M6/'Group Inputs'!N6,0),2)</f>
        <v>91.47</v>
      </c>
      <c r="I7" s="7">
        <f>ROUND(IFERROR(100*'Group Inputs'!M7/'Group Inputs'!N7,0),2)</f>
        <v>91.45</v>
      </c>
      <c r="J7" s="7">
        <f>ROUND(IFERROR(100*'Group Inputs'!M8/'Group Inputs'!N8,0),2)</f>
        <v>91.09</v>
      </c>
      <c r="K7" s="7">
        <f>ROUND(IFERROR(100*'Group Inputs'!M9/'Group Inputs'!N9,0),2)</f>
        <v>91.93</v>
      </c>
    </row>
    <row r="8" spans="1:11">
      <c r="A8" s="6" t="s">
        <v>472</v>
      </c>
      <c r="B8" s="6" t="s">
        <v>473</v>
      </c>
      <c r="C8" s="6" t="s">
        <v>474</v>
      </c>
      <c r="D8" s="6" t="s">
        <v>25</v>
      </c>
      <c r="E8" s="6" t="s">
        <v>475</v>
      </c>
      <c r="F8" s="7">
        <f>ROUND(IFERROR('Group Inputs'!G4/'Group Inputs'!R4,0),2)</f>
        <v>293.82</v>
      </c>
      <c r="G8" s="7">
        <f>ROUND(IFERROR('Group Inputs'!G5/'Group Inputs'!R5,0),2)</f>
        <v>188.58</v>
      </c>
      <c r="H8" s="7">
        <f>ROUND(IFERROR('Group Inputs'!G6/'Group Inputs'!R6,0),2)</f>
        <v>239.02</v>
      </c>
      <c r="I8" s="7">
        <f>ROUND(IFERROR('Group Inputs'!G7/'Group Inputs'!R7,0),2)</f>
        <v>189.91</v>
      </c>
      <c r="J8" s="7">
        <f>ROUND(IFERROR('Group Inputs'!G8/'Group Inputs'!R8,0),2)</f>
        <v>211.68</v>
      </c>
      <c r="K8" s="7">
        <f>ROUND(IFERROR('Group Inputs'!G9/'Group Inputs'!R9,0),2)</f>
        <v>269.69</v>
      </c>
    </row>
    <row r="9" spans="1:11">
      <c r="A9" s="6" t="s">
        <v>476</v>
      </c>
      <c r="B9" s="6" t="s">
        <v>477</v>
      </c>
      <c r="C9" s="6" t="s">
        <v>474</v>
      </c>
      <c r="D9" s="6" t="s">
        <v>25</v>
      </c>
      <c r="E9" s="6" t="s">
        <v>478</v>
      </c>
      <c r="F9" s="7">
        <f>ROUND(IFERROR('Group Inputs'!S4/'Group Inputs'!R4,0),2)</f>
        <v>5.08</v>
      </c>
      <c r="G9" s="7">
        <f>ROUND(IFERROR('Group Inputs'!S5/'Group Inputs'!R5,0),2)</f>
        <v>6.16</v>
      </c>
      <c r="H9" s="7">
        <f>ROUND(IFERROR('Group Inputs'!S6/'Group Inputs'!R6,0),2)</f>
        <v>6.58</v>
      </c>
      <c r="I9" s="7">
        <f>ROUND(IFERROR('Group Inputs'!S7/'Group Inputs'!R7,0),2)</f>
        <v>6.69</v>
      </c>
      <c r="J9" s="7">
        <f>ROUND(IFERROR('Group Inputs'!S8/'Group Inputs'!R8,0),2)</f>
        <v>6.91</v>
      </c>
      <c r="K9" s="7">
        <f>ROUND(IFERROR('Group Inputs'!S9/'Group Inputs'!R9,0),2)</f>
        <v>7.83</v>
      </c>
    </row>
    <row r="10" spans="1:11">
      <c r="A10" s="6" t="s">
        <v>479</v>
      </c>
      <c r="B10" s="6" t="s">
        <v>480</v>
      </c>
      <c r="C10" s="6" t="s">
        <v>474</v>
      </c>
      <c r="D10" s="6" t="s">
        <v>25</v>
      </c>
      <c r="E10" s="6" t="s">
        <v>480</v>
      </c>
      <c r="F10" s="7">
        <f>ROUND('Group Inputs'!H4,2)</f>
        <v>103.9</v>
      </c>
      <c r="G10" s="7">
        <f>ROUND('Group Inputs'!H5,2)</f>
        <v>167.9</v>
      </c>
      <c r="H10" s="7">
        <f>ROUND('Group Inputs'!H6,2)</f>
        <v>142.0</v>
      </c>
      <c r="I10" s="7">
        <f>ROUND('Group Inputs'!H7,2)</f>
        <v>185.3</v>
      </c>
      <c r="J10" s="7">
        <f>ROUND('Group Inputs'!H8,2)</f>
        <v>164.0</v>
      </c>
      <c r="K10" s="7">
        <f>ROUND('Group Inputs'!H9,2)</f>
        <v>154.4</v>
      </c>
    </row>
    <row r="11" spans="1:11">
      <c r="A11" s="6" t="s">
        <v>481</v>
      </c>
      <c r="B11" s="6" t="s">
        <v>482</v>
      </c>
      <c r="C11" s="6" t="s">
        <v>483</v>
      </c>
      <c r="D11" s="6" t="s">
        <v>25</v>
      </c>
      <c r="E11" s="6" t="s">
        <v>484</v>
      </c>
      <c r="F11" s="7">
        <f>ROUND('Group Inputs'!Q4,2)</f>
        <v>18729.0</v>
      </c>
      <c r="G11" s="7">
        <f>ROUND('Group Inputs'!Q5,2)</f>
        <v>28641.0</v>
      </c>
      <c r="H11" s="7">
        <f>ROUND('Group Inputs'!Q6,2)</f>
        <v>24878.0</v>
      </c>
      <c r="I11" s="7">
        <f>ROUND('Group Inputs'!Q7,2)</f>
        <v>32847.0</v>
      </c>
      <c r="J11" s="7">
        <f>ROUND('Group Inputs'!Q8,2)</f>
        <v>30108.0</v>
      </c>
      <c r="K11" s="7">
        <f>ROUND('Group Inputs'!Q9,2)</f>
        <v>27176.0</v>
      </c>
    </row>
    <row r="12" spans="1:11">
      <c r="A12" s="6" t="s">
        <v>485</v>
      </c>
      <c r="B12" s="6" t="s">
        <v>486</v>
      </c>
      <c r="C12" s="6" t="s">
        <v>455</v>
      </c>
      <c r="D12" s="6" t="s">
        <v>25</v>
      </c>
      <c r="E12" s="6" t="s">
        <v>487</v>
      </c>
      <c r="F12" s="7">
        <f>ROUND(IFERROR(100*'Group Inputs'!U4/'Group Inputs'!T4,0),2)</f>
        <v>93.46</v>
      </c>
      <c r="G12" s="7">
        <f>ROUND(IFERROR(100*'Group Inputs'!U5/'Group Inputs'!T5,0),2)</f>
        <v>92.73</v>
      </c>
      <c r="H12" s="7">
        <f>ROUND(IFERROR(100*'Group Inputs'!U6/'Group Inputs'!T6,0),2)</f>
        <v>94.68</v>
      </c>
      <c r="I12" s="7">
        <f>ROUND(IFERROR(100*'Group Inputs'!U7/'Group Inputs'!T7,0),2)</f>
        <v>92.55</v>
      </c>
      <c r="J12" s="7">
        <f>ROUND(IFERROR(100*'Group Inputs'!U8/'Group Inputs'!T8,0),2)</f>
        <v>98.28</v>
      </c>
      <c r="K12" s="7">
        <f>ROUND(IFERROR(100*'Group Inputs'!U9/'Group Inputs'!T9,0),2)</f>
        <v>95.62</v>
      </c>
    </row>
    <row r="13" spans="1:11">
      <c r="A13" s="6" t="s">
        <v>488</v>
      </c>
      <c r="B13" s="6" t="s">
        <v>489</v>
      </c>
      <c r="C13" s="6" t="s">
        <v>490</v>
      </c>
      <c r="D13" s="6" t="s">
        <v>25</v>
      </c>
      <c r="E13" s="6" t="s">
        <v>491</v>
      </c>
      <c r="F13" s="7">
        <f>ROUND(IFERROR(1000*('Group Inputs'!V4+'Group Inputs'!X4)/'Group Inputs'!M4,0),2)</f>
        <v>3046.73</v>
      </c>
      <c r="G13" s="7">
        <f>ROUND(IFERROR(1000*('Group Inputs'!V5+'Group Inputs'!X5)/'Group Inputs'!M5,0),2)</f>
        <v>3159.42</v>
      </c>
      <c r="H13" s="7">
        <f>ROUND(IFERROR(1000*('Group Inputs'!V6+'Group Inputs'!X6)/'Group Inputs'!M6,0),2)</f>
        <v>3165.25</v>
      </c>
      <c r="I13" s="7">
        <f>ROUND(IFERROR(1000*('Group Inputs'!V7+'Group Inputs'!X7)/'Group Inputs'!M7,0),2)</f>
        <v>3100.89</v>
      </c>
      <c r="J13" s="7">
        <f>ROUND(IFERROR(1000*('Group Inputs'!V8+'Group Inputs'!X8)/'Group Inputs'!M8,0),2)</f>
        <v>3164.76</v>
      </c>
      <c r="K13" s="7">
        <f>ROUND(IFERROR(1000*('Group Inputs'!V9+'Group Inputs'!X9)/'Group Inputs'!M9,0),2)</f>
        <v>2933.74</v>
      </c>
    </row>
    <row r="14" spans="1:11">
      <c r="A14" s="6" t="s">
        <v>492</v>
      </c>
      <c r="B14" s="6" t="s">
        <v>493</v>
      </c>
      <c r="C14" s="6" t="s">
        <v>494</v>
      </c>
      <c r="D14" s="6" t="s">
        <v>25</v>
      </c>
      <c r="E14" s="6" t="s">
        <v>493</v>
      </c>
      <c r="F14" s="7">
        <f>ROUND('Group Inputs'!V4,2)</f>
        <v>1911388.7</v>
      </c>
      <c r="G14" s="7">
        <f>ROUND('Group Inputs'!V5,2)</f>
        <v>1857317.9</v>
      </c>
      <c r="H14" s="7">
        <f>ROUND('Group Inputs'!V6,2)</f>
        <v>1886763.2</v>
      </c>
      <c r="I14" s="7">
        <f>ROUND('Group Inputs'!V7,2)</f>
        <v>1970228.4</v>
      </c>
      <c r="J14" s="7">
        <f>ROUND('Group Inputs'!V8,2)</f>
        <v>1926079.2</v>
      </c>
      <c r="K14" s="7">
        <f>ROUND('Group Inputs'!V9,2)</f>
        <v>1827824.8</v>
      </c>
    </row>
    <row r="15" spans="1:11">
      <c r="A15" s="6" t="s">
        <v>495</v>
      </c>
      <c r="B15" s="6" t="s">
        <v>496</v>
      </c>
      <c r="C15" s="6" t="s">
        <v>494</v>
      </c>
      <c r="D15" s="6" t="s">
        <v>25</v>
      </c>
      <c r="E15" s="6" t="s">
        <v>496</v>
      </c>
      <c r="F15" s="7">
        <f>ROUND('Group Inputs'!W4,2)</f>
        <v>490330.5</v>
      </c>
      <c r="G15" s="7">
        <f>ROUND('Group Inputs'!W5,2)</f>
        <v>492350.2</v>
      </c>
      <c r="H15" s="7">
        <f>ROUND('Group Inputs'!W6,2)</f>
        <v>514853.4</v>
      </c>
      <c r="I15" s="7">
        <f>ROUND('Group Inputs'!W7,2)</f>
        <v>564124.2</v>
      </c>
      <c r="J15" s="7">
        <f>ROUND('Group Inputs'!W8,2)</f>
        <v>544908.7</v>
      </c>
      <c r="K15" s="7">
        <f>ROUND('Group Inputs'!W9,2)</f>
        <v>459369.3</v>
      </c>
    </row>
    <row r="16" spans="1:11">
      <c r="A16" s="6" t="s">
        <v>497</v>
      </c>
      <c r="B16" s="6" t="s">
        <v>498</v>
      </c>
      <c r="C16" s="6" t="s">
        <v>499</v>
      </c>
      <c r="D16" s="6" t="s">
        <v>25</v>
      </c>
      <c r="E16" s="6" t="s">
        <v>500</v>
      </c>
      <c r="F16" s="7">
        <f>ROUND('Group Inputs'!Y4,2)</f>
        <v>1352732.0</v>
      </c>
      <c r="G16" s="7">
        <f>ROUND('Group Inputs'!Y5,2)</f>
        <v>1282066.0</v>
      </c>
      <c r="H16" s="7">
        <f>ROUND('Group Inputs'!Y6,2)</f>
        <v>1245659.0</v>
      </c>
      <c r="I16" s="7">
        <f>ROUND('Group Inputs'!Y7,2)</f>
        <v>1399278.0</v>
      </c>
      <c r="J16" s="7">
        <f>ROUND('Group Inputs'!Y8,2)</f>
        <v>1363699.0</v>
      </c>
      <c r="K16" s="7">
        <f>ROUND('Group Inputs'!Y9,2)</f>
        <v>1450141.0</v>
      </c>
    </row>
    <row r="17" spans="1:11">
      <c r="A17" s="6" t="s">
        <v>501</v>
      </c>
      <c r="B17" s="6" t="s">
        <v>502</v>
      </c>
      <c r="C17" s="6" t="s">
        <v>503</v>
      </c>
      <c r="D17" s="6" t="s">
        <v>25</v>
      </c>
      <c r="E17" s="6" t="s">
        <v>502</v>
      </c>
      <c r="F17" s="7">
        <f>ROUND('Group Inputs'!Z4,2)</f>
        <v>425627.0</v>
      </c>
      <c r="G17" s="7">
        <f>ROUND('Group Inputs'!Z5,2)</f>
        <v>382393.0</v>
      </c>
      <c r="H17" s="7">
        <f>ROUND('Group Inputs'!Z6,2)</f>
        <v>374121.0</v>
      </c>
      <c r="I17" s="7">
        <f>ROUND('Group Inputs'!Z7,2)</f>
        <v>397386.0</v>
      </c>
      <c r="J17" s="7">
        <f>ROUND('Group Inputs'!Z8,2)</f>
        <v>410412.0</v>
      </c>
      <c r="K17" s="7">
        <f>ROUND('Group Inputs'!Z9,2)</f>
        <v>427664.0</v>
      </c>
    </row>
    <row r="18" spans="1:11">
      <c r="A18" s="6" t="s">
        <v>504</v>
      </c>
      <c r="B18" s="6" t="s">
        <v>505</v>
      </c>
      <c r="C18" s="6" t="s">
        <v>506</v>
      </c>
      <c r="D18" s="6" t="s">
        <v>25</v>
      </c>
      <c r="E18" s="6" t="s">
        <v>507</v>
      </c>
      <c r="F18" s="7">
        <f>ROUND(IFERROR('Group Inputs'!AA4/'Group Inputs'!M4,0),2)</f>
        <v>3.37</v>
      </c>
      <c r="G18" s="7">
        <f>ROUND(IFERROR('Group Inputs'!AA5/'Group Inputs'!M5,0),2)</f>
        <v>3.18</v>
      </c>
      <c r="H18" s="7">
        <f>ROUND(IFERROR('Group Inputs'!AA6/'Group Inputs'!M6,0),2)</f>
        <v>3.26</v>
      </c>
      <c r="I18" s="7">
        <f>ROUND(IFERROR('Group Inputs'!AA7/'Group Inputs'!M7,0),2)</f>
        <v>3.25</v>
      </c>
      <c r="J18" s="7">
        <f>ROUND(IFERROR('Group Inputs'!AA8/'Group Inputs'!M8,0),2)</f>
        <v>3.52</v>
      </c>
      <c r="K18" s="7">
        <f>ROUND(IFERROR('Group Inputs'!AA9/'Group Inputs'!M9,0),2)</f>
        <v>3.42</v>
      </c>
    </row>
    <row r="19" spans="1:11">
      <c r="A19" s="6" t="s">
        <v>508</v>
      </c>
      <c r="B19" s="6" t="s">
        <v>509</v>
      </c>
      <c r="C19" s="6" t="s">
        <v>483</v>
      </c>
      <c r="D19" s="6" t="s">
        <v>25</v>
      </c>
      <c r="E19" s="6" t="s">
        <v>509</v>
      </c>
      <c r="F19" s="7">
        <f>ROUND('Group Inputs'!AB4,2)</f>
        <v>28497.0</v>
      </c>
      <c r="G19" s="7">
        <f>ROUND('Group Inputs'!AB5,2)</f>
        <v>55870.0</v>
      </c>
      <c r="H19" s="7">
        <f>ROUND('Group Inputs'!AB6,2)</f>
        <v>72181.0</v>
      </c>
      <c r="I19" s="7">
        <f>ROUND('Group Inputs'!AB7,2)</f>
        <v>38527.0</v>
      </c>
      <c r="J19" s="7">
        <f>ROUND('Group Inputs'!AB8,2)</f>
        <v>44820.0</v>
      </c>
      <c r="K19" s="7">
        <f>ROUND('Group Inputs'!AB9,2)</f>
        <v>36810.0</v>
      </c>
    </row>
    <row r="20" spans="1:11">
      <c r="A20" s="6" t="s">
        <v>510</v>
      </c>
      <c r="B20" s="6" t="s">
        <v>511</v>
      </c>
      <c r="C20" s="6" t="s">
        <v>512</v>
      </c>
      <c r="D20" s="6" t="s">
        <v>25</v>
      </c>
      <c r="E20" s="6" t="s">
        <v>513</v>
      </c>
      <c r="F20" s="7">
        <f>ROUND('Group Inputs'!AC4,2)</f>
        <v>8.0</v>
      </c>
      <c r="G20" s="7">
        <f>ROUND('Group Inputs'!AC5,2)</f>
        <v>6.0</v>
      </c>
      <c r="H20" s="7">
        <f>ROUND('Group Inputs'!AC6,2)</f>
        <v>9.0</v>
      </c>
      <c r="I20" s="7">
        <f>ROUND('Group Inputs'!AC7,2)</f>
        <v>3.0</v>
      </c>
      <c r="J20" s="7">
        <f>ROUND('Group Inputs'!AC8,2)</f>
        <v>11.0</v>
      </c>
      <c r="K20" s="7">
        <f>ROUND('Group Inputs'!AC9,2)</f>
        <v>7.0</v>
      </c>
    </row>
    <row r="21" spans="1:11">
      <c r="A21" s="6" t="s">
        <v>514</v>
      </c>
      <c r="B21" s="6" t="s">
        <v>515</v>
      </c>
      <c r="C21" s="6" t="s">
        <v>512</v>
      </c>
      <c r="D21" s="6" t="s">
        <v>25</v>
      </c>
      <c r="E21" s="6" t="s">
        <v>516</v>
      </c>
      <c r="F21" s="7">
        <f>ROUND('Group Inputs'!AO4,2)</f>
        <v>3.0</v>
      </c>
      <c r="G21" s="7">
        <f>ROUND('Group Inputs'!AO5,2)</f>
        <v>3.0</v>
      </c>
      <c r="H21" s="7">
        <f>ROUND('Group Inputs'!AO6,2)</f>
        <v>1.0</v>
      </c>
      <c r="I21" s="7">
        <f>ROUND('Group Inputs'!AO7,2)</f>
        <v>6.0</v>
      </c>
      <c r="J21" s="7">
        <f>ROUND('Group Inputs'!AO8,2)</f>
        <v>6.0</v>
      </c>
      <c r="K21" s="7">
        <f>ROUND('Group Inputs'!AO9,2)</f>
        <v>5.0</v>
      </c>
    </row>
    <row r="22" spans="1:11">
      <c r="A22" s="6" t="s">
        <v>517</v>
      </c>
      <c r="B22" s="6" t="s">
        <v>518</v>
      </c>
      <c r="C22" s="6" t="s">
        <v>455</v>
      </c>
      <c r="D22" s="6" t="s">
        <v>25</v>
      </c>
      <c r="E22" s="6" t="s">
        <v>519</v>
      </c>
      <c r="F22" s="7">
        <f>ROUND(IFERROR(100*'Group Inputs'!AQ4/'Group Inputs'!AP4,0),2)</f>
        <v>5.98</v>
      </c>
      <c r="G22" s="7">
        <f>ROUND(IFERROR(100*'Group Inputs'!AQ5/'Group Inputs'!AP5,0),2)</f>
        <v>7.08</v>
      </c>
      <c r="H22" s="7">
        <f>ROUND(IFERROR(100*'Group Inputs'!AQ6/'Group Inputs'!AP6,0),2)</f>
        <v>7.48</v>
      </c>
      <c r="I22" s="7">
        <f>ROUND(IFERROR(100*'Group Inputs'!AQ7/'Group Inputs'!AP7,0),2)</f>
        <v>7.98</v>
      </c>
      <c r="J22" s="7">
        <f>ROUND(IFERROR(100*'Group Inputs'!AQ8/'Group Inputs'!AP8,0),2)</f>
        <v>7.63</v>
      </c>
      <c r="K22" s="7">
        <f>ROUND(IFERROR(100*'Group Inputs'!AQ9/'Group Inputs'!AP9,0),2)</f>
        <v>8.66</v>
      </c>
    </row>
    <row r="23" spans="1:11">
      <c r="A23" s="6" t="s">
        <v>520</v>
      </c>
      <c r="B23" s="6" t="s">
        <v>521</v>
      </c>
      <c r="C23" s="6" t="s">
        <v>512</v>
      </c>
      <c r="D23" s="6" t="s">
        <v>25</v>
      </c>
      <c r="E23" s="6" t="s">
        <v>521</v>
      </c>
      <c r="F23" s="7">
        <f>ROUND('Group Inputs'!AJ4,2)</f>
        <v>1.0</v>
      </c>
      <c r="G23" s="7">
        <f>ROUND('Group Inputs'!AJ5,2)</f>
        <v>0.0</v>
      </c>
      <c r="H23" s="7">
        <f>ROUND('Group Inputs'!AJ6,2)</f>
        <v>1.0</v>
      </c>
      <c r="I23" s="7">
        <f>ROUND('Group Inputs'!AJ7,2)</f>
        <v>0.0</v>
      </c>
      <c r="J23" s="7">
        <f>ROUND('Group Inputs'!AJ8,2)</f>
        <v>0.0</v>
      </c>
      <c r="K23" s="7">
        <f>ROUND('Group Inputs'!AJ9,2)</f>
        <v>0.0</v>
      </c>
    </row>
    <row r="24" spans="1:11">
      <c r="A24" s="6" t="s">
        <v>522</v>
      </c>
      <c r="B24" s="6" t="s">
        <v>523</v>
      </c>
      <c r="C24" s="6" t="s">
        <v>524</v>
      </c>
      <c r="D24" s="6" t="s">
        <v>25</v>
      </c>
      <c r="E24" s="6" t="s">
        <v>525</v>
      </c>
      <c r="F24" s="7">
        <f>ROUND(IFERROR(200000*'Group Inputs'!AE4/'Group Inputs'!AD4,0),2)</f>
        <v>0.87</v>
      </c>
      <c r="G24" s="7">
        <f>ROUND(IFERROR(200000*'Group Inputs'!AE5/'Group Inputs'!AD5,0),2)</f>
        <v>1.87</v>
      </c>
      <c r="H24" s="7">
        <f>ROUND(IFERROR(200000*'Group Inputs'!AE6/'Group Inputs'!AD6,0),2)</f>
        <v>2.26</v>
      </c>
      <c r="I24" s="7">
        <f>ROUND(IFERROR(200000*'Group Inputs'!AE7/'Group Inputs'!AD7,0),2)</f>
        <v>1.35</v>
      </c>
      <c r="J24" s="7">
        <f>ROUND(IFERROR(200000*'Group Inputs'!AE8/'Group Inputs'!AD8,0),2)</f>
        <v>1.55</v>
      </c>
      <c r="K24" s="7">
        <f>ROUND(IFERROR(200000*'Group Inputs'!AE9/'Group Inputs'!AD9,0),2)</f>
        <v>0.47</v>
      </c>
    </row>
    <row r="25" spans="1:11">
      <c r="A25" s="6" t="s">
        <v>526</v>
      </c>
      <c r="B25" s="6" t="s">
        <v>527</v>
      </c>
      <c r="C25" s="6" t="s">
        <v>512</v>
      </c>
      <c r="D25" s="6" t="s">
        <v>25</v>
      </c>
      <c r="E25" s="6" t="s">
        <v>527</v>
      </c>
      <c r="F25" s="7">
        <f>ROUND('Group Inputs'!AF4,2)</f>
        <v>1.0</v>
      </c>
      <c r="G25" s="7">
        <f>ROUND('Group Inputs'!AF5,2)</f>
        <v>1.0</v>
      </c>
      <c r="H25" s="7">
        <f>ROUND('Group Inputs'!AF6,2)</f>
        <v>0.0</v>
      </c>
      <c r="I25" s="7">
        <f>ROUND('Group Inputs'!AF7,2)</f>
        <v>2.0</v>
      </c>
      <c r="J25" s="7">
        <f>ROUND('Group Inputs'!AF8,2)</f>
        <v>1.0</v>
      </c>
      <c r="K25" s="7">
        <f>ROUND('Group Inputs'!AF9,2)</f>
        <v>3.0</v>
      </c>
    </row>
    <row r="26" spans="1:11">
      <c r="A26" s="6" t="s">
        <v>528</v>
      </c>
      <c r="B26" s="6" t="s">
        <v>529</v>
      </c>
      <c r="C26" s="6" t="s">
        <v>512</v>
      </c>
      <c r="D26" s="6" t="s">
        <v>25</v>
      </c>
      <c r="E26" s="6" t="s">
        <v>529</v>
      </c>
      <c r="F26" s="7">
        <f>ROUND('Group Inputs'!AG4,2)</f>
        <v>39.0</v>
      </c>
      <c r="G26" s="7">
        <f>ROUND('Group Inputs'!AG5,2)</f>
        <v>46.0</v>
      </c>
      <c r="H26" s="7">
        <f>ROUND('Group Inputs'!AG6,2)</f>
        <v>44.0</v>
      </c>
      <c r="I26" s="7">
        <f>ROUND('Group Inputs'!AG7,2)</f>
        <v>32.0</v>
      </c>
      <c r="J26" s="7">
        <f>ROUND('Group Inputs'!AG8,2)</f>
        <v>42.0</v>
      </c>
      <c r="K26" s="7">
        <f>ROUND('Group Inputs'!AG9,2)</f>
        <v>41.0</v>
      </c>
    </row>
    <row r="27" spans="1:11">
      <c r="A27" s="6" t="s">
        <v>530</v>
      </c>
      <c r="B27" s="6" t="s">
        <v>531</v>
      </c>
      <c r="C27" s="6" t="s">
        <v>512</v>
      </c>
      <c r="D27" s="6" t="s">
        <v>25</v>
      </c>
      <c r="E27" s="6" t="s">
        <v>531</v>
      </c>
      <c r="F27" s="7">
        <f>ROUND('Group Inputs'!AH4,2)</f>
        <v>0.0</v>
      </c>
      <c r="G27" s="7">
        <f>ROUND('Group Inputs'!AH5,2)</f>
        <v>1.0</v>
      </c>
      <c r="H27" s="7">
        <f>ROUND('Group Inputs'!AH6,2)</f>
        <v>0.0</v>
      </c>
      <c r="I27" s="7">
        <f>ROUND('Group Inputs'!AH7,2)</f>
        <v>0.0</v>
      </c>
      <c r="J27" s="7">
        <f>ROUND('Group Inputs'!AH8,2)</f>
        <v>1.0</v>
      </c>
      <c r="K27" s="7">
        <f>ROUND('Group Inputs'!AH9,2)</f>
        <v>0.0</v>
      </c>
    </row>
    <row r="28" spans="1:11">
      <c r="A28" s="6" t="s">
        <v>532</v>
      </c>
      <c r="B28" s="6" t="s">
        <v>533</v>
      </c>
      <c r="C28" s="6" t="s">
        <v>512</v>
      </c>
      <c r="D28" s="6" t="s">
        <v>25</v>
      </c>
      <c r="E28" s="6" t="s">
        <v>533</v>
      </c>
      <c r="F28" s="7">
        <f>ROUND('Group Inputs'!AI4,2)</f>
        <v>2.0</v>
      </c>
      <c r="G28" s="7">
        <f>ROUND('Group Inputs'!AI5,2)</f>
        <v>1.0</v>
      </c>
      <c r="H28" s="7">
        <f>ROUND('Group Inputs'!AI6,2)</f>
        <v>1.0</v>
      </c>
      <c r="I28" s="7">
        <f>ROUND('Group Inputs'!AI7,2)</f>
        <v>3.0</v>
      </c>
      <c r="J28" s="7">
        <f>ROUND('Group Inputs'!AI8,2)</f>
        <v>1.0</v>
      </c>
      <c r="K28" s="7">
        <f>ROUND('Group Inputs'!AI9,2)</f>
        <v>2.0</v>
      </c>
    </row>
    <row r="29" spans="1:11">
      <c r="A29" s="6" t="s">
        <v>534</v>
      </c>
      <c r="B29" s="6" t="s">
        <v>535</v>
      </c>
      <c r="C29" s="6" t="s">
        <v>512</v>
      </c>
      <c r="D29" s="6" t="s">
        <v>25</v>
      </c>
      <c r="E29" s="6" t="s">
        <v>535</v>
      </c>
      <c r="F29" s="7">
        <f>ROUND('Group Inputs'!AK4,2)</f>
        <v>60.0</v>
      </c>
      <c r="G29" s="7">
        <f>ROUND('Group Inputs'!AK5,2)</f>
        <v>58.0</v>
      </c>
      <c r="H29" s="7">
        <f>ROUND('Group Inputs'!AK6,2)</f>
        <v>45.0</v>
      </c>
      <c r="I29" s="7">
        <f>ROUND('Group Inputs'!AK7,2)</f>
        <v>60.0</v>
      </c>
      <c r="J29" s="7">
        <f>ROUND('Group Inputs'!AK8,2)</f>
        <v>44.0</v>
      </c>
      <c r="K29" s="7">
        <f>ROUND('Group Inputs'!AK9,2)</f>
        <v>45.0</v>
      </c>
    </row>
    <row r="30" spans="1:11">
      <c r="A30" s="6" t="s">
        <v>536</v>
      </c>
      <c r="B30" s="6" t="s">
        <v>537</v>
      </c>
      <c r="C30" s="6" t="s">
        <v>512</v>
      </c>
      <c r="D30" s="6" t="s">
        <v>25</v>
      </c>
      <c r="E30" s="6" t="s">
        <v>538</v>
      </c>
      <c r="F30" s="7">
        <f>ROUND('Group Inputs'!AL4,2)</f>
        <v>12.0</v>
      </c>
      <c r="G30" s="7">
        <f>ROUND('Group Inputs'!AL5,2)</f>
        <v>14.0</v>
      </c>
      <c r="H30" s="7">
        <f>ROUND('Group Inputs'!AL6,2)</f>
        <v>8.0</v>
      </c>
      <c r="I30" s="7">
        <f>ROUND('Group Inputs'!AL7,2)</f>
        <v>12.0</v>
      </c>
      <c r="J30" s="7">
        <f>ROUND('Group Inputs'!AL8,2)</f>
        <v>3.0</v>
      </c>
      <c r="K30" s="7">
        <f>ROUND('Group Inputs'!AL9,2)</f>
        <v>9.0</v>
      </c>
    </row>
    <row r="31" spans="1:11">
      <c r="A31" s="6" t="s">
        <v>539</v>
      </c>
      <c r="B31" s="6" t="s">
        <v>540</v>
      </c>
      <c r="C31" s="6" t="s">
        <v>455</v>
      </c>
      <c r="D31" s="6" t="s">
        <v>25</v>
      </c>
      <c r="E31" s="6" t="s">
        <v>541</v>
      </c>
      <c r="F31" s="7">
        <f>ROUND(IF('Group Inputs'!AM4=0,100,100*'Group Inputs'!AN4/'Group Inputs'!AM4),2)</f>
        <v>66.67</v>
      </c>
      <c r="G31" s="7">
        <f>ROUND(IF('Group Inputs'!AM5=0,100,100*'Group Inputs'!AN5/'Group Inputs'!AM5),2)</f>
        <v>100.0</v>
      </c>
      <c r="H31" s="7">
        <f>ROUND(IF('Group Inputs'!AM6=0,100,100*'Group Inputs'!AN6/'Group Inputs'!AM6),2)</f>
        <v>88.89</v>
      </c>
      <c r="I31" s="7">
        <f>ROUND(IF('Group Inputs'!AM7=0,100,100*'Group Inputs'!AN7/'Group Inputs'!AM7),2)</f>
        <v>85.71</v>
      </c>
      <c r="J31" s="7">
        <f>ROUND(IF('Group Inputs'!AM8=0,100,100*'Group Inputs'!AN8/'Group Inputs'!AM8),2)</f>
        <v>90.91</v>
      </c>
      <c r="K31" s="7">
        <f>ROUND(IF('Group Inputs'!AM9=0,100,100*'Group Inputs'!AN9/'Group Inputs'!AM9),2)</f>
        <v>75.0</v>
      </c>
    </row>
    <row r="32" spans="1:11">
      <c r="A32" s="6" t="s">
        <v>542</v>
      </c>
      <c r="B32" s="6" t="s">
        <v>543</v>
      </c>
      <c r="C32" s="6" t="s">
        <v>28</v>
      </c>
      <c r="D32" s="6" t="s">
        <v>25</v>
      </c>
      <c r="E32" s="6" t="s">
        <v>544</v>
      </c>
      <c r="F32" s="7">
        <f>ROUND('Group Inputs'!AR4,2)</f>
        <v>215.0</v>
      </c>
      <c r="G32" s="7">
        <f>ROUND('Group Inputs'!AR5,2)</f>
        <v>185.0</v>
      </c>
      <c r="H32" s="7">
        <f>ROUND('Group Inputs'!AR6,2)</f>
        <v>155.0</v>
      </c>
      <c r="I32" s="7">
        <f>ROUND('Group Inputs'!AR7,2)</f>
        <v>125.0</v>
      </c>
      <c r="J32" s="7">
        <f>ROUND('Group Inputs'!AR8,2)</f>
        <v>95.0</v>
      </c>
      <c r="K32" s="7">
        <f>ROUND('Group Inputs'!AR9,2)</f>
        <v>65.0</v>
      </c>
    </row>
    <row r="33" spans="1:11">
      <c r="A33" s="6" t="s">
        <v>545</v>
      </c>
      <c r="B33" s="6" t="s">
        <v>546</v>
      </c>
      <c r="C33" s="6" t="s">
        <v>455</v>
      </c>
      <c r="D33" s="6" t="s">
        <v>25</v>
      </c>
      <c r="E33" s="6" t="s">
        <v>459</v>
      </c>
      <c r="F33" s="7">
        <f>ROUND(IFERROR(100*'Group Inputs'!M4/'Group Inputs'!J4,0),2)</f>
        <v>83.98</v>
      </c>
      <c r="G33" s="7">
        <f>ROUND(IFERROR(100*'Group Inputs'!M5/'Group Inputs'!J5,0),2)</f>
        <v>76.21</v>
      </c>
      <c r="H33" s="7">
        <f>ROUND(IFERROR(100*'Group Inputs'!M6/'Group Inputs'!J6,0),2)</f>
        <v>79.77</v>
      </c>
      <c r="I33" s="7">
        <f>ROUND(IFERROR(100*'Group Inputs'!M7/'Group Inputs'!J7,0),2)</f>
        <v>82.31</v>
      </c>
      <c r="J33" s="7">
        <f>ROUND(IFERROR(100*'Group Inputs'!M8/'Group Inputs'!J8,0),2)</f>
        <v>78.87</v>
      </c>
      <c r="K33" s="7">
        <f>ROUND(IFERROR(100*'Group Inputs'!M9/'Group Inputs'!J9,0),2)</f>
        <v>83.44</v>
      </c>
    </row>
    <row r="34" spans="1:11">
      <c r="A34" s="6" t="s">
        <v>547</v>
      </c>
      <c r="B34" s="6" t="s">
        <v>548</v>
      </c>
      <c r="C34" s="6" t="s">
        <v>455</v>
      </c>
      <c r="D34" s="6" t="s">
        <v>25</v>
      </c>
      <c r="E34" s="6" t="s">
        <v>549</v>
      </c>
      <c r="F34" s="7">
        <f>ROUND(IFERROR(100*'Group Inputs'!M4/'Group Inputs'!I4,0),2)</f>
        <v>84.74</v>
      </c>
      <c r="G34" s="7">
        <f>ROUND(IFERROR(100*'Group Inputs'!M5/'Group Inputs'!I5,0),2)</f>
        <v>81.53</v>
      </c>
      <c r="H34" s="7">
        <f>ROUND(IFERROR(100*'Group Inputs'!M6/'Group Inputs'!I6,0),2)</f>
        <v>80.23</v>
      </c>
      <c r="I34" s="7">
        <f>ROUND(IFERROR(100*'Group Inputs'!M7/'Group Inputs'!I7,0),2)</f>
        <v>82.78</v>
      </c>
      <c r="J34" s="7">
        <f>ROUND(IFERROR(100*'Group Inputs'!M8/'Group Inputs'!I8,0),2)</f>
        <v>82.21</v>
      </c>
      <c r="K34" s="7">
        <f>ROUND(IFERROR(100*'Group Inputs'!M9/'Group Inputs'!I9,0),2)</f>
        <v>84.07</v>
      </c>
    </row>
    <row r="35" spans="1:11">
      <c r="A35" s="6" t="s">
        <v>550</v>
      </c>
      <c r="B35" s="6" t="s">
        <v>551</v>
      </c>
      <c r="C35" s="6" t="s">
        <v>455</v>
      </c>
      <c r="D35" s="6" t="s">
        <v>25</v>
      </c>
      <c r="E35" s="6" t="s">
        <v>552</v>
      </c>
      <c r="F35" s="7">
        <f>ROUND(IF('Group Inputs'!AT4=0,0,100*'Group Inputs'!AS4/'Group Inputs'!AT4),2)</f>
        <v>95.35</v>
      </c>
      <c r="G35" s="7">
        <f>ROUND(IF('Group Inputs'!AT5=0,0,100*'Group Inputs'!AS5/'Group Inputs'!AT5),2)</f>
        <v>91.65</v>
      </c>
      <c r="H35" s="7">
        <f>ROUND(IF('Group Inputs'!AT6=0,0,100*'Group Inputs'!AS6/'Group Inputs'!AT6),2)</f>
        <v>88.97</v>
      </c>
      <c r="I35" s="7">
        <f>ROUND(IF('Group Inputs'!AT7=0,0,100*'Group Inputs'!AS7/'Group Inputs'!AT7),2)</f>
        <v>93.98</v>
      </c>
      <c r="J35" s="7">
        <f>ROUND(IF('Group Inputs'!AT8=0,0,100*'Group Inputs'!AS8/'Group Inputs'!AT8),2)</f>
        <v>92.4</v>
      </c>
      <c r="K35" s="7">
        <f>ROUND(IF('Group Inputs'!AT9=0,0,100*'Group Inputs'!AS9/'Group Inputs'!AT9),2)</f>
        <v>95.23</v>
      </c>
    </row>
    <row r="36" spans="1:11">
      <c r="A36" s="6" t="s">
        <v>553</v>
      </c>
      <c r="B36" s="6" t="s">
        <v>554</v>
      </c>
      <c r="C36" s="6" t="s">
        <v>455</v>
      </c>
      <c r="D36" s="6" t="s">
        <v>25</v>
      </c>
      <c r="E36" s="6" t="s">
        <v>552</v>
      </c>
      <c r="F36" s="7">
        <f>ROUND(IF('Group Inputs'!AT4=0,0,100*'Group Inputs'!AS4/'Group Inputs'!AT4),2)</f>
        <v>95.35</v>
      </c>
      <c r="G36" s="7">
        <f>ROUND(IF('Group Inputs'!AT5=0,0,100*'Group Inputs'!AS5/'Group Inputs'!AT5),2)</f>
        <v>91.65</v>
      </c>
      <c r="H36" s="7">
        <f>ROUND(IF('Group Inputs'!AT6=0,0,100*'Group Inputs'!AS6/'Group Inputs'!AT6),2)</f>
        <v>88.97</v>
      </c>
      <c r="I36" s="7">
        <f>ROUND(IF('Group Inputs'!AT7=0,0,100*'Group Inputs'!AS7/'Group Inputs'!AT7),2)</f>
        <v>93.98</v>
      </c>
      <c r="J36" s="7">
        <f>ROUND(IF('Group Inputs'!AT8=0,0,100*'Group Inputs'!AS8/'Group Inputs'!AT8),2)</f>
        <v>92.4</v>
      </c>
      <c r="K36" s="7">
        <f>ROUND(IF('Group Inputs'!AT9=0,0,100*'Group Inputs'!AS9/'Group Inputs'!AT9),2)</f>
        <v>95.23</v>
      </c>
    </row>
    <row r="37" spans="1:11">
      <c r="A37" s="6" t="s">
        <v>555</v>
      </c>
      <c r="B37" s="6" t="s">
        <v>556</v>
      </c>
      <c r="C37" s="6" t="s">
        <v>490</v>
      </c>
      <c r="D37" s="6" t="s">
        <v>25</v>
      </c>
      <c r="E37" s="6" t="s">
        <v>557</v>
      </c>
      <c r="F37" s="7">
        <f>ROUND(IF('Group Inputs'!M4=0,0,1000*'Group Inputs'!AW4/'Group Inputs'!M4),2)</f>
        <v>186.81</v>
      </c>
      <c r="G37" s="7">
        <f>ROUND(IF('Group Inputs'!M5=0,0,1000*'Group Inputs'!AW5/'Group Inputs'!M5),2)</f>
        <v>185.82</v>
      </c>
      <c r="H37" s="7">
        <f>ROUND(IF('Group Inputs'!M6=0,0,1000*'Group Inputs'!AW6/'Group Inputs'!M6),2)</f>
        <v>191.62</v>
      </c>
      <c r="I37" s="7">
        <f>ROUND(IF('Group Inputs'!M7=0,0,1000*'Group Inputs'!AW7/'Group Inputs'!M7),2)</f>
        <v>171.72</v>
      </c>
      <c r="J37" s="7">
        <f>ROUND(IF('Group Inputs'!M8=0,0,1000*'Group Inputs'!AW8/'Group Inputs'!M8),2)</f>
        <v>187.69</v>
      </c>
      <c r="K37" s="7">
        <f>ROUND(IF('Group Inputs'!M9=0,0,1000*'Group Inputs'!AW9/'Group Inputs'!M9),2)</f>
        <v>174.29</v>
      </c>
    </row>
    <row r="38" spans="1:11">
      <c r="A38" s="6" t="s">
        <v>558</v>
      </c>
      <c r="B38" s="6" t="s">
        <v>559</v>
      </c>
      <c r="C38" s="6" t="s">
        <v>560</v>
      </c>
      <c r="D38" s="6" t="s">
        <v>561</v>
      </c>
      <c r="E38" s="6" t="s">
        <v>562</v>
      </c>
      <c r="F38" s="7">
        <f>ROUND(SUM('Group Inputs'!FY$4:FY4)/1000,2)</f>
        <v>321.96</v>
      </c>
      <c r="G38" s="7">
        <f>ROUND(SUM('Group Inputs'!FY$4:FY5)/1000,2)</f>
        <v>574.52</v>
      </c>
      <c r="H38" s="7">
        <f>ROUND(SUM('Group Inputs'!FY$4:FY6)/1000,2)</f>
        <v>816.46</v>
      </c>
      <c r="I38" s="7">
        <f>ROUND(SUM('Group Inputs'!FY$4:FY7)/1000,2)</f>
        <v>1114.42</v>
      </c>
      <c r="J38" s="7">
        <f>ROUND(SUM('Group Inputs'!FY$4:FY8)/1000,2)</f>
        <v>1363.11</v>
      </c>
      <c r="K38" s="7">
        <f>ROUND(SUM('Group Inputs'!FY$4:FY9)/1000,2)</f>
        <v>1760.09</v>
      </c>
    </row>
    <row r="39" spans="1:11">
      <c r="A39" s="6" t="s">
        <v>563</v>
      </c>
      <c r="B39" s="6" t="s">
        <v>564</v>
      </c>
      <c r="C39" s="6" t="s">
        <v>560</v>
      </c>
      <c r="D39" s="6" t="s">
        <v>561</v>
      </c>
      <c r="E39" s="6" t="s">
        <v>565</v>
      </c>
      <c r="F39" s="7">
        <f>ROUND(SUM('Group Inputs'!FZ$4:FZ4)/1000,2)</f>
        <v>232.68</v>
      </c>
      <c r="G39" s="7">
        <f>ROUND(SUM('Group Inputs'!FZ$4:FZ5)/1000,2)</f>
        <v>397.26</v>
      </c>
      <c r="H39" s="7">
        <f>ROUND(SUM('Group Inputs'!FZ$4:FZ6)/1000,2)</f>
        <v>550.73</v>
      </c>
      <c r="I39" s="7">
        <f>ROUND(SUM('Group Inputs'!FZ$4:FZ7)/1000,2)</f>
        <v>760.11</v>
      </c>
      <c r="J39" s="7">
        <f>ROUND(SUM('Group Inputs'!FZ$4:FZ8)/1000,2)</f>
        <v>920.64</v>
      </c>
      <c r="K39" s="7">
        <f>ROUND(SUM('Group Inputs'!FZ$4:FZ9)/1000,2)</f>
        <v>1228.14</v>
      </c>
    </row>
    <row r="40" spans="1:11">
      <c r="A40" s="6" t="s">
        <v>566</v>
      </c>
      <c r="B40" s="6" t="s">
        <v>567</v>
      </c>
      <c r="C40" s="6" t="s">
        <v>560</v>
      </c>
      <c r="D40" s="6" t="s">
        <v>561</v>
      </c>
      <c r="E40" s="6" t="s">
        <v>568</v>
      </c>
      <c r="F40" s="7">
        <f>ROUND(SUM('Group Inputs'!AU$4:AU4)/1000,2)</f>
        <v>2349.26</v>
      </c>
      <c r="G40" s="7">
        <f>ROUND(SUM('Group Inputs'!AU$4:AU5)/1000,2)</f>
        <v>4568.1</v>
      </c>
      <c r="H40" s="7">
        <f>ROUND(SUM('Group Inputs'!AU$4:AU6)/1000,2)</f>
        <v>6803.75</v>
      </c>
      <c r="I40" s="7">
        <f>ROUND(SUM('Group Inputs'!AU$4:AU7)/1000,2)</f>
        <v>9188.45</v>
      </c>
      <c r="J40" s="7">
        <f>ROUND(SUM('Group Inputs'!AU$4:AU8)/1000,2)</f>
        <v>11475.48</v>
      </c>
      <c r="K40" s="7">
        <f>ROUND(SUM('Group Inputs'!AU$4:AU9)/1000,2)</f>
        <v>13811.3</v>
      </c>
    </row>
    <row r="41" spans="1:11">
      <c r="A41" s="6" t="s">
        <v>569</v>
      </c>
      <c r="B41" s="6" t="s">
        <v>570</v>
      </c>
      <c r="C41" s="6" t="s">
        <v>560</v>
      </c>
      <c r="D41" s="6" t="s">
        <v>561</v>
      </c>
      <c r="E41" s="6" t="s">
        <v>571</v>
      </c>
      <c r="F41" s="7">
        <f>ROUND(SUM('Group Inputs'!GD$4:GD4)/1000,2)</f>
        <v>65.96</v>
      </c>
      <c r="G41" s="7">
        <f>ROUND(SUM('Group Inputs'!GD$4:GD5)/1000,2)</f>
        <v>311.68</v>
      </c>
      <c r="H41" s="7">
        <f>ROUND(SUM('Group Inputs'!GD$4:GD6)/1000,2)</f>
        <v>327.88</v>
      </c>
      <c r="I41" s="7">
        <f>ROUND(SUM('Group Inputs'!GD$4:GD7)/1000,2)</f>
        <v>372.88</v>
      </c>
      <c r="J41" s="7">
        <f>ROUND(SUM('Group Inputs'!GD$4:GD8)/1000,2)</f>
        <v>448.76</v>
      </c>
      <c r="K41" s="7">
        <f>ROUND(SUM('Group Inputs'!GD$4:GD9)/1000,2)</f>
        <v>606.18</v>
      </c>
    </row>
    <row r="42" spans="1:11">
      <c r="A42" s="6" t="s">
        <v>572</v>
      </c>
      <c r="B42" s="6" t="s">
        <v>573</v>
      </c>
      <c r="C42" s="6" t="s">
        <v>455</v>
      </c>
      <c r="D42" s="6" t="s">
        <v>561</v>
      </c>
      <c r="E42" s="6" t="s">
        <v>574</v>
      </c>
      <c r="F42" s="7">
        <f>ROUND(IF('Group Inputs'!CA4=0,0,100*SUM('Group Inputs'!FZ$4:FZ4)*12/'Group Inputs'!D4/'Group Inputs'!CA4),2)</f>
        <v>13.42</v>
      </c>
      <c r="G42" s="7">
        <f>ROUND(IF('Group Inputs'!CA5=0,0,100*SUM('Group Inputs'!FZ$4:FZ5)*12/'Group Inputs'!D5/'Group Inputs'!CA5),2)</f>
        <v>11.41</v>
      </c>
      <c r="H42" s="7">
        <f>ROUND(IF('Group Inputs'!CA6=0,0,100*SUM('Group Inputs'!FZ$4:FZ6)*12/'Group Inputs'!D6/'Group Inputs'!CA6),2)</f>
        <v>10.51</v>
      </c>
      <c r="I42" s="7">
        <f>ROUND(IF('Group Inputs'!CA7=0,0,100*SUM('Group Inputs'!FZ$4:FZ7)*12/'Group Inputs'!D7/'Group Inputs'!CA7),2)</f>
        <v>10.83</v>
      </c>
      <c r="J42" s="7">
        <f>ROUND(IF('Group Inputs'!CA8=0,0,100*SUM('Group Inputs'!FZ$4:FZ8)*12/'Group Inputs'!D8/'Group Inputs'!CA8),2)</f>
        <v>10.46</v>
      </c>
      <c r="K42" s="7">
        <f>ROUND(IF('Group Inputs'!CA9=0,0,100*SUM('Group Inputs'!FZ$4:FZ9)*12/'Group Inputs'!D9/'Group Inputs'!CA9),2)</f>
        <v>11.58</v>
      </c>
    </row>
    <row r="43" spans="1:11">
      <c r="A43" s="6" t="s">
        <v>575</v>
      </c>
      <c r="B43" s="6" t="s">
        <v>576</v>
      </c>
      <c r="C43" s="6" t="s">
        <v>560</v>
      </c>
      <c r="D43" s="6" t="s">
        <v>577</v>
      </c>
      <c r="E43" s="6" t="s">
        <v>578</v>
      </c>
      <c r="F43" s="7">
        <f>ROUND('Group Inputs'!GE4/1000,2)</f>
        <v>7000.0</v>
      </c>
      <c r="G43" s="7">
        <f>ROUND('Group Inputs'!GE5/1000,2)</f>
        <v>6930.0</v>
      </c>
      <c r="H43" s="7">
        <f>ROUND('Group Inputs'!GE6/1000,2)</f>
        <v>6860.0</v>
      </c>
      <c r="I43" s="7">
        <f>ROUND('Group Inputs'!GE7/1000,2)</f>
        <v>6790.0</v>
      </c>
      <c r="J43" s="7">
        <f>ROUND('Group Inputs'!GE8/1000,2)</f>
        <v>6720.0</v>
      </c>
      <c r="K43" s="7">
        <f>ROUND('Group Inputs'!GE9/1000,2)</f>
        <v>6650.0</v>
      </c>
    </row>
    <row r="44" spans="1:11">
      <c r="A44" s="6" t="s">
        <v>579</v>
      </c>
      <c r="B44" s="6" t="s">
        <v>580</v>
      </c>
      <c r="C44" s="6" t="s">
        <v>560</v>
      </c>
      <c r="D44" s="6" t="s">
        <v>561</v>
      </c>
      <c r="E44" s="6" t="s">
        <v>581</v>
      </c>
      <c r="F44" s="7">
        <f>ROUND((SUM('Group Inputs'!FZ$4:FZ4)*(1-Parameters!$B$2)-'Group Inputs'!CA4*Parameters!$B$3*'Group Inputs'!D4/12)/1000,2)</f>
        <v>9.85</v>
      </c>
      <c r="G44" s="7">
        <f>ROUND((SUM('Group Inputs'!FZ$4:FZ5)*(1-Parameters!$B$2)-'Group Inputs'!CA5*Parameters!$B$3*'Group Inputs'!D5/12)/1000,2)</f>
        <v>-32.71</v>
      </c>
      <c r="H44" s="7">
        <f>ROUND((SUM('Group Inputs'!FZ$4:FZ6)*(1-Parameters!$B$2)-'Group Inputs'!CA6*Parameters!$B$3*'Group Inputs'!D6/12)/1000,2)</f>
        <v>-84.91</v>
      </c>
      <c r="I44" s="7">
        <f>ROUND((SUM('Group Inputs'!FZ$4:FZ7)*(1-Parameters!$B$2)-'Group Inputs'!CA7*Parameters!$B$3*'Group Inputs'!D7/12)/1000,2)</f>
        <v>-96.49</v>
      </c>
      <c r="J44" s="7">
        <f>ROUND((SUM('Group Inputs'!FZ$4:FZ8)*(1-Parameters!$B$2)-'Group Inputs'!CA8*Parameters!$B$3*'Group Inputs'!D8/12)/1000,2)</f>
        <v>-146.03</v>
      </c>
      <c r="K44" s="7">
        <f>ROUND((SUM('Group Inputs'!FZ$4:FZ9)*(1-Parameters!$B$2)-'Group Inputs'!CA9*Parameters!$B$3*'Group Inputs'!D9/12)/1000,2)</f>
        <v>-86.65</v>
      </c>
    </row>
    <row r="45" spans="1:11">
      <c r="A45" s="6" t="s">
        <v>582</v>
      </c>
      <c r="B45" s="6" t="s">
        <v>583</v>
      </c>
      <c r="C45" s="6" t="s">
        <v>455</v>
      </c>
      <c r="D45" s="6" t="s">
        <v>561</v>
      </c>
      <c r="E45" s="6" t="s">
        <v>584</v>
      </c>
      <c r="F45" s="7">
        <f>ROUND(IF(SUM('Group Inputs'!FY$4:FY4)=0,0,100*SUM('Group Inputs'!GD$4:GD4)/SUM('Group Inputs'!FY$4:FY4)),2)</f>
        <v>20.49</v>
      </c>
      <c r="G45" s="7">
        <f>ROUND(IF(SUM('Group Inputs'!FY$4:FY5)=0,0,100*SUM('Group Inputs'!GD$4:GD5)/SUM('Group Inputs'!FY$4:FY5)),2)</f>
        <v>54.25</v>
      </c>
      <c r="H45" s="7">
        <f>ROUND(IF(SUM('Group Inputs'!FY$4:FY6)=0,0,100*SUM('Group Inputs'!GD$4:GD6)/SUM('Group Inputs'!FY$4:FY6)),2)</f>
        <v>40.16</v>
      </c>
      <c r="I45" s="7">
        <f>ROUND(IF(SUM('Group Inputs'!FY$4:FY7)=0,0,100*SUM('Group Inputs'!GD$4:GD7)/SUM('Group Inputs'!FY$4:FY7)),2)</f>
        <v>33.46</v>
      </c>
      <c r="J45" s="7">
        <f>ROUND(IF(SUM('Group Inputs'!FY$4:FY8)=0,0,100*SUM('Group Inputs'!GD$4:GD8)/SUM('Group Inputs'!FY$4:FY8)),2)</f>
        <v>32.92</v>
      </c>
      <c r="K45" s="7">
        <f>ROUND(IF(SUM('Group Inputs'!FY$4:FY9)=0,0,100*SUM('Group Inputs'!GD$4:GD9)/SUM('Group Inputs'!FY$4:FY9)),2)</f>
        <v>34.44</v>
      </c>
    </row>
    <row r="46" spans="1:11">
      <c r="A46" s="6" t="s">
        <v>585</v>
      </c>
      <c r="B46" s="6" t="s">
        <v>586</v>
      </c>
      <c r="C46" s="6" t="s">
        <v>560</v>
      </c>
      <c r="D46" s="6" t="s">
        <v>577</v>
      </c>
      <c r="E46" s="6" t="s">
        <v>587</v>
      </c>
      <c r="F46" s="7">
        <f>ROUND('Group Inputs'!CC4/1000,2)</f>
        <v>2099.11</v>
      </c>
      <c r="G46" s="7">
        <f>ROUND('Group Inputs'!CC5/1000,2)</f>
        <v>2017.66</v>
      </c>
      <c r="H46" s="7">
        <f>ROUND('Group Inputs'!CC6/1000,2)</f>
        <v>1986.19</v>
      </c>
      <c r="I46" s="7">
        <f>ROUND('Group Inputs'!CC7/1000,2)</f>
        <v>2142.07</v>
      </c>
      <c r="J46" s="7">
        <f>ROUND('Group Inputs'!CC8/1000,2)</f>
        <v>2027.31</v>
      </c>
      <c r="K46" s="7">
        <f>ROUND('Group Inputs'!CC9/1000,2)</f>
        <v>2141.82</v>
      </c>
    </row>
    <row r="47" spans="1:11">
      <c r="A47" s="6" t="s">
        <v>588</v>
      </c>
      <c r="B47" s="6" t="s">
        <v>589</v>
      </c>
      <c r="C47" s="6" t="s">
        <v>560</v>
      </c>
      <c r="D47" s="6" t="s">
        <v>561</v>
      </c>
      <c r="E47" s="6" t="s">
        <v>590</v>
      </c>
      <c r="F47" s="7">
        <f>ROUND(SUM('Group Inputs'!CN$4:CN4)/1000,2)</f>
        <v>3.83</v>
      </c>
      <c r="G47" s="7">
        <f>ROUND(SUM('Group Inputs'!CN$4:CN5)/1000,2)</f>
        <v>7.49</v>
      </c>
      <c r="H47" s="7">
        <f>ROUND(SUM('Group Inputs'!CN$4:CN6)/1000,2)</f>
        <v>11.28</v>
      </c>
      <c r="I47" s="7">
        <f>ROUND(SUM('Group Inputs'!CN$4:CN7)/1000,2)</f>
        <v>14.88</v>
      </c>
      <c r="J47" s="7">
        <f>ROUND(SUM('Group Inputs'!CN$4:CN8)/1000,2)</f>
        <v>18.62</v>
      </c>
      <c r="K47" s="7">
        <f>ROUND(SUM('Group Inputs'!CN$4:CN9)/1000,2)</f>
        <v>22.03</v>
      </c>
    </row>
    <row r="48" spans="1:11">
      <c r="A48" s="6" t="s">
        <v>591</v>
      </c>
      <c r="B48" s="6" t="s">
        <v>592</v>
      </c>
      <c r="C48" s="6" t="s">
        <v>593</v>
      </c>
      <c r="D48" s="6" t="s">
        <v>25</v>
      </c>
      <c r="E48" s="6" t="s">
        <v>594</v>
      </c>
      <c r="F48" s="7">
        <f>ROUND('Group Inputs'!CM4/'Group Inputs'!C4/1000,2)</f>
        <v>77.02</v>
      </c>
      <c r="G48" s="7">
        <f>ROUND('Group Inputs'!CM5/'Group Inputs'!C5/1000,2)</f>
        <v>70.67</v>
      </c>
      <c r="H48" s="7">
        <f>ROUND('Group Inputs'!CM6/'Group Inputs'!C6/1000,2)</f>
        <v>73.45</v>
      </c>
      <c r="I48" s="7">
        <f>ROUND('Group Inputs'!CM7/'Group Inputs'!C7/1000,2)</f>
        <v>75.79</v>
      </c>
      <c r="J48" s="7">
        <f>ROUND('Group Inputs'!CM8/'Group Inputs'!C8/1000,2)</f>
        <v>73.61</v>
      </c>
      <c r="K48" s="7">
        <f>ROUND('Group Inputs'!CM9/'Group Inputs'!C9/1000,2)</f>
        <v>76.77</v>
      </c>
    </row>
    <row r="49" spans="1:11">
      <c r="A49" s="6" t="s">
        <v>595</v>
      </c>
      <c r="B49" s="6" t="s">
        <v>596</v>
      </c>
      <c r="C49" s="6" t="s">
        <v>28</v>
      </c>
      <c r="D49" s="6" t="s">
        <v>577</v>
      </c>
      <c r="E49" s="6" t="s">
        <v>597</v>
      </c>
      <c r="F49" s="7">
        <f>ROUND('Group Inputs'!GG4+'Group Inputs'!GI4-'Group Inputs'!GH4,2)</f>
        <v>34.91</v>
      </c>
      <c r="G49" s="7">
        <f>ROUND('Group Inputs'!GG5+'Group Inputs'!GI5-'Group Inputs'!GH5,2)</f>
        <v>35.93</v>
      </c>
      <c r="H49" s="7">
        <f>ROUND('Group Inputs'!GG6+'Group Inputs'!GI6-'Group Inputs'!GH6,2)</f>
        <v>34.78</v>
      </c>
      <c r="I49" s="7">
        <f>ROUND('Group Inputs'!GG7+'Group Inputs'!GI7-'Group Inputs'!GH7,2)</f>
        <v>33.84</v>
      </c>
      <c r="J49" s="7">
        <f>ROUND('Group Inputs'!GG8+'Group Inputs'!GI8-'Group Inputs'!GH8,2)</f>
        <v>35.58</v>
      </c>
      <c r="K49" s="7">
        <f>ROUND('Group Inputs'!GG9+'Group Inputs'!GI9-'Group Inputs'!GH9,2)</f>
        <v>32.59</v>
      </c>
    </row>
    <row r="50" spans="1:11">
      <c r="A50" s="6" t="s">
        <v>598</v>
      </c>
      <c r="B50" s="6" t="s">
        <v>599</v>
      </c>
      <c r="C50" s="6" t="s">
        <v>560</v>
      </c>
      <c r="D50" s="6" t="s">
        <v>600</v>
      </c>
      <c r="E50" s="6" t="s">
        <v>601</v>
      </c>
      <c r="F50" s="7">
        <f>ROUND(('Group Inputs'!CO4-'Group Inputs'!CP4)/1000,2)</f>
        <v>0.0</v>
      </c>
      <c r="G50" s="7">
        <f>ROUND(('Group Inputs'!CO5-'Group Inputs'!CP5)/1000,2)</f>
        <v>0.0</v>
      </c>
      <c r="H50" s="7">
        <f>ROUND(('Group Inputs'!CO6-'Group Inputs'!CP6)/1000,2)</f>
        <v>0.0</v>
      </c>
      <c r="I50" s="7">
        <f>ROUND(('Group Inputs'!CO7-'Group Inputs'!CP7)/1000,2)</f>
        <v>0.0</v>
      </c>
      <c r="J50" s="7">
        <f>ROUND(('Group Inputs'!CO8-'Group Inputs'!CP8)/1000,2)</f>
        <v>25.62</v>
      </c>
      <c r="K50" s="7">
        <f>ROUND(('Group Inputs'!CO9-'Group Inputs'!CP9)/1000,2)</f>
        <v>27.21</v>
      </c>
    </row>
    <row r="51" spans="1:11">
      <c r="A51" s="6" t="s">
        <v>602</v>
      </c>
      <c r="B51" s="6" t="s">
        <v>603</v>
      </c>
      <c r="C51" s="6" t="s">
        <v>28</v>
      </c>
      <c r="D51" s="6" t="s">
        <v>577</v>
      </c>
      <c r="E51" s="6" t="s">
        <v>604</v>
      </c>
      <c r="F51" s="7">
        <f>ROUND('Group Inputs'!GG4,2)</f>
        <v>47.16</v>
      </c>
      <c r="G51" s="7">
        <f>ROUND('Group Inputs'!GG5,2)</f>
        <v>48.66</v>
      </c>
      <c r="H51" s="7">
        <f>ROUND('Group Inputs'!GG6,2)</f>
        <v>48.42</v>
      </c>
      <c r="I51" s="7">
        <f>ROUND('Group Inputs'!GG7,2)</f>
        <v>48.03</v>
      </c>
      <c r="J51" s="7">
        <f>ROUND('Group Inputs'!GG8,2)</f>
        <v>47.51</v>
      </c>
      <c r="K51" s="7">
        <f>ROUND('Group Inputs'!GG9,2)</f>
        <v>46.97</v>
      </c>
    </row>
    <row r="52" spans="1:11">
      <c r="A52" s="6" t="s">
        <v>605</v>
      </c>
      <c r="B52" s="6" t="s">
        <v>606</v>
      </c>
      <c r="C52" s="6" t="s">
        <v>28</v>
      </c>
      <c r="D52" s="6" t="s">
        <v>577</v>
      </c>
      <c r="E52" s="6" t="s">
        <v>607</v>
      </c>
      <c r="F52" s="7">
        <f>ROUND('Group Inputs'!GH4,2)</f>
        <v>50.37</v>
      </c>
      <c r="G52" s="7">
        <f>ROUND('Group Inputs'!GH5,2)</f>
        <v>51.11</v>
      </c>
      <c r="H52" s="7">
        <f>ROUND('Group Inputs'!GH6,2)</f>
        <v>52.39</v>
      </c>
      <c r="I52" s="7">
        <f>ROUND('Group Inputs'!GH7,2)</f>
        <v>51.26</v>
      </c>
      <c r="J52" s="7">
        <f>ROUND('Group Inputs'!GH8,2)</f>
        <v>50.37</v>
      </c>
      <c r="K52" s="7">
        <f>ROUND('Group Inputs'!GH9,2)</f>
        <v>52.15</v>
      </c>
    </row>
    <row r="53" spans="1:11">
      <c r="A53" s="6" t="s">
        <v>608</v>
      </c>
      <c r="B53" s="6" t="s">
        <v>609</v>
      </c>
      <c r="C53" s="6" t="s">
        <v>28</v>
      </c>
      <c r="D53" s="6" t="s">
        <v>577</v>
      </c>
      <c r="E53" s="6" t="s">
        <v>610</v>
      </c>
      <c r="F53" s="7">
        <f>ROUND('Group Inputs'!GI4,2)</f>
        <v>38.13</v>
      </c>
      <c r="G53" s="7">
        <f>ROUND('Group Inputs'!GI5,2)</f>
        <v>38.38</v>
      </c>
      <c r="H53" s="7">
        <f>ROUND('Group Inputs'!GI6,2)</f>
        <v>38.75</v>
      </c>
      <c r="I53" s="7">
        <f>ROUND('Group Inputs'!GI7,2)</f>
        <v>37.06</v>
      </c>
      <c r="J53" s="7">
        <f>ROUND('Group Inputs'!GI8,2)</f>
        <v>38.44</v>
      </c>
      <c r="K53" s="7">
        <f>ROUND('Group Inputs'!GI9,2)</f>
        <v>37.76</v>
      </c>
    </row>
    <row r="54" spans="1:11">
      <c r="A54" s="6" t="s">
        <v>611</v>
      </c>
      <c r="B54" s="6" t="s">
        <v>612</v>
      </c>
      <c r="C54" s="6" t="s">
        <v>560</v>
      </c>
      <c r="D54" s="6" t="s">
        <v>577</v>
      </c>
      <c r="E54" s="6" t="s">
        <v>613</v>
      </c>
      <c r="F54" s="7">
        <f>ROUND('Group Inputs'!GA4/1000,2)</f>
        <v>2912.58</v>
      </c>
      <c r="G54" s="7">
        <f>ROUND('Group Inputs'!GA5/1000,2)</f>
        <v>2720.0</v>
      </c>
      <c r="H54" s="7">
        <f>ROUND('Group Inputs'!GA6/1000,2)</f>
        <v>2750.36</v>
      </c>
      <c r="I54" s="7">
        <f>ROUND('Group Inputs'!GA7/1000,2)</f>
        <v>2792.72</v>
      </c>
      <c r="J54" s="7">
        <f>ROUND('Group Inputs'!GA8/1000,2)</f>
        <v>2763.73</v>
      </c>
      <c r="K54" s="7">
        <f>ROUND('Group Inputs'!GA9/1000,2)</f>
        <v>2780.99</v>
      </c>
    </row>
    <row r="55" spans="1:11">
      <c r="A55" s="6" t="s">
        <v>614</v>
      </c>
      <c r="B55" s="6" t="s">
        <v>615</v>
      </c>
      <c r="C55" s="6" t="s">
        <v>560</v>
      </c>
      <c r="D55" s="6" t="s">
        <v>25</v>
      </c>
      <c r="E55" s="6" t="s">
        <v>616</v>
      </c>
      <c r="F55" s="7">
        <f>ROUND('Group Inputs'!GB4/1000,2)</f>
        <v>43.69</v>
      </c>
      <c r="G55" s="7">
        <f>ROUND('Group Inputs'!GB5/1000,2)</f>
        <v>-192.58</v>
      </c>
      <c r="H55" s="7">
        <f>ROUND('Group Inputs'!GB6/1000,2)</f>
        <v>30.36</v>
      </c>
      <c r="I55" s="7">
        <f>ROUND('Group Inputs'!GB7/1000,2)</f>
        <v>42.36</v>
      </c>
      <c r="J55" s="7">
        <f>ROUND('Group Inputs'!GB8/1000,2)</f>
        <v>-29.0</v>
      </c>
      <c r="K55" s="7">
        <f>ROUND('Group Inputs'!GB9/1000,2)</f>
        <v>17.26</v>
      </c>
    </row>
    <row r="56" spans="1:11">
      <c r="A56" s="6" t="s">
        <v>617</v>
      </c>
      <c r="B56" s="6" t="s">
        <v>618</v>
      </c>
      <c r="C56" s="6" t="s">
        <v>28</v>
      </c>
      <c r="D56" s="6" t="s">
        <v>577</v>
      </c>
      <c r="E56" s="6" t="s">
        <v>619</v>
      </c>
      <c r="F56" s="7">
        <f>ROUND(IF('Group Inputs'!AU4=0,0,'Group Inputs'!GA4/'Group Inputs'!AU4*'Group Inputs'!C4),2)</f>
        <v>37.19</v>
      </c>
      <c r="G56" s="7">
        <f>ROUND(IF('Group Inputs'!AU5=0,0,'Group Inputs'!GA5/'Group Inputs'!AU5*'Group Inputs'!C5),2)</f>
        <v>38.0</v>
      </c>
      <c r="H56" s="7">
        <f>ROUND(IF('Group Inputs'!AU6=0,0,'Group Inputs'!GA6/'Group Inputs'!AU6*'Group Inputs'!C6),2)</f>
        <v>36.91</v>
      </c>
      <c r="I56" s="7">
        <f>ROUND(IF('Group Inputs'!AU7=0,0,'Group Inputs'!GA7/'Group Inputs'!AU7*'Group Inputs'!C7),2)</f>
        <v>36.3</v>
      </c>
      <c r="J56" s="7">
        <f>ROUND(IF('Group Inputs'!AU8=0,0,'Group Inputs'!GA8/'Group Inputs'!AU8*'Group Inputs'!C8),2)</f>
        <v>37.46</v>
      </c>
      <c r="K56" s="7">
        <f>ROUND(IF('Group Inputs'!AU9=0,0,'Group Inputs'!GA9/'Group Inputs'!AU9*'Group Inputs'!C9),2)</f>
        <v>35.72</v>
      </c>
    </row>
    <row r="57" spans="1:11">
      <c r="A57" s="6" t="s">
        <v>620</v>
      </c>
      <c r="B57" s="6" t="s">
        <v>621</v>
      </c>
      <c r="C57" s="6" t="s">
        <v>622</v>
      </c>
      <c r="D57" s="6" t="s">
        <v>577</v>
      </c>
      <c r="E57" s="6" t="s">
        <v>623</v>
      </c>
      <c r="F57" s="7">
        <f>ROUND(IF(('Group Inputs'!X4+'Group Inputs'!BY4+'Group Inputs'!CE4)=0,0,('Group Inputs'!CC4+'Group Inputs'!CD4)/('Group Inputs'!X4+'Group Inputs'!BY4+'Group Inputs'!CE4)),2)</f>
        <v>15.85</v>
      </c>
      <c r="G57" s="7">
        <f>ROUND(IF(('Group Inputs'!X5+'Group Inputs'!BY5+'Group Inputs'!CE5)=0,0,('Group Inputs'!CC5+'Group Inputs'!CD5)/('Group Inputs'!X5+'Group Inputs'!BY5+'Group Inputs'!CE5)),2)</f>
        <v>15.91</v>
      </c>
      <c r="H57" s="7">
        <f>ROUND(IF(('Group Inputs'!X6+'Group Inputs'!BY6+'Group Inputs'!CE6)=0,0,('Group Inputs'!CC6+'Group Inputs'!CD6)/('Group Inputs'!X6+'Group Inputs'!BY6+'Group Inputs'!CE6)),2)</f>
        <v>16.11</v>
      </c>
      <c r="I57" s="7">
        <f>ROUND(IF(('Group Inputs'!X7+'Group Inputs'!BY7+'Group Inputs'!CE7)=0,0,('Group Inputs'!CC7+'Group Inputs'!CD7)/('Group Inputs'!X7+'Group Inputs'!BY7+'Group Inputs'!CE7)),2)</f>
        <v>16.2</v>
      </c>
      <c r="J57" s="7">
        <f>ROUND(IF(('Group Inputs'!X8+'Group Inputs'!BY8+'Group Inputs'!CE8)=0,0,('Group Inputs'!CC8+'Group Inputs'!CD8)/('Group Inputs'!X8+'Group Inputs'!BY8+'Group Inputs'!CE8)),2)</f>
        <v>15.88</v>
      </c>
      <c r="K57" s="7">
        <f>ROUND(IF(('Group Inputs'!X9+'Group Inputs'!BY9+'Group Inputs'!CE9)=0,0,('Group Inputs'!CC9+'Group Inputs'!CD9)/('Group Inputs'!X9+'Group Inputs'!BY9+'Group Inputs'!CE9)),2)</f>
        <v>16.71</v>
      </c>
    </row>
    <row r="58" spans="1:11">
      <c r="A58" s="6" t="s">
        <v>624</v>
      </c>
      <c r="B58" s="6" t="s">
        <v>625</v>
      </c>
      <c r="C58" s="6" t="s">
        <v>455</v>
      </c>
      <c r="D58" s="6" t="s">
        <v>577</v>
      </c>
      <c r="E58" s="6" t="s">
        <v>626</v>
      </c>
      <c r="F58" s="7">
        <f>ROUND(IF('Group Inputs'!GF4=0,0,100*(Parameters!$B$4-'Group Inputs'!GE4/'Group Inputs'!GF4)/Parameters!$B$4),2)</f>
        <v>27.53</v>
      </c>
      <c r="G58" s="7">
        <f>ROUND(IF('Group Inputs'!GF5=0,0,100*(Parameters!$B$4-'Group Inputs'!GE5/'Group Inputs'!GF5)/Parameters!$B$4),2)</f>
        <v>19.59</v>
      </c>
      <c r="H58" s="7">
        <f>ROUND(IF('Group Inputs'!GF6=0,0,100*(Parameters!$B$4-'Group Inputs'!GE6/'Group Inputs'!GF6)/Parameters!$B$4),2)</f>
        <v>15.98</v>
      </c>
      <c r="I58" s="7">
        <f>ROUND(IF('Group Inputs'!GF7=0,0,100*(Parameters!$B$4-'Group Inputs'!GE7/'Group Inputs'!GF7)/Parameters!$B$4),2)</f>
        <v>18.76</v>
      </c>
      <c r="J58" s="7">
        <f>ROUND(IF('Group Inputs'!GF8=0,0,100*(Parameters!$B$4-'Group Inputs'!GE8/'Group Inputs'!GF8)/Parameters!$B$4),2)</f>
        <v>17.84</v>
      </c>
      <c r="K58" s="7">
        <f>ROUND(IF('Group Inputs'!GF9=0,0,100*(Parameters!$B$4-'Group Inputs'!GE9/'Group Inputs'!GF9)/Parameters!$B$4),2)</f>
        <v>24.44</v>
      </c>
    </row>
    <row r="59" spans="1:11">
      <c r="A59" s="6" t="s">
        <v>627</v>
      </c>
      <c r="B59" s="6" t="s">
        <v>628</v>
      </c>
      <c r="C59" s="6" t="s">
        <v>560</v>
      </c>
      <c r="D59" s="6" t="s">
        <v>577</v>
      </c>
      <c r="E59" s="6" t="s">
        <v>629</v>
      </c>
      <c r="F59" s="7">
        <f>ROUND('Group Inputs'!CF4/1000,2)</f>
        <v>844.3</v>
      </c>
      <c r="G59" s="7">
        <f>ROUND('Group Inputs'!CF5/1000,2)</f>
        <v>922.92</v>
      </c>
      <c r="H59" s="7">
        <f>ROUND('Group Inputs'!CF6/1000,2)</f>
        <v>881.23</v>
      </c>
      <c r="I59" s="7">
        <f>ROUND('Group Inputs'!CF7/1000,2)</f>
        <v>910.31</v>
      </c>
      <c r="J59" s="7">
        <f>ROUND('Group Inputs'!CF8/1000,2)</f>
        <v>866.12</v>
      </c>
      <c r="K59" s="7">
        <f>ROUND('Group Inputs'!CF9/1000,2)</f>
        <v>891.41</v>
      </c>
    </row>
    <row r="60" spans="1:11">
      <c r="A60" s="6" t="s">
        <v>630</v>
      </c>
      <c r="B60" s="6" t="s">
        <v>631</v>
      </c>
      <c r="C60" s="6" t="s">
        <v>560</v>
      </c>
      <c r="D60" s="6" t="s">
        <v>577</v>
      </c>
      <c r="E60" s="6" t="s">
        <v>632</v>
      </c>
      <c r="F60" s="7">
        <f>ROUND('Group Inputs'!CG4/1000,2)</f>
        <v>2721.45</v>
      </c>
      <c r="G60" s="7">
        <f>ROUND('Group Inputs'!CG5/1000,2)</f>
        <v>2519.26</v>
      </c>
      <c r="H60" s="7">
        <f>ROUND('Group Inputs'!CG6/1000,2)</f>
        <v>2568.18</v>
      </c>
      <c r="I60" s="7">
        <f>ROUND('Group Inputs'!CG7/1000,2)</f>
        <v>2622.48</v>
      </c>
      <c r="J60" s="7">
        <f>ROUND('Group Inputs'!CG8/1000,2)</f>
        <v>2627.52</v>
      </c>
      <c r="K60" s="7">
        <f>ROUND('Group Inputs'!CG9/1000,2)</f>
        <v>2720.83</v>
      </c>
    </row>
    <row r="61" spans="1:11">
      <c r="A61" s="6" t="s">
        <v>633</v>
      </c>
      <c r="B61" s="6" t="s">
        <v>634</v>
      </c>
      <c r="C61" s="6" t="s">
        <v>560</v>
      </c>
      <c r="D61" s="6" t="s">
        <v>577</v>
      </c>
      <c r="E61" s="6" t="s">
        <v>635</v>
      </c>
      <c r="F61" s="7">
        <f>ROUND(('Group Inputs'!CZ4-'Group Inputs'!DA4)/1000,2)</f>
        <v>190.79</v>
      </c>
      <c r="G61" s="7">
        <f>ROUND(('Group Inputs'!CZ5-'Group Inputs'!DA5)/1000,2)</f>
        <v>207.5</v>
      </c>
      <c r="H61" s="7">
        <f>ROUND(('Group Inputs'!CZ6-'Group Inputs'!DA6)/1000,2)</f>
        <v>188.28</v>
      </c>
      <c r="I61" s="7">
        <f>ROUND(('Group Inputs'!CZ7-'Group Inputs'!DA7)/1000,2)</f>
        <v>227.78</v>
      </c>
      <c r="J61" s="7">
        <f>ROUND(('Group Inputs'!CZ8-'Group Inputs'!DA8)/1000,2)</f>
        <v>225.53</v>
      </c>
      <c r="K61" s="7">
        <f>ROUND(('Group Inputs'!CZ9-'Group Inputs'!DA9)/1000,2)</f>
        <v>221.72</v>
      </c>
    </row>
    <row r="62" spans="1:11">
      <c r="A62" s="6" t="s">
        <v>636</v>
      </c>
      <c r="B62" s="6" t="s">
        <v>637</v>
      </c>
      <c r="C62" s="6" t="s">
        <v>455</v>
      </c>
      <c r="D62" s="6" t="s">
        <v>25</v>
      </c>
      <c r="E62" s="6" t="s">
        <v>638</v>
      </c>
      <c r="F62" s="7">
        <f>ROUND(IF('Group Inputs'!DE4=0,0,100*'Group Inputs'!DD4/'Group Inputs'!DE4),2)</f>
        <v>89.09</v>
      </c>
      <c r="G62" s="7">
        <f>ROUND(IF('Group Inputs'!DE5=0,0,100*'Group Inputs'!DD5/'Group Inputs'!DE5),2)</f>
        <v>92.53</v>
      </c>
      <c r="H62" s="7">
        <f>ROUND(IF('Group Inputs'!DE6=0,0,100*'Group Inputs'!DD6/'Group Inputs'!DE6),2)</f>
        <v>92.84</v>
      </c>
      <c r="I62" s="7">
        <f>ROUND(IF('Group Inputs'!DE7=0,0,100*'Group Inputs'!DD7/'Group Inputs'!DE7),2)</f>
        <v>90.54</v>
      </c>
      <c r="J62" s="7">
        <f>ROUND(IF('Group Inputs'!DE8=0,0,100*'Group Inputs'!DD8/'Group Inputs'!DE8),2)</f>
        <v>92.99</v>
      </c>
      <c r="K62" s="7">
        <f>ROUND(IF('Group Inputs'!DE9=0,0,100*'Group Inputs'!DD9/'Group Inputs'!DE9),2)</f>
        <v>91.7</v>
      </c>
    </row>
    <row r="63" spans="1:11">
      <c r="A63" s="6" t="s">
        <v>639</v>
      </c>
      <c r="B63" s="6" t="s">
        <v>640</v>
      </c>
      <c r="C63" s="6" t="s">
        <v>455</v>
      </c>
      <c r="D63" s="6" t="s">
        <v>577</v>
      </c>
      <c r="E63" s="6" t="s">
        <v>641</v>
      </c>
      <c r="F63" s="7">
        <f>ROUND(IF(('Group Inputs'!CZ4-'Group Inputs'!DA4)=0,0,100*('Group Inputs'!DB4-'Group Inputs'!DC4)/('Group Inputs'!CZ4-'Group Inputs'!DA4)),2)</f>
        <v>80.23</v>
      </c>
      <c r="G63" s="7">
        <f>ROUND(IF(('Group Inputs'!CZ5-'Group Inputs'!DA5)=0,0,100*('Group Inputs'!DB5-'Group Inputs'!DC5)/('Group Inputs'!CZ5-'Group Inputs'!DA5)),2)</f>
        <v>82.15</v>
      </c>
      <c r="H63" s="7">
        <f>ROUND(IF(('Group Inputs'!CZ6-'Group Inputs'!DA6)=0,0,100*('Group Inputs'!DB6-'Group Inputs'!DC6)/('Group Inputs'!CZ6-'Group Inputs'!DA6)),2)</f>
        <v>78.55</v>
      </c>
      <c r="I63" s="7">
        <f>ROUND(IF(('Group Inputs'!CZ7-'Group Inputs'!DA7)=0,0,100*('Group Inputs'!DB7-'Group Inputs'!DC7)/('Group Inputs'!CZ7-'Group Inputs'!DA7)),2)</f>
        <v>80.32</v>
      </c>
      <c r="J63" s="7">
        <f>ROUND(IF(('Group Inputs'!CZ8-'Group Inputs'!DA8)=0,0,100*('Group Inputs'!DB8-'Group Inputs'!DC8)/('Group Inputs'!CZ8-'Group Inputs'!DA8)),2)</f>
        <v>71.35</v>
      </c>
      <c r="K63" s="7">
        <f>ROUND(IF(('Group Inputs'!CZ9-'Group Inputs'!DA9)=0,0,100*('Group Inputs'!DB9-'Group Inputs'!DC9)/('Group Inputs'!CZ9-'Group Inputs'!DA9)),2)</f>
        <v>75.83</v>
      </c>
    </row>
    <row r="64" spans="1:11">
      <c r="A64" s="6" t="s">
        <v>642</v>
      </c>
      <c r="B64" s="6" t="s">
        <v>643</v>
      </c>
      <c r="C64" s="6" t="s">
        <v>455</v>
      </c>
      <c r="D64" s="6" t="s">
        <v>644</v>
      </c>
      <c r="E64" s="6" t="s">
        <v>645</v>
      </c>
      <c r="F64" s="7">
        <f>ROUND(IF('Group Inputs'!DF4=0,0,100*'Group Inputs'!DG4/'Group Inputs'!DF4),2)</f>
        <v>70.22</v>
      </c>
      <c r="G64" s="7">
        <f>ROUND(IF('Group Inputs'!DF5=0,0,100*'Group Inputs'!DG5/'Group Inputs'!DF5),2)</f>
        <v>71.1</v>
      </c>
      <c r="H64" s="7">
        <f>ROUND(IF('Group Inputs'!DF6=0,0,100*'Group Inputs'!DG6/'Group Inputs'!DF6),2)</f>
        <v>69.89</v>
      </c>
      <c r="I64" s="7">
        <f>ROUND(IF('Group Inputs'!DF7=0,0,100*'Group Inputs'!DG7/'Group Inputs'!DF7),2)</f>
        <v>68.44</v>
      </c>
      <c r="J64" s="7">
        <f>ROUND(IF('Group Inputs'!DF8=0,0,100*'Group Inputs'!DG8/'Group Inputs'!DF8),2)</f>
        <v>69.67</v>
      </c>
      <c r="K64" s="7">
        <f>ROUND(IF('Group Inputs'!DF9=0,0,100*'Group Inputs'!DG9/'Group Inputs'!DF9),2)</f>
        <v>70.65</v>
      </c>
    </row>
    <row r="65" spans="1:11">
      <c r="A65" s="6" t="s">
        <v>646</v>
      </c>
      <c r="B65" s="6" t="s">
        <v>647</v>
      </c>
      <c r="C65" s="6" t="s">
        <v>560</v>
      </c>
      <c r="D65" s="6" t="s">
        <v>577</v>
      </c>
      <c r="E65" s="6" t="s">
        <v>648</v>
      </c>
      <c r="F65" s="7">
        <f>ROUND(0.05*('Group Inputs'!DB4-'Group Inputs'!DC4)/1000,2)</f>
        <v>7.65</v>
      </c>
      <c r="G65" s="7">
        <f>ROUND(0.05*('Group Inputs'!DB5-'Group Inputs'!DC5)/1000,2)</f>
        <v>8.52</v>
      </c>
      <c r="H65" s="7">
        <f>ROUND(0.05*('Group Inputs'!DB6-'Group Inputs'!DC6)/1000,2)</f>
        <v>7.39</v>
      </c>
      <c r="I65" s="7">
        <f>ROUND(0.05*('Group Inputs'!DB7-'Group Inputs'!DC7)/1000,2)</f>
        <v>9.15</v>
      </c>
      <c r="J65" s="7">
        <f>ROUND(0.05*('Group Inputs'!DB8-'Group Inputs'!DC8)/1000,2)</f>
        <v>8.05</v>
      </c>
      <c r="K65" s="7">
        <f>ROUND(0.05*('Group Inputs'!DB9-'Group Inputs'!DC9)/1000,2)</f>
        <v>8.41</v>
      </c>
    </row>
    <row r="66" spans="1:11">
      <c r="A66" s="6" t="s">
        <v>649</v>
      </c>
      <c r="B66" s="6" t="s">
        <v>650</v>
      </c>
      <c r="C66" s="6" t="s">
        <v>560</v>
      </c>
      <c r="D66" s="6" t="s">
        <v>651</v>
      </c>
      <c r="E66" s="6" t="s">
        <v>652</v>
      </c>
      <c r="F66" s="7">
        <f>ROUND('Group Inputs'!DH4/1000,2)</f>
        <v>1860.0</v>
      </c>
      <c r="G66" s="7">
        <f>ROUND('Group Inputs'!DH5/1000,2)</f>
        <v>1860.0</v>
      </c>
      <c r="H66" s="7">
        <f>ROUND('Group Inputs'!DH6/1000,2)</f>
        <v>1860.0</v>
      </c>
      <c r="I66" s="7">
        <f>ROUND('Group Inputs'!DH7/1000,2)</f>
        <v>1860.0</v>
      </c>
      <c r="J66" s="7">
        <f>ROUND('Group Inputs'!DH8/1000,2)</f>
        <v>1860.0</v>
      </c>
      <c r="K66" s="7">
        <f>ROUND('Group Inputs'!DH9/1000,2)</f>
        <v>1860.0</v>
      </c>
    </row>
    <row r="67" spans="1:11">
      <c r="A67" s="6" t="s">
        <v>653</v>
      </c>
      <c r="B67" s="6" t="s">
        <v>654</v>
      </c>
      <c r="C67" s="6" t="s">
        <v>560</v>
      </c>
      <c r="D67" s="6" t="s">
        <v>655</v>
      </c>
      <c r="E67" s="6" t="s">
        <v>656</v>
      </c>
      <c r="F67" s="7">
        <f>ROUND('Group Inputs'!DI4/1000,2)</f>
        <v>838.53</v>
      </c>
      <c r="G67" s="7">
        <f>ROUND('Group Inputs'!DI5/1000,2)</f>
        <v>933.32</v>
      </c>
      <c r="H67" s="7">
        <f>ROUND('Group Inputs'!DI6/1000,2)</f>
        <v>1037.26</v>
      </c>
      <c r="I67" s="7">
        <f>ROUND('Group Inputs'!DI7/1000,2)</f>
        <v>1134.85</v>
      </c>
      <c r="J67" s="7">
        <f>ROUND('Group Inputs'!DI8/1000,2)</f>
        <v>1238.53</v>
      </c>
      <c r="K67" s="7">
        <f>ROUND('Group Inputs'!DI9/1000,2)</f>
        <v>1347.73</v>
      </c>
    </row>
    <row r="68" spans="1:11">
      <c r="A68" s="6" t="s">
        <v>657</v>
      </c>
      <c r="B68" s="6" t="s">
        <v>658</v>
      </c>
      <c r="C68" s="6" t="s">
        <v>560</v>
      </c>
      <c r="D68" s="6" t="s">
        <v>561</v>
      </c>
      <c r="E68" s="6" t="s">
        <v>659</v>
      </c>
      <c r="F68" s="7">
        <f>ROUND(SUM('Group Inputs'!DJ$4:DJ4)/1000,2)</f>
        <v>146.56</v>
      </c>
      <c r="G68" s="7">
        <f>ROUND(SUM('Group Inputs'!DJ$4:DJ5)/1000,2)</f>
        <v>291.62</v>
      </c>
      <c r="H68" s="7">
        <f>ROUND(SUM('Group Inputs'!DJ$4:DJ6)/1000,2)</f>
        <v>435.28</v>
      </c>
      <c r="I68" s="7">
        <f>ROUND(SUM('Group Inputs'!DJ$4:DJ7)/1000,2)</f>
        <v>582.9</v>
      </c>
      <c r="J68" s="7">
        <f>ROUND(SUM('Group Inputs'!DJ$4:DJ8)/1000,2)</f>
        <v>734.84</v>
      </c>
      <c r="K68" s="7">
        <f>ROUND(SUM('Group Inputs'!DJ$4:DJ9)/1000,2)</f>
        <v>879.71</v>
      </c>
    </row>
    <row r="69" spans="1:11">
      <c r="A69" s="6" t="s">
        <v>660</v>
      </c>
      <c r="B69" s="6" t="s">
        <v>661</v>
      </c>
      <c r="C69" s="6" t="s">
        <v>455</v>
      </c>
      <c r="D69" s="6" t="s">
        <v>655</v>
      </c>
      <c r="E69" s="6" t="s">
        <v>662</v>
      </c>
      <c r="F69" s="7">
        <f>ROUND(IF('Group Inputs'!DH4=0,0,100*'Group Inputs'!DK4/'Group Inputs'!DH4),2)</f>
        <v>38.0</v>
      </c>
      <c r="G69" s="7">
        <f>ROUND(IF('Group Inputs'!DH5=0,0,100*'Group Inputs'!DK5/'Group Inputs'!DH5),2)</f>
        <v>42.57</v>
      </c>
      <c r="H69" s="7">
        <f>ROUND(IF('Group Inputs'!DH6=0,0,100*'Group Inputs'!DK6/'Group Inputs'!DH6),2)</f>
        <v>47.14</v>
      </c>
      <c r="I69" s="7">
        <f>ROUND(IF('Group Inputs'!DH7=0,0,100*'Group Inputs'!DK7/'Group Inputs'!DH7),2)</f>
        <v>51.71</v>
      </c>
      <c r="J69" s="7">
        <f>ROUND(IF('Group Inputs'!DH8=0,0,100*'Group Inputs'!DK8/'Group Inputs'!DH8),2)</f>
        <v>56.28</v>
      </c>
      <c r="K69" s="7">
        <f>ROUND(IF('Group Inputs'!DH9=0,0,100*'Group Inputs'!DK9/'Group Inputs'!DH9),2)</f>
        <v>60.85</v>
      </c>
    </row>
    <row r="70" spans="1:11">
      <c r="A70" s="6" t="s">
        <v>663</v>
      </c>
      <c r="B70" s="6" t="s">
        <v>664</v>
      </c>
      <c r="C70" s="6" t="s">
        <v>560</v>
      </c>
      <c r="D70" s="6" t="s">
        <v>577</v>
      </c>
      <c r="E70" s="6" t="s">
        <v>665</v>
      </c>
      <c r="F70" s="7">
        <f>ROUND('Group Inputs'!DL4/1000,2)</f>
        <v>139.24</v>
      </c>
      <c r="G70" s="7">
        <f>ROUND('Group Inputs'!DL5/1000,2)</f>
        <v>161.83</v>
      </c>
      <c r="H70" s="7">
        <f>ROUND('Group Inputs'!DL6/1000,2)</f>
        <v>152.29</v>
      </c>
      <c r="I70" s="7">
        <f>ROUND('Group Inputs'!DL7/1000,2)</f>
        <v>153.97</v>
      </c>
      <c r="J70" s="7">
        <f>ROUND('Group Inputs'!DL8/1000,2)</f>
        <v>153.09</v>
      </c>
      <c r="K70" s="7">
        <f>ROUND('Group Inputs'!DL9/1000,2)</f>
        <v>148.03</v>
      </c>
    </row>
    <row r="71" spans="1:11">
      <c r="A71" s="6" t="s">
        <v>666</v>
      </c>
      <c r="B71" s="6" t="s">
        <v>667</v>
      </c>
      <c r="C71" s="6" t="s">
        <v>668</v>
      </c>
      <c r="D71" s="6" t="s">
        <v>577</v>
      </c>
      <c r="E71" s="6" t="s">
        <v>669</v>
      </c>
      <c r="F71" s="8" t="str">
        <f>'Group Inputs'!DM4&amp;" on track · "&amp;'Group Inputs'!DN4&amp;" at risk · "&amp;'Group Inputs'!DO4&amp;" off track"</f>
        <v>9 on track · 2 at risk · 0 off track</v>
      </c>
      <c r="G71" s="8" t="str">
        <f>'Group Inputs'!DM5&amp;" on track · "&amp;'Group Inputs'!DN5&amp;" at risk · "&amp;'Group Inputs'!DO5&amp;" off track"</f>
        <v>9 on track · 2 at risk · 0 off track</v>
      </c>
      <c r="H71" s="8" t="str">
        <f>'Group Inputs'!DM6&amp;" on track · "&amp;'Group Inputs'!DN6&amp;" at risk · "&amp;'Group Inputs'!DO6&amp;" off track"</f>
        <v>9 on track · 2 at risk · 0 off track</v>
      </c>
      <c r="I71" s="8" t="str">
        <f>'Group Inputs'!DM7&amp;" on track · "&amp;'Group Inputs'!DN7&amp;" at risk · "&amp;'Group Inputs'!DO7&amp;" off track"</f>
        <v>9 on track · 2 at risk · 0 off track</v>
      </c>
      <c r="J71" s="8" t="str">
        <f>'Group Inputs'!DM8&amp;" on track · "&amp;'Group Inputs'!DN8&amp;" at risk · "&amp;'Group Inputs'!DO8&amp;" off track"</f>
        <v>9 on track · 2 at risk · 0 off track</v>
      </c>
      <c r="K71" s="8" t="str">
        <f>'Group Inputs'!DM9&amp;" on track · "&amp;'Group Inputs'!DN9&amp;" at risk · "&amp;'Group Inputs'!DO9&amp;" off track"</f>
        <v>9 on track · 2 at risk · 0 off track</v>
      </c>
    </row>
    <row r="72" spans="1:11">
      <c r="A72" s="6" t="s">
        <v>670</v>
      </c>
      <c r="B72" s="6" t="s">
        <v>671</v>
      </c>
      <c r="C72" s="6" t="s">
        <v>455</v>
      </c>
      <c r="D72" s="6" t="s">
        <v>561</v>
      </c>
      <c r="E72" s="6" t="s">
        <v>672</v>
      </c>
      <c r="F72" s="7">
        <f>ROUND(IF(SUM('Group Inputs'!DX$4:DX4)=0,0,100*SUM('Group Inputs'!DY$4:DY4)/SUM('Group Inputs'!DX$4:DX4)),2)</f>
        <v>46.69</v>
      </c>
      <c r="G72" s="7">
        <f>ROUND(IF(SUM('Group Inputs'!DX$4:DX5)=0,0,100*SUM('Group Inputs'!DY$4:DY5)/SUM('Group Inputs'!DX$4:DX5)),2)</f>
        <v>47.85</v>
      </c>
      <c r="H72" s="7">
        <f>ROUND(IF(SUM('Group Inputs'!DX$4:DX6)=0,0,100*SUM('Group Inputs'!DY$4:DY6)/SUM('Group Inputs'!DX$4:DX6)),2)</f>
        <v>47.74</v>
      </c>
      <c r="I72" s="7">
        <f>ROUND(IF(SUM('Group Inputs'!DX$4:DX7)=0,0,100*SUM('Group Inputs'!DY$4:DY7)/SUM('Group Inputs'!DX$4:DX7)),2)</f>
        <v>48.04</v>
      </c>
      <c r="J72" s="7">
        <f>ROUND(IF(SUM('Group Inputs'!DX$4:DX8)=0,0,100*SUM('Group Inputs'!DY$4:DY8)/SUM('Group Inputs'!DX$4:DX8)),2)</f>
        <v>48.1</v>
      </c>
      <c r="K72" s="7">
        <f>ROUND(IF(SUM('Group Inputs'!DX$4:DX9)=0,0,100*SUM('Group Inputs'!DY$4:DY9)/SUM('Group Inputs'!DX$4:DX9)),2)</f>
        <v>47.96</v>
      </c>
    </row>
    <row r="73" spans="1:11">
      <c r="A73" s="6" t="s">
        <v>673</v>
      </c>
      <c r="B73" s="6" t="s">
        <v>674</v>
      </c>
      <c r="C73" s="6" t="s">
        <v>512</v>
      </c>
      <c r="D73" s="6" t="s">
        <v>577</v>
      </c>
      <c r="E73" s="6" t="s">
        <v>675</v>
      </c>
      <c r="F73" s="7">
        <f>ROUND('Group Inputs'!DP4,2)</f>
        <v>0.0</v>
      </c>
      <c r="G73" s="7">
        <f>ROUND('Group Inputs'!DP5,2)</f>
        <v>0.0</v>
      </c>
      <c r="H73" s="7">
        <f>ROUND('Group Inputs'!DP6,2)</f>
        <v>0.0</v>
      </c>
      <c r="I73" s="7">
        <f>ROUND('Group Inputs'!DP7,2)</f>
        <v>1.0</v>
      </c>
      <c r="J73" s="7">
        <f>ROUND('Group Inputs'!DP8,2)</f>
        <v>1.0</v>
      </c>
      <c r="K73" s="7">
        <f>ROUND('Group Inputs'!DP9,2)</f>
        <v>1.0</v>
      </c>
    </row>
    <row r="74" spans="1:11">
      <c r="A74" s="6" t="s">
        <v>676</v>
      </c>
      <c r="B74" s="6" t="s">
        <v>677</v>
      </c>
      <c r="C74" s="6" t="s">
        <v>455</v>
      </c>
      <c r="D74" s="6" t="s">
        <v>655</v>
      </c>
      <c r="E74" s="6" t="s">
        <v>678</v>
      </c>
      <c r="F74" s="7">
        <f>ROUND(IF('Group Inputs'!DV4=0,0,100*'Group Inputs'!DW4/'Group Inputs'!DV4),2)</f>
        <v>29.84</v>
      </c>
      <c r="G74" s="7">
        <f>ROUND(IF('Group Inputs'!DV5=0,0,100*'Group Inputs'!DW5/'Group Inputs'!DV5),2)</f>
        <v>34.68</v>
      </c>
      <c r="H74" s="7">
        <f>ROUND(IF('Group Inputs'!DV6=0,0,100*'Group Inputs'!DW6/'Group Inputs'!DV6),2)</f>
        <v>39.52</v>
      </c>
      <c r="I74" s="7">
        <f>ROUND(IF('Group Inputs'!DV7=0,0,100*'Group Inputs'!DW7/'Group Inputs'!DV7),2)</f>
        <v>44.35</v>
      </c>
      <c r="J74" s="7">
        <f>ROUND(IF('Group Inputs'!DV8=0,0,100*'Group Inputs'!DW8/'Group Inputs'!DV8),2)</f>
        <v>49.19</v>
      </c>
      <c r="K74" s="7">
        <f>ROUND(IF('Group Inputs'!DV9=0,0,100*'Group Inputs'!DW9/'Group Inputs'!DV9),2)</f>
        <v>54.03</v>
      </c>
    </row>
    <row r="75" spans="1:11">
      <c r="A75" s="6" t="s">
        <v>679</v>
      </c>
      <c r="B75" s="6" t="s">
        <v>680</v>
      </c>
      <c r="C75" s="6" t="s">
        <v>455</v>
      </c>
      <c r="D75" s="6" t="s">
        <v>655</v>
      </c>
      <c r="E75" s="6" t="s">
        <v>678</v>
      </c>
      <c r="F75" s="7">
        <f>ROUND(IF('Group Inputs'!DV4=0,0,100*'Group Inputs'!DW4/'Group Inputs'!DV4),2)</f>
        <v>29.84</v>
      </c>
      <c r="G75" s="7">
        <f>ROUND(IF('Group Inputs'!DV5=0,0,100*'Group Inputs'!DW5/'Group Inputs'!DV5),2)</f>
        <v>34.68</v>
      </c>
      <c r="H75" s="7">
        <f>ROUND(IF('Group Inputs'!DV6=0,0,100*'Group Inputs'!DW6/'Group Inputs'!DV6),2)</f>
        <v>39.52</v>
      </c>
      <c r="I75" s="7">
        <f>ROUND(IF('Group Inputs'!DV7=0,0,100*'Group Inputs'!DW7/'Group Inputs'!DV7),2)</f>
        <v>44.35</v>
      </c>
      <c r="J75" s="7">
        <f>ROUND(IF('Group Inputs'!DV8=0,0,100*'Group Inputs'!DW8/'Group Inputs'!DV8),2)</f>
        <v>49.19</v>
      </c>
      <c r="K75" s="7">
        <f>ROUND(IF('Group Inputs'!DV9=0,0,100*'Group Inputs'!DW9/'Group Inputs'!DV9),2)</f>
        <v>54.03</v>
      </c>
    </row>
    <row r="76" spans="1:11">
      <c r="A76" s="6" t="s">
        <v>681</v>
      </c>
      <c r="B76" s="6" t="s">
        <v>682</v>
      </c>
      <c r="C76" s="6" t="s">
        <v>668</v>
      </c>
      <c r="D76" s="6" t="s">
        <v>577</v>
      </c>
      <c r="E76" s="6" t="s">
        <v>683</v>
      </c>
      <c r="F76" s="8" t="str">
        <f>'Group Inputs'!DS4&amp;" on track · "&amp;'Group Inputs'!DT4&amp;" at risk · "&amp;'Group Inputs'!DU4&amp;" delayed"</f>
        <v>15 on track · 6 at risk · 3 delayed</v>
      </c>
      <c r="G76" s="8" t="str">
        <f>'Group Inputs'!DS5&amp;" on track · "&amp;'Group Inputs'!DT5&amp;" at risk · "&amp;'Group Inputs'!DU5&amp;" delayed"</f>
        <v>15 on track · 6 at risk · 3 delayed</v>
      </c>
      <c r="H76" s="8" t="str">
        <f>'Group Inputs'!DS6&amp;" on track · "&amp;'Group Inputs'!DT6&amp;" at risk · "&amp;'Group Inputs'!DU6&amp;" delayed"</f>
        <v>15 on track · 6 at risk · 3 delayed</v>
      </c>
      <c r="I76" s="8" t="str">
        <f>'Group Inputs'!DS7&amp;" on track · "&amp;'Group Inputs'!DT7&amp;" at risk · "&amp;'Group Inputs'!DU7&amp;" delayed"</f>
        <v>15 on track · 6 at risk · 3 delayed</v>
      </c>
      <c r="J76" s="8" t="str">
        <f>'Group Inputs'!DS8&amp;" on track · "&amp;'Group Inputs'!DT8&amp;" at risk · "&amp;'Group Inputs'!DU8&amp;" delayed"</f>
        <v>15 on track · 6 at risk · 3 delayed</v>
      </c>
      <c r="K76" s="8" t="str">
        <f>'Group Inputs'!DS9&amp;" on track · "&amp;'Group Inputs'!DT9&amp;" at risk · "&amp;'Group Inputs'!DU9&amp;" delayed"</f>
        <v>15 on track · 6 at risk · 3 delayed</v>
      </c>
    </row>
    <row r="77" spans="1:11">
      <c r="A77" s="6" t="s">
        <v>684</v>
      </c>
      <c r="B77" s="6" t="s">
        <v>685</v>
      </c>
      <c r="C77" s="6" t="s">
        <v>28</v>
      </c>
      <c r="D77" s="6" t="s">
        <v>25</v>
      </c>
      <c r="E77" s="6" t="s">
        <v>686</v>
      </c>
      <c r="F77" s="7">
        <f>ROUND(IF('Group Inputs'!DQ4=0,0,'Group Inputs'!DR4/'Group Inputs'!DQ4),2)</f>
        <v>2.36</v>
      </c>
      <c r="G77" s="7">
        <f>ROUND(IF('Group Inputs'!DQ5=0,0,'Group Inputs'!DR5/'Group Inputs'!DQ5),2)</f>
        <v>2.2</v>
      </c>
      <c r="H77" s="7">
        <f>ROUND(IF('Group Inputs'!DQ6=0,0,'Group Inputs'!DR6/'Group Inputs'!DQ6),2)</f>
        <v>2.18</v>
      </c>
      <c r="I77" s="7">
        <f>ROUND(IF('Group Inputs'!DQ7=0,0,'Group Inputs'!DR7/'Group Inputs'!DQ7),2)</f>
        <v>2.1</v>
      </c>
      <c r="J77" s="7">
        <f>ROUND(IF('Group Inputs'!DQ8=0,0,'Group Inputs'!DR8/'Group Inputs'!DQ8),2)</f>
        <v>2.15</v>
      </c>
      <c r="K77" s="7">
        <f>ROUND(IF('Group Inputs'!DQ9=0,0,'Group Inputs'!DR9/'Group Inputs'!DQ9),2)</f>
        <v>1.73</v>
      </c>
    </row>
    <row r="78" spans="1:11">
      <c r="A78" s="6" t="s">
        <v>687</v>
      </c>
      <c r="B78" s="6" t="s">
        <v>688</v>
      </c>
      <c r="C78" s="6" t="s">
        <v>560</v>
      </c>
      <c r="D78" s="6" t="s">
        <v>561</v>
      </c>
      <c r="E78" s="6" t="s">
        <v>689</v>
      </c>
      <c r="F78" s="7">
        <f>ROUND(SUM('Group Inputs'!DZ$4:DZ4)/1000,2)</f>
        <v>2.36</v>
      </c>
      <c r="G78" s="7">
        <f>ROUND(SUM('Group Inputs'!DZ$4:DZ5)/1000,2)</f>
        <v>4.7</v>
      </c>
      <c r="H78" s="7">
        <f>ROUND(SUM('Group Inputs'!DZ$4:DZ6)/1000,2)</f>
        <v>7.09</v>
      </c>
      <c r="I78" s="7">
        <f>ROUND(SUM('Group Inputs'!DZ$4:DZ7)/1000,2)</f>
        <v>9.47</v>
      </c>
      <c r="J78" s="7">
        <f>ROUND(SUM('Group Inputs'!DZ$4:DZ8)/1000,2)</f>
        <v>11.86</v>
      </c>
      <c r="K78" s="7">
        <f>ROUND(SUM('Group Inputs'!DZ$4:DZ9)/1000,2)</f>
        <v>14.21</v>
      </c>
    </row>
    <row r="79" spans="1:11">
      <c r="A79" s="6" t="s">
        <v>690</v>
      </c>
      <c r="B79" s="6" t="s">
        <v>691</v>
      </c>
      <c r="C79" s="6" t="s">
        <v>560</v>
      </c>
      <c r="D79" s="6" t="s">
        <v>561</v>
      </c>
      <c r="E79" s="6" t="s">
        <v>692</v>
      </c>
      <c r="F79" s="7">
        <f>ROUND(SUM('Group Inputs'!EA$4:EA4)/1000,2)</f>
        <v>1.44</v>
      </c>
      <c r="G79" s="7">
        <f>ROUND(SUM('Group Inputs'!EA$4:EA5)/1000,2)</f>
        <v>2.94</v>
      </c>
      <c r="H79" s="7">
        <f>ROUND(SUM('Group Inputs'!EA$4:EA6)/1000,2)</f>
        <v>4.37</v>
      </c>
      <c r="I79" s="7">
        <f>ROUND(SUM('Group Inputs'!EA$4:EA7)/1000,2)</f>
        <v>5.86</v>
      </c>
      <c r="J79" s="7">
        <f>ROUND(SUM('Group Inputs'!EA$4:EA8)/1000,2)</f>
        <v>7.28</v>
      </c>
      <c r="K79" s="7">
        <f>ROUND(SUM('Group Inputs'!EA$4:EA9)/1000,2)</f>
        <v>8.71</v>
      </c>
    </row>
    <row r="80" spans="1:11">
      <c r="A80" s="6" t="s">
        <v>693</v>
      </c>
      <c r="B80" s="6" t="s">
        <v>694</v>
      </c>
      <c r="C80" s="6" t="s">
        <v>560</v>
      </c>
      <c r="D80" s="6" t="s">
        <v>561</v>
      </c>
      <c r="E80" s="6" t="s">
        <v>695</v>
      </c>
      <c r="F80" s="7">
        <f>ROUND(SUM('Group Inputs'!EB$4:EB4)/1000,2)</f>
        <v>1.77</v>
      </c>
      <c r="G80" s="7">
        <f>ROUND(SUM('Group Inputs'!EB$4:EB5)/1000,2)</f>
        <v>3.67</v>
      </c>
      <c r="H80" s="7">
        <f>ROUND(SUM('Group Inputs'!EB$4:EB6)/1000,2)</f>
        <v>5.56</v>
      </c>
      <c r="I80" s="7">
        <f>ROUND(SUM('Group Inputs'!EB$4:EB7)/1000,2)</f>
        <v>7.47</v>
      </c>
      <c r="J80" s="7">
        <f>ROUND(SUM('Group Inputs'!EB$4:EB8)/1000,2)</f>
        <v>9.36</v>
      </c>
      <c r="K80" s="7">
        <f>ROUND(SUM('Group Inputs'!EB$4:EB9)/1000,2)</f>
        <v>11.25</v>
      </c>
    </row>
    <row r="81" spans="1:11">
      <c r="A81" s="6" t="s">
        <v>696</v>
      </c>
      <c r="B81" s="6" t="s">
        <v>697</v>
      </c>
      <c r="C81" s="6" t="s">
        <v>455</v>
      </c>
      <c r="D81" s="6" t="s">
        <v>25</v>
      </c>
      <c r="E81" s="6" t="s">
        <v>698</v>
      </c>
      <c r="F81" s="7">
        <f>ROUND(IF('Group Inputs'!AY4=0,0,100*'Group Inputs'!AZ4/'Group Inputs'!AY4),2)</f>
        <v>91.11</v>
      </c>
      <c r="G81" s="7">
        <f>ROUND(IF('Group Inputs'!AY5=0,0,100*'Group Inputs'!AZ5/'Group Inputs'!AY5),2)</f>
        <v>91.39</v>
      </c>
      <c r="H81" s="7">
        <f>ROUND(IF('Group Inputs'!AY6=0,0,100*'Group Inputs'!AZ6/'Group Inputs'!AY6),2)</f>
        <v>92.06</v>
      </c>
      <c r="I81" s="7">
        <f>ROUND(IF('Group Inputs'!AY7=0,0,100*'Group Inputs'!AZ7/'Group Inputs'!AY7),2)</f>
        <v>91.89</v>
      </c>
      <c r="J81" s="7">
        <f>ROUND(IF('Group Inputs'!AY8=0,0,100*'Group Inputs'!AZ8/'Group Inputs'!AY8),2)</f>
        <v>91.17</v>
      </c>
      <c r="K81" s="7">
        <f>ROUND(IF('Group Inputs'!AY9=0,0,100*'Group Inputs'!AZ9/'Group Inputs'!AY9),2)</f>
        <v>91.41</v>
      </c>
    </row>
    <row r="82" spans="1:11">
      <c r="A82" s="6" t="s">
        <v>699</v>
      </c>
      <c r="B82" s="6" t="s">
        <v>700</v>
      </c>
      <c r="C82" s="6" t="s">
        <v>455</v>
      </c>
      <c r="D82" s="6" t="s">
        <v>25</v>
      </c>
      <c r="E82" s="6" t="s">
        <v>701</v>
      </c>
      <c r="F82" s="7">
        <f>ROUND(IF('Group Inputs'!BA4=0,0,100*'Group Inputs'!BB4/'Group Inputs'!BA4),2)</f>
        <v>95.96</v>
      </c>
      <c r="G82" s="7">
        <f>ROUND(IF('Group Inputs'!BA5=0,0,100*'Group Inputs'!BB5/'Group Inputs'!BA5),2)</f>
        <v>95.52</v>
      </c>
      <c r="H82" s="7">
        <f>ROUND(IF('Group Inputs'!BA6=0,0,100*'Group Inputs'!BB6/'Group Inputs'!BA6),2)</f>
        <v>96.93</v>
      </c>
      <c r="I82" s="7">
        <f>ROUND(IF('Group Inputs'!BA7=0,0,100*'Group Inputs'!BB7/'Group Inputs'!BA7),2)</f>
        <v>95.87</v>
      </c>
      <c r="J82" s="7">
        <f>ROUND(IF('Group Inputs'!BA8=0,0,100*'Group Inputs'!BB8/'Group Inputs'!BA8),2)</f>
        <v>96.93</v>
      </c>
      <c r="K82" s="7">
        <f>ROUND(IF('Group Inputs'!BA9=0,0,100*'Group Inputs'!BB9/'Group Inputs'!BA9),2)</f>
        <v>96.82</v>
      </c>
    </row>
    <row r="83" spans="1:11">
      <c r="A83" s="6" t="s">
        <v>702</v>
      </c>
      <c r="B83" s="6" t="s">
        <v>703</v>
      </c>
      <c r="C83" s="6" t="s">
        <v>455</v>
      </c>
      <c r="D83" s="6" t="s">
        <v>25</v>
      </c>
      <c r="E83" s="6" t="s">
        <v>704</v>
      </c>
      <c r="F83" s="7">
        <f>ROUND(IF('Group Inputs'!BB4=0,0,100*'Group Inputs'!BC4/'Group Inputs'!BB4),2)</f>
        <v>1.19</v>
      </c>
      <c r="G83" s="7">
        <f>ROUND(IF('Group Inputs'!BB5=0,0,100*'Group Inputs'!BC5/'Group Inputs'!BB5),2)</f>
        <v>0.93</v>
      </c>
      <c r="H83" s="7">
        <f>ROUND(IF('Group Inputs'!BB6=0,0,100*'Group Inputs'!BC6/'Group Inputs'!BB6),2)</f>
        <v>0.87</v>
      </c>
      <c r="I83" s="7">
        <f>ROUND(IF('Group Inputs'!BB7=0,0,100*'Group Inputs'!BC7/'Group Inputs'!BB7),2)</f>
        <v>0.9</v>
      </c>
      <c r="J83" s="7">
        <f>ROUND(IF('Group Inputs'!BB8=0,0,100*'Group Inputs'!BC8/'Group Inputs'!BB8),2)</f>
        <v>1.33</v>
      </c>
      <c r="K83" s="7">
        <f>ROUND(IF('Group Inputs'!BB9=0,0,100*'Group Inputs'!BC9/'Group Inputs'!BB9),2)</f>
        <v>1.12</v>
      </c>
    </row>
    <row r="84" spans="1:11">
      <c r="A84" s="6" t="s">
        <v>705</v>
      </c>
      <c r="B84" s="6" t="s">
        <v>706</v>
      </c>
      <c r="C84" s="6" t="s">
        <v>455</v>
      </c>
      <c r="D84" s="6" t="s">
        <v>25</v>
      </c>
      <c r="E84" s="6" t="s">
        <v>707</v>
      </c>
      <c r="F84" s="7">
        <f>ROUND(IF('Group Inputs'!BD4=0,0,100*('Group Inputs'!BE4-'Group Inputs'!BD4)/'Group Inputs'!BD4),2)</f>
        <v>5.29</v>
      </c>
      <c r="G84" s="7">
        <f>ROUND(IF('Group Inputs'!BD5=0,0,100*('Group Inputs'!BE5-'Group Inputs'!BD5)/'Group Inputs'!BD5),2)</f>
        <v>2.93</v>
      </c>
      <c r="H84" s="7">
        <f>ROUND(IF('Group Inputs'!BD6=0,0,100*('Group Inputs'!BE6-'Group Inputs'!BD6)/'Group Inputs'!BD6),2)</f>
        <v>3.18</v>
      </c>
      <c r="I84" s="7">
        <f>ROUND(IF('Group Inputs'!BD7=0,0,100*('Group Inputs'!BE7-'Group Inputs'!BD7)/'Group Inputs'!BD7),2)</f>
        <v>2.48</v>
      </c>
      <c r="J84" s="7">
        <f>ROUND(IF('Group Inputs'!BD8=0,0,100*('Group Inputs'!BE8-'Group Inputs'!BD8)/'Group Inputs'!BD8),2)</f>
        <v>2.53</v>
      </c>
      <c r="K84" s="7">
        <f>ROUND(IF('Group Inputs'!BD9=0,0,100*('Group Inputs'!BE9-'Group Inputs'!BD9)/'Group Inputs'!BD9),2)</f>
        <v>5.25</v>
      </c>
    </row>
    <row r="85" spans="1:11">
      <c r="A85" s="6" t="s">
        <v>708</v>
      </c>
      <c r="B85" s="6" t="s">
        <v>709</v>
      </c>
      <c r="C85" s="6" t="s">
        <v>512</v>
      </c>
      <c r="D85" s="6" t="s">
        <v>577</v>
      </c>
      <c r="E85" s="6" t="s">
        <v>710</v>
      </c>
      <c r="F85" s="7">
        <f>ROUND('Group Inputs'!EG4,2)</f>
        <v>3.0</v>
      </c>
      <c r="G85" s="7">
        <f>ROUND('Group Inputs'!EG5,2)</f>
        <v>3.0</v>
      </c>
      <c r="H85" s="7">
        <f>ROUND('Group Inputs'!EG6,2)</f>
        <v>3.0</v>
      </c>
      <c r="I85" s="7">
        <f>ROUND('Group Inputs'!EG7,2)</f>
        <v>3.0</v>
      </c>
      <c r="J85" s="7">
        <f>ROUND('Group Inputs'!EG8,2)</f>
        <v>3.0</v>
      </c>
      <c r="K85" s="7">
        <f>ROUND('Group Inputs'!EG9,2)</f>
        <v>3.0</v>
      </c>
    </row>
    <row r="86" spans="1:11">
      <c r="A86" s="6" t="s">
        <v>711</v>
      </c>
      <c r="B86" s="6" t="s">
        <v>712</v>
      </c>
      <c r="C86" s="6" t="s">
        <v>455</v>
      </c>
      <c r="D86" s="6" t="s">
        <v>25</v>
      </c>
      <c r="E86" s="6" t="s">
        <v>713</v>
      </c>
      <c r="F86" s="7">
        <f>ROUND(IF('Group Inputs'!BF4=0,0,100*'Group Inputs'!BG4/'Group Inputs'!BF4),2)</f>
        <v>34.56</v>
      </c>
      <c r="G86" s="7">
        <f>ROUND(IF('Group Inputs'!BF5=0,0,100*'Group Inputs'!BG5/'Group Inputs'!BF5),2)</f>
        <v>36.53</v>
      </c>
      <c r="H86" s="7">
        <f>ROUND(IF('Group Inputs'!BF6=0,0,100*'Group Inputs'!BG6/'Group Inputs'!BF6),2)</f>
        <v>37.4</v>
      </c>
      <c r="I86" s="7">
        <f>ROUND(IF('Group Inputs'!BF7=0,0,100*'Group Inputs'!BG7/'Group Inputs'!BF7),2)</f>
        <v>36.17</v>
      </c>
      <c r="J86" s="7">
        <f>ROUND(IF('Group Inputs'!BF8=0,0,100*'Group Inputs'!BG8/'Group Inputs'!BF8),2)</f>
        <v>36.78</v>
      </c>
      <c r="K86" s="7">
        <f>ROUND(IF('Group Inputs'!BF9=0,0,100*'Group Inputs'!BG9/'Group Inputs'!BF9),2)</f>
        <v>35.19</v>
      </c>
    </row>
    <row r="87" spans="1:11">
      <c r="A87" s="6" t="s">
        <v>714</v>
      </c>
      <c r="B87" s="6" t="s">
        <v>715</v>
      </c>
      <c r="C87" s="6" t="s">
        <v>512</v>
      </c>
      <c r="D87" s="6" t="s">
        <v>561</v>
      </c>
      <c r="E87" s="6" t="s">
        <v>716</v>
      </c>
      <c r="F87" s="7">
        <f>ROUND(SUM('Group Inputs'!BH$4:BH4),2)</f>
        <v>0.0</v>
      </c>
      <c r="G87" s="7">
        <f>ROUND(SUM('Group Inputs'!BH$4:BH5),2)</f>
        <v>0.0</v>
      </c>
      <c r="H87" s="7">
        <f>ROUND(SUM('Group Inputs'!BH$4:BH6),2)</f>
        <v>1.0</v>
      </c>
      <c r="I87" s="7">
        <f>ROUND(SUM('Group Inputs'!BH$4:BH7),2)</f>
        <v>1.0</v>
      </c>
      <c r="J87" s="7">
        <f>ROUND(SUM('Group Inputs'!BH$4:BH8),2)</f>
        <v>1.0</v>
      </c>
      <c r="K87" s="7">
        <f>ROUND(SUM('Group Inputs'!BH$4:BH9),2)</f>
        <v>3.0</v>
      </c>
    </row>
    <row r="88" spans="1:11">
      <c r="A88" s="6" t="s">
        <v>717</v>
      </c>
      <c r="B88" s="6" t="s">
        <v>718</v>
      </c>
      <c r="C88" s="6" t="s">
        <v>512</v>
      </c>
      <c r="D88" s="6" t="s">
        <v>577</v>
      </c>
      <c r="E88" s="6" t="s">
        <v>719</v>
      </c>
      <c r="F88" s="7">
        <f>ROUND('Group Inputs'!EE4,2)</f>
        <v>3.0</v>
      </c>
      <c r="G88" s="7">
        <f>ROUND('Group Inputs'!EE5,2)</f>
        <v>5.0</v>
      </c>
      <c r="H88" s="7">
        <f>ROUND('Group Inputs'!EE6,2)</f>
        <v>4.0</v>
      </c>
      <c r="I88" s="7">
        <f>ROUND('Group Inputs'!EE7,2)</f>
        <v>5.0</v>
      </c>
      <c r="J88" s="7">
        <f>ROUND('Group Inputs'!EE8,2)</f>
        <v>4.0</v>
      </c>
      <c r="K88" s="7">
        <f>ROUND('Group Inputs'!EE9,2)</f>
        <v>4.0</v>
      </c>
    </row>
    <row r="89" spans="1:11">
      <c r="A89" s="6" t="s">
        <v>720</v>
      </c>
      <c r="B89" s="6" t="s">
        <v>721</v>
      </c>
      <c r="C89" s="6" t="s">
        <v>455</v>
      </c>
      <c r="D89" s="6" t="s">
        <v>577</v>
      </c>
      <c r="E89" s="6" t="s">
        <v>722</v>
      </c>
      <c r="F89" s="7">
        <f>ROUND(IF('Group Inputs'!EC4=0,0,100*'Group Inputs'!ED4/'Group Inputs'!EC4),2)</f>
        <v>96.43</v>
      </c>
      <c r="G89" s="7">
        <f>ROUND(IF('Group Inputs'!EC5=0,0,100*'Group Inputs'!ED5/'Group Inputs'!EC5),2)</f>
        <v>95.0</v>
      </c>
      <c r="H89" s="7">
        <f>ROUND(IF('Group Inputs'!EC6=0,0,100*'Group Inputs'!ED6/'Group Inputs'!EC6),2)</f>
        <v>96.43</v>
      </c>
      <c r="I89" s="7">
        <f>ROUND(IF('Group Inputs'!EC7=0,0,100*'Group Inputs'!ED7/'Group Inputs'!EC7),2)</f>
        <v>95.0</v>
      </c>
      <c r="J89" s="7">
        <f>ROUND(IF('Group Inputs'!EC8=0,0,100*'Group Inputs'!ED8/'Group Inputs'!EC8),2)</f>
        <v>95.0</v>
      </c>
      <c r="K89" s="7">
        <f>ROUND(IF('Group Inputs'!EC9=0,0,100*'Group Inputs'!ED9/'Group Inputs'!EC9),2)</f>
        <v>95.71</v>
      </c>
    </row>
    <row r="90" spans="1:11">
      <c r="A90" s="6" t="s">
        <v>723</v>
      </c>
      <c r="B90" s="6" t="s">
        <v>724</v>
      </c>
      <c r="C90" s="6" t="s">
        <v>512</v>
      </c>
      <c r="D90" s="6" t="s">
        <v>577</v>
      </c>
      <c r="E90" s="6" t="s">
        <v>725</v>
      </c>
      <c r="F90" s="7">
        <f>ROUND('Group Inputs'!EF4,2)</f>
        <v>1.0</v>
      </c>
      <c r="G90" s="7">
        <f>ROUND('Group Inputs'!EF5,2)</f>
        <v>1.0</v>
      </c>
      <c r="H90" s="7">
        <f>ROUND('Group Inputs'!EF6,2)</f>
        <v>0.0</v>
      </c>
      <c r="I90" s="7">
        <f>ROUND('Group Inputs'!EF7,2)</f>
        <v>1.0</v>
      </c>
      <c r="J90" s="7">
        <f>ROUND('Group Inputs'!EF8,2)</f>
        <v>0.0</v>
      </c>
      <c r="K90" s="7">
        <f>ROUND('Group Inputs'!EF9,2)</f>
        <v>0.0</v>
      </c>
    </row>
    <row r="91" spans="1:11">
      <c r="A91" s="6" t="s">
        <v>726</v>
      </c>
      <c r="B91" s="6" t="s">
        <v>727</v>
      </c>
      <c r="C91" s="6" t="s">
        <v>512</v>
      </c>
      <c r="D91" s="6" t="s">
        <v>577</v>
      </c>
      <c r="E91" s="6" t="s">
        <v>728</v>
      </c>
      <c r="F91" s="7">
        <f>ROUND('Group Inputs'!BI4,2)</f>
        <v>3.0</v>
      </c>
      <c r="G91" s="7">
        <f>ROUND('Group Inputs'!BI5,2)</f>
        <v>3.0</v>
      </c>
      <c r="H91" s="7">
        <f>ROUND('Group Inputs'!BI6,2)</f>
        <v>1.0</v>
      </c>
      <c r="I91" s="7">
        <f>ROUND('Group Inputs'!BI7,2)</f>
        <v>1.0</v>
      </c>
      <c r="J91" s="7">
        <f>ROUND('Group Inputs'!BI8,2)</f>
        <v>0.0</v>
      </c>
      <c r="K91" s="7">
        <f>ROUND('Group Inputs'!BI9,2)</f>
        <v>0.0</v>
      </c>
    </row>
    <row r="92" spans="1:11">
      <c r="A92" s="6" t="s">
        <v>729</v>
      </c>
      <c r="B92" s="6" t="s">
        <v>730</v>
      </c>
      <c r="C92" s="6" t="s">
        <v>512</v>
      </c>
      <c r="D92" s="6" t="s">
        <v>577</v>
      </c>
      <c r="E92" s="6" t="s">
        <v>731</v>
      </c>
      <c r="F92" s="7">
        <f>ROUND('Group Inputs'!BJ4,2)</f>
        <v>2.0</v>
      </c>
      <c r="G92" s="7">
        <f>ROUND('Group Inputs'!BJ5,2)</f>
        <v>1.0</v>
      </c>
      <c r="H92" s="7">
        <f>ROUND('Group Inputs'!BJ6,2)</f>
        <v>2.0</v>
      </c>
      <c r="I92" s="7">
        <f>ROUND('Group Inputs'!BJ7,2)</f>
        <v>2.0</v>
      </c>
      <c r="J92" s="7">
        <f>ROUND('Group Inputs'!BJ8,2)</f>
        <v>0.0</v>
      </c>
      <c r="K92" s="7">
        <f>ROUND('Group Inputs'!BJ9,2)</f>
        <v>3.0</v>
      </c>
    </row>
    <row r="93" spans="1:11">
      <c r="A93" s="6" t="s">
        <v>732</v>
      </c>
      <c r="B93" s="6" t="s">
        <v>733</v>
      </c>
      <c r="C93" s="6" t="s">
        <v>512</v>
      </c>
      <c r="D93" s="6" t="s">
        <v>577</v>
      </c>
      <c r="E93" s="6" t="s">
        <v>734</v>
      </c>
      <c r="F93" s="7">
        <f>ROUND('Group Inputs'!BK4,2)</f>
        <v>3.0</v>
      </c>
      <c r="G93" s="7">
        <f>ROUND('Group Inputs'!BK5,2)</f>
        <v>1.0</v>
      </c>
      <c r="H93" s="7">
        <f>ROUND('Group Inputs'!BK6,2)</f>
        <v>3.0</v>
      </c>
      <c r="I93" s="7">
        <f>ROUND('Group Inputs'!BK7,2)</f>
        <v>2.0</v>
      </c>
      <c r="J93" s="7">
        <f>ROUND('Group Inputs'!BK8,2)</f>
        <v>2.0</v>
      </c>
      <c r="K93" s="7">
        <f>ROUND('Group Inputs'!BK9,2)</f>
        <v>1.0</v>
      </c>
    </row>
    <row r="94" spans="1:11">
      <c r="A94" s="6" t="s">
        <v>735</v>
      </c>
      <c r="B94" s="6" t="s">
        <v>736</v>
      </c>
      <c r="C94" s="6" t="s">
        <v>512</v>
      </c>
      <c r="D94" s="6" t="s">
        <v>577</v>
      </c>
      <c r="E94" s="6" t="s">
        <v>737</v>
      </c>
      <c r="F94" s="7">
        <f>ROUND('Group Inputs'!BL4,2)</f>
        <v>4.0</v>
      </c>
      <c r="G94" s="7">
        <f>ROUND('Group Inputs'!BL5,2)</f>
        <v>2.0</v>
      </c>
      <c r="H94" s="7">
        <f>ROUND('Group Inputs'!BL6,2)</f>
        <v>4.0</v>
      </c>
      <c r="I94" s="7">
        <f>ROUND('Group Inputs'!BL7,2)</f>
        <v>4.0</v>
      </c>
      <c r="J94" s="7">
        <f>ROUND('Group Inputs'!BL8,2)</f>
        <v>4.0</v>
      </c>
      <c r="K94" s="7">
        <f>ROUND('Group Inputs'!BL9,2)</f>
        <v>2.0</v>
      </c>
    </row>
    <row r="95" spans="1:11">
      <c r="A95" s="6" t="s">
        <v>738</v>
      </c>
      <c r="B95" s="6" t="s">
        <v>739</v>
      </c>
      <c r="C95" s="6" t="s">
        <v>512</v>
      </c>
      <c r="D95" s="6" t="s">
        <v>577</v>
      </c>
      <c r="E95" s="6" t="s">
        <v>740</v>
      </c>
      <c r="F95" s="7">
        <f>ROUND('Group Inputs'!BM4,2)</f>
        <v>0.0</v>
      </c>
      <c r="G95" s="7">
        <f>ROUND('Group Inputs'!BM5,2)</f>
        <v>0.0</v>
      </c>
      <c r="H95" s="7">
        <f>ROUND('Group Inputs'!BM6,2)</f>
        <v>0.0</v>
      </c>
      <c r="I95" s="7">
        <f>ROUND('Group Inputs'!BM7,2)</f>
        <v>0.0</v>
      </c>
      <c r="J95" s="7">
        <f>ROUND('Group Inputs'!BM8,2)</f>
        <v>0.0</v>
      </c>
      <c r="K95" s="7">
        <f>ROUND('Group Inputs'!BM9,2)</f>
        <v>0.0</v>
      </c>
    </row>
    <row r="96" spans="1:11">
      <c r="A96" s="6" t="s">
        <v>741</v>
      </c>
      <c r="B96" s="6" t="s">
        <v>742</v>
      </c>
      <c r="C96" s="6" t="s">
        <v>512</v>
      </c>
      <c r="D96" s="6" t="s">
        <v>577</v>
      </c>
      <c r="E96" s="6" t="s">
        <v>742</v>
      </c>
      <c r="F96" s="7">
        <f>ROUND('Group Inputs'!BN4,2)</f>
        <v>0.0</v>
      </c>
      <c r="G96" s="7">
        <f>ROUND('Group Inputs'!BN5,2)</f>
        <v>1.0</v>
      </c>
      <c r="H96" s="7">
        <f>ROUND('Group Inputs'!BN6,2)</f>
        <v>0.0</v>
      </c>
      <c r="I96" s="7">
        <f>ROUND('Group Inputs'!BN7,2)</f>
        <v>1.0</v>
      </c>
      <c r="J96" s="7">
        <f>ROUND('Group Inputs'!BN8,2)</f>
        <v>1.0</v>
      </c>
      <c r="K96" s="7">
        <f>ROUND('Group Inputs'!BN9,2)</f>
        <v>0.0</v>
      </c>
    </row>
    <row r="97" spans="1:11">
      <c r="A97" s="6" t="s">
        <v>743</v>
      </c>
      <c r="B97" s="6" t="s">
        <v>744</v>
      </c>
      <c r="C97" s="6" t="s">
        <v>512</v>
      </c>
      <c r="D97" s="6" t="s">
        <v>577</v>
      </c>
      <c r="E97" s="6" t="s">
        <v>744</v>
      </c>
      <c r="F97" s="7">
        <f>ROUND('Group Inputs'!BO4,2)</f>
        <v>0.0</v>
      </c>
      <c r="G97" s="7">
        <f>ROUND('Group Inputs'!BO5,2)</f>
        <v>0.0</v>
      </c>
      <c r="H97" s="7">
        <f>ROUND('Group Inputs'!BO6,2)</f>
        <v>0.0</v>
      </c>
      <c r="I97" s="7">
        <f>ROUND('Group Inputs'!BO7,2)</f>
        <v>0.0</v>
      </c>
      <c r="J97" s="7">
        <f>ROUND('Group Inputs'!BO8,2)</f>
        <v>0.0</v>
      </c>
      <c r="K97" s="7">
        <f>ROUND('Group Inputs'!BO9,2)</f>
        <v>0.0</v>
      </c>
    </row>
    <row r="98" spans="1:11">
      <c r="A98" s="6" t="s">
        <v>745</v>
      </c>
      <c r="B98" s="6" t="s">
        <v>746</v>
      </c>
      <c r="C98" s="6" t="s">
        <v>668</v>
      </c>
      <c r="D98" s="6" t="s">
        <v>577</v>
      </c>
      <c r="E98" s="6" t="s">
        <v>747</v>
      </c>
      <c r="F98" s="8" t="str">
        <f>IF('Group Inputs'!BQ4&gt;0,"Triggered","Not triggered")</f>
        <v>Not triggered</v>
      </c>
      <c r="G98" s="8" t="str">
        <f>IF('Group Inputs'!BQ5&gt;0,"Triggered","Not triggered")</f>
        <v>Not triggered</v>
      </c>
      <c r="H98" s="8" t="str">
        <f>IF('Group Inputs'!BQ6&gt;0,"Triggered","Not triggered")</f>
        <v>Not triggered</v>
      </c>
      <c r="I98" s="8" t="str">
        <f>IF('Group Inputs'!BQ7&gt;0,"Triggered","Not triggered")</f>
        <v>Not triggered</v>
      </c>
      <c r="J98" s="8" t="str">
        <f>IF('Group Inputs'!BQ8&gt;0,"Triggered","Not triggered")</f>
        <v>Not triggered</v>
      </c>
      <c r="K98" s="8" t="str">
        <f>IF('Group Inputs'!BQ9&gt;0,"Triggered","Not triggered")</f>
        <v>Not triggered</v>
      </c>
    </row>
    <row r="99" spans="1:11">
      <c r="A99" s="6" t="s">
        <v>748</v>
      </c>
      <c r="B99" s="6" t="s">
        <v>749</v>
      </c>
      <c r="C99" s="6" t="s">
        <v>512</v>
      </c>
      <c r="D99" s="6" t="s">
        <v>561</v>
      </c>
      <c r="E99" s="6" t="s">
        <v>750</v>
      </c>
      <c r="F99" s="7">
        <f>ROUND(SUM('Group Inputs'!BP$4:BP4),2)</f>
        <v>0.0</v>
      </c>
      <c r="G99" s="7">
        <f>ROUND(SUM('Group Inputs'!BP$4:BP5),2)</f>
        <v>0.0</v>
      </c>
      <c r="H99" s="7">
        <f>ROUND(SUM('Group Inputs'!BP$4:BP6),2)</f>
        <v>0.0</v>
      </c>
      <c r="I99" s="7">
        <f>ROUND(SUM('Group Inputs'!BP$4:BP7),2)</f>
        <v>0.0</v>
      </c>
      <c r="J99" s="7">
        <f>ROUND(SUM('Group Inputs'!BP$4:BP8),2)</f>
        <v>0.0</v>
      </c>
      <c r="K99" s="7">
        <f>ROUND(SUM('Group Inputs'!BP$4:BP9),2)</f>
        <v>0.0</v>
      </c>
    </row>
    <row r="100" spans="1:11">
      <c r="A100" s="6" t="s">
        <v>751</v>
      </c>
      <c r="B100" s="6" t="s">
        <v>752</v>
      </c>
      <c r="C100" s="6" t="s">
        <v>512</v>
      </c>
      <c r="D100" s="6" t="s">
        <v>561</v>
      </c>
      <c r="E100" s="6" t="s">
        <v>750</v>
      </c>
      <c r="F100" s="7">
        <f>ROUND(SUM('Group Inputs'!BP$4:BP4),2)</f>
        <v>0.0</v>
      </c>
      <c r="G100" s="7">
        <f>ROUND(SUM('Group Inputs'!BP$4:BP5),2)</f>
        <v>0.0</v>
      </c>
      <c r="H100" s="7">
        <f>ROUND(SUM('Group Inputs'!BP$4:BP6),2)</f>
        <v>0.0</v>
      </c>
      <c r="I100" s="7">
        <f>ROUND(SUM('Group Inputs'!BP$4:BP7),2)</f>
        <v>0.0</v>
      </c>
      <c r="J100" s="7">
        <f>ROUND(SUM('Group Inputs'!BP$4:BP8),2)</f>
        <v>0.0</v>
      </c>
      <c r="K100" s="7">
        <f>ROUND(SUM('Group Inputs'!BP$4:BP9),2)</f>
        <v>0.0</v>
      </c>
    </row>
    <row r="101" spans="1:11">
      <c r="A101" s="6" t="s">
        <v>753</v>
      </c>
      <c r="B101" s="6" t="s">
        <v>752</v>
      </c>
      <c r="C101" s="6" t="s">
        <v>512</v>
      </c>
      <c r="D101" s="6" t="s">
        <v>561</v>
      </c>
      <c r="E101" s="6" t="s">
        <v>750</v>
      </c>
      <c r="F101" s="7">
        <f>ROUND(SUM('Group Inputs'!BP$4:BP4),2)</f>
        <v>0.0</v>
      </c>
      <c r="G101" s="7">
        <f>ROUND(SUM('Group Inputs'!BP$4:BP5),2)</f>
        <v>0.0</v>
      </c>
      <c r="H101" s="7">
        <f>ROUND(SUM('Group Inputs'!BP$4:BP6),2)</f>
        <v>0.0</v>
      </c>
      <c r="I101" s="7">
        <f>ROUND(SUM('Group Inputs'!BP$4:BP7),2)</f>
        <v>0.0</v>
      </c>
      <c r="J101" s="7">
        <f>ROUND(SUM('Group Inputs'!BP$4:BP8),2)</f>
        <v>0.0</v>
      </c>
      <c r="K101" s="7">
        <f>ROUND(SUM('Group Inputs'!BP$4:BP9),2)</f>
        <v>0.0</v>
      </c>
    </row>
    <row r="102" spans="1:11">
      <c r="A102" s="6" t="s">
        <v>754</v>
      </c>
      <c r="B102" s="6" t="s">
        <v>755</v>
      </c>
      <c r="C102" s="6" t="s">
        <v>512</v>
      </c>
      <c r="D102" s="6" t="s">
        <v>577</v>
      </c>
      <c r="E102" s="6" t="s">
        <v>755</v>
      </c>
      <c r="F102" s="7">
        <f>ROUND('Group Inputs'!BR4,2)</f>
        <v>0.0</v>
      </c>
      <c r="G102" s="7">
        <f>ROUND('Group Inputs'!BR5,2)</f>
        <v>0.0</v>
      </c>
      <c r="H102" s="7">
        <f>ROUND('Group Inputs'!BR6,2)</f>
        <v>0.0</v>
      </c>
      <c r="I102" s="7">
        <f>ROUND('Group Inputs'!BR7,2)</f>
        <v>0.0</v>
      </c>
      <c r="J102" s="7">
        <f>ROUND('Group Inputs'!BR8,2)</f>
        <v>0.0</v>
      </c>
      <c r="K102" s="7">
        <f>ROUND('Group Inputs'!BR9,2)</f>
        <v>0.0</v>
      </c>
    </row>
    <row r="103" spans="1:11">
      <c r="A103" s="6" t="s">
        <v>756</v>
      </c>
      <c r="B103" s="6" t="s">
        <v>757</v>
      </c>
      <c r="C103" s="6" t="s">
        <v>455</v>
      </c>
      <c r="D103" s="6" t="s">
        <v>561</v>
      </c>
      <c r="E103" s="6" t="s">
        <v>758</v>
      </c>
      <c r="F103" s="7">
        <f>ROUND(IF(SUM('Group Inputs'!AM$4:AM4)=0,100,100*SUM('Group Inputs'!AN$4:AN4)/SUM('Group Inputs'!AM$4:AM4)),2)</f>
        <v>66.67</v>
      </c>
      <c r="G103" s="7">
        <f>ROUND(IF(SUM('Group Inputs'!AM$4:AM5)=0,100,100*SUM('Group Inputs'!AN$4:AN5)/SUM('Group Inputs'!AM$4:AM5)),2)</f>
        <v>82.35</v>
      </c>
      <c r="H103" s="7">
        <f>ROUND(IF(SUM('Group Inputs'!AM$4:AM6)=0,100,100*SUM('Group Inputs'!AN$4:AN6)/SUM('Group Inputs'!AM$4:AM6)),2)</f>
        <v>84.62</v>
      </c>
      <c r="I103" s="7">
        <f>ROUND(IF(SUM('Group Inputs'!AM$4:AM7)=0,100,100*SUM('Group Inputs'!AN$4:AN7)/SUM('Group Inputs'!AM$4:AM7)),2)</f>
        <v>84.85</v>
      </c>
      <c r="J103" s="7">
        <f>ROUND(IF(SUM('Group Inputs'!AM$4:AM8)=0,100,100*SUM('Group Inputs'!AN$4:AN8)/SUM('Group Inputs'!AM$4:AM8)),2)</f>
        <v>86.36</v>
      </c>
      <c r="K103" s="7">
        <f>ROUND(IF(SUM('Group Inputs'!AM$4:AM9)=0,100,100*SUM('Group Inputs'!AN$4:AN9)/SUM('Group Inputs'!AM$4:AM9)),2)</f>
        <v>85.42</v>
      </c>
    </row>
    <row r="104" spans="1:11">
      <c r="A104" s="6" t="s">
        <v>759</v>
      </c>
      <c r="B104" s="6" t="s">
        <v>760</v>
      </c>
      <c r="C104" s="6" t="s">
        <v>512</v>
      </c>
      <c r="D104" s="6" t="s">
        <v>561</v>
      </c>
      <c r="E104" s="6" t="s">
        <v>761</v>
      </c>
      <c r="F104" s="7">
        <f>ROUND(SUM('Group Inputs'!EH$4:EH4),2)</f>
        <v>1.0</v>
      </c>
      <c r="G104" s="7">
        <f>ROUND(SUM('Group Inputs'!EH$4:EH5),2)</f>
        <v>1.0</v>
      </c>
      <c r="H104" s="7">
        <f>ROUND(SUM('Group Inputs'!EH$4:EH6),2)</f>
        <v>1.0</v>
      </c>
      <c r="I104" s="7">
        <f>ROUND(SUM('Group Inputs'!EH$4:EH7),2)</f>
        <v>2.0</v>
      </c>
      <c r="J104" s="7">
        <f>ROUND(SUM('Group Inputs'!EH$4:EH8),2)</f>
        <v>3.0</v>
      </c>
      <c r="K104" s="7">
        <f>ROUND(SUM('Group Inputs'!EH$4:EH9),2)</f>
        <v>4.0</v>
      </c>
    </row>
    <row r="105" spans="1:11">
      <c r="A105" s="6" t="s">
        <v>762</v>
      </c>
      <c r="B105" s="6" t="s">
        <v>763</v>
      </c>
      <c r="C105" s="6" t="s">
        <v>512</v>
      </c>
      <c r="D105" s="6" t="s">
        <v>561</v>
      </c>
      <c r="E105" s="6" t="s">
        <v>764</v>
      </c>
      <c r="F105" s="7">
        <f>ROUND(SUM('Group Inputs'!EI$4:EI4),2)</f>
        <v>0.0</v>
      </c>
      <c r="G105" s="7">
        <f>ROUND(SUM('Group Inputs'!EI$4:EI5),2)</f>
        <v>0.0</v>
      </c>
      <c r="H105" s="7">
        <f>ROUND(SUM('Group Inputs'!EI$4:EI6),2)</f>
        <v>0.0</v>
      </c>
      <c r="I105" s="7">
        <f>ROUND(SUM('Group Inputs'!EI$4:EI7),2)</f>
        <v>0.0</v>
      </c>
      <c r="J105" s="7">
        <f>ROUND(SUM('Group Inputs'!EI$4:EI8),2)</f>
        <v>0.0</v>
      </c>
      <c r="K105" s="7">
        <f>ROUND(SUM('Group Inputs'!EI$4:EI9),2)</f>
        <v>0.0</v>
      </c>
    </row>
    <row r="106" spans="1:11">
      <c r="A106" s="6" t="s">
        <v>765</v>
      </c>
      <c r="B106" s="6" t="s">
        <v>766</v>
      </c>
      <c r="C106" s="6" t="s">
        <v>512</v>
      </c>
      <c r="D106" s="6" t="s">
        <v>561</v>
      </c>
      <c r="E106" s="6" t="s">
        <v>767</v>
      </c>
      <c r="F106" s="7">
        <f>ROUND(SUM('Group Inputs'!EL$4:EL4),2)</f>
        <v>0.0</v>
      </c>
      <c r="G106" s="7">
        <f>ROUND(SUM('Group Inputs'!EL$4:EL5),2)</f>
        <v>0.0</v>
      </c>
      <c r="H106" s="7">
        <f>ROUND(SUM('Group Inputs'!EL$4:EL6),2)</f>
        <v>0.0</v>
      </c>
      <c r="I106" s="7">
        <f>ROUND(SUM('Group Inputs'!EL$4:EL7),2)</f>
        <v>1.0</v>
      </c>
      <c r="J106" s="7">
        <f>ROUND(SUM('Group Inputs'!EL$4:EL8),2)</f>
        <v>3.0</v>
      </c>
      <c r="K106" s="7">
        <f>ROUND(SUM('Group Inputs'!EL$4:EL9),2)</f>
        <v>4.0</v>
      </c>
    </row>
    <row r="107" spans="1:11">
      <c r="A107" s="6" t="s">
        <v>768</v>
      </c>
      <c r="B107" s="6" t="s">
        <v>769</v>
      </c>
      <c r="C107" s="6" t="s">
        <v>512</v>
      </c>
      <c r="D107" s="6" t="s">
        <v>561</v>
      </c>
      <c r="E107" s="6" t="s">
        <v>770</v>
      </c>
      <c r="F107" s="7">
        <f>ROUND(SUM('Group Inputs'!EM$4:EM4),2)</f>
        <v>0.0</v>
      </c>
      <c r="G107" s="7">
        <f>ROUND(SUM('Group Inputs'!EM$4:EM5),2)</f>
        <v>0.0</v>
      </c>
      <c r="H107" s="7">
        <f>ROUND(SUM('Group Inputs'!EM$4:EM6),2)</f>
        <v>0.0</v>
      </c>
      <c r="I107" s="7">
        <f>ROUND(SUM('Group Inputs'!EM$4:EM7),2)</f>
        <v>0.0</v>
      </c>
      <c r="J107" s="7">
        <f>ROUND(SUM('Group Inputs'!EM$4:EM8),2)</f>
        <v>0.0</v>
      </c>
      <c r="K107" s="7">
        <f>ROUND(SUM('Group Inputs'!EM$4:EM9),2)</f>
        <v>0.0</v>
      </c>
    </row>
    <row r="108" spans="1:11">
      <c r="A108" s="6" t="s">
        <v>771</v>
      </c>
      <c r="B108" s="6" t="s">
        <v>772</v>
      </c>
      <c r="C108" s="6" t="s">
        <v>512</v>
      </c>
      <c r="D108" s="6" t="s">
        <v>561</v>
      </c>
      <c r="E108" s="6" t="s">
        <v>773</v>
      </c>
      <c r="F108" s="7">
        <f>ROUND(SUM('Group Inputs'!EN$4:EN4),2)</f>
        <v>0.0</v>
      </c>
      <c r="G108" s="7">
        <f>ROUND(SUM('Group Inputs'!EN$4:EN5),2)</f>
        <v>0.0</v>
      </c>
      <c r="H108" s="7">
        <f>ROUND(SUM('Group Inputs'!EN$4:EN6),2)</f>
        <v>1.0</v>
      </c>
      <c r="I108" s="7">
        <f>ROUND(SUM('Group Inputs'!EN$4:EN7),2)</f>
        <v>1.0</v>
      </c>
      <c r="J108" s="7">
        <f>ROUND(SUM('Group Inputs'!EN$4:EN8),2)</f>
        <v>1.0</v>
      </c>
      <c r="K108" s="7">
        <f>ROUND(SUM('Group Inputs'!EN$4:EN9),2)</f>
        <v>1.0</v>
      </c>
    </row>
    <row r="109" spans="1:11">
      <c r="A109" s="6" t="s">
        <v>774</v>
      </c>
      <c r="B109" s="6" t="s">
        <v>775</v>
      </c>
      <c r="C109" s="6" t="s">
        <v>512</v>
      </c>
      <c r="D109" s="6" t="s">
        <v>561</v>
      </c>
      <c r="E109" s="6" t="s">
        <v>776</v>
      </c>
      <c r="F109" s="7">
        <f>ROUND(SUM('Group Inputs'!EO$4:EO4),2)</f>
        <v>0.0</v>
      </c>
      <c r="G109" s="7">
        <f>ROUND(SUM('Group Inputs'!EO$4:EO5),2)</f>
        <v>0.0</v>
      </c>
      <c r="H109" s="7">
        <f>ROUND(SUM('Group Inputs'!EO$4:EO6),2)</f>
        <v>0.0</v>
      </c>
      <c r="I109" s="7">
        <f>ROUND(SUM('Group Inputs'!EO$4:EO7),2)</f>
        <v>0.0</v>
      </c>
      <c r="J109" s="7">
        <f>ROUND(SUM('Group Inputs'!EO$4:EO8),2)</f>
        <v>0.0</v>
      </c>
      <c r="K109" s="7">
        <f>ROUND(SUM('Group Inputs'!EO$4:EO9),2)</f>
        <v>0.0</v>
      </c>
    </row>
    <row r="110" spans="1:11">
      <c r="A110" s="6" t="s">
        <v>777</v>
      </c>
      <c r="B110" s="6" t="s">
        <v>778</v>
      </c>
      <c r="C110" s="6" t="s">
        <v>512</v>
      </c>
      <c r="D110" s="6" t="s">
        <v>561</v>
      </c>
      <c r="E110" s="6" t="s">
        <v>779</v>
      </c>
      <c r="F110" s="7">
        <f>ROUND(SUM('Group Inputs'!EP$4:EP4),2)</f>
        <v>0.0</v>
      </c>
      <c r="G110" s="7">
        <f>ROUND(SUM('Group Inputs'!EP$4:EP5),2)</f>
        <v>0.0</v>
      </c>
      <c r="H110" s="7">
        <f>ROUND(SUM('Group Inputs'!EP$4:EP6),2)</f>
        <v>0.0</v>
      </c>
      <c r="I110" s="7">
        <f>ROUND(SUM('Group Inputs'!EP$4:EP7),2)</f>
        <v>0.0</v>
      </c>
      <c r="J110" s="7">
        <f>ROUND(SUM('Group Inputs'!EP$4:EP8),2)</f>
        <v>0.0</v>
      </c>
      <c r="K110" s="7">
        <f>ROUND(SUM('Group Inputs'!EP$4:EP9),2)</f>
        <v>0.0</v>
      </c>
    </row>
    <row r="111" spans="1:11">
      <c r="A111" s="6" t="s">
        <v>780</v>
      </c>
      <c r="B111" s="6" t="s">
        <v>781</v>
      </c>
      <c r="C111" s="6" t="s">
        <v>512</v>
      </c>
      <c r="D111" s="6" t="s">
        <v>561</v>
      </c>
      <c r="E111" s="6" t="s">
        <v>782</v>
      </c>
      <c r="F111" s="7">
        <f>ROUND(SUM('Group Inputs'!EQ$4:EQ4),2)</f>
        <v>1.0</v>
      </c>
      <c r="G111" s="7">
        <f>ROUND(SUM('Group Inputs'!EQ$4:EQ5),2)</f>
        <v>3.0</v>
      </c>
      <c r="H111" s="7">
        <f>ROUND(SUM('Group Inputs'!EQ$4:EQ6),2)</f>
        <v>6.0</v>
      </c>
      <c r="I111" s="7">
        <f>ROUND(SUM('Group Inputs'!EQ$4:EQ7),2)</f>
        <v>7.0</v>
      </c>
      <c r="J111" s="7">
        <f>ROUND(SUM('Group Inputs'!EQ$4:EQ8),2)</f>
        <v>11.0</v>
      </c>
      <c r="K111" s="7">
        <f>ROUND(SUM('Group Inputs'!EQ$4:EQ9),2)</f>
        <v>14.0</v>
      </c>
    </row>
    <row r="112" spans="1:11">
      <c r="A112" s="6" t="s">
        <v>783</v>
      </c>
      <c r="B112" s="6" t="s">
        <v>784</v>
      </c>
      <c r="C112" s="6" t="s">
        <v>668</v>
      </c>
      <c r="D112" s="6" t="s">
        <v>561</v>
      </c>
      <c r="E112" s="6" t="s">
        <v>785</v>
      </c>
      <c r="F112" s="8" t="str">
        <f>SUM('Group Inputs'!EK$4:EK4)&amp;" of "&amp;SUM('Group Inputs'!EJ$4:EJ4)</f>
        <v>2 of 2</v>
      </c>
      <c r="G112" s="8" t="str">
        <f>SUM('Group Inputs'!EK$4:EK5)&amp;" of "&amp;SUM('Group Inputs'!EJ$4:EJ5)</f>
        <v>3 of 4</v>
      </c>
      <c r="H112" s="8" t="str">
        <f>SUM('Group Inputs'!EK$4:EK6)&amp;" of "&amp;SUM('Group Inputs'!EJ$4:EJ6)</f>
        <v>3 of 4</v>
      </c>
      <c r="I112" s="8" t="str">
        <f>SUM('Group Inputs'!EK$4:EK7)&amp;" of "&amp;SUM('Group Inputs'!EJ$4:EJ7)</f>
        <v>4 of 6</v>
      </c>
      <c r="J112" s="8" t="str">
        <f>SUM('Group Inputs'!EK$4:EK8)&amp;" of "&amp;SUM('Group Inputs'!EJ$4:EJ8)</f>
        <v>6 of 8</v>
      </c>
      <c r="K112" s="8" t="str">
        <f>SUM('Group Inputs'!EK$4:EK9)&amp;" of "&amp;SUM('Group Inputs'!EJ$4:EJ9)</f>
        <v>6 of 8</v>
      </c>
    </row>
    <row r="113" spans="1:11">
      <c r="A113" s="6" t="s">
        <v>786</v>
      </c>
      <c r="B113" s="6" t="s">
        <v>787</v>
      </c>
      <c r="C113" s="6" t="s">
        <v>512</v>
      </c>
      <c r="D113" s="6" t="s">
        <v>577</v>
      </c>
      <c r="E113" s="6" t="s">
        <v>788</v>
      </c>
      <c r="F113" s="7">
        <f>ROUND('Group Inputs'!ER4,2)</f>
        <v>1.0</v>
      </c>
      <c r="G113" s="7">
        <f>ROUND('Group Inputs'!ER5,2)</f>
        <v>2.0</v>
      </c>
      <c r="H113" s="7">
        <f>ROUND('Group Inputs'!ER6,2)</f>
        <v>0.0</v>
      </c>
      <c r="I113" s="7">
        <f>ROUND('Group Inputs'!ER7,2)</f>
        <v>1.0</v>
      </c>
      <c r="J113" s="7">
        <f>ROUND('Group Inputs'!ER8,2)</f>
        <v>2.0</v>
      </c>
      <c r="K113" s="7">
        <f>ROUND('Group Inputs'!ER9,2)</f>
        <v>2.0</v>
      </c>
    </row>
    <row r="114" spans="1:11">
      <c r="A114" s="6" t="s">
        <v>789</v>
      </c>
      <c r="B114" s="6" t="s">
        <v>790</v>
      </c>
      <c r="C114" s="6" t="s">
        <v>512</v>
      </c>
      <c r="D114" s="6" t="s">
        <v>577</v>
      </c>
      <c r="E114" s="6" t="s">
        <v>791</v>
      </c>
      <c r="F114" s="7">
        <f>ROUND('Group Inputs'!ES4,2)</f>
        <v>0.0</v>
      </c>
      <c r="G114" s="7">
        <f>ROUND('Group Inputs'!ES5,2)</f>
        <v>0.0</v>
      </c>
      <c r="H114" s="7">
        <f>ROUND('Group Inputs'!ES6,2)</f>
        <v>0.0</v>
      </c>
      <c r="I114" s="7">
        <f>ROUND('Group Inputs'!ES7,2)</f>
        <v>0.0</v>
      </c>
      <c r="J114" s="7">
        <f>ROUND('Group Inputs'!ES8,2)</f>
        <v>0.0</v>
      </c>
      <c r="K114" s="7">
        <f>ROUND('Group Inputs'!ES9,2)</f>
        <v>0.0</v>
      </c>
    </row>
    <row r="115" spans="1:11">
      <c r="A115" s="6" t="s">
        <v>792</v>
      </c>
      <c r="B115" s="6" t="s">
        <v>793</v>
      </c>
      <c r="C115" s="6" t="s">
        <v>512</v>
      </c>
      <c r="D115" s="6" t="s">
        <v>577</v>
      </c>
      <c r="E115" s="6" t="s">
        <v>793</v>
      </c>
      <c r="F115" s="7">
        <f>ROUND('Group Inputs'!ET4,2)</f>
        <v>1.0</v>
      </c>
      <c r="G115" s="7">
        <f>ROUND('Group Inputs'!ET5,2)</f>
        <v>1.0</v>
      </c>
      <c r="H115" s="7">
        <f>ROUND('Group Inputs'!ET6,2)</f>
        <v>1.0</v>
      </c>
      <c r="I115" s="7">
        <f>ROUND('Group Inputs'!ET7,2)</f>
        <v>1.0</v>
      </c>
      <c r="J115" s="7">
        <f>ROUND('Group Inputs'!ET8,2)</f>
        <v>1.0</v>
      </c>
      <c r="K115" s="7">
        <f>ROUND('Group Inputs'!ET9,2)</f>
        <v>1.0</v>
      </c>
    </row>
    <row r="116" spans="1:11">
      <c r="A116" s="6" t="s">
        <v>794</v>
      </c>
      <c r="B116" s="6" t="s">
        <v>795</v>
      </c>
      <c r="C116" s="6" t="s">
        <v>512</v>
      </c>
      <c r="D116" s="6" t="s">
        <v>577</v>
      </c>
      <c r="E116" s="6" t="s">
        <v>795</v>
      </c>
      <c r="F116" s="7">
        <f>ROUND('Group Inputs'!EU4,2)</f>
        <v>8.0</v>
      </c>
      <c r="G116" s="7">
        <f>ROUND('Group Inputs'!EU5,2)</f>
        <v>8.0</v>
      </c>
      <c r="H116" s="7">
        <f>ROUND('Group Inputs'!EU6,2)</f>
        <v>8.0</v>
      </c>
      <c r="I116" s="7">
        <f>ROUND('Group Inputs'!EU7,2)</f>
        <v>7.0</v>
      </c>
      <c r="J116" s="7">
        <f>ROUND('Group Inputs'!EU8,2)</f>
        <v>8.0</v>
      </c>
      <c r="K116" s="7">
        <f>ROUND('Group Inputs'!EU9,2)</f>
        <v>7.0</v>
      </c>
    </row>
    <row r="117" spans="1:11">
      <c r="A117" s="6" t="s">
        <v>796</v>
      </c>
      <c r="B117" s="6" t="s">
        <v>797</v>
      </c>
      <c r="C117" s="6" t="s">
        <v>512</v>
      </c>
      <c r="D117" s="6" t="s">
        <v>577</v>
      </c>
      <c r="E117" s="6" t="s">
        <v>797</v>
      </c>
      <c r="F117" s="7">
        <f>ROUND('Group Inputs'!EV4,2)</f>
        <v>0.0</v>
      </c>
      <c r="G117" s="7">
        <f>ROUND('Group Inputs'!EV5,2)</f>
        <v>0.0</v>
      </c>
      <c r="H117" s="7">
        <f>ROUND('Group Inputs'!EV6,2)</f>
        <v>0.0</v>
      </c>
      <c r="I117" s="7">
        <f>ROUND('Group Inputs'!EV7,2)</f>
        <v>0.0</v>
      </c>
      <c r="J117" s="7">
        <f>ROUND('Group Inputs'!EV8,2)</f>
        <v>0.0</v>
      </c>
      <c r="K117" s="7">
        <f>ROUND('Group Inputs'!EV9,2)</f>
        <v>0.0</v>
      </c>
    </row>
    <row r="118" spans="1:11">
      <c r="A118" s="6" t="s">
        <v>798</v>
      </c>
      <c r="B118" s="6" t="s">
        <v>799</v>
      </c>
      <c r="C118" s="6" t="s">
        <v>512</v>
      </c>
      <c r="D118" s="6" t="s">
        <v>577</v>
      </c>
      <c r="E118" s="6" t="s">
        <v>800</v>
      </c>
      <c r="F118" s="7">
        <f>ROUND('Group Inputs'!EW4,2)</f>
        <v>1.0</v>
      </c>
      <c r="G118" s="7">
        <f>ROUND('Group Inputs'!EW5,2)</f>
        <v>1.0</v>
      </c>
      <c r="H118" s="7">
        <f>ROUND('Group Inputs'!EW6,2)</f>
        <v>1.0</v>
      </c>
      <c r="I118" s="7">
        <f>ROUND('Group Inputs'!EW7,2)</f>
        <v>1.0</v>
      </c>
      <c r="J118" s="7">
        <f>ROUND('Group Inputs'!EW8,2)</f>
        <v>1.0</v>
      </c>
      <c r="K118" s="7">
        <f>ROUND('Group Inputs'!EW9,2)</f>
        <v>1.0</v>
      </c>
    </row>
    <row r="119" spans="1:11">
      <c r="A119" s="6" t="s">
        <v>801</v>
      </c>
      <c r="B119" s="6" t="s">
        <v>802</v>
      </c>
      <c r="C119" s="6" t="s">
        <v>512</v>
      </c>
      <c r="D119" s="6" t="s">
        <v>577</v>
      </c>
      <c r="E119" s="6" t="s">
        <v>803</v>
      </c>
      <c r="F119" s="7">
        <f>ROUND('Group Inputs'!EX4,2)</f>
        <v>1.0</v>
      </c>
      <c r="G119" s="7">
        <f>ROUND('Group Inputs'!EX5,2)</f>
        <v>1.0</v>
      </c>
      <c r="H119" s="7">
        <f>ROUND('Group Inputs'!EX6,2)</f>
        <v>1.0</v>
      </c>
      <c r="I119" s="7">
        <f>ROUND('Group Inputs'!EX7,2)</f>
        <v>1.0</v>
      </c>
      <c r="J119" s="7">
        <f>ROUND('Group Inputs'!EX8,2)</f>
        <v>1.0</v>
      </c>
      <c r="K119" s="7">
        <f>ROUND('Group Inputs'!EX9,2)</f>
        <v>1.0</v>
      </c>
    </row>
    <row r="120" spans="1:11">
      <c r="A120" s="6" t="s">
        <v>804</v>
      </c>
      <c r="B120" s="6" t="s">
        <v>805</v>
      </c>
      <c r="C120" s="6" t="s">
        <v>512</v>
      </c>
      <c r="D120" s="6" t="s">
        <v>577</v>
      </c>
      <c r="E120" s="6" t="s">
        <v>805</v>
      </c>
      <c r="F120" s="7">
        <f>ROUND('Group Inputs'!FG4,2)</f>
        <v>1.0</v>
      </c>
      <c r="G120" s="7">
        <f>ROUND('Group Inputs'!FG5,2)</f>
        <v>1.0</v>
      </c>
      <c r="H120" s="7">
        <f>ROUND('Group Inputs'!FG6,2)</f>
        <v>1.0</v>
      </c>
      <c r="I120" s="7">
        <f>ROUND('Group Inputs'!FG7,2)</f>
        <v>1.0</v>
      </c>
      <c r="J120" s="7">
        <f>ROUND('Group Inputs'!FG8,2)</f>
        <v>1.0</v>
      </c>
      <c r="K120" s="7">
        <f>ROUND('Group Inputs'!FG9,2)</f>
        <v>1.0</v>
      </c>
    </row>
    <row r="121" spans="1:11">
      <c r="A121" s="6" t="s">
        <v>806</v>
      </c>
      <c r="B121" s="6" t="s">
        <v>807</v>
      </c>
      <c r="C121" s="6" t="s">
        <v>512</v>
      </c>
      <c r="D121" s="6" t="s">
        <v>577</v>
      </c>
      <c r="E121" s="6" t="s">
        <v>808</v>
      </c>
      <c r="F121" s="7">
        <f>ROUND('Group Inputs'!FF4,2)</f>
        <v>1.0</v>
      </c>
      <c r="G121" s="7">
        <f>ROUND('Group Inputs'!FF5,2)</f>
        <v>1.0</v>
      </c>
      <c r="H121" s="7">
        <f>ROUND('Group Inputs'!FF6,2)</f>
        <v>1.0</v>
      </c>
      <c r="I121" s="7">
        <f>ROUND('Group Inputs'!FF7,2)</f>
        <v>1.0</v>
      </c>
      <c r="J121" s="7">
        <f>ROUND('Group Inputs'!FF8,2)</f>
        <v>2.0</v>
      </c>
      <c r="K121" s="7">
        <f>ROUND('Group Inputs'!FF9,2)</f>
        <v>2.0</v>
      </c>
    </row>
    <row r="122" spans="1:11">
      <c r="A122" s="6" t="s">
        <v>809</v>
      </c>
      <c r="B122" s="6" t="s">
        <v>810</v>
      </c>
      <c r="C122" s="6" t="s">
        <v>512</v>
      </c>
      <c r="D122" s="6" t="s">
        <v>577</v>
      </c>
      <c r="E122" s="6" t="s">
        <v>810</v>
      </c>
      <c r="F122" s="7">
        <f>ROUND('Group Inputs'!FH4,2)</f>
        <v>0.0</v>
      </c>
      <c r="G122" s="7">
        <f>ROUND('Group Inputs'!FH5,2)</f>
        <v>0.0</v>
      </c>
      <c r="H122" s="7">
        <f>ROUND('Group Inputs'!FH6,2)</f>
        <v>0.0</v>
      </c>
      <c r="I122" s="7">
        <f>ROUND('Group Inputs'!FH7,2)</f>
        <v>0.0</v>
      </c>
      <c r="J122" s="7">
        <f>ROUND('Group Inputs'!FH8,2)</f>
        <v>1.0</v>
      </c>
      <c r="K122" s="7">
        <f>ROUND('Group Inputs'!FH9,2)</f>
        <v>1.0</v>
      </c>
    </row>
    <row r="123" spans="1:11">
      <c r="A123" s="6" t="s">
        <v>811</v>
      </c>
      <c r="B123" s="6" t="s">
        <v>812</v>
      </c>
      <c r="C123" s="6" t="s">
        <v>455</v>
      </c>
      <c r="D123" s="6" t="s">
        <v>577</v>
      </c>
      <c r="E123" s="6" t="s">
        <v>813</v>
      </c>
      <c r="F123" s="7">
        <f>ROUND(IF('Group Inputs'!EY4=0,0,100*'Group Inputs'!EZ4/'Group Inputs'!EY4),2)</f>
        <v>87.96</v>
      </c>
      <c r="G123" s="7">
        <f>ROUND(IF('Group Inputs'!EY5=0,0,100*'Group Inputs'!EZ5/'Group Inputs'!EY5),2)</f>
        <v>87.96</v>
      </c>
      <c r="H123" s="7">
        <f>ROUND(IF('Group Inputs'!EY6=0,0,100*'Group Inputs'!EZ6/'Group Inputs'!EY6),2)</f>
        <v>87.96</v>
      </c>
      <c r="I123" s="7">
        <f>ROUND(IF('Group Inputs'!EY7=0,0,100*'Group Inputs'!EZ7/'Group Inputs'!EY7),2)</f>
        <v>88.89</v>
      </c>
      <c r="J123" s="7">
        <f>ROUND(IF('Group Inputs'!EY8=0,0,100*'Group Inputs'!EZ8/'Group Inputs'!EY8),2)</f>
        <v>87.96</v>
      </c>
      <c r="K123" s="7">
        <f>ROUND(IF('Group Inputs'!EY9=0,0,100*'Group Inputs'!EZ9/'Group Inputs'!EY9),2)</f>
        <v>87.96</v>
      </c>
    </row>
    <row r="124" spans="1:11">
      <c r="A124" s="6" t="s">
        <v>814</v>
      </c>
      <c r="B124" s="6" t="s">
        <v>815</v>
      </c>
      <c r="C124" s="6" t="s">
        <v>28</v>
      </c>
      <c r="D124" s="6" t="s">
        <v>561</v>
      </c>
      <c r="E124" s="6" t="s">
        <v>816</v>
      </c>
      <c r="F124" s="7">
        <f>ROUND(IF(SUM('Group Inputs'!FA$4:FA4)=0,0,SUM('Group Inputs'!FB$4:FB4)/SUM('Group Inputs'!FA$4:FA4)),2)</f>
        <v>33.2</v>
      </c>
      <c r="G124" s="7">
        <f>ROUND(IF(SUM('Group Inputs'!FA$4:FA5)=0,0,SUM('Group Inputs'!FB$4:FB5)/SUM('Group Inputs'!FA$4:FA5)),2)</f>
        <v>32.0</v>
      </c>
      <c r="H124" s="7">
        <f>ROUND(IF(SUM('Group Inputs'!FA$4:FA6)=0,0,SUM('Group Inputs'!FB$4:FB6)/SUM('Group Inputs'!FA$4:FA6)),2)</f>
        <v>33.31</v>
      </c>
      <c r="I124" s="7">
        <f>ROUND(IF(SUM('Group Inputs'!FA$4:FA7)=0,0,SUM('Group Inputs'!FB$4:FB7)/SUM('Group Inputs'!FA$4:FA7)),2)</f>
        <v>32.41</v>
      </c>
      <c r="J124" s="7">
        <f>ROUND(IF(SUM('Group Inputs'!FA$4:FA8)=0,0,SUM('Group Inputs'!FB$4:FB8)/SUM('Group Inputs'!FA$4:FA8)),2)</f>
        <v>32.71</v>
      </c>
      <c r="K124" s="7">
        <f>ROUND(IF(SUM('Group Inputs'!FA$4:FA9)=0,0,SUM('Group Inputs'!FB$4:FB9)/SUM('Group Inputs'!FA$4:FA9)),2)</f>
        <v>32.81</v>
      </c>
    </row>
    <row r="125" spans="1:11">
      <c r="A125" s="6" t="s">
        <v>817</v>
      </c>
      <c r="B125" s="6" t="s">
        <v>818</v>
      </c>
      <c r="C125" s="6" t="s">
        <v>455</v>
      </c>
      <c r="D125" s="6" t="s">
        <v>577</v>
      </c>
      <c r="E125" s="6" t="s">
        <v>819</v>
      </c>
      <c r="F125" s="7">
        <f>ROUND(IF('Group Inputs'!FC4=0,0,100*'Group Inputs'!FD4/'Group Inputs'!FC4),2)</f>
        <v>83.93</v>
      </c>
      <c r="G125" s="7">
        <f>ROUND(IF('Group Inputs'!FC5=0,0,100*'Group Inputs'!FD5/'Group Inputs'!FC5),2)</f>
        <v>83.93</v>
      </c>
      <c r="H125" s="7">
        <f>ROUND(IF('Group Inputs'!FC6=0,0,100*'Group Inputs'!FD6/'Group Inputs'!FC6),2)</f>
        <v>83.93</v>
      </c>
      <c r="I125" s="7">
        <f>ROUND(IF('Group Inputs'!FC7=0,0,100*'Group Inputs'!FD7/'Group Inputs'!FC7),2)</f>
        <v>83.93</v>
      </c>
      <c r="J125" s="7">
        <f>ROUND(IF('Group Inputs'!FC8=0,0,100*'Group Inputs'!FD8/'Group Inputs'!FC8),2)</f>
        <v>83.93</v>
      </c>
      <c r="K125" s="7">
        <f>ROUND(IF('Group Inputs'!FC9=0,0,100*'Group Inputs'!FD9/'Group Inputs'!FC9),2)</f>
        <v>83.93</v>
      </c>
    </row>
    <row r="126" spans="1:11">
      <c r="A126" s="6" t="s">
        <v>820</v>
      </c>
      <c r="B126" s="6" t="s">
        <v>821</v>
      </c>
      <c r="C126" s="6" t="s">
        <v>512</v>
      </c>
      <c r="D126" s="6" t="s">
        <v>577</v>
      </c>
      <c r="E126" s="6" t="s">
        <v>822</v>
      </c>
      <c r="F126" s="7">
        <f>ROUND('Group Inputs'!FC4-'Group Inputs'!FD4,2)</f>
        <v>9.0</v>
      </c>
      <c r="G126" s="7">
        <f>ROUND('Group Inputs'!FC5-'Group Inputs'!FD5,2)</f>
        <v>9.0</v>
      </c>
      <c r="H126" s="7">
        <f>ROUND('Group Inputs'!FC6-'Group Inputs'!FD6,2)</f>
        <v>9.0</v>
      </c>
      <c r="I126" s="7">
        <f>ROUND('Group Inputs'!FC7-'Group Inputs'!FD7,2)</f>
        <v>9.0</v>
      </c>
      <c r="J126" s="7">
        <f>ROUND('Group Inputs'!FC8-'Group Inputs'!FD8,2)</f>
        <v>9.0</v>
      </c>
      <c r="K126" s="7">
        <f>ROUND('Group Inputs'!FC9-'Group Inputs'!FD9,2)</f>
        <v>9.0</v>
      </c>
    </row>
    <row r="127" spans="1:11">
      <c r="A127" s="6" t="s">
        <v>823</v>
      </c>
      <c r="B127" s="6" t="s">
        <v>824</v>
      </c>
      <c r="C127" s="6" t="s">
        <v>455</v>
      </c>
      <c r="D127" s="6" t="s">
        <v>577</v>
      </c>
      <c r="E127" s="6" t="s">
        <v>825</v>
      </c>
      <c r="F127" s="7">
        <f>ROUND(IF('Group Inputs'!FC4=0,0,100*'Group Inputs'!FE4/'Group Inputs'!FC4),2)</f>
        <v>92.86</v>
      </c>
      <c r="G127" s="7">
        <f>ROUND(IF('Group Inputs'!FC5=0,0,100*'Group Inputs'!FE5/'Group Inputs'!FC5),2)</f>
        <v>92.86</v>
      </c>
      <c r="H127" s="7">
        <f>ROUND(IF('Group Inputs'!FC6=0,0,100*'Group Inputs'!FE6/'Group Inputs'!FC6),2)</f>
        <v>92.86</v>
      </c>
      <c r="I127" s="7">
        <f>ROUND(IF('Group Inputs'!FC7=0,0,100*'Group Inputs'!FE7/'Group Inputs'!FC7),2)</f>
        <v>92.86</v>
      </c>
      <c r="J127" s="7">
        <f>ROUND(IF('Group Inputs'!FC8=0,0,100*'Group Inputs'!FE8/'Group Inputs'!FC8),2)</f>
        <v>92.86</v>
      </c>
      <c r="K127" s="7">
        <f>ROUND(IF('Group Inputs'!FC9=0,0,100*'Group Inputs'!FE9/'Group Inputs'!FC9),2)</f>
        <v>92.86</v>
      </c>
    </row>
    <row r="128" spans="1:11">
      <c r="A128" s="6" t="s">
        <v>826</v>
      </c>
      <c r="B128" s="6" t="s">
        <v>827</v>
      </c>
      <c r="C128" s="6" t="s">
        <v>455</v>
      </c>
      <c r="D128" s="6" t="s">
        <v>25</v>
      </c>
      <c r="E128" s="6" t="s">
        <v>828</v>
      </c>
      <c r="F128" s="7">
        <f>ROUND(IF('Group Inputs'!FI4=0,0,100*'Group Inputs'!FJ4/'Group Inputs'!FI4),2)</f>
        <v>99.45</v>
      </c>
      <c r="G128" s="7">
        <f>ROUND(IF('Group Inputs'!FI5=0,0,100*'Group Inputs'!FJ5/'Group Inputs'!FI5),2)</f>
        <v>99.42</v>
      </c>
      <c r="H128" s="7">
        <f>ROUND(IF('Group Inputs'!FI6=0,0,100*'Group Inputs'!FJ6/'Group Inputs'!FI6),2)</f>
        <v>99.23</v>
      </c>
      <c r="I128" s="7">
        <f>ROUND(IF('Group Inputs'!FI7=0,0,100*'Group Inputs'!FJ7/'Group Inputs'!FI7),2)</f>
        <v>98.97</v>
      </c>
      <c r="J128" s="7">
        <f>ROUND(IF('Group Inputs'!FI8=0,0,100*'Group Inputs'!FJ8/'Group Inputs'!FI8),2)</f>
        <v>99.33</v>
      </c>
      <c r="K128" s="7">
        <f>ROUND(IF('Group Inputs'!FI9=0,0,100*'Group Inputs'!FJ9/'Group Inputs'!FI9),2)</f>
        <v>99.02</v>
      </c>
    </row>
    <row r="129" spans="1:11">
      <c r="A129" s="6" t="s">
        <v>829</v>
      </c>
      <c r="B129" s="6" t="s">
        <v>830</v>
      </c>
      <c r="C129" s="6" t="s">
        <v>455</v>
      </c>
      <c r="D129" s="6" t="s">
        <v>25</v>
      </c>
      <c r="E129" s="6" t="s">
        <v>831</v>
      </c>
      <c r="F129" s="7">
        <f>ROUND(IF('Group Inputs'!FK4=0,0,100*'Group Inputs'!FL4/'Group Inputs'!FK4),2)</f>
        <v>96.83</v>
      </c>
      <c r="G129" s="7">
        <f>ROUND(IF('Group Inputs'!FK5=0,0,100*'Group Inputs'!FL5/'Group Inputs'!FK5),2)</f>
        <v>96.34</v>
      </c>
      <c r="H129" s="7">
        <f>ROUND(IF('Group Inputs'!FK6=0,0,100*'Group Inputs'!FL6/'Group Inputs'!FK6),2)</f>
        <v>96.46</v>
      </c>
      <c r="I129" s="7">
        <f>ROUND(IF('Group Inputs'!FK7=0,0,100*'Group Inputs'!FL7/'Group Inputs'!FK7),2)</f>
        <v>96.95</v>
      </c>
      <c r="J129" s="7">
        <f>ROUND(IF('Group Inputs'!FK8=0,0,100*'Group Inputs'!FL8/'Group Inputs'!FK8),2)</f>
        <v>96.83</v>
      </c>
      <c r="K129" s="7">
        <f>ROUND(IF('Group Inputs'!FK9=0,0,100*'Group Inputs'!FL9/'Group Inputs'!FK9),2)</f>
        <v>95.98</v>
      </c>
    </row>
    <row r="130" spans="1:11">
      <c r="A130" s="6" t="s">
        <v>832</v>
      </c>
      <c r="B130" s="6" t="s">
        <v>833</v>
      </c>
      <c r="C130" s="6" t="s">
        <v>455</v>
      </c>
      <c r="D130" s="6" t="s">
        <v>25</v>
      </c>
      <c r="E130" s="6" t="s">
        <v>834</v>
      </c>
      <c r="F130" s="7">
        <f>ROUND(IF('Group Inputs'!AU4=0,0,100*ABS('Group Inputs'!CI4-'Group Inputs'!AU4)/'Group Inputs'!AU4),2)</f>
        <v>0.92</v>
      </c>
      <c r="G130" s="7">
        <f>ROUND(IF('Group Inputs'!AU5=0,0,100*ABS('Group Inputs'!CI5-'Group Inputs'!AU5)/'Group Inputs'!AU5),2)</f>
        <v>0.32</v>
      </c>
      <c r="H130" s="7">
        <f>ROUND(IF('Group Inputs'!AU6=0,0,100*ABS('Group Inputs'!CI6-'Group Inputs'!AU6)/'Group Inputs'!AU6),2)</f>
        <v>0.44</v>
      </c>
      <c r="I130" s="7">
        <f>ROUND(IF('Group Inputs'!AU7=0,0,100*ABS('Group Inputs'!CI7-'Group Inputs'!AU7)/'Group Inputs'!AU7),2)</f>
        <v>0.1</v>
      </c>
      <c r="J130" s="7">
        <f>ROUND(IF('Group Inputs'!AU8=0,0,100*ABS('Group Inputs'!CI8-'Group Inputs'!AU8)/'Group Inputs'!AU8),2)</f>
        <v>0.24</v>
      </c>
      <c r="K130" s="7">
        <f>ROUND(IF('Group Inputs'!AU9=0,0,100*ABS('Group Inputs'!CI9-'Group Inputs'!AU9)/'Group Inputs'!AU9),2)</f>
        <v>0.38</v>
      </c>
    </row>
    <row r="131" spans="1:11">
      <c r="A131" s="6" t="s">
        <v>835</v>
      </c>
      <c r="B131" s="6" t="s">
        <v>836</v>
      </c>
      <c r="C131" s="6" t="s">
        <v>455</v>
      </c>
      <c r="D131" s="6" t="s">
        <v>25</v>
      </c>
      <c r="E131" s="6" t="s">
        <v>837</v>
      </c>
      <c r="F131" s="7">
        <f>ROUND(IF('Group Inputs'!FY4=0,0,100*('Group Inputs'!CH4-'Group Inputs'!FY4)/'Group Inputs'!FY4),2)</f>
        <v>0.09</v>
      </c>
      <c r="G131" s="7">
        <f>ROUND(IF('Group Inputs'!FY5=0,0,100*('Group Inputs'!CH5-'Group Inputs'!FY5)/'Group Inputs'!FY5),2)</f>
        <v>-0.13</v>
      </c>
      <c r="H131" s="7">
        <f>ROUND(IF('Group Inputs'!FY6=0,0,100*('Group Inputs'!CH6-'Group Inputs'!FY6)/'Group Inputs'!FY6),2)</f>
        <v>-0.2</v>
      </c>
      <c r="I131" s="7">
        <f>ROUND(IF('Group Inputs'!FY7=0,0,100*('Group Inputs'!CH7-'Group Inputs'!FY7)/'Group Inputs'!FY7),2)</f>
        <v>-0.03</v>
      </c>
      <c r="J131" s="7">
        <f>ROUND(IF('Group Inputs'!FY8=0,0,100*('Group Inputs'!CH8-'Group Inputs'!FY8)/'Group Inputs'!FY8),2)</f>
        <v>0.0</v>
      </c>
      <c r="K131" s="7">
        <f>ROUND(IF('Group Inputs'!FY9=0,0,100*('Group Inputs'!CH9-'Group Inputs'!FY9)/'Group Inputs'!FY9),2)</f>
        <v>-0.22</v>
      </c>
    </row>
    <row r="132" spans="1:11">
      <c r="A132" s="6" t="s">
        <v>838</v>
      </c>
      <c r="B132" s="6" t="s">
        <v>839</v>
      </c>
      <c r="C132" s="6" t="s">
        <v>455</v>
      </c>
      <c r="D132" s="6" t="s">
        <v>25</v>
      </c>
      <c r="E132" s="6" t="s">
        <v>840</v>
      </c>
      <c r="F132" s="7">
        <f>ROUND(MAX(IF(('Entity Inputs'!AV4-'Entity Inputs'!W4-'Entity Inputs'!Y4-'Entity Inputs'!BZ4)=0,0,100*ABS('Entity Inputs'!CI4-('Entity Inputs'!AV4-'Entity Inputs'!W4-'Entity Inputs'!Y4-'Entity Inputs'!BZ4))/('Entity Inputs'!AV4-'Entity Inputs'!W4-'Entity Inputs'!Y4-'Entity Inputs'!BZ4)),IF(('Entity Inputs'!AV10-'Entity Inputs'!W10-'Entity Inputs'!Y10-'Entity Inputs'!BZ10)=0,0,100*ABS('Entity Inputs'!CI10-('Entity Inputs'!AV10-'Entity Inputs'!W10-'Entity Inputs'!Y10-'Entity Inputs'!BZ10))/('Entity Inputs'!AV10-'Entity Inputs'!W10-'Entity Inputs'!Y10-'Entity Inputs'!BZ10))),2)</f>
        <v>0.29</v>
      </c>
      <c r="G132" s="7">
        <f>ROUND(MAX(IF(('Entity Inputs'!AV5-'Entity Inputs'!W5-'Entity Inputs'!Y5-'Entity Inputs'!BZ5)=0,0,100*ABS('Entity Inputs'!CI5-('Entity Inputs'!AV5-'Entity Inputs'!W5-'Entity Inputs'!Y5-'Entity Inputs'!BZ5))/('Entity Inputs'!AV5-'Entity Inputs'!W5-'Entity Inputs'!Y5-'Entity Inputs'!BZ5)),IF(('Entity Inputs'!AV11-'Entity Inputs'!W11-'Entity Inputs'!Y11-'Entity Inputs'!BZ11)=0,0,100*ABS('Entity Inputs'!CI11-('Entity Inputs'!AV11-'Entity Inputs'!W11-'Entity Inputs'!Y11-'Entity Inputs'!BZ11))/('Entity Inputs'!AV11-'Entity Inputs'!W11-'Entity Inputs'!Y11-'Entity Inputs'!BZ11))),2)</f>
        <v>0.21</v>
      </c>
      <c r="H132" s="7">
        <f>ROUND(MAX(IF(('Entity Inputs'!AV6-'Entity Inputs'!W6-'Entity Inputs'!Y6-'Entity Inputs'!BZ6)=0,0,100*ABS('Entity Inputs'!CI6-('Entity Inputs'!AV6-'Entity Inputs'!W6-'Entity Inputs'!Y6-'Entity Inputs'!BZ6))/('Entity Inputs'!AV6-'Entity Inputs'!W6-'Entity Inputs'!Y6-'Entity Inputs'!BZ6)),IF(('Entity Inputs'!AV12-'Entity Inputs'!W12-'Entity Inputs'!Y12-'Entity Inputs'!BZ12)=0,0,100*ABS('Entity Inputs'!CI12-('Entity Inputs'!AV12-'Entity Inputs'!W12-'Entity Inputs'!Y12-'Entity Inputs'!BZ12))/('Entity Inputs'!AV12-'Entity Inputs'!W12-'Entity Inputs'!Y12-'Entity Inputs'!BZ12))),2)</f>
        <v>0.28</v>
      </c>
      <c r="I132" s="7">
        <f>ROUND(MAX(IF(('Entity Inputs'!AV7-'Entity Inputs'!W7-'Entity Inputs'!Y7-'Entity Inputs'!BZ7)=0,0,100*ABS('Entity Inputs'!CI7-('Entity Inputs'!AV7-'Entity Inputs'!W7-'Entity Inputs'!Y7-'Entity Inputs'!BZ7))/('Entity Inputs'!AV7-'Entity Inputs'!W7-'Entity Inputs'!Y7-'Entity Inputs'!BZ7)),IF(('Entity Inputs'!AV13-'Entity Inputs'!W13-'Entity Inputs'!Y13-'Entity Inputs'!BZ13)=0,0,100*ABS('Entity Inputs'!CI13-('Entity Inputs'!AV13-'Entity Inputs'!W13-'Entity Inputs'!Y13-'Entity Inputs'!BZ13))/('Entity Inputs'!AV13-'Entity Inputs'!W13-'Entity Inputs'!Y13-'Entity Inputs'!BZ13))),2)</f>
        <v>0.2</v>
      </c>
      <c r="J132" s="7">
        <f>ROUND(MAX(IF(('Entity Inputs'!AV8-'Entity Inputs'!W8-'Entity Inputs'!Y8-'Entity Inputs'!BZ8)=0,0,100*ABS('Entity Inputs'!CI8-('Entity Inputs'!AV8-'Entity Inputs'!W8-'Entity Inputs'!Y8-'Entity Inputs'!BZ8))/('Entity Inputs'!AV8-'Entity Inputs'!W8-'Entity Inputs'!Y8-'Entity Inputs'!BZ8)),IF(('Entity Inputs'!AV14-'Entity Inputs'!W14-'Entity Inputs'!Y14-'Entity Inputs'!BZ14)=0,0,100*ABS('Entity Inputs'!CI14-('Entity Inputs'!AV14-'Entity Inputs'!W14-'Entity Inputs'!Y14-'Entity Inputs'!BZ14))/('Entity Inputs'!AV14-'Entity Inputs'!W14-'Entity Inputs'!Y14-'Entity Inputs'!BZ14))),2)</f>
        <v>0.23</v>
      </c>
      <c r="K132" s="7">
        <f>ROUND(MAX(IF(('Entity Inputs'!AV9-'Entity Inputs'!W9-'Entity Inputs'!Y9-'Entity Inputs'!BZ9)=0,0,100*ABS('Entity Inputs'!CI9-('Entity Inputs'!AV9-'Entity Inputs'!W9-'Entity Inputs'!Y9-'Entity Inputs'!BZ9))/('Entity Inputs'!AV9-'Entity Inputs'!W9-'Entity Inputs'!Y9-'Entity Inputs'!BZ9)),IF(('Entity Inputs'!AV15-'Entity Inputs'!W15-'Entity Inputs'!Y15-'Entity Inputs'!BZ15)=0,0,100*ABS('Entity Inputs'!CI15-('Entity Inputs'!AV15-'Entity Inputs'!W15-'Entity Inputs'!Y15-'Entity Inputs'!BZ15))/('Entity Inputs'!AV15-'Entity Inputs'!W15-'Entity Inputs'!Y15-'Entity Inputs'!BZ15))),2)</f>
        <v>0.27</v>
      </c>
    </row>
    <row r="133" spans="1:11">
      <c r="A133" s="6" t="s">
        <v>841</v>
      </c>
      <c r="B133" s="6" t="s">
        <v>842</v>
      </c>
      <c r="C133" s="6" t="s">
        <v>512</v>
      </c>
      <c r="D133" s="6" t="s">
        <v>577</v>
      </c>
      <c r="E133" s="6" t="s">
        <v>842</v>
      </c>
      <c r="F133" s="7">
        <f>ROUND('Group Inputs'!FM4,2)</f>
        <v>0.0</v>
      </c>
      <c r="G133" s="7">
        <f>ROUND('Group Inputs'!FM5,2)</f>
        <v>0.0</v>
      </c>
      <c r="H133" s="7">
        <f>ROUND('Group Inputs'!FM6,2)</f>
        <v>0.0</v>
      </c>
      <c r="I133" s="7">
        <f>ROUND('Group Inputs'!FM7,2)</f>
        <v>0.0</v>
      </c>
      <c r="J133" s="7">
        <f>ROUND('Group Inputs'!FM8,2)</f>
        <v>1.0</v>
      </c>
      <c r="K133" s="7">
        <f>ROUND('Group Inputs'!FM9,2)</f>
        <v>1.0</v>
      </c>
    </row>
    <row r="134" spans="1:11">
      <c r="A134" s="6" t="s">
        <v>843</v>
      </c>
      <c r="B134" s="6" t="s">
        <v>844</v>
      </c>
      <c r="C134" s="6" t="s">
        <v>512</v>
      </c>
      <c r="D134" s="6" t="s">
        <v>577</v>
      </c>
      <c r="E134" s="6" t="s">
        <v>845</v>
      </c>
      <c r="F134" s="7">
        <f>ROUND('Group Inputs'!FN4,2)</f>
        <v>0.0</v>
      </c>
      <c r="G134" s="7">
        <f>ROUND('Group Inputs'!FN5,2)</f>
        <v>0.0</v>
      </c>
      <c r="H134" s="7">
        <f>ROUND('Group Inputs'!FN6,2)</f>
        <v>0.0</v>
      </c>
      <c r="I134" s="7">
        <f>ROUND('Group Inputs'!FN7,2)</f>
        <v>0.0</v>
      </c>
      <c r="J134" s="7">
        <f>ROUND('Group Inputs'!FN8,2)</f>
        <v>0.0</v>
      </c>
      <c r="K134" s="7">
        <f>ROUND('Group Inputs'!FN9,2)</f>
        <v>1.0</v>
      </c>
    </row>
    <row r="135" spans="1:11">
      <c r="A135" s="6" t="s">
        <v>846</v>
      </c>
      <c r="B135" s="6" t="s">
        <v>847</v>
      </c>
      <c r="C135" s="6" t="s">
        <v>512</v>
      </c>
      <c r="D135" s="6" t="s">
        <v>577</v>
      </c>
      <c r="E135" s="6" t="s">
        <v>847</v>
      </c>
      <c r="F135" s="7">
        <f>ROUND('Group Inputs'!FO4,2)</f>
        <v>0.0</v>
      </c>
      <c r="G135" s="7">
        <f>ROUND('Group Inputs'!FO5,2)</f>
        <v>0.0</v>
      </c>
      <c r="H135" s="7">
        <f>ROUND('Group Inputs'!FO6,2)</f>
        <v>0.0</v>
      </c>
      <c r="I135" s="7">
        <f>ROUND('Group Inputs'!FO7,2)</f>
        <v>0.0</v>
      </c>
      <c r="J135" s="7">
        <f>ROUND('Group Inputs'!FO8,2)</f>
        <v>0.0</v>
      </c>
      <c r="K135" s="7">
        <f>ROUND('Group Inputs'!FO9,2)</f>
        <v>0.0</v>
      </c>
    </row>
    <row r="136" spans="1:11">
      <c r="A136" s="6" t="s">
        <v>848</v>
      </c>
      <c r="B136" s="6" t="s">
        <v>849</v>
      </c>
      <c r="C136" s="6" t="s">
        <v>28</v>
      </c>
      <c r="D136" s="6" t="s">
        <v>25</v>
      </c>
      <c r="E136" s="6" t="s">
        <v>850</v>
      </c>
      <c r="F136" s="7">
        <f>ROUND(IF('Group Inputs'!FP4=0,0,'Group Inputs'!FQ4/'Group Inputs'!FP4),2)</f>
        <v>2.56</v>
      </c>
      <c r="G136" s="7">
        <f>ROUND(IF('Group Inputs'!FP5=0,0,'Group Inputs'!FQ5/'Group Inputs'!FP5),2)</f>
        <v>2.41</v>
      </c>
      <c r="H136" s="7">
        <f>ROUND(IF('Group Inputs'!FP6=0,0,'Group Inputs'!FQ6/'Group Inputs'!FP6),2)</f>
        <v>2.44</v>
      </c>
      <c r="I136" s="7">
        <f>ROUND(IF('Group Inputs'!FP7=0,0,'Group Inputs'!FQ7/'Group Inputs'!FP7),2)</f>
        <v>2.56</v>
      </c>
      <c r="J136" s="7">
        <f>ROUND(IF('Group Inputs'!FP8=0,0,'Group Inputs'!FQ8/'Group Inputs'!FP8),2)</f>
        <v>2.46</v>
      </c>
      <c r="K136" s="7">
        <f>ROUND(IF('Group Inputs'!FP9=0,0,'Group Inputs'!FQ9/'Group Inputs'!FP9),2)</f>
        <v>2.45</v>
      </c>
    </row>
    <row r="137" spans="1:11">
      <c r="A137" s="6" t="s">
        <v>851</v>
      </c>
      <c r="B137" s="6" t="s">
        <v>852</v>
      </c>
      <c r="C137" s="6" t="s">
        <v>512</v>
      </c>
      <c r="D137" s="6" t="s">
        <v>25</v>
      </c>
      <c r="E137" s="6" t="s">
        <v>853</v>
      </c>
      <c r="F137" s="7">
        <f>ROUND('Group Inputs'!FR4,2)</f>
        <v>12.0</v>
      </c>
      <c r="G137" s="7">
        <f>ROUND('Group Inputs'!FR5,2)</f>
        <v>10.0</v>
      </c>
      <c r="H137" s="7">
        <f>ROUND('Group Inputs'!FR6,2)</f>
        <v>11.0</v>
      </c>
      <c r="I137" s="7">
        <f>ROUND('Group Inputs'!FR7,2)</f>
        <v>11.0</v>
      </c>
      <c r="J137" s="7">
        <f>ROUND('Group Inputs'!FR8,2)</f>
        <v>11.0</v>
      </c>
      <c r="K137" s="7">
        <f>ROUND('Group Inputs'!FR9,2)</f>
        <v>11.0</v>
      </c>
    </row>
    <row r="138" spans="1:11">
      <c r="A138" s="6" t="s">
        <v>854</v>
      </c>
      <c r="B138" s="6" t="s">
        <v>855</v>
      </c>
      <c r="C138" s="6" t="s">
        <v>512</v>
      </c>
      <c r="D138" s="6" t="s">
        <v>856</v>
      </c>
      <c r="E138" s="6" t="s">
        <v>857</v>
      </c>
      <c r="F138" s="7">
        <f>ROUND(SUM('Group Inputs'!FS4:FS4),2)</f>
        <v>0.0</v>
      </c>
      <c r="G138" s="7">
        <f>ROUND(SUM('Group Inputs'!FS4:FS5),2)</f>
        <v>1.0</v>
      </c>
      <c r="H138" s="7">
        <f>ROUND(SUM('Group Inputs'!FS4:FS6),2)</f>
        <v>2.0</v>
      </c>
      <c r="I138" s="7">
        <f>ROUND(SUM('Group Inputs'!FS5:FS7),2)</f>
        <v>4.0</v>
      </c>
      <c r="J138" s="7">
        <f>ROUND(SUM('Group Inputs'!FS6:FS8),2)</f>
        <v>4.0</v>
      </c>
      <c r="K138" s="7">
        <f>ROUND(SUM('Group Inputs'!FS7:FS9),2)</f>
        <v>4.0</v>
      </c>
    </row>
    <row r="139" spans="1:11">
      <c r="A139" s="6" t="s">
        <v>858</v>
      </c>
      <c r="B139" s="6" t="s">
        <v>859</v>
      </c>
      <c r="C139" s="6" t="s">
        <v>668</v>
      </c>
      <c r="D139" s="6" t="s">
        <v>561</v>
      </c>
      <c r="E139" s="6" t="s">
        <v>860</v>
      </c>
      <c r="F139" s="8" t="str">
        <f>SUM('Group Inputs'!FU$4:FU4)&amp;" of "&amp;SUM('Group Inputs'!FT$4:FT4)</f>
        <v>1 of 1</v>
      </c>
      <c r="G139" s="8" t="str">
        <f>SUM('Group Inputs'!FU$4:FU5)&amp;" of "&amp;SUM('Group Inputs'!FT$4:FT5)</f>
        <v>2 of 2</v>
      </c>
      <c r="H139" s="8" t="str">
        <f>SUM('Group Inputs'!FU$4:FU6)&amp;" of "&amp;SUM('Group Inputs'!FT$4:FT6)</f>
        <v>2 of 3</v>
      </c>
      <c r="I139" s="8" t="str">
        <f>SUM('Group Inputs'!FU$4:FU7)&amp;" of "&amp;SUM('Group Inputs'!FT$4:FT7)</f>
        <v>4 of 5</v>
      </c>
      <c r="J139" s="8" t="str">
        <f>SUM('Group Inputs'!FU$4:FU8)&amp;" of "&amp;SUM('Group Inputs'!FT$4:FT8)</f>
        <v>6 of 7</v>
      </c>
      <c r="K139" s="8" t="str">
        <f>SUM('Group Inputs'!FU$4:FU9)&amp;" of "&amp;SUM('Group Inputs'!FT$4:FT9)</f>
        <v>8 of 9</v>
      </c>
    </row>
    <row r="140" spans="1:11">
      <c r="A140" s="6" t="s">
        <v>861</v>
      </c>
      <c r="B140" s="6" t="s">
        <v>862</v>
      </c>
      <c r="C140" s="6" t="s">
        <v>28</v>
      </c>
      <c r="D140" s="6" t="s">
        <v>25</v>
      </c>
      <c r="E140" s="6" t="s">
        <v>863</v>
      </c>
      <c r="F140" s="7">
        <f>ROUND(IF('Group Inputs'!CQ4=0,0,('Group Inputs'!CR4-'Group Inputs'!CS4)/'Group Inputs'!CQ4),2)</f>
        <v>0.16</v>
      </c>
      <c r="G140" s="7">
        <f>ROUND(IF('Group Inputs'!CQ5=0,0,('Group Inputs'!CR5-'Group Inputs'!CS5)/'Group Inputs'!CQ5),2)</f>
        <v>-0.01</v>
      </c>
      <c r="H140" s="7">
        <f>ROUND(IF('Group Inputs'!CQ6=0,0,('Group Inputs'!CR6-'Group Inputs'!CS6)/'Group Inputs'!CQ6),2)</f>
        <v>0.13</v>
      </c>
      <c r="I140" s="7">
        <f>ROUND(IF('Group Inputs'!CQ7=0,0,('Group Inputs'!CR7-'Group Inputs'!CS7)/'Group Inputs'!CQ7),2)</f>
        <v>0.03</v>
      </c>
      <c r="J140" s="7">
        <f>ROUND(IF('Group Inputs'!CQ8=0,0,('Group Inputs'!CR8-'Group Inputs'!CS8)/'Group Inputs'!CQ8),2)</f>
        <v>1.41</v>
      </c>
      <c r="K140" s="7">
        <f>ROUND(IF('Group Inputs'!CQ9=0,0,('Group Inputs'!CR9-'Group Inputs'!CS9)/'Group Inputs'!CQ9),2)</f>
        <v>1.12</v>
      </c>
    </row>
    <row r="141" spans="1:11">
      <c r="A141" s="6" t="s">
        <v>864</v>
      </c>
      <c r="B141" s="6" t="s">
        <v>865</v>
      </c>
      <c r="C141" s="6" t="s">
        <v>866</v>
      </c>
      <c r="D141" s="6" t="s">
        <v>577</v>
      </c>
      <c r="E141" s="6" t="s">
        <v>867</v>
      </c>
      <c r="F141" s="7">
        <f>ROUND('Group Inputs'!CT4,2)</f>
        <v>0.0</v>
      </c>
      <c r="G141" s="7">
        <f>ROUND('Group Inputs'!CT5,2)</f>
        <v>1.0</v>
      </c>
      <c r="H141" s="7">
        <f>ROUND('Group Inputs'!CT6,2)</f>
        <v>0.0</v>
      </c>
      <c r="I141" s="7">
        <f>ROUND('Group Inputs'!CT7,2)</f>
        <v>1.0</v>
      </c>
      <c r="J141" s="7">
        <f>ROUND('Group Inputs'!CT8,2)</f>
        <v>3.0</v>
      </c>
      <c r="K141" s="7">
        <f>ROUND('Group Inputs'!CT9,2)</f>
        <v>3.0</v>
      </c>
    </row>
    <row r="142" spans="1:11">
      <c r="A142" s="6" t="s">
        <v>868</v>
      </c>
      <c r="B142" s="6" t="s">
        <v>869</v>
      </c>
      <c r="C142" s="6" t="s">
        <v>668</v>
      </c>
      <c r="D142" s="6" t="s">
        <v>25</v>
      </c>
      <c r="E142" s="6" t="s">
        <v>870</v>
      </c>
      <c r="F142" s="8" t="str">
        <f>IF('Group Inputs'!GC4&lt;0,"Triggered","Not triggered")</f>
        <v>Not triggered</v>
      </c>
      <c r="G142" s="8" t="str">
        <f>IF('Group Inputs'!GC5&lt;0,"Triggered","Not triggered")</f>
        <v>Not triggered</v>
      </c>
      <c r="H142" s="8" t="str">
        <f>IF('Group Inputs'!GC6&lt;0,"Triggered","Not triggered")</f>
        <v>Not triggered</v>
      </c>
      <c r="I142" s="8" t="str">
        <f>IF('Group Inputs'!GC7&lt;0,"Triggered","Not triggered")</f>
        <v>Not triggered</v>
      </c>
      <c r="J142" s="8" t="str">
        <f>IF('Group Inputs'!GC8&lt;0,"Triggered","Not triggered")</f>
        <v>Not triggered</v>
      </c>
      <c r="K142" s="8" t="str">
        <f>IF('Group Inputs'!GC9&lt;0,"Triggered","Not triggered")</f>
        <v>Not triggered</v>
      </c>
    </row>
    <row r="143" spans="1:11">
      <c r="A143" s="6" t="s">
        <v>871</v>
      </c>
      <c r="B143" s="6" t="s">
        <v>872</v>
      </c>
      <c r="C143" s="6" t="s">
        <v>668</v>
      </c>
      <c r="D143" s="6" t="s">
        <v>25</v>
      </c>
      <c r="E143" s="6" t="s">
        <v>873</v>
      </c>
      <c r="F143" s="8" t="str">
        <f>IF('Group Inputs'!GJ4&gt;=-1,"Low",IF('Group Inputs'!GJ4&gt;=-3,"Medium","High"))&amp;" ("&amp;ROUND('Group Inputs'!GJ4,1)&amp;"% vs plan price)"</f>
        <v>Low (-0.1% vs plan price)</v>
      </c>
      <c r="G143" s="8" t="str">
        <f>IF('Group Inputs'!GJ5&gt;=-1,"Low",IF('Group Inputs'!GJ5&gt;=-3,"Medium","High"))&amp;" ("&amp;ROUND('Group Inputs'!GJ5,1)&amp;"% vs plan price)"</f>
        <v>Low (0% vs plan price)</v>
      </c>
      <c r="H143" s="8" t="str">
        <f>IF('Group Inputs'!GJ6&gt;=-1,"Low",IF('Group Inputs'!GJ6&gt;=-3,"Medium","High"))&amp;" ("&amp;ROUND('Group Inputs'!GJ6,1)&amp;"% vs plan price)"</f>
        <v>Low (0.3% vs plan price)</v>
      </c>
      <c r="I143" s="8" t="str">
        <f>IF('Group Inputs'!GJ7&gt;=-1,"Low",IF('Group Inputs'!GJ7&gt;=-3,"Medium","High"))&amp;" ("&amp;ROUND('Group Inputs'!GJ7,1)&amp;"% vs plan price)"</f>
        <v>Low (-0.2% vs plan price)</v>
      </c>
      <c r="J143" s="8" t="str">
        <f>IF('Group Inputs'!GJ8&gt;=-1,"Low",IF('Group Inputs'!GJ8&gt;=-3,"Medium","High"))&amp;" ("&amp;ROUND('Group Inputs'!GJ8,1)&amp;"% vs plan price)"</f>
        <v>Low (-0.3% vs plan price)</v>
      </c>
      <c r="K143" s="8" t="str">
        <f>IF('Group Inputs'!GJ9&gt;=-1,"Low",IF('Group Inputs'!GJ9&gt;=-3,"Medium","High"))&amp;" ("&amp;ROUND('Group Inputs'!GJ9,1)&amp;"% vs plan price)"</f>
        <v>Low (-0.4% vs plan price)</v>
      </c>
    </row>
    <row r="144" spans="1:11">
      <c r="A144" s="6" t="s">
        <v>874</v>
      </c>
      <c r="B144" s="6" t="s">
        <v>875</v>
      </c>
      <c r="C144" s="6" t="s">
        <v>28</v>
      </c>
      <c r="D144" s="6" t="s">
        <v>876</v>
      </c>
      <c r="E144" s="6" t="s">
        <v>877</v>
      </c>
      <c r="F144" s="7">
        <f>ROUND('Group Inputs'!BS4,2)</f>
        <v>17.0</v>
      </c>
      <c r="G144" s="7">
        <f>ROUND('Group Inputs'!BS5,2)</f>
        <v>12.0</v>
      </c>
      <c r="H144" s="7">
        <f>ROUND('Group Inputs'!BS6,2)</f>
        <v>18.0</v>
      </c>
      <c r="I144" s="7">
        <f>ROUND('Group Inputs'!BS7,2)</f>
        <v>12.0</v>
      </c>
      <c r="J144" s="7">
        <f>ROUND('Group Inputs'!BS8,2)</f>
        <v>10.0</v>
      </c>
      <c r="K144" s="7">
        <f>ROUND('Group Inputs'!BS9,2)</f>
        <v>4.0</v>
      </c>
    </row>
    <row r="145" spans="1:11">
      <c r="A145" s="6" t="s">
        <v>878</v>
      </c>
      <c r="B145" s="6" t="s">
        <v>879</v>
      </c>
      <c r="C145" s="6" t="s">
        <v>455</v>
      </c>
      <c r="D145" s="6" t="s">
        <v>880</v>
      </c>
      <c r="E145" s="6" t="s">
        <v>881</v>
      </c>
      <c r="F145" s="7">
        <f>ROUND(100*NORM.DIST('Group Inputs'!BT4,'Group Inputs'!BU4,SQRT('Group Inputs'!BV4),TRUE),2)</f>
        <v>64.9</v>
      </c>
      <c r="G145" s="7">
        <f>ROUND(100*NORM.DIST('Group Inputs'!BT5,'Group Inputs'!BU5,SQRT('Group Inputs'!BV5),TRUE),2)</f>
        <v>59.89</v>
      </c>
      <c r="H145" s="7">
        <f>ROUND(100*NORM.DIST('Group Inputs'!BT6,'Group Inputs'!BU6,SQRT('Group Inputs'!BV6),TRUE),2)</f>
        <v>65.54</v>
      </c>
      <c r="I145" s="7">
        <f>ROUND(100*NORM.DIST('Group Inputs'!BT7,'Group Inputs'!BU7,SQRT('Group Inputs'!BV7),TRUE),2)</f>
        <v>65.82</v>
      </c>
      <c r="J145" s="7">
        <f>ROUND(100*NORM.DIST('Group Inputs'!BT8,'Group Inputs'!BU8,SQRT('Group Inputs'!BV8),TRUE),2)</f>
        <v>61.08</v>
      </c>
      <c r="K145" s="7">
        <f>ROUND(100*NORM.DIST('Group Inputs'!BT9,'Group Inputs'!BU9,SQRT('Group Inputs'!BV9),TRUE),2)</f>
        <v>69.69</v>
      </c>
    </row>
    <row r="146" spans="1:11">
      <c r="A146" s="6" t="s">
        <v>882</v>
      </c>
      <c r="B146" s="6" t="s">
        <v>883</v>
      </c>
      <c r="C146" s="6" t="s">
        <v>560</v>
      </c>
      <c r="D146" s="6" t="s">
        <v>876</v>
      </c>
      <c r="E146" s="6" t="s">
        <v>884</v>
      </c>
      <c r="F146" s="7">
        <f>ROUND(('Group Inputs'!CU4-'Group Inputs'!CV4)/1000,2)</f>
        <v>-21.12</v>
      </c>
      <c r="G146" s="7">
        <f>ROUND(('Group Inputs'!CU5-'Group Inputs'!CV5)/1000,2)</f>
        <v>-20.76</v>
      </c>
      <c r="H146" s="7">
        <f>ROUND(('Group Inputs'!CU6-'Group Inputs'!CV6)/1000,2)</f>
        <v>-12.01</v>
      </c>
      <c r="I146" s="7">
        <f>ROUND(('Group Inputs'!CU7-'Group Inputs'!CV7)/1000,2)</f>
        <v>-13.98</v>
      </c>
      <c r="J146" s="7">
        <f>ROUND(('Group Inputs'!CU8-'Group Inputs'!CV8)/1000,2)</f>
        <v>-38.92</v>
      </c>
      <c r="K146" s="7">
        <f>ROUND(('Group Inputs'!CU9-'Group Inputs'!CV9)/1000,2)</f>
        <v>-56.18</v>
      </c>
    </row>
    <row r="147" spans="1:11">
      <c r="A147" s="6" t="s">
        <v>885</v>
      </c>
      <c r="B147" s="6" t="s">
        <v>886</v>
      </c>
      <c r="C147" s="6" t="s">
        <v>887</v>
      </c>
      <c r="D147" s="6" t="s">
        <v>888</v>
      </c>
      <c r="E147" s="6" t="s">
        <v>889</v>
      </c>
      <c r="F147" s="8" t="str">
        <f>IF('Group Inputs'!CC4+'Group Inputs'!CD4+'Group Inputs'!CW4&gt;=0,"None within 90 d",ROUND(('Group Inputs'!CC4+'Group Inputs'!CD4+'Group Inputs'!CW4)/1000,1))</f>
        <v>None within 90 d</v>
      </c>
      <c r="G147" s="8" t="str">
        <f>IF('Group Inputs'!CC5+'Group Inputs'!CD5+'Group Inputs'!CW5&gt;=0,"None within 90 d",ROUND(('Group Inputs'!CC5+'Group Inputs'!CD5+'Group Inputs'!CW5)/1000,1))</f>
        <v>None within 90 d</v>
      </c>
      <c r="H147" s="8" t="str">
        <f>IF('Group Inputs'!CC6+'Group Inputs'!CD6+'Group Inputs'!CW6&gt;=0,"None within 90 d",ROUND(('Group Inputs'!CC6+'Group Inputs'!CD6+'Group Inputs'!CW6)/1000,1))</f>
        <v>None within 90 d</v>
      </c>
      <c r="I147" s="8" t="str">
        <f>IF('Group Inputs'!CC7+'Group Inputs'!CD7+'Group Inputs'!CW7&gt;=0,"None within 90 d",ROUND(('Group Inputs'!CC7+'Group Inputs'!CD7+'Group Inputs'!CW7)/1000,1))</f>
        <v>None within 90 d</v>
      </c>
      <c r="J147" s="8" t="str">
        <f>IF('Group Inputs'!CC8+'Group Inputs'!CD8+'Group Inputs'!CW8&gt;=0,"None within 90 d",ROUND(('Group Inputs'!CC8+'Group Inputs'!CD8+'Group Inputs'!CW8)/1000,1))</f>
        <v>None within 90 d</v>
      </c>
      <c r="K147" s="8" t="str">
        <f>IF('Group Inputs'!CC9+'Group Inputs'!CD9+'Group Inputs'!CW9&gt;=0,"None within 90 d",ROUND(('Group Inputs'!CC9+'Group Inputs'!CD9+'Group Inputs'!CW9)/1000,1))</f>
        <v>None within 90 d</v>
      </c>
    </row>
    <row r="148" spans="1:11">
      <c r="A148" s="6" t="s">
        <v>890</v>
      </c>
      <c r="B148" s="6" t="s">
        <v>891</v>
      </c>
      <c r="C148" s="6" t="s">
        <v>668</v>
      </c>
      <c r="D148" s="6" t="s">
        <v>892</v>
      </c>
      <c r="E148" s="6" t="s">
        <v>893</v>
      </c>
      <c r="F148" s="8" t="str">
        <f>IF('Group Inputs'!CY4=0,"No forecast",IF('Group Inputs'!CX4/'Group Inputs'!CY4&gt;Parameters!$B$4,"Breach forecast","Not forecast"))</f>
        <v>Not forecast</v>
      </c>
      <c r="G148" s="8" t="str">
        <f>IF('Group Inputs'!CY5=0,"No forecast",IF('Group Inputs'!CX5/'Group Inputs'!CY5&gt;Parameters!$B$4,"Breach forecast","Not forecast"))</f>
        <v>Not forecast</v>
      </c>
      <c r="H148" s="8" t="str">
        <f>IF('Group Inputs'!CY6=0,"No forecast",IF('Group Inputs'!CX6/'Group Inputs'!CY6&gt;Parameters!$B$4,"Breach forecast","Not forecast"))</f>
        <v>Not forecast</v>
      </c>
      <c r="I148" s="8" t="str">
        <f>IF('Group Inputs'!CY7=0,"No forecast",IF('Group Inputs'!CX7/'Group Inputs'!CY7&gt;Parameters!$B$4,"Breach forecast","Not forecast"))</f>
        <v>Not forecast</v>
      </c>
      <c r="J148" s="8" t="str">
        <f>IF('Group Inputs'!CY8=0,"No forecast",IF('Group Inputs'!CX8/'Group Inputs'!CY8&gt;Parameters!$B$4,"Breach forecast","Not forecast"))</f>
        <v>Not forecast</v>
      </c>
      <c r="K148" s="8" t="str">
        <f>IF('Group Inputs'!CY9=0,"No forecast",IF('Group Inputs'!CX9/'Group Inputs'!CY9&gt;Parameters!$B$4,"Breach forecast","Not forecast"))</f>
        <v>Not forecast</v>
      </c>
    </row>
    <row r="149" spans="1:11">
      <c r="A149" s="6" t="s">
        <v>894</v>
      </c>
      <c r="B149" s="6" t="s">
        <v>895</v>
      </c>
      <c r="C149" s="6" t="s">
        <v>896</v>
      </c>
      <c r="D149" s="6" t="s">
        <v>880</v>
      </c>
      <c r="E149" s="6" t="s">
        <v>897</v>
      </c>
      <c r="F149" s="7">
        <f>ROUND('Group Inputs'!BX4/1000,2)</f>
        <v>19.21</v>
      </c>
      <c r="G149" s="7">
        <f>ROUND('Group Inputs'!BX5/1000,2)</f>
        <v>28.02</v>
      </c>
      <c r="H149" s="7">
        <f>ROUND('Group Inputs'!BX6/1000,2)</f>
        <v>23.28</v>
      </c>
      <c r="I149" s="7">
        <f>ROUND('Group Inputs'!BX7/1000,2)</f>
        <v>32.77</v>
      </c>
      <c r="J149" s="7">
        <f>ROUND('Group Inputs'!BX8/1000,2)</f>
        <v>28.34</v>
      </c>
      <c r="K149" s="7">
        <f>ROUND('Group Inputs'!BX9/1000,2)</f>
        <v>28.01</v>
      </c>
    </row>
    <row r="150" spans="1:11">
      <c r="A150" s="6" t="s">
        <v>898</v>
      </c>
      <c r="B150" s="6" t="s">
        <v>899</v>
      </c>
      <c r="C150" s="6" t="s">
        <v>455</v>
      </c>
      <c r="D150" s="6" t="s">
        <v>880</v>
      </c>
      <c r="E150" s="6" t="s">
        <v>900</v>
      </c>
      <c r="F150" s="7">
        <f>ROUND(100*NORM.DIST(0.78*'Group Inputs'!BW4,'Group Inputs'!BU4,SQRT('Group Inputs'!BV4),TRUE),2)</f>
        <v>0.0</v>
      </c>
      <c r="G150" s="7">
        <f>ROUND(100*NORM.DIST(0.78*'Group Inputs'!BW5,'Group Inputs'!BU5,SQRT('Group Inputs'!BV5),TRUE),2)</f>
        <v>0.0</v>
      </c>
      <c r="H150" s="7">
        <f>ROUND(100*NORM.DIST(0.78*'Group Inputs'!BW6,'Group Inputs'!BU6,SQRT('Group Inputs'!BV6),TRUE),2)</f>
        <v>0.0</v>
      </c>
      <c r="I150" s="7">
        <f>ROUND(100*NORM.DIST(0.78*'Group Inputs'!BW7,'Group Inputs'!BU7,SQRT('Group Inputs'!BV7),TRUE),2)</f>
        <v>0.0</v>
      </c>
      <c r="J150" s="7">
        <f>ROUND(100*NORM.DIST(0.78*'Group Inputs'!BW8,'Group Inputs'!BU8,SQRT('Group Inputs'!BV8),TRUE),2)</f>
        <v>0.0</v>
      </c>
      <c r="K150" s="7">
        <f>ROUND(100*NORM.DIST(0.78*'Group Inputs'!BW9,'Group Inputs'!BU9,SQRT('Group Inputs'!BV9),TRUE),2)</f>
        <v>0.0</v>
      </c>
    </row>
    <row r="151" spans="1:11">
      <c r="A151" s="6" t="s">
        <v>901</v>
      </c>
      <c r="B151" s="6" t="s">
        <v>902</v>
      </c>
      <c r="C151" s="6" t="s">
        <v>560</v>
      </c>
      <c r="D151" s="6" t="s">
        <v>561</v>
      </c>
      <c r="E151" s="6" t="s">
        <v>903</v>
      </c>
      <c r="F151" s="7">
        <f>ROUND(SUM('Group Inputs'!X$4:X4)/1000,2)</f>
        <v>7.0</v>
      </c>
      <c r="G151" s="7">
        <f>ROUND(SUM('Group Inputs'!X$4:X5)/1000,2)</f>
        <v>15.21</v>
      </c>
      <c r="H151" s="7">
        <f>ROUND(SUM('Group Inputs'!X$4:X6)/1000,2)</f>
        <v>21.69</v>
      </c>
      <c r="I151" s="7">
        <f>ROUND(SUM('Group Inputs'!X$4:X7)/1000,2)</f>
        <v>28.99</v>
      </c>
      <c r="J151" s="7">
        <f>ROUND(SUM('Group Inputs'!X$4:X8)/1000,2)</f>
        <v>36.86</v>
      </c>
      <c r="K151" s="7">
        <f>ROUND(SUM('Group Inputs'!X$4:X9)/1000,2)</f>
        <v>44.58</v>
      </c>
    </row>
    <row r="152" spans="1:11">
      <c r="A152" s="6" t="s">
        <v>904</v>
      </c>
      <c r="B152" s="6" t="s">
        <v>905</v>
      </c>
      <c r="C152" s="6" t="s">
        <v>560</v>
      </c>
      <c r="D152" s="6" t="s">
        <v>876</v>
      </c>
      <c r="E152" s="6" t="s">
        <v>906</v>
      </c>
      <c r="F152" s="7">
        <f>ROUND(('Group Inputs'!CU4-'Group Inputs'!CV4)*(1-Parameters!$B$2)/1000,2)</f>
        <v>-15.84</v>
      </c>
      <c r="G152" s="7">
        <f>ROUND(('Group Inputs'!CU5-'Group Inputs'!CV5)*(1-Parameters!$B$2)/1000,2)</f>
        <v>-15.57</v>
      </c>
      <c r="H152" s="7">
        <f>ROUND(('Group Inputs'!CU6-'Group Inputs'!CV6)*(1-Parameters!$B$2)/1000,2)</f>
        <v>-9.01</v>
      </c>
      <c r="I152" s="7">
        <f>ROUND(('Group Inputs'!CU7-'Group Inputs'!CV7)*(1-Parameters!$B$2)/1000,2)</f>
        <v>-10.48</v>
      </c>
      <c r="J152" s="7">
        <f>ROUND(('Group Inputs'!CU8-'Group Inputs'!CV8)*(1-Parameters!$B$2)/1000,2)</f>
        <v>-29.19</v>
      </c>
      <c r="K152" s="7">
        <f>ROUND(('Group Inputs'!CU9-'Group Inputs'!CV9)*(1-Parameters!$B$2)/1000,2)</f>
        <v>-42.14</v>
      </c>
    </row>
    <row r="153" spans="1:11">
      <c r="A153" s="6" t="s">
        <v>907</v>
      </c>
      <c r="B153" s="6" t="s">
        <v>908</v>
      </c>
      <c r="C153" s="6" t="s">
        <v>455</v>
      </c>
      <c r="D153" s="6" t="s">
        <v>876</v>
      </c>
      <c r="E153" s="6" t="s">
        <v>909</v>
      </c>
      <c r="F153" s="7">
        <f>ROUND(IF('Group Inputs'!CA4=0,0,100*(SUM('Group Inputs'!FZ$4:FZ4)+'Group Inputs'!CU4-'Group Inputs'!AX4*(12-'Group Inputs'!D4))/'Group Inputs'!CA4),2)</f>
        <v>5.63</v>
      </c>
      <c r="G153" s="7">
        <f>ROUND(IF('Group Inputs'!CA5=0,0,100*(SUM('Group Inputs'!FZ$4:FZ5)+'Group Inputs'!CU5-'Group Inputs'!AX5*(12-'Group Inputs'!D5))/'Group Inputs'!CA5),2)</f>
        <v>4.88</v>
      </c>
      <c r="H153" s="7">
        <f>ROUND(IF('Group Inputs'!CA6=0,0,100*(SUM('Group Inputs'!FZ$4:FZ6)+'Group Inputs'!CU6-'Group Inputs'!AX6*(12-'Group Inputs'!D6))/'Group Inputs'!CA6),2)</f>
        <v>5.71</v>
      </c>
      <c r="I153" s="7">
        <f>ROUND(IF('Group Inputs'!CA7=0,0,100*(SUM('Group Inputs'!FZ$4:FZ7)+'Group Inputs'!CU7-'Group Inputs'!AX7*(12-'Group Inputs'!D7))/'Group Inputs'!CA7),2)</f>
        <v>8.7</v>
      </c>
      <c r="J153" s="7">
        <f>ROUND(IF('Group Inputs'!CA8=0,0,100*(SUM('Group Inputs'!FZ$4:FZ8)+'Group Inputs'!CU8-'Group Inputs'!AX8*(12-'Group Inputs'!D8))/'Group Inputs'!CA8),2)</f>
        <v>8.34</v>
      </c>
      <c r="K153" s="7">
        <f>ROUND(IF('Group Inputs'!CA9=0,0,100*(SUM('Group Inputs'!FZ$4:FZ9)+'Group Inputs'!CU9-'Group Inputs'!AX9*(12-'Group Inputs'!D9))/'Group Inputs'!CA9),2)</f>
        <v>14.26</v>
      </c>
    </row>
    <row r="154" spans="1:11">
      <c r="A154" s="6" t="s">
        <v>910</v>
      </c>
      <c r="B154" s="6" t="s">
        <v>911</v>
      </c>
      <c r="C154" s="6" t="s">
        <v>560</v>
      </c>
      <c r="D154" s="6" t="s">
        <v>561</v>
      </c>
      <c r="E154" s="6" t="s">
        <v>912</v>
      </c>
      <c r="F154" s="7">
        <f>ROUND(IF(SUM('Group Inputs'!AD$4:AD4)=0,0,SUM('Group Inputs'!AU$4:AU4)/1000/(SUM('Group Inputs'!AD$4:AD4)/(Parameters!$B$8*'Group Inputs'!D4/12))),2)</f>
        <v>0.85</v>
      </c>
      <c r="G154" s="7">
        <f>ROUND(IF(SUM('Group Inputs'!AD$4:AD5)=0,0,SUM('Group Inputs'!AU$4:AU5)/1000/(SUM('Group Inputs'!AD$4:AD5)/(Parameters!$B$8*'Group Inputs'!D5/12))),2)</f>
        <v>1.72</v>
      </c>
      <c r="H154" s="7">
        <f>ROUND(IF(SUM('Group Inputs'!AD$4:AD6)=0,0,SUM('Group Inputs'!AU$4:AU6)/1000/(SUM('Group Inputs'!AD$4:AD6)/(Parameters!$B$8*'Group Inputs'!D6/12))),2)</f>
        <v>2.56</v>
      </c>
      <c r="I154" s="7">
        <f>ROUND(IF(SUM('Group Inputs'!AD$4:AD7)=0,0,SUM('Group Inputs'!AU$4:AU7)/1000/(SUM('Group Inputs'!AD$4:AD7)/(Parameters!$B$8*'Group Inputs'!D7/12))),2)</f>
        <v>3.45</v>
      </c>
      <c r="J154" s="7">
        <f>ROUND(IF(SUM('Group Inputs'!AD$4:AD8)=0,0,SUM('Group Inputs'!AU$4:AU8)/1000/(SUM('Group Inputs'!AD$4:AD8)/(Parameters!$B$8*'Group Inputs'!D8/12))),2)</f>
        <v>4.42</v>
      </c>
      <c r="K154" s="7">
        <f>ROUND(IF(SUM('Group Inputs'!AD$4:AD9)=0,0,SUM('Group Inputs'!AU$4:AU9)/1000/(SUM('Group Inputs'!AD$4:AD9)/(Parameters!$B$8*'Group Inputs'!D9/12))),2)</f>
        <v>5.34</v>
      </c>
    </row>
    <row r="155" spans="1:11">
      <c r="A155" s="6" t="s">
        <v>913</v>
      </c>
      <c r="B155" s="6" t="s">
        <v>914</v>
      </c>
      <c r="C155" s="6" t="s">
        <v>483</v>
      </c>
      <c r="D155" s="6" t="s">
        <v>561</v>
      </c>
      <c r="E155" s="6" t="s">
        <v>915</v>
      </c>
      <c r="F155" s="7">
        <f>ROUND(IF(SUM('Group Inputs'!AD$4:AD4)=0,0,SUM('Group Inputs'!M$4:M4)/(SUM('Group Inputs'!AD$4:AD4)/(Parameters!$B$8*'Group Inputs'!D4/12))),2)</f>
        <v>228.63</v>
      </c>
      <c r="G155" s="7">
        <f>ROUND(IF(SUM('Group Inputs'!AD$4:AD5)=0,0,SUM('Group Inputs'!M$4:M5)/(SUM('Group Inputs'!AD$4:AD5)/(Parameters!$B$8*'Group Inputs'!D5/12))),2)</f>
        <v>459.04</v>
      </c>
      <c r="H155" s="7">
        <f>ROUND(IF(SUM('Group Inputs'!AD$4:AD6)=0,0,SUM('Group Inputs'!M$4:M6)/(SUM('Group Inputs'!AD$4:AD6)/(Parameters!$B$8*'Group Inputs'!D6/12))),2)</f>
        <v>684.07</v>
      </c>
      <c r="I155" s="7">
        <f>ROUND(IF(SUM('Group Inputs'!AD$4:AD7)=0,0,SUM('Group Inputs'!M$4:M7)/(SUM('Group Inputs'!AD$4:AD7)/(Parameters!$B$8*'Group Inputs'!D7/12))),2)</f>
        <v>922.96</v>
      </c>
      <c r="J155" s="7">
        <f>ROUND(IF(SUM('Group Inputs'!AD$4:AD8)=0,0,SUM('Group Inputs'!M$4:M8)/(SUM('Group Inputs'!AD$4:AD8)/(Parameters!$B$8*'Group Inputs'!D8/12))),2)</f>
        <v>1182.19</v>
      </c>
      <c r="K155" s="7">
        <f>ROUND(IF(SUM('Group Inputs'!AD$4:AD9)=0,0,SUM('Group Inputs'!M$4:M9)/(SUM('Group Inputs'!AD$4:AD9)/(Parameters!$B$8*'Group Inputs'!D9/12))),2)</f>
        <v>1427.42</v>
      </c>
    </row>
    <row r="156" spans="1:11">
      <c r="A156" s="6" t="s">
        <v>916</v>
      </c>
      <c r="B156" s="6" t="s">
        <v>917</v>
      </c>
      <c r="C156" s="6" t="s">
        <v>455</v>
      </c>
      <c r="D156" s="6" t="s">
        <v>876</v>
      </c>
      <c r="E156" s="6" t="s">
        <v>918</v>
      </c>
      <c r="F156" s="7">
        <f>ROUND(IF('Group Inputs'!CU4=0,0,100*NORM.DIST('Group Inputs'!CV4,'Group Inputs'!CU4,Parameters!$B$9*'Group Inputs'!CU4,TRUE)),2)</f>
        <v>60.83</v>
      </c>
      <c r="G156" s="7">
        <f>ROUND(IF('Group Inputs'!CU5=0,0,100*NORM.DIST('Group Inputs'!CV5,'Group Inputs'!CU5,Parameters!$B$9*'Group Inputs'!CU5,TRUE)),2)</f>
        <v>63.52</v>
      </c>
      <c r="H156" s="7">
        <f>ROUND(IF('Group Inputs'!CU6=0,0,100*NORM.DIST('Group Inputs'!CV6,'Group Inputs'!CU6,Parameters!$B$9*'Group Inputs'!CU6,TRUE)),2)</f>
        <v>58.24</v>
      </c>
      <c r="I156" s="7">
        <f>ROUND(IF('Group Inputs'!CU7=0,0,100*NORM.DIST('Group Inputs'!CV7,'Group Inputs'!CU7,Parameters!$B$9*'Group Inputs'!CU7,TRUE)),2)</f>
        <v>57.78</v>
      </c>
      <c r="J156" s="7">
        <f>ROUND(IF('Group Inputs'!CU8=0,0,100*NORM.DIST('Group Inputs'!CV8,'Group Inputs'!CU8,Parameters!$B$9*'Group Inputs'!CU8,TRUE)),2)</f>
        <v>74.75</v>
      </c>
      <c r="K156" s="7">
        <f>ROUND(IF('Group Inputs'!CU9=0,0,100*NORM.DIST('Group Inputs'!CV9,'Group Inputs'!CU9,Parameters!$B$9*'Group Inputs'!CU9,TRUE)),2)</f>
        <v>72.63</v>
      </c>
    </row>
    <row r="157" spans="1:11">
      <c r="A157" s="6" t="s">
        <v>919</v>
      </c>
      <c r="B157" s="6" t="s">
        <v>920</v>
      </c>
      <c r="C157" s="6" t="s">
        <v>668</v>
      </c>
      <c r="D157" s="6" t="s">
        <v>577</v>
      </c>
      <c r="E157" s="6" t="s">
        <v>921</v>
      </c>
      <c r="F157" s="8" t="str">
        <f>IF('Group Inputs'!FV4&gt;=999,"No clock running",'Group Inputs'!FV4&amp;" h remaining")</f>
        <v>No clock running</v>
      </c>
      <c r="G157" s="8" t="str">
        <f>IF('Group Inputs'!FV5&gt;=999,"No clock running",'Group Inputs'!FV5&amp;" h remaining")</f>
        <v>No clock running</v>
      </c>
      <c r="H157" s="8" t="str">
        <f>IF('Group Inputs'!FV6&gt;=999,"No clock running",'Group Inputs'!FV6&amp;" h remaining")</f>
        <v>No clock running</v>
      </c>
      <c r="I157" s="8" t="str">
        <f>IF('Group Inputs'!FV7&gt;=999,"No clock running",'Group Inputs'!FV7&amp;" h remaining")</f>
        <v>No clock running</v>
      </c>
      <c r="J157" s="8" t="str">
        <f>IF('Group Inputs'!FV8&gt;=999,"No clock running",'Group Inputs'!FV8&amp;" h remaining")</f>
        <v>No clock running</v>
      </c>
      <c r="K157" s="8" t="str">
        <f>IF('Group Inputs'!FV9&gt;=999,"No clock running",'Group Inputs'!FV9&amp;" h remaining")</f>
        <v>38 h remaining</v>
      </c>
    </row>
    <row r="158" spans="1:11">
      <c r="A158" s="6" t="s">
        <v>922</v>
      </c>
      <c r="B158" s="6" t="s">
        <v>923</v>
      </c>
      <c r="C158" s="6" t="s">
        <v>668</v>
      </c>
      <c r="D158" s="6" t="s">
        <v>25</v>
      </c>
      <c r="E158" s="6" t="s">
        <v>924</v>
      </c>
      <c r="F158" s="8" t="str">
        <f>IF(ABS(100*'Group Inputs'!M4/'Group Inputs'!N4-100*'Group Inputs'!M4/'Group Inputs'!N4)&lt;1,"Stable",IF(100*'Group Inputs'!M4/'Group Inputs'!N4&gt;100*'Group Inputs'!M4/'Group Inputs'!N4,"Improving","Deteriorating"))&amp;" ("&amp;ROUND(100*'Group Inputs'!M4/'Group Inputs'!N4-100*'Group Inputs'!M4/'Group Inputs'!N4,1)&amp;" pts vs last month)"</f>
        <v>Stable (0 pts vs last month)</v>
      </c>
      <c r="G158" s="8" t="str">
        <f>IF(ABS(100*'Group Inputs'!M5/'Group Inputs'!N5-100*'Group Inputs'!M4/'Group Inputs'!N4)&lt;1,"Stable",IF(100*'Group Inputs'!M5/'Group Inputs'!N5&gt;100*'Group Inputs'!M4/'Group Inputs'!N4,"Improving","Deteriorating"))&amp;" ("&amp;ROUND(100*'Group Inputs'!M5/'Group Inputs'!N5-100*'Group Inputs'!M4/'Group Inputs'!N4,1)&amp;" pts vs last month)"</f>
        <v>Improving (1.8 pts vs last month)</v>
      </c>
      <c r="H158" s="8" t="str">
        <f>IF(ABS(100*'Group Inputs'!M6/'Group Inputs'!N6-100*'Group Inputs'!M5/'Group Inputs'!N5)&lt;1,"Stable",IF(100*'Group Inputs'!M6/'Group Inputs'!N6&gt;100*'Group Inputs'!M5/'Group Inputs'!N5,"Improving","Deteriorating"))&amp;" ("&amp;ROUND(100*'Group Inputs'!M6/'Group Inputs'!N6-100*'Group Inputs'!M5/'Group Inputs'!N5,1)&amp;" pts vs last month)"</f>
        <v>Stable (-0.9 pts vs last month)</v>
      </c>
      <c r="I158" s="8" t="str">
        <f>IF(ABS(100*'Group Inputs'!M7/'Group Inputs'!N7-100*'Group Inputs'!M6/'Group Inputs'!N6)&lt;1,"Stable",IF(100*'Group Inputs'!M7/'Group Inputs'!N7&gt;100*'Group Inputs'!M6/'Group Inputs'!N6,"Improving","Deteriorating"))&amp;" ("&amp;ROUND(100*'Group Inputs'!M7/'Group Inputs'!N7-100*'Group Inputs'!M6/'Group Inputs'!N6,1)&amp;" pts vs last month)"</f>
        <v>Stable (0 pts vs last month)</v>
      </c>
      <c r="J158" s="8" t="str">
        <f>IF(ABS(100*'Group Inputs'!M8/'Group Inputs'!N8-100*'Group Inputs'!M7/'Group Inputs'!N7)&lt;1,"Stable",IF(100*'Group Inputs'!M8/'Group Inputs'!N8&gt;100*'Group Inputs'!M7/'Group Inputs'!N7,"Improving","Deteriorating"))&amp;" ("&amp;ROUND(100*'Group Inputs'!M8/'Group Inputs'!N8-100*'Group Inputs'!M7/'Group Inputs'!N7,1)&amp;" pts vs last month)"</f>
        <v>Stable (-0.4 pts vs last month)</v>
      </c>
      <c r="K158" s="8" t="str">
        <f>IF(ABS(100*'Group Inputs'!M9/'Group Inputs'!N9-100*'Group Inputs'!M8/'Group Inputs'!N8)&lt;1,"Stable",IF(100*'Group Inputs'!M9/'Group Inputs'!N9&gt;100*'Group Inputs'!M8/'Group Inputs'!N8,"Improving","Deteriorating"))&amp;" ("&amp;ROUND(100*'Group Inputs'!M9/'Group Inputs'!N9-100*'Group Inputs'!M8/'Group Inputs'!N8,1)&amp;" pts vs last month)"</f>
        <v>Stable (0.8 pts vs last month)</v>
      </c>
    </row>
    <row r="159" spans="1:11">
      <c r="A159" s="6" t="s">
        <v>925</v>
      </c>
      <c r="B159" s="6" t="s">
        <v>926</v>
      </c>
      <c r="C159" s="6" t="s">
        <v>668</v>
      </c>
      <c r="D159" s="6" t="s">
        <v>25</v>
      </c>
      <c r="E159" s="6" t="s">
        <v>927</v>
      </c>
      <c r="F159" s="8" t="str">
        <f>IF(ABS(100*'Group Inputs'!P4/'Group Inputs'!O4-100*'Group Inputs'!P4/'Group Inputs'!O4)&lt;1,"Stable",IF(100*'Group Inputs'!P4/'Group Inputs'!O4&gt;100*'Group Inputs'!P4/'Group Inputs'!O4,"Improving","Deteriorating"))&amp;" ("&amp;ROUND(100*'Group Inputs'!P4/'Group Inputs'!O4-100*'Group Inputs'!P4/'Group Inputs'!O4,1)&amp;" pts vs last month)"</f>
        <v>Stable (0 pts vs last month)</v>
      </c>
      <c r="G159" s="8" t="str">
        <f>IF(ABS(100*'Group Inputs'!P5/'Group Inputs'!O5-100*'Group Inputs'!P4/'Group Inputs'!O4)&lt;1,"Stable",IF(100*'Group Inputs'!P5/'Group Inputs'!O5&gt;100*'Group Inputs'!P4/'Group Inputs'!O4,"Improving","Deteriorating"))&amp;" ("&amp;ROUND(100*'Group Inputs'!P5/'Group Inputs'!O5-100*'Group Inputs'!P4/'Group Inputs'!O4,1)&amp;" pts vs last month)"</f>
        <v>Stable (-0.9 pts vs last month)</v>
      </c>
      <c r="H159" s="8" t="str">
        <f>IF(ABS(100*'Group Inputs'!P6/'Group Inputs'!O6-100*'Group Inputs'!P5/'Group Inputs'!O5)&lt;1,"Stable",IF(100*'Group Inputs'!P6/'Group Inputs'!O6&gt;100*'Group Inputs'!P5/'Group Inputs'!O5,"Improving","Deteriorating"))&amp;" ("&amp;ROUND(100*'Group Inputs'!P6/'Group Inputs'!O6-100*'Group Inputs'!P5/'Group Inputs'!O5,1)&amp;" pts vs last month)"</f>
        <v>Improving (2.1 pts vs last month)</v>
      </c>
      <c r="I159" s="8" t="str">
        <f>IF(ABS(100*'Group Inputs'!P7/'Group Inputs'!O7-100*'Group Inputs'!P6/'Group Inputs'!O6)&lt;1,"Stable",IF(100*'Group Inputs'!P7/'Group Inputs'!O7&gt;100*'Group Inputs'!P6/'Group Inputs'!O6,"Improving","Deteriorating"))&amp;" ("&amp;ROUND(100*'Group Inputs'!P7/'Group Inputs'!O7-100*'Group Inputs'!P6/'Group Inputs'!O6,1)&amp;" pts vs last month)"</f>
        <v>Stable (-1 pts vs last month)</v>
      </c>
      <c r="J159" s="8" t="str">
        <f>IF(ABS(100*'Group Inputs'!P8/'Group Inputs'!O8-100*'Group Inputs'!P7/'Group Inputs'!O7)&lt;1,"Stable",IF(100*'Group Inputs'!P8/'Group Inputs'!O8&gt;100*'Group Inputs'!P7/'Group Inputs'!O7,"Improving","Deteriorating"))&amp;" ("&amp;ROUND(100*'Group Inputs'!P8/'Group Inputs'!O8-100*'Group Inputs'!P7/'Group Inputs'!O7,1)&amp;" pts vs last month)"</f>
        <v>Improving (1.4 pts vs last month)</v>
      </c>
      <c r="K159" s="8" t="str">
        <f>IF(ABS(100*'Group Inputs'!P9/'Group Inputs'!O9-100*'Group Inputs'!P8/'Group Inputs'!O8)&lt;1,"Stable",IF(100*'Group Inputs'!P9/'Group Inputs'!O9&gt;100*'Group Inputs'!P8/'Group Inputs'!O8,"Improving","Deteriorating"))&amp;" ("&amp;ROUND(100*'Group Inputs'!P9/'Group Inputs'!O9-100*'Group Inputs'!P8/'Group Inputs'!O8,1)&amp;" pts vs last month)"</f>
        <v>Deteriorating (-1.2 pts vs last month)</v>
      </c>
    </row>
    <row r="160" spans="1:11">
      <c r="A160" s="6" t="s">
        <v>928</v>
      </c>
      <c r="B160" s="6" t="s">
        <v>929</v>
      </c>
      <c r="C160" s="6" t="s">
        <v>668</v>
      </c>
      <c r="D160" s="6" t="s">
        <v>577</v>
      </c>
      <c r="E160" s="6" t="s">
        <v>930</v>
      </c>
      <c r="F160" s="8" t="str">
        <f>IF(AND('Group Inputs'!EG4&gt;0,'Group Inputs'!AO4&gt;0),"Elevated","Normal")&amp;" ("&amp;'Group Inputs'!EG4&amp;" single-source suppliers, "&amp;'Group Inputs'!AO4&amp;" materials at risk)"</f>
        <v>Elevated (3 single-source suppliers, 3 materials at risk)</v>
      </c>
      <c r="G160" s="8" t="str">
        <f>IF(AND('Group Inputs'!EG5&gt;0,'Group Inputs'!AO5&gt;0),"Elevated","Normal")&amp;" ("&amp;'Group Inputs'!EG5&amp;" single-source suppliers, "&amp;'Group Inputs'!AO5&amp;" materials at risk)"</f>
        <v>Elevated (3 single-source suppliers, 3 materials at risk)</v>
      </c>
      <c r="H160" s="8" t="str">
        <f>IF(AND('Group Inputs'!EG6&gt;0,'Group Inputs'!AO6&gt;0),"Elevated","Normal")&amp;" ("&amp;'Group Inputs'!EG6&amp;" single-source suppliers, "&amp;'Group Inputs'!AO6&amp;" materials at risk)"</f>
        <v>Elevated (3 single-source suppliers, 1 materials at risk)</v>
      </c>
      <c r="I160" s="8" t="str">
        <f>IF(AND('Group Inputs'!EG7&gt;0,'Group Inputs'!AO7&gt;0),"Elevated","Normal")&amp;" ("&amp;'Group Inputs'!EG7&amp;" single-source suppliers, "&amp;'Group Inputs'!AO7&amp;" materials at risk)"</f>
        <v>Elevated (3 single-source suppliers, 6 materials at risk)</v>
      </c>
      <c r="J160" s="8" t="str">
        <f>IF(AND('Group Inputs'!EG8&gt;0,'Group Inputs'!AO8&gt;0),"Elevated","Normal")&amp;" ("&amp;'Group Inputs'!EG8&amp;" single-source suppliers, "&amp;'Group Inputs'!AO8&amp;" materials at risk)"</f>
        <v>Elevated (3 single-source suppliers, 6 materials at risk)</v>
      </c>
      <c r="K160" s="8" t="str">
        <f>IF(AND('Group Inputs'!EG9&gt;0,'Group Inputs'!AO9&gt;0),"Elevated","Normal")&amp;" ("&amp;'Group Inputs'!EG9&amp;" single-source suppliers, "&amp;'Group Inputs'!AO9&amp;" materials at risk)"</f>
        <v>Elevated (3 single-source suppliers, 5 materials at risk)</v>
      </c>
    </row>
    <row r="161" spans="1:11">
      <c r="A161" s="6" t="s">
        <v>931</v>
      </c>
      <c r="B161" s="6" t="s">
        <v>932</v>
      </c>
      <c r="C161" s="6" t="s">
        <v>668</v>
      </c>
      <c r="D161" s="6" t="s">
        <v>25</v>
      </c>
      <c r="E161" s="6" t="s">
        <v>933</v>
      </c>
      <c r="F161" s="8" t="str">
        <f>IF('Group Inputs'!FX4=0,"No plan",IF(100*('Group Inputs'!FW4/'Group Inputs'!FX4-1)&lt;=2,"Normal",IF(100*('Group Inputs'!FW4/'Group Inputs'!FX4-1)&lt;=5,"Watch","Alert"))&amp;" ("&amp;ROUND(100*('Group Inputs'!FW4/'Group Inputs'!FX4-1),1)&amp;"% vs plan)")</f>
        <v>Normal (1% vs plan)</v>
      </c>
      <c r="G161" s="8" t="str">
        <f>IF('Group Inputs'!FX5=0,"No plan",IF(100*('Group Inputs'!FW5/'Group Inputs'!FX5-1)&lt;=2,"Normal",IF(100*('Group Inputs'!FW5/'Group Inputs'!FX5-1)&lt;=5,"Watch","Alert"))&amp;" ("&amp;ROUND(100*('Group Inputs'!FW5/'Group Inputs'!FX5-1),1)&amp;"% vs plan)")</f>
        <v>Normal (1% vs plan)</v>
      </c>
      <c r="H161" s="8" t="str">
        <f>IF('Group Inputs'!FX6=0,"No plan",IF(100*('Group Inputs'!FW6/'Group Inputs'!FX6-1)&lt;=2,"Normal",IF(100*('Group Inputs'!FW6/'Group Inputs'!FX6-1)&lt;=5,"Watch","Alert"))&amp;" ("&amp;ROUND(100*('Group Inputs'!FW6/'Group Inputs'!FX6-1),1)&amp;"% vs plan)")</f>
        <v>Normal (1% vs plan)</v>
      </c>
      <c r="I161" s="8" t="str">
        <f>IF('Group Inputs'!FX7=0,"No plan",IF(100*('Group Inputs'!FW7/'Group Inputs'!FX7-1)&lt;=2,"Normal",IF(100*('Group Inputs'!FW7/'Group Inputs'!FX7-1)&lt;=5,"Watch","Alert"))&amp;" ("&amp;ROUND(100*('Group Inputs'!FW7/'Group Inputs'!FX7-1),1)&amp;"% vs plan)")</f>
        <v>Normal (1% vs plan)</v>
      </c>
      <c r="J161" s="8" t="str">
        <f>IF('Group Inputs'!FX8=0,"No plan",IF(100*('Group Inputs'!FW8/'Group Inputs'!FX8-1)&lt;=2,"Normal",IF(100*('Group Inputs'!FW8/'Group Inputs'!FX8-1)&lt;=5,"Watch","Alert"))&amp;" ("&amp;ROUND(100*('Group Inputs'!FW8/'Group Inputs'!FX8-1),1)&amp;"% vs plan)")</f>
        <v>Normal (1% vs plan)</v>
      </c>
      <c r="K161" s="8" t="str">
        <f>IF('Group Inputs'!FX9=0,"No plan",IF(100*('Group Inputs'!FW9/'Group Inputs'!FX9-1)&lt;=2,"Normal",IF(100*('Group Inputs'!FW9/'Group Inputs'!FX9-1)&lt;=5,"Watch","Alert"))&amp;" ("&amp;ROUND(100*('Group Inputs'!FW9/'Group Inputs'!FX9-1),1)&amp;"% vs plan)")</f>
        <v>Normal (2% vs plan)</v>
      </c>
    </row>
  </sheetData>
  <autoFilter ref="A1:K16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6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customWidth="1"/>
    <col min="2" max="2" width="32.7109375" customWidth="1"/>
    <col min="3" max="3" width="11.7109375" customWidth="1"/>
    <col min="4" max="4" width="12.7109375" customWidth="1"/>
    <col min="5" max="5" width="46.7109375" customWidth="1"/>
    <col min="6" max="17" width="13.7109375" customWidth="1"/>
  </cols>
  <sheetData>
    <row r="1" spans="1:17">
      <c r="A1" s="5" t="s">
        <v>442</v>
      </c>
      <c r="B1" s="5" t="s">
        <v>443</v>
      </c>
      <c r="C1" s="5" t="s">
        <v>444</v>
      </c>
      <c r="D1" s="5" t="s">
        <v>445</v>
      </c>
      <c r="E1" s="5" t="s">
        <v>446</v>
      </c>
      <c r="F1" s="5" t="s">
        <v>934</v>
      </c>
      <c r="G1" s="5" t="s">
        <v>935</v>
      </c>
      <c r="H1" s="5" t="s">
        <v>936</v>
      </c>
      <c r="I1" s="5" t="s">
        <v>937</v>
      </c>
      <c r="J1" s="5" t="s">
        <v>938</v>
      </c>
      <c r="K1" s="5" t="s">
        <v>939</v>
      </c>
      <c r="L1" s="5" t="s">
        <v>940</v>
      </c>
      <c r="M1" s="5" t="s">
        <v>941</v>
      </c>
      <c r="N1" s="5" t="s">
        <v>942</v>
      </c>
      <c r="O1" s="5" t="s">
        <v>943</v>
      </c>
      <c r="P1" s="5" t="s">
        <v>944</v>
      </c>
      <c r="Q1" s="5" t="s">
        <v>945</v>
      </c>
    </row>
    <row r="2" spans="1:17">
      <c r="A2" s="6" t="s">
        <v>453</v>
      </c>
      <c r="B2" s="6" t="s">
        <v>454</v>
      </c>
      <c r="C2" s="6" t="s">
        <v>455</v>
      </c>
      <c r="D2" s="6" t="s">
        <v>25</v>
      </c>
      <c r="E2" s="6" t="s">
        <v>456</v>
      </c>
      <c r="F2" s="7">
        <f>ROUND(IFERROR(100*'Entity Inputs'!N4/'Entity Inputs'!L4,0),2)</f>
        <v>92.81</v>
      </c>
      <c r="G2" s="7">
        <f>ROUND(IFERROR(100*'Entity Inputs'!N5/'Entity Inputs'!L5,0),2)</f>
        <v>87.09</v>
      </c>
      <c r="H2" s="7">
        <f>ROUND(IFERROR(100*'Entity Inputs'!N6/'Entity Inputs'!L6,0),2)</f>
        <v>86.25</v>
      </c>
      <c r="I2" s="7">
        <f>ROUND(IFERROR(100*'Entity Inputs'!N7/'Entity Inputs'!L7,0),2)</f>
        <v>91.02</v>
      </c>
      <c r="J2" s="7">
        <f>ROUND(IFERROR(100*'Entity Inputs'!N8/'Entity Inputs'!L8,0),2)</f>
        <v>88.58</v>
      </c>
      <c r="K2" s="7">
        <f>ROUND(IFERROR(100*'Entity Inputs'!N9/'Entity Inputs'!L9,0),2)</f>
        <v>91.27</v>
      </c>
      <c r="L2" s="7">
        <f>ROUND(IFERROR(100*'Entity Inputs'!N10/'Entity Inputs'!L10,0),2)</f>
        <v>100.1</v>
      </c>
      <c r="M2" s="7">
        <f>ROUND(IFERROR(100*'Entity Inputs'!N11/'Entity Inputs'!L11,0),2)</f>
        <v>96.75</v>
      </c>
      <c r="N2" s="7">
        <f>ROUND(IFERROR(100*'Entity Inputs'!N12/'Entity Inputs'!L12,0),2)</f>
        <v>94.03</v>
      </c>
      <c r="O2" s="7">
        <f>ROUND(IFERROR(100*'Entity Inputs'!N13/'Entity Inputs'!L13,0),2)</f>
        <v>97.3</v>
      </c>
      <c r="P2" s="7">
        <f>ROUND(IFERROR(100*'Entity Inputs'!N14/'Entity Inputs'!L14,0),2)</f>
        <v>96.69</v>
      </c>
      <c r="Q2" s="7">
        <f>ROUND(IFERROR(100*'Entity Inputs'!N15/'Entity Inputs'!L15,0),2)</f>
        <v>100.29</v>
      </c>
    </row>
    <row r="3" spans="1:17">
      <c r="A3" s="6" t="s">
        <v>457</v>
      </c>
      <c r="B3" s="6" t="s">
        <v>458</v>
      </c>
      <c r="C3" s="6" t="s">
        <v>455</v>
      </c>
      <c r="D3" s="6" t="s">
        <v>25</v>
      </c>
      <c r="E3" s="6" t="s">
        <v>459</v>
      </c>
      <c r="F3" s="7">
        <f>ROUND(IFERROR(100*'Entity Inputs'!N4/'Entity Inputs'!K4,0),2)</f>
        <v>80.9</v>
      </c>
      <c r="G3" s="7">
        <f>ROUND(IFERROR(100*'Entity Inputs'!N5/'Entity Inputs'!K5,0),2)</f>
        <v>73.48</v>
      </c>
      <c r="H3" s="7">
        <f>ROUND(IFERROR(100*'Entity Inputs'!N6/'Entity Inputs'!K6,0),2)</f>
        <v>76.11</v>
      </c>
      <c r="I3" s="7">
        <f>ROUND(IFERROR(100*'Entity Inputs'!N7/'Entity Inputs'!K7,0),2)</f>
        <v>78.51</v>
      </c>
      <c r="J3" s="7">
        <f>ROUND(IFERROR(100*'Entity Inputs'!N8/'Entity Inputs'!K8,0),2)</f>
        <v>76.19</v>
      </c>
      <c r="K3" s="7">
        <f>ROUND(IFERROR(100*'Entity Inputs'!N9/'Entity Inputs'!K9,0),2)</f>
        <v>79.8</v>
      </c>
      <c r="L3" s="7">
        <f>ROUND(IFERROR(100*'Entity Inputs'!N10/'Entity Inputs'!K10,0),2)</f>
        <v>87.44</v>
      </c>
      <c r="M3" s="7">
        <f>ROUND(IFERROR(100*'Entity Inputs'!N11/'Entity Inputs'!K11,0),2)</f>
        <v>79.28</v>
      </c>
      <c r="N3" s="7">
        <f>ROUND(IFERROR(100*'Entity Inputs'!N12/'Entity Inputs'!K12,0),2)</f>
        <v>83.9</v>
      </c>
      <c r="O3" s="7">
        <f>ROUND(IFERROR(100*'Entity Inputs'!N13/'Entity Inputs'!K13,0),2)</f>
        <v>86.58</v>
      </c>
      <c r="P3" s="7">
        <f>ROUND(IFERROR(100*'Entity Inputs'!N14/'Entity Inputs'!K14,0),2)</f>
        <v>81.88</v>
      </c>
      <c r="Q3" s="7">
        <f>ROUND(IFERROR(100*'Entity Inputs'!N15/'Entity Inputs'!K15,0),2)</f>
        <v>87.55</v>
      </c>
    </row>
    <row r="4" spans="1:17">
      <c r="A4" s="6" t="s">
        <v>460</v>
      </c>
      <c r="B4" s="6" t="s">
        <v>461</v>
      </c>
      <c r="C4" s="6" t="s">
        <v>455</v>
      </c>
      <c r="D4" s="6" t="s">
        <v>25</v>
      </c>
      <c r="E4" s="6" t="s">
        <v>462</v>
      </c>
      <c r="F4" s="7">
        <f>ROUND(IFERROR(100*'Entity Inputs'!H4/'Entity Inputs'!F4,0),2)</f>
        <v>94.75</v>
      </c>
      <c r="G4" s="7">
        <f>ROUND(IFERROR(100*'Entity Inputs'!H5/'Entity Inputs'!F5,0),2)</f>
        <v>88.59</v>
      </c>
      <c r="H4" s="7">
        <f>ROUND(IFERROR(100*'Entity Inputs'!H6/'Entity Inputs'!F6,0),2)</f>
        <v>93.69</v>
      </c>
      <c r="I4" s="7">
        <f>ROUND(IFERROR(100*'Entity Inputs'!H7/'Entity Inputs'!F7,0),2)</f>
        <v>92.06</v>
      </c>
      <c r="J4" s="7">
        <f>ROUND(IFERROR(100*'Entity Inputs'!H8/'Entity Inputs'!F8,0),2)</f>
        <v>90.77</v>
      </c>
      <c r="K4" s="7">
        <f>ROUND(IFERROR(100*'Entity Inputs'!H9/'Entity Inputs'!F9,0),2)</f>
        <v>91.86</v>
      </c>
      <c r="L4" s="7">
        <f>ROUND(IFERROR(100*'Entity Inputs'!H10/'Entity Inputs'!F10,0),2)</f>
        <v>95.69</v>
      </c>
      <c r="M4" s="7">
        <f>ROUND(IFERROR(100*'Entity Inputs'!H11/'Entity Inputs'!F11,0),2)</f>
        <v>88.83</v>
      </c>
      <c r="N4" s="7">
        <f>ROUND(IFERROR(100*'Entity Inputs'!H12/'Entity Inputs'!F12,0),2)</f>
        <v>94.43</v>
      </c>
      <c r="O4" s="7">
        <f>ROUND(IFERROR(100*'Entity Inputs'!H13/'Entity Inputs'!F13,0),2)</f>
        <v>95.13</v>
      </c>
      <c r="P4" s="7">
        <f>ROUND(IFERROR(100*'Entity Inputs'!H14/'Entity Inputs'!F14,0),2)</f>
        <v>89.43</v>
      </c>
      <c r="Q4" s="7">
        <f>ROUND(IFERROR(100*'Entity Inputs'!H15/'Entity Inputs'!F15,0),2)</f>
        <v>95.43</v>
      </c>
    </row>
    <row r="5" spans="1:17">
      <c r="A5" s="6" t="s">
        <v>463</v>
      </c>
      <c r="B5" s="6" t="s">
        <v>464</v>
      </c>
      <c r="C5" s="6" t="s">
        <v>455</v>
      </c>
      <c r="D5" s="6" t="s">
        <v>25</v>
      </c>
      <c r="E5" s="6" t="s">
        <v>465</v>
      </c>
      <c r="F5" s="7">
        <f>ROUND(IFERROR(100*'Entity Inputs'!N4/'Entity Inputs'!J4,0),2)</f>
        <v>81.65</v>
      </c>
      <c r="G5" s="7">
        <f>ROUND(IFERROR(100*'Entity Inputs'!N5/'Entity Inputs'!J5,0),2)</f>
        <v>78.4</v>
      </c>
      <c r="H5" s="7">
        <f>ROUND(IFERROR(100*'Entity Inputs'!N6/'Entity Inputs'!J6,0),2)</f>
        <v>76.22</v>
      </c>
      <c r="I5" s="7">
        <f>ROUND(IFERROR(100*'Entity Inputs'!N7/'Entity Inputs'!J7,0),2)</f>
        <v>79.11</v>
      </c>
      <c r="J5" s="7">
        <f>ROUND(IFERROR(100*'Entity Inputs'!N8/'Entity Inputs'!J8,0),2)</f>
        <v>78.73</v>
      </c>
      <c r="K5" s="7">
        <f>ROUND(IFERROR(100*'Entity Inputs'!N9/'Entity Inputs'!J9,0),2)</f>
        <v>80.21</v>
      </c>
      <c r="L5" s="7">
        <f>ROUND(IFERROR(100*'Entity Inputs'!N10/'Entity Inputs'!J10,0),2)</f>
        <v>88.21</v>
      </c>
      <c r="M5" s="7">
        <f>ROUND(IFERROR(100*'Entity Inputs'!N11/'Entity Inputs'!J11,0),2)</f>
        <v>85.07</v>
      </c>
      <c r="N5" s="7">
        <f>ROUND(IFERROR(100*'Entity Inputs'!N12/'Entity Inputs'!J12,0),2)</f>
        <v>84.77</v>
      </c>
      <c r="O5" s="7">
        <f>ROUND(IFERROR(100*'Entity Inputs'!N13/'Entity Inputs'!J13,0),2)</f>
        <v>86.9</v>
      </c>
      <c r="P5" s="7">
        <f>ROUND(IFERROR(100*'Entity Inputs'!N14/'Entity Inputs'!J14,0),2)</f>
        <v>86.21</v>
      </c>
      <c r="Q5" s="7">
        <f>ROUND(IFERROR(100*'Entity Inputs'!N15/'Entity Inputs'!J15,0),2)</f>
        <v>88.44</v>
      </c>
    </row>
    <row r="6" spans="1:17">
      <c r="A6" s="6" t="s">
        <v>466</v>
      </c>
      <c r="B6" s="6" t="s">
        <v>467</v>
      </c>
      <c r="C6" s="6" t="s">
        <v>455</v>
      </c>
      <c r="D6" s="6" t="s">
        <v>25</v>
      </c>
      <c r="E6" s="6" t="s">
        <v>468</v>
      </c>
      <c r="F6" s="7">
        <f>ROUND(IFERROR(100*'Entity Inputs'!Q4/'Entity Inputs'!P4,0),2)</f>
        <v>86.95</v>
      </c>
      <c r="G6" s="7">
        <f>ROUND(IFERROR(100*'Entity Inputs'!Q5/'Entity Inputs'!P5,0),2)</f>
        <v>85.7</v>
      </c>
      <c r="H6" s="7">
        <f>ROUND(IFERROR(100*'Entity Inputs'!Q6/'Entity Inputs'!P6,0),2)</f>
        <v>87.19</v>
      </c>
      <c r="I6" s="7">
        <f>ROUND(IFERROR(100*'Entity Inputs'!Q7/'Entity Inputs'!P7,0),2)</f>
        <v>87.53</v>
      </c>
      <c r="J6" s="7">
        <f>ROUND(IFERROR(100*'Entity Inputs'!Q8/'Entity Inputs'!P8,0),2)</f>
        <v>86.96</v>
      </c>
      <c r="K6" s="7">
        <f>ROUND(IFERROR(100*'Entity Inputs'!Q9/'Entity Inputs'!P9,0),2)</f>
        <v>87.47</v>
      </c>
      <c r="L6" s="7">
        <f>ROUND(IFERROR(100*'Entity Inputs'!Q10/'Entity Inputs'!P10,0),2)</f>
        <v>87.03</v>
      </c>
      <c r="M6" s="7">
        <f>ROUND(IFERROR(100*'Entity Inputs'!Q11/'Entity Inputs'!P11,0),2)</f>
        <v>86.53</v>
      </c>
      <c r="N6" s="7">
        <f>ROUND(IFERROR(100*'Entity Inputs'!Q12/'Entity Inputs'!P12,0),2)</f>
        <v>89.22</v>
      </c>
      <c r="O6" s="7">
        <f>ROUND(IFERROR(100*'Entity Inputs'!Q13/'Entity Inputs'!P13,0),2)</f>
        <v>86.73</v>
      </c>
      <c r="P6" s="7">
        <f>ROUND(IFERROR(100*'Entity Inputs'!Q14/'Entity Inputs'!P14,0),2)</f>
        <v>90.09</v>
      </c>
      <c r="Q6" s="7">
        <f>ROUND(IFERROR(100*'Entity Inputs'!Q15/'Entity Inputs'!P15,0),2)</f>
        <v>87.23</v>
      </c>
    </row>
    <row r="7" spans="1:17">
      <c r="A7" s="6" t="s">
        <v>469</v>
      </c>
      <c r="B7" s="6" t="s">
        <v>470</v>
      </c>
      <c r="C7" s="6" t="s">
        <v>455</v>
      </c>
      <c r="D7" s="6" t="s">
        <v>25</v>
      </c>
      <c r="E7" s="6" t="s">
        <v>471</v>
      </c>
      <c r="F7" s="7">
        <f>ROUND(IFERROR(100*'Entity Inputs'!N4/'Entity Inputs'!O4,0),2)</f>
        <v>89.68</v>
      </c>
      <c r="G7" s="7">
        <f>ROUND(IFERROR(100*'Entity Inputs'!N5/'Entity Inputs'!O5,0),2)</f>
        <v>91.9</v>
      </c>
      <c r="H7" s="7">
        <f>ROUND(IFERROR(100*'Entity Inputs'!N6/'Entity Inputs'!O6,0),2)</f>
        <v>93.25</v>
      </c>
      <c r="I7" s="7">
        <f>ROUND(IFERROR(100*'Entity Inputs'!N7/'Entity Inputs'!O7,0),2)</f>
        <v>89.98</v>
      </c>
      <c r="J7" s="7">
        <f>ROUND(IFERROR(100*'Entity Inputs'!N8/'Entity Inputs'!O8,0),2)</f>
        <v>91.19</v>
      </c>
      <c r="K7" s="7">
        <f>ROUND(IFERROR(100*'Entity Inputs'!N9/'Entity Inputs'!O9,0),2)</f>
        <v>91.46</v>
      </c>
      <c r="L7" s="7">
        <f>ROUND(IFERROR(100*'Entity Inputs'!N10/'Entity Inputs'!O10,0),2)</f>
        <v>91.38</v>
      </c>
      <c r="M7" s="7">
        <f>ROUND(IFERROR(100*'Entity Inputs'!N11/'Entity Inputs'!O11,0),2)</f>
        <v>92.82</v>
      </c>
      <c r="N7" s="7">
        <f>ROUND(IFERROR(100*'Entity Inputs'!N12/'Entity Inputs'!O12,0),2)</f>
        <v>89.73</v>
      </c>
      <c r="O7" s="7">
        <f>ROUND(IFERROR(100*'Entity Inputs'!N13/'Entity Inputs'!O13,0),2)</f>
        <v>93.0</v>
      </c>
      <c r="P7" s="7">
        <f>ROUND(IFERROR(100*'Entity Inputs'!N14/'Entity Inputs'!O14,0),2)</f>
        <v>91.0</v>
      </c>
      <c r="Q7" s="7">
        <f>ROUND(IFERROR(100*'Entity Inputs'!N15/'Entity Inputs'!O15,0),2)</f>
        <v>92.42</v>
      </c>
    </row>
    <row r="8" spans="1:17">
      <c r="A8" s="6" t="s">
        <v>472</v>
      </c>
      <c r="B8" s="6" t="s">
        <v>473</v>
      </c>
      <c r="C8" s="6" t="s">
        <v>474</v>
      </c>
      <c r="D8" s="6" t="s">
        <v>25</v>
      </c>
      <c r="E8" s="6" t="s">
        <v>475</v>
      </c>
      <c r="F8" s="7">
        <f>ROUND(IFERROR('Entity Inputs'!H4/'Entity Inputs'!S4,0),2)</f>
        <v>227.39</v>
      </c>
      <c r="G8" s="7">
        <f>ROUND(IFERROR('Entity Inputs'!H5/'Entity Inputs'!S5,0),2)</f>
        <v>164.78</v>
      </c>
      <c r="H8" s="7">
        <f>ROUND(IFERROR('Entity Inputs'!H6/'Entity Inputs'!S6,0),2)</f>
        <v>202.37</v>
      </c>
      <c r="I8" s="7">
        <f>ROUND(IFERROR('Entity Inputs'!H7/'Entity Inputs'!S7,0),2)</f>
        <v>146.77</v>
      </c>
      <c r="J8" s="7">
        <f>ROUND(IFERROR('Entity Inputs'!H8/'Entity Inputs'!S8,0),2)</f>
        <v>202.6</v>
      </c>
      <c r="K8" s="7">
        <f>ROUND(IFERROR('Entity Inputs'!H9/'Entity Inputs'!S9,0),2)</f>
        <v>165.35</v>
      </c>
      <c r="L8" s="7">
        <f>ROUND(IFERROR('Entity Inputs'!H10/'Entity Inputs'!S10,0),2)</f>
        <v>413.4</v>
      </c>
      <c r="M8" s="7">
        <f>ROUND(IFERROR('Entity Inputs'!H11/'Entity Inputs'!S11,0),2)</f>
        <v>220.3</v>
      </c>
      <c r="N8" s="7">
        <f>ROUND(IFERROR('Entity Inputs'!H12/'Entity Inputs'!S12,0),2)</f>
        <v>291.37</v>
      </c>
      <c r="O8" s="7">
        <f>ROUND(IFERROR('Entity Inputs'!H13/'Entity Inputs'!S13,0),2)</f>
        <v>265.41</v>
      </c>
      <c r="P8" s="7">
        <f>ROUND(IFERROR('Entity Inputs'!H14/'Entity Inputs'!S14,0),2)</f>
        <v>221.78</v>
      </c>
      <c r="Q8" s="7">
        <f>ROUND(IFERROR('Entity Inputs'!H15/'Entity Inputs'!S15,0),2)</f>
        <v>687.07</v>
      </c>
    </row>
    <row r="9" spans="1:17">
      <c r="A9" s="6" t="s">
        <v>476</v>
      </c>
      <c r="B9" s="6" t="s">
        <v>477</v>
      </c>
      <c r="C9" s="6" t="s">
        <v>474</v>
      </c>
      <c r="D9" s="6" t="s">
        <v>25</v>
      </c>
      <c r="E9" s="6" t="s">
        <v>478</v>
      </c>
      <c r="F9" s="7">
        <f>ROUND(IFERROR('Entity Inputs'!T4/'Entity Inputs'!S4,0),2)</f>
        <v>5.26</v>
      </c>
      <c r="G9" s="7">
        <f>ROUND(IFERROR('Entity Inputs'!T5/'Entity Inputs'!S5,0),2)</f>
        <v>6.2</v>
      </c>
      <c r="H9" s="7">
        <f>ROUND(IFERROR('Entity Inputs'!T6/'Entity Inputs'!S6,0),2)</f>
        <v>7.04</v>
      </c>
      <c r="I9" s="7">
        <f>ROUND(IFERROR('Entity Inputs'!T7/'Entity Inputs'!S7,0),2)</f>
        <v>7.77</v>
      </c>
      <c r="J9" s="7">
        <f>ROUND(IFERROR('Entity Inputs'!T8/'Entity Inputs'!S8,0),2)</f>
        <v>8.18</v>
      </c>
      <c r="K9" s="7">
        <f>ROUND(IFERROR('Entity Inputs'!T9/'Entity Inputs'!S9,0),2)</f>
        <v>8.24</v>
      </c>
      <c r="L9" s="7">
        <f>ROUND(IFERROR('Entity Inputs'!T10/'Entity Inputs'!S10,0),2)</f>
        <v>4.76</v>
      </c>
      <c r="M9" s="7">
        <f>ROUND(IFERROR('Entity Inputs'!T11/'Entity Inputs'!S11,0),2)</f>
        <v>6.11</v>
      </c>
      <c r="N9" s="7">
        <f>ROUND(IFERROR('Entity Inputs'!T12/'Entity Inputs'!S12,0),2)</f>
        <v>5.91</v>
      </c>
      <c r="O9" s="7">
        <f>ROUND(IFERROR('Entity Inputs'!T13/'Entity Inputs'!S13,0),2)</f>
        <v>4.79</v>
      </c>
      <c r="P9" s="7">
        <f>ROUND(IFERROR('Entity Inputs'!T14/'Entity Inputs'!S14,0),2)</f>
        <v>5.49</v>
      </c>
      <c r="Q9" s="7">
        <f>ROUND(IFERROR('Entity Inputs'!T15/'Entity Inputs'!S15,0),2)</f>
        <v>6.17</v>
      </c>
    </row>
    <row r="10" spans="1:17">
      <c r="A10" s="6" t="s">
        <v>479</v>
      </c>
      <c r="B10" s="6" t="s">
        <v>480</v>
      </c>
      <c r="C10" s="6" t="s">
        <v>474</v>
      </c>
      <c r="D10" s="6" t="s">
        <v>25</v>
      </c>
      <c r="E10" s="6" t="s">
        <v>480</v>
      </c>
      <c r="F10" s="7">
        <f>ROUND('Entity Inputs'!I4,2)</f>
        <v>62.8</v>
      </c>
      <c r="G10" s="7">
        <f>ROUND('Entity Inputs'!I5,2)</f>
        <v>88.0</v>
      </c>
      <c r="H10" s="7">
        <f>ROUND('Entity Inputs'!I6,2)</f>
        <v>85.7</v>
      </c>
      <c r="I10" s="7">
        <f>ROUND('Entity Inputs'!I7,2)</f>
        <v>127.1</v>
      </c>
      <c r="J10" s="7">
        <f>ROUND('Entity Inputs'!I8,2)</f>
        <v>96.2</v>
      </c>
      <c r="K10" s="7">
        <f>ROUND('Entity Inputs'!I9,2)</f>
        <v>120.7</v>
      </c>
      <c r="L10" s="7">
        <f>ROUND('Entity Inputs'!I10,2)</f>
        <v>41.1</v>
      </c>
      <c r="M10" s="7">
        <f>ROUND('Entity Inputs'!I11,2)</f>
        <v>79.9</v>
      </c>
      <c r="N10" s="7">
        <f>ROUND('Entity Inputs'!I12,2)</f>
        <v>56.3</v>
      </c>
      <c r="O10" s="7">
        <f>ROUND('Entity Inputs'!I13,2)</f>
        <v>58.2</v>
      </c>
      <c r="P10" s="7">
        <f>ROUND('Entity Inputs'!I14,2)</f>
        <v>67.8</v>
      </c>
      <c r="Q10" s="7">
        <f>ROUND('Entity Inputs'!I15,2)</f>
        <v>33.7</v>
      </c>
    </row>
    <row r="11" spans="1:17">
      <c r="A11" s="6" t="s">
        <v>481</v>
      </c>
      <c r="B11" s="6" t="s">
        <v>482</v>
      </c>
      <c r="C11" s="6" t="s">
        <v>483</v>
      </c>
      <c r="D11" s="6" t="s">
        <v>25</v>
      </c>
      <c r="E11" s="6" t="s">
        <v>484</v>
      </c>
      <c r="F11" s="7">
        <f>ROUND('Entity Inputs'!R4,2)</f>
        <v>11849.0</v>
      </c>
      <c r="G11" s="7">
        <f>ROUND('Entity Inputs'!R5,2)</f>
        <v>16433.0</v>
      </c>
      <c r="H11" s="7">
        <f>ROUND('Entity Inputs'!R6,2)</f>
        <v>16320.0</v>
      </c>
      <c r="I11" s="7">
        <f>ROUND('Entity Inputs'!R7,2)</f>
        <v>23717.0</v>
      </c>
      <c r="J11" s="7">
        <f>ROUND('Entity Inputs'!R8,2)</f>
        <v>18044.0</v>
      </c>
      <c r="K11" s="7">
        <f>ROUND('Entity Inputs'!R9,2)</f>
        <v>21684.0</v>
      </c>
      <c r="L11" s="7">
        <f>ROUND('Entity Inputs'!R10,2)</f>
        <v>6880.0</v>
      </c>
      <c r="M11" s="7">
        <f>ROUND('Entity Inputs'!R11,2)</f>
        <v>12208.0</v>
      </c>
      <c r="N11" s="7">
        <f>ROUND('Entity Inputs'!R12,2)</f>
        <v>8558.0</v>
      </c>
      <c r="O11" s="7">
        <f>ROUND('Entity Inputs'!R13,2)</f>
        <v>9130.0</v>
      </c>
      <c r="P11" s="7">
        <f>ROUND('Entity Inputs'!R14,2)</f>
        <v>12064.0</v>
      </c>
      <c r="Q11" s="7">
        <f>ROUND('Entity Inputs'!R15,2)</f>
        <v>5492.0</v>
      </c>
    </row>
    <row r="12" spans="1:17">
      <c r="A12" s="6" t="s">
        <v>485</v>
      </c>
      <c r="B12" s="6" t="s">
        <v>486</v>
      </c>
      <c r="C12" s="6" t="s">
        <v>455</v>
      </c>
      <c r="D12" s="6" t="s">
        <v>25</v>
      </c>
      <c r="E12" s="6" t="s">
        <v>487</v>
      </c>
      <c r="F12" s="7">
        <f>ROUND(IFERROR(100*'Entity Inputs'!V4/'Entity Inputs'!U4,0),2)</f>
        <v>93.5</v>
      </c>
      <c r="G12" s="7">
        <f>ROUND(IFERROR(100*'Entity Inputs'!V5/'Entity Inputs'!U5,0),2)</f>
        <v>89.73</v>
      </c>
      <c r="H12" s="7">
        <f>ROUND(IFERROR(100*'Entity Inputs'!V6/'Entity Inputs'!U6,0),2)</f>
        <v>92.54</v>
      </c>
      <c r="I12" s="7">
        <f>ROUND(IFERROR(100*'Entity Inputs'!V7/'Entity Inputs'!U7,0),2)</f>
        <v>88.73</v>
      </c>
      <c r="J12" s="7">
        <f>ROUND(IFERROR(100*'Entity Inputs'!V8/'Entity Inputs'!U8,0),2)</f>
        <v>97.39</v>
      </c>
      <c r="K12" s="7">
        <f>ROUND(IFERROR(100*'Entity Inputs'!V9/'Entity Inputs'!U9,0),2)</f>
        <v>93.43</v>
      </c>
      <c r="L12" s="7">
        <f>ROUND(IFERROR(100*'Entity Inputs'!V10/'Entity Inputs'!U10,0),2)</f>
        <v>93.43</v>
      </c>
      <c r="M12" s="7">
        <f>ROUND(IFERROR(100*'Entity Inputs'!V11/'Entity Inputs'!U11,0),2)</f>
        <v>96.12</v>
      </c>
      <c r="N12" s="7">
        <f>ROUND(IFERROR(100*'Entity Inputs'!V12/'Entity Inputs'!U12,0),2)</f>
        <v>96.9</v>
      </c>
      <c r="O12" s="7">
        <f>ROUND(IFERROR(100*'Entity Inputs'!V13/'Entity Inputs'!U13,0),2)</f>
        <v>96.43</v>
      </c>
      <c r="P12" s="7">
        <f>ROUND(IFERROR(100*'Entity Inputs'!V14/'Entity Inputs'!U14,0),2)</f>
        <v>99.15</v>
      </c>
      <c r="Q12" s="7">
        <f>ROUND(IFERROR(100*'Entity Inputs'!V15/'Entity Inputs'!U15,0),2)</f>
        <v>97.81</v>
      </c>
    </row>
    <row r="13" spans="1:17">
      <c r="A13" s="6" t="s">
        <v>488</v>
      </c>
      <c r="B13" s="6" t="s">
        <v>489</v>
      </c>
      <c r="C13" s="6" t="s">
        <v>490</v>
      </c>
      <c r="D13" s="6" t="s">
        <v>25</v>
      </c>
      <c r="E13" s="6" t="s">
        <v>491</v>
      </c>
      <c r="F13" s="7">
        <f>ROUND(IFERROR(1000*('Entity Inputs'!W4+'Entity Inputs'!Y4)/'Entity Inputs'!N4,0),2)</f>
        <v>3030.45</v>
      </c>
      <c r="G13" s="7">
        <f>ROUND(IFERROR(1000*('Entity Inputs'!W5+'Entity Inputs'!Y5)/'Entity Inputs'!N5,0),2)</f>
        <v>3342.14</v>
      </c>
      <c r="H13" s="7">
        <f>ROUND(IFERROR(1000*('Entity Inputs'!W6+'Entity Inputs'!Y6)/'Entity Inputs'!N6,0),2)</f>
        <v>3110.33</v>
      </c>
      <c r="I13" s="7">
        <f>ROUND(IFERROR(1000*('Entity Inputs'!W7+'Entity Inputs'!Y7)/'Entity Inputs'!N7,0),2)</f>
        <v>2970.25</v>
      </c>
      <c r="J13" s="7">
        <f>ROUND(IFERROR(1000*('Entity Inputs'!W8+'Entity Inputs'!Y8)/'Entity Inputs'!N8,0),2)</f>
        <v>3165.65</v>
      </c>
      <c r="K13" s="7">
        <f>ROUND(IFERROR(1000*('Entity Inputs'!W9+'Entity Inputs'!Y9)/'Entity Inputs'!N9,0),2)</f>
        <v>2853.05</v>
      </c>
      <c r="L13" s="7">
        <f>ROUND(IFERROR(1000*('Entity Inputs'!W10+'Entity Inputs'!Y10)/'Entity Inputs'!N10,0),2)</f>
        <v>3063.68</v>
      </c>
      <c r="M13" s="7">
        <f>ROUND(IFERROR(1000*('Entity Inputs'!W11+'Entity Inputs'!Y11)/'Entity Inputs'!N11,0),2)</f>
        <v>2968.85</v>
      </c>
      <c r="N13" s="7">
        <f>ROUND(IFERROR(1000*('Entity Inputs'!W12+'Entity Inputs'!Y12)/'Entity Inputs'!N12,0),2)</f>
        <v>3221.31</v>
      </c>
      <c r="O13" s="7">
        <f>ROUND(IFERROR(1000*('Entity Inputs'!W13+'Entity Inputs'!Y13)/'Entity Inputs'!N13,0),2)</f>
        <v>3234.21</v>
      </c>
      <c r="P13" s="7">
        <f>ROUND(IFERROR(1000*('Entity Inputs'!W14+'Entity Inputs'!Y14)/'Entity Inputs'!N14,0),2)</f>
        <v>3163.82</v>
      </c>
      <c r="Q13" s="7">
        <f>ROUND(IFERROR(1000*('Entity Inputs'!W15+'Entity Inputs'!Y15)/'Entity Inputs'!N15,0),2)</f>
        <v>3016.5</v>
      </c>
    </row>
    <row r="14" spans="1:17">
      <c r="A14" s="6" t="s">
        <v>492</v>
      </c>
      <c r="B14" s="6" t="s">
        <v>493</v>
      </c>
      <c r="C14" s="6" t="s">
        <v>494</v>
      </c>
      <c r="D14" s="6" t="s">
        <v>25</v>
      </c>
      <c r="E14" s="6" t="s">
        <v>493</v>
      </c>
      <c r="F14" s="7">
        <f>ROUND('Entity Inputs'!W4,2)</f>
        <v>969684.7</v>
      </c>
      <c r="G14" s="7">
        <f>ROUND('Entity Inputs'!W5,2)</f>
        <v>1003677.6</v>
      </c>
      <c r="H14" s="7">
        <f>ROUND('Entity Inputs'!W6,2)</f>
        <v>936612.8</v>
      </c>
      <c r="I14" s="7">
        <f>ROUND('Entity Inputs'!W7,2)</f>
        <v>953215.4</v>
      </c>
      <c r="J14" s="7">
        <f>ROUND('Entity Inputs'!W8,2)</f>
        <v>985820.0</v>
      </c>
      <c r="K14" s="7">
        <f>ROUND('Entity Inputs'!W9,2)</f>
        <v>900069.4</v>
      </c>
      <c r="L14" s="7">
        <f>ROUND('Entity Inputs'!W10,2)</f>
        <v>941704.0</v>
      </c>
      <c r="M14" s="7">
        <f>ROUND('Entity Inputs'!W11,2)</f>
        <v>853640.3</v>
      </c>
      <c r="N14" s="7">
        <f>ROUND('Entity Inputs'!W12,2)</f>
        <v>950150.4</v>
      </c>
      <c r="O14" s="7">
        <f>ROUND('Entity Inputs'!W13,2)</f>
        <v>1017013.0</v>
      </c>
      <c r="P14" s="7">
        <f>ROUND('Entity Inputs'!W14,2)</f>
        <v>940259.2</v>
      </c>
      <c r="Q14" s="7">
        <f>ROUND('Entity Inputs'!W15,2)</f>
        <v>927755.4</v>
      </c>
    </row>
    <row r="15" spans="1:17">
      <c r="A15" s="6" t="s">
        <v>495</v>
      </c>
      <c r="B15" s="6" t="s">
        <v>496</v>
      </c>
      <c r="C15" s="6" t="s">
        <v>494</v>
      </c>
      <c r="D15" s="6" t="s">
        <v>25</v>
      </c>
      <c r="E15" s="6" t="s">
        <v>496</v>
      </c>
      <c r="F15" s="7">
        <f>ROUND('Entity Inputs'!X4,2)</f>
        <v>232897.8</v>
      </c>
      <c r="G15" s="7">
        <f>ROUND('Entity Inputs'!X5,2)</f>
        <v>266120.6</v>
      </c>
      <c r="H15" s="7">
        <f>ROUND('Entity Inputs'!X6,2)</f>
        <v>240228.4</v>
      </c>
      <c r="I15" s="7">
        <f>ROUND('Entity Inputs'!X7,2)</f>
        <v>250507.4</v>
      </c>
      <c r="J15" s="7">
        <f>ROUND('Entity Inputs'!X8,2)</f>
        <v>298298.6</v>
      </c>
      <c r="K15" s="7">
        <f>ROUND('Entity Inputs'!X9,2)</f>
        <v>218672.4</v>
      </c>
      <c r="L15" s="7">
        <f>ROUND('Entity Inputs'!X10,2)</f>
        <v>257432.7</v>
      </c>
      <c r="M15" s="7">
        <f>ROUND('Entity Inputs'!X11,2)</f>
        <v>226229.6</v>
      </c>
      <c r="N15" s="7">
        <f>ROUND('Entity Inputs'!X12,2)</f>
        <v>274625.0</v>
      </c>
      <c r="O15" s="7">
        <f>ROUND('Entity Inputs'!X13,2)</f>
        <v>313616.8</v>
      </c>
      <c r="P15" s="7">
        <f>ROUND('Entity Inputs'!X14,2)</f>
        <v>246610.1</v>
      </c>
      <c r="Q15" s="7">
        <f>ROUND('Entity Inputs'!X15,2)</f>
        <v>240696.9</v>
      </c>
    </row>
    <row r="16" spans="1:17">
      <c r="A16" s="6" t="s">
        <v>497</v>
      </c>
      <c r="B16" s="6" t="s">
        <v>498</v>
      </c>
      <c r="C16" s="6" t="s">
        <v>499</v>
      </c>
      <c r="D16" s="6" t="s">
        <v>25</v>
      </c>
      <c r="E16" s="6" t="s">
        <v>500</v>
      </c>
      <c r="F16" s="7">
        <f>ROUND('Entity Inputs'!Z4,2)</f>
        <v>663733.0</v>
      </c>
      <c r="G16" s="7">
        <f>ROUND('Entity Inputs'!Z5,2)</f>
        <v>702326.0</v>
      </c>
      <c r="H16" s="7">
        <f>ROUND('Entity Inputs'!Z6,2)</f>
        <v>622781.0</v>
      </c>
      <c r="I16" s="7">
        <f>ROUND('Entity Inputs'!Z7,2)</f>
        <v>738476.0</v>
      </c>
      <c r="J16" s="7">
        <f>ROUND('Entity Inputs'!Z8,2)</f>
        <v>673374.0</v>
      </c>
      <c r="K16" s="7">
        <f>ROUND('Entity Inputs'!Z9,2)</f>
        <v>741310.0</v>
      </c>
      <c r="L16" s="7">
        <f>ROUND('Entity Inputs'!Z10,2)</f>
        <v>688999.0</v>
      </c>
      <c r="M16" s="7">
        <f>ROUND('Entity Inputs'!Z11,2)</f>
        <v>579740.0</v>
      </c>
      <c r="N16" s="7">
        <f>ROUND('Entity Inputs'!Z12,2)</f>
        <v>622878.0</v>
      </c>
      <c r="O16" s="7">
        <f>ROUND('Entity Inputs'!Z13,2)</f>
        <v>660802.0</v>
      </c>
      <c r="P16" s="7">
        <f>ROUND('Entity Inputs'!Z14,2)</f>
        <v>690325.0</v>
      </c>
      <c r="Q16" s="7">
        <f>ROUND('Entity Inputs'!Z15,2)</f>
        <v>708831.0</v>
      </c>
    </row>
    <row r="17" spans="1:17">
      <c r="A17" s="6" t="s">
        <v>501</v>
      </c>
      <c r="B17" s="6" t="s">
        <v>502</v>
      </c>
      <c r="C17" s="6" t="s">
        <v>503</v>
      </c>
      <c r="D17" s="6" t="s">
        <v>25</v>
      </c>
      <c r="E17" s="6" t="s">
        <v>502</v>
      </c>
      <c r="F17" s="7">
        <f>ROUND('Entity Inputs'!AA4,2)</f>
        <v>230681.0</v>
      </c>
      <c r="G17" s="7">
        <f>ROUND('Entity Inputs'!AA5,2)</f>
        <v>188840.0</v>
      </c>
      <c r="H17" s="7">
        <f>ROUND('Entity Inputs'!AA6,2)</f>
        <v>188173.0</v>
      </c>
      <c r="I17" s="7">
        <f>ROUND('Entity Inputs'!AA7,2)</f>
        <v>190291.0</v>
      </c>
      <c r="J17" s="7">
        <f>ROUND('Entity Inputs'!AA8,2)</f>
        <v>216415.0</v>
      </c>
      <c r="K17" s="7">
        <f>ROUND('Entity Inputs'!AA9,2)</f>
        <v>219505.0</v>
      </c>
      <c r="L17" s="7">
        <f>ROUND('Entity Inputs'!AA10,2)</f>
        <v>194946.0</v>
      </c>
      <c r="M17" s="7">
        <f>ROUND('Entity Inputs'!AA11,2)</f>
        <v>193553.0</v>
      </c>
      <c r="N17" s="7">
        <f>ROUND('Entity Inputs'!AA12,2)</f>
        <v>185948.0</v>
      </c>
      <c r="O17" s="7">
        <f>ROUND('Entity Inputs'!AA13,2)</f>
        <v>207095.0</v>
      </c>
      <c r="P17" s="7">
        <f>ROUND('Entity Inputs'!AA14,2)</f>
        <v>193997.0</v>
      </c>
      <c r="Q17" s="7">
        <f>ROUND('Entity Inputs'!AA15,2)</f>
        <v>208159.0</v>
      </c>
    </row>
    <row r="18" spans="1:17">
      <c r="A18" s="6" t="s">
        <v>504</v>
      </c>
      <c r="B18" s="6" t="s">
        <v>505</v>
      </c>
      <c r="C18" s="6" t="s">
        <v>506</v>
      </c>
      <c r="D18" s="6" t="s">
        <v>25</v>
      </c>
      <c r="E18" s="6" t="s">
        <v>507</v>
      </c>
      <c r="F18" s="7">
        <f>ROUND(IFERROR('Entity Inputs'!AB4/'Entity Inputs'!N4,0),2)</f>
        <v>3.34</v>
      </c>
      <c r="G18" s="7">
        <f>ROUND(IFERROR('Entity Inputs'!AB5/'Entity Inputs'!N5,0),2)</f>
        <v>3.34</v>
      </c>
      <c r="H18" s="7">
        <f>ROUND(IFERROR('Entity Inputs'!AB6/'Entity Inputs'!N6,0),2)</f>
        <v>3.27</v>
      </c>
      <c r="I18" s="7">
        <f>ROUND(IFERROR('Entity Inputs'!AB7/'Entity Inputs'!N7,0),2)</f>
        <v>3.33</v>
      </c>
      <c r="J18" s="7">
        <f>ROUND(IFERROR('Entity Inputs'!AB8/'Entity Inputs'!N8,0),2)</f>
        <v>3.6</v>
      </c>
      <c r="K18" s="7">
        <f>ROUND(IFERROR('Entity Inputs'!AB9/'Entity Inputs'!N9,0),2)</f>
        <v>3.61</v>
      </c>
      <c r="L18" s="7">
        <f>ROUND(IFERROR('Entity Inputs'!AB10/'Entity Inputs'!N10,0),2)</f>
        <v>3.41</v>
      </c>
      <c r="M18" s="7">
        <f>ROUND(IFERROR('Entity Inputs'!AB11/'Entity Inputs'!N11,0),2)</f>
        <v>3.02</v>
      </c>
      <c r="N18" s="7">
        <f>ROUND(IFERROR('Entity Inputs'!AB12/'Entity Inputs'!N12,0),2)</f>
        <v>3.25</v>
      </c>
      <c r="O18" s="7">
        <f>ROUND(IFERROR('Entity Inputs'!AB13/'Entity Inputs'!N13,0),2)</f>
        <v>3.18</v>
      </c>
      <c r="P18" s="7">
        <f>ROUND(IFERROR('Entity Inputs'!AB14/'Entity Inputs'!N14,0),2)</f>
        <v>3.43</v>
      </c>
      <c r="Q18" s="7">
        <f>ROUND(IFERROR('Entity Inputs'!AB15/'Entity Inputs'!N15,0),2)</f>
        <v>3.23</v>
      </c>
    </row>
    <row r="19" spans="1:17">
      <c r="A19" s="6" t="s">
        <v>508</v>
      </c>
      <c r="B19" s="6" t="s">
        <v>509</v>
      </c>
      <c r="C19" s="6" t="s">
        <v>483</v>
      </c>
      <c r="D19" s="6" t="s">
        <v>25</v>
      </c>
      <c r="E19" s="6" t="s">
        <v>509</v>
      </c>
      <c r="F19" s="7">
        <f>ROUND('Entity Inputs'!AC4,2)</f>
        <v>25809.0</v>
      </c>
      <c r="G19" s="7">
        <f>ROUND('Entity Inputs'!AC5,2)</f>
        <v>43812.0</v>
      </c>
      <c r="H19" s="7">
        <f>ROUND('Entity Inputs'!AC6,2)</f>
        <v>49614.0</v>
      </c>
      <c r="I19" s="7">
        <f>ROUND('Entity Inputs'!AC7,2)</f>
        <v>30407.0</v>
      </c>
      <c r="J19" s="7">
        <f>ROUND('Entity Inputs'!AC8,2)</f>
        <v>38187.0</v>
      </c>
      <c r="K19" s="7">
        <f>ROUND('Entity Inputs'!AC9,2)</f>
        <v>30930.0</v>
      </c>
      <c r="L19" s="7">
        <f>ROUND('Entity Inputs'!AC10,2)</f>
        <v>2688.0</v>
      </c>
      <c r="M19" s="7">
        <f>ROUND('Entity Inputs'!AC11,2)</f>
        <v>12058.0</v>
      </c>
      <c r="N19" s="7">
        <f>ROUND('Entity Inputs'!AC12,2)</f>
        <v>22567.0</v>
      </c>
      <c r="O19" s="7">
        <f>ROUND('Entity Inputs'!AC13,2)</f>
        <v>8120.0</v>
      </c>
      <c r="P19" s="7">
        <f>ROUND('Entity Inputs'!AC14,2)</f>
        <v>6633.0</v>
      </c>
      <c r="Q19" s="7">
        <f>ROUND('Entity Inputs'!AC15,2)</f>
        <v>5880.0</v>
      </c>
    </row>
    <row r="20" spans="1:17">
      <c r="A20" s="6" t="s">
        <v>510</v>
      </c>
      <c r="B20" s="6" t="s">
        <v>511</v>
      </c>
      <c r="C20" s="6" t="s">
        <v>512</v>
      </c>
      <c r="D20" s="6" t="s">
        <v>25</v>
      </c>
      <c r="E20" s="6" t="s">
        <v>513</v>
      </c>
      <c r="F20" s="7">
        <f>ROUND('Entity Inputs'!AD4,2)</f>
        <v>4.0</v>
      </c>
      <c r="G20" s="7">
        <f>ROUND('Entity Inputs'!AD5,2)</f>
        <v>6.0</v>
      </c>
      <c r="H20" s="7">
        <f>ROUND('Entity Inputs'!AD6,2)</f>
        <v>5.0</v>
      </c>
      <c r="I20" s="7">
        <f>ROUND('Entity Inputs'!AD7,2)</f>
        <v>2.0</v>
      </c>
      <c r="J20" s="7">
        <f>ROUND('Entity Inputs'!AD8,2)</f>
        <v>7.0</v>
      </c>
      <c r="K20" s="7">
        <f>ROUND('Entity Inputs'!AD9,2)</f>
        <v>5.0</v>
      </c>
      <c r="L20" s="7">
        <f>ROUND('Entity Inputs'!AD10,2)</f>
        <v>4.0</v>
      </c>
      <c r="M20" s="7">
        <f>ROUND('Entity Inputs'!AD11,2)</f>
        <v>0.0</v>
      </c>
      <c r="N20" s="7">
        <f>ROUND('Entity Inputs'!AD12,2)</f>
        <v>4.0</v>
      </c>
      <c r="O20" s="7">
        <f>ROUND('Entity Inputs'!AD13,2)</f>
        <v>1.0</v>
      </c>
      <c r="P20" s="7">
        <f>ROUND('Entity Inputs'!AD14,2)</f>
        <v>4.0</v>
      </c>
      <c r="Q20" s="7">
        <f>ROUND('Entity Inputs'!AD15,2)</f>
        <v>2.0</v>
      </c>
    </row>
    <row r="21" spans="1:17">
      <c r="A21" s="6" t="s">
        <v>514</v>
      </c>
      <c r="B21" s="6" t="s">
        <v>515</v>
      </c>
      <c r="C21" s="6" t="s">
        <v>512</v>
      </c>
      <c r="D21" s="6" t="s">
        <v>25</v>
      </c>
      <c r="E21" s="6" t="s">
        <v>516</v>
      </c>
      <c r="F21" s="7">
        <f>ROUND('Entity Inputs'!AP4,2)</f>
        <v>1.0</v>
      </c>
      <c r="G21" s="7">
        <f>ROUND('Entity Inputs'!AP5,2)</f>
        <v>0.0</v>
      </c>
      <c r="H21" s="7">
        <f>ROUND('Entity Inputs'!AP6,2)</f>
        <v>1.0</v>
      </c>
      <c r="I21" s="7">
        <f>ROUND('Entity Inputs'!AP7,2)</f>
        <v>2.0</v>
      </c>
      <c r="J21" s="7">
        <f>ROUND('Entity Inputs'!AP8,2)</f>
        <v>3.0</v>
      </c>
      <c r="K21" s="7">
        <f>ROUND('Entity Inputs'!AP9,2)</f>
        <v>4.0</v>
      </c>
      <c r="L21" s="7">
        <f>ROUND('Entity Inputs'!AP10,2)</f>
        <v>2.0</v>
      </c>
      <c r="M21" s="7">
        <f>ROUND('Entity Inputs'!AP11,2)</f>
        <v>3.0</v>
      </c>
      <c r="N21" s="7">
        <f>ROUND('Entity Inputs'!AP12,2)</f>
        <v>0.0</v>
      </c>
      <c r="O21" s="7">
        <f>ROUND('Entity Inputs'!AP13,2)</f>
        <v>4.0</v>
      </c>
      <c r="P21" s="7">
        <f>ROUND('Entity Inputs'!AP14,2)</f>
        <v>3.0</v>
      </c>
      <c r="Q21" s="7">
        <f>ROUND('Entity Inputs'!AP15,2)</f>
        <v>1.0</v>
      </c>
    </row>
    <row r="22" spans="1:17">
      <c r="A22" s="6" t="s">
        <v>517</v>
      </c>
      <c r="B22" s="6" t="s">
        <v>518</v>
      </c>
      <c r="C22" s="6" t="s">
        <v>455</v>
      </c>
      <c r="D22" s="6" t="s">
        <v>25</v>
      </c>
      <c r="E22" s="6" t="s">
        <v>519</v>
      </c>
      <c r="F22" s="7">
        <f>ROUND(IFERROR(100*'Entity Inputs'!AR4/'Entity Inputs'!AQ4,0),2)</f>
        <v>5.26</v>
      </c>
      <c r="G22" s="7">
        <f>ROUND(IFERROR(100*'Entity Inputs'!AR5/'Entity Inputs'!AQ5,0),2)</f>
        <v>6.3</v>
      </c>
      <c r="H22" s="7">
        <f>ROUND(IFERROR(100*'Entity Inputs'!AR6/'Entity Inputs'!AQ6,0),2)</f>
        <v>8.6</v>
      </c>
      <c r="I22" s="7">
        <f>ROUND(IFERROR(100*'Entity Inputs'!AR7/'Entity Inputs'!AQ7,0),2)</f>
        <v>7.61</v>
      </c>
      <c r="J22" s="7">
        <f>ROUND(IFERROR(100*'Entity Inputs'!AR8/'Entity Inputs'!AQ8,0),2)</f>
        <v>10.09</v>
      </c>
      <c r="K22" s="7">
        <f>ROUND(IFERROR(100*'Entity Inputs'!AR9/'Entity Inputs'!AQ9,0),2)</f>
        <v>10.91</v>
      </c>
      <c r="L22" s="7">
        <f>ROUND(IFERROR(100*'Entity Inputs'!AR10/'Entity Inputs'!AQ10,0),2)</f>
        <v>6.6</v>
      </c>
      <c r="M22" s="7">
        <f>ROUND(IFERROR(100*'Entity Inputs'!AR11/'Entity Inputs'!AQ11,0),2)</f>
        <v>8.19</v>
      </c>
      <c r="N22" s="7">
        <f>ROUND(IFERROR(100*'Entity Inputs'!AR12/'Entity Inputs'!AQ12,0),2)</f>
        <v>6.48</v>
      </c>
      <c r="O22" s="7">
        <f>ROUND(IFERROR(100*'Entity Inputs'!AR13/'Entity Inputs'!AQ13,0),2)</f>
        <v>8.33</v>
      </c>
      <c r="P22" s="7">
        <f>ROUND(IFERROR(100*'Entity Inputs'!AR14/'Entity Inputs'!AQ14,0),2)</f>
        <v>5.82</v>
      </c>
      <c r="Q22" s="7">
        <f>ROUND(IFERROR(100*'Entity Inputs'!AR15/'Entity Inputs'!AQ15,0),2)</f>
        <v>6.1</v>
      </c>
    </row>
    <row r="23" spans="1:17">
      <c r="A23" s="6" t="s">
        <v>520</v>
      </c>
      <c r="B23" s="6" t="s">
        <v>521</v>
      </c>
      <c r="C23" s="6" t="s">
        <v>512</v>
      </c>
      <c r="D23" s="6" t="s">
        <v>25</v>
      </c>
      <c r="E23" s="6" t="s">
        <v>521</v>
      </c>
      <c r="F23" s="7">
        <f>ROUND('Entity Inputs'!AK4,2)</f>
        <v>0.0</v>
      </c>
      <c r="G23" s="7">
        <f>ROUND('Entity Inputs'!AK5,2)</f>
        <v>0.0</v>
      </c>
      <c r="H23" s="7">
        <f>ROUND('Entity Inputs'!AK6,2)</f>
        <v>0.0</v>
      </c>
      <c r="I23" s="7">
        <f>ROUND('Entity Inputs'!AK7,2)</f>
        <v>0.0</v>
      </c>
      <c r="J23" s="7">
        <f>ROUND('Entity Inputs'!AK8,2)</f>
        <v>0.0</v>
      </c>
      <c r="K23" s="7">
        <f>ROUND('Entity Inputs'!AK9,2)</f>
        <v>0.0</v>
      </c>
      <c r="L23" s="7">
        <f>ROUND('Entity Inputs'!AK10,2)</f>
        <v>1.0</v>
      </c>
      <c r="M23" s="7">
        <f>ROUND('Entity Inputs'!AK11,2)</f>
        <v>0.0</v>
      </c>
      <c r="N23" s="7">
        <f>ROUND('Entity Inputs'!AK12,2)</f>
        <v>1.0</v>
      </c>
      <c r="O23" s="7">
        <f>ROUND('Entity Inputs'!AK13,2)</f>
        <v>0.0</v>
      </c>
      <c r="P23" s="7">
        <f>ROUND('Entity Inputs'!AK14,2)</f>
        <v>0.0</v>
      </c>
      <c r="Q23" s="7">
        <f>ROUND('Entity Inputs'!AK15,2)</f>
        <v>0.0</v>
      </c>
    </row>
    <row r="24" spans="1:17">
      <c r="A24" s="6" t="s">
        <v>522</v>
      </c>
      <c r="B24" s="6" t="s">
        <v>523</v>
      </c>
      <c r="C24" s="6" t="s">
        <v>524</v>
      </c>
      <c r="D24" s="6" t="s">
        <v>25</v>
      </c>
      <c r="E24" s="6" t="s">
        <v>525</v>
      </c>
      <c r="F24" s="7">
        <f>ROUND(IFERROR(200000*'Entity Inputs'!AF4/'Entity Inputs'!AE4,0),2)</f>
        <v>0.0</v>
      </c>
      <c r="G24" s="7">
        <f>ROUND(IFERROR(200000*'Entity Inputs'!AF5/'Entity Inputs'!AE5,0),2)</f>
        <v>1.9</v>
      </c>
      <c r="H24" s="7">
        <f>ROUND(IFERROR(200000*'Entity Inputs'!AF6/'Entity Inputs'!AE6,0),2)</f>
        <v>2.67</v>
      </c>
      <c r="I24" s="7">
        <f>ROUND(IFERROR(200000*'Entity Inputs'!AF7/'Entity Inputs'!AE7,0),2)</f>
        <v>1.72</v>
      </c>
      <c r="J24" s="7">
        <f>ROUND(IFERROR(200000*'Entity Inputs'!AF8/'Entity Inputs'!AE8,0),2)</f>
        <v>2.07</v>
      </c>
      <c r="K24" s="7">
        <f>ROUND(IFERROR(200000*'Entity Inputs'!AF9/'Entity Inputs'!AE9,0),2)</f>
        <v>0.91</v>
      </c>
      <c r="L24" s="7">
        <f>ROUND(IFERROR(200000*'Entity Inputs'!AF10/'Entity Inputs'!AE10,0),2)</f>
        <v>1.68</v>
      </c>
      <c r="M24" s="7">
        <f>ROUND(IFERROR(200000*'Entity Inputs'!AF11/'Entity Inputs'!AE11,0),2)</f>
        <v>1.85</v>
      </c>
      <c r="N24" s="7">
        <f>ROUND(IFERROR(200000*'Entity Inputs'!AF12/'Entity Inputs'!AE12,0),2)</f>
        <v>1.83</v>
      </c>
      <c r="O24" s="7">
        <f>ROUND(IFERROR(200000*'Entity Inputs'!AF13/'Entity Inputs'!AE13,0),2)</f>
        <v>0.94</v>
      </c>
      <c r="P24" s="7">
        <f>ROUND(IFERROR(200000*'Entity Inputs'!AF14/'Entity Inputs'!AE14,0),2)</f>
        <v>1.03</v>
      </c>
      <c r="Q24" s="7">
        <f>ROUND(IFERROR(200000*'Entity Inputs'!AF15/'Entity Inputs'!AE15,0),2)</f>
        <v>0.0</v>
      </c>
    </row>
    <row r="25" spans="1:17">
      <c r="A25" s="6" t="s">
        <v>526</v>
      </c>
      <c r="B25" s="6" t="s">
        <v>527</v>
      </c>
      <c r="C25" s="6" t="s">
        <v>512</v>
      </c>
      <c r="D25" s="6" t="s">
        <v>25</v>
      </c>
      <c r="E25" s="6" t="s">
        <v>527</v>
      </c>
      <c r="F25" s="7">
        <f>ROUND('Entity Inputs'!AG4,2)</f>
        <v>1.0</v>
      </c>
      <c r="G25" s="7">
        <f>ROUND('Entity Inputs'!AG5,2)</f>
        <v>0.0</v>
      </c>
      <c r="H25" s="7">
        <f>ROUND('Entity Inputs'!AG6,2)</f>
        <v>0.0</v>
      </c>
      <c r="I25" s="7">
        <f>ROUND('Entity Inputs'!AG7,2)</f>
        <v>1.0</v>
      </c>
      <c r="J25" s="7">
        <f>ROUND('Entity Inputs'!AG8,2)</f>
        <v>1.0</v>
      </c>
      <c r="K25" s="7">
        <f>ROUND('Entity Inputs'!AG9,2)</f>
        <v>1.0</v>
      </c>
      <c r="L25" s="7">
        <f>ROUND('Entity Inputs'!AG10,2)</f>
        <v>0.0</v>
      </c>
      <c r="M25" s="7">
        <f>ROUND('Entity Inputs'!AG11,2)</f>
        <v>1.0</v>
      </c>
      <c r="N25" s="7">
        <f>ROUND('Entity Inputs'!AG12,2)</f>
        <v>0.0</v>
      </c>
      <c r="O25" s="7">
        <f>ROUND('Entity Inputs'!AG13,2)</f>
        <v>1.0</v>
      </c>
      <c r="P25" s="7">
        <f>ROUND('Entity Inputs'!AG14,2)</f>
        <v>0.0</v>
      </c>
      <c r="Q25" s="7">
        <f>ROUND('Entity Inputs'!AG15,2)</f>
        <v>2.0</v>
      </c>
    </row>
    <row r="26" spans="1:17">
      <c r="A26" s="6" t="s">
        <v>528</v>
      </c>
      <c r="B26" s="6" t="s">
        <v>529</v>
      </c>
      <c r="C26" s="6" t="s">
        <v>512</v>
      </c>
      <c r="D26" s="6" t="s">
        <v>25</v>
      </c>
      <c r="E26" s="6" t="s">
        <v>529</v>
      </c>
      <c r="F26" s="7">
        <f>ROUND('Entity Inputs'!AH4,2)</f>
        <v>21.0</v>
      </c>
      <c r="G26" s="7">
        <f>ROUND('Entity Inputs'!AH5,2)</f>
        <v>18.0</v>
      </c>
      <c r="H26" s="7">
        <f>ROUND('Entity Inputs'!AH6,2)</f>
        <v>22.0</v>
      </c>
      <c r="I26" s="7">
        <f>ROUND('Entity Inputs'!AH7,2)</f>
        <v>19.0</v>
      </c>
      <c r="J26" s="7">
        <f>ROUND('Entity Inputs'!AH8,2)</f>
        <v>19.0</v>
      </c>
      <c r="K26" s="7">
        <f>ROUND('Entity Inputs'!AH9,2)</f>
        <v>20.0</v>
      </c>
      <c r="L26" s="7">
        <f>ROUND('Entity Inputs'!AH10,2)</f>
        <v>18.0</v>
      </c>
      <c r="M26" s="7">
        <f>ROUND('Entity Inputs'!AH11,2)</f>
        <v>28.0</v>
      </c>
      <c r="N26" s="7">
        <f>ROUND('Entity Inputs'!AH12,2)</f>
        <v>22.0</v>
      </c>
      <c r="O26" s="7">
        <f>ROUND('Entity Inputs'!AH13,2)</f>
        <v>13.0</v>
      </c>
      <c r="P26" s="7">
        <f>ROUND('Entity Inputs'!AH14,2)</f>
        <v>23.0</v>
      </c>
      <c r="Q26" s="7">
        <f>ROUND('Entity Inputs'!AH15,2)</f>
        <v>21.0</v>
      </c>
    </row>
    <row r="27" spans="1:17">
      <c r="A27" s="6" t="s">
        <v>530</v>
      </c>
      <c r="B27" s="6" t="s">
        <v>531</v>
      </c>
      <c r="C27" s="6" t="s">
        <v>512</v>
      </c>
      <c r="D27" s="6" t="s">
        <v>25</v>
      </c>
      <c r="E27" s="6" t="s">
        <v>531</v>
      </c>
      <c r="F27" s="7">
        <f>ROUND('Entity Inputs'!AI4,2)</f>
        <v>0.0</v>
      </c>
      <c r="G27" s="7">
        <f>ROUND('Entity Inputs'!AI5,2)</f>
        <v>0.0</v>
      </c>
      <c r="H27" s="7">
        <f>ROUND('Entity Inputs'!AI6,2)</f>
        <v>0.0</v>
      </c>
      <c r="I27" s="7">
        <f>ROUND('Entity Inputs'!AI7,2)</f>
        <v>0.0</v>
      </c>
      <c r="J27" s="7">
        <f>ROUND('Entity Inputs'!AI8,2)</f>
        <v>1.0</v>
      </c>
      <c r="K27" s="7">
        <f>ROUND('Entity Inputs'!AI9,2)</f>
        <v>0.0</v>
      </c>
      <c r="L27" s="7">
        <f>ROUND('Entity Inputs'!AI10,2)</f>
        <v>0.0</v>
      </c>
      <c r="M27" s="7">
        <f>ROUND('Entity Inputs'!AI11,2)</f>
        <v>1.0</v>
      </c>
      <c r="N27" s="7">
        <f>ROUND('Entity Inputs'!AI12,2)</f>
        <v>0.0</v>
      </c>
      <c r="O27" s="7">
        <f>ROUND('Entity Inputs'!AI13,2)</f>
        <v>0.0</v>
      </c>
      <c r="P27" s="7">
        <f>ROUND('Entity Inputs'!AI14,2)</f>
        <v>0.0</v>
      </c>
      <c r="Q27" s="7">
        <f>ROUND('Entity Inputs'!AI15,2)</f>
        <v>0.0</v>
      </c>
    </row>
    <row r="28" spans="1:17">
      <c r="A28" s="6" t="s">
        <v>532</v>
      </c>
      <c r="B28" s="6" t="s">
        <v>533</v>
      </c>
      <c r="C28" s="6" t="s">
        <v>512</v>
      </c>
      <c r="D28" s="6" t="s">
        <v>25</v>
      </c>
      <c r="E28" s="6" t="s">
        <v>533</v>
      </c>
      <c r="F28" s="7">
        <f>ROUND('Entity Inputs'!AJ4,2)</f>
        <v>1.0</v>
      </c>
      <c r="G28" s="7">
        <f>ROUND('Entity Inputs'!AJ5,2)</f>
        <v>1.0</v>
      </c>
      <c r="H28" s="7">
        <f>ROUND('Entity Inputs'!AJ6,2)</f>
        <v>1.0</v>
      </c>
      <c r="I28" s="7">
        <f>ROUND('Entity Inputs'!AJ7,2)</f>
        <v>2.0</v>
      </c>
      <c r="J28" s="7">
        <f>ROUND('Entity Inputs'!AJ8,2)</f>
        <v>0.0</v>
      </c>
      <c r="K28" s="7">
        <f>ROUND('Entity Inputs'!AJ9,2)</f>
        <v>1.0</v>
      </c>
      <c r="L28" s="7">
        <f>ROUND('Entity Inputs'!AJ10,2)</f>
        <v>1.0</v>
      </c>
      <c r="M28" s="7">
        <f>ROUND('Entity Inputs'!AJ11,2)</f>
        <v>0.0</v>
      </c>
      <c r="N28" s="7">
        <f>ROUND('Entity Inputs'!AJ12,2)</f>
        <v>0.0</v>
      </c>
      <c r="O28" s="7">
        <f>ROUND('Entity Inputs'!AJ13,2)</f>
        <v>1.0</v>
      </c>
      <c r="P28" s="7">
        <f>ROUND('Entity Inputs'!AJ14,2)</f>
        <v>1.0</v>
      </c>
      <c r="Q28" s="7">
        <f>ROUND('Entity Inputs'!AJ15,2)</f>
        <v>1.0</v>
      </c>
    </row>
    <row r="29" spans="1:17">
      <c r="A29" s="6" t="s">
        <v>534</v>
      </c>
      <c r="B29" s="6" t="s">
        <v>535</v>
      </c>
      <c r="C29" s="6" t="s">
        <v>512</v>
      </c>
      <c r="D29" s="6" t="s">
        <v>25</v>
      </c>
      <c r="E29" s="6" t="s">
        <v>535</v>
      </c>
      <c r="F29" s="7">
        <f>ROUND('Entity Inputs'!AL4,2)</f>
        <v>25.0</v>
      </c>
      <c r="G29" s="7">
        <f>ROUND('Entity Inputs'!AL5,2)</f>
        <v>26.0</v>
      </c>
      <c r="H29" s="7">
        <f>ROUND('Entity Inputs'!AL6,2)</f>
        <v>23.0</v>
      </c>
      <c r="I29" s="7">
        <f>ROUND('Entity Inputs'!AL7,2)</f>
        <v>24.0</v>
      </c>
      <c r="J29" s="7">
        <f>ROUND('Entity Inputs'!AL8,2)</f>
        <v>18.0</v>
      </c>
      <c r="K29" s="7">
        <f>ROUND('Entity Inputs'!AL9,2)</f>
        <v>28.0</v>
      </c>
      <c r="L29" s="7">
        <f>ROUND('Entity Inputs'!AL10,2)</f>
        <v>35.0</v>
      </c>
      <c r="M29" s="7">
        <f>ROUND('Entity Inputs'!AL11,2)</f>
        <v>32.0</v>
      </c>
      <c r="N29" s="7">
        <f>ROUND('Entity Inputs'!AL12,2)</f>
        <v>22.0</v>
      </c>
      <c r="O29" s="7">
        <f>ROUND('Entity Inputs'!AL13,2)</f>
        <v>36.0</v>
      </c>
      <c r="P29" s="7">
        <f>ROUND('Entity Inputs'!AL14,2)</f>
        <v>26.0</v>
      </c>
      <c r="Q29" s="7">
        <f>ROUND('Entity Inputs'!AL15,2)</f>
        <v>17.0</v>
      </c>
    </row>
    <row r="30" spans="1:17">
      <c r="A30" s="6" t="s">
        <v>536</v>
      </c>
      <c r="B30" s="6" t="s">
        <v>537</v>
      </c>
      <c r="C30" s="6" t="s">
        <v>512</v>
      </c>
      <c r="D30" s="6" t="s">
        <v>25</v>
      </c>
      <c r="E30" s="6" t="s">
        <v>538</v>
      </c>
      <c r="F30" s="7">
        <f>ROUND('Entity Inputs'!AM4,2)</f>
        <v>7.0</v>
      </c>
      <c r="G30" s="7">
        <f>ROUND('Entity Inputs'!AM5,2)</f>
        <v>5.0</v>
      </c>
      <c r="H30" s="7">
        <f>ROUND('Entity Inputs'!AM6,2)</f>
        <v>4.0</v>
      </c>
      <c r="I30" s="7">
        <f>ROUND('Entity Inputs'!AM7,2)</f>
        <v>5.0</v>
      </c>
      <c r="J30" s="7">
        <f>ROUND('Entity Inputs'!AM8,2)</f>
        <v>1.0</v>
      </c>
      <c r="K30" s="7">
        <f>ROUND('Entity Inputs'!AM9,2)</f>
        <v>7.0</v>
      </c>
      <c r="L30" s="7">
        <f>ROUND('Entity Inputs'!AM10,2)</f>
        <v>5.0</v>
      </c>
      <c r="M30" s="7">
        <f>ROUND('Entity Inputs'!AM11,2)</f>
        <v>9.0</v>
      </c>
      <c r="N30" s="7">
        <f>ROUND('Entity Inputs'!AM12,2)</f>
        <v>4.0</v>
      </c>
      <c r="O30" s="7">
        <f>ROUND('Entity Inputs'!AM13,2)</f>
        <v>7.0</v>
      </c>
      <c r="P30" s="7">
        <f>ROUND('Entity Inputs'!AM14,2)</f>
        <v>2.0</v>
      </c>
      <c r="Q30" s="7">
        <f>ROUND('Entity Inputs'!AM15,2)</f>
        <v>2.0</v>
      </c>
    </row>
    <row r="31" spans="1:17">
      <c r="A31" s="6" t="s">
        <v>539</v>
      </c>
      <c r="B31" s="6" t="s">
        <v>540</v>
      </c>
      <c r="C31" s="6" t="s">
        <v>455</v>
      </c>
      <c r="D31" s="6" t="s">
        <v>25</v>
      </c>
      <c r="E31" s="6" t="s">
        <v>541</v>
      </c>
      <c r="F31" s="7">
        <f>ROUND(IF('Entity Inputs'!AN4=0,100,100*'Entity Inputs'!AO4/'Entity Inputs'!AN4),2)</f>
        <v>75.0</v>
      </c>
      <c r="G31" s="7">
        <f>ROUND(IF('Entity Inputs'!AN5=0,100,100*'Entity Inputs'!AO5/'Entity Inputs'!AN5),2)</f>
        <v>100.0</v>
      </c>
      <c r="H31" s="7">
        <f>ROUND(IF('Entity Inputs'!AN6=0,100,100*'Entity Inputs'!AO6/'Entity Inputs'!AN6),2)</f>
        <v>75.0</v>
      </c>
      <c r="I31" s="7">
        <f>ROUND(IF('Entity Inputs'!AN7=0,100,100*'Entity Inputs'!AO7/'Entity Inputs'!AN7),2)</f>
        <v>100.0</v>
      </c>
      <c r="J31" s="7">
        <f>ROUND(IF('Entity Inputs'!AN8=0,100,100*'Entity Inputs'!AO8/'Entity Inputs'!AN8),2)</f>
        <v>66.67</v>
      </c>
      <c r="K31" s="7">
        <f>ROUND(IF('Entity Inputs'!AN9=0,100,100*'Entity Inputs'!AO9/'Entity Inputs'!AN9),2)</f>
        <v>75.0</v>
      </c>
      <c r="L31" s="7">
        <f>ROUND(IF('Entity Inputs'!AN10=0,100,100*'Entity Inputs'!AO10/'Entity Inputs'!AN10),2)</f>
        <v>60.0</v>
      </c>
      <c r="M31" s="7">
        <f>ROUND(IF('Entity Inputs'!AN11=0,100,100*'Entity Inputs'!AO11/'Entity Inputs'!AN11),2)</f>
        <v>100.0</v>
      </c>
      <c r="N31" s="7">
        <f>ROUND(IF('Entity Inputs'!AN12=0,100,100*'Entity Inputs'!AO12/'Entity Inputs'!AN12),2)</f>
        <v>100.0</v>
      </c>
      <c r="O31" s="7">
        <f>ROUND(IF('Entity Inputs'!AN13=0,100,100*'Entity Inputs'!AO13/'Entity Inputs'!AN13),2)</f>
        <v>66.67</v>
      </c>
      <c r="P31" s="7">
        <f>ROUND(IF('Entity Inputs'!AN14=0,100,100*'Entity Inputs'!AO14/'Entity Inputs'!AN14),2)</f>
        <v>100.0</v>
      </c>
      <c r="Q31" s="7">
        <f>ROUND(IF('Entity Inputs'!AN15=0,100,100*'Entity Inputs'!AO15/'Entity Inputs'!AN15),2)</f>
        <v>100.0</v>
      </c>
    </row>
    <row r="32" spans="1:17">
      <c r="A32" s="6" t="s">
        <v>542</v>
      </c>
      <c r="B32" s="6" t="s">
        <v>543</v>
      </c>
      <c r="C32" s="6" t="s">
        <v>28</v>
      </c>
      <c r="D32" s="6" t="s">
        <v>25</v>
      </c>
      <c r="E32" s="6" t="s">
        <v>544</v>
      </c>
      <c r="F32" s="7">
        <f>ROUND('Entity Inputs'!AS4,2)</f>
        <v>215.0</v>
      </c>
      <c r="G32" s="7">
        <f>ROUND('Entity Inputs'!AS5,2)</f>
        <v>185.0</v>
      </c>
      <c r="H32" s="7">
        <f>ROUND('Entity Inputs'!AS6,2)</f>
        <v>155.0</v>
      </c>
      <c r="I32" s="7">
        <f>ROUND('Entity Inputs'!AS7,2)</f>
        <v>125.0</v>
      </c>
      <c r="J32" s="7">
        <f>ROUND('Entity Inputs'!AS8,2)</f>
        <v>95.0</v>
      </c>
      <c r="K32" s="7">
        <f>ROUND('Entity Inputs'!AS9,2)</f>
        <v>65.0</v>
      </c>
      <c r="L32" s="7">
        <f>ROUND('Entity Inputs'!AS10,2)</f>
        <v>252.0</v>
      </c>
      <c r="M32" s="7">
        <f>ROUND('Entity Inputs'!AS11,2)</f>
        <v>222.0</v>
      </c>
      <c r="N32" s="7">
        <f>ROUND('Entity Inputs'!AS12,2)</f>
        <v>192.0</v>
      </c>
      <c r="O32" s="7">
        <f>ROUND('Entity Inputs'!AS13,2)</f>
        <v>162.0</v>
      </c>
      <c r="P32" s="7">
        <f>ROUND('Entity Inputs'!AS14,2)</f>
        <v>132.0</v>
      </c>
      <c r="Q32" s="7">
        <f>ROUND('Entity Inputs'!AS15,2)</f>
        <v>102.0</v>
      </c>
    </row>
    <row r="33" spans="1:17">
      <c r="A33" s="6" t="s">
        <v>545</v>
      </c>
      <c r="B33" s="6" t="s">
        <v>546</v>
      </c>
      <c r="C33" s="6" t="s">
        <v>455</v>
      </c>
      <c r="D33" s="6" t="s">
        <v>25</v>
      </c>
      <c r="E33" s="6" t="s">
        <v>459</v>
      </c>
      <c r="F33" s="7">
        <f>ROUND(IFERROR(100*'Entity Inputs'!N4/'Entity Inputs'!K4,0),2)</f>
        <v>80.9</v>
      </c>
      <c r="G33" s="7">
        <f>ROUND(IFERROR(100*'Entity Inputs'!N5/'Entity Inputs'!K5,0),2)</f>
        <v>73.48</v>
      </c>
      <c r="H33" s="7">
        <f>ROUND(IFERROR(100*'Entity Inputs'!N6/'Entity Inputs'!K6,0),2)</f>
        <v>76.11</v>
      </c>
      <c r="I33" s="7">
        <f>ROUND(IFERROR(100*'Entity Inputs'!N7/'Entity Inputs'!K7,0),2)</f>
        <v>78.51</v>
      </c>
      <c r="J33" s="7">
        <f>ROUND(IFERROR(100*'Entity Inputs'!N8/'Entity Inputs'!K8,0),2)</f>
        <v>76.19</v>
      </c>
      <c r="K33" s="7">
        <f>ROUND(IFERROR(100*'Entity Inputs'!N9/'Entity Inputs'!K9,0),2)</f>
        <v>79.8</v>
      </c>
      <c r="L33" s="7">
        <f>ROUND(IFERROR(100*'Entity Inputs'!N10/'Entity Inputs'!K10,0),2)</f>
        <v>87.44</v>
      </c>
      <c r="M33" s="7">
        <f>ROUND(IFERROR(100*'Entity Inputs'!N11/'Entity Inputs'!K11,0),2)</f>
        <v>79.28</v>
      </c>
      <c r="N33" s="7">
        <f>ROUND(IFERROR(100*'Entity Inputs'!N12/'Entity Inputs'!K12,0),2)</f>
        <v>83.9</v>
      </c>
      <c r="O33" s="7">
        <f>ROUND(IFERROR(100*'Entity Inputs'!N13/'Entity Inputs'!K13,0),2)</f>
        <v>86.58</v>
      </c>
      <c r="P33" s="7">
        <f>ROUND(IFERROR(100*'Entity Inputs'!N14/'Entity Inputs'!K14,0),2)</f>
        <v>81.88</v>
      </c>
      <c r="Q33" s="7">
        <f>ROUND(IFERROR(100*'Entity Inputs'!N15/'Entity Inputs'!K15,0),2)</f>
        <v>87.55</v>
      </c>
    </row>
    <row r="34" spans="1:17">
      <c r="A34" s="6" t="s">
        <v>547</v>
      </c>
      <c r="B34" s="6" t="s">
        <v>548</v>
      </c>
      <c r="C34" s="6" t="s">
        <v>455</v>
      </c>
      <c r="D34" s="6" t="s">
        <v>25</v>
      </c>
      <c r="E34" s="6" t="s">
        <v>549</v>
      </c>
      <c r="F34" s="7">
        <f>ROUND(IFERROR(100*'Entity Inputs'!N4/'Entity Inputs'!J4,0),2)</f>
        <v>81.65</v>
      </c>
      <c r="G34" s="7">
        <f>ROUND(IFERROR(100*'Entity Inputs'!N5/'Entity Inputs'!J5,0),2)</f>
        <v>78.4</v>
      </c>
      <c r="H34" s="7">
        <f>ROUND(IFERROR(100*'Entity Inputs'!N6/'Entity Inputs'!J6,0),2)</f>
        <v>76.22</v>
      </c>
      <c r="I34" s="7">
        <f>ROUND(IFERROR(100*'Entity Inputs'!N7/'Entity Inputs'!J7,0),2)</f>
        <v>79.11</v>
      </c>
      <c r="J34" s="7">
        <f>ROUND(IFERROR(100*'Entity Inputs'!N8/'Entity Inputs'!J8,0),2)</f>
        <v>78.73</v>
      </c>
      <c r="K34" s="7">
        <f>ROUND(IFERROR(100*'Entity Inputs'!N9/'Entity Inputs'!J9,0),2)</f>
        <v>80.21</v>
      </c>
      <c r="L34" s="7">
        <f>ROUND(IFERROR(100*'Entity Inputs'!N10/'Entity Inputs'!J10,0),2)</f>
        <v>88.21</v>
      </c>
      <c r="M34" s="7">
        <f>ROUND(IFERROR(100*'Entity Inputs'!N11/'Entity Inputs'!J11,0),2)</f>
        <v>85.07</v>
      </c>
      <c r="N34" s="7">
        <f>ROUND(IFERROR(100*'Entity Inputs'!N12/'Entity Inputs'!J12,0),2)</f>
        <v>84.77</v>
      </c>
      <c r="O34" s="7">
        <f>ROUND(IFERROR(100*'Entity Inputs'!N13/'Entity Inputs'!J13,0),2)</f>
        <v>86.9</v>
      </c>
      <c r="P34" s="7">
        <f>ROUND(IFERROR(100*'Entity Inputs'!N14/'Entity Inputs'!J14,0),2)</f>
        <v>86.21</v>
      </c>
      <c r="Q34" s="7">
        <f>ROUND(IFERROR(100*'Entity Inputs'!N15/'Entity Inputs'!J15,0),2)</f>
        <v>88.44</v>
      </c>
    </row>
    <row r="35" spans="1:17">
      <c r="A35" s="6" t="s">
        <v>550</v>
      </c>
      <c r="B35" s="6" t="s">
        <v>551</v>
      </c>
      <c r="C35" s="6" t="s">
        <v>455</v>
      </c>
      <c r="D35" s="6" t="s">
        <v>25</v>
      </c>
      <c r="E35" s="6" t="s">
        <v>552</v>
      </c>
      <c r="F35" s="7">
        <f>ROUND(IF('Entity Inputs'!AU4=0,0,100*'Entity Inputs'!AT4/'Entity Inputs'!AU4),2)</f>
        <v>91.99</v>
      </c>
      <c r="G35" s="7">
        <f>ROUND(IF('Entity Inputs'!AU5=0,0,100*'Entity Inputs'!AT5/'Entity Inputs'!AU5),2)</f>
        <v>87.48</v>
      </c>
      <c r="H35" s="7">
        <f>ROUND(IF('Entity Inputs'!AU6=0,0,100*'Entity Inputs'!AT6/'Entity Inputs'!AU6),2)</f>
        <v>84.91</v>
      </c>
      <c r="I35" s="7">
        <f>ROUND(IF('Entity Inputs'!AU7=0,0,100*'Entity Inputs'!AT7/'Entity Inputs'!AU7),2)</f>
        <v>90.12</v>
      </c>
      <c r="J35" s="7">
        <f>ROUND(IF('Entity Inputs'!AU8=0,0,100*'Entity Inputs'!AT8/'Entity Inputs'!AU8),2)</f>
        <v>88.9</v>
      </c>
      <c r="K35" s="7">
        <f>ROUND(IF('Entity Inputs'!AU9=0,0,100*'Entity Inputs'!AT9/'Entity Inputs'!AU9),2)</f>
        <v>89.21</v>
      </c>
      <c r="L35" s="7">
        <f>ROUND(IF('Entity Inputs'!AU10=0,0,100*'Entity Inputs'!AT10/'Entity Inputs'!AU10),2)</f>
        <v>99.12</v>
      </c>
      <c r="M35" s="7">
        <f>ROUND(IF('Entity Inputs'!AU11=0,0,100*'Entity Inputs'!AT11/'Entity Inputs'!AU11),2)</f>
        <v>96.44</v>
      </c>
      <c r="N35" s="7">
        <f>ROUND(IF('Entity Inputs'!AU12=0,0,100*'Entity Inputs'!AT12/'Entity Inputs'!AU12),2)</f>
        <v>93.49</v>
      </c>
      <c r="O35" s="7">
        <f>ROUND(IF('Entity Inputs'!AU13=0,0,100*'Entity Inputs'!AT13/'Entity Inputs'!AU13),2)</f>
        <v>98.18</v>
      </c>
      <c r="P35" s="7">
        <f>ROUND(IF('Entity Inputs'!AU14=0,0,100*'Entity Inputs'!AT14/'Entity Inputs'!AU14),2)</f>
        <v>96.44</v>
      </c>
      <c r="Q35" s="7">
        <f>ROUND(IF('Entity Inputs'!AU15=0,0,100*'Entity Inputs'!AT15/'Entity Inputs'!AU15),2)</f>
        <v>102.04</v>
      </c>
    </row>
    <row r="36" spans="1:17">
      <c r="A36" s="6" t="s">
        <v>553</v>
      </c>
      <c r="B36" s="6" t="s">
        <v>554</v>
      </c>
      <c r="C36" s="6" t="s">
        <v>455</v>
      </c>
      <c r="D36" s="6" t="s">
        <v>25</v>
      </c>
      <c r="E36" s="6" t="s">
        <v>552</v>
      </c>
      <c r="F36" s="7">
        <f>ROUND(IF('Entity Inputs'!AU4=0,0,100*'Entity Inputs'!AT4/'Entity Inputs'!AU4),2)</f>
        <v>91.99</v>
      </c>
      <c r="G36" s="7">
        <f>ROUND(IF('Entity Inputs'!AU5=0,0,100*'Entity Inputs'!AT5/'Entity Inputs'!AU5),2)</f>
        <v>87.48</v>
      </c>
      <c r="H36" s="7">
        <f>ROUND(IF('Entity Inputs'!AU6=0,0,100*'Entity Inputs'!AT6/'Entity Inputs'!AU6),2)</f>
        <v>84.91</v>
      </c>
      <c r="I36" s="7">
        <f>ROUND(IF('Entity Inputs'!AU7=0,0,100*'Entity Inputs'!AT7/'Entity Inputs'!AU7),2)</f>
        <v>90.12</v>
      </c>
      <c r="J36" s="7">
        <f>ROUND(IF('Entity Inputs'!AU8=0,0,100*'Entity Inputs'!AT8/'Entity Inputs'!AU8),2)</f>
        <v>88.9</v>
      </c>
      <c r="K36" s="7">
        <f>ROUND(IF('Entity Inputs'!AU9=0,0,100*'Entity Inputs'!AT9/'Entity Inputs'!AU9),2)</f>
        <v>89.21</v>
      </c>
      <c r="L36" s="7">
        <f>ROUND(IF('Entity Inputs'!AU10=0,0,100*'Entity Inputs'!AT10/'Entity Inputs'!AU10),2)</f>
        <v>99.12</v>
      </c>
      <c r="M36" s="7">
        <f>ROUND(IF('Entity Inputs'!AU11=0,0,100*'Entity Inputs'!AT11/'Entity Inputs'!AU11),2)</f>
        <v>96.44</v>
      </c>
      <c r="N36" s="7">
        <f>ROUND(IF('Entity Inputs'!AU12=0,0,100*'Entity Inputs'!AT12/'Entity Inputs'!AU12),2)</f>
        <v>93.49</v>
      </c>
      <c r="O36" s="7">
        <f>ROUND(IF('Entity Inputs'!AU13=0,0,100*'Entity Inputs'!AT13/'Entity Inputs'!AU13),2)</f>
        <v>98.18</v>
      </c>
      <c r="P36" s="7">
        <f>ROUND(IF('Entity Inputs'!AU14=0,0,100*'Entity Inputs'!AT14/'Entity Inputs'!AU14),2)</f>
        <v>96.44</v>
      </c>
      <c r="Q36" s="7">
        <f>ROUND(IF('Entity Inputs'!AU15=0,0,100*'Entity Inputs'!AT15/'Entity Inputs'!AU15),2)</f>
        <v>102.04</v>
      </c>
    </row>
    <row r="37" spans="1:17">
      <c r="A37" s="6" t="s">
        <v>555</v>
      </c>
      <c r="B37" s="6" t="s">
        <v>556</v>
      </c>
      <c r="C37" s="6" t="s">
        <v>490</v>
      </c>
      <c r="D37" s="6" t="s">
        <v>25</v>
      </c>
      <c r="E37" s="6" t="s">
        <v>557</v>
      </c>
      <c r="F37" s="7">
        <f>ROUND(IF('Entity Inputs'!N4=0,0,1000*'Entity Inputs'!AX4/'Entity Inputs'!N4),2)</f>
        <v>193.64</v>
      </c>
      <c r="G37" s="7">
        <f>ROUND(IF('Entity Inputs'!N5=0,0,1000*'Entity Inputs'!AX5/'Entity Inputs'!N5),2)</f>
        <v>184.85</v>
      </c>
      <c r="H37" s="7">
        <f>ROUND(IF('Entity Inputs'!N6=0,0,1000*'Entity Inputs'!AX6/'Entity Inputs'!N6),2)</f>
        <v>181.04</v>
      </c>
      <c r="I37" s="7">
        <f>ROUND(IF('Entity Inputs'!N7=0,0,1000*'Entity Inputs'!AX7/'Entity Inputs'!N7),2)</f>
        <v>161.66</v>
      </c>
      <c r="J37" s="7">
        <f>ROUND(IF('Entity Inputs'!N8=0,0,1000*'Entity Inputs'!AX8/'Entity Inputs'!N8),2)</f>
        <v>197.3</v>
      </c>
      <c r="K37" s="7">
        <f>ROUND(IF('Entity Inputs'!N9=0,0,1000*'Entity Inputs'!AX9/'Entity Inputs'!N9),2)</f>
        <v>176.41</v>
      </c>
      <c r="L37" s="7">
        <f>ROUND(IF('Entity Inputs'!N10=0,0,1000*'Entity Inputs'!AX10/'Entity Inputs'!N10),2)</f>
        <v>179.71</v>
      </c>
      <c r="M37" s="7">
        <f>ROUND(IF('Entity Inputs'!N11=0,0,1000*'Entity Inputs'!AX11/'Entity Inputs'!N11),2)</f>
        <v>186.83</v>
      </c>
      <c r="N37" s="7">
        <f>ROUND(IF('Entity Inputs'!N12=0,0,1000*'Entity Inputs'!AX12/'Entity Inputs'!N12),2)</f>
        <v>202.42</v>
      </c>
      <c r="O37" s="7">
        <f>ROUND(IF('Entity Inputs'!N13=0,0,1000*'Entity Inputs'!AX13/'Entity Inputs'!N13),2)</f>
        <v>181.98</v>
      </c>
      <c r="P37" s="7">
        <f>ROUND(IF('Entity Inputs'!N14=0,0,1000*'Entity Inputs'!AX14/'Entity Inputs'!N14),2)</f>
        <v>177.63</v>
      </c>
      <c r="Q37" s="7">
        <f>ROUND(IF('Entity Inputs'!N15=0,0,1000*'Entity Inputs'!AX15/'Entity Inputs'!N15),2)</f>
        <v>172.12</v>
      </c>
    </row>
    <row r="38" spans="1:17">
      <c r="A38" s="6" t="s">
        <v>558</v>
      </c>
      <c r="B38" s="6" t="s">
        <v>559</v>
      </c>
      <c r="C38" s="6" t="s">
        <v>560</v>
      </c>
      <c r="D38" s="6" t="s">
        <v>561</v>
      </c>
      <c r="E38" s="6" t="s">
        <v>562</v>
      </c>
      <c r="F38" s="7">
        <f>ROUND(SUM('Entity Inputs'!FZ$4:FZ4)/1000,2)</f>
        <v>167.86</v>
      </c>
      <c r="G38" s="7">
        <f>ROUND(SUM('Entity Inputs'!FZ$4:FZ5)/1000,2)</f>
        <v>235.61</v>
      </c>
      <c r="H38" s="7">
        <f>ROUND(SUM('Entity Inputs'!FZ$4:FZ6)/1000,2)</f>
        <v>369.97</v>
      </c>
      <c r="I38" s="7">
        <f>ROUND(SUM('Entity Inputs'!FZ$4:FZ7)/1000,2)</f>
        <v>548.35</v>
      </c>
      <c r="J38" s="7">
        <f>ROUND(SUM('Entity Inputs'!FZ$4:FZ8)/1000,2)</f>
        <v>689.12</v>
      </c>
      <c r="K38" s="7">
        <f>ROUND(SUM('Entity Inputs'!FZ$4:FZ9)/1000,2)</f>
        <v>890.55</v>
      </c>
      <c r="L38" s="7">
        <f>ROUND(SUM('Entity Inputs'!FZ$10:FZ10)/1000,2)</f>
        <v>154.11</v>
      </c>
      <c r="M38" s="7">
        <f>ROUND(SUM('Entity Inputs'!FZ$10:FZ11)/1000,2)</f>
        <v>338.91</v>
      </c>
      <c r="N38" s="7">
        <f>ROUND(SUM('Entity Inputs'!FZ$10:FZ12)/1000,2)</f>
        <v>446.49</v>
      </c>
      <c r="O38" s="7">
        <f>ROUND(SUM('Entity Inputs'!FZ$10:FZ13)/1000,2)</f>
        <v>566.07</v>
      </c>
      <c r="P38" s="7">
        <f>ROUND(SUM('Entity Inputs'!FZ$10:FZ14)/1000,2)</f>
        <v>674.0</v>
      </c>
      <c r="Q38" s="7">
        <f>ROUND(SUM('Entity Inputs'!FZ$10:FZ15)/1000,2)</f>
        <v>869.54</v>
      </c>
    </row>
    <row r="39" spans="1:17">
      <c r="A39" s="6" t="s">
        <v>563</v>
      </c>
      <c r="B39" s="6" t="s">
        <v>564</v>
      </c>
      <c r="C39" s="6" t="s">
        <v>560</v>
      </c>
      <c r="D39" s="6" t="s">
        <v>561</v>
      </c>
      <c r="E39" s="6" t="s">
        <v>565</v>
      </c>
      <c r="F39" s="7">
        <f>ROUND(SUM('Entity Inputs'!GA$4:GA4)/1000,2)</f>
        <v>121.21</v>
      </c>
      <c r="G39" s="7">
        <f>ROUND(SUM('Entity Inputs'!GA$4:GA5)/1000,2)</f>
        <v>142.8</v>
      </c>
      <c r="H39" s="7">
        <f>ROUND(SUM('Entity Inputs'!GA$4:GA6)/1000,2)</f>
        <v>230.62</v>
      </c>
      <c r="I39" s="7">
        <f>ROUND(SUM('Entity Inputs'!GA$4:GA7)/1000,2)</f>
        <v>362.0</v>
      </c>
      <c r="J39" s="7">
        <f>ROUND(SUM('Entity Inputs'!GA$4:GA8)/1000,2)</f>
        <v>455.94</v>
      </c>
      <c r="K39" s="7">
        <f>ROUND(SUM('Entity Inputs'!GA$4:GA9)/1000,2)</f>
        <v>610.05</v>
      </c>
      <c r="L39" s="7">
        <f>ROUND(SUM('Entity Inputs'!GA$10:GA10)/1000,2)</f>
        <v>111.48</v>
      </c>
      <c r="M39" s="7">
        <f>ROUND(SUM('Entity Inputs'!GA$10:GA11)/1000,2)</f>
        <v>254.46</v>
      </c>
      <c r="N39" s="7">
        <f>ROUND(SUM('Entity Inputs'!GA$10:GA12)/1000,2)</f>
        <v>320.11</v>
      </c>
      <c r="O39" s="7">
        <f>ROUND(SUM('Entity Inputs'!GA$10:GA13)/1000,2)</f>
        <v>398.11</v>
      </c>
      <c r="P39" s="7">
        <f>ROUND(SUM('Entity Inputs'!GA$10:GA14)/1000,2)</f>
        <v>464.7</v>
      </c>
      <c r="Q39" s="7">
        <f>ROUND(SUM('Entity Inputs'!GA$10:GA15)/1000,2)</f>
        <v>618.1</v>
      </c>
    </row>
    <row r="40" spans="1:17">
      <c r="A40" s="6" t="s">
        <v>566</v>
      </c>
      <c r="B40" s="6" t="s">
        <v>567</v>
      </c>
      <c r="C40" s="6" t="s">
        <v>560</v>
      </c>
      <c r="D40" s="6" t="s">
        <v>561</v>
      </c>
      <c r="E40" s="6" t="s">
        <v>568</v>
      </c>
      <c r="F40" s="7">
        <f>ROUND(SUM('Entity Inputs'!AV$4:AV4)/1000,2)</f>
        <v>1196.06</v>
      </c>
      <c r="G40" s="7">
        <f>ROUND(SUM('Entity Inputs'!AV$4:AV5)/1000,2)</f>
        <v>2321.97</v>
      </c>
      <c r="H40" s="7">
        <f>ROUND(SUM('Entity Inputs'!AV$4:AV6)/1000,2)</f>
        <v>3444.91</v>
      </c>
      <c r="I40" s="7">
        <f>ROUND(SUM('Entity Inputs'!AV$4:AV7)/1000,2)</f>
        <v>4634.59</v>
      </c>
      <c r="J40" s="7">
        <f>ROUND(SUM('Entity Inputs'!AV$4:AV8)/1000,2)</f>
        <v>5816.6</v>
      </c>
      <c r="K40" s="7">
        <f>ROUND(SUM('Entity Inputs'!AV$4:AV9)/1000,2)</f>
        <v>6972.32</v>
      </c>
      <c r="L40" s="7">
        <f>ROUND(SUM('Entity Inputs'!AV$10:AV10)/1000,2)</f>
        <v>1153.2</v>
      </c>
      <c r="M40" s="7">
        <f>ROUND(SUM('Entity Inputs'!AV$10:AV11)/1000,2)</f>
        <v>2246.14</v>
      </c>
      <c r="N40" s="7">
        <f>ROUND(SUM('Entity Inputs'!AV$10:AV12)/1000,2)</f>
        <v>3358.84</v>
      </c>
      <c r="O40" s="7">
        <f>ROUND(SUM('Entity Inputs'!AV$10:AV13)/1000,2)</f>
        <v>4553.86</v>
      </c>
      <c r="P40" s="7">
        <f>ROUND(SUM('Entity Inputs'!AV$10:AV14)/1000,2)</f>
        <v>5658.88</v>
      </c>
      <c r="Q40" s="7">
        <f>ROUND(SUM('Entity Inputs'!AV$10:AV15)/1000,2)</f>
        <v>6838.98</v>
      </c>
    </row>
    <row r="41" spans="1:17">
      <c r="A41" s="6" t="s">
        <v>569</v>
      </c>
      <c r="B41" s="6" t="s">
        <v>570</v>
      </c>
      <c r="C41" s="6" t="s">
        <v>560</v>
      </c>
      <c r="D41" s="6" t="s">
        <v>561</v>
      </c>
      <c r="E41" s="6" t="s">
        <v>571</v>
      </c>
      <c r="F41" s="7">
        <f>ROUND(SUM('Entity Inputs'!GE$4:GE4)/1000,2)</f>
        <v>23.02</v>
      </c>
      <c r="G41" s="7">
        <f>ROUND(SUM('Entity Inputs'!GE$4:GE5)/1000,2)</f>
        <v>222.88</v>
      </c>
      <c r="H41" s="7">
        <f>ROUND(SUM('Entity Inputs'!GE$4:GE6)/1000,2)</f>
        <v>221.14</v>
      </c>
      <c r="I41" s="7">
        <f>ROUND(SUM('Entity Inputs'!GE$4:GE7)/1000,2)</f>
        <v>240.61</v>
      </c>
      <c r="J41" s="7">
        <f>ROUND(SUM('Entity Inputs'!GE$4:GE8)/1000,2)</f>
        <v>243.31</v>
      </c>
      <c r="K41" s="7">
        <f>ROUND(SUM('Entity Inputs'!GE$4:GE9)/1000,2)</f>
        <v>337.63</v>
      </c>
      <c r="L41" s="7">
        <f>ROUND(SUM('Entity Inputs'!GE$10:GE10)/1000,2)</f>
        <v>42.93</v>
      </c>
      <c r="M41" s="7">
        <f>ROUND(SUM('Entity Inputs'!GE$10:GE11)/1000,2)</f>
        <v>88.8</v>
      </c>
      <c r="N41" s="7">
        <f>ROUND(SUM('Entity Inputs'!GE$10:GE12)/1000,2)</f>
        <v>106.74</v>
      </c>
      <c r="O41" s="7">
        <f>ROUND(SUM('Entity Inputs'!GE$10:GE13)/1000,2)</f>
        <v>132.27</v>
      </c>
      <c r="P41" s="7">
        <f>ROUND(SUM('Entity Inputs'!GE$10:GE14)/1000,2)</f>
        <v>205.45</v>
      </c>
      <c r="Q41" s="7">
        <f>ROUND(SUM('Entity Inputs'!GE$10:GE15)/1000,2)</f>
        <v>268.55</v>
      </c>
    </row>
    <row r="42" spans="1:17">
      <c r="A42" s="6" t="s">
        <v>572</v>
      </c>
      <c r="B42" s="6" t="s">
        <v>573</v>
      </c>
      <c r="C42" s="6" t="s">
        <v>455</v>
      </c>
      <c r="D42" s="6" t="s">
        <v>561</v>
      </c>
      <c r="E42" s="6" t="s">
        <v>574</v>
      </c>
      <c r="F42" s="7">
        <f>ROUND(IF('Entity Inputs'!CB4=0,0,100*SUM('Entity Inputs'!GA$4:GA4)*12/'Entity Inputs'!E4/'Entity Inputs'!CB4),2)</f>
        <v>13.47</v>
      </c>
      <c r="G42" s="7">
        <f>ROUND(IF('Entity Inputs'!CB5=0,0,100*SUM('Entity Inputs'!GA$4:GA5)*12/'Entity Inputs'!E5/'Entity Inputs'!CB5),2)</f>
        <v>7.9</v>
      </c>
      <c r="H42" s="7">
        <f>ROUND(IF('Entity Inputs'!CB6=0,0,100*SUM('Entity Inputs'!GA$4:GA6)*12/'Entity Inputs'!E6/'Entity Inputs'!CB6),2)</f>
        <v>8.47</v>
      </c>
      <c r="I42" s="7">
        <f>ROUND(IF('Entity Inputs'!CB7=0,0,100*SUM('Entity Inputs'!GA$4:GA7)*12/'Entity Inputs'!E7/'Entity Inputs'!CB7),2)</f>
        <v>9.94</v>
      </c>
      <c r="J42" s="7">
        <f>ROUND(IF('Entity Inputs'!CB8=0,0,100*SUM('Entity Inputs'!GA$4:GA8)*12/'Entity Inputs'!E8/'Entity Inputs'!CB8),2)</f>
        <v>9.97</v>
      </c>
      <c r="K42" s="7">
        <f>ROUND(IF('Entity Inputs'!CB9=0,0,100*SUM('Entity Inputs'!GA$4:GA9)*12/'Entity Inputs'!E9/'Entity Inputs'!CB9),2)</f>
        <v>11.08</v>
      </c>
      <c r="L42" s="7">
        <f>ROUND(IF('Entity Inputs'!CB10=0,0,100*SUM('Entity Inputs'!GA$10:GA10)*12/'Entity Inputs'!E10/'Entity Inputs'!CB10),2)</f>
        <v>13.38</v>
      </c>
      <c r="M42" s="7">
        <f>ROUND(IF('Entity Inputs'!CB11=0,0,100*SUM('Entity Inputs'!GA$10:GA11)*12/'Entity Inputs'!E11/'Entity Inputs'!CB11),2)</f>
        <v>15.21</v>
      </c>
      <c r="N42" s="7">
        <f>ROUND(IF('Entity Inputs'!CB12=0,0,100*SUM('Entity Inputs'!GA$10:GA12)*12/'Entity Inputs'!E12/'Entity Inputs'!CB12),2)</f>
        <v>12.7</v>
      </c>
      <c r="O42" s="7">
        <f>ROUND(IF('Entity Inputs'!CB13=0,0,100*SUM('Entity Inputs'!GA$10:GA13)*12/'Entity Inputs'!E13/'Entity Inputs'!CB13),2)</f>
        <v>11.8</v>
      </c>
      <c r="P42" s="7">
        <f>ROUND(IF('Entity Inputs'!CB14=0,0,100*SUM('Entity Inputs'!GA$10:GA14)*12/'Entity Inputs'!E14/'Entity Inputs'!CB14),2)</f>
        <v>10.98</v>
      </c>
      <c r="Q42" s="7">
        <f>ROUND(IF('Entity Inputs'!CB15=0,0,100*SUM('Entity Inputs'!GA$10:GA15)*12/'Entity Inputs'!E15/'Entity Inputs'!CB15),2)</f>
        <v>12.12</v>
      </c>
    </row>
    <row r="43" spans="1:17">
      <c r="A43" s="6" t="s">
        <v>575</v>
      </c>
      <c r="B43" s="6" t="s">
        <v>576</v>
      </c>
      <c r="C43" s="6" t="s">
        <v>560</v>
      </c>
      <c r="D43" s="6" t="s">
        <v>577</v>
      </c>
      <c r="E43" s="6" t="s">
        <v>578</v>
      </c>
      <c r="F43" s="7">
        <f>ROUND('Entity Inputs'!GF4/1000,2)</f>
        <v>3800.0</v>
      </c>
      <c r="G43" s="7">
        <f>ROUND('Entity Inputs'!GF5/1000,2)</f>
        <v>3762.0</v>
      </c>
      <c r="H43" s="7">
        <f>ROUND('Entity Inputs'!GF6/1000,2)</f>
        <v>3724.0</v>
      </c>
      <c r="I43" s="7">
        <f>ROUND('Entity Inputs'!GF7/1000,2)</f>
        <v>3686.0</v>
      </c>
      <c r="J43" s="7">
        <f>ROUND('Entity Inputs'!GF8/1000,2)</f>
        <v>3648.0</v>
      </c>
      <c r="K43" s="7">
        <f>ROUND('Entity Inputs'!GF9/1000,2)</f>
        <v>3610.0</v>
      </c>
      <c r="L43" s="7">
        <f>ROUND('Entity Inputs'!GF10/1000,2)</f>
        <v>3200.0</v>
      </c>
      <c r="M43" s="7">
        <f>ROUND('Entity Inputs'!GF11/1000,2)</f>
        <v>3168.0</v>
      </c>
      <c r="N43" s="7">
        <f>ROUND('Entity Inputs'!GF12/1000,2)</f>
        <v>3136.0</v>
      </c>
      <c r="O43" s="7">
        <f>ROUND('Entity Inputs'!GF13/1000,2)</f>
        <v>3104.0</v>
      </c>
      <c r="P43" s="7">
        <f>ROUND('Entity Inputs'!GF14/1000,2)</f>
        <v>3072.0</v>
      </c>
      <c r="Q43" s="7">
        <f>ROUND('Entity Inputs'!GF15/1000,2)</f>
        <v>3040.0</v>
      </c>
    </row>
    <row r="44" spans="1:17">
      <c r="A44" s="6" t="s">
        <v>579</v>
      </c>
      <c r="B44" s="6" t="s">
        <v>580</v>
      </c>
      <c r="C44" s="6" t="s">
        <v>560</v>
      </c>
      <c r="D44" s="6" t="s">
        <v>561</v>
      </c>
      <c r="E44" s="6" t="s">
        <v>581</v>
      </c>
      <c r="F44" s="7">
        <f>ROUND((SUM('Entity Inputs'!GA$4:GA4)*(1-Parameters!$B$2)-'Entity Inputs'!CB4*Parameters!$B$3*'Entity Inputs'!E4/12)/1000,2)</f>
        <v>5.41</v>
      </c>
      <c r="G44" s="7">
        <f>ROUND((SUM('Entity Inputs'!GA$4:GA5)*(1-Parameters!$B$2)-'Entity Inputs'!CB5*Parameters!$B$3*'Entity Inputs'!E5/12)/1000,2)</f>
        <v>-64.58</v>
      </c>
      <c r="H44" s="7">
        <f>ROUND((SUM('Entity Inputs'!GA$4:GA6)*(1-Parameters!$B$2)-'Entity Inputs'!CB6*Parameters!$B$3*'Entity Inputs'!E6/12)/1000,2)</f>
        <v>-85.59</v>
      </c>
      <c r="I44" s="7">
        <f>ROUND((SUM('Entity Inputs'!GA$4:GA7)*(1-Parameters!$B$2)-'Entity Inputs'!CB7*Parameters!$B$3*'Entity Inputs'!E7/12)/1000,2)</f>
        <v>-74.61</v>
      </c>
      <c r="J44" s="7">
        <f>ROUND((SUM('Entity Inputs'!GA$4:GA8)*(1-Parameters!$B$2)-'Entity Inputs'!CB8*Parameters!$B$3*'Entity Inputs'!E8/12)/1000,2)</f>
        <v>-92.38</v>
      </c>
      <c r="K44" s="7">
        <f>ROUND((SUM('Entity Inputs'!GA$4:GA9)*(1-Parameters!$B$2)-'Entity Inputs'!CB9*Parameters!$B$3*'Entity Inputs'!E9/12)/1000,2)</f>
        <v>-65.72</v>
      </c>
      <c r="L44" s="7">
        <f>ROUND((SUM('Entity Inputs'!GA$10:GA10)*(1-Parameters!$B$2)-'Entity Inputs'!CB10*Parameters!$B$3*'Entity Inputs'!E10/12)/1000,2)</f>
        <v>4.44</v>
      </c>
      <c r="M44" s="7">
        <f>ROUND((SUM('Entity Inputs'!GA$10:GA11)*(1-Parameters!$B$2)-'Entity Inputs'!CB11*Parameters!$B$3*'Entity Inputs'!E11/12)/1000,2)</f>
        <v>31.87</v>
      </c>
      <c r="N44" s="7">
        <f>ROUND((SUM('Entity Inputs'!GA$10:GA12)*(1-Parameters!$B$2)-'Entity Inputs'!CB12*Parameters!$B$3*'Entity Inputs'!E12/12)/1000,2)</f>
        <v>0.68</v>
      </c>
      <c r="O44" s="7">
        <f>ROUND((SUM('Entity Inputs'!GA$10:GA13)*(1-Parameters!$B$2)-'Entity Inputs'!CB13*Parameters!$B$3*'Entity Inputs'!E13/12)/1000,2)</f>
        <v>-21.88</v>
      </c>
      <c r="P44" s="7">
        <f>ROUND((SUM('Entity Inputs'!GA$10:GA14)*(1-Parameters!$B$2)-'Entity Inputs'!CB14*Parameters!$B$3*'Entity Inputs'!E14/12)/1000,2)</f>
        <v>-53.64</v>
      </c>
      <c r="Q44" s="7">
        <f>ROUND((SUM('Entity Inputs'!GA$10:GA15)*(1-Parameters!$B$2)-'Entity Inputs'!CB15*Parameters!$B$3*'Entity Inputs'!E15/12)/1000,2)</f>
        <v>-20.93</v>
      </c>
    </row>
    <row r="45" spans="1:17">
      <c r="A45" s="6" t="s">
        <v>582</v>
      </c>
      <c r="B45" s="6" t="s">
        <v>583</v>
      </c>
      <c r="C45" s="6" t="s">
        <v>455</v>
      </c>
      <c r="D45" s="6" t="s">
        <v>561</v>
      </c>
      <c r="E45" s="6" t="s">
        <v>584</v>
      </c>
      <c r="F45" s="7">
        <f>ROUND(IF(SUM('Entity Inputs'!FZ$4:FZ4)=0,0,100*SUM('Entity Inputs'!GE$4:GE4)/SUM('Entity Inputs'!FZ$4:FZ4)),2)</f>
        <v>13.72</v>
      </c>
      <c r="G45" s="7">
        <f>ROUND(IF(SUM('Entity Inputs'!FZ$4:FZ5)=0,0,100*SUM('Entity Inputs'!GE$4:GE5)/SUM('Entity Inputs'!FZ$4:FZ5)),2)</f>
        <v>94.6</v>
      </c>
      <c r="H45" s="7">
        <f>ROUND(IF(SUM('Entity Inputs'!FZ$4:FZ6)=0,0,100*SUM('Entity Inputs'!GE$4:GE6)/SUM('Entity Inputs'!FZ$4:FZ6)),2)</f>
        <v>59.77</v>
      </c>
      <c r="I45" s="7">
        <f>ROUND(IF(SUM('Entity Inputs'!FZ$4:FZ7)=0,0,100*SUM('Entity Inputs'!GE$4:GE7)/SUM('Entity Inputs'!FZ$4:FZ7)),2)</f>
        <v>43.88</v>
      </c>
      <c r="J45" s="7">
        <f>ROUND(IF(SUM('Entity Inputs'!FZ$4:FZ8)=0,0,100*SUM('Entity Inputs'!GE$4:GE8)/SUM('Entity Inputs'!FZ$4:FZ8)),2)</f>
        <v>35.31</v>
      </c>
      <c r="K45" s="7">
        <f>ROUND(IF(SUM('Entity Inputs'!FZ$4:FZ9)=0,0,100*SUM('Entity Inputs'!GE$4:GE9)/SUM('Entity Inputs'!FZ$4:FZ9)),2)</f>
        <v>37.91</v>
      </c>
      <c r="L45" s="7">
        <f>ROUND(IF(SUM('Entity Inputs'!FZ$10:FZ10)=0,0,100*SUM('Entity Inputs'!GE$10:GE10)/SUM('Entity Inputs'!FZ$10:FZ10)),2)</f>
        <v>27.86</v>
      </c>
      <c r="M45" s="7">
        <f>ROUND(IF(SUM('Entity Inputs'!FZ$10:FZ11)=0,0,100*SUM('Entity Inputs'!GE$10:GE11)/SUM('Entity Inputs'!FZ$10:FZ11)),2)</f>
        <v>26.2</v>
      </c>
      <c r="N45" s="7">
        <f>ROUND(IF(SUM('Entity Inputs'!FZ$10:FZ12)=0,0,100*SUM('Entity Inputs'!GE$10:GE12)/SUM('Entity Inputs'!FZ$10:FZ12)),2)</f>
        <v>23.91</v>
      </c>
      <c r="O45" s="7">
        <f>ROUND(IF(SUM('Entity Inputs'!FZ$10:FZ13)=0,0,100*SUM('Entity Inputs'!GE$10:GE13)/SUM('Entity Inputs'!FZ$10:FZ13)),2)</f>
        <v>23.37</v>
      </c>
      <c r="P45" s="7">
        <f>ROUND(IF(SUM('Entity Inputs'!FZ$10:FZ14)=0,0,100*SUM('Entity Inputs'!GE$10:GE14)/SUM('Entity Inputs'!FZ$10:FZ14)),2)</f>
        <v>30.48</v>
      </c>
      <c r="Q45" s="7">
        <f>ROUND(IF(SUM('Entity Inputs'!FZ$10:FZ15)=0,0,100*SUM('Entity Inputs'!GE$10:GE15)/SUM('Entity Inputs'!FZ$10:FZ15)),2)</f>
        <v>30.88</v>
      </c>
    </row>
    <row r="46" spans="1:17">
      <c r="A46" s="6" t="s">
        <v>585</v>
      </c>
      <c r="B46" s="6" t="s">
        <v>586</v>
      </c>
      <c r="C46" s="6" t="s">
        <v>560</v>
      </c>
      <c r="D46" s="6" t="s">
        <v>577</v>
      </c>
      <c r="E46" s="6" t="s">
        <v>587</v>
      </c>
      <c r="F46" s="7">
        <f>ROUND('Entity Inputs'!CD4/1000,2)</f>
        <v>936.18</v>
      </c>
      <c r="G46" s="7">
        <f>ROUND('Entity Inputs'!CD5/1000,2)</f>
        <v>927.73</v>
      </c>
      <c r="H46" s="7">
        <f>ROUND('Entity Inputs'!CD6/1000,2)</f>
        <v>911.17</v>
      </c>
      <c r="I46" s="7">
        <f>ROUND('Entity Inputs'!CD7/1000,2)</f>
        <v>922.97</v>
      </c>
      <c r="J46" s="7">
        <f>ROUND('Entity Inputs'!CD8/1000,2)</f>
        <v>890.5</v>
      </c>
      <c r="K46" s="7">
        <f>ROUND('Entity Inputs'!CD9/1000,2)</f>
        <v>967.08</v>
      </c>
      <c r="L46" s="7">
        <f>ROUND('Entity Inputs'!CD10/1000,2)</f>
        <v>1162.93</v>
      </c>
      <c r="M46" s="7">
        <f>ROUND('Entity Inputs'!CD11/1000,2)</f>
        <v>1089.93</v>
      </c>
      <c r="N46" s="7">
        <f>ROUND('Entity Inputs'!CD12/1000,2)</f>
        <v>1075.02</v>
      </c>
      <c r="O46" s="7">
        <f>ROUND('Entity Inputs'!CD13/1000,2)</f>
        <v>1219.1</v>
      </c>
      <c r="P46" s="7">
        <f>ROUND('Entity Inputs'!CD14/1000,2)</f>
        <v>1136.81</v>
      </c>
      <c r="Q46" s="7">
        <f>ROUND('Entity Inputs'!CD15/1000,2)</f>
        <v>1174.74</v>
      </c>
    </row>
    <row r="47" spans="1:17">
      <c r="A47" s="6" t="s">
        <v>588</v>
      </c>
      <c r="B47" s="6" t="s">
        <v>589</v>
      </c>
      <c r="C47" s="6" t="s">
        <v>560</v>
      </c>
      <c r="D47" s="6" t="s">
        <v>561</v>
      </c>
      <c r="E47" s="6" t="s">
        <v>590</v>
      </c>
      <c r="F47" s="7">
        <f>ROUND(SUM('Entity Inputs'!CO$4:CO4)/1000,2)</f>
        <v>0.52</v>
      </c>
      <c r="G47" s="7">
        <f>ROUND(SUM('Entity Inputs'!CO$4:CO5)/1000,2)</f>
        <v>1.33</v>
      </c>
      <c r="H47" s="7">
        <f>ROUND(SUM('Entity Inputs'!CO$4:CO6)/1000,2)</f>
        <v>2.07</v>
      </c>
      <c r="I47" s="7">
        <f>ROUND(SUM('Entity Inputs'!CO$4:CO7)/1000,2)</f>
        <v>2.76</v>
      </c>
      <c r="J47" s="7">
        <f>ROUND(SUM('Entity Inputs'!CO$4:CO8)/1000,2)</f>
        <v>3.36</v>
      </c>
      <c r="K47" s="7">
        <f>ROUND(SUM('Entity Inputs'!CO$4:CO9)/1000,2)</f>
        <v>4.2</v>
      </c>
      <c r="L47" s="7">
        <f>ROUND(SUM('Entity Inputs'!CO$10:CO10)/1000,2)</f>
        <v>3.31</v>
      </c>
      <c r="M47" s="7">
        <f>ROUND(SUM('Entity Inputs'!CO$10:CO11)/1000,2)</f>
        <v>6.16</v>
      </c>
      <c r="N47" s="7">
        <f>ROUND(SUM('Entity Inputs'!CO$10:CO12)/1000,2)</f>
        <v>9.21</v>
      </c>
      <c r="O47" s="7">
        <f>ROUND(SUM('Entity Inputs'!CO$10:CO13)/1000,2)</f>
        <v>12.12</v>
      </c>
      <c r="P47" s="7">
        <f>ROUND(SUM('Entity Inputs'!CO$10:CO14)/1000,2)</f>
        <v>15.26</v>
      </c>
      <c r="Q47" s="7">
        <f>ROUND(SUM('Entity Inputs'!CO$10:CO15)/1000,2)</f>
        <v>17.83</v>
      </c>
    </row>
    <row r="48" spans="1:17">
      <c r="A48" s="6" t="s">
        <v>591</v>
      </c>
      <c r="B48" s="6" t="s">
        <v>592</v>
      </c>
      <c r="C48" s="6" t="s">
        <v>593</v>
      </c>
      <c r="D48" s="6" t="s">
        <v>25</v>
      </c>
      <c r="E48" s="6" t="s">
        <v>594</v>
      </c>
      <c r="F48" s="7">
        <f>ROUND('Entity Inputs'!CN4/'Entity Inputs'!D4/1000,2)</f>
        <v>39.4</v>
      </c>
      <c r="G48" s="7">
        <f>ROUND('Entity Inputs'!CN5/'Entity Inputs'!D5/1000,2)</f>
        <v>36.06</v>
      </c>
      <c r="H48" s="7">
        <f>ROUND('Entity Inputs'!CN6/'Entity Inputs'!D6/1000,2)</f>
        <v>37.22</v>
      </c>
      <c r="I48" s="7">
        <f>ROUND('Entity Inputs'!CN7/'Entity Inputs'!D7/1000,2)</f>
        <v>38.34</v>
      </c>
      <c r="J48" s="7">
        <f>ROUND('Entity Inputs'!CN8/'Entity Inputs'!D8/1000,2)</f>
        <v>37.84</v>
      </c>
      <c r="K48" s="7">
        <f>ROUND('Entity Inputs'!CN9/'Entity Inputs'!D9/1000,2)</f>
        <v>38.6</v>
      </c>
      <c r="L48" s="7">
        <f>ROUND('Entity Inputs'!CN10/'Entity Inputs'!D10/1000,2)</f>
        <v>37.62</v>
      </c>
      <c r="M48" s="7">
        <f>ROUND('Entity Inputs'!CN11/'Entity Inputs'!D11/1000,2)</f>
        <v>34.61</v>
      </c>
      <c r="N48" s="7">
        <f>ROUND('Entity Inputs'!CN12/'Entity Inputs'!D12/1000,2)</f>
        <v>36.23</v>
      </c>
      <c r="O48" s="7">
        <f>ROUND('Entity Inputs'!CN13/'Entity Inputs'!D13/1000,2)</f>
        <v>37.46</v>
      </c>
      <c r="P48" s="7">
        <f>ROUND('Entity Inputs'!CN14/'Entity Inputs'!D14/1000,2)</f>
        <v>35.78</v>
      </c>
      <c r="Q48" s="7">
        <f>ROUND('Entity Inputs'!CN15/'Entity Inputs'!D15/1000,2)</f>
        <v>38.17</v>
      </c>
    </row>
    <row r="49" spans="1:17">
      <c r="A49" s="6" t="s">
        <v>595</v>
      </c>
      <c r="B49" s="6" t="s">
        <v>596</v>
      </c>
      <c r="C49" s="6" t="s">
        <v>28</v>
      </c>
      <c r="D49" s="6" t="s">
        <v>577</v>
      </c>
      <c r="E49" s="6" t="s">
        <v>597</v>
      </c>
      <c r="F49" s="7">
        <f>ROUND('Entity Inputs'!GH4+'Entity Inputs'!GJ4-'Entity Inputs'!GI4,2)</f>
        <v>54.42</v>
      </c>
      <c r="G49" s="7">
        <f>ROUND('Entity Inputs'!GH5+'Entity Inputs'!GJ5-'Entity Inputs'!GI5,2)</f>
        <v>52.87</v>
      </c>
      <c r="H49" s="7">
        <f>ROUND('Entity Inputs'!GH6+'Entity Inputs'!GJ6-'Entity Inputs'!GI6,2)</f>
        <v>52.24</v>
      </c>
      <c r="I49" s="7">
        <f>ROUND('Entity Inputs'!GH7+'Entity Inputs'!GJ7-'Entity Inputs'!GI7,2)</f>
        <v>52.11</v>
      </c>
      <c r="J49" s="7">
        <f>ROUND('Entity Inputs'!GH8+'Entity Inputs'!GJ8-'Entity Inputs'!GI8,2)</f>
        <v>53.43</v>
      </c>
      <c r="K49" s="7">
        <f>ROUND('Entity Inputs'!GH9+'Entity Inputs'!GJ9-'Entity Inputs'!GI9,2)</f>
        <v>52.3</v>
      </c>
      <c r="L49" s="7">
        <f>ROUND('Entity Inputs'!GH10+'Entity Inputs'!GJ10-'Entity Inputs'!GI10,2)</f>
        <v>14.8</v>
      </c>
      <c r="M49" s="7">
        <f>ROUND('Entity Inputs'!GH11+'Entity Inputs'!GJ11-'Entity Inputs'!GI11,2)</f>
        <v>16.61</v>
      </c>
      <c r="N49" s="7">
        <f>ROUND('Entity Inputs'!GH12+'Entity Inputs'!GJ12-'Entity Inputs'!GI12,2)</f>
        <v>17.48</v>
      </c>
      <c r="O49" s="7">
        <f>ROUND('Entity Inputs'!GH13+'Entity Inputs'!GJ13-'Entity Inputs'!GI13,2)</f>
        <v>16.53</v>
      </c>
      <c r="P49" s="7">
        <f>ROUND('Entity Inputs'!GH14+'Entity Inputs'!GJ14-'Entity Inputs'!GI14,2)</f>
        <v>16.79</v>
      </c>
      <c r="Q49" s="7">
        <f>ROUND('Entity Inputs'!GH15+'Entity Inputs'!GJ15-'Entity Inputs'!GI15,2)</f>
        <v>13.42</v>
      </c>
    </row>
    <row r="50" spans="1:17">
      <c r="A50" s="6" t="s">
        <v>598</v>
      </c>
      <c r="B50" s="6" t="s">
        <v>599</v>
      </c>
      <c r="C50" s="6" t="s">
        <v>560</v>
      </c>
      <c r="D50" s="6" t="s">
        <v>600</v>
      </c>
      <c r="E50" s="6" t="s">
        <v>601</v>
      </c>
      <c r="F50" s="7">
        <f>ROUND(('Entity Inputs'!CP4-'Entity Inputs'!CQ4)/1000,2)</f>
        <v>0.0</v>
      </c>
      <c r="G50" s="7">
        <f>ROUND(('Entity Inputs'!CP5-'Entity Inputs'!CQ5)/1000,2)</f>
        <v>0.0</v>
      </c>
      <c r="H50" s="7">
        <f>ROUND(('Entity Inputs'!CP6-'Entity Inputs'!CQ6)/1000,2)</f>
        <v>0.0</v>
      </c>
      <c r="I50" s="7">
        <f>ROUND(('Entity Inputs'!CP7-'Entity Inputs'!CQ7)/1000,2)</f>
        <v>0.0</v>
      </c>
      <c r="J50" s="7">
        <f>ROUND(('Entity Inputs'!CP8-'Entity Inputs'!CQ8)/1000,2)</f>
        <v>25.62</v>
      </c>
      <c r="K50" s="7">
        <f>ROUND(('Entity Inputs'!CP9-'Entity Inputs'!CQ9)/1000,2)</f>
        <v>27.21</v>
      </c>
      <c r="L50" s="7">
        <f>ROUND(('Entity Inputs'!CP10-'Entity Inputs'!CQ10)/1000,2)</f>
        <v>0.0</v>
      </c>
      <c r="M50" s="7">
        <f>ROUND(('Entity Inputs'!CP11-'Entity Inputs'!CQ11)/1000,2)</f>
        <v>0.0</v>
      </c>
      <c r="N50" s="7">
        <f>ROUND(('Entity Inputs'!CP12-'Entity Inputs'!CQ12)/1000,2)</f>
        <v>0.0</v>
      </c>
      <c r="O50" s="7">
        <f>ROUND(('Entity Inputs'!CP13-'Entity Inputs'!CQ13)/1000,2)</f>
        <v>0.0</v>
      </c>
      <c r="P50" s="7">
        <f>ROUND(('Entity Inputs'!CP14-'Entity Inputs'!CQ14)/1000,2)</f>
        <v>0.0</v>
      </c>
      <c r="Q50" s="7">
        <f>ROUND(('Entity Inputs'!CP15-'Entity Inputs'!CQ15)/1000,2)</f>
        <v>0.0</v>
      </c>
    </row>
    <row r="51" spans="1:17">
      <c r="A51" s="6" t="s">
        <v>602</v>
      </c>
      <c r="B51" s="6" t="s">
        <v>603</v>
      </c>
      <c r="C51" s="6" t="s">
        <v>28</v>
      </c>
      <c r="D51" s="6" t="s">
        <v>577</v>
      </c>
      <c r="E51" s="6" t="s">
        <v>604</v>
      </c>
      <c r="F51" s="7">
        <f>ROUND('Entity Inputs'!GH4,2)</f>
        <v>50.73</v>
      </c>
      <c r="G51" s="7">
        <f>ROUND('Entity Inputs'!GH5,2)</f>
        <v>52.83</v>
      </c>
      <c r="H51" s="7">
        <f>ROUND('Entity Inputs'!GH6,2)</f>
        <v>51.91</v>
      </c>
      <c r="I51" s="7">
        <f>ROUND('Entity Inputs'!GH7,2)</f>
        <v>51.08</v>
      </c>
      <c r="J51" s="7">
        <f>ROUND('Entity Inputs'!GH8,2)</f>
        <v>50.95</v>
      </c>
      <c r="K51" s="7">
        <f>ROUND('Entity Inputs'!GH9,2)</f>
        <v>52.0</v>
      </c>
      <c r="L51" s="7">
        <f>ROUND('Entity Inputs'!GH10,2)</f>
        <v>43.45</v>
      </c>
      <c r="M51" s="7">
        <f>ROUND('Entity Inputs'!GH11,2)</f>
        <v>44.35</v>
      </c>
      <c r="N51" s="7">
        <f>ROUND('Entity Inputs'!GH12,2)</f>
        <v>44.9</v>
      </c>
      <c r="O51" s="7">
        <f>ROUND('Entity Inputs'!GH13,2)</f>
        <v>45.0</v>
      </c>
      <c r="P51" s="7">
        <f>ROUND('Entity Inputs'!GH14,2)</f>
        <v>43.84</v>
      </c>
      <c r="Q51" s="7">
        <f>ROUND('Entity Inputs'!GH15,2)</f>
        <v>42.05</v>
      </c>
    </row>
    <row r="52" spans="1:17">
      <c r="A52" s="6" t="s">
        <v>605</v>
      </c>
      <c r="B52" s="6" t="s">
        <v>606</v>
      </c>
      <c r="C52" s="6" t="s">
        <v>28</v>
      </c>
      <c r="D52" s="6" t="s">
        <v>577</v>
      </c>
      <c r="E52" s="6" t="s">
        <v>607</v>
      </c>
      <c r="F52" s="7">
        <f>ROUND('Entity Inputs'!GI4,2)</f>
        <v>38.2</v>
      </c>
      <c r="G52" s="7">
        <f>ROUND('Entity Inputs'!GI5,2)</f>
        <v>39.97</v>
      </c>
      <c r="H52" s="7">
        <f>ROUND('Entity Inputs'!GI6,2)</f>
        <v>40.72</v>
      </c>
      <c r="I52" s="7">
        <f>ROUND('Entity Inputs'!GI7,2)</f>
        <v>39.08</v>
      </c>
      <c r="J52" s="7">
        <f>ROUND('Entity Inputs'!GI8,2)</f>
        <v>38.37</v>
      </c>
      <c r="K52" s="7">
        <f>ROUND('Entity Inputs'!GI9,2)</f>
        <v>40.2</v>
      </c>
      <c r="L52" s="7">
        <f>ROUND('Entity Inputs'!GI10,2)</f>
        <v>62.9</v>
      </c>
      <c r="M52" s="7">
        <f>ROUND('Entity Inputs'!GI11,2)</f>
        <v>64.21</v>
      </c>
      <c r="N52" s="7">
        <f>ROUND('Entity Inputs'!GI12,2)</f>
        <v>63.9</v>
      </c>
      <c r="O52" s="7">
        <f>ROUND('Entity Inputs'!GI13,2)</f>
        <v>62.67</v>
      </c>
      <c r="P52" s="7">
        <f>ROUND('Entity Inputs'!GI14,2)</f>
        <v>62.95</v>
      </c>
      <c r="Q52" s="7">
        <f>ROUND('Entity Inputs'!GI15,2)</f>
        <v>63.74</v>
      </c>
    </row>
    <row r="53" spans="1:17">
      <c r="A53" s="6" t="s">
        <v>608</v>
      </c>
      <c r="B53" s="6" t="s">
        <v>609</v>
      </c>
      <c r="C53" s="6" t="s">
        <v>28</v>
      </c>
      <c r="D53" s="6" t="s">
        <v>577</v>
      </c>
      <c r="E53" s="6" t="s">
        <v>610</v>
      </c>
      <c r="F53" s="7">
        <f>ROUND('Entity Inputs'!GJ4,2)</f>
        <v>41.89</v>
      </c>
      <c r="G53" s="7">
        <f>ROUND('Entity Inputs'!GJ5,2)</f>
        <v>40.01</v>
      </c>
      <c r="H53" s="7">
        <f>ROUND('Entity Inputs'!GJ6,2)</f>
        <v>41.04</v>
      </c>
      <c r="I53" s="7">
        <f>ROUND('Entity Inputs'!GJ7,2)</f>
        <v>40.11</v>
      </c>
      <c r="J53" s="7">
        <f>ROUND('Entity Inputs'!GJ8,2)</f>
        <v>40.86</v>
      </c>
      <c r="K53" s="7">
        <f>ROUND('Entity Inputs'!GJ9,2)</f>
        <v>40.49</v>
      </c>
      <c r="L53" s="7">
        <f>ROUND('Entity Inputs'!GJ10,2)</f>
        <v>34.25</v>
      </c>
      <c r="M53" s="7">
        <f>ROUND('Entity Inputs'!GJ11,2)</f>
        <v>36.48</v>
      </c>
      <c r="N53" s="7">
        <f>ROUND('Entity Inputs'!GJ12,2)</f>
        <v>36.49</v>
      </c>
      <c r="O53" s="7">
        <f>ROUND('Entity Inputs'!GJ13,2)</f>
        <v>34.2</v>
      </c>
      <c r="P53" s="7">
        <f>ROUND('Entity Inputs'!GJ14,2)</f>
        <v>35.9</v>
      </c>
      <c r="Q53" s="7">
        <f>ROUND('Entity Inputs'!GJ15,2)</f>
        <v>35.11</v>
      </c>
    </row>
    <row r="54" spans="1:17">
      <c r="A54" s="6" t="s">
        <v>611</v>
      </c>
      <c r="B54" s="6" t="s">
        <v>612</v>
      </c>
      <c r="C54" s="6" t="s">
        <v>560</v>
      </c>
      <c r="D54" s="6" t="s">
        <v>577</v>
      </c>
      <c r="E54" s="6" t="s">
        <v>613</v>
      </c>
      <c r="F54" s="7">
        <f>ROUND('Entity Inputs'!GB4/1000,2)</f>
        <v>2141.69</v>
      </c>
      <c r="G54" s="7">
        <f>ROUND('Entity Inputs'!GB5/1000,2)</f>
        <v>1920.13</v>
      </c>
      <c r="H54" s="7">
        <f>ROUND('Entity Inputs'!GB6/1000,2)</f>
        <v>1953.33</v>
      </c>
      <c r="I54" s="7">
        <f>ROUND('Entity Inputs'!GB7/1000,2)</f>
        <v>1992.13</v>
      </c>
      <c r="J54" s="7">
        <f>ROUND('Entity Inputs'!GB8/1000,2)</f>
        <v>2021.41</v>
      </c>
      <c r="K54" s="7">
        <f>ROUND('Entity Inputs'!GB9/1000,2)</f>
        <v>2012.17</v>
      </c>
      <c r="L54" s="7">
        <f>ROUND('Entity Inputs'!GB10/1000,2)</f>
        <v>770.89</v>
      </c>
      <c r="M54" s="7">
        <f>ROUND('Entity Inputs'!GB11/1000,2)</f>
        <v>799.87</v>
      </c>
      <c r="N54" s="7">
        <f>ROUND('Entity Inputs'!GB12/1000,2)</f>
        <v>797.03</v>
      </c>
      <c r="O54" s="7">
        <f>ROUND('Entity Inputs'!GB13/1000,2)</f>
        <v>800.6</v>
      </c>
      <c r="P54" s="7">
        <f>ROUND('Entity Inputs'!GB14/1000,2)</f>
        <v>742.32</v>
      </c>
      <c r="Q54" s="7">
        <f>ROUND('Entity Inputs'!GB15/1000,2)</f>
        <v>768.81</v>
      </c>
    </row>
    <row r="55" spans="1:17">
      <c r="A55" s="6" t="s">
        <v>614</v>
      </c>
      <c r="B55" s="6" t="s">
        <v>615</v>
      </c>
      <c r="C55" s="6" t="s">
        <v>560</v>
      </c>
      <c r="D55" s="6" t="s">
        <v>25</v>
      </c>
      <c r="E55" s="6" t="s">
        <v>616</v>
      </c>
      <c r="F55" s="7">
        <f>ROUND('Entity Inputs'!GC4/1000,2)</f>
        <v>32.13</v>
      </c>
      <c r="G55" s="7">
        <f>ROUND('Entity Inputs'!GC5/1000,2)</f>
        <v>-221.56</v>
      </c>
      <c r="H55" s="7">
        <f>ROUND('Entity Inputs'!GC6/1000,2)</f>
        <v>33.2</v>
      </c>
      <c r="I55" s="7">
        <f>ROUND('Entity Inputs'!GC7/1000,2)</f>
        <v>38.79</v>
      </c>
      <c r="J55" s="7">
        <f>ROUND('Entity Inputs'!GC8/1000,2)</f>
        <v>29.28</v>
      </c>
      <c r="K55" s="7">
        <f>ROUND('Entity Inputs'!GC9/1000,2)</f>
        <v>-9.23</v>
      </c>
      <c r="L55" s="7">
        <f>ROUND('Entity Inputs'!GC10/1000,2)</f>
        <v>11.56</v>
      </c>
      <c r="M55" s="7">
        <f>ROUND('Entity Inputs'!GC11/1000,2)</f>
        <v>28.98</v>
      </c>
      <c r="N55" s="7">
        <f>ROUND('Entity Inputs'!GC12/1000,2)</f>
        <v>-2.84</v>
      </c>
      <c r="O55" s="7">
        <f>ROUND('Entity Inputs'!GC13/1000,2)</f>
        <v>3.57</v>
      </c>
      <c r="P55" s="7">
        <f>ROUND('Entity Inputs'!GC14/1000,2)</f>
        <v>-58.28</v>
      </c>
      <c r="Q55" s="7">
        <f>ROUND('Entity Inputs'!GC15/1000,2)</f>
        <v>26.49</v>
      </c>
    </row>
    <row r="56" spans="1:17">
      <c r="A56" s="6" t="s">
        <v>617</v>
      </c>
      <c r="B56" s="6" t="s">
        <v>618</v>
      </c>
      <c r="C56" s="6" t="s">
        <v>28</v>
      </c>
      <c r="D56" s="6" t="s">
        <v>577</v>
      </c>
      <c r="E56" s="6" t="s">
        <v>619</v>
      </c>
      <c r="F56" s="7">
        <f>ROUND(IF('Entity Inputs'!AV4=0,0,'Entity Inputs'!GB4/'Entity Inputs'!AV4*'Entity Inputs'!D4),2)</f>
        <v>53.72</v>
      </c>
      <c r="G56" s="7">
        <f>ROUND(IF('Entity Inputs'!AV5=0,0,'Entity Inputs'!GB5/'Entity Inputs'!AV5*'Entity Inputs'!D5),2)</f>
        <v>52.87</v>
      </c>
      <c r="H56" s="7">
        <f>ROUND(IF('Entity Inputs'!AV6=0,0,'Entity Inputs'!GB6/'Entity Inputs'!AV6*'Entity Inputs'!D6),2)</f>
        <v>52.18</v>
      </c>
      <c r="I56" s="7">
        <f>ROUND(IF('Entity Inputs'!AV7=0,0,'Entity Inputs'!GB7/'Entity Inputs'!AV7*'Entity Inputs'!D7),2)</f>
        <v>51.91</v>
      </c>
      <c r="J56" s="7">
        <f>ROUND(IF('Entity Inputs'!AV8=0,0,'Entity Inputs'!GB8/'Entity Inputs'!AV8*'Entity Inputs'!D8),2)</f>
        <v>53.01</v>
      </c>
      <c r="K56" s="7">
        <f>ROUND(IF('Entity Inputs'!AV9=0,0,'Entity Inputs'!GB9/'Entity Inputs'!AV9*'Entity Inputs'!D9),2)</f>
        <v>52.23</v>
      </c>
      <c r="L56" s="7">
        <f>ROUND(IF('Entity Inputs'!AV10=0,0,'Entity Inputs'!GB10/'Entity Inputs'!AV10*'Entity Inputs'!D10),2)</f>
        <v>20.05</v>
      </c>
      <c r="M56" s="7">
        <f>ROUND(IF('Entity Inputs'!AV11=0,0,'Entity Inputs'!GB11/'Entity Inputs'!AV11*'Entity Inputs'!D11),2)</f>
        <v>22.69</v>
      </c>
      <c r="N56" s="7">
        <f>ROUND(IF('Entity Inputs'!AV12=0,0,'Entity Inputs'!GB12/'Entity Inputs'!AV12*'Entity Inputs'!D12),2)</f>
        <v>21.49</v>
      </c>
      <c r="O56" s="7">
        <f>ROUND(IF('Entity Inputs'!AV13=0,0,'Entity Inputs'!GB13/'Entity Inputs'!AV13*'Entity Inputs'!D13),2)</f>
        <v>20.77</v>
      </c>
      <c r="P56" s="7">
        <f>ROUND(IF('Entity Inputs'!AV14=0,0,'Entity Inputs'!GB14/'Entity Inputs'!AV14*'Entity Inputs'!D14),2)</f>
        <v>20.82</v>
      </c>
      <c r="Q56" s="7">
        <f>ROUND(IF('Entity Inputs'!AV15=0,0,'Entity Inputs'!GB15/'Entity Inputs'!AV15*'Entity Inputs'!D15),2)</f>
        <v>19.54</v>
      </c>
    </row>
    <row r="57" spans="1:17">
      <c r="A57" s="6" t="s">
        <v>620</v>
      </c>
      <c r="B57" s="6" t="s">
        <v>621</v>
      </c>
      <c r="C57" s="6" t="s">
        <v>622</v>
      </c>
      <c r="D57" s="6" t="s">
        <v>577</v>
      </c>
      <c r="E57" s="6" t="s">
        <v>623</v>
      </c>
      <c r="F57" s="7">
        <f>ROUND(IF(('Entity Inputs'!Y4+'Entity Inputs'!BZ4+'Entity Inputs'!CF4)=0,0,('Entity Inputs'!CD4+'Entity Inputs'!CE4)/('Entity Inputs'!Y4+'Entity Inputs'!BZ4+'Entity Inputs'!CF4)),2)</f>
        <v>13.95</v>
      </c>
      <c r="G57" s="7">
        <f>ROUND(IF(('Entity Inputs'!Y5+'Entity Inputs'!BZ5+'Entity Inputs'!CF5)=0,0,('Entity Inputs'!CD5+'Entity Inputs'!CE5)/('Entity Inputs'!Y5+'Entity Inputs'!BZ5+'Entity Inputs'!CF5)),2)</f>
        <v>14.53</v>
      </c>
      <c r="H57" s="7">
        <f>ROUND(IF(('Entity Inputs'!Y6+'Entity Inputs'!BZ6+'Entity Inputs'!CF6)=0,0,('Entity Inputs'!CD6+'Entity Inputs'!CE6)/('Entity Inputs'!Y6+'Entity Inputs'!BZ6+'Entity Inputs'!CF6)),2)</f>
        <v>15.06</v>
      </c>
      <c r="I57" s="7">
        <f>ROUND(IF(('Entity Inputs'!Y7+'Entity Inputs'!BZ7+'Entity Inputs'!CF7)=0,0,('Entity Inputs'!CD7+'Entity Inputs'!CE7)/('Entity Inputs'!Y7+'Entity Inputs'!BZ7+'Entity Inputs'!CF7)),2)</f>
        <v>14.27</v>
      </c>
      <c r="J57" s="7">
        <f>ROUND(IF(('Entity Inputs'!Y8+'Entity Inputs'!BZ8+'Entity Inputs'!CF8)=0,0,('Entity Inputs'!CD8+'Entity Inputs'!CE8)/('Entity Inputs'!Y8+'Entity Inputs'!BZ8+'Entity Inputs'!CF8)),2)</f>
        <v>14.3</v>
      </c>
      <c r="K57" s="7">
        <f>ROUND(IF(('Entity Inputs'!Y9+'Entity Inputs'!BZ9+'Entity Inputs'!CF9)=0,0,('Entity Inputs'!CD9+'Entity Inputs'!CE9)/('Entity Inputs'!Y9+'Entity Inputs'!BZ9+'Entity Inputs'!CF9)),2)</f>
        <v>15.37</v>
      </c>
      <c r="L57" s="7">
        <f>ROUND(IF(('Entity Inputs'!Y10+'Entity Inputs'!BZ10+'Entity Inputs'!CF10)=0,0,('Entity Inputs'!CD10+'Entity Inputs'!CE10)/('Entity Inputs'!Y10+'Entity Inputs'!BZ10+'Entity Inputs'!CF10)),2)</f>
        <v>17.91</v>
      </c>
      <c r="M57" s="7">
        <f>ROUND(IF(('Entity Inputs'!Y11+'Entity Inputs'!BZ11+'Entity Inputs'!CF11)=0,0,('Entity Inputs'!CD11+'Entity Inputs'!CE11)/('Entity Inputs'!Y11+'Entity Inputs'!BZ11+'Entity Inputs'!CF11)),2)</f>
        <v>17.38</v>
      </c>
      <c r="N57" s="7">
        <f>ROUND(IF(('Entity Inputs'!Y12+'Entity Inputs'!BZ12+'Entity Inputs'!CF12)=0,0,('Entity Inputs'!CD12+'Entity Inputs'!CE12)/('Entity Inputs'!Y12+'Entity Inputs'!BZ12+'Entity Inputs'!CF12)),2)</f>
        <v>17.19</v>
      </c>
      <c r="O57" s="7">
        <f>ROUND(IF(('Entity Inputs'!Y13+'Entity Inputs'!BZ13+'Entity Inputs'!CF13)=0,0,('Entity Inputs'!CD13+'Entity Inputs'!CE13)/('Entity Inputs'!Y13+'Entity Inputs'!BZ13+'Entity Inputs'!CF13)),2)</f>
        <v>18.26</v>
      </c>
      <c r="P57" s="7">
        <f>ROUND(IF(('Entity Inputs'!Y14+'Entity Inputs'!BZ14+'Entity Inputs'!CF14)=0,0,('Entity Inputs'!CD14+'Entity Inputs'!CE14)/('Entity Inputs'!Y14+'Entity Inputs'!BZ14+'Entity Inputs'!CF14)),2)</f>
        <v>17.54</v>
      </c>
      <c r="Q57" s="7">
        <f>ROUND(IF(('Entity Inputs'!Y15+'Entity Inputs'!BZ15+'Entity Inputs'!CF15)=0,0,('Entity Inputs'!CD15+'Entity Inputs'!CE15)/('Entity Inputs'!Y15+'Entity Inputs'!BZ15+'Entity Inputs'!CF15)),2)</f>
        <v>18.11</v>
      </c>
    </row>
    <row r="58" spans="1:17">
      <c r="A58" s="6" t="s">
        <v>624</v>
      </c>
      <c r="B58" s="6" t="s">
        <v>625</v>
      </c>
      <c r="C58" s="6" t="s">
        <v>455</v>
      </c>
      <c r="D58" s="6" t="s">
        <v>577</v>
      </c>
      <c r="E58" s="6" t="s">
        <v>626</v>
      </c>
      <c r="F58" s="7">
        <f>ROUND(IF('Entity Inputs'!GG4=0,0,100*(Parameters!$B$4-'Entity Inputs'!GF4/'Entity Inputs'!GG4)/Parameters!$B$4),2)</f>
        <v>24.54</v>
      </c>
      <c r="G58" s="7">
        <f>ROUND(IF('Entity Inputs'!GG5=0,0,100*(Parameters!$B$4-'Entity Inputs'!GF5/'Entity Inputs'!GG5)/Parameters!$B$4),2)</f>
        <v>-6.45</v>
      </c>
      <c r="H58" s="7">
        <f>ROUND(IF('Entity Inputs'!GG6=0,0,100*(Parameters!$B$4-'Entity Inputs'!GF6/'Entity Inputs'!GG6)/Parameters!$B$4),2)</f>
        <v>-0.66</v>
      </c>
      <c r="I58" s="7">
        <f>ROUND(IF('Entity Inputs'!GG7=0,0,100*(Parameters!$B$4-'Entity Inputs'!GF7/'Entity Inputs'!GG7)/Parameters!$B$4),2)</f>
        <v>10.37</v>
      </c>
      <c r="J58" s="7">
        <f>ROUND(IF('Entity Inputs'!GG8=0,0,100*(Parameters!$B$4-'Entity Inputs'!GF8/'Entity Inputs'!GG8)/Parameters!$B$4),2)</f>
        <v>11.77</v>
      </c>
      <c r="K58" s="7">
        <f>ROUND(IF('Entity Inputs'!GG9=0,0,100*(Parameters!$B$4-'Entity Inputs'!GF9/'Entity Inputs'!GG9)/Parameters!$B$4),2)</f>
        <v>18.93</v>
      </c>
      <c r="L58" s="7">
        <f>ROUND(IF('Entity Inputs'!GG10=0,0,100*(Parameters!$B$4-'Entity Inputs'!GF10/'Entity Inputs'!GG10)/Parameters!$B$4),2)</f>
        <v>30.78</v>
      </c>
      <c r="M58" s="7">
        <f>ROUND(IF('Entity Inputs'!GG11=0,0,100*(Parameters!$B$4-'Entity Inputs'!GF11/'Entity Inputs'!GG11)/Parameters!$B$4),2)</f>
        <v>37.68</v>
      </c>
      <c r="N58" s="7">
        <f>ROUND(IF('Entity Inputs'!GG12=0,0,100*(Parameters!$B$4-'Entity Inputs'!GF12/'Entity Inputs'!GG12)/Parameters!$B$4),2)</f>
        <v>29.76</v>
      </c>
      <c r="O58" s="7">
        <f>ROUND(IF('Entity Inputs'!GG13=0,0,100*(Parameters!$B$4-'Entity Inputs'!GF13/'Entity Inputs'!GG13)/Parameters!$B$4),2)</f>
        <v>26.89</v>
      </c>
      <c r="P58" s="7">
        <f>ROUND(IF('Entity Inputs'!GG14=0,0,100*(Parameters!$B$4-'Entity Inputs'!GF14/'Entity Inputs'!GG14)/Parameters!$B$4),2)</f>
        <v>24.04</v>
      </c>
      <c r="Q58" s="7">
        <f>ROUND(IF('Entity Inputs'!GG15=0,0,100*(Parameters!$B$4-'Entity Inputs'!GF15/'Entity Inputs'!GG15)/Parameters!$B$4),2)</f>
        <v>30.08</v>
      </c>
    </row>
    <row r="59" spans="1:17">
      <c r="A59" s="6" t="s">
        <v>627</v>
      </c>
      <c r="B59" s="6" t="s">
        <v>628</v>
      </c>
      <c r="C59" s="6" t="s">
        <v>560</v>
      </c>
      <c r="D59" s="6" t="s">
        <v>577</v>
      </c>
      <c r="E59" s="6" t="s">
        <v>629</v>
      </c>
      <c r="F59" s="7">
        <f>ROUND('Entity Inputs'!CG4/1000,2)</f>
        <v>442.62</v>
      </c>
      <c r="G59" s="7">
        <f>ROUND('Entity Inputs'!CG5/1000,2)</f>
        <v>484.6</v>
      </c>
      <c r="H59" s="7">
        <f>ROUND('Entity Inputs'!CG6/1000,2)</f>
        <v>476.22</v>
      </c>
      <c r="I59" s="7">
        <f>ROUND('Entity Inputs'!CG7/1000,2)</f>
        <v>484.74</v>
      </c>
      <c r="J59" s="7">
        <f>ROUND('Entity Inputs'!CG8/1000,2)</f>
        <v>430.02</v>
      </c>
      <c r="K59" s="7">
        <f>ROUND('Entity Inputs'!CG9/1000,2)</f>
        <v>486.34</v>
      </c>
      <c r="L59" s="7">
        <f>ROUND('Entity Inputs'!CG10/1000,2)</f>
        <v>401.68</v>
      </c>
      <c r="M59" s="7">
        <f>ROUND('Entity Inputs'!CG11/1000,2)</f>
        <v>438.32</v>
      </c>
      <c r="N59" s="7">
        <f>ROUND('Entity Inputs'!CG12/1000,2)</f>
        <v>405.01</v>
      </c>
      <c r="O59" s="7">
        <f>ROUND('Entity Inputs'!CG13/1000,2)</f>
        <v>425.57</v>
      </c>
      <c r="P59" s="7">
        <f>ROUND('Entity Inputs'!CG14/1000,2)</f>
        <v>436.1</v>
      </c>
      <c r="Q59" s="7">
        <f>ROUND('Entity Inputs'!CG15/1000,2)</f>
        <v>405.07</v>
      </c>
    </row>
    <row r="60" spans="1:17">
      <c r="A60" s="6" t="s">
        <v>630</v>
      </c>
      <c r="B60" s="6" t="s">
        <v>631</v>
      </c>
      <c r="C60" s="6" t="s">
        <v>560</v>
      </c>
      <c r="D60" s="6" t="s">
        <v>577</v>
      </c>
      <c r="E60" s="6" t="s">
        <v>632</v>
      </c>
      <c r="F60" s="7">
        <f>ROUND('Entity Inputs'!CH4/1000,2)</f>
        <v>1357.98</v>
      </c>
      <c r="G60" s="7">
        <f>ROUND('Entity Inputs'!CH5/1000,2)</f>
        <v>1326.72</v>
      </c>
      <c r="H60" s="7">
        <f>ROUND('Entity Inputs'!CH6/1000,2)</f>
        <v>1378.11</v>
      </c>
      <c r="I60" s="7">
        <f>ROUND('Entity Inputs'!CH7/1000,2)</f>
        <v>1328.59</v>
      </c>
      <c r="J60" s="7">
        <f>ROUND('Entity Inputs'!CH8/1000,2)</f>
        <v>1434.55</v>
      </c>
      <c r="K60" s="7">
        <f>ROUND('Entity Inputs'!CH9/1000,2)</f>
        <v>1440.7</v>
      </c>
      <c r="L60" s="7">
        <f>ROUND('Entity Inputs'!CH10/1000,2)</f>
        <v>1363.48</v>
      </c>
      <c r="M60" s="7">
        <f>ROUND('Entity Inputs'!CH11/1000,2)</f>
        <v>1192.54</v>
      </c>
      <c r="N60" s="7">
        <f>ROUND('Entity Inputs'!CH12/1000,2)</f>
        <v>1190.07</v>
      </c>
      <c r="O60" s="7">
        <f>ROUND('Entity Inputs'!CH13/1000,2)</f>
        <v>1293.89</v>
      </c>
      <c r="P60" s="7">
        <f>ROUND('Entity Inputs'!CH14/1000,2)</f>
        <v>1192.97</v>
      </c>
      <c r="Q60" s="7">
        <f>ROUND('Entity Inputs'!CH15/1000,2)</f>
        <v>1280.13</v>
      </c>
    </row>
    <row r="61" spans="1:17">
      <c r="A61" s="6" t="s">
        <v>633</v>
      </c>
      <c r="B61" s="6" t="s">
        <v>634</v>
      </c>
      <c r="C61" s="6" t="s">
        <v>560</v>
      </c>
      <c r="D61" s="6" t="s">
        <v>577</v>
      </c>
      <c r="E61" s="6" t="s">
        <v>635</v>
      </c>
      <c r="F61" s="7">
        <f>ROUND(('Entity Inputs'!DA4-'Entity Inputs'!DB4)/1000,2)</f>
        <v>111.15</v>
      </c>
      <c r="G61" s="7">
        <f>ROUND(('Entity Inputs'!DA5-'Entity Inputs'!DB5)/1000,2)</f>
        <v>124.42</v>
      </c>
      <c r="H61" s="7">
        <f>ROUND(('Entity Inputs'!DA6-'Entity Inputs'!DB6)/1000,2)</f>
        <v>112.48</v>
      </c>
      <c r="I61" s="7">
        <f>ROUND(('Entity Inputs'!DA7-'Entity Inputs'!DB7)/1000,2)</f>
        <v>122.91</v>
      </c>
      <c r="J61" s="7">
        <f>ROUND(('Entity Inputs'!DA8-'Entity Inputs'!DB8)/1000,2)</f>
        <v>131.19</v>
      </c>
      <c r="K61" s="7">
        <f>ROUND(('Entity Inputs'!DA9-'Entity Inputs'!DB9)/1000,2)</f>
        <v>123.27</v>
      </c>
      <c r="L61" s="7">
        <f>ROUND(('Entity Inputs'!DA10-'Entity Inputs'!DB10)/1000,2)</f>
        <v>79.64</v>
      </c>
      <c r="M61" s="7">
        <f>ROUND(('Entity Inputs'!DA11-'Entity Inputs'!DB11)/1000,2)</f>
        <v>83.08</v>
      </c>
      <c r="N61" s="7">
        <f>ROUND(('Entity Inputs'!DA12-'Entity Inputs'!DB12)/1000,2)</f>
        <v>75.8</v>
      </c>
      <c r="O61" s="7">
        <f>ROUND(('Entity Inputs'!DA13-'Entity Inputs'!DB13)/1000,2)</f>
        <v>104.88</v>
      </c>
      <c r="P61" s="7">
        <f>ROUND(('Entity Inputs'!DA14-'Entity Inputs'!DB14)/1000,2)</f>
        <v>94.34</v>
      </c>
      <c r="Q61" s="7">
        <f>ROUND(('Entity Inputs'!DA15-'Entity Inputs'!DB15)/1000,2)</f>
        <v>98.46</v>
      </c>
    </row>
    <row r="62" spans="1:17">
      <c r="A62" s="6" t="s">
        <v>636</v>
      </c>
      <c r="B62" s="6" t="s">
        <v>637</v>
      </c>
      <c r="C62" s="6" t="s">
        <v>455</v>
      </c>
      <c r="D62" s="6" t="s">
        <v>25</v>
      </c>
      <c r="E62" s="6" t="s">
        <v>638</v>
      </c>
      <c r="F62" s="7">
        <f>ROUND(IF('Entity Inputs'!DF4=0,0,100*'Entity Inputs'!DE4/'Entity Inputs'!DF4),2)</f>
        <v>89.37</v>
      </c>
      <c r="G62" s="7">
        <f>ROUND(IF('Entity Inputs'!DF5=0,0,100*'Entity Inputs'!DE5/'Entity Inputs'!DF5),2)</f>
        <v>91.23</v>
      </c>
      <c r="H62" s="7">
        <f>ROUND(IF('Entity Inputs'!DF6=0,0,100*'Entity Inputs'!DE6/'Entity Inputs'!DF6),2)</f>
        <v>93.56</v>
      </c>
      <c r="I62" s="7">
        <f>ROUND(IF('Entity Inputs'!DF7=0,0,100*'Entity Inputs'!DE7/'Entity Inputs'!DF7),2)</f>
        <v>88.05</v>
      </c>
      <c r="J62" s="7">
        <f>ROUND(IF('Entity Inputs'!DF8=0,0,100*'Entity Inputs'!DE8/'Entity Inputs'!DF8),2)</f>
        <v>92.8</v>
      </c>
      <c r="K62" s="7">
        <f>ROUND(IF('Entity Inputs'!DF9=0,0,100*'Entity Inputs'!DE9/'Entity Inputs'!DF9),2)</f>
        <v>91.55</v>
      </c>
      <c r="L62" s="7">
        <f>ROUND(IF('Entity Inputs'!DF10=0,0,100*'Entity Inputs'!DE10/'Entity Inputs'!DF10),2)</f>
        <v>88.74</v>
      </c>
      <c r="M62" s="7">
        <f>ROUND(IF('Entity Inputs'!DF11=0,0,100*'Entity Inputs'!DE11/'Entity Inputs'!DF11),2)</f>
        <v>93.84</v>
      </c>
      <c r="N62" s="7">
        <f>ROUND(IF('Entity Inputs'!DF12=0,0,100*'Entity Inputs'!DE12/'Entity Inputs'!DF12),2)</f>
        <v>91.98</v>
      </c>
      <c r="O62" s="7">
        <f>ROUND(IF('Entity Inputs'!DF13=0,0,100*'Entity Inputs'!DE13/'Entity Inputs'!DF13),2)</f>
        <v>93.2</v>
      </c>
      <c r="P62" s="7">
        <f>ROUND(IF('Entity Inputs'!DF14=0,0,100*'Entity Inputs'!DE14/'Entity Inputs'!DF14),2)</f>
        <v>93.29</v>
      </c>
      <c r="Q62" s="7">
        <f>ROUND(IF('Entity Inputs'!DF15=0,0,100*'Entity Inputs'!DE15/'Entity Inputs'!DF15),2)</f>
        <v>91.96</v>
      </c>
    </row>
    <row r="63" spans="1:17">
      <c r="A63" s="6" t="s">
        <v>639</v>
      </c>
      <c r="B63" s="6" t="s">
        <v>640</v>
      </c>
      <c r="C63" s="6" t="s">
        <v>455</v>
      </c>
      <c r="D63" s="6" t="s">
        <v>577</v>
      </c>
      <c r="E63" s="6" t="s">
        <v>641</v>
      </c>
      <c r="F63" s="7">
        <f>ROUND(IF(('Entity Inputs'!DA4-'Entity Inputs'!DB4)=0,0,100*('Entity Inputs'!DC4-'Entity Inputs'!DD4)/('Entity Inputs'!DA4-'Entity Inputs'!DB4)),2)</f>
        <v>81.43</v>
      </c>
      <c r="G63" s="7">
        <f>ROUND(IF(('Entity Inputs'!DA5-'Entity Inputs'!DB5)=0,0,100*('Entity Inputs'!DC5-'Entity Inputs'!DD5)/('Entity Inputs'!DA5-'Entity Inputs'!DB5)),2)</f>
        <v>76.41</v>
      </c>
      <c r="H63" s="7">
        <f>ROUND(IF(('Entity Inputs'!DA6-'Entity Inputs'!DB6)=0,0,100*('Entity Inputs'!DC6-'Entity Inputs'!DD6)/('Entity Inputs'!DA6-'Entity Inputs'!DB6)),2)</f>
        <v>77.61</v>
      </c>
      <c r="I63" s="7">
        <f>ROUND(IF(('Entity Inputs'!DA7-'Entity Inputs'!DB7)=0,0,100*('Entity Inputs'!DC7-'Entity Inputs'!DD7)/('Entity Inputs'!DA7-'Entity Inputs'!DB7)),2)</f>
        <v>79.94</v>
      </c>
      <c r="J63" s="7">
        <f>ROUND(IF(('Entity Inputs'!DA8-'Entity Inputs'!DB8)=0,0,100*('Entity Inputs'!DC8-'Entity Inputs'!DD8)/('Entity Inputs'!DA8-'Entity Inputs'!DB8)),2)</f>
        <v>68.66</v>
      </c>
      <c r="K63" s="7">
        <f>ROUND(IF(('Entity Inputs'!DA9-'Entity Inputs'!DB9)=0,0,100*('Entity Inputs'!DC9-'Entity Inputs'!DD9)/('Entity Inputs'!DA9-'Entity Inputs'!DB9)),2)</f>
        <v>80.51</v>
      </c>
      <c r="L63" s="7">
        <f>ROUND(IF(('Entity Inputs'!DA10-'Entity Inputs'!DB10)=0,0,100*('Entity Inputs'!DC10-'Entity Inputs'!DD10)/('Entity Inputs'!DA10-'Entity Inputs'!DB10)),2)</f>
        <v>78.54</v>
      </c>
      <c r="M63" s="7">
        <f>ROUND(IF(('Entity Inputs'!DA11-'Entity Inputs'!DB11)=0,0,100*('Entity Inputs'!DC11-'Entity Inputs'!DD11)/('Entity Inputs'!DA11-'Entity Inputs'!DB11)),2)</f>
        <v>90.75</v>
      </c>
      <c r="N63" s="7">
        <f>ROUND(IF(('Entity Inputs'!DA12-'Entity Inputs'!DB12)=0,0,100*('Entity Inputs'!DC12-'Entity Inputs'!DD12)/('Entity Inputs'!DA12-'Entity Inputs'!DB12)),2)</f>
        <v>79.94</v>
      </c>
      <c r="O63" s="7">
        <f>ROUND(IF(('Entity Inputs'!DA13-'Entity Inputs'!DB13)=0,0,100*('Entity Inputs'!DC13-'Entity Inputs'!DD13)/('Entity Inputs'!DA13-'Entity Inputs'!DB13)),2)</f>
        <v>80.77</v>
      </c>
      <c r="P63" s="7">
        <f>ROUND(IF(('Entity Inputs'!DA14-'Entity Inputs'!DB14)=0,0,100*('Entity Inputs'!DC14-'Entity Inputs'!DD14)/('Entity Inputs'!DA14-'Entity Inputs'!DB14)),2)</f>
        <v>75.1</v>
      </c>
      <c r="Q63" s="7">
        <f>ROUND(IF(('Entity Inputs'!DA15-'Entity Inputs'!DB15)=0,0,100*('Entity Inputs'!DC15-'Entity Inputs'!DD15)/('Entity Inputs'!DA15-'Entity Inputs'!DB15)),2)</f>
        <v>69.97</v>
      </c>
    </row>
    <row r="64" spans="1:17">
      <c r="A64" s="6" t="s">
        <v>642</v>
      </c>
      <c r="B64" s="6" t="s">
        <v>643</v>
      </c>
      <c r="C64" s="6" t="s">
        <v>455</v>
      </c>
      <c r="D64" s="6" t="s">
        <v>644</v>
      </c>
      <c r="E64" s="6" t="s">
        <v>645</v>
      </c>
      <c r="F64" s="7">
        <f>ROUND(IF('Entity Inputs'!DG4=0,0,100*'Entity Inputs'!DH4/'Entity Inputs'!DG4),2)</f>
        <v>77.51</v>
      </c>
      <c r="G64" s="7">
        <f>ROUND(IF('Entity Inputs'!DG5=0,0,100*'Entity Inputs'!DH5/'Entity Inputs'!DG5),2)</f>
        <v>78.18</v>
      </c>
      <c r="H64" s="7">
        <f>ROUND(IF('Entity Inputs'!DG6=0,0,100*'Entity Inputs'!DH6/'Entity Inputs'!DG6),2)</f>
        <v>75.94</v>
      </c>
      <c r="I64" s="7">
        <f>ROUND(IF('Entity Inputs'!DG7=0,0,100*'Entity Inputs'!DH7/'Entity Inputs'!DG7),2)</f>
        <v>75.89</v>
      </c>
      <c r="J64" s="7">
        <f>ROUND(IF('Entity Inputs'!DG8=0,0,100*'Entity Inputs'!DH8/'Entity Inputs'!DG8),2)</f>
        <v>77.81</v>
      </c>
      <c r="K64" s="7">
        <f>ROUND(IF('Entity Inputs'!DG9=0,0,100*'Entity Inputs'!DH9/'Entity Inputs'!DG9),2)</f>
        <v>77.9</v>
      </c>
      <c r="L64" s="7">
        <f>ROUND(IF('Entity Inputs'!DG10=0,0,100*'Entity Inputs'!DH10/'Entity Inputs'!DG10),2)</f>
        <v>59.58</v>
      </c>
      <c r="M64" s="7">
        <f>ROUND(IF('Entity Inputs'!DG11=0,0,100*'Entity Inputs'!DH11/'Entity Inputs'!DG11),2)</f>
        <v>61.12</v>
      </c>
      <c r="N64" s="7">
        <f>ROUND(IF('Entity Inputs'!DG12=0,0,100*'Entity Inputs'!DH12/'Entity Inputs'!DG12),2)</f>
        <v>61.24</v>
      </c>
      <c r="O64" s="7">
        <f>ROUND(IF('Entity Inputs'!DG13=0,0,100*'Entity Inputs'!DH13/'Entity Inputs'!DG13),2)</f>
        <v>58.59</v>
      </c>
      <c r="P64" s="7">
        <f>ROUND(IF('Entity Inputs'!DG14=0,0,100*'Entity Inputs'!DH14/'Entity Inputs'!DG14),2)</f>
        <v>58.22</v>
      </c>
      <c r="Q64" s="7">
        <f>ROUND(IF('Entity Inputs'!DG15=0,0,100*'Entity Inputs'!DH15/'Entity Inputs'!DG15),2)</f>
        <v>61.09</v>
      </c>
    </row>
    <row r="65" spans="1:17">
      <c r="A65" s="6" t="s">
        <v>646</v>
      </c>
      <c r="B65" s="6" t="s">
        <v>647</v>
      </c>
      <c r="C65" s="6" t="s">
        <v>560</v>
      </c>
      <c r="D65" s="6" t="s">
        <v>577</v>
      </c>
      <c r="E65" s="6" t="s">
        <v>648</v>
      </c>
      <c r="F65" s="7">
        <f>ROUND(0.05*('Entity Inputs'!DC4-'Entity Inputs'!DD4)/1000,2)</f>
        <v>4.53</v>
      </c>
      <c r="G65" s="7">
        <f>ROUND(0.05*('Entity Inputs'!DC5-'Entity Inputs'!DD5)/1000,2)</f>
        <v>4.75</v>
      </c>
      <c r="H65" s="7">
        <f>ROUND(0.05*('Entity Inputs'!DC6-'Entity Inputs'!DD6)/1000,2)</f>
        <v>4.36</v>
      </c>
      <c r="I65" s="7">
        <f>ROUND(0.05*('Entity Inputs'!DC7-'Entity Inputs'!DD7)/1000,2)</f>
        <v>4.91</v>
      </c>
      <c r="J65" s="7">
        <f>ROUND(0.05*('Entity Inputs'!DC8-'Entity Inputs'!DD8)/1000,2)</f>
        <v>4.5</v>
      </c>
      <c r="K65" s="7">
        <f>ROUND(0.05*('Entity Inputs'!DC9-'Entity Inputs'!DD9)/1000,2)</f>
        <v>4.96</v>
      </c>
      <c r="L65" s="7">
        <f>ROUND(0.05*('Entity Inputs'!DC10-'Entity Inputs'!DD10)/1000,2)</f>
        <v>3.13</v>
      </c>
      <c r="M65" s="7">
        <f>ROUND(0.05*('Entity Inputs'!DC11-'Entity Inputs'!DD11)/1000,2)</f>
        <v>3.77</v>
      </c>
      <c r="N65" s="7">
        <f>ROUND(0.05*('Entity Inputs'!DC12-'Entity Inputs'!DD12)/1000,2)</f>
        <v>3.03</v>
      </c>
      <c r="O65" s="7">
        <f>ROUND(0.05*('Entity Inputs'!DC13-'Entity Inputs'!DD13)/1000,2)</f>
        <v>4.24</v>
      </c>
      <c r="P65" s="7">
        <f>ROUND(0.05*('Entity Inputs'!DC14-'Entity Inputs'!DD14)/1000,2)</f>
        <v>3.54</v>
      </c>
      <c r="Q65" s="7">
        <f>ROUND(0.05*('Entity Inputs'!DC15-'Entity Inputs'!DD15)/1000,2)</f>
        <v>3.44</v>
      </c>
    </row>
    <row r="66" spans="1:17">
      <c r="A66" s="6" t="s">
        <v>649</v>
      </c>
      <c r="B66" s="6" t="s">
        <v>650</v>
      </c>
      <c r="C66" s="6" t="s">
        <v>560</v>
      </c>
      <c r="D66" s="6" t="s">
        <v>651</v>
      </c>
      <c r="E66" s="6" t="s">
        <v>652</v>
      </c>
      <c r="F66" s="7">
        <f>ROUND('Entity Inputs'!DI4/1000,2)</f>
        <v>1000.0</v>
      </c>
      <c r="G66" s="7">
        <f>ROUND('Entity Inputs'!DI5/1000,2)</f>
        <v>1000.0</v>
      </c>
      <c r="H66" s="7">
        <f>ROUND('Entity Inputs'!DI6/1000,2)</f>
        <v>1000.0</v>
      </c>
      <c r="I66" s="7">
        <f>ROUND('Entity Inputs'!DI7/1000,2)</f>
        <v>1000.0</v>
      </c>
      <c r="J66" s="7">
        <f>ROUND('Entity Inputs'!DI8/1000,2)</f>
        <v>1000.0</v>
      </c>
      <c r="K66" s="7">
        <f>ROUND('Entity Inputs'!DI9/1000,2)</f>
        <v>1000.0</v>
      </c>
      <c r="L66" s="7">
        <f>ROUND('Entity Inputs'!DI10/1000,2)</f>
        <v>860.0</v>
      </c>
      <c r="M66" s="7">
        <f>ROUND('Entity Inputs'!DI11/1000,2)</f>
        <v>860.0</v>
      </c>
      <c r="N66" s="7">
        <f>ROUND('Entity Inputs'!DI12/1000,2)</f>
        <v>860.0</v>
      </c>
      <c r="O66" s="7">
        <f>ROUND('Entity Inputs'!DI13/1000,2)</f>
        <v>860.0</v>
      </c>
      <c r="P66" s="7">
        <f>ROUND('Entity Inputs'!DI14/1000,2)</f>
        <v>860.0</v>
      </c>
      <c r="Q66" s="7">
        <f>ROUND('Entity Inputs'!DI15/1000,2)</f>
        <v>860.0</v>
      </c>
    </row>
    <row r="67" spans="1:17">
      <c r="A67" s="6" t="s">
        <v>653</v>
      </c>
      <c r="B67" s="6" t="s">
        <v>654</v>
      </c>
      <c r="C67" s="6" t="s">
        <v>560</v>
      </c>
      <c r="D67" s="6" t="s">
        <v>655</v>
      </c>
      <c r="E67" s="6" t="s">
        <v>656</v>
      </c>
      <c r="F67" s="7">
        <f>ROUND('Entity Inputs'!DJ4/1000,2)</f>
        <v>449.05</v>
      </c>
      <c r="G67" s="7">
        <f>ROUND('Entity Inputs'!DJ5/1000,2)</f>
        <v>500.86</v>
      </c>
      <c r="H67" s="7">
        <f>ROUND('Entity Inputs'!DJ6/1000,2)</f>
        <v>561.02</v>
      </c>
      <c r="I67" s="7">
        <f>ROUND('Entity Inputs'!DJ7/1000,2)</f>
        <v>608.68</v>
      </c>
      <c r="J67" s="7">
        <f>ROUND('Entity Inputs'!DJ8/1000,2)</f>
        <v>671.48</v>
      </c>
      <c r="K67" s="7">
        <f>ROUND('Entity Inputs'!DJ9/1000,2)</f>
        <v>722.63</v>
      </c>
      <c r="L67" s="7">
        <f>ROUND('Entity Inputs'!DJ10/1000,2)</f>
        <v>389.48</v>
      </c>
      <c r="M67" s="7">
        <f>ROUND('Entity Inputs'!DJ11/1000,2)</f>
        <v>432.47</v>
      </c>
      <c r="N67" s="7">
        <f>ROUND('Entity Inputs'!DJ12/1000,2)</f>
        <v>476.24</v>
      </c>
      <c r="O67" s="7">
        <f>ROUND('Entity Inputs'!DJ13/1000,2)</f>
        <v>526.17</v>
      </c>
      <c r="P67" s="7">
        <f>ROUND('Entity Inputs'!DJ14/1000,2)</f>
        <v>567.05</v>
      </c>
      <c r="Q67" s="7">
        <f>ROUND('Entity Inputs'!DJ15/1000,2)</f>
        <v>625.1</v>
      </c>
    </row>
    <row r="68" spans="1:17">
      <c r="A68" s="6" t="s">
        <v>657</v>
      </c>
      <c r="B68" s="6" t="s">
        <v>658</v>
      </c>
      <c r="C68" s="6" t="s">
        <v>560</v>
      </c>
      <c r="D68" s="6" t="s">
        <v>561</v>
      </c>
      <c r="E68" s="6" t="s">
        <v>659</v>
      </c>
      <c r="F68" s="7">
        <f>ROUND(SUM('Entity Inputs'!DK$4:DK4)/1000,2)</f>
        <v>76.78</v>
      </c>
      <c r="G68" s="7">
        <f>ROUND(SUM('Entity Inputs'!DK$4:DK5)/1000,2)</f>
        <v>151.95</v>
      </c>
      <c r="H68" s="7">
        <f>ROUND(SUM('Entity Inputs'!DK$4:DK6)/1000,2)</f>
        <v>225.58</v>
      </c>
      <c r="I68" s="7">
        <f>ROUND(SUM('Entity Inputs'!DK$4:DK7)/1000,2)</f>
        <v>306.48</v>
      </c>
      <c r="J68" s="7">
        <f>ROUND(SUM('Entity Inputs'!DK$4:DK8)/1000,2)</f>
        <v>388.94</v>
      </c>
      <c r="K68" s="7">
        <f>ROUND(SUM('Entity Inputs'!DK$4:DK9)/1000,2)</f>
        <v>468.11</v>
      </c>
      <c r="L68" s="7">
        <f>ROUND(SUM('Entity Inputs'!DK$10:DK10)/1000,2)</f>
        <v>69.78</v>
      </c>
      <c r="M68" s="7">
        <f>ROUND(SUM('Entity Inputs'!DK$10:DK11)/1000,2)</f>
        <v>139.67</v>
      </c>
      <c r="N68" s="7">
        <f>ROUND(SUM('Entity Inputs'!DK$10:DK12)/1000,2)</f>
        <v>209.69</v>
      </c>
      <c r="O68" s="7">
        <f>ROUND(SUM('Entity Inputs'!DK$10:DK13)/1000,2)</f>
        <v>276.42</v>
      </c>
      <c r="P68" s="7">
        <f>ROUND(SUM('Entity Inputs'!DK$10:DK14)/1000,2)</f>
        <v>345.89</v>
      </c>
      <c r="Q68" s="7">
        <f>ROUND(SUM('Entity Inputs'!DK$10:DK15)/1000,2)</f>
        <v>411.6</v>
      </c>
    </row>
    <row r="69" spans="1:17">
      <c r="A69" s="6" t="s">
        <v>660</v>
      </c>
      <c r="B69" s="6" t="s">
        <v>661</v>
      </c>
      <c r="C69" s="6" t="s">
        <v>455</v>
      </c>
      <c r="D69" s="6" t="s">
        <v>655</v>
      </c>
      <c r="E69" s="6" t="s">
        <v>662</v>
      </c>
      <c r="F69" s="7">
        <f>ROUND(IF('Entity Inputs'!DI4=0,0,100*'Entity Inputs'!DL4/'Entity Inputs'!DI4),2)</f>
        <v>38.0</v>
      </c>
      <c r="G69" s="7">
        <f>ROUND(IF('Entity Inputs'!DI5=0,0,100*'Entity Inputs'!DL5/'Entity Inputs'!DI5),2)</f>
        <v>42.2</v>
      </c>
      <c r="H69" s="7">
        <f>ROUND(IF('Entity Inputs'!DI6=0,0,100*'Entity Inputs'!DL6/'Entity Inputs'!DI6),2)</f>
        <v>46.4</v>
      </c>
      <c r="I69" s="7">
        <f>ROUND(IF('Entity Inputs'!DI7=0,0,100*'Entity Inputs'!DL7/'Entity Inputs'!DI7),2)</f>
        <v>50.6</v>
      </c>
      <c r="J69" s="7">
        <f>ROUND(IF('Entity Inputs'!DI8=0,0,100*'Entity Inputs'!DL8/'Entity Inputs'!DI8),2)</f>
        <v>54.8</v>
      </c>
      <c r="K69" s="7">
        <f>ROUND(IF('Entity Inputs'!DI9=0,0,100*'Entity Inputs'!DL9/'Entity Inputs'!DI9),2)</f>
        <v>59.0</v>
      </c>
      <c r="L69" s="7">
        <f>ROUND(IF('Entity Inputs'!DI10=0,0,100*'Entity Inputs'!DL10/'Entity Inputs'!DI10),2)</f>
        <v>38.0</v>
      </c>
      <c r="M69" s="7">
        <f>ROUND(IF('Entity Inputs'!DI11=0,0,100*'Entity Inputs'!DL11/'Entity Inputs'!DI11),2)</f>
        <v>43.0</v>
      </c>
      <c r="N69" s="7">
        <f>ROUND(IF('Entity Inputs'!DI12=0,0,100*'Entity Inputs'!DL12/'Entity Inputs'!DI12),2)</f>
        <v>48.0</v>
      </c>
      <c r="O69" s="7">
        <f>ROUND(IF('Entity Inputs'!DI13=0,0,100*'Entity Inputs'!DL13/'Entity Inputs'!DI13),2)</f>
        <v>53.0</v>
      </c>
      <c r="P69" s="7">
        <f>ROUND(IF('Entity Inputs'!DI14=0,0,100*'Entity Inputs'!DL14/'Entity Inputs'!DI14),2)</f>
        <v>58.0</v>
      </c>
      <c r="Q69" s="7">
        <f>ROUND(IF('Entity Inputs'!DI15=0,0,100*'Entity Inputs'!DL15/'Entity Inputs'!DI15),2)</f>
        <v>63.0</v>
      </c>
    </row>
    <row r="70" spans="1:17">
      <c r="A70" s="6" t="s">
        <v>663</v>
      </c>
      <c r="B70" s="6" t="s">
        <v>664</v>
      </c>
      <c r="C70" s="6" t="s">
        <v>560</v>
      </c>
      <c r="D70" s="6" t="s">
        <v>577</v>
      </c>
      <c r="E70" s="6" t="s">
        <v>665</v>
      </c>
      <c r="F70" s="7">
        <f>ROUND('Entity Inputs'!DM4/1000,2)</f>
        <v>22.27</v>
      </c>
      <c r="G70" s="7">
        <f>ROUND('Entity Inputs'!DM5/1000,2)</f>
        <v>25.53</v>
      </c>
      <c r="H70" s="7">
        <f>ROUND('Entity Inputs'!DM6/1000,2)</f>
        <v>21.95</v>
      </c>
      <c r="I70" s="7">
        <f>ROUND('Entity Inputs'!DM7/1000,2)</f>
        <v>24.16</v>
      </c>
      <c r="J70" s="7">
        <f>ROUND('Entity Inputs'!DM8/1000,2)</f>
        <v>21.56</v>
      </c>
      <c r="K70" s="7">
        <f>ROUND('Entity Inputs'!DM9/1000,2)</f>
        <v>20.8</v>
      </c>
      <c r="L70" s="7">
        <f>ROUND('Entity Inputs'!DM10/1000,2)</f>
        <v>116.97</v>
      </c>
      <c r="M70" s="7">
        <f>ROUND('Entity Inputs'!DM11/1000,2)</f>
        <v>136.3</v>
      </c>
      <c r="N70" s="7">
        <f>ROUND('Entity Inputs'!DM12/1000,2)</f>
        <v>130.33</v>
      </c>
      <c r="O70" s="7">
        <f>ROUND('Entity Inputs'!DM13/1000,2)</f>
        <v>129.81</v>
      </c>
      <c r="P70" s="7">
        <f>ROUND('Entity Inputs'!DM14/1000,2)</f>
        <v>131.53</v>
      </c>
      <c r="Q70" s="7">
        <f>ROUND('Entity Inputs'!DM15/1000,2)</f>
        <v>127.23</v>
      </c>
    </row>
    <row r="71" spans="1:17">
      <c r="A71" s="6" t="s">
        <v>666</v>
      </c>
      <c r="B71" s="6" t="s">
        <v>667</v>
      </c>
      <c r="C71" s="6" t="s">
        <v>668</v>
      </c>
      <c r="D71" s="6" t="s">
        <v>577</v>
      </c>
      <c r="E71" s="6" t="s">
        <v>669</v>
      </c>
      <c r="F71" s="8" t="str">
        <f>'Entity Inputs'!DN4&amp;" on track · "&amp;'Entity Inputs'!DO4&amp;" at risk · "&amp;'Entity Inputs'!DP4&amp;" off track"</f>
        <v>5 on track · 1 at risk · 0 off track</v>
      </c>
      <c r="G71" s="8" t="str">
        <f>'Entity Inputs'!DN5&amp;" on track · "&amp;'Entity Inputs'!DO5&amp;" at risk · "&amp;'Entity Inputs'!DP5&amp;" off track"</f>
        <v>5 on track · 1 at risk · 0 off track</v>
      </c>
      <c r="H71" s="8" t="str">
        <f>'Entity Inputs'!DN6&amp;" on track · "&amp;'Entity Inputs'!DO6&amp;" at risk · "&amp;'Entity Inputs'!DP6&amp;" off track"</f>
        <v>5 on track · 1 at risk · 0 off track</v>
      </c>
      <c r="I71" s="8" t="str">
        <f>'Entity Inputs'!DN7&amp;" on track · "&amp;'Entity Inputs'!DO7&amp;" at risk · "&amp;'Entity Inputs'!DP7&amp;" off track"</f>
        <v>5 on track · 1 at risk · 0 off track</v>
      </c>
      <c r="J71" s="8" t="str">
        <f>'Entity Inputs'!DN8&amp;" on track · "&amp;'Entity Inputs'!DO8&amp;" at risk · "&amp;'Entity Inputs'!DP8&amp;" off track"</f>
        <v>5 on track · 1 at risk · 0 off track</v>
      </c>
      <c r="K71" s="8" t="str">
        <f>'Entity Inputs'!DN9&amp;" on track · "&amp;'Entity Inputs'!DO9&amp;" at risk · "&amp;'Entity Inputs'!DP9&amp;" off track"</f>
        <v>5 on track · 1 at risk · 0 off track</v>
      </c>
      <c r="L71" s="8" t="str">
        <f>'Entity Inputs'!DN10&amp;" on track · "&amp;'Entity Inputs'!DO10&amp;" at risk · "&amp;'Entity Inputs'!DP10&amp;" off track"</f>
        <v>4 on track · 1 at risk · 0 off track</v>
      </c>
      <c r="M71" s="8" t="str">
        <f>'Entity Inputs'!DN11&amp;" on track · "&amp;'Entity Inputs'!DO11&amp;" at risk · "&amp;'Entity Inputs'!DP11&amp;" off track"</f>
        <v>4 on track · 1 at risk · 0 off track</v>
      </c>
      <c r="N71" s="8" t="str">
        <f>'Entity Inputs'!DN12&amp;" on track · "&amp;'Entity Inputs'!DO12&amp;" at risk · "&amp;'Entity Inputs'!DP12&amp;" off track"</f>
        <v>4 on track · 1 at risk · 0 off track</v>
      </c>
      <c r="O71" s="8" t="str">
        <f>'Entity Inputs'!DN13&amp;" on track · "&amp;'Entity Inputs'!DO13&amp;" at risk · "&amp;'Entity Inputs'!DP13&amp;" off track"</f>
        <v>4 on track · 1 at risk · 0 off track</v>
      </c>
      <c r="P71" s="8" t="str">
        <f>'Entity Inputs'!DN14&amp;" on track · "&amp;'Entity Inputs'!DO14&amp;" at risk · "&amp;'Entity Inputs'!DP14&amp;" off track"</f>
        <v>4 on track · 1 at risk · 0 off track</v>
      </c>
      <c r="Q71" s="8" t="str">
        <f>'Entity Inputs'!DN15&amp;" on track · "&amp;'Entity Inputs'!DO15&amp;" at risk · "&amp;'Entity Inputs'!DP15&amp;" off track"</f>
        <v>4 on track · 1 at risk · 0 off track</v>
      </c>
    </row>
    <row r="72" spans="1:17">
      <c r="A72" s="6" t="s">
        <v>670</v>
      </c>
      <c r="B72" s="6" t="s">
        <v>671</v>
      </c>
      <c r="C72" s="6" t="s">
        <v>455</v>
      </c>
      <c r="D72" s="6" t="s">
        <v>561</v>
      </c>
      <c r="E72" s="6" t="s">
        <v>672</v>
      </c>
      <c r="F72" s="7">
        <f>ROUND(IF(SUM('Entity Inputs'!DY$4:DY4)=0,0,100*SUM('Entity Inputs'!DZ$4:DZ4)/SUM('Entity Inputs'!DY$4:DY4)),2)</f>
        <v>72.18</v>
      </c>
      <c r="G72" s="7">
        <f>ROUND(IF(SUM('Entity Inputs'!DY$4:DY5)=0,0,100*SUM('Entity Inputs'!DZ$4:DZ5)/SUM('Entity Inputs'!DY$4:DY5)),2)</f>
        <v>70.99</v>
      </c>
      <c r="H72" s="7">
        <f>ROUND(IF(SUM('Entity Inputs'!DY$4:DY6)=0,0,100*SUM('Entity Inputs'!DZ$4:DZ6)/SUM('Entity Inputs'!DY$4:DY6)),2)</f>
        <v>69.61</v>
      </c>
      <c r="I72" s="7">
        <f>ROUND(IF(SUM('Entity Inputs'!DY$4:DY7)=0,0,100*SUM('Entity Inputs'!DZ$4:DZ7)/SUM('Entity Inputs'!DY$4:DY7)),2)</f>
        <v>69.76</v>
      </c>
      <c r="J72" s="7">
        <f>ROUND(IF(SUM('Entity Inputs'!DY$4:DY8)=0,0,100*SUM('Entity Inputs'!DZ$4:DZ8)/SUM('Entity Inputs'!DY$4:DY8)),2)</f>
        <v>69.95</v>
      </c>
      <c r="K72" s="7">
        <f>ROUND(IF(SUM('Entity Inputs'!DY$4:DY9)=0,0,100*SUM('Entity Inputs'!DZ$4:DZ9)/SUM('Entity Inputs'!DY$4:DY9)),2)</f>
        <v>69.34</v>
      </c>
      <c r="L72" s="7">
        <f>ROUND(IF(SUM('Entity Inputs'!DY$10:DY10)=0,0,100*SUM('Entity Inputs'!DZ$10:DZ10)/SUM('Entity Inputs'!DY$10:DY10)),2)</f>
        <v>33.2</v>
      </c>
      <c r="M72" s="7">
        <f>ROUND(IF(SUM('Entity Inputs'!DY$10:DY11)=0,0,100*SUM('Entity Inputs'!DZ$10:DZ11)/SUM('Entity Inputs'!DY$10:DY11)),2)</f>
        <v>35.29</v>
      </c>
      <c r="N72" s="7">
        <f>ROUND(IF(SUM('Entity Inputs'!DY$10:DY12)=0,0,100*SUM('Entity Inputs'!DZ$10:DZ12)/SUM('Entity Inputs'!DY$10:DY12)),2)</f>
        <v>35.7</v>
      </c>
      <c r="O72" s="7">
        <f>ROUND(IF(SUM('Entity Inputs'!DY$10:DY13)=0,0,100*SUM('Entity Inputs'!DZ$10:DZ13)/SUM('Entity Inputs'!DY$10:DY13)),2)</f>
        <v>36.06</v>
      </c>
      <c r="P72" s="7">
        <f>ROUND(IF(SUM('Entity Inputs'!DY$10:DY14)=0,0,100*SUM('Entity Inputs'!DZ$10:DZ14)/SUM('Entity Inputs'!DY$10:DY14)),2)</f>
        <v>36.04</v>
      </c>
      <c r="Q72" s="7">
        <f>ROUND(IF(SUM('Entity Inputs'!DY$10:DY15)=0,0,100*SUM('Entity Inputs'!DZ$10:DZ15)/SUM('Entity Inputs'!DY$10:DY15)),2)</f>
        <v>36.27</v>
      </c>
    </row>
    <row r="73" spans="1:17">
      <c r="A73" s="6" t="s">
        <v>673</v>
      </c>
      <c r="B73" s="6" t="s">
        <v>674</v>
      </c>
      <c r="C73" s="6" t="s">
        <v>512</v>
      </c>
      <c r="D73" s="6" t="s">
        <v>577</v>
      </c>
      <c r="E73" s="6" t="s">
        <v>675</v>
      </c>
      <c r="F73" s="7">
        <f>ROUND('Entity Inputs'!DQ4,2)</f>
        <v>0.0</v>
      </c>
      <c r="G73" s="7">
        <f>ROUND('Entity Inputs'!DQ5,2)</f>
        <v>0.0</v>
      </c>
      <c r="H73" s="7">
        <f>ROUND('Entity Inputs'!DQ6,2)</f>
        <v>0.0</v>
      </c>
      <c r="I73" s="7">
        <f>ROUND('Entity Inputs'!DQ7,2)</f>
        <v>0.0</v>
      </c>
      <c r="J73" s="7">
        <f>ROUND('Entity Inputs'!DQ8,2)</f>
        <v>0.0</v>
      </c>
      <c r="K73" s="7">
        <f>ROUND('Entity Inputs'!DQ9,2)</f>
        <v>0.0</v>
      </c>
      <c r="L73" s="7">
        <f>ROUND('Entity Inputs'!DQ10,2)</f>
        <v>0.0</v>
      </c>
      <c r="M73" s="7">
        <f>ROUND('Entity Inputs'!DQ11,2)</f>
        <v>0.0</v>
      </c>
      <c r="N73" s="7">
        <f>ROUND('Entity Inputs'!DQ12,2)</f>
        <v>0.0</v>
      </c>
      <c r="O73" s="7">
        <f>ROUND('Entity Inputs'!DQ13,2)</f>
        <v>1.0</v>
      </c>
      <c r="P73" s="7">
        <f>ROUND('Entity Inputs'!DQ14,2)</f>
        <v>1.0</v>
      </c>
      <c r="Q73" s="7">
        <f>ROUND('Entity Inputs'!DQ15,2)</f>
        <v>1.0</v>
      </c>
    </row>
    <row r="74" spans="1:17">
      <c r="A74" s="6" t="s">
        <v>676</v>
      </c>
      <c r="B74" s="6" t="s">
        <v>677</v>
      </c>
      <c r="C74" s="6" t="s">
        <v>455</v>
      </c>
      <c r="D74" s="6" t="s">
        <v>655</v>
      </c>
      <c r="E74" s="6" t="s">
        <v>678</v>
      </c>
      <c r="F74" s="7">
        <f>ROUND(IF('Entity Inputs'!DW4=0,0,100*'Entity Inputs'!DX4/'Entity Inputs'!DW4),2)</f>
        <v>30.0</v>
      </c>
      <c r="G74" s="7">
        <f>ROUND(IF('Entity Inputs'!DW5=0,0,100*'Entity Inputs'!DX5/'Entity Inputs'!DW5),2)</f>
        <v>35.0</v>
      </c>
      <c r="H74" s="7">
        <f>ROUND(IF('Entity Inputs'!DW6=0,0,100*'Entity Inputs'!DX6/'Entity Inputs'!DW6),2)</f>
        <v>40.0</v>
      </c>
      <c r="I74" s="7">
        <f>ROUND(IF('Entity Inputs'!DW7=0,0,100*'Entity Inputs'!DX7/'Entity Inputs'!DW7),2)</f>
        <v>45.0</v>
      </c>
      <c r="J74" s="7">
        <f>ROUND(IF('Entity Inputs'!DW8=0,0,100*'Entity Inputs'!DX8/'Entity Inputs'!DW8),2)</f>
        <v>50.0</v>
      </c>
      <c r="K74" s="7">
        <f>ROUND(IF('Entity Inputs'!DW9=0,0,100*'Entity Inputs'!DX9/'Entity Inputs'!DW9),2)</f>
        <v>53.33</v>
      </c>
      <c r="L74" s="7">
        <f>ROUND(IF('Entity Inputs'!DW10=0,0,100*'Entity Inputs'!DX10/'Entity Inputs'!DW10),2)</f>
        <v>29.69</v>
      </c>
      <c r="M74" s="7">
        <f>ROUND(IF('Entity Inputs'!DW11=0,0,100*'Entity Inputs'!DX11/'Entity Inputs'!DW11),2)</f>
        <v>34.38</v>
      </c>
      <c r="N74" s="7">
        <f>ROUND(IF('Entity Inputs'!DW12=0,0,100*'Entity Inputs'!DX12/'Entity Inputs'!DW12),2)</f>
        <v>39.06</v>
      </c>
      <c r="O74" s="7">
        <f>ROUND(IF('Entity Inputs'!DW13=0,0,100*'Entity Inputs'!DX13/'Entity Inputs'!DW13),2)</f>
        <v>43.75</v>
      </c>
      <c r="P74" s="7">
        <f>ROUND(IF('Entity Inputs'!DW14=0,0,100*'Entity Inputs'!DX14/'Entity Inputs'!DW14),2)</f>
        <v>48.44</v>
      </c>
      <c r="Q74" s="7">
        <f>ROUND(IF('Entity Inputs'!DW15=0,0,100*'Entity Inputs'!DX15/'Entity Inputs'!DW15),2)</f>
        <v>54.69</v>
      </c>
    </row>
    <row r="75" spans="1:17">
      <c r="A75" s="6" t="s">
        <v>679</v>
      </c>
      <c r="B75" s="6" t="s">
        <v>680</v>
      </c>
      <c r="C75" s="6" t="s">
        <v>455</v>
      </c>
      <c r="D75" s="6" t="s">
        <v>655</v>
      </c>
      <c r="E75" s="6" t="s">
        <v>678</v>
      </c>
      <c r="F75" s="7">
        <f>ROUND(IF('Entity Inputs'!DW4=0,0,100*'Entity Inputs'!DX4/'Entity Inputs'!DW4),2)</f>
        <v>30.0</v>
      </c>
      <c r="G75" s="7">
        <f>ROUND(IF('Entity Inputs'!DW5=0,0,100*'Entity Inputs'!DX5/'Entity Inputs'!DW5),2)</f>
        <v>35.0</v>
      </c>
      <c r="H75" s="7">
        <f>ROUND(IF('Entity Inputs'!DW6=0,0,100*'Entity Inputs'!DX6/'Entity Inputs'!DW6),2)</f>
        <v>40.0</v>
      </c>
      <c r="I75" s="7">
        <f>ROUND(IF('Entity Inputs'!DW7=0,0,100*'Entity Inputs'!DX7/'Entity Inputs'!DW7),2)</f>
        <v>45.0</v>
      </c>
      <c r="J75" s="7">
        <f>ROUND(IF('Entity Inputs'!DW8=0,0,100*'Entity Inputs'!DX8/'Entity Inputs'!DW8),2)</f>
        <v>50.0</v>
      </c>
      <c r="K75" s="7">
        <f>ROUND(IF('Entity Inputs'!DW9=0,0,100*'Entity Inputs'!DX9/'Entity Inputs'!DW9),2)</f>
        <v>53.33</v>
      </c>
      <c r="L75" s="7">
        <f>ROUND(IF('Entity Inputs'!DW10=0,0,100*'Entity Inputs'!DX10/'Entity Inputs'!DW10),2)</f>
        <v>29.69</v>
      </c>
      <c r="M75" s="7">
        <f>ROUND(IF('Entity Inputs'!DW11=0,0,100*'Entity Inputs'!DX11/'Entity Inputs'!DW11),2)</f>
        <v>34.38</v>
      </c>
      <c r="N75" s="7">
        <f>ROUND(IF('Entity Inputs'!DW12=0,0,100*'Entity Inputs'!DX12/'Entity Inputs'!DW12),2)</f>
        <v>39.06</v>
      </c>
      <c r="O75" s="7">
        <f>ROUND(IF('Entity Inputs'!DW13=0,0,100*'Entity Inputs'!DX13/'Entity Inputs'!DW13),2)</f>
        <v>43.75</v>
      </c>
      <c r="P75" s="7">
        <f>ROUND(IF('Entity Inputs'!DW14=0,0,100*'Entity Inputs'!DX14/'Entity Inputs'!DW14),2)</f>
        <v>48.44</v>
      </c>
      <c r="Q75" s="7">
        <f>ROUND(IF('Entity Inputs'!DW15=0,0,100*'Entity Inputs'!DX15/'Entity Inputs'!DW15),2)</f>
        <v>54.69</v>
      </c>
    </row>
    <row r="76" spans="1:17">
      <c r="A76" s="6" t="s">
        <v>681</v>
      </c>
      <c r="B76" s="6" t="s">
        <v>682</v>
      </c>
      <c r="C76" s="6" t="s">
        <v>668</v>
      </c>
      <c r="D76" s="6" t="s">
        <v>577</v>
      </c>
      <c r="E76" s="6" t="s">
        <v>683</v>
      </c>
      <c r="F76" s="8" t="str">
        <f>'Entity Inputs'!DT4&amp;" on track · "&amp;'Entity Inputs'!DU4&amp;" at risk · "&amp;'Entity Inputs'!DV4&amp;" delayed"</f>
        <v>5 on track · 2 at risk · 1 delayed</v>
      </c>
      <c r="G76" s="8" t="str">
        <f>'Entity Inputs'!DT5&amp;" on track · "&amp;'Entity Inputs'!DU5&amp;" at risk · "&amp;'Entity Inputs'!DV5&amp;" delayed"</f>
        <v>5 on track · 2 at risk · 1 delayed</v>
      </c>
      <c r="H76" s="8" t="str">
        <f>'Entity Inputs'!DT6&amp;" on track · "&amp;'Entity Inputs'!DU6&amp;" at risk · "&amp;'Entity Inputs'!DV6&amp;" delayed"</f>
        <v>5 on track · 2 at risk · 1 delayed</v>
      </c>
      <c r="I76" s="8" t="str">
        <f>'Entity Inputs'!DT7&amp;" on track · "&amp;'Entity Inputs'!DU7&amp;" at risk · "&amp;'Entity Inputs'!DV7&amp;" delayed"</f>
        <v>5 on track · 2 at risk · 1 delayed</v>
      </c>
      <c r="J76" s="8" t="str">
        <f>'Entity Inputs'!DT8&amp;" on track · "&amp;'Entity Inputs'!DU8&amp;" at risk · "&amp;'Entity Inputs'!DV8&amp;" delayed"</f>
        <v>5 on track · 2 at risk · 1 delayed</v>
      </c>
      <c r="K76" s="8" t="str">
        <f>'Entity Inputs'!DT9&amp;" on track · "&amp;'Entity Inputs'!DU9&amp;" at risk · "&amp;'Entity Inputs'!DV9&amp;" delayed"</f>
        <v>5 on track · 2 at risk · 1 delayed</v>
      </c>
      <c r="L76" s="8" t="str">
        <f>'Entity Inputs'!DT10&amp;" on track · "&amp;'Entity Inputs'!DU10&amp;" at risk · "&amp;'Entity Inputs'!DV10&amp;" delayed"</f>
        <v>10 on track · 4 at risk · 2 delayed</v>
      </c>
      <c r="M76" s="8" t="str">
        <f>'Entity Inputs'!DT11&amp;" on track · "&amp;'Entity Inputs'!DU11&amp;" at risk · "&amp;'Entity Inputs'!DV11&amp;" delayed"</f>
        <v>10 on track · 4 at risk · 2 delayed</v>
      </c>
      <c r="N76" s="8" t="str">
        <f>'Entity Inputs'!DT12&amp;" on track · "&amp;'Entity Inputs'!DU12&amp;" at risk · "&amp;'Entity Inputs'!DV12&amp;" delayed"</f>
        <v>10 on track · 4 at risk · 2 delayed</v>
      </c>
      <c r="O76" s="8" t="str">
        <f>'Entity Inputs'!DT13&amp;" on track · "&amp;'Entity Inputs'!DU13&amp;" at risk · "&amp;'Entity Inputs'!DV13&amp;" delayed"</f>
        <v>10 on track · 4 at risk · 2 delayed</v>
      </c>
      <c r="P76" s="8" t="str">
        <f>'Entity Inputs'!DT14&amp;" on track · "&amp;'Entity Inputs'!DU14&amp;" at risk · "&amp;'Entity Inputs'!DV14&amp;" delayed"</f>
        <v>10 on track · 4 at risk · 2 delayed</v>
      </c>
      <c r="Q76" s="8" t="str">
        <f>'Entity Inputs'!DT15&amp;" on track · "&amp;'Entity Inputs'!DU15&amp;" at risk · "&amp;'Entity Inputs'!DV15&amp;" delayed"</f>
        <v>10 on track · 4 at risk · 2 delayed</v>
      </c>
    </row>
    <row r="77" spans="1:17">
      <c r="A77" s="6" t="s">
        <v>684</v>
      </c>
      <c r="B77" s="6" t="s">
        <v>685</v>
      </c>
      <c r="C77" s="6" t="s">
        <v>28</v>
      </c>
      <c r="D77" s="6" t="s">
        <v>25</v>
      </c>
      <c r="E77" s="6" t="s">
        <v>686</v>
      </c>
      <c r="F77" s="7">
        <f>ROUND(IF('Entity Inputs'!DR4=0,0,'Entity Inputs'!DS4/'Entity Inputs'!DR4),2)</f>
        <v>3.0</v>
      </c>
      <c r="G77" s="7">
        <f>ROUND(IF('Entity Inputs'!DR5=0,0,'Entity Inputs'!DS5/'Entity Inputs'!DR5),2)</f>
        <v>2.83</v>
      </c>
      <c r="H77" s="7">
        <f>ROUND(IF('Entity Inputs'!DR6=0,0,'Entity Inputs'!DS6/'Entity Inputs'!DR6),2)</f>
        <v>3.5</v>
      </c>
      <c r="I77" s="7">
        <f>ROUND(IF('Entity Inputs'!DR7=0,0,'Entity Inputs'!DS7/'Entity Inputs'!DR7),2)</f>
        <v>2.83</v>
      </c>
      <c r="J77" s="7">
        <f>ROUND(IF('Entity Inputs'!DR8=0,0,'Entity Inputs'!DS8/'Entity Inputs'!DR8),2)</f>
        <v>3.0</v>
      </c>
      <c r="K77" s="7">
        <f>ROUND(IF('Entity Inputs'!DR9=0,0,'Entity Inputs'!DS9/'Entity Inputs'!DR9),2)</f>
        <v>2.5</v>
      </c>
      <c r="L77" s="7">
        <f>ROUND(IF('Entity Inputs'!DR10=0,0,'Entity Inputs'!DS10/'Entity Inputs'!DR10),2)</f>
        <v>1.25</v>
      </c>
      <c r="M77" s="7">
        <f>ROUND(IF('Entity Inputs'!DR11=0,0,'Entity Inputs'!DS11/'Entity Inputs'!DR11),2)</f>
        <v>1.25</v>
      </c>
      <c r="N77" s="7">
        <f>ROUND(IF('Entity Inputs'!DR12=0,0,'Entity Inputs'!DS12/'Entity Inputs'!DR12),2)</f>
        <v>1.43</v>
      </c>
      <c r="O77" s="7">
        <f>ROUND(IF('Entity Inputs'!DR13=0,0,'Entity Inputs'!DS13/'Entity Inputs'!DR13),2)</f>
        <v>1.0</v>
      </c>
      <c r="P77" s="7">
        <f>ROUND(IF('Entity Inputs'!DR14=0,0,'Entity Inputs'!DS14/'Entity Inputs'!DR14),2)</f>
        <v>1.17</v>
      </c>
      <c r="Q77" s="7">
        <f>ROUND(IF('Entity Inputs'!DR15=0,0,'Entity Inputs'!DS15/'Entity Inputs'!DR15),2)</f>
        <v>1.29</v>
      </c>
    </row>
    <row r="78" spans="1:17">
      <c r="A78" s="6" t="s">
        <v>687</v>
      </c>
      <c r="B78" s="6" t="s">
        <v>688</v>
      </c>
      <c r="C78" s="6" t="s">
        <v>560</v>
      </c>
      <c r="D78" s="6" t="s">
        <v>561</v>
      </c>
      <c r="E78" s="6" t="s">
        <v>689</v>
      </c>
      <c r="F78" s="7">
        <f>ROUND(SUM('Entity Inputs'!EA$4:EA4)/1000,2)</f>
        <v>0.99</v>
      </c>
      <c r="G78" s="7">
        <f>ROUND(SUM('Entity Inputs'!EA$4:EA5)/1000,2)</f>
        <v>1.94</v>
      </c>
      <c r="H78" s="7">
        <f>ROUND(SUM('Entity Inputs'!EA$4:EA6)/1000,2)</f>
        <v>3.01</v>
      </c>
      <c r="I78" s="7">
        <f>ROUND(SUM('Entity Inputs'!EA$4:EA7)/1000,2)</f>
        <v>4.09</v>
      </c>
      <c r="J78" s="7">
        <f>ROUND(SUM('Entity Inputs'!EA$4:EA8)/1000,2)</f>
        <v>5.13</v>
      </c>
      <c r="K78" s="7">
        <f>ROUND(SUM('Entity Inputs'!EA$4:EA9)/1000,2)</f>
        <v>6.2</v>
      </c>
      <c r="L78" s="7">
        <f>ROUND(SUM('Entity Inputs'!EA$10:EA10)/1000,2)</f>
        <v>1.38</v>
      </c>
      <c r="M78" s="7">
        <f>ROUND(SUM('Entity Inputs'!EA$10:EA11)/1000,2)</f>
        <v>2.77</v>
      </c>
      <c r="N78" s="7">
        <f>ROUND(SUM('Entity Inputs'!EA$10:EA12)/1000,2)</f>
        <v>4.08</v>
      </c>
      <c r="O78" s="7">
        <f>ROUND(SUM('Entity Inputs'!EA$10:EA13)/1000,2)</f>
        <v>5.37</v>
      </c>
      <c r="P78" s="7">
        <f>ROUND(SUM('Entity Inputs'!EA$10:EA14)/1000,2)</f>
        <v>6.73</v>
      </c>
      <c r="Q78" s="7">
        <f>ROUND(SUM('Entity Inputs'!EA$10:EA15)/1000,2)</f>
        <v>8.0</v>
      </c>
    </row>
    <row r="79" spans="1:17">
      <c r="A79" s="6" t="s">
        <v>690</v>
      </c>
      <c r="B79" s="6" t="s">
        <v>691</v>
      </c>
      <c r="C79" s="6" t="s">
        <v>560</v>
      </c>
      <c r="D79" s="6" t="s">
        <v>561</v>
      </c>
      <c r="E79" s="6" t="s">
        <v>692</v>
      </c>
      <c r="F79" s="7">
        <f>ROUND(SUM('Entity Inputs'!EB$4:EB4)/1000,2)</f>
        <v>0.35</v>
      </c>
      <c r="G79" s="7">
        <f>ROUND(SUM('Entity Inputs'!EB$4:EB5)/1000,2)</f>
        <v>0.8</v>
      </c>
      <c r="H79" s="7">
        <f>ROUND(SUM('Entity Inputs'!EB$4:EB6)/1000,2)</f>
        <v>1.22</v>
      </c>
      <c r="I79" s="7">
        <f>ROUND(SUM('Entity Inputs'!EB$4:EB7)/1000,2)</f>
        <v>1.63</v>
      </c>
      <c r="J79" s="7">
        <f>ROUND(SUM('Entity Inputs'!EB$4:EB8)/1000,2)</f>
        <v>1.98</v>
      </c>
      <c r="K79" s="7">
        <f>ROUND(SUM('Entity Inputs'!EB$4:EB9)/1000,2)</f>
        <v>2.37</v>
      </c>
      <c r="L79" s="7">
        <f>ROUND(SUM('Entity Inputs'!EB$10:EB10)/1000,2)</f>
        <v>1.09</v>
      </c>
      <c r="M79" s="7">
        <f>ROUND(SUM('Entity Inputs'!EB$10:EB11)/1000,2)</f>
        <v>2.14</v>
      </c>
      <c r="N79" s="7">
        <f>ROUND(SUM('Entity Inputs'!EB$10:EB12)/1000,2)</f>
        <v>3.16</v>
      </c>
      <c r="O79" s="7">
        <f>ROUND(SUM('Entity Inputs'!EB$10:EB13)/1000,2)</f>
        <v>4.23</v>
      </c>
      <c r="P79" s="7">
        <f>ROUND(SUM('Entity Inputs'!EB$10:EB14)/1000,2)</f>
        <v>5.3</v>
      </c>
      <c r="Q79" s="7">
        <f>ROUND(SUM('Entity Inputs'!EB$10:EB15)/1000,2)</f>
        <v>6.34</v>
      </c>
    </row>
    <row r="80" spans="1:17">
      <c r="A80" s="6" t="s">
        <v>693</v>
      </c>
      <c r="B80" s="6" t="s">
        <v>694</v>
      </c>
      <c r="C80" s="6" t="s">
        <v>560</v>
      </c>
      <c r="D80" s="6" t="s">
        <v>561</v>
      </c>
      <c r="E80" s="6" t="s">
        <v>695</v>
      </c>
      <c r="F80" s="7">
        <f>ROUND(SUM('Entity Inputs'!EC$4:EC4)/1000,2)</f>
        <v>0.6</v>
      </c>
      <c r="G80" s="7">
        <f>ROUND(SUM('Entity Inputs'!EC$4:EC5)/1000,2)</f>
        <v>1.25</v>
      </c>
      <c r="H80" s="7">
        <f>ROUND(SUM('Entity Inputs'!EC$4:EC6)/1000,2)</f>
        <v>1.92</v>
      </c>
      <c r="I80" s="7">
        <f>ROUND(SUM('Entity Inputs'!EC$4:EC7)/1000,2)</f>
        <v>2.61</v>
      </c>
      <c r="J80" s="7">
        <f>ROUND(SUM('Entity Inputs'!EC$4:EC8)/1000,2)</f>
        <v>3.25</v>
      </c>
      <c r="K80" s="7">
        <f>ROUND(SUM('Entity Inputs'!EC$4:EC9)/1000,2)</f>
        <v>3.89</v>
      </c>
      <c r="L80" s="7">
        <f>ROUND(SUM('Entity Inputs'!EC$10:EC10)/1000,2)</f>
        <v>1.17</v>
      </c>
      <c r="M80" s="7">
        <f>ROUND(SUM('Entity Inputs'!EC$10:EC11)/1000,2)</f>
        <v>2.42</v>
      </c>
      <c r="N80" s="7">
        <f>ROUND(SUM('Entity Inputs'!EC$10:EC12)/1000,2)</f>
        <v>3.65</v>
      </c>
      <c r="O80" s="7">
        <f>ROUND(SUM('Entity Inputs'!EC$10:EC13)/1000,2)</f>
        <v>4.87</v>
      </c>
      <c r="P80" s="7">
        <f>ROUND(SUM('Entity Inputs'!EC$10:EC14)/1000,2)</f>
        <v>6.11</v>
      </c>
      <c r="Q80" s="7">
        <f>ROUND(SUM('Entity Inputs'!EC$10:EC15)/1000,2)</f>
        <v>7.35</v>
      </c>
    </row>
    <row r="81" spans="1:17">
      <c r="A81" s="6" t="s">
        <v>696</v>
      </c>
      <c r="B81" s="6" t="s">
        <v>697</v>
      </c>
      <c r="C81" s="6" t="s">
        <v>455</v>
      </c>
      <c r="D81" s="6" t="s">
        <v>25</v>
      </c>
      <c r="E81" s="6" t="s">
        <v>698</v>
      </c>
      <c r="F81" s="7">
        <f>ROUND(IF('Entity Inputs'!AZ4=0,0,100*'Entity Inputs'!BA4/'Entity Inputs'!AZ4),2)</f>
        <v>90.46</v>
      </c>
      <c r="G81" s="7">
        <f>ROUND(IF('Entity Inputs'!AZ5=0,0,100*'Entity Inputs'!BA5/'Entity Inputs'!AZ5),2)</f>
        <v>88.46</v>
      </c>
      <c r="H81" s="7">
        <f>ROUND(IF('Entity Inputs'!AZ6=0,0,100*'Entity Inputs'!BA6/'Entity Inputs'!AZ6),2)</f>
        <v>90.46</v>
      </c>
      <c r="I81" s="7">
        <f>ROUND(IF('Entity Inputs'!AZ7=0,0,100*'Entity Inputs'!BA7/'Entity Inputs'!AZ7),2)</f>
        <v>90.33</v>
      </c>
      <c r="J81" s="7">
        <f>ROUND(IF('Entity Inputs'!AZ8=0,0,100*'Entity Inputs'!BA8/'Entity Inputs'!AZ8),2)</f>
        <v>88.85</v>
      </c>
      <c r="K81" s="7">
        <f>ROUND(IF('Entity Inputs'!AZ9=0,0,100*'Entity Inputs'!BA9/'Entity Inputs'!AZ9),2)</f>
        <v>90.39</v>
      </c>
      <c r="L81" s="7">
        <f>ROUND(IF('Entity Inputs'!AZ10=0,0,100*'Entity Inputs'!BA10/'Entity Inputs'!AZ10),2)</f>
        <v>91.58</v>
      </c>
      <c r="M81" s="7">
        <f>ROUND(IF('Entity Inputs'!AZ11=0,0,100*'Entity Inputs'!BA11/'Entity Inputs'!AZ11),2)</f>
        <v>93.76</v>
      </c>
      <c r="N81" s="7">
        <f>ROUND(IF('Entity Inputs'!AZ12=0,0,100*'Entity Inputs'!BA12/'Entity Inputs'!AZ12),2)</f>
        <v>93.41</v>
      </c>
      <c r="O81" s="7">
        <f>ROUND(IF('Entity Inputs'!AZ13=0,0,100*'Entity Inputs'!BA13/'Entity Inputs'!AZ13),2)</f>
        <v>93.2</v>
      </c>
      <c r="P81" s="7">
        <f>ROUND(IF('Entity Inputs'!AZ14=0,0,100*'Entity Inputs'!BA14/'Entity Inputs'!AZ14),2)</f>
        <v>93.06</v>
      </c>
      <c r="Q81" s="7">
        <f>ROUND(IF('Entity Inputs'!AZ15=0,0,100*'Entity Inputs'!BA15/'Entity Inputs'!AZ15),2)</f>
        <v>92.28</v>
      </c>
    </row>
    <row r="82" spans="1:17">
      <c r="A82" s="6" t="s">
        <v>699</v>
      </c>
      <c r="B82" s="6" t="s">
        <v>700</v>
      </c>
      <c r="C82" s="6" t="s">
        <v>455</v>
      </c>
      <c r="D82" s="6" t="s">
        <v>25</v>
      </c>
      <c r="E82" s="6" t="s">
        <v>701</v>
      </c>
      <c r="F82" s="7">
        <f>ROUND(IF('Entity Inputs'!BB4=0,0,100*'Entity Inputs'!BC4/'Entity Inputs'!BB4),2)</f>
        <v>96.27</v>
      </c>
      <c r="G82" s="7">
        <f>ROUND(IF('Entity Inputs'!BB5=0,0,100*'Entity Inputs'!BC5/'Entity Inputs'!BB5),2)</f>
        <v>96.41</v>
      </c>
      <c r="H82" s="7">
        <f>ROUND(IF('Entity Inputs'!BB6=0,0,100*'Entity Inputs'!BC6/'Entity Inputs'!BB6),2)</f>
        <v>96.75</v>
      </c>
      <c r="I82" s="7">
        <f>ROUND(IF('Entity Inputs'!BB7=0,0,100*'Entity Inputs'!BC7/'Entity Inputs'!BB7),2)</f>
        <v>95.68</v>
      </c>
      <c r="J82" s="7">
        <f>ROUND(IF('Entity Inputs'!BB8=0,0,100*'Entity Inputs'!BC8/'Entity Inputs'!BB8),2)</f>
        <v>96.91</v>
      </c>
      <c r="K82" s="7">
        <f>ROUND(IF('Entity Inputs'!BB9=0,0,100*'Entity Inputs'!BC9/'Entity Inputs'!BB9),2)</f>
        <v>97.01</v>
      </c>
      <c r="L82" s="7">
        <f>ROUND(IF('Entity Inputs'!BB10=0,0,100*'Entity Inputs'!BC10/'Entity Inputs'!BB10),2)</f>
        <v>95.63</v>
      </c>
      <c r="M82" s="7">
        <f>ROUND(IF('Entity Inputs'!BB11=0,0,100*'Entity Inputs'!BC11/'Entity Inputs'!BB11),2)</f>
        <v>94.55</v>
      </c>
      <c r="N82" s="7">
        <f>ROUND(IF('Entity Inputs'!BB12=0,0,100*'Entity Inputs'!BC12/'Entity Inputs'!BB12),2)</f>
        <v>97.11</v>
      </c>
      <c r="O82" s="7">
        <f>ROUND(IF('Entity Inputs'!BB13=0,0,100*'Entity Inputs'!BC13/'Entity Inputs'!BB13),2)</f>
        <v>96.07</v>
      </c>
      <c r="P82" s="7">
        <f>ROUND(IF('Entity Inputs'!BB14=0,0,100*'Entity Inputs'!BC14/'Entity Inputs'!BB14),2)</f>
        <v>96.94</v>
      </c>
      <c r="Q82" s="7">
        <f>ROUND(IF('Entity Inputs'!BB15=0,0,100*'Entity Inputs'!BC15/'Entity Inputs'!BB15),2)</f>
        <v>96.61</v>
      </c>
    </row>
    <row r="83" spans="1:17">
      <c r="A83" s="6" t="s">
        <v>702</v>
      </c>
      <c r="B83" s="6" t="s">
        <v>703</v>
      </c>
      <c r="C83" s="6" t="s">
        <v>455</v>
      </c>
      <c r="D83" s="6" t="s">
        <v>25</v>
      </c>
      <c r="E83" s="6" t="s">
        <v>704</v>
      </c>
      <c r="F83" s="7">
        <f>ROUND(IF('Entity Inputs'!BC4=0,0,100*'Entity Inputs'!BD4/'Entity Inputs'!BC4),2)</f>
        <v>1.18</v>
      </c>
      <c r="G83" s="7">
        <f>ROUND(IF('Entity Inputs'!BC5=0,0,100*'Entity Inputs'!BD5/'Entity Inputs'!BC5),2)</f>
        <v>0.82</v>
      </c>
      <c r="H83" s="7">
        <f>ROUND(IF('Entity Inputs'!BC6=0,0,100*'Entity Inputs'!BD6/'Entity Inputs'!BC6),2)</f>
        <v>0.98</v>
      </c>
      <c r="I83" s="7">
        <f>ROUND(IF('Entity Inputs'!BC7=0,0,100*'Entity Inputs'!BD7/'Entity Inputs'!BC7),2)</f>
        <v>1.15</v>
      </c>
      <c r="J83" s="7">
        <f>ROUND(IF('Entity Inputs'!BC8=0,0,100*'Entity Inputs'!BD8/'Entity Inputs'!BC8),2)</f>
        <v>1.59</v>
      </c>
      <c r="K83" s="7">
        <f>ROUND(IF('Entity Inputs'!BC9=0,0,100*'Entity Inputs'!BD9/'Entity Inputs'!BC9),2)</f>
        <v>0.97</v>
      </c>
      <c r="L83" s="7">
        <f>ROUND(IF('Entity Inputs'!BC10=0,0,100*'Entity Inputs'!BD10/'Entity Inputs'!BC10),2)</f>
        <v>1.19</v>
      </c>
      <c r="M83" s="7">
        <f>ROUND(IF('Entity Inputs'!BC11=0,0,100*'Entity Inputs'!BD11/'Entity Inputs'!BC11),2)</f>
        <v>1.05</v>
      </c>
      <c r="N83" s="7">
        <f>ROUND(IF('Entity Inputs'!BC12=0,0,100*'Entity Inputs'!BD12/'Entity Inputs'!BC12),2)</f>
        <v>0.75</v>
      </c>
      <c r="O83" s="7">
        <f>ROUND(IF('Entity Inputs'!BC13=0,0,100*'Entity Inputs'!BD13/'Entity Inputs'!BC13),2)</f>
        <v>0.64</v>
      </c>
      <c r="P83" s="7">
        <f>ROUND(IF('Entity Inputs'!BC14=0,0,100*'Entity Inputs'!BD14/'Entity Inputs'!BC14),2)</f>
        <v>1.06</v>
      </c>
      <c r="Q83" s="7">
        <f>ROUND(IF('Entity Inputs'!BC15=0,0,100*'Entity Inputs'!BD15/'Entity Inputs'!BC15),2)</f>
        <v>1.28</v>
      </c>
    </row>
    <row r="84" spans="1:17">
      <c r="A84" s="6" t="s">
        <v>705</v>
      </c>
      <c r="B84" s="6" t="s">
        <v>706</v>
      </c>
      <c r="C84" s="6" t="s">
        <v>455</v>
      </c>
      <c r="D84" s="6" t="s">
        <v>25</v>
      </c>
      <c r="E84" s="6" t="s">
        <v>707</v>
      </c>
      <c r="F84" s="7">
        <f>ROUND(IF('Entity Inputs'!BE4=0,0,100*('Entity Inputs'!BF4-'Entity Inputs'!BE4)/'Entity Inputs'!BE4),2)</f>
        <v>6.05</v>
      </c>
      <c r="G84" s="7">
        <f>ROUND(IF('Entity Inputs'!BE5=0,0,100*('Entity Inputs'!BF5-'Entity Inputs'!BE5)/'Entity Inputs'!BE5),2)</f>
        <v>3.19</v>
      </c>
      <c r="H84" s="7">
        <f>ROUND(IF('Entity Inputs'!BE6=0,0,100*('Entity Inputs'!BF6-'Entity Inputs'!BE6)/'Entity Inputs'!BE6),2)</f>
        <v>3.94</v>
      </c>
      <c r="I84" s="7">
        <f>ROUND(IF('Entity Inputs'!BE7=0,0,100*('Entity Inputs'!BF7-'Entity Inputs'!BE7)/'Entity Inputs'!BE7),2)</f>
        <v>6.91</v>
      </c>
      <c r="J84" s="7">
        <f>ROUND(IF('Entity Inputs'!BE8=0,0,100*('Entity Inputs'!BF8-'Entity Inputs'!BE8)/'Entity Inputs'!BE8),2)</f>
        <v>4.97</v>
      </c>
      <c r="K84" s="7">
        <f>ROUND(IF('Entity Inputs'!BE9=0,0,100*('Entity Inputs'!BF9-'Entity Inputs'!BE9)/'Entity Inputs'!BE9),2)</f>
        <v>6.91</v>
      </c>
      <c r="L84" s="7">
        <f>ROUND(IF('Entity Inputs'!BE10=0,0,100*('Entity Inputs'!BF10-'Entity Inputs'!BE10)/'Entity Inputs'!BE10),2)</f>
        <v>4.64</v>
      </c>
      <c r="M84" s="7">
        <f>ROUND(IF('Entity Inputs'!BE11=0,0,100*('Entity Inputs'!BF11-'Entity Inputs'!BE11)/'Entity Inputs'!BE11),2)</f>
        <v>2.6</v>
      </c>
      <c r="N84" s="7">
        <f>ROUND(IF('Entity Inputs'!BE12=0,0,100*('Entity Inputs'!BF12-'Entity Inputs'!BE12)/'Entity Inputs'!BE12),2)</f>
        <v>2.44</v>
      </c>
      <c r="O84" s="7">
        <f>ROUND(IF('Entity Inputs'!BE13=0,0,100*('Entity Inputs'!BF13-'Entity Inputs'!BE13)/'Entity Inputs'!BE13),2)</f>
        <v>-0.62</v>
      </c>
      <c r="P84" s="7">
        <f>ROUND(IF('Entity Inputs'!BE14=0,0,100*('Entity Inputs'!BF14-'Entity Inputs'!BE14)/'Entity Inputs'!BE14),2)</f>
        <v>0.08</v>
      </c>
      <c r="Q84" s="7">
        <f>ROUND(IF('Entity Inputs'!BE15=0,0,100*('Entity Inputs'!BF15-'Entity Inputs'!BE15)/'Entity Inputs'!BE15),2)</f>
        <v>3.65</v>
      </c>
    </row>
    <row r="85" spans="1:17">
      <c r="A85" s="6" t="s">
        <v>708</v>
      </c>
      <c r="B85" s="6" t="s">
        <v>709</v>
      </c>
      <c r="C85" s="6" t="s">
        <v>512</v>
      </c>
      <c r="D85" s="6" t="s">
        <v>577</v>
      </c>
      <c r="E85" s="6" t="s">
        <v>710</v>
      </c>
      <c r="F85" s="7">
        <f>ROUND('Entity Inputs'!EH4,2)</f>
        <v>2.0</v>
      </c>
      <c r="G85" s="7">
        <f>ROUND('Entity Inputs'!EH5,2)</f>
        <v>2.0</v>
      </c>
      <c r="H85" s="7">
        <f>ROUND('Entity Inputs'!EH6,2)</f>
        <v>2.0</v>
      </c>
      <c r="I85" s="7">
        <f>ROUND('Entity Inputs'!EH7,2)</f>
        <v>2.0</v>
      </c>
      <c r="J85" s="7">
        <f>ROUND('Entity Inputs'!EH8,2)</f>
        <v>2.0</v>
      </c>
      <c r="K85" s="7">
        <f>ROUND('Entity Inputs'!EH9,2)</f>
        <v>2.0</v>
      </c>
      <c r="L85" s="7">
        <f>ROUND('Entity Inputs'!EH10,2)</f>
        <v>1.0</v>
      </c>
      <c r="M85" s="7">
        <f>ROUND('Entity Inputs'!EH11,2)</f>
        <v>1.0</v>
      </c>
      <c r="N85" s="7">
        <f>ROUND('Entity Inputs'!EH12,2)</f>
        <v>1.0</v>
      </c>
      <c r="O85" s="7">
        <f>ROUND('Entity Inputs'!EH13,2)</f>
        <v>1.0</v>
      </c>
      <c r="P85" s="7">
        <f>ROUND('Entity Inputs'!EH14,2)</f>
        <v>1.0</v>
      </c>
      <c r="Q85" s="7">
        <f>ROUND('Entity Inputs'!EH15,2)</f>
        <v>1.0</v>
      </c>
    </row>
    <row r="86" spans="1:17">
      <c r="A86" s="6" t="s">
        <v>711</v>
      </c>
      <c r="B86" s="6" t="s">
        <v>712</v>
      </c>
      <c r="C86" s="6" t="s">
        <v>455</v>
      </c>
      <c r="D86" s="6" t="s">
        <v>25</v>
      </c>
      <c r="E86" s="6" t="s">
        <v>713</v>
      </c>
      <c r="F86" s="7">
        <f>ROUND(IF('Entity Inputs'!BG4=0,0,100*'Entity Inputs'!BH4/'Entity Inputs'!BG4),2)</f>
        <v>38.35</v>
      </c>
      <c r="G86" s="7">
        <f>ROUND(IF('Entity Inputs'!BG5=0,0,100*'Entity Inputs'!BH5/'Entity Inputs'!BG5),2)</f>
        <v>40.04</v>
      </c>
      <c r="H86" s="7">
        <f>ROUND(IF('Entity Inputs'!BG6=0,0,100*'Entity Inputs'!BH6/'Entity Inputs'!BG6),2)</f>
        <v>38.32</v>
      </c>
      <c r="I86" s="7">
        <f>ROUND(IF('Entity Inputs'!BG7=0,0,100*'Entity Inputs'!BH7/'Entity Inputs'!BG7),2)</f>
        <v>38.25</v>
      </c>
      <c r="J86" s="7">
        <f>ROUND(IF('Entity Inputs'!BG8=0,0,100*'Entity Inputs'!BH8/'Entity Inputs'!BG8),2)</f>
        <v>38.77</v>
      </c>
      <c r="K86" s="7">
        <f>ROUND(IF('Entity Inputs'!BG9=0,0,100*'Entity Inputs'!BH9/'Entity Inputs'!BG9),2)</f>
        <v>34.81</v>
      </c>
      <c r="L86" s="7">
        <f>ROUND(IF('Entity Inputs'!BG10=0,0,100*'Entity Inputs'!BH10/'Entity Inputs'!BG10),2)</f>
        <v>31.0</v>
      </c>
      <c r="M86" s="7">
        <f>ROUND(IF('Entity Inputs'!BG11=0,0,100*'Entity Inputs'!BH11/'Entity Inputs'!BG11),2)</f>
        <v>32.58</v>
      </c>
      <c r="N86" s="7">
        <f>ROUND(IF('Entity Inputs'!BG12=0,0,100*'Entity Inputs'!BH12/'Entity Inputs'!BG12),2)</f>
        <v>36.46</v>
      </c>
      <c r="O86" s="7">
        <f>ROUND(IF('Entity Inputs'!BG13=0,0,100*'Entity Inputs'!BH13/'Entity Inputs'!BG13),2)</f>
        <v>34.35</v>
      </c>
      <c r="P86" s="7">
        <f>ROUND(IF('Entity Inputs'!BG14=0,0,100*'Entity Inputs'!BH14/'Entity Inputs'!BG14),2)</f>
        <v>34.68</v>
      </c>
      <c r="Q86" s="7">
        <f>ROUND(IF('Entity Inputs'!BG15=0,0,100*'Entity Inputs'!BH15/'Entity Inputs'!BG15),2)</f>
        <v>35.55</v>
      </c>
    </row>
    <row r="87" spans="1:17">
      <c r="A87" s="6" t="s">
        <v>714</v>
      </c>
      <c r="B87" s="6" t="s">
        <v>715</v>
      </c>
      <c r="C87" s="6" t="s">
        <v>512</v>
      </c>
      <c r="D87" s="6" t="s">
        <v>561</v>
      </c>
      <c r="E87" s="6" t="s">
        <v>716</v>
      </c>
      <c r="F87" s="7">
        <f>ROUND(SUM('Entity Inputs'!BI$4:BI4),2)</f>
        <v>0.0</v>
      </c>
      <c r="G87" s="7">
        <f>ROUND(SUM('Entity Inputs'!BI$4:BI5),2)</f>
        <v>0.0</v>
      </c>
      <c r="H87" s="7">
        <f>ROUND(SUM('Entity Inputs'!BI$4:BI6),2)</f>
        <v>1.0</v>
      </c>
      <c r="I87" s="7">
        <f>ROUND(SUM('Entity Inputs'!BI$4:BI7),2)</f>
        <v>1.0</v>
      </c>
      <c r="J87" s="7">
        <f>ROUND(SUM('Entity Inputs'!BI$4:BI8),2)</f>
        <v>1.0</v>
      </c>
      <c r="K87" s="7">
        <f>ROUND(SUM('Entity Inputs'!BI$4:BI9),2)</f>
        <v>2.0</v>
      </c>
      <c r="L87" s="7">
        <f>ROUND(SUM('Entity Inputs'!BI$10:BI10),2)</f>
        <v>0.0</v>
      </c>
      <c r="M87" s="7">
        <f>ROUND(SUM('Entity Inputs'!BI$10:BI11),2)</f>
        <v>0.0</v>
      </c>
      <c r="N87" s="7">
        <f>ROUND(SUM('Entity Inputs'!BI$10:BI12),2)</f>
        <v>0.0</v>
      </c>
      <c r="O87" s="7">
        <f>ROUND(SUM('Entity Inputs'!BI$10:BI13),2)</f>
        <v>0.0</v>
      </c>
      <c r="P87" s="7">
        <f>ROUND(SUM('Entity Inputs'!BI$10:BI14),2)</f>
        <v>0.0</v>
      </c>
      <c r="Q87" s="7">
        <f>ROUND(SUM('Entity Inputs'!BI$10:BI15),2)</f>
        <v>1.0</v>
      </c>
    </row>
    <row r="88" spans="1:17">
      <c r="A88" s="6" t="s">
        <v>717</v>
      </c>
      <c r="B88" s="6" t="s">
        <v>718</v>
      </c>
      <c r="C88" s="6" t="s">
        <v>512</v>
      </c>
      <c r="D88" s="6" t="s">
        <v>577</v>
      </c>
      <c r="E88" s="6" t="s">
        <v>719</v>
      </c>
      <c r="F88" s="7">
        <f>ROUND('Entity Inputs'!EF4,2)</f>
        <v>1.0</v>
      </c>
      <c r="G88" s="7">
        <f>ROUND('Entity Inputs'!EF5,2)</f>
        <v>2.0</v>
      </c>
      <c r="H88" s="7">
        <f>ROUND('Entity Inputs'!EF6,2)</f>
        <v>2.0</v>
      </c>
      <c r="I88" s="7">
        <f>ROUND('Entity Inputs'!EF7,2)</f>
        <v>2.0</v>
      </c>
      <c r="J88" s="7">
        <f>ROUND('Entity Inputs'!EF8,2)</f>
        <v>2.0</v>
      </c>
      <c r="K88" s="7">
        <f>ROUND('Entity Inputs'!EF9,2)</f>
        <v>2.0</v>
      </c>
      <c r="L88" s="7">
        <f>ROUND('Entity Inputs'!EF10,2)</f>
        <v>2.0</v>
      </c>
      <c r="M88" s="7">
        <f>ROUND('Entity Inputs'!EF11,2)</f>
        <v>3.0</v>
      </c>
      <c r="N88" s="7">
        <f>ROUND('Entity Inputs'!EF12,2)</f>
        <v>2.0</v>
      </c>
      <c r="O88" s="7">
        <f>ROUND('Entity Inputs'!EF13,2)</f>
        <v>3.0</v>
      </c>
      <c r="P88" s="7">
        <f>ROUND('Entity Inputs'!EF14,2)</f>
        <v>2.0</v>
      </c>
      <c r="Q88" s="7">
        <f>ROUND('Entity Inputs'!EF15,2)</f>
        <v>2.0</v>
      </c>
    </row>
    <row r="89" spans="1:17">
      <c r="A89" s="6" t="s">
        <v>720</v>
      </c>
      <c r="B89" s="6" t="s">
        <v>721</v>
      </c>
      <c r="C89" s="6" t="s">
        <v>455</v>
      </c>
      <c r="D89" s="6" t="s">
        <v>577</v>
      </c>
      <c r="E89" s="6" t="s">
        <v>722</v>
      </c>
      <c r="F89" s="7">
        <f>ROUND(IF('Entity Inputs'!ED4=0,0,100*'Entity Inputs'!EE4/'Entity Inputs'!ED4),2)</f>
        <v>95.83</v>
      </c>
      <c r="G89" s="7">
        <f>ROUND(IF('Entity Inputs'!ED5=0,0,100*'Entity Inputs'!EE5/'Entity Inputs'!ED5),2)</f>
        <v>94.44</v>
      </c>
      <c r="H89" s="7">
        <f>ROUND(IF('Entity Inputs'!ED6=0,0,100*'Entity Inputs'!EE6/'Entity Inputs'!ED6),2)</f>
        <v>95.83</v>
      </c>
      <c r="I89" s="7">
        <f>ROUND(IF('Entity Inputs'!ED7=0,0,100*'Entity Inputs'!EE7/'Entity Inputs'!ED7),2)</f>
        <v>94.44</v>
      </c>
      <c r="J89" s="7">
        <f>ROUND(IF('Entity Inputs'!ED8=0,0,100*'Entity Inputs'!EE8/'Entity Inputs'!ED8),2)</f>
        <v>94.44</v>
      </c>
      <c r="K89" s="7">
        <f>ROUND(IF('Entity Inputs'!ED9=0,0,100*'Entity Inputs'!EE9/'Entity Inputs'!ED9),2)</f>
        <v>95.83</v>
      </c>
      <c r="L89" s="7">
        <f>ROUND(IF('Entity Inputs'!ED10=0,0,100*'Entity Inputs'!EE10/'Entity Inputs'!ED10),2)</f>
        <v>97.06</v>
      </c>
      <c r="M89" s="7">
        <f>ROUND(IF('Entity Inputs'!ED11=0,0,100*'Entity Inputs'!EE11/'Entity Inputs'!ED11),2)</f>
        <v>95.59</v>
      </c>
      <c r="N89" s="7">
        <f>ROUND(IF('Entity Inputs'!ED12=0,0,100*'Entity Inputs'!EE12/'Entity Inputs'!ED12),2)</f>
        <v>97.06</v>
      </c>
      <c r="O89" s="7">
        <f>ROUND(IF('Entity Inputs'!ED13=0,0,100*'Entity Inputs'!EE13/'Entity Inputs'!ED13),2)</f>
        <v>95.59</v>
      </c>
      <c r="P89" s="7">
        <f>ROUND(IF('Entity Inputs'!ED14=0,0,100*'Entity Inputs'!EE14/'Entity Inputs'!ED14),2)</f>
        <v>95.59</v>
      </c>
      <c r="Q89" s="7">
        <f>ROUND(IF('Entity Inputs'!ED15=0,0,100*'Entity Inputs'!EE15/'Entity Inputs'!ED15),2)</f>
        <v>95.59</v>
      </c>
    </row>
    <row r="90" spans="1:17">
      <c r="A90" s="6" t="s">
        <v>723</v>
      </c>
      <c r="B90" s="6" t="s">
        <v>724</v>
      </c>
      <c r="C90" s="6" t="s">
        <v>512</v>
      </c>
      <c r="D90" s="6" t="s">
        <v>577</v>
      </c>
      <c r="E90" s="6" t="s">
        <v>725</v>
      </c>
      <c r="F90" s="7">
        <f>ROUND('Entity Inputs'!EG4,2)</f>
        <v>0.0</v>
      </c>
      <c r="G90" s="7">
        <f>ROUND('Entity Inputs'!EG5,2)</f>
        <v>0.0</v>
      </c>
      <c r="H90" s="7">
        <f>ROUND('Entity Inputs'!EG6,2)</f>
        <v>0.0</v>
      </c>
      <c r="I90" s="7">
        <f>ROUND('Entity Inputs'!EG7,2)</f>
        <v>0.0</v>
      </c>
      <c r="J90" s="7">
        <f>ROUND('Entity Inputs'!EG8,2)</f>
        <v>0.0</v>
      </c>
      <c r="K90" s="7">
        <f>ROUND('Entity Inputs'!EG9,2)</f>
        <v>0.0</v>
      </c>
      <c r="L90" s="7">
        <f>ROUND('Entity Inputs'!EG10,2)</f>
        <v>1.0</v>
      </c>
      <c r="M90" s="7">
        <f>ROUND('Entity Inputs'!EG11,2)</f>
        <v>1.0</v>
      </c>
      <c r="N90" s="7">
        <f>ROUND('Entity Inputs'!EG12,2)</f>
        <v>0.0</v>
      </c>
      <c r="O90" s="7">
        <f>ROUND('Entity Inputs'!EG13,2)</f>
        <v>1.0</v>
      </c>
      <c r="P90" s="7">
        <f>ROUND('Entity Inputs'!EG14,2)</f>
        <v>0.0</v>
      </c>
      <c r="Q90" s="7">
        <f>ROUND('Entity Inputs'!EG15,2)</f>
        <v>0.0</v>
      </c>
    </row>
    <row r="91" spans="1:17">
      <c r="A91" s="6" t="s">
        <v>726</v>
      </c>
      <c r="B91" s="6" t="s">
        <v>727</v>
      </c>
      <c r="C91" s="6" t="s">
        <v>512</v>
      </c>
      <c r="D91" s="6" t="s">
        <v>577</v>
      </c>
      <c r="E91" s="6" t="s">
        <v>728</v>
      </c>
      <c r="F91" s="7">
        <f>ROUND('Entity Inputs'!BJ4,2)</f>
        <v>1.0</v>
      </c>
      <c r="G91" s="7">
        <f>ROUND('Entity Inputs'!BJ5,2)</f>
        <v>2.0</v>
      </c>
      <c r="H91" s="7">
        <f>ROUND('Entity Inputs'!BJ6,2)</f>
        <v>0.0</v>
      </c>
      <c r="I91" s="7">
        <f>ROUND('Entity Inputs'!BJ7,2)</f>
        <v>0.0</v>
      </c>
      <c r="J91" s="7">
        <f>ROUND('Entity Inputs'!BJ8,2)</f>
        <v>0.0</v>
      </c>
      <c r="K91" s="7">
        <f>ROUND('Entity Inputs'!BJ9,2)</f>
        <v>0.0</v>
      </c>
      <c r="L91" s="7">
        <f>ROUND('Entity Inputs'!BJ10,2)</f>
        <v>2.0</v>
      </c>
      <c r="M91" s="7">
        <f>ROUND('Entity Inputs'!BJ11,2)</f>
        <v>1.0</v>
      </c>
      <c r="N91" s="7">
        <f>ROUND('Entity Inputs'!BJ12,2)</f>
        <v>1.0</v>
      </c>
      <c r="O91" s="7">
        <f>ROUND('Entity Inputs'!BJ13,2)</f>
        <v>1.0</v>
      </c>
      <c r="P91" s="7">
        <f>ROUND('Entity Inputs'!BJ14,2)</f>
        <v>0.0</v>
      </c>
      <c r="Q91" s="7">
        <f>ROUND('Entity Inputs'!BJ15,2)</f>
        <v>0.0</v>
      </c>
    </row>
    <row r="92" spans="1:17">
      <c r="A92" s="6" t="s">
        <v>729</v>
      </c>
      <c r="B92" s="6" t="s">
        <v>730</v>
      </c>
      <c r="C92" s="6" t="s">
        <v>512</v>
      </c>
      <c r="D92" s="6" t="s">
        <v>577</v>
      </c>
      <c r="E92" s="6" t="s">
        <v>731</v>
      </c>
      <c r="F92" s="7">
        <f>ROUND('Entity Inputs'!BK4,2)</f>
        <v>2.0</v>
      </c>
      <c r="G92" s="7">
        <f>ROUND('Entity Inputs'!BK5,2)</f>
        <v>1.0</v>
      </c>
      <c r="H92" s="7">
        <f>ROUND('Entity Inputs'!BK6,2)</f>
        <v>0.0</v>
      </c>
      <c r="I92" s="7">
        <f>ROUND('Entity Inputs'!BK7,2)</f>
        <v>0.0</v>
      </c>
      <c r="J92" s="7">
        <f>ROUND('Entity Inputs'!BK8,2)</f>
        <v>0.0</v>
      </c>
      <c r="K92" s="7">
        <f>ROUND('Entity Inputs'!BK9,2)</f>
        <v>2.0</v>
      </c>
      <c r="L92" s="7">
        <f>ROUND('Entity Inputs'!BK10,2)</f>
        <v>0.0</v>
      </c>
      <c r="M92" s="7">
        <f>ROUND('Entity Inputs'!BK11,2)</f>
        <v>0.0</v>
      </c>
      <c r="N92" s="7">
        <f>ROUND('Entity Inputs'!BK12,2)</f>
        <v>2.0</v>
      </c>
      <c r="O92" s="7">
        <f>ROUND('Entity Inputs'!BK13,2)</f>
        <v>2.0</v>
      </c>
      <c r="P92" s="7">
        <f>ROUND('Entity Inputs'!BK14,2)</f>
        <v>0.0</v>
      </c>
      <c r="Q92" s="7">
        <f>ROUND('Entity Inputs'!BK15,2)</f>
        <v>1.0</v>
      </c>
    </row>
    <row r="93" spans="1:17">
      <c r="A93" s="6" t="s">
        <v>732</v>
      </c>
      <c r="B93" s="6" t="s">
        <v>733</v>
      </c>
      <c r="C93" s="6" t="s">
        <v>512</v>
      </c>
      <c r="D93" s="6" t="s">
        <v>577</v>
      </c>
      <c r="E93" s="6" t="s">
        <v>734</v>
      </c>
      <c r="F93" s="7">
        <f>ROUND('Entity Inputs'!BL4,2)</f>
        <v>2.0</v>
      </c>
      <c r="G93" s="7">
        <f>ROUND('Entity Inputs'!BL5,2)</f>
        <v>1.0</v>
      </c>
      <c r="H93" s="7">
        <f>ROUND('Entity Inputs'!BL6,2)</f>
        <v>2.0</v>
      </c>
      <c r="I93" s="7">
        <f>ROUND('Entity Inputs'!BL7,2)</f>
        <v>1.0</v>
      </c>
      <c r="J93" s="7">
        <f>ROUND('Entity Inputs'!BL8,2)</f>
        <v>1.0</v>
      </c>
      <c r="K93" s="7">
        <f>ROUND('Entity Inputs'!BL9,2)</f>
        <v>1.0</v>
      </c>
      <c r="L93" s="7">
        <f>ROUND('Entity Inputs'!BL10,2)</f>
        <v>1.0</v>
      </c>
      <c r="M93" s="7">
        <f>ROUND('Entity Inputs'!BL11,2)</f>
        <v>0.0</v>
      </c>
      <c r="N93" s="7">
        <f>ROUND('Entity Inputs'!BL12,2)</f>
        <v>1.0</v>
      </c>
      <c r="O93" s="7">
        <f>ROUND('Entity Inputs'!BL13,2)</f>
        <v>1.0</v>
      </c>
      <c r="P93" s="7">
        <f>ROUND('Entity Inputs'!BL14,2)</f>
        <v>1.0</v>
      </c>
      <c r="Q93" s="7">
        <f>ROUND('Entity Inputs'!BL15,2)</f>
        <v>0.0</v>
      </c>
    </row>
    <row r="94" spans="1:17">
      <c r="A94" s="6" t="s">
        <v>735</v>
      </c>
      <c r="B94" s="6" t="s">
        <v>736</v>
      </c>
      <c r="C94" s="6" t="s">
        <v>512</v>
      </c>
      <c r="D94" s="6" t="s">
        <v>577</v>
      </c>
      <c r="E94" s="6" t="s">
        <v>737</v>
      </c>
      <c r="F94" s="7">
        <f>ROUND('Entity Inputs'!BM4,2)</f>
        <v>3.0</v>
      </c>
      <c r="G94" s="7">
        <f>ROUND('Entity Inputs'!BM5,2)</f>
        <v>1.0</v>
      </c>
      <c r="H94" s="7">
        <f>ROUND('Entity Inputs'!BM6,2)</f>
        <v>2.0</v>
      </c>
      <c r="I94" s="7">
        <f>ROUND('Entity Inputs'!BM7,2)</f>
        <v>1.0</v>
      </c>
      <c r="J94" s="7">
        <f>ROUND('Entity Inputs'!BM8,2)</f>
        <v>2.0</v>
      </c>
      <c r="K94" s="7">
        <f>ROUND('Entity Inputs'!BM9,2)</f>
        <v>1.0</v>
      </c>
      <c r="L94" s="7">
        <f>ROUND('Entity Inputs'!BM10,2)</f>
        <v>1.0</v>
      </c>
      <c r="M94" s="7">
        <f>ROUND('Entity Inputs'!BM11,2)</f>
        <v>1.0</v>
      </c>
      <c r="N94" s="7">
        <f>ROUND('Entity Inputs'!BM12,2)</f>
        <v>2.0</v>
      </c>
      <c r="O94" s="7">
        <f>ROUND('Entity Inputs'!BM13,2)</f>
        <v>3.0</v>
      </c>
      <c r="P94" s="7">
        <f>ROUND('Entity Inputs'!BM14,2)</f>
        <v>2.0</v>
      </c>
      <c r="Q94" s="7">
        <f>ROUND('Entity Inputs'!BM15,2)</f>
        <v>1.0</v>
      </c>
    </row>
    <row r="95" spans="1:17">
      <c r="A95" s="6" t="s">
        <v>738</v>
      </c>
      <c r="B95" s="6" t="s">
        <v>739</v>
      </c>
      <c r="C95" s="6" t="s">
        <v>512</v>
      </c>
      <c r="D95" s="6" t="s">
        <v>577</v>
      </c>
      <c r="E95" s="6" t="s">
        <v>740</v>
      </c>
      <c r="F95" s="7">
        <f>ROUND('Entity Inputs'!BN4,2)</f>
        <v>0.0</v>
      </c>
      <c r="G95" s="7">
        <f>ROUND('Entity Inputs'!BN5,2)</f>
        <v>0.0</v>
      </c>
      <c r="H95" s="7">
        <f>ROUND('Entity Inputs'!BN6,2)</f>
        <v>0.0</v>
      </c>
      <c r="I95" s="7">
        <f>ROUND('Entity Inputs'!BN7,2)</f>
        <v>0.0</v>
      </c>
      <c r="J95" s="7">
        <f>ROUND('Entity Inputs'!BN8,2)</f>
        <v>0.0</v>
      </c>
      <c r="K95" s="7">
        <f>ROUND('Entity Inputs'!BN9,2)</f>
        <v>0.0</v>
      </c>
      <c r="L95" s="7">
        <f>ROUND('Entity Inputs'!BN10,2)</f>
        <v>0.0</v>
      </c>
      <c r="M95" s="7">
        <f>ROUND('Entity Inputs'!BN11,2)</f>
        <v>0.0</v>
      </c>
      <c r="N95" s="7">
        <f>ROUND('Entity Inputs'!BN12,2)</f>
        <v>0.0</v>
      </c>
      <c r="O95" s="7">
        <f>ROUND('Entity Inputs'!BN13,2)</f>
        <v>0.0</v>
      </c>
      <c r="P95" s="7">
        <f>ROUND('Entity Inputs'!BN14,2)</f>
        <v>0.0</v>
      </c>
      <c r="Q95" s="7">
        <f>ROUND('Entity Inputs'!BN15,2)</f>
        <v>0.0</v>
      </c>
    </row>
    <row r="96" spans="1:17">
      <c r="A96" s="6" t="s">
        <v>741</v>
      </c>
      <c r="B96" s="6" t="s">
        <v>742</v>
      </c>
      <c r="C96" s="6" t="s">
        <v>512</v>
      </c>
      <c r="D96" s="6" t="s">
        <v>577</v>
      </c>
      <c r="E96" s="6" t="s">
        <v>742</v>
      </c>
      <c r="F96" s="7">
        <f>ROUND('Entity Inputs'!BO4,2)</f>
        <v>0.0</v>
      </c>
      <c r="G96" s="7">
        <f>ROUND('Entity Inputs'!BO5,2)</f>
        <v>0.0</v>
      </c>
      <c r="H96" s="7">
        <f>ROUND('Entity Inputs'!BO6,2)</f>
        <v>0.0</v>
      </c>
      <c r="I96" s="7">
        <f>ROUND('Entity Inputs'!BO7,2)</f>
        <v>1.0</v>
      </c>
      <c r="J96" s="7">
        <f>ROUND('Entity Inputs'!BO8,2)</f>
        <v>0.0</v>
      </c>
      <c r="K96" s="7">
        <f>ROUND('Entity Inputs'!BO9,2)</f>
        <v>0.0</v>
      </c>
      <c r="L96" s="7">
        <f>ROUND('Entity Inputs'!BO10,2)</f>
        <v>0.0</v>
      </c>
      <c r="M96" s="7">
        <f>ROUND('Entity Inputs'!BO11,2)</f>
        <v>1.0</v>
      </c>
      <c r="N96" s="7">
        <f>ROUND('Entity Inputs'!BO12,2)</f>
        <v>0.0</v>
      </c>
      <c r="O96" s="7">
        <f>ROUND('Entity Inputs'!BO13,2)</f>
        <v>0.0</v>
      </c>
      <c r="P96" s="7">
        <f>ROUND('Entity Inputs'!BO14,2)</f>
        <v>1.0</v>
      </c>
      <c r="Q96" s="7">
        <f>ROUND('Entity Inputs'!BO15,2)</f>
        <v>0.0</v>
      </c>
    </row>
    <row r="97" spans="1:17">
      <c r="A97" s="6" t="s">
        <v>743</v>
      </c>
      <c r="B97" s="6" t="s">
        <v>744</v>
      </c>
      <c r="C97" s="6" t="s">
        <v>512</v>
      </c>
      <c r="D97" s="6" t="s">
        <v>577</v>
      </c>
      <c r="E97" s="6" t="s">
        <v>744</v>
      </c>
      <c r="F97" s="7">
        <f>ROUND('Entity Inputs'!BP4,2)</f>
        <v>0.0</v>
      </c>
      <c r="G97" s="7">
        <f>ROUND('Entity Inputs'!BP5,2)</f>
        <v>0.0</v>
      </c>
      <c r="H97" s="7">
        <f>ROUND('Entity Inputs'!BP6,2)</f>
        <v>0.0</v>
      </c>
      <c r="I97" s="7">
        <f>ROUND('Entity Inputs'!BP7,2)</f>
        <v>0.0</v>
      </c>
      <c r="J97" s="7">
        <f>ROUND('Entity Inputs'!BP8,2)</f>
        <v>0.0</v>
      </c>
      <c r="K97" s="7">
        <f>ROUND('Entity Inputs'!BP9,2)</f>
        <v>0.0</v>
      </c>
      <c r="L97" s="7">
        <f>ROUND('Entity Inputs'!BP10,2)</f>
        <v>0.0</v>
      </c>
      <c r="M97" s="7">
        <f>ROUND('Entity Inputs'!BP11,2)</f>
        <v>0.0</v>
      </c>
      <c r="N97" s="7">
        <f>ROUND('Entity Inputs'!BP12,2)</f>
        <v>0.0</v>
      </c>
      <c r="O97" s="7">
        <f>ROUND('Entity Inputs'!BP13,2)</f>
        <v>0.0</v>
      </c>
      <c r="P97" s="7">
        <f>ROUND('Entity Inputs'!BP14,2)</f>
        <v>0.0</v>
      </c>
      <c r="Q97" s="7">
        <f>ROUND('Entity Inputs'!BP15,2)</f>
        <v>0.0</v>
      </c>
    </row>
    <row r="98" spans="1:17">
      <c r="A98" s="6" t="s">
        <v>745</v>
      </c>
      <c r="B98" s="6" t="s">
        <v>746</v>
      </c>
      <c r="C98" s="6" t="s">
        <v>668</v>
      </c>
      <c r="D98" s="6" t="s">
        <v>577</v>
      </c>
      <c r="E98" s="6" t="s">
        <v>747</v>
      </c>
      <c r="F98" s="8" t="str">
        <f>IF('Entity Inputs'!BR4&gt;0,"Triggered","Not triggered")</f>
        <v>Not triggered</v>
      </c>
      <c r="G98" s="8" t="str">
        <f>IF('Entity Inputs'!BR5&gt;0,"Triggered","Not triggered")</f>
        <v>Not triggered</v>
      </c>
      <c r="H98" s="8" t="str">
        <f>IF('Entity Inputs'!BR6&gt;0,"Triggered","Not triggered")</f>
        <v>Not triggered</v>
      </c>
      <c r="I98" s="8" t="str">
        <f>IF('Entity Inputs'!BR7&gt;0,"Triggered","Not triggered")</f>
        <v>Not triggered</v>
      </c>
      <c r="J98" s="8" t="str">
        <f>IF('Entity Inputs'!BR8&gt;0,"Triggered","Not triggered")</f>
        <v>Not triggered</v>
      </c>
      <c r="K98" s="8" t="str">
        <f>IF('Entity Inputs'!BR9&gt;0,"Triggered","Not triggered")</f>
        <v>Not triggered</v>
      </c>
      <c r="L98" s="8" t="str">
        <f>IF('Entity Inputs'!BR10&gt;0,"Triggered","Not triggered")</f>
        <v>Not triggered</v>
      </c>
      <c r="M98" s="8" t="str">
        <f>IF('Entity Inputs'!BR11&gt;0,"Triggered","Not triggered")</f>
        <v>Not triggered</v>
      </c>
      <c r="N98" s="8" t="str">
        <f>IF('Entity Inputs'!BR12&gt;0,"Triggered","Not triggered")</f>
        <v>Not triggered</v>
      </c>
      <c r="O98" s="8" t="str">
        <f>IF('Entity Inputs'!BR13&gt;0,"Triggered","Not triggered")</f>
        <v>Not triggered</v>
      </c>
      <c r="P98" s="8" t="str">
        <f>IF('Entity Inputs'!BR14&gt;0,"Triggered","Not triggered")</f>
        <v>Not triggered</v>
      </c>
      <c r="Q98" s="8" t="str">
        <f>IF('Entity Inputs'!BR15&gt;0,"Triggered","Not triggered")</f>
        <v>Not triggered</v>
      </c>
    </row>
    <row r="99" spans="1:17">
      <c r="A99" s="6" t="s">
        <v>748</v>
      </c>
      <c r="B99" s="6" t="s">
        <v>749</v>
      </c>
      <c r="C99" s="6" t="s">
        <v>512</v>
      </c>
      <c r="D99" s="6" t="s">
        <v>561</v>
      </c>
      <c r="E99" s="6" t="s">
        <v>750</v>
      </c>
      <c r="F99" s="7">
        <f>ROUND(SUM('Entity Inputs'!BQ$4:BQ4),2)</f>
        <v>0.0</v>
      </c>
      <c r="G99" s="7">
        <f>ROUND(SUM('Entity Inputs'!BQ$4:BQ5),2)</f>
        <v>0.0</v>
      </c>
      <c r="H99" s="7">
        <f>ROUND(SUM('Entity Inputs'!BQ$4:BQ6),2)</f>
        <v>0.0</v>
      </c>
      <c r="I99" s="7">
        <f>ROUND(SUM('Entity Inputs'!BQ$4:BQ7),2)</f>
        <v>0.0</v>
      </c>
      <c r="J99" s="7">
        <f>ROUND(SUM('Entity Inputs'!BQ$4:BQ8),2)</f>
        <v>0.0</v>
      </c>
      <c r="K99" s="7">
        <f>ROUND(SUM('Entity Inputs'!BQ$4:BQ9),2)</f>
        <v>0.0</v>
      </c>
      <c r="L99" s="7">
        <f>ROUND(SUM('Entity Inputs'!BQ$10:BQ10),2)</f>
        <v>0.0</v>
      </c>
      <c r="M99" s="7">
        <f>ROUND(SUM('Entity Inputs'!BQ$10:BQ11),2)</f>
        <v>0.0</v>
      </c>
      <c r="N99" s="7">
        <f>ROUND(SUM('Entity Inputs'!BQ$10:BQ12),2)</f>
        <v>0.0</v>
      </c>
      <c r="O99" s="7">
        <f>ROUND(SUM('Entity Inputs'!BQ$10:BQ13),2)</f>
        <v>0.0</v>
      </c>
      <c r="P99" s="7">
        <f>ROUND(SUM('Entity Inputs'!BQ$10:BQ14),2)</f>
        <v>0.0</v>
      </c>
      <c r="Q99" s="7">
        <f>ROUND(SUM('Entity Inputs'!BQ$10:BQ15),2)</f>
        <v>0.0</v>
      </c>
    </row>
    <row r="100" spans="1:17">
      <c r="A100" s="6" t="s">
        <v>751</v>
      </c>
      <c r="B100" s="6" t="s">
        <v>752</v>
      </c>
      <c r="C100" s="6" t="s">
        <v>512</v>
      </c>
      <c r="D100" s="6" t="s">
        <v>561</v>
      </c>
      <c r="E100" s="6" t="s">
        <v>750</v>
      </c>
      <c r="F100" s="7">
        <f>ROUND(SUM('Entity Inputs'!BQ$4:BQ4),2)</f>
        <v>0.0</v>
      </c>
      <c r="G100" s="7">
        <f>ROUND(SUM('Entity Inputs'!BQ$4:BQ5),2)</f>
        <v>0.0</v>
      </c>
      <c r="H100" s="7">
        <f>ROUND(SUM('Entity Inputs'!BQ$4:BQ6),2)</f>
        <v>0.0</v>
      </c>
      <c r="I100" s="7">
        <f>ROUND(SUM('Entity Inputs'!BQ$4:BQ7),2)</f>
        <v>0.0</v>
      </c>
      <c r="J100" s="7">
        <f>ROUND(SUM('Entity Inputs'!BQ$4:BQ8),2)</f>
        <v>0.0</v>
      </c>
      <c r="K100" s="7">
        <f>ROUND(SUM('Entity Inputs'!BQ$4:BQ9),2)</f>
        <v>0.0</v>
      </c>
      <c r="L100" s="7">
        <f>ROUND(SUM('Entity Inputs'!BQ$10:BQ10),2)</f>
        <v>0.0</v>
      </c>
      <c r="M100" s="7">
        <f>ROUND(SUM('Entity Inputs'!BQ$10:BQ11),2)</f>
        <v>0.0</v>
      </c>
      <c r="N100" s="7">
        <f>ROUND(SUM('Entity Inputs'!BQ$10:BQ12),2)</f>
        <v>0.0</v>
      </c>
      <c r="O100" s="7">
        <f>ROUND(SUM('Entity Inputs'!BQ$10:BQ13),2)</f>
        <v>0.0</v>
      </c>
      <c r="P100" s="7">
        <f>ROUND(SUM('Entity Inputs'!BQ$10:BQ14),2)</f>
        <v>0.0</v>
      </c>
      <c r="Q100" s="7">
        <f>ROUND(SUM('Entity Inputs'!BQ$10:BQ15),2)</f>
        <v>0.0</v>
      </c>
    </row>
    <row r="101" spans="1:17">
      <c r="A101" s="6" t="s">
        <v>753</v>
      </c>
      <c r="B101" s="6" t="s">
        <v>752</v>
      </c>
      <c r="C101" s="6" t="s">
        <v>512</v>
      </c>
      <c r="D101" s="6" t="s">
        <v>561</v>
      </c>
      <c r="E101" s="6" t="s">
        <v>750</v>
      </c>
      <c r="F101" s="7">
        <f>ROUND(SUM('Entity Inputs'!BQ$4:BQ4),2)</f>
        <v>0.0</v>
      </c>
      <c r="G101" s="7">
        <f>ROUND(SUM('Entity Inputs'!BQ$4:BQ5),2)</f>
        <v>0.0</v>
      </c>
      <c r="H101" s="7">
        <f>ROUND(SUM('Entity Inputs'!BQ$4:BQ6),2)</f>
        <v>0.0</v>
      </c>
      <c r="I101" s="7">
        <f>ROUND(SUM('Entity Inputs'!BQ$4:BQ7),2)</f>
        <v>0.0</v>
      </c>
      <c r="J101" s="7">
        <f>ROUND(SUM('Entity Inputs'!BQ$4:BQ8),2)</f>
        <v>0.0</v>
      </c>
      <c r="K101" s="7">
        <f>ROUND(SUM('Entity Inputs'!BQ$4:BQ9),2)</f>
        <v>0.0</v>
      </c>
      <c r="L101" s="7">
        <f>ROUND(SUM('Entity Inputs'!BQ$10:BQ10),2)</f>
        <v>0.0</v>
      </c>
      <c r="M101" s="7">
        <f>ROUND(SUM('Entity Inputs'!BQ$10:BQ11),2)</f>
        <v>0.0</v>
      </c>
      <c r="N101" s="7">
        <f>ROUND(SUM('Entity Inputs'!BQ$10:BQ12),2)</f>
        <v>0.0</v>
      </c>
      <c r="O101" s="7">
        <f>ROUND(SUM('Entity Inputs'!BQ$10:BQ13),2)</f>
        <v>0.0</v>
      </c>
      <c r="P101" s="7">
        <f>ROUND(SUM('Entity Inputs'!BQ$10:BQ14),2)</f>
        <v>0.0</v>
      </c>
      <c r="Q101" s="7">
        <f>ROUND(SUM('Entity Inputs'!BQ$10:BQ15),2)</f>
        <v>0.0</v>
      </c>
    </row>
    <row r="102" spans="1:17">
      <c r="A102" s="6" t="s">
        <v>754</v>
      </c>
      <c r="B102" s="6" t="s">
        <v>755</v>
      </c>
      <c r="C102" s="6" t="s">
        <v>512</v>
      </c>
      <c r="D102" s="6" t="s">
        <v>577</v>
      </c>
      <c r="E102" s="6" t="s">
        <v>755</v>
      </c>
      <c r="F102" s="7">
        <f>ROUND('Entity Inputs'!BS4,2)</f>
        <v>0.0</v>
      </c>
      <c r="G102" s="7">
        <f>ROUND('Entity Inputs'!BS5,2)</f>
        <v>0.0</v>
      </c>
      <c r="H102" s="7">
        <f>ROUND('Entity Inputs'!BS6,2)</f>
        <v>0.0</v>
      </c>
      <c r="I102" s="7">
        <f>ROUND('Entity Inputs'!BS7,2)</f>
        <v>0.0</v>
      </c>
      <c r="J102" s="7">
        <f>ROUND('Entity Inputs'!BS8,2)</f>
        <v>0.0</v>
      </c>
      <c r="K102" s="7">
        <f>ROUND('Entity Inputs'!BS9,2)</f>
        <v>0.0</v>
      </c>
      <c r="L102" s="7">
        <f>ROUND('Entity Inputs'!BS10,2)</f>
        <v>0.0</v>
      </c>
      <c r="M102" s="7">
        <f>ROUND('Entity Inputs'!BS11,2)</f>
        <v>0.0</v>
      </c>
      <c r="N102" s="7">
        <f>ROUND('Entity Inputs'!BS12,2)</f>
        <v>0.0</v>
      </c>
      <c r="O102" s="7">
        <f>ROUND('Entity Inputs'!BS13,2)</f>
        <v>0.0</v>
      </c>
      <c r="P102" s="7">
        <f>ROUND('Entity Inputs'!BS14,2)</f>
        <v>0.0</v>
      </c>
      <c r="Q102" s="7">
        <f>ROUND('Entity Inputs'!BS15,2)</f>
        <v>0.0</v>
      </c>
    </row>
    <row r="103" spans="1:17">
      <c r="A103" s="6" t="s">
        <v>756</v>
      </c>
      <c r="B103" s="6" t="s">
        <v>757</v>
      </c>
      <c r="C103" s="6" t="s">
        <v>455</v>
      </c>
      <c r="D103" s="6" t="s">
        <v>561</v>
      </c>
      <c r="E103" s="6" t="s">
        <v>758</v>
      </c>
      <c r="F103" s="7">
        <f>ROUND(IF(SUM('Entity Inputs'!AN$4:AN4)=0,100,100*SUM('Entity Inputs'!AO$4:AO4)/SUM('Entity Inputs'!AN$4:AN4)),2)</f>
        <v>75.0</v>
      </c>
      <c r="G103" s="7">
        <f>ROUND(IF(SUM('Entity Inputs'!AN$4:AN5)=0,100,100*SUM('Entity Inputs'!AO$4:AO5)/SUM('Entity Inputs'!AN$4:AN5)),2)</f>
        <v>85.71</v>
      </c>
      <c r="H103" s="7">
        <f>ROUND(IF(SUM('Entity Inputs'!AN$4:AN6)=0,100,100*SUM('Entity Inputs'!AO$4:AO6)/SUM('Entity Inputs'!AN$4:AN6)),2)</f>
        <v>81.82</v>
      </c>
      <c r="I103" s="7">
        <f>ROUND(IF(SUM('Entity Inputs'!AN$4:AN7)=0,100,100*SUM('Entity Inputs'!AO$4:AO7)/SUM('Entity Inputs'!AN$4:AN7)),2)</f>
        <v>86.67</v>
      </c>
      <c r="J103" s="7">
        <f>ROUND(IF(SUM('Entity Inputs'!AN$4:AN8)=0,100,100*SUM('Entity Inputs'!AO$4:AO8)/SUM('Entity Inputs'!AN$4:AN8)),2)</f>
        <v>83.33</v>
      </c>
      <c r="K103" s="7">
        <f>ROUND(IF(SUM('Entity Inputs'!AN$4:AN9)=0,100,100*SUM('Entity Inputs'!AO$4:AO9)/SUM('Entity Inputs'!AN$4:AN9)),2)</f>
        <v>81.82</v>
      </c>
      <c r="L103" s="7">
        <f>ROUND(IF(SUM('Entity Inputs'!AN$10:AN10)=0,100,100*SUM('Entity Inputs'!AO$10:AO10)/SUM('Entity Inputs'!AN$10:AN10)),2)</f>
        <v>60.0</v>
      </c>
      <c r="M103" s="7">
        <f>ROUND(IF(SUM('Entity Inputs'!AN$10:AN11)=0,100,100*SUM('Entity Inputs'!AO$10:AO11)/SUM('Entity Inputs'!AN$10:AN11)),2)</f>
        <v>80.0</v>
      </c>
      <c r="N103" s="7">
        <f>ROUND(IF(SUM('Entity Inputs'!AN$10:AN12)=0,100,100*SUM('Entity Inputs'!AO$10:AO12)/SUM('Entity Inputs'!AN$10:AN12)),2)</f>
        <v>86.67</v>
      </c>
      <c r="O103" s="7">
        <f>ROUND(IF(SUM('Entity Inputs'!AN$10:AN13)=0,100,100*SUM('Entity Inputs'!AO$10:AO13)/SUM('Entity Inputs'!AN$10:AN13)),2)</f>
        <v>83.33</v>
      </c>
      <c r="P103" s="7">
        <f>ROUND(IF(SUM('Entity Inputs'!AN$10:AN14)=0,100,100*SUM('Entity Inputs'!AO$10:AO14)/SUM('Entity Inputs'!AN$10:AN14)),2)</f>
        <v>88.46</v>
      </c>
      <c r="Q103" s="7">
        <f>ROUND(IF(SUM('Entity Inputs'!AN$10:AN15)=0,100,100*SUM('Entity Inputs'!AO$10:AO15)/SUM('Entity Inputs'!AN$10:AN15)),2)</f>
        <v>88.46</v>
      </c>
    </row>
    <row r="104" spans="1:17">
      <c r="A104" s="6" t="s">
        <v>759</v>
      </c>
      <c r="B104" s="6" t="s">
        <v>760</v>
      </c>
      <c r="C104" s="6" t="s">
        <v>512</v>
      </c>
      <c r="D104" s="6" t="s">
        <v>561</v>
      </c>
      <c r="E104" s="6" t="s">
        <v>761</v>
      </c>
      <c r="F104" s="7">
        <f>ROUND(SUM('Entity Inputs'!EI$4:EI4),2)</f>
        <v>1.0</v>
      </c>
      <c r="G104" s="7">
        <f>ROUND(SUM('Entity Inputs'!EI$4:EI5),2)</f>
        <v>1.0</v>
      </c>
      <c r="H104" s="7">
        <f>ROUND(SUM('Entity Inputs'!EI$4:EI6),2)</f>
        <v>1.0</v>
      </c>
      <c r="I104" s="7">
        <f>ROUND(SUM('Entity Inputs'!EI$4:EI7),2)</f>
        <v>2.0</v>
      </c>
      <c r="J104" s="7">
        <f>ROUND(SUM('Entity Inputs'!EI$4:EI8),2)</f>
        <v>2.0</v>
      </c>
      <c r="K104" s="7">
        <f>ROUND(SUM('Entity Inputs'!EI$4:EI9),2)</f>
        <v>2.0</v>
      </c>
      <c r="L104" s="7">
        <f>ROUND(SUM('Entity Inputs'!EI$10:EI10),2)</f>
        <v>0.0</v>
      </c>
      <c r="M104" s="7">
        <f>ROUND(SUM('Entity Inputs'!EI$10:EI11),2)</f>
        <v>0.0</v>
      </c>
      <c r="N104" s="7">
        <f>ROUND(SUM('Entity Inputs'!EI$10:EI12),2)</f>
        <v>0.0</v>
      </c>
      <c r="O104" s="7">
        <f>ROUND(SUM('Entity Inputs'!EI$10:EI13),2)</f>
        <v>0.0</v>
      </c>
      <c r="P104" s="7">
        <f>ROUND(SUM('Entity Inputs'!EI$10:EI14),2)</f>
        <v>1.0</v>
      </c>
      <c r="Q104" s="7">
        <f>ROUND(SUM('Entity Inputs'!EI$10:EI15),2)</f>
        <v>2.0</v>
      </c>
    </row>
    <row r="105" spans="1:17">
      <c r="A105" s="6" t="s">
        <v>762</v>
      </c>
      <c r="B105" s="6" t="s">
        <v>763</v>
      </c>
      <c r="C105" s="6" t="s">
        <v>512</v>
      </c>
      <c r="D105" s="6" t="s">
        <v>561</v>
      </c>
      <c r="E105" s="6" t="s">
        <v>764</v>
      </c>
      <c r="F105" s="7">
        <f>ROUND(SUM('Entity Inputs'!EJ$4:EJ4),2)</f>
        <v>0.0</v>
      </c>
      <c r="G105" s="7">
        <f>ROUND(SUM('Entity Inputs'!EJ$4:EJ5),2)</f>
        <v>0.0</v>
      </c>
      <c r="H105" s="7">
        <f>ROUND(SUM('Entity Inputs'!EJ$4:EJ6),2)</f>
        <v>0.0</v>
      </c>
      <c r="I105" s="7">
        <f>ROUND(SUM('Entity Inputs'!EJ$4:EJ7),2)</f>
        <v>0.0</v>
      </c>
      <c r="J105" s="7">
        <f>ROUND(SUM('Entity Inputs'!EJ$4:EJ8),2)</f>
        <v>0.0</v>
      </c>
      <c r="K105" s="7">
        <f>ROUND(SUM('Entity Inputs'!EJ$4:EJ9),2)</f>
        <v>0.0</v>
      </c>
      <c r="L105" s="7">
        <f>ROUND(SUM('Entity Inputs'!EJ$10:EJ10),2)</f>
        <v>0.0</v>
      </c>
      <c r="M105" s="7">
        <f>ROUND(SUM('Entity Inputs'!EJ$10:EJ11),2)</f>
        <v>0.0</v>
      </c>
      <c r="N105" s="7">
        <f>ROUND(SUM('Entity Inputs'!EJ$10:EJ12),2)</f>
        <v>0.0</v>
      </c>
      <c r="O105" s="7">
        <f>ROUND(SUM('Entity Inputs'!EJ$10:EJ13),2)</f>
        <v>0.0</v>
      </c>
      <c r="P105" s="7">
        <f>ROUND(SUM('Entity Inputs'!EJ$10:EJ14),2)</f>
        <v>0.0</v>
      </c>
      <c r="Q105" s="7">
        <f>ROUND(SUM('Entity Inputs'!EJ$10:EJ15),2)</f>
        <v>0.0</v>
      </c>
    </row>
    <row r="106" spans="1:17">
      <c r="A106" s="6" t="s">
        <v>765</v>
      </c>
      <c r="B106" s="6" t="s">
        <v>766</v>
      </c>
      <c r="C106" s="6" t="s">
        <v>512</v>
      </c>
      <c r="D106" s="6" t="s">
        <v>561</v>
      </c>
      <c r="E106" s="6" t="s">
        <v>767</v>
      </c>
      <c r="F106" s="7">
        <f>ROUND(SUM('Entity Inputs'!EM$4:EM4),2)</f>
        <v>0.0</v>
      </c>
      <c r="G106" s="7">
        <f>ROUND(SUM('Entity Inputs'!EM$4:EM5),2)</f>
        <v>0.0</v>
      </c>
      <c r="H106" s="7">
        <f>ROUND(SUM('Entity Inputs'!EM$4:EM6),2)</f>
        <v>0.0</v>
      </c>
      <c r="I106" s="7">
        <f>ROUND(SUM('Entity Inputs'!EM$4:EM7),2)</f>
        <v>0.0</v>
      </c>
      <c r="J106" s="7">
        <f>ROUND(SUM('Entity Inputs'!EM$4:EM8),2)</f>
        <v>1.0</v>
      </c>
      <c r="K106" s="7">
        <f>ROUND(SUM('Entity Inputs'!EM$4:EM9),2)</f>
        <v>2.0</v>
      </c>
      <c r="L106" s="7">
        <f>ROUND(SUM('Entity Inputs'!EM$10:EM10),2)</f>
        <v>0.0</v>
      </c>
      <c r="M106" s="7">
        <f>ROUND(SUM('Entity Inputs'!EM$10:EM11),2)</f>
        <v>0.0</v>
      </c>
      <c r="N106" s="7">
        <f>ROUND(SUM('Entity Inputs'!EM$10:EM12),2)</f>
        <v>0.0</v>
      </c>
      <c r="O106" s="7">
        <f>ROUND(SUM('Entity Inputs'!EM$10:EM13),2)</f>
        <v>1.0</v>
      </c>
      <c r="P106" s="7">
        <f>ROUND(SUM('Entity Inputs'!EM$10:EM14),2)</f>
        <v>2.0</v>
      </c>
      <c r="Q106" s="7">
        <f>ROUND(SUM('Entity Inputs'!EM$10:EM15),2)</f>
        <v>2.0</v>
      </c>
    </row>
    <row r="107" spans="1:17">
      <c r="A107" s="6" t="s">
        <v>768</v>
      </c>
      <c r="B107" s="6" t="s">
        <v>769</v>
      </c>
      <c r="C107" s="6" t="s">
        <v>512</v>
      </c>
      <c r="D107" s="6" t="s">
        <v>561</v>
      </c>
      <c r="E107" s="6" t="s">
        <v>770</v>
      </c>
      <c r="F107" s="7">
        <f>ROUND(SUM('Entity Inputs'!EN$4:EN4),2)</f>
        <v>0.0</v>
      </c>
      <c r="G107" s="7">
        <f>ROUND(SUM('Entity Inputs'!EN$4:EN5),2)</f>
        <v>0.0</v>
      </c>
      <c r="H107" s="7">
        <f>ROUND(SUM('Entity Inputs'!EN$4:EN6),2)</f>
        <v>0.0</v>
      </c>
      <c r="I107" s="7">
        <f>ROUND(SUM('Entity Inputs'!EN$4:EN7),2)</f>
        <v>0.0</v>
      </c>
      <c r="J107" s="7">
        <f>ROUND(SUM('Entity Inputs'!EN$4:EN8),2)</f>
        <v>0.0</v>
      </c>
      <c r="K107" s="7">
        <f>ROUND(SUM('Entity Inputs'!EN$4:EN9),2)</f>
        <v>0.0</v>
      </c>
      <c r="L107" s="7">
        <f>ROUND(SUM('Entity Inputs'!EN$10:EN10),2)</f>
        <v>0.0</v>
      </c>
      <c r="M107" s="7">
        <f>ROUND(SUM('Entity Inputs'!EN$10:EN11),2)</f>
        <v>0.0</v>
      </c>
      <c r="N107" s="7">
        <f>ROUND(SUM('Entity Inputs'!EN$10:EN12),2)</f>
        <v>0.0</v>
      </c>
      <c r="O107" s="7">
        <f>ROUND(SUM('Entity Inputs'!EN$10:EN13),2)</f>
        <v>0.0</v>
      </c>
      <c r="P107" s="7">
        <f>ROUND(SUM('Entity Inputs'!EN$10:EN14),2)</f>
        <v>0.0</v>
      </c>
      <c r="Q107" s="7">
        <f>ROUND(SUM('Entity Inputs'!EN$10:EN15),2)</f>
        <v>0.0</v>
      </c>
    </row>
    <row r="108" spans="1:17">
      <c r="A108" s="6" t="s">
        <v>771</v>
      </c>
      <c r="B108" s="6" t="s">
        <v>772</v>
      </c>
      <c r="C108" s="6" t="s">
        <v>512</v>
      </c>
      <c r="D108" s="6" t="s">
        <v>561</v>
      </c>
      <c r="E108" s="6" t="s">
        <v>773</v>
      </c>
      <c r="F108" s="7">
        <f>ROUND(SUM('Entity Inputs'!EO$4:EO4),2)</f>
        <v>0.0</v>
      </c>
      <c r="G108" s="7">
        <f>ROUND(SUM('Entity Inputs'!EO$4:EO5),2)</f>
        <v>0.0</v>
      </c>
      <c r="H108" s="7">
        <f>ROUND(SUM('Entity Inputs'!EO$4:EO6),2)</f>
        <v>0.0</v>
      </c>
      <c r="I108" s="7">
        <f>ROUND(SUM('Entity Inputs'!EO$4:EO7),2)</f>
        <v>0.0</v>
      </c>
      <c r="J108" s="7">
        <f>ROUND(SUM('Entity Inputs'!EO$4:EO8),2)</f>
        <v>0.0</v>
      </c>
      <c r="K108" s="7">
        <f>ROUND(SUM('Entity Inputs'!EO$4:EO9),2)</f>
        <v>0.0</v>
      </c>
      <c r="L108" s="7">
        <f>ROUND(SUM('Entity Inputs'!EO$10:EO10),2)</f>
        <v>0.0</v>
      </c>
      <c r="M108" s="7">
        <f>ROUND(SUM('Entity Inputs'!EO$10:EO11),2)</f>
        <v>0.0</v>
      </c>
      <c r="N108" s="7">
        <f>ROUND(SUM('Entity Inputs'!EO$10:EO12),2)</f>
        <v>1.0</v>
      </c>
      <c r="O108" s="7">
        <f>ROUND(SUM('Entity Inputs'!EO$10:EO13),2)</f>
        <v>1.0</v>
      </c>
      <c r="P108" s="7">
        <f>ROUND(SUM('Entity Inputs'!EO$10:EO14),2)</f>
        <v>1.0</v>
      </c>
      <c r="Q108" s="7">
        <f>ROUND(SUM('Entity Inputs'!EO$10:EO15),2)</f>
        <v>1.0</v>
      </c>
    </row>
    <row r="109" spans="1:17">
      <c r="A109" s="6" t="s">
        <v>774</v>
      </c>
      <c r="B109" s="6" t="s">
        <v>775</v>
      </c>
      <c r="C109" s="6" t="s">
        <v>512</v>
      </c>
      <c r="D109" s="6" t="s">
        <v>561</v>
      </c>
      <c r="E109" s="6" t="s">
        <v>776</v>
      </c>
      <c r="F109" s="7">
        <f>ROUND(SUM('Entity Inputs'!EP$4:EP4),2)</f>
        <v>0.0</v>
      </c>
      <c r="G109" s="7">
        <f>ROUND(SUM('Entity Inputs'!EP$4:EP5),2)</f>
        <v>0.0</v>
      </c>
      <c r="H109" s="7">
        <f>ROUND(SUM('Entity Inputs'!EP$4:EP6),2)</f>
        <v>0.0</v>
      </c>
      <c r="I109" s="7">
        <f>ROUND(SUM('Entity Inputs'!EP$4:EP7),2)</f>
        <v>0.0</v>
      </c>
      <c r="J109" s="7">
        <f>ROUND(SUM('Entity Inputs'!EP$4:EP8),2)</f>
        <v>0.0</v>
      </c>
      <c r="K109" s="7">
        <f>ROUND(SUM('Entity Inputs'!EP$4:EP9),2)</f>
        <v>0.0</v>
      </c>
      <c r="L109" s="7">
        <f>ROUND(SUM('Entity Inputs'!EP$10:EP10),2)</f>
        <v>0.0</v>
      </c>
      <c r="M109" s="7">
        <f>ROUND(SUM('Entity Inputs'!EP$10:EP11),2)</f>
        <v>0.0</v>
      </c>
      <c r="N109" s="7">
        <f>ROUND(SUM('Entity Inputs'!EP$10:EP12),2)</f>
        <v>0.0</v>
      </c>
      <c r="O109" s="7">
        <f>ROUND(SUM('Entity Inputs'!EP$10:EP13),2)</f>
        <v>0.0</v>
      </c>
      <c r="P109" s="7">
        <f>ROUND(SUM('Entity Inputs'!EP$10:EP14),2)</f>
        <v>0.0</v>
      </c>
      <c r="Q109" s="7">
        <f>ROUND(SUM('Entity Inputs'!EP$10:EP15),2)</f>
        <v>0.0</v>
      </c>
    </row>
    <row r="110" spans="1:17">
      <c r="A110" s="6" t="s">
        <v>777</v>
      </c>
      <c r="B110" s="6" t="s">
        <v>778</v>
      </c>
      <c r="C110" s="6" t="s">
        <v>512</v>
      </c>
      <c r="D110" s="6" t="s">
        <v>561</v>
      </c>
      <c r="E110" s="6" t="s">
        <v>779</v>
      </c>
      <c r="F110" s="7">
        <f>ROUND(SUM('Entity Inputs'!EQ$4:EQ4),2)</f>
        <v>0.0</v>
      </c>
      <c r="G110" s="7">
        <f>ROUND(SUM('Entity Inputs'!EQ$4:EQ5),2)</f>
        <v>0.0</v>
      </c>
      <c r="H110" s="7">
        <f>ROUND(SUM('Entity Inputs'!EQ$4:EQ6),2)</f>
        <v>0.0</v>
      </c>
      <c r="I110" s="7">
        <f>ROUND(SUM('Entity Inputs'!EQ$4:EQ7),2)</f>
        <v>0.0</v>
      </c>
      <c r="J110" s="7">
        <f>ROUND(SUM('Entity Inputs'!EQ$4:EQ8),2)</f>
        <v>0.0</v>
      </c>
      <c r="K110" s="7">
        <f>ROUND(SUM('Entity Inputs'!EQ$4:EQ9),2)</f>
        <v>0.0</v>
      </c>
      <c r="L110" s="7">
        <f>ROUND(SUM('Entity Inputs'!EQ$10:EQ10),2)</f>
        <v>0.0</v>
      </c>
      <c r="M110" s="7">
        <f>ROUND(SUM('Entity Inputs'!EQ$10:EQ11),2)</f>
        <v>0.0</v>
      </c>
      <c r="N110" s="7">
        <f>ROUND(SUM('Entity Inputs'!EQ$10:EQ12),2)</f>
        <v>0.0</v>
      </c>
      <c r="O110" s="7">
        <f>ROUND(SUM('Entity Inputs'!EQ$10:EQ13),2)</f>
        <v>0.0</v>
      </c>
      <c r="P110" s="7">
        <f>ROUND(SUM('Entity Inputs'!EQ$10:EQ14),2)</f>
        <v>0.0</v>
      </c>
      <c r="Q110" s="7">
        <f>ROUND(SUM('Entity Inputs'!EQ$10:EQ15),2)</f>
        <v>0.0</v>
      </c>
    </row>
    <row r="111" spans="1:17">
      <c r="A111" s="6" t="s">
        <v>780</v>
      </c>
      <c r="B111" s="6" t="s">
        <v>781</v>
      </c>
      <c r="C111" s="6" t="s">
        <v>512</v>
      </c>
      <c r="D111" s="6" t="s">
        <v>561</v>
      </c>
      <c r="E111" s="6" t="s">
        <v>782</v>
      </c>
      <c r="F111" s="7">
        <f>ROUND(SUM('Entity Inputs'!ER$4:ER4),2)</f>
        <v>1.0</v>
      </c>
      <c r="G111" s="7">
        <f>ROUND(SUM('Entity Inputs'!ER$4:ER5),2)</f>
        <v>1.0</v>
      </c>
      <c r="H111" s="7">
        <f>ROUND(SUM('Entity Inputs'!ER$4:ER6),2)</f>
        <v>3.0</v>
      </c>
      <c r="I111" s="7">
        <f>ROUND(SUM('Entity Inputs'!ER$4:ER7),2)</f>
        <v>4.0</v>
      </c>
      <c r="J111" s="7">
        <f>ROUND(SUM('Entity Inputs'!ER$4:ER8),2)</f>
        <v>6.0</v>
      </c>
      <c r="K111" s="7">
        <f>ROUND(SUM('Entity Inputs'!ER$4:ER9),2)</f>
        <v>7.0</v>
      </c>
      <c r="L111" s="7">
        <f>ROUND(SUM('Entity Inputs'!ER$10:ER10),2)</f>
        <v>0.0</v>
      </c>
      <c r="M111" s="7">
        <f>ROUND(SUM('Entity Inputs'!ER$10:ER11),2)</f>
        <v>2.0</v>
      </c>
      <c r="N111" s="7">
        <f>ROUND(SUM('Entity Inputs'!ER$10:ER12),2)</f>
        <v>3.0</v>
      </c>
      <c r="O111" s="7">
        <f>ROUND(SUM('Entity Inputs'!ER$10:ER13),2)</f>
        <v>3.0</v>
      </c>
      <c r="P111" s="7">
        <f>ROUND(SUM('Entity Inputs'!ER$10:ER14),2)</f>
        <v>5.0</v>
      </c>
      <c r="Q111" s="7">
        <f>ROUND(SUM('Entity Inputs'!ER$10:ER15),2)</f>
        <v>7.0</v>
      </c>
    </row>
    <row r="112" spans="1:17">
      <c r="A112" s="6" t="s">
        <v>783</v>
      </c>
      <c r="B112" s="6" t="s">
        <v>784</v>
      </c>
      <c r="C112" s="6" t="s">
        <v>668</v>
      </c>
      <c r="D112" s="6" t="s">
        <v>561</v>
      </c>
      <c r="E112" s="6" t="s">
        <v>785</v>
      </c>
      <c r="F112" s="8" t="str">
        <f>SUM('Entity Inputs'!EL$4:EL4)&amp;" of "&amp;SUM('Entity Inputs'!EK$4:EK4)</f>
        <v>1 of 1</v>
      </c>
      <c r="G112" s="8" t="str">
        <f>SUM('Entity Inputs'!EL$4:EL5)&amp;" of "&amp;SUM('Entity Inputs'!EK$4:EK5)</f>
        <v>1 of 2</v>
      </c>
      <c r="H112" s="8" t="str">
        <f>SUM('Entity Inputs'!EL$4:EL6)&amp;" of "&amp;SUM('Entity Inputs'!EK$4:EK6)</f>
        <v>1 of 2</v>
      </c>
      <c r="I112" s="8" t="str">
        <f>SUM('Entity Inputs'!EL$4:EL7)&amp;" of "&amp;SUM('Entity Inputs'!EK$4:EK7)</f>
        <v>1 of 3</v>
      </c>
      <c r="J112" s="8" t="str">
        <f>SUM('Entity Inputs'!EL$4:EL8)&amp;" of "&amp;SUM('Entity Inputs'!EK$4:EK8)</f>
        <v>2 of 4</v>
      </c>
      <c r="K112" s="8" t="str">
        <f>SUM('Entity Inputs'!EL$4:EL9)&amp;" of "&amp;SUM('Entity Inputs'!EK$4:EK9)</f>
        <v>2 of 4</v>
      </c>
      <c r="L112" s="8" t="str">
        <f>SUM('Entity Inputs'!EL$10:EL10)&amp;" of "&amp;SUM('Entity Inputs'!EK$10:EK10)</f>
        <v>1 of 1</v>
      </c>
      <c r="M112" s="8" t="str">
        <f>SUM('Entity Inputs'!EL$10:EL11)&amp;" of "&amp;SUM('Entity Inputs'!EK$10:EK11)</f>
        <v>2 of 2</v>
      </c>
      <c r="N112" s="8" t="str">
        <f>SUM('Entity Inputs'!EL$10:EL12)&amp;" of "&amp;SUM('Entity Inputs'!EK$10:EK12)</f>
        <v>2 of 2</v>
      </c>
      <c r="O112" s="8" t="str">
        <f>SUM('Entity Inputs'!EL$10:EL13)&amp;" of "&amp;SUM('Entity Inputs'!EK$10:EK13)</f>
        <v>3 of 3</v>
      </c>
      <c r="P112" s="8" t="str">
        <f>SUM('Entity Inputs'!EL$10:EL14)&amp;" of "&amp;SUM('Entity Inputs'!EK$10:EK14)</f>
        <v>4 of 4</v>
      </c>
      <c r="Q112" s="8" t="str">
        <f>SUM('Entity Inputs'!EL$10:EL15)&amp;" of "&amp;SUM('Entity Inputs'!EK$10:EK15)</f>
        <v>4 of 4</v>
      </c>
    </row>
    <row r="113" spans="1:17">
      <c r="A113" s="6" t="s">
        <v>786</v>
      </c>
      <c r="B113" s="6" t="s">
        <v>787</v>
      </c>
      <c r="C113" s="6" t="s">
        <v>512</v>
      </c>
      <c r="D113" s="6" t="s">
        <v>577</v>
      </c>
      <c r="E113" s="6" t="s">
        <v>788</v>
      </c>
      <c r="F113" s="7">
        <f>ROUND('Entity Inputs'!ES4,2)</f>
        <v>1.0</v>
      </c>
      <c r="G113" s="7">
        <f>ROUND('Entity Inputs'!ES5,2)</f>
        <v>1.0</v>
      </c>
      <c r="H113" s="7">
        <f>ROUND('Entity Inputs'!ES6,2)</f>
        <v>0.0</v>
      </c>
      <c r="I113" s="7">
        <f>ROUND('Entity Inputs'!ES7,2)</f>
        <v>1.0</v>
      </c>
      <c r="J113" s="7">
        <f>ROUND('Entity Inputs'!ES8,2)</f>
        <v>1.0</v>
      </c>
      <c r="K113" s="7">
        <f>ROUND('Entity Inputs'!ES9,2)</f>
        <v>1.0</v>
      </c>
      <c r="L113" s="7">
        <f>ROUND('Entity Inputs'!ES10,2)</f>
        <v>0.0</v>
      </c>
      <c r="M113" s="7">
        <f>ROUND('Entity Inputs'!ES11,2)</f>
        <v>1.0</v>
      </c>
      <c r="N113" s="7">
        <f>ROUND('Entity Inputs'!ES12,2)</f>
        <v>0.0</v>
      </c>
      <c r="O113" s="7">
        <f>ROUND('Entity Inputs'!ES13,2)</f>
        <v>0.0</v>
      </c>
      <c r="P113" s="7">
        <f>ROUND('Entity Inputs'!ES14,2)</f>
        <v>1.0</v>
      </c>
      <c r="Q113" s="7">
        <f>ROUND('Entity Inputs'!ES15,2)</f>
        <v>1.0</v>
      </c>
    </row>
    <row r="114" spans="1:17">
      <c r="A114" s="6" t="s">
        <v>789</v>
      </c>
      <c r="B114" s="6" t="s">
        <v>790</v>
      </c>
      <c r="C114" s="6" t="s">
        <v>512</v>
      </c>
      <c r="D114" s="6" t="s">
        <v>577</v>
      </c>
      <c r="E114" s="6" t="s">
        <v>791</v>
      </c>
      <c r="F114" s="7">
        <f>ROUND('Entity Inputs'!ET4,2)</f>
        <v>0.0</v>
      </c>
      <c r="G114" s="7">
        <f>ROUND('Entity Inputs'!ET5,2)</f>
        <v>0.0</v>
      </c>
      <c r="H114" s="7">
        <f>ROUND('Entity Inputs'!ET6,2)</f>
        <v>0.0</v>
      </c>
      <c r="I114" s="7">
        <f>ROUND('Entity Inputs'!ET7,2)</f>
        <v>0.0</v>
      </c>
      <c r="J114" s="7">
        <f>ROUND('Entity Inputs'!ET8,2)</f>
        <v>0.0</v>
      </c>
      <c r="K114" s="7">
        <f>ROUND('Entity Inputs'!ET9,2)</f>
        <v>0.0</v>
      </c>
      <c r="L114" s="7">
        <f>ROUND('Entity Inputs'!ET10,2)</f>
        <v>0.0</v>
      </c>
      <c r="M114" s="7">
        <f>ROUND('Entity Inputs'!ET11,2)</f>
        <v>0.0</v>
      </c>
      <c r="N114" s="7">
        <f>ROUND('Entity Inputs'!ET12,2)</f>
        <v>0.0</v>
      </c>
      <c r="O114" s="7">
        <f>ROUND('Entity Inputs'!ET13,2)</f>
        <v>0.0</v>
      </c>
      <c r="P114" s="7">
        <f>ROUND('Entity Inputs'!ET14,2)</f>
        <v>0.0</v>
      </c>
      <c r="Q114" s="7">
        <f>ROUND('Entity Inputs'!ET15,2)</f>
        <v>0.0</v>
      </c>
    </row>
    <row r="115" spans="1:17">
      <c r="A115" s="6" t="s">
        <v>792</v>
      </c>
      <c r="B115" s="6" t="s">
        <v>793</v>
      </c>
      <c r="C115" s="6" t="s">
        <v>512</v>
      </c>
      <c r="D115" s="6" t="s">
        <v>577</v>
      </c>
      <c r="E115" s="6" t="s">
        <v>793</v>
      </c>
      <c r="F115" s="7">
        <f>ROUND('Entity Inputs'!EU4,2)</f>
        <v>1.0</v>
      </c>
      <c r="G115" s="7">
        <f>ROUND('Entity Inputs'!EU5,2)</f>
        <v>1.0</v>
      </c>
      <c r="H115" s="7">
        <f>ROUND('Entity Inputs'!EU6,2)</f>
        <v>1.0</v>
      </c>
      <c r="I115" s="7">
        <f>ROUND('Entity Inputs'!EU7,2)</f>
        <v>1.0</v>
      </c>
      <c r="J115" s="7">
        <f>ROUND('Entity Inputs'!EU8,2)</f>
        <v>1.0</v>
      </c>
      <c r="K115" s="7">
        <f>ROUND('Entity Inputs'!EU9,2)</f>
        <v>1.0</v>
      </c>
      <c r="L115" s="7">
        <f>ROUND('Entity Inputs'!EU10,2)</f>
        <v>0.0</v>
      </c>
      <c r="M115" s="7">
        <f>ROUND('Entity Inputs'!EU11,2)</f>
        <v>0.0</v>
      </c>
      <c r="N115" s="7">
        <f>ROUND('Entity Inputs'!EU12,2)</f>
        <v>0.0</v>
      </c>
      <c r="O115" s="7">
        <f>ROUND('Entity Inputs'!EU13,2)</f>
        <v>0.0</v>
      </c>
      <c r="P115" s="7">
        <f>ROUND('Entity Inputs'!EU14,2)</f>
        <v>0.0</v>
      </c>
      <c r="Q115" s="7">
        <f>ROUND('Entity Inputs'!EU15,2)</f>
        <v>0.0</v>
      </c>
    </row>
    <row r="116" spans="1:17">
      <c r="A116" s="6" t="s">
        <v>794</v>
      </c>
      <c r="B116" s="6" t="s">
        <v>795</v>
      </c>
      <c r="C116" s="6" t="s">
        <v>512</v>
      </c>
      <c r="D116" s="6" t="s">
        <v>577</v>
      </c>
      <c r="E116" s="6" t="s">
        <v>795</v>
      </c>
      <c r="F116" s="7">
        <f>ROUND('Entity Inputs'!EV4,2)</f>
        <v>2.0</v>
      </c>
      <c r="G116" s="7">
        <f>ROUND('Entity Inputs'!EV5,2)</f>
        <v>3.0</v>
      </c>
      <c r="H116" s="7">
        <f>ROUND('Entity Inputs'!EV6,2)</f>
        <v>2.0</v>
      </c>
      <c r="I116" s="7">
        <f>ROUND('Entity Inputs'!EV7,2)</f>
        <v>2.0</v>
      </c>
      <c r="J116" s="7">
        <f>ROUND('Entity Inputs'!EV8,2)</f>
        <v>3.0</v>
      </c>
      <c r="K116" s="7">
        <f>ROUND('Entity Inputs'!EV9,2)</f>
        <v>2.0</v>
      </c>
      <c r="L116" s="7">
        <f>ROUND('Entity Inputs'!EV10,2)</f>
        <v>6.0</v>
      </c>
      <c r="M116" s="7">
        <f>ROUND('Entity Inputs'!EV11,2)</f>
        <v>5.0</v>
      </c>
      <c r="N116" s="7">
        <f>ROUND('Entity Inputs'!EV12,2)</f>
        <v>6.0</v>
      </c>
      <c r="O116" s="7">
        <f>ROUND('Entity Inputs'!EV13,2)</f>
        <v>5.0</v>
      </c>
      <c r="P116" s="7">
        <f>ROUND('Entity Inputs'!EV14,2)</f>
        <v>5.0</v>
      </c>
      <c r="Q116" s="7">
        <f>ROUND('Entity Inputs'!EV15,2)</f>
        <v>5.0</v>
      </c>
    </row>
    <row r="117" spans="1:17">
      <c r="A117" s="6" t="s">
        <v>796</v>
      </c>
      <c r="B117" s="6" t="s">
        <v>797</v>
      </c>
      <c r="C117" s="6" t="s">
        <v>512</v>
      </c>
      <c r="D117" s="6" t="s">
        <v>577</v>
      </c>
      <c r="E117" s="6" t="s">
        <v>797</v>
      </c>
      <c r="F117" s="7">
        <f>ROUND('Entity Inputs'!EW4,2)</f>
        <v>0.0</v>
      </c>
      <c r="G117" s="7">
        <f>ROUND('Entity Inputs'!EW5,2)</f>
        <v>0.0</v>
      </c>
      <c r="H117" s="7">
        <f>ROUND('Entity Inputs'!EW6,2)</f>
        <v>0.0</v>
      </c>
      <c r="I117" s="7">
        <f>ROUND('Entity Inputs'!EW7,2)</f>
        <v>0.0</v>
      </c>
      <c r="J117" s="7">
        <f>ROUND('Entity Inputs'!EW8,2)</f>
        <v>0.0</v>
      </c>
      <c r="K117" s="7">
        <f>ROUND('Entity Inputs'!EW9,2)</f>
        <v>0.0</v>
      </c>
      <c r="L117" s="7">
        <f>ROUND('Entity Inputs'!EW10,2)</f>
        <v>0.0</v>
      </c>
      <c r="M117" s="7">
        <f>ROUND('Entity Inputs'!EW11,2)</f>
        <v>0.0</v>
      </c>
      <c r="N117" s="7">
        <f>ROUND('Entity Inputs'!EW12,2)</f>
        <v>0.0</v>
      </c>
      <c r="O117" s="7">
        <f>ROUND('Entity Inputs'!EW13,2)</f>
        <v>0.0</v>
      </c>
      <c r="P117" s="7">
        <f>ROUND('Entity Inputs'!EW14,2)</f>
        <v>0.0</v>
      </c>
      <c r="Q117" s="7">
        <f>ROUND('Entity Inputs'!EW15,2)</f>
        <v>0.0</v>
      </c>
    </row>
    <row r="118" spans="1:17">
      <c r="A118" s="6" t="s">
        <v>798</v>
      </c>
      <c r="B118" s="6" t="s">
        <v>799</v>
      </c>
      <c r="C118" s="6" t="s">
        <v>512</v>
      </c>
      <c r="D118" s="6" t="s">
        <v>577</v>
      </c>
      <c r="E118" s="6" t="s">
        <v>800</v>
      </c>
      <c r="F118" s="7">
        <f>ROUND('Entity Inputs'!EX4,2)</f>
        <v>0.0</v>
      </c>
      <c r="G118" s="7">
        <f>ROUND('Entity Inputs'!EX5,2)</f>
        <v>0.0</v>
      </c>
      <c r="H118" s="7">
        <f>ROUND('Entity Inputs'!EX6,2)</f>
        <v>0.0</v>
      </c>
      <c r="I118" s="7">
        <f>ROUND('Entity Inputs'!EX7,2)</f>
        <v>0.0</v>
      </c>
      <c r="J118" s="7">
        <f>ROUND('Entity Inputs'!EX8,2)</f>
        <v>0.0</v>
      </c>
      <c r="K118" s="7">
        <f>ROUND('Entity Inputs'!EX9,2)</f>
        <v>0.0</v>
      </c>
      <c r="L118" s="7">
        <f>ROUND('Entity Inputs'!EX10,2)</f>
        <v>1.0</v>
      </c>
      <c r="M118" s="7">
        <f>ROUND('Entity Inputs'!EX11,2)</f>
        <v>1.0</v>
      </c>
      <c r="N118" s="7">
        <f>ROUND('Entity Inputs'!EX12,2)</f>
        <v>1.0</v>
      </c>
      <c r="O118" s="7">
        <f>ROUND('Entity Inputs'!EX13,2)</f>
        <v>1.0</v>
      </c>
      <c r="P118" s="7">
        <f>ROUND('Entity Inputs'!EX14,2)</f>
        <v>1.0</v>
      </c>
      <c r="Q118" s="7">
        <f>ROUND('Entity Inputs'!EX15,2)</f>
        <v>1.0</v>
      </c>
    </row>
    <row r="119" spans="1:17">
      <c r="A119" s="6" t="s">
        <v>801</v>
      </c>
      <c r="B119" s="6" t="s">
        <v>802</v>
      </c>
      <c r="C119" s="6" t="s">
        <v>512</v>
      </c>
      <c r="D119" s="6" t="s">
        <v>577</v>
      </c>
      <c r="E119" s="6" t="s">
        <v>803</v>
      </c>
      <c r="F119" s="7">
        <f>ROUND('Entity Inputs'!EY4,2)</f>
        <v>0.0</v>
      </c>
      <c r="G119" s="7">
        <f>ROUND('Entity Inputs'!EY5,2)</f>
        <v>0.0</v>
      </c>
      <c r="H119" s="7">
        <f>ROUND('Entity Inputs'!EY6,2)</f>
        <v>0.0</v>
      </c>
      <c r="I119" s="7">
        <f>ROUND('Entity Inputs'!EY7,2)</f>
        <v>0.0</v>
      </c>
      <c r="J119" s="7">
        <f>ROUND('Entity Inputs'!EY8,2)</f>
        <v>0.0</v>
      </c>
      <c r="K119" s="7">
        <f>ROUND('Entity Inputs'!EY9,2)</f>
        <v>0.0</v>
      </c>
      <c r="L119" s="7">
        <f>ROUND('Entity Inputs'!EY10,2)</f>
        <v>1.0</v>
      </c>
      <c r="M119" s="7">
        <f>ROUND('Entity Inputs'!EY11,2)</f>
        <v>1.0</v>
      </c>
      <c r="N119" s="7">
        <f>ROUND('Entity Inputs'!EY12,2)</f>
        <v>1.0</v>
      </c>
      <c r="O119" s="7">
        <f>ROUND('Entity Inputs'!EY13,2)</f>
        <v>1.0</v>
      </c>
      <c r="P119" s="7">
        <f>ROUND('Entity Inputs'!EY14,2)</f>
        <v>1.0</v>
      </c>
      <c r="Q119" s="7">
        <f>ROUND('Entity Inputs'!EY15,2)</f>
        <v>1.0</v>
      </c>
    </row>
    <row r="120" spans="1:17">
      <c r="A120" s="6" t="s">
        <v>804</v>
      </c>
      <c r="B120" s="6" t="s">
        <v>805</v>
      </c>
      <c r="C120" s="6" t="s">
        <v>512</v>
      </c>
      <c r="D120" s="6" t="s">
        <v>577</v>
      </c>
      <c r="E120" s="6" t="s">
        <v>805</v>
      </c>
      <c r="F120" s="7">
        <f>ROUND('Entity Inputs'!FH4,2)</f>
        <v>1.0</v>
      </c>
      <c r="G120" s="7">
        <f>ROUND('Entity Inputs'!FH5,2)</f>
        <v>1.0</v>
      </c>
      <c r="H120" s="7">
        <f>ROUND('Entity Inputs'!FH6,2)</f>
        <v>1.0</v>
      </c>
      <c r="I120" s="7">
        <f>ROUND('Entity Inputs'!FH7,2)</f>
        <v>1.0</v>
      </c>
      <c r="J120" s="7">
        <f>ROUND('Entity Inputs'!FH8,2)</f>
        <v>1.0</v>
      </c>
      <c r="K120" s="7">
        <f>ROUND('Entity Inputs'!FH9,2)</f>
        <v>1.0</v>
      </c>
      <c r="L120" s="7">
        <f>ROUND('Entity Inputs'!FH10,2)</f>
        <v>0.0</v>
      </c>
      <c r="M120" s="7">
        <f>ROUND('Entity Inputs'!FH11,2)</f>
        <v>0.0</v>
      </c>
      <c r="N120" s="7">
        <f>ROUND('Entity Inputs'!FH12,2)</f>
        <v>0.0</v>
      </c>
      <c r="O120" s="7">
        <f>ROUND('Entity Inputs'!FH13,2)</f>
        <v>0.0</v>
      </c>
      <c r="P120" s="7">
        <f>ROUND('Entity Inputs'!FH14,2)</f>
        <v>0.0</v>
      </c>
      <c r="Q120" s="7">
        <f>ROUND('Entity Inputs'!FH15,2)</f>
        <v>0.0</v>
      </c>
    </row>
    <row r="121" spans="1:17">
      <c r="A121" s="6" t="s">
        <v>806</v>
      </c>
      <c r="B121" s="6" t="s">
        <v>807</v>
      </c>
      <c r="C121" s="6" t="s">
        <v>512</v>
      </c>
      <c r="D121" s="6" t="s">
        <v>577</v>
      </c>
      <c r="E121" s="6" t="s">
        <v>808</v>
      </c>
      <c r="F121" s="7">
        <f>ROUND('Entity Inputs'!FG4,2)</f>
        <v>0.0</v>
      </c>
      <c r="G121" s="7">
        <f>ROUND('Entity Inputs'!FG5,2)</f>
        <v>0.0</v>
      </c>
      <c r="H121" s="7">
        <f>ROUND('Entity Inputs'!FG6,2)</f>
        <v>0.0</v>
      </c>
      <c r="I121" s="7">
        <f>ROUND('Entity Inputs'!FG7,2)</f>
        <v>0.0</v>
      </c>
      <c r="J121" s="7">
        <f>ROUND('Entity Inputs'!FG8,2)</f>
        <v>0.0</v>
      </c>
      <c r="K121" s="7">
        <f>ROUND('Entity Inputs'!FG9,2)</f>
        <v>0.0</v>
      </c>
      <c r="L121" s="7">
        <f>ROUND('Entity Inputs'!FG10,2)</f>
        <v>1.0</v>
      </c>
      <c r="M121" s="7">
        <f>ROUND('Entity Inputs'!FG11,2)</f>
        <v>1.0</v>
      </c>
      <c r="N121" s="7">
        <f>ROUND('Entity Inputs'!FG12,2)</f>
        <v>1.0</v>
      </c>
      <c r="O121" s="7">
        <f>ROUND('Entity Inputs'!FG13,2)</f>
        <v>1.0</v>
      </c>
      <c r="P121" s="7">
        <f>ROUND('Entity Inputs'!FG14,2)</f>
        <v>2.0</v>
      </c>
      <c r="Q121" s="7">
        <f>ROUND('Entity Inputs'!FG15,2)</f>
        <v>2.0</v>
      </c>
    </row>
    <row r="122" spans="1:17">
      <c r="A122" s="6" t="s">
        <v>809</v>
      </c>
      <c r="B122" s="6" t="s">
        <v>810</v>
      </c>
      <c r="C122" s="6" t="s">
        <v>512</v>
      </c>
      <c r="D122" s="6" t="s">
        <v>577</v>
      </c>
      <c r="E122" s="6" t="s">
        <v>810</v>
      </c>
      <c r="F122" s="7">
        <f>ROUND('Entity Inputs'!FI4,2)</f>
        <v>0.0</v>
      </c>
      <c r="G122" s="7">
        <f>ROUND('Entity Inputs'!FI5,2)</f>
        <v>0.0</v>
      </c>
      <c r="H122" s="7">
        <f>ROUND('Entity Inputs'!FI6,2)</f>
        <v>0.0</v>
      </c>
      <c r="I122" s="7">
        <f>ROUND('Entity Inputs'!FI7,2)</f>
        <v>0.0</v>
      </c>
      <c r="J122" s="7">
        <f>ROUND('Entity Inputs'!FI8,2)</f>
        <v>1.0</v>
      </c>
      <c r="K122" s="7">
        <f>ROUND('Entity Inputs'!FI9,2)</f>
        <v>1.0</v>
      </c>
      <c r="L122" s="7">
        <f>ROUND('Entity Inputs'!FI10,2)</f>
        <v>0.0</v>
      </c>
      <c r="M122" s="7">
        <f>ROUND('Entity Inputs'!FI11,2)</f>
        <v>0.0</v>
      </c>
      <c r="N122" s="7">
        <f>ROUND('Entity Inputs'!FI12,2)</f>
        <v>0.0</v>
      </c>
      <c r="O122" s="7">
        <f>ROUND('Entity Inputs'!FI13,2)</f>
        <v>0.0</v>
      </c>
      <c r="P122" s="7">
        <f>ROUND('Entity Inputs'!FI14,2)</f>
        <v>0.0</v>
      </c>
      <c r="Q122" s="7">
        <f>ROUND('Entity Inputs'!FI15,2)</f>
        <v>0.0</v>
      </c>
    </row>
    <row r="123" spans="1:17">
      <c r="A123" s="6" t="s">
        <v>811</v>
      </c>
      <c r="B123" s="6" t="s">
        <v>812</v>
      </c>
      <c r="C123" s="6" t="s">
        <v>455</v>
      </c>
      <c r="D123" s="6" t="s">
        <v>577</v>
      </c>
      <c r="E123" s="6" t="s">
        <v>813</v>
      </c>
      <c r="F123" s="7">
        <f>ROUND(IF('Entity Inputs'!EZ4=0,0,100*'Entity Inputs'!FA4/'Entity Inputs'!EZ4),2)</f>
        <v>86.0</v>
      </c>
      <c r="G123" s="7">
        <f>ROUND(IF('Entity Inputs'!EZ5=0,0,100*'Entity Inputs'!FA5/'Entity Inputs'!EZ5),2)</f>
        <v>86.0</v>
      </c>
      <c r="H123" s="7">
        <f>ROUND(IF('Entity Inputs'!EZ6=0,0,100*'Entity Inputs'!FA6/'Entity Inputs'!EZ6),2)</f>
        <v>86.0</v>
      </c>
      <c r="I123" s="7">
        <f>ROUND(IF('Entity Inputs'!EZ7=0,0,100*'Entity Inputs'!FA7/'Entity Inputs'!EZ7),2)</f>
        <v>86.0</v>
      </c>
      <c r="J123" s="7">
        <f>ROUND(IF('Entity Inputs'!EZ8=0,0,100*'Entity Inputs'!FA8/'Entity Inputs'!EZ8),2)</f>
        <v>86.0</v>
      </c>
      <c r="K123" s="7">
        <f>ROUND(IF('Entity Inputs'!EZ9=0,0,100*'Entity Inputs'!FA9/'Entity Inputs'!EZ9),2)</f>
        <v>86.0</v>
      </c>
      <c r="L123" s="7">
        <f>ROUND(IF('Entity Inputs'!EZ10=0,0,100*'Entity Inputs'!FA10/'Entity Inputs'!EZ10),2)</f>
        <v>89.66</v>
      </c>
      <c r="M123" s="7">
        <f>ROUND(IF('Entity Inputs'!EZ11=0,0,100*'Entity Inputs'!FA11/'Entity Inputs'!EZ11),2)</f>
        <v>89.66</v>
      </c>
      <c r="N123" s="7">
        <f>ROUND(IF('Entity Inputs'!EZ12=0,0,100*'Entity Inputs'!FA12/'Entity Inputs'!EZ12),2)</f>
        <v>89.66</v>
      </c>
      <c r="O123" s="7">
        <f>ROUND(IF('Entity Inputs'!EZ13=0,0,100*'Entity Inputs'!FA13/'Entity Inputs'!EZ13),2)</f>
        <v>91.38</v>
      </c>
      <c r="P123" s="7">
        <f>ROUND(IF('Entity Inputs'!EZ14=0,0,100*'Entity Inputs'!FA14/'Entity Inputs'!EZ14),2)</f>
        <v>89.66</v>
      </c>
      <c r="Q123" s="7">
        <f>ROUND(IF('Entity Inputs'!EZ15=0,0,100*'Entity Inputs'!FA15/'Entity Inputs'!EZ15),2)</f>
        <v>89.66</v>
      </c>
    </row>
    <row r="124" spans="1:17">
      <c r="A124" s="6" t="s">
        <v>814</v>
      </c>
      <c r="B124" s="6" t="s">
        <v>815</v>
      </c>
      <c r="C124" s="6" t="s">
        <v>28</v>
      </c>
      <c r="D124" s="6" t="s">
        <v>561</v>
      </c>
      <c r="E124" s="6" t="s">
        <v>816</v>
      </c>
      <c r="F124" s="7">
        <f>ROUND(IF(SUM('Entity Inputs'!FB$4:FB4)=0,0,SUM('Entity Inputs'!FC$4:FC4)/SUM('Entity Inputs'!FB$4:FB4)),2)</f>
        <v>27.5</v>
      </c>
      <c r="G124" s="7">
        <f>ROUND(IF(SUM('Entity Inputs'!FB$4:FB5)=0,0,SUM('Entity Inputs'!FC$4:FC5)/SUM('Entity Inputs'!FB$4:FB5)),2)</f>
        <v>28.0</v>
      </c>
      <c r="H124" s="7">
        <f>ROUND(IF(SUM('Entity Inputs'!FB$4:FB6)=0,0,SUM('Entity Inputs'!FC$4:FC6)/SUM('Entity Inputs'!FB$4:FB6)),2)</f>
        <v>28.33</v>
      </c>
      <c r="I124" s="7">
        <f>ROUND(IF(SUM('Entity Inputs'!FB$4:FB7)=0,0,SUM('Entity Inputs'!FC$4:FC7)/SUM('Entity Inputs'!FB$4:FB7)),2)</f>
        <v>28.0</v>
      </c>
      <c r="J124" s="7">
        <f>ROUND(IF(SUM('Entity Inputs'!FB$4:FB8)=0,0,SUM('Entity Inputs'!FC$4:FC8)/SUM('Entity Inputs'!FB$4:FB8)),2)</f>
        <v>28.36</v>
      </c>
      <c r="K124" s="7">
        <f>ROUND(IF(SUM('Entity Inputs'!FB$4:FB9)=0,0,SUM('Entity Inputs'!FC$4:FC9)/SUM('Entity Inputs'!FB$4:FB9)),2)</f>
        <v>28.57</v>
      </c>
      <c r="L124" s="7">
        <f>ROUND(IF(SUM('Entity Inputs'!FB$10:FB10)=0,0,SUM('Entity Inputs'!FC$10:FC10)/SUM('Entity Inputs'!FB$10:FB10)),2)</f>
        <v>37.0</v>
      </c>
      <c r="M124" s="7">
        <f>ROUND(IF(SUM('Entity Inputs'!FB$10:FB11)=0,0,SUM('Entity Inputs'!FC$10:FC11)/SUM('Entity Inputs'!FB$10:FB11)),2)</f>
        <v>37.0</v>
      </c>
      <c r="N124" s="7">
        <f>ROUND(IF(SUM('Entity Inputs'!FB$10:FB12)=0,0,SUM('Entity Inputs'!FC$10:FC12)/SUM('Entity Inputs'!FB$10:FB12)),2)</f>
        <v>37.57</v>
      </c>
      <c r="O124" s="7">
        <f>ROUND(IF(SUM('Entity Inputs'!FB$10:FB13)=0,0,SUM('Entity Inputs'!FC$10:FC13)/SUM('Entity Inputs'!FB$10:FB13)),2)</f>
        <v>37.38</v>
      </c>
      <c r="P124" s="7">
        <f>ROUND(IF(SUM('Entity Inputs'!FB$10:FB14)=0,0,SUM('Entity Inputs'!FC$10:FC14)/SUM('Entity Inputs'!FB$10:FB14)),2)</f>
        <v>37.5</v>
      </c>
      <c r="Q124" s="7">
        <f>ROUND(IF(SUM('Entity Inputs'!FB$10:FB15)=0,0,SUM('Entity Inputs'!FC$10:FC15)/SUM('Entity Inputs'!FB$10:FB15)),2)</f>
        <v>37.75</v>
      </c>
    </row>
    <row r="125" spans="1:17">
      <c r="A125" s="6" t="s">
        <v>817</v>
      </c>
      <c r="B125" s="6" t="s">
        <v>818</v>
      </c>
      <c r="C125" s="6" t="s">
        <v>455</v>
      </c>
      <c r="D125" s="6" t="s">
        <v>577</v>
      </c>
      <c r="E125" s="6" t="s">
        <v>819</v>
      </c>
      <c r="F125" s="7">
        <f>ROUND(IF('Entity Inputs'!FD4=0,0,100*'Entity Inputs'!FE4/'Entity Inputs'!FD4),2)</f>
        <v>82.14</v>
      </c>
      <c r="G125" s="7">
        <f>ROUND(IF('Entity Inputs'!FD5=0,0,100*'Entity Inputs'!FE5/'Entity Inputs'!FD5),2)</f>
        <v>82.14</v>
      </c>
      <c r="H125" s="7">
        <f>ROUND(IF('Entity Inputs'!FD6=0,0,100*'Entity Inputs'!FE6/'Entity Inputs'!FD6),2)</f>
        <v>82.14</v>
      </c>
      <c r="I125" s="7">
        <f>ROUND(IF('Entity Inputs'!FD7=0,0,100*'Entity Inputs'!FE7/'Entity Inputs'!FD7),2)</f>
        <v>82.14</v>
      </c>
      <c r="J125" s="7">
        <f>ROUND(IF('Entity Inputs'!FD8=0,0,100*'Entity Inputs'!FE8/'Entity Inputs'!FD8),2)</f>
        <v>82.14</v>
      </c>
      <c r="K125" s="7">
        <f>ROUND(IF('Entity Inputs'!FD9=0,0,100*'Entity Inputs'!FE9/'Entity Inputs'!FD9),2)</f>
        <v>82.14</v>
      </c>
      <c r="L125" s="7">
        <f>ROUND(IF('Entity Inputs'!FD10=0,0,100*'Entity Inputs'!FE10/'Entity Inputs'!FD10),2)</f>
        <v>85.71</v>
      </c>
      <c r="M125" s="7">
        <f>ROUND(IF('Entity Inputs'!FD11=0,0,100*'Entity Inputs'!FE11/'Entity Inputs'!FD11),2)</f>
        <v>85.71</v>
      </c>
      <c r="N125" s="7">
        <f>ROUND(IF('Entity Inputs'!FD12=0,0,100*'Entity Inputs'!FE12/'Entity Inputs'!FD12),2)</f>
        <v>85.71</v>
      </c>
      <c r="O125" s="7">
        <f>ROUND(IF('Entity Inputs'!FD13=0,0,100*'Entity Inputs'!FE13/'Entity Inputs'!FD13),2)</f>
        <v>85.71</v>
      </c>
      <c r="P125" s="7">
        <f>ROUND(IF('Entity Inputs'!FD14=0,0,100*'Entity Inputs'!FE14/'Entity Inputs'!FD14),2)</f>
        <v>85.71</v>
      </c>
      <c r="Q125" s="7">
        <f>ROUND(IF('Entity Inputs'!FD15=0,0,100*'Entity Inputs'!FE15/'Entity Inputs'!FD15),2)</f>
        <v>85.71</v>
      </c>
    </row>
    <row r="126" spans="1:17">
      <c r="A126" s="6" t="s">
        <v>820</v>
      </c>
      <c r="B126" s="6" t="s">
        <v>821</v>
      </c>
      <c r="C126" s="6" t="s">
        <v>512</v>
      </c>
      <c r="D126" s="6" t="s">
        <v>577</v>
      </c>
      <c r="E126" s="6" t="s">
        <v>822</v>
      </c>
      <c r="F126" s="7">
        <f>ROUND('Entity Inputs'!FD4-'Entity Inputs'!FE4,2)</f>
        <v>5.0</v>
      </c>
      <c r="G126" s="7">
        <f>ROUND('Entity Inputs'!FD5-'Entity Inputs'!FE5,2)</f>
        <v>5.0</v>
      </c>
      <c r="H126" s="7">
        <f>ROUND('Entity Inputs'!FD6-'Entity Inputs'!FE6,2)</f>
        <v>5.0</v>
      </c>
      <c r="I126" s="7">
        <f>ROUND('Entity Inputs'!FD7-'Entity Inputs'!FE7,2)</f>
        <v>5.0</v>
      </c>
      <c r="J126" s="7">
        <f>ROUND('Entity Inputs'!FD8-'Entity Inputs'!FE8,2)</f>
        <v>5.0</v>
      </c>
      <c r="K126" s="7">
        <f>ROUND('Entity Inputs'!FD9-'Entity Inputs'!FE9,2)</f>
        <v>5.0</v>
      </c>
      <c r="L126" s="7">
        <f>ROUND('Entity Inputs'!FD10-'Entity Inputs'!FE10,2)</f>
        <v>4.0</v>
      </c>
      <c r="M126" s="7">
        <f>ROUND('Entity Inputs'!FD11-'Entity Inputs'!FE11,2)</f>
        <v>4.0</v>
      </c>
      <c r="N126" s="7">
        <f>ROUND('Entity Inputs'!FD12-'Entity Inputs'!FE12,2)</f>
        <v>4.0</v>
      </c>
      <c r="O126" s="7">
        <f>ROUND('Entity Inputs'!FD13-'Entity Inputs'!FE13,2)</f>
        <v>4.0</v>
      </c>
      <c r="P126" s="7">
        <f>ROUND('Entity Inputs'!FD14-'Entity Inputs'!FE14,2)</f>
        <v>4.0</v>
      </c>
      <c r="Q126" s="7">
        <f>ROUND('Entity Inputs'!FD15-'Entity Inputs'!FE15,2)</f>
        <v>4.0</v>
      </c>
    </row>
    <row r="127" spans="1:17">
      <c r="A127" s="6" t="s">
        <v>823</v>
      </c>
      <c r="B127" s="6" t="s">
        <v>824</v>
      </c>
      <c r="C127" s="6" t="s">
        <v>455</v>
      </c>
      <c r="D127" s="6" t="s">
        <v>577</v>
      </c>
      <c r="E127" s="6" t="s">
        <v>825</v>
      </c>
      <c r="F127" s="7">
        <f>ROUND(IF('Entity Inputs'!FD4=0,0,100*'Entity Inputs'!FF4/'Entity Inputs'!FD4),2)</f>
        <v>92.86</v>
      </c>
      <c r="G127" s="7">
        <f>ROUND(IF('Entity Inputs'!FD5=0,0,100*'Entity Inputs'!FF5/'Entity Inputs'!FD5),2)</f>
        <v>92.86</v>
      </c>
      <c r="H127" s="7">
        <f>ROUND(IF('Entity Inputs'!FD6=0,0,100*'Entity Inputs'!FF6/'Entity Inputs'!FD6),2)</f>
        <v>92.86</v>
      </c>
      <c r="I127" s="7">
        <f>ROUND(IF('Entity Inputs'!FD7=0,0,100*'Entity Inputs'!FF7/'Entity Inputs'!FD7),2)</f>
        <v>92.86</v>
      </c>
      <c r="J127" s="7">
        <f>ROUND(IF('Entity Inputs'!FD8=0,0,100*'Entity Inputs'!FF8/'Entity Inputs'!FD8),2)</f>
        <v>92.86</v>
      </c>
      <c r="K127" s="7">
        <f>ROUND(IF('Entity Inputs'!FD9=0,0,100*'Entity Inputs'!FF9/'Entity Inputs'!FD9),2)</f>
        <v>92.86</v>
      </c>
      <c r="L127" s="7">
        <f>ROUND(IF('Entity Inputs'!FD10=0,0,100*'Entity Inputs'!FF10/'Entity Inputs'!FD10),2)</f>
        <v>92.86</v>
      </c>
      <c r="M127" s="7">
        <f>ROUND(IF('Entity Inputs'!FD11=0,0,100*'Entity Inputs'!FF11/'Entity Inputs'!FD11),2)</f>
        <v>92.86</v>
      </c>
      <c r="N127" s="7">
        <f>ROUND(IF('Entity Inputs'!FD12=0,0,100*'Entity Inputs'!FF12/'Entity Inputs'!FD12),2)</f>
        <v>92.86</v>
      </c>
      <c r="O127" s="7">
        <f>ROUND(IF('Entity Inputs'!FD13=0,0,100*'Entity Inputs'!FF13/'Entity Inputs'!FD13),2)</f>
        <v>92.86</v>
      </c>
      <c r="P127" s="7">
        <f>ROUND(IF('Entity Inputs'!FD14=0,0,100*'Entity Inputs'!FF14/'Entity Inputs'!FD14),2)</f>
        <v>92.86</v>
      </c>
      <c r="Q127" s="7">
        <f>ROUND(IF('Entity Inputs'!FD15=0,0,100*'Entity Inputs'!FF15/'Entity Inputs'!FD15),2)</f>
        <v>92.86</v>
      </c>
    </row>
    <row r="128" spans="1:17">
      <c r="A128" s="6" t="s">
        <v>826</v>
      </c>
      <c r="B128" s="6" t="s">
        <v>827</v>
      </c>
      <c r="C128" s="6" t="s">
        <v>455</v>
      </c>
      <c r="D128" s="6" t="s">
        <v>25</v>
      </c>
      <c r="E128" s="6" t="s">
        <v>828</v>
      </c>
      <c r="F128" s="7">
        <f>ROUND(IF('Entity Inputs'!FJ4=0,0,100*'Entity Inputs'!FK4/'Entity Inputs'!FJ4),2)</f>
        <v>99.41</v>
      </c>
      <c r="G128" s="7">
        <f>ROUND(IF('Entity Inputs'!FJ5=0,0,100*'Entity Inputs'!FK5/'Entity Inputs'!FJ5),2)</f>
        <v>99.39</v>
      </c>
      <c r="H128" s="7">
        <f>ROUND(IF('Entity Inputs'!FJ6=0,0,100*'Entity Inputs'!FK6/'Entity Inputs'!FJ6),2)</f>
        <v>99.19</v>
      </c>
      <c r="I128" s="7">
        <f>ROUND(IF('Entity Inputs'!FJ7=0,0,100*'Entity Inputs'!FK7/'Entity Inputs'!FJ7),2)</f>
        <v>99.05</v>
      </c>
      <c r="J128" s="7">
        <f>ROUND(IF('Entity Inputs'!FJ8=0,0,100*'Entity Inputs'!FK8/'Entity Inputs'!FJ8),2)</f>
        <v>99.42</v>
      </c>
      <c r="K128" s="7">
        <f>ROUND(IF('Entity Inputs'!FJ9=0,0,100*'Entity Inputs'!FK9/'Entity Inputs'!FJ9),2)</f>
        <v>98.93</v>
      </c>
      <c r="L128" s="7">
        <f>ROUND(IF('Entity Inputs'!FJ10=0,0,100*'Entity Inputs'!FK10/'Entity Inputs'!FJ10),2)</f>
        <v>99.48</v>
      </c>
      <c r="M128" s="7">
        <f>ROUND(IF('Entity Inputs'!FJ11=0,0,100*'Entity Inputs'!FK11/'Entity Inputs'!FJ11),2)</f>
        <v>99.46</v>
      </c>
      <c r="N128" s="7">
        <f>ROUND(IF('Entity Inputs'!FJ12=0,0,100*'Entity Inputs'!FK12/'Entity Inputs'!FJ12),2)</f>
        <v>99.26</v>
      </c>
      <c r="O128" s="7">
        <f>ROUND(IF('Entity Inputs'!FJ13=0,0,100*'Entity Inputs'!FK13/'Entity Inputs'!FJ13),2)</f>
        <v>98.9</v>
      </c>
      <c r="P128" s="7">
        <f>ROUND(IF('Entity Inputs'!FJ14=0,0,100*'Entity Inputs'!FK14/'Entity Inputs'!FJ14),2)</f>
        <v>99.25</v>
      </c>
      <c r="Q128" s="7">
        <f>ROUND(IF('Entity Inputs'!FJ15=0,0,100*'Entity Inputs'!FK15/'Entity Inputs'!FJ15),2)</f>
        <v>99.11</v>
      </c>
    </row>
    <row r="129" spans="1:17">
      <c r="A129" s="6" t="s">
        <v>829</v>
      </c>
      <c r="B129" s="6" t="s">
        <v>830</v>
      </c>
      <c r="C129" s="6" t="s">
        <v>455</v>
      </c>
      <c r="D129" s="6" t="s">
        <v>25</v>
      </c>
      <c r="E129" s="6" t="s">
        <v>831</v>
      </c>
      <c r="F129" s="7">
        <f>ROUND(IF('Entity Inputs'!FL4=0,0,100*'Entity Inputs'!FM4/'Entity Inputs'!FL4),2)</f>
        <v>95.25</v>
      </c>
      <c r="G129" s="7">
        <f>ROUND(IF('Entity Inputs'!FL5=0,0,100*'Entity Inputs'!FM5/'Entity Inputs'!FL5),2)</f>
        <v>94.75</v>
      </c>
      <c r="H129" s="7">
        <f>ROUND(IF('Entity Inputs'!FL6=0,0,100*'Entity Inputs'!FM6/'Entity Inputs'!FL6),2)</f>
        <v>94.5</v>
      </c>
      <c r="I129" s="7">
        <f>ROUND(IF('Entity Inputs'!FL7=0,0,100*'Entity Inputs'!FM7/'Entity Inputs'!FL7),2)</f>
        <v>95.0</v>
      </c>
      <c r="J129" s="7">
        <f>ROUND(IF('Entity Inputs'!FL8=0,0,100*'Entity Inputs'!FM8/'Entity Inputs'!FL8),2)</f>
        <v>95.5</v>
      </c>
      <c r="K129" s="7">
        <f>ROUND(IF('Entity Inputs'!FL9=0,0,100*'Entity Inputs'!FM9/'Entity Inputs'!FL9),2)</f>
        <v>94.25</v>
      </c>
      <c r="L129" s="7">
        <f>ROUND(IF('Entity Inputs'!FL10=0,0,100*'Entity Inputs'!FM10/'Entity Inputs'!FL10),2)</f>
        <v>98.33</v>
      </c>
      <c r="M129" s="7">
        <f>ROUND(IF('Entity Inputs'!FL11=0,0,100*'Entity Inputs'!FM11/'Entity Inputs'!FL11),2)</f>
        <v>97.86</v>
      </c>
      <c r="N129" s="7">
        <f>ROUND(IF('Entity Inputs'!FL12=0,0,100*'Entity Inputs'!FM12/'Entity Inputs'!FL12),2)</f>
        <v>98.33</v>
      </c>
      <c r="O129" s="7">
        <f>ROUND(IF('Entity Inputs'!FL13=0,0,100*'Entity Inputs'!FM13/'Entity Inputs'!FL13),2)</f>
        <v>98.81</v>
      </c>
      <c r="P129" s="7">
        <f>ROUND(IF('Entity Inputs'!FL14=0,0,100*'Entity Inputs'!FM14/'Entity Inputs'!FL14),2)</f>
        <v>98.1</v>
      </c>
      <c r="Q129" s="7">
        <f>ROUND(IF('Entity Inputs'!FL15=0,0,100*'Entity Inputs'!FM15/'Entity Inputs'!FL15),2)</f>
        <v>97.62</v>
      </c>
    </row>
    <row r="130" spans="1:17">
      <c r="A130" s="6" t="s">
        <v>832</v>
      </c>
      <c r="B130" s="6" t="s">
        <v>833</v>
      </c>
      <c r="C130" s="6" t="s">
        <v>455</v>
      </c>
      <c r="D130" s="6" t="s">
        <v>25</v>
      </c>
      <c r="E130" s="6" t="s">
        <v>834</v>
      </c>
      <c r="F130" s="7">
        <f>ROUND(IF('Entity Inputs'!AV4=0,0,100*ABS('Entity Inputs'!CJ4-'Entity Inputs'!AV4)/'Entity Inputs'!AV4),2)</f>
        <v>1.05</v>
      </c>
      <c r="G130" s="7">
        <f>ROUND(IF('Entity Inputs'!AV5=0,0,100*ABS('Entity Inputs'!CJ5-'Entity Inputs'!AV5)/'Entity Inputs'!AV5),2)</f>
        <v>0.26</v>
      </c>
      <c r="H130" s="7">
        <f>ROUND(IF('Entity Inputs'!AV6=0,0,100*ABS('Entity Inputs'!CJ6-'Entity Inputs'!AV6)/'Entity Inputs'!AV6),2)</f>
        <v>0.28</v>
      </c>
      <c r="I130" s="7">
        <f>ROUND(IF('Entity Inputs'!AV7=0,0,100*ABS('Entity Inputs'!CJ7-'Entity Inputs'!AV7)/'Entity Inputs'!AV7),2)</f>
        <v>0.39</v>
      </c>
      <c r="J130" s="7">
        <f>ROUND(IF('Entity Inputs'!AV8=0,0,100*ABS('Entity Inputs'!CJ8-'Entity Inputs'!AV8)/'Entity Inputs'!AV8),2)</f>
        <v>0.34</v>
      </c>
      <c r="K130" s="7">
        <f>ROUND(IF('Entity Inputs'!AV9=0,0,100*ABS('Entity Inputs'!CJ9-'Entity Inputs'!AV9)/'Entity Inputs'!AV9),2)</f>
        <v>0.23</v>
      </c>
      <c r="L130" s="7">
        <f>ROUND(IF('Entity Inputs'!AV10=0,0,100*ABS('Entity Inputs'!CJ10-'Entity Inputs'!AV10)/'Entity Inputs'!AV10),2)</f>
        <v>0.79</v>
      </c>
      <c r="M130" s="7">
        <f>ROUND(IF('Entity Inputs'!AV11=0,0,100*ABS('Entity Inputs'!CJ11-'Entity Inputs'!AV11)/'Entity Inputs'!AV11),2)</f>
        <v>0.91</v>
      </c>
      <c r="N130" s="7">
        <f>ROUND(IF('Entity Inputs'!AV12=0,0,100*ABS('Entity Inputs'!CJ12-'Entity Inputs'!AV12)/'Entity Inputs'!AV12),2)</f>
        <v>0.6</v>
      </c>
      <c r="O130" s="7">
        <f>ROUND(IF('Entity Inputs'!AV13=0,0,100*ABS('Entity Inputs'!CJ13-'Entity Inputs'!AV13)/'Entity Inputs'!AV13),2)</f>
        <v>0.59</v>
      </c>
      <c r="P130" s="7">
        <f>ROUND(IF('Entity Inputs'!AV14=0,0,100*ABS('Entity Inputs'!CJ14-'Entity Inputs'!AV14)/'Entity Inputs'!AV14),2)</f>
        <v>0.85</v>
      </c>
      <c r="Q130" s="7">
        <f>ROUND(IF('Entity Inputs'!AV15=0,0,100*ABS('Entity Inputs'!CJ15-'Entity Inputs'!AV15)/'Entity Inputs'!AV15),2)</f>
        <v>0.52</v>
      </c>
    </row>
    <row r="131" spans="1:17">
      <c r="A131" s="6" t="s">
        <v>835</v>
      </c>
      <c r="B131" s="6" t="s">
        <v>836</v>
      </c>
      <c r="C131" s="6" t="s">
        <v>455</v>
      </c>
      <c r="D131" s="6" t="s">
        <v>25</v>
      </c>
      <c r="E131" s="6" t="s">
        <v>837</v>
      </c>
      <c r="F131" s="7">
        <f>ROUND(IF('Entity Inputs'!FZ4=0,0,100*('Entity Inputs'!CI4-'Entity Inputs'!FZ4)/'Entity Inputs'!FZ4),2)</f>
        <v>-0.1</v>
      </c>
      <c r="G131" s="7">
        <f>ROUND(IF('Entity Inputs'!FZ5=0,0,100*('Entity Inputs'!CI5-'Entity Inputs'!FZ5)/'Entity Inputs'!FZ5),2)</f>
        <v>0.1</v>
      </c>
      <c r="H131" s="7">
        <f>ROUND(IF('Entity Inputs'!FZ6=0,0,100*('Entity Inputs'!CI6-'Entity Inputs'!FZ6)/'Entity Inputs'!FZ6),2)</f>
        <v>-0.28</v>
      </c>
      <c r="I131" s="7">
        <f>ROUND(IF('Entity Inputs'!FZ7=0,0,100*('Entity Inputs'!CI7-'Entity Inputs'!FZ7)/'Entity Inputs'!FZ7),2)</f>
        <v>-0.19</v>
      </c>
      <c r="J131" s="7">
        <f>ROUND(IF('Entity Inputs'!FZ8=0,0,100*('Entity Inputs'!CI8-'Entity Inputs'!FZ8)/'Entity Inputs'!FZ8),2)</f>
        <v>0.18</v>
      </c>
      <c r="K131" s="7">
        <f>ROUND(IF('Entity Inputs'!FZ9=0,0,100*('Entity Inputs'!CI9-'Entity Inputs'!FZ9)/'Entity Inputs'!FZ9),2)</f>
        <v>-0.17</v>
      </c>
      <c r="L131" s="7">
        <f>ROUND(IF('Entity Inputs'!FZ10=0,0,100*('Entity Inputs'!CI10-'Entity Inputs'!FZ10)/'Entity Inputs'!FZ10),2)</f>
        <v>0.29</v>
      </c>
      <c r="M131" s="7">
        <f>ROUND(IF('Entity Inputs'!FZ11=0,0,100*('Entity Inputs'!CI11-'Entity Inputs'!FZ11)/'Entity Inputs'!FZ11),2)</f>
        <v>-0.21</v>
      </c>
      <c r="N131" s="7">
        <f>ROUND(IF('Entity Inputs'!FZ12=0,0,100*('Entity Inputs'!CI12-'Entity Inputs'!FZ12)/'Entity Inputs'!FZ12),2)</f>
        <v>-0.09</v>
      </c>
      <c r="O131" s="7">
        <f>ROUND(IF('Entity Inputs'!FZ13=0,0,100*('Entity Inputs'!CI13-'Entity Inputs'!FZ13)/'Entity Inputs'!FZ13),2)</f>
        <v>0.2</v>
      </c>
      <c r="P131" s="7">
        <f>ROUND(IF('Entity Inputs'!FZ14=0,0,100*('Entity Inputs'!CI14-'Entity Inputs'!FZ14)/'Entity Inputs'!FZ14),2)</f>
        <v>-0.23</v>
      </c>
      <c r="Q131" s="7">
        <f>ROUND(IF('Entity Inputs'!FZ15=0,0,100*('Entity Inputs'!CI15-'Entity Inputs'!FZ15)/'Entity Inputs'!FZ15),2)</f>
        <v>-0.27</v>
      </c>
    </row>
    <row r="132" spans="1:17">
      <c r="A132" s="6" t="s">
        <v>838</v>
      </c>
      <c r="B132" s="6" t="s">
        <v>839</v>
      </c>
      <c r="C132" s="6" t="s">
        <v>455</v>
      </c>
      <c r="D132" s="6" t="s">
        <v>25</v>
      </c>
      <c r="E132" s="6" t="s">
        <v>840</v>
      </c>
      <c r="F132" s="7">
        <f>ROUND(MAX(IF(('Entity Inputs'!AV4-'Entity Inputs'!W4-'Entity Inputs'!Y4-'Entity Inputs'!BZ4)=0,0,100*ABS('Entity Inputs'!CI4-('Entity Inputs'!AV4-'Entity Inputs'!W4-'Entity Inputs'!Y4-'Entity Inputs'!BZ4))/('Entity Inputs'!AV4-'Entity Inputs'!W4-'Entity Inputs'!Y4-'Entity Inputs'!BZ4))),2)</f>
        <v>0.1</v>
      </c>
      <c r="G132" s="7">
        <f>ROUND(MAX(IF(('Entity Inputs'!AV5-'Entity Inputs'!W5-'Entity Inputs'!Y5-'Entity Inputs'!BZ5)=0,0,100*ABS('Entity Inputs'!CI5-('Entity Inputs'!AV5-'Entity Inputs'!W5-'Entity Inputs'!Y5-'Entity Inputs'!BZ5))/('Entity Inputs'!AV5-'Entity Inputs'!W5-'Entity Inputs'!Y5-'Entity Inputs'!BZ5))),2)</f>
        <v>0.1</v>
      </c>
      <c r="H132" s="7">
        <f>ROUND(MAX(IF(('Entity Inputs'!AV6-'Entity Inputs'!W6-'Entity Inputs'!Y6-'Entity Inputs'!BZ6)=0,0,100*ABS('Entity Inputs'!CI6-('Entity Inputs'!AV6-'Entity Inputs'!W6-'Entity Inputs'!Y6-'Entity Inputs'!BZ6))/('Entity Inputs'!AV6-'Entity Inputs'!W6-'Entity Inputs'!Y6-'Entity Inputs'!BZ6))),2)</f>
        <v>0.28</v>
      </c>
      <c r="I132" s="7">
        <f>ROUND(MAX(IF(('Entity Inputs'!AV7-'Entity Inputs'!W7-'Entity Inputs'!Y7-'Entity Inputs'!BZ7)=0,0,100*ABS('Entity Inputs'!CI7-('Entity Inputs'!AV7-'Entity Inputs'!W7-'Entity Inputs'!Y7-'Entity Inputs'!BZ7))/('Entity Inputs'!AV7-'Entity Inputs'!W7-'Entity Inputs'!Y7-'Entity Inputs'!BZ7))),2)</f>
        <v>0.19</v>
      </c>
      <c r="J132" s="7">
        <f>ROUND(MAX(IF(('Entity Inputs'!AV8-'Entity Inputs'!W8-'Entity Inputs'!Y8-'Entity Inputs'!BZ8)=0,0,100*ABS('Entity Inputs'!CI8-('Entity Inputs'!AV8-'Entity Inputs'!W8-'Entity Inputs'!Y8-'Entity Inputs'!BZ8))/('Entity Inputs'!AV8-'Entity Inputs'!W8-'Entity Inputs'!Y8-'Entity Inputs'!BZ8))),2)</f>
        <v>0.18</v>
      </c>
      <c r="K132" s="7">
        <f>ROUND(MAX(IF(('Entity Inputs'!AV9-'Entity Inputs'!W9-'Entity Inputs'!Y9-'Entity Inputs'!BZ9)=0,0,100*ABS('Entity Inputs'!CI9-('Entity Inputs'!AV9-'Entity Inputs'!W9-'Entity Inputs'!Y9-'Entity Inputs'!BZ9))/('Entity Inputs'!AV9-'Entity Inputs'!W9-'Entity Inputs'!Y9-'Entity Inputs'!BZ9))),2)</f>
        <v>0.17</v>
      </c>
      <c r="L132" s="7">
        <f>ROUND(MAX(IF(('Entity Inputs'!AV10-'Entity Inputs'!W10-'Entity Inputs'!Y10-'Entity Inputs'!BZ10)=0,0,100*ABS('Entity Inputs'!CI10-('Entity Inputs'!AV10-'Entity Inputs'!W10-'Entity Inputs'!Y10-'Entity Inputs'!BZ10))/('Entity Inputs'!AV10-'Entity Inputs'!W10-'Entity Inputs'!Y10-'Entity Inputs'!BZ10))),2)</f>
        <v>0.29</v>
      </c>
      <c r="M132" s="7">
        <f>ROUND(MAX(IF(('Entity Inputs'!AV11-'Entity Inputs'!W11-'Entity Inputs'!Y11-'Entity Inputs'!BZ11)=0,0,100*ABS('Entity Inputs'!CI11-('Entity Inputs'!AV11-'Entity Inputs'!W11-'Entity Inputs'!Y11-'Entity Inputs'!BZ11))/('Entity Inputs'!AV11-'Entity Inputs'!W11-'Entity Inputs'!Y11-'Entity Inputs'!BZ11))),2)</f>
        <v>0.21</v>
      </c>
      <c r="N132" s="7">
        <f>ROUND(MAX(IF(('Entity Inputs'!AV12-'Entity Inputs'!W12-'Entity Inputs'!Y12-'Entity Inputs'!BZ12)=0,0,100*ABS('Entity Inputs'!CI12-('Entity Inputs'!AV12-'Entity Inputs'!W12-'Entity Inputs'!Y12-'Entity Inputs'!BZ12))/('Entity Inputs'!AV12-'Entity Inputs'!W12-'Entity Inputs'!Y12-'Entity Inputs'!BZ12))),2)</f>
        <v>0.09</v>
      </c>
      <c r="O132" s="7">
        <f>ROUND(MAX(IF(('Entity Inputs'!AV13-'Entity Inputs'!W13-'Entity Inputs'!Y13-'Entity Inputs'!BZ13)=0,0,100*ABS('Entity Inputs'!CI13-('Entity Inputs'!AV13-'Entity Inputs'!W13-'Entity Inputs'!Y13-'Entity Inputs'!BZ13))/('Entity Inputs'!AV13-'Entity Inputs'!W13-'Entity Inputs'!Y13-'Entity Inputs'!BZ13))),2)</f>
        <v>0.2</v>
      </c>
      <c r="P132" s="7">
        <f>ROUND(MAX(IF(('Entity Inputs'!AV14-'Entity Inputs'!W14-'Entity Inputs'!Y14-'Entity Inputs'!BZ14)=0,0,100*ABS('Entity Inputs'!CI14-('Entity Inputs'!AV14-'Entity Inputs'!W14-'Entity Inputs'!Y14-'Entity Inputs'!BZ14))/('Entity Inputs'!AV14-'Entity Inputs'!W14-'Entity Inputs'!Y14-'Entity Inputs'!BZ14))),2)</f>
        <v>0.23</v>
      </c>
      <c r="Q132" s="7">
        <f>ROUND(MAX(IF(('Entity Inputs'!AV15-'Entity Inputs'!W15-'Entity Inputs'!Y15-'Entity Inputs'!BZ15)=0,0,100*ABS('Entity Inputs'!CI15-('Entity Inputs'!AV15-'Entity Inputs'!W15-'Entity Inputs'!Y15-'Entity Inputs'!BZ15))/('Entity Inputs'!AV15-'Entity Inputs'!W15-'Entity Inputs'!Y15-'Entity Inputs'!BZ15))),2)</f>
        <v>0.27</v>
      </c>
    </row>
    <row r="133" spans="1:17">
      <c r="A133" s="6" t="s">
        <v>841</v>
      </c>
      <c r="B133" s="6" t="s">
        <v>842</v>
      </c>
      <c r="C133" s="6" t="s">
        <v>512</v>
      </c>
      <c r="D133" s="6" t="s">
        <v>577</v>
      </c>
      <c r="E133" s="6" t="s">
        <v>842</v>
      </c>
      <c r="F133" s="7">
        <f>ROUND('Entity Inputs'!FN4,2)</f>
        <v>0.0</v>
      </c>
      <c r="G133" s="7">
        <f>ROUND('Entity Inputs'!FN5,2)</f>
        <v>0.0</v>
      </c>
      <c r="H133" s="7">
        <f>ROUND('Entity Inputs'!FN6,2)</f>
        <v>0.0</v>
      </c>
      <c r="I133" s="7">
        <f>ROUND('Entity Inputs'!FN7,2)</f>
        <v>0.0</v>
      </c>
      <c r="J133" s="7">
        <f>ROUND('Entity Inputs'!FN8,2)</f>
        <v>1.0</v>
      </c>
      <c r="K133" s="7">
        <f>ROUND('Entity Inputs'!FN9,2)</f>
        <v>1.0</v>
      </c>
      <c r="L133" s="7">
        <f>ROUND('Entity Inputs'!FN10,2)</f>
        <v>0.0</v>
      </c>
      <c r="M133" s="7">
        <f>ROUND('Entity Inputs'!FN11,2)</f>
        <v>0.0</v>
      </c>
      <c r="N133" s="7">
        <f>ROUND('Entity Inputs'!FN12,2)</f>
        <v>0.0</v>
      </c>
      <c r="O133" s="7">
        <f>ROUND('Entity Inputs'!FN13,2)</f>
        <v>0.0</v>
      </c>
      <c r="P133" s="7">
        <f>ROUND('Entity Inputs'!FN14,2)</f>
        <v>0.0</v>
      </c>
      <c r="Q133" s="7">
        <f>ROUND('Entity Inputs'!FN15,2)</f>
        <v>0.0</v>
      </c>
    </row>
    <row r="134" spans="1:17">
      <c r="A134" s="6" t="s">
        <v>843</v>
      </c>
      <c r="B134" s="6" t="s">
        <v>844</v>
      </c>
      <c r="C134" s="6" t="s">
        <v>512</v>
      </c>
      <c r="D134" s="6" t="s">
        <v>577</v>
      </c>
      <c r="E134" s="6" t="s">
        <v>845</v>
      </c>
      <c r="F134" s="7">
        <f>ROUND('Entity Inputs'!FO4,2)</f>
        <v>0.0</v>
      </c>
      <c r="G134" s="7">
        <f>ROUND('Entity Inputs'!FO5,2)</f>
        <v>0.0</v>
      </c>
      <c r="H134" s="7">
        <f>ROUND('Entity Inputs'!FO6,2)</f>
        <v>0.0</v>
      </c>
      <c r="I134" s="7">
        <f>ROUND('Entity Inputs'!FO7,2)</f>
        <v>0.0</v>
      </c>
      <c r="J134" s="7">
        <f>ROUND('Entity Inputs'!FO8,2)</f>
        <v>0.0</v>
      </c>
      <c r="K134" s="7">
        <f>ROUND('Entity Inputs'!FO9,2)</f>
        <v>0.0</v>
      </c>
      <c r="L134" s="7">
        <f>ROUND('Entity Inputs'!FO10,2)</f>
        <v>0.0</v>
      </c>
      <c r="M134" s="7">
        <f>ROUND('Entity Inputs'!FO11,2)</f>
        <v>0.0</v>
      </c>
      <c r="N134" s="7">
        <f>ROUND('Entity Inputs'!FO12,2)</f>
        <v>0.0</v>
      </c>
      <c r="O134" s="7">
        <f>ROUND('Entity Inputs'!FO13,2)</f>
        <v>0.0</v>
      </c>
      <c r="P134" s="7">
        <f>ROUND('Entity Inputs'!FO14,2)</f>
        <v>0.0</v>
      </c>
      <c r="Q134" s="7">
        <f>ROUND('Entity Inputs'!FO15,2)</f>
        <v>1.0</v>
      </c>
    </row>
    <row r="135" spans="1:17">
      <c r="A135" s="6" t="s">
        <v>846</v>
      </c>
      <c r="B135" s="6" t="s">
        <v>847</v>
      </c>
      <c r="C135" s="6" t="s">
        <v>512</v>
      </c>
      <c r="D135" s="6" t="s">
        <v>577</v>
      </c>
      <c r="E135" s="6" t="s">
        <v>847</v>
      </c>
      <c r="F135" s="7">
        <f>ROUND('Entity Inputs'!FP4,2)</f>
        <v>0.0</v>
      </c>
      <c r="G135" s="7">
        <f>ROUND('Entity Inputs'!FP5,2)</f>
        <v>0.0</v>
      </c>
      <c r="H135" s="7">
        <f>ROUND('Entity Inputs'!FP6,2)</f>
        <v>0.0</v>
      </c>
      <c r="I135" s="7">
        <f>ROUND('Entity Inputs'!FP7,2)</f>
        <v>0.0</v>
      </c>
      <c r="J135" s="7">
        <f>ROUND('Entity Inputs'!FP8,2)</f>
        <v>0.0</v>
      </c>
      <c r="K135" s="7">
        <f>ROUND('Entity Inputs'!FP9,2)</f>
        <v>0.0</v>
      </c>
      <c r="L135" s="7">
        <f>ROUND('Entity Inputs'!FP10,2)</f>
        <v>0.0</v>
      </c>
      <c r="M135" s="7">
        <f>ROUND('Entity Inputs'!FP11,2)</f>
        <v>0.0</v>
      </c>
      <c r="N135" s="7">
        <f>ROUND('Entity Inputs'!FP12,2)</f>
        <v>0.0</v>
      </c>
      <c r="O135" s="7">
        <f>ROUND('Entity Inputs'!FP13,2)</f>
        <v>0.0</v>
      </c>
      <c r="P135" s="7">
        <f>ROUND('Entity Inputs'!FP14,2)</f>
        <v>0.0</v>
      </c>
      <c r="Q135" s="7">
        <f>ROUND('Entity Inputs'!FP15,2)</f>
        <v>0.0</v>
      </c>
    </row>
    <row r="136" spans="1:17">
      <c r="A136" s="6" t="s">
        <v>848</v>
      </c>
      <c r="B136" s="6" t="s">
        <v>849</v>
      </c>
      <c r="C136" s="6" t="s">
        <v>28</v>
      </c>
      <c r="D136" s="6" t="s">
        <v>25</v>
      </c>
      <c r="E136" s="6" t="s">
        <v>850</v>
      </c>
      <c r="F136" s="7">
        <f>ROUND(IF('Entity Inputs'!FQ4=0,0,'Entity Inputs'!FR4/'Entity Inputs'!FQ4),2)</f>
        <v>2.97</v>
      </c>
      <c r="G136" s="7">
        <f>ROUND(IF('Entity Inputs'!FQ5=0,0,'Entity Inputs'!FR5/'Entity Inputs'!FQ5),2)</f>
        <v>2.9</v>
      </c>
      <c r="H136" s="7">
        <f>ROUND(IF('Entity Inputs'!FQ6=0,0,'Entity Inputs'!FR6/'Entity Inputs'!FQ6),2)</f>
        <v>2.93</v>
      </c>
      <c r="I136" s="7">
        <f>ROUND(IF('Entity Inputs'!FQ7=0,0,'Entity Inputs'!FR7/'Entity Inputs'!FQ7),2)</f>
        <v>3.0</v>
      </c>
      <c r="J136" s="7">
        <f>ROUND(IF('Entity Inputs'!FQ8=0,0,'Entity Inputs'!FR8/'Entity Inputs'!FQ8),2)</f>
        <v>3.05</v>
      </c>
      <c r="K136" s="7">
        <f>ROUND(IF('Entity Inputs'!FQ9=0,0,'Entity Inputs'!FR9/'Entity Inputs'!FQ9),2)</f>
        <v>2.78</v>
      </c>
      <c r="L136" s="7">
        <f>ROUND(IF('Entity Inputs'!FQ10=0,0,'Entity Inputs'!FR10/'Entity Inputs'!FQ10),2)</f>
        <v>2.15</v>
      </c>
      <c r="M136" s="7">
        <f>ROUND(IF('Entity Inputs'!FQ11=0,0,'Entity Inputs'!FR11/'Entity Inputs'!FQ11),2)</f>
        <v>1.93</v>
      </c>
      <c r="N136" s="7">
        <f>ROUND(IF('Entity Inputs'!FQ12=0,0,'Entity Inputs'!FR12/'Entity Inputs'!FQ12),2)</f>
        <v>1.95</v>
      </c>
      <c r="O136" s="7">
        <f>ROUND(IF('Entity Inputs'!FQ13=0,0,'Entity Inputs'!FR13/'Entity Inputs'!FQ13),2)</f>
        <v>2.13</v>
      </c>
      <c r="P136" s="7">
        <f>ROUND(IF('Entity Inputs'!FQ14=0,0,'Entity Inputs'!FR14/'Entity Inputs'!FQ14),2)</f>
        <v>1.98</v>
      </c>
      <c r="Q136" s="7">
        <f>ROUND(IF('Entity Inputs'!FQ15=0,0,'Entity Inputs'!FR15/'Entity Inputs'!FQ15),2)</f>
        <v>2.06</v>
      </c>
    </row>
    <row r="137" spans="1:17">
      <c r="A137" s="6" t="s">
        <v>851</v>
      </c>
      <c r="B137" s="6" t="s">
        <v>852</v>
      </c>
      <c r="C137" s="6" t="s">
        <v>512</v>
      </c>
      <c r="D137" s="6" t="s">
        <v>25</v>
      </c>
      <c r="E137" s="6" t="s">
        <v>853</v>
      </c>
      <c r="F137" s="7">
        <f>ROUND('Entity Inputs'!FS4,2)</f>
        <v>4.0</v>
      </c>
      <c r="G137" s="7">
        <f>ROUND('Entity Inputs'!FS5,2)</f>
        <v>3.0</v>
      </c>
      <c r="H137" s="7">
        <f>ROUND('Entity Inputs'!FS6,2)</f>
        <v>4.0</v>
      </c>
      <c r="I137" s="7">
        <f>ROUND('Entity Inputs'!FS7,2)</f>
        <v>3.0</v>
      </c>
      <c r="J137" s="7">
        <f>ROUND('Entity Inputs'!FS8,2)</f>
        <v>3.0</v>
      </c>
      <c r="K137" s="7">
        <f>ROUND('Entity Inputs'!FS9,2)</f>
        <v>3.0</v>
      </c>
      <c r="L137" s="7">
        <f>ROUND('Entity Inputs'!FS10,2)</f>
        <v>8.0</v>
      </c>
      <c r="M137" s="7">
        <f>ROUND('Entity Inputs'!FS11,2)</f>
        <v>7.0</v>
      </c>
      <c r="N137" s="7">
        <f>ROUND('Entity Inputs'!FS12,2)</f>
        <v>7.0</v>
      </c>
      <c r="O137" s="7">
        <f>ROUND('Entity Inputs'!FS13,2)</f>
        <v>8.0</v>
      </c>
      <c r="P137" s="7">
        <f>ROUND('Entity Inputs'!FS14,2)</f>
        <v>8.0</v>
      </c>
      <c r="Q137" s="7">
        <f>ROUND('Entity Inputs'!FS15,2)</f>
        <v>8.0</v>
      </c>
    </row>
    <row r="138" spans="1:17">
      <c r="A138" s="6" t="s">
        <v>854</v>
      </c>
      <c r="B138" s="6" t="s">
        <v>855</v>
      </c>
      <c r="C138" s="6" t="s">
        <v>512</v>
      </c>
      <c r="D138" s="6" t="s">
        <v>856</v>
      </c>
      <c r="E138" s="6" t="s">
        <v>857</v>
      </c>
      <c r="F138" s="7">
        <f>ROUND(SUM('Entity Inputs'!FT4:FT4),2)</f>
        <v>0.0</v>
      </c>
      <c r="G138" s="7">
        <f>ROUND(SUM('Entity Inputs'!FT4:FT5),2)</f>
        <v>0.0</v>
      </c>
      <c r="H138" s="7">
        <f>ROUND(SUM('Entity Inputs'!FT4:FT6),2)</f>
        <v>1.0</v>
      </c>
      <c r="I138" s="7">
        <f>ROUND(SUM('Entity Inputs'!FT5:FT7),2)</f>
        <v>2.0</v>
      </c>
      <c r="J138" s="7">
        <f>ROUND(SUM('Entity Inputs'!FT6:FT8),2)</f>
        <v>3.0</v>
      </c>
      <c r="K138" s="7">
        <f>ROUND(SUM('Entity Inputs'!FT7:FT9),2)</f>
        <v>3.0</v>
      </c>
      <c r="L138" s="7">
        <f>ROUND(SUM('Entity Inputs'!FT10:FT10),2)</f>
        <v>0.0</v>
      </c>
      <c r="M138" s="7">
        <f>ROUND(SUM('Entity Inputs'!FT10:FT11),2)</f>
        <v>1.0</v>
      </c>
      <c r="N138" s="7">
        <f>ROUND(SUM('Entity Inputs'!FT10:FT12),2)</f>
        <v>1.0</v>
      </c>
      <c r="O138" s="7">
        <f>ROUND(SUM('Entity Inputs'!FT11:FT13),2)</f>
        <v>2.0</v>
      </c>
      <c r="P138" s="7">
        <f>ROUND(SUM('Entity Inputs'!FT12:FT14),2)</f>
        <v>1.0</v>
      </c>
      <c r="Q138" s="7">
        <f>ROUND(SUM('Entity Inputs'!FT13:FT15),2)</f>
        <v>1.0</v>
      </c>
    </row>
    <row r="139" spans="1:17">
      <c r="A139" s="6" t="s">
        <v>858</v>
      </c>
      <c r="B139" s="6" t="s">
        <v>859</v>
      </c>
      <c r="C139" s="6" t="s">
        <v>668</v>
      </c>
      <c r="D139" s="6" t="s">
        <v>561</v>
      </c>
      <c r="E139" s="6" t="s">
        <v>860</v>
      </c>
      <c r="F139" s="8" t="str">
        <f>SUM('Entity Inputs'!FV$4:FV4)&amp;" of "&amp;SUM('Entity Inputs'!FU$4:FU4)</f>
        <v>0 of 0</v>
      </c>
      <c r="G139" s="8" t="str">
        <f>SUM('Entity Inputs'!FV$4:FV5)&amp;" of "&amp;SUM('Entity Inputs'!FU$4:FU5)</f>
        <v>0 of 0</v>
      </c>
      <c r="H139" s="8" t="str">
        <f>SUM('Entity Inputs'!FV$4:FV6)&amp;" of "&amp;SUM('Entity Inputs'!FU$4:FU6)</f>
        <v>1 of 1</v>
      </c>
      <c r="I139" s="8" t="str">
        <f>SUM('Entity Inputs'!FV$4:FV7)&amp;" of "&amp;SUM('Entity Inputs'!FU$4:FU7)</f>
        <v>2 of 2</v>
      </c>
      <c r="J139" s="8" t="str">
        <f>SUM('Entity Inputs'!FV$4:FV8)&amp;" of "&amp;SUM('Entity Inputs'!FU$4:FU8)</f>
        <v>3 of 3</v>
      </c>
      <c r="K139" s="8" t="str">
        <f>SUM('Entity Inputs'!FV$4:FV9)&amp;" of "&amp;SUM('Entity Inputs'!FU$4:FU9)</f>
        <v>4 of 4</v>
      </c>
      <c r="L139" s="8" t="str">
        <f>SUM('Entity Inputs'!FV$10:FV10)&amp;" of "&amp;SUM('Entity Inputs'!FU$10:FU10)</f>
        <v>1 of 1</v>
      </c>
      <c r="M139" s="8" t="str">
        <f>SUM('Entity Inputs'!FV$10:FV11)&amp;" of "&amp;SUM('Entity Inputs'!FU$10:FU11)</f>
        <v>2 of 2</v>
      </c>
      <c r="N139" s="8" t="str">
        <f>SUM('Entity Inputs'!FV$10:FV12)&amp;" of "&amp;SUM('Entity Inputs'!FU$10:FU12)</f>
        <v>1 of 2</v>
      </c>
      <c r="O139" s="8" t="str">
        <f>SUM('Entity Inputs'!FV$10:FV13)&amp;" of "&amp;SUM('Entity Inputs'!FU$10:FU13)</f>
        <v>2 of 3</v>
      </c>
      <c r="P139" s="8" t="str">
        <f>SUM('Entity Inputs'!FV$10:FV14)&amp;" of "&amp;SUM('Entity Inputs'!FU$10:FU14)</f>
        <v>3 of 4</v>
      </c>
      <c r="Q139" s="8" t="str">
        <f>SUM('Entity Inputs'!FV$10:FV15)&amp;" of "&amp;SUM('Entity Inputs'!FU$10:FU15)</f>
        <v>4 of 5</v>
      </c>
    </row>
    <row r="140" spans="1:17">
      <c r="A140" s="6" t="s">
        <v>861</v>
      </c>
      <c r="B140" s="6" t="s">
        <v>862</v>
      </c>
      <c r="C140" s="6" t="s">
        <v>28</v>
      </c>
      <c r="D140" s="6" t="s">
        <v>25</v>
      </c>
      <c r="E140" s="6" t="s">
        <v>863</v>
      </c>
      <c r="F140" s="7">
        <f>ROUND(IF('Entity Inputs'!CR4=0,0,('Entity Inputs'!CS4-'Entity Inputs'!CT4)/'Entity Inputs'!CR4),2)</f>
        <v>0.39</v>
      </c>
      <c r="G140" s="7">
        <f>ROUND(IF('Entity Inputs'!CR5=0,0,('Entity Inputs'!CS5-'Entity Inputs'!CT5)/'Entity Inputs'!CR5),2)</f>
        <v>0.19</v>
      </c>
      <c r="H140" s="7">
        <f>ROUND(IF('Entity Inputs'!CR6=0,0,('Entity Inputs'!CS6-'Entity Inputs'!CT6)/'Entity Inputs'!CR6),2)</f>
        <v>-0.03</v>
      </c>
      <c r="I140" s="7">
        <f>ROUND(IF('Entity Inputs'!CR7=0,0,('Entity Inputs'!CS7-'Entity Inputs'!CT7)/'Entity Inputs'!CR7),2)</f>
        <v>-0.14</v>
      </c>
      <c r="J140" s="7">
        <f>ROUND(IF('Entity Inputs'!CR8=0,0,('Entity Inputs'!CS8-'Entity Inputs'!CT8)/'Entity Inputs'!CR8),2)</f>
        <v>2.19</v>
      </c>
      <c r="K140" s="7">
        <f>ROUND(IF('Entity Inputs'!CR9=0,0,('Entity Inputs'!CS9-'Entity Inputs'!CT9)/'Entity Inputs'!CR9),2)</f>
        <v>1.94</v>
      </c>
      <c r="L140" s="7">
        <f>ROUND(IF('Entity Inputs'!CR10=0,0,('Entity Inputs'!CS10-'Entity Inputs'!CT10)/'Entity Inputs'!CR10),2)</f>
        <v>-0.09</v>
      </c>
      <c r="M140" s="7">
        <f>ROUND(IF('Entity Inputs'!CR11=0,0,('Entity Inputs'!CS11-'Entity Inputs'!CT11)/'Entity Inputs'!CR11),2)</f>
        <v>-0.22</v>
      </c>
      <c r="N140" s="7">
        <f>ROUND(IF('Entity Inputs'!CR12=0,0,('Entity Inputs'!CS12-'Entity Inputs'!CT12)/'Entity Inputs'!CR12),2)</f>
        <v>0.34</v>
      </c>
      <c r="O140" s="7">
        <f>ROUND(IF('Entity Inputs'!CR13=0,0,('Entity Inputs'!CS13-'Entity Inputs'!CT13)/'Entity Inputs'!CR13),2)</f>
        <v>0.25</v>
      </c>
      <c r="P140" s="7">
        <f>ROUND(IF('Entity Inputs'!CR14=0,0,('Entity Inputs'!CS14-'Entity Inputs'!CT14)/'Entity Inputs'!CR14),2)</f>
        <v>0.38</v>
      </c>
      <c r="Q140" s="7">
        <f>ROUND(IF('Entity Inputs'!CR15=0,0,('Entity Inputs'!CS15-'Entity Inputs'!CT15)/'Entity Inputs'!CR15),2)</f>
        <v>0.21</v>
      </c>
    </row>
    <row r="141" spans="1:17">
      <c r="A141" s="6" t="s">
        <v>864</v>
      </c>
      <c r="B141" s="6" t="s">
        <v>865</v>
      </c>
      <c r="C141" s="6" t="s">
        <v>866</v>
      </c>
      <c r="D141" s="6" t="s">
        <v>577</v>
      </c>
      <c r="E141" s="6" t="s">
        <v>867</v>
      </c>
      <c r="F141" s="7">
        <f>ROUND('Entity Inputs'!CU4,2)</f>
        <v>0.0</v>
      </c>
      <c r="G141" s="7">
        <f>ROUND('Entity Inputs'!CU5,2)</f>
        <v>0.0</v>
      </c>
      <c r="H141" s="7">
        <f>ROUND('Entity Inputs'!CU6,2)</f>
        <v>0.0</v>
      </c>
      <c r="I141" s="7">
        <f>ROUND('Entity Inputs'!CU7,2)</f>
        <v>0.0</v>
      </c>
      <c r="J141" s="7">
        <f>ROUND('Entity Inputs'!CU8,2)</f>
        <v>2.0</v>
      </c>
      <c r="K141" s="7">
        <f>ROUND('Entity Inputs'!CU9,2)</f>
        <v>2.0</v>
      </c>
      <c r="L141" s="7">
        <f>ROUND('Entity Inputs'!CU10,2)</f>
        <v>0.0</v>
      </c>
      <c r="M141" s="7">
        <f>ROUND('Entity Inputs'!CU11,2)</f>
        <v>1.0</v>
      </c>
      <c r="N141" s="7">
        <f>ROUND('Entity Inputs'!CU12,2)</f>
        <v>0.0</v>
      </c>
      <c r="O141" s="7">
        <f>ROUND('Entity Inputs'!CU13,2)</f>
        <v>1.0</v>
      </c>
      <c r="P141" s="7">
        <f>ROUND('Entity Inputs'!CU14,2)</f>
        <v>1.0</v>
      </c>
      <c r="Q141" s="7">
        <f>ROUND('Entity Inputs'!CU15,2)</f>
        <v>1.0</v>
      </c>
    </row>
    <row r="142" spans="1:17">
      <c r="A142" s="6" t="s">
        <v>868</v>
      </c>
      <c r="B142" s="6" t="s">
        <v>869</v>
      </c>
      <c r="C142" s="6" t="s">
        <v>668</v>
      </c>
      <c r="D142" s="6" t="s">
        <v>25</v>
      </c>
      <c r="E142" s="6" t="s">
        <v>870</v>
      </c>
      <c r="F142" s="8" t="str">
        <f>IF('Entity Inputs'!GD4&lt;0,"Triggered","Not triggered")</f>
        <v>Not triggered</v>
      </c>
      <c r="G142" s="8" t="str">
        <f>IF('Entity Inputs'!GD5&lt;0,"Triggered","Not triggered")</f>
        <v>Not triggered</v>
      </c>
      <c r="H142" s="8" t="str">
        <f>IF('Entity Inputs'!GD6&lt;0,"Triggered","Not triggered")</f>
        <v>Not triggered</v>
      </c>
      <c r="I142" s="8" t="str">
        <f>IF('Entity Inputs'!GD7&lt;0,"Triggered","Not triggered")</f>
        <v>Not triggered</v>
      </c>
      <c r="J142" s="8" t="str">
        <f>IF('Entity Inputs'!GD8&lt;0,"Triggered","Not triggered")</f>
        <v>Not triggered</v>
      </c>
      <c r="K142" s="8" t="str">
        <f>IF('Entity Inputs'!GD9&lt;0,"Triggered","Not triggered")</f>
        <v>Not triggered</v>
      </c>
      <c r="L142" s="8" t="str">
        <f>IF('Entity Inputs'!GD10&lt;0,"Triggered","Not triggered")</f>
        <v>Not triggered</v>
      </c>
      <c r="M142" s="8" t="str">
        <f>IF('Entity Inputs'!GD11&lt;0,"Triggered","Not triggered")</f>
        <v>Not triggered</v>
      </c>
      <c r="N142" s="8" t="str">
        <f>IF('Entity Inputs'!GD12&lt;0,"Triggered","Not triggered")</f>
        <v>Not triggered</v>
      </c>
      <c r="O142" s="8" t="str">
        <f>IF('Entity Inputs'!GD13&lt;0,"Triggered","Not triggered")</f>
        <v>Not triggered</v>
      </c>
      <c r="P142" s="8" t="str">
        <f>IF('Entity Inputs'!GD14&lt;0,"Triggered","Not triggered")</f>
        <v>Not triggered</v>
      </c>
      <c r="Q142" s="8" t="str">
        <f>IF('Entity Inputs'!GD15&lt;0,"Triggered","Not triggered")</f>
        <v>Not triggered</v>
      </c>
    </row>
    <row r="143" spans="1:17">
      <c r="A143" s="6" t="s">
        <v>871</v>
      </c>
      <c r="B143" s="6" t="s">
        <v>872</v>
      </c>
      <c r="C143" s="6" t="s">
        <v>668</v>
      </c>
      <c r="D143" s="6" t="s">
        <v>25</v>
      </c>
      <c r="E143" s="6" t="s">
        <v>873</v>
      </c>
      <c r="F143" s="8" t="str">
        <f>IF('Entity Inputs'!GK4&gt;=-1,"Low",IF('Entity Inputs'!GK4&gt;=-3,"Medium","High"))&amp;" ("&amp;ROUND('Entity Inputs'!GK4,1)&amp;"% vs plan price)"</f>
        <v>Low (-0.3% vs plan price)</v>
      </c>
      <c r="G143" s="8" t="str">
        <f>IF('Entity Inputs'!GK5&gt;=-1,"Low",IF('Entity Inputs'!GK5&gt;=-3,"Medium","High"))&amp;" ("&amp;ROUND('Entity Inputs'!GK5,1)&amp;"% vs plan price)"</f>
        <v>Low (-0.5% vs plan price)</v>
      </c>
      <c r="H143" s="8" t="str">
        <f>IF('Entity Inputs'!GK6&gt;=-1,"Low",IF('Entity Inputs'!GK6&gt;=-3,"Medium","High"))&amp;" ("&amp;ROUND('Entity Inputs'!GK6,1)&amp;"% vs plan price)"</f>
        <v>Low (0.1% vs plan price)</v>
      </c>
      <c r="I143" s="8" t="str">
        <f>IF('Entity Inputs'!GK7&gt;=-1,"Low",IF('Entity Inputs'!GK7&gt;=-3,"Medium","High"))&amp;" ("&amp;ROUND('Entity Inputs'!GK7,1)&amp;"% vs plan price)"</f>
        <v>Low (-0.5% vs plan price)</v>
      </c>
      <c r="J143" s="8" t="str">
        <f>IF('Entity Inputs'!GK8&gt;=-1,"Low",IF('Entity Inputs'!GK8&gt;=-3,"Medium","High"))&amp;" ("&amp;ROUND('Entity Inputs'!GK8,1)&amp;"% vs plan price)"</f>
        <v>Low (0.1% vs plan price)</v>
      </c>
      <c r="K143" s="8" t="str">
        <f>IF('Entity Inputs'!GK9&gt;=-1,"Low",IF('Entity Inputs'!GK9&gt;=-3,"Medium","High"))&amp;" ("&amp;ROUND('Entity Inputs'!GK9,1)&amp;"% vs plan price)"</f>
        <v>Low (-0.9% vs plan price)</v>
      </c>
      <c r="L143" s="8" t="str">
        <f>IF('Entity Inputs'!GK10&gt;=-1,"Low",IF('Entity Inputs'!GK10&gt;=-3,"Medium","High"))&amp;" ("&amp;ROUND('Entity Inputs'!GK10,1)&amp;"% vs plan price)"</f>
        <v>Low (0.1% vs plan price)</v>
      </c>
      <c r="M143" s="8" t="str">
        <f>IF('Entity Inputs'!GK11&gt;=-1,"Low",IF('Entity Inputs'!GK11&gt;=-3,"Medium","High"))&amp;" ("&amp;ROUND('Entity Inputs'!GK11,1)&amp;"% vs plan price)"</f>
        <v>Low (0.6% vs plan price)</v>
      </c>
      <c r="N143" s="8" t="str">
        <f>IF('Entity Inputs'!GK12&gt;=-1,"Low",IF('Entity Inputs'!GK12&gt;=-3,"Medium","High"))&amp;" ("&amp;ROUND('Entity Inputs'!GK12,1)&amp;"% vs plan price)"</f>
        <v>Low (0.6% vs plan price)</v>
      </c>
      <c r="O143" s="8" t="str">
        <f>IF('Entity Inputs'!GK13&gt;=-1,"Low",IF('Entity Inputs'!GK13&gt;=-3,"Medium","High"))&amp;" ("&amp;ROUND('Entity Inputs'!GK13,1)&amp;"% vs plan price)"</f>
        <v>Low (0.1% vs plan price)</v>
      </c>
      <c r="P143" s="8" t="str">
        <f>IF('Entity Inputs'!GK14&gt;=-1,"Low",IF('Entity Inputs'!GK14&gt;=-3,"Medium","High"))&amp;" ("&amp;ROUND('Entity Inputs'!GK14,1)&amp;"% vs plan price)"</f>
        <v>Low (-0.7% vs plan price)</v>
      </c>
      <c r="Q143" s="8" t="str">
        <f>IF('Entity Inputs'!GK15&gt;=-1,"Low",IF('Entity Inputs'!GK15&gt;=-3,"Medium","High"))&amp;" ("&amp;ROUND('Entity Inputs'!GK15,1)&amp;"% vs plan price)"</f>
        <v>Low (0% vs plan price)</v>
      </c>
    </row>
    <row r="144" spans="1:17">
      <c r="A144" s="6" t="s">
        <v>874</v>
      </c>
      <c r="B144" s="6" t="s">
        <v>875</v>
      </c>
      <c r="C144" s="6" t="s">
        <v>28</v>
      </c>
      <c r="D144" s="6" t="s">
        <v>876</v>
      </c>
      <c r="E144" s="6" t="s">
        <v>877</v>
      </c>
      <c r="F144" s="7">
        <f>ROUND('Entity Inputs'!BT4,2)</f>
        <v>17.0</v>
      </c>
      <c r="G144" s="7">
        <f>ROUND('Entity Inputs'!BT5,2)</f>
        <v>12.0</v>
      </c>
      <c r="H144" s="7">
        <f>ROUND('Entity Inputs'!BT6,2)</f>
        <v>18.0</v>
      </c>
      <c r="I144" s="7">
        <f>ROUND('Entity Inputs'!BT7,2)</f>
        <v>12.0</v>
      </c>
      <c r="J144" s="7">
        <f>ROUND('Entity Inputs'!BT8,2)</f>
        <v>10.0</v>
      </c>
      <c r="K144" s="7">
        <f>ROUND('Entity Inputs'!BT9,2)</f>
        <v>4.0</v>
      </c>
      <c r="L144" s="7">
        <f>ROUND('Entity Inputs'!BT10,2)</f>
        <v>99.0</v>
      </c>
      <c r="M144" s="7">
        <f>ROUND('Entity Inputs'!BT11,2)</f>
        <v>99.0</v>
      </c>
      <c r="N144" s="7">
        <f>ROUND('Entity Inputs'!BT12,2)</f>
        <v>99.0</v>
      </c>
      <c r="O144" s="7">
        <f>ROUND('Entity Inputs'!BT13,2)</f>
        <v>99.0</v>
      </c>
      <c r="P144" s="7">
        <f>ROUND('Entity Inputs'!BT14,2)</f>
        <v>99.0</v>
      </c>
      <c r="Q144" s="7">
        <f>ROUND('Entity Inputs'!BT15,2)</f>
        <v>99.0</v>
      </c>
    </row>
    <row r="145" spans="1:17">
      <c r="A145" s="6" t="s">
        <v>878</v>
      </c>
      <c r="B145" s="6" t="s">
        <v>879</v>
      </c>
      <c r="C145" s="6" t="s">
        <v>455</v>
      </c>
      <c r="D145" s="6" t="s">
        <v>880</v>
      </c>
      <c r="E145" s="6" t="s">
        <v>881</v>
      </c>
      <c r="F145" s="7">
        <f>ROUND(100*NORM.DIST('Entity Inputs'!BU4,'Entity Inputs'!BV4,SQRT('Entity Inputs'!BW4),TRUE),2)</f>
        <v>79.31</v>
      </c>
      <c r="G145" s="7">
        <f>ROUND(100*NORM.DIST('Entity Inputs'!BU5,'Entity Inputs'!BV5,SQRT('Entity Inputs'!BW5),TRUE),2)</f>
        <v>69.56</v>
      </c>
      <c r="H145" s="7">
        <f>ROUND(100*NORM.DIST('Entity Inputs'!BU6,'Entity Inputs'!BV6,SQRT('Entity Inputs'!BW6),TRUE),2)</f>
        <v>77.23</v>
      </c>
      <c r="I145" s="7">
        <f>ROUND(100*NORM.DIST('Entity Inputs'!BU7,'Entity Inputs'!BV7,SQRT('Entity Inputs'!BW7),TRUE),2)</f>
        <v>77.26</v>
      </c>
      <c r="J145" s="7">
        <f>ROUND(100*NORM.DIST('Entity Inputs'!BU8,'Entity Inputs'!BV8,SQRT('Entity Inputs'!BW8),TRUE),2)</f>
        <v>72.77</v>
      </c>
      <c r="K145" s="7">
        <f>ROUND(100*NORM.DIST('Entity Inputs'!BU9,'Entity Inputs'!BV9,SQRT('Entity Inputs'!BW9),TRUE),2)</f>
        <v>79.36</v>
      </c>
      <c r="L145" s="7">
        <f>ROUND(100*NORM.DIST('Entity Inputs'!BU10,'Entity Inputs'!BV10,SQRT('Entity Inputs'!BW10),TRUE),2)</f>
        <v>37.76</v>
      </c>
      <c r="M145" s="7">
        <f>ROUND(100*NORM.DIST('Entity Inputs'!BU11,'Entity Inputs'!BV11,SQRT('Entity Inputs'!BW11),TRUE),2)</f>
        <v>41.4</v>
      </c>
      <c r="N145" s="7">
        <f>ROUND(100*NORM.DIST('Entity Inputs'!BU12,'Entity Inputs'!BV12,SQRT('Entity Inputs'!BW12),TRUE),2)</f>
        <v>41.65</v>
      </c>
      <c r="O145" s="7">
        <f>ROUND(100*NORM.DIST('Entity Inputs'!BU13,'Entity Inputs'!BV13,SQRT('Entity Inputs'!BW13),TRUE),2)</f>
        <v>41.77</v>
      </c>
      <c r="P145" s="7">
        <f>ROUND(100*NORM.DIST('Entity Inputs'!BU14,'Entity Inputs'!BV14,SQRT('Entity Inputs'!BW14),TRUE),2)</f>
        <v>40.91</v>
      </c>
      <c r="Q145" s="7">
        <f>ROUND(100*NORM.DIST('Entity Inputs'!BU15,'Entity Inputs'!BV15,SQRT('Entity Inputs'!BW15),TRUE),2)</f>
        <v>45.13</v>
      </c>
    </row>
    <row r="146" spans="1:17">
      <c r="A146" s="6" t="s">
        <v>882</v>
      </c>
      <c r="B146" s="6" t="s">
        <v>883</v>
      </c>
      <c r="C146" s="6" t="s">
        <v>560</v>
      </c>
      <c r="D146" s="6" t="s">
        <v>876</v>
      </c>
      <c r="E146" s="6" t="s">
        <v>884</v>
      </c>
      <c r="F146" s="7">
        <f>ROUND(('Entity Inputs'!CV4-'Entity Inputs'!CW4)/1000,2)</f>
        <v>-14.54</v>
      </c>
      <c r="G146" s="7">
        <f>ROUND(('Entity Inputs'!CV5-'Entity Inputs'!CW5)/1000,2)</f>
        <v>-6.48</v>
      </c>
      <c r="H146" s="7">
        <f>ROUND(('Entity Inputs'!CV6-'Entity Inputs'!CW6)/1000,2)</f>
        <v>-5.68</v>
      </c>
      <c r="I146" s="7">
        <f>ROUND(('Entity Inputs'!CV7-'Entity Inputs'!CW7)/1000,2)</f>
        <v>-10.03</v>
      </c>
      <c r="J146" s="7">
        <f>ROUND(('Entity Inputs'!CV8-'Entity Inputs'!CW8)/1000,2)</f>
        <v>-30.97</v>
      </c>
      <c r="K146" s="7">
        <f>ROUND(('Entity Inputs'!CV9-'Entity Inputs'!CW9)/1000,2)</f>
        <v>-48.53</v>
      </c>
      <c r="L146" s="7">
        <f>ROUND(('Entity Inputs'!CV10-'Entity Inputs'!CW10)/1000,2)</f>
        <v>-6.58</v>
      </c>
      <c r="M146" s="7">
        <f>ROUND(('Entity Inputs'!CV11-'Entity Inputs'!CW11)/1000,2)</f>
        <v>-14.28</v>
      </c>
      <c r="N146" s="7">
        <f>ROUND(('Entity Inputs'!CV12-'Entity Inputs'!CW12)/1000,2)</f>
        <v>-6.33</v>
      </c>
      <c r="O146" s="7">
        <f>ROUND(('Entity Inputs'!CV13-'Entity Inputs'!CW13)/1000,2)</f>
        <v>-3.95</v>
      </c>
      <c r="P146" s="7">
        <f>ROUND(('Entity Inputs'!CV14-'Entity Inputs'!CW14)/1000,2)</f>
        <v>-7.95</v>
      </c>
      <c r="Q146" s="7">
        <f>ROUND(('Entity Inputs'!CV15-'Entity Inputs'!CW15)/1000,2)</f>
        <v>-7.65</v>
      </c>
    </row>
    <row r="147" spans="1:17">
      <c r="A147" s="6" t="s">
        <v>885</v>
      </c>
      <c r="B147" s="6" t="s">
        <v>886</v>
      </c>
      <c r="C147" s="6" t="s">
        <v>887</v>
      </c>
      <c r="D147" s="6" t="s">
        <v>888</v>
      </c>
      <c r="E147" s="6" t="s">
        <v>889</v>
      </c>
      <c r="F147" s="8" t="str">
        <f>IF('Entity Inputs'!CD4+'Entity Inputs'!CE4+'Entity Inputs'!CX4&gt;=0,"None within 90 d",ROUND(('Entity Inputs'!CD4+'Entity Inputs'!CE4+'Entity Inputs'!CX4)/1000,1))</f>
        <v>None within 90 d</v>
      </c>
      <c r="G147" s="8" t="str">
        <f>IF('Entity Inputs'!CD5+'Entity Inputs'!CE5+'Entity Inputs'!CX5&gt;=0,"None within 90 d",ROUND(('Entity Inputs'!CD5+'Entity Inputs'!CE5+'Entity Inputs'!CX5)/1000,1))</f>
        <v>None within 90 d</v>
      </c>
      <c r="H147" s="8" t="str">
        <f>IF('Entity Inputs'!CD6+'Entity Inputs'!CE6+'Entity Inputs'!CX6&gt;=0,"None within 90 d",ROUND(('Entity Inputs'!CD6+'Entity Inputs'!CE6+'Entity Inputs'!CX6)/1000,1))</f>
        <v>None within 90 d</v>
      </c>
      <c r="I147" s="8" t="str">
        <f>IF('Entity Inputs'!CD7+'Entity Inputs'!CE7+'Entity Inputs'!CX7&gt;=0,"None within 90 d",ROUND(('Entity Inputs'!CD7+'Entity Inputs'!CE7+'Entity Inputs'!CX7)/1000,1))</f>
        <v>None within 90 d</v>
      </c>
      <c r="J147" s="8" t="str">
        <f>IF('Entity Inputs'!CD8+'Entity Inputs'!CE8+'Entity Inputs'!CX8&gt;=0,"None within 90 d",ROUND(('Entity Inputs'!CD8+'Entity Inputs'!CE8+'Entity Inputs'!CX8)/1000,1))</f>
        <v>None within 90 d</v>
      </c>
      <c r="K147" s="8" t="str">
        <f>IF('Entity Inputs'!CD9+'Entity Inputs'!CE9+'Entity Inputs'!CX9&gt;=0,"None within 90 d",ROUND(('Entity Inputs'!CD9+'Entity Inputs'!CE9+'Entity Inputs'!CX9)/1000,1))</f>
        <v>None within 90 d</v>
      </c>
      <c r="L147" s="8" t="str">
        <f>IF('Entity Inputs'!CD10+'Entity Inputs'!CE10+'Entity Inputs'!CX10&gt;=0,"None within 90 d",ROUND(('Entity Inputs'!CD10+'Entity Inputs'!CE10+'Entity Inputs'!CX10)/1000,1))</f>
        <v>None within 90 d</v>
      </c>
      <c r="M147" s="8" t="str">
        <f>IF('Entity Inputs'!CD11+'Entity Inputs'!CE11+'Entity Inputs'!CX11&gt;=0,"None within 90 d",ROUND(('Entity Inputs'!CD11+'Entity Inputs'!CE11+'Entity Inputs'!CX11)/1000,1))</f>
        <v>None within 90 d</v>
      </c>
      <c r="N147" s="8" t="str">
        <f>IF('Entity Inputs'!CD12+'Entity Inputs'!CE12+'Entity Inputs'!CX12&gt;=0,"None within 90 d",ROUND(('Entity Inputs'!CD12+'Entity Inputs'!CE12+'Entity Inputs'!CX12)/1000,1))</f>
        <v>None within 90 d</v>
      </c>
      <c r="O147" s="8" t="str">
        <f>IF('Entity Inputs'!CD13+'Entity Inputs'!CE13+'Entity Inputs'!CX13&gt;=0,"None within 90 d",ROUND(('Entity Inputs'!CD13+'Entity Inputs'!CE13+'Entity Inputs'!CX13)/1000,1))</f>
        <v>None within 90 d</v>
      </c>
      <c r="P147" s="8" t="str">
        <f>IF('Entity Inputs'!CD14+'Entity Inputs'!CE14+'Entity Inputs'!CX14&gt;=0,"None within 90 d",ROUND(('Entity Inputs'!CD14+'Entity Inputs'!CE14+'Entity Inputs'!CX14)/1000,1))</f>
        <v>None within 90 d</v>
      </c>
      <c r="Q147" s="8" t="str">
        <f>IF('Entity Inputs'!CD15+'Entity Inputs'!CE15+'Entity Inputs'!CX15&gt;=0,"None within 90 d",ROUND(('Entity Inputs'!CD15+'Entity Inputs'!CE15+'Entity Inputs'!CX15)/1000,1))</f>
        <v>None within 90 d</v>
      </c>
    </row>
    <row r="148" spans="1:17">
      <c r="A148" s="6" t="s">
        <v>890</v>
      </c>
      <c r="B148" s="6" t="s">
        <v>891</v>
      </c>
      <c r="C148" s="6" t="s">
        <v>668</v>
      </c>
      <c r="D148" s="6" t="s">
        <v>892</v>
      </c>
      <c r="E148" s="6" t="s">
        <v>893</v>
      </c>
      <c r="F148" s="8" t="str">
        <f>IF('Entity Inputs'!CZ4=0,"No forecast",IF('Entity Inputs'!CY4/'Entity Inputs'!CZ4&gt;Parameters!$B$4,"Breach forecast","Not forecast"))</f>
        <v>Not forecast</v>
      </c>
      <c r="G148" s="8" t="str">
        <f>IF('Entity Inputs'!CZ5=0,"No forecast",IF('Entity Inputs'!CY5/'Entity Inputs'!CZ5&gt;Parameters!$B$4,"Breach forecast","Not forecast"))</f>
        <v>Breach forecast</v>
      </c>
      <c r="H148" s="8" t="str">
        <f>IF('Entity Inputs'!CZ6=0,"No forecast",IF('Entity Inputs'!CY6/'Entity Inputs'!CZ6&gt;Parameters!$B$4,"Breach forecast","Not forecast"))</f>
        <v>Not forecast</v>
      </c>
      <c r="I148" s="8" t="str">
        <f>IF('Entity Inputs'!CZ7=0,"No forecast",IF('Entity Inputs'!CY7/'Entity Inputs'!CZ7&gt;Parameters!$B$4,"Breach forecast","Not forecast"))</f>
        <v>Not forecast</v>
      </c>
      <c r="J148" s="8" t="str">
        <f>IF('Entity Inputs'!CZ8=0,"No forecast",IF('Entity Inputs'!CY8/'Entity Inputs'!CZ8&gt;Parameters!$B$4,"Breach forecast","Not forecast"))</f>
        <v>Not forecast</v>
      </c>
      <c r="K148" s="8" t="str">
        <f>IF('Entity Inputs'!CZ9=0,"No forecast",IF('Entity Inputs'!CY9/'Entity Inputs'!CZ9&gt;Parameters!$B$4,"Breach forecast","Not forecast"))</f>
        <v>Not forecast</v>
      </c>
      <c r="L148" s="8" t="str">
        <f>IF('Entity Inputs'!CZ10=0,"No forecast",IF('Entity Inputs'!CY10/'Entity Inputs'!CZ10&gt;Parameters!$B$4,"Breach forecast","Not forecast"))</f>
        <v>Not forecast</v>
      </c>
      <c r="M148" s="8" t="str">
        <f>IF('Entity Inputs'!CZ11=0,"No forecast",IF('Entity Inputs'!CY11/'Entity Inputs'!CZ11&gt;Parameters!$B$4,"Breach forecast","Not forecast"))</f>
        <v>Not forecast</v>
      </c>
      <c r="N148" s="8" t="str">
        <f>IF('Entity Inputs'!CZ12=0,"No forecast",IF('Entity Inputs'!CY12/'Entity Inputs'!CZ12&gt;Parameters!$B$4,"Breach forecast","Not forecast"))</f>
        <v>Not forecast</v>
      </c>
      <c r="O148" s="8" t="str">
        <f>IF('Entity Inputs'!CZ13=0,"No forecast",IF('Entity Inputs'!CY13/'Entity Inputs'!CZ13&gt;Parameters!$B$4,"Breach forecast","Not forecast"))</f>
        <v>Not forecast</v>
      </c>
      <c r="P148" s="8" t="str">
        <f>IF('Entity Inputs'!CZ14=0,"No forecast",IF('Entity Inputs'!CY14/'Entity Inputs'!CZ14&gt;Parameters!$B$4,"Breach forecast","Not forecast"))</f>
        <v>Not forecast</v>
      </c>
      <c r="Q148" s="8" t="str">
        <f>IF('Entity Inputs'!CZ15=0,"No forecast",IF('Entity Inputs'!CY15/'Entity Inputs'!CZ15&gt;Parameters!$B$4,"Breach forecast","Not forecast"))</f>
        <v>Not forecast</v>
      </c>
    </row>
    <row r="149" spans="1:17">
      <c r="A149" s="6" t="s">
        <v>894</v>
      </c>
      <c r="B149" s="6" t="s">
        <v>895</v>
      </c>
      <c r="C149" s="6" t="s">
        <v>896</v>
      </c>
      <c r="D149" s="6" t="s">
        <v>880</v>
      </c>
      <c r="E149" s="6" t="s">
        <v>897</v>
      </c>
      <c r="F149" s="7">
        <f>ROUND('Entity Inputs'!BY4/1000,2)</f>
        <v>11.72</v>
      </c>
      <c r="G149" s="7">
        <f>ROUND('Entity Inputs'!BY5/1000,2)</f>
        <v>15.57</v>
      </c>
      <c r="H149" s="7">
        <f>ROUND('Entity Inputs'!BY6/1000,2)</f>
        <v>15.62</v>
      </c>
      <c r="I149" s="7">
        <f>ROUND('Entity Inputs'!BY7/1000,2)</f>
        <v>23.73</v>
      </c>
      <c r="J149" s="7">
        <f>ROUND('Entity Inputs'!BY8/1000,2)</f>
        <v>16.57</v>
      </c>
      <c r="K149" s="7">
        <f>ROUND('Entity Inputs'!BY9/1000,2)</f>
        <v>22.3</v>
      </c>
      <c r="L149" s="7">
        <f>ROUND('Entity Inputs'!BY10/1000,2)</f>
        <v>7.49</v>
      </c>
      <c r="M149" s="7">
        <f>ROUND('Entity Inputs'!BY11/1000,2)</f>
        <v>12.45</v>
      </c>
      <c r="N149" s="7">
        <f>ROUND('Entity Inputs'!BY12/1000,2)</f>
        <v>7.66</v>
      </c>
      <c r="O149" s="7">
        <f>ROUND('Entity Inputs'!BY13/1000,2)</f>
        <v>9.04</v>
      </c>
      <c r="P149" s="7">
        <f>ROUND('Entity Inputs'!BY14/1000,2)</f>
        <v>11.77</v>
      </c>
      <c r="Q149" s="7">
        <f>ROUND('Entity Inputs'!BY15/1000,2)</f>
        <v>5.71</v>
      </c>
    </row>
    <row r="150" spans="1:17">
      <c r="A150" s="6" t="s">
        <v>898</v>
      </c>
      <c r="B150" s="6" t="s">
        <v>899</v>
      </c>
      <c r="C150" s="6" t="s">
        <v>455</v>
      </c>
      <c r="D150" s="6" t="s">
        <v>880</v>
      </c>
      <c r="E150" s="6" t="s">
        <v>900</v>
      </c>
      <c r="F150" s="7">
        <f>ROUND(100*NORM.DIST(0.78*'Entity Inputs'!BX4,'Entity Inputs'!BV4,SQRT('Entity Inputs'!BW4),TRUE),2)</f>
        <v>0.38</v>
      </c>
      <c r="G150" s="7">
        <f>ROUND(100*NORM.DIST(0.78*'Entity Inputs'!BX5,'Entity Inputs'!BV5,SQRT('Entity Inputs'!BW5),TRUE),2)</f>
        <v>0.02</v>
      </c>
      <c r="H150" s="7">
        <f>ROUND(100*NORM.DIST(0.78*'Entity Inputs'!BX6,'Entity Inputs'!BV6,SQRT('Entity Inputs'!BW6),TRUE),2)</f>
        <v>0.26</v>
      </c>
      <c r="I150" s="7">
        <f>ROUND(100*NORM.DIST(0.78*'Entity Inputs'!BX7,'Entity Inputs'!BV7,SQRT('Entity Inputs'!BW7),TRUE),2)</f>
        <v>1.6</v>
      </c>
      <c r="J150" s="7">
        <f>ROUND(100*NORM.DIST(0.78*'Entity Inputs'!BX8,'Entity Inputs'!BV8,SQRT('Entity Inputs'!BW8),TRUE),2)</f>
        <v>0.07</v>
      </c>
      <c r="K150" s="7">
        <f>ROUND(100*NORM.DIST(0.78*'Entity Inputs'!BX9,'Entity Inputs'!BV9,SQRT('Entity Inputs'!BW9),TRUE),2)</f>
        <v>0.59</v>
      </c>
      <c r="L150" s="7">
        <f>ROUND(100*NORM.DIST(0.78*'Entity Inputs'!BX10,'Entity Inputs'!BV10,SQRT('Entity Inputs'!BW10),TRUE),2)</f>
        <v>0.01</v>
      </c>
      <c r="M150" s="7">
        <f>ROUND(100*NORM.DIST(0.78*'Entity Inputs'!BX11,'Entity Inputs'!BV11,SQRT('Entity Inputs'!BW11),TRUE),2)</f>
        <v>0.03</v>
      </c>
      <c r="N150" s="7">
        <f>ROUND(100*NORM.DIST(0.78*'Entity Inputs'!BX12,'Entity Inputs'!BV12,SQRT('Entity Inputs'!BW12),TRUE),2)</f>
        <v>0.0</v>
      </c>
      <c r="O150" s="7">
        <f>ROUND(100*NORM.DIST(0.78*'Entity Inputs'!BX13,'Entity Inputs'!BV13,SQRT('Entity Inputs'!BW13),TRUE),2)</f>
        <v>0.0</v>
      </c>
      <c r="P150" s="7">
        <f>ROUND(100*NORM.DIST(0.78*'Entity Inputs'!BX14,'Entity Inputs'!BV14,SQRT('Entity Inputs'!BW14),TRUE),2)</f>
        <v>0.02</v>
      </c>
      <c r="Q150" s="7">
        <f>ROUND(100*NORM.DIST(0.78*'Entity Inputs'!BX15,'Entity Inputs'!BV15,SQRT('Entity Inputs'!BW15),TRUE),2)</f>
        <v>0.01</v>
      </c>
    </row>
    <row r="151" spans="1:17">
      <c r="A151" s="6" t="s">
        <v>901</v>
      </c>
      <c r="B151" s="6" t="s">
        <v>902</v>
      </c>
      <c r="C151" s="6" t="s">
        <v>560</v>
      </c>
      <c r="D151" s="6" t="s">
        <v>561</v>
      </c>
      <c r="E151" s="6" t="s">
        <v>903</v>
      </c>
      <c r="F151" s="7">
        <f>ROUND(SUM('Entity Inputs'!Y$4:Y4)/1000,2)</f>
        <v>3.58</v>
      </c>
      <c r="G151" s="7">
        <f>ROUND(SUM('Entity Inputs'!Y$4:Y5)/1000,2)</f>
        <v>7.35</v>
      </c>
      <c r="H151" s="7">
        <f>ROUND(SUM('Entity Inputs'!Y$4:Y6)/1000,2)</f>
        <v>10.5</v>
      </c>
      <c r="I151" s="7">
        <f>ROUND(SUM('Entity Inputs'!Y$4:Y7)/1000,2)</f>
        <v>13.99</v>
      </c>
      <c r="J151" s="7">
        <f>ROUND(SUM('Entity Inputs'!Y$4:Y8)/1000,2)</f>
        <v>17.67</v>
      </c>
      <c r="K151" s="7">
        <f>ROUND(SUM('Entity Inputs'!Y$4:Y9)/1000,2)</f>
        <v>21.44</v>
      </c>
      <c r="L151" s="7">
        <f>ROUND(SUM('Entity Inputs'!Y$10:Y10)/1000,2)</f>
        <v>3.42</v>
      </c>
      <c r="M151" s="7">
        <f>ROUND(SUM('Entity Inputs'!Y$10:Y11)/1000,2)</f>
        <v>7.86</v>
      </c>
      <c r="N151" s="7">
        <f>ROUND(SUM('Entity Inputs'!Y$10:Y12)/1000,2)</f>
        <v>11.18</v>
      </c>
      <c r="O151" s="7">
        <f>ROUND(SUM('Entity Inputs'!Y$10:Y13)/1000,2)</f>
        <v>15.0</v>
      </c>
      <c r="P151" s="7">
        <f>ROUND(SUM('Entity Inputs'!Y$10:Y14)/1000,2)</f>
        <v>19.19</v>
      </c>
      <c r="Q151" s="7">
        <f>ROUND(SUM('Entity Inputs'!Y$10:Y15)/1000,2)</f>
        <v>23.14</v>
      </c>
    </row>
    <row r="152" spans="1:17">
      <c r="A152" s="6" t="s">
        <v>904</v>
      </c>
      <c r="B152" s="6" t="s">
        <v>905</v>
      </c>
      <c r="C152" s="6" t="s">
        <v>560</v>
      </c>
      <c r="D152" s="6" t="s">
        <v>876</v>
      </c>
      <c r="E152" s="6" t="s">
        <v>906</v>
      </c>
      <c r="F152" s="7">
        <f>ROUND(('Entity Inputs'!CV4-'Entity Inputs'!CW4)*(1-Parameters!$B$2)/1000,2)</f>
        <v>-10.9</v>
      </c>
      <c r="G152" s="7">
        <f>ROUND(('Entity Inputs'!CV5-'Entity Inputs'!CW5)*(1-Parameters!$B$2)/1000,2)</f>
        <v>-4.86</v>
      </c>
      <c r="H152" s="7">
        <f>ROUND(('Entity Inputs'!CV6-'Entity Inputs'!CW6)*(1-Parameters!$B$2)/1000,2)</f>
        <v>-4.26</v>
      </c>
      <c r="I152" s="7">
        <f>ROUND(('Entity Inputs'!CV7-'Entity Inputs'!CW7)*(1-Parameters!$B$2)/1000,2)</f>
        <v>-7.53</v>
      </c>
      <c r="J152" s="7">
        <f>ROUND(('Entity Inputs'!CV8-'Entity Inputs'!CW8)*(1-Parameters!$B$2)/1000,2)</f>
        <v>-23.22</v>
      </c>
      <c r="K152" s="7">
        <f>ROUND(('Entity Inputs'!CV9-'Entity Inputs'!CW9)*(1-Parameters!$B$2)/1000,2)</f>
        <v>-36.4</v>
      </c>
      <c r="L152" s="7">
        <f>ROUND(('Entity Inputs'!CV10-'Entity Inputs'!CW10)*(1-Parameters!$B$2)/1000,2)</f>
        <v>-4.94</v>
      </c>
      <c r="M152" s="7">
        <f>ROUND(('Entity Inputs'!CV11-'Entity Inputs'!CW11)*(1-Parameters!$B$2)/1000,2)</f>
        <v>-10.71</v>
      </c>
      <c r="N152" s="7">
        <f>ROUND(('Entity Inputs'!CV12-'Entity Inputs'!CW12)*(1-Parameters!$B$2)/1000,2)</f>
        <v>-4.75</v>
      </c>
      <c r="O152" s="7">
        <f>ROUND(('Entity Inputs'!CV13-'Entity Inputs'!CW13)*(1-Parameters!$B$2)/1000,2)</f>
        <v>-2.96</v>
      </c>
      <c r="P152" s="7">
        <f>ROUND(('Entity Inputs'!CV14-'Entity Inputs'!CW14)*(1-Parameters!$B$2)/1000,2)</f>
        <v>-5.96</v>
      </c>
      <c r="Q152" s="7">
        <f>ROUND(('Entity Inputs'!CV15-'Entity Inputs'!CW15)*(1-Parameters!$B$2)/1000,2)</f>
        <v>-5.74</v>
      </c>
    </row>
    <row r="153" spans="1:17">
      <c r="A153" s="6" t="s">
        <v>907</v>
      </c>
      <c r="B153" s="6" t="s">
        <v>908</v>
      </c>
      <c r="C153" s="6" t="s">
        <v>455</v>
      </c>
      <c r="D153" s="6" t="s">
        <v>876</v>
      </c>
      <c r="E153" s="6" t="s">
        <v>909</v>
      </c>
      <c r="F153" s="7">
        <f>ROUND(IF('Entity Inputs'!CB4=0,0,100*(SUM('Entity Inputs'!GA$4:GA4)+'Entity Inputs'!CV4-'Entity Inputs'!AY4*(12-'Entity Inputs'!E4))/'Entity Inputs'!CB4),2)</f>
        <v>5.6</v>
      </c>
      <c r="G153" s="7">
        <f>ROUND(IF('Entity Inputs'!CB5=0,0,100*(SUM('Entity Inputs'!GA$4:GA5)+'Entity Inputs'!CV5-'Entity Inputs'!AY5*(12-'Entity Inputs'!E5))/'Entity Inputs'!CB5),2)</f>
        <v>0.78</v>
      </c>
      <c r="H153" s="7">
        <f>ROUND(IF('Entity Inputs'!CB6=0,0,100*(SUM('Entity Inputs'!GA$4:GA6)+'Entity Inputs'!CV6-'Entity Inputs'!AY6*(12-'Entity Inputs'!E6))/'Entity Inputs'!CB6),2)</f>
        <v>5.64</v>
      </c>
      <c r="I153" s="7">
        <f>ROUND(IF('Entity Inputs'!CB7=0,0,100*(SUM('Entity Inputs'!GA$4:GA7)+'Entity Inputs'!CV7-'Entity Inputs'!AY7*(12-'Entity Inputs'!E7))/'Entity Inputs'!CB7),2)</f>
        <v>9.62</v>
      </c>
      <c r="J153" s="7">
        <f>ROUND(IF('Entity Inputs'!CB8=0,0,100*(SUM('Entity Inputs'!GA$4:GA8)+'Entity Inputs'!CV8-'Entity Inputs'!AY8*(12-'Entity Inputs'!E8))/'Entity Inputs'!CB8),2)</f>
        <v>8.59</v>
      </c>
      <c r="K153" s="7">
        <f>ROUND(IF('Entity Inputs'!CB9=0,0,100*(SUM('Entity Inputs'!GA$4:GA9)+'Entity Inputs'!CV9-'Entity Inputs'!AY9*(12-'Entity Inputs'!E9))/'Entity Inputs'!CB9),2)</f>
        <v>13.51</v>
      </c>
      <c r="L153" s="7">
        <f>ROUND(IF('Entity Inputs'!CB10=0,0,100*(SUM('Entity Inputs'!GA$10:GA10)+'Entity Inputs'!CV10-'Entity Inputs'!AY10*(12-'Entity Inputs'!E10))/'Entity Inputs'!CB10),2)</f>
        <v>5.67</v>
      </c>
      <c r="M153" s="7">
        <f>ROUND(IF('Entity Inputs'!CB11=0,0,100*(SUM('Entity Inputs'!GA$10:GA11)+'Entity Inputs'!CV11-'Entity Inputs'!AY11*(12-'Entity Inputs'!E11))/'Entity Inputs'!CB11),2)</f>
        <v>9.3</v>
      </c>
      <c r="N153" s="7">
        <f>ROUND(IF('Entity Inputs'!CB12=0,0,100*(SUM('Entity Inputs'!GA$10:GA12)+'Entity Inputs'!CV12-'Entity Inputs'!AY12*(12-'Entity Inputs'!E12))/'Entity Inputs'!CB12),2)</f>
        <v>5.79</v>
      </c>
      <c r="O153" s="7">
        <f>ROUND(IF('Entity Inputs'!CB13=0,0,100*(SUM('Entity Inputs'!GA$10:GA13)+'Entity Inputs'!CV13-'Entity Inputs'!AY13*(12-'Entity Inputs'!E13))/'Entity Inputs'!CB13),2)</f>
        <v>7.71</v>
      </c>
      <c r="P153" s="7">
        <f>ROUND(IF('Entity Inputs'!CB14=0,0,100*(SUM('Entity Inputs'!GA$10:GA14)+'Entity Inputs'!CV14-'Entity Inputs'!AY14*(12-'Entity Inputs'!E14))/'Entity Inputs'!CB14),2)</f>
        <v>8.08</v>
      </c>
      <c r="Q153" s="7">
        <f>ROUND(IF('Entity Inputs'!CB15=0,0,100*(SUM('Entity Inputs'!GA$10:GA15)+'Entity Inputs'!CV15-'Entity Inputs'!AY15*(12-'Entity Inputs'!E15))/'Entity Inputs'!CB15),2)</f>
        <v>15.07</v>
      </c>
    </row>
    <row r="154" spans="1:17">
      <c r="A154" s="6" t="s">
        <v>910</v>
      </c>
      <c r="B154" s="6" t="s">
        <v>911</v>
      </c>
      <c r="C154" s="6" t="s">
        <v>560</v>
      </c>
      <c r="D154" s="6" t="s">
        <v>561</v>
      </c>
      <c r="E154" s="6" t="s">
        <v>912</v>
      </c>
      <c r="F154" s="7">
        <f>ROUND(IF(SUM('Entity Inputs'!AE$4:AE4)=0,0,SUM('Entity Inputs'!AV$4:AV4)/1000/(SUM('Entity Inputs'!AE$4:AE4)/(Parameters!$B$8*'Entity Inputs'!E4/12))),2)</f>
        <v>0.9</v>
      </c>
      <c r="G154" s="7">
        <f>ROUND(IF(SUM('Entity Inputs'!AE$4:AE5)=0,0,SUM('Entity Inputs'!AV$4:AV5)/1000/(SUM('Entity Inputs'!AE$4:AE5)/(Parameters!$B$8*'Entity Inputs'!E5/12))),2)</f>
        <v>1.79</v>
      </c>
      <c r="H154" s="7">
        <f>ROUND(IF(SUM('Entity Inputs'!AE$4:AE6)=0,0,SUM('Entity Inputs'!AV$4:AV6)/1000/(SUM('Entity Inputs'!AE$4:AE6)/(Parameters!$B$8*'Entity Inputs'!E6/12))),2)</f>
        <v>2.62</v>
      </c>
      <c r="I154" s="7">
        <f>ROUND(IF(SUM('Entity Inputs'!AE$4:AE7)=0,0,SUM('Entity Inputs'!AV$4:AV7)/1000/(SUM('Entity Inputs'!AE$4:AE7)/(Parameters!$B$8*'Entity Inputs'!E7/12))),2)</f>
        <v>3.48</v>
      </c>
      <c r="J154" s="7">
        <f>ROUND(IF(SUM('Entity Inputs'!AE$4:AE8)=0,0,SUM('Entity Inputs'!AV$4:AV8)/1000/(SUM('Entity Inputs'!AE$4:AE8)/(Parameters!$B$8*'Entity Inputs'!E8/12))),2)</f>
        <v>4.48</v>
      </c>
      <c r="K154" s="7">
        <f>ROUND(IF(SUM('Entity Inputs'!AE$4:AE9)=0,0,SUM('Entity Inputs'!AV$4:AV9)/1000/(SUM('Entity Inputs'!AE$4:AE9)/(Parameters!$B$8*'Entity Inputs'!E9/12))),2)</f>
        <v>5.36</v>
      </c>
      <c r="L154" s="7">
        <f>ROUND(IF(SUM('Entity Inputs'!AE$10:AE10)=0,0,SUM('Entity Inputs'!AV$10:AV10)/1000/(SUM('Entity Inputs'!AE$10:AE10)/(Parameters!$B$8*'Entity Inputs'!E10/12))),2)</f>
        <v>0.81</v>
      </c>
      <c r="M154" s="7">
        <f>ROUND(IF(SUM('Entity Inputs'!AE$10:AE11)=0,0,SUM('Entity Inputs'!AV$10:AV11)/1000/(SUM('Entity Inputs'!AE$10:AE11)/(Parameters!$B$8*'Entity Inputs'!E11/12))),2)</f>
        <v>1.65</v>
      </c>
      <c r="N154" s="7">
        <f>ROUND(IF(SUM('Entity Inputs'!AE$10:AE12)=0,0,SUM('Entity Inputs'!AV$10:AV12)/1000/(SUM('Entity Inputs'!AE$10:AE12)/(Parameters!$B$8*'Entity Inputs'!E12/12))),2)</f>
        <v>2.5</v>
      </c>
      <c r="O154" s="7">
        <f>ROUND(IF(SUM('Entity Inputs'!AE$10:AE13)=0,0,SUM('Entity Inputs'!AV$10:AV13)/1000/(SUM('Entity Inputs'!AE$10:AE13)/(Parameters!$B$8*'Entity Inputs'!E13/12))),2)</f>
        <v>3.43</v>
      </c>
      <c r="P154" s="7">
        <f>ROUND(IF(SUM('Entity Inputs'!AE$10:AE14)=0,0,SUM('Entity Inputs'!AV$10:AV14)/1000/(SUM('Entity Inputs'!AE$10:AE14)/(Parameters!$B$8*'Entity Inputs'!E14/12))),2)</f>
        <v>4.37</v>
      </c>
      <c r="Q154" s="7">
        <f>ROUND(IF(SUM('Entity Inputs'!AE$10:AE15)=0,0,SUM('Entity Inputs'!AV$10:AV15)/1000/(SUM('Entity Inputs'!AE$10:AE15)/(Parameters!$B$8*'Entity Inputs'!E15/12))),2)</f>
        <v>5.32</v>
      </c>
    </row>
    <row r="155" spans="1:17">
      <c r="A155" s="6" t="s">
        <v>913</v>
      </c>
      <c r="B155" s="6" t="s">
        <v>914</v>
      </c>
      <c r="C155" s="6" t="s">
        <v>483</v>
      </c>
      <c r="D155" s="6" t="s">
        <v>561</v>
      </c>
      <c r="E155" s="6" t="s">
        <v>915</v>
      </c>
      <c r="F155" s="7">
        <f>ROUND(IF(SUM('Entity Inputs'!AE$4:AE4)=0,0,SUM('Entity Inputs'!N$4:N4)/(SUM('Entity Inputs'!AE$4:AE4)/(Parameters!$B$8*'Entity Inputs'!E4/12))),2)</f>
        <v>242.2</v>
      </c>
      <c r="G155" s="7">
        <f>ROUND(IF(SUM('Entity Inputs'!AE$4:AE5)=0,0,SUM('Entity Inputs'!N$4:N5)/(SUM('Entity Inputs'!AE$4:AE5)/(Parameters!$B$8*'Entity Inputs'!E5/12))),2)</f>
        <v>480.4</v>
      </c>
      <c r="H155" s="7">
        <f>ROUND(IF(SUM('Entity Inputs'!AE$4:AE6)=0,0,SUM('Entity Inputs'!N$4:N6)/(SUM('Entity Inputs'!AE$4:AE6)/(Parameters!$B$8*'Entity Inputs'!E6/12))),2)</f>
        <v>703.76</v>
      </c>
      <c r="I155" s="7">
        <f>ROUND(IF(SUM('Entity Inputs'!AE$4:AE7)=0,0,SUM('Entity Inputs'!N$4:N7)/(SUM('Entity Inputs'!AE$4:AE7)/(Parameters!$B$8*'Entity Inputs'!E7/12))),2)</f>
        <v>935.01</v>
      </c>
      <c r="J155" s="7">
        <f>ROUND(IF(SUM('Entity Inputs'!AE$4:AE8)=0,0,SUM('Entity Inputs'!N$4:N8)/(SUM('Entity Inputs'!AE$4:AE8)/(Parameters!$B$8*'Entity Inputs'!E8/12))),2)</f>
        <v>1201.03</v>
      </c>
      <c r="K155" s="7">
        <f>ROUND(IF(SUM('Entity Inputs'!AE$4:AE9)=0,0,SUM('Entity Inputs'!N$4:N9)/(SUM('Entity Inputs'!AE$4:AE9)/(Parameters!$B$8*'Entity Inputs'!E9/12))),2)</f>
        <v>1442.13</v>
      </c>
      <c r="L155" s="7">
        <f>ROUND(IF(SUM('Entity Inputs'!AE$10:AE10)=0,0,SUM('Entity Inputs'!N$10:N10)/(SUM('Entity Inputs'!AE$10:AE10)/(Parameters!$B$8*'Entity Inputs'!E10/12))),2)</f>
        <v>216.03</v>
      </c>
      <c r="M155" s="7">
        <f>ROUND(IF(SUM('Entity Inputs'!AE$10:AE11)=0,0,SUM('Entity Inputs'!N$10:N11)/(SUM('Entity Inputs'!AE$10:AE11)/(Parameters!$B$8*'Entity Inputs'!E11/12))),2)</f>
        <v>438.71</v>
      </c>
      <c r="N155" s="7">
        <f>ROUND(IF(SUM('Entity Inputs'!AE$10:AE12)=0,0,SUM('Entity Inputs'!N$10:N12)/(SUM('Entity Inputs'!AE$10:AE12)/(Parameters!$B$8*'Entity Inputs'!E12/12))),2)</f>
        <v>664.81</v>
      </c>
      <c r="O155" s="7">
        <f>ROUND(IF(SUM('Entity Inputs'!AE$10:AE13)=0,0,SUM('Entity Inputs'!N$10:N13)/(SUM('Entity Inputs'!AE$10:AE13)/(Parameters!$B$8*'Entity Inputs'!E13/12))),2)</f>
        <v>910.84</v>
      </c>
      <c r="P155" s="7">
        <f>ROUND(IF(SUM('Entity Inputs'!AE$10:AE14)=0,0,SUM('Entity Inputs'!N$10:N14)/(SUM('Entity Inputs'!AE$10:AE14)/(Parameters!$B$8*'Entity Inputs'!E14/12))),2)</f>
        <v>1163.32</v>
      </c>
      <c r="Q155" s="7">
        <f>ROUND(IF(SUM('Entity Inputs'!AE$10:AE15)=0,0,SUM('Entity Inputs'!N$10:N15)/(SUM('Entity Inputs'!AE$10:AE15)/(Parameters!$B$8*'Entity Inputs'!E15/12))),2)</f>
        <v>1412.54</v>
      </c>
    </row>
    <row r="156" spans="1:17">
      <c r="A156" s="6" t="s">
        <v>916</v>
      </c>
      <c r="B156" s="6" t="s">
        <v>917</v>
      </c>
      <c r="C156" s="6" t="s">
        <v>455</v>
      </c>
      <c r="D156" s="6" t="s">
        <v>876</v>
      </c>
      <c r="E156" s="6" t="s">
        <v>918</v>
      </c>
      <c r="F156" s="7">
        <f>ROUND(IF('Entity Inputs'!CV4=0,0,100*NORM.DIST('Entity Inputs'!CW4,'Entity Inputs'!CV4,Parameters!$B$9*'Entity Inputs'!CV4,TRUE)),2)</f>
        <v>64.22</v>
      </c>
      <c r="G156" s="7">
        <f>ROUND(IF('Entity Inputs'!CV5=0,0,100*NORM.DIST('Entity Inputs'!CW5,'Entity Inputs'!CV5,Parameters!$B$9*'Entity Inputs'!CV5,TRUE)),2)</f>
        <v>65.6</v>
      </c>
      <c r="H156" s="7">
        <f>ROUND(IF('Entity Inputs'!CV6=0,0,100*NORM.DIST('Entity Inputs'!CW6,'Entity Inputs'!CV6,Parameters!$B$9*'Entity Inputs'!CV6,TRUE)),2)</f>
        <v>57.01</v>
      </c>
      <c r="I156" s="7">
        <f>ROUND(IF('Entity Inputs'!CV7=0,0,100*NORM.DIST('Entity Inputs'!CW7,'Entity Inputs'!CV7,Parameters!$B$9*'Entity Inputs'!CV7,TRUE)),2)</f>
        <v>59.31</v>
      </c>
      <c r="J156" s="7">
        <f>ROUND(IF('Entity Inputs'!CV8=0,0,100*NORM.DIST('Entity Inputs'!CW8,'Entity Inputs'!CV8,Parameters!$B$9*'Entity Inputs'!CV8,TRUE)),2)</f>
        <v>82.92</v>
      </c>
      <c r="K156" s="7">
        <f>ROUND(IF('Entity Inputs'!CV9=0,0,100*NORM.DIST('Entity Inputs'!CW9,'Entity Inputs'!CV9,Parameters!$B$9*'Entity Inputs'!CV9,TRUE)),2)</f>
        <v>85.18</v>
      </c>
      <c r="L156" s="7">
        <f>ROUND(IF('Entity Inputs'!CV10=0,0,100*NORM.DIST('Entity Inputs'!CW10,'Entity Inputs'!CV10,Parameters!$B$9*'Entity Inputs'!CV10,TRUE)),2)</f>
        <v>57.07</v>
      </c>
      <c r="M156" s="7">
        <f>ROUND(IF('Entity Inputs'!CV11=0,0,100*NORM.DIST('Entity Inputs'!CW11,'Entity Inputs'!CV11,Parameters!$B$9*'Entity Inputs'!CV11,TRUE)),2)</f>
        <v>62.75</v>
      </c>
      <c r="N156" s="7">
        <f>ROUND(IF('Entity Inputs'!CV12=0,0,100*NORM.DIST('Entity Inputs'!CW12,'Entity Inputs'!CV12,Parameters!$B$9*'Entity Inputs'!CV12,TRUE)),2)</f>
        <v>59.76</v>
      </c>
      <c r="O156" s="7">
        <f>ROUND(IF('Entity Inputs'!CV13=0,0,100*NORM.DIST('Entity Inputs'!CW13,'Entity Inputs'!CV13,Parameters!$B$9*'Entity Inputs'!CV13,TRUE)),2)</f>
        <v>55.49</v>
      </c>
      <c r="P156" s="7">
        <f>ROUND(IF('Entity Inputs'!CV14=0,0,100*NORM.DIST('Entity Inputs'!CW14,'Entity Inputs'!CV14,Parameters!$B$9*'Entity Inputs'!CV14,TRUE)),2)</f>
        <v>62.1</v>
      </c>
      <c r="Q156" s="7">
        <f>ROUND(IF('Entity Inputs'!CV15=0,0,100*NORM.DIST('Entity Inputs'!CW15,'Entity Inputs'!CV15,Parameters!$B$9*'Entity Inputs'!CV15,TRUE)),2)</f>
        <v>56.48</v>
      </c>
    </row>
    <row r="157" spans="1:17">
      <c r="A157" s="6" t="s">
        <v>919</v>
      </c>
      <c r="B157" s="6" t="s">
        <v>920</v>
      </c>
      <c r="C157" s="6" t="s">
        <v>668</v>
      </c>
      <c r="D157" s="6" t="s">
        <v>577</v>
      </c>
      <c r="E157" s="6" t="s">
        <v>921</v>
      </c>
      <c r="F157" s="8" t="str">
        <f>IF('Entity Inputs'!FW4&gt;=999,"No clock running",'Entity Inputs'!FW4&amp;" h remaining")</f>
        <v>No clock running</v>
      </c>
      <c r="G157" s="8" t="str">
        <f>IF('Entity Inputs'!FW5&gt;=999,"No clock running",'Entity Inputs'!FW5&amp;" h remaining")</f>
        <v>No clock running</v>
      </c>
      <c r="H157" s="8" t="str">
        <f>IF('Entity Inputs'!FW6&gt;=999,"No clock running",'Entity Inputs'!FW6&amp;" h remaining")</f>
        <v>No clock running</v>
      </c>
      <c r="I157" s="8" t="str">
        <f>IF('Entity Inputs'!FW7&gt;=999,"No clock running",'Entity Inputs'!FW7&amp;" h remaining")</f>
        <v>No clock running</v>
      </c>
      <c r="J157" s="8" t="str">
        <f>IF('Entity Inputs'!FW8&gt;=999,"No clock running",'Entity Inputs'!FW8&amp;" h remaining")</f>
        <v>No clock running</v>
      </c>
      <c r="K157" s="8" t="str">
        <f>IF('Entity Inputs'!FW9&gt;=999,"No clock running",'Entity Inputs'!FW9&amp;" h remaining")</f>
        <v>38 h remaining</v>
      </c>
      <c r="L157" s="8" t="str">
        <f>IF('Entity Inputs'!FW10&gt;=999,"No clock running",'Entity Inputs'!FW10&amp;" h remaining")</f>
        <v>No clock running</v>
      </c>
      <c r="M157" s="8" t="str">
        <f>IF('Entity Inputs'!FW11&gt;=999,"No clock running",'Entity Inputs'!FW11&amp;" h remaining")</f>
        <v>No clock running</v>
      </c>
      <c r="N157" s="8" t="str">
        <f>IF('Entity Inputs'!FW12&gt;=999,"No clock running",'Entity Inputs'!FW12&amp;" h remaining")</f>
        <v>No clock running</v>
      </c>
      <c r="O157" s="8" t="str">
        <f>IF('Entity Inputs'!FW13&gt;=999,"No clock running",'Entity Inputs'!FW13&amp;" h remaining")</f>
        <v>No clock running</v>
      </c>
      <c r="P157" s="8" t="str">
        <f>IF('Entity Inputs'!FW14&gt;=999,"No clock running",'Entity Inputs'!FW14&amp;" h remaining")</f>
        <v>No clock running</v>
      </c>
      <c r="Q157" s="8" t="str">
        <f>IF('Entity Inputs'!FW15&gt;=999,"No clock running",'Entity Inputs'!FW15&amp;" h remaining")</f>
        <v>No clock running</v>
      </c>
    </row>
    <row r="158" spans="1:17">
      <c r="A158" s="6" t="s">
        <v>922</v>
      </c>
      <c r="B158" s="6" t="s">
        <v>923</v>
      </c>
      <c r="C158" s="6" t="s">
        <v>668</v>
      </c>
      <c r="D158" s="6" t="s">
        <v>25</v>
      </c>
      <c r="E158" s="6" t="s">
        <v>924</v>
      </c>
      <c r="F158" s="8" t="str">
        <f>IF(ABS(100*'Entity Inputs'!N4/'Entity Inputs'!O4-100*'Entity Inputs'!N4/'Entity Inputs'!O4)&lt;1,"Stable",IF(100*'Entity Inputs'!N4/'Entity Inputs'!O4&gt;100*'Entity Inputs'!N4/'Entity Inputs'!O4,"Improving","Deteriorating"))&amp;" ("&amp;ROUND(100*'Entity Inputs'!N4/'Entity Inputs'!O4-100*'Entity Inputs'!N4/'Entity Inputs'!O4,1)&amp;" pts vs last month)"</f>
        <v>Stable (0 pts vs last month)</v>
      </c>
      <c r="G158" s="8" t="str">
        <f>IF(ABS(100*'Entity Inputs'!N5/'Entity Inputs'!O5-100*'Entity Inputs'!N4/'Entity Inputs'!O4)&lt;1,"Stable",IF(100*'Entity Inputs'!N5/'Entity Inputs'!O5&gt;100*'Entity Inputs'!N4/'Entity Inputs'!O4,"Improving","Deteriorating"))&amp;" ("&amp;ROUND(100*'Entity Inputs'!N5/'Entity Inputs'!O5-100*'Entity Inputs'!N4/'Entity Inputs'!O4,1)&amp;" pts vs last month)"</f>
        <v>Improving (2.2 pts vs last month)</v>
      </c>
      <c r="H158" s="8" t="str">
        <f>IF(ABS(100*'Entity Inputs'!N6/'Entity Inputs'!O6-100*'Entity Inputs'!N5/'Entity Inputs'!O5)&lt;1,"Stable",IF(100*'Entity Inputs'!N6/'Entity Inputs'!O6&gt;100*'Entity Inputs'!N5/'Entity Inputs'!O5,"Improving","Deteriorating"))&amp;" ("&amp;ROUND(100*'Entity Inputs'!N6/'Entity Inputs'!O6-100*'Entity Inputs'!N5/'Entity Inputs'!O5,1)&amp;" pts vs last month)"</f>
        <v>Improving (1.3 pts vs last month)</v>
      </c>
      <c r="I158" s="8" t="str">
        <f>IF(ABS(100*'Entity Inputs'!N7/'Entity Inputs'!O7-100*'Entity Inputs'!N6/'Entity Inputs'!O6)&lt;1,"Stable",IF(100*'Entity Inputs'!N7/'Entity Inputs'!O7&gt;100*'Entity Inputs'!N6/'Entity Inputs'!O6,"Improving","Deteriorating"))&amp;" ("&amp;ROUND(100*'Entity Inputs'!N7/'Entity Inputs'!O7-100*'Entity Inputs'!N6/'Entity Inputs'!O6,1)&amp;" pts vs last month)"</f>
        <v>Deteriorating (-3.3 pts vs last month)</v>
      </c>
      <c r="J158" s="8" t="str">
        <f>IF(ABS(100*'Entity Inputs'!N8/'Entity Inputs'!O8-100*'Entity Inputs'!N7/'Entity Inputs'!O7)&lt;1,"Stable",IF(100*'Entity Inputs'!N8/'Entity Inputs'!O8&gt;100*'Entity Inputs'!N7/'Entity Inputs'!O7,"Improving","Deteriorating"))&amp;" ("&amp;ROUND(100*'Entity Inputs'!N8/'Entity Inputs'!O8-100*'Entity Inputs'!N7/'Entity Inputs'!O7,1)&amp;" pts vs last month)"</f>
        <v>Improving (1.2 pts vs last month)</v>
      </c>
      <c r="K158" s="8" t="str">
        <f>IF(ABS(100*'Entity Inputs'!N9/'Entity Inputs'!O9-100*'Entity Inputs'!N8/'Entity Inputs'!O8)&lt;1,"Stable",IF(100*'Entity Inputs'!N9/'Entity Inputs'!O9&gt;100*'Entity Inputs'!N8/'Entity Inputs'!O8,"Improving","Deteriorating"))&amp;" ("&amp;ROUND(100*'Entity Inputs'!N9/'Entity Inputs'!O9-100*'Entity Inputs'!N8/'Entity Inputs'!O8,1)&amp;" pts vs last month)"</f>
        <v>Stable (0.3 pts vs last month)</v>
      </c>
      <c r="L158" s="8" t="str">
        <f>IF(ABS(100*'Entity Inputs'!N10/'Entity Inputs'!O10-100*'Entity Inputs'!N10/'Entity Inputs'!O10)&lt;1,"Stable",IF(100*'Entity Inputs'!N10/'Entity Inputs'!O10&gt;100*'Entity Inputs'!N10/'Entity Inputs'!O10,"Improving","Deteriorating"))&amp;" ("&amp;ROUND(100*'Entity Inputs'!N10/'Entity Inputs'!O10-100*'Entity Inputs'!N10/'Entity Inputs'!O10,1)&amp;" pts vs last month)"</f>
        <v>Stable (0 pts vs last month)</v>
      </c>
      <c r="M158" s="8" t="str">
        <f>IF(ABS(100*'Entity Inputs'!N11/'Entity Inputs'!O11-100*'Entity Inputs'!N10/'Entity Inputs'!O10)&lt;1,"Stable",IF(100*'Entity Inputs'!N11/'Entity Inputs'!O11&gt;100*'Entity Inputs'!N10/'Entity Inputs'!O10,"Improving","Deteriorating"))&amp;" ("&amp;ROUND(100*'Entity Inputs'!N11/'Entity Inputs'!O11-100*'Entity Inputs'!N10/'Entity Inputs'!O10,1)&amp;" pts vs last month)"</f>
        <v>Improving (1.4 pts vs last month)</v>
      </c>
      <c r="N158" s="8" t="str">
        <f>IF(ABS(100*'Entity Inputs'!N12/'Entity Inputs'!O12-100*'Entity Inputs'!N11/'Entity Inputs'!O11)&lt;1,"Stable",IF(100*'Entity Inputs'!N12/'Entity Inputs'!O12&gt;100*'Entity Inputs'!N11/'Entity Inputs'!O11,"Improving","Deteriorating"))&amp;" ("&amp;ROUND(100*'Entity Inputs'!N12/'Entity Inputs'!O12-100*'Entity Inputs'!N11/'Entity Inputs'!O11,1)&amp;" pts vs last month)"</f>
        <v>Deteriorating (-3.1 pts vs last month)</v>
      </c>
      <c r="O158" s="8" t="str">
        <f>IF(ABS(100*'Entity Inputs'!N13/'Entity Inputs'!O13-100*'Entity Inputs'!N12/'Entity Inputs'!O12)&lt;1,"Stable",IF(100*'Entity Inputs'!N13/'Entity Inputs'!O13&gt;100*'Entity Inputs'!N12/'Entity Inputs'!O12,"Improving","Deteriorating"))&amp;" ("&amp;ROUND(100*'Entity Inputs'!N13/'Entity Inputs'!O13-100*'Entity Inputs'!N12/'Entity Inputs'!O12,1)&amp;" pts vs last month)"</f>
        <v>Improving (3.3 pts vs last month)</v>
      </c>
      <c r="P158" s="8" t="str">
        <f>IF(ABS(100*'Entity Inputs'!N14/'Entity Inputs'!O14-100*'Entity Inputs'!N13/'Entity Inputs'!O13)&lt;1,"Stable",IF(100*'Entity Inputs'!N14/'Entity Inputs'!O14&gt;100*'Entity Inputs'!N13/'Entity Inputs'!O13,"Improving","Deteriorating"))&amp;" ("&amp;ROUND(100*'Entity Inputs'!N14/'Entity Inputs'!O14-100*'Entity Inputs'!N13/'Entity Inputs'!O13,1)&amp;" pts vs last month)"</f>
        <v>Deteriorating (-2 pts vs last month)</v>
      </c>
      <c r="Q158" s="8" t="str">
        <f>IF(ABS(100*'Entity Inputs'!N15/'Entity Inputs'!O15-100*'Entity Inputs'!N14/'Entity Inputs'!O14)&lt;1,"Stable",IF(100*'Entity Inputs'!N15/'Entity Inputs'!O15&gt;100*'Entity Inputs'!N14/'Entity Inputs'!O14,"Improving","Deteriorating"))&amp;" ("&amp;ROUND(100*'Entity Inputs'!N15/'Entity Inputs'!O15-100*'Entity Inputs'!N14/'Entity Inputs'!O14,1)&amp;" pts vs last month)"</f>
        <v>Improving (1.4 pts vs last month)</v>
      </c>
    </row>
    <row r="159" spans="1:17">
      <c r="A159" s="6" t="s">
        <v>925</v>
      </c>
      <c r="B159" s="6" t="s">
        <v>926</v>
      </c>
      <c r="C159" s="6" t="s">
        <v>668</v>
      </c>
      <c r="D159" s="6" t="s">
        <v>25</v>
      </c>
      <c r="E159" s="6" t="s">
        <v>927</v>
      </c>
      <c r="F159" s="8" t="str">
        <f>IF(ABS(100*'Entity Inputs'!Q4/'Entity Inputs'!P4-100*'Entity Inputs'!Q4/'Entity Inputs'!P4)&lt;1,"Stable",IF(100*'Entity Inputs'!Q4/'Entity Inputs'!P4&gt;100*'Entity Inputs'!Q4/'Entity Inputs'!P4,"Improving","Deteriorating"))&amp;" ("&amp;ROUND(100*'Entity Inputs'!Q4/'Entity Inputs'!P4-100*'Entity Inputs'!Q4/'Entity Inputs'!P4,1)&amp;" pts vs last month)"</f>
        <v>Stable (0 pts vs last month)</v>
      </c>
      <c r="G159" s="8" t="str">
        <f>IF(ABS(100*'Entity Inputs'!Q5/'Entity Inputs'!P5-100*'Entity Inputs'!Q4/'Entity Inputs'!P4)&lt;1,"Stable",IF(100*'Entity Inputs'!Q5/'Entity Inputs'!P5&gt;100*'Entity Inputs'!Q4/'Entity Inputs'!P4,"Improving","Deteriorating"))&amp;" ("&amp;ROUND(100*'Entity Inputs'!Q5/'Entity Inputs'!P5-100*'Entity Inputs'!Q4/'Entity Inputs'!P4,1)&amp;" pts vs last month)"</f>
        <v>Deteriorating (-1.2 pts vs last month)</v>
      </c>
      <c r="H159" s="8" t="str">
        <f>IF(ABS(100*'Entity Inputs'!Q6/'Entity Inputs'!P6-100*'Entity Inputs'!Q5/'Entity Inputs'!P5)&lt;1,"Stable",IF(100*'Entity Inputs'!Q6/'Entity Inputs'!P6&gt;100*'Entity Inputs'!Q5/'Entity Inputs'!P5,"Improving","Deteriorating"))&amp;" ("&amp;ROUND(100*'Entity Inputs'!Q6/'Entity Inputs'!P6-100*'Entity Inputs'!Q5/'Entity Inputs'!P5,1)&amp;" pts vs last month)"</f>
        <v>Improving (1.5 pts vs last month)</v>
      </c>
      <c r="I159" s="8" t="str">
        <f>IF(ABS(100*'Entity Inputs'!Q7/'Entity Inputs'!P7-100*'Entity Inputs'!Q6/'Entity Inputs'!P6)&lt;1,"Stable",IF(100*'Entity Inputs'!Q7/'Entity Inputs'!P7&gt;100*'Entity Inputs'!Q6/'Entity Inputs'!P6,"Improving","Deteriorating"))&amp;" ("&amp;ROUND(100*'Entity Inputs'!Q7/'Entity Inputs'!P7-100*'Entity Inputs'!Q6/'Entity Inputs'!P6,1)&amp;" pts vs last month)"</f>
        <v>Stable (0.3 pts vs last month)</v>
      </c>
      <c r="J159" s="8" t="str">
        <f>IF(ABS(100*'Entity Inputs'!Q8/'Entity Inputs'!P8-100*'Entity Inputs'!Q7/'Entity Inputs'!P7)&lt;1,"Stable",IF(100*'Entity Inputs'!Q8/'Entity Inputs'!P8&gt;100*'Entity Inputs'!Q7/'Entity Inputs'!P7,"Improving","Deteriorating"))&amp;" ("&amp;ROUND(100*'Entity Inputs'!Q8/'Entity Inputs'!P8-100*'Entity Inputs'!Q7/'Entity Inputs'!P7,1)&amp;" pts vs last month)"</f>
        <v>Stable (-0.6 pts vs last month)</v>
      </c>
      <c r="K159" s="8" t="str">
        <f>IF(ABS(100*'Entity Inputs'!Q9/'Entity Inputs'!P9-100*'Entity Inputs'!Q8/'Entity Inputs'!P8)&lt;1,"Stable",IF(100*'Entity Inputs'!Q9/'Entity Inputs'!P9&gt;100*'Entity Inputs'!Q8/'Entity Inputs'!P8,"Improving","Deteriorating"))&amp;" ("&amp;ROUND(100*'Entity Inputs'!Q9/'Entity Inputs'!P9-100*'Entity Inputs'!Q8/'Entity Inputs'!P8,1)&amp;" pts vs last month)"</f>
        <v>Stable (0.5 pts vs last month)</v>
      </c>
      <c r="L159" s="8" t="str">
        <f>IF(ABS(100*'Entity Inputs'!Q10/'Entity Inputs'!P10-100*'Entity Inputs'!Q10/'Entity Inputs'!P10)&lt;1,"Stable",IF(100*'Entity Inputs'!Q10/'Entity Inputs'!P10&gt;100*'Entity Inputs'!Q10/'Entity Inputs'!P10,"Improving","Deteriorating"))&amp;" ("&amp;ROUND(100*'Entity Inputs'!Q10/'Entity Inputs'!P10-100*'Entity Inputs'!Q10/'Entity Inputs'!P10,1)&amp;" pts vs last month)"</f>
        <v>Stable (0 pts vs last month)</v>
      </c>
      <c r="M159" s="8" t="str">
        <f>IF(ABS(100*'Entity Inputs'!Q11/'Entity Inputs'!P11-100*'Entity Inputs'!Q10/'Entity Inputs'!P10)&lt;1,"Stable",IF(100*'Entity Inputs'!Q11/'Entity Inputs'!P11&gt;100*'Entity Inputs'!Q10/'Entity Inputs'!P10,"Improving","Deteriorating"))&amp;" ("&amp;ROUND(100*'Entity Inputs'!Q11/'Entity Inputs'!P11-100*'Entity Inputs'!Q10/'Entity Inputs'!P10,1)&amp;" pts vs last month)"</f>
        <v>Stable (-0.5 pts vs last month)</v>
      </c>
      <c r="N159" s="8" t="str">
        <f>IF(ABS(100*'Entity Inputs'!Q12/'Entity Inputs'!P12-100*'Entity Inputs'!Q11/'Entity Inputs'!P11)&lt;1,"Stable",IF(100*'Entity Inputs'!Q12/'Entity Inputs'!P12&gt;100*'Entity Inputs'!Q11/'Entity Inputs'!P11,"Improving","Deteriorating"))&amp;" ("&amp;ROUND(100*'Entity Inputs'!Q12/'Entity Inputs'!P12-100*'Entity Inputs'!Q11/'Entity Inputs'!P11,1)&amp;" pts vs last month)"</f>
        <v>Improving (2.7 pts vs last month)</v>
      </c>
      <c r="O159" s="8" t="str">
        <f>IF(ABS(100*'Entity Inputs'!Q13/'Entity Inputs'!P13-100*'Entity Inputs'!Q12/'Entity Inputs'!P12)&lt;1,"Stable",IF(100*'Entity Inputs'!Q13/'Entity Inputs'!P13&gt;100*'Entity Inputs'!Q12/'Entity Inputs'!P12,"Improving","Deteriorating"))&amp;" ("&amp;ROUND(100*'Entity Inputs'!Q13/'Entity Inputs'!P13-100*'Entity Inputs'!Q12/'Entity Inputs'!P12,1)&amp;" pts vs last month)"</f>
        <v>Deteriorating (-2.5 pts vs last month)</v>
      </c>
      <c r="P159" s="8" t="str">
        <f>IF(ABS(100*'Entity Inputs'!Q14/'Entity Inputs'!P14-100*'Entity Inputs'!Q13/'Entity Inputs'!P13)&lt;1,"Stable",IF(100*'Entity Inputs'!Q14/'Entity Inputs'!P14&gt;100*'Entity Inputs'!Q13/'Entity Inputs'!P13,"Improving","Deteriorating"))&amp;" ("&amp;ROUND(100*'Entity Inputs'!Q14/'Entity Inputs'!P14-100*'Entity Inputs'!Q13/'Entity Inputs'!P13,1)&amp;" pts vs last month)"</f>
        <v>Improving (3.4 pts vs last month)</v>
      </c>
      <c r="Q159" s="8" t="str">
        <f>IF(ABS(100*'Entity Inputs'!Q15/'Entity Inputs'!P15-100*'Entity Inputs'!Q14/'Entity Inputs'!P14)&lt;1,"Stable",IF(100*'Entity Inputs'!Q15/'Entity Inputs'!P15&gt;100*'Entity Inputs'!Q14/'Entity Inputs'!P14,"Improving","Deteriorating"))&amp;" ("&amp;ROUND(100*'Entity Inputs'!Q15/'Entity Inputs'!P15-100*'Entity Inputs'!Q14/'Entity Inputs'!P14,1)&amp;" pts vs last month)"</f>
        <v>Deteriorating (-2.9 pts vs last month)</v>
      </c>
    </row>
    <row r="160" spans="1:17">
      <c r="A160" s="6" t="s">
        <v>928</v>
      </c>
      <c r="B160" s="6" t="s">
        <v>929</v>
      </c>
      <c r="C160" s="6" t="s">
        <v>668</v>
      </c>
      <c r="D160" s="6" t="s">
        <v>577</v>
      </c>
      <c r="E160" s="6" t="s">
        <v>930</v>
      </c>
      <c r="F160" s="8" t="str">
        <f>IF(AND('Entity Inputs'!EH4&gt;0,'Entity Inputs'!AP4&gt;0),"Elevated","Normal")&amp;" ("&amp;'Entity Inputs'!EH4&amp;" single-source suppliers, "&amp;'Entity Inputs'!AP4&amp;" materials at risk)"</f>
        <v>Elevated (2 single-source suppliers, 1 materials at risk)</v>
      </c>
      <c r="G160" s="8" t="str">
        <f>IF(AND('Entity Inputs'!EH5&gt;0,'Entity Inputs'!AP5&gt;0),"Elevated","Normal")&amp;" ("&amp;'Entity Inputs'!EH5&amp;" single-source suppliers, "&amp;'Entity Inputs'!AP5&amp;" materials at risk)"</f>
        <v>Normal (2 single-source suppliers, 0 materials at risk)</v>
      </c>
      <c r="H160" s="8" t="str">
        <f>IF(AND('Entity Inputs'!EH6&gt;0,'Entity Inputs'!AP6&gt;0),"Elevated","Normal")&amp;" ("&amp;'Entity Inputs'!EH6&amp;" single-source suppliers, "&amp;'Entity Inputs'!AP6&amp;" materials at risk)"</f>
        <v>Elevated (2 single-source suppliers, 1 materials at risk)</v>
      </c>
      <c r="I160" s="8" t="str">
        <f>IF(AND('Entity Inputs'!EH7&gt;0,'Entity Inputs'!AP7&gt;0),"Elevated","Normal")&amp;" ("&amp;'Entity Inputs'!EH7&amp;" single-source suppliers, "&amp;'Entity Inputs'!AP7&amp;" materials at risk)"</f>
        <v>Elevated (2 single-source suppliers, 2 materials at risk)</v>
      </c>
      <c r="J160" s="8" t="str">
        <f>IF(AND('Entity Inputs'!EH8&gt;0,'Entity Inputs'!AP8&gt;0),"Elevated","Normal")&amp;" ("&amp;'Entity Inputs'!EH8&amp;" single-source suppliers, "&amp;'Entity Inputs'!AP8&amp;" materials at risk)"</f>
        <v>Elevated (2 single-source suppliers, 3 materials at risk)</v>
      </c>
      <c r="K160" s="8" t="str">
        <f>IF(AND('Entity Inputs'!EH9&gt;0,'Entity Inputs'!AP9&gt;0),"Elevated","Normal")&amp;" ("&amp;'Entity Inputs'!EH9&amp;" single-source suppliers, "&amp;'Entity Inputs'!AP9&amp;" materials at risk)"</f>
        <v>Elevated (2 single-source suppliers, 4 materials at risk)</v>
      </c>
      <c r="L160" s="8" t="str">
        <f>IF(AND('Entity Inputs'!EH10&gt;0,'Entity Inputs'!AP10&gt;0),"Elevated","Normal")&amp;" ("&amp;'Entity Inputs'!EH10&amp;" single-source suppliers, "&amp;'Entity Inputs'!AP10&amp;" materials at risk)"</f>
        <v>Elevated (1 single-source suppliers, 2 materials at risk)</v>
      </c>
      <c r="M160" s="8" t="str">
        <f>IF(AND('Entity Inputs'!EH11&gt;0,'Entity Inputs'!AP11&gt;0),"Elevated","Normal")&amp;" ("&amp;'Entity Inputs'!EH11&amp;" single-source suppliers, "&amp;'Entity Inputs'!AP11&amp;" materials at risk)"</f>
        <v>Elevated (1 single-source suppliers, 3 materials at risk)</v>
      </c>
      <c r="N160" s="8" t="str">
        <f>IF(AND('Entity Inputs'!EH12&gt;0,'Entity Inputs'!AP12&gt;0),"Elevated","Normal")&amp;" ("&amp;'Entity Inputs'!EH12&amp;" single-source suppliers, "&amp;'Entity Inputs'!AP12&amp;" materials at risk)"</f>
        <v>Normal (1 single-source suppliers, 0 materials at risk)</v>
      </c>
      <c r="O160" s="8" t="str">
        <f>IF(AND('Entity Inputs'!EH13&gt;0,'Entity Inputs'!AP13&gt;0),"Elevated","Normal")&amp;" ("&amp;'Entity Inputs'!EH13&amp;" single-source suppliers, "&amp;'Entity Inputs'!AP13&amp;" materials at risk)"</f>
        <v>Elevated (1 single-source suppliers, 4 materials at risk)</v>
      </c>
      <c r="P160" s="8" t="str">
        <f>IF(AND('Entity Inputs'!EH14&gt;0,'Entity Inputs'!AP14&gt;0),"Elevated","Normal")&amp;" ("&amp;'Entity Inputs'!EH14&amp;" single-source suppliers, "&amp;'Entity Inputs'!AP14&amp;" materials at risk)"</f>
        <v>Elevated (1 single-source suppliers, 3 materials at risk)</v>
      </c>
      <c r="Q160" s="8" t="str">
        <f>IF(AND('Entity Inputs'!EH15&gt;0,'Entity Inputs'!AP15&gt;0),"Elevated","Normal")&amp;" ("&amp;'Entity Inputs'!EH15&amp;" single-source suppliers, "&amp;'Entity Inputs'!AP15&amp;" materials at risk)"</f>
        <v>Elevated (1 single-source suppliers, 1 materials at risk)</v>
      </c>
    </row>
    <row r="161" spans="1:17">
      <c r="A161" s="6" t="s">
        <v>931</v>
      </c>
      <c r="B161" s="6" t="s">
        <v>932</v>
      </c>
      <c r="C161" s="6" t="s">
        <v>668</v>
      </c>
      <c r="D161" s="6" t="s">
        <v>25</v>
      </c>
      <c r="E161" s="6" t="s">
        <v>933</v>
      </c>
      <c r="F161" s="8" t="str">
        <f>IF('Entity Inputs'!FY4=0,"No plan",IF(100*('Entity Inputs'!FX4/'Entity Inputs'!FY4-1)&lt;=2,"Normal",IF(100*('Entity Inputs'!FX4/'Entity Inputs'!FY4-1)&lt;=5,"Watch","Alert"))&amp;" ("&amp;ROUND(100*('Entity Inputs'!FX4/'Entity Inputs'!FY4-1),1)&amp;"% vs plan)")</f>
        <v>Normal (1.5% vs plan)</v>
      </c>
      <c r="G161" s="8" t="str">
        <f>IF('Entity Inputs'!FY5=0,"No plan",IF(100*('Entity Inputs'!FX5/'Entity Inputs'!FY5-1)&lt;=2,"Normal",IF(100*('Entity Inputs'!FX5/'Entity Inputs'!FY5-1)&lt;=5,"Watch","Alert"))&amp;" ("&amp;ROUND(100*('Entity Inputs'!FX5/'Entity Inputs'!FY5-1),1)&amp;"% vs plan)")</f>
        <v>Normal (1.5% vs plan)</v>
      </c>
      <c r="H161" s="8" t="str">
        <f>IF('Entity Inputs'!FY6=0,"No plan",IF(100*('Entity Inputs'!FX6/'Entity Inputs'!FY6-1)&lt;=2,"Normal",IF(100*('Entity Inputs'!FX6/'Entity Inputs'!FY6-1)&lt;=5,"Watch","Alert"))&amp;" ("&amp;ROUND(100*('Entity Inputs'!FX6/'Entity Inputs'!FY6-1),1)&amp;"% vs plan)")</f>
        <v>Normal (1.5% vs plan)</v>
      </c>
      <c r="I161" s="8" t="str">
        <f>IF('Entity Inputs'!FY7=0,"No plan",IF(100*('Entity Inputs'!FX7/'Entity Inputs'!FY7-1)&lt;=2,"Normal",IF(100*('Entity Inputs'!FX7/'Entity Inputs'!FY7-1)&lt;=5,"Watch","Alert"))&amp;" ("&amp;ROUND(100*('Entity Inputs'!FX7/'Entity Inputs'!FY7-1),1)&amp;"% vs plan)")</f>
        <v>Normal (1.5% vs plan)</v>
      </c>
      <c r="J161" s="8" t="str">
        <f>IF('Entity Inputs'!FY8=0,"No plan",IF(100*('Entity Inputs'!FX8/'Entity Inputs'!FY8-1)&lt;=2,"Normal",IF(100*('Entity Inputs'!FX8/'Entity Inputs'!FY8-1)&lt;=5,"Watch","Alert"))&amp;" ("&amp;ROUND(100*('Entity Inputs'!FX8/'Entity Inputs'!FY8-1),1)&amp;"% vs plan)")</f>
        <v>Normal (1.5% vs plan)</v>
      </c>
      <c r="K161" s="8" t="str">
        <f>IF('Entity Inputs'!FY9=0,"No plan",IF(100*('Entity Inputs'!FX9/'Entity Inputs'!FY9-1)&lt;=2,"Normal",IF(100*('Entity Inputs'!FX9/'Entity Inputs'!FY9-1)&lt;=5,"Watch","Alert"))&amp;" ("&amp;ROUND(100*('Entity Inputs'!FX9/'Entity Inputs'!FY9-1),1)&amp;"% vs plan)")</f>
        <v>Watch (3.5% vs plan)</v>
      </c>
      <c r="L161" s="8" t="str">
        <f>IF('Entity Inputs'!FY10=0,"No plan",IF(100*('Entity Inputs'!FX10/'Entity Inputs'!FY10-1)&lt;=2,"Normal",IF(100*('Entity Inputs'!FX10/'Entity Inputs'!FY10-1)&lt;=5,"Watch","Alert"))&amp;" ("&amp;ROUND(100*('Entity Inputs'!FX10/'Entity Inputs'!FY10-1),1)&amp;"% vs plan)")</f>
        <v>Normal (0.5% vs plan)</v>
      </c>
      <c r="M161" s="8" t="str">
        <f>IF('Entity Inputs'!FY11=0,"No plan",IF(100*('Entity Inputs'!FX11/'Entity Inputs'!FY11-1)&lt;=2,"Normal",IF(100*('Entity Inputs'!FX11/'Entity Inputs'!FY11-1)&lt;=5,"Watch","Alert"))&amp;" ("&amp;ROUND(100*('Entity Inputs'!FX11/'Entity Inputs'!FY11-1),1)&amp;"% vs plan)")</f>
        <v>Normal (0.5% vs plan)</v>
      </c>
      <c r="N161" s="8" t="str">
        <f>IF('Entity Inputs'!FY12=0,"No plan",IF(100*('Entity Inputs'!FX12/'Entity Inputs'!FY12-1)&lt;=2,"Normal",IF(100*('Entity Inputs'!FX12/'Entity Inputs'!FY12-1)&lt;=5,"Watch","Alert"))&amp;" ("&amp;ROUND(100*('Entity Inputs'!FX12/'Entity Inputs'!FY12-1),1)&amp;"% vs plan)")</f>
        <v>Normal (0.5% vs plan)</v>
      </c>
      <c r="O161" s="8" t="str">
        <f>IF('Entity Inputs'!FY13=0,"No plan",IF(100*('Entity Inputs'!FX13/'Entity Inputs'!FY13-1)&lt;=2,"Normal",IF(100*('Entity Inputs'!FX13/'Entity Inputs'!FY13-1)&lt;=5,"Watch","Alert"))&amp;" ("&amp;ROUND(100*('Entity Inputs'!FX13/'Entity Inputs'!FY13-1),1)&amp;"% vs plan)")</f>
        <v>Normal (0.5% vs plan)</v>
      </c>
      <c r="P161" s="8" t="str">
        <f>IF('Entity Inputs'!FY14=0,"No plan",IF(100*('Entity Inputs'!FX14/'Entity Inputs'!FY14-1)&lt;=2,"Normal",IF(100*('Entity Inputs'!FX14/'Entity Inputs'!FY14-1)&lt;=5,"Watch","Alert"))&amp;" ("&amp;ROUND(100*('Entity Inputs'!FX14/'Entity Inputs'!FY14-1),1)&amp;"% vs plan)")</f>
        <v>Normal (0.5% vs plan)</v>
      </c>
      <c r="Q161" s="8" t="str">
        <f>IF('Entity Inputs'!FY15=0,"No plan",IF(100*('Entity Inputs'!FX15/'Entity Inputs'!FY15-1)&lt;=2,"Normal",IF(100*('Entity Inputs'!FX15/'Entity Inputs'!FY15-1)&lt;=5,"Watch","Alert"))&amp;" ("&amp;ROUND(100*('Entity Inputs'!FX15/'Entity Inputs'!FY15-1),1)&amp;"% vs plan)")</f>
        <v>Normal (0.5% vs plan)</v>
      </c>
    </row>
  </sheetData>
  <autoFilter ref="A1:Q16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O6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customWidth="1"/>
    <col min="2" max="2" width="32.7109375" customWidth="1"/>
    <col min="3" max="3" width="11.7109375" customWidth="1"/>
    <col min="4" max="4" width="12.7109375" customWidth="1"/>
    <col min="5" max="5" width="46.7109375" customWidth="1"/>
    <col min="6" max="41" width="12.7109375" customWidth="1"/>
  </cols>
  <sheetData>
    <row r="1" spans="1:41">
      <c r="A1" s="5" t="s">
        <v>442</v>
      </c>
      <c r="B1" s="5" t="s">
        <v>443</v>
      </c>
      <c r="C1" s="5" t="s">
        <v>444</v>
      </c>
      <c r="D1" s="5" t="s">
        <v>445</v>
      </c>
      <c r="E1" s="5" t="s">
        <v>446</v>
      </c>
      <c r="F1" s="5" t="s">
        <v>946</v>
      </c>
      <c r="G1" s="5" t="s">
        <v>947</v>
      </c>
      <c r="H1" s="5" t="s">
        <v>948</v>
      </c>
      <c r="I1" s="5" t="s">
        <v>949</v>
      </c>
      <c r="J1" s="5" t="s">
        <v>950</v>
      </c>
      <c r="K1" s="5" t="s">
        <v>951</v>
      </c>
      <c r="L1" s="5" t="s">
        <v>952</v>
      </c>
      <c r="M1" s="5" t="s">
        <v>953</v>
      </c>
      <c r="N1" s="5" t="s">
        <v>954</v>
      </c>
      <c r="O1" s="5" t="s">
        <v>955</v>
      </c>
      <c r="P1" s="5" t="s">
        <v>956</v>
      </c>
      <c r="Q1" s="5" t="s">
        <v>957</v>
      </c>
      <c r="R1" s="5" t="s">
        <v>958</v>
      </c>
      <c r="S1" s="5" t="s">
        <v>959</v>
      </c>
      <c r="T1" s="5" t="s">
        <v>960</v>
      </c>
      <c r="U1" s="5" t="s">
        <v>961</v>
      </c>
      <c r="V1" s="5" t="s">
        <v>962</v>
      </c>
      <c r="W1" s="5" t="s">
        <v>963</v>
      </c>
      <c r="X1" s="5" t="s">
        <v>964</v>
      </c>
      <c r="Y1" s="5" t="s">
        <v>965</v>
      </c>
      <c r="Z1" s="5" t="s">
        <v>966</v>
      </c>
      <c r="AA1" s="5" t="s">
        <v>967</v>
      </c>
      <c r="AB1" s="5" t="s">
        <v>968</v>
      </c>
      <c r="AC1" s="5" t="s">
        <v>969</v>
      </c>
      <c r="AD1" s="5" t="s">
        <v>970</v>
      </c>
      <c r="AE1" s="5" t="s">
        <v>971</v>
      </c>
      <c r="AF1" s="5" t="s">
        <v>972</v>
      </c>
      <c r="AG1" s="5" t="s">
        <v>973</v>
      </c>
      <c r="AH1" s="5" t="s">
        <v>974</v>
      </c>
      <c r="AI1" s="5" t="s">
        <v>975</v>
      </c>
      <c r="AJ1" s="5" t="s">
        <v>976</v>
      </c>
      <c r="AK1" s="5" t="s">
        <v>977</v>
      </c>
      <c r="AL1" s="5" t="s">
        <v>978</v>
      </c>
      <c r="AM1" s="5" t="s">
        <v>979</v>
      </c>
      <c r="AN1" s="5" t="s">
        <v>980</v>
      </c>
      <c r="AO1" s="5" t="s">
        <v>981</v>
      </c>
    </row>
    <row r="2" spans="1:41">
      <c r="A2" s="6" t="s">
        <v>453</v>
      </c>
      <c r="B2" s="6" t="s">
        <v>454</v>
      </c>
      <c r="C2" s="6" t="s">
        <v>455</v>
      </c>
      <c r="D2" s="6" t="s">
        <v>25</v>
      </c>
      <c r="E2" s="6" t="s">
        <v>456</v>
      </c>
      <c r="F2" s="7">
        <f>ROUND(IFERROR(100*'Plant Inputs'!P4/'Plant Inputs'!N4,0),2)</f>
        <v>98.39</v>
      </c>
      <c r="G2" s="7">
        <f>ROUND(IFERROR(100*'Plant Inputs'!P5/'Plant Inputs'!N5,0),2)</f>
        <v>91.76</v>
      </c>
      <c r="H2" s="7">
        <f>ROUND(IFERROR(100*'Plant Inputs'!P6/'Plant Inputs'!N6,0),2)</f>
        <v>91.36</v>
      </c>
      <c r="I2" s="7">
        <f>ROUND(IFERROR(100*'Plant Inputs'!P7/'Plant Inputs'!N7,0),2)</f>
        <v>94.44</v>
      </c>
      <c r="J2" s="7">
        <f>ROUND(IFERROR(100*'Plant Inputs'!P8/'Plant Inputs'!N8,0),2)</f>
        <v>95.74</v>
      </c>
      <c r="K2" s="7">
        <f>ROUND(IFERROR(100*'Plant Inputs'!P9/'Plant Inputs'!N9,0),2)</f>
        <v>96.03</v>
      </c>
      <c r="L2" s="7">
        <f>ROUND(IFERROR(100*'Plant Inputs'!P10/'Plant Inputs'!N10,0),2)</f>
        <v>84.05</v>
      </c>
      <c r="M2" s="7">
        <f>ROUND(IFERROR(100*'Plant Inputs'!P11/'Plant Inputs'!N11,0),2)</f>
        <v>81.61</v>
      </c>
      <c r="N2" s="7">
        <f>ROUND(IFERROR(100*'Plant Inputs'!P12/'Plant Inputs'!N12,0),2)</f>
        <v>76.21</v>
      </c>
      <c r="O2" s="7">
        <f>ROUND(IFERROR(100*'Plant Inputs'!P13/'Plant Inputs'!N13,0),2)</f>
        <v>80.02</v>
      </c>
      <c r="P2" s="7">
        <f>ROUND(IFERROR(100*'Plant Inputs'!P14/'Plant Inputs'!N14,0),2)</f>
        <v>78.79</v>
      </c>
      <c r="Q2" s="7">
        <f>ROUND(IFERROR(100*'Plant Inputs'!P15/'Plant Inputs'!N15,0),2)</f>
        <v>78.4</v>
      </c>
      <c r="R2" s="7">
        <f>ROUND(IFERROR(100*'Plant Inputs'!P16/'Plant Inputs'!N16,0),2)</f>
        <v>96.59</v>
      </c>
      <c r="S2" s="7">
        <f>ROUND(IFERROR(100*'Plant Inputs'!P17/'Plant Inputs'!N17,0),2)</f>
        <v>88.8</v>
      </c>
      <c r="T2" s="7">
        <f>ROUND(IFERROR(100*'Plant Inputs'!P18/'Plant Inputs'!N18,0),2)</f>
        <v>91.6</v>
      </c>
      <c r="U2" s="7">
        <f>ROUND(IFERROR(100*'Plant Inputs'!P19/'Plant Inputs'!N19,0),2)</f>
        <v>98.27</v>
      </c>
      <c r="V2" s="7">
        <f>ROUND(IFERROR(100*'Plant Inputs'!P20/'Plant Inputs'!N20,0),2)</f>
        <v>91.36</v>
      </c>
      <c r="W2" s="7">
        <f>ROUND(IFERROR(100*'Plant Inputs'!P21/'Plant Inputs'!N21,0),2)</f>
        <v>99.52</v>
      </c>
      <c r="X2" s="7">
        <f>ROUND(IFERROR(100*'Plant Inputs'!P22/'Plant Inputs'!N22,0),2)</f>
        <v>97.36</v>
      </c>
      <c r="Y2" s="7">
        <f>ROUND(IFERROR(100*'Plant Inputs'!P23/'Plant Inputs'!N23,0),2)</f>
        <v>90.29</v>
      </c>
      <c r="Z2" s="7">
        <f>ROUND(IFERROR(100*'Plant Inputs'!P24/'Plant Inputs'!N24,0),2)</f>
        <v>91.8</v>
      </c>
      <c r="AA2" s="7">
        <f>ROUND(IFERROR(100*'Plant Inputs'!P25/'Plant Inputs'!N25,0),2)</f>
        <v>93.95</v>
      </c>
      <c r="AB2" s="7">
        <f>ROUND(IFERROR(100*'Plant Inputs'!P26/'Plant Inputs'!N26,0),2)</f>
        <v>101.13</v>
      </c>
      <c r="AC2" s="7">
        <f>ROUND(IFERROR(100*'Plant Inputs'!P27/'Plant Inputs'!N27,0),2)</f>
        <v>103.35</v>
      </c>
      <c r="AD2" s="7">
        <f>ROUND(IFERROR(100*'Plant Inputs'!P28/'Plant Inputs'!N28,0),2)</f>
        <v>99.76</v>
      </c>
      <c r="AE2" s="7">
        <f>ROUND(IFERROR(100*'Plant Inputs'!P29/'Plant Inputs'!N29,0),2)</f>
        <v>100.51</v>
      </c>
      <c r="AF2" s="7">
        <f>ROUND(IFERROR(100*'Plant Inputs'!P30/'Plant Inputs'!N30,0),2)</f>
        <v>93.81</v>
      </c>
      <c r="AG2" s="7">
        <f>ROUND(IFERROR(100*'Plant Inputs'!P31/'Plant Inputs'!N31,0),2)</f>
        <v>99.3</v>
      </c>
      <c r="AH2" s="7">
        <f>ROUND(IFERROR(100*'Plant Inputs'!P32/'Plant Inputs'!N32,0),2)</f>
        <v>97.61</v>
      </c>
      <c r="AI2" s="7">
        <f>ROUND(IFERROR(100*'Plant Inputs'!P33/'Plant Inputs'!N33,0),2)</f>
        <v>101.46</v>
      </c>
      <c r="AJ2" s="7">
        <f>ROUND(IFERROR(100*'Plant Inputs'!P34/'Plant Inputs'!N34,0),2)</f>
        <v>102.71</v>
      </c>
      <c r="AK2" s="7">
        <f>ROUND(IFERROR(100*'Plant Inputs'!P35/'Plant Inputs'!N35,0),2)</f>
        <v>97.71</v>
      </c>
      <c r="AL2" s="7">
        <f>ROUND(IFERROR(100*'Plant Inputs'!P36/'Plant Inputs'!N36,0),2)</f>
        <v>96.12</v>
      </c>
      <c r="AM2" s="7">
        <f>ROUND(IFERROR(100*'Plant Inputs'!P37/'Plant Inputs'!N37,0),2)</f>
        <v>97.31</v>
      </c>
      <c r="AN2" s="7">
        <f>ROUND(IFERROR(100*'Plant Inputs'!P38/'Plant Inputs'!N38,0),2)</f>
        <v>92.36</v>
      </c>
      <c r="AO2" s="7">
        <f>ROUND(IFERROR(100*'Plant Inputs'!P39/'Plant Inputs'!N39,0),2)</f>
        <v>96.28</v>
      </c>
    </row>
    <row r="3" spans="1:41">
      <c r="A3" s="6" t="s">
        <v>457</v>
      </c>
      <c r="B3" s="6" t="s">
        <v>458</v>
      </c>
      <c r="C3" s="6" t="s">
        <v>455</v>
      </c>
      <c r="D3" s="6" t="s">
        <v>25</v>
      </c>
      <c r="E3" s="6" t="s">
        <v>459</v>
      </c>
      <c r="F3" s="7">
        <f>ROUND(IFERROR(100*'Plant Inputs'!P4/'Plant Inputs'!M4,0),2)</f>
        <v>88.22</v>
      </c>
      <c r="G3" s="7">
        <f>ROUND(IFERROR(100*'Plant Inputs'!P5/'Plant Inputs'!M5,0),2)</f>
        <v>79.28</v>
      </c>
      <c r="H3" s="7">
        <f>ROUND(IFERROR(100*'Plant Inputs'!P6/'Plant Inputs'!M6,0),2)</f>
        <v>82.19</v>
      </c>
      <c r="I3" s="7">
        <f>ROUND(IFERROR(100*'Plant Inputs'!P7/'Plant Inputs'!M7,0),2)</f>
        <v>81.62</v>
      </c>
      <c r="J3" s="7">
        <f>ROUND(IFERROR(100*'Plant Inputs'!P8/'Plant Inputs'!M8,0),2)</f>
        <v>85.81</v>
      </c>
      <c r="K3" s="7">
        <f>ROUND(IFERROR(100*'Plant Inputs'!P9/'Plant Inputs'!M9,0),2)</f>
        <v>82.92</v>
      </c>
      <c r="L3" s="7">
        <f>ROUND(IFERROR(100*'Plant Inputs'!P10/'Plant Inputs'!M10,0),2)</f>
        <v>72.41</v>
      </c>
      <c r="M3" s="7">
        <f>ROUND(IFERROR(100*'Plant Inputs'!P11/'Plant Inputs'!M11,0),2)</f>
        <v>68.9</v>
      </c>
      <c r="N3" s="7">
        <f>ROUND(IFERROR(100*'Plant Inputs'!P12/'Plant Inputs'!M12,0),2)</f>
        <v>67.53</v>
      </c>
      <c r="O3" s="7">
        <f>ROUND(IFERROR(100*'Plant Inputs'!P13/'Plant Inputs'!M13,0),2)</f>
        <v>69.54</v>
      </c>
      <c r="P3" s="7">
        <f>ROUND(IFERROR(100*'Plant Inputs'!P14/'Plant Inputs'!M14,0),2)</f>
        <v>61.62</v>
      </c>
      <c r="Q3" s="7">
        <f>ROUND(IFERROR(100*'Plant Inputs'!P15/'Plant Inputs'!M15,0),2)</f>
        <v>70.02</v>
      </c>
      <c r="R3" s="7">
        <f>ROUND(IFERROR(100*'Plant Inputs'!P16/'Plant Inputs'!M16,0),2)</f>
        <v>83.55</v>
      </c>
      <c r="S3" s="7">
        <f>ROUND(IFERROR(100*'Plant Inputs'!P17/'Plant Inputs'!M17,0),2)</f>
        <v>73.78</v>
      </c>
      <c r="T3" s="7">
        <f>ROUND(IFERROR(100*'Plant Inputs'!P18/'Plant Inputs'!M18,0),2)</f>
        <v>79.59</v>
      </c>
      <c r="U3" s="7">
        <f>ROUND(IFERROR(100*'Plant Inputs'!P19/'Plant Inputs'!M19,0),2)</f>
        <v>84.15</v>
      </c>
      <c r="V3" s="7">
        <f>ROUND(IFERROR(100*'Plant Inputs'!P20/'Plant Inputs'!M20,0),2)</f>
        <v>82.56</v>
      </c>
      <c r="W3" s="7">
        <f>ROUND(IFERROR(100*'Plant Inputs'!P21/'Plant Inputs'!M21,0),2)</f>
        <v>86.09</v>
      </c>
      <c r="X3" s="7">
        <f>ROUND(IFERROR(100*'Plant Inputs'!P22/'Plant Inputs'!M22,0),2)</f>
        <v>84.43</v>
      </c>
      <c r="Y3" s="7">
        <f>ROUND(IFERROR(100*'Plant Inputs'!P23/'Plant Inputs'!M23,0),2)</f>
        <v>80.9</v>
      </c>
      <c r="Z3" s="7">
        <f>ROUND(IFERROR(100*'Plant Inputs'!P24/'Plant Inputs'!M24,0),2)</f>
        <v>82.34</v>
      </c>
      <c r="AA3" s="7">
        <f>ROUND(IFERROR(100*'Plant Inputs'!P25/'Plant Inputs'!M25,0),2)</f>
        <v>82.36</v>
      </c>
      <c r="AB3" s="7">
        <f>ROUND(IFERROR(100*'Plant Inputs'!P26/'Plant Inputs'!M26,0),2)</f>
        <v>82.25</v>
      </c>
      <c r="AC3" s="7">
        <f>ROUND(IFERROR(100*'Plant Inputs'!P27/'Plant Inputs'!M27,0),2)</f>
        <v>89.48</v>
      </c>
      <c r="AD3" s="7">
        <f>ROUND(IFERROR(100*'Plant Inputs'!P28/'Plant Inputs'!M28,0),2)</f>
        <v>87.71</v>
      </c>
      <c r="AE3" s="7">
        <f>ROUND(IFERROR(100*'Plant Inputs'!P29/'Plant Inputs'!M29,0),2)</f>
        <v>79.83</v>
      </c>
      <c r="AF3" s="7">
        <f>ROUND(IFERROR(100*'Plant Inputs'!P30/'Plant Inputs'!M30,0),2)</f>
        <v>83.35</v>
      </c>
      <c r="AG3" s="7">
        <f>ROUND(IFERROR(100*'Plant Inputs'!P31/'Plant Inputs'!M31,0),2)</f>
        <v>89.81</v>
      </c>
      <c r="AH3" s="7">
        <f>ROUND(IFERROR(100*'Plant Inputs'!P32/'Plant Inputs'!M32,0),2)</f>
        <v>81.04</v>
      </c>
      <c r="AI3" s="7">
        <f>ROUND(IFERROR(100*'Plant Inputs'!P33/'Plant Inputs'!M33,0),2)</f>
        <v>89.96</v>
      </c>
      <c r="AJ3" s="7">
        <f>ROUND(IFERROR(100*'Plant Inputs'!P34/'Plant Inputs'!M34,0),2)</f>
        <v>89.51</v>
      </c>
      <c r="AK3" s="7">
        <f>ROUND(IFERROR(100*'Plant Inputs'!P35/'Plant Inputs'!M35,0),2)</f>
        <v>77.27</v>
      </c>
      <c r="AL3" s="7">
        <f>ROUND(IFERROR(100*'Plant Inputs'!P36/'Plant Inputs'!M36,0),2)</f>
        <v>85.85</v>
      </c>
      <c r="AM3" s="7">
        <f>ROUND(IFERROR(100*'Plant Inputs'!P37/'Plant Inputs'!M37,0),2)</f>
        <v>85.77</v>
      </c>
      <c r="AN3" s="7">
        <f>ROUND(IFERROR(100*'Plant Inputs'!P38/'Plant Inputs'!M38,0),2)</f>
        <v>82.68</v>
      </c>
      <c r="AO3" s="7">
        <f>ROUND(IFERROR(100*'Plant Inputs'!P39/'Plant Inputs'!M39,0),2)</f>
        <v>82.87</v>
      </c>
    </row>
    <row r="4" spans="1:41">
      <c r="A4" s="6" t="s">
        <v>460</v>
      </c>
      <c r="B4" s="6" t="s">
        <v>461</v>
      </c>
      <c r="C4" s="6" t="s">
        <v>455</v>
      </c>
      <c r="D4" s="6" t="s">
        <v>25</v>
      </c>
      <c r="E4" s="6" t="s">
        <v>462</v>
      </c>
      <c r="F4" s="7">
        <f>ROUND(IFERROR(100*'Plant Inputs'!J4/'Plant Inputs'!H4,0),2)</f>
        <v>96.15</v>
      </c>
      <c r="G4" s="7">
        <f>ROUND(IFERROR(100*'Plant Inputs'!J5/'Plant Inputs'!H5,0),2)</f>
        <v>94.42</v>
      </c>
      <c r="H4" s="7">
        <f>ROUND(IFERROR(100*'Plant Inputs'!J6/'Plant Inputs'!H6,0),2)</f>
        <v>94.65</v>
      </c>
      <c r="I4" s="7">
        <f>ROUND(IFERROR(100*'Plant Inputs'!J7/'Plant Inputs'!H7,0),2)</f>
        <v>94.3</v>
      </c>
      <c r="J4" s="7">
        <f>ROUND(IFERROR(100*'Plant Inputs'!J8/'Plant Inputs'!H8,0),2)</f>
        <v>95.52</v>
      </c>
      <c r="K4" s="7">
        <f>ROUND(IFERROR(100*'Plant Inputs'!J9/'Plant Inputs'!H9,0),2)</f>
        <v>92.29</v>
      </c>
      <c r="L4" s="7">
        <f>ROUND(IFERROR(100*'Plant Inputs'!J10/'Plant Inputs'!H10,0),2)</f>
        <v>93.76</v>
      </c>
      <c r="M4" s="7">
        <f>ROUND(IFERROR(100*'Plant Inputs'!J11/'Plant Inputs'!H11,0),2)</f>
        <v>84.77</v>
      </c>
      <c r="N4" s="7">
        <f>ROUND(IFERROR(100*'Plant Inputs'!J12/'Plant Inputs'!H12,0),2)</f>
        <v>93.04</v>
      </c>
      <c r="O4" s="7">
        <f>ROUND(IFERROR(100*'Plant Inputs'!J13/'Plant Inputs'!H13,0),2)</f>
        <v>88.09</v>
      </c>
      <c r="P4" s="7">
        <f>ROUND(IFERROR(100*'Plant Inputs'!J14/'Plant Inputs'!H14,0),2)</f>
        <v>81.1</v>
      </c>
      <c r="Q4" s="7">
        <f>ROUND(IFERROR(100*'Plant Inputs'!J15/'Plant Inputs'!H15,0),2)</f>
        <v>86.71</v>
      </c>
      <c r="R4" s="7">
        <f>ROUND(IFERROR(100*'Plant Inputs'!J16/'Plant Inputs'!H16,0),2)</f>
        <v>94.32</v>
      </c>
      <c r="S4" s="7">
        <f>ROUND(IFERROR(100*'Plant Inputs'!J17/'Plant Inputs'!H17,0),2)</f>
        <v>86.59</v>
      </c>
      <c r="T4" s="7">
        <f>ROUND(IFERROR(100*'Plant Inputs'!J18/'Plant Inputs'!H18,0),2)</f>
        <v>93.38</v>
      </c>
      <c r="U4" s="7">
        <f>ROUND(IFERROR(100*'Plant Inputs'!J19/'Plant Inputs'!H19,0),2)</f>
        <v>93.79</v>
      </c>
      <c r="V4" s="7">
        <f>ROUND(IFERROR(100*'Plant Inputs'!J20/'Plant Inputs'!H20,0),2)</f>
        <v>95.69</v>
      </c>
      <c r="W4" s="7">
        <f>ROUND(IFERROR(100*'Plant Inputs'!J21/'Plant Inputs'!H21,0),2)</f>
        <v>96.58</v>
      </c>
      <c r="X4" s="7">
        <f>ROUND(IFERROR(100*'Plant Inputs'!J22/'Plant Inputs'!H22,0),2)</f>
        <v>95.61</v>
      </c>
      <c r="Y4" s="7">
        <f>ROUND(IFERROR(100*'Plant Inputs'!J23/'Plant Inputs'!H23,0),2)</f>
        <v>92.77</v>
      </c>
      <c r="Z4" s="7">
        <f>ROUND(IFERROR(100*'Plant Inputs'!J24/'Plant Inputs'!H24,0),2)</f>
        <v>93.58</v>
      </c>
      <c r="AA4" s="7">
        <f>ROUND(IFERROR(100*'Plant Inputs'!J25/'Plant Inputs'!H25,0),2)</f>
        <v>95.17</v>
      </c>
      <c r="AB4" s="7">
        <f>ROUND(IFERROR(100*'Plant Inputs'!J26/'Plant Inputs'!H26,0),2)</f>
        <v>87.28</v>
      </c>
      <c r="AC4" s="7">
        <f>ROUND(IFERROR(100*'Plant Inputs'!J27/'Plant Inputs'!H27,0),2)</f>
        <v>95.92</v>
      </c>
      <c r="AD4" s="7">
        <f>ROUND(IFERROR(100*'Plant Inputs'!J28/'Plant Inputs'!H28,0),2)</f>
        <v>95.07</v>
      </c>
      <c r="AE4" s="7">
        <f>ROUND(IFERROR(100*'Plant Inputs'!J29/'Plant Inputs'!H29,0),2)</f>
        <v>86.36</v>
      </c>
      <c r="AF4" s="7">
        <f>ROUND(IFERROR(100*'Plant Inputs'!J30/'Plant Inputs'!H30,0),2)</f>
        <v>94.54</v>
      </c>
      <c r="AG4" s="7">
        <f>ROUND(IFERROR(100*'Plant Inputs'!J31/'Plant Inputs'!H31,0),2)</f>
        <v>96.14</v>
      </c>
      <c r="AH4" s="7">
        <f>ROUND(IFERROR(100*'Plant Inputs'!J32/'Plant Inputs'!H32,0),2)</f>
        <v>86.64</v>
      </c>
      <c r="AI4" s="7">
        <f>ROUND(IFERROR(100*'Plant Inputs'!J33/'Plant Inputs'!H33,0),2)</f>
        <v>95.82</v>
      </c>
      <c r="AJ4" s="7">
        <f>ROUND(IFERROR(100*'Plant Inputs'!J34/'Plant Inputs'!H34,0),2)</f>
        <v>96.4</v>
      </c>
      <c r="AK4" s="7">
        <f>ROUND(IFERROR(100*'Plant Inputs'!J35/'Plant Inputs'!H35,0),2)</f>
        <v>87.37</v>
      </c>
      <c r="AL4" s="7">
        <f>ROUND(IFERROR(100*'Plant Inputs'!J36/'Plant Inputs'!H36,0),2)</f>
        <v>95.15</v>
      </c>
      <c r="AM4" s="7">
        <f>ROUND(IFERROR(100*'Plant Inputs'!J37/'Plant Inputs'!H37,0),2)</f>
        <v>94.07</v>
      </c>
      <c r="AN4" s="7">
        <f>ROUND(IFERROR(100*'Plant Inputs'!J38/'Plant Inputs'!H38,0),2)</f>
        <v>94.35</v>
      </c>
      <c r="AO4" s="7">
        <f>ROUND(IFERROR(100*'Plant Inputs'!J39/'Plant Inputs'!H39,0),2)</f>
        <v>94.54</v>
      </c>
    </row>
    <row r="5" spans="1:41">
      <c r="A5" s="6" t="s">
        <v>463</v>
      </c>
      <c r="B5" s="6" t="s">
        <v>464</v>
      </c>
      <c r="C5" s="6" t="s">
        <v>455</v>
      </c>
      <c r="D5" s="6" t="s">
        <v>25</v>
      </c>
      <c r="E5" s="6" t="s">
        <v>465</v>
      </c>
      <c r="F5" s="7">
        <f>ROUND(IFERROR(100*'Plant Inputs'!P4/'Plant Inputs'!L4,0),2)</f>
        <v>88.97</v>
      </c>
      <c r="G5" s="7">
        <f>ROUND(IFERROR(100*'Plant Inputs'!P5/'Plant Inputs'!L5,0),2)</f>
        <v>79.28</v>
      </c>
      <c r="H5" s="7">
        <f>ROUND(IFERROR(100*'Plant Inputs'!P6/'Plant Inputs'!L6,0),2)</f>
        <v>82.19</v>
      </c>
      <c r="I5" s="7">
        <f>ROUND(IFERROR(100*'Plant Inputs'!P7/'Plant Inputs'!L7,0),2)</f>
        <v>81.95</v>
      </c>
      <c r="J5" s="7">
        <f>ROUND(IFERROR(100*'Plant Inputs'!P8/'Plant Inputs'!L8,0),2)</f>
        <v>85.81</v>
      </c>
      <c r="K5" s="7">
        <f>ROUND(IFERROR(100*'Plant Inputs'!P9/'Plant Inputs'!L9,0),2)</f>
        <v>83.97</v>
      </c>
      <c r="L5" s="7">
        <f>ROUND(IFERROR(100*'Plant Inputs'!P10/'Plant Inputs'!L10,0),2)</f>
        <v>72.61</v>
      </c>
      <c r="M5" s="7">
        <f>ROUND(IFERROR(100*'Plant Inputs'!P11/'Plant Inputs'!L11,0),2)</f>
        <v>74.3</v>
      </c>
      <c r="N5" s="7">
        <f>ROUND(IFERROR(100*'Plant Inputs'!P12/'Plant Inputs'!L12,0),2)</f>
        <v>67.72</v>
      </c>
      <c r="O5" s="7">
        <f>ROUND(IFERROR(100*'Plant Inputs'!P13/'Plant Inputs'!L13,0),2)</f>
        <v>70.2</v>
      </c>
      <c r="P5" s="7">
        <f>ROUND(IFERROR(100*'Plant Inputs'!P14/'Plant Inputs'!L14,0),2)</f>
        <v>68.01</v>
      </c>
      <c r="Q5" s="7">
        <f>ROUND(IFERROR(100*'Plant Inputs'!P15/'Plant Inputs'!L15,0),2)</f>
        <v>70.31</v>
      </c>
      <c r="R5" s="7">
        <f>ROUND(IFERROR(100*'Plant Inputs'!P16/'Plant Inputs'!L16,0),2)</f>
        <v>84.85</v>
      </c>
      <c r="S5" s="7">
        <f>ROUND(IFERROR(100*'Plant Inputs'!P17/'Plant Inputs'!L17,0),2)</f>
        <v>81.32</v>
      </c>
      <c r="T5" s="7">
        <f>ROUND(IFERROR(100*'Plant Inputs'!P18/'Plant Inputs'!L18,0),2)</f>
        <v>79.7</v>
      </c>
      <c r="U5" s="7">
        <f>ROUND(IFERROR(100*'Plant Inputs'!P19/'Plant Inputs'!L19,0),2)</f>
        <v>84.83</v>
      </c>
      <c r="V5" s="7">
        <f>ROUND(IFERROR(100*'Plant Inputs'!P20/'Plant Inputs'!L20,0),2)</f>
        <v>82.56</v>
      </c>
      <c r="W5" s="7">
        <f>ROUND(IFERROR(100*'Plant Inputs'!P21/'Plant Inputs'!L21,0),2)</f>
        <v>86.21</v>
      </c>
      <c r="X5" s="7">
        <f>ROUND(IFERROR(100*'Plant Inputs'!P22/'Plant Inputs'!L22,0),2)</f>
        <v>84.79</v>
      </c>
      <c r="Y5" s="7">
        <f>ROUND(IFERROR(100*'Plant Inputs'!P23/'Plant Inputs'!L23,0),2)</f>
        <v>80.9</v>
      </c>
      <c r="Z5" s="7">
        <f>ROUND(IFERROR(100*'Plant Inputs'!P24/'Plant Inputs'!L24,0),2)</f>
        <v>82.92</v>
      </c>
      <c r="AA5" s="7">
        <f>ROUND(IFERROR(100*'Plant Inputs'!P25/'Plant Inputs'!L25,0),2)</f>
        <v>82.69</v>
      </c>
      <c r="AB5" s="7">
        <f>ROUND(IFERROR(100*'Plant Inputs'!P26/'Plant Inputs'!L26,0),2)</f>
        <v>90.12</v>
      </c>
      <c r="AC5" s="7">
        <f>ROUND(IFERROR(100*'Plant Inputs'!P27/'Plant Inputs'!L27,0),2)</f>
        <v>89.73</v>
      </c>
      <c r="AD5" s="7">
        <f>ROUND(IFERROR(100*'Plant Inputs'!P28/'Plant Inputs'!L28,0),2)</f>
        <v>88.94</v>
      </c>
      <c r="AE5" s="7">
        <f>ROUND(IFERROR(100*'Plant Inputs'!P29/'Plant Inputs'!L29,0),2)</f>
        <v>88.12</v>
      </c>
      <c r="AF5" s="7">
        <f>ROUND(IFERROR(100*'Plant Inputs'!P30/'Plant Inputs'!L30,0),2)</f>
        <v>84.17</v>
      </c>
      <c r="AG5" s="7">
        <f>ROUND(IFERROR(100*'Plant Inputs'!P31/'Plant Inputs'!L31,0),2)</f>
        <v>89.81</v>
      </c>
      <c r="AH5" s="7">
        <f>ROUND(IFERROR(100*'Plant Inputs'!P32/'Plant Inputs'!L32,0),2)</f>
        <v>86.76</v>
      </c>
      <c r="AI5" s="7">
        <f>ROUND(IFERROR(100*'Plant Inputs'!P33/'Plant Inputs'!L33,0),2)</f>
        <v>91.23</v>
      </c>
      <c r="AJ5" s="7">
        <f>ROUND(IFERROR(100*'Plant Inputs'!P34/'Plant Inputs'!L34,0),2)</f>
        <v>90.01</v>
      </c>
      <c r="AK5" s="7">
        <f>ROUND(IFERROR(100*'Plant Inputs'!P35/'Plant Inputs'!L35,0),2)</f>
        <v>84.8</v>
      </c>
      <c r="AL5" s="7">
        <f>ROUND(IFERROR(100*'Plant Inputs'!P36/'Plant Inputs'!L36,0),2)</f>
        <v>87.06</v>
      </c>
      <c r="AM5" s="7">
        <f>ROUND(IFERROR(100*'Plant Inputs'!P37/'Plant Inputs'!L37,0),2)</f>
        <v>86.47</v>
      </c>
      <c r="AN5" s="7">
        <f>ROUND(IFERROR(100*'Plant Inputs'!P38/'Plant Inputs'!L38,0),2)</f>
        <v>82.68</v>
      </c>
      <c r="AO5" s="7">
        <f>ROUND(IFERROR(100*'Plant Inputs'!P39/'Plant Inputs'!L39,0),2)</f>
        <v>83.8</v>
      </c>
    </row>
    <row r="6" spans="1:41">
      <c r="A6" s="6" t="s">
        <v>466</v>
      </c>
      <c r="B6" s="6" t="s">
        <v>467</v>
      </c>
      <c r="C6" s="6" t="s">
        <v>455</v>
      </c>
      <c r="D6" s="6" t="s">
        <v>25</v>
      </c>
      <c r="E6" s="6" t="s">
        <v>468</v>
      </c>
      <c r="F6" s="7">
        <f>ROUND(IFERROR(100*'Plant Inputs'!S4/'Plant Inputs'!R4,0),2)</f>
        <v>89.65</v>
      </c>
      <c r="G6" s="7">
        <f>ROUND(IFERROR(100*'Plant Inputs'!S5/'Plant Inputs'!R5,0),2)</f>
        <v>84.57</v>
      </c>
      <c r="H6" s="7">
        <f>ROUND(IFERROR(100*'Plant Inputs'!S6/'Plant Inputs'!R6,0),2)</f>
        <v>86.69</v>
      </c>
      <c r="I6" s="7">
        <f>ROUND(IFERROR(100*'Plant Inputs'!S7/'Plant Inputs'!R7,0),2)</f>
        <v>91.43</v>
      </c>
      <c r="J6" s="7">
        <f>ROUND(IFERROR(100*'Plant Inputs'!S8/'Plant Inputs'!R8,0),2)</f>
        <v>88.72</v>
      </c>
      <c r="K6" s="7">
        <f>ROUND(IFERROR(100*'Plant Inputs'!S9/'Plant Inputs'!R9,0),2)</f>
        <v>91.69</v>
      </c>
      <c r="L6" s="7">
        <f>ROUND(IFERROR(100*'Plant Inputs'!S10/'Plant Inputs'!R10,0),2)</f>
        <v>82.33</v>
      </c>
      <c r="M6" s="7">
        <f>ROUND(IFERROR(100*'Plant Inputs'!S11/'Plant Inputs'!R11,0),2)</f>
        <v>86.62</v>
      </c>
      <c r="N6" s="7">
        <f>ROUND(IFERROR(100*'Plant Inputs'!S12/'Plant Inputs'!R12,0),2)</f>
        <v>82.16</v>
      </c>
      <c r="O6" s="7">
        <f>ROUND(IFERROR(100*'Plant Inputs'!S13/'Plant Inputs'!R13,0),2)</f>
        <v>87.09</v>
      </c>
      <c r="P6" s="7">
        <f>ROUND(IFERROR(100*'Plant Inputs'!S14/'Plant Inputs'!R14,0),2)</f>
        <v>82.15</v>
      </c>
      <c r="Q6" s="7">
        <f>ROUND(IFERROR(100*'Plant Inputs'!S15/'Plant Inputs'!R15,0),2)</f>
        <v>86.55</v>
      </c>
      <c r="R6" s="7">
        <f>ROUND(IFERROR(100*'Plant Inputs'!S16/'Plant Inputs'!R16,0),2)</f>
        <v>88.88</v>
      </c>
      <c r="S6" s="7">
        <f>ROUND(IFERROR(100*'Plant Inputs'!S17/'Plant Inputs'!R17,0),2)</f>
        <v>85.78</v>
      </c>
      <c r="T6" s="7">
        <f>ROUND(IFERROR(100*'Plant Inputs'!S18/'Plant Inputs'!R18,0),2)</f>
        <v>91.32</v>
      </c>
      <c r="U6" s="7">
        <f>ROUND(IFERROR(100*'Plant Inputs'!S19/'Plant Inputs'!R19,0),2)</f>
        <v>85.49</v>
      </c>
      <c r="V6" s="7">
        <f>ROUND(IFERROR(100*'Plant Inputs'!S20/'Plant Inputs'!R20,0),2)</f>
        <v>89.14</v>
      </c>
      <c r="W6" s="7">
        <f>ROUND(IFERROR(100*'Plant Inputs'!S21/'Plant Inputs'!R21,0),2)</f>
        <v>85.7</v>
      </c>
      <c r="X6" s="7">
        <f>ROUND(IFERROR(100*'Plant Inputs'!S22/'Plant Inputs'!R22,0),2)</f>
        <v>88.48</v>
      </c>
      <c r="Y6" s="7">
        <f>ROUND(IFERROR(100*'Plant Inputs'!S23/'Plant Inputs'!R23,0),2)</f>
        <v>87.77</v>
      </c>
      <c r="Z6" s="7">
        <f>ROUND(IFERROR(100*'Plant Inputs'!S24/'Plant Inputs'!R24,0),2)</f>
        <v>90.88</v>
      </c>
      <c r="AA6" s="7">
        <f>ROUND(IFERROR(100*'Plant Inputs'!S25/'Plant Inputs'!R25,0),2)</f>
        <v>85.62</v>
      </c>
      <c r="AB6" s="7">
        <f>ROUND(IFERROR(100*'Plant Inputs'!S26/'Plant Inputs'!R26,0),2)</f>
        <v>89.14</v>
      </c>
      <c r="AC6" s="7">
        <f>ROUND(IFERROR(100*'Plant Inputs'!S27/'Plant Inputs'!R27,0),2)</f>
        <v>88.37</v>
      </c>
      <c r="AD6" s="7">
        <f>ROUND(IFERROR(100*'Plant Inputs'!S28/'Plant Inputs'!R28,0),2)</f>
        <v>87.65</v>
      </c>
      <c r="AE6" s="7">
        <f>ROUND(IFERROR(100*'Plant Inputs'!S29/'Plant Inputs'!R29,0),2)</f>
        <v>85.41</v>
      </c>
      <c r="AF6" s="7">
        <f>ROUND(IFERROR(100*'Plant Inputs'!S30/'Plant Inputs'!R30,0),2)</f>
        <v>90.56</v>
      </c>
      <c r="AG6" s="7">
        <f>ROUND(IFERROR(100*'Plant Inputs'!S31/'Plant Inputs'!R31,0),2)</f>
        <v>89.15</v>
      </c>
      <c r="AH6" s="7">
        <f>ROUND(IFERROR(100*'Plant Inputs'!S32/'Plant Inputs'!R32,0),2)</f>
        <v>90.45</v>
      </c>
      <c r="AI6" s="7">
        <f>ROUND(IFERROR(100*'Plant Inputs'!S33/'Plant Inputs'!R33,0),2)</f>
        <v>88.33</v>
      </c>
      <c r="AJ6" s="7">
        <f>ROUND(IFERROR(100*'Plant Inputs'!S34/'Plant Inputs'!R34,0),2)</f>
        <v>85.27</v>
      </c>
      <c r="AK6" s="7">
        <f>ROUND(IFERROR(100*'Plant Inputs'!S35/'Plant Inputs'!R35,0),2)</f>
        <v>86.93</v>
      </c>
      <c r="AL6" s="7">
        <f>ROUND(IFERROR(100*'Plant Inputs'!S36/'Plant Inputs'!R36,0),2)</f>
        <v>86.32</v>
      </c>
      <c r="AM6" s="7">
        <f>ROUND(IFERROR(100*'Plant Inputs'!S37/'Plant Inputs'!R37,0),2)</f>
        <v>84.34</v>
      </c>
      <c r="AN6" s="7">
        <f>ROUND(IFERROR(100*'Plant Inputs'!S38/'Plant Inputs'!R38,0),2)</f>
        <v>90.37</v>
      </c>
      <c r="AO6" s="7">
        <f>ROUND(IFERROR(100*'Plant Inputs'!S39/'Plant Inputs'!R39,0),2)</f>
        <v>84.57</v>
      </c>
    </row>
    <row r="7" spans="1:41">
      <c r="A7" s="6" t="s">
        <v>469</v>
      </c>
      <c r="B7" s="6" t="s">
        <v>470</v>
      </c>
      <c r="C7" s="6" t="s">
        <v>455</v>
      </c>
      <c r="D7" s="6" t="s">
        <v>25</v>
      </c>
      <c r="E7" s="6" t="s">
        <v>471</v>
      </c>
      <c r="F7" s="7">
        <f>ROUND(IFERROR(100*'Plant Inputs'!P4/'Plant Inputs'!Q4,0),2)</f>
        <v>91.1</v>
      </c>
      <c r="G7" s="7">
        <f>ROUND(IFERROR(100*'Plant Inputs'!P5/'Plant Inputs'!Q5,0),2)</f>
        <v>93.76</v>
      </c>
      <c r="H7" s="7">
        <f>ROUND(IFERROR(100*'Plant Inputs'!P6/'Plant Inputs'!Q6,0),2)</f>
        <v>94.05</v>
      </c>
      <c r="I7" s="7">
        <f>ROUND(IFERROR(100*'Plant Inputs'!P7/'Plant Inputs'!Q7,0),2)</f>
        <v>88.37</v>
      </c>
      <c r="J7" s="7">
        <f>ROUND(IFERROR(100*'Plant Inputs'!P8/'Plant Inputs'!Q8,0),2)</f>
        <v>92.45</v>
      </c>
      <c r="K7" s="7">
        <f>ROUND(IFERROR(100*'Plant Inputs'!P9/'Plant Inputs'!Q9,0),2)</f>
        <v>91.48</v>
      </c>
      <c r="L7" s="7">
        <f>ROUND(IFERROR(100*'Plant Inputs'!P10/'Plant Inputs'!Q10,0),2)</f>
        <v>88.81</v>
      </c>
      <c r="M7" s="7">
        <f>ROUND(IFERROR(100*'Plant Inputs'!P11/'Plant Inputs'!Q11,0),2)</f>
        <v>94.32</v>
      </c>
      <c r="N7" s="7">
        <f>ROUND(IFERROR(100*'Plant Inputs'!P12/'Plant Inputs'!Q12,0),2)</f>
        <v>94.47</v>
      </c>
      <c r="O7" s="7">
        <f>ROUND(IFERROR(100*'Plant Inputs'!P13/'Plant Inputs'!Q13,0),2)</f>
        <v>90.46</v>
      </c>
      <c r="P7" s="7">
        <f>ROUND(IFERROR(100*'Plant Inputs'!P14/'Plant Inputs'!Q14,0),2)</f>
        <v>88.57</v>
      </c>
      <c r="Q7" s="7">
        <f>ROUND(IFERROR(100*'Plant Inputs'!P15/'Plant Inputs'!Q15,0),2)</f>
        <v>93.11</v>
      </c>
      <c r="R7" s="7">
        <f>ROUND(IFERROR(100*'Plant Inputs'!P16/'Plant Inputs'!Q16,0),2)</f>
        <v>89.42</v>
      </c>
      <c r="S7" s="7">
        <f>ROUND(IFERROR(100*'Plant Inputs'!P17/'Plant Inputs'!Q17,0),2)</f>
        <v>88.95</v>
      </c>
      <c r="T7" s="7">
        <f>ROUND(IFERROR(100*'Plant Inputs'!P18/'Plant Inputs'!Q18,0),2)</f>
        <v>91.91</v>
      </c>
      <c r="U7" s="7">
        <f>ROUND(IFERROR(100*'Plant Inputs'!P19/'Plant Inputs'!Q19,0),2)</f>
        <v>90.62</v>
      </c>
      <c r="V7" s="7">
        <f>ROUND(IFERROR(100*'Plant Inputs'!P20/'Plant Inputs'!Q20,0),2)</f>
        <v>92.09</v>
      </c>
      <c r="W7" s="7">
        <f>ROUND(IFERROR(100*'Plant Inputs'!P21/'Plant Inputs'!Q21,0),2)</f>
        <v>90.37</v>
      </c>
      <c r="X7" s="7">
        <f>ROUND(IFERROR(100*'Plant Inputs'!P22/'Plant Inputs'!Q22,0),2)</f>
        <v>92.81</v>
      </c>
      <c r="Y7" s="7">
        <f>ROUND(IFERROR(100*'Plant Inputs'!P23/'Plant Inputs'!Q23,0),2)</f>
        <v>91.73</v>
      </c>
      <c r="Z7" s="7">
        <f>ROUND(IFERROR(100*'Plant Inputs'!P24/'Plant Inputs'!Q24,0),2)</f>
        <v>90.68</v>
      </c>
      <c r="AA7" s="7">
        <f>ROUND(IFERROR(100*'Plant Inputs'!P25/'Plant Inputs'!Q25,0),2)</f>
        <v>94.68</v>
      </c>
      <c r="AB7" s="7">
        <f>ROUND(IFERROR(100*'Plant Inputs'!P26/'Plant Inputs'!Q26,0),2)</f>
        <v>91.58</v>
      </c>
      <c r="AC7" s="7">
        <f>ROUND(IFERROR(100*'Plant Inputs'!P27/'Plant Inputs'!Q27,0),2)</f>
        <v>90.59</v>
      </c>
      <c r="AD7" s="7">
        <f>ROUND(IFERROR(100*'Plant Inputs'!P28/'Plant Inputs'!Q28,0),2)</f>
        <v>89.32</v>
      </c>
      <c r="AE7" s="7">
        <f>ROUND(IFERROR(100*'Plant Inputs'!P29/'Plant Inputs'!Q29,0),2)</f>
        <v>92.24</v>
      </c>
      <c r="AF7" s="7">
        <f>ROUND(IFERROR(100*'Plant Inputs'!P30/'Plant Inputs'!Q30,0),2)</f>
        <v>89.33</v>
      </c>
      <c r="AG7" s="7">
        <f>ROUND(IFERROR(100*'Plant Inputs'!P31/'Plant Inputs'!Q31,0),2)</f>
        <v>94.4</v>
      </c>
      <c r="AH7" s="7">
        <f>ROUND(IFERROR(100*'Plant Inputs'!P32/'Plant Inputs'!Q32,0),2)</f>
        <v>89.39</v>
      </c>
      <c r="AI7" s="7">
        <f>ROUND(IFERROR(100*'Plant Inputs'!P33/'Plant Inputs'!Q33,0),2)</f>
        <v>93.25</v>
      </c>
      <c r="AJ7" s="7">
        <f>ROUND(IFERROR(100*'Plant Inputs'!P34/'Plant Inputs'!Q34,0),2)</f>
        <v>93.01</v>
      </c>
      <c r="AK7" s="7">
        <f>ROUND(IFERROR(100*'Plant Inputs'!P35/'Plant Inputs'!Q35,0),2)</f>
        <v>94.56</v>
      </c>
      <c r="AL7" s="7">
        <f>ROUND(IFERROR(100*'Plant Inputs'!P36/'Plant Inputs'!Q36,0),2)</f>
        <v>89.53</v>
      </c>
      <c r="AM7" s="7">
        <f>ROUND(IFERROR(100*'Plant Inputs'!P37/'Plant Inputs'!Q37,0),2)</f>
        <v>89.96</v>
      </c>
      <c r="AN7" s="7">
        <f>ROUND(IFERROR(100*'Plant Inputs'!P38/'Plant Inputs'!Q38,0),2)</f>
        <v>92.64</v>
      </c>
      <c r="AO7" s="7">
        <f>ROUND(IFERROR(100*'Plant Inputs'!P39/'Plant Inputs'!Q39,0),2)</f>
        <v>92.87</v>
      </c>
    </row>
    <row r="8" spans="1:41">
      <c r="A8" s="6" t="s">
        <v>472</v>
      </c>
      <c r="B8" s="6" t="s">
        <v>473</v>
      </c>
      <c r="C8" s="6" t="s">
        <v>474</v>
      </c>
      <c r="D8" s="6" t="s">
        <v>25</v>
      </c>
      <c r="E8" s="6" t="s">
        <v>475</v>
      </c>
      <c r="F8" s="7">
        <f>ROUND(IFERROR('Plant Inputs'!J4/'Plant Inputs'!U4,0),2)</f>
        <v>346.15</v>
      </c>
      <c r="G8" s="7">
        <f>ROUND(IFERROR('Plant Inputs'!J5/'Plant Inputs'!U5,0),2)</f>
        <v>234.17</v>
      </c>
      <c r="H8" s="7">
        <f>ROUND(IFERROR('Plant Inputs'!J6/'Plant Inputs'!U6,0),2)</f>
        <v>340.75</v>
      </c>
      <c r="I8" s="7">
        <f>ROUND(IFERROR('Plant Inputs'!J7/'Plant Inputs'!U7,0),2)</f>
        <v>175.4</v>
      </c>
      <c r="J8" s="7">
        <f>ROUND(IFERROR('Plant Inputs'!J8/'Plant Inputs'!U8,0),2)</f>
        <v>355.35</v>
      </c>
      <c r="K8" s="7">
        <f>ROUND(IFERROR('Plant Inputs'!J9/'Plant Inputs'!U9,0),2)</f>
        <v>166.13</v>
      </c>
      <c r="L8" s="7">
        <f>ROUND(IFERROR('Plant Inputs'!J10/'Plant Inputs'!U10,0),2)</f>
        <v>135.02</v>
      </c>
      <c r="M8" s="7">
        <f>ROUND(IFERROR('Plant Inputs'!J11/'Plant Inputs'!U11,0),2)</f>
        <v>126.14</v>
      </c>
      <c r="N8" s="7">
        <f>ROUND(IFERROR('Plant Inputs'!J12/'Plant Inputs'!U12,0),2)</f>
        <v>167.48</v>
      </c>
      <c r="O8" s="7">
        <f>ROUND(IFERROR('Plant Inputs'!J13/'Plant Inputs'!U13,0),2)</f>
        <v>109.23</v>
      </c>
      <c r="P8" s="7">
        <f>ROUND(IFERROR('Plant Inputs'!J14/'Plant Inputs'!U14,0),2)</f>
        <v>150.85</v>
      </c>
      <c r="Q8" s="7">
        <f>ROUND(IFERROR('Plant Inputs'!J15/'Plant Inputs'!U15,0),2)</f>
        <v>104.05</v>
      </c>
      <c r="R8" s="7">
        <f>ROUND(IFERROR('Plant Inputs'!J16/'Plant Inputs'!U16,0),2)</f>
        <v>339.55</v>
      </c>
      <c r="S8" s="7">
        <f>ROUND(IFERROR('Plant Inputs'!J17/'Plant Inputs'!U17,0),2)</f>
        <v>161.05</v>
      </c>
      <c r="T8" s="7">
        <f>ROUND(IFERROR('Plant Inputs'!J18/'Plant Inputs'!U18,0),2)</f>
        <v>168.08</v>
      </c>
      <c r="U8" s="7">
        <f>ROUND(IFERROR('Plant Inputs'!J19/'Plant Inputs'!U19,0),2)</f>
        <v>174.45</v>
      </c>
      <c r="V8" s="7">
        <f>ROUND(IFERROR('Plant Inputs'!J20/'Plant Inputs'!U20,0),2)</f>
        <v>177.98</v>
      </c>
      <c r="W8" s="7">
        <f>ROUND(IFERROR('Plant Inputs'!J21/'Plant Inputs'!U21,0),2)</f>
        <v>347.7</v>
      </c>
      <c r="X8" s="7">
        <f>ROUND(IFERROR('Plant Inputs'!J22/'Plant Inputs'!U22,0),2)</f>
        <v>344.2</v>
      </c>
      <c r="Y8" s="7">
        <f>ROUND(IFERROR('Plant Inputs'!J23/'Plant Inputs'!U23,0),2)</f>
        <v>172.55</v>
      </c>
      <c r="Z8" s="7">
        <f>ROUND(IFERROR('Plant Inputs'!J24/'Plant Inputs'!U24,0),2)</f>
        <v>224.6</v>
      </c>
      <c r="AA8" s="7">
        <f>ROUND(IFERROR('Plant Inputs'!J25/'Plant Inputs'!U25,0),2)</f>
        <v>177.03</v>
      </c>
      <c r="AB8" s="7">
        <f>ROUND(IFERROR('Plant Inputs'!J26/'Plant Inputs'!U26,0),2)</f>
        <v>649.4</v>
      </c>
      <c r="AC8" s="7">
        <f>ROUND(IFERROR('Plant Inputs'!J27/'Plant Inputs'!U27,0),2)</f>
        <v>690.6</v>
      </c>
      <c r="AD8" s="7">
        <f>ROUND(IFERROR('Plant Inputs'!J28/'Plant Inputs'!U28,0),2)</f>
        <v>342.25</v>
      </c>
      <c r="AE8" s="7">
        <f>ROUND(IFERROR('Plant Inputs'!J29/'Plant Inputs'!U29,0),2)</f>
        <v>321.25</v>
      </c>
      <c r="AF8" s="7">
        <f>ROUND(IFERROR('Plant Inputs'!J30/'Plant Inputs'!U30,0),2)</f>
        <v>226.9</v>
      </c>
      <c r="AG8" s="7">
        <f>ROUND(IFERROR('Plant Inputs'!J31/'Plant Inputs'!U31,0),2)</f>
        <v>715.3</v>
      </c>
      <c r="AH8" s="7">
        <f>ROUND(IFERROR('Plant Inputs'!J32/'Plant Inputs'!U32,0),2)</f>
        <v>161.15</v>
      </c>
      <c r="AI8" s="7">
        <f>ROUND(IFERROR('Plant Inputs'!J33/'Plant Inputs'!U33,0),2)</f>
        <v>689.9</v>
      </c>
      <c r="AJ8" s="7">
        <f>ROUND(IFERROR('Plant Inputs'!J34/'Plant Inputs'!U34,0),2)</f>
        <v>694.1</v>
      </c>
      <c r="AK8" s="7">
        <f>ROUND(IFERROR('Plant Inputs'!J35/'Plant Inputs'!U35,0),2)</f>
        <v>216.67</v>
      </c>
      <c r="AL8" s="7">
        <f>ROUND(IFERROR('Plant Inputs'!J36/'Plant Inputs'!U36,0),2)</f>
        <v>685.1</v>
      </c>
      <c r="AM8" s="7">
        <f>ROUND(IFERROR('Plant Inputs'!J37/'Plant Inputs'!U37,0),2)</f>
        <v>233.3</v>
      </c>
      <c r="AN8" s="7">
        <f>ROUND(IFERROR('Plant Inputs'!J38/'Plant Inputs'!U38,0),2)</f>
        <v>175.5</v>
      </c>
      <c r="AO8" s="7">
        <f>ROUND(IFERROR('Plant Inputs'!J39/'Plant Inputs'!U39,0),2)</f>
        <v>680.7</v>
      </c>
    </row>
    <row r="9" spans="1:41">
      <c r="A9" s="6" t="s">
        <v>476</v>
      </c>
      <c r="B9" s="6" t="s">
        <v>477</v>
      </c>
      <c r="C9" s="6" t="s">
        <v>474</v>
      </c>
      <c r="D9" s="6" t="s">
        <v>25</v>
      </c>
      <c r="E9" s="6" t="s">
        <v>478</v>
      </c>
      <c r="F9" s="7">
        <f>ROUND(IFERROR('Plant Inputs'!V4/'Plant Inputs'!U4,0),2)</f>
        <v>3.55</v>
      </c>
      <c r="G9" s="7">
        <f>ROUND(IFERROR('Plant Inputs'!V5/'Plant Inputs'!U5,0),2)</f>
        <v>5.17</v>
      </c>
      <c r="H9" s="7">
        <f>ROUND(IFERROR('Plant Inputs'!V6/'Plant Inputs'!U6,0),2)</f>
        <v>7.35</v>
      </c>
      <c r="I9" s="7">
        <f>ROUND(IFERROR('Plant Inputs'!V7/'Plant Inputs'!U7,0),2)</f>
        <v>5.33</v>
      </c>
      <c r="J9" s="7">
        <f>ROUND(IFERROR('Plant Inputs'!V8/'Plant Inputs'!U8,0),2)</f>
        <v>7.0</v>
      </c>
      <c r="K9" s="7">
        <f>ROUND(IFERROR('Plant Inputs'!V9/'Plant Inputs'!U9,0),2)</f>
        <v>5.4</v>
      </c>
      <c r="L9" s="7">
        <f>ROUND(IFERROR('Plant Inputs'!V10/'Plant Inputs'!U10,0),2)</f>
        <v>5.72</v>
      </c>
      <c r="M9" s="7">
        <f>ROUND(IFERROR('Plant Inputs'!V11/'Plant Inputs'!U11,0),2)</f>
        <v>8.1</v>
      </c>
      <c r="N9" s="7">
        <f>ROUND(IFERROR('Plant Inputs'!V12/'Plant Inputs'!U12,0),2)</f>
        <v>8.15</v>
      </c>
      <c r="O9" s="7">
        <f>ROUND(IFERROR('Plant Inputs'!V13/'Plant Inputs'!U13,0),2)</f>
        <v>10.95</v>
      </c>
      <c r="P9" s="7">
        <f>ROUND(IFERROR('Plant Inputs'!V14/'Plant Inputs'!U14,0),2)</f>
        <v>11.7</v>
      </c>
      <c r="Q9" s="7">
        <f>ROUND(IFERROR('Plant Inputs'!V15/'Plant Inputs'!U15,0),2)</f>
        <v>11.42</v>
      </c>
      <c r="R9" s="7">
        <f>ROUND(IFERROR('Plant Inputs'!V16/'Plant Inputs'!U16,0),2)</f>
        <v>5.8</v>
      </c>
      <c r="S9" s="7">
        <f>ROUND(IFERROR('Plant Inputs'!V17/'Plant Inputs'!U17,0),2)</f>
        <v>4.6</v>
      </c>
      <c r="T9" s="7">
        <f>ROUND(IFERROR('Plant Inputs'!V18/'Plant Inputs'!U18,0),2)</f>
        <v>5.78</v>
      </c>
      <c r="U9" s="7">
        <f>ROUND(IFERROR('Plant Inputs'!V19/'Plant Inputs'!U19,0),2)</f>
        <v>5.45</v>
      </c>
      <c r="V9" s="7">
        <f>ROUND(IFERROR('Plant Inputs'!V20/'Plant Inputs'!U20,0),2)</f>
        <v>5.25</v>
      </c>
      <c r="W9" s="7">
        <f>ROUND(IFERROR('Plant Inputs'!V21/'Plant Inputs'!U21,0),2)</f>
        <v>4.4</v>
      </c>
      <c r="X9" s="7">
        <f>ROUND(IFERROR('Plant Inputs'!V22/'Plant Inputs'!U22,0),2)</f>
        <v>3.4</v>
      </c>
      <c r="Y9" s="7">
        <f>ROUND(IFERROR('Plant Inputs'!V23/'Plant Inputs'!U23,0),2)</f>
        <v>7.78</v>
      </c>
      <c r="Z9" s="7">
        <f>ROUND(IFERROR('Plant Inputs'!V24/'Plant Inputs'!U24,0),2)</f>
        <v>8.47</v>
      </c>
      <c r="AA9" s="7">
        <f>ROUND(IFERROR('Plant Inputs'!V25/'Plant Inputs'!U25,0),2)</f>
        <v>3.85</v>
      </c>
      <c r="AB9" s="7">
        <f>ROUND(IFERROR('Plant Inputs'!V26/'Plant Inputs'!U26,0),2)</f>
        <v>4.1</v>
      </c>
      <c r="AC9" s="7">
        <f>ROUND(IFERROR('Plant Inputs'!V27/'Plant Inputs'!U27,0),2)</f>
        <v>6.8</v>
      </c>
      <c r="AD9" s="7">
        <f>ROUND(IFERROR('Plant Inputs'!V28/'Plant Inputs'!U28,0),2)</f>
        <v>6.95</v>
      </c>
      <c r="AE9" s="7">
        <f>ROUND(IFERROR('Plant Inputs'!V29/'Plant Inputs'!U29,0),2)</f>
        <v>4.65</v>
      </c>
      <c r="AF9" s="7">
        <f>ROUND(IFERROR('Plant Inputs'!V30/'Plant Inputs'!U30,0),2)</f>
        <v>4.0</v>
      </c>
      <c r="AG9" s="7">
        <f>ROUND(IFERROR('Plant Inputs'!V31/'Plant Inputs'!U31,0),2)</f>
        <v>6.0</v>
      </c>
      <c r="AH9" s="7">
        <f>ROUND(IFERROR('Plant Inputs'!V32/'Plant Inputs'!U32,0),2)</f>
        <v>7.63</v>
      </c>
      <c r="AI9" s="7">
        <f>ROUND(IFERROR('Plant Inputs'!V33/'Plant Inputs'!U33,0),2)</f>
        <v>5.2</v>
      </c>
      <c r="AJ9" s="7">
        <f>ROUND(IFERROR('Plant Inputs'!V34/'Plant Inputs'!U34,0),2)</f>
        <v>3.1</v>
      </c>
      <c r="AK9" s="7">
        <f>ROUND(IFERROR('Plant Inputs'!V35/'Plant Inputs'!U35,0),2)</f>
        <v>4.87</v>
      </c>
      <c r="AL9" s="7">
        <f>ROUND(IFERROR('Plant Inputs'!V36/'Plant Inputs'!U36,0),2)</f>
        <v>4.0</v>
      </c>
      <c r="AM9" s="7">
        <f>ROUND(IFERROR('Plant Inputs'!V37/'Plant Inputs'!U37,0),2)</f>
        <v>5.63</v>
      </c>
      <c r="AN9" s="7">
        <f>ROUND(IFERROR('Plant Inputs'!V38/'Plant Inputs'!U38,0),2)</f>
        <v>3.7</v>
      </c>
      <c r="AO9" s="7">
        <f>ROUND(IFERROR('Plant Inputs'!V39/'Plant Inputs'!U39,0),2)</f>
        <v>6.5</v>
      </c>
    </row>
    <row r="10" spans="1:41">
      <c r="A10" s="6" t="s">
        <v>479</v>
      </c>
      <c r="B10" s="6" t="s">
        <v>480</v>
      </c>
      <c r="C10" s="6" t="s">
        <v>474</v>
      </c>
      <c r="D10" s="6" t="s">
        <v>25</v>
      </c>
      <c r="E10" s="6" t="s">
        <v>480</v>
      </c>
      <c r="F10" s="7">
        <f>ROUND('Plant Inputs'!K4,2)</f>
        <v>13.3</v>
      </c>
      <c r="G10" s="7">
        <f>ROUND('Plant Inputs'!K5,2)</f>
        <v>19.6</v>
      </c>
      <c r="H10" s="7">
        <f>ROUND('Plant Inputs'!K6,2)</f>
        <v>18.6</v>
      </c>
      <c r="I10" s="7">
        <f>ROUND('Plant Inputs'!K7,2)</f>
        <v>27.2</v>
      </c>
      <c r="J10" s="7">
        <f>ROUND('Plant Inputs'!K8,2)</f>
        <v>19.1</v>
      </c>
      <c r="K10" s="7">
        <f>ROUND('Plant Inputs'!K9,2)</f>
        <v>30.2</v>
      </c>
      <c r="L10" s="7">
        <f>ROUND('Plant Inputs'!K10,2)</f>
        <v>31.0</v>
      </c>
      <c r="M10" s="7">
        <f>ROUND('Plant Inputs'!K11,2)</f>
        <v>45.8</v>
      </c>
      <c r="N10" s="7">
        <f>ROUND('Plant Inputs'!K12,2)</f>
        <v>37.1</v>
      </c>
      <c r="O10" s="7">
        <f>ROUND('Plant Inputs'!K13,2)</f>
        <v>69.3</v>
      </c>
      <c r="P10" s="7">
        <f>ROUND('Plant Inputs'!K14,2)</f>
        <v>53.5</v>
      </c>
      <c r="Q10" s="7">
        <f>ROUND('Plant Inputs'!K15,2)</f>
        <v>78.2</v>
      </c>
      <c r="R10" s="7">
        <f>ROUND('Plant Inputs'!K16,2)</f>
        <v>18.5</v>
      </c>
      <c r="S10" s="7">
        <f>ROUND('Plant Inputs'!K17,2)</f>
        <v>22.6</v>
      </c>
      <c r="T10" s="7">
        <f>ROUND('Plant Inputs'!K18,2)</f>
        <v>30.0</v>
      </c>
      <c r="U10" s="7">
        <f>ROUND('Plant Inputs'!K19,2)</f>
        <v>30.6</v>
      </c>
      <c r="V10" s="7">
        <f>ROUND('Plant Inputs'!K20,2)</f>
        <v>23.6</v>
      </c>
      <c r="W10" s="7">
        <f>ROUND('Plant Inputs'!K21,2)</f>
        <v>12.3</v>
      </c>
      <c r="X10" s="7">
        <f>ROUND('Plant Inputs'!K22,2)</f>
        <v>13.3</v>
      </c>
      <c r="Y10" s="7">
        <f>ROUND('Plant Inputs'!K23,2)</f>
        <v>40.9</v>
      </c>
      <c r="Z10" s="7">
        <f>ROUND('Plant Inputs'!K24,2)</f>
        <v>33.6</v>
      </c>
      <c r="AA10" s="7">
        <f>ROUND('Plant Inputs'!K25,2)</f>
        <v>22.0</v>
      </c>
      <c r="AB10" s="7">
        <f>ROUND('Plant Inputs'!K26,2)</f>
        <v>9.4</v>
      </c>
      <c r="AC10" s="7">
        <f>ROUND('Plant Inputs'!K27,2)</f>
        <v>10.1</v>
      </c>
      <c r="AD10" s="7">
        <f>ROUND('Plant Inputs'!K28,2)</f>
        <v>17.0</v>
      </c>
      <c r="AE10" s="7">
        <f>ROUND('Plant Inputs'!K29,2)</f>
        <v>18.2</v>
      </c>
      <c r="AF10" s="7">
        <f>ROUND('Plant Inputs'!K30,2)</f>
        <v>15.1</v>
      </c>
      <c r="AG10" s="7">
        <f>ROUND('Plant Inputs'!K31,2)</f>
        <v>13.1</v>
      </c>
      <c r="AH10" s="7">
        <f>ROUND('Plant Inputs'!K32,2)</f>
        <v>34.9</v>
      </c>
      <c r="AI10" s="7">
        <f>ROUND('Plant Inputs'!K33,2)</f>
        <v>10.2</v>
      </c>
      <c r="AJ10" s="7">
        <f>ROUND('Plant Inputs'!K34,2)</f>
        <v>10.8</v>
      </c>
      <c r="AK10" s="7">
        <f>ROUND('Plant Inputs'!K35,2)</f>
        <v>20.8</v>
      </c>
      <c r="AL10" s="7">
        <f>ROUND('Plant Inputs'!K36,2)</f>
        <v>7.6</v>
      </c>
      <c r="AM10" s="7">
        <f>ROUND('Plant Inputs'!K37,2)</f>
        <v>23.1</v>
      </c>
      <c r="AN10" s="7">
        <f>ROUND('Plant Inputs'!K38,2)</f>
        <v>23.5</v>
      </c>
      <c r="AO10" s="7">
        <f>ROUND('Plant Inputs'!K39,2)</f>
        <v>13.4</v>
      </c>
    </row>
    <row r="11" spans="1:41">
      <c r="A11" s="6" t="s">
        <v>481</v>
      </c>
      <c r="B11" s="6" t="s">
        <v>482</v>
      </c>
      <c r="C11" s="6" t="s">
        <v>483</v>
      </c>
      <c r="D11" s="6" t="s">
        <v>25</v>
      </c>
      <c r="E11" s="6" t="s">
        <v>484</v>
      </c>
      <c r="F11" s="7">
        <f>ROUND('Plant Inputs'!T4,2)</f>
        <v>1823.0</v>
      </c>
      <c r="G11" s="7">
        <f>ROUND('Plant Inputs'!T5,2)</f>
        <v>2687.0</v>
      </c>
      <c r="H11" s="7">
        <f>ROUND('Plant Inputs'!T6,2)</f>
        <v>2550.0</v>
      </c>
      <c r="I11" s="7">
        <f>ROUND('Plant Inputs'!T7,2)</f>
        <v>3729.0</v>
      </c>
      <c r="J11" s="7">
        <f>ROUND('Plant Inputs'!T8,2)</f>
        <v>2619.0</v>
      </c>
      <c r="K11" s="7">
        <f>ROUND('Plant Inputs'!T9,2)</f>
        <v>4140.0</v>
      </c>
      <c r="L11" s="7">
        <f>ROUND('Plant Inputs'!T10,2)</f>
        <v>5856.0</v>
      </c>
      <c r="M11" s="7">
        <f>ROUND('Plant Inputs'!T11,2)</f>
        <v>8652.0</v>
      </c>
      <c r="N11" s="7">
        <f>ROUND('Plant Inputs'!T12,2)</f>
        <v>7008.0</v>
      </c>
      <c r="O11" s="7">
        <f>ROUND('Plant Inputs'!T13,2)</f>
        <v>13091.0</v>
      </c>
      <c r="P11" s="7">
        <f>ROUND('Plant Inputs'!T14,2)</f>
        <v>10106.0</v>
      </c>
      <c r="Q11" s="7">
        <f>ROUND('Plant Inputs'!T15,2)</f>
        <v>14772.0</v>
      </c>
      <c r="R11" s="7">
        <f>ROUND('Plant Inputs'!T16,2)</f>
        <v>4170.0</v>
      </c>
      <c r="S11" s="7">
        <f>ROUND('Plant Inputs'!T17,2)</f>
        <v>5094.0</v>
      </c>
      <c r="T11" s="7">
        <f>ROUND('Plant Inputs'!T18,2)</f>
        <v>6762.0</v>
      </c>
      <c r="U11" s="7">
        <f>ROUND('Plant Inputs'!T19,2)</f>
        <v>6897.0</v>
      </c>
      <c r="V11" s="7">
        <f>ROUND('Plant Inputs'!T20,2)</f>
        <v>5319.0</v>
      </c>
      <c r="W11" s="7">
        <f>ROUND('Plant Inputs'!T21,2)</f>
        <v>2772.0</v>
      </c>
      <c r="X11" s="7">
        <f>ROUND('Plant Inputs'!T22,2)</f>
        <v>1686.0</v>
      </c>
      <c r="Y11" s="7">
        <f>ROUND('Plant Inputs'!T23,2)</f>
        <v>5186.0</v>
      </c>
      <c r="Z11" s="7">
        <f>ROUND('Plant Inputs'!T24,2)</f>
        <v>4260.0</v>
      </c>
      <c r="AA11" s="7">
        <f>ROUND('Plant Inputs'!T25,2)</f>
        <v>2790.0</v>
      </c>
      <c r="AB11" s="7">
        <f>ROUND('Plant Inputs'!T26,2)</f>
        <v>1192.0</v>
      </c>
      <c r="AC11" s="7">
        <f>ROUND('Plant Inputs'!T27,2)</f>
        <v>1281.0</v>
      </c>
      <c r="AD11" s="7">
        <f>ROUND('Plant Inputs'!T28,2)</f>
        <v>3485.0</v>
      </c>
      <c r="AE11" s="7">
        <f>ROUND('Plant Inputs'!T29,2)</f>
        <v>3731.0</v>
      </c>
      <c r="AF11" s="7">
        <f>ROUND('Plant Inputs'!T30,2)</f>
        <v>3096.0</v>
      </c>
      <c r="AG11" s="7">
        <f>ROUND('Plant Inputs'!T31,2)</f>
        <v>2686.0</v>
      </c>
      <c r="AH11" s="7">
        <f>ROUND('Plant Inputs'!T32,2)</f>
        <v>7154.0</v>
      </c>
      <c r="AI11" s="7">
        <f>ROUND('Plant Inputs'!T33,2)</f>
        <v>2091.0</v>
      </c>
      <c r="AJ11" s="7">
        <f>ROUND('Plant Inputs'!T34,2)</f>
        <v>1709.0</v>
      </c>
      <c r="AK11" s="7">
        <f>ROUND('Plant Inputs'!T35,2)</f>
        <v>3291.0</v>
      </c>
      <c r="AL11" s="7">
        <f>ROUND('Plant Inputs'!T36,2)</f>
        <v>1202.0</v>
      </c>
      <c r="AM11" s="7">
        <f>ROUND('Plant Inputs'!T37,2)</f>
        <v>3654.0</v>
      </c>
      <c r="AN11" s="7">
        <f>ROUND('Plant Inputs'!T38,2)</f>
        <v>3718.0</v>
      </c>
      <c r="AO11" s="7">
        <f>ROUND('Plant Inputs'!T39,2)</f>
        <v>2120.0</v>
      </c>
    </row>
    <row r="12" spans="1:41">
      <c r="A12" s="6" t="s">
        <v>485</v>
      </c>
      <c r="B12" s="6" t="s">
        <v>486</v>
      </c>
      <c r="C12" s="6" t="s">
        <v>455</v>
      </c>
      <c r="D12" s="6" t="s">
        <v>25</v>
      </c>
      <c r="E12" s="6" t="s">
        <v>487</v>
      </c>
      <c r="F12" s="7">
        <f>ROUND(IFERROR(100*'Plant Inputs'!X4/'Plant Inputs'!W4,0),2)</f>
        <v>97.3</v>
      </c>
      <c r="G12" s="7">
        <f>ROUND(IFERROR(100*'Plant Inputs'!X5/'Plant Inputs'!W5,0),2)</f>
        <v>97.92</v>
      </c>
      <c r="H12" s="7">
        <f>ROUND(IFERROR(100*'Plant Inputs'!X6/'Plant Inputs'!W6,0),2)</f>
        <v>93.75</v>
      </c>
      <c r="I12" s="7">
        <f>ROUND(IFERROR(100*'Plant Inputs'!X7/'Plant Inputs'!W7,0),2)</f>
        <v>94.55</v>
      </c>
      <c r="J12" s="7">
        <f>ROUND(IFERROR(100*'Plant Inputs'!X8/'Plant Inputs'!W8,0),2)</f>
        <v>96.88</v>
      </c>
      <c r="K12" s="7">
        <f>ROUND(IFERROR(100*'Plant Inputs'!X9/'Plant Inputs'!W9,0),2)</f>
        <v>93.48</v>
      </c>
      <c r="L12" s="7">
        <f>ROUND(IFERROR(100*'Plant Inputs'!X10/'Plant Inputs'!W10,0),2)</f>
        <v>85.0</v>
      </c>
      <c r="M12" s="7">
        <f>ROUND(IFERROR(100*'Plant Inputs'!X11/'Plant Inputs'!W11,0),2)</f>
        <v>75.0</v>
      </c>
      <c r="N12" s="7">
        <f>ROUND(IFERROR(100*'Plant Inputs'!X12/'Plant Inputs'!W12,0),2)</f>
        <v>86.11</v>
      </c>
      <c r="O12" s="7">
        <f>ROUND(IFERROR(100*'Plant Inputs'!X13/'Plant Inputs'!W13,0),2)</f>
        <v>78.57</v>
      </c>
      <c r="P12" s="7">
        <f>ROUND(IFERROR(100*'Plant Inputs'!X14/'Plant Inputs'!W14,0),2)</f>
        <v>94.87</v>
      </c>
      <c r="Q12" s="7">
        <f>ROUND(IFERROR(100*'Plant Inputs'!X15/'Plant Inputs'!W15,0),2)</f>
        <v>81.82</v>
      </c>
      <c r="R12" s="7">
        <f>ROUND(IFERROR(100*'Plant Inputs'!X16/'Plant Inputs'!W16,0),2)</f>
        <v>97.83</v>
      </c>
      <c r="S12" s="7">
        <f>ROUND(IFERROR(100*'Plant Inputs'!X17/'Plant Inputs'!W17,0),2)</f>
        <v>94.44</v>
      </c>
      <c r="T12" s="7">
        <f>ROUND(IFERROR(100*'Plant Inputs'!X18/'Plant Inputs'!W18,0),2)</f>
        <v>96.0</v>
      </c>
      <c r="U12" s="7">
        <f>ROUND(IFERROR(100*'Plant Inputs'!X19/'Plant Inputs'!W19,0),2)</f>
        <v>96.77</v>
      </c>
      <c r="V12" s="7">
        <f>ROUND(IFERROR(100*'Plant Inputs'!X20/'Plant Inputs'!W20,0),2)</f>
        <v>100.0</v>
      </c>
      <c r="W12" s="7">
        <f>ROUND(IFERROR(100*'Plant Inputs'!X21/'Plant Inputs'!W21,0),2)</f>
        <v>100.0</v>
      </c>
      <c r="X12" s="7">
        <f>ROUND(IFERROR(100*'Plant Inputs'!X22/'Plant Inputs'!W22,0),2)</f>
        <v>93.48</v>
      </c>
      <c r="Y12" s="7">
        <f>ROUND(IFERROR(100*'Plant Inputs'!X23/'Plant Inputs'!W23,0),2)</f>
        <v>100.0</v>
      </c>
      <c r="Z12" s="7">
        <f>ROUND(IFERROR(100*'Plant Inputs'!X24/'Plant Inputs'!W24,0),2)</f>
        <v>94.74</v>
      </c>
      <c r="AA12" s="7">
        <f>ROUND(IFERROR(100*'Plant Inputs'!X25/'Plant Inputs'!W25,0),2)</f>
        <v>96.08</v>
      </c>
      <c r="AB12" s="7">
        <f>ROUND(IFERROR(100*'Plant Inputs'!X26/'Plant Inputs'!W26,0),2)</f>
        <v>97.06</v>
      </c>
      <c r="AC12" s="7">
        <f>ROUND(IFERROR(100*'Plant Inputs'!X27/'Plant Inputs'!W27,0),2)</f>
        <v>100.0</v>
      </c>
      <c r="AD12" s="7">
        <f>ROUND(IFERROR(100*'Plant Inputs'!X28/'Plant Inputs'!W28,0),2)</f>
        <v>92.31</v>
      </c>
      <c r="AE12" s="7">
        <f>ROUND(IFERROR(100*'Plant Inputs'!X29/'Plant Inputs'!W29,0),2)</f>
        <v>92.31</v>
      </c>
      <c r="AF12" s="7">
        <f>ROUND(IFERROR(100*'Plant Inputs'!X30/'Plant Inputs'!W30,0),2)</f>
        <v>97.37</v>
      </c>
      <c r="AG12" s="7">
        <f>ROUND(IFERROR(100*'Plant Inputs'!X31/'Plant Inputs'!W31,0),2)</f>
        <v>98.28</v>
      </c>
      <c r="AH12" s="7">
        <f>ROUND(IFERROR(100*'Plant Inputs'!X32/'Plant Inputs'!W32,0),2)</f>
        <v>100.0</v>
      </c>
      <c r="AI12" s="7">
        <f>ROUND(IFERROR(100*'Plant Inputs'!X33/'Plant Inputs'!W33,0),2)</f>
        <v>97.62</v>
      </c>
      <c r="AJ12" s="7">
        <f>ROUND(IFERROR(100*'Plant Inputs'!X34/'Plant Inputs'!W34,0),2)</f>
        <v>94.87</v>
      </c>
      <c r="AK12" s="7">
        <f>ROUND(IFERROR(100*'Plant Inputs'!X35/'Plant Inputs'!W35,0),2)</f>
        <v>96.08</v>
      </c>
      <c r="AL12" s="7">
        <f>ROUND(IFERROR(100*'Plant Inputs'!X36/'Plant Inputs'!W36,0),2)</f>
        <v>100.0</v>
      </c>
      <c r="AM12" s="7">
        <f>ROUND(IFERROR(100*'Plant Inputs'!X37/'Plant Inputs'!W37,0),2)</f>
        <v>93.55</v>
      </c>
      <c r="AN12" s="7">
        <f>ROUND(IFERROR(100*'Plant Inputs'!X38/'Plant Inputs'!W38,0),2)</f>
        <v>100.0</v>
      </c>
      <c r="AO12" s="7">
        <f>ROUND(IFERROR(100*'Plant Inputs'!X39/'Plant Inputs'!W39,0),2)</f>
        <v>94.44</v>
      </c>
    </row>
    <row r="13" spans="1:41">
      <c r="A13" s="6" t="s">
        <v>488</v>
      </c>
      <c r="B13" s="6" t="s">
        <v>489</v>
      </c>
      <c r="C13" s="6" t="s">
        <v>490</v>
      </c>
      <c r="D13" s="6" t="s">
        <v>25</v>
      </c>
      <c r="E13" s="6" t="s">
        <v>491</v>
      </c>
      <c r="F13" s="7">
        <f>ROUND(IFERROR(1000*('Plant Inputs'!Y4+'Plant Inputs'!AA4)/'Plant Inputs'!P4,0),2)</f>
        <v>2906.03</v>
      </c>
      <c r="G13" s="7">
        <f>ROUND(IFERROR(1000*('Plant Inputs'!Y5+'Plant Inputs'!AA5)/'Plant Inputs'!P5,0),2)</f>
        <v>3391.09</v>
      </c>
      <c r="H13" s="7">
        <f>ROUND(IFERROR(1000*('Plant Inputs'!Y6+'Plant Inputs'!AA6)/'Plant Inputs'!P6,0),2)</f>
        <v>3339.17</v>
      </c>
      <c r="I13" s="7">
        <f>ROUND(IFERROR(1000*('Plant Inputs'!Y7+'Plant Inputs'!AA7)/'Plant Inputs'!P7,0),2)</f>
        <v>2671.69</v>
      </c>
      <c r="J13" s="7">
        <f>ROUND(IFERROR(1000*('Plant Inputs'!Y8+'Plant Inputs'!AA8)/'Plant Inputs'!P8,0),2)</f>
        <v>3076.99</v>
      </c>
      <c r="K13" s="7">
        <f>ROUND(IFERROR(1000*('Plant Inputs'!Y9+'Plant Inputs'!AA9)/'Plant Inputs'!P9,0),2)</f>
        <v>2779.02</v>
      </c>
      <c r="L13" s="7">
        <f>ROUND(IFERROR(1000*('Plant Inputs'!Y10+'Plant Inputs'!AA10)/'Plant Inputs'!P10,0),2)</f>
        <v>2996.22</v>
      </c>
      <c r="M13" s="7">
        <f>ROUND(IFERROR(1000*('Plant Inputs'!Y11+'Plant Inputs'!AA11)/'Plant Inputs'!P11,0),2)</f>
        <v>3628.88</v>
      </c>
      <c r="N13" s="7">
        <f>ROUND(IFERROR(1000*('Plant Inputs'!Y12+'Plant Inputs'!AA12)/'Plant Inputs'!P12,0),2)</f>
        <v>3512.18</v>
      </c>
      <c r="O13" s="7">
        <f>ROUND(IFERROR(1000*('Plant Inputs'!Y13+'Plant Inputs'!AA13)/'Plant Inputs'!P13,0),2)</f>
        <v>3600.77</v>
      </c>
      <c r="P13" s="7">
        <f>ROUND(IFERROR(1000*('Plant Inputs'!Y14+'Plant Inputs'!AA14)/'Plant Inputs'!P14,0),2)</f>
        <v>3408.84</v>
      </c>
      <c r="Q13" s="7">
        <f>ROUND(IFERROR(1000*('Plant Inputs'!Y15+'Plant Inputs'!AA15)/'Plant Inputs'!P15,0),2)</f>
        <v>3245.21</v>
      </c>
      <c r="R13" s="7">
        <f>ROUND(IFERROR(1000*('Plant Inputs'!Y16+'Plant Inputs'!AA16)/'Plant Inputs'!P16,0),2)</f>
        <v>3135.21</v>
      </c>
      <c r="S13" s="7">
        <f>ROUND(IFERROR(1000*('Plant Inputs'!Y17+'Plant Inputs'!AA17)/'Plant Inputs'!P17,0),2)</f>
        <v>3085.71</v>
      </c>
      <c r="T13" s="7">
        <f>ROUND(IFERROR(1000*('Plant Inputs'!Y18+'Plant Inputs'!AA18)/'Plant Inputs'!P18,0),2)</f>
        <v>2680.85</v>
      </c>
      <c r="U13" s="7">
        <f>ROUND(IFERROR(1000*('Plant Inputs'!Y19+'Plant Inputs'!AA19)/'Plant Inputs'!P19,0),2)</f>
        <v>2709.7</v>
      </c>
      <c r="V13" s="7">
        <f>ROUND(IFERROR(1000*('Plant Inputs'!Y20+'Plant Inputs'!AA20)/'Plant Inputs'!P20,0),2)</f>
        <v>3069.6</v>
      </c>
      <c r="W13" s="7">
        <f>ROUND(IFERROR(1000*('Plant Inputs'!Y21+'Plant Inputs'!AA21)/'Plant Inputs'!P21,0),2)</f>
        <v>2629.1</v>
      </c>
      <c r="X13" s="7">
        <f>ROUND(IFERROR(1000*('Plant Inputs'!Y22+'Plant Inputs'!AA22)/'Plant Inputs'!P22,0),2)</f>
        <v>3104.64</v>
      </c>
      <c r="Y13" s="7">
        <f>ROUND(IFERROR(1000*('Plant Inputs'!Y23+'Plant Inputs'!AA23)/'Plant Inputs'!P23,0),2)</f>
        <v>3084.92</v>
      </c>
      <c r="Z13" s="7">
        <f>ROUND(IFERROR(1000*('Plant Inputs'!Y24+'Plant Inputs'!AA24)/'Plant Inputs'!P24,0),2)</f>
        <v>3272.85</v>
      </c>
      <c r="AA13" s="7">
        <f>ROUND(IFERROR(1000*('Plant Inputs'!Y25+'Plant Inputs'!AA25)/'Plant Inputs'!P25,0),2)</f>
        <v>3329.51</v>
      </c>
      <c r="AB13" s="7">
        <f>ROUND(IFERROR(1000*('Plant Inputs'!Y26+'Plant Inputs'!AA26)/'Plant Inputs'!P26,0),2)</f>
        <v>2862.06</v>
      </c>
      <c r="AC13" s="7">
        <f>ROUND(IFERROR(1000*('Plant Inputs'!Y27+'Plant Inputs'!AA27)/'Plant Inputs'!P27,0),2)</f>
        <v>3275.49</v>
      </c>
      <c r="AD13" s="7">
        <f>ROUND(IFERROR(1000*('Plant Inputs'!Y28+'Plant Inputs'!AA28)/'Plant Inputs'!P28,0),2)</f>
        <v>3370.62</v>
      </c>
      <c r="AE13" s="7">
        <f>ROUND(IFERROR(1000*('Plant Inputs'!Y29+'Plant Inputs'!AA29)/'Plant Inputs'!P29,0),2)</f>
        <v>2988.5</v>
      </c>
      <c r="AF13" s="7">
        <f>ROUND(IFERROR(1000*('Plant Inputs'!Y30+'Plant Inputs'!AA30)/'Plant Inputs'!P30,0),2)</f>
        <v>3356.79</v>
      </c>
      <c r="AG13" s="7">
        <f>ROUND(IFERROR(1000*('Plant Inputs'!Y31+'Plant Inputs'!AA31)/'Plant Inputs'!P31,0),2)</f>
        <v>3252.16</v>
      </c>
      <c r="AH13" s="7">
        <f>ROUND(IFERROR(1000*('Plant Inputs'!Y32+'Plant Inputs'!AA32)/'Plant Inputs'!P32,0),2)</f>
        <v>3169.56</v>
      </c>
      <c r="AI13" s="7">
        <f>ROUND(IFERROR(1000*('Plant Inputs'!Y33+'Plant Inputs'!AA33)/'Plant Inputs'!P33,0),2)</f>
        <v>3011.79</v>
      </c>
      <c r="AJ13" s="7">
        <f>ROUND(IFERROR(1000*('Plant Inputs'!Y34+'Plant Inputs'!AA34)/'Plant Inputs'!P34,0),2)</f>
        <v>2642.99</v>
      </c>
      <c r="AK13" s="7">
        <f>ROUND(IFERROR(1000*('Plant Inputs'!Y35+'Plant Inputs'!AA35)/'Plant Inputs'!P35,0),2)</f>
        <v>2845.15</v>
      </c>
      <c r="AL13" s="7">
        <f>ROUND(IFERROR(1000*('Plant Inputs'!Y36+'Plant Inputs'!AA36)/'Plant Inputs'!P36,0),2)</f>
        <v>3011.24</v>
      </c>
      <c r="AM13" s="7">
        <f>ROUND(IFERROR(1000*('Plant Inputs'!Y37+'Plant Inputs'!AA37)/'Plant Inputs'!P37,0),2)</f>
        <v>3136.51</v>
      </c>
      <c r="AN13" s="7">
        <f>ROUND(IFERROR(1000*('Plant Inputs'!Y38+'Plant Inputs'!AA38)/'Plant Inputs'!P38,0),2)</f>
        <v>3397.13</v>
      </c>
      <c r="AO13" s="7">
        <f>ROUND(IFERROR(1000*('Plant Inputs'!Y39+'Plant Inputs'!AA39)/'Plant Inputs'!P39,0),2)</f>
        <v>2798.98</v>
      </c>
    </row>
    <row r="14" spans="1:41">
      <c r="A14" s="6" t="s">
        <v>492</v>
      </c>
      <c r="B14" s="6" t="s">
        <v>493</v>
      </c>
      <c r="C14" s="6" t="s">
        <v>494</v>
      </c>
      <c r="D14" s="6" t="s">
        <v>25</v>
      </c>
      <c r="E14" s="6" t="s">
        <v>493</v>
      </c>
      <c r="F14" s="7">
        <f>ROUND('Plant Inputs'!Y4,2)</f>
        <v>251985.8</v>
      </c>
      <c r="G14" s="7">
        <f>ROUND('Plant Inputs'!Y5,2)</f>
        <v>272778.7</v>
      </c>
      <c r="H14" s="7">
        <f>ROUND('Plant Inputs'!Y6,2)</f>
        <v>269800.1</v>
      </c>
      <c r="I14" s="7">
        <f>ROUND('Plant Inputs'!Y7,2)</f>
        <v>221284.2</v>
      </c>
      <c r="J14" s="7">
        <f>ROUND('Plant Inputs'!Y8,2)</f>
        <v>268254.7</v>
      </c>
      <c r="K14" s="7">
        <f>ROUND('Plant Inputs'!Y9,2)</f>
        <v>226098.2</v>
      </c>
      <c r="L14" s="7">
        <f>ROUND('Plant Inputs'!Y10,2)</f>
        <v>293950.0</v>
      </c>
      <c r="M14" s="7">
        <f>ROUND('Plant Inputs'!Y11,2)</f>
        <v>350205.1</v>
      </c>
      <c r="N14" s="7">
        <f>ROUND('Plant Inputs'!Y12,2)</f>
        <v>321487.9</v>
      </c>
      <c r="O14" s="7">
        <f>ROUND('Plant Inputs'!Y13,2)</f>
        <v>350472.9</v>
      </c>
      <c r="P14" s="7">
        <f>ROUND('Plant Inputs'!Y14,2)</f>
        <v>293787.6</v>
      </c>
      <c r="Q14" s="7">
        <f>ROUND('Plant Inputs'!Y15,2)</f>
        <v>308111.0</v>
      </c>
      <c r="R14" s="7">
        <f>ROUND('Plant Inputs'!Y16,2)</f>
        <v>423748.9</v>
      </c>
      <c r="S14" s="7">
        <f>ROUND('Plant Inputs'!Y17,2)</f>
        <v>380693.8</v>
      </c>
      <c r="T14" s="7">
        <f>ROUND('Plant Inputs'!Y18,2)</f>
        <v>345324.8</v>
      </c>
      <c r="U14" s="7">
        <f>ROUND('Plant Inputs'!Y19,2)</f>
        <v>381458.3</v>
      </c>
      <c r="V14" s="7">
        <f>ROUND('Plant Inputs'!Y20,2)</f>
        <v>423777.7</v>
      </c>
      <c r="W14" s="7">
        <f>ROUND('Plant Inputs'!Y21,2)</f>
        <v>365860.2</v>
      </c>
      <c r="X14" s="7">
        <f>ROUND('Plant Inputs'!Y22,2)</f>
        <v>238202.9</v>
      </c>
      <c r="Y14" s="7">
        <f>ROUND('Plant Inputs'!Y23,2)</f>
        <v>233996.7</v>
      </c>
      <c r="Z14" s="7">
        <f>ROUND('Plant Inputs'!Y24,2)</f>
        <v>245128.1</v>
      </c>
      <c r="AA14" s="7">
        <f>ROUND('Plant Inputs'!Y25,2)</f>
        <v>257344.0</v>
      </c>
      <c r="AB14" s="7">
        <f>ROUND('Plant Inputs'!Y26,2)</f>
        <v>220843.7</v>
      </c>
      <c r="AC14" s="7">
        <f>ROUND('Plant Inputs'!Y27,2)</f>
        <v>266460.1</v>
      </c>
      <c r="AD14" s="7">
        <f>ROUND('Plant Inputs'!Y28,2)</f>
        <v>435077.3</v>
      </c>
      <c r="AE14" s="7">
        <f>ROUND('Plant Inputs'!Y29,2)</f>
        <v>362340.8</v>
      </c>
      <c r="AF14" s="7">
        <f>ROUND('Plant Inputs'!Y30,2)</f>
        <v>411518.7</v>
      </c>
      <c r="AG14" s="7">
        <f>ROUND('Plant Inputs'!Y31,2)</f>
        <v>444075.7</v>
      </c>
      <c r="AH14" s="7">
        <f>ROUND('Plant Inputs'!Y32,2)</f>
        <v>390308.9</v>
      </c>
      <c r="AI14" s="7">
        <f>ROUND('Plant Inputs'!Y33,2)</f>
        <v>398678.1</v>
      </c>
      <c r="AJ14" s="7">
        <f>ROUND('Plant Inputs'!Y34,2)</f>
        <v>268423.8</v>
      </c>
      <c r="AK14" s="7">
        <f>ROUND('Plant Inputs'!Y35,2)</f>
        <v>257302.8</v>
      </c>
      <c r="AL14" s="7">
        <f>ROUND('Plant Inputs'!Y36,2)</f>
        <v>293503.6</v>
      </c>
      <c r="AM14" s="7">
        <f>ROUND('Plant Inputs'!Y37,2)</f>
        <v>315593.3</v>
      </c>
      <c r="AN14" s="7">
        <f>ROUND('Plant Inputs'!Y38,2)</f>
        <v>329106.6</v>
      </c>
      <c r="AO14" s="7">
        <f>ROUND('Plant Inputs'!Y39,2)</f>
        <v>262617.2</v>
      </c>
    </row>
    <row r="15" spans="1:41">
      <c r="A15" s="6" t="s">
        <v>495</v>
      </c>
      <c r="B15" s="6" t="s">
        <v>496</v>
      </c>
      <c r="C15" s="6" t="s">
        <v>494</v>
      </c>
      <c r="D15" s="6" t="s">
        <v>25</v>
      </c>
      <c r="E15" s="6" t="s">
        <v>496</v>
      </c>
      <c r="F15" s="7">
        <f>ROUND('Plant Inputs'!Z4,2)</f>
        <v>62832.0</v>
      </c>
      <c r="G15" s="7">
        <f>ROUND('Plant Inputs'!Z5,2)</f>
        <v>79959.6</v>
      </c>
      <c r="H15" s="7">
        <f>ROUND('Plant Inputs'!Z6,2)</f>
        <v>63241.6</v>
      </c>
      <c r="I15" s="7">
        <f>ROUND('Plant Inputs'!Z7,2)</f>
        <v>64810.6</v>
      </c>
      <c r="J15" s="7">
        <f>ROUND('Plant Inputs'!Z8,2)</f>
        <v>78893.9</v>
      </c>
      <c r="K15" s="7">
        <f>ROUND('Plant Inputs'!Z9,2)</f>
        <v>50616.0</v>
      </c>
      <c r="L15" s="7">
        <f>ROUND('Plant Inputs'!Z10,2)</f>
        <v>67780.4</v>
      </c>
      <c r="M15" s="7">
        <f>ROUND('Plant Inputs'!Z11,2)</f>
        <v>97181.8</v>
      </c>
      <c r="N15" s="7">
        <f>ROUND('Plant Inputs'!Z12,2)</f>
        <v>71503.8</v>
      </c>
      <c r="O15" s="7">
        <f>ROUND('Plant Inputs'!Z13,2)</f>
        <v>93258.3</v>
      </c>
      <c r="P15" s="7">
        <f>ROUND('Plant Inputs'!Z14,2)</f>
        <v>89718.1</v>
      </c>
      <c r="Q15" s="7">
        <f>ROUND('Plant Inputs'!Z15,2)</f>
        <v>70784.4</v>
      </c>
      <c r="R15" s="7">
        <f>ROUND('Plant Inputs'!Z16,2)</f>
        <v>102285.4</v>
      </c>
      <c r="S15" s="7">
        <f>ROUND('Plant Inputs'!Z17,2)</f>
        <v>88979.2</v>
      </c>
      <c r="T15" s="7">
        <f>ROUND('Plant Inputs'!Z18,2)</f>
        <v>105483.0</v>
      </c>
      <c r="U15" s="7">
        <f>ROUND('Plant Inputs'!Z19,2)</f>
        <v>92438.5</v>
      </c>
      <c r="V15" s="7">
        <f>ROUND('Plant Inputs'!Z20,2)</f>
        <v>129686.6</v>
      </c>
      <c r="W15" s="7">
        <f>ROUND('Plant Inputs'!Z21,2)</f>
        <v>97272.0</v>
      </c>
      <c r="X15" s="7">
        <f>ROUND('Plant Inputs'!Z22,2)</f>
        <v>62768.6</v>
      </c>
      <c r="Y15" s="7">
        <f>ROUND('Plant Inputs'!Z23,2)</f>
        <v>64991.9</v>
      </c>
      <c r="Z15" s="7">
        <f>ROUND('Plant Inputs'!Z24,2)</f>
        <v>77698.3</v>
      </c>
      <c r="AA15" s="7">
        <f>ROUND('Plant Inputs'!Z25,2)</f>
        <v>81305.8</v>
      </c>
      <c r="AB15" s="7">
        <f>ROUND('Plant Inputs'!Z26,2)</f>
        <v>64490.9</v>
      </c>
      <c r="AC15" s="7">
        <f>ROUND('Plant Inputs'!Z27,2)</f>
        <v>82640.2</v>
      </c>
      <c r="AD15" s="7">
        <f>ROUND('Plant Inputs'!Z28,2)</f>
        <v>128779.7</v>
      </c>
      <c r="AE15" s="7">
        <f>ROUND('Plant Inputs'!Z29,2)</f>
        <v>89550.0</v>
      </c>
      <c r="AF15" s="7">
        <f>ROUND('Plant Inputs'!Z30,2)</f>
        <v>126359.0</v>
      </c>
      <c r="AG15" s="7">
        <f>ROUND('Plant Inputs'!Z31,2)</f>
        <v>131632.2</v>
      </c>
      <c r="AH15" s="7">
        <f>ROUND('Plant Inputs'!Z32,2)</f>
        <v>92794.1</v>
      </c>
      <c r="AI15" s="7">
        <f>ROUND('Plant Inputs'!Z33,2)</f>
        <v>92193.9</v>
      </c>
      <c r="AJ15" s="7">
        <f>ROUND('Plant Inputs'!Z34,2)</f>
        <v>65884.4</v>
      </c>
      <c r="AK15" s="7">
        <f>ROUND('Plant Inputs'!Z35,2)</f>
        <v>71687.7</v>
      </c>
      <c r="AL15" s="7">
        <f>ROUND('Plant Inputs'!Z36,2)</f>
        <v>70567.7</v>
      </c>
      <c r="AM15" s="7">
        <f>ROUND('Plant Inputs'!Z37,2)</f>
        <v>100678.8</v>
      </c>
      <c r="AN15" s="7">
        <f>ROUND('Plant Inputs'!Z38,2)</f>
        <v>89325.1</v>
      </c>
      <c r="AO15" s="7">
        <f>ROUND('Plant Inputs'!Z39,2)</f>
        <v>65862.8</v>
      </c>
    </row>
    <row r="16" spans="1:41">
      <c r="A16" s="6" t="s">
        <v>497</v>
      </c>
      <c r="B16" s="6" t="s">
        <v>498</v>
      </c>
      <c r="C16" s="6" t="s">
        <v>499</v>
      </c>
      <c r="D16" s="6" t="s">
        <v>25</v>
      </c>
      <c r="E16" s="6" t="s">
        <v>500</v>
      </c>
      <c r="F16" s="7">
        <f>ROUND('Plant Inputs'!AB4,2)</f>
        <v>167244.0</v>
      </c>
      <c r="G16" s="7">
        <f>ROUND('Plant Inputs'!AB5,2)</f>
        <v>205726.0</v>
      </c>
      <c r="H16" s="7">
        <f>ROUND('Plant Inputs'!AB6,2)</f>
        <v>166424.0</v>
      </c>
      <c r="I16" s="7">
        <f>ROUND('Plant Inputs'!AB7,2)</f>
        <v>180484.0</v>
      </c>
      <c r="J16" s="7">
        <f>ROUND('Plant Inputs'!AB8,2)</f>
        <v>192091.0</v>
      </c>
      <c r="K16" s="7">
        <f>ROUND('Plant Inputs'!AB9,2)</f>
        <v>148807.0</v>
      </c>
      <c r="L16" s="7">
        <f>ROUND('Plant Inputs'!AB10,2)</f>
        <v>202909.0</v>
      </c>
      <c r="M16" s="7">
        <f>ROUND('Plant Inputs'!AB11,2)</f>
        <v>176546.0</v>
      </c>
      <c r="N16" s="7">
        <f>ROUND('Plant Inputs'!AB12,2)</f>
        <v>174177.0</v>
      </c>
      <c r="O16" s="7">
        <f>ROUND('Plant Inputs'!AB13,2)</f>
        <v>204288.0</v>
      </c>
      <c r="P16" s="7">
        <f>ROUND('Plant Inputs'!AB14,2)</f>
        <v>164589.0</v>
      </c>
      <c r="Q16" s="7">
        <f>ROUND('Plant Inputs'!AB15,2)</f>
        <v>245659.0</v>
      </c>
      <c r="R16" s="7">
        <f>ROUND('Plant Inputs'!AB16,2)</f>
        <v>293580.0</v>
      </c>
      <c r="S16" s="7">
        <f>ROUND('Plant Inputs'!AB17,2)</f>
        <v>320054.0</v>
      </c>
      <c r="T16" s="7">
        <f>ROUND('Plant Inputs'!AB18,2)</f>
        <v>282180.0</v>
      </c>
      <c r="U16" s="7">
        <f>ROUND('Plant Inputs'!AB19,2)</f>
        <v>353704.0</v>
      </c>
      <c r="V16" s="7">
        <f>ROUND('Plant Inputs'!AB20,2)</f>
        <v>316694.0</v>
      </c>
      <c r="W16" s="7">
        <f>ROUND('Plant Inputs'!AB21,2)</f>
        <v>346844.0</v>
      </c>
      <c r="X16" s="7">
        <f>ROUND('Plant Inputs'!AB22,2)</f>
        <v>186852.0</v>
      </c>
      <c r="Y16" s="7">
        <f>ROUND('Plant Inputs'!AB23,2)</f>
        <v>165220.0</v>
      </c>
      <c r="Z16" s="7">
        <f>ROUND('Plant Inputs'!AB24,2)</f>
        <v>135852.0</v>
      </c>
      <c r="AA16" s="7">
        <f>ROUND('Plant Inputs'!AB25,2)</f>
        <v>154581.0</v>
      </c>
      <c r="AB16" s="7">
        <f>ROUND('Plant Inputs'!AB26,2)</f>
        <v>184195.0</v>
      </c>
      <c r="AC16" s="7">
        <f>ROUND('Plant Inputs'!AB27,2)</f>
        <v>178267.0</v>
      </c>
      <c r="AD16" s="7">
        <f>ROUND('Plant Inputs'!AB28,2)</f>
        <v>292639.0</v>
      </c>
      <c r="AE16" s="7">
        <f>ROUND('Plant Inputs'!AB29,2)</f>
        <v>244417.0</v>
      </c>
      <c r="AF16" s="7">
        <f>ROUND('Plant Inputs'!AB30,2)</f>
        <v>277551.0</v>
      </c>
      <c r="AG16" s="7">
        <f>ROUND('Plant Inputs'!AB31,2)</f>
        <v>285264.0</v>
      </c>
      <c r="AH16" s="7">
        <f>ROUND('Plant Inputs'!AB32,2)</f>
        <v>320464.0</v>
      </c>
      <c r="AI16" s="7">
        <f>ROUND('Plant Inputs'!AB33,2)</f>
        <v>299945.0</v>
      </c>
      <c r="AJ16" s="7">
        <f>ROUND('Plant Inputs'!AB34,2)</f>
        <v>209508.0</v>
      </c>
      <c r="AK16" s="7">
        <f>ROUND('Plant Inputs'!AB35,2)</f>
        <v>170103.0</v>
      </c>
      <c r="AL16" s="7">
        <f>ROUND('Plant Inputs'!AB36,2)</f>
        <v>209475.0</v>
      </c>
      <c r="AM16" s="7">
        <f>ROUND('Plant Inputs'!AB37,2)</f>
        <v>220957.0</v>
      </c>
      <c r="AN16" s="7">
        <f>ROUND('Plant Inputs'!AB38,2)</f>
        <v>185666.0</v>
      </c>
      <c r="AO16" s="7">
        <f>ROUND('Plant Inputs'!AB39,2)</f>
        <v>230619.0</v>
      </c>
    </row>
    <row r="17" spans="1:41">
      <c r="A17" s="6" t="s">
        <v>501</v>
      </c>
      <c r="B17" s="6" t="s">
        <v>502</v>
      </c>
      <c r="C17" s="6" t="s">
        <v>503</v>
      </c>
      <c r="D17" s="6" t="s">
        <v>25</v>
      </c>
      <c r="E17" s="6" t="s">
        <v>502</v>
      </c>
      <c r="F17" s="7">
        <f>ROUND('Plant Inputs'!AC4,2)</f>
        <v>61316.0</v>
      </c>
      <c r="G17" s="7">
        <f>ROUND('Plant Inputs'!AC5,2)</f>
        <v>53724.0</v>
      </c>
      <c r="H17" s="7">
        <f>ROUND('Plant Inputs'!AC6,2)</f>
        <v>60010.0</v>
      </c>
      <c r="I17" s="7">
        <f>ROUND('Plant Inputs'!AC7,2)</f>
        <v>54600.0</v>
      </c>
      <c r="J17" s="7">
        <f>ROUND('Plant Inputs'!AC8,2)</f>
        <v>54889.0</v>
      </c>
      <c r="K17" s="7">
        <f>ROUND('Plant Inputs'!AC9,2)</f>
        <v>59115.0</v>
      </c>
      <c r="L17" s="7">
        <f>ROUND('Plant Inputs'!AC10,2)</f>
        <v>69227.0</v>
      </c>
      <c r="M17" s="7">
        <f>ROUND('Plant Inputs'!AC11,2)</f>
        <v>62330.0</v>
      </c>
      <c r="N17" s="7">
        <f>ROUND('Plant Inputs'!AC12,2)</f>
        <v>54970.0</v>
      </c>
      <c r="O17" s="7">
        <f>ROUND('Plant Inputs'!AC13,2)</f>
        <v>57701.0</v>
      </c>
      <c r="P17" s="7">
        <f>ROUND('Plant Inputs'!AC14,2)</f>
        <v>62319.0</v>
      </c>
      <c r="Q17" s="7">
        <f>ROUND('Plant Inputs'!AC15,2)</f>
        <v>68824.0</v>
      </c>
      <c r="R17" s="7">
        <f>ROUND('Plant Inputs'!AC16,2)</f>
        <v>100138.0</v>
      </c>
      <c r="S17" s="7">
        <f>ROUND('Plant Inputs'!AC17,2)</f>
        <v>72786.0</v>
      </c>
      <c r="T17" s="7">
        <f>ROUND('Plant Inputs'!AC18,2)</f>
        <v>73193.0</v>
      </c>
      <c r="U17" s="7">
        <f>ROUND('Plant Inputs'!AC19,2)</f>
        <v>77990.0</v>
      </c>
      <c r="V17" s="7">
        <f>ROUND('Plant Inputs'!AC20,2)</f>
        <v>99207.0</v>
      </c>
      <c r="W17" s="7">
        <f>ROUND('Plant Inputs'!AC21,2)</f>
        <v>91566.0</v>
      </c>
      <c r="X17" s="7">
        <f>ROUND('Plant Inputs'!AC22,2)</f>
        <v>47773.0</v>
      </c>
      <c r="Y17" s="7">
        <f>ROUND('Plant Inputs'!AC23,2)</f>
        <v>55497.0</v>
      </c>
      <c r="Z17" s="7">
        <f>ROUND('Plant Inputs'!AC24,2)</f>
        <v>41790.0</v>
      </c>
      <c r="AA17" s="7">
        <f>ROUND('Plant Inputs'!AC25,2)</f>
        <v>45272.0</v>
      </c>
      <c r="AB17" s="7">
        <f>ROUND('Plant Inputs'!AC26,2)</f>
        <v>53673.0</v>
      </c>
      <c r="AC17" s="7">
        <f>ROUND('Plant Inputs'!AC27,2)</f>
        <v>58385.0</v>
      </c>
      <c r="AD17" s="7">
        <f>ROUND('Plant Inputs'!AC28,2)</f>
        <v>86136.0</v>
      </c>
      <c r="AE17" s="7">
        <f>ROUND('Plant Inputs'!AC29,2)</f>
        <v>74247.0</v>
      </c>
      <c r="AF17" s="7">
        <f>ROUND('Plant Inputs'!AC30,2)</f>
        <v>89682.0</v>
      </c>
      <c r="AG17" s="7">
        <f>ROUND('Plant Inputs'!AC31,2)</f>
        <v>93285.0</v>
      </c>
      <c r="AH17" s="7">
        <f>ROUND('Plant Inputs'!AC32,2)</f>
        <v>79520.0</v>
      </c>
      <c r="AI17" s="7">
        <f>ROUND('Plant Inputs'!AC33,2)</f>
        <v>86535.0</v>
      </c>
      <c r="AJ17" s="7">
        <f>ROUND('Plant Inputs'!AC34,2)</f>
        <v>61037.0</v>
      </c>
      <c r="AK17" s="7">
        <f>ROUND('Plant Inputs'!AC35,2)</f>
        <v>63809.0</v>
      </c>
      <c r="AL17" s="7">
        <f>ROUND('Plant Inputs'!AC36,2)</f>
        <v>54476.0</v>
      </c>
      <c r="AM17" s="7">
        <f>ROUND('Plant Inputs'!AC37,2)</f>
        <v>68538.0</v>
      </c>
      <c r="AN17" s="7">
        <f>ROUND('Plant Inputs'!AC38,2)</f>
        <v>60804.0</v>
      </c>
      <c r="AO17" s="7">
        <f>ROUND('Plant Inputs'!AC39,2)</f>
        <v>63239.0</v>
      </c>
    </row>
    <row r="18" spans="1:41">
      <c r="A18" s="6" t="s">
        <v>504</v>
      </c>
      <c r="B18" s="6" t="s">
        <v>505</v>
      </c>
      <c r="C18" s="6" t="s">
        <v>506</v>
      </c>
      <c r="D18" s="6" t="s">
        <v>25</v>
      </c>
      <c r="E18" s="6" t="s">
        <v>507</v>
      </c>
      <c r="F18" s="7">
        <f>ROUND(IFERROR('Plant Inputs'!AD4/'Plant Inputs'!P4,0),2)</f>
        <v>3.57</v>
      </c>
      <c r="G18" s="7">
        <f>ROUND(IFERROR('Plant Inputs'!AD5/'Plant Inputs'!P5,0),2)</f>
        <v>3.12</v>
      </c>
      <c r="H18" s="7">
        <f>ROUND(IFERROR('Plant Inputs'!AD6/'Plant Inputs'!P6,0),2)</f>
        <v>3.0</v>
      </c>
      <c r="I18" s="7">
        <f>ROUND(IFERROR('Plant Inputs'!AD7/'Plant Inputs'!P7,0),2)</f>
        <v>2.93</v>
      </c>
      <c r="J18" s="7">
        <f>ROUND(IFERROR('Plant Inputs'!AD8/'Plant Inputs'!P8,0),2)</f>
        <v>3.5</v>
      </c>
      <c r="K18" s="7">
        <f>ROUND(IFERROR('Plant Inputs'!AD9/'Plant Inputs'!P9,0),2)</f>
        <v>3.54</v>
      </c>
      <c r="L18" s="7">
        <f>ROUND(IFERROR('Plant Inputs'!AD10/'Plant Inputs'!P10,0),2)</f>
        <v>3.55</v>
      </c>
      <c r="M18" s="7">
        <f>ROUND(IFERROR('Plant Inputs'!AD11/'Plant Inputs'!P11,0),2)</f>
        <v>3.88</v>
      </c>
      <c r="N18" s="7">
        <f>ROUND(IFERROR('Plant Inputs'!AD12/'Plant Inputs'!P12,0),2)</f>
        <v>4.01</v>
      </c>
      <c r="O18" s="7">
        <f>ROUND(IFERROR('Plant Inputs'!AD13/'Plant Inputs'!P13,0),2)</f>
        <v>3.65</v>
      </c>
      <c r="P18" s="7">
        <f>ROUND(IFERROR('Plant Inputs'!AD14/'Plant Inputs'!P14,0),2)</f>
        <v>4.02</v>
      </c>
      <c r="Q18" s="7">
        <f>ROUND(IFERROR('Plant Inputs'!AD15/'Plant Inputs'!P15,0),2)</f>
        <v>3.76</v>
      </c>
      <c r="R18" s="7">
        <f>ROUND(IFERROR('Plant Inputs'!AD16/'Plant Inputs'!P16,0),2)</f>
        <v>3.03</v>
      </c>
      <c r="S18" s="7">
        <f>ROUND(IFERROR('Plant Inputs'!AD17/'Plant Inputs'!P17,0),2)</f>
        <v>3.06</v>
      </c>
      <c r="T18" s="7">
        <f>ROUND(IFERROR('Plant Inputs'!AD18/'Plant Inputs'!P18,0),2)</f>
        <v>2.92</v>
      </c>
      <c r="U18" s="7">
        <f>ROUND(IFERROR('Plant Inputs'!AD19/'Plant Inputs'!P19,0),2)</f>
        <v>3.34</v>
      </c>
      <c r="V18" s="7">
        <f>ROUND(IFERROR('Plant Inputs'!AD20/'Plant Inputs'!P20,0),2)</f>
        <v>3.41</v>
      </c>
      <c r="W18" s="7">
        <f>ROUND(IFERROR('Plant Inputs'!AD21/'Plant Inputs'!P21,0),2)</f>
        <v>3.56</v>
      </c>
      <c r="X18" s="7">
        <f>ROUND(IFERROR('Plant Inputs'!AD22/'Plant Inputs'!P22,0),2)</f>
        <v>3.41</v>
      </c>
      <c r="Y18" s="7">
        <f>ROUND(IFERROR('Plant Inputs'!AD23/'Plant Inputs'!P23,0),2)</f>
        <v>3.07</v>
      </c>
      <c r="Z18" s="7">
        <f>ROUND(IFERROR('Plant Inputs'!AD24/'Plant Inputs'!P24,0),2)</f>
        <v>3.2</v>
      </c>
      <c r="AA18" s="7">
        <f>ROUND(IFERROR('Plant Inputs'!AD25/'Plant Inputs'!P25,0),2)</f>
        <v>3.13</v>
      </c>
      <c r="AB18" s="7">
        <f>ROUND(IFERROR('Plant Inputs'!AD26/'Plant Inputs'!P26,0),2)</f>
        <v>3.04</v>
      </c>
      <c r="AC18" s="7">
        <f>ROUND(IFERROR('Plant Inputs'!AD27/'Plant Inputs'!P27,0),2)</f>
        <v>3.47</v>
      </c>
      <c r="AD18" s="7">
        <f>ROUND(IFERROR('Plant Inputs'!AD28/'Plant Inputs'!P28,0),2)</f>
        <v>3.46</v>
      </c>
      <c r="AE18" s="7">
        <f>ROUND(IFERROR('Plant Inputs'!AD29/'Plant Inputs'!P29,0),2)</f>
        <v>2.91</v>
      </c>
      <c r="AF18" s="7">
        <f>ROUND(IFERROR('Plant Inputs'!AD30/'Plant Inputs'!P30,0),2)</f>
        <v>3.51</v>
      </c>
      <c r="AG18" s="7">
        <f>ROUND(IFERROR('Plant Inputs'!AD31/'Plant Inputs'!P31,0),2)</f>
        <v>3.34</v>
      </c>
      <c r="AH18" s="7">
        <f>ROUND(IFERROR('Plant Inputs'!AD32/'Plant Inputs'!P32,0),2)</f>
        <v>3.56</v>
      </c>
      <c r="AI18" s="7">
        <f>ROUND(IFERROR('Plant Inputs'!AD33/'Plant Inputs'!P33,0),2)</f>
        <v>3.2</v>
      </c>
      <c r="AJ18" s="7">
        <f>ROUND(IFERROR('Plant Inputs'!AD34/'Plant Inputs'!P34,0),2)</f>
        <v>3.33</v>
      </c>
      <c r="AK18" s="7">
        <f>ROUND(IFERROR('Plant Inputs'!AD35/'Plant Inputs'!P35,0),2)</f>
        <v>3.12</v>
      </c>
      <c r="AL18" s="7">
        <f>ROUND(IFERROR('Plant Inputs'!AD36/'Plant Inputs'!P36,0),2)</f>
        <v>2.96</v>
      </c>
      <c r="AM18" s="7">
        <f>ROUND(IFERROR('Plant Inputs'!AD37/'Plant Inputs'!P37,0),2)</f>
        <v>3.0</v>
      </c>
      <c r="AN18" s="7">
        <f>ROUND(IFERROR('Plant Inputs'!AD38/'Plant Inputs'!P38,0),2)</f>
        <v>3.59</v>
      </c>
      <c r="AO18" s="7">
        <f>ROUND(IFERROR('Plant Inputs'!AD39/'Plant Inputs'!P39,0),2)</f>
        <v>3.04</v>
      </c>
    </row>
    <row r="19" spans="1:41">
      <c r="A19" s="6" t="s">
        <v>508</v>
      </c>
      <c r="B19" s="6" t="s">
        <v>509</v>
      </c>
      <c r="C19" s="6" t="s">
        <v>483</v>
      </c>
      <c r="D19" s="6" t="s">
        <v>25</v>
      </c>
      <c r="E19" s="6" t="s">
        <v>509</v>
      </c>
      <c r="F19" s="7">
        <f>ROUND('Plant Inputs'!AE4,2)</f>
        <v>3223.0</v>
      </c>
      <c r="G19" s="7">
        <f>ROUND('Plant Inputs'!AE5,2)</f>
        <v>5217.0</v>
      </c>
      <c r="H19" s="7">
        <f>ROUND('Plant Inputs'!AE6,2)</f>
        <v>7297.0</v>
      </c>
      <c r="I19" s="7">
        <f>ROUND('Plant Inputs'!AE7,2)</f>
        <v>5312.0</v>
      </c>
      <c r="J19" s="7">
        <f>ROUND('Plant Inputs'!AE8,2)</f>
        <v>1480.0</v>
      </c>
      <c r="K19" s="7">
        <f>ROUND('Plant Inputs'!AE9,2)</f>
        <v>3669.0</v>
      </c>
      <c r="L19" s="7">
        <f>ROUND('Plant Inputs'!AE10,2)</f>
        <v>17173.0</v>
      </c>
      <c r="M19" s="7">
        <f>ROUND('Plant Inputs'!AE11,2)</f>
        <v>20499.0</v>
      </c>
      <c r="N19" s="7">
        <f>ROUND('Plant Inputs'!AE12,2)</f>
        <v>28075.0</v>
      </c>
      <c r="O19" s="7">
        <f>ROUND('Plant Inputs'!AE13,2)</f>
        <v>22870.0</v>
      </c>
      <c r="P19" s="7">
        <f>ROUND('Plant Inputs'!AE14,2)</f>
        <v>23073.0</v>
      </c>
      <c r="Q19" s="7">
        <f>ROUND('Plant Inputs'!AE15,2)</f>
        <v>24322.0</v>
      </c>
      <c r="R19" s="7">
        <f>ROUND('Plant Inputs'!AE16,2)</f>
        <v>5413.0</v>
      </c>
      <c r="S19" s="7">
        <f>ROUND('Plant Inputs'!AE17,2)</f>
        <v>18096.0</v>
      </c>
      <c r="T19" s="7">
        <f>ROUND('Plant Inputs'!AE18,2)</f>
        <v>14242.0</v>
      </c>
      <c r="U19" s="7">
        <f>ROUND('Plant Inputs'!AE19,2)</f>
        <v>2225.0</v>
      </c>
      <c r="V19" s="7">
        <f>ROUND('Plant Inputs'!AE20,2)</f>
        <v>13634.0</v>
      </c>
      <c r="W19" s="7">
        <f>ROUND('Plant Inputs'!AE21,2)</f>
        <v>2939.0</v>
      </c>
      <c r="X19" s="7">
        <f>ROUND('Plant Inputs'!AE22,2)</f>
        <v>29.0</v>
      </c>
      <c r="Y19" s="7">
        <f>ROUND('Plant Inputs'!AE23,2)</f>
        <v>10015.0</v>
      </c>
      <c r="Z19" s="7">
        <f>ROUND('Plant Inputs'!AE24,2)</f>
        <v>6867.0</v>
      </c>
      <c r="AA19" s="7">
        <f>ROUND('Plant Inputs'!AE25,2)</f>
        <v>5005.0</v>
      </c>
      <c r="AB19" s="7">
        <f>ROUND('Plant Inputs'!AE26,2)</f>
        <v>806.0</v>
      </c>
      <c r="AC19" s="7">
        <f>ROUND('Plant Inputs'!AE27,2)</f>
        <v>0.0</v>
      </c>
      <c r="AD19" s="7">
        <f>ROUND('Plant Inputs'!AE28,2)</f>
        <v>2659.0</v>
      </c>
      <c r="AE19" s="7">
        <f>ROUND('Plant Inputs'!AE29,2)</f>
        <v>0.0</v>
      </c>
      <c r="AF19" s="7">
        <f>ROUND('Plant Inputs'!AE30,2)</f>
        <v>11194.0</v>
      </c>
      <c r="AG19" s="7">
        <f>ROUND('Plant Inputs'!AE31,2)</f>
        <v>1175.0</v>
      </c>
      <c r="AH19" s="7">
        <f>ROUND('Plant Inputs'!AE32,2)</f>
        <v>0.0</v>
      </c>
      <c r="AI19" s="7">
        <f>ROUND('Plant Inputs'!AE33,2)</f>
        <v>0.0</v>
      </c>
      <c r="AJ19" s="7">
        <f>ROUND('Plant Inputs'!AE34,2)</f>
        <v>0.0</v>
      </c>
      <c r="AK19" s="7">
        <f>ROUND('Plant Inputs'!AE35,2)</f>
        <v>2043.0</v>
      </c>
      <c r="AL19" s="7">
        <f>ROUND('Plant Inputs'!AE36,2)</f>
        <v>4506.0</v>
      </c>
      <c r="AM19" s="7">
        <f>ROUND('Plant Inputs'!AE37,2)</f>
        <v>1940.0</v>
      </c>
      <c r="AN19" s="7">
        <f>ROUND('Plant Inputs'!AE38,2)</f>
        <v>5827.0</v>
      </c>
      <c r="AO19" s="7">
        <f>ROUND('Plant Inputs'!AE39,2)</f>
        <v>5880.0</v>
      </c>
    </row>
    <row r="20" spans="1:41">
      <c r="A20" s="6" t="s">
        <v>510</v>
      </c>
      <c r="B20" s="6" t="s">
        <v>511</v>
      </c>
      <c r="C20" s="6" t="s">
        <v>512</v>
      </c>
      <c r="D20" s="6" t="s">
        <v>25</v>
      </c>
      <c r="E20" s="6" t="s">
        <v>513</v>
      </c>
      <c r="F20" s="7">
        <f>ROUND('Plant Inputs'!AF4,2)</f>
        <v>1.0</v>
      </c>
      <c r="G20" s="7">
        <f>ROUND('Plant Inputs'!AF5,2)</f>
        <v>1.0</v>
      </c>
      <c r="H20" s="7">
        <f>ROUND('Plant Inputs'!AF6,2)</f>
        <v>2.0</v>
      </c>
      <c r="I20" s="7">
        <f>ROUND('Plant Inputs'!AF7,2)</f>
        <v>0.0</v>
      </c>
      <c r="J20" s="7">
        <f>ROUND('Plant Inputs'!AF8,2)</f>
        <v>2.0</v>
      </c>
      <c r="K20" s="7">
        <f>ROUND('Plant Inputs'!AF9,2)</f>
        <v>0.0</v>
      </c>
      <c r="L20" s="7">
        <f>ROUND('Plant Inputs'!AF10,2)</f>
        <v>2.0</v>
      </c>
      <c r="M20" s="7">
        <f>ROUND('Plant Inputs'!AF11,2)</f>
        <v>4.0</v>
      </c>
      <c r="N20" s="7">
        <f>ROUND('Plant Inputs'!AF12,2)</f>
        <v>2.0</v>
      </c>
      <c r="O20" s="7">
        <f>ROUND('Plant Inputs'!AF13,2)</f>
        <v>2.0</v>
      </c>
      <c r="P20" s="7">
        <f>ROUND('Plant Inputs'!AF14,2)</f>
        <v>3.0</v>
      </c>
      <c r="Q20" s="7">
        <f>ROUND('Plant Inputs'!AF15,2)</f>
        <v>4.0</v>
      </c>
      <c r="R20" s="7">
        <f>ROUND('Plant Inputs'!AF16,2)</f>
        <v>1.0</v>
      </c>
      <c r="S20" s="7">
        <f>ROUND('Plant Inputs'!AF17,2)</f>
        <v>1.0</v>
      </c>
      <c r="T20" s="7">
        <f>ROUND('Plant Inputs'!AF18,2)</f>
        <v>1.0</v>
      </c>
      <c r="U20" s="7">
        <f>ROUND('Plant Inputs'!AF19,2)</f>
        <v>0.0</v>
      </c>
      <c r="V20" s="7">
        <f>ROUND('Plant Inputs'!AF20,2)</f>
        <v>2.0</v>
      </c>
      <c r="W20" s="7">
        <f>ROUND('Plant Inputs'!AF21,2)</f>
        <v>1.0</v>
      </c>
      <c r="X20" s="7">
        <f>ROUND('Plant Inputs'!AF22,2)</f>
        <v>0.0</v>
      </c>
      <c r="Y20" s="7">
        <f>ROUND('Plant Inputs'!AF23,2)</f>
        <v>0.0</v>
      </c>
      <c r="Z20" s="7">
        <f>ROUND('Plant Inputs'!AF24,2)</f>
        <v>0.0</v>
      </c>
      <c r="AA20" s="7">
        <f>ROUND('Plant Inputs'!AF25,2)</f>
        <v>1.0</v>
      </c>
      <c r="AB20" s="7">
        <f>ROUND('Plant Inputs'!AF26,2)</f>
        <v>0.0</v>
      </c>
      <c r="AC20" s="7">
        <f>ROUND('Plant Inputs'!AF27,2)</f>
        <v>0.0</v>
      </c>
      <c r="AD20" s="7">
        <f>ROUND('Plant Inputs'!AF28,2)</f>
        <v>2.0</v>
      </c>
      <c r="AE20" s="7">
        <f>ROUND('Plant Inputs'!AF29,2)</f>
        <v>0.0</v>
      </c>
      <c r="AF20" s="7">
        <f>ROUND('Plant Inputs'!AF30,2)</f>
        <v>2.0</v>
      </c>
      <c r="AG20" s="7">
        <f>ROUND('Plant Inputs'!AF31,2)</f>
        <v>0.0</v>
      </c>
      <c r="AH20" s="7">
        <f>ROUND('Plant Inputs'!AF32,2)</f>
        <v>2.0</v>
      </c>
      <c r="AI20" s="7">
        <f>ROUND('Plant Inputs'!AF33,2)</f>
        <v>1.0</v>
      </c>
      <c r="AJ20" s="7">
        <f>ROUND('Plant Inputs'!AF34,2)</f>
        <v>2.0</v>
      </c>
      <c r="AK20" s="7">
        <f>ROUND('Plant Inputs'!AF35,2)</f>
        <v>0.0</v>
      </c>
      <c r="AL20" s="7">
        <f>ROUND('Plant Inputs'!AF36,2)</f>
        <v>2.0</v>
      </c>
      <c r="AM20" s="7">
        <f>ROUND('Plant Inputs'!AF37,2)</f>
        <v>0.0</v>
      </c>
      <c r="AN20" s="7">
        <f>ROUND('Plant Inputs'!AF38,2)</f>
        <v>2.0</v>
      </c>
      <c r="AO20" s="7">
        <f>ROUND('Plant Inputs'!AF39,2)</f>
        <v>1.0</v>
      </c>
    </row>
    <row r="21" spans="1:41">
      <c r="A21" s="6" t="s">
        <v>514</v>
      </c>
      <c r="B21" s="6" t="s">
        <v>515</v>
      </c>
      <c r="C21" s="6" t="s">
        <v>512</v>
      </c>
      <c r="D21" s="6" t="s">
        <v>25</v>
      </c>
      <c r="E21" s="6" t="s">
        <v>516</v>
      </c>
      <c r="F21" s="7">
        <f>ROUND('Plant Inputs'!AR4,2)</f>
        <v>0.0</v>
      </c>
      <c r="G21" s="7">
        <f>ROUND('Plant Inputs'!AR5,2)</f>
        <v>0.0</v>
      </c>
      <c r="H21" s="7">
        <f>ROUND('Plant Inputs'!AR6,2)</f>
        <v>0.0</v>
      </c>
      <c r="I21" s="7">
        <f>ROUND('Plant Inputs'!AR7,2)</f>
        <v>1.0</v>
      </c>
      <c r="J21" s="7">
        <f>ROUND('Plant Inputs'!AR8,2)</f>
        <v>2.0</v>
      </c>
      <c r="K21" s="7">
        <f>ROUND('Plant Inputs'!AR9,2)</f>
        <v>2.0</v>
      </c>
      <c r="L21" s="7">
        <f>ROUND('Plant Inputs'!AR10,2)</f>
        <v>1.0</v>
      </c>
      <c r="M21" s="7">
        <f>ROUND('Plant Inputs'!AR11,2)</f>
        <v>0.0</v>
      </c>
      <c r="N21" s="7">
        <f>ROUND('Plant Inputs'!AR12,2)</f>
        <v>1.0</v>
      </c>
      <c r="O21" s="7">
        <f>ROUND('Plant Inputs'!AR13,2)</f>
        <v>0.0</v>
      </c>
      <c r="P21" s="7">
        <f>ROUND('Plant Inputs'!AR14,2)</f>
        <v>0.0</v>
      </c>
      <c r="Q21" s="7">
        <f>ROUND('Plant Inputs'!AR15,2)</f>
        <v>1.0</v>
      </c>
      <c r="R21" s="7">
        <f>ROUND('Plant Inputs'!AR16,2)</f>
        <v>0.0</v>
      </c>
      <c r="S21" s="7">
        <f>ROUND('Plant Inputs'!AR17,2)</f>
        <v>0.0</v>
      </c>
      <c r="T21" s="7">
        <f>ROUND('Plant Inputs'!AR18,2)</f>
        <v>0.0</v>
      </c>
      <c r="U21" s="7">
        <f>ROUND('Plant Inputs'!AR19,2)</f>
        <v>1.0</v>
      </c>
      <c r="V21" s="7">
        <f>ROUND('Plant Inputs'!AR20,2)</f>
        <v>1.0</v>
      </c>
      <c r="W21" s="7">
        <f>ROUND('Plant Inputs'!AR21,2)</f>
        <v>1.0</v>
      </c>
      <c r="X21" s="7">
        <f>ROUND('Plant Inputs'!AR22,2)</f>
        <v>2.0</v>
      </c>
      <c r="Y21" s="7">
        <f>ROUND('Plant Inputs'!AR23,2)</f>
        <v>2.0</v>
      </c>
      <c r="Z21" s="7">
        <f>ROUND('Plant Inputs'!AR24,2)</f>
        <v>0.0</v>
      </c>
      <c r="AA21" s="7">
        <f>ROUND('Plant Inputs'!AR25,2)</f>
        <v>1.0</v>
      </c>
      <c r="AB21" s="7">
        <f>ROUND('Plant Inputs'!AR26,2)</f>
        <v>2.0</v>
      </c>
      <c r="AC21" s="7">
        <f>ROUND('Plant Inputs'!AR27,2)</f>
        <v>0.0</v>
      </c>
      <c r="AD21" s="7">
        <f>ROUND('Plant Inputs'!AR28,2)</f>
        <v>0.0</v>
      </c>
      <c r="AE21" s="7">
        <f>ROUND('Plant Inputs'!AR29,2)</f>
        <v>1.0</v>
      </c>
      <c r="AF21" s="7">
        <f>ROUND('Plant Inputs'!AR30,2)</f>
        <v>0.0</v>
      </c>
      <c r="AG21" s="7">
        <f>ROUND('Plant Inputs'!AR31,2)</f>
        <v>1.0</v>
      </c>
      <c r="AH21" s="7">
        <f>ROUND('Plant Inputs'!AR32,2)</f>
        <v>1.0</v>
      </c>
      <c r="AI21" s="7">
        <f>ROUND('Plant Inputs'!AR33,2)</f>
        <v>0.0</v>
      </c>
      <c r="AJ21" s="7">
        <f>ROUND('Plant Inputs'!AR34,2)</f>
        <v>0.0</v>
      </c>
      <c r="AK21" s="7">
        <f>ROUND('Plant Inputs'!AR35,2)</f>
        <v>0.0</v>
      </c>
      <c r="AL21" s="7">
        <f>ROUND('Plant Inputs'!AR36,2)</f>
        <v>0.0</v>
      </c>
      <c r="AM21" s="7">
        <f>ROUND('Plant Inputs'!AR37,2)</f>
        <v>2.0</v>
      </c>
      <c r="AN21" s="7">
        <f>ROUND('Plant Inputs'!AR38,2)</f>
        <v>0.0</v>
      </c>
      <c r="AO21" s="7">
        <f>ROUND('Plant Inputs'!AR39,2)</f>
        <v>1.0</v>
      </c>
    </row>
    <row r="22" spans="1:41">
      <c r="A22" s="6" t="s">
        <v>517</v>
      </c>
      <c r="B22" s="6" t="s">
        <v>518</v>
      </c>
      <c r="C22" s="6" t="s">
        <v>455</v>
      </c>
      <c r="D22" s="6" t="s">
        <v>25</v>
      </c>
      <c r="E22" s="6" t="s">
        <v>519</v>
      </c>
      <c r="F22" s="7">
        <f>ROUND(IFERROR(100*'Plant Inputs'!AT4/'Plant Inputs'!AS4,0),2)</f>
        <v>5.7</v>
      </c>
      <c r="G22" s="7">
        <f>ROUND(IFERROR(100*'Plant Inputs'!AT5/'Plant Inputs'!AS5,0),2)</f>
        <v>3.91</v>
      </c>
      <c r="H22" s="7">
        <f>ROUND(IFERROR(100*'Plant Inputs'!AT6/'Plant Inputs'!AS6,0),2)</f>
        <v>7.43</v>
      </c>
      <c r="I22" s="7">
        <f>ROUND(IFERROR(100*'Plant Inputs'!AT7/'Plant Inputs'!AS7,0),2)</f>
        <v>4.55</v>
      </c>
      <c r="J22" s="7">
        <f>ROUND(IFERROR(100*'Plant Inputs'!AT8/'Plant Inputs'!AS8,0),2)</f>
        <v>8.26</v>
      </c>
      <c r="K22" s="7">
        <f>ROUND(IFERROR(100*'Plant Inputs'!AT9/'Plant Inputs'!AS9,0),2)</f>
        <v>7.5</v>
      </c>
      <c r="L22" s="7">
        <f>ROUND(IFERROR(100*'Plant Inputs'!AT10/'Plant Inputs'!AS10,0),2)</f>
        <v>5.88</v>
      </c>
      <c r="M22" s="7">
        <f>ROUND(IFERROR(100*'Plant Inputs'!AT11/'Plant Inputs'!AS11,0),2)</f>
        <v>10.66</v>
      </c>
      <c r="N22" s="7">
        <f>ROUND(IFERROR(100*'Plant Inputs'!AT12/'Plant Inputs'!AS12,0),2)</f>
        <v>10.82</v>
      </c>
      <c r="O22" s="7">
        <f>ROUND(IFERROR(100*'Plant Inputs'!AT13/'Plant Inputs'!AS13,0),2)</f>
        <v>11.63</v>
      </c>
      <c r="P22" s="7">
        <f>ROUND(IFERROR(100*'Plant Inputs'!AT14/'Plant Inputs'!AS14,0),2)</f>
        <v>15.09</v>
      </c>
      <c r="Q22" s="7">
        <f>ROUND(IFERROR(100*'Plant Inputs'!AT15/'Plant Inputs'!AS15,0),2)</f>
        <v>16.0</v>
      </c>
      <c r="R22" s="7">
        <f>ROUND(IFERROR(100*'Plant Inputs'!AT16/'Plant Inputs'!AS16,0),2)</f>
        <v>3.85</v>
      </c>
      <c r="S22" s="7">
        <f>ROUND(IFERROR(100*'Plant Inputs'!AT17/'Plant Inputs'!AS17,0),2)</f>
        <v>5.22</v>
      </c>
      <c r="T22" s="7">
        <f>ROUND(IFERROR(100*'Plant Inputs'!AT18/'Plant Inputs'!AS18,0),2)</f>
        <v>7.18</v>
      </c>
      <c r="U22" s="7">
        <f>ROUND(IFERROR(100*'Plant Inputs'!AT19/'Plant Inputs'!AS19,0),2)</f>
        <v>8.22</v>
      </c>
      <c r="V22" s="7">
        <f>ROUND(IFERROR(100*'Plant Inputs'!AT20/'Plant Inputs'!AS20,0),2)</f>
        <v>3.25</v>
      </c>
      <c r="W22" s="7">
        <f>ROUND(IFERROR(100*'Plant Inputs'!AT21/'Plant Inputs'!AS21,0),2)</f>
        <v>7.48</v>
      </c>
      <c r="X22" s="7">
        <f>ROUND(IFERROR(100*'Plant Inputs'!AT22/'Plant Inputs'!AS22,0),2)</f>
        <v>8.64</v>
      </c>
      <c r="Y22" s="7">
        <f>ROUND(IFERROR(100*'Plant Inputs'!AT23/'Plant Inputs'!AS23,0),2)</f>
        <v>8.45</v>
      </c>
      <c r="Z22" s="7">
        <f>ROUND(IFERROR(100*'Plant Inputs'!AT24/'Plant Inputs'!AS24,0),2)</f>
        <v>7.41</v>
      </c>
      <c r="AA22" s="7">
        <f>ROUND(IFERROR(100*'Plant Inputs'!AT25/'Plant Inputs'!AS25,0),2)</f>
        <v>8.7</v>
      </c>
      <c r="AB22" s="7">
        <f>ROUND(IFERROR(100*'Plant Inputs'!AT26/'Plant Inputs'!AS26,0),2)</f>
        <v>8.37</v>
      </c>
      <c r="AC22" s="7">
        <f>ROUND(IFERROR(100*'Plant Inputs'!AT27/'Plant Inputs'!AS27,0),2)</f>
        <v>7.1</v>
      </c>
      <c r="AD22" s="7">
        <f>ROUND(IFERROR(100*'Plant Inputs'!AT28/'Plant Inputs'!AS28,0),2)</f>
        <v>7.46</v>
      </c>
      <c r="AE22" s="7">
        <f>ROUND(IFERROR(100*'Plant Inputs'!AT29/'Plant Inputs'!AS29,0),2)</f>
        <v>8.05</v>
      </c>
      <c r="AF22" s="7">
        <f>ROUND(IFERROR(100*'Plant Inputs'!AT30/'Plant Inputs'!AS30,0),2)</f>
        <v>7.23</v>
      </c>
      <c r="AG22" s="7">
        <f>ROUND(IFERROR(100*'Plant Inputs'!AT31/'Plant Inputs'!AS31,0),2)</f>
        <v>8.38</v>
      </c>
      <c r="AH22" s="7">
        <f>ROUND(IFERROR(100*'Plant Inputs'!AT32/'Plant Inputs'!AS32,0),2)</f>
        <v>5.95</v>
      </c>
      <c r="AI22" s="7">
        <f>ROUND(IFERROR(100*'Plant Inputs'!AT33/'Plant Inputs'!AS33,0),2)</f>
        <v>7.58</v>
      </c>
      <c r="AJ22" s="7">
        <f>ROUND(IFERROR(100*'Plant Inputs'!AT34/'Plant Inputs'!AS34,0),2)</f>
        <v>3.26</v>
      </c>
      <c r="AK22" s="7">
        <f>ROUND(IFERROR(100*'Plant Inputs'!AT35/'Plant Inputs'!AS35,0),2)</f>
        <v>8.11</v>
      </c>
      <c r="AL22" s="7">
        <f>ROUND(IFERROR(100*'Plant Inputs'!AT36/'Plant Inputs'!AS36,0),2)</f>
        <v>4.57</v>
      </c>
      <c r="AM22" s="7">
        <f>ROUND(IFERROR(100*'Plant Inputs'!AT37/'Plant Inputs'!AS37,0),2)</f>
        <v>7.84</v>
      </c>
      <c r="AN22" s="7">
        <f>ROUND(IFERROR(100*'Plant Inputs'!AT38/'Plant Inputs'!AS38,0),2)</f>
        <v>3.46</v>
      </c>
      <c r="AO22" s="7">
        <f>ROUND(IFERROR(100*'Plant Inputs'!AT39/'Plant Inputs'!AS39,0),2)</f>
        <v>2.4</v>
      </c>
    </row>
    <row r="23" spans="1:41">
      <c r="A23" s="6" t="s">
        <v>520</v>
      </c>
      <c r="B23" s="6" t="s">
        <v>521</v>
      </c>
      <c r="C23" s="6" t="s">
        <v>512</v>
      </c>
      <c r="D23" s="6" t="s">
        <v>25</v>
      </c>
      <c r="E23" s="6" t="s">
        <v>521</v>
      </c>
      <c r="F23" s="7">
        <f>ROUND('Plant Inputs'!AM4,2)</f>
        <v>0.0</v>
      </c>
      <c r="G23" s="7">
        <f>ROUND('Plant Inputs'!AM5,2)</f>
        <v>0.0</v>
      </c>
      <c r="H23" s="7">
        <f>ROUND('Plant Inputs'!AM6,2)</f>
        <v>0.0</v>
      </c>
      <c r="I23" s="7">
        <f>ROUND('Plant Inputs'!AM7,2)</f>
        <v>0.0</v>
      </c>
      <c r="J23" s="7">
        <f>ROUND('Plant Inputs'!AM8,2)</f>
        <v>0.0</v>
      </c>
      <c r="K23" s="7">
        <f>ROUND('Plant Inputs'!AM9,2)</f>
        <v>0.0</v>
      </c>
      <c r="L23" s="7">
        <f>ROUND('Plant Inputs'!AM10,2)</f>
        <v>0.0</v>
      </c>
      <c r="M23" s="7">
        <f>ROUND('Plant Inputs'!AM11,2)</f>
        <v>0.0</v>
      </c>
      <c r="N23" s="7">
        <f>ROUND('Plant Inputs'!AM12,2)</f>
        <v>0.0</v>
      </c>
      <c r="O23" s="7">
        <f>ROUND('Plant Inputs'!AM13,2)</f>
        <v>0.0</v>
      </c>
      <c r="P23" s="7">
        <f>ROUND('Plant Inputs'!AM14,2)</f>
        <v>0.0</v>
      </c>
      <c r="Q23" s="7">
        <f>ROUND('Plant Inputs'!AM15,2)</f>
        <v>0.0</v>
      </c>
      <c r="R23" s="7">
        <f>ROUND('Plant Inputs'!AM16,2)</f>
        <v>0.0</v>
      </c>
      <c r="S23" s="7">
        <f>ROUND('Plant Inputs'!AM17,2)</f>
        <v>0.0</v>
      </c>
      <c r="T23" s="7">
        <f>ROUND('Plant Inputs'!AM18,2)</f>
        <v>0.0</v>
      </c>
      <c r="U23" s="7">
        <f>ROUND('Plant Inputs'!AM19,2)</f>
        <v>0.0</v>
      </c>
      <c r="V23" s="7">
        <f>ROUND('Plant Inputs'!AM20,2)</f>
        <v>0.0</v>
      </c>
      <c r="W23" s="7">
        <f>ROUND('Plant Inputs'!AM21,2)</f>
        <v>0.0</v>
      </c>
      <c r="X23" s="7">
        <f>ROUND('Plant Inputs'!AM22,2)</f>
        <v>0.0</v>
      </c>
      <c r="Y23" s="7">
        <f>ROUND('Plant Inputs'!AM23,2)</f>
        <v>0.0</v>
      </c>
      <c r="Z23" s="7">
        <f>ROUND('Plant Inputs'!AM24,2)</f>
        <v>0.0</v>
      </c>
      <c r="AA23" s="7">
        <f>ROUND('Plant Inputs'!AM25,2)</f>
        <v>0.0</v>
      </c>
      <c r="AB23" s="7">
        <f>ROUND('Plant Inputs'!AM26,2)</f>
        <v>0.0</v>
      </c>
      <c r="AC23" s="7">
        <f>ROUND('Plant Inputs'!AM27,2)</f>
        <v>0.0</v>
      </c>
      <c r="AD23" s="7">
        <f>ROUND('Plant Inputs'!AM28,2)</f>
        <v>0.0</v>
      </c>
      <c r="AE23" s="7">
        <f>ROUND('Plant Inputs'!AM29,2)</f>
        <v>0.0</v>
      </c>
      <c r="AF23" s="7">
        <f>ROUND('Plant Inputs'!AM30,2)</f>
        <v>1.0</v>
      </c>
      <c r="AG23" s="7">
        <f>ROUND('Plant Inputs'!AM31,2)</f>
        <v>0.0</v>
      </c>
      <c r="AH23" s="7">
        <f>ROUND('Plant Inputs'!AM32,2)</f>
        <v>0.0</v>
      </c>
      <c r="AI23" s="7">
        <f>ROUND('Plant Inputs'!AM33,2)</f>
        <v>0.0</v>
      </c>
      <c r="AJ23" s="7">
        <f>ROUND('Plant Inputs'!AM34,2)</f>
        <v>1.0</v>
      </c>
      <c r="AK23" s="7">
        <f>ROUND('Plant Inputs'!AM35,2)</f>
        <v>0.0</v>
      </c>
      <c r="AL23" s="7">
        <f>ROUND('Plant Inputs'!AM36,2)</f>
        <v>0.0</v>
      </c>
      <c r="AM23" s="7">
        <f>ROUND('Plant Inputs'!AM37,2)</f>
        <v>0.0</v>
      </c>
      <c r="AN23" s="7">
        <f>ROUND('Plant Inputs'!AM38,2)</f>
        <v>0.0</v>
      </c>
      <c r="AO23" s="7">
        <f>ROUND('Plant Inputs'!AM39,2)</f>
        <v>0.0</v>
      </c>
    </row>
    <row r="24" spans="1:41">
      <c r="A24" s="6" t="s">
        <v>522</v>
      </c>
      <c r="B24" s="6" t="s">
        <v>523</v>
      </c>
      <c r="C24" s="6" t="s">
        <v>524</v>
      </c>
      <c r="D24" s="6" t="s">
        <v>25</v>
      </c>
      <c r="E24" s="6" t="s">
        <v>525</v>
      </c>
      <c r="F24" s="7">
        <f>ROUND(IFERROR(200000*'Plant Inputs'!AH4/'Plant Inputs'!AG4,0),2)</f>
        <v>0.0</v>
      </c>
      <c r="G24" s="7">
        <f>ROUND(IFERROR(200000*'Plant Inputs'!AH5/'Plant Inputs'!AG5,0),2)</f>
        <v>0.0</v>
      </c>
      <c r="H24" s="7">
        <f>ROUND(IFERROR(200000*'Plant Inputs'!AH6/'Plant Inputs'!AG6,0),2)</f>
        <v>2.2</v>
      </c>
      <c r="I24" s="7">
        <f>ROUND(IFERROR(200000*'Plant Inputs'!AH7/'Plant Inputs'!AG7,0),2)</f>
        <v>2.63</v>
      </c>
      <c r="J24" s="7">
        <f>ROUND(IFERROR(200000*'Plant Inputs'!AH8/'Plant Inputs'!AG8,0),2)</f>
        <v>3.57</v>
      </c>
      <c r="K24" s="7">
        <f>ROUND(IFERROR(200000*'Plant Inputs'!AH9/'Plant Inputs'!AG9,0),2)</f>
        <v>0.0</v>
      </c>
      <c r="L24" s="7">
        <f>ROUND(IFERROR(200000*'Plant Inputs'!AH10/'Plant Inputs'!AG10,0),2)</f>
        <v>0.0</v>
      </c>
      <c r="M24" s="7">
        <f>ROUND(IFERROR(200000*'Plant Inputs'!AH11/'Plant Inputs'!AG11,0),2)</f>
        <v>2.9</v>
      </c>
      <c r="N24" s="7">
        <f>ROUND(IFERROR(200000*'Plant Inputs'!AH12/'Plant Inputs'!AG12,0),2)</f>
        <v>3.23</v>
      </c>
      <c r="O24" s="7">
        <f>ROUND(IFERROR(200000*'Plant Inputs'!AH13/'Plant Inputs'!AG13,0),2)</f>
        <v>0.0</v>
      </c>
      <c r="P24" s="7">
        <f>ROUND(IFERROR(200000*'Plant Inputs'!AH14/'Plant Inputs'!AG14,0),2)</f>
        <v>0.0</v>
      </c>
      <c r="Q24" s="7">
        <f>ROUND(IFERROR(200000*'Plant Inputs'!AH15/'Plant Inputs'!AG15,0),2)</f>
        <v>0.0</v>
      </c>
      <c r="R24" s="7">
        <f>ROUND(IFERROR(200000*'Plant Inputs'!AH16/'Plant Inputs'!AG16,0),2)</f>
        <v>0.0</v>
      </c>
      <c r="S24" s="7">
        <f>ROUND(IFERROR(200000*'Plant Inputs'!AH17/'Plant Inputs'!AG17,0),2)</f>
        <v>2.63</v>
      </c>
      <c r="T24" s="7">
        <f>ROUND(IFERROR(200000*'Plant Inputs'!AH18/'Plant Inputs'!AG18,0),2)</f>
        <v>2.78</v>
      </c>
      <c r="U24" s="7">
        <f>ROUND(IFERROR(200000*'Plant Inputs'!AH19/'Plant Inputs'!AG19,0),2)</f>
        <v>2.27</v>
      </c>
      <c r="V24" s="7">
        <f>ROUND(IFERROR(200000*'Plant Inputs'!AH20/'Plant Inputs'!AG20,0),2)</f>
        <v>2.94</v>
      </c>
      <c r="W24" s="7">
        <f>ROUND(IFERROR(200000*'Plant Inputs'!AH21/'Plant Inputs'!AG21,0),2)</f>
        <v>2.9</v>
      </c>
      <c r="X24" s="7">
        <f>ROUND(IFERROR(200000*'Plant Inputs'!AH22/'Plant Inputs'!AG22,0),2)</f>
        <v>0.0</v>
      </c>
      <c r="Y24" s="7">
        <f>ROUND(IFERROR(200000*'Plant Inputs'!AH23/'Plant Inputs'!AG23,0),2)</f>
        <v>5.13</v>
      </c>
      <c r="Z24" s="7">
        <f>ROUND(IFERROR(200000*'Plant Inputs'!AH24/'Plant Inputs'!AG24,0),2)</f>
        <v>0.0</v>
      </c>
      <c r="AA24" s="7">
        <f>ROUND(IFERROR(200000*'Plant Inputs'!AH25/'Plant Inputs'!AG25,0),2)</f>
        <v>0.0</v>
      </c>
      <c r="AB24" s="7">
        <f>ROUND(IFERROR(200000*'Plant Inputs'!AH26/'Plant Inputs'!AG26,0),2)</f>
        <v>0.0</v>
      </c>
      <c r="AC24" s="7">
        <f>ROUND(IFERROR(200000*'Plant Inputs'!AH27/'Plant Inputs'!AG27,0),2)</f>
        <v>0.0</v>
      </c>
      <c r="AD24" s="7">
        <f>ROUND(IFERROR(200000*'Plant Inputs'!AH28/'Plant Inputs'!AG28,0),2)</f>
        <v>4.55</v>
      </c>
      <c r="AE24" s="7">
        <f>ROUND(IFERROR(200000*'Plant Inputs'!AH29/'Plant Inputs'!AG29,0),2)</f>
        <v>0.0</v>
      </c>
      <c r="AF24" s="7">
        <f>ROUND(IFERROR(200000*'Plant Inputs'!AH30/'Plant Inputs'!AG30,0),2)</f>
        <v>6.25</v>
      </c>
      <c r="AG24" s="7">
        <f>ROUND(IFERROR(200000*'Plant Inputs'!AH31/'Plant Inputs'!AG31,0),2)</f>
        <v>3.08</v>
      </c>
      <c r="AH24" s="7">
        <f>ROUND(IFERROR(200000*'Plant Inputs'!AH32/'Plant Inputs'!AG32,0),2)</f>
        <v>0.0</v>
      </c>
      <c r="AI24" s="7">
        <f>ROUND(IFERROR(200000*'Plant Inputs'!AH33/'Plant Inputs'!AG33,0),2)</f>
        <v>0.0</v>
      </c>
      <c r="AJ24" s="7">
        <f>ROUND(IFERROR(200000*'Plant Inputs'!AH34/'Plant Inputs'!AG34,0),2)</f>
        <v>0.0</v>
      </c>
      <c r="AK24" s="7">
        <f>ROUND(IFERROR(200000*'Plant Inputs'!AH35/'Plant Inputs'!AG35,0),2)</f>
        <v>0.0</v>
      </c>
      <c r="AL24" s="7">
        <f>ROUND(IFERROR(200000*'Plant Inputs'!AH36/'Plant Inputs'!AG36,0),2)</f>
        <v>0.0</v>
      </c>
      <c r="AM24" s="7">
        <f>ROUND(IFERROR(200000*'Plant Inputs'!AH37/'Plant Inputs'!AG37,0),2)</f>
        <v>0.0</v>
      </c>
      <c r="AN24" s="7">
        <f>ROUND(IFERROR(200000*'Plant Inputs'!AH38/'Plant Inputs'!AG38,0),2)</f>
        <v>3.51</v>
      </c>
      <c r="AO24" s="7">
        <f>ROUND(IFERROR(200000*'Plant Inputs'!AH39/'Plant Inputs'!AG39,0),2)</f>
        <v>0.0</v>
      </c>
    </row>
    <row r="25" spans="1:41">
      <c r="A25" s="6" t="s">
        <v>526</v>
      </c>
      <c r="B25" s="6" t="s">
        <v>527</v>
      </c>
      <c r="C25" s="6" t="s">
        <v>512</v>
      </c>
      <c r="D25" s="6" t="s">
        <v>25</v>
      </c>
      <c r="E25" s="6" t="s">
        <v>527</v>
      </c>
      <c r="F25" s="7">
        <f>ROUND('Plant Inputs'!AI4,2)</f>
        <v>1.0</v>
      </c>
      <c r="G25" s="7">
        <f>ROUND('Plant Inputs'!AI5,2)</f>
        <v>0.0</v>
      </c>
      <c r="H25" s="7">
        <f>ROUND('Plant Inputs'!AI6,2)</f>
        <v>0.0</v>
      </c>
      <c r="I25" s="7">
        <f>ROUND('Plant Inputs'!AI7,2)</f>
        <v>0.0</v>
      </c>
      <c r="J25" s="7">
        <f>ROUND('Plant Inputs'!AI8,2)</f>
        <v>0.0</v>
      </c>
      <c r="K25" s="7">
        <f>ROUND('Plant Inputs'!AI9,2)</f>
        <v>1.0</v>
      </c>
      <c r="L25" s="7">
        <f>ROUND('Plant Inputs'!AI10,2)</f>
        <v>0.0</v>
      </c>
      <c r="M25" s="7">
        <f>ROUND('Plant Inputs'!AI11,2)</f>
        <v>0.0</v>
      </c>
      <c r="N25" s="7">
        <f>ROUND('Plant Inputs'!AI12,2)</f>
        <v>0.0</v>
      </c>
      <c r="O25" s="7">
        <f>ROUND('Plant Inputs'!AI13,2)</f>
        <v>1.0</v>
      </c>
      <c r="P25" s="7">
        <f>ROUND('Plant Inputs'!AI14,2)</f>
        <v>1.0</v>
      </c>
      <c r="Q25" s="7">
        <f>ROUND('Plant Inputs'!AI15,2)</f>
        <v>0.0</v>
      </c>
      <c r="R25" s="7">
        <f>ROUND('Plant Inputs'!AI16,2)</f>
        <v>0.0</v>
      </c>
      <c r="S25" s="7">
        <f>ROUND('Plant Inputs'!AI17,2)</f>
        <v>0.0</v>
      </c>
      <c r="T25" s="7">
        <f>ROUND('Plant Inputs'!AI18,2)</f>
        <v>0.0</v>
      </c>
      <c r="U25" s="7">
        <f>ROUND('Plant Inputs'!AI19,2)</f>
        <v>0.0</v>
      </c>
      <c r="V25" s="7">
        <f>ROUND('Plant Inputs'!AI20,2)</f>
        <v>0.0</v>
      </c>
      <c r="W25" s="7">
        <f>ROUND('Plant Inputs'!AI21,2)</f>
        <v>0.0</v>
      </c>
      <c r="X25" s="7">
        <f>ROUND('Plant Inputs'!AI22,2)</f>
        <v>0.0</v>
      </c>
      <c r="Y25" s="7">
        <f>ROUND('Plant Inputs'!AI23,2)</f>
        <v>0.0</v>
      </c>
      <c r="Z25" s="7">
        <f>ROUND('Plant Inputs'!AI24,2)</f>
        <v>0.0</v>
      </c>
      <c r="AA25" s="7">
        <f>ROUND('Plant Inputs'!AI25,2)</f>
        <v>1.0</v>
      </c>
      <c r="AB25" s="7">
        <f>ROUND('Plant Inputs'!AI26,2)</f>
        <v>0.0</v>
      </c>
      <c r="AC25" s="7">
        <f>ROUND('Plant Inputs'!AI27,2)</f>
        <v>0.0</v>
      </c>
      <c r="AD25" s="7">
        <f>ROUND('Plant Inputs'!AI28,2)</f>
        <v>0.0</v>
      </c>
      <c r="AE25" s="7">
        <f>ROUND('Plant Inputs'!AI29,2)</f>
        <v>0.0</v>
      </c>
      <c r="AF25" s="7">
        <f>ROUND('Plant Inputs'!AI30,2)</f>
        <v>0.0</v>
      </c>
      <c r="AG25" s="7">
        <f>ROUND('Plant Inputs'!AI31,2)</f>
        <v>0.0</v>
      </c>
      <c r="AH25" s="7">
        <f>ROUND('Plant Inputs'!AI32,2)</f>
        <v>0.0</v>
      </c>
      <c r="AI25" s="7">
        <f>ROUND('Plant Inputs'!AI33,2)</f>
        <v>1.0</v>
      </c>
      <c r="AJ25" s="7">
        <f>ROUND('Plant Inputs'!AI34,2)</f>
        <v>0.0</v>
      </c>
      <c r="AK25" s="7">
        <f>ROUND('Plant Inputs'!AI35,2)</f>
        <v>1.0</v>
      </c>
      <c r="AL25" s="7">
        <f>ROUND('Plant Inputs'!AI36,2)</f>
        <v>0.0</v>
      </c>
      <c r="AM25" s="7">
        <f>ROUND('Plant Inputs'!AI37,2)</f>
        <v>0.0</v>
      </c>
      <c r="AN25" s="7">
        <f>ROUND('Plant Inputs'!AI38,2)</f>
        <v>0.0</v>
      </c>
      <c r="AO25" s="7">
        <f>ROUND('Plant Inputs'!AI39,2)</f>
        <v>1.0</v>
      </c>
    </row>
    <row r="26" spans="1:41">
      <c r="A26" s="6" t="s">
        <v>528</v>
      </c>
      <c r="B26" s="6" t="s">
        <v>529</v>
      </c>
      <c r="C26" s="6" t="s">
        <v>512</v>
      </c>
      <c r="D26" s="6" t="s">
        <v>25</v>
      </c>
      <c r="E26" s="6" t="s">
        <v>529</v>
      </c>
      <c r="F26" s="7">
        <f>ROUND('Plant Inputs'!AJ4,2)</f>
        <v>10.0</v>
      </c>
      <c r="G26" s="7">
        <f>ROUND('Plant Inputs'!AJ5,2)</f>
        <v>4.0</v>
      </c>
      <c r="H26" s="7">
        <f>ROUND('Plant Inputs'!AJ6,2)</f>
        <v>10.0</v>
      </c>
      <c r="I26" s="7">
        <f>ROUND('Plant Inputs'!AJ7,2)</f>
        <v>9.0</v>
      </c>
      <c r="J26" s="7">
        <f>ROUND('Plant Inputs'!AJ8,2)</f>
        <v>6.0</v>
      </c>
      <c r="K26" s="7">
        <f>ROUND('Plant Inputs'!AJ9,2)</f>
        <v>9.0</v>
      </c>
      <c r="L26" s="7">
        <f>ROUND('Plant Inputs'!AJ10,2)</f>
        <v>6.0</v>
      </c>
      <c r="M26" s="7">
        <f>ROUND('Plant Inputs'!AJ11,2)</f>
        <v>4.0</v>
      </c>
      <c r="N26" s="7">
        <f>ROUND('Plant Inputs'!AJ12,2)</f>
        <v>4.0</v>
      </c>
      <c r="O26" s="7">
        <f>ROUND('Plant Inputs'!AJ13,2)</f>
        <v>6.0</v>
      </c>
      <c r="P26" s="7">
        <f>ROUND('Plant Inputs'!AJ14,2)</f>
        <v>5.0</v>
      </c>
      <c r="Q26" s="7">
        <f>ROUND('Plant Inputs'!AJ15,2)</f>
        <v>2.0</v>
      </c>
      <c r="R26" s="7">
        <f>ROUND('Plant Inputs'!AJ16,2)</f>
        <v>5.0</v>
      </c>
      <c r="S26" s="7">
        <f>ROUND('Plant Inputs'!AJ17,2)</f>
        <v>10.0</v>
      </c>
      <c r="T26" s="7">
        <f>ROUND('Plant Inputs'!AJ18,2)</f>
        <v>8.0</v>
      </c>
      <c r="U26" s="7">
        <f>ROUND('Plant Inputs'!AJ19,2)</f>
        <v>4.0</v>
      </c>
      <c r="V26" s="7">
        <f>ROUND('Plant Inputs'!AJ20,2)</f>
        <v>8.0</v>
      </c>
      <c r="W26" s="7">
        <f>ROUND('Plant Inputs'!AJ21,2)</f>
        <v>9.0</v>
      </c>
      <c r="X26" s="7">
        <f>ROUND('Plant Inputs'!AJ22,2)</f>
        <v>5.0</v>
      </c>
      <c r="Y26" s="7">
        <f>ROUND('Plant Inputs'!AJ23,2)</f>
        <v>8.0</v>
      </c>
      <c r="Z26" s="7">
        <f>ROUND('Plant Inputs'!AJ24,2)</f>
        <v>11.0</v>
      </c>
      <c r="AA26" s="7">
        <f>ROUND('Plant Inputs'!AJ25,2)</f>
        <v>4.0</v>
      </c>
      <c r="AB26" s="7">
        <f>ROUND('Plant Inputs'!AJ26,2)</f>
        <v>2.0</v>
      </c>
      <c r="AC26" s="7">
        <f>ROUND('Plant Inputs'!AJ27,2)</f>
        <v>3.0</v>
      </c>
      <c r="AD26" s="7">
        <f>ROUND('Plant Inputs'!AJ28,2)</f>
        <v>3.0</v>
      </c>
      <c r="AE26" s="7">
        <f>ROUND('Plant Inputs'!AJ29,2)</f>
        <v>12.0</v>
      </c>
      <c r="AF26" s="7">
        <f>ROUND('Plant Inputs'!AJ30,2)</f>
        <v>6.0</v>
      </c>
      <c r="AG26" s="7">
        <f>ROUND('Plant Inputs'!AJ31,2)</f>
        <v>3.0</v>
      </c>
      <c r="AH26" s="7">
        <f>ROUND('Plant Inputs'!AJ32,2)</f>
        <v>11.0</v>
      </c>
      <c r="AI26" s="7">
        <f>ROUND('Plant Inputs'!AJ33,2)</f>
        <v>9.0</v>
      </c>
      <c r="AJ26" s="7">
        <f>ROUND('Plant Inputs'!AJ34,2)</f>
        <v>10.0</v>
      </c>
      <c r="AK26" s="7">
        <f>ROUND('Plant Inputs'!AJ35,2)</f>
        <v>8.0</v>
      </c>
      <c r="AL26" s="7">
        <f>ROUND('Plant Inputs'!AJ36,2)</f>
        <v>5.0</v>
      </c>
      <c r="AM26" s="7">
        <f>ROUND('Plant Inputs'!AJ37,2)</f>
        <v>6.0</v>
      </c>
      <c r="AN26" s="7">
        <f>ROUND('Plant Inputs'!AJ38,2)</f>
        <v>10.0</v>
      </c>
      <c r="AO26" s="7">
        <f>ROUND('Plant Inputs'!AJ39,2)</f>
        <v>9.0</v>
      </c>
    </row>
    <row r="27" spans="1:41">
      <c r="A27" s="6" t="s">
        <v>530</v>
      </c>
      <c r="B27" s="6" t="s">
        <v>531</v>
      </c>
      <c r="C27" s="6" t="s">
        <v>512</v>
      </c>
      <c r="D27" s="6" t="s">
        <v>25</v>
      </c>
      <c r="E27" s="6" t="s">
        <v>531</v>
      </c>
      <c r="F27" s="7">
        <f>ROUND('Plant Inputs'!AK4,2)</f>
        <v>0.0</v>
      </c>
      <c r="G27" s="7">
        <f>ROUND('Plant Inputs'!AK5,2)</f>
        <v>0.0</v>
      </c>
      <c r="H27" s="7">
        <f>ROUND('Plant Inputs'!AK6,2)</f>
        <v>0.0</v>
      </c>
      <c r="I27" s="7">
        <f>ROUND('Plant Inputs'!AK7,2)</f>
        <v>0.0</v>
      </c>
      <c r="J27" s="7">
        <f>ROUND('Plant Inputs'!AK8,2)</f>
        <v>0.0</v>
      </c>
      <c r="K27" s="7">
        <f>ROUND('Plant Inputs'!AK9,2)</f>
        <v>0.0</v>
      </c>
      <c r="L27" s="7">
        <f>ROUND('Plant Inputs'!AK10,2)</f>
        <v>0.0</v>
      </c>
      <c r="M27" s="7">
        <f>ROUND('Plant Inputs'!AK11,2)</f>
        <v>0.0</v>
      </c>
      <c r="N27" s="7">
        <f>ROUND('Plant Inputs'!AK12,2)</f>
        <v>0.0</v>
      </c>
      <c r="O27" s="7">
        <f>ROUND('Plant Inputs'!AK13,2)</f>
        <v>0.0</v>
      </c>
      <c r="P27" s="7">
        <f>ROUND('Plant Inputs'!AK14,2)</f>
        <v>1.0</v>
      </c>
      <c r="Q27" s="7">
        <f>ROUND('Plant Inputs'!AK15,2)</f>
        <v>0.0</v>
      </c>
      <c r="R27" s="7">
        <f>ROUND('Plant Inputs'!AK16,2)</f>
        <v>0.0</v>
      </c>
      <c r="S27" s="7">
        <f>ROUND('Plant Inputs'!AK17,2)</f>
        <v>0.0</v>
      </c>
      <c r="T27" s="7">
        <f>ROUND('Plant Inputs'!AK18,2)</f>
        <v>0.0</v>
      </c>
      <c r="U27" s="7">
        <f>ROUND('Plant Inputs'!AK19,2)</f>
        <v>0.0</v>
      </c>
      <c r="V27" s="7">
        <f>ROUND('Plant Inputs'!AK20,2)</f>
        <v>0.0</v>
      </c>
      <c r="W27" s="7">
        <f>ROUND('Plant Inputs'!AK21,2)</f>
        <v>0.0</v>
      </c>
      <c r="X27" s="7">
        <f>ROUND('Plant Inputs'!AK22,2)</f>
        <v>0.0</v>
      </c>
      <c r="Y27" s="7">
        <f>ROUND('Plant Inputs'!AK23,2)</f>
        <v>0.0</v>
      </c>
      <c r="Z27" s="7">
        <f>ROUND('Plant Inputs'!AK24,2)</f>
        <v>0.0</v>
      </c>
      <c r="AA27" s="7">
        <f>ROUND('Plant Inputs'!AK25,2)</f>
        <v>0.0</v>
      </c>
      <c r="AB27" s="7">
        <f>ROUND('Plant Inputs'!AK26,2)</f>
        <v>0.0</v>
      </c>
      <c r="AC27" s="7">
        <f>ROUND('Plant Inputs'!AK27,2)</f>
        <v>0.0</v>
      </c>
      <c r="AD27" s="7">
        <f>ROUND('Plant Inputs'!AK28,2)</f>
        <v>0.0</v>
      </c>
      <c r="AE27" s="7">
        <f>ROUND('Plant Inputs'!AK29,2)</f>
        <v>0.0</v>
      </c>
      <c r="AF27" s="7">
        <f>ROUND('Plant Inputs'!AK30,2)</f>
        <v>0.0</v>
      </c>
      <c r="AG27" s="7">
        <f>ROUND('Plant Inputs'!AK31,2)</f>
        <v>0.0</v>
      </c>
      <c r="AH27" s="7">
        <f>ROUND('Plant Inputs'!AK32,2)</f>
        <v>0.0</v>
      </c>
      <c r="AI27" s="7">
        <f>ROUND('Plant Inputs'!AK33,2)</f>
        <v>0.0</v>
      </c>
      <c r="AJ27" s="7">
        <f>ROUND('Plant Inputs'!AK34,2)</f>
        <v>0.0</v>
      </c>
      <c r="AK27" s="7">
        <f>ROUND('Plant Inputs'!AK35,2)</f>
        <v>1.0</v>
      </c>
      <c r="AL27" s="7">
        <f>ROUND('Plant Inputs'!AK36,2)</f>
        <v>0.0</v>
      </c>
      <c r="AM27" s="7">
        <f>ROUND('Plant Inputs'!AK37,2)</f>
        <v>0.0</v>
      </c>
      <c r="AN27" s="7">
        <f>ROUND('Plant Inputs'!AK38,2)</f>
        <v>0.0</v>
      </c>
      <c r="AO27" s="7">
        <f>ROUND('Plant Inputs'!AK39,2)</f>
        <v>0.0</v>
      </c>
    </row>
    <row r="28" spans="1:41">
      <c r="A28" s="6" t="s">
        <v>532</v>
      </c>
      <c r="B28" s="6" t="s">
        <v>533</v>
      </c>
      <c r="C28" s="6" t="s">
        <v>512</v>
      </c>
      <c r="D28" s="6" t="s">
        <v>25</v>
      </c>
      <c r="E28" s="6" t="s">
        <v>533</v>
      </c>
      <c r="F28" s="7">
        <f>ROUND('Plant Inputs'!AL4,2)</f>
        <v>0.0</v>
      </c>
      <c r="G28" s="7">
        <f>ROUND('Plant Inputs'!AL5,2)</f>
        <v>0.0</v>
      </c>
      <c r="H28" s="7">
        <f>ROUND('Plant Inputs'!AL6,2)</f>
        <v>1.0</v>
      </c>
      <c r="I28" s="7">
        <f>ROUND('Plant Inputs'!AL7,2)</f>
        <v>1.0</v>
      </c>
      <c r="J28" s="7">
        <f>ROUND('Plant Inputs'!AL8,2)</f>
        <v>0.0</v>
      </c>
      <c r="K28" s="7">
        <f>ROUND('Plant Inputs'!AL9,2)</f>
        <v>0.0</v>
      </c>
      <c r="L28" s="7">
        <f>ROUND('Plant Inputs'!AL10,2)</f>
        <v>0.0</v>
      </c>
      <c r="M28" s="7">
        <f>ROUND('Plant Inputs'!AL11,2)</f>
        <v>0.0</v>
      </c>
      <c r="N28" s="7">
        <f>ROUND('Plant Inputs'!AL12,2)</f>
        <v>0.0</v>
      </c>
      <c r="O28" s="7">
        <f>ROUND('Plant Inputs'!AL13,2)</f>
        <v>1.0</v>
      </c>
      <c r="P28" s="7">
        <f>ROUND('Plant Inputs'!AL14,2)</f>
        <v>0.0</v>
      </c>
      <c r="Q28" s="7">
        <f>ROUND('Plant Inputs'!AL15,2)</f>
        <v>1.0</v>
      </c>
      <c r="R28" s="7">
        <f>ROUND('Plant Inputs'!AL16,2)</f>
        <v>1.0</v>
      </c>
      <c r="S28" s="7">
        <f>ROUND('Plant Inputs'!AL17,2)</f>
        <v>1.0</v>
      </c>
      <c r="T28" s="7">
        <f>ROUND('Plant Inputs'!AL18,2)</f>
        <v>0.0</v>
      </c>
      <c r="U28" s="7">
        <f>ROUND('Plant Inputs'!AL19,2)</f>
        <v>0.0</v>
      </c>
      <c r="V28" s="7">
        <f>ROUND('Plant Inputs'!AL20,2)</f>
        <v>0.0</v>
      </c>
      <c r="W28" s="7">
        <f>ROUND('Plant Inputs'!AL21,2)</f>
        <v>0.0</v>
      </c>
      <c r="X28" s="7">
        <f>ROUND('Plant Inputs'!AL22,2)</f>
        <v>0.0</v>
      </c>
      <c r="Y28" s="7">
        <f>ROUND('Plant Inputs'!AL23,2)</f>
        <v>0.0</v>
      </c>
      <c r="Z28" s="7">
        <f>ROUND('Plant Inputs'!AL24,2)</f>
        <v>0.0</v>
      </c>
      <c r="AA28" s="7">
        <f>ROUND('Plant Inputs'!AL25,2)</f>
        <v>1.0</v>
      </c>
      <c r="AB28" s="7">
        <f>ROUND('Plant Inputs'!AL26,2)</f>
        <v>1.0</v>
      </c>
      <c r="AC28" s="7">
        <f>ROUND('Plant Inputs'!AL27,2)</f>
        <v>1.0</v>
      </c>
      <c r="AD28" s="7">
        <f>ROUND('Plant Inputs'!AL28,2)</f>
        <v>0.0</v>
      </c>
      <c r="AE28" s="7">
        <f>ROUND('Plant Inputs'!AL29,2)</f>
        <v>0.0</v>
      </c>
      <c r="AF28" s="7">
        <f>ROUND('Plant Inputs'!AL30,2)</f>
        <v>0.0</v>
      </c>
      <c r="AG28" s="7">
        <f>ROUND('Plant Inputs'!AL31,2)</f>
        <v>0.0</v>
      </c>
      <c r="AH28" s="7">
        <f>ROUND('Plant Inputs'!AL32,2)</f>
        <v>0.0</v>
      </c>
      <c r="AI28" s="7">
        <f>ROUND('Plant Inputs'!AL33,2)</f>
        <v>0.0</v>
      </c>
      <c r="AJ28" s="7">
        <f>ROUND('Plant Inputs'!AL34,2)</f>
        <v>1.0</v>
      </c>
      <c r="AK28" s="7">
        <f>ROUND('Plant Inputs'!AL35,2)</f>
        <v>0.0</v>
      </c>
      <c r="AL28" s="7">
        <f>ROUND('Plant Inputs'!AL36,2)</f>
        <v>0.0</v>
      </c>
      <c r="AM28" s="7">
        <f>ROUND('Plant Inputs'!AL37,2)</f>
        <v>0.0</v>
      </c>
      <c r="AN28" s="7">
        <f>ROUND('Plant Inputs'!AL38,2)</f>
        <v>0.0</v>
      </c>
      <c r="AO28" s="7">
        <f>ROUND('Plant Inputs'!AL39,2)</f>
        <v>0.0</v>
      </c>
    </row>
    <row r="29" spans="1:41">
      <c r="A29" s="6" t="s">
        <v>534</v>
      </c>
      <c r="B29" s="6" t="s">
        <v>535</v>
      </c>
      <c r="C29" s="6" t="s">
        <v>512</v>
      </c>
      <c r="D29" s="6" t="s">
        <v>25</v>
      </c>
      <c r="E29" s="6" t="s">
        <v>535</v>
      </c>
      <c r="F29" s="7">
        <f>ROUND('Plant Inputs'!AN4,2)</f>
        <v>14.0</v>
      </c>
      <c r="G29" s="7">
        <f>ROUND('Plant Inputs'!AN5,2)</f>
        <v>11.0</v>
      </c>
      <c r="H29" s="7">
        <f>ROUND('Plant Inputs'!AN6,2)</f>
        <v>5.0</v>
      </c>
      <c r="I29" s="7">
        <f>ROUND('Plant Inputs'!AN7,2)</f>
        <v>4.0</v>
      </c>
      <c r="J29" s="7">
        <f>ROUND('Plant Inputs'!AN8,2)</f>
        <v>5.0</v>
      </c>
      <c r="K29" s="7">
        <f>ROUND('Plant Inputs'!AN9,2)</f>
        <v>14.0</v>
      </c>
      <c r="L29" s="7">
        <f>ROUND('Plant Inputs'!AN10,2)</f>
        <v>6.0</v>
      </c>
      <c r="M29" s="7">
        <f>ROUND('Plant Inputs'!AN11,2)</f>
        <v>5.0</v>
      </c>
      <c r="N29" s="7">
        <f>ROUND('Plant Inputs'!AN12,2)</f>
        <v>5.0</v>
      </c>
      <c r="O29" s="7">
        <f>ROUND('Plant Inputs'!AN13,2)</f>
        <v>7.0</v>
      </c>
      <c r="P29" s="7">
        <f>ROUND('Plant Inputs'!AN14,2)</f>
        <v>8.0</v>
      </c>
      <c r="Q29" s="7">
        <f>ROUND('Plant Inputs'!AN15,2)</f>
        <v>6.0</v>
      </c>
      <c r="R29" s="7">
        <f>ROUND('Plant Inputs'!AN16,2)</f>
        <v>5.0</v>
      </c>
      <c r="S29" s="7">
        <f>ROUND('Plant Inputs'!AN17,2)</f>
        <v>10.0</v>
      </c>
      <c r="T29" s="7">
        <f>ROUND('Plant Inputs'!AN18,2)</f>
        <v>13.0</v>
      </c>
      <c r="U29" s="7">
        <f>ROUND('Plant Inputs'!AN19,2)</f>
        <v>13.0</v>
      </c>
      <c r="V29" s="7">
        <f>ROUND('Plant Inputs'!AN20,2)</f>
        <v>5.0</v>
      </c>
      <c r="W29" s="7">
        <f>ROUND('Plant Inputs'!AN21,2)</f>
        <v>8.0</v>
      </c>
      <c r="X29" s="7">
        <f>ROUND('Plant Inputs'!AN22,2)</f>
        <v>14.0</v>
      </c>
      <c r="Y29" s="7">
        <f>ROUND('Plant Inputs'!AN23,2)</f>
        <v>14.0</v>
      </c>
      <c r="Z29" s="7">
        <f>ROUND('Plant Inputs'!AN24,2)</f>
        <v>7.0</v>
      </c>
      <c r="AA29" s="7">
        <f>ROUND('Plant Inputs'!AN25,2)</f>
        <v>13.0</v>
      </c>
      <c r="AB29" s="7">
        <f>ROUND('Plant Inputs'!AN26,2)</f>
        <v>12.0</v>
      </c>
      <c r="AC29" s="7">
        <f>ROUND('Plant Inputs'!AN27,2)</f>
        <v>6.0</v>
      </c>
      <c r="AD29" s="7">
        <f>ROUND('Plant Inputs'!AN28,2)</f>
        <v>12.0</v>
      </c>
      <c r="AE29" s="7">
        <f>ROUND('Plant Inputs'!AN29,2)</f>
        <v>12.0</v>
      </c>
      <c r="AF29" s="7">
        <f>ROUND('Plant Inputs'!AN30,2)</f>
        <v>3.0</v>
      </c>
      <c r="AG29" s="7">
        <f>ROUND('Plant Inputs'!AN31,2)</f>
        <v>14.0</v>
      </c>
      <c r="AH29" s="7">
        <f>ROUND('Plant Inputs'!AN32,2)</f>
        <v>8.0</v>
      </c>
      <c r="AI29" s="7">
        <f>ROUND('Plant Inputs'!AN33,2)</f>
        <v>6.0</v>
      </c>
      <c r="AJ29" s="7">
        <f>ROUND('Plant Inputs'!AN34,2)</f>
        <v>9.0</v>
      </c>
      <c r="AK29" s="7">
        <f>ROUND('Plant Inputs'!AN35,2)</f>
        <v>6.0</v>
      </c>
      <c r="AL29" s="7">
        <f>ROUND('Plant Inputs'!AN36,2)</f>
        <v>12.0</v>
      </c>
      <c r="AM29" s="7">
        <f>ROUND('Plant Inputs'!AN37,2)</f>
        <v>9.0</v>
      </c>
      <c r="AN29" s="7">
        <f>ROUND('Plant Inputs'!AN38,2)</f>
        <v>6.0</v>
      </c>
      <c r="AO29" s="7">
        <f>ROUND('Plant Inputs'!AN39,2)</f>
        <v>5.0</v>
      </c>
    </row>
    <row r="30" spans="1:41">
      <c r="A30" s="6" t="s">
        <v>536</v>
      </c>
      <c r="B30" s="6" t="s">
        <v>537</v>
      </c>
      <c r="C30" s="6" t="s">
        <v>512</v>
      </c>
      <c r="D30" s="6" t="s">
        <v>25</v>
      </c>
      <c r="E30" s="6" t="s">
        <v>538</v>
      </c>
      <c r="F30" s="7">
        <f>ROUND('Plant Inputs'!AO4,2)</f>
        <v>4.0</v>
      </c>
      <c r="G30" s="7">
        <f>ROUND('Plant Inputs'!AO5,2)</f>
        <v>2.0</v>
      </c>
      <c r="H30" s="7">
        <f>ROUND('Plant Inputs'!AO6,2)</f>
        <v>1.0</v>
      </c>
      <c r="I30" s="7">
        <f>ROUND('Plant Inputs'!AO7,2)</f>
        <v>1.0</v>
      </c>
      <c r="J30" s="7">
        <f>ROUND('Plant Inputs'!AO8,2)</f>
        <v>0.0</v>
      </c>
      <c r="K30" s="7">
        <f>ROUND('Plant Inputs'!AO9,2)</f>
        <v>4.0</v>
      </c>
      <c r="L30" s="7">
        <f>ROUND('Plant Inputs'!AO10,2)</f>
        <v>2.0</v>
      </c>
      <c r="M30" s="7">
        <f>ROUND('Plant Inputs'!AO11,2)</f>
        <v>1.0</v>
      </c>
      <c r="N30" s="7">
        <f>ROUND('Plant Inputs'!AO12,2)</f>
        <v>0.0</v>
      </c>
      <c r="O30" s="7">
        <f>ROUND('Plant Inputs'!AO13,2)</f>
        <v>0.0</v>
      </c>
      <c r="P30" s="7">
        <f>ROUND('Plant Inputs'!AO14,2)</f>
        <v>1.0</v>
      </c>
      <c r="Q30" s="7">
        <f>ROUND('Plant Inputs'!AO15,2)</f>
        <v>1.0</v>
      </c>
      <c r="R30" s="7">
        <f>ROUND('Plant Inputs'!AO16,2)</f>
        <v>1.0</v>
      </c>
      <c r="S30" s="7">
        <f>ROUND('Plant Inputs'!AO17,2)</f>
        <v>2.0</v>
      </c>
      <c r="T30" s="7">
        <f>ROUND('Plant Inputs'!AO18,2)</f>
        <v>3.0</v>
      </c>
      <c r="U30" s="7">
        <f>ROUND('Plant Inputs'!AO19,2)</f>
        <v>4.0</v>
      </c>
      <c r="V30" s="7">
        <f>ROUND('Plant Inputs'!AO20,2)</f>
        <v>0.0</v>
      </c>
      <c r="W30" s="7">
        <f>ROUND('Plant Inputs'!AO21,2)</f>
        <v>2.0</v>
      </c>
      <c r="X30" s="7">
        <f>ROUND('Plant Inputs'!AO22,2)</f>
        <v>4.0</v>
      </c>
      <c r="Y30" s="7">
        <f>ROUND('Plant Inputs'!AO23,2)</f>
        <v>4.0</v>
      </c>
      <c r="Z30" s="7">
        <f>ROUND('Plant Inputs'!AO24,2)</f>
        <v>1.0</v>
      </c>
      <c r="AA30" s="7">
        <f>ROUND('Plant Inputs'!AO25,2)</f>
        <v>2.0</v>
      </c>
      <c r="AB30" s="7">
        <f>ROUND('Plant Inputs'!AO26,2)</f>
        <v>1.0</v>
      </c>
      <c r="AC30" s="7">
        <f>ROUND('Plant Inputs'!AO27,2)</f>
        <v>1.0</v>
      </c>
      <c r="AD30" s="7">
        <f>ROUND('Plant Inputs'!AO28,2)</f>
        <v>0.0</v>
      </c>
      <c r="AE30" s="7">
        <f>ROUND('Plant Inputs'!AO29,2)</f>
        <v>3.0</v>
      </c>
      <c r="AF30" s="7">
        <f>ROUND('Plant Inputs'!AO30,2)</f>
        <v>1.0</v>
      </c>
      <c r="AG30" s="7">
        <f>ROUND('Plant Inputs'!AO31,2)</f>
        <v>4.0</v>
      </c>
      <c r="AH30" s="7">
        <f>ROUND('Plant Inputs'!AO32,2)</f>
        <v>1.0</v>
      </c>
      <c r="AI30" s="7">
        <f>ROUND('Plant Inputs'!AO33,2)</f>
        <v>0.0</v>
      </c>
      <c r="AJ30" s="7">
        <f>ROUND('Plant Inputs'!AO34,2)</f>
        <v>1.0</v>
      </c>
      <c r="AK30" s="7">
        <f>ROUND('Plant Inputs'!AO35,2)</f>
        <v>2.0</v>
      </c>
      <c r="AL30" s="7">
        <f>ROUND('Plant Inputs'!AO36,2)</f>
        <v>2.0</v>
      </c>
      <c r="AM30" s="7">
        <f>ROUND('Plant Inputs'!AO37,2)</f>
        <v>1.0</v>
      </c>
      <c r="AN30" s="7">
        <f>ROUND('Plant Inputs'!AO38,2)</f>
        <v>0.0</v>
      </c>
      <c r="AO30" s="7">
        <f>ROUND('Plant Inputs'!AO39,2)</f>
        <v>1.0</v>
      </c>
    </row>
    <row r="31" spans="1:41">
      <c r="A31" s="6" t="s">
        <v>539</v>
      </c>
      <c r="B31" s="6" t="s">
        <v>540</v>
      </c>
      <c r="C31" s="6" t="s">
        <v>455</v>
      </c>
      <c r="D31" s="6" t="s">
        <v>25</v>
      </c>
      <c r="E31" s="6" t="s">
        <v>541</v>
      </c>
      <c r="F31" s="7">
        <f>ROUND(IF('Plant Inputs'!AP4=0,100,100*'Plant Inputs'!AQ4/'Plant Inputs'!AP4),2)</f>
        <v>100.0</v>
      </c>
      <c r="G31" s="7">
        <f>ROUND(IF('Plant Inputs'!AP5=0,100,100*'Plant Inputs'!AQ5/'Plant Inputs'!AP5),2)</f>
        <v>100.0</v>
      </c>
      <c r="H31" s="7">
        <f>ROUND(IF('Plant Inputs'!AP6=0,100,100*'Plant Inputs'!AQ6/'Plant Inputs'!AP6),2)</f>
        <v>100.0</v>
      </c>
      <c r="I31" s="7">
        <f>ROUND(IF('Plant Inputs'!AP7=0,100,100*'Plant Inputs'!AQ7/'Plant Inputs'!AP7),2)</f>
        <v>100.0</v>
      </c>
      <c r="J31" s="7">
        <f>ROUND(IF('Plant Inputs'!AP8=0,100,100*'Plant Inputs'!AQ8/'Plant Inputs'!AP8),2)</f>
        <v>100.0</v>
      </c>
      <c r="K31" s="7">
        <f>ROUND(IF('Plant Inputs'!AP9=0,100,100*'Plant Inputs'!AQ9/'Plant Inputs'!AP9),2)</f>
        <v>100.0</v>
      </c>
      <c r="L31" s="7">
        <f>ROUND(IF('Plant Inputs'!AP10=0,100,100*'Plant Inputs'!AQ10/'Plant Inputs'!AP10),2)</f>
        <v>100.0</v>
      </c>
      <c r="M31" s="7">
        <f>ROUND(IF('Plant Inputs'!AP11=0,100,100*'Plant Inputs'!AQ11/'Plant Inputs'!AP11),2)</f>
        <v>100.0</v>
      </c>
      <c r="N31" s="7">
        <f>ROUND(IF('Plant Inputs'!AP12=0,100,100*'Plant Inputs'!AQ12/'Plant Inputs'!AP12),2)</f>
        <v>50.0</v>
      </c>
      <c r="O31" s="7">
        <f>ROUND(IF('Plant Inputs'!AP13=0,100,100*'Plant Inputs'!AQ13/'Plant Inputs'!AP13),2)</f>
        <v>100.0</v>
      </c>
      <c r="P31" s="7">
        <f>ROUND(IF('Plant Inputs'!AP14=0,100,100*'Plant Inputs'!AQ14/'Plant Inputs'!AP14),2)</f>
        <v>100.0</v>
      </c>
      <c r="Q31" s="7">
        <f>ROUND(IF('Plant Inputs'!AP15=0,100,100*'Plant Inputs'!AQ15/'Plant Inputs'!AP15),2)</f>
        <v>50.0</v>
      </c>
      <c r="R31" s="7">
        <f>ROUND(IF('Plant Inputs'!AP16=0,100,100*'Plant Inputs'!AQ16/'Plant Inputs'!AP16),2)</f>
        <v>0.0</v>
      </c>
      <c r="S31" s="7">
        <f>ROUND(IF('Plant Inputs'!AP17=0,100,100*'Plant Inputs'!AQ17/'Plant Inputs'!AP17),2)</f>
        <v>100.0</v>
      </c>
      <c r="T31" s="7">
        <f>ROUND(IF('Plant Inputs'!AP18=0,100,100*'Plant Inputs'!AQ18/'Plant Inputs'!AP18),2)</f>
        <v>100.0</v>
      </c>
      <c r="U31" s="7">
        <f>ROUND(IF('Plant Inputs'!AP19=0,100,100*'Plant Inputs'!AQ19/'Plant Inputs'!AP19),2)</f>
        <v>100.0</v>
      </c>
      <c r="V31" s="7">
        <f>ROUND(IF('Plant Inputs'!AP20=0,100,100*'Plant Inputs'!AQ20/'Plant Inputs'!AP20),2)</f>
        <v>50.0</v>
      </c>
      <c r="W31" s="7">
        <f>ROUND(IF('Plant Inputs'!AP21=0,100,100*'Plant Inputs'!AQ21/'Plant Inputs'!AP21),2)</f>
        <v>100.0</v>
      </c>
      <c r="X31" s="7">
        <f>ROUND(IF('Plant Inputs'!AP22=0,100,100*'Plant Inputs'!AQ22/'Plant Inputs'!AP22),2)</f>
        <v>50.0</v>
      </c>
      <c r="Y31" s="7">
        <f>ROUND(IF('Plant Inputs'!AP23=0,100,100*'Plant Inputs'!AQ23/'Plant Inputs'!AP23),2)</f>
        <v>100.0</v>
      </c>
      <c r="Z31" s="7">
        <f>ROUND(IF('Plant Inputs'!AP24=0,100,100*'Plant Inputs'!AQ24/'Plant Inputs'!AP24),2)</f>
        <v>100.0</v>
      </c>
      <c r="AA31" s="7">
        <f>ROUND(IF('Plant Inputs'!AP25=0,100,100*'Plant Inputs'!AQ25/'Plant Inputs'!AP25),2)</f>
        <v>100.0</v>
      </c>
      <c r="AB31" s="7">
        <f>ROUND(IF('Plant Inputs'!AP26=0,100,100*'Plant Inputs'!AQ26/'Plant Inputs'!AP26),2)</f>
        <v>100.0</v>
      </c>
      <c r="AC31" s="7">
        <f>ROUND(IF('Plant Inputs'!AP27=0,100,100*'Plant Inputs'!AQ27/'Plant Inputs'!AP27),2)</f>
        <v>100.0</v>
      </c>
      <c r="AD31" s="7">
        <f>ROUND(IF('Plant Inputs'!AP28=0,100,100*'Plant Inputs'!AQ28/'Plant Inputs'!AP28),2)</f>
        <v>0.0</v>
      </c>
      <c r="AE31" s="7">
        <f>ROUND(IF('Plant Inputs'!AP29=0,100,100*'Plant Inputs'!AQ29/'Plant Inputs'!AP29),2)</f>
        <v>100.0</v>
      </c>
      <c r="AF31" s="7">
        <f>ROUND(IF('Plant Inputs'!AP30=0,100,100*'Plant Inputs'!AQ30/'Plant Inputs'!AP30),2)</f>
        <v>100.0</v>
      </c>
      <c r="AG31" s="7">
        <f>ROUND(IF('Plant Inputs'!AP31=0,100,100*'Plant Inputs'!AQ31/'Plant Inputs'!AP31),2)</f>
        <v>100.0</v>
      </c>
      <c r="AH31" s="7">
        <f>ROUND(IF('Plant Inputs'!AP32=0,100,100*'Plant Inputs'!AQ32/'Plant Inputs'!AP32),2)</f>
        <v>100.0</v>
      </c>
      <c r="AI31" s="7">
        <f>ROUND(IF('Plant Inputs'!AP33=0,100,100*'Plant Inputs'!AQ33/'Plant Inputs'!AP33),2)</f>
        <v>100.0</v>
      </c>
      <c r="AJ31" s="7">
        <f>ROUND(IF('Plant Inputs'!AP34=0,100,100*'Plant Inputs'!AQ34/'Plant Inputs'!AP34),2)</f>
        <v>100.0</v>
      </c>
      <c r="AK31" s="7">
        <f>ROUND(IF('Plant Inputs'!AP35=0,100,100*'Plant Inputs'!AQ35/'Plant Inputs'!AP35),2)</f>
        <v>100.0</v>
      </c>
      <c r="AL31" s="7">
        <f>ROUND(IF('Plant Inputs'!AP36=0,100,100*'Plant Inputs'!AQ36/'Plant Inputs'!AP36),2)</f>
        <v>100.0</v>
      </c>
      <c r="AM31" s="7">
        <f>ROUND(IF('Plant Inputs'!AP37=0,100,100*'Plant Inputs'!AQ37/'Plant Inputs'!AP37),2)</f>
        <v>66.67</v>
      </c>
      <c r="AN31" s="7">
        <f>ROUND(IF('Plant Inputs'!AP38=0,100,100*'Plant Inputs'!AQ38/'Plant Inputs'!AP38),2)</f>
        <v>100.0</v>
      </c>
      <c r="AO31" s="7">
        <f>ROUND(IF('Plant Inputs'!AP39=0,100,100*'Plant Inputs'!AQ39/'Plant Inputs'!AP39),2)</f>
        <v>100.0</v>
      </c>
    </row>
    <row r="32" spans="1:41">
      <c r="A32" s="6" t="s">
        <v>542</v>
      </c>
      <c r="B32" s="6" t="s">
        <v>543</v>
      </c>
      <c r="C32" s="6" t="s">
        <v>28</v>
      </c>
      <c r="D32" s="6" t="s">
        <v>25</v>
      </c>
      <c r="E32" s="6" t="s">
        <v>544</v>
      </c>
      <c r="F32" s="7">
        <f>ROUND('Plant Inputs'!AU4,2)</f>
        <v>311.0</v>
      </c>
      <c r="G32" s="7">
        <f>ROUND('Plant Inputs'!AU5,2)</f>
        <v>281.0</v>
      </c>
      <c r="H32" s="7">
        <f>ROUND('Plant Inputs'!AU6,2)</f>
        <v>251.0</v>
      </c>
      <c r="I32" s="7">
        <f>ROUND('Plant Inputs'!AU7,2)</f>
        <v>221.0</v>
      </c>
      <c r="J32" s="7">
        <f>ROUND('Plant Inputs'!AU8,2)</f>
        <v>191.0</v>
      </c>
      <c r="K32" s="7">
        <f>ROUND('Plant Inputs'!AU9,2)</f>
        <v>161.0</v>
      </c>
      <c r="L32" s="7">
        <f>ROUND('Plant Inputs'!AU10,2)</f>
        <v>215.0</v>
      </c>
      <c r="M32" s="7">
        <f>ROUND('Plant Inputs'!AU11,2)</f>
        <v>185.0</v>
      </c>
      <c r="N32" s="7">
        <f>ROUND('Plant Inputs'!AU12,2)</f>
        <v>155.0</v>
      </c>
      <c r="O32" s="7">
        <f>ROUND('Plant Inputs'!AU13,2)</f>
        <v>125.0</v>
      </c>
      <c r="P32" s="7">
        <f>ROUND('Plant Inputs'!AU14,2)</f>
        <v>95.0</v>
      </c>
      <c r="Q32" s="7">
        <f>ROUND('Plant Inputs'!AU15,2)</f>
        <v>65.0</v>
      </c>
      <c r="R32" s="7">
        <f>ROUND('Plant Inputs'!AU16,2)</f>
        <v>218.0</v>
      </c>
      <c r="S32" s="7">
        <f>ROUND('Plant Inputs'!AU17,2)</f>
        <v>188.0</v>
      </c>
      <c r="T32" s="7">
        <f>ROUND('Plant Inputs'!AU18,2)</f>
        <v>158.0</v>
      </c>
      <c r="U32" s="7">
        <f>ROUND('Plant Inputs'!AU19,2)</f>
        <v>128.0</v>
      </c>
      <c r="V32" s="7">
        <f>ROUND('Plant Inputs'!AU20,2)</f>
        <v>98.0</v>
      </c>
      <c r="W32" s="7">
        <f>ROUND('Plant Inputs'!AU21,2)</f>
        <v>68.0</v>
      </c>
      <c r="X32" s="7">
        <f>ROUND('Plant Inputs'!AU22,2)</f>
        <v>369.0</v>
      </c>
      <c r="Y32" s="7">
        <f>ROUND('Plant Inputs'!AU23,2)</f>
        <v>339.0</v>
      </c>
      <c r="Z32" s="7">
        <f>ROUND('Plant Inputs'!AU24,2)</f>
        <v>309.0</v>
      </c>
      <c r="AA32" s="7">
        <f>ROUND('Plant Inputs'!AU25,2)</f>
        <v>279.0</v>
      </c>
      <c r="AB32" s="7">
        <f>ROUND('Plant Inputs'!AU26,2)</f>
        <v>249.0</v>
      </c>
      <c r="AC32" s="7">
        <f>ROUND('Plant Inputs'!AU27,2)</f>
        <v>219.0</v>
      </c>
      <c r="AD32" s="7">
        <f>ROUND('Plant Inputs'!AU28,2)</f>
        <v>252.0</v>
      </c>
      <c r="AE32" s="7">
        <f>ROUND('Plant Inputs'!AU29,2)</f>
        <v>222.0</v>
      </c>
      <c r="AF32" s="7">
        <f>ROUND('Plant Inputs'!AU30,2)</f>
        <v>192.0</v>
      </c>
      <c r="AG32" s="7">
        <f>ROUND('Plant Inputs'!AU31,2)</f>
        <v>162.0</v>
      </c>
      <c r="AH32" s="7">
        <f>ROUND('Plant Inputs'!AU32,2)</f>
        <v>132.0</v>
      </c>
      <c r="AI32" s="7">
        <f>ROUND('Plant Inputs'!AU33,2)</f>
        <v>102.0</v>
      </c>
      <c r="AJ32" s="7">
        <f>ROUND('Plant Inputs'!AU34,2)</f>
        <v>260.0</v>
      </c>
      <c r="AK32" s="7">
        <f>ROUND('Plant Inputs'!AU35,2)</f>
        <v>230.0</v>
      </c>
      <c r="AL32" s="7">
        <f>ROUND('Plant Inputs'!AU36,2)</f>
        <v>200.0</v>
      </c>
      <c r="AM32" s="7">
        <f>ROUND('Plant Inputs'!AU37,2)</f>
        <v>170.0</v>
      </c>
      <c r="AN32" s="7">
        <f>ROUND('Plant Inputs'!AU38,2)</f>
        <v>140.0</v>
      </c>
      <c r="AO32" s="7">
        <f>ROUND('Plant Inputs'!AU39,2)</f>
        <v>110.0</v>
      </c>
    </row>
    <row r="33" spans="1:41">
      <c r="A33" s="6" t="s">
        <v>545</v>
      </c>
      <c r="B33" s="6" t="s">
        <v>546</v>
      </c>
      <c r="C33" s="6" t="s">
        <v>455</v>
      </c>
      <c r="D33" s="6" t="s">
        <v>25</v>
      </c>
      <c r="E33" s="6" t="s">
        <v>459</v>
      </c>
      <c r="F33" s="7">
        <f>ROUND(IFERROR(100*'Plant Inputs'!P4/'Plant Inputs'!M4,0),2)</f>
        <v>88.22</v>
      </c>
      <c r="G33" s="7">
        <f>ROUND(IFERROR(100*'Plant Inputs'!P5/'Plant Inputs'!M5,0),2)</f>
        <v>79.28</v>
      </c>
      <c r="H33" s="7">
        <f>ROUND(IFERROR(100*'Plant Inputs'!P6/'Plant Inputs'!M6,0),2)</f>
        <v>82.19</v>
      </c>
      <c r="I33" s="7">
        <f>ROUND(IFERROR(100*'Plant Inputs'!P7/'Plant Inputs'!M7,0),2)</f>
        <v>81.62</v>
      </c>
      <c r="J33" s="7">
        <f>ROUND(IFERROR(100*'Plant Inputs'!P8/'Plant Inputs'!M8,0),2)</f>
        <v>85.81</v>
      </c>
      <c r="K33" s="7">
        <f>ROUND(IFERROR(100*'Plant Inputs'!P9/'Plant Inputs'!M9,0),2)</f>
        <v>82.92</v>
      </c>
      <c r="L33" s="7">
        <f>ROUND(IFERROR(100*'Plant Inputs'!P10/'Plant Inputs'!M10,0),2)</f>
        <v>72.41</v>
      </c>
      <c r="M33" s="7">
        <f>ROUND(IFERROR(100*'Plant Inputs'!P11/'Plant Inputs'!M11,0),2)</f>
        <v>68.9</v>
      </c>
      <c r="N33" s="7">
        <f>ROUND(IFERROR(100*'Plant Inputs'!P12/'Plant Inputs'!M12,0),2)</f>
        <v>67.53</v>
      </c>
      <c r="O33" s="7">
        <f>ROUND(IFERROR(100*'Plant Inputs'!P13/'Plant Inputs'!M13,0),2)</f>
        <v>69.54</v>
      </c>
      <c r="P33" s="7">
        <f>ROUND(IFERROR(100*'Plant Inputs'!P14/'Plant Inputs'!M14,0),2)</f>
        <v>61.62</v>
      </c>
      <c r="Q33" s="7">
        <f>ROUND(IFERROR(100*'Plant Inputs'!P15/'Plant Inputs'!M15,0),2)</f>
        <v>70.02</v>
      </c>
      <c r="R33" s="7">
        <f>ROUND(IFERROR(100*'Plant Inputs'!P16/'Plant Inputs'!M16,0),2)</f>
        <v>83.55</v>
      </c>
      <c r="S33" s="7">
        <f>ROUND(IFERROR(100*'Plant Inputs'!P17/'Plant Inputs'!M17,0),2)</f>
        <v>73.78</v>
      </c>
      <c r="T33" s="7">
        <f>ROUND(IFERROR(100*'Plant Inputs'!P18/'Plant Inputs'!M18,0),2)</f>
        <v>79.59</v>
      </c>
      <c r="U33" s="7">
        <f>ROUND(IFERROR(100*'Plant Inputs'!P19/'Plant Inputs'!M19,0),2)</f>
        <v>84.15</v>
      </c>
      <c r="V33" s="7">
        <f>ROUND(IFERROR(100*'Plant Inputs'!P20/'Plant Inputs'!M20,0),2)</f>
        <v>82.56</v>
      </c>
      <c r="W33" s="7">
        <f>ROUND(IFERROR(100*'Plant Inputs'!P21/'Plant Inputs'!M21,0),2)</f>
        <v>86.09</v>
      </c>
      <c r="X33" s="7">
        <f>ROUND(IFERROR(100*'Plant Inputs'!P22/'Plant Inputs'!M22,0),2)</f>
        <v>84.43</v>
      </c>
      <c r="Y33" s="7">
        <f>ROUND(IFERROR(100*'Plant Inputs'!P23/'Plant Inputs'!M23,0),2)</f>
        <v>80.9</v>
      </c>
      <c r="Z33" s="7">
        <f>ROUND(IFERROR(100*'Plant Inputs'!P24/'Plant Inputs'!M24,0),2)</f>
        <v>82.34</v>
      </c>
      <c r="AA33" s="7">
        <f>ROUND(IFERROR(100*'Plant Inputs'!P25/'Plant Inputs'!M25,0),2)</f>
        <v>82.36</v>
      </c>
      <c r="AB33" s="7">
        <f>ROUND(IFERROR(100*'Plant Inputs'!P26/'Plant Inputs'!M26,0),2)</f>
        <v>82.25</v>
      </c>
      <c r="AC33" s="7">
        <f>ROUND(IFERROR(100*'Plant Inputs'!P27/'Plant Inputs'!M27,0),2)</f>
        <v>89.48</v>
      </c>
      <c r="AD33" s="7">
        <f>ROUND(IFERROR(100*'Plant Inputs'!P28/'Plant Inputs'!M28,0),2)</f>
        <v>87.71</v>
      </c>
      <c r="AE33" s="7">
        <f>ROUND(IFERROR(100*'Plant Inputs'!P29/'Plant Inputs'!M29,0),2)</f>
        <v>79.83</v>
      </c>
      <c r="AF33" s="7">
        <f>ROUND(IFERROR(100*'Plant Inputs'!P30/'Plant Inputs'!M30,0),2)</f>
        <v>83.35</v>
      </c>
      <c r="AG33" s="7">
        <f>ROUND(IFERROR(100*'Plant Inputs'!P31/'Plant Inputs'!M31,0),2)</f>
        <v>89.81</v>
      </c>
      <c r="AH33" s="7">
        <f>ROUND(IFERROR(100*'Plant Inputs'!P32/'Plant Inputs'!M32,0),2)</f>
        <v>81.04</v>
      </c>
      <c r="AI33" s="7">
        <f>ROUND(IFERROR(100*'Plant Inputs'!P33/'Plant Inputs'!M33,0),2)</f>
        <v>89.96</v>
      </c>
      <c r="AJ33" s="7">
        <f>ROUND(IFERROR(100*'Plant Inputs'!P34/'Plant Inputs'!M34,0),2)</f>
        <v>89.51</v>
      </c>
      <c r="AK33" s="7">
        <f>ROUND(IFERROR(100*'Plant Inputs'!P35/'Plant Inputs'!M35,0),2)</f>
        <v>77.27</v>
      </c>
      <c r="AL33" s="7">
        <f>ROUND(IFERROR(100*'Plant Inputs'!P36/'Plant Inputs'!M36,0),2)</f>
        <v>85.85</v>
      </c>
      <c r="AM33" s="7">
        <f>ROUND(IFERROR(100*'Plant Inputs'!P37/'Plant Inputs'!M37,0),2)</f>
        <v>85.77</v>
      </c>
      <c r="AN33" s="7">
        <f>ROUND(IFERROR(100*'Plant Inputs'!P38/'Plant Inputs'!M38,0),2)</f>
        <v>82.68</v>
      </c>
      <c r="AO33" s="7">
        <f>ROUND(IFERROR(100*'Plant Inputs'!P39/'Plant Inputs'!M39,0),2)</f>
        <v>82.87</v>
      </c>
    </row>
    <row r="34" spans="1:41">
      <c r="A34" s="6" t="s">
        <v>547</v>
      </c>
      <c r="B34" s="6" t="s">
        <v>548</v>
      </c>
      <c r="C34" s="6" t="s">
        <v>455</v>
      </c>
      <c r="D34" s="6" t="s">
        <v>25</v>
      </c>
      <c r="E34" s="6" t="s">
        <v>549</v>
      </c>
      <c r="F34" s="7">
        <f>ROUND(IFERROR(100*'Plant Inputs'!P4/'Plant Inputs'!L4,0),2)</f>
        <v>88.97</v>
      </c>
      <c r="G34" s="7">
        <f>ROUND(IFERROR(100*'Plant Inputs'!P5/'Plant Inputs'!L5,0),2)</f>
        <v>79.28</v>
      </c>
      <c r="H34" s="7">
        <f>ROUND(IFERROR(100*'Plant Inputs'!P6/'Plant Inputs'!L6,0),2)</f>
        <v>82.19</v>
      </c>
      <c r="I34" s="7">
        <f>ROUND(IFERROR(100*'Plant Inputs'!P7/'Plant Inputs'!L7,0),2)</f>
        <v>81.95</v>
      </c>
      <c r="J34" s="7">
        <f>ROUND(IFERROR(100*'Plant Inputs'!P8/'Plant Inputs'!L8,0),2)</f>
        <v>85.81</v>
      </c>
      <c r="K34" s="7">
        <f>ROUND(IFERROR(100*'Plant Inputs'!P9/'Plant Inputs'!L9,0),2)</f>
        <v>83.97</v>
      </c>
      <c r="L34" s="7">
        <f>ROUND(IFERROR(100*'Plant Inputs'!P10/'Plant Inputs'!L10,0),2)</f>
        <v>72.61</v>
      </c>
      <c r="M34" s="7">
        <f>ROUND(IFERROR(100*'Plant Inputs'!P11/'Plant Inputs'!L11,0),2)</f>
        <v>74.3</v>
      </c>
      <c r="N34" s="7">
        <f>ROUND(IFERROR(100*'Plant Inputs'!P12/'Plant Inputs'!L12,0),2)</f>
        <v>67.72</v>
      </c>
      <c r="O34" s="7">
        <f>ROUND(IFERROR(100*'Plant Inputs'!P13/'Plant Inputs'!L13,0),2)</f>
        <v>70.2</v>
      </c>
      <c r="P34" s="7">
        <f>ROUND(IFERROR(100*'Plant Inputs'!P14/'Plant Inputs'!L14,0),2)</f>
        <v>68.01</v>
      </c>
      <c r="Q34" s="7">
        <f>ROUND(IFERROR(100*'Plant Inputs'!P15/'Plant Inputs'!L15,0),2)</f>
        <v>70.31</v>
      </c>
      <c r="R34" s="7">
        <f>ROUND(IFERROR(100*'Plant Inputs'!P16/'Plant Inputs'!L16,0),2)</f>
        <v>84.85</v>
      </c>
      <c r="S34" s="7">
        <f>ROUND(IFERROR(100*'Plant Inputs'!P17/'Plant Inputs'!L17,0),2)</f>
        <v>81.32</v>
      </c>
      <c r="T34" s="7">
        <f>ROUND(IFERROR(100*'Plant Inputs'!P18/'Plant Inputs'!L18,0),2)</f>
        <v>79.7</v>
      </c>
      <c r="U34" s="7">
        <f>ROUND(IFERROR(100*'Plant Inputs'!P19/'Plant Inputs'!L19,0),2)</f>
        <v>84.83</v>
      </c>
      <c r="V34" s="7">
        <f>ROUND(IFERROR(100*'Plant Inputs'!P20/'Plant Inputs'!L20,0),2)</f>
        <v>82.56</v>
      </c>
      <c r="W34" s="7">
        <f>ROUND(IFERROR(100*'Plant Inputs'!P21/'Plant Inputs'!L21,0),2)</f>
        <v>86.21</v>
      </c>
      <c r="X34" s="7">
        <f>ROUND(IFERROR(100*'Plant Inputs'!P22/'Plant Inputs'!L22,0),2)</f>
        <v>84.79</v>
      </c>
      <c r="Y34" s="7">
        <f>ROUND(IFERROR(100*'Plant Inputs'!P23/'Plant Inputs'!L23,0),2)</f>
        <v>80.9</v>
      </c>
      <c r="Z34" s="7">
        <f>ROUND(IFERROR(100*'Plant Inputs'!P24/'Plant Inputs'!L24,0),2)</f>
        <v>82.92</v>
      </c>
      <c r="AA34" s="7">
        <f>ROUND(IFERROR(100*'Plant Inputs'!P25/'Plant Inputs'!L25,0),2)</f>
        <v>82.69</v>
      </c>
      <c r="AB34" s="7">
        <f>ROUND(IFERROR(100*'Plant Inputs'!P26/'Plant Inputs'!L26,0),2)</f>
        <v>90.12</v>
      </c>
      <c r="AC34" s="7">
        <f>ROUND(IFERROR(100*'Plant Inputs'!P27/'Plant Inputs'!L27,0),2)</f>
        <v>89.73</v>
      </c>
      <c r="AD34" s="7">
        <f>ROUND(IFERROR(100*'Plant Inputs'!P28/'Plant Inputs'!L28,0),2)</f>
        <v>88.94</v>
      </c>
      <c r="AE34" s="7">
        <f>ROUND(IFERROR(100*'Plant Inputs'!P29/'Plant Inputs'!L29,0),2)</f>
        <v>88.12</v>
      </c>
      <c r="AF34" s="7">
        <f>ROUND(IFERROR(100*'Plant Inputs'!P30/'Plant Inputs'!L30,0),2)</f>
        <v>84.17</v>
      </c>
      <c r="AG34" s="7">
        <f>ROUND(IFERROR(100*'Plant Inputs'!P31/'Plant Inputs'!L31,0),2)</f>
        <v>89.81</v>
      </c>
      <c r="AH34" s="7">
        <f>ROUND(IFERROR(100*'Plant Inputs'!P32/'Plant Inputs'!L32,0),2)</f>
        <v>86.76</v>
      </c>
      <c r="AI34" s="7">
        <f>ROUND(IFERROR(100*'Plant Inputs'!P33/'Plant Inputs'!L33,0),2)</f>
        <v>91.23</v>
      </c>
      <c r="AJ34" s="7">
        <f>ROUND(IFERROR(100*'Plant Inputs'!P34/'Plant Inputs'!L34,0),2)</f>
        <v>90.01</v>
      </c>
      <c r="AK34" s="7">
        <f>ROUND(IFERROR(100*'Plant Inputs'!P35/'Plant Inputs'!L35,0),2)</f>
        <v>84.8</v>
      </c>
      <c r="AL34" s="7">
        <f>ROUND(IFERROR(100*'Plant Inputs'!P36/'Plant Inputs'!L36,0),2)</f>
        <v>87.06</v>
      </c>
      <c r="AM34" s="7">
        <f>ROUND(IFERROR(100*'Plant Inputs'!P37/'Plant Inputs'!L37,0),2)</f>
        <v>86.47</v>
      </c>
      <c r="AN34" s="7">
        <f>ROUND(IFERROR(100*'Plant Inputs'!P38/'Plant Inputs'!L38,0),2)</f>
        <v>82.68</v>
      </c>
      <c r="AO34" s="7">
        <f>ROUND(IFERROR(100*'Plant Inputs'!P39/'Plant Inputs'!L39,0),2)</f>
        <v>83.8</v>
      </c>
    </row>
    <row r="35" spans="1:41">
      <c r="A35" s="6" t="s">
        <v>550</v>
      </c>
      <c r="B35" s="6" t="s">
        <v>551</v>
      </c>
      <c r="C35" s="6" t="s">
        <v>455</v>
      </c>
      <c r="D35" s="6" t="s">
        <v>25</v>
      </c>
      <c r="E35" s="6" t="s">
        <v>552</v>
      </c>
      <c r="F35" s="7">
        <f>ROUND(IF('Plant Inputs'!AW4=0,0,100*'Plant Inputs'!AV4/'Plant Inputs'!AW4),2)</f>
        <v>97.93</v>
      </c>
      <c r="G35" s="7">
        <f>ROUND(IF('Plant Inputs'!AW5=0,0,100*'Plant Inputs'!AV5/'Plant Inputs'!AW5),2)</f>
        <v>92.79</v>
      </c>
      <c r="H35" s="7">
        <f>ROUND(IF('Plant Inputs'!AW6=0,0,100*'Plant Inputs'!AV6/'Plant Inputs'!AW6),2)</f>
        <v>88.43</v>
      </c>
      <c r="I35" s="7">
        <f>ROUND(IF('Plant Inputs'!AW7=0,0,100*'Plant Inputs'!AV7/'Plant Inputs'!AW7),2)</f>
        <v>96.65</v>
      </c>
      <c r="J35" s="7">
        <f>ROUND(IF('Plant Inputs'!AW8=0,0,100*'Plant Inputs'!AV8/'Plant Inputs'!AW8),2)</f>
        <v>95.27</v>
      </c>
      <c r="K35" s="7">
        <f>ROUND(IF('Plant Inputs'!AW9=0,0,100*'Plant Inputs'!AV9/'Plant Inputs'!AW9),2)</f>
        <v>92.8</v>
      </c>
      <c r="L35" s="7">
        <f>ROUND(IF('Plant Inputs'!AW10=0,0,100*'Plant Inputs'!AV10/'Plant Inputs'!AW10),2)</f>
        <v>85.72</v>
      </c>
      <c r="M35" s="7">
        <f>ROUND(IF('Plant Inputs'!AW11=0,0,100*'Plant Inputs'!AV11/'Plant Inputs'!AW11),2)</f>
        <v>81.55</v>
      </c>
      <c r="N35" s="7">
        <f>ROUND(IF('Plant Inputs'!AW12=0,0,100*'Plant Inputs'!AV12/'Plant Inputs'!AW12),2)</f>
        <v>77.93</v>
      </c>
      <c r="O35" s="7">
        <f>ROUND(IF('Plant Inputs'!AW13=0,0,100*'Plant Inputs'!AV13/'Plant Inputs'!AW13),2)</f>
        <v>79.14</v>
      </c>
      <c r="P35" s="7">
        <f>ROUND(IF('Plant Inputs'!AW14=0,0,100*'Plant Inputs'!AV14/'Plant Inputs'!AW14),2)</f>
        <v>79.23</v>
      </c>
      <c r="Q35" s="7">
        <f>ROUND(IF('Plant Inputs'!AW15=0,0,100*'Plant Inputs'!AV15/'Plant Inputs'!AW15),2)</f>
        <v>77.61</v>
      </c>
      <c r="R35" s="7">
        <f>ROUND(IF('Plant Inputs'!AW16=0,0,100*'Plant Inputs'!AV16/'Plant Inputs'!AW16),2)</f>
        <v>93.4</v>
      </c>
      <c r="S35" s="7">
        <f>ROUND(IF('Plant Inputs'!AW17=0,0,100*'Plant Inputs'!AV17/'Plant Inputs'!AW17),2)</f>
        <v>89.22</v>
      </c>
      <c r="T35" s="7">
        <f>ROUND(IF('Plant Inputs'!AW18=0,0,100*'Plant Inputs'!AV18/'Plant Inputs'!AW18),2)</f>
        <v>88.6</v>
      </c>
      <c r="U35" s="7">
        <f>ROUND(IF('Plant Inputs'!AW19=0,0,100*'Plant Inputs'!AV19/'Plant Inputs'!AW19),2)</f>
        <v>95.37</v>
      </c>
      <c r="V35" s="7">
        <f>ROUND(IF('Plant Inputs'!AW20=0,0,100*'Plant Inputs'!AV20/'Plant Inputs'!AW20),2)</f>
        <v>92.1</v>
      </c>
      <c r="W35" s="7">
        <f>ROUND(IF('Plant Inputs'!AW21=0,0,100*'Plant Inputs'!AV21/'Plant Inputs'!AW21),2)</f>
        <v>97.05</v>
      </c>
      <c r="X35" s="7">
        <f>ROUND(IF('Plant Inputs'!AW22=0,0,100*'Plant Inputs'!AV22/'Plant Inputs'!AW22),2)</f>
        <v>98.03</v>
      </c>
      <c r="Y35" s="7">
        <f>ROUND(IF('Plant Inputs'!AW23=0,0,100*'Plant Inputs'!AV23/'Plant Inputs'!AW23),2)</f>
        <v>90.46</v>
      </c>
      <c r="Z35" s="7">
        <f>ROUND(IF('Plant Inputs'!AW24=0,0,100*'Plant Inputs'!AV24/'Plant Inputs'!AW24),2)</f>
        <v>89.92</v>
      </c>
      <c r="AA35" s="7">
        <f>ROUND(IF('Plant Inputs'!AW25=0,0,100*'Plant Inputs'!AV25/'Plant Inputs'!AW25),2)</f>
        <v>94.14</v>
      </c>
      <c r="AB35" s="7">
        <f>ROUND(IF('Plant Inputs'!AW26=0,0,100*'Plant Inputs'!AV26/'Plant Inputs'!AW26),2)</f>
        <v>101.29</v>
      </c>
      <c r="AC35" s="7">
        <f>ROUND(IF('Plant Inputs'!AW27=0,0,100*'Plant Inputs'!AV27/'Plant Inputs'!AW27),2)</f>
        <v>105.36</v>
      </c>
      <c r="AD35" s="7">
        <f>ROUND(IF('Plant Inputs'!AW28=0,0,100*'Plant Inputs'!AV28/'Plant Inputs'!AW28),2)</f>
        <v>96.86</v>
      </c>
      <c r="AE35" s="7">
        <f>ROUND(IF('Plant Inputs'!AW29=0,0,100*'Plant Inputs'!AV29/'Plant Inputs'!AW29),2)</f>
        <v>99.77</v>
      </c>
      <c r="AF35" s="7">
        <f>ROUND(IF('Plant Inputs'!AW30=0,0,100*'Plant Inputs'!AV30/'Plant Inputs'!AW30),2)</f>
        <v>93.65</v>
      </c>
      <c r="AG35" s="7">
        <f>ROUND(IF('Plant Inputs'!AW31=0,0,100*'Plant Inputs'!AV31/'Plant Inputs'!AW31),2)</f>
        <v>100.65</v>
      </c>
      <c r="AH35" s="7">
        <f>ROUND(IF('Plant Inputs'!AW32=0,0,100*'Plant Inputs'!AV32/'Plant Inputs'!AW32),2)</f>
        <v>97.41</v>
      </c>
      <c r="AI35" s="7">
        <f>ROUND(IF('Plant Inputs'!AW33=0,0,100*'Plant Inputs'!AV33/'Plant Inputs'!AW33),2)</f>
        <v>102.97</v>
      </c>
      <c r="AJ35" s="7">
        <f>ROUND(IF('Plant Inputs'!AW34=0,0,100*'Plant Inputs'!AV34/'Plant Inputs'!AW34),2)</f>
        <v>103.0</v>
      </c>
      <c r="AK35" s="7">
        <f>ROUND(IF('Plant Inputs'!AW35=0,0,100*'Plant Inputs'!AV35/'Plant Inputs'!AW35),2)</f>
        <v>97.48</v>
      </c>
      <c r="AL35" s="7">
        <f>ROUND(IF('Plant Inputs'!AW36=0,0,100*'Plant Inputs'!AV36/'Plant Inputs'!AW36),2)</f>
        <v>96.16</v>
      </c>
      <c r="AM35" s="7">
        <f>ROUND(IF('Plant Inputs'!AW37=0,0,100*'Plant Inputs'!AV37/'Plant Inputs'!AW37),2)</f>
        <v>98.09</v>
      </c>
      <c r="AN35" s="7">
        <f>ROUND(IF('Plant Inputs'!AW38=0,0,100*'Plant Inputs'!AV38/'Plant Inputs'!AW38),2)</f>
        <v>91.71</v>
      </c>
      <c r="AO35" s="7">
        <f>ROUND(IF('Plant Inputs'!AW39=0,0,100*'Plant Inputs'!AV39/'Plant Inputs'!AW39),2)</f>
        <v>98.14</v>
      </c>
    </row>
    <row r="36" spans="1:41">
      <c r="A36" s="6" t="s">
        <v>553</v>
      </c>
      <c r="B36" s="6" t="s">
        <v>554</v>
      </c>
      <c r="C36" s="6" t="s">
        <v>455</v>
      </c>
      <c r="D36" s="6" t="s">
        <v>25</v>
      </c>
      <c r="E36" s="6" t="s">
        <v>552</v>
      </c>
      <c r="F36" s="7">
        <f>ROUND(IF('Plant Inputs'!AW4=0,0,100*'Plant Inputs'!AV4/'Plant Inputs'!AW4),2)</f>
        <v>97.93</v>
      </c>
      <c r="G36" s="7">
        <f>ROUND(IF('Plant Inputs'!AW5=0,0,100*'Plant Inputs'!AV5/'Plant Inputs'!AW5),2)</f>
        <v>92.79</v>
      </c>
      <c r="H36" s="7">
        <f>ROUND(IF('Plant Inputs'!AW6=0,0,100*'Plant Inputs'!AV6/'Plant Inputs'!AW6),2)</f>
        <v>88.43</v>
      </c>
      <c r="I36" s="7">
        <f>ROUND(IF('Plant Inputs'!AW7=0,0,100*'Plant Inputs'!AV7/'Plant Inputs'!AW7),2)</f>
        <v>96.65</v>
      </c>
      <c r="J36" s="7">
        <f>ROUND(IF('Plant Inputs'!AW8=0,0,100*'Plant Inputs'!AV8/'Plant Inputs'!AW8),2)</f>
        <v>95.27</v>
      </c>
      <c r="K36" s="7">
        <f>ROUND(IF('Plant Inputs'!AW9=0,0,100*'Plant Inputs'!AV9/'Plant Inputs'!AW9),2)</f>
        <v>92.8</v>
      </c>
      <c r="L36" s="7">
        <f>ROUND(IF('Plant Inputs'!AW10=0,0,100*'Plant Inputs'!AV10/'Plant Inputs'!AW10),2)</f>
        <v>85.72</v>
      </c>
      <c r="M36" s="7">
        <f>ROUND(IF('Plant Inputs'!AW11=0,0,100*'Plant Inputs'!AV11/'Plant Inputs'!AW11),2)</f>
        <v>81.55</v>
      </c>
      <c r="N36" s="7">
        <f>ROUND(IF('Plant Inputs'!AW12=0,0,100*'Plant Inputs'!AV12/'Plant Inputs'!AW12),2)</f>
        <v>77.93</v>
      </c>
      <c r="O36" s="7">
        <f>ROUND(IF('Plant Inputs'!AW13=0,0,100*'Plant Inputs'!AV13/'Plant Inputs'!AW13),2)</f>
        <v>79.14</v>
      </c>
      <c r="P36" s="7">
        <f>ROUND(IF('Plant Inputs'!AW14=0,0,100*'Plant Inputs'!AV14/'Plant Inputs'!AW14),2)</f>
        <v>79.23</v>
      </c>
      <c r="Q36" s="7">
        <f>ROUND(IF('Plant Inputs'!AW15=0,0,100*'Plant Inputs'!AV15/'Plant Inputs'!AW15),2)</f>
        <v>77.61</v>
      </c>
      <c r="R36" s="7">
        <f>ROUND(IF('Plant Inputs'!AW16=0,0,100*'Plant Inputs'!AV16/'Plant Inputs'!AW16),2)</f>
        <v>93.4</v>
      </c>
      <c r="S36" s="7">
        <f>ROUND(IF('Plant Inputs'!AW17=0,0,100*'Plant Inputs'!AV17/'Plant Inputs'!AW17),2)</f>
        <v>89.22</v>
      </c>
      <c r="T36" s="7">
        <f>ROUND(IF('Plant Inputs'!AW18=0,0,100*'Plant Inputs'!AV18/'Plant Inputs'!AW18),2)</f>
        <v>88.6</v>
      </c>
      <c r="U36" s="7">
        <f>ROUND(IF('Plant Inputs'!AW19=0,0,100*'Plant Inputs'!AV19/'Plant Inputs'!AW19),2)</f>
        <v>95.37</v>
      </c>
      <c r="V36" s="7">
        <f>ROUND(IF('Plant Inputs'!AW20=0,0,100*'Plant Inputs'!AV20/'Plant Inputs'!AW20),2)</f>
        <v>92.1</v>
      </c>
      <c r="W36" s="7">
        <f>ROUND(IF('Plant Inputs'!AW21=0,0,100*'Plant Inputs'!AV21/'Plant Inputs'!AW21),2)</f>
        <v>97.05</v>
      </c>
      <c r="X36" s="7">
        <f>ROUND(IF('Plant Inputs'!AW22=0,0,100*'Plant Inputs'!AV22/'Plant Inputs'!AW22),2)</f>
        <v>98.03</v>
      </c>
      <c r="Y36" s="7">
        <f>ROUND(IF('Plant Inputs'!AW23=0,0,100*'Plant Inputs'!AV23/'Plant Inputs'!AW23),2)</f>
        <v>90.46</v>
      </c>
      <c r="Z36" s="7">
        <f>ROUND(IF('Plant Inputs'!AW24=0,0,100*'Plant Inputs'!AV24/'Plant Inputs'!AW24),2)</f>
        <v>89.92</v>
      </c>
      <c r="AA36" s="7">
        <f>ROUND(IF('Plant Inputs'!AW25=0,0,100*'Plant Inputs'!AV25/'Plant Inputs'!AW25),2)</f>
        <v>94.14</v>
      </c>
      <c r="AB36" s="7">
        <f>ROUND(IF('Plant Inputs'!AW26=0,0,100*'Plant Inputs'!AV26/'Plant Inputs'!AW26),2)</f>
        <v>101.29</v>
      </c>
      <c r="AC36" s="7">
        <f>ROUND(IF('Plant Inputs'!AW27=0,0,100*'Plant Inputs'!AV27/'Plant Inputs'!AW27),2)</f>
        <v>105.36</v>
      </c>
      <c r="AD36" s="7">
        <f>ROUND(IF('Plant Inputs'!AW28=0,0,100*'Plant Inputs'!AV28/'Plant Inputs'!AW28),2)</f>
        <v>96.86</v>
      </c>
      <c r="AE36" s="7">
        <f>ROUND(IF('Plant Inputs'!AW29=0,0,100*'Plant Inputs'!AV29/'Plant Inputs'!AW29),2)</f>
        <v>99.77</v>
      </c>
      <c r="AF36" s="7">
        <f>ROUND(IF('Plant Inputs'!AW30=0,0,100*'Plant Inputs'!AV30/'Plant Inputs'!AW30),2)</f>
        <v>93.65</v>
      </c>
      <c r="AG36" s="7">
        <f>ROUND(IF('Plant Inputs'!AW31=0,0,100*'Plant Inputs'!AV31/'Plant Inputs'!AW31),2)</f>
        <v>100.65</v>
      </c>
      <c r="AH36" s="7">
        <f>ROUND(IF('Plant Inputs'!AW32=0,0,100*'Plant Inputs'!AV32/'Plant Inputs'!AW32),2)</f>
        <v>97.41</v>
      </c>
      <c r="AI36" s="7">
        <f>ROUND(IF('Plant Inputs'!AW33=0,0,100*'Plant Inputs'!AV33/'Plant Inputs'!AW33),2)</f>
        <v>102.97</v>
      </c>
      <c r="AJ36" s="7">
        <f>ROUND(IF('Plant Inputs'!AW34=0,0,100*'Plant Inputs'!AV34/'Plant Inputs'!AW34),2)</f>
        <v>103.0</v>
      </c>
      <c r="AK36" s="7">
        <f>ROUND(IF('Plant Inputs'!AW35=0,0,100*'Plant Inputs'!AV35/'Plant Inputs'!AW35),2)</f>
        <v>97.48</v>
      </c>
      <c r="AL36" s="7">
        <f>ROUND(IF('Plant Inputs'!AW36=0,0,100*'Plant Inputs'!AV36/'Plant Inputs'!AW36),2)</f>
        <v>96.16</v>
      </c>
      <c r="AM36" s="7">
        <f>ROUND(IF('Plant Inputs'!AW37=0,0,100*'Plant Inputs'!AV37/'Plant Inputs'!AW37),2)</f>
        <v>98.09</v>
      </c>
      <c r="AN36" s="7">
        <f>ROUND(IF('Plant Inputs'!AW38=0,0,100*'Plant Inputs'!AV38/'Plant Inputs'!AW38),2)</f>
        <v>91.71</v>
      </c>
      <c r="AO36" s="7">
        <f>ROUND(IF('Plant Inputs'!AW39=0,0,100*'Plant Inputs'!AV39/'Plant Inputs'!AW39),2)</f>
        <v>98.14</v>
      </c>
    </row>
    <row r="37" spans="1:41">
      <c r="A37" s="6" t="s">
        <v>555</v>
      </c>
      <c r="B37" s="6" t="s">
        <v>556</v>
      </c>
      <c r="C37" s="6" t="s">
        <v>490</v>
      </c>
      <c r="D37" s="6" t="s">
        <v>25</v>
      </c>
      <c r="E37" s="6" t="s">
        <v>557</v>
      </c>
      <c r="F37" s="7">
        <f>ROUND(IF('Plant Inputs'!P4=0,0,1000*'Plant Inputs'!AZ4/'Plant Inputs'!P4),2)</f>
        <v>174.18</v>
      </c>
      <c r="G37" s="7">
        <f>ROUND(IF('Plant Inputs'!P5=0,0,1000*'Plant Inputs'!AZ5/'Plant Inputs'!P5),2)</f>
        <v>213.64</v>
      </c>
      <c r="H37" s="7">
        <f>ROUND(IF('Plant Inputs'!P6=0,0,1000*'Plant Inputs'!AZ6/'Plant Inputs'!P6),2)</f>
        <v>206.56</v>
      </c>
      <c r="I37" s="7">
        <f>ROUND(IF('Plant Inputs'!P7=0,0,1000*'Plant Inputs'!AZ7/'Plant Inputs'!P7),2)</f>
        <v>136.39</v>
      </c>
      <c r="J37" s="7">
        <f>ROUND(IF('Plant Inputs'!P8=0,0,1000*'Plant Inputs'!AZ8/'Plant Inputs'!P8),2)</f>
        <v>183.36</v>
      </c>
      <c r="K37" s="7">
        <f>ROUND(IF('Plant Inputs'!P9=0,0,1000*'Plant Inputs'!AZ9/'Plant Inputs'!P9),2)</f>
        <v>164.79</v>
      </c>
      <c r="L37" s="7">
        <f>ROUND(IF('Plant Inputs'!P10=0,0,1000*'Plant Inputs'!AZ10/'Plant Inputs'!P10),2)</f>
        <v>203.48</v>
      </c>
      <c r="M37" s="7">
        <f>ROUND(IF('Plant Inputs'!P11=0,0,1000*'Plant Inputs'!AZ11/'Plant Inputs'!P11),2)</f>
        <v>190.44</v>
      </c>
      <c r="N37" s="7">
        <f>ROUND(IF('Plant Inputs'!P12=0,0,1000*'Plant Inputs'!AZ12/'Plant Inputs'!P12),2)</f>
        <v>190.63</v>
      </c>
      <c r="O37" s="7">
        <f>ROUND(IF('Plant Inputs'!P13=0,0,1000*'Plant Inputs'!AZ13/'Plant Inputs'!P13),2)</f>
        <v>220.53</v>
      </c>
      <c r="P37" s="7">
        <f>ROUND(IF('Plant Inputs'!P14=0,0,1000*'Plant Inputs'!AZ14/'Plant Inputs'!P14),2)</f>
        <v>198.82</v>
      </c>
      <c r="Q37" s="7">
        <f>ROUND(IF('Plant Inputs'!P15=0,0,1000*'Plant Inputs'!AZ15/'Plant Inputs'!P15),2)</f>
        <v>215.86</v>
      </c>
      <c r="R37" s="7">
        <f>ROUND(IF('Plant Inputs'!P16=0,0,1000*'Plant Inputs'!AZ16/'Plant Inputs'!P16),2)</f>
        <v>198.99</v>
      </c>
      <c r="S37" s="7">
        <f>ROUND(IF('Plant Inputs'!P17=0,0,1000*'Plant Inputs'!AZ17/'Plant Inputs'!P17),2)</f>
        <v>161.65</v>
      </c>
      <c r="T37" s="7">
        <f>ROUND(IF('Plant Inputs'!P18=0,0,1000*'Plant Inputs'!AZ18/'Plant Inputs'!P18),2)</f>
        <v>158.19</v>
      </c>
      <c r="U37" s="7">
        <f>ROUND(IF('Plant Inputs'!P19=0,0,1000*'Plant Inputs'!AZ19/'Plant Inputs'!P19),2)</f>
        <v>135.8</v>
      </c>
      <c r="V37" s="7">
        <f>ROUND(IF('Plant Inputs'!P20=0,0,1000*'Plant Inputs'!AZ20/'Plant Inputs'!P20),2)</f>
        <v>205.17</v>
      </c>
      <c r="W37" s="7">
        <f>ROUND(IF('Plant Inputs'!P21=0,0,1000*'Plant Inputs'!AZ21/'Plant Inputs'!P21),2)</f>
        <v>156.32</v>
      </c>
      <c r="X37" s="7">
        <f>ROUND(IF('Plant Inputs'!P22=0,0,1000*'Plant Inputs'!AZ22/'Plant Inputs'!P22),2)</f>
        <v>156.16</v>
      </c>
      <c r="Y37" s="7">
        <f>ROUND(IF('Plant Inputs'!P23=0,0,1000*'Plant Inputs'!AZ23/'Plant Inputs'!P23),2)</f>
        <v>164.83</v>
      </c>
      <c r="Z37" s="7">
        <f>ROUND(IF('Plant Inputs'!P24=0,0,1000*'Plant Inputs'!AZ24/'Plant Inputs'!P24),2)</f>
        <v>176.22</v>
      </c>
      <c r="AA37" s="7">
        <f>ROUND(IF('Plant Inputs'!P25=0,0,1000*'Plant Inputs'!AZ25/'Plant Inputs'!P25),2)</f>
        <v>176.62</v>
      </c>
      <c r="AB37" s="7">
        <f>ROUND(IF('Plant Inputs'!P26=0,0,1000*'Plant Inputs'!AZ26/'Plant Inputs'!P26),2)</f>
        <v>182.57</v>
      </c>
      <c r="AC37" s="7">
        <f>ROUND(IF('Plant Inputs'!P27=0,0,1000*'Plant Inputs'!AZ27/'Plant Inputs'!P27),2)</f>
        <v>198.06</v>
      </c>
      <c r="AD37" s="7">
        <f>ROUND(IF('Plant Inputs'!P28=0,0,1000*'Plant Inputs'!AZ28/'Plant Inputs'!P28),2)</f>
        <v>190.45</v>
      </c>
      <c r="AE37" s="7">
        <f>ROUND(IF('Plant Inputs'!P29=0,0,1000*'Plant Inputs'!AZ29/'Plant Inputs'!P29),2)</f>
        <v>194.14</v>
      </c>
      <c r="AF37" s="7">
        <f>ROUND(IF('Plant Inputs'!P30=0,0,1000*'Plant Inputs'!AZ30/'Plant Inputs'!P30),2)</f>
        <v>215.04</v>
      </c>
      <c r="AG37" s="7">
        <f>ROUND(IF('Plant Inputs'!P31=0,0,1000*'Plant Inputs'!AZ31/'Plant Inputs'!P31),2)</f>
        <v>197.33</v>
      </c>
      <c r="AH37" s="7">
        <f>ROUND(IF('Plant Inputs'!P32=0,0,1000*'Plant Inputs'!AZ32/'Plant Inputs'!P32),2)</f>
        <v>159.62</v>
      </c>
      <c r="AI37" s="7">
        <f>ROUND(IF('Plant Inputs'!P33=0,0,1000*'Plant Inputs'!AZ33/'Plant Inputs'!P33),2)</f>
        <v>168.17</v>
      </c>
      <c r="AJ37" s="7">
        <f>ROUND(IF('Plant Inputs'!P34=0,0,1000*'Plant Inputs'!AZ34/'Plant Inputs'!P34),2)</f>
        <v>183.88</v>
      </c>
      <c r="AK37" s="7">
        <f>ROUND(IF('Plant Inputs'!P35=0,0,1000*'Plant Inputs'!AZ35/'Plant Inputs'!P35),2)</f>
        <v>195.51</v>
      </c>
      <c r="AL37" s="7">
        <f>ROUND(IF('Plant Inputs'!P36=0,0,1000*'Plant Inputs'!AZ36/'Plant Inputs'!P36),2)</f>
        <v>206.69</v>
      </c>
      <c r="AM37" s="7">
        <f>ROUND(IF('Plant Inputs'!P37=0,0,1000*'Plant Inputs'!AZ37/'Plant Inputs'!P37),2)</f>
        <v>165.27</v>
      </c>
      <c r="AN37" s="7">
        <f>ROUND(IF('Plant Inputs'!P38=0,0,1000*'Plant Inputs'!AZ38/'Plant Inputs'!P38),2)</f>
        <v>196.58</v>
      </c>
      <c r="AO37" s="7">
        <f>ROUND(IF('Plant Inputs'!P39=0,0,1000*'Plant Inputs'!AZ39/'Plant Inputs'!P39),2)</f>
        <v>155.24</v>
      </c>
    </row>
    <row r="38" spans="1:41">
      <c r="A38" s="6" t="s">
        <v>566</v>
      </c>
      <c r="B38" s="6" t="s">
        <v>567</v>
      </c>
      <c r="C38" s="6" t="s">
        <v>560</v>
      </c>
      <c r="D38" s="6" t="s">
        <v>561</v>
      </c>
      <c r="E38" s="6" t="s">
        <v>568</v>
      </c>
      <c r="F38" s="7">
        <f>ROUND(SUM('Plant Inputs'!AX$4:AX4)/1000,2)</f>
        <v>329.49</v>
      </c>
      <c r="G38" s="7">
        <f>ROUND(SUM('Plant Inputs'!AX$4:AX5)/1000,2)</f>
        <v>638.72</v>
      </c>
      <c r="H38" s="7">
        <f>ROUND(SUM('Plant Inputs'!AX$4:AX6)/1000,2)</f>
        <v>939.45</v>
      </c>
      <c r="I38" s="7">
        <f>ROUND(SUM('Plant Inputs'!AX$4:AX7)/1000,2)</f>
        <v>1260.87</v>
      </c>
      <c r="J38" s="7">
        <f>ROUND(SUM('Plant Inputs'!AX$4:AX8)/1000,2)</f>
        <v>1591.85</v>
      </c>
      <c r="K38" s="7">
        <f>ROUND(SUM('Plant Inputs'!AX$4:AX9)/1000,2)</f>
        <v>1892.75</v>
      </c>
      <c r="L38" s="7">
        <f>ROUND(SUM('Plant Inputs'!AX$10:AX10)/1000,2)</f>
        <v>367.58</v>
      </c>
      <c r="M38" s="7">
        <f>ROUND(SUM('Plant Inputs'!AX$10:AX11)/1000,2)</f>
        <v>723.37</v>
      </c>
      <c r="N38" s="7">
        <f>ROUND(SUM('Plant Inputs'!AX$10:AX12)/1000,2)</f>
        <v>1064.47</v>
      </c>
      <c r="O38" s="7">
        <f>ROUND(SUM('Plant Inputs'!AX$10:AX13)/1000,2)</f>
        <v>1419.48</v>
      </c>
      <c r="P38" s="7">
        <f>ROUND(SUM('Plant Inputs'!AX$10:AX14)/1000,2)</f>
        <v>1743.52</v>
      </c>
      <c r="Q38" s="7">
        <f>ROUND(SUM('Plant Inputs'!AX$10:AX15)/1000,2)</f>
        <v>2089.58</v>
      </c>
      <c r="R38" s="7">
        <f>ROUND(SUM('Plant Inputs'!AX$16:AX16)/1000,2)</f>
        <v>498.99</v>
      </c>
      <c r="S38" s="7">
        <f>ROUND(SUM('Plant Inputs'!AX$16:AX17)/1000,2)</f>
        <v>959.87</v>
      </c>
      <c r="T38" s="7">
        <f>ROUND(SUM('Plant Inputs'!AX$16:AX18)/1000,2)</f>
        <v>1440.99</v>
      </c>
      <c r="U38" s="7">
        <f>ROUND(SUM('Plant Inputs'!AX$16:AX19)/1000,2)</f>
        <v>1954.25</v>
      </c>
      <c r="V38" s="7">
        <f>ROUND(SUM('Plant Inputs'!AX$16:AX20)/1000,2)</f>
        <v>2481.23</v>
      </c>
      <c r="W38" s="7">
        <f>ROUND(SUM('Plant Inputs'!AX$16:AX21)/1000,2)</f>
        <v>2989.99</v>
      </c>
      <c r="X38" s="7">
        <f>ROUND(SUM('Plant Inputs'!AX$22:AX22)/1000,2)</f>
        <v>292.75</v>
      </c>
      <c r="Y38" s="7">
        <f>ROUND(SUM('Plant Inputs'!AX$22:AX23)/1000,2)</f>
        <v>578.96</v>
      </c>
      <c r="Z38" s="7">
        <f>ROUND(SUM('Plant Inputs'!AX$22:AX24)/1000,2)</f>
        <v>858.14</v>
      </c>
      <c r="AA38" s="7">
        <f>ROUND(SUM('Plant Inputs'!AX$22:AX25)/1000,2)</f>
        <v>1149.31</v>
      </c>
      <c r="AB38" s="7">
        <f>ROUND(SUM('Plant Inputs'!AX$22:AX26)/1000,2)</f>
        <v>1439.03</v>
      </c>
      <c r="AC38" s="7">
        <f>ROUND(SUM('Plant Inputs'!AX$22:AX27)/1000,2)</f>
        <v>1749.63</v>
      </c>
      <c r="AD38" s="7">
        <f>ROUND(SUM('Plant Inputs'!AX$28:AX28)/1000,2)</f>
        <v>474.58</v>
      </c>
      <c r="AE38" s="7">
        <f>ROUND(SUM('Plant Inputs'!AX$28:AX29)/1000,2)</f>
        <v>939.19</v>
      </c>
      <c r="AF38" s="7">
        <f>ROUND(SUM('Plant Inputs'!AX$28:AX30)/1000,2)</f>
        <v>1402.46</v>
      </c>
      <c r="AG38" s="7">
        <f>ROUND(SUM('Plant Inputs'!AX$28:AX31)/1000,2)</f>
        <v>1928.24</v>
      </c>
      <c r="AH38" s="7">
        <f>ROUND(SUM('Plant Inputs'!AX$28:AX32)/1000,2)</f>
        <v>2384.46</v>
      </c>
      <c r="AI38" s="7">
        <f>ROUND(SUM('Plant Inputs'!AX$28:AX33)/1000,2)</f>
        <v>2890.84</v>
      </c>
      <c r="AJ38" s="7">
        <f>ROUND(SUM('Plant Inputs'!AX$34:AX34)/1000,2)</f>
        <v>385.87</v>
      </c>
      <c r="AK38" s="7">
        <f>ROUND(SUM('Plant Inputs'!AX$34:AX35)/1000,2)</f>
        <v>727.98</v>
      </c>
      <c r="AL38" s="7">
        <f>ROUND(SUM('Plant Inputs'!AX$34:AX36)/1000,2)</f>
        <v>1098.24</v>
      </c>
      <c r="AM38" s="7">
        <f>ROUND(SUM('Plant Inputs'!AX$34:AX37)/1000,2)</f>
        <v>1476.31</v>
      </c>
      <c r="AN38" s="7">
        <f>ROUND(SUM('Plant Inputs'!AX$34:AX38)/1000,2)</f>
        <v>1835.4</v>
      </c>
      <c r="AO38" s="7">
        <f>ROUND(SUM('Plant Inputs'!AX$34:AX39)/1000,2)</f>
        <v>2198.51</v>
      </c>
    </row>
    <row r="39" spans="1:41">
      <c r="A39" s="6" t="s">
        <v>696</v>
      </c>
      <c r="B39" s="6" t="s">
        <v>697</v>
      </c>
      <c r="C39" s="6" t="s">
        <v>455</v>
      </c>
      <c r="D39" s="6" t="s">
        <v>25</v>
      </c>
      <c r="E39" s="6" t="s">
        <v>698</v>
      </c>
      <c r="F39" s="7">
        <f>ROUND(IF('Plant Inputs'!BB4=0,0,100*'Plant Inputs'!BC4/'Plant Inputs'!BB4),2)</f>
        <v>93.3</v>
      </c>
      <c r="G39" s="7">
        <f>ROUND(IF('Plant Inputs'!BB5=0,0,100*'Plant Inputs'!BC5/'Plant Inputs'!BB5),2)</f>
        <v>90.96</v>
      </c>
      <c r="H39" s="7">
        <f>ROUND(IF('Plant Inputs'!BB6=0,0,100*'Plant Inputs'!BC6/'Plant Inputs'!BB6),2)</f>
        <v>93.3</v>
      </c>
      <c r="I39" s="7">
        <f>ROUND(IF('Plant Inputs'!BB7=0,0,100*'Plant Inputs'!BC7/'Plant Inputs'!BB7),2)</f>
        <v>93.67</v>
      </c>
      <c r="J39" s="7">
        <f>ROUND(IF('Plant Inputs'!BB8=0,0,100*'Plant Inputs'!BC8/'Plant Inputs'!BB8),2)</f>
        <v>92.31</v>
      </c>
      <c r="K39" s="7">
        <f>ROUND(IF('Plant Inputs'!BB9=0,0,100*'Plant Inputs'!BC9/'Plant Inputs'!BB9),2)</f>
        <v>92.72</v>
      </c>
      <c r="L39" s="7">
        <f>ROUND(IF('Plant Inputs'!BB10=0,0,100*'Plant Inputs'!BC10/'Plant Inputs'!BB10),2)</f>
        <v>85.03</v>
      </c>
      <c r="M39" s="7">
        <f>ROUND(IF('Plant Inputs'!BB11=0,0,100*'Plant Inputs'!BC11/'Plant Inputs'!BB11),2)</f>
        <v>81.61</v>
      </c>
      <c r="N39" s="7">
        <f>ROUND(IF('Plant Inputs'!BB12=0,0,100*'Plant Inputs'!BC12/'Plant Inputs'!BB12),2)</f>
        <v>82.67</v>
      </c>
      <c r="O39" s="7">
        <f>ROUND(IF('Plant Inputs'!BB13=0,0,100*'Plant Inputs'!BC13/'Plant Inputs'!BB13),2)</f>
        <v>80.5</v>
      </c>
      <c r="P39" s="7">
        <f>ROUND(IF('Plant Inputs'!BB14=0,0,100*'Plant Inputs'!BC14/'Plant Inputs'!BB14),2)</f>
        <v>83.44</v>
      </c>
      <c r="Q39" s="7">
        <f>ROUND(IF('Plant Inputs'!BB15=0,0,100*'Plant Inputs'!BC15/'Plant Inputs'!BB15),2)</f>
        <v>84.97</v>
      </c>
      <c r="R39" s="7">
        <f>ROUND(IF('Plant Inputs'!BB16=0,0,100*'Plant Inputs'!BC16/'Plant Inputs'!BB16),2)</f>
        <v>92.31</v>
      </c>
      <c r="S39" s="7">
        <f>ROUND(IF('Plant Inputs'!BB17=0,0,100*'Plant Inputs'!BC17/'Plant Inputs'!BB17),2)</f>
        <v>91.81</v>
      </c>
      <c r="T39" s="7">
        <f>ROUND(IF('Plant Inputs'!BB18=0,0,100*'Plant Inputs'!BC18/'Plant Inputs'!BB18),2)</f>
        <v>92.67</v>
      </c>
      <c r="U39" s="7">
        <f>ROUND(IF('Plant Inputs'!BB19=0,0,100*'Plant Inputs'!BC19/'Plant Inputs'!BB19),2)</f>
        <v>94.04</v>
      </c>
      <c r="V39" s="7">
        <f>ROUND(IF('Plant Inputs'!BB20=0,0,100*'Plant Inputs'!BC20/'Plant Inputs'!BB20),2)</f>
        <v>89.92</v>
      </c>
      <c r="W39" s="7">
        <f>ROUND(IF('Plant Inputs'!BB21=0,0,100*'Plant Inputs'!BC21/'Plant Inputs'!BB21),2)</f>
        <v>92.41</v>
      </c>
      <c r="X39" s="7">
        <f>ROUND(IF('Plant Inputs'!BB22=0,0,100*'Plant Inputs'!BC22/'Plant Inputs'!BB22),2)</f>
        <v>92.43</v>
      </c>
      <c r="Y39" s="7">
        <f>ROUND(IF('Plant Inputs'!BB23=0,0,100*'Plant Inputs'!BC23/'Plant Inputs'!BB23),2)</f>
        <v>95.31</v>
      </c>
      <c r="Z39" s="7">
        <f>ROUND(IF('Plant Inputs'!BB24=0,0,100*'Plant Inputs'!BC24/'Plant Inputs'!BB24),2)</f>
        <v>93.85</v>
      </c>
      <c r="AA39" s="7">
        <f>ROUND(IF('Plant Inputs'!BB25=0,0,100*'Plant Inputs'!BC25/'Plant Inputs'!BB25),2)</f>
        <v>92.43</v>
      </c>
      <c r="AB39" s="7">
        <f>ROUND(IF('Plant Inputs'!BB26=0,0,100*'Plant Inputs'!BC26/'Plant Inputs'!BB26),2)</f>
        <v>93.77</v>
      </c>
      <c r="AC39" s="7">
        <f>ROUND(IF('Plant Inputs'!BB27=0,0,100*'Plant Inputs'!BC27/'Plant Inputs'!BB27),2)</f>
        <v>93.45</v>
      </c>
      <c r="AD39" s="7">
        <f>ROUND(IF('Plant Inputs'!BB28=0,0,100*'Plant Inputs'!BC28/'Plant Inputs'!BB28),2)</f>
        <v>92.14</v>
      </c>
      <c r="AE39" s="7">
        <f>ROUND(IF('Plant Inputs'!BB29=0,0,100*'Plant Inputs'!BC29/'Plant Inputs'!BB29),2)</f>
        <v>91.35</v>
      </c>
      <c r="AF39" s="7">
        <f>ROUND(IF('Plant Inputs'!BB30=0,0,100*'Plant Inputs'!BC30/'Plant Inputs'!BB30),2)</f>
        <v>90.91</v>
      </c>
      <c r="AG39" s="7">
        <f>ROUND(IF('Plant Inputs'!BB31=0,0,100*'Plant Inputs'!BC31/'Plant Inputs'!BB31),2)</f>
        <v>93.36</v>
      </c>
      <c r="AH39" s="7">
        <f>ROUND(IF('Plant Inputs'!BB32=0,0,100*'Plant Inputs'!BC32/'Plant Inputs'!BB32),2)</f>
        <v>90.74</v>
      </c>
      <c r="AI39" s="7">
        <f>ROUND(IF('Plant Inputs'!BB33=0,0,100*'Plant Inputs'!BC33/'Plant Inputs'!BB33),2)</f>
        <v>91.9</v>
      </c>
      <c r="AJ39" s="7">
        <f>ROUND(IF('Plant Inputs'!BB34=0,0,100*'Plant Inputs'!BC34/'Plant Inputs'!BB34),2)</f>
        <v>90.51</v>
      </c>
      <c r="AK39" s="7">
        <f>ROUND(IF('Plant Inputs'!BB35=0,0,100*'Plant Inputs'!BC35/'Plant Inputs'!BB35),2)</f>
        <v>94.19</v>
      </c>
      <c r="AL39" s="7">
        <f>ROUND(IF('Plant Inputs'!BB36=0,0,100*'Plant Inputs'!BC36/'Plant Inputs'!BB36),2)</f>
        <v>94.61</v>
      </c>
      <c r="AM39" s="7">
        <f>ROUND(IF('Plant Inputs'!BB37=0,0,100*'Plant Inputs'!BC37/'Plant Inputs'!BB37),2)</f>
        <v>93.57</v>
      </c>
      <c r="AN39" s="7">
        <f>ROUND(IF('Plant Inputs'!BB38=0,0,100*'Plant Inputs'!BC38/'Plant Inputs'!BB38),2)</f>
        <v>93.73</v>
      </c>
      <c r="AO39" s="7">
        <f>ROUND(IF('Plant Inputs'!BB39=0,0,100*'Plant Inputs'!BC39/'Plant Inputs'!BB39),2)</f>
        <v>90.73</v>
      </c>
    </row>
    <row r="40" spans="1:41">
      <c r="A40" s="6" t="s">
        <v>699</v>
      </c>
      <c r="B40" s="6" t="s">
        <v>700</v>
      </c>
      <c r="C40" s="6" t="s">
        <v>455</v>
      </c>
      <c r="D40" s="6" t="s">
        <v>25</v>
      </c>
      <c r="E40" s="6" t="s">
        <v>701</v>
      </c>
      <c r="F40" s="7">
        <f>ROUND(IF('Plant Inputs'!BD4=0,0,100*'Plant Inputs'!BE4/'Plant Inputs'!BD4),2)</f>
        <v>96.72</v>
      </c>
      <c r="G40" s="7">
        <f>ROUND(IF('Plant Inputs'!BD5=0,0,100*'Plant Inputs'!BE5/'Plant Inputs'!BD5),2)</f>
        <v>95.94</v>
      </c>
      <c r="H40" s="7">
        <f>ROUND(IF('Plant Inputs'!BD6=0,0,100*'Plant Inputs'!BE6/'Plant Inputs'!BD6),2)</f>
        <v>96.9</v>
      </c>
      <c r="I40" s="7">
        <f>ROUND(IF('Plant Inputs'!BD7=0,0,100*'Plant Inputs'!BE7/'Plant Inputs'!BD7),2)</f>
        <v>96.33</v>
      </c>
      <c r="J40" s="7">
        <f>ROUND(IF('Plant Inputs'!BD8=0,0,100*'Plant Inputs'!BE8/'Plant Inputs'!BD8),2)</f>
        <v>96.69</v>
      </c>
      <c r="K40" s="7">
        <f>ROUND(IF('Plant Inputs'!BD9=0,0,100*'Plant Inputs'!BE9/'Plant Inputs'!BD9),2)</f>
        <v>96.14</v>
      </c>
      <c r="L40" s="7">
        <f>ROUND(IF('Plant Inputs'!BD10=0,0,100*'Plant Inputs'!BE10/'Plant Inputs'!BD10),2)</f>
        <v>98.87</v>
      </c>
      <c r="M40" s="7">
        <f>ROUND(IF('Plant Inputs'!BD11=0,0,100*'Plant Inputs'!BE11/'Plant Inputs'!BD11),2)</f>
        <v>98.45</v>
      </c>
      <c r="N40" s="7">
        <f>ROUND(IF('Plant Inputs'!BD12=0,0,100*'Plant Inputs'!BE12/'Plant Inputs'!BD12),2)</f>
        <v>98.29</v>
      </c>
      <c r="O40" s="7">
        <f>ROUND(IF('Plant Inputs'!BD13=0,0,100*'Plant Inputs'!BE13/'Plant Inputs'!BD13),2)</f>
        <v>96.11</v>
      </c>
      <c r="P40" s="7">
        <f>ROUND(IF('Plant Inputs'!BD14=0,0,100*'Plant Inputs'!BE14/'Plant Inputs'!BD14),2)</f>
        <v>97.03</v>
      </c>
      <c r="Q40" s="7">
        <f>ROUND(IF('Plant Inputs'!BD15=0,0,100*'Plant Inputs'!BE15/'Plant Inputs'!BD15),2)</f>
        <v>97.38</v>
      </c>
      <c r="R40" s="7">
        <f>ROUND(IF('Plant Inputs'!BD16=0,0,100*'Plant Inputs'!BE16/'Plant Inputs'!BD16),2)</f>
        <v>94.12</v>
      </c>
      <c r="S40" s="7">
        <f>ROUND(IF('Plant Inputs'!BD17=0,0,100*'Plant Inputs'!BE17/'Plant Inputs'!BD17),2)</f>
        <v>95.22</v>
      </c>
      <c r="T40" s="7">
        <f>ROUND(IF('Plant Inputs'!BD18=0,0,100*'Plant Inputs'!BE18/'Plant Inputs'!BD18),2)</f>
        <v>95.55</v>
      </c>
      <c r="U40" s="7">
        <f>ROUND(IF('Plant Inputs'!BD19=0,0,100*'Plant Inputs'!BE19/'Plant Inputs'!BD19),2)</f>
        <v>94.98</v>
      </c>
      <c r="V40" s="7">
        <f>ROUND(IF('Plant Inputs'!BD20=0,0,100*'Plant Inputs'!BE20/'Plant Inputs'!BD20),2)</f>
        <v>96.99</v>
      </c>
      <c r="W40" s="7">
        <f>ROUND(IF('Plant Inputs'!BD21=0,0,100*'Plant Inputs'!BE21/'Plant Inputs'!BD21),2)</f>
        <v>97.28</v>
      </c>
      <c r="X40" s="7">
        <f>ROUND(IF('Plant Inputs'!BD22=0,0,100*'Plant Inputs'!BE22/'Plant Inputs'!BD22),2)</f>
        <v>95.13</v>
      </c>
      <c r="Y40" s="7">
        <f>ROUND(IF('Plant Inputs'!BD23=0,0,100*'Plant Inputs'!BE23/'Plant Inputs'!BD23),2)</f>
        <v>94.49</v>
      </c>
      <c r="Z40" s="7">
        <f>ROUND(IF('Plant Inputs'!BD24=0,0,100*'Plant Inputs'!BE24/'Plant Inputs'!BD24),2)</f>
        <v>97.21</v>
      </c>
      <c r="AA40" s="7">
        <f>ROUND(IF('Plant Inputs'!BD25=0,0,100*'Plant Inputs'!BE25/'Plant Inputs'!BD25),2)</f>
        <v>94.76</v>
      </c>
      <c r="AB40" s="7">
        <f>ROUND(IF('Plant Inputs'!BD26=0,0,100*'Plant Inputs'!BE26/'Plant Inputs'!BD26),2)</f>
        <v>94.42</v>
      </c>
      <c r="AC40" s="7">
        <f>ROUND(IF('Plant Inputs'!BD27=0,0,100*'Plant Inputs'!BE27/'Plant Inputs'!BD27),2)</f>
        <v>94.71</v>
      </c>
      <c r="AD40" s="7">
        <f>ROUND(IF('Plant Inputs'!BD28=0,0,100*'Plant Inputs'!BE28/'Plant Inputs'!BD28),2)</f>
        <v>94.05</v>
      </c>
      <c r="AE40" s="7">
        <f>ROUND(IF('Plant Inputs'!BD29=0,0,100*'Plant Inputs'!BE29/'Plant Inputs'!BD29),2)</f>
        <v>94.29</v>
      </c>
      <c r="AF40" s="7">
        <f>ROUND(IF('Plant Inputs'!BD30=0,0,100*'Plant Inputs'!BE30/'Plant Inputs'!BD30),2)</f>
        <v>97.36</v>
      </c>
      <c r="AG40" s="7">
        <f>ROUND(IF('Plant Inputs'!BD31=0,0,100*'Plant Inputs'!BE31/'Plant Inputs'!BD31),2)</f>
        <v>95.02</v>
      </c>
      <c r="AH40" s="7">
        <f>ROUND(IF('Plant Inputs'!BD32=0,0,100*'Plant Inputs'!BE32/'Plant Inputs'!BD32),2)</f>
        <v>97.47</v>
      </c>
      <c r="AI40" s="7">
        <f>ROUND(IF('Plant Inputs'!BD33=0,0,100*'Plant Inputs'!BE33/'Plant Inputs'!BD33),2)</f>
        <v>98.98</v>
      </c>
      <c r="AJ40" s="7">
        <f>ROUND(IF('Plant Inputs'!BD34=0,0,100*'Plant Inputs'!BE34/'Plant Inputs'!BD34),2)</f>
        <v>98.11</v>
      </c>
      <c r="AK40" s="7">
        <f>ROUND(IF('Plant Inputs'!BD35=0,0,100*'Plant Inputs'!BE35/'Plant Inputs'!BD35),2)</f>
        <v>94.96</v>
      </c>
      <c r="AL40" s="7">
        <f>ROUND(IF('Plant Inputs'!BD36=0,0,100*'Plant Inputs'!BE36/'Plant Inputs'!BD36),2)</f>
        <v>96.72</v>
      </c>
      <c r="AM40" s="7">
        <f>ROUND(IF('Plant Inputs'!BD37=0,0,100*'Plant Inputs'!BE37/'Plant Inputs'!BD37),2)</f>
        <v>98.36</v>
      </c>
      <c r="AN40" s="7">
        <f>ROUND(IF('Plant Inputs'!BD38=0,0,100*'Plant Inputs'!BE38/'Plant Inputs'!BD38),2)</f>
        <v>98.29</v>
      </c>
      <c r="AO40" s="7">
        <f>ROUND(IF('Plant Inputs'!BD39=0,0,100*'Plant Inputs'!BE39/'Plant Inputs'!BD39),2)</f>
        <v>95.06</v>
      </c>
    </row>
    <row r="41" spans="1:41">
      <c r="A41" s="6" t="s">
        <v>702</v>
      </c>
      <c r="B41" s="6" t="s">
        <v>703</v>
      </c>
      <c r="C41" s="6" t="s">
        <v>455</v>
      </c>
      <c r="D41" s="6" t="s">
        <v>25</v>
      </c>
      <c r="E41" s="6" t="s">
        <v>704</v>
      </c>
      <c r="F41" s="7">
        <f>ROUND(IF('Plant Inputs'!BE4=0,0,100*'Plant Inputs'!BF4/'Plant Inputs'!BE4),2)</f>
        <v>1.46</v>
      </c>
      <c r="G41" s="7">
        <f>ROUND(IF('Plant Inputs'!BE5=0,0,100*'Plant Inputs'!BF5/'Plant Inputs'!BE5),2)</f>
        <v>0.72</v>
      </c>
      <c r="H41" s="7">
        <f>ROUND(IF('Plant Inputs'!BE6=0,0,100*'Plant Inputs'!BF6/'Plant Inputs'!BE6),2)</f>
        <v>0.83</v>
      </c>
      <c r="I41" s="7">
        <f>ROUND(IF('Plant Inputs'!BE7=0,0,100*'Plant Inputs'!BF7/'Plant Inputs'!BE7),2)</f>
        <v>1.54</v>
      </c>
      <c r="J41" s="7">
        <f>ROUND(IF('Plant Inputs'!BE8=0,0,100*'Plant Inputs'!BF8/'Plant Inputs'!BE8),2)</f>
        <v>1.28</v>
      </c>
      <c r="K41" s="7">
        <f>ROUND(IF('Plant Inputs'!BE9=0,0,100*'Plant Inputs'!BF9/'Plant Inputs'!BE9),2)</f>
        <v>1.4</v>
      </c>
      <c r="L41" s="7">
        <f>ROUND(IF('Plant Inputs'!BE10=0,0,100*'Plant Inputs'!BF10/'Plant Inputs'!BE10),2)</f>
        <v>1.0</v>
      </c>
      <c r="M41" s="7">
        <f>ROUND(IF('Plant Inputs'!BE11=0,0,100*'Plant Inputs'!BF11/'Plant Inputs'!BE11),2)</f>
        <v>0.84</v>
      </c>
      <c r="N41" s="7">
        <f>ROUND(IF('Plant Inputs'!BE12=0,0,100*'Plant Inputs'!BF12/'Plant Inputs'!BE12),2)</f>
        <v>1.39</v>
      </c>
      <c r="O41" s="7">
        <f>ROUND(IF('Plant Inputs'!BE13=0,0,100*'Plant Inputs'!BF13/'Plant Inputs'!BE13),2)</f>
        <v>0.71</v>
      </c>
      <c r="P41" s="7">
        <f>ROUND(IF('Plant Inputs'!BE14=0,0,100*'Plant Inputs'!BF14/'Plant Inputs'!BE14),2)</f>
        <v>1.66</v>
      </c>
      <c r="Q41" s="7">
        <f>ROUND(IF('Plant Inputs'!BE15=0,0,100*'Plant Inputs'!BF15/'Plant Inputs'!BE15),2)</f>
        <v>1.11</v>
      </c>
      <c r="R41" s="7">
        <f>ROUND(IF('Plant Inputs'!BE16=0,0,100*'Plant Inputs'!BF16/'Plant Inputs'!BE16),2)</f>
        <v>1.14</v>
      </c>
      <c r="S41" s="7">
        <f>ROUND(IF('Plant Inputs'!BE17=0,0,100*'Plant Inputs'!BF17/'Plant Inputs'!BE17),2)</f>
        <v>0.87</v>
      </c>
      <c r="T41" s="7">
        <f>ROUND(IF('Plant Inputs'!BE18=0,0,100*'Plant Inputs'!BF18/'Plant Inputs'!BE18),2)</f>
        <v>0.78</v>
      </c>
      <c r="U41" s="7">
        <f>ROUND(IF('Plant Inputs'!BE19=0,0,100*'Plant Inputs'!BF19/'Plant Inputs'!BE19),2)</f>
        <v>1.2</v>
      </c>
      <c r="V41" s="7">
        <f>ROUND(IF('Plant Inputs'!BE20=0,0,100*'Plant Inputs'!BF20/'Plant Inputs'!BE20),2)</f>
        <v>1.75</v>
      </c>
      <c r="W41" s="7">
        <f>ROUND(IF('Plant Inputs'!BE21=0,0,100*'Plant Inputs'!BF21/'Plant Inputs'!BE21),2)</f>
        <v>0.62</v>
      </c>
      <c r="X41" s="7">
        <f>ROUND(IF('Plant Inputs'!BE22=0,0,100*'Plant Inputs'!BF22/'Plant Inputs'!BE22),2)</f>
        <v>1.01</v>
      </c>
      <c r="Y41" s="7">
        <f>ROUND(IF('Plant Inputs'!BE23=0,0,100*'Plant Inputs'!BF23/'Plant Inputs'!BE23),2)</f>
        <v>1.66</v>
      </c>
      <c r="Z41" s="7">
        <f>ROUND(IF('Plant Inputs'!BE24=0,0,100*'Plant Inputs'!BF24/'Plant Inputs'!BE24),2)</f>
        <v>1.48</v>
      </c>
      <c r="AA41" s="7">
        <f>ROUND(IF('Plant Inputs'!BE25=0,0,100*'Plant Inputs'!BF25/'Plant Inputs'!BE25),2)</f>
        <v>0.63</v>
      </c>
      <c r="AB41" s="7">
        <f>ROUND(IF('Plant Inputs'!BE26=0,0,100*'Plant Inputs'!BF26/'Plant Inputs'!BE26),2)</f>
        <v>1.56</v>
      </c>
      <c r="AC41" s="7">
        <f>ROUND(IF('Plant Inputs'!BE27=0,0,100*'Plant Inputs'!BF27/'Plant Inputs'!BE27),2)</f>
        <v>1.61</v>
      </c>
      <c r="AD41" s="7">
        <f>ROUND(IF('Plant Inputs'!BE28=0,0,100*'Plant Inputs'!BF28/'Plant Inputs'!BE28),2)</f>
        <v>1.39</v>
      </c>
      <c r="AE41" s="7">
        <f>ROUND(IF('Plant Inputs'!BE29=0,0,100*'Plant Inputs'!BF29/'Plant Inputs'!BE29),2)</f>
        <v>0.52</v>
      </c>
      <c r="AF41" s="7">
        <f>ROUND(IF('Plant Inputs'!BE30=0,0,100*'Plant Inputs'!BF30/'Plant Inputs'!BE30),2)</f>
        <v>0.47</v>
      </c>
      <c r="AG41" s="7">
        <f>ROUND(IF('Plant Inputs'!BE31=0,0,100*'Plant Inputs'!BF31/'Plant Inputs'!BE31),2)</f>
        <v>0.49</v>
      </c>
      <c r="AH41" s="7">
        <f>ROUND(IF('Plant Inputs'!BE32=0,0,100*'Plant Inputs'!BF32/'Plant Inputs'!BE32),2)</f>
        <v>0.79</v>
      </c>
      <c r="AI41" s="7">
        <f>ROUND(IF('Plant Inputs'!BE33=0,0,100*'Plant Inputs'!BF33/'Plant Inputs'!BE33),2)</f>
        <v>1.01</v>
      </c>
      <c r="AJ41" s="7">
        <f>ROUND(IF('Plant Inputs'!BE34=0,0,100*'Plant Inputs'!BF34/'Plant Inputs'!BE34),2)</f>
        <v>1.08</v>
      </c>
      <c r="AK41" s="7">
        <f>ROUND(IF('Plant Inputs'!BE35=0,0,100*'Plant Inputs'!BF35/'Plant Inputs'!BE35),2)</f>
        <v>1.26</v>
      </c>
      <c r="AL41" s="7">
        <f>ROUND(IF('Plant Inputs'!BE36=0,0,100*'Plant Inputs'!BF36/'Plant Inputs'!BE36),2)</f>
        <v>0.55</v>
      </c>
      <c r="AM41" s="7">
        <f>ROUND(IF('Plant Inputs'!BE37=0,0,100*'Plant Inputs'!BF37/'Plant Inputs'!BE37),2)</f>
        <v>0.85</v>
      </c>
      <c r="AN41" s="7">
        <f>ROUND(IF('Plant Inputs'!BE38=0,0,100*'Plant Inputs'!BF38/'Plant Inputs'!BE38),2)</f>
        <v>1.02</v>
      </c>
      <c r="AO41" s="7">
        <f>ROUND(IF('Plant Inputs'!BE39=0,0,100*'Plant Inputs'!BF39/'Plant Inputs'!BE39),2)</f>
        <v>1.37</v>
      </c>
    </row>
    <row r="42" spans="1:41">
      <c r="A42" s="6" t="s">
        <v>705</v>
      </c>
      <c r="B42" s="6" t="s">
        <v>706</v>
      </c>
      <c r="C42" s="6" t="s">
        <v>455</v>
      </c>
      <c r="D42" s="6" t="s">
        <v>25</v>
      </c>
      <c r="E42" s="6" t="s">
        <v>707</v>
      </c>
      <c r="F42" s="7">
        <f>ROUND(IF('Plant Inputs'!BG4=0,0,100*('Plant Inputs'!BH4-'Plant Inputs'!BG4)/'Plant Inputs'!BG4),2)</f>
        <v>-0.85</v>
      </c>
      <c r="G42" s="7">
        <f>ROUND(IF('Plant Inputs'!BG5=0,0,100*('Plant Inputs'!BH5-'Plant Inputs'!BG5)/'Plant Inputs'!BG5),2)</f>
        <v>0.23</v>
      </c>
      <c r="H42" s="7">
        <f>ROUND(IF('Plant Inputs'!BG6=0,0,100*('Plant Inputs'!BH6-'Plant Inputs'!BG6)/'Plant Inputs'!BG6),2)</f>
        <v>-0.1</v>
      </c>
      <c r="I42" s="7">
        <f>ROUND(IF('Plant Inputs'!BG7=0,0,100*('Plant Inputs'!BH7-'Plant Inputs'!BG7)/'Plant Inputs'!BG7),2)</f>
        <v>4.04</v>
      </c>
      <c r="J42" s="7">
        <f>ROUND(IF('Plant Inputs'!BG8=0,0,100*('Plant Inputs'!BH8-'Plant Inputs'!BG8)/'Plant Inputs'!BG8),2)</f>
        <v>-1.5</v>
      </c>
      <c r="K42" s="7">
        <f>ROUND(IF('Plant Inputs'!BG9=0,0,100*('Plant Inputs'!BH9-'Plant Inputs'!BG9)/'Plant Inputs'!BG9),2)</f>
        <v>4.97</v>
      </c>
      <c r="L42" s="7">
        <f>ROUND(IF('Plant Inputs'!BG10=0,0,100*('Plant Inputs'!BH10-'Plant Inputs'!BG10)/'Plant Inputs'!BG10),2)</f>
        <v>15.33</v>
      </c>
      <c r="M42" s="7">
        <f>ROUND(IF('Plant Inputs'!BG11=0,0,100*('Plant Inputs'!BH11-'Plant Inputs'!BG11)/'Plant Inputs'!BG11),2)</f>
        <v>12.99</v>
      </c>
      <c r="N42" s="7">
        <f>ROUND(IF('Plant Inputs'!BG12=0,0,100*('Plant Inputs'!BH12-'Plant Inputs'!BG12)/'Plant Inputs'!BG12),2)</f>
        <v>11.75</v>
      </c>
      <c r="O42" s="7">
        <f>ROUND(IF('Plant Inputs'!BG13=0,0,100*('Plant Inputs'!BH13-'Plant Inputs'!BG13)/'Plant Inputs'!BG13),2)</f>
        <v>17.33</v>
      </c>
      <c r="P42" s="7">
        <f>ROUND(IF('Plant Inputs'!BG14=0,0,100*('Plant Inputs'!BH14-'Plant Inputs'!BG14)/'Plant Inputs'!BG14),2)</f>
        <v>18.75</v>
      </c>
      <c r="Q42" s="7">
        <f>ROUND(IF('Plant Inputs'!BG15=0,0,100*('Plant Inputs'!BH15-'Plant Inputs'!BG15)/'Plant Inputs'!BG15),2)</f>
        <v>17.33</v>
      </c>
      <c r="R42" s="7">
        <f>ROUND(IF('Plant Inputs'!BG16=0,0,100*('Plant Inputs'!BH16-'Plant Inputs'!BG16)/'Plant Inputs'!BG16),2)</f>
        <v>4.73</v>
      </c>
      <c r="S42" s="7">
        <f>ROUND(IF('Plant Inputs'!BG17=0,0,100*('Plant Inputs'!BH17-'Plant Inputs'!BG17)/'Plant Inputs'!BG17),2)</f>
        <v>0.17</v>
      </c>
      <c r="T42" s="7">
        <f>ROUND(IF('Plant Inputs'!BG18=0,0,100*('Plant Inputs'!BH18-'Plant Inputs'!BG18)/'Plant Inputs'!BG18),2)</f>
        <v>2.53</v>
      </c>
      <c r="U42" s="7">
        <f>ROUND(IF('Plant Inputs'!BG19=0,0,100*('Plant Inputs'!BH19-'Plant Inputs'!BG19)/'Plant Inputs'!BG19),2)</f>
        <v>0.54</v>
      </c>
      <c r="V42" s="7">
        <f>ROUND(IF('Plant Inputs'!BG20=0,0,100*('Plant Inputs'!BH20-'Plant Inputs'!BG20)/'Plant Inputs'!BG20),2)</f>
        <v>3.07</v>
      </c>
      <c r="W42" s="7">
        <f>ROUND(IF('Plant Inputs'!BG21=0,0,100*('Plant Inputs'!BH21-'Plant Inputs'!BG21)/'Plant Inputs'!BG21),2)</f>
        <v>2.35</v>
      </c>
      <c r="X42" s="7">
        <f>ROUND(IF('Plant Inputs'!BG22=0,0,100*('Plant Inputs'!BH22-'Plant Inputs'!BG22)/'Plant Inputs'!BG22),2)</f>
        <v>3.74</v>
      </c>
      <c r="Y42" s="7">
        <f>ROUND(IF('Plant Inputs'!BG23=0,0,100*('Plant Inputs'!BH23-'Plant Inputs'!BG23)/'Plant Inputs'!BG23),2)</f>
        <v>-0.46</v>
      </c>
      <c r="Z42" s="7">
        <f>ROUND(IF('Plant Inputs'!BG24=0,0,100*('Plant Inputs'!BH24-'Plant Inputs'!BG24)/'Plant Inputs'!BG24),2)</f>
        <v>-0.65</v>
      </c>
      <c r="AA42" s="7">
        <f>ROUND(IF('Plant Inputs'!BG25=0,0,100*('Plant Inputs'!BH25-'Plant Inputs'!BG25)/'Plant Inputs'!BG25),2)</f>
        <v>-1.66</v>
      </c>
      <c r="AB42" s="7">
        <f>ROUND(IF('Plant Inputs'!BG26=0,0,100*('Plant Inputs'!BH26-'Plant Inputs'!BG26)/'Plant Inputs'!BG26),2)</f>
        <v>-0.7</v>
      </c>
      <c r="AC42" s="7">
        <f>ROUND(IF('Plant Inputs'!BG27=0,0,100*('Plant Inputs'!BH27-'Plant Inputs'!BG27)/'Plant Inputs'!BG27),2)</f>
        <v>3.92</v>
      </c>
      <c r="AD42" s="7">
        <f>ROUND(IF('Plant Inputs'!BG28=0,0,100*('Plant Inputs'!BH28-'Plant Inputs'!BG28)/'Plant Inputs'!BG28),2)</f>
        <v>7.34</v>
      </c>
      <c r="AE42" s="7">
        <f>ROUND(IF('Plant Inputs'!BG29=0,0,100*('Plant Inputs'!BH29-'Plant Inputs'!BG29)/'Plant Inputs'!BG29),2)</f>
        <v>4.32</v>
      </c>
      <c r="AF42" s="7">
        <f>ROUND(IF('Plant Inputs'!BG30=0,0,100*('Plant Inputs'!BH30-'Plant Inputs'!BG30)/'Plant Inputs'!BG30),2)</f>
        <v>6.0</v>
      </c>
      <c r="AG42" s="7">
        <f>ROUND(IF('Plant Inputs'!BG31=0,0,100*('Plant Inputs'!BH31-'Plant Inputs'!BG31)/'Plant Inputs'!BG31),2)</f>
        <v>-1.32</v>
      </c>
      <c r="AH42" s="7">
        <f>ROUND(IF('Plant Inputs'!BG32=0,0,100*('Plant Inputs'!BH32-'Plant Inputs'!BG32)/'Plant Inputs'!BG32),2)</f>
        <v>3.49</v>
      </c>
      <c r="AI42" s="7">
        <f>ROUND(IF('Plant Inputs'!BG33=0,0,100*('Plant Inputs'!BH33-'Plant Inputs'!BG33)/'Plant Inputs'!BG33),2)</f>
        <v>6.68</v>
      </c>
      <c r="AJ42" s="7">
        <f>ROUND(IF('Plant Inputs'!BG34=0,0,100*('Plant Inputs'!BH34-'Plant Inputs'!BG34)/'Plant Inputs'!BG34),2)</f>
        <v>1.36</v>
      </c>
      <c r="AK42" s="7">
        <f>ROUND(IF('Plant Inputs'!BG35=0,0,100*('Plant Inputs'!BH35-'Plant Inputs'!BG35)/'Plant Inputs'!BG35),2)</f>
        <v>5.12</v>
      </c>
      <c r="AL42" s="7">
        <f>ROUND(IF('Plant Inputs'!BG36=0,0,100*('Plant Inputs'!BH36-'Plant Inputs'!BG36)/'Plant Inputs'!BG36),2)</f>
        <v>-1.19</v>
      </c>
      <c r="AM42" s="7">
        <f>ROUND(IF('Plant Inputs'!BG37=0,0,100*('Plant Inputs'!BH37-'Plant Inputs'!BG37)/'Plant Inputs'!BG37),2)</f>
        <v>0.76</v>
      </c>
      <c r="AN42" s="7">
        <f>ROUND(IF('Plant Inputs'!BG38=0,0,100*('Plant Inputs'!BH38-'Plant Inputs'!BG38)/'Plant Inputs'!BG38),2)</f>
        <v>-1.21</v>
      </c>
      <c r="AO42" s="7">
        <f>ROUND(IF('Plant Inputs'!BG39=0,0,100*('Plant Inputs'!BH39-'Plant Inputs'!BG39)/'Plant Inputs'!BG39),2)</f>
        <v>-1.14</v>
      </c>
    </row>
    <row r="43" spans="1:41">
      <c r="A43" s="6" t="s">
        <v>711</v>
      </c>
      <c r="B43" s="6" t="s">
        <v>712</v>
      </c>
      <c r="C43" s="6" t="s">
        <v>455</v>
      </c>
      <c r="D43" s="6" t="s">
        <v>25</v>
      </c>
      <c r="E43" s="6" t="s">
        <v>713</v>
      </c>
      <c r="F43" s="7">
        <f>ROUND(IF('Plant Inputs'!BI4=0,0,100*'Plant Inputs'!BJ4/'Plant Inputs'!BI4),2)</f>
        <v>30.8</v>
      </c>
      <c r="G43" s="7">
        <f>ROUND(IF('Plant Inputs'!BI5=0,0,100*'Plant Inputs'!BJ5/'Plant Inputs'!BI5),2)</f>
        <v>34.96</v>
      </c>
      <c r="H43" s="7">
        <f>ROUND(IF('Plant Inputs'!BI6=0,0,100*'Plant Inputs'!BJ6/'Plant Inputs'!BI6),2)</f>
        <v>31.54</v>
      </c>
      <c r="I43" s="7">
        <f>ROUND(IF('Plant Inputs'!BI7=0,0,100*'Plant Inputs'!BJ7/'Plant Inputs'!BI7),2)</f>
        <v>38.92</v>
      </c>
      <c r="J43" s="7">
        <f>ROUND(IF('Plant Inputs'!BI8=0,0,100*'Plant Inputs'!BJ8/'Plant Inputs'!BI8),2)</f>
        <v>37.62</v>
      </c>
      <c r="K43" s="7">
        <f>ROUND(IF('Plant Inputs'!BI9=0,0,100*'Plant Inputs'!BJ9/'Plant Inputs'!BI9),2)</f>
        <v>30.12</v>
      </c>
      <c r="L43" s="7">
        <f>ROUND(IF('Plant Inputs'!BI10=0,0,100*'Plant Inputs'!BJ10/'Plant Inputs'!BI10),2)</f>
        <v>45.29</v>
      </c>
      <c r="M43" s="7">
        <f>ROUND(IF('Plant Inputs'!BI11=0,0,100*'Plant Inputs'!BJ11/'Plant Inputs'!BI11),2)</f>
        <v>46.14</v>
      </c>
      <c r="N43" s="7">
        <f>ROUND(IF('Plant Inputs'!BI12=0,0,100*'Plant Inputs'!BJ12/'Plant Inputs'!BI12),2)</f>
        <v>45.17</v>
      </c>
      <c r="O43" s="7">
        <f>ROUND(IF('Plant Inputs'!BI13=0,0,100*'Plant Inputs'!BJ13/'Plant Inputs'!BI13),2)</f>
        <v>46.06</v>
      </c>
      <c r="P43" s="7">
        <f>ROUND(IF('Plant Inputs'!BI14=0,0,100*'Plant Inputs'!BJ14/'Plant Inputs'!BI14),2)</f>
        <v>47.35</v>
      </c>
      <c r="Q43" s="7">
        <f>ROUND(IF('Plant Inputs'!BI15=0,0,100*'Plant Inputs'!BJ15/'Plant Inputs'!BI15),2)</f>
        <v>43.02</v>
      </c>
      <c r="R43" s="7">
        <f>ROUND(IF('Plant Inputs'!BI16=0,0,100*'Plant Inputs'!BJ16/'Plant Inputs'!BI16),2)</f>
        <v>37.8</v>
      </c>
      <c r="S43" s="7">
        <f>ROUND(IF('Plant Inputs'!BI17=0,0,100*'Plant Inputs'!BJ17/'Plant Inputs'!BI17),2)</f>
        <v>38.25</v>
      </c>
      <c r="T43" s="7">
        <f>ROUND(IF('Plant Inputs'!BI18=0,0,100*'Plant Inputs'!BJ18/'Plant Inputs'!BI18),2)</f>
        <v>36.81</v>
      </c>
      <c r="U43" s="7">
        <f>ROUND(IF('Plant Inputs'!BI19=0,0,100*'Plant Inputs'!BJ19/'Plant Inputs'!BI19),2)</f>
        <v>30.59</v>
      </c>
      <c r="V43" s="7">
        <f>ROUND(IF('Plant Inputs'!BI20=0,0,100*'Plant Inputs'!BJ20/'Plant Inputs'!BI20),2)</f>
        <v>33.52</v>
      </c>
      <c r="W43" s="7">
        <f>ROUND(IF('Plant Inputs'!BI21=0,0,100*'Plant Inputs'!BJ21/'Plant Inputs'!BI21),2)</f>
        <v>30.7</v>
      </c>
      <c r="X43" s="7">
        <f>ROUND(IF('Plant Inputs'!BI22=0,0,100*'Plant Inputs'!BJ22/'Plant Inputs'!BI22),2)</f>
        <v>30.54</v>
      </c>
      <c r="Y43" s="7">
        <f>ROUND(IF('Plant Inputs'!BI23=0,0,100*'Plant Inputs'!BJ23/'Plant Inputs'!BI23),2)</f>
        <v>31.27</v>
      </c>
      <c r="Z43" s="7">
        <f>ROUND(IF('Plant Inputs'!BI24=0,0,100*'Plant Inputs'!BJ24/'Plant Inputs'!BI24),2)</f>
        <v>35.96</v>
      </c>
      <c r="AA43" s="7">
        <f>ROUND(IF('Plant Inputs'!BI25=0,0,100*'Plant Inputs'!BJ25/'Plant Inputs'!BI25),2)</f>
        <v>32.4</v>
      </c>
      <c r="AB43" s="7">
        <f>ROUND(IF('Plant Inputs'!BI26=0,0,100*'Plant Inputs'!BJ26/'Plant Inputs'!BI26),2)</f>
        <v>37.32</v>
      </c>
      <c r="AC43" s="7">
        <f>ROUND(IF('Plant Inputs'!BI27=0,0,100*'Plant Inputs'!BJ27/'Plant Inputs'!BI27),2)</f>
        <v>31.2</v>
      </c>
      <c r="AD43" s="7">
        <f>ROUND(IF('Plant Inputs'!BI28=0,0,100*'Plant Inputs'!BJ28/'Plant Inputs'!BI28),2)</f>
        <v>30.78</v>
      </c>
      <c r="AE43" s="7">
        <f>ROUND(IF('Plant Inputs'!BI29=0,0,100*'Plant Inputs'!BJ29/'Plant Inputs'!BI29),2)</f>
        <v>31.51</v>
      </c>
      <c r="AF43" s="7">
        <f>ROUND(IF('Plant Inputs'!BI30=0,0,100*'Plant Inputs'!BJ30/'Plant Inputs'!BI30),2)</f>
        <v>37.12</v>
      </c>
      <c r="AG43" s="7">
        <f>ROUND(IF('Plant Inputs'!BI31=0,0,100*'Plant Inputs'!BJ31/'Plant Inputs'!BI31),2)</f>
        <v>35.73</v>
      </c>
      <c r="AH43" s="7">
        <f>ROUND(IF('Plant Inputs'!BI32=0,0,100*'Plant Inputs'!BJ32/'Plant Inputs'!BI32),2)</f>
        <v>33.86</v>
      </c>
      <c r="AI43" s="7">
        <f>ROUND(IF('Plant Inputs'!BI33=0,0,100*'Plant Inputs'!BJ33/'Plant Inputs'!BI33),2)</f>
        <v>35.54</v>
      </c>
      <c r="AJ43" s="7">
        <f>ROUND(IF('Plant Inputs'!BI34=0,0,100*'Plant Inputs'!BJ34/'Plant Inputs'!BI34),2)</f>
        <v>31.77</v>
      </c>
      <c r="AK43" s="7">
        <f>ROUND(IF('Plant Inputs'!BI35=0,0,100*'Plant Inputs'!BJ35/'Plant Inputs'!BI35),2)</f>
        <v>35.47</v>
      </c>
      <c r="AL43" s="7">
        <f>ROUND(IF('Plant Inputs'!BI36=0,0,100*'Plant Inputs'!BJ36/'Plant Inputs'!BI36),2)</f>
        <v>35.86</v>
      </c>
      <c r="AM43" s="7">
        <f>ROUND(IF('Plant Inputs'!BI37=0,0,100*'Plant Inputs'!BJ37/'Plant Inputs'!BI37),2)</f>
        <v>34.01</v>
      </c>
      <c r="AN43" s="7">
        <f>ROUND(IF('Plant Inputs'!BI38=0,0,100*'Plant Inputs'!BJ38/'Plant Inputs'!BI38),2)</f>
        <v>33.7</v>
      </c>
      <c r="AO43" s="7">
        <f>ROUND(IF('Plant Inputs'!BI39=0,0,100*'Plant Inputs'!BJ39/'Plant Inputs'!BI39),2)</f>
        <v>39.87</v>
      </c>
    </row>
    <row r="44" spans="1:41">
      <c r="A44" s="6" t="s">
        <v>714</v>
      </c>
      <c r="B44" s="6" t="s">
        <v>715</v>
      </c>
      <c r="C44" s="6" t="s">
        <v>512</v>
      </c>
      <c r="D44" s="6" t="s">
        <v>561</v>
      </c>
      <c r="E44" s="6" t="s">
        <v>716</v>
      </c>
      <c r="F44" s="7">
        <f>ROUND(SUM('Plant Inputs'!BK$4:BK4),2)</f>
        <v>0.0</v>
      </c>
      <c r="G44" s="7">
        <f>ROUND(SUM('Plant Inputs'!BK$4:BK5),2)</f>
        <v>0.0</v>
      </c>
      <c r="H44" s="7">
        <f>ROUND(SUM('Plant Inputs'!BK$4:BK6),2)</f>
        <v>1.0</v>
      </c>
      <c r="I44" s="7">
        <f>ROUND(SUM('Plant Inputs'!BK$4:BK7),2)</f>
        <v>1.0</v>
      </c>
      <c r="J44" s="7">
        <f>ROUND(SUM('Plant Inputs'!BK$4:BK8),2)</f>
        <v>1.0</v>
      </c>
      <c r="K44" s="7">
        <f>ROUND(SUM('Plant Inputs'!BK$4:BK9),2)</f>
        <v>2.0</v>
      </c>
      <c r="L44" s="7">
        <f>ROUND(SUM('Plant Inputs'!BK$10:BK10),2)</f>
        <v>0.0</v>
      </c>
      <c r="M44" s="7">
        <f>ROUND(SUM('Plant Inputs'!BK$10:BK11),2)</f>
        <v>0.0</v>
      </c>
      <c r="N44" s="7">
        <f>ROUND(SUM('Plant Inputs'!BK$10:BK12),2)</f>
        <v>0.0</v>
      </c>
      <c r="O44" s="7">
        <f>ROUND(SUM('Plant Inputs'!BK$10:BK13),2)</f>
        <v>0.0</v>
      </c>
      <c r="P44" s="7">
        <f>ROUND(SUM('Plant Inputs'!BK$10:BK14),2)</f>
        <v>0.0</v>
      </c>
      <c r="Q44" s="7">
        <f>ROUND(SUM('Plant Inputs'!BK$10:BK15),2)</f>
        <v>0.0</v>
      </c>
      <c r="R44" s="7">
        <f>ROUND(SUM('Plant Inputs'!BK$16:BK16),2)</f>
        <v>0.0</v>
      </c>
      <c r="S44" s="7">
        <f>ROUND(SUM('Plant Inputs'!BK$16:BK17),2)</f>
        <v>0.0</v>
      </c>
      <c r="T44" s="7">
        <f>ROUND(SUM('Plant Inputs'!BK$16:BK18),2)</f>
        <v>0.0</v>
      </c>
      <c r="U44" s="7">
        <f>ROUND(SUM('Plant Inputs'!BK$16:BK19),2)</f>
        <v>0.0</v>
      </c>
      <c r="V44" s="7">
        <f>ROUND(SUM('Plant Inputs'!BK$16:BK20),2)</f>
        <v>0.0</v>
      </c>
      <c r="W44" s="7">
        <f>ROUND(SUM('Plant Inputs'!BK$16:BK21),2)</f>
        <v>0.0</v>
      </c>
      <c r="X44" s="7">
        <f>ROUND(SUM('Plant Inputs'!BK$22:BK22),2)</f>
        <v>0.0</v>
      </c>
      <c r="Y44" s="7">
        <f>ROUND(SUM('Plant Inputs'!BK$22:BK23),2)</f>
        <v>0.0</v>
      </c>
      <c r="Z44" s="7">
        <f>ROUND(SUM('Plant Inputs'!BK$22:BK24),2)</f>
        <v>0.0</v>
      </c>
      <c r="AA44" s="7">
        <f>ROUND(SUM('Plant Inputs'!BK$22:BK25),2)</f>
        <v>0.0</v>
      </c>
      <c r="AB44" s="7">
        <f>ROUND(SUM('Plant Inputs'!BK$22:BK26),2)</f>
        <v>0.0</v>
      </c>
      <c r="AC44" s="7">
        <f>ROUND(SUM('Plant Inputs'!BK$22:BK27),2)</f>
        <v>0.0</v>
      </c>
      <c r="AD44" s="7">
        <f>ROUND(SUM('Plant Inputs'!BK$28:BK28),2)</f>
        <v>0.0</v>
      </c>
      <c r="AE44" s="7">
        <f>ROUND(SUM('Plant Inputs'!BK$28:BK29),2)</f>
        <v>0.0</v>
      </c>
      <c r="AF44" s="7">
        <f>ROUND(SUM('Plant Inputs'!BK$28:BK30),2)</f>
        <v>0.0</v>
      </c>
      <c r="AG44" s="7">
        <f>ROUND(SUM('Plant Inputs'!BK$28:BK31),2)</f>
        <v>0.0</v>
      </c>
      <c r="AH44" s="7">
        <f>ROUND(SUM('Plant Inputs'!BK$28:BK32),2)</f>
        <v>0.0</v>
      </c>
      <c r="AI44" s="7">
        <f>ROUND(SUM('Plant Inputs'!BK$28:BK33),2)</f>
        <v>1.0</v>
      </c>
      <c r="AJ44" s="7">
        <f>ROUND(SUM('Plant Inputs'!BK$34:BK34),2)</f>
        <v>0.0</v>
      </c>
      <c r="AK44" s="7">
        <f>ROUND(SUM('Plant Inputs'!BK$34:BK35),2)</f>
        <v>0.0</v>
      </c>
      <c r="AL44" s="7">
        <f>ROUND(SUM('Plant Inputs'!BK$34:BK36),2)</f>
        <v>0.0</v>
      </c>
      <c r="AM44" s="7">
        <f>ROUND(SUM('Plant Inputs'!BK$34:BK37),2)</f>
        <v>0.0</v>
      </c>
      <c r="AN44" s="7">
        <f>ROUND(SUM('Plant Inputs'!BK$34:BK38),2)</f>
        <v>0.0</v>
      </c>
      <c r="AO44" s="7">
        <f>ROUND(SUM('Plant Inputs'!BK$34:BK39),2)</f>
        <v>0.0</v>
      </c>
    </row>
    <row r="45" spans="1:41">
      <c r="A45" s="6" t="s">
        <v>726</v>
      </c>
      <c r="B45" s="6" t="s">
        <v>727</v>
      </c>
      <c r="C45" s="6" t="s">
        <v>512</v>
      </c>
      <c r="D45" s="6" t="s">
        <v>577</v>
      </c>
      <c r="E45" s="6" t="s">
        <v>728</v>
      </c>
      <c r="F45" s="7">
        <f>ROUND('Plant Inputs'!BL4,2)</f>
        <v>0.0</v>
      </c>
      <c r="G45" s="7">
        <f>ROUND('Plant Inputs'!BL5,2)</f>
        <v>1.0</v>
      </c>
      <c r="H45" s="7">
        <f>ROUND('Plant Inputs'!BL6,2)</f>
        <v>0.0</v>
      </c>
      <c r="I45" s="7">
        <f>ROUND('Plant Inputs'!BL7,2)</f>
        <v>0.0</v>
      </c>
      <c r="J45" s="7">
        <f>ROUND('Plant Inputs'!BL8,2)</f>
        <v>0.0</v>
      </c>
      <c r="K45" s="7">
        <f>ROUND('Plant Inputs'!BL9,2)</f>
        <v>0.0</v>
      </c>
      <c r="L45" s="7">
        <f>ROUND('Plant Inputs'!BL10,2)</f>
        <v>1.0</v>
      </c>
      <c r="M45" s="7">
        <f>ROUND('Plant Inputs'!BL11,2)</f>
        <v>0.0</v>
      </c>
      <c r="N45" s="7">
        <f>ROUND('Plant Inputs'!BL12,2)</f>
        <v>0.0</v>
      </c>
      <c r="O45" s="7">
        <f>ROUND('Plant Inputs'!BL13,2)</f>
        <v>0.0</v>
      </c>
      <c r="P45" s="7">
        <f>ROUND('Plant Inputs'!BL14,2)</f>
        <v>0.0</v>
      </c>
      <c r="Q45" s="7">
        <f>ROUND('Plant Inputs'!BL15,2)</f>
        <v>0.0</v>
      </c>
      <c r="R45" s="7">
        <f>ROUND('Plant Inputs'!BL16,2)</f>
        <v>0.0</v>
      </c>
      <c r="S45" s="7">
        <f>ROUND('Plant Inputs'!BL17,2)</f>
        <v>1.0</v>
      </c>
      <c r="T45" s="7">
        <f>ROUND('Plant Inputs'!BL18,2)</f>
        <v>0.0</v>
      </c>
      <c r="U45" s="7">
        <f>ROUND('Plant Inputs'!BL19,2)</f>
        <v>0.0</v>
      </c>
      <c r="V45" s="7">
        <f>ROUND('Plant Inputs'!BL20,2)</f>
        <v>0.0</v>
      </c>
      <c r="W45" s="7">
        <f>ROUND('Plant Inputs'!BL21,2)</f>
        <v>0.0</v>
      </c>
      <c r="X45" s="7">
        <f>ROUND('Plant Inputs'!BL22,2)</f>
        <v>1.0</v>
      </c>
      <c r="Y45" s="7">
        <f>ROUND('Plant Inputs'!BL23,2)</f>
        <v>1.0</v>
      </c>
      <c r="Z45" s="7">
        <f>ROUND('Plant Inputs'!BL24,2)</f>
        <v>0.0</v>
      </c>
      <c r="AA45" s="7">
        <f>ROUND('Plant Inputs'!BL25,2)</f>
        <v>0.0</v>
      </c>
      <c r="AB45" s="7">
        <f>ROUND('Plant Inputs'!BL26,2)</f>
        <v>0.0</v>
      </c>
      <c r="AC45" s="7">
        <f>ROUND('Plant Inputs'!BL27,2)</f>
        <v>0.0</v>
      </c>
      <c r="AD45" s="7">
        <f>ROUND('Plant Inputs'!BL28,2)</f>
        <v>0.0</v>
      </c>
      <c r="AE45" s="7">
        <f>ROUND('Plant Inputs'!BL29,2)</f>
        <v>0.0</v>
      </c>
      <c r="AF45" s="7">
        <f>ROUND('Plant Inputs'!BL30,2)</f>
        <v>1.0</v>
      </c>
      <c r="AG45" s="7">
        <f>ROUND('Plant Inputs'!BL31,2)</f>
        <v>1.0</v>
      </c>
      <c r="AH45" s="7">
        <f>ROUND('Plant Inputs'!BL32,2)</f>
        <v>0.0</v>
      </c>
      <c r="AI45" s="7">
        <f>ROUND('Plant Inputs'!BL33,2)</f>
        <v>0.0</v>
      </c>
      <c r="AJ45" s="7">
        <f>ROUND('Plant Inputs'!BL34,2)</f>
        <v>1.0</v>
      </c>
      <c r="AK45" s="7">
        <f>ROUND('Plant Inputs'!BL35,2)</f>
        <v>0.0</v>
      </c>
      <c r="AL45" s="7">
        <f>ROUND('Plant Inputs'!BL36,2)</f>
        <v>0.0</v>
      </c>
      <c r="AM45" s="7">
        <f>ROUND('Plant Inputs'!BL37,2)</f>
        <v>0.0</v>
      </c>
      <c r="AN45" s="7">
        <f>ROUND('Plant Inputs'!BL38,2)</f>
        <v>0.0</v>
      </c>
      <c r="AO45" s="7">
        <f>ROUND('Plant Inputs'!BL39,2)</f>
        <v>0.0</v>
      </c>
    </row>
    <row r="46" spans="1:41">
      <c r="A46" s="6" t="s">
        <v>729</v>
      </c>
      <c r="B46" s="6" t="s">
        <v>730</v>
      </c>
      <c r="C46" s="6" t="s">
        <v>512</v>
      </c>
      <c r="D46" s="6" t="s">
        <v>577</v>
      </c>
      <c r="E46" s="6" t="s">
        <v>731</v>
      </c>
      <c r="F46" s="7">
        <f>ROUND('Plant Inputs'!BM4,2)</f>
        <v>1.0</v>
      </c>
      <c r="G46" s="7">
        <f>ROUND('Plant Inputs'!BM5,2)</f>
        <v>0.0</v>
      </c>
      <c r="H46" s="7">
        <f>ROUND('Plant Inputs'!BM6,2)</f>
        <v>0.0</v>
      </c>
      <c r="I46" s="7">
        <f>ROUND('Plant Inputs'!BM7,2)</f>
        <v>0.0</v>
      </c>
      <c r="J46" s="7">
        <f>ROUND('Plant Inputs'!BM8,2)</f>
        <v>0.0</v>
      </c>
      <c r="K46" s="7">
        <f>ROUND('Plant Inputs'!BM9,2)</f>
        <v>1.0</v>
      </c>
      <c r="L46" s="7">
        <f>ROUND('Plant Inputs'!BM10,2)</f>
        <v>1.0</v>
      </c>
      <c r="M46" s="7">
        <f>ROUND('Plant Inputs'!BM11,2)</f>
        <v>1.0</v>
      </c>
      <c r="N46" s="7">
        <f>ROUND('Plant Inputs'!BM12,2)</f>
        <v>0.0</v>
      </c>
      <c r="O46" s="7">
        <f>ROUND('Plant Inputs'!BM13,2)</f>
        <v>0.0</v>
      </c>
      <c r="P46" s="7">
        <f>ROUND('Plant Inputs'!BM14,2)</f>
        <v>0.0</v>
      </c>
      <c r="Q46" s="7">
        <f>ROUND('Plant Inputs'!BM15,2)</f>
        <v>0.0</v>
      </c>
      <c r="R46" s="7">
        <f>ROUND('Plant Inputs'!BM16,2)</f>
        <v>0.0</v>
      </c>
      <c r="S46" s="7">
        <f>ROUND('Plant Inputs'!BM17,2)</f>
        <v>0.0</v>
      </c>
      <c r="T46" s="7">
        <f>ROUND('Plant Inputs'!BM18,2)</f>
        <v>0.0</v>
      </c>
      <c r="U46" s="7">
        <f>ROUND('Plant Inputs'!BM19,2)</f>
        <v>0.0</v>
      </c>
      <c r="V46" s="7">
        <f>ROUND('Plant Inputs'!BM20,2)</f>
        <v>0.0</v>
      </c>
      <c r="W46" s="7">
        <f>ROUND('Plant Inputs'!BM21,2)</f>
        <v>1.0</v>
      </c>
      <c r="X46" s="7">
        <f>ROUND('Plant Inputs'!BM22,2)</f>
        <v>0.0</v>
      </c>
      <c r="Y46" s="7">
        <f>ROUND('Plant Inputs'!BM23,2)</f>
        <v>0.0</v>
      </c>
      <c r="Z46" s="7">
        <f>ROUND('Plant Inputs'!BM24,2)</f>
        <v>0.0</v>
      </c>
      <c r="AA46" s="7">
        <f>ROUND('Plant Inputs'!BM25,2)</f>
        <v>1.0</v>
      </c>
      <c r="AB46" s="7">
        <f>ROUND('Plant Inputs'!BM26,2)</f>
        <v>0.0</v>
      </c>
      <c r="AC46" s="7">
        <f>ROUND('Plant Inputs'!BM27,2)</f>
        <v>0.0</v>
      </c>
      <c r="AD46" s="7">
        <f>ROUND('Plant Inputs'!BM28,2)</f>
        <v>0.0</v>
      </c>
      <c r="AE46" s="7">
        <f>ROUND('Plant Inputs'!BM29,2)</f>
        <v>0.0</v>
      </c>
      <c r="AF46" s="7">
        <f>ROUND('Plant Inputs'!BM30,2)</f>
        <v>1.0</v>
      </c>
      <c r="AG46" s="7">
        <f>ROUND('Plant Inputs'!BM31,2)</f>
        <v>1.0</v>
      </c>
      <c r="AH46" s="7">
        <f>ROUND('Plant Inputs'!BM32,2)</f>
        <v>0.0</v>
      </c>
      <c r="AI46" s="7">
        <f>ROUND('Plant Inputs'!BM33,2)</f>
        <v>0.0</v>
      </c>
      <c r="AJ46" s="7">
        <f>ROUND('Plant Inputs'!BM34,2)</f>
        <v>0.0</v>
      </c>
      <c r="AK46" s="7">
        <f>ROUND('Plant Inputs'!BM35,2)</f>
        <v>0.0</v>
      </c>
      <c r="AL46" s="7">
        <f>ROUND('Plant Inputs'!BM36,2)</f>
        <v>1.0</v>
      </c>
      <c r="AM46" s="7">
        <f>ROUND('Plant Inputs'!BM37,2)</f>
        <v>0.0</v>
      </c>
      <c r="AN46" s="7">
        <f>ROUND('Plant Inputs'!BM38,2)</f>
        <v>0.0</v>
      </c>
      <c r="AO46" s="7">
        <f>ROUND('Plant Inputs'!BM39,2)</f>
        <v>1.0</v>
      </c>
    </row>
    <row r="47" spans="1:41">
      <c r="A47" s="6" t="s">
        <v>732</v>
      </c>
      <c r="B47" s="6" t="s">
        <v>733</v>
      </c>
      <c r="C47" s="6" t="s">
        <v>512</v>
      </c>
      <c r="D47" s="6" t="s">
        <v>577</v>
      </c>
      <c r="E47" s="6" t="s">
        <v>734</v>
      </c>
      <c r="F47" s="7">
        <f>ROUND('Plant Inputs'!BN4,2)</f>
        <v>0.0</v>
      </c>
      <c r="G47" s="7">
        <f>ROUND('Plant Inputs'!BN5,2)</f>
        <v>0.0</v>
      </c>
      <c r="H47" s="7">
        <f>ROUND('Plant Inputs'!BN6,2)</f>
        <v>0.0</v>
      </c>
      <c r="I47" s="7">
        <f>ROUND('Plant Inputs'!BN7,2)</f>
        <v>0.0</v>
      </c>
      <c r="J47" s="7">
        <f>ROUND('Plant Inputs'!BN8,2)</f>
        <v>0.0</v>
      </c>
      <c r="K47" s="7">
        <f>ROUND('Plant Inputs'!BN9,2)</f>
        <v>0.0</v>
      </c>
      <c r="L47" s="7">
        <f>ROUND('Plant Inputs'!BN10,2)</f>
        <v>1.0</v>
      </c>
      <c r="M47" s="7">
        <f>ROUND('Plant Inputs'!BN11,2)</f>
        <v>1.0</v>
      </c>
      <c r="N47" s="7">
        <f>ROUND('Plant Inputs'!BN12,2)</f>
        <v>1.0</v>
      </c>
      <c r="O47" s="7">
        <f>ROUND('Plant Inputs'!BN13,2)</f>
        <v>1.0</v>
      </c>
      <c r="P47" s="7">
        <f>ROUND('Plant Inputs'!BN14,2)</f>
        <v>1.0</v>
      </c>
      <c r="Q47" s="7">
        <f>ROUND('Plant Inputs'!BN15,2)</f>
        <v>1.0</v>
      </c>
      <c r="R47" s="7">
        <f>ROUND('Plant Inputs'!BN16,2)</f>
        <v>1.0</v>
      </c>
      <c r="S47" s="7">
        <f>ROUND('Plant Inputs'!BN17,2)</f>
        <v>0.0</v>
      </c>
      <c r="T47" s="7">
        <f>ROUND('Plant Inputs'!BN18,2)</f>
        <v>1.0</v>
      </c>
      <c r="U47" s="7">
        <f>ROUND('Plant Inputs'!BN19,2)</f>
        <v>0.0</v>
      </c>
      <c r="V47" s="7">
        <f>ROUND('Plant Inputs'!BN20,2)</f>
        <v>0.0</v>
      </c>
      <c r="W47" s="7">
        <f>ROUND('Plant Inputs'!BN21,2)</f>
        <v>0.0</v>
      </c>
      <c r="X47" s="7">
        <f>ROUND('Plant Inputs'!BN22,2)</f>
        <v>0.0</v>
      </c>
      <c r="Y47" s="7">
        <f>ROUND('Plant Inputs'!BN23,2)</f>
        <v>0.0</v>
      </c>
      <c r="Z47" s="7">
        <f>ROUND('Plant Inputs'!BN24,2)</f>
        <v>0.0</v>
      </c>
      <c r="AA47" s="7">
        <f>ROUND('Plant Inputs'!BN25,2)</f>
        <v>0.0</v>
      </c>
      <c r="AB47" s="7">
        <f>ROUND('Plant Inputs'!BN26,2)</f>
        <v>0.0</v>
      </c>
      <c r="AC47" s="7">
        <f>ROUND('Plant Inputs'!BN27,2)</f>
        <v>0.0</v>
      </c>
      <c r="AD47" s="7">
        <f>ROUND('Plant Inputs'!BN28,2)</f>
        <v>1.0</v>
      </c>
      <c r="AE47" s="7">
        <f>ROUND('Plant Inputs'!BN29,2)</f>
        <v>0.0</v>
      </c>
      <c r="AF47" s="7">
        <f>ROUND('Plant Inputs'!BN30,2)</f>
        <v>1.0</v>
      </c>
      <c r="AG47" s="7">
        <f>ROUND('Plant Inputs'!BN31,2)</f>
        <v>0.0</v>
      </c>
      <c r="AH47" s="7">
        <f>ROUND('Plant Inputs'!BN32,2)</f>
        <v>0.0</v>
      </c>
      <c r="AI47" s="7">
        <f>ROUND('Plant Inputs'!BN33,2)</f>
        <v>0.0</v>
      </c>
      <c r="AJ47" s="7">
        <f>ROUND('Plant Inputs'!BN34,2)</f>
        <v>0.0</v>
      </c>
      <c r="AK47" s="7">
        <f>ROUND('Plant Inputs'!BN35,2)</f>
        <v>0.0</v>
      </c>
      <c r="AL47" s="7">
        <f>ROUND('Plant Inputs'!BN36,2)</f>
        <v>0.0</v>
      </c>
      <c r="AM47" s="7">
        <f>ROUND('Plant Inputs'!BN37,2)</f>
        <v>1.0</v>
      </c>
      <c r="AN47" s="7">
        <f>ROUND('Plant Inputs'!BN38,2)</f>
        <v>1.0</v>
      </c>
      <c r="AO47" s="7">
        <f>ROUND('Plant Inputs'!BN39,2)</f>
        <v>0.0</v>
      </c>
    </row>
    <row r="48" spans="1:41">
      <c r="A48" s="6" t="s">
        <v>735</v>
      </c>
      <c r="B48" s="6" t="s">
        <v>736</v>
      </c>
      <c r="C48" s="6" t="s">
        <v>512</v>
      </c>
      <c r="D48" s="6" t="s">
        <v>577</v>
      </c>
      <c r="E48" s="6" t="s">
        <v>737</v>
      </c>
      <c r="F48" s="7">
        <f>ROUND('Plant Inputs'!BO4,2)</f>
        <v>1.0</v>
      </c>
      <c r="G48" s="7">
        <f>ROUND('Plant Inputs'!BO5,2)</f>
        <v>0.0</v>
      </c>
      <c r="H48" s="7">
        <f>ROUND('Plant Inputs'!BO6,2)</f>
        <v>1.0</v>
      </c>
      <c r="I48" s="7">
        <f>ROUND('Plant Inputs'!BO7,2)</f>
        <v>0.0</v>
      </c>
      <c r="J48" s="7">
        <f>ROUND('Plant Inputs'!BO8,2)</f>
        <v>1.0</v>
      </c>
      <c r="K48" s="7">
        <f>ROUND('Plant Inputs'!BO9,2)</f>
        <v>0.0</v>
      </c>
      <c r="L48" s="7">
        <f>ROUND('Plant Inputs'!BO10,2)</f>
        <v>1.0</v>
      </c>
      <c r="M48" s="7">
        <f>ROUND('Plant Inputs'!BO11,2)</f>
        <v>0.0</v>
      </c>
      <c r="N48" s="7">
        <f>ROUND('Plant Inputs'!BO12,2)</f>
        <v>1.0</v>
      </c>
      <c r="O48" s="7">
        <f>ROUND('Plant Inputs'!BO13,2)</f>
        <v>1.0</v>
      </c>
      <c r="P48" s="7">
        <f>ROUND('Plant Inputs'!BO14,2)</f>
        <v>0.0</v>
      </c>
      <c r="Q48" s="7">
        <f>ROUND('Plant Inputs'!BO15,2)</f>
        <v>1.0</v>
      </c>
      <c r="R48" s="7">
        <f>ROUND('Plant Inputs'!BO16,2)</f>
        <v>1.0</v>
      </c>
      <c r="S48" s="7">
        <f>ROUND('Plant Inputs'!BO17,2)</f>
        <v>1.0</v>
      </c>
      <c r="T48" s="7">
        <f>ROUND('Plant Inputs'!BO18,2)</f>
        <v>0.0</v>
      </c>
      <c r="U48" s="7">
        <f>ROUND('Plant Inputs'!BO19,2)</f>
        <v>0.0</v>
      </c>
      <c r="V48" s="7">
        <f>ROUND('Plant Inputs'!BO20,2)</f>
        <v>1.0</v>
      </c>
      <c r="W48" s="7">
        <f>ROUND('Plant Inputs'!BO21,2)</f>
        <v>0.0</v>
      </c>
      <c r="X48" s="7">
        <f>ROUND('Plant Inputs'!BO22,2)</f>
        <v>0.0</v>
      </c>
      <c r="Y48" s="7">
        <f>ROUND('Plant Inputs'!BO23,2)</f>
        <v>0.0</v>
      </c>
      <c r="Z48" s="7">
        <f>ROUND('Plant Inputs'!BO24,2)</f>
        <v>1.0</v>
      </c>
      <c r="AA48" s="7">
        <f>ROUND('Plant Inputs'!BO25,2)</f>
        <v>1.0</v>
      </c>
      <c r="AB48" s="7">
        <f>ROUND('Plant Inputs'!BO26,2)</f>
        <v>1.0</v>
      </c>
      <c r="AC48" s="7">
        <f>ROUND('Plant Inputs'!BO27,2)</f>
        <v>0.0</v>
      </c>
      <c r="AD48" s="7">
        <f>ROUND('Plant Inputs'!BO28,2)</f>
        <v>1.0</v>
      </c>
      <c r="AE48" s="7">
        <f>ROUND('Plant Inputs'!BO29,2)</f>
        <v>1.0</v>
      </c>
      <c r="AF48" s="7">
        <f>ROUND('Plant Inputs'!BO30,2)</f>
        <v>1.0</v>
      </c>
      <c r="AG48" s="7">
        <f>ROUND('Plant Inputs'!BO31,2)</f>
        <v>1.0</v>
      </c>
      <c r="AH48" s="7">
        <f>ROUND('Plant Inputs'!BO32,2)</f>
        <v>1.0</v>
      </c>
      <c r="AI48" s="7">
        <f>ROUND('Plant Inputs'!BO33,2)</f>
        <v>1.0</v>
      </c>
      <c r="AJ48" s="7">
        <f>ROUND('Plant Inputs'!BO34,2)</f>
        <v>0.0</v>
      </c>
      <c r="AK48" s="7">
        <f>ROUND('Plant Inputs'!BO35,2)</f>
        <v>0.0</v>
      </c>
      <c r="AL48" s="7">
        <f>ROUND('Plant Inputs'!BO36,2)</f>
        <v>0.0</v>
      </c>
      <c r="AM48" s="7">
        <f>ROUND('Plant Inputs'!BO37,2)</f>
        <v>1.0</v>
      </c>
      <c r="AN48" s="7">
        <f>ROUND('Plant Inputs'!BO38,2)</f>
        <v>0.0</v>
      </c>
      <c r="AO48" s="7">
        <f>ROUND('Plant Inputs'!BO39,2)</f>
        <v>0.0</v>
      </c>
    </row>
    <row r="49" spans="1:41">
      <c r="A49" s="6" t="s">
        <v>738</v>
      </c>
      <c r="B49" s="6" t="s">
        <v>739</v>
      </c>
      <c r="C49" s="6" t="s">
        <v>512</v>
      </c>
      <c r="D49" s="6" t="s">
        <v>577</v>
      </c>
      <c r="E49" s="6" t="s">
        <v>740</v>
      </c>
      <c r="F49" s="7">
        <f>ROUND('Plant Inputs'!BP4,2)</f>
        <v>0.0</v>
      </c>
      <c r="G49" s="7">
        <f>ROUND('Plant Inputs'!BP5,2)</f>
        <v>0.0</v>
      </c>
      <c r="H49" s="7">
        <f>ROUND('Plant Inputs'!BP6,2)</f>
        <v>0.0</v>
      </c>
      <c r="I49" s="7">
        <f>ROUND('Plant Inputs'!BP7,2)</f>
        <v>0.0</v>
      </c>
      <c r="J49" s="7">
        <f>ROUND('Plant Inputs'!BP8,2)</f>
        <v>0.0</v>
      </c>
      <c r="K49" s="7">
        <f>ROUND('Plant Inputs'!BP9,2)</f>
        <v>0.0</v>
      </c>
      <c r="L49" s="7">
        <f>ROUND('Plant Inputs'!BP10,2)</f>
        <v>0.0</v>
      </c>
      <c r="M49" s="7">
        <f>ROUND('Plant Inputs'!BP11,2)</f>
        <v>0.0</v>
      </c>
      <c r="N49" s="7">
        <f>ROUND('Plant Inputs'!BP12,2)</f>
        <v>0.0</v>
      </c>
      <c r="O49" s="7">
        <f>ROUND('Plant Inputs'!BP13,2)</f>
        <v>0.0</v>
      </c>
      <c r="P49" s="7">
        <f>ROUND('Plant Inputs'!BP14,2)</f>
        <v>0.0</v>
      </c>
      <c r="Q49" s="7">
        <f>ROUND('Plant Inputs'!BP15,2)</f>
        <v>0.0</v>
      </c>
      <c r="R49" s="7">
        <f>ROUND('Plant Inputs'!BP16,2)</f>
        <v>0.0</v>
      </c>
      <c r="S49" s="7">
        <f>ROUND('Plant Inputs'!BP17,2)</f>
        <v>0.0</v>
      </c>
      <c r="T49" s="7">
        <f>ROUND('Plant Inputs'!BP18,2)</f>
        <v>0.0</v>
      </c>
      <c r="U49" s="7">
        <f>ROUND('Plant Inputs'!BP19,2)</f>
        <v>0.0</v>
      </c>
      <c r="V49" s="7">
        <f>ROUND('Plant Inputs'!BP20,2)</f>
        <v>0.0</v>
      </c>
      <c r="W49" s="7">
        <f>ROUND('Plant Inputs'!BP21,2)</f>
        <v>0.0</v>
      </c>
      <c r="X49" s="7">
        <f>ROUND('Plant Inputs'!BP22,2)</f>
        <v>0.0</v>
      </c>
      <c r="Y49" s="7">
        <f>ROUND('Plant Inputs'!BP23,2)</f>
        <v>0.0</v>
      </c>
      <c r="Z49" s="7">
        <f>ROUND('Plant Inputs'!BP24,2)</f>
        <v>0.0</v>
      </c>
      <c r="AA49" s="7">
        <f>ROUND('Plant Inputs'!BP25,2)</f>
        <v>0.0</v>
      </c>
      <c r="AB49" s="7">
        <f>ROUND('Plant Inputs'!BP26,2)</f>
        <v>0.0</v>
      </c>
      <c r="AC49" s="7">
        <f>ROUND('Plant Inputs'!BP27,2)</f>
        <v>0.0</v>
      </c>
      <c r="AD49" s="7">
        <f>ROUND('Plant Inputs'!BP28,2)</f>
        <v>0.0</v>
      </c>
      <c r="AE49" s="7">
        <f>ROUND('Plant Inputs'!BP29,2)</f>
        <v>0.0</v>
      </c>
      <c r="AF49" s="7">
        <f>ROUND('Plant Inputs'!BP30,2)</f>
        <v>0.0</v>
      </c>
      <c r="AG49" s="7">
        <f>ROUND('Plant Inputs'!BP31,2)</f>
        <v>0.0</v>
      </c>
      <c r="AH49" s="7">
        <f>ROUND('Plant Inputs'!BP32,2)</f>
        <v>0.0</v>
      </c>
      <c r="AI49" s="7">
        <f>ROUND('Plant Inputs'!BP33,2)</f>
        <v>0.0</v>
      </c>
      <c r="AJ49" s="7">
        <f>ROUND('Plant Inputs'!BP34,2)</f>
        <v>0.0</v>
      </c>
      <c r="AK49" s="7">
        <f>ROUND('Plant Inputs'!BP35,2)</f>
        <v>0.0</v>
      </c>
      <c r="AL49" s="7">
        <f>ROUND('Plant Inputs'!BP36,2)</f>
        <v>0.0</v>
      </c>
      <c r="AM49" s="7">
        <f>ROUND('Plant Inputs'!BP37,2)</f>
        <v>0.0</v>
      </c>
      <c r="AN49" s="7">
        <f>ROUND('Plant Inputs'!BP38,2)</f>
        <v>0.0</v>
      </c>
      <c r="AO49" s="7">
        <f>ROUND('Plant Inputs'!BP39,2)</f>
        <v>0.0</v>
      </c>
    </row>
    <row r="50" spans="1:41">
      <c r="A50" s="6" t="s">
        <v>741</v>
      </c>
      <c r="B50" s="6" t="s">
        <v>742</v>
      </c>
      <c r="C50" s="6" t="s">
        <v>512</v>
      </c>
      <c r="D50" s="6" t="s">
        <v>577</v>
      </c>
      <c r="E50" s="6" t="s">
        <v>742</v>
      </c>
      <c r="F50" s="7">
        <f>ROUND('Plant Inputs'!BQ4,2)</f>
        <v>0.0</v>
      </c>
      <c r="G50" s="7">
        <f>ROUND('Plant Inputs'!BQ5,2)</f>
        <v>0.0</v>
      </c>
      <c r="H50" s="7">
        <f>ROUND('Plant Inputs'!BQ6,2)</f>
        <v>0.0</v>
      </c>
      <c r="I50" s="7">
        <f>ROUND('Plant Inputs'!BQ7,2)</f>
        <v>1.0</v>
      </c>
      <c r="J50" s="7">
        <f>ROUND('Plant Inputs'!BQ8,2)</f>
        <v>0.0</v>
      </c>
      <c r="K50" s="7">
        <f>ROUND('Plant Inputs'!BQ9,2)</f>
        <v>0.0</v>
      </c>
      <c r="L50" s="7">
        <f>ROUND('Plant Inputs'!BQ10,2)</f>
        <v>0.0</v>
      </c>
      <c r="M50" s="7">
        <f>ROUND('Plant Inputs'!BQ11,2)</f>
        <v>0.0</v>
      </c>
      <c r="N50" s="7">
        <f>ROUND('Plant Inputs'!BQ12,2)</f>
        <v>0.0</v>
      </c>
      <c r="O50" s="7">
        <f>ROUND('Plant Inputs'!BQ13,2)</f>
        <v>0.0</v>
      </c>
      <c r="P50" s="7">
        <f>ROUND('Plant Inputs'!BQ14,2)</f>
        <v>0.0</v>
      </c>
      <c r="Q50" s="7">
        <f>ROUND('Plant Inputs'!BQ15,2)</f>
        <v>0.0</v>
      </c>
      <c r="R50" s="7">
        <f>ROUND('Plant Inputs'!BQ16,2)</f>
        <v>0.0</v>
      </c>
      <c r="S50" s="7">
        <f>ROUND('Plant Inputs'!BQ17,2)</f>
        <v>0.0</v>
      </c>
      <c r="T50" s="7">
        <f>ROUND('Plant Inputs'!BQ18,2)</f>
        <v>0.0</v>
      </c>
      <c r="U50" s="7">
        <f>ROUND('Plant Inputs'!BQ19,2)</f>
        <v>0.0</v>
      </c>
      <c r="V50" s="7">
        <f>ROUND('Plant Inputs'!BQ20,2)</f>
        <v>0.0</v>
      </c>
      <c r="W50" s="7">
        <f>ROUND('Plant Inputs'!BQ21,2)</f>
        <v>0.0</v>
      </c>
      <c r="X50" s="7">
        <f>ROUND('Plant Inputs'!BQ22,2)</f>
        <v>0.0</v>
      </c>
      <c r="Y50" s="7">
        <f>ROUND('Plant Inputs'!BQ23,2)</f>
        <v>1.0</v>
      </c>
      <c r="Z50" s="7">
        <f>ROUND('Plant Inputs'!BQ24,2)</f>
        <v>0.0</v>
      </c>
      <c r="AA50" s="7">
        <f>ROUND('Plant Inputs'!BQ25,2)</f>
        <v>0.0</v>
      </c>
      <c r="AB50" s="7">
        <f>ROUND('Plant Inputs'!BQ26,2)</f>
        <v>0.0</v>
      </c>
      <c r="AC50" s="7">
        <f>ROUND('Plant Inputs'!BQ27,2)</f>
        <v>0.0</v>
      </c>
      <c r="AD50" s="7">
        <f>ROUND('Plant Inputs'!BQ28,2)</f>
        <v>0.0</v>
      </c>
      <c r="AE50" s="7">
        <f>ROUND('Plant Inputs'!BQ29,2)</f>
        <v>0.0</v>
      </c>
      <c r="AF50" s="7">
        <f>ROUND('Plant Inputs'!BQ30,2)</f>
        <v>0.0</v>
      </c>
      <c r="AG50" s="7">
        <f>ROUND('Plant Inputs'!BQ31,2)</f>
        <v>0.0</v>
      </c>
      <c r="AH50" s="7">
        <f>ROUND('Plant Inputs'!BQ32,2)</f>
        <v>1.0</v>
      </c>
      <c r="AI50" s="7">
        <f>ROUND('Plant Inputs'!BQ33,2)</f>
        <v>0.0</v>
      </c>
      <c r="AJ50" s="7">
        <f>ROUND('Plant Inputs'!BQ34,2)</f>
        <v>0.0</v>
      </c>
      <c r="AK50" s="7">
        <f>ROUND('Plant Inputs'!BQ35,2)</f>
        <v>0.0</v>
      </c>
      <c r="AL50" s="7">
        <f>ROUND('Plant Inputs'!BQ36,2)</f>
        <v>0.0</v>
      </c>
      <c r="AM50" s="7">
        <f>ROUND('Plant Inputs'!BQ37,2)</f>
        <v>0.0</v>
      </c>
      <c r="AN50" s="7">
        <f>ROUND('Plant Inputs'!BQ38,2)</f>
        <v>0.0</v>
      </c>
      <c r="AO50" s="7">
        <f>ROUND('Plant Inputs'!BQ39,2)</f>
        <v>0.0</v>
      </c>
    </row>
    <row r="51" spans="1:41">
      <c r="A51" s="6" t="s">
        <v>743</v>
      </c>
      <c r="B51" s="6" t="s">
        <v>744</v>
      </c>
      <c r="C51" s="6" t="s">
        <v>512</v>
      </c>
      <c r="D51" s="6" t="s">
        <v>577</v>
      </c>
      <c r="E51" s="6" t="s">
        <v>744</v>
      </c>
      <c r="F51" s="7">
        <f>ROUND('Plant Inputs'!BR4,2)</f>
        <v>0.0</v>
      </c>
      <c r="G51" s="7">
        <f>ROUND('Plant Inputs'!BR5,2)</f>
        <v>0.0</v>
      </c>
      <c r="H51" s="7">
        <f>ROUND('Plant Inputs'!BR6,2)</f>
        <v>0.0</v>
      </c>
      <c r="I51" s="7">
        <f>ROUND('Plant Inputs'!BR7,2)</f>
        <v>0.0</v>
      </c>
      <c r="J51" s="7">
        <f>ROUND('Plant Inputs'!BR8,2)</f>
        <v>0.0</v>
      </c>
      <c r="K51" s="7">
        <f>ROUND('Plant Inputs'!BR9,2)</f>
        <v>0.0</v>
      </c>
      <c r="L51" s="7">
        <f>ROUND('Plant Inputs'!BR10,2)</f>
        <v>0.0</v>
      </c>
      <c r="M51" s="7">
        <f>ROUND('Plant Inputs'!BR11,2)</f>
        <v>0.0</v>
      </c>
      <c r="N51" s="7">
        <f>ROUND('Plant Inputs'!BR12,2)</f>
        <v>0.0</v>
      </c>
      <c r="O51" s="7">
        <f>ROUND('Plant Inputs'!BR13,2)</f>
        <v>0.0</v>
      </c>
      <c r="P51" s="7">
        <f>ROUND('Plant Inputs'!BR14,2)</f>
        <v>0.0</v>
      </c>
      <c r="Q51" s="7">
        <f>ROUND('Plant Inputs'!BR15,2)</f>
        <v>0.0</v>
      </c>
      <c r="R51" s="7">
        <f>ROUND('Plant Inputs'!BR16,2)</f>
        <v>0.0</v>
      </c>
      <c r="S51" s="7">
        <f>ROUND('Plant Inputs'!BR17,2)</f>
        <v>0.0</v>
      </c>
      <c r="T51" s="7">
        <f>ROUND('Plant Inputs'!BR18,2)</f>
        <v>0.0</v>
      </c>
      <c r="U51" s="7">
        <f>ROUND('Plant Inputs'!BR19,2)</f>
        <v>0.0</v>
      </c>
      <c r="V51" s="7">
        <f>ROUND('Plant Inputs'!BR20,2)</f>
        <v>0.0</v>
      </c>
      <c r="W51" s="7">
        <f>ROUND('Plant Inputs'!BR21,2)</f>
        <v>0.0</v>
      </c>
      <c r="X51" s="7">
        <f>ROUND('Plant Inputs'!BR22,2)</f>
        <v>0.0</v>
      </c>
      <c r="Y51" s="7">
        <f>ROUND('Plant Inputs'!BR23,2)</f>
        <v>0.0</v>
      </c>
      <c r="Z51" s="7">
        <f>ROUND('Plant Inputs'!BR24,2)</f>
        <v>0.0</v>
      </c>
      <c r="AA51" s="7">
        <f>ROUND('Plant Inputs'!BR25,2)</f>
        <v>0.0</v>
      </c>
      <c r="AB51" s="7">
        <f>ROUND('Plant Inputs'!BR26,2)</f>
        <v>0.0</v>
      </c>
      <c r="AC51" s="7">
        <f>ROUND('Plant Inputs'!BR27,2)</f>
        <v>0.0</v>
      </c>
      <c r="AD51" s="7">
        <f>ROUND('Plant Inputs'!BR28,2)</f>
        <v>0.0</v>
      </c>
      <c r="AE51" s="7">
        <f>ROUND('Plant Inputs'!BR29,2)</f>
        <v>0.0</v>
      </c>
      <c r="AF51" s="7">
        <f>ROUND('Plant Inputs'!BR30,2)</f>
        <v>0.0</v>
      </c>
      <c r="AG51" s="7">
        <f>ROUND('Plant Inputs'!BR31,2)</f>
        <v>0.0</v>
      </c>
      <c r="AH51" s="7">
        <f>ROUND('Plant Inputs'!BR32,2)</f>
        <v>0.0</v>
      </c>
      <c r="AI51" s="7">
        <f>ROUND('Plant Inputs'!BR33,2)</f>
        <v>0.0</v>
      </c>
      <c r="AJ51" s="7">
        <f>ROUND('Plant Inputs'!BR34,2)</f>
        <v>0.0</v>
      </c>
      <c r="AK51" s="7">
        <f>ROUND('Plant Inputs'!BR35,2)</f>
        <v>0.0</v>
      </c>
      <c r="AL51" s="7">
        <f>ROUND('Plant Inputs'!BR36,2)</f>
        <v>0.0</v>
      </c>
      <c r="AM51" s="7">
        <f>ROUND('Plant Inputs'!BR37,2)</f>
        <v>0.0</v>
      </c>
      <c r="AN51" s="7">
        <f>ROUND('Plant Inputs'!BR38,2)</f>
        <v>0.0</v>
      </c>
      <c r="AO51" s="7">
        <f>ROUND('Plant Inputs'!BR39,2)</f>
        <v>0.0</v>
      </c>
    </row>
    <row r="52" spans="1:41">
      <c r="A52" s="6" t="s">
        <v>745</v>
      </c>
      <c r="B52" s="6" t="s">
        <v>746</v>
      </c>
      <c r="C52" s="6" t="s">
        <v>668</v>
      </c>
      <c r="D52" s="6" t="s">
        <v>577</v>
      </c>
      <c r="E52" s="6" t="s">
        <v>747</v>
      </c>
      <c r="F52" s="8" t="str">
        <f>IF('Plant Inputs'!BT4&gt;0,"Triggered","Not triggered")</f>
        <v>Not triggered</v>
      </c>
      <c r="G52" s="8" t="str">
        <f>IF('Plant Inputs'!BT5&gt;0,"Triggered","Not triggered")</f>
        <v>Not triggered</v>
      </c>
      <c r="H52" s="8" t="str">
        <f>IF('Plant Inputs'!BT6&gt;0,"Triggered","Not triggered")</f>
        <v>Not triggered</v>
      </c>
      <c r="I52" s="8" t="str">
        <f>IF('Plant Inputs'!BT7&gt;0,"Triggered","Not triggered")</f>
        <v>Not triggered</v>
      </c>
      <c r="J52" s="8" t="str">
        <f>IF('Plant Inputs'!BT8&gt;0,"Triggered","Not triggered")</f>
        <v>Not triggered</v>
      </c>
      <c r="K52" s="8" t="str">
        <f>IF('Plant Inputs'!BT9&gt;0,"Triggered","Not triggered")</f>
        <v>Not triggered</v>
      </c>
      <c r="L52" s="8" t="str">
        <f>IF('Plant Inputs'!BT10&gt;0,"Triggered","Not triggered")</f>
        <v>Not triggered</v>
      </c>
      <c r="M52" s="8" t="str">
        <f>IF('Plant Inputs'!BT11&gt;0,"Triggered","Not triggered")</f>
        <v>Not triggered</v>
      </c>
      <c r="N52" s="8" t="str">
        <f>IF('Plant Inputs'!BT12&gt;0,"Triggered","Not triggered")</f>
        <v>Not triggered</v>
      </c>
      <c r="O52" s="8" t="str">
        <f>IF('Plant Inputs'!BT13&gt;0,"Triggered","Not triggered")</f>
        <v>Not triggered</v>
      </c>
      <c r="P52" s="8" t="str">
        <f>IF('Plant Inputs'!BT14&gt;0,"Triggered","Not triggered")</f>
        <v>Not triggered</v>
      </c>
      <c r="Q52" s="8" t="str">
        <f>IF('Plant Inputs'!BT15&gt;0,"Triggered","Not triggered")</f>
        <v>Not triggered</v>
      </c>
      <c r="R52" s="8" t="str">
        <f>IF('Plant Inputs'!BT16&gt;0,"Triggered","Not triggered")</f>
        <v>Not triggered</v>
      </c>
      <c r="S52" s="8" t="str">
        <f>IF('Plant Inputs'!BT17&gt;0,"Triggered","Not triggered")</f>
        <v>Not triggered</v>
      </c>
      <c r="T52" s="8" t="str">
        <f>IF('Plant Inputs'!BT18&gt;0,"Triggered","Not triggered")</f>
        <v>Not triggered</v>
      </c>
      <c r="U52" s="8" t="str">
        <f>IF('Plant Inputs'!BT19&gt;0,"Triggered","Not triggered")</f>
        <v>Not triggered</v>
      </c>
      <c r="V52" s="8" t="str">
        <f>IF('Plant Inputs'!BT20&gt;0,"Triggered","Not triggered")</f>
        <v>Not triggered</v>
      </c>
      <c r="W52" s="8" t="str">
        <f>IF('Plant Inputs'!BT21&gt;0,"Triggered","Not triggered")</f>
        <v>Not triggered</v>
      </c>
      <c r="X52" s="8" t="str">
        <f>IF('Plant Inputs'!BT22&gt;0,"Triggered","Not triggered")</f>
        <v>Not triggered</v>
      </c>
      <c r="Y52" s="8" t="str">
        <f>IF('Plant Inputs'!BT23&gt;0,"Triggered","Not triggered")</f>
        <v>Not triggered</v>
      </c>
      <c r="Z52" s="8" t="str">
        <f>IF('Plant Inputs'!BT24&gt;0,"Triggered","Not triggered")</f>
        <v>Not triggered</v>
      </c>
      <c r="AA52" s="8" t="str">
        <f>IF('Plant Inputs'!BT25&gt;0,"Triggered","Not triggered")</f>
        <v>Not triggered</v>
      </c>
      <c r="AB52" s="8" t="str">
        <f>IF('Plant Inputs'!BT26&gt;0,"Triggered","Not triggered")</f>
        <v>Not triggered</v>
      </c>
      <c r="AC52" s="8" t="str">
        <f>IF('Plant Inputs'!BT27&gt;0,"Triggered","Not triggered")</f>
        <v>Not triggered</v>
      </c>
      <c r="AD52" s="8" t="str">
        <f>IF('Plant Inputs'!BT28&gt;0,"Triggered","Not triggered")</f>
        <v>Not triggered</v>
      </c>
      <c r="AE52" s="8" t="str">
        <f>IF('Plant Inputs'!BT29&gt;0,"Triggered","Not triggered")</f>
        <v>Not triggered</v>
      </c>
      <c r="AF52" s="8" t="str">
        <f>IF('Plant Inputs'!BT30&gt;0,"Triggered","Not triggered")</f>
        <v>Not triggered</v>
      </c>
      <c r="AG52" s="8" t="str">
        <f>IF('Plant Inputs'!BT31&gt;0,"Triggered","Not triggered")</f>
        <v>Not triggered</v>
      </c>
      <c r="AH52" s="8" t="str">
        <f>IF('Plant Inputs'!BT32&gt;0,"Triggered","Not triggered")</f>
        <v>Not triggered</v>
      </c>
      <c r="AI52" s="8" t="str">
        <f>IF('Plant Inputs'!BT33&gt;0,"Triggered","Not triggered")</f>
        <v>Not triggered</v>
      </c>
      <c r="AJ52" s="8" t="str">
        <f>IF('Plant Inputs'!BT34&gt;0,"Triggered","Not triggered")</f>
        <v>Not triggered</v>
      </c>
      <c r="AK52" s="8" t="str">
        <f>IF('Plant Inputs'!BT35&gt;0,"Triggered","Not triggered")</f>
        <v>Not triggered</v>
      </c>
      <c r="AL52" s="8" t="str">
        <f>IF('Plant Inputs'!BT36&gt;0,"Triggered","Not triggered")</f>
        <v>Not triggered</v>
      </c>
      <c r="AM52" s="8" t="str">
        <f>IF('Plant Inputs'!BT37&gt;0,"Triggered","Not triggered")</f>
        <v>Not triggered</v>
      </c>
      <c r="AN52" s="8" t="str">
        <f>IF('Plant Inputs'!BT38&gt;0,"Triggered","Not triggered")</f>
        <v>Not triggered</v>
      </c>
      <c r="AO52" s="8" t="str">
        <f>IF('Plant Inputs'!BT39&gt;0,"Triggered","Not triggered")</f>
        <v>Not triggered</v>
      </c>
    </row>
    <row r="53" spans="1:41">
      <c r="A53" s="6" t="s">
        <v>748</v>
      </c>
      <c r="B53" s="6" t="s">
        <v>749</v>
      </c>
      <c r="C53" s="6" t="s">
        <v>512</v>
      </c>
      <c r="D53" s="6" t="s">
        <v>561</v>
      </c>
      <c r="E53" s="6" t="s">
        <v>750</v>
      </c>
      <c r="F53" s="7">
        <f>ROUND(SUM('Plant Inputs'!BS$4:BS4),2)</f>
        <v>0.0</v>
      </c>
      <c r="G53" s="7">
        <f>ROUND(SUM('Plant Inputs'!BS$4:BS5),2)</f>
        <v>0.0</v>
      </c>
      <c r="H53" s="7">
        <f>ROUND(SUM('Plant Inputs'!BS$4:BS6),2)</f>
        <v>0.0</v>
      </c>
      <c r="I53" s="7">
        <f>ROUND(SUM('Plant Inputs'!BS$4:BS7),2)</f>
        <v>0.0</v>
      </c>
      <c r="J53" s="7">
        <f>ROUND(SUM('Plant Inputs'!BS$4:BS8),2)</f>
        <v>0.0</v>
      </c>
      <c r="K53" s="7">
        <f>ROUND(SUM('Plant Inputs'!BS$4:BS9),2)</f>
        <v>0.0</v>
      </c>
      <c r="L53" s="7">
        <f>ROUND(SUM('Plant Inputs'!BS$10:BS10),2)</f>
        <v>0.0</v>
      </c>
      <c r="M53" s="7">
        <f>ROUND(SUM('Plant Inputs'!BS$10:BS11),2)</f>
        <v>0.0</v>
      </c>
      <c r="N53" s="7">
        <f>ROUND(SUM('Plant Inputs'!BS$10:BS12),2)</f>
        <v>0.0</v>
      </c>
      <c r="O53" s="7">
        <f>ROUND(SUM('Plant Inputs'!BS$10:BS13),2)</f>
        <v>0.0</v>
      </c>
      <c r="P53" s="7">
        <f>ROUND(SUM('Plant Inputs'!BS$10:BS14),2)</f>
        <v>0.0</v>
      </c>
      <c r="Q53" s="7">
        <f>ROUND(SUM('Plant Inputs'!BS$10:BS15),2)</f>
        <v>0.0</v>
      </c>
      <c r="R53" s="7">
        <f>ROUND(SUM('Plant Inputs'!BS$16:BS16),2)</f>
        <v>0.0</v>
      </c>
      <c r="S53" s="7">
        <f>ROUND(SUM('Plant Inputs'!BS$16:BS17),2)</f>
        <v>0.0</v>
      </c>
      <c r="T53" s="7">
        <f>ROUND(SUM('Plant Inputs'!BS$16:BS18),2)</f>
        <v>0.0</v>
      </c>
      <c r="U53" s="7">
        <f>ROUND(SUM('Plant Inputs'!BS$16:BS19),2)</f>
        <v>0.0</v>
      </c>
      <c r="V53" s="7">
        <f>ROUND(SUM('Plant Inputs'!BS$16:BS20),2)</f>
        <v>0.0</v>
      </c>
      <c r="W53" s="7">
        <f>ROUND(SUM('Plant Inputs'!BS$16:BS21),2)</f>
        <v>0.0</v>
      </c>
      <c r="X53" s="7">
        <f>ROUND(SUM('Plant Inputs'!BS$22:BS22),2)</f>
        <v>0.0</v>
      </c>
      <c r="Y53" s="7">
        <f>ROUND(SUM('Plant Inputs'!BS$22:BS23),2)</f>
        <v>0.0</v>
      </c>
      <c r="Z53" s="7">
        <f>ROUND(SUM('Plant Inputs'!BS$22:BS24),2)</f>
        <v>0.0</v>
      </c>
      <c r="AA53" s="7">
        <f>ROUND(SUM('Plant Inputs'!BS$22:BS25),2)</f>
        <v>0.0</v>
      </c>
      <c r="AB53" s="7">
        <f>ROUND(SUM('Plant Inputs'!BS$22:BS26),2)</f>
        <v>0.0</v>
      </c>
      <c r="AC53" s="7">
        <f>ROUND(SUM('Plant Inputs'!BS$22:BS27),2)</f>
        <v>0.0</v>
      </c>
      <c r="AD53" s="7">
        <f>ROUND(SUM('Plant Inputs'!BS$28:BS28),2)</f>
        <v>0.0</v>
      </c>
      <c r="AE53" s="7">
        <f>ROUND(SUM('Plant Inputs'!BS$28:BS29),2)</f>
        <v>0.0</v>
      </c>
      <c r="AF53" s="7">
        <f>ROUND(SUM('Plant Inputs'!BS$28:BS30),2)</f>
        <v>0.0</v>
      </c>
      <c r="AG53" s="7">
        <f>ROUND(SUM('Plant Inputs'!BS$28:BS31),2)</f>
        <v>0.0</v>
      </c>
      <c r="AH53" s="7">
        <f>ROUND(SUM('Plant Inputs'!BS$28:BS32),2)</f>
        <v>0.0</v>
      </c>
      <c r="AI53" s="7">
        <f>ROUND(SUM('Plant Inputs'!BS$28:BS33),2)</f>
        <v>0.0</v>
      </c>
      <c r="AJ53" s="7">
        <f>ROUND(SUM('Plant Inputs'!BS$34:BS34),2)</f>
        <v>0.0</v>
      </c>
      <c r="AK53" s="7">
        <f>ROUND(SUM('Plant Inputs'!BS$34:BS35),2)</f>
        <v>0.0</v>
      </c>
      <c r="AL53" s="7">
        <f>ROUND(SUM('Plant Inputs'!BS$34:BS36),2)</f>
        <v>0.0</v>
      </c>
      <c r="AM53" s="7">
        <f>ROUND(SUM('Plant Inputs'!BS$34:BS37),2)</f>
        <v>0.0</v>
      </c>
      <c r="AN53" s="7">
        <f>ROUND(SUM('Plant Inputs'!BS$34:BS38),2)</f>
        <v>0.0</v>
      </c>
      <c r="AO53" s="7">
        <f>ROUND(SUM('Plant Inputs'!BS$34:BS39),2)</f>
        <v>0.0</v>
      </c>
    </row>
    <row r="54" spans="1:41">
      <c r="A54" s="6" t="s">
        <v>751</v>
      </c>
      <c r="B54" s="6" t="s">
        <v>752</v>
      </c>
      <c r="C54" s="6" t="s">
        <v>512</v>
      </c>
      <c r="D54" s="6" t="s">
        <v>561</v>
      </c>
      <c r="E54" s="6" t="s">
        <v>750</v>
      </c>
      <c r="F54" s="7">
        <f>ROUND(SUM('Plant Inputs'!BS$4:BS4),2)</f>
        <v>0.0</v>
      </c>
      <c r="G54" s="7">
        <f>ROUND(SUM('Plant Inputs'!BS$4:BS5),2)</f>
        <v>0.0</v>
      </c>
      <c r="H54" s="7">
        <f>ROUND(SUM('Plant Inputs'!BS$4:BS6),2)</f>
        <v>0.0</v>
      </c>
      <c r="I54" s="7">
        <f>ROUND(SUM('Plant Inputs'!BS$4:BS7),2)</f>
        <v>0.0</v>
      </c>
      <c r="J54" s="7">
        <f>ROUND(SUM('Plant Inputs'!BS$4:BS8),2)</f>
        <v>0.0</v>
      </c>
      <c r="K54" s="7">
        <f>ROUND(SUM('Plant Inputs'!BS$4:BS9),2)</f>
        <v>0.0</v>
      </c>
      <c r="L54" s="7">
        <f>ROUND(SUM('Plant Inputs'!BS$10:BS10),2)</f>
        <v>0.0</v>
      </c>
      <c r="M54" s="7">
        <f>ROUND(SUM('Plant Inputs'!BS$10:BS11),2)</f>
        <v>0.0</v>
      </c>
      <c r="N54" s="7">
        <f>ROUND(SUM('Plant Inputs'!BS$10:BS12),2)</f>
        <v>0.0</v>
      </c>
      <c r="O54" s="7">
        <f>ROUND(SUM('Plant Inputs'!BS$10:BS13),2)</f>
        <v>0.0</v>
      </c>
      <c r="P54" s="7">
        <f>ROUND(SUM('Plant Inputs'!BS$10:BS14),2)</f>
        <v>0.0</v>
      </c>
      <c r="Q54" s="7">
        <f>ROUND(SUM('Plant Inputs'!BS$10:BS15),2)</f>
        <v>0.0</v>
      </c>
      <c r="R54" s="7">
        <f>ROUND(SUM('Plant Inputs'!BS$16:BS16),2)</f>
        <v>0.0</v>
      </c>
      <c r="S54" s="7">
        <f>ROUND(SUM('Plant Inputs'!BS$16:BS17),2)</f>
        <v>0.0</v>
      </c>
      <c r="T54" s="7">
        <f>ROUND(SUM('Plant Inputs'!BS$16:BS18),2)</f>
        <v>0.0</v>
      </c>
      <c r="U54" s="7">
        <f>ROUND(SUM('Plant Inputs'!BS$16:BS19),2)</f>
        <v>0.0</v>
      </c>
      <c r="V54" s="7">
        <f>ROUND(SUM('Plant Inputs'!BS$16:BS20),2)</f>
        <v>0.0</v>
      </c>
      <c r="W54" s="7">
        <f>ROUND(SUM('Plant Inputs'!BS$16:BS21),2)</f>
        <v>0.0</v>
      </c>
      <c r="X54" s="7">
        <f>ROUND(SUM('Plant Inputs'!BS$22:BS22),2)</f>
        <v>0.0</v>
      </c>
      <c r="Y54" s="7">
        <f>ROUND(SUM('Plant Inputs'!BS$22:BS23),2)</f>
        <v>0.0</v>
      </c>
      <c r="Z54" s="7">
        <f>ROUND(SUM('Plant Inputs'!BS$22:BS24),2)</f>
        <v>0.0</v>
      </c>
      <c r="AA54" s="7">
        <f>ROUND(SUM('Plant Inputs'!BS$22:BS25),2)</f>
        <v>0.0</v>
      </c>
      <c r="AB54" s="7">
        <f>ROUND(SUM('Plant Inputs'!BS$22:BS26),2)</f>
        <v>0.0</v>
      </c>
      <c r="AC54" s="7">
        <f>ROUND(SUM('Plant Inputs'!BS$22:BS27),2)</f>
        <v>0.0</v>
      </c>
      <c r="AD54" s="7">
        <f>ROUND(SUM('Plant Inputs'!BS$28:BS28),2)</f>
        <v>0.0</v>
      </c>
      <c r="AE54" s="7">
        <f>ROUND(SUM('Plant Inputs'!BS$28:BS29),2)</f>
        <v>0.0</v>
      </c>
      <c r="AF54" s="7">
        <f>ROUND(SUM('Plant Inputs'!BS$28:BS30),2)</f>
        <v>0.0</v>
      </c>
      <c r="AG54" s="7">
        <f>ROUND(SUM('Plant Inputs'!BS$28:BS31),2)</f>
        <v>0.0</v>
      </c>
      <c r="AH54" s="7">
        <f>ROUND(SUM('Plant Inputs'!BS$28:BS32),2)</f>
        <v>0.0</v>
      </c>
      <c r="AI54" s="7">
        <f>ROUND(SUM('Plant Inputs'!BS$28:BS33),2)</f>
        <v>0.0</v>
      </c>
      <c r="AJ54" s="7">
        <f>ROUND(SUM('Plant Inputs'!BS$34:BS34),2)</f>
        <v>0.0</v>
      </c>
      <c r="AK54" s="7">
        <f>ROUND(SUM('Plant Inputs'!BS$34:BS35),2)</f>
        <v>0.0</v>
      </c>
      <c r="AL54" s="7">
        <f>ROUND(SUM('Plant Inputs'!BS$34:BS36),2)</f>
        <v>0.0</v>
      </c>
      <c r="AM54" s="7">
        <f>ROUND(SUM('Plant Inputs'!BS$34:BS37),2)</f>
        <v>0.0</v>
      </c>
      <c r="AN54" s="7">
        <f>ROUND(SUM('Plant Inputs'!BS$34:BS38),2)</f>
        <v>0.0</v>
      </c>
      <c r="AO54" s="7">
        <f>ROUND(SUM('Plant Inputs'!BS$34:BS39),2)</f>
        <v>0.0</v>
      </c>
    </row>
    <row r="55" spans="1:41">
      <c r="A55" s="6" t="s">
        <v>753</v>
      </c>
      <c r="B55" s="6" t="s">
        <v>752</v>
      </c>
      <c r="C55" s="6" t="s">
        <v>512</v>
      </c>
      <c r="D55" s="6" t="s">
        <v>561</v>
      </c>
      <c r="E55" s="6" t="s">
        <v>750</v>
      </c>
      <c r="F55" s="7">
        <f>ROUND(SUM('Plant Inputs'!BS$4:BS4),2)</f>
        <v>0.0</v>
      </c>
      <c r="G55" s="7">
        <f>ROUND(SUM('Plant Inputs'!BS$4:BS5),2)</f>
        <v>0.0</v>
      </c>
      <c r="H55" s="7">
        <f>ROUND(SUM('Plant Inputs'!BS$4:BS6),2)</f>
        <v>0.0</v>
      </c>
      <c r="I55" s="7">
        <f>ROUND(SUM('Plant Inputs'!BS$4:BS7),2)</f>
        <v>0.0</v>
      </c>
      <c r="J55" s="7">
        <f>ROUND(SUM('Plant Inputs'!BS$4:BS8),2)</f>
        <v>0.0</v>
      </c>
      <c r="K55" s="7">
        <f>ROUND(SUM('Plant Inputs'!BS$4:BS9),2)</f>
        <v>0.0</v>
      </c>
      <c r="L55" s="7">
        <f>ROUND(SUM('Plant Inputs'!BS$10:BS10),2)</f>
        <v>0.0</v>
      </c>
      <c r="M55" s="7">
        <f>ROUND(SUM('Plant Inputs'!BS$10:BS11),2)</f>
        <v>0.0</v>
      </c>
      <c r="N55" s="7">
        <f>ROUND(SUM('Plant Inputs'!BS$10:BS12),2)</f>
        <v>0.0</v>
      </c>
      <c r="O55" s="7">
        <f>ROUND(SUM('Plant Inputs'!BS$10:BS13),2)</f>
        <v>0.0</v>
      </c>
      <c r="P55" s="7">
        <f>ROUND(SUM('Plant Inputs'!BS$10:BS14),2)</f>
        <v>0.0</v>
      </c>
      <c r="Q55" s="7">
        <f>ROUND(SUM('Plant Inputs'!BS$10:BS15),2)</f>
        <v>0.0</v>
      </c>
      <c r="R55" s="7">
        <f>ROUND(SUM('Plant Inputs'!BS$16:BS16),2)</f>
        <v>0.0</v>
      </c>
      <c r="S55" s="7">
        <f>ROUND(SUM('Plant Inputs'!BS$16:BS17),2)</f>
        <v>0.0</v>
      </c>
      <c r="T55" s="7">
        <f>ROUND(SUM('Plant Inputs'!BS$16:BS18),2)</f>
        <v>0.0</v>
      </c>
      <c r="U55" s="7">
        <f>ROUND(SUM('Plant Inputs'!BS$16:BS19),2)</f>
        <v>0.0</v>
      </c>
      <c r="V55" s="7">
        <f>ROUND(SUM('Plant Inputs'!BS$16:BS20),2)</f>
        <v>0.0</v>
      </c>
      <c r="W55" s="7">
        <f>ROUND(SUM('Plant Inputs'!BS$16:BS21),2)</f>
        <v>0.0</v>
      </c>
      <c r="X55" s="7">
        <f>ROUND(SUM('Plant Inputs'!BS$22:BS22),2)</f>
        <v>0.0</v>
      </c>
      <c r="Y55" s="7">
        <f>ROUND(SUM('Plant Inputs'!BS$22:BS23),2)</f>
        <v>0.0</v>
      </c>
      <c r="Z55" s="7">
        <f>ROUND(SUM('Plant Inputs'!BS$22:BS24),2)</f>
        <v>0.0</v>
      </c>
      <c r="AA55" s="7">
        <f>ROUND(SUM('Plant Inputs'!BS$22:BS25),2)</f>
        <v>0.0</v>
      </c>
      <c r="AB55" s="7">
        <f>ROUND(SUM('Plant Inputs'!BS$22:BS26),2)</f>
        <v>0.0</v>
      </c>
      <c r="AC55" s="7">
        <f>ROUND(SUM('Plant Inputs'!BS$22:BS27),2)</f>
        <v>0.0</v>
      </c>
      <c r="AD55" s="7">
        <f>ROUND(SUM('Plant Inputs'!BS$28:BS28),2)</f>
        <v>0.0</v>
      </c>
      <c r="AE55" s="7">
        <f>ROUND(SUM('Plant Inputs'!BS$28:BS29),2)</f>
        <v>0.0</v>
      </c>
      <c r="AF55" s="7">
        <f>ROUND(SUM('Plant Inputs'!BS$28:BS30),2)</f>
        <v>0.0</v>
      </c>
      <c r="AG55" s="7">
        <f>ROUND(SUM('Plant Inputs'!BS$28:BS31),2)</f>
        <v>0.0</v>
      </c>
      <c r="AH55" s="7">
        <f>ROUND(SUM('Plant Inputs'!BS$28:BS32),2)</f>
        <v>0.0</v>
      </c>
      <c r="AI55" s="7">
        <f>ROUND(SUM('Plant Inputs'!BS$28:BS33),2)</f>
        <v>0.0</v>
      </c>
      <c r="AJ55" s="7">
        <f>ROUND(SUM('Plant Inputs'!BS$34:BS34),2)</f>
        <v>0.0</v>
      </c>
      <c r="AK55" s="7">
        <f>ROUND(SUM('Plant Inputs'!BS$34:BS35),2)</f>
        <v>0.0</v>
      </c>
      <c r="AL55" s="7">
        <f>ROUND(SUM('Plant Inputs'!BS$34:BS36),2)</f>
        <v>0.0</v>
      </c>
      <c r="AM55" s="7">
        <f>ROUND(SUM('Plant Inputs'!BS$34:BS37),2)</f>
        <v>0.0</v>
      </c>
      <c r="AN55" s="7">
        <f>ROUND(SUM('Plant Inputs'!BS$34:BS38),2)</f>
        <v>0.0</v>
      </c>
      <c r="AO55" s="7">
        <f>ROUND(SUM('Plant Inputs'!BS$34:BS39),2)</f>
        <v>0.0</v>
      </c>
    </row>
    <row r="56" spans="1:41">
      <c r="A56" s="6" t="s">
        <v>754</v>
      </c>
      <c r="B56" s="6" t="s">
        <v>755</v>
      </c>
      <c r="C56" s="6" t="s">
        <v>512</v>
      </c>
      <c r="D56" s="6" t="s">
        <v>577</v>
      </c>
      <c r="E56" s="6" t="s">
        <v>755</v>
      </c>
      <c r="F56" s="7">
        <f>ROUND('Plant Inputs'!BU4,2)</f>
        <v>0.0</v>
      </c>
      <c r="G56" s="7">
        <f>ROUND('Plant Inputs'!BU5,2)</f>
        <v>0.0</v>
      </c>
      <c r="H56" s="7">
        <f>ROUND('Plant Inputs'!BU6,2)</f>
        <v>0.0</v>
      </c>
      <c r="I56" s="7">
        <f>ROUND('Plant Inputs'!BU7,2)</f>
        <v>0.0</v>
      </c>
      <c r="J56" s="7">
        <f>ROUND('Plant Inputs'!BU8,2)</f>
        <v>0.0</v>
      </c>
      <c r="K56" s="7">
        <f>ROUND('Plant Inputs'!BU9,2)</f>
        <v>0.0</v>
      </c>
      <c r="L56" s="7">
        <f>ROUND('Plant Inputs'!BU10,2)</f>
        <v>0.0</v>
      </c>
      <c r="M56" s="7">
        <f>ROUND('Plant Inputs'!BU11,2)</f>
        <v>0.0</v>
      </c>
      <c r="N56" s="7">
        <f>ROUND('Plant Inputs'!BU12,2)</f>
        <v>0.0</v>
      </c>
      <c r="O56" s="7">
        <f>ROUND('Plant Inputs'!BU13,2)</f>
        <v>0.0</v>
      </c>
      <c r="P56" s="7">
        <f>ROUND('Plant Inputs'!BU14,2)</f>
        <v>0.0</v>
      </c>
      <c r="Q56" s="7">
        <f>ROUND('Plant Inputs'!BU15,2)</f>
        <v>0.0</v>
      </c>
      <c r="R56" s="7">
        <f>ROUND('Plant Inputs'!BU16,2)</f>
        <v>0.0</v>
      </c>
      <c r="S56" s="7">
        <f>ROUND('Plant Inputs'!BU17,2)</f>
        <v>0.0</v>
      </c>
      <c r="T56" s="7">
        <f>ROUND('Plant Inputs'!BU18,2)</f>
        <v>0.0</v>
      </c>
      <c r="U56" s="7">
        <f>ROUND('Plant Inputs'!BU19,2)</f>
        <v>0.0</v>
      </c>
      <c r="V56" s="7">
        <f>ROUND('Plant Inputs'!BU20,2)</f>
        <v>0.0</v>
      </c>
      <c r="W56" s="7">
        <f>ROUND('Plant Inputs'!BU21,2)</f>
        <v>0.0</v>
      </c>
      <c r="X56" s="7">
        <f>ROUND('Plant Inputs'!BU22,2)</f>
        <v>0.0</v>
      </c>
      <c r="Y56" s="7">
        <f>ROUND('Plant Inputs'!BU23,2)</f>
        <v>0.0</v>
      </c>
      <c r="Z56" s="7">
        <f>ROUND('Plant Inputs'!BU24,2)</f>
        <v>0.0</v>
      </c>
      <c r="AA56" s="7">
        <f>ROUND('Plant Inputs'!BU25,2)</f>
        <v>0.0</v>
      </c>
      <c r="AB56" s="7">
        <f>ROUND('Plant Inputs'!BU26,2)</f>
        <v>0.0</v>
      </c>
      <c r="AC56" s="7">
        <f>ROUND('Plant Inputs'!BU27,2)</f>
        <v>0.0</v>
      </c>
      <c r="AD56" s="7">
        <f>ROUND('Plant Inputs'!BU28,2)</f>
        <v>0.0</v>
      </c>
      <c r="AE56" s="7">
        <f>ROUND('Plant Inputs'!BU29,2)</f>
        <v>0.0</v>
      </c>
      <c r="AF56" s="7">
        <f>ROUND('Plant Inputs'!BU30,2)</f>
        <v>0.0</v>
      </c>
      <c r="AG56" s="7">
        <f>ROUND('Plant Inputs'!BU31,2)</f>
        <v>0.0</v>
      </c>
      <c r="AH56" s="7">
        <f>ROUND('Plant Inputs'!BU32,2)</f>
        <v>0.0</v>
      </c>
      <c r="AI56" s="7">
        <f>ROUND('Plant Inputs'!BU33,2)</f>
        <v>0.0</v>
      </c>
      <c r="AJ56" s="7">
        <f>ROUND('Plant Inputs'!BU34,2)</f>
        <v>0.0</v>
      </c>
      <c r="AK56" s="7">
        <f>ROUND('Plant Inputs'!BU35,2)</f>
        <v>0.0</v>
      </c>
      <c r="AL56" s="7">
        <f>ROUND('Plant Inputs'!BU36,2)</f>
        <v>0.0</v>
      </c>
      <c r="AM56" s="7">
        <f>ROUND('Plant Inputs'!BU37,2)</f>
        <v>0.0</v>
      </c>
      <c r="AN56" s="7">
        <f>ROUND('Plant Inputs'!BU38,2)</f>
        <v>0.0</v>
      </c>
      <c r="AO56" s="7">
        <f>ROUND('Plant Inputs'!BU39,2)</f>
        <v>0.0</v>
      </c>
    </row>
    <row r="57" spans="1:41">
      <c r="A57" s="6" t="s">
        <v>756</v>
      </c>
      <c r="B57" s="6" t="s">
        <v>757</v>
      </c>
      <c r="C57" s="6" t="s">
        <v>455</v>
      </c>
      <c r="D57" s="6" t="s">
        <v>561</v>
      </c>
      <c r="E57" s="6" t="s">
        <v>758</v>
      </c>
      <c r="F57" s="7">
        <f>ROUND(IF(SUM('Plant Inputs'!AP$4:AP4)=0,100,100*SUM('Plant Inputs'!AQ$4:AQ4)/SUM('Plant Inputs'!AP$4:AP4)),2)</f>
        <v>100.0</v>
      </c>
      <c r="G57" s="7">
        <f>ROUND(IF(SUM('Plant Inputs'!AP$4:AP5)=0,100,100*SUM('Plant Inputs'!AQ$4:AQ5)/SUM('Plant Inputs'!AP$4:AP5)),2)</f>
        <v>100.0</v>
      </c>
      <c r="H57" s="7">
        <f>ROUND(IF(SUM('Plant Inputs'!AP$4:AP6)=0,100,100*SUM('Plant Inputs'!AQ$4:AQ6)/SUM('Plant Inputs'!AP$4:AP6)),2)</f>
        <v>100.0</v>
      </c>
      <c r="I57" s="7">
        <f>ROUND(IF(SUM('Plant Inputs'!AP$4:AP7)=0,100,100*SUM('Plant Inputs'!AQ$4:AQ7)/SUM('Plant Inputs'!AP$4:AP7)),2)</f>
        <v>100.0</v>
      </c>
      <c r="J57" s="7">
        <f>ROUND(IF(SUM('Plant Inputs'!AP$4:AP8)=0,100,100*SUM('Plant Inputs'!AQ$4:AQ8)/SUM('Plant Inputs'!AP$4:AP8)),2)</f>
        <v>100.0</v>
      </c>
      <c r="K57" s="7">
        <f>ROUND(IF(SUM('Plant Inputs'!AP$4:AP9)=0,100,100*SUM('Plant Inputs'!AQ$4:AQ9)/SUM('Plant Inputs'!AP$4:AP9)),2)</f>
        <v>100.0</v>
      </c>
      <c r="L57" s="7">
        <f>ROUND(IF(SUM('Plant Inputs'!AP$10:AP10)=0,100,100*SUM('Plant Inputs'!AQ$10:AQ10)/SUM('Plant Inputs'!AP$10:AP10)),2)</f>
        <v>100.0</v>
      </c>
      <c r="M57" s="7">
        <f>ROUND(IF(SUM('Plant Inputs'!AP$10:AP11)=0,100,100*SUM('Plant Inputs'!AQ$10:AQ11)/SUM('Plant Inputs'!AP$10:AP11)),2)</f>
        <v>100.0</v>
      </c>
      <c r="N57" s="7">
        <f>ROUND(IF(SUM('Plant Inputs'!AP$10:AP12)=0,100,100*SUM('Plant Inputs'!AQ$10:AQ12)/SUM('Plant Inputs'!AP$10:AP12)),2)</f>
        <v>80.0</v>
      </c>
      <c r="O57" s="7">
        <f>ROUND(IF(SUM('Plant Inputs'!AP$10:AP13)=0,100,100*SUM('Plant Inputs'!AQ$10:AQ13)/SUM('Plant Inputs'!AP$10:AP13)),2)</f>
        <v>83.33</v>
      </c>
      <c r="P57" s="7">
        <f>ROUND(IF(SUM('Plant Inputs'!AP$10:AP14)=0,100,100*SUM('Plant Inputs'!AQ$10:AQ14)/SUM('Plant Inputs'!AP$10:AP14)),2)</f>
        <v>83.33</v>
      </c>
      <c r="Q57" s="7">
        <f>ROUND(IF(SUM('Plant Inputs'!AP$10:AP15)=0,100,100*SUM('Plant Inputs'!AQ$10:AQ15)/SUM('Plant Inputs'!AP$10:AP15)),2)</f>
        <v>75.0</v>
      </c>
      <c r="R57" s="7">
        <f>ROUND(IF(SUM('Plant Inputs'!AP$16:AP16)=0,100,100*SUM('Plant Inputs'!AQ$16:AQ16)/SUM('Plant Inputs'!AP$16:AP16)),2)</f>
        <v>0.0</v>
      </c>
      <c r="S57" s="7">
        <f>ROUND(IF(SUM('Plant Inputs'!AP$16:AP17)=0,100,100*SUM('Plant Inputs'!AQ$16:AQ17)/SUM('Plant Inputs'!AP$16:AP17)),2)</f>
        <v>0.0</v>
      </c>
      <c r="T57" s="7">
        <f>ROUND(IF(SUM('Plant Inputs'!AP$16:AP18)=0,100,100*SUM('Plant Inputs'!AQ$16:AQ18)/SUM('Plant Inputs'!AP$16:AP18)),2)</f>
        <v>66.67</v>
      </c>
      <c r="U57" s="7">
        <f>ROUND(IF(SUM('Plant Inputs'!AP$16:AP19)=0,100,100*SUM('Plant Inputs'!AQ$16:AQ19)/SUM('Plant Inputs'!AP$16:AP19)),2)</f>
        <v>66.67</v>
      </c>
      <c r="V57" s="7">
        <f>ROUND(IF(SUM('Plant Inputs'!AP$16:AP20)=0,100,100*SUM('Plant Inputs'!AQ$16:AQ20)/SUM('Plant Inputs'!AP$16:AP20)),2)</f>
        <v>60.0</v>
      </c>
      <c r="W57" s="7">
        <f>ROUND(IF(SUM('Plant Inputs'!AP$16:AP21)=0,100,100*SUM('Plant Inputs'!AQ$16:AQ21)/SUM('Plant Inputs'!AP$16:AP21)),2)</f>
        <v>60.0</v>
      </c>
      <c r="X57" s="7">
        <f>ROUND(IF(SUM('Plant Inputs'!AP$22:AP22)=0,100,100*SUM('Plant Inputs'!AQ$22:AQ22)/SUM('Plant Inputs'!AP$22:AP22)),2)</f>
        <v>50.0</v>
      </c>
      <c r="Y57" s="7">
        <f>ROUND(IF(SUM('Plant Inputs'!AP$22:AP23)=0,100,100*SUM('Plant Inputs'!AQ$22:AQ23)/SUM('Plant Inputs'!AP$22:AP23)),2)</f>
        <v>66.67</v>
      </c>
      <c r="Z57" s="7">
        <f>ROUND(IF(SUM('Plant Inputs'!AP$22:AP24)=0,100,100*SUM('Plant Inputs'!AQ$22:AQ24)/SUM('Plant Inputs'!AP$22:AP24)),2)</f>
        <v>80.0</v>
      </c>
      <c r="AA57" s="7">
        <f>ROUND(IF(SUM('Plant Inputs'!AP$22:AP25)=0,100,100*SUM('Plant Inputs'!AQ$22:AQ25)/SUM('Plant Inputs'!AP$22:AP25)),2)</f>
        <v>80.0</v>
      </c>
      <c r="AB57" s="7">
        <f>ROUND(IF(SUM('Plant Inputs'!AP$22:AP26)=0,100,100*SUM('Plant Inputs'!AQ$22:AQ26)/SUM('Plant Inputs'!AP$22:AP26)),2)</f>
        <v>85.71</v>
      </c>
      <c r="AC57" s="7">
        <f>ROUND(IF(SUM('Plant Inputs'!AP$22:AP27)=0,100,100*SUM('Plant Inputs'!AQ$22:AQ27)/SUM('Plant Inputs'!AP$22:AP27)),2)</f>
        <v>85.71</v>
      </c>
      <c r="AD57" s="7">
        <f>ROUND(IF(SUM('Plant Inputs'!AP$28:AP28)=0,100,100*SUM('Plant Inputs'!AQ$28:AQ28)/SUM('Plant Inputs'!AP$28:AP28)),2)</f>
        <v>0.0</v>
      </c>
      <c r="AE57" s="7">
        <f>ROUND(IF(SUM('Plant Inputs'!AP$28:AP29)=0,100,100*SUM('Plant Inputs'!AQ$28:AQ29)/SUM('Plant Inputs'!AP$28:AP29)),2)</f>
        <v>66.67</v>
      </c>
      <c r="AF57" s="7">
        <f>ROUND(IF(SUM('Plant Inputs'!AP$28:AP30)=0,100,100*SUM('Plant Inputs'!AQ$28:AQ30)/SUM('Plant Inputs'!AP$28:AP30)),2)</f>
        <v>66.67</v>
      </c>
      <c r="AG57" s="7">
        <f>ROUND(IF(SUM('Plant Inputs'!AP$28:AP31)=0,100,100*SUM('Plant Inputs'!AQ$28:AQ31)/SUM('Plant Inputs'!AP$28:AP31)),2)</f>
        <v>66.67</v>
      </c>
      <c r="AH57" s="7">
        <f>ROUND(IF(SUM('Plant Inputs'!AP$28:AP32)=0,100,100*SUM('Plant Inputs'!AQ$28:AQ32)/SUM('Plant Inputs'!AP$28:AP32)),2)</f>
        <v>83.33</v>
      </c>
      <c r="AI57" s="7">
        <f>ROUND(IF(SUM('Plant Inputs'!AP$28:AP33)=0,100,100*SUM('Plant Inputs'!AQ$28:AQ33)/SUM('Plant Inputs'!AP$28:AP33)),2)</f>
        <v>83.33</v>
      </c>
      <c r="AJ57" s="7">
        <f>ROUND(IF(SUM('Plant Inputs'!AP$34:AP34)=0,100,100*SUM('Plant Inputs'!AQ$34:AQ34)/SUM('Plant Inputs'!AP$34:AP34)),2)</f>
        <v>100.0</v>
      </c>
      <c r="AK57" s="7">
        <f>ROUND(IF(SUM('Plant Inputs'!AP$34:AP35)=0,100,100*SUM('Plant Inputs'!AQ$34:AQ35)/SUM('Plant Inputs'!AP$34:AP35)),2)</f>
        <v>100.0</v>
      </c>
      <c r="AL57" s="7">
        <f>ROUND(IF(SUM('Plant Inputs'!AP$34:AP36)=0,100,100*SUM('Plant Inputs'!AQ$34:AQ36)/SUM('Plant Inputs'!AP$34:AP36)),2)</f>
        <v>100.0</v>
      </c>
      <c r="AM57" s="7">
        <f>ROUND(IF(SUM('Plant Inputs'!AP$34:AP37)=0,100,100*SUM('Plant Inputs'!AQ$34:AQ37)/SUM('Plant Inputs'!AP$34:AP37)),2)</f>
        <v>90.0</v>
      </c>
      <c r="AN57" s="7">
        <f>ROUND(IF(SUM('Plant Inputs'!AP$34:AP38)=0,100,100*SUM('Plant Inputs'!AQ$34:AQ38)/SUM('Plant Inputs'!AP$34:AP38)),2)</f>
        <v>92.31</v>
      </c>
      <c r="AO57" s="7">
        <f>ROUND(IF(SUM('Plant Inputs'!AP$34:AP39)=0,100,100*SUM('Plant Inputs'!AQ$34:AQ39)/SUM('Plant Inputs'!AP$34:AP39)),2)</f>
        <v>92.31</v>
      </c>
    </row>
    <row r="58" spans="1:41">
      <c r="A58" s="6" t="s">
        <v>871</v>
      </c>
      <c r="B58" s="6" t="s">
        <v>872</v>
      </c>
      <c r="C58" s="6" t="s">
        <v>668</v>
      </c>
      <c r="D58" s="6" t="s">
        <v>25</v>
      </c>
      <c r="E58" s="6" t="s">
        <v>873</v>
      </c>
      <c r="F58" s="8" t="str">
        <f>IF((IF(OR('Plant Inputs'!AV4=0,'Plant Inputs'!AW4=0,'Plant Inputs'!AY4=0),0,100*(('Plant Inputs'!AX4/'Plant Inputs'!AV4)/('Plant Inputs'!AY4/'Plant Inputs'!AW4)-1)))&gt;=-1,"Low",IF((IF(OR('Plant Inputs'!AV4=0,'Plant Inputs'!AW4=0,'Plant Inputs'!AY4=0),0,100*(('Plant Inputs'!AX4/'Plant Inputs'!AV4)/('Plant Inputs'!AY4/'Plant Inputs'!AW4)-1)))&gt;=-3,"Medium","High"))&amp;" ("&amp;ROUND((IF(OR('Plant Inputs'!AV4=0,'Plant Inputs'!AW4=0,'Plant Inputs'!AY4=0),0,100*(('Plant Inputs'!AX4/'Plant Inputs'!AV4)/('Plant Inputs'!AY4/'Plant Inputs'!AW4)-1))),1)&amp;"% vs plan price)"</f>
        <v>Low (0.3% vs plan price)</v>
      </c>
      <c r="G58" s="8" t="str">
        <f>IF((IF(OR('Plant Inputs'!AV5=0,'Plant Inputs'!AW5=0,'Plant Inputs'!AY5=0),0,100*(('Plant Inputs'!AX5/'Plant Inputs'!AV5)/('Plant Inputs'!AY5/'Plant Inputs'!AW5)-1)))&gt;=-1,"Low",IF((IF(OR('Plant Inputs'!AV5=0,'Plant Inputs'!AW5=0,'Plant Inputs'!AY5=0),0,100*(('Plant Inputs'!AX5/'Plant Inputs'!AV5)/('Plant Inputs'!AY5/'Plant Inputs'!AW5)-1)))&gt;=-3,"Medium","High"))&amp;" ("&amp;ROUND((IF(OR('Plant Inputs'!AV5=0,'Plant Inputs'!AW5=0,'Plant Inputs'!AY5=0),0,100*(('Plant Inputs'!AX5/'Plant Inputs'!AV5)/('Plant Inputs'!AY5/'Plant Inputs'!AW5)-1))),1)&amp;"% vs plan price)"</f>
        <v>Low (1.5% vs plan price)</v>
      </c>
      <c r="H58" s="8" t="str">
        <f>IF((IF(OR('Plant Inputs'!AV6=0,'Plant Inputs'!AW6=0,'Plant Inputs'!AY6=0),0,100*(('Plant Inputs'!AX6/'Plant Inputs'!AV6)/('Plant Inputs'!AY6/'Plant Inputs'!AW6)-1)))&gt;=-1,"Low",IF((IF(OR('Plant Inputs'!AV6=0,'Plant Inputs'!AW6=0,'Plant Inputs'!AY6=0),0,100*(('Plant Inputs'!AX6/'Plant Inputs'!AV6)/('Plant Inputs'!AY6/'Plant Inputs'!AW6)-1)))&gt;=-3,"Medium","High"))&amp;" ("&amp;ROUND((IF(OR('Plant Inputs'!AV6=0,'Plant Inputs'!AW6=0,'Plant Inputs'!AY6=0),0,100*(('Plant Inputs'!AX6/'Plant Inputs'!AV6)/('Plant Inputs'!AY6/'Plant Inputs'!AW6)-1))),1)&amp;"% vs plan price)"</f>
        <v>Low (1.4% vs plan price)</v>
      </c>
      <c r="I58" s="8" t="str">
        <f>IF((IF(OR('Plant Inputs'!AV7=0,'Plant Inputs'!AW7=0,'Plant Inputs'!AY7=0),0,100*(('Plant Inputs'!AX7/'Plant Inputs'!AV7)/('Plant Inputs'!AY7/'Plant Inputs'!AW7)-1)))&gt;=-1,"Low",IF((IF(OR('Plant Inputs'!AV7=0,'Plant Inputs'!AW7=0,'Plant Inputs'!AY7=0),0,100*(('Plant Inputs'!AX7/'Plant Inputs'!AV7)/('Plant Inputs'!AY7/'Plant Inputs'!AW7)-1)))&gt;=-3,"Medium","High"))&amp;" ("&amp;ROUND((IF(OR('Plant Inputs'!AV7=0,'Plant Inputs'!AW7=0,'Plant Inputs'!AY7=0),0,100*(('Plant Inputs'!AX7/'Plant Inputs'!AV7)/('Plant Inputs'!AY7/'Plant Inputs'!AW7)-1))),1)&amp;"% vs plan price)"</f>
        <v>Low (1.2% vs plan price)</v>
      </c>
      <c r="J58" s="8" t="str">
        <f>IF((IF(OR('Plant Inputs'!AV8=0,'Plant Inputs'!AW8=0,'Plant Inputs'!AY8=0),0,100*(('Plant Inputs'!AX8/'Plant Inputs'!AV8)/('Plant Inputs'!AY8/'Plant Inputs'!AW8)-1)))&gt;=-1,"Low",IF((IF(OR('Plant Inputs'!AV8=0,'Plant Inputs'!AW8=0,'Plant Inputs'!AY8=0),0,100*(('Plant Inputs'!AX8/'Plant Inputs'!AV8)/('Plant Inputs'!AY8/'Plant Inputs'!AW8)-1)))&gt;=-3,"Medium","High"))&amp;" ("&amp;ROUND((IF(OR('Plant Inputs'!AV8=0,'Plant Inputs'!AW8=0,'Plant Inputs'!AY8=0),0,100*(('Plant Inputs'!AX8/'Plant Inputs'!AV8)/('Plant Inputs'!AY8/'Plant Inputs'!AW8)-1))),1)&amp;"% vs plan price)"</f>
        <v>Low (1.4% vs plan price)</v>
      </c>
      <c r="K58" s="8" t="str">
        <f>IF((IF(OR('Plant Inputs'!AV9=0,'Plant Inputs'!AW9=0,'Plant Inputs'!AY9=0),0,100*(('Plant Inputs'!AX9/'Plant Inputs'!AV9)/('Plant Inputs'!AY9/'Plant Inputs'!AW9)-1)))&gt;=-1,"Low",IF((IF(OR('Plant Inputs'!AV9=0,'Plant Inputs'!AW9=0,'Plant Inputs'!AY9=0),0,100*(('Plant Inputs'!AX9/'Plant Inputs'!AV9)/('Plant Inputs'!AY9/'Plant Inputs'!AW9)-1)))&gt;=-3,"Medium","High"))&amp;" ("&amp;ROUND((IF(OR('Plant Inputs'!AV9=0,'Plant Inputs'!AW9=0,'Plant Inputs'!AY9=0),0,100*(('Plant Inputs'!AX9/'Plant Inputs'!AV9)/('Plant Inputs'!AY9/'Plant Inputs'!AW9)-1))),1)&amp;"% vs plan price)"</f>
        <v>Low (0.2% vs plan price)</v>
      </c>
      <c r="L58" s="8" t="str">
        <f>IF((IF(OR('Plant Inputs'!AV10=0,'Plant Inputs'!AW10=0,'Plant Inputs'!AY10=0),0,100*(('Plant Inputs'!AX10/'Plant Inputs'!AV10)/('Plant Inputs'!AY10/'Plant Inputs'!AW10)-1)))&gt;=-1,"Low",IF((IF(OR('Plant Inputs'!AV10=0,'Plant Inputs'!AW10=0,'Plant Inputs'!AY10=0),0,100*(('Plant Inputs'!AX10/'Plant Inputs'!AV10)/('Plant Inputs'!AY10/'Plant Inputs'!AW10)-1)))&gt;=-3,"Medium","High"))&amp;" ("&amp;ROUND((IF(OR('Plant Inputs'!AV10=0,'Plant Inputs'!AW10=0,'Plant Inputs'!AY10=0),0,100*(('Plant Inputs'!AX10/'Plant Inputs'!AV10)/('Plant Inputs'!AY10/'Plant Inputs'!AW10)-1))),1)&amp;"% vs plan price)"</f>
        <v>Medium (-1.9% vs plan price)</v>
      </c>
      <c r="M58" s="8" t="str">
        <f>IF((IF(OR('Plant Inputs'!AV11=0,'Plant Inputs'!AW11=0,'Plant Inputs'!AY11=0),0,100*(('Plant Inputs'!AX11/'Plant Inputs'!AV11)/('Plant Inputs'!AY11/'Plant Inputs'!AW11)-1)))&gt;=-1,"Low",IF((IF(OR('Plant Inputs'!AV11=0,'Plant Inputs'!AW11=0,'Plant Inputs'!AY11=0),0,100*(('Plant Inputs'!AX11/'Plant Inputs'!AV11)/('Plant Inputs'!AY11/'Plant Inputs'!AW11)-1)))&gt;=-3,"Medium","High"))&amp;" ("&amp;ROUND((IF(OR('Plant Inputs'!AV11=0,'Plant Inputs'!AW11=0,'Plant Inputs'!AY11=0),0,100*(('Plant Inputs'!AX11/'Plant Inputs'!AV11)/('Plant Inputs'!AY11/'Plant Inputs'!AW11)-1))),1)&amp;"% vs plan price)"</f>
        <v>Medium (-2.2% vs plan price)</v>
      </c>
      <c r="N58" s="8" t="str">
        <f>IF((IF(OR('Plant Inputs'!AV12=0,'Plant Inputs'!AW12=0,'Plant Inputs'!AY12=0),0,100*(('Plant Inputs'!AX12/'Plant Inputs'!AV12)/('Plant Inputs'!AY12/'Plant Inputs'!AW12)-1)))&gt;=-1,"Low",IF((IF(OR('Plant Inputs'!AV12=0,'Plant Inputs'!AW12=0,'Plant Inputs'!AY12=0),0,100*(('Plant Inputs'!AX12/'Plant Inputs'!AV12)/('Plant Inputs'!AY12/'Plant Inputs'!AW12)-1)))&gt;=-3,"Medium","High"))&amp;" ("&amp;ROUND((IF(OR('Plant Inputs'!AV12=0,'Plant Inputs'!AW12=0,'Plant Inputs'!AY12=0),0,100*(('Plant Inputs'!AX12/'Plant Inputs'!AV12)/('Plant Inputs'!AY12/'Plant Inputs'!AW12)-1))),1)&amp;"% vs plan price)"</f>
        <v>Medium (-2.9% vs plan price)</v>
      </c>
      <c r="O58" s="8" t="str">
        <f>IF((IF(OR('Plant Inputs'!AV13=0,'Plant Inputs'!AW13=0,'Plant Inputs'!AY13=0),0,100*(('Plant Inputs'!AX13/'Plant Inputs'!AV13)/('Plant Inputs'!AY13/'Plant Inputs'!AW13)-1)))&gt;=-1,"Low",IF((IF(OR('Plant Inputs'!AV13=0,'Plant Inputs'!AW13=0,'Plant Inputs'!AY13=0),0,100*(('Plant Inputs'!AX13/'Plant Inputs'!AV13)/('Plant Inputs'!AY13/'Plant Inputs'!AW13)-1)))&gt;=-3,"Medium","High"))&amp;" ("&amp;ROUND((IF(OR('Plant Inputs'!AV13=0,'Plant Inputs'!AW13=0,'Plant Inputs'!AY13=0),0,100*(('Plant Inputs'!AX13/'Plant Inputs'!AV13)/('Plant Inputs'!AY13/'Plant Inputs'!AW13)-1))),1)&amp;"% vs plan price)"</f>
        <v>Medium (-1.3% vs plan price)</v>
      </c>
      <c r="P58" s="8" t="str">
        <f>IF((IF(OR('Plant Inputs'!AV14=0,'Plant Inputs'!AW14=0,'Plant Inputs'!AY14=0),0,100*(('Plant Inputs'!AX14/'Plant Inputs'!AV14)/('Plant Inputs'!AY14/'Plant Inputs'!AW14)-1)))&gt;=-1,"Low",IF((IF(OR('Plant Inputs'!AV14=0,'Plant Inputs'!AW14=0,'Plant Inputs'!AY14=0),0,100*(('Plant Inputs'!AX14/'Plant Inputs'!AV14)/('Plant Inputs'!AY14/'Plant Inputs'!AW14)-1)))&gt;=-3,"Medium","High"))&amp;" ("&amp;ROUND((IF(OR('Plant Inputs'!AV14=0,'Plant Inputs'!AW14=0,'Plant Inputs'!AY14=0),0,100*(('Plant Inputs'!AX14/'Plant Inputs'!AV14)/('Plant Inputs'!AY14/'Plant Inputs'!AW14)-1))),1)&amp;"% vs plan price)"</f>
        <v>Medium (-1.5% vs plan price)</v>
      </c>
      <c r="Q58" s="8" t="str">
        <f>IF((IF(OR('Plant Inputs'!AV15=0,'Plant Inputs'!AW15=0,'Plant Inputs'!AY15=0),0,100*(('Plant Inputs'!AX15/'Plant Inputs'!AV15)/('Plant Inputs'!AY15/'Plant Inputs'!AW15)-1)))&gt;=-1,"Low",IF((IF(OR('Plant Inputs'!AV15=0,'Plant Inputs'!AW15=0,'Plant Inputs'!AY15=0),0,100*(('Plant Inputs'!AX15/'Plant Inputs'!AV15)/('Plant Inputs'!AY15/'Plant Inputs'!AW15)-1)))&gt;=-3,"Medium","High"))&amp;" ("&amp;ROUND((IF(OR('Plant Inputs'!AV15=0,'Plant Inputs'!AW15=0,'Plant Inputs'!AY15=0),0,100*(('Plant Inputs'!AX15/'Plant Inputs'!AV15)/('Plant Inputs'!AY15/'Plant Inputs'!AW15)-1))),1)&amp;"% vs plan price)"</f>
        <v>Medium (-2.3% vs plan price)</v>
      </c>
      <c r="R58" s="8" t="str">
        <f>IF((IF(OR('Plant Inputs'!AV16=0,'Plant Inputs'!AW16=0,'Plant Inputs'!AY16=0),0,100*(('Plant Inputs'!AX16/'Plant Inputs'!AV16)/('Plant Inputs'!AY16/'Plant Inputs'!AW16)-1)))&gt;=-1,"Low",IF((IF(OR('Plant Inputs'!AV16=0,'Plant Inputs'!AW16=0,'Plant Inputs'!AY16=0),0,100*(('Plant Inputs'!AX16/'Plant Inputs'!AV16)/('Plant Inputs'!AY16/'Plant Inputs'!AW16)-1)))&gt;=-3,"Medium","High"))&amp;" ("&amp;ROUND((IF(OR('Plant Inputs'!AV16=0,'Plant Inputs'!AW16=0,'Plant Inputs'!AY16=0),0,100*(('Plant Inputs'!AX16/'Plant Inputs'!AV16)/('Plant Inputs'!AY16/'Plant Inputs'!AW16)-1))),1)&amp;"% vs plan price)"</f>
        <v>Low (0.5% vs plan price)</v>
      </c>
      <c r="S58" s="8" t="str">
        <f>IF((IF(OR('Plant Inputs'!AV17=0,'Plant Inputs'!AW17=0,'Plant Inputs'!AY17=0),0,100*(('Plant Inputs'!AX17/'Plant Inputs'!AV17)/('Plant Inputs'!AY17/'Plant Inputs'!AW17)-1)))&gt;=-1,"Low",IF((IF(OR('Plant Inputs'!AV17=0,'Plant Inputs'!AW17=0,'Plant Inputs'!AY17=0),0,100*(('Plant Inputs'!AX17/'Plant Inputs'!AV17)/('Plant Inputs'!AY17/'Plant Inputs'!AW17)-1)))&gt;=-3,"Medium","High"))&amp;" ("&amp;ROUND((IF(OR('Plant Inputs'!AV17=0,'Plant Inputs'!AW17=0,'Plant Inputs'!AY17=0),0,100*(('Plant Inputs'!AX17/'Plant Inputs'!AV17)/('Plant Inputs'!AY17/'Plant Inputs'!AW17)-1))),1)&amp;"% vs plan price)"</f>
        <v>Low (-0.6% vs plan price)</v>
      </c>
      <c r="T58" s="8" t="str">
        <f>IF((IF(OR('Plant Inputs'!AV18=0,'Plant Inputs'!AW18=0,'Plant Inputs'!AY18=0),0,100*(('Plant Inputs'!AX18/'Plant Inputs'!AV18)/('Plant Inputs'!AY18/'Plant Inputs'!AW18)-1)))&gt;=-1,"Low",IF((IF(OR('Plant Inputs'!AV18=0,'Plant Inputs'!AW18=0,'Plant Inputs'!AY18=0),0,100*(('Plant Inputs'!AX18/'Plant Inputs'!AV18)/('Plant Inputs'!AY18/'Plant Inputs'!AW18)-1)))&gt;=-3,"Medium","High"))&amp;" ("&amp;ROUND((IF(OR('Plant Inputs'!AV18=0,'Plant Inputs'!AW18=0,'Plant Inputs'!AY18=0),0,100*(('Plant Inputs'!AX18/'Plant Inputs'!AV18)/('Plant Inputs'!AY18/'Plant Inputs'!AW18)-1))),1)&amp;"% vs plan price)"</f>
        <v>Low (1.5% vs plan price)</v>
      </c>
      <c r="U58" s="8" t="str">
        <f>IF((IF(OR('Plant Inputs'!AV19=0,'Plant Inputs'!AW19=0,'Plant Inputs'!AY19=0),0,100*(('Plant Inputs'!AX19/'Plant Inputs'!AV19)/('Plant Inputs'!AY19/'Plant Inputs'!AW19)-1)))&gt;=-1,"Low",IF((IF(OR('Plant Inputs'!AV19=0,'Plant Inputs'!AW19=0,'Plant Inputs'!AY19=0),0,100*(('Plant Inputs'!AX19/'Plant Inputs'!AV19)/('Plant Inputs'!AY19/'Plant Inputs'!AW19)-1)))&gt;=-3,"Medium","High"))&amp;" ("&amp;ROUND((IF(OR('Plant Inputs'!AV19=0,'Plant Inputs'!AW19=0,'Plant Inputs'!AY19=0),0,100*(('Plant Inputs'!AX19/'Plant Inputs'!AV19)/('Plant Inputs'!AY19/'Plant Inputs'!AW19)-1))),1)&amp;"% vs plan price)"</f>
        <v>Low (-1% vs plan price)</v>
      </c>
      <c r="V58" s="8" t="str">
        <f>IF((IF(OR('Plant Inputs'!AV20=0,'Plant Inputs'!AW20=0,'Plant Inputs'!AY20=0),0,100*(('Plant Inputs'!AX20/'Plant Inputs'!AV20)/('Plant Inputs'!AY20/'Plant Inputs'!AW20)-1)))&gt;=-1,"Low",IF((IF(OR('Plant Inputs'!AV20=0,'Plant Inputs'!AW20=0,'Plant Inputs'!AY20=0),0,100*(('Plant Inputs'!AX20/'Plant Inputs'!AV20)/('Plant Inputs'!AY20/'Plant Inputs'!AW20)-1)))&gt;=-3,"Medium","High"))&amp;" ("&amp;ROUND((IF(OR('Plant Inputs'!AV20=0,'Plant Inputs'!AW20=0,'Plant Inputs'!AY20=0),0,100*(('Plant Inputs'!AX20/'Plant Inputs'!AV20)/('Plant Inputs'!AY20/'Plant Inputs'!AW20)-1))),1)&amp;"% vs plan price)"</f>
        <v>Low (0.2% vs plan price)</v>
      </c>
      <c r="W58" s="8" t="str">
        <f>IF((IF(OR('Plant Inputs'!AV21=0,'Plant Inputs'!AW21=0,'Plant Inputs'!AY21=0),0,100*(('Plant Inputs'!AX21/'Plant Inputs'!AV21)/('Plant Inputs'!AY21/'Plant Inputs'!AW21)-1)))&gt;=-1,"Low",IF((IF(OR('Plant Inputs'!AV21=0,'Plant Inputs'!AW21=0,'Plant Inputs'!AY21=0),0,100*(('Plant Inputs'!AX21/'Plant Inputs'!AV21)/('Plant Inputs'!AY21/'Plant Inputs'!AW21)-1)))&gt;=-3,"Medium","High"))&amp;" ("&amp;ROUND((IF(OR('Plant Inputs'!AV21=0,'Plant Inputs'!AW21=0,'Plant Inputs'!AY21=0),0,100*(('Plant Inputs'!AX21/'Plant Inputs'!AV21)/('Plant Inputs'!AY21/'Plant Inputs'!AW21)-1))),1)&amp;"% vs plan price)"</f>
        <v>Low (-0.5% vs plan price)</v>
      </c>
      <c r="X58" s="8" t="str">
        <f>IF((IF(OR('Plant Inputs'!AV22=0,'Plant Inputs'!AW22=0,'Plant Inputs'!AY22=0),0,100*(('Plant Inputs'!AX22/'Plant Inputs'!AV22)/('Plant Inputs'!AY22/'Plant Inputs'!AW22)-1)))&gt;=-1,"Low",IF((IF(OR('Plant Inputs'!AV22=0,'Plant Inputs'!AW22=0,'Plant Inputs'!AY22=0),0,100*(('Plant Inputs'!AX22/'Plant Inputs'!AV22)/('Plant Inputs'!AY22/'Plant Inputs'!AW22)-1)))&gt;=-3,"Medium","High"))&amp;" ("&amp;ROUND((IF(OR('Plant Inputs'!AV22=0,'Plant Inputs'!AW22=0,'Plant Inputs'!AY22=0),0,100*(('Plant Inputs'!AX22/'Plant Inputs'!AV22)/('Plant Inputs'!AY22/'Plant Inputs'!AW22)-1))),1)&amp;"% vs plan price)"</f>
        <v>Low (-0.5% vs plan price)</v>
      </c>
      <c r="Y58" s="8" t="str">
        <f>IF((IF(OR('Plant Inputs'!AV23=0,'Plant Inputs'!AW23=0,'Plant Inputs'!AY23=0),0,100*(('Plant Inputs'!AX23/'Plant Inputs'!AV23)/('Plant Inputs'!AY23/'Plant Inputs'!AW23)-1)))&gt;=-1,"Low",IF((IF(OR('Plant Inputs'!AV23=0,'Plant Inputs'!AW23=0,'Plant Inputs'!AY23=0),0,100*(('Plant Inputs'!AX23/'Plant Inputs'!AV23)/('Plant Inputs'!AY23/'Plant Inputs'!AW23)-1)))&gt;=-3,"Medium","High"))&amp;" ("&amp;ROUND((IF(OR('Plant Inputs'!AV23=0,'Plant Inputs'!AW23=0,'Plant Inputs'!AY23=0),0,100*(('Plant Inputs'!AX23/'Plant Inputs'!AV23)/('Plant Inputs'!AY23/'Plant Inputs'!AW23)-1))),1)&amp;"% vs plan price)"</f>
        <v>Low (-0.3% vs plan price)</v>
      </c>
      <c r="Z58" s="8" t="str">
        <f>IF((IF(OR('Plant Inputs'!AV24=0,'Plant Inputs'!AW24=0,'Plant Inputs'!AY24=0),0,100*(('Plant Inputs'!AX24/'Plant Inputs'!AV24)/('Plant Inputs'!AY24/'Plant Inputs'!AW24)-1)))&gt;=-1,"Low",IF((IF(OR('Plant Inputs'!AV24=0,'Plant Inputs'!AW24=0,'Plant Inputs'!AY24=0),0,100*(('Plant Inputs'!AX24/'Plant Inputs'!AV24)/('Plant Inputs'!AY24/'Plant Inputs'!AW24)-1)))&gt;=-3,"Medium","High"))&amp;" ("&amp;ROUND((IF(OR('Plant Inputs'!AV24=0,'Plant Inputs'!AW24=0,'Plant Inputs'!AY24=0),0,100*(('Plant Inputs'!AX24/'Plant Inputs'!AV24)/('Plant Inputs'!AY24/'Plant Inputs'!AW24)-1))),1)&amp;"% vs plan price)"</f>
        <v>Low (1% vs plan price)</v>
      </c>
      <c r="AA58" s="8" t="str">
        <f>IF((IF(OR('Plant Inputs'!AV25=0,'Plant Inputs'!AW25=0,'Plant Inputs'!AY25=0),0,100*(('Plant Inputs'!AX25/'Plant Inputs'!AV25)/('Plant Inputs'!AY25/'Plant Inputs'!AW25)-1)))&gt;=-1,"Low",IF((IF(OR('Plant Inputs'!AV25=0,'Plant Inputs'!AW25=0,'Plant Inputs'!AY25=0),0,100*(('Plant Inputs'!AX25/'Plant Inputs'!AV25)/('Plant Inputs'!AY25/'Plant Inputs'!AW25)-1)))&gt;=-3,"Medium","High"))&amp;" ("&amp;ROUND((IF(OR('Plant Inputs'!AV25=0,'Plant Inputs'!AW25=0,'Plant Inputs'!AY25=0),0,100*(('Plant Inputs'!AX25/'Plant Inputs'!AV25)/('Plant Inputs'!AY25/'Plant Inputs'!AW25)-1))),1)&amp;"% vs plan price)"</f>
        <v>Low (0.2% vs plan price)</v>
      </c>
      <c r="AB58" s="8" t="str">
        <f>IF((IF(OR('Plant Inputs'!AV26=0,'Plant Inputs'!AW26=0,'Plant Inputs'!AY26=0),0,100*(('Plant Inputs'!AX26/'Plant Inputs'!AV26)/('Plant Inputs'!AY26/'Plant Inputs'!AW26)-1)))&gt;=-1,"Low",IF((IF(OR('Plant Inputs'!AV26=0,'Plant Inputs'!AW26=0,'Plant Inputs'!AY26=0),0,100*(('Plant Inputs'!AX26/'Plant Inputs'!AV26)/('Plant Inputs'!AY26/'Plant Inputs'!AW26)-1)))&gt;=-3,"Medium","High"))&amp;" ("&amp;ROUND((IF(OR('Plant Inputs'!AV26=0,'Plant Inputs'!AW26=0,'Plant Inputs'!AY26=0),0,100*(('Plant Inputs'!AX26/'Plant Inputs'!AV26)/('Plant Inputs'!AY26/'Plant Inputs'!AW26)-1))),1)&amp;"% vs plan price)"</f>
        <v>Low (-0.6% vs plan price)</v>
      </c>
      <c r="AC58" s="8" t="str">
        <f>IF((IF(OR('Plant Inputs'!AV27=0,'Plant Inputs'!AW27=0,'Plant Inputs'!AY27=0),0,100*(('Plant Inputs'!AX27/'Plant Inputs'!AV27)/('Plant Inputs'!AY27/'Plant Inputs'!AW27)-1)))&gt;=-1,"Low",IF((IF(OR('Plant Inputs'!AV27=0,'Plant Inputs'!AW27=0,'Plant Inputs'!AY27=0),0,100*(('Plant Inputs'!AX27/'Plant Inputs'!AV27)/('Plant Inputs'!AY27/'Plant Inputs'!AW27)-1)))&gt;=-3,"Medium","High"))&amp;" ("&amp;ROUND((IF(OR('Plant Inputs'!AV27=0,'Plant Inputs'!AW27=0,'Plant Inputs'!AY27=0),0,100*(('Plant Inputs'!AX27/'Plant Inputs'!AV27)/('Plant Inputs'!AY27/'Plant Inputs'!AW27)-1))),1)&amp;"% vs plan price)"</f>
        <v>Low (-0.7% vs plan price)</v>
      </c>
      <c r="AD58" s="8" t="str">
        <f>IF((IF(OR('Plant Inputs'!AV28=0,'Plant Inputs'!AW28=0,'Plant Inputs'!AY28=0),0,100*(('Plant Inputs'!AX28/'Plant Inputs'!AV28)/('Plant Inputs'!AY28/'Plant Inputs'!AW28)-1)))&gt;=-1,"Low",IF((IF(OR('Plant Inputs'!AV28=0,'Plant Inputs'!AW28=0,'Plant Inputs'!AY28=0),0,100*(('Plant Inputs'!AX28/'Plant Inputs'!AV28)/('Plant Inputs'!AY28/'Plant Inputs'!AW28)-1)))&gt;=-3,"Medium","High"))&amp;" ("&amp;ROUND((IF(OR('Plant Inputs'!AV28=0,'Plant Inputs'!AW28=0,'Plant Inputs'!AY28=0),0,100*(('Plant Inputs'!AX28/'Plant Inputs'!AV28)/('Plant Inputs'!AY28/'Plant Inputs'!AW28)-1))),1)&amp;"% vs plan price)"</f>
        <v>Low (-0.6% vs plan price)</v>
      </c>
      <c r="AE58" s="8" t="str">
        <f>IF((IF(OR('Plant Inputs'!AV29=0,'Plant Inputs'!AW29=0,'Plant Inputs'!AY29=0),0,100*(('Plant Inputs'!AX29/'Plant Inputs'!AV29)/('Plant Inputs'!AY29/'Plant Inputs'!AW29)-1)))&gt;=-1,"Low",IF((IF(OR('Plant Inputs'!AV29=0,'Plant Inputs'!AW29=0,'Plant Inputs'!AY29=0),0,100*(('Plant Inputs'!AX29/'Plant Inputs'!AV29)/('Plant Inputs'!AY29/'Plant Inputs'!AW29)-1)))&gt;=-3,"Medium","High"))&amp;" ("&amp;ROUND((IF(OR('Plant Inputs'!AV29=0,'Plant Inputs'!AW29=0,'Plant Inputs'!AY29=0),0,100*(('Plant Inputs'!AX29/'Plant Inputs'!AV29)/('Plant Inputs'!AY29/'Plant Inputs'!AW29)-1))),1)&amp;"% vs plan price)"</f>
        <v>Low (1.5% vs plan price)</v>
      </c>
      <c r="AF58" s="8" t="str">
        <f>IF((IF(OR('Plant Inputs'!AV30=0,'Plant Inputs'!AW30=0,'Plant Inputs'!AY30=0),0,100*(('Plant Inputs'!AX30/'Plant Inputs'!AV30)/('Plant Inputs'!AY30/'Plant Inputs'!AW30)-1)))&gt;=-1,"Low",IF((IF(OR('Plant Inputs'!AV30=0,'Plant Inputs'!AW30=0,'Plant Inputs'!AY30=0),0,100*(('Plant Inputs'!AX30/'Plant Inputs'!AV30)/('Plant Inputs'!AY30/'Plant Inputs'!AW30)-1)))&gt;=-3,"Medium","High"))&amp;" ("&amp;ROUND((IF(OR('Plant Inputs'!AV30=0,'Plant Inputs'!AW30=0,'Plant Inputs'!AY30=0),0,100*(('Plant Inputs'!AX30/'Plant Inputs'!AV30)/('Plant Inputs'!AY30/'Plant Inputs'!AW30)-1))),1)&amp;"% vs plan price)"</f>
        <v>Low (0.4% vs plan price)</v>
      </c>
      <c r="AG58" s="8" t="str">
        <f>IF((IF(OR('Plant Inputs'!AV31=0,'Plant Inputs'!AW31=0,'Plant Inputs'!AY31=0),0,100*(('Plant Inputs'!AX31/'Plant Inputs'!AV31)/('Plant Inputs'!AY31/'Plant Inputs'!AW31)-1)))&gt;=-1,"Low",IF((IF(OR('Plant Inputs'!AV31=0,'Plant Inputs'!AW31=0,'Plant Inputs'!AY31=0),0,100*(('Plant Inputs'!AX31/'Plant Inputs'!AV31)/('Plant Inputs'!AY31/'Plant Inputs'!AW31)-1)))&gt;=-3,"Medium","High"))&amp;" ("&amp;ROUND((IF(OR('Plant Inputs'!AV31=0,'Plant Inputs'!AW31=0,'Plant Inputs'!AY31=0),0,100*(('Plant Inputs'!AX31/'Plant Inputs'!AV31)/('Plant Inputs'!AY31/'Plant Inputs'!AW31)-1))),1)&amp;"% vs plan price)"</f>
        <v>Low (0.7% vs plan price)</v>
      </c>
      <c r="AH58" s="8" t="str">
        <f>IF((IF(OR('Plant Inputs'!AV32=0,'Plant Inputs'!AW32=0,'Plant Inputs'!AY32=0),0,100*(('Plant Inputs'!AX32/'Plant Inputs'!AV32)/('Plant Inputs'!AY32/'Plant Inputs'!AW32)-1)))&gt;=-1,"Low",IF((IF(OR('Plant Inputs'!AV32=0,'Plant Inputs'!AW32=0,'Plant Inputs'!AY32=0),0,100*(('Plant Inputs'!AX32/'Plant Inputs'!AV32)/('Plant Inputs'!AY32/'Plant Inputs'!AW32)-1)))&gt;=-3,"Medium","High"))&amp;" ("&amp;ROUND((IF(OR('Plant Inputs'!AV32=0,'Plant Inputs'!AW32=0,'Plant Inputs'!AY32=0),0,100*(('Plant Inputs'!AX32/'Plant Inputs'!AV32)/('Plant Inputs'!AY32/'Plant Inputs'!AW32)-1))),1)&amp;"% vs plan price)"</f>
        <v>Low (-0.9% vs plan price)</v>
      </c>
      <c r="AI58" s="8" t="str">
        <f>IF((IF(OR('Plant Inputs'!AV33=0,'Plant Inputs'!AW33=0,'Plant Inputs'!AY33=0),0,100*(('Plant Inputs'!AX33/'Plant Inputs'!AV33)/('Plant Inputs'!AY33/'Plant Inputs'!AW33)-1)))&gt;=-1,"Low",IF((IF(OR('Plant Inputs'!AV33=0,'Plant Inputs'!AW33=0,'Plant Inputs'!AY33=0),0,100*(('Plant Inputs'!AX33/'Plant Inputs'!AV33)/('Plant Inputs'!AY33/'Plant Inputs'!AW33)-1)))&gt;=-3,"Medium","High"))&amp;" ("&amp;ROUND((IF(OR('Plant Inputs'!AV33=0,'Plant Inputs'!AW33=0,'Plant Inputs'!AY33=0),0,100*(('Plant Inputs'!AX33/'Plant Inputs'!AV33)/('Plant Inputs'!AY33/'Plant Inputs'!AW33)-1))),1)&amp;"% vs plan price)"</f>
        <v>Low (0.2% vs plan price)</v>
      </c>
      <c r="AJ58" s="8" t="str">
        <f>IF((IF(OR('Plant Inputs'!AV34=0,'Plant Inputs'!AW34=0,'Plant Inputs'!AY34=0),0,100*(('Plant Inputs'!AX34/'Plant Inputs'!AV34)/('Plant Inputs'!AY34/'Plant Inputs'!AW34)-1)))&gt;=-1,"Low",IF((IF(OR('Plant Inputs'!AV34=0,'Plant Inputs'!AW34=0,'Plant Inputs'!AY34=0),0,100*(('Plant Inputs'!AX34/'Plant Inputs'!AV34)/('Plant Inputs'!AY34/'Plant Inputs'!AW34)-1)))&gt;=-3,"Medium","High"))&amp;" ("&amp;ROUND((IF(OR('Plant Inputs'!AV34=0,'Plant Inputs'!AW34=0,'Plant Inputs'!AY34=0),0,100*(('Plant Inputs'!AX34/'Plant Inputs'!AV34)/('Plant Inputs'!AY34/'Plant Inputs'!AW34)-1))),1)&amp;"% vs plan price)"</f>
        <v>Low (1.3% vs plan price)</v>
      </c>
      <c r="AK58" s="8" t="str">
        <f>IF((IF(OR('Plant Inputs'!AV35=0,'Plant Inputs'!AW35=0,'Plant Inputs'!AY35=0),0,100*(('Plant Inputs'!AX35/'Plant Inputs'!AV35)/('Plant Inputs'!AY35/'Plant Inputs'!AW35)-1)))&gt;=-1,"Low",IF((IF(OR('Plant Inputs'!AV35=0,'Plant Inputs'!AW35=0,'Plant Inputs'!AY35=0),0,100*(('Plant Inputs'!AX35/'Plant Inputs'!AV35)/('Plant Inputs'!AY35/'Plant Inputs'!AW35)-1)))&gt;=-3,"Medium","High"))&amp;" ("&amp;ROUND((IF(OR('Plant Inputs'!AV35=0,'Plant Inputs'!AW35=0,'Plant Inputs'!AY35=0),0,100*(('Plant Inputs'!AX35/'Plant Inputs'!AV35)/('Plant Inputs'!AY35/'Plant Inputs'!AW35)-1))),1)&amp;"% vs plan price)"</f>
        <v>Low (0.1% vs plan price)</v>
      </c>
      <c r="AL58" s="8" t="str">
        <f>IF((IF(OR('Plant Inputs'!AV36=0,'Plant Inputs'!AW36=0,'Plant Inputs'!AY36=0),0,100*(('Plant Inputs'!AX36/'Plant Inputs'!AV36)/('Plant Inputs'!AY36/'Plant Inputs'!AW36)-1)))&gt;=-1,"Low",IF((IF(OR('Plant Inputs'!AV36=0,'Plant Inputs'!AW36=0,'Plant Inputs'!AY36=0),0,100*(('Plant Inputs'!AX36/'Plant Inputs'!AV36)/('Plant Inputs'!AY36/'Plant Inputs'!AW36)-1)))&gt;=-3,"Medium","High"))&amp;" ("&amp;ROUND((IF(OR('Plant Inputs'!AV36=0,'Plant Inputs'!AW36=0,'Plant Inputs'!AY36=0),0,100*(('Plant Inputs'!AX36/'Plant Inputs'!AV36)/('Plant Inputs'!AY36/'Plant Inputs'!AW36)-1))),1)&amp;"% vs plan price)"</f>
        <v>Low (0.4% vs plan price)</v>
      </c>
      <c r="AM58" s="8" t="str">
        <f>IF((IF(OR('Plant Inputs'!AV37=0,'Plant Inputs'!AW37=0,'Plant Inputs'!AY37=0),0,100*(('Plant Inputs'!AX37/'Plant Inputs'!AV37)/('Plant Inputs'!AY37/'Plant Inputs'!AW37)-1)))&gt;=-1,"Low",IF((IF(OR('Plant Inputs'!AV37=0,'Plant Inputs'!AW37=0,'Plant Inputs'!AY37=0),0,100*(('Plant Inputs'!AX37/'Plant Inputs'!AV37)/('Plant Inputs'!AY37/'Plant Inputs'!AW37)-1)))&gt;=-3,"Medium","High"))&amp;" ("&amp;ROUND((IF(OR('Plant Inputs'!AV37=0,'Plant Inputs'!AW37=0,'Plant Inputs'!AY37=0),0,100*(('Plant Inputs'!AX37/'Plant Inputs'!AV37)/('Plant Inputs'!AY37/'Plant Inputs'!AW37)-1))),1)&amp;"% vs plan price)"</f>
        <v>Low (-0.8% vs plan price)</v>
      </c>
      <c r="AN58" s="8" t="str">
        <f>IF((IF(OR('Plant Inputs'!AV38=0,'Plant Inputs'!AW38=0,'Plant Inputs'!AY38=0),0,100*(('Plant Inputs'!AX38/'Plant Inputs'!AV38)/('Plant Inputs'!AY38/'Plant Inputs'!AW38)-1)))&gt;=-1,"Low",IF((IF(OR('Plant Inputs'!AV38=0,'Plant Inputs'!AW38=0,'Plant Inputs'!AY38=0),0,100*(('Plant Inputs'!AX38/'Plant Inputs'!AV38)/('Plant Inputs'!AY38/'Plant Inputs'!AW38)-1)))&gt;=-3,"Medium","High"))&amp;" ("&amp;ROUND((IF(OR('Plant Inputs'!AV38=0,'Plant Inputs'!AW38=0,'Plant Inputs'!AY38=0),0,100*(('Plant Inputs'!AX38/'Plant Inputs'!AV38)/('Plant Inputs'!AY38/'Plant Inputs'!AW38)-1))),1)&amp;"% vs plan price)"</f>
        <v>Low (-0.4% vs plan price)</v>
      </c>
      <c r="AO58" s="8" t="str">
        <f>IF((IF(OR('Plant Inputs'!AV39=0,'Plant Inputs'!AW39=0,'Plant Inputs'!AY39=0),0,100*(('Plant Inputs'!AX39/'Plant Inputs'!AV39)/('Plant Inputs'!AY39/'Plant Inputs'!AW39)-1)))&gt;=-1,"Low",IF((IF(OR('Plant Inputs'!AV39=0,'Plant Inputs'!AW39=0,'Plant Inputs'!AY39=0),0,100*(('Plant Inputs'!AX39/'Plant Inputs'!AV39)/('Plant Inputs'!AY39/'Plant Inputs'!AW39)-1)))&gt;=-3,"Medium","High"))&amp;" ("&amp;ROUND((IF(OR('Plant Inputs'!AV39=0,'Plant Inputs'!AW39=0,'Plant Inputs'!AY39=0),0,100*(('Plant Inputs'!AX39/'Plant Inputs'!AV39)/('Plant Inputs'!AY39/'Plant Inputs'!AW39)-1))),1)&amp;"% vs plan price)"</f>
        <v>Low (0.5% vs plan price)</v>
      </c>
    </row>
    <row r="59" spans="1:41">
      <c r="A59" s="6" t="s">
        <v>874</v>
      </c>
      <c r="B59" s="6" t="s">
        <v>875</v>
      </c>
      <c r="C59" s="6" t="s">
        <v>28</v>
      </c>
      <c r="D59" s="6" t="s">
        <v>876</v>
      </c>
      <c r="E59" s="6" t="s">
        <v>877</v>
      </c>
      <c r="F59" s="7">
        <f>ROUND('Plant Inputs'!BV4,2)</f>
        <v>99.0</v>
      </c>
      <c r="G59" s="7">
        <f>ROUND('Plant Inputs'!BV5,2)</f>
        <v>99.0</v>
      </c>
      <c r="H59" s="7">
        <f>ROUND('Plant Inputs'!BV6,2)</f>
        <v>99.0</v>
      </c>
      <c r="I59" s="7">
        <f>ROUND('Plant Inputs'!BV7,2)</f>
        <v>99.0</v>
      </c>
      <c r="J59" s="7">
        <f>ROUND('Plant Inputs'!BV8,2)</f>
        <v>99.0</v>
      </c>
      <c r="K59" s="7">
        <f>ROUND('Plant Inputs'!BV9,2)</f>
        <v>99.0</v>
      </c>
      <c r="L59" s="7">
        <f>ROUND('Plant Inputs'!BV10,2)</f>
        <v>17.0</v>
      </c>
      <c r="M59" s="7">
        <f>ROUND('Plant Inputs'!BV11,2)</f>
        <v>12.0</v>
      </c>
      <c r="N59" s="7">
        <f>ROUND('Plant Inputs'!BV12,2)</f>
        <v>18.0</v>
      </c>
      <c r="O59" s="7">
        <f>ROUND('Plant Inputs'!BV13,2)</f>
        <v>12.0</v>
      </c>
      <c r="P59" s="7">
        <f>ROUND('Plant Inputs'!BV14,2)</f>
        <v>10.0</v>
      </c>
      <c r="Q59" s="7">
        <f>ROUND('Plant Inputs'!BV15,2)</f>
        <v>4.0</v>
      </c>
      <c r="R59" s="7">
        <f>ROUND('Plant Inputs'!BV16,2)</f>
        <v>99.0</v>
      </c>
      <c r="S59" s="7">
        <f>ROUND('Plant Inputs'!BV17,2)</f>
        <v>99.0</v>
      </c>
      <c r="T59" s="7">
        <f>ROUND('Plant Inputs'!BV18,2)</f>
        <v>99.0</v>
      </c>
      <c r="U59" s="7">
        <f>ROUND('Plant Inputs'!BV19,2)</f>
        <v>99.0</v>
      </c>
      <c r="V59" s="7">
        <f>ROUND('Plant Inputs'!BV20,2)</f>
        <v>99.0</v>
      </c>
      <c r="W59" s="7">
        <f>ROUND('Plant Inputs'!BV21,2)</f>
        <v>99.0</v>
      </c>
      <c r="X59" s="7">
        <f>ROUND('Plant Inputs'!BV22,2)</f>
        <v>99.0</v>
      </c>
      <c r="Y59" s="7">
        <f>ROUND('Plant Inputs'!BV23,2)</f>
        <v>99.0</v>
      </c>
      <c r="Z59" s="7">
        <f>ROUND('Plant Inputs'!BV24,2)</f>
        <v>99.0</v>
      </c>
      <c r="AA59" s="7">
        <f>ROUND('Plant Inputs'!BV25,2)</f>
        <v>99.0</v>
      </c>
      <c r="AB59" s="7">
        <f>ROUND('Plant Inputs'!BV26,2)</f>
        <v>99.0</v>
      </c>
      <c r="AC59" s="7">
        <f>ROUND('Plant Inputs'!BV27,2)</f>
        <v>99.0</v>
      </c>
      <c r="AD59" s="7">
        <f>ROUND('Plant Inputs'!BV28,2)</f>
        <v>99.0</v>
      </c>
      <c r="AE59" s="7">
        <f>ROUND('Plant Inputs'!BV29,2)</f>
        <v>99.0</v>
      </c>
      <c r="AF59" s="7">
        <f>ROUND('Plant Inputs'!BV30,2)</f>
        <v>99.0</v>
      </c>
      <c r="AG59" s="7">
        <f>ROUND('Plant Inputs'!BV31,2)</f>
        <v>99.0</v>
      </c>
      <c r="AH59" s="7">
        <f>ROUND('Plant Inputs'!BV32,2)</f>
        <v>99.0</v>
      </c>
      <c r="AI59" s="7">
        <f>ROUND('Plant Inputs'!BV33,2)</f>
        <v>99.0</v>
      </c>
      <c r="AJ59" s="7">
        <f>ROUND('Plant Inputs'!BV34,2)</f>
        <v>99.0</v>
      </c>
      <c r="AK59" s="7">
        <f>ROUND('Plant Inputs'!BV35,2)</f>
        <v>99.0</v>
      </c>
      <c r="AL59" s="7">
        <f>ROUND('Plant Inputs'!BV36,2)</f>
        <v>99.0</v>
      </c>
      <c r="AM59" s="7">
        <f>ROUND('Plant Inputs'!BV37,2)</f>
        <v>99.0</v>
      </c>
      <c r="AN59" s="7">
        <f>ROUND('Plant Inputs'!BV38,2)</f>
        <v>99.0</v>
      </c>
      <c r="AO59" s="7">
        <f>ROUND('Plant Inputs'!BV39,2)</f>
        <v>99.0</v>
      </c>
    </row>
    <row r="60" spans="1:41">
      <c r="A60" s="6" t="s">
        <v>878</v>
      </c>
      <c r="B60" s="6" t="s">
        <v>879</v>
      </c>
      <c r="C60" s="6" t="s">
        <v>455</v>
      </c>
      <c r="D60" s="6" t="s">
        <v>880</v>
      </c>
      <c r="E60" s="6" t="s">
        <v>881</v>
      </c>
      <c r="F60" s="7">
        <f>ROUND(100*NORM.DIST('Plant Inputs'!BW4,'Plant Inputs'!BX4,SQRT('Plant Inputs'!BY4),TRUE),2)</f>
        <v>50.06</v>
      </c>
      <c r="G60" s="7">
        <f>ROUND(100*NORM.DIST('Plant Inputs'!BW5,'Plant Inputs'!BX5,SQRT('Plant Inputs'!BY5),TRUE),2)</f>
        <v>35.3</v>
      </c>
      <c r="H60" s="7">
        <f>ROUND(100*NORM.DIST('Plant Inputs'!BW6,'Plant Inputs'!BX6,SQRT('Plant Inputs'!BY6),TRUE),2)</f>
        <v>43.26</v>
      </c>
      <c r="I60" s="7">
        <f>ROUND(100*NORM.DIST('Plant Inputs'!BW7,'Plant Inputs'!BX7,SQRT('Plant Inputs'!BY7),TRUE),2)</f>
        <v>51.26</v>
      </c>
      <c r="J60" s="7">
        <f>ROUND(100*NORM.DIST('Plant Inputs'!BW8,'Plant Inputs'!BX8,SQRT('Plant Inputs'!BY8),TRUE),2)</f>
        <v>45.59</v>
      </c>
      <c r="K60" s="7">
        <f>ROUND(100*NORM.DIST('Plant Inputs'!BW9,'Plant Inputs'!BX9,SQRT('Plant Inputs'!BY9),TRUE),2)</f>
        <v>38.81</v>
      </c>
      <c r="L60" s="7">
        <f>ROUND(100*NORM.DIST('Plant Inputs'!BW10,'Plant Inputs'!BX10,SQRT('Plant Inputs'!BY10),TRUE),2)</f>
        <v>96.92</v>
      </c>
      <c r="M60" s="7">
        <f>ROUND(100*NORM.DIST('Plant Inputs'!BW11,'Plant Inputs'!BX11,SQRT('Plant Inputs'!BY11),TRUE),2)</f>
        <v>92.29</v>
      </c>
      <c r="N60" s="7">
        <f>ROUND(100*NORM.DIST('Plant Inputs'!BW12,'Plant Inputs'!BX12,SQRT('Plant Inputs'!BY12),TRUE),2)</f>
        <v>95.41</v>
      </c>
      <c r="O60" s="7">
        <f>ROUND(100*NORM.DIST('Plant Inputs'!BW13,'Plant Inputs'!BX13,SQRT('Plant Inputs'!BY13),TRUE),2)</f>
        <v>91.15</v>
      </c>
      <c r="P60" s="7">
        <f>ROUND(100*NORM.DIST('Plant Inputs'!BW14,'Plant Inputs'!BX14,SQRT('Plant Inputs'!BY14),TRUE),2)</f>
        <v>94.41</v>
      </c>
      <c r="Q60" s="7">
        <f>ROUND(100*NORM.DIST('Plant Inputs'!BW15,'Plant Inputs'!BX15,SQRT('Plant Inputs'!BY15),TRUE),2)</f>
        <v>98.27</v>
      </c>
      <c r="R60" s="7">
        <f>ROUND(100*NORM.DIST('Plant Inputs'!BW16,'Plant Inputs'!BX16,SQRT('Plant Inputs'!BY16),TRUE),2)</f>
        <v>41.86</v>
      </c>
      <c r="S60" s="7">
        <f>ROUND(100*NORM.DIST('Plant Inputs'!BW17,'Plant Inputs'!BX17,SQRT('Plant Inputs'!BY17),TRUE),2)</f>
        <v>42.28</v>
      </c>
      <c r="T60" s="7">
        <f>ROUND(100*NORM.DIST('Plant Inputs'!BW18,'Plant Inputs'!BX18,SQRT('Plant Inputs'!BY18),TRUE),2)</f>
        <v>42.93</v>
      </c>
      <c r="U60" s="7">
        <f>ROUND(100*NORM.DIST('Plant Inputs'!BW19,'Plant Inputs'!BX19,SQRT('Plant Inputs'!BY19),TRUE),2)</f>
        <v>46.74</v>
      </c>
      <c r="V60" s="7">
        <f>ROUND(100*NORM.DIST('Plant Inputs'!BW20,'Plant Inputs'!BX20,SQRT('Plant Inputs'!BY20),TRUE),2)</f>
        <v>43.07</v>
      </c>
      <c r="W60" s="7">
        <f>ROUND(100*NORM.DIST('Plant Inputs'!BW21,'Plant Inputs'!BX21,SQRT('Plant Inputs'!BY21),TRUE),2)</f>
        <v>43.19</v>
      </c>
      <c r="X60" s="7">
        <f>ROUND(100*NORM.DIST('Plant Inputs'!BW22,'Plant Inputs'!BX22,SQRT('Plant Inputs'!BY22),TRUE),2)</f>
        <v>49.71</v>
      </c>
      <c r="Y60" s="7">
        <f>ROUND(100*NORM.DIST('Plant Inputs'!BW23,'Plant Inputs'!BX23,SQRT('Plant Inputs'!BY23),TRUE),2)</f>
        <v>40.01</v>
      </c>
      <c r="Z60" s="7">
        <f>ROUND(100*NORM.DIST('Plant Inputs'!BW24,'Plant Inputs'!BX24,SQRT('Plant Inputs'!BY24),TRUE),2)</f>
        <v>36.16</v>
      </c>
      <c r="AA60" s="7">
        <f>ROUND(100*NORM.DIST('Plant Inputs'!BW25,'Plant Inputs'!BX25,SQRT('Plant Inputs'!BY25),TRUE),2)</f>
        <v>48.68</v>
      </c>
      <c r="AB60" s="7">
        <f>ROUND(100*NORM.DIST('Plant Inputs'!BW26,'Plant Inputs'!BX26,SQRT('Plant Inputs'!BY26),TRUE),2)</f>
        <v>39.82</v>
      </c>
      <c r="AC60" s="7">
        <f>ROUND(100*NORM.DIST('Plant Inputs'!BW27,'Plant Inputs'!BX27,SQRT('Plant Inputs'!BY27),TRUE),2)</f>
        <v>52.26</v>
      </c>
      <c r="AD60" s="7">
        <f>ROUND(100*NORM.DIST('Plant Inputs'!BW28,'Plant Inputs'!BX28,SQRT('Plant Inputs'!BY28),TRUE),2)</f>
        <v>40.92</v>
      </c>
      <c r="AE60" s="7">
        <f>ROUND(100*NORM.DIST('Plant Inputs'!BW29,'Plant Inputs'!BX29,SQRT('Plant Inputs'!BY29),TRUE),2)</f>
        <v>46.61</v>
      </c>
      <c r="AF60" s="7">
        <f>ROUND(100*NORM.DIST('Plant Inputs'!BW30,'Plant Inputs'!BX30,SQRT('Plant Inputs'!BY30),TRUE),2)</f>
        <v>50.51</v>
      </c>
      <c r="AG60" s="7">
        <f>ROUND(100*NORM.DIST('Plant Inputs'!BW31,'Plant Inputs'!BX31,SQRT('Plant Inputs'!BY31),TRUE),2)</f>
        <v>50.12</v>
      </c>
      <c r="AH60" s="7">
        <f>ROUND(100*NORM.DIST('Plant Inputs'!BW32,'Plant Inputs'!BX32,SQRT('Plant Inputs'!BY32),TRUE),2)</f>
        <v>50.72</v>
      </c>
      <c r="AI60" s="7">
        <f>ROUND(100*NORM.DIST('Plant Inputs'!BW33,'Plant Inputs'!BX33,SQRT('Plant Inputs'!BY33),TRUE),2)</f>
        <v>46.86</v>
      </c>
      <c r="AJ60" s="7">
        <f>ROUND(100*NORM.DIST('Plant Inputs'!BW34,'Plant Inputs'!BX34,SQRT('Plant Inputs'!BY34),TRUE),2)</f>
        <v>39.69</v>
      </c>
      <c r="AK60" s="7">
        <f>ROUND(100*NORM.DIST('Plant Inputs'!BW35,'Plant Inputs'!BX35,SQRT('Plant Inputs'!BY35),TRUE),2)</f>
        <v>47.69</v>
      </c>
      <c r="AL60" s="7">
        <f>ROUND(100*NORM.DIST('Plant Inputs'!BW36,'Plant Inputs'!BX36,SQRT('Plant Inputs'!BY36),TRUE),2)</f>
        <v>46.42</v>
      </c>
      <c r="AM60" s="7">
        <f>ROUND(100*NORM.DIST('Plant Inputs'!BW37,'Plant Inputs'!BX37,SQRT('Plant Inputs'!BY37),TRUE),2)</f>
        <v>37.02</v>
      </c>
      <c r="AN60" s="7">
        <f>ROUND(100*NORM.DIST('Plant Inputs'!BW38,'Plant Inputs'!BX38,SQRT('Plant Inputs'!BY38),TRUE),2)</f>
        <v>40.82</v>
      </c>
      <c r="AO60" s="7">
        <f>ROUND(100*NORM.DIST('Plant Inputs'!BW39,'Plant Inputs'!BX39,SQRT('Plant Inputs'!BY39),TRUE),2)</f>
        <v>43.2</v>
      </c>
    </row>
    <row r="61" spans="1:41">
      <c r="A61" s="6" t="s">
        <v>894</v>
      </c>
      <c r="B61" s="6" t="s">
        <v>895</v>
      </c>
      <c r="C61" s="6" t="s">
        <v>896</v>
      </c>
      <c r="D61" s="6" t="s">
        <v>880</v>
      </c>
      <c r="E61" s="6" t="s">
        <v>897</v>
      </c>
      <c r="F61" s="7">
        <f>ROUND('Plant Inputs'!CA4/1000,2)</f>
        <v>1.62</v>
      </c>
      <c r="G61" s="7">
        <f>ROUND('Plant Inputs'!CA5/1000,2)</f>
        <v>2.91</v>
      </c>
      <c r="H61" s="7">
        <f>ROUND('Plant Inputs'!CA6/1000,2)</f>
        <v>2.4</v>
      </c>
      <c r="I61" s="7">
        <f>ROUND('Plant Inputs'!CA7/1000,2)</f>
        <v>3.86</v>
      </c>
      <c r="J61" s="7">
        <f>ROUND('Plant Inputs'!CA8/1000,2)</f>
        <v>2.7</v>
      </c>
      <c r="K61" s="7">
        <f>ROUND('Plant Inputs'!CA9/1000,2)</f>
        <v>4.17</v>
      </c>
      <c r="L61" s="7">
        <f>ROUND('Plant Inputs'!CA10/1000,2)</f>
        <v>5.36</v>
      </c>
      <c r="M61" s="7">
        <f>ROUND('Plant Inputs'!CA11/1000,2)</f>
        <v>8.04</v>
      </c>
      <c r="N61" s="7">
        <f>ROUND('Plant Inputs'!CA12/1000,2)</f>
        <v>6.88</v>
      </c>
      <c r="O61" s="7">
        <f>ROUND('Plant Inputs'!CA13/1000,2)</f>
        <v>13.21</v>
      </c>
      <c r="P61" s="7">
        <f>ROUND('Plant Inputs'!CA14/1000,2)</f>
        <v>8.91</v>
      </c>
      <c r="Q61" s="7">
        <f>ROUND('Plant Inputs'!CA15/1000,2)</f>
        <v>15.61</v>
      </c>
      <c r="R61" s="7">
        <f>ROUND('Plant Inputs'!CA16/1000,2)</f>
        <v>4.74</v>
      </c>
      <c r="S61" s="7">
        <f>ROUND('Plant Inputs'!CA17/1000,2)</f>
        <v>4.62</v>
      </c>
      <c r="T61" s="7">
        <f>ROUND('Plant Inputs'!CA18/1000,2)</f>
        <v>6.35</v>
      </c>
      <c r="U61" s="7">
        <f>ROUND('Plant Inputs'!CA19/1000,2)</f>
        <v>6.66</v>
      </c>
      <c r="V61" s="7">
        <f>ROUND('Plant Inputs'!CA20/1000,2)</f>
        <v>4.96</v>
      </c>
      <c r="W61" s="7">
        <f>ROUND('Plant Inputs'!CA21/1000,2)</f>
        <v>2.51</v>
      </c>
      <c r="X61" s="7">
        <f>ROUND('Plant Inputs'!CA22/1000,2)</f>
        <v>1.76</v>
      </c>
      <c r="Y61" s="7">
        <f>ROUND('Plant Inputs'!CA23/1000,2)</f>
        <v>5.19</v>
      </c>
      <c r="Z61" s="7">
        <f>ROUND('Plant Inputs'!CA24/1000,2)</f>
        <v>3.74</v>
      </c>
      <c r="AA61" s="7">
        <f>ROUND('Plant Inputs'!CA25/1000,2)</f>
        <v>3.15</v>
      </c>
      <c r="AB61" s="7">
        <f>ROUND('Plant Inputs'!CA26/1000,2)</f>
        <v>1.13</v>
      </c>
      <c r="AC61" s="7">
        <f>ROUND('Plant Inputs'!CA27/1000,2)</f>
        <v>1.42</v>
      </c>
      <c r="AD61" s="7">
        <f>ROUND('Plant Inputs'!CA28/1000,2)</f>
        <v>3.97</v>
      </c>
      <c r="AE61" s="7">
        <f>ROUND('Plant Inputs'!CA29/1000,2)</f>
        <v>3.74</v>
      </c>
      <c r="AF61" s="7">
        <f>ROUND('Plant Inputs'!CA30/1000,2)</f>
        <v>2.89</v>
      </c>
      <c r="AG61" s="7">
        <f>ROUND('Plant Inputs'!CA31/1000,2)</f>
        <v>2.62</v>
      </c>
      <c r="AH61" s="7">
        <f>ROUND('Plant Inputs'!CA32/1000,2)</f>
        <v>6.47</v>
      </c>
      <c r="AI61" s="7">
        <f>ROUND('Plant Inputs'!CA33/1000,2)</f>
        <v>2.27</v>
      </c>
      <c r="AJ61" s="7">
        <f>ROUND('Plant Inputs'!CA34/1000,2)</f>
        <v>1.75</v>
      </c>
      <c r="AK61" s="7">
        <f>ROUND('Plant Inputs'!CA35/1000,2)</f>
        <v>3.51</v>
      </c>
      <c r="AL61" s="7">
        <f>ROUND('Plant Inputs'!CA36/1000,2)</f>
        <v>1.03</v>
      </c>
      <c r="AM61" s="7">
        <f>ROUND('Plant Inputs'!CA37/1000,2)</f>
        <v>3.28</v>
      </c>
      <c r="AN61" s="7">
        <f>ROUND('Plant Inputs'!CA38/1000,2)</f>
        <v>4.17</v>
      </c>
      <c r="AO61" s="7">
        <f>ROUND('Plant Inputs'!CA39/1000,2)</f>
        <v>2.02</v>
      </c>
    </row>
    <row r="62" spans="1:41">
      <c r="A62" s="6" t="s">
        <v>898</v>
      </c>
      <c r="B62" s="6" t="s">
        <v>899</v>
      </c>
      <c r="C62" s="6" t="s">
        <v>455</v>
      </c>
      <c r="D62" s="6" t="s">
        <v>880</v>
      </c>
      <c r="E62" s="6" t="s">
        <v>900</v>
      </c>
      <c r="F62" s="7">
        <f>ROUND(100*NORM.DIST(0.78*'Plant Inputs'!BZ4,'Plant Inputs'!BX4,SQRT('Plant Inputs'!BY4),TRUE),2)</f>
        <v>1.12</v>
      </c>
      <c r="G62" s="7">
        <f>ROUND(100*NORM.DIST(0.78*'Plant Inputs'!BZ5,'Plant Inputs'!BX5,SQRT('Plant Inputs'!BY5),TRUE),2)</f>
        <v>1.3</v>
      </c>
      <c r="H62" s="7">
        <f>ROUND(100*NORM.DIST(0.78*'Plant Inputs'!BZ6,'Plant Inputs'!BX6,SQRT('Plant Inputs'!BY6),TRUE),2)</f>
        <v>0.53</v>
      </c>
      <c r="I62" s="7">
        <f>ROUND(100*NORM.DIST(0.78*'Plant Inputs'!BZ7,'Plant Inputs'!BX7,SQRT('Plant Inputs'!BY7),TRUE),2)</f>
        <v>5.33</v>
      </c>
      <c r="J62" s="7">
        <f>ROUND(100*NORM.DIST(0.78*'Plant Inputs'!BZ8,'Plant Inputs'!BX8,SQRT('Plant Inputs'!BY8),TRUE),2)</f>
        <v>0.94</v>
      </c>
      <c r="K62" s="7">
        <f>ROUND(100*NORM.DIST(0.78*'Plant Inputs'!BZ9,'Plant Inputs'!BX9,SQRT('Plant Inputs'!BY9),TRUE),2)</f>
        <v>2.06</v>
      </c>
      <c r="L62" s="7">
        <f>ROUND(100*NORM.DIST(0.78*'Plant Inputs'!BZ10,'Plant Inputs'!BX10,SQRT('Plant Inputs'!BY10),TRUE),2)</f>
        <v>39.37</v>
      </c>
      <c r="M62" s="7">
        <f>ROUND(100*NORM.DIST(0.78*'Plant Inputs'!BZ11,'Plant Inputs'!BX11,SQRT('Plant Inputs'!BY11),TRUE),2)</f>
        <v>10.51</v>
      </c>
      <c r="N62" s="7">
        <f>ROUND(100*NORM.DIST(0.78*'Plant Inputs'!BZ12,'Plant Inputs'!BX12,SQRT('Plant Inputs'!BY12),TRUE),2)</f>
        <v>35.21</v>
      </c>
      <c r="O62" s="7">
        <f>ROUND(100*NORM.DIST(0.78*'Plant Inputs'!BZ13,'Plant Inputs'!BX13,SQRT('Plant Inputs'!BY13),TRUE),2)</f>
        <v>24.33</v>
      </c>
      <c r="P62" s="7">
        <f>ROUND(100*NORM.DIST(0.78*'Plant Inputs'!BZ14,'Plant Inputs'!BX14,SQRT('Plant Inputs'!BY14),TRUE),2)</f>
        <v>30.68</v>
      </c>
      <c r="Q62" s="7">
        <f>ROUND(100*NORM.DIST(0.78*'Plant Inputs'!BZ15,'Plant Inputs'!BX15,SQRT('Plant Inputs'!BY15),TRUE),2)</f>
        <v>31.38</v>
      </c>
      <c r="R62" s="7">
        <f>ROUND(100*NORM.DIST(0.78*'Plant Inputs'!BZ16,'Plant Inputs'!BX16,SQRT('Plant Inputs'!BY16),TRUE),2)</f>
        <v>1.65</v>
      </c>
      <c r="S62" s="7">
        <f>ROUND(100*NORM.DIST(0.78*'Plant Inputs'!BZ17,'Plant Inputs'!BX17,SQRT('Plant Inputs'!BY17),TRUE),2)</f>
        <v>0.4</v>
      </c>
      <c r="T62" s="7">
        <f>ROUND(100*NORM.DIST(0.78*'Plant Inputs'!BZ18,'Plant Inputs'!BX18,SQRT('Plant Inputs'!BY18),TRUE),2)</f>
        <v>1.87</v>
      </c>
      <c r="U62" s="7">
        <f>ROUND(100*NORM.DIST(0.78*'Plant Inputs'!BZ19,'Plant Inputs'!BX19,SQRT('Plant Inputs'!BY19),TRUE),2)</f>
        <v>5.94</v>
      </c>
      <c r="V62" s="7">
        <f>ROUND(100*NORM.DIST(0.78*'Plant Inputs'!BZ20,'Plant Inputs'!BX20,SQRT('Plant Inputs'!BY20),TRUE),2)</f>
        <v>0.58</v>
      </c>
      <c r="W62" s="7">
        <f>ROUND(100*NORM.DIST(0.78*'Plant Inputs'!BZ21,'Plant Inputs'!BX21,SQRT('Plant Inputs'!BY21),TRUE),2)</f>
        <v>3.14</v>
      </c>
      <c r="X62" s="7">
        <f>ROUND(100*NORM.DIST(0.78*'Plant Inputs'!BZ22,'Plant Inputs'!BX22,SQRT('Plant Inputs'!BY22),TRUE),2)</f>
        <v>2.45</v>
      </c>
      <c r="Y62" s="7">
        <f>ROUND(100*NORM.DIST(0.78*'Plant Inputs'!BZ23,'Plant Inputs'!BX23,SQRT('Plant Inputs'!BY23),TRUE),2)</f>
        <v>1.09</v>
      </c>
      <c r="Z62" s="7">
        <f>ROUND(100*NORM.DIST(0.78*'Plant Inputs'!BZ24,'Plant Inputs'!BX24,SQRT('Plant Inputs'!BY24),TRUE),2)</f>
        <v>0.39</v>
      </c>
      <c r="AA62" s="7">
        <f>ROUND(100*NORM.DIST(0.78*'Plant Inputs'!BZ25,'Plant Inputs'!BX25,SQRT('Plant Inputs'!BY25),TRUE),2)</f>
        <v>2.54</v>
      </c>
      <c r="AB62" s="7">
        <f>ROUND(100*NORM.DIST(0.78*'Plant Inputs'!BZ26,'Plant Inputs'!BX26,SQRT('Plant Inputs'!BY26),TRUE),2)</f>
        <v>1.64</v>
      </c>
      <c r="AC62" s="7">
        <f>ROUND(100*NORM.DIST(0.78*'Plant Inputs'!BZ27,'Plant Inputs'!BX27,SQRT('Plant Inputs'!BY27),TRUE),2)</f>
        <v>2.77</v>
      </c>
      <c r="AD62" s="7">
        <f>ROUND(100*NORM.DIST(0.78*'Plant Inputs'!BZ28,'Plant Inputs'!BX28,SQRT('Plant Inputs'!BY28),TRUE),2)</f>
        <v>1.65</v>
      </c>
      <c r="AE62" s="7">
        <f>ROUND(100*NORM.DIST(0.78*'Plant Inputs'!BZ29,'Plant Inputs'!BX29,SQRT('Plant Inputs'!BY29),TRUE),2)</f>
        <v>1.91</v>
      </c>
      <c r="AF62" s="7">
        <f>ROUND(100*NORM.DIST(0.78*'Plant Inputs'!BZ30,'Plant Inputs'!BX30,SQRT('Plant Inputs'!BY30),TRUE),2)</f>
        <v>0.83</v>
      </c>
      <c r="AG62" s="7">
        <f>ROUND(100*NORM.DIST(0.78*'Plant Inputs'!BZ31,'Plant Inputs'!BX31,SQRT('Plant Inputs'!BY31),TRUE),2)</f>
        <v>0.31</v>
      </c>
      <c r="AH62" s="7">
        <f>ROUND(100*NORM.DIST(0.78*'Plant Inputs'!BZ32,'Plant Inputs'!BX32,SQRT('Plant Inputs'!BY32),TRUE),2)</f>
        <v>2.46</v>
      </c>
      <c r="AI62" s="7">
        <f>ROUND(100*NORM.DIST(0.78*'Plant Inputs'!BZ33,'Plant Inputs'!BX33,SQRT('Plant Inputs'!BY33),TRUE),2)</f>
        <v>0.63</v>
      </c>
      <c r="AJ62" s="7">
        <f>ROUND(100*NORM.DIST(0.78*'Plant Inputs'!BZ34,'Plant Inputs'!BX34,SQRT('Plant Inputs'!BY34),TRUE),2)</f>
        <v>0.98</v>
      </c>
      <c r="AK62" s="7">
        <f>ROUND(100*NORM.DIST(0.78*'Plant Inputs'!BZ35,'Plant Inputs'!BX35,SQRT('Plant Inputs'!BY35),TRUE),2)</f>
        <v>5.84</v>
      </c>
      <c r="AL62" s="7">
        <f>ROUND(100*NORM.DIST(0.78*'Plant Inputs'!BZ36,'Plant Inputs'!BX36,SQRT('Plant Inputs'!BY36),TRUE),2)</f>
        <v>0.67</v>
      </c>
      <c r="AM62" s="7">
        <f>ROUND(100*NORM.DIST(0.78*'Plant Inputs'!BZ37,'Plant Inputs'!BX37,SQRT('Plant Inputs'!BY37),TRUE),2)</f>
        <v>0.9</v>
      </c>
      <c r="AN62" s="7">
        <f>ROUND(100*NORM.DIST(0.78*'Plant Inputs'!BZ38,'Plant Inputs'!BX38,SQRT('Plant Inputs'!BY38),TRUE),2)</f>
        <v>1.1</v>
      </c>
      <c r="AO62" s="7">
        <f>ROUND(100*NORM.DIST(0.78*'Plant Inputs'!BZ39,'Plant Inputs'!BX39,SQRT('Plant Inputs'!BY39),TRUE),2)</f>
        <v>1.51</v>
      </c>
    </row>
    <row r="63" spans="1:41">
      <c r="A63" s="6" t="s">
        <v>901</v>
      </c>
      <c r="B63" s="6" t="s">
        <v>902</v>
      </c>
      <c r="C63" s="6" t="s">
        <v>560</v>
      </c>
      <c r="D63" s="6" t="s">
        <v>561</v>
      </c>
      <c r="E63" s="6" t="s">
        <v>903</v>
      </c>
      <c r="F63" s="7">
        <f>ROUND(SUM('Plant Inputs'!AA$4:AA4)/1000,2)</f>
        <v>1.09</v>
      </c>
      <c r="G63" s="7">
        <f>ROUND(SUM('Plant Inputs'!AA$4:AA5)/1000,2)</f>
        <v>2.56</v>
      </c>
      <c r="H63" s="7">
        <f>ROUND(SUM('Plant Inputs'!AA$4:AA6)/1000,2)</f>
        <v>3.66</v>
      </c>
      <c r="I63" s="7">
        <f>ROUND(SUM('Plant Inputs'!AA$4:AA7)/1000,2)</f>
        <v>4.81</v>
      </c>
      <c r="J63" s="7">
        <f>ROUND(SUM('Plant Inputs'!AA$4:AA8)/1000,2)</f>
        <v>5.87</v>
      </c>
      <c r="K63" s="7">
        <f>ROUND(SUM('Plant Inputs'!AA$4:AA9)/1000,2)</f>
        <v>7.25</v>
      </c>
      <c r="L63" s="7">
        <f>ROUND(SUM('Plant Inputs'!AA$10:AA10)/1000,2)</f>
        <v>1.11</v>
      </c>
      <c r="M63" s="7">
        <f>ROUND(SUM('Plant Inputs'!AA$10:AA11)/1000,2)</f>
        <v>2.32</v>
      </c>
      <c r="N63" s="7">
        <f>ROUND(SUM('Plant Inputs'!AA$10:AA12)/1000,2)</f>
        <v>3.42</v>
      </c>
      <c r="O63" s="7">
        <f>ROUND(SUM('Plant Inputs'!AA$10:AA13)/1000,2)</f>
        <v>4.86</v>
      </c>
      <c r="P63" s="7">
        <f>ROUND(SUM('Plant Inputs'!AA$10:AA14)/1000,2)</f>
        <v>6.26</v>
      </c>
      <c r="Q63" s="7">
        <f>ROUND(SUM('Plant Inputs'!AA$10:AA15)/1000,2)</f>
        <v>7.2</v>
      </c>
      <c r="R63" s="7">
        <f>ROUND(SUM('Plant Inputs'!AA$16:AA16)/1000,2)</f>
        <v>1.38</v>
      </c>
      <c r="S63" s="7">
        <f>ROUND(SUM('Plant Inputs'!AA$16:AA17)/1000,2)</f>
        <v>2.47</v>
      </c>
      <c r="T63" s="7">
        <f>ROUND(SUM('Plant Inputs'!AA$16:AA18)/1000,2)</f>
        <v>3.42</v>
      </c>
      <c r="U63" s="7">
        <f>ROUND(SUM('Plant Inputs'!AA$16:AA19)/1000,2)</f>
        <v>4.33</v>
      </c>
      <c r="V63" s="7">
        <f>ROUND(SUM('Plant Inputs'!AA$16:AA20)/1000,2)</f>
        <v>5.53</v>
      </c>
      <c r="W63" s="7">
        <f>ROUND(SUM('Plant Inputs'!AA$16:AA21)/1000,2)</f>
        <v>6.99</v>
      </c>
      <c r="X63" s="7">
        <f>ROUND(SUM('Plant Inputs'!AA$22:AA22)/1000,2)</f>
        <v>1.11</v>
      </c>
      <c r="Y63" s="7">
        <f>ROUND(SUM('Plant Inputs'!AA$22:AA23)/1000,2)</f>
        <v>2.56</v>
      </c>
      <c r="Z63" s="7">
        <f>ROUND(SUM('Plant Inputs'!AA$22:AA24)/1000,2)</f>
        <v>3.48</v>
      </c>
      <c r="AA63" s="7">
        <f>ROUND(SUM('Plant Inputs'!AA$22:AA25)/1000,2)</f>
        <v>4.82</v>
      </c>
      <c r="AB63" s="7">
        <f>ROUND(SUM('Plant Inputs'!AA$22:AA26)/1000,2)</f>
        <v>6.05</v>
      </c>
      <c r="AC63" s="7">
        <f>ROUND(SUM('Plant Inputs'!AA$22:AA27)/1000,2)</f>
        <v>7.18</v>
      </c>
      <c r="AD63" s="7">
        <f>ROUND(SUM('Plant Inputs'!AA$28:AA28)/1000,2)</f>
        <v>1.26</v>
      </c>
      <c r="AE63" s="7">
        <f>ROUND(SUM('Plant Inputs'!AA$28:AA29)/1000,2)</f>
        <v>2.78</v>
      </c>
      <c r="AF63" s="7">
        <f>ROUND(SUM('Plant Inputs'!AA$28:AA30)/1000,2)</f>
        <v>4.24</v>
      </c>
      <c r="AG63" s="7">
        <f>ROUND(SUM('Plant Inputs'!AA$28:AA31)/1000,2)</f>
        <v>5.65</v>
      </c>
      <c r="AH63" s="7">
        <f>ROUND(SUM('Plant Inputs'!AA$28:AA32)/1000,2)</f>
        <v>7.12</v>
      </c>
      <c r="AI63" s="7">
        <f>ROUND(SUM('Plant Inputs'!AA$28:AA33)/1000,2)</f>
        <v>8.37</v>
      </c>
      <c r="AJ63" s="7">
        <f>ROUND(SUM('Plant Inputs'!AA$34:AA34)/1000,2)</f>
        <v>1.04</v>
      </c>
      <c r="AK63" s="7">
        <f>ROUND(SUM('Plant Inputs'!AA$34:AA35)/1000,2)</f>
        <v>2.52</v>
      </c>
      <c r="AL63" s="7">
        <f>ROUND(SUM('Plant Inputs'!AA$34:AA36)/1000,2)</f>
        <v>3.47</v>
      </c>
      <c r="AM63" s="7">
        <f>ROUND(SUM('Plant Inputs'!AA$34:AA37)/1000,2)</f>
        <v>4.53</v>
      </c>
      <c r="AN63" s="7">
        <f>ROUND(SUM('Plant Inputs'!AA$34:AA38)/1000,2)</f>
        <v>6.02</v>
      </c>
      <c r="AO63" s="7">
        <f>ROUND(SUM('Plant Inputs'!AA$34:AA39)/1000,2)</f>
        <v>7.59</v>
      </c>
    </row>
    <row r="64" spans="1:41">
      <c r="A64" s="6" t="s">
        <v>910</v>
      </c>
      <c r="B64" s="6" t="s">
        <v>911</v>
      </c>
      <c r="C64" s="6" t="s">
        <v>560</v>
      </c>
      <c r="D64" s="6" t="s">
        <v>561</v>
      </c>
      <c r="E64" s="6" t="s">
        <v>912</v>
      </c>
      <c r="F64" s="7">
        <f>ROUND(IF(SUM('Plant Inputs'!AG$4:AG4)=0,0,SUM('Plant Inputs'!AX$4:AX4)/1000/(SUM('Plant Inputs'!AG$4:AG4)/(Parameters!$B$8*'Plant Inputs'!F4/12))),2)</f>
        <v>0.7</v>
      </c>
      <c r="G64" s="7">
        <f>ROUND(IF(SUM('Plant Inputs'!AG$4:AG5)=0,0,SUM('Plant Inputs'!AX$4:AX5)/1000/(SUM('Plant Inputs'!AG$4:AG5)/(Parameters!$B$8*'Plant Inputs'!F5/12))),2)</f>
        <v>1.47</v>
      </c>
      <c r="H64" s="7">
        <f>ROUND(IF(SUM('Plant Inputs'!AG$4:AG6)=0,0,SUM('Plant Inputs'!AX$4:AX6)/1000/(SUM('Plant Inputs'!AG$4:AG6)/(Parameters!$B$8*'Plant Inputs'!F6/12))),2)</f>
        <v>1.99</v>
      </c>
      <c r="I64" s="7">
        <f>ROUND(IF(SUM('Plant Inputs'!AG$4:AG7)=0,0,SUM('Plant Inputs'!AX$4:AX7)/1000/(SUM('Plant Inputs'!AG$4:AG7)/(Parameters!$B$8*'Plant Inputs'!F7/12))),2)</f>
        <v>2.69</v>
      </c>
      <c r="J64" s="7">
        <f>ROUND(IF(SUM('Plant Inputs'!AG$4:AG8)=0,0,SUM('Plant Inputs'!AX$4:AX8)/1000/(SUM('Plant Inputs'!AG$4:AG8)/(Parameters!$B$8*'Plant Inputs'!F8/12))),2)</f>
        <v>3.6</v>
      </c>
      <c r="K64" s="7">
        <f>ROUND(IF(SUM('Plant Inputs'!AG$4:AG9)=0,0,SUM('Plant Inputs'!AX$4:AX9)/1000/(SUM('Plant Inputs'!AG$4:AG9)/(Parameters!$B$8*'Plant Inputs'!F9/12))),2)</f>
        <v>4.47</v>
      </c>
      <c r="L64" s="7">
        <f>ROUND(IF(SUM('Plant Inputs'!AG$10:AG10)=0,0,SUM('Plant Inputs'!AX$10:AX10)/1000/(SUM('Plant Inputs'!AG$10:AG10)/(Parameters!$B$8*'Plant Inputs'!F10/12))),2)</f>
        <v>1.0</v>
      </c>
      <c r="M64" s="7">
        <f>ROUND(IF(SUM('Plant Inputs'!AG$10:AG11)=0,0,SUM('Plant Inputs'!AX$10:AX11)/1000/(SUM('Plant Inputs'!AG$10:AG11)/(Parameters!$B$8*'Plant Inputs'!F11/12))),2)</f>
        <v>1.85</v>
      </c>
      <c r="N64" s="7">
        <f>ROUND(IF(SUM('Plant Inputs'!AG$10:AG12)=0,0,SUM('Plant Inputs'!AX$10:AX12)/1000/(SUM('Plant Inputs'!AG$10:AG12)/(Parameters!$B$8*'Plant Inputs'!F12/12))),2)</f>
        <v>2.77</v>
      </c>
      <c r="O64" s="7">
        <f>ROUND(IF(SUM('Plant Inputs'!AG$10:AG13)=0,0,SUM('Plant Inputs'!AX$10:AX13)/1000/(SUM('Plant Inputs'!AG$10:AG13)/(Parameters!$B$8*'Plant Inputs'!F13/12))),2)</f>
        <v>3.64</v>
      </c>
      <c r="P64" s="7">
        <f>ROUND(IF(SUM('Plant Inputs'!AG$10:AG14)=0,0,SUM('Plant Inputs'!AX$10:AX14)/1000/(SUM('Plant Inputs'!AG$10:AG14)/(Parameters!$B$8*'Plant Inputs'!F14/12))),2)</f>
        <v>4.42</v>
      </c>
      <c r="Q64" s="7">
        <f>ROUND(IF(SUM('Plant Inputs'!AG$10:AG15)=0,0,SUM('Plant Inputs'!AX$10:AX15)/1000/(SUM('Plant Inputs'!AG$10:AG15)/(Parameters!$B$8*'Plant Inputs'!F15/12))),2)</f>
        <v>4.93</v>
      </c>
      <c r="R64" s="7">
        <f>ROUND(IF(SUM('Plant Inputs'!AG$16:AG16)=0,0,SUM('Plant Inputs'!AX$16:AX16)/1000/(SUM('Plant Inputs'!AG$16:AG16)/(Parameters!$B$8*'Plant Inputs'!F16/12))),2)</f>
        <v>1.03</v>
      </c>
      <c r="S64" s="7">
        <f>ROUND(IF(SUM('Plant Inputs'!AG$16:AG17)=0,0,SUM('Plant Inputs'!AX$16:AX17)/1000/(SUM('Plant Inputs'!AG$16:AG17)/(Parameters!$B$8*'Plant Inputs'!F17/12))),2)</f>
        <v>2.04</v>
      </c>
      <c r="T64" s="7">
        <f>ROUND(IF(SUM('Plant Inputs'!AG$16:AG18)=0,0,SUM('Plant Inputs'!AX$16:AX18)/1000/(SUM('Plant Inputs'!AG$16:AG18)/(Parameters!$B$8*'Plant Inputs'!F18/12))),2)</f>
        <v>3.15</v>
      </c>
      <c r="U64" s="7">
        <f>ROUND(IF(SUM('Plant Inputs'!AG$16:AG19)=0,0,SUM('Plant Inputs'!AX$16:AX19)/1000/(SUM('Plant Inputs'!AG$16:AG19)/(Parameters!$B$8*'Plant Inputs'!F19/12))),2)</f>
        <v>4.11</v>
      </c>
      <c r="V64" s="7">
        <f>ROUND(IF(SUM('Plant Inputs'!AG$16:AG20)=0,0,SUM('Plant Inputs'!AX$16:AX20)/1000/(SUM('Plant Inputs'!AG$16:AG20)/(Parameters!$B$8*'Plant Inputs'!F20/12))),2)</f>
        <v>5.37</v>
      </c>
      <c r="W64" s="7">
        <f>ROUND(IF(SUM('Plant Inputs'!AG$16:AG21)=0,0,SUM('Plant Inputs'!AX$16:AX21)/1000/(SUM('Plant Inputs'!AG$16:AG21)/(Parameters!$B$8*'Plant Inputs'!F21/12))),2)</f>
        <v>6.59</v>
      </c>
      <c r="X64" s="7">
        <f>ROUND(IF(SUM('Plant Inputs'!AG$22:AG22)=0,0,SUM('Plant Inputs'!AX$22:AX22)/1000/(SUM('Plant Inputs'!AG$22:AG22)/(Parameters!$B$8*'Plant Inputs'!F22/12))),2)</f>
        <v>0.6</v>
      </c>
      <c r="Y64" s="7">
        <f>ROUND(IF(SUM('Plant Inputs'!AG$22:AG23)=0,0,SUM('Plant Inputs'!AX$22:AX23)/1000/(SUM('Plant Inputs'!AG$22:AG23)/(Parameters!$B$8*'Plant Inputs'!F23/12))),2)</f>
        <v>1.21</v>
      </c>
      <c r="Z64" s="7">
        <f>ROUND(IF(SUM('Plant Inputs'!AG$22:AG24)=0,0,SUM('Plant Inputs'!AX$22:AX24)/1000/(SUM('Plant Inputs'!AG$22:AG24)/(Parameters!$B$8*'Plant Inputs'!F24/12))),2)</f>
        <v>1.94</v>
      </c>
      <c r="AA64" s="7">
        <f>ROUND(IF(SUM('Plant Inputs'!AG$22:AG25)=0,0,SUM('Plant Inputs'!AX$22:AX25)/1000/(SUM('Plant Inputs'!AG$22:AG25)/(Parameters!$B$8*'Plant Inputs'!F25/12))),2)</f>
        <v>2.71</v>
      </c>
      <c r="AB64" s="7">
        <f>ROUND(IF(SUM('Plant Inputs'!AG$22:AG26)=0,0,SUM('Plant Inputs'!AX$22:AX26)/1000/(SUM('Plant Inputs'!AG$22:AG26)/(Parameters!$B$8*'Plant Inputs'!F26/12))),2)</f>
        <v>3.4</v>
      </c>
      <c r="AC64" s="7">
        <f>ROUND(IF(SUM('Plant Inputs'!AG$22:AG27)=0,0,SUM('Plant Inputs'!AX$22:AX27)/1000/(SUM('Plant Inputs'!AG$22:AG27)/(Parameters!$B$8*'Plant Inputs'!F27/12))),2)</f>
        <v>4.27</v>
      </c>
      <c r="AD64" s="7">
        <f>ROUND(IF(SUM('Plant Inputs'!AG$28:AG28)=0,0,SUM('Plant Inputs'!AX$28:AX28)/1000/(SUM('Plant Inputs'!AG$28:AG28)/(Parameters!$B$8*'Plant Inputs'!F28/12))),2)</f>
        <v>0.9</v>
      </c>
      <c r="AE64" s="7">
        <f>ROUND(IF(SUM('Plant Inputs'!AG$28:AG29)=0,0,SUM('Plant Inputs'!AX$28:AX29)/1000/(SUM('Plant Inputs'!AG$28:AG29)/(Parameters!$B$8*'Plant Inputs'!F29/12))),2)</f>
        <v>1.87</v>
      </c>
      <c r="AF64" s="7">
        <f>ROUND(IF(SUM('Plant Inputs'!AG$28:AG30)=0,0,SUM('Plant Inputs'!AX$28:AX30)/1000/(SUM('Plant Inputs'!AG$28:AG30)/(Parameters!$B$8*'Plant Inputs'!F30/12))),2)</f>
        <v>3.04</v>
      </c>
      <c r="AG64" s="7">
        <f>ROUND(IF(SUM('Plant Inputs'!AG$28:AG31)=0,0,SUM('Plant Inputs'!AX$28:AX31)/1000/(SUM('Plant Inputs'!AG$28:AG31)/(Parameters!$B$8*'Plant Inputs'!F31/12))),2)</f>
        <v>4.34</v>
      </c>
      <c r="AH64" s="7">
        <f>ROUND(IF(SUM('Plant Inputs'!AG$28:AG32)=0,0,SUM('Plant Inputs'!AX$28:AX32)/1000/(SUM('Plant Inputs'!AG$28:AG32)/(Parameters!$B$8*'Plant Inputs'!F32/12))),2)</f>
        <v>5.46</v>
      </c>
      <c r="AI64" s="7">
        <f>ROUND(IF(SUM('Plant Inputs'!AG$28:AG33)=0,0,SUM('Plant Inputs'!AX$28:AX33)/1000/(SUM('Plant Inputs'!AG$28:AG33)/(Parameters!$B$8*'Plant Inputs'!F33/12))),2)</f>
        <v>6.82</v>
      </c>
      <c r="AJ64" s="7">
        <f>ROUND(IF(SUM('Plant Inputs'!AG$34:AG34)=0,0,SUM('Plant Inputs'!AX$34:AX34)/1000/(SUM('Plant Inputs'!AG$34:AG34)/(Parameters!$B$8*'Plant Inputs'!F34/12))),2)</f>
        <v>0.95</v>
      </c>
      <c r="AK64" s="7">
        <f>ROUND(IF(SUM('Plant Inputs'!AG$34:AG35)=0,0,SUM('Plant Inputs'!AX$34:AX35)/1000/(SUM('Plant Inputs'!AG$34:AG35)/(Parameters!$B$8*'Plant Inputs'!F35/12))),2)</f>
        <v>1.91</v>
      </c>
      <c r="AL64" s="7">
        <f>ROUND(IF(SUM('Plant Inputs'!AG$34:AG36)=0,0,SUM('Plant Inputs'!AX$34:AX36)/1000/(SUM('Plant Inputs'!AG$34:AG36)/(Parameters!$B$8*'Plant Inputs'!F36/12))),2)</f>
        <v>2.5</v>
      </c>
      <c r="AM64" s="7">
        <f>ROUND(IF(SUM('Plant Inputs'!AG$34:AG37)=0,0,SUM('Plant Inputs'!AX$34:AX37)/1000/(SUM('Plant Inputs'!AG$34:AG37)/(Parameters!$B$8*'Plant Inputs'!F37/12))),2)</f>
        <v>3.22</v>
      </c>
      <c r="AN64" s="7">
        <f>ROUND(IF(SUM('Plant Inputs'!AG$34:AG38)=0,0,SUM('Plant Inputs'!AX$34:AX38)/1000/(SUM('Plant Inputs'!AG$34:AG38)/(Parameters!$B$8*'Plant Inputs'!F38/12))),2)</f>
        <v>4.21</v>
      </c>
      <c r="AO64" s="7">
        <f>ROUND(IF(SUM('Plant Inputs'!AG$34:AG39)=0,0,SUM('Plant Inputs'!AX$34:AX39)/1000/(SUM('Plant Inputs'!AG$34:AG39)/(Parameters!$B$8*'Plant Inputs'!F39/12))),2)</f>
        <v>4.86</v>
      </c>
    </row>
    <row r="65" spans="1:41">
      <c r="A65" s="6" t="s">
        <v>913</v>
      </c>
      <c r="B65" s="6" t="s">
        <v>914</v>
      </c>
      <c r="C65" s="6" t="s">
        <v>483</v>
      </c>
      <c r="D65" s="6" t="s">
        <v>561</v>
      </c>
      <c r="E65" s="6" t="s">
        <v>915</v>
      </c>
      <c r="F65" s="7">
        <f>ROUND(IF(SUM('Plant Inputs'!AG$4:AG4)=0,0,SUM('Plant Inputs'!P$4:P4)/(SUM('Plant Inputs'!AG$4:AG4)/(Parameters!$B$8*'Plant Inputs'!F4/12))),2)</f>
        <v>183.73</v>
      </c>
      <c r="G65" s="7">
        <f>ROUND(IF(SUM('Plant Inputs'!AG$4:AG5)=0,0,SUM('Plant Inputs'!P$4:P5)/(SUM('Plant Inputs'!AG$4:AG5)/(Parameters!$B$8*'Plant Inputs'!F5/12))),2)</f>
        <v>386.11</v>
      </c>
      <c r="H65" s="7">
        <f>ROUND(IF(SUM('Plant Inputs'!AG$4:AG6)=0,0,SUM('Plant Inputs'!P$4:P6)/(SUM('Plant Inputs'!AG$4:AG6)/(Parameters!$B$8*'Plant Inputs'!F6/12))),2)</f>
        <v>527.73</v>
      </c>
      <c r="I65" s="7">
        <f>ROUND(IF(SUM('Plant Inputs'!AG$4:AG7)=0,0,SUM('Plant Inputs'!P$4:P7)/(SUM('Plant Inputs'!AG$4:AG7)/(Parameters!$B$8*'Plant Inputs'!F7/12))),2)</f>
        <v>710.13</v>
      </c>
      <c r="J65" s="7">
        <f>ROUND(IF(SUM('Plant Inputs'!AG$4:AG8)=0,0,SUM('Plant Inputs'!P$4:P8)/(SUM('Plant Inputs'!AG$4:AG8)/(Parameters!$B$8*'Plant Inputs'!F8/12))),2)</f>
        <v>950.79</v>
      </c>
      <c r="K65" s="7">
        <f>ROUND(IF(SUM('Plant Inputs'!AG$4:AG9)=0,0,SUM('Plant Inputs'!P$4:P9)/(SUM('Plant Inputs'!AG$4:AG9)/(Parameters!$B$8*'Plant Inputs'!F9/12))),2)</f>
        <v>1186.11</v>
      </c>
      <c r="L65" s="7">
        <f>ROUND(IF(SUM('Plant Inputs'!AG$10:AG10)=0,0,SUM('Plant Inputs'!P$10:P10)/(SUM('Plant Inputs'!AG$10:AG10)/(Parameters!$B$8*'Plant Inputs'!F10/12))),2)</f>
        <v>269.07</v>
      </c>
      <c r="M65" s="7">
        <f>ROUND(IF(SUM('Plant Inputs'!AG$10:AG11)=0,0,SUM('Plant Inputs'!P$10:P11)/(SUM('Plant Inputs'!AG$10:AG11)/(Parameters!$B$8*'Plant Inputs'!F11/12))),2)</f>
        <v>500.81</v>
      </c>
      <c r="N65" s="7">
        <f>ROUND(IF(SUM('Plant Inputs'!AG$10:AG12)=0,0,SUM('Plant Inputs'!P$10:P12)/(SUM('Plant Inputs'!AG$10:AG12)/(Parameters!$B$8*'Plant Inputs'!F12/12))),2)</f>
        <v>747.83</v>
      </c>
      <c r="O65" s="7">
        <f>ROUND(IF(SUM('Plant Inputs'!AG$10:AG13)=0,0,SUM('Plant Inputs'!P$10:P13)/(SUM('Plant Inputs'!AG$10:AG13)/(Parameters!$B$8*'Plant Inputs'!F13/12))),2)</f>
        <v>986.91</v>
      </c>
      <c r="P65" s="7">
        <f>ROUND(IF(SUM('Plant Inputs'!AG$10:AG14)=0,0,SUM('Plant Inputs'!P$10:P14)/(SUM('Plant Inputs'!AG$10:AG14)/(Parameters!$B$8*'Plant Inputs'!F14/12))),2)</f>
        <v>1194.26</v>
      </c>
      <c r="Q65" s="7">
        <f>ROUND(IF(SUM('Plant Inputs'!AG$10:AG15)=0,0,SUM('Plant Inputs'!P$10:P15)/(SUM('Plant Inputs'!AG$10:AG15)/(Parameters!$B$8*'Plant Inputs'!F15/12))),2)</f>
        <v>1336.62</v>
      </c>
      <c r="R65" s="7">
        <f>ROUND(IF(SUM('Plant Inputs'!AG$16:AG16)=0,0,SUM('Plant Inputs'!P$16:P16)/(SUM('Plant Inputs'!AG$16:AG16)/(Parameters!$B$8*'Plant Inputs'!F16/12))),2)</f>
        <v>279.01</v>
      </c>
      <c r="S65" s="7">
        <f>ROUND(IF(SUM('Plant Inputs'!AG$16:AG17)=0,0,SUM('Plant Inputs'!P$16:P17)/(SUM('Plant Inputs'!AG$16:AG17)/(Parameters!$B$8*'Plant Inputs'!F17/12))),2)</f>
        <v>550.58</v>
      </c>
      <c r="T65" s="7">
        <f>ROUND(IF(SUM('Plant Inputs'!AG$16:AG18)=0,0,SUM('Plant Inputs'!P$16:P18)/(SUM('Plant Inputs'!AG$16:AG18)/(Parameters!$B$8*'Plant Inputs'!F18/12))),2)</f>
        <v>848.23</v>
      </c>
      <c r="U65" s="7">
        <f>ROUND(IF(SUM('Plant Inputs'!AG$16:AG19)=0,0,SUM('Plant Inputs'!P$16:P19)/(SUM('Plant Inputs'!AG$16:AG19)/(Parameters!$B$8*'Plant Inputs'!F19/12))),2)</f>
        <v>1113.78</v>
      </c>
      <c r="V65" s="7">
        <f>ROUND(IF(SUM('Plant Inputs'!AG$16:AG20)=0,0,SUM('Plant Inputs'!P$16:P20)/(SUM('Plant Inputs'!AG$16:AG20)/(Parameters!$B$8*'Plant Inputs'!F20/12))),2)</f>
        <v>1446.0</v>
      </c>
      <c r="W65" s="7">
        <f>ROUND(IF(SUM('Plant Inputs'!AG$16:AG21)=0,0,SUM('Plant Inputs'!P$16:P21)/(SUM('Plant Inputs'!AG$16:AG21)/(Parameters!$B$8*'Plant Inputs'!F21/12))),2)</f>
        <v>1779.21</v>
      </c>
      <c r="X65" s="7">
        <f>ROUND(IF(SUM('Plant Inputs'!AG$22:AG22)=0,0,SUM('Plant Inputs'!P$22:P22)/(SUM('Plant Inputs'!AG$22:AG22)/(Parameters!$B$8*'Plant Inputs'!F22/12))),2)</f>
        <v>156.67</v>
      </c>
      <c r="Y65" s="7">
        <f>ROUND(IF(SUM('Plant Inputs'!AG$22:AG23)=0,0,SUM('Plant Inputs'!P$22:P23)/(SUM('Plant Inputs'!AG$22:AG23)/(Parameters!$B$8*'Plant Inputs'!F23/12))),2)</f>
        <v>319.59</v>
      </c>
      <c r="Z65" s="7">
        <f>ROUND(IF(SUM('Plant Inputs'!AG$22:AG24)=0,0,SUM('Plant Inputs'!P$22:P24)/(SUM('Plant Inputs'!AG$22:AG24)/(Parameters!$B$8*'Plant Inputs'!F24/12))),2)</f>
        <v>517.15</v>
      </c>
      <c r="AA65" s="7">
        <f>ROUND(IF(SUM('Plant Inputs'!AG$22:AG25)=0,0,SUM('Plant Inputs'!P$22:P25)/(SUM('Plant Inputs'!AG$22:AG25)/(Parameters!$B$8*'Plant Inputs'!F25/12))),2)</f>
        <v>721.5</v>
      </c>
      <c r="AB65" s="7">
        <f>ROUND(IF(SUM('Plant Inputs'!AG$22:AG26)=0,0,SUM('Plant Inputs'!P$22:P26)/(SUM('Plant Inputs'!AG$22:AG26)/(Parameters!$B$8*'Plant Inputs'!F26/12))),2)</f>
        <v>906.21</v>
      </c>
      <c r="AC65" s="7">
        <f>ROUND(IF(SUM('Plant Inputs'!AG$22:AG27)=0,0,SUM('Plant Inputs'!P$22:P27)/(SUM('Plant Inputs'!AG$22:AG27)/(Parameters!$B$8*'Plant Inputs'!F27/12))),2)</f>
        <v>1135.52</v>
      </c>
      <c r="AD65" s="7">
        <f>ROUND(IF(SUM('Plant Inputs'!AG$28:AG28)=0,0,SUM('Plant Inputs'!P$28:P28)/(SUM('Plant Inputs'!AG$28:AG28)/(Parameters!$B$8*'Plant Inputs'!F28/12))),2)</f>
        <v>245.18</v>
      </c>
      <c r="AE65" s="7">
        <f>ROUND(IF(SUM('Plant Inputs'!AG$28:AG29)=0,0,SUM('Plant Inputs'!P$28:P29)/(SUM('Plant Inputs'!AG$28:AG29)/(Parameters!$B$8*'Plant Inputs'!F29/12))),2)</f>
        <v>501.41</v>
      </c>
      <c r="AF65" s="7">
        <f>ROUND(IF(SUM('Plant Inputs'!AG$28:AG30)=0,0,SUM('Plant Inputs'!P$28:P30)/(SUM('Plant Inputs'!AG$28:AG30)/(Parameters!$B$8*'Plant Inputs'!F30/12))),2)</f>
        <v>810.03</v>
      </c>
      <c r="AG65" s="7">
        <f>ROUND(IF(SUM('Plant Inputs'!AG$28:AG31)=0,0,SUM('Plant Inputs'!P$28:P31)/(SUM('Plant Inputs'!AG$28:AG31)/(Parameters!$B$8*'Plant Inputs'!F31/12))),2)</f>
        <v>1151.39</v>
      </c>
      <c r="AH65" s="7">
        <f>ROUND(IF(SUM('Plant Inputs'!AG$28:AG32)=0,0,SUM('Plant Inputs'!P$28:P32)/(SUM('Plant Inputs'!AG$28:AG32)/(Parameters!$B$8*'Plant Inputs'!F32/12))),2)</f>
        <v>1453.35</v>
      </c>
      <c r="AI65" s="7">
        <f>ROUND(IF(SUM('Plant Inputs'!AG$28:AG33)=0,0,SUM('Plant Inputs'!P$28:P33)/(SUM('Plant Inputs'!AG$28:AG33)/(Parameters!$B$8*'Plant Inputs'!F33/12))),2)</f>
        <v>1810.4</v>
      </c>
      <c r="AJ65" s="7">
        <f>ROUND(IF(SUM('Plant Inputs'!AG$34:AG34)=0,0,SUM('Plant Inputs'!P$34:P34)/(SUM('Plant Inputs'!AG$34:AG34)/(Parameters!$B$8*'Plant Inputs'!F34/12))),2)</f>
        <v>249.89</v>
      </c>
      <c r="AK65" s="7">
        <f>ROUND(IF(SUM('Plant Inputs'!AG$34:AG35)=0,0,SUM('Plant Inputs'!P$34:P35)/(SUM('Plant Inputs'!AG$34:AG35)/(Parameters!$B$8*'Plant Inputs'!F35/12))),2)</f>
        <v>506.32</v>
      </c>
      <c r="AL65" s="7">
        <f>ROUND(IF(SUM('Plant Inputs'!AG$34:AG36)=0,0,SUM('Plant Inputs'!P$34:P36)/(SUM('Plant Inputs'!AG$34:AG36)/(Parameters!$B$8*'Plant Inputs'!F36/12))),2)</f>
        <v>660.67</v>
      </c>
      <c r="AM65" s="7">
        <f>ROUND(IF(SUM('Plant Inputs'!AG$34:AG37)=0,0,SUM('Plant Inputs'!P$34:P37)/(SUM('Plant Inputs'!AG$34:AG37)/(Parameters!$B$8*'Plant Inputs'!F37/12))),2)</f>
        <v>853.27</v>
      </c>
      <c r="AN65" s="7">
        <f>ROUND(IF(SUM('Plant Inputs'!AG$34:AG38)=0,0,SUM('Plant Inputs'!P$34:P38)/(SUM('Plant Inputs'!AG$34:AG38)/(Parameters!$B$8*'Plant Inputs'!F38/12))),2)</f>
        <v>1122.52</v>
      </c>
      <c r="AO65" s="7">
        <f>ROUND(IF(SUM('Plant Inputs'!AG$34:AG39)=0,0,SUM('Plant Inputs'!P$34:P39)/(SUM('Plant Inputs'!AG$34:AG39)/(Parameters!$B$8*'Plant Inputs'!F39/12))),2)</f>
        <v>1290.61</v>
      </c>
    </row>
    <row r="66" spans="1:41">
      <c r="A66" s="6" t="s">
        <v>922</v>
      </c>
      <c r="B66" s="6" t="s">
        <v>923</v>
      </c>
      <c r="C66" s="6" t="s">
        <v>668</v>
      </c>
      <c r="D66" s="6" t="s">
        <v>25</v>
      </c>
      <c r="E66" s="6" t="s">
        <v>924</v>
      </c>
      <c r="F66" s="8" t="str">
        <f>IF(ABS(100*'Plant Inputs'!P4/'Plant Inputs'!Q4-100*'Plant Inputs'!P4/'Plant Inputs'!Q4)&lt;1,"Stable",IF(100*'Plant Inputs'!P4/'Plant Inputs'!Q4&gt;100*'Plant Inputs'!P4/'Plant Inputs'!Q4,"Improving","Deteriorating"))&amp;" ("&amp;ROUND(100*'Plant Inputs'!P4/'Plant Inputs'!Q4-100*'Plant Inputs'!P4/'Plant Inputs'!Q4,1)&amp;" pts vs last month)"</f>
        <v>Stable (0 pts vs last month)</v>
      </c>
      <c r="G66" s="8" t="str">
        <f>IF(ABS(100*'Plant Inputs'!P5/'Plant Inputs'!Q5-100*'Plant Inputs'!P4/'Plant Inputs'!Q4)&lt;1,"Stable",IF(100*'Plant Inputs'!P5/'Plant Inputs'!Q5&gt;100*'Plant Inputs'!P4/'Plant Inputs'!Q4,"Improving","Deteriorating"))&amp;" ("&amp;ROUND(100*'Plant Inputs'!P5/'Plant Inputs'!Q5-100*'Plant Inputs'!P4/'Plant Inputs'!Q4,1)&amp;" pts vs last month)"</f>
        <v>Improving (2.7 pts vs last month)</v>
      </c>
      <c r="H66" s="8" t="str">
        <f>IF(ABS(100*'Plant Inputs'!P6/'Plant Inputs'!Q6-100*'Plant Inputs'!P5/'Plant Inputs'!Q5)&lt;1,"Stable",IF(100*'Plant Inputs'!P6/'Plant Inputs'!Q6&gt;100*'Plant Inputs'!P5/'Plant Inputs'!Q5,"Improving","Deteriorating"))&amp;" ("&amp;ROUND(100*'Plant Inputs'!P6/'Plant Inputs'!Q6-100*'Plant Inputs'!P5/'Plant Inputs'!Q5,1)&amp;" pts vs last month)"</f>
        <v>Stable (0.3 pts vs last month)</v>
      </c>
      <c r="I66" s="8" t="str">
        <f>IF(ABS(100*'Plant Inputs'!P7/'Plant Inputs'!Q7-100*'Plant Inputs'!P6/'Plant Inputs'!Q6)&lt;1,"Stable",IF(100*'Plant Inputs'!P7/'Plant Inputs'!Q7&gt;100*'Plant Inputs'!P6/'Plant Inputs'!Q6,"Improving","Deteriorating"))&amp;" ("&amp;ROUND(100*'Plant Inputs'!P7/'Plant Inputs'!Q7-100*'Plant Inputs'!P6/'Plant Inputs'!Q6,1)&amp;" pts vs last month)"</f>
        <v>Deteriorating (-5.7 pts vs last month)</v>
      </c>
      <c r="J66" s="8" t="str">
        <f>IF(ABS(100*'Plant Inputs'!P8/'Plant Inputs'!Q8-100*'Plant Inputs'!P7/'Plant Inputs'!Q7)&lt;1,"Stable",IF(100*'Plant Inputs'!P8/'Plant Inputs'!Q8&gt;100*'Plant Inputs'!P7/'Plant Inputs'!Q7,"Improving","Deteriorating"))&amp;" ("&amp;ROUND(100*'Plant Inputs'!P8/'Plant Inputs'!Q8-100*'Plant Inputs'!P7/'Plant Inputs'!Q7,1)&amp;" pts vs last month)"</f>
        <v>Improving (4.1 pts vs last month)</v>
      </c>
      <c r="K66" s="8" t="str">
        <f>IF(ABS(100*'Plant Inputs'!P9/'Plant Inputs'!Q9-100*'Plant Inputs'!P8/'Plant Inputs'!Q8)&lt;1,"Stable",IF(100*'Plant Inputs'!P9/'Plant Inputs'!Q9&gt;100*'Plant Inputs'!P8/'Plant Inputs'!Q8,"Improving","Deteriorating"))&amp;" ("&amp;ROUND(100*'Plant Inputs'!P9/'Plant Inputs'!Q9-100*'Plant Inputs'!P8/'Plant Inputs'!Q8,1)&amp;" pts vs last month)"</f>
        <v>Stable (-1 pts vs last month)</v>
      </c>
      <c r="L66" s="8" t="str">
        <f>IF(ABS(100*'Plant Inputs'!P10/'Plant Inputs'!Q10-100*'Plant Inputs'!P10/'Plant Inputs'!Q10)&lt;1,"Stable",IF(100*'Plant Inputs'!P10/'Plant Inputs'!Q10&gt;100*'Plant Inputs'!P10/'Plant Inputs'!Q10,"Improving","Deteriorating"))&amp;" ("&amp;ROUND(100*'Plant Inputs'!P10/'Plant Inputs'!Q10-100*'Plant Inputs'!P10/'Plant Inputs'!Q10,1)&amp;" pts vs last month)"</f>
        <v>Stable (0 pts vs last month)</v>
      </c>
      <c r="M66" s="8" t="str">
        <f>IF(ABS(100*'Plant Inputs'!P11/'Plant Inputs'!Q11-100*'Plant Inputs'!P10/'Plant Inputs'!Q10)&lt;1,"Stable",IF(100*'Plant Inputs'!P11/'Plant Inputs'!Q11&gt;100*'Plant Inputs'!P10/'Plant Inputs'!Q10,"Improving","Deteriorating"))&amp;" ("&amp;ROUND(100*'Plant Inputs'!P11/'Plant Inputs'!Q11-100*'Plant Inputs'!P10/'Plant Inputs'!Q10,1)&amp;" pts vs last month)"</f>
        <v>Improving (5.5 pts vs last month)</v>
      </c>
      <c r="N66" s="8" t="str">
        <f>IF(ABS(100*'Plant Inputs'!P12/'Plant Inputs'!Q12-100*'Plant Inputs'!P11/'Plant Inputs'!Q11)&lt;1,"Stable",IF(100*'Plant Inputs'!P12/'Plant Inputs'!Q12&gt;100*'Plant Inputs'!P11/'Plant Inputs'!Q11,"Improving","Deteriorating"))&amp;" ("&amp;ROUND(100*'Plant Inputs'!P12/'Plant Inputs'!Q12-100*'Plant Inputs'!P11/'Plant Inputs'!Q11,1)&amp;" pts vs last month)"</f>
        <v>Stable (0.2 pts vs last month)</v>
      </c>
      <c r="O66" s="8" t="str">
        <f>IF(ABS(100*'Plant Inputs'!P13/'Plant Inputs'!Q13-100*'Plant Inputs'!P12/'Plant Inputs'!Q12)&lt;1,"Stable",IF(100*'Plant Inputs'!P13/'Plant Inputs'!Q13&gt;100*'Plant Inputs'!P12/'Plant Inputs'!Q12,"Improving","Deteriorating"))&amp;" ("&amp;ROUND(100*'Plant Inputs'!P13/'Plant Inputs'!Q13-100*'Plant Inputs'!P12/'Plant Inputs'!Q12,1)&amp;" pts vs last month)"</f>
        <v>Deteriorating (-4 pts vs last month)</v>
      </c>
      <c r="P66" s="8" t="str">
        <f>IF(ABS(100*'Plant Inputs'!P14/'Plant Inputs'!Q14-100*'Plant Inputs'!P13/'Plant Inputs'!Q13)&lt;1,"Stable",IF(100*'Plant Inputs'!P14/'Plant Inputs'!Q14&gt;100*'Plant Inputs'!P13/'Plant Inputs'!Q13,"Improving","Deteriorating"))&amp;" ("&amp;ROUND(100*'Plant Inputs'!P14/'Plant Inputs'!Q14-100*'Plant Inputs'!P13/'Plant Inputs'!Q13,1)&amp;" pts vs last month)"</f>
        <v>Deteriorating (-1.9 pts vs last month)</v>
      </c>
      <c r="Q66" s="8" t="str">
        <f>IF(ABS(100*'Plant Inputs'!P15/'Plant Inputs'!Q15-100*'Plant Inputs'!P14/'Plant Inputs'!Q14)&lt;1,"Stable",IF(100*'Plant Inputs'!P15/'Plant Inputs'!Q15&gt;100*'Plant Inputs'!P14/'Plant Inputs'!Q14,"Improving","Deteriorating"))&amp;" ("&amp;ROUND(100*'Plant Inputs'!P15/'Plant Inputs'!Q15-100*'Plant Inputs'!P14/'Plant Inputs'!Q14,1)&amp;" pts vs last month)"</f>
        <v>Improving (4.5 pts vs last month)</v>
      </c>
      <c r="R66" s="8" t="str">
        <f>IF(ABS(100*'Plant Inputs'!P16/'Plant Inputs'!Q16-100*'Plant Inputs'!P16/'Plant Inputs'!Q16)&lt;1,"Stable",IF(100*'Plant Inputs'!P16/'Plant Inputs'!Q16&gt;100*'Plant Inputs'!P16/'Plant Inputs'!Q16,"Improving","Deteriorating"))&amp;" ("&amp;ROUND(100*'Plant Inputs'!P16/'Plant Inputs'!Q16-100*'Plant Inputs'!P16/'Plant Inputs'!Q16,1)&amp;" pts vs last month)"</f>
        <v>Stable (0 pts vs last month)</v>
      </c>
      <c r="S66" s="8" t="str">
        <f>IF(ABS(100*'Plant Inputs'!P17/'Plant Inputs'!Q17-100*'Plant Inputs'!P16/'Plant Inputs'!Q16)&lt;1,"Stable",IF(100*'Plant Inputs'!P17/'Plant Inputs'!Q17&gt;100*'Plant Inputs'!P16/'Plant Inputs'!Q16,"Improving","Deteriorating"))&amp;" ("&amp;ROUND(100*'Plant Inputs'!P17/'Plant Inputs'!Q17-100*'Plant Inputs'!P16/'Plant Inputs'!Q16,1)&amp;" pts vs last month)"</f>
        <v>Stable (-0.5 pts vs last month)</v>
      </c>
      <c r="T66" s="8" t="str">
        <f>IF(ABS(100*'Plant Inputs'!P18/'Plant Inputs'!Q18-100*'Plant Inputs'!P17/'Plant Inputs'!Q17)&lt;1,"Stable",IF(100*'Plant Inputs'!P18/'Plant Inputs'!Q18&gt;100*'Plant Inputs'!P17/'Plant Inputs'!Q17,"Improving","Deteriorating"))&amp;" ("&amp;ROUND(100*'Plant Inputs'!P18/'Plant Inputs'!Q18-100*'Plant Inputs'!P17/'Plant Inputs'!Q17,1)&amp;" pts vs last month)"</f>
        <v>Improving (3 pts vs last month)</v>
      </c>
      <c r="U66" s="8" t="str">
        <f>IF(ABS(100*'Plant Inputs'!P19/'Plant Inputs'!Q19-100*'Plant Inputs'!P18/'Plant Inputs'!Q18)&lt;1,"Stable",IF(100*'Plant Inputs'!P19/'Plant Inputs'!Q19&gt;100*'Plant Inputs'!P18/'Plant Inputs'!Q18,"Improving","Deteriorating"))&amp;" ("&amp;ROUND(100*'Plant Inputs'!P19/'Plant Inputs'!Q19-100*'Plant Inputs'!P18/'Plant Inputs'!Q18,1)&amp;" pts vs last month)"</f>
        <v>Deteriorating (-1.3 pts vs last month)</v>
      </c>
      <c r="V66" s="8" t="str">
        <f>IF(ABS(100*'Plant Inputs'!P20/'Plant Inputs'!Q20-100*'Plant Inputs'!P19/'Plant Inputs'!Q19)&lt;1,"Stable",IF(100*'Plant Inputs'!P20/'Plant Inputs'!Q20&gt;100*'Plant Inputs'!P19/'Plant Inputs'!Q19,"Improving","Deteriorating"))&amp;" ("&amp;ROUND(100*'Plant Inputs'!P20/'Plant Inputs'!Q20-100*'Plant Inputs'!P19/'Plant Inputs'!Q19,1)&amp;" pts vs last month)"</f>
        <v>Improving (1.5 pts vs last month)</v>
      </c>
      <c r="W66" s="8" t="str">
        <f>IF(ABS(100*'Plant Inputs'!P21/'Plant Inputs'!Q21-100*'Plant Inputs'!P20/'Plant Inputs'!Q20)&lt;1,"Stable",IF(100*'Plant Inputs'!P21/'Plant Inputs'!Q21&gt;100*'Plant Inputs'!P20/'Plant Inputs'!Q20,"Improving","Deteriorating"))&amp;" ("&amp;ROUND(100*'Plant Inputs'!P21/'Plant Inputs'!Q21-100*'Plant Inputs'!P20/'Plant Inputs'!Q20,1)&amp;" pts vs last month)"</f>
        <v>Deteriorating (-1.7 pts vs last month)</v>
      </c>
      <c r="X66" s="8" t="str">
        <f>IF(ABS(100*'Plant Inputs'!P22/'Plant Inputs'!Q22-100*'Plant Inputs'!P22/'Plant Inputs'!Q22)&lt;1,"Stable",IF(100*'Plant Inputs'!P22/'Plant Inputs'!Q22&gt;100*'Plant Inputs'!P22/'Plant Inputs'!Q22,"Improving","Deteriorating"))&amp;" ("&amp;ROUND(100*'Plant Inputs'!P22/'Plant Inputs'!Q22-100*'Plant Inputs'!P22/'Plant Inputs'!Q22,1)&amp;" pts vs last month)"</f>
        <v>Stable (0 pts vs last month)</v>
      </c>
      <c r="Y66" s="8" t="str">
        <f>IF(ABS(100*'Plant Inputs'!P23/'Plant Inputs'!Q23-100*'Plant Inputs'!P22/'Plant Inputs'!Q22)&lt;1,"Stable",IF(100*'Plant Inputs'!P23/'Plant Inputs'!Q23&gt;100*'Plant Inputs'!P22/'Plant Inputs'!Q22,"Improving","Deteriorating"))&amp;" ("&amp;ROUND(100*'Plant Inputs'!P23/'Plant Inputs'!Q23-100*'Plant Inputs'!P22/'Plant Inputs'!Q22,1)&amp;" pts vs last month)"</f>
        <v>Deteriorating (-1.1 pts vs last month)</v>
      </c>
      <c r="Z66" s="8" t="str">
        <f>IF(ABS(100*'Plant Inputs'!P24/'Plant Inputs'!Q24-100*'Plant Inputs'!P23/'Plant Inputs'!Q23)&lt;1,"Stable",IF(100*'Plant Inputs'!P24/'Plant Inputs'!Q24&gt;100*'Plant Inputs'!P23/'Plant Inputs'!Q23,"Improving","Deteriorating"))&amp;" ("&amp;ROUND(100*'Plant Inputs'!P24/'Plant Inputs'!Q24-100*'Plant Inputs'!P23/'Plant Inputs'!Q23,1)&amp;" pts vs last month)"</f>
        <v>Deteriorating (-1.1 pts vs last month)</v>
      </c>
      <c r="AA66" s="8" t="str">
        <f>IF(ABS(100*'Plant Inputs'!P25/'Plant Inputs'!Q25-100*'Plant Inputs'!P24/'Plant Inputs'!Q24)&lt;1,"Stable",IF(100*'Plant Inputs'!P25/'Plant Inputs'!Q25&gt;100*'Plant Inputs'!P24/'Plant Inputs'!Q24,"Improving","Deteriorating"))&amp;" ("&amp;ROUND(100*'Plant Inputs'!P25/'Plant Inputs'!Q25-100*'Plant Inputs'!P24/'Plant Inputs'!Q24,1)&amp;" pts vs last month)"</f>
        <v>Improving (4 pts vs last month)</v>
      </c>
      <c r="AB66" s="8" t="str">
        <f>IF(ABS(100*'Plant Inputs'!P26/'Plant Inputs'!Q26-100*'Plant Inputs'!P25/'Plant Inputs'!Q25)&lt;1,"Stable",IF(100*'Plant Inputs'!P26/'Plant Inputs'!Q26&gt;100*'Plant Inputs'!P25/'Plant Inputs'!Q25,"Improving","Deteriorating"))&amp;" ("&amp;ROUND(100*'Plant Inputs'!P26/'Plant Inputs'!Q26-100*'Plant Inputs'!P25/'Plant Inputs'!Q25,1)&amp;" pts vs last month)"</f>
        <v>Deteriorating (-3.1 pts vs last month)</v>
      </c>
      <c r="AC66" s="8" t="str">
        <f>IF(ABS(100*'Plant Inputs'!P27/'Plant Inputs'!Q27-100*'Plant Inputs'!P26/'Plant Inputs'!Q26)&lt;1,"Stable",IF(100*'Plant Inputs'!P27/'Plant Inputs'!Q27&gt;100*'Plant Inputs'!P26/'Plant Inputs'!Q26,"Improving","Deteriorating"))&amp;" ("&amp;ROUND(100*'Plant Inputs'!P27/'Plant Inputs'!Q27-100*'Plant Inputs'!P26/'Plant Inputs'!Q26,1)&amp;" pts vs last month)"</f>
        <v>Stable (-1 pts vs last month)</v>
      </c>
      <c r="AD66" s="8" t="str">
        <f>IF(ABS(100*'Plant Inputs'!P28/'Plant Inputs'!Q28-100*'Plant Inputs'!P28/'Plant Inputs'!Q28)&lt;1,"Stable",IF(100*'Plant Inputs'!P28/'Plant Inputs'!Q28&gt;100*'Plant Inputs'!P28/'Plant Inputs'!Q28,"Improving","Deteriorating"))&amp;" ("&amp;ROUND(100*'Plant Inputs'!P28/'Plant Inputs'!Q28-100*'Plant Inputs'!P28/'Plant Inputs'!Q28,1)&amp;" pts vs last month)"</f>
        <v>Stable (0 pts vs last month)</v>
      </c>
      <c r="AE66" s="8" t="str">
        <f>IF(ABS(100*'Plant Inputs'!P29/'Plant Inputs'!Q29-100*'Plant Inputs'!P28/'Plant Inputs'!Q28)&lt;1,"Stable",IF(100*'Plant Inputs'!P29/'Plant Inputs'!Q29&gt;100*'Plant Inputs'!P28/'Plant Inputs'!Q28,"Improving","Deteriorating"))&amp;" ("&amp;ROUND(100*'Plant Inputs'!P29/'Plant Inputs'!Q29-100*'Plant Inputs'!P28/'Plant Inputs'!Q28,1)&amp;" pts vs last month)"</f>
        <v>Improving (2.9 pts vs last month)</v>
      </c>
      <c r="AF66" s="8" t="str">
        <f>IF(ABS(100*'Plant Inputs'!P30/'Plant Inputs'!Q30-100*'Plant Inputs'!P29/'Plant Inputs'!Q29)&lt;1,"Stable",IF(100*'Plant Inputs'!P30/'Plant Inputs'!Q30&gt;100*'Plant Inputs'!P29/'Plant Inputs'!Q29,"Improving","Deteriorating"))&amp;" ("&amp;ROUND(100*'Plant Inputs'!P30/'Plant Inputs'!Q30-100*'Plant Inputs'!P29/'Plant Inputs'!Q29,1)&amp;" pts vs last month)"</f>
        <v>Deteriorating (-2.9 pts vs last month)</v>
      </c>
      <c r="AG66" s="8" t="str">
        <f>IF(ABS(100*'Plant Inputs'!P31/'Plant Inputs'!Q31-100*'Plant Inputs'!P30/'Plant Inputs'!Q30)&lt;1,"Stable",IF(100*'Plant Inputs'!P31/'Plant Inputs'!Q31&gt;100*'Plant Inputs'!P30/'Plant Inputs'!Q30,"Improving","Deteriorating"))&amp;" ("&amp;ROUND(100*'Plant Inputs'!P31/'Plant Inputs'!Q31-100*'Plant Inputs'!P30/'Plant Inputs'!Q30,1)&amp;" pts vs last month)"</f>
        <v>Improving (5.1 pts vs last month)</v>
      </c>
      <c r="AH66" s="8" t="str">
        <f>IF(ABS(100*'Plant Inputs'!P32/'Plant Inputs'!Q32-100*'Plant Inputs'!P31/'Plant Inputs'!Q31)&lt;1,"Stable",IF(100*'Plant Inputs'!P32/'Plant Inputs'!Q32&gt;100*'Plant Inputs'!P31/'Plant Inputs'!Q31,"Improving","Deteriorating"))&amp;" ("&amp;ROUND(100*'Plant Inputs'!P32/'Plant Inputs'!Q32-100*'Plant Inputs'!P31/'Plant Inputs'!Q31,1)&amp;" pts vs last month)"</f>
        <v>Deteriorating (-5 pts vs last month)</v>
      </c>
      <c r="AI66" s="8" t="str">
        <f>IF(ABS(100*'Plant Inputs'!P33/'Plant Inputs'!Q33-100*'Plant Inputs'!P32/'Plant Inputs'!Q32)&lt;1,"Stable",IF(100*'Plant Inputs'!P33/'Plant Inputs'!Q33&gt;100*'Plant Inputs'!P32/'Plant Inputs'!Q32,"Improving","Deteriorating"))&amp;" ("&amp;ROUND(100*'Plant Inputs'!P33/'Plant Inputs'!Q33-100*'Plant Inputs'!P32/'Plant Inputs'!Q32,1)&amp;" pts vs last month)"</f>
        <v>Improving (3.9 pts vs last month)</v>
      </c>
      <c r="AJ66" s="8" t="str">
        <f>IF(ABS(100*'Plant Inputs'!P34/'Plant Inputs'!Q34-100*'Plant Inputs'!P34/'Plant Inputs'!Q34)&lt;1,"Stable",IF(100*'Plant Inputs'!P34/'Plant Inputs'!Q34&gt;100*'Plant Inputs'!P34/'Plant Inputs'!Q34,"Improving","Deteriorating"))&amp;" ("&amp;ROUND(100*'Plant Inputs'!P34/'Plant Inputs'!Q34-100*'Plant Inputs'!P34/'Plant Inputs'!Q34,1)&amp;" pts vs last month)"</f>
        <v>Stable (0 pts vs last month)</v>
      </c>
      <c r="AK66" s="8" t="str">
        <f>IF(ABS(100*'Plant Inputs'!P35/'Plant Inputs'!Q35-100*'Plant Inputs'!P34/'Plant Inputs'!Q34)&lt;1,"Stable",IF(100*'Plant Inputs'!P35/'Plant Inputs'!Q35&gt;100*'Plant Inputs'!P34/'Plant Inputs'!Q34,"Improving","Deteriorating"))&amp;" ("&amp;ROUND(100*'Plant Inputs'!P35/'Plant Inputs'!Q35-100*'Plant Inputs'!P34/'Plant Inputs'!Q34,1)&amp;" pts vs last month)"</f>
        <v>Improving (1.5 pts vs last month)</v>
      </c>
      <c r="AL66" s="8" t="str">
        <f>IF(ABS(100*'Plant Inputs'!P36/'Plant Inputs'!Q36-100*'Plant Inputs'!P35/'Plant Inputs'!Q35)&lt;1,"Stable",IF(100*'Plant Inputs'!P36/'Plant Inputs'!Q36&gt;100*'Plant Inputs'!P35/'Plant Inputs'!Q35,"Improving","Deteriorating"))&amp;" ("&amp;ROUND(100*'Plant Inputs'!P36/'Plant Inputs'!Q36-100*'Plant Inputs'!P35/'Plant Inputs'!Q35,1)&amp;" pts vs last month)"</f>
        <v>Deteriorating (-5 pts vs last month)</v>
      </c>
      <c r="AM66" s="8" t="str">
        <f>IF(ABS(100*'Plant Inputs'!P37/'Plant Inputs'!Q37-100*'Plant Inputs'!P36/'Plant Inputs'!Q36)&lt;1,"Stable",IF(100*'Plant Inputs'!P37/'Plant Inputs'!Q37&gt;100*'Plant Inputs'!P36/'Plant Inputs'!Q36,"Improving","Deteriorating"))&amp;" ("&amp;ROUND(100*'Plant Inputs'!P37/'Plant Inputs'!Q37-100*'Plant Inputs'!P36/'Plant Inputs'!Q36,1)&amp;" pts vs last month)"</f>
        <v>Stable (0.4 pts vs last month)</v>
      </c>
      <c r="AN66" s="8" t="str">
        <f>IF(ABS(100*'Plant Inputs'!P38/'Plant Inputs'!Q38-100*'Plant Inputs'!P37/'Plant Inputs'!Q37)&lt;1,"Stable",IF(100*'Plant Inputs'!P38/'Plant Inputs'!Q38&gt;100*'Plant Inputs'!P37/'Plant Inputs'!Q37,"Improving","Deteriorating"))&amp;" ("&amp;ROUND(100*'Plant Inputs'!P38/'Plant Inputs'!Q38-100*'Plant Inputs'!P37/'Plant Inputs'!Q37,1)&amp;" pts vs last month)"</f>
        <v>Improving (2.7 pts vs last month)</v>
      </c>
      <c r="AO66" s="8" t="str">
        <f>IF(ABS(100*'Plant Inputs'!P39/'Plant Inputs'!Q39-100*'Plant Inputs'!P38/'Plant Inputs'!Q38)&lt;1,"Stable",IF(100*'Plant Inputs'!P39/'Plant Inputs'!Q39&gt;100*'Plant Inputs'!P38/'Plant Inputs'!Q38,"Improving","Deteriorating"))&amp;" ("&amp;ROUND(100*'Plant Inputs'!P39/'Plant Inputs'!Q39-100*'Plant Inputs'!P38/'Plant Inputs'!Q38,1)&amp;" pts vs last month)"</f>
        <v>Stable (0.2 pts vs last month)</v>
      </c>
    </row>
    <row r="67" spans="1:41">
      <c r="A67" s="6" t="s">
        <v>925</v>
      </c>
      <c r="B67" s="6" t="s">
        <v>926</v>
      </c>
      <c r="C67" s="6" t="s">
        <v>668</v>
      </c>
      <c r="D67" s="6" t="s">
        <v>25</v>
      </c>
      <c r="E67" s="6" t="s">
        <v>927</v>
      </c>
      <c r="F67" s="8" t="str">
        <f>IF(ABS(100*'Plant Inputs'!S4/'Plant Inputs'!R4-100*'Plant Inputs'!S4/'Plant Inputs'!R4)&lt;1,"Stable",IF(100*'Plant Inputs'!S4/'Plant Inputs'!R4&gt;100*'Plant Inputs'!S4/'Plant Inputs'!R4,"Improving","Deteriorating"))&amp;" ("&amp;ROUND(100*'Plant Inputs'!S4/'Plant Inputs'!R4-100*'Plant Inputs'!S4/'Plant Inputs'!R4,1)&amp;" pts vs last month)"</f>
        <v>Stable (0 pts vs last month)</v>
      </c>
      <c r="G67" s="8" t="str">
        <f>IF(ABS(100*'Plant Inputs'!S5/'Plant Inputs'!R5-100*'Plant Inputs'!S4/'Plant Inputs'!R4)&lt;1,"Stable",IF(100*'Plant Inputs'!S5/'Plant Inputs'!R5&gt;100*'Plant Inputs'!S4/'Plant Inputs'!R4,"Improving","Deteriorating"))&amp;" ("&amp;ROUND(100*'Plant Inputs'!S5/'Plant Inputs'!R5-100*'Plant Inputs'!S4/'Plant Inputs'!R4,1)&amp;" pts vs last month)"</f>
        <v>Deteriorating (-5.1 pts vs last month)</v>
      </c>
      <c r="H67" s="8" t="str">
        <f>IF(ABS(100*'Plant Inputs'!S6/'Plant Inputs'!R6-100*'Plant Inputs'!S5/'Plant Inputs'!R5)&lt;1,"Stable",IF(100*'Plant Inputs'!S6/'Plant Inputs'!R6&gt;100*'Plant Inputs'!S5/'Plant Inputs'!R5,"Improving","Deteriorating"))&amp;" ("&amp;ROUND(100*'Plant Inputs'!S6/'Plant Inputs'!R6-100*'Plant Inputs'!S5/'Plant Inputs'!R5,1)&amp;" pts vs last month)"</f>
        <v>Improving (2.1 pts vs last month)</v>
      </c>
      <c r="I67" s="8" t="str">
        <f>IF(ABS(100*'Plant Inputs'!S7/'Plant Inputs'!R7-100*'Plant Inputs'!S6/'Plant Inputs'!R6)&lt;1,"Stable",IF(100*'Plant Inputs'!S7/'Plant Inputs'!R7&gt;100*'Plant Inputs'!S6/'Plant Inputs'!R6,"Improving","Deteriorating"))&amp;" ("&amp;ROUND(100*'Plant Inputs'!S7/'Plant Inputs'!R7-100*'Plant Inputs'!S6/'Plant Inputs'!R6,1)&amp;" pts vs last month)"</f>
        <v>Improving (4.7 pts vs last month)</v>
      </c>
      <c r="J67" s="8" t="str">
        <f>IF(ABS(100*'Plant Inputs'!S8/'Plant Inputs'!R8-100*'Plant Inputs'!S7/'Plant Inputs'!R7)&lt;1,"Stable",IF(100*'Plant Inputs'!S8/'Plant Inputs'!R8&gt;100*'Plant Inputs'!S7/'Plant Inputs'!R7,"Improving","Deteriorating"))&amp;" ("&amp;ROUND(100*'Plant Inputs'!S8/'Plant Inputs'!R8-100*'Plant Inputs'!S7/'Plant Inputs'!R7,1)&amp;" pts vs last month)"</f>
        <v>Deteriorating (-2.7 pts vs last month)</v>
      </c>
      <c r="K67" s="8" t="str">
        <f>IF(ABS(100*'Plant Inputs'!S9/'Plant Inputs'!R9-100*'Plant Inputs'!S8/'Plant Inputs'!R8)&lt;1,"Stable",IF(100*'Plant Inputs'!S9/'Plant Inputs'!R9&gt;100*'Plant Inputs'!S8/'Plant Inputs'!R8,"Improving","Deteriorating"))&amp;" ("&amp;ROUND(100*'Plant Inputs'!S9/'Plant Inputs'!R9-100*'Plant Inputs'!S8/'Plant Inputs'!R8,1)&amp;" pts vs last month)"</f>
        <v>Improving (3 pts vs last month)</v>
      </c>
      <c r="L67" s="8" t="str">
        <f>IF(ABS(100*'Plant Inputs'!S10/'Plant Inputs'!R10-100*'Plant Inputs'!S10/'Plant Inputs'!R10)&lt;1,"Stable",IF(100*'Plant Inputs'!S10/'Plant Inputs'!R10&gt;100*'Plant Inputs'!S10/'Plant Inputs'!R10,"Improving","Deteriorating"))&amp;" ("&amp;ROUND(100*'Plant Inputs'!S10/'Plant Inputs'!R10-100*'Plant Inputs'!S10/'Plant Inputs'!R10,1)&amp;" pts vs last month)"</f>
        <v>Stable (0 pts vs last month)</v>
      </c>
      <c r="M67" s="8" t="str">
        <f>IF(ABS(100*'Plant Inputs'!S11/'Plant Inputs'!R11-100*'Plant Inputs'!S10/'Plant Inputs'!R10)&lt;1,"Stable",IF(100*'Plant Inputs'!S11/'Plant Inputs'!R11&gt;100*'Plant Inputs'!S10/'Plant Inputs'!R10,"Improving","Deteriorating"))&amp;" ("&amp;ROUND(100*'Plant Inputs'!S11/'Plant Inputs'!R11-100*'Plant Inputs'!S10/'Plant Inputs'!R10,1)&amp;" pts vs last month)"</f>
        <v>Improving (4.3 pts vs last month)</v>
      </c>
      <c r="N67" s="8" t="str">
        <f>IF(ABS(100*'Plant Inputs'!S12/'Plant Inputs'!R12-100*'Plant Inputs'!S11/'Plant Inputs'!R11)&lt;1,"Stable",IF(100*'Plant Inputs'!S12/'Plant Inputs'!R12&gt;100*'Plant Inputs'!S11/'Plant Inputs'!R11,"Improving","Deteriorating"))&amp;" ("&amp;ROUND(100*'Plant Inputs'!S12/'Plant Inputs'!R12-100*'Plant Inputs'!S11/'Plant Inputs'!R11,1)&amp;" pts vs last month)"</f>
        <v>Deteriorating (-4.5 pts vs last month)</v>
      </c>
      <c r="O67" s="8" t="str">
        <f>IF(ABS(100*'Plant Inputs'!S13/'Plant Inputs'!R13-100*'Plant Inputs'!S12/'Plant Inputs'!R12)&lt;1,"Stable",IF(100*'Plant Inputs'!S13/'Plant Inputs'!R13&gt;100*'Plant Inputs'!S12/'Plant Inputs'!R12,"Improving","Deteriorating"))&amp;" ("&amp;ROUND(100*'Plant Inputs'!S13/'Plant Inputs'!R13-100*'Plant Inputs'!S12/'Plant Inputs'!R12,1)&amp;" pts vs last month)"</f>
        <v>Improving (4.9 pts vs last month)</v>
      </c>
      <c r="P67" s="8" t="str">
        <f>IF(ABS(100*'Plant Inputs'!S14/'Plant Inputs'!R14-100*'Plant Inputs'!S13/'Plant Inputs'!R13)&lt;1,"Stable",IF(100*'Plant Inputs'!S14/'Plant Inputs'!R14&gt;100*'Plant Inputs'!S13/'Plant Inputs'!R13,"Improving","Deteriorating"))&amp;" ("&amp;ROUND(100*'Plant Inputs'!S14/'Plant Inputs'!R14-100*'Plant Inputs'!S13/'Plant Inputs'!R13,1)&amp;" pts vs last month)"</f>
        <v>Deteriorating (-4.9 pts vs last month)</v>
      </c>
      <c r="Q67" s="8" t="str">
        <f>IF(ABS(100*'Plant Inputs'!S15/'Plant Inputs'!R15-100*'Plant Inputs'!S14/'Plant Inputs'!R14)&lt;1,"Stable",IF(100*'Plant Inputs'!S15/'Plant Inputs'!R15&gt;100*'Plant Inputs'!S14/'Plant Inputs'!R14,"Improving","Deteriorating"))&amp;" ("&amp;ROUND(100*'Plant Inputs'!S15/'Plant Inputs'!R15-100*'Plant Inputs'!S14/'Plant Inputs'!R14,1)&amp;" pts vs last month)"</f>
        <v>Improving (4.4 pts vs last month)</v>
      </c>
      <c r="R67" s="8" t="str">
        <f>IF(ABS(100*'Plant Inputs'!S16/'Plant Inputs'!R16-100*'Plant Inputs'!S16/'Plant Inputs'!R16)&lt;1,"Stable",IF(100*'Plant Inputs'!S16/'Plant Inputs'!R16&gt;100*'Plant Inputs'!S16/'Plant Inputs'!R16,"Improving","Deteriorating"))&amp;" ("&amp;ROUND(100*'Plant Inputs'!S16/'Plant Inputs'!R16-100*'Plant Inputs'!S16/'Plant Inputs'!R16,1)&amp;" pts vs last month)"</f>
        <v>Stable (0 pts vs last month)</v>
      </c>
      <c r="S67" s="8" t="str">
        <f>IF(ABS(100*'Plant Inputs'!S17/'Plant Inputs'!R17-100*'Plant Inputs'!S16/'Plant Inputs'!R16)&lt;1,"Stable",IF(100*'Plant Inputs'!S17/'Plant Inputs'!R17&gt;100*'Plant Inputs'!S16/'Plant Inputs'!R16,"Improving","Deteriorating"))&amp;" ("&amp;ROUND(100*'Plant Inputs'!S17/'Plant Inputs'!R17-100*'Plant Inputs'!S16/'Plant Inputs'!R16,1)&amp;" pts vs last month)"</f>
        <v>Deteriorating (-3.1 pts vs last month)</v>
      </c>
      <c r="T67" s="8" t="str">
        <f>IF(ABS(100*'Plant Inputs'!S18/'Plant Inputs'!R18-100*'Plant Inputs'!S17/'Plant Inputs'!R17)&lt;1,"Stable",IF(100*'Plant Inputs'!S18/'Plant Inputs'!R18&gt;100*'Plant Inputs'!S17/'Plant Inputs'!R17,"Improving","Deteriorating"))&amp;" ("&amp;ROUND(100*'Plant Inputs'!S18/'Plant Inputs'!R18-100*'Plant Inputs'!S17/'Plant Inputs'!R17,1)&amp;" pts vs last month)"</f>
        <v>Improving (5.5 pts vs last month)</v>
      </c>
      <c r="U67" s="8" t="str">
        <f>IF(ABS(100*'Plant Inputs'!S19/'Plant Inputs'!R19-100*'Plant Inputs'!S18/'Plant Inputs'!R18)&lt;1,"Stable",IF(100*'Plant Inputs'!S19/'Plant Inputs'!R19&gt;100*'Plant Inputs'!S18/'Plant Inputs'!R18,"Improving","Deteriorating"))&amp;" ("&amp;ROUND(100*'Plant Inputs'!S19/'Plant Inputs'!R19-100*'Plant Inputs'!S18/'Plant Inputs'!R18,1)&amp;" pts vs last month)"</f>
        <v>Deteriorating (-5.8 pts vs last month)</v>
      </c>
      <c r="V67" s="8" t="str">
        <f>IF(ABS(100*'Plant Inputs'!S20/'Plant Inputs'!R20-100*'Plant Inputs'!S19/'Plant Inputs'!R19)&lt;1,"Stable",IF(100*'Plant Inputs'!S20/'Plant Inputs'!R20&gt;100*'Plant Inputs'!S19/'Plant Inputs'!R19,"Improving","Deteriorating"))&amp;" ("&amp;ROUND(100*'Plant Inputs'!S20/'Plant Inputs'!R20-100*'Plant Inputs'!S19/'Plant Inputs'!R19,1)&amp;" pts vs last month)"</f>
        <v>Improving (3.6 pts vs last month)</v>
      </c>
      <c r="W67" s="8" t="str">
        <f>IF(ABS(100*'Plant Inputs'!S21/'Plant Inputs'!R21-100*'Plant Inputs'!S20/'Plant Inputs'!R20)&lt;1,"Stable",IF(100*'Plant Inputs'!S21/'Plant Inputs'!R21&gt;100*'Plant Inputs'!S20/'Plant Inputs'!R20,"Improving","Deteriorating"))&amp;" ("&amp;ROUND(100*'Plant Inputs'!S21/'Plant Inputs'!R21-100*'Plant Inputs'!S20/'Plant Inputs'!R20,1)&amp;" pts vs last month)"</f>
        <v>Deteriorating (-3.4 pts vs last month)</v>
      </c>
      <c r="X67" s="8" t="str">
        <f>IF(ABS(100*'Plant Inputs'!S22/'Plant Inputs'!R22-100*'Plant Inputs'!S22/'Plant Inputs'!R22)&lt;1,"Stable",IF(100*'Plant Inputs'!S22/'Plant Inputs'!R22&gt;100*'Plant Inputs'!S22/'Plant Inputs'!R22,"Improving","Deteriorating"))&amp;" ("&amp;ROUND(100*'Plant Inputs'!S22/'Plant Inputs'!R22-100*'Plant Inputs'!S22/'Plant Inputs'!R22,1)&amp;" pts vs last month)"</f>
        <v>Stable (0 pts vs last month)</v>
      </c>
      <c r="Y67" s="8" t="str">
        <f>IF(ABS(100*'Plant Inputs'!S23/'Plant Inputs'!R23-100*'Plant Inputs'!S22/'Plant Inputs'!R22)&lt;1,"Stable",IF(100*'Plant Inputs'!S23/'Plant Inputs'!R23&gt;100*'Plant Inputs'!S22/'Plant Inputs'!R22,"Improving","Deteriorating"))&amp;" ("&amp;ROUND(100*'Plant Inputs'!S23/'Plant Inputs'!R23-100*'Plant Inputs'!S22/'Plant Inputs'!R22,1)&amp;" pts vs last month)"</f>
        <v>Stable (-0.7 pts vs last month)</v>
      </c>
      <c r="Z67" s="8" t="str">
        <f>IF(ABS(100*'Plant Inputs'!S24/'Plant Inputs'!R24-100*'Plant Inputs'!S23/'Plant Inputs'!R23)&lt;1,"Stable",IF(100*'Plant Inputs'!S24/'Plant Inputs'!R24&gt;100*'Plant Inputs'!S23/'Plant Inputs'!R23,"Improving","Deteriorating"))&amp;" ("&amp;ROUND(100*'Plant Inputs'!S24/'Plant Inputs'!R24-100*'Plant Inputs'!S23/'Plant Inputs'!R23,1)&amp;" pts vs last month)"</f>
        <v>Improving (3.1 pts vs last month)</v>
      </c>
      <c r="AA67" s="8" t="str">
        <f>IF(ABS(100*'Plant Inputs'!S25/'Plant Inputs'!R25-100*'Plant Inputs'!S24/'Plant Inputs'!R24)&lt;1,"Stable",IF(100*'Plant Inputs'!S25/'Plant Inputs'!R25&gt;100*'Plant Inputs'!S24/'Plant Inputs'!R24,"Improving","Deteriorating"))&amp;" ("&amp;ROUND(100*'Plant Inputs'!S25/'Plant Inputs'!R25-100*'Plant Inputs'!S24/'Plant Inputs'!R24,1)&amp;" pts vs last month)"</f>
        <v>Deteriorating (-5.3 pts vs last month)</v>
      </c>
      <c r="AB67" s="8" t="str">
        <f>IF(ABS(100*'Plant Inputs'!S26/'Plant Inputs'!R26-100*'Plant Inputs'!S25/'Plant Inputs'!R25)&lt;1,"Stable",IF(100*'Plant Inputs'!S26/'Plant Inputs'!R26&gt;100*'Plant Inputs'!S25/'Plant Inputs'!R25,"Improving","Deteriorating"))&amp;" ("&amp;ROUND(100*'Plant Inputs'!S26/'Plant Inputs'!R26-100*'Plant Inputs'!S25/'Plant Inputs'!R25,1)&amp;" pts vs last month)"</f>
        <v>Improving (3.5 pts vs last month)</v>
      </c>
      <c r="AC67" s="8" t="str">
        <f>IF(ABS(100*'Plant Inputs'!S27/'Plant Inputs'!R27-100*'Plant Inputs'!S26/'Plant Inputs'!R26)&lt;1,"Stable",IF(100*'Plant Inputs'!S27/'Plant Inputs'!R27&gt;100*'Plant Inputs'!S26/'Plant Inputs'!R26,"Improving","Deteriorating"))&amp;" ("&amp;ROUND(100*'Plant Inputs'!S27/'Plant Inputs'!R27-100*'Plant Inputs'!S26/'Plant Inputs'!R26,1)&amp;" pts vs last month)"</f>
        <v>Stable (-0.8 pts vs last month)</v>
      </c>
      <c r="AD67" s="8" t="str">
        <f>IF(ABS(100*'Plant Inputs'!S28/'Plant Inputs'!R28-100*'Plant Inputs'!S28/'Plant Inputs'!R28)&lt;1,"Stable",IF(100*'Plant Inputs'!S28/'Plant Inputs'!R28&gt;100*'Plant Inputs'!S28/'Plant Inputs'!R28,"Improving","Deteriorating"))&amp;" ("&amp;ROUND(100*'Plant Inputs'!S28/'Plant Inputs'!R28-100*'Plant Inputs'!S28/'Plant Inputs'!R28,1)&amp;" pts vs last month)"</f>
        <v>Stable (0 pts vs last month)</v>
      </c>
      <c r="AE67" s="8" t="str">
        <f>IF(ABS(100*'Plant Inputs'!S29/'Plant Inputs'!R29-100*'Plant Inputs'!S28/'Plant Inputs'!R28)&lt;1,"Stable",IF(100*'Plant Inputs'!S29/'Plant Inputs'!R29&gt;100*'Plant Inputs'!S28/'Plant Inputs'!R28,"Improving","Deteriorating"))&amp;" ("&amp;ROUND(100*'Plant Inputs'!S29/'Plant Inputs'!R29-100*'Plant Inputs'!S28/'Plant Inputs'!R28,1)&amp;" pts vs last month)"</f>
        <v>Deteriorating (-2.2 pts vs last month)</v>
      </c>
      <c r="AF67" s="8" t="str">
        <f>IF(ABS(100*'Plant Inputs'!S30/'Plant Inputs'!R30-100*'Plant Inputs'!S29/'Plant Inputs'!R29)&lt;1,"Stable",IF(100*'Plant Inputs'!S30/'Plant Inputs'!R30&gt;100*'Plant Inputs'!S29/'Plant Inputs'!R29,"Improving","Deteriorating"))&amp;" ("&amp;ROUND(100*'Plant Inputs'!S30/'Plant Inputs'!R30-100*'Plant Inputs'!S29/'Plant Inputs'!R29,1)&amp;" pts vs last month)"</f>
        <v>Improving (5.1 pts vs last month)</v>
      </c>
      <c r="AG67" s="8" t="str">
        <f>IF(ABS(100*'Plant Inputs'!S31/'Plant Inputs'!R31-100*'Plant Inputs'!S30/'Plant Inputs'!R30)&lt;1,"Stable",IF(100*'Plant Inputs'!S31/'Plant Inputs'!R31&gt;100*'Plant Inputs'!S30/'Plant Inputs'!R30,"Improving","Deteriorating"))&amp;" ("&amp;ROUND(100*'Plant Inputs'!S31/'Plant Inputs'!R31-100*'Plant Inputs'!S30/'Plant Inputs'!R30,1)&amp;" pts vs last month)"</f>
        <v>Deteriorating (-1.4 pts vs last month)</v>
      </c>
      <c r="AH67" s="8" t="str">
        <f>IF(ABS(100*'Plant Inputs'!S32/'Plant Inputs'!R32-100*'Plant Inputs'!S31/'Plant Inputs'!R31)&lt;1,"Stable",IF(100*'Plant Inputs'!S32/'Plant Inputs'!R32&gt;100*'Plant Inputs'!S31/'Plant Inputs'!R31,"Improving","Deteriorating"))&amp;" ("&amp;ROUND(100*'Plant Inputs'!S32/'Plant Inputs'!R32-100*'Plant Inputs'!S31/'Plant Inputs'!R31,1)&amp;" pts vs last month)"</f>
        <v>Improving (1.3 pts vs last month)</v>
      </c>
      <c r="AI67" s="8" t="str">
        <f>IF(ABS(100*'Plant Inputs'!S33/'Plant Inputs'!R33-100*'Plant Inputs'!S32/'Plant Inputs'!R32)&lt;1,"Stable",IF(100*'Plant Inputs'!S33/'Plant Inputs'!R33&gt;100*'Plant Inputs'!S32/'Plant Inputs'!R32,"Improving","Deteriorating"))&amp;" ("&amp;ROUND(100*'Plant Inputs'!S33/'Plant Inputs'!R33-100*'Plant Inputs'!S32/'Plant Inputs'!R32,1)&amp;" pts vs last month)"</f>
        <v>Deteriorating (-2.1 pts vs last month)</v>
      </c>
      <c r="AJ67" s="8" t="str">
        <f>IF(ABS(100*'Plant Inputs'!S34/'Plant Inputs'!R34-100*'Plant Inputs'!S34/'Plant Inputs'!R34)&lt;1,"Stable",IF(100*'Plant Inputs'!S34/'Plant Inputs'!R34&gt;100*'Plant Inputs'!S34/'Plant Inputs'!R34,"Improving","Deteriorating"))&amp;" ("&amp;ROUND(100*'Plant Inputs'!S34/'Plant Inputs'!R34-100*'Plant Inputs'!S34/'Plant Inputs'!R34,1)&amp;" pts vs last month)"</f>
        <v>Stable (0 pts vs last month)</v>
      </c>
      <c r="AK67" s="8" t="str">
        <f>IF(ABS(100*'Plant Inputs'!S35/'Plant Inputs'!R35-100*'Plant Inputs'!S34/'Plant Inputs'!R34)&lt;1,"Stable",IF(100*'Plant Inputs'!S35/'Plant Inputs'!R35&gt;100*'Plant Inputs'!S34/'Plant Inputs'!R34,"Improving","Deteriorating"))&amp;" ("&amp;ROUND(100*'Plant Inputs'!S35/'Plant Inputs'!R35-100*'Plant Inputs'!S34/'Plant Inputs'!R34,1)&amp;" pts vs last month)"</f>
        <v>Improving (1.7 pts vs last month)</v>
      </c>
      <c r="AL67" s="8" t="str">
        <f>IF(ABS(100*'Plant Inputs'!S36/'Plant Inputs'!R36-100*'Plant Inputs'!S35/'Plant Inputs'!R35)&lt;1,"Stable",IF(100*'Plant Inputs'!S36/'Plant Inputs'!R36&gt;100*'Plant Inputs'!S35/'Plant Inputs'!R35,"Improving","Deteriorating"))&amp;" ("&amp;ROUND(100*'Plant Inputs'!S36/'Plant Inputs'!R36-100*'Plant Inputs'!S35/'Plant Inputs'!R35,1)&amp;" pts vs last month)"</f>
        <v>Stable (-0.6 pts vs last month)</v>
      </c>
      <c r="AM67" s="8" t="str">
        <f>IF(ABS(100*'Plant Inputs'!S37/'Plant Inputs'!R37-100*'Plant Inputs'!S36/'Plant Inputs'!R36)&lt;1,"Stable",IF(100*'Plant Inputs'!S37/'Plant Inputs'!R37&gt;100*'Plant Inputs'!S36/'Plant Inputs'!R36,"Improving","Deteriorating"))&amp;" ("&amp;ROUND(100*'Plant Inputs'!S37/'Plant Inputs'!R37-100*'Plant Inputs'!S36/'Plant Inputs'!R36,1)&amp;" pts vs last month)"</f>
        <v>Deteriorating (-2 pts vs last month)</v>
      </c>
      <c r="AN67" s="8" t="str">
        <f>IF(ABS(100*'Plant Inputs'!S38/'Plant Inputs'!R38-100*'Plant Inputs'!S37/'Plant Inputs'!R37)&lt;1,"Stable",IF(100*'Plant Inputs'!S38/'Plant Inputs'!R38&gt;100*'Plant Inputs'!S37/'Plant Inputs'!R37,"Improving","Deteriorating"))&amp;" ("&amp;ROUND(100*'Plant Inputs'!S38/'Plant Inputs'!R38-100*'Plant Inputs'!S37/'Plant Inputs'!R37,1)&amp;" pts vs last month)"</f>
        <v>Improving (6 pts vs last month)</v>
      </c>
      <c r="AO67" s="8" t="str">
        <f>IF(ABS(100*'Plant Inputs'!S39/'Plant Inputs'!R39-100*'Plant Inputs'!S38/'Plant Inputs'!R38)&lt;1,"Stable",IF(100*'Plant Inputs'!S39/'Plant Inputs'!R39&gt;100*'Plant Inputs'!S38/'Plant Inputs'!R38,"Improving","Deteriorating"))&amp;" ("&amp;ROUND(100*'Plant Inputs'!S39/'Plant Inputs'!R39-100*'Plant Inputs'!S38/'Plant Inputs'!R38,1)&amp;" pts vs last month)"</f>
        <v>Deteriorating (-5.8 pts vs last month)</v>
      </c>
    </row>
  </sheetData>
  <autoFilter ref="A1:AO67"/>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J9"/>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2" width="10.7109375" customWidth="1"/>
    <col min="3" max="192" width="15.7109375" customWidth="1"/>
  </cols>
  <sheetData>
    <row r="1" spans="1:192" ht="48" customHeight="1">
      <c r="A1" s="16" t="s">
        <v>19</v>
      </c>
      <c r="B1" s="16" t="s">
        <v>25</v>
      </c>
      <c r="C1" s="16" t="s">
        <v>27</v>
      </c>
      <c r="D1" s="16" t="s">
        <v>29</v>
      </c>
      <c r="E1" s="16" t="s">
        <v>33</v>
      </c>
      <c r="F1" s="16" t="s">
        <v>36</v>
      </c>
      <c r="G1" s="16" t="s">
        <v>38</v>
      </c>
      <c r="H1" s="16" t="s">
        <v>40</v>
      </c>
      <c r="I1" s="16" t="s">
        <v>42</v>
      </c>
      <c r="J1" s="16" t="s">
        <v>44</v>
      </c>
      <c r="K1" s="16" t="s">
        <v>46</v>
      </c>
      <c r="L1" s="16" t="s">
        <v>48</v>
      </c>
      <c r="M1" s="16" t="s">
        <v>50</v>
      </c>
      <c r="N1" s="16" t="s">
        <v>52</v>
      </c>
      <c r="O1" s="16" t="s">
        <v>54</v>
      </c>
      <c r="P1" s="16" t="s">
        <v>56</v>
      </c>
      <c r="Q1" s="16" t="s">
        <v>58</v>
      </c>
      <c r="R1" s="16" t="s">
        <v>60</v>
      </c>
      <c r="S1" s="16" t="s">
        <v>62</v>
      </c>
      <c r="T1" s="16" t="s">
        <v>64</v>
      </c>
      <c r="U1" s="16" t="s">
        <v>66</v>
      </c>
      <c r="V1" s="16" t="s">
        <v>68</v>
      </c>
      <c r="W1" s="16" t="s">
        <v>70</v>
      </c>
      <c r="X1" s="16" t="s">
        <v>72</v>
      </c>
      <c r="Y1" s="16" t="s">
        <v>74</v>
      </c>
      <c r="Z1" s="16" t="s">
        <v>76</v>
      </c>
      <c r="AA1" s="16" t="s">
        <v>78</v>
      </c>
      <c r="AB1" s="16" t="s">
        <v>80</v>
      </c>
      <c r="AC1" s="16" t="s">
        <v>82</v>
      </c>
      <c r="AD1" s="16" t="s">
        <v>84</v>
      </c>
      <c r="AE1" s="16" t="s">
        <v>86</v>
      </c>
      <c r="AF1" s="16" t="s">
        <v>88</v>
      </c>
      <c r="AG1" s="16" t="s">
        <v>90</v>
      </c>
      <c r="AH1" s="16" t="s">
        <v>92</v>
      </c>
      <c r="AI1" s="16" t="s">
        <v>94</v>
      </c>
      <c r="AJ1" s="16" t="s">
        <v>96</v>
      </c>
      <c r="AK1" s="16" t="s">
        <v>98</v>
      </c>
      <c r="AL1" s="16" t="s">
        <v>100</v>
      </c>
      <c r="AM1" s="16" t="s">
        <v>102</v>
      </c>
      <c r="AN1" s="16" t="s">
        <v>104</v>
      </c>
      <c r="AO1" s="16" t="s">
        <v>106</v>
      </c>
      <c r="AP1" s="16" t="s">
        <v>108</v>
      </c>
      <c r="AQ1" s="16" t="s">
        <v>110</v>
      </c>
      <c r="AR1" s="16" t="s">
        <v>112</v>
      </c>
      <c r="AS1" s="16" t="s">
        <v>114</v>
      </c>
      <c r="AT1" s="16" t="s">
        <v>117</v>
      </c>
      <c r="AU1" s="16" t="s">
        <v>119</v>
      </c>
      <c r="AV1" s="16" t="s">
        <v>121</v>
      </c>
      <c r="AW1" s="16" t="s">
        <v>123</v>
      </c>
      <c r="AX1" s="16" t="s">
        <v>125</v>
      </c>
      <c r="AY1" s="16" t="s">
        <v>127</v>
      </c>
      <c r="AZ1" s="16" t="s">
        <v>129</v>
      </c>
      <c r="BA1" s="16" t="s">
        <v>131</v>
      </c>
      <c r="BB1" s="16" t="s">
        <v>133</v>
      </c>
      <c r="BC1" s="16" t="s">
        <v>135</v>
      </c>
      <c r="BD1" s="16" t="s">
        <v>137</v>
      </c>
      <c r="BE1" s="16" t="s">
        <v>139</v>
      </c>
      <c r="BF1" s="16" t="s">
        <v>141</v>
      </c>
      <c r="BG1" s="16" t="s">
        <v>143</v>
      </c>
      <c r="BH1" s="16" t="s">
        <v>145</v>
      </c>
      <c r="BI1" s="16" t="s">
        <v>147</v>
      </c>
      <c r="BJ1" s="16" t="s">
        <v>149</v>
      </c>
      <c r="BK1" s="16" t="s">
        <v>151</v>
      </c>
      <c r="BL1" s="16" t="s">
        <v>153</v>
      </c>
      <c r="BM1" s="16" t="s">
        <v>155</v>
      </c>
      <c r="BN1" s="16" t="s">
        <v>157</v>
      </c>
      <c r="BO1" s="16" t="s">
        <v>159</v>
      </c>
      <c r="BP1" s="16" t="s">
        <v>161</v>
      </c>
      <c r="BQ1" s="16" t="s">
        <v>163</v>
      </c>
      <c r="BR1" s="16" t="s">
        <v>165</v>
      </c>
      <c r="BS1" s="16" t="s">
        <v>167</v>
      </c>
      <c r="BT1" s="16" t="s">
        <v>169</v>
      </c>
      <c r="BU1" s="16" t="s">
        <v>171</v>
      </c>
      <c r="BV1" s="16" t="s">
        <v>173</v>
      </c>
      <c r="BW1" s="16" t="s">
        <v>175</v>
      </c>
      <c r="BX1" s="16" t="s">
        <v>177</v>
      </c>
      <c r="BY1" s="16" t="s">
        <v>195</v>
      </c>
      <c r="BZ1" s="16" t="s">
        <v>198</v>
      </c>
      <c r="CA1" s="16" t="s">
        <v>200</v>
      </c>
      <c r="CB1" s="16" t="s">
        <v>202</v>
      </c>
      <c r="CC1" s="16" t="s">
        <v>204</v>
      </c>
      <c r="CD1" s="16" t="s">
        <v>206</v>
      </c>
      <c r="CE1" s="16" t="s">
        <v>208</v>
      </c>
      <c r="CF1" s="16" t="s">
        <v>210</v>
      </c>
      <c r="CG1" s="16" t="s">
        <v>212</v>
      </c>
      <c r="CH1" s="16" t="s">
        <v>214</v>
      </c>
      <c r="CI1" s="16" t="s">
        <v>216</v>
      </c>
      <c r="CJ1" s="16" t="s">
        <v>218</v>
      </c>
      <c r="CK1" s="16" t="s">
        <v>220</v>
      </c>
      <c r="CL1" s="16" t="s">
        <v>222</v>
      </c>
      <c r="CM1" s="16" t="s">
        <v>224</v>
      </c>
      <c r="CN1" s="16" t="s">
        <v>226</v>
      </c>
      <c r="CO1" s="16" t="s">
        <v>228</v>
      </c>
      <c r="CP1" s="16" t="s">
        <v>230</v>
      </c>
      <c r="CQ1" s="16" t="s">
        <v>232</v>
      </c>
      <c r="CR1" s="16" t="s">
        <v>234</v>
      </c>
      <c r="CS1" s="16" t="s">
        <v>236</v>
      </c>
      <c r="CT1" s="16" t="s">
        <v>238</v>
      </c>
      <c r="CU1" s="16" t="s">
        <v>240</v>
      </c>
      <c r="CV1" s="16" t="s">
        <v>242</v>
      </c>
      <c r="CW1" s="16" t="s">
        <v>244</v>
      </c>
      <c r="CX1" s="16" t="s">
        <v>246</v>
      </c>
      <c r="CY1" s="16" t="s">
        <v>248</v>
      </c>
      <c r="CZ1" s="16" t="s">
        <v>250</v>
      </c>
      <c r="DA1" s="16" t="s">
        <v>252</v>
      </c>
      <c r="DB1" s="16" t="s">
        <v>254</v>
      </c>
      <c r="DC1" s="16" t="s">
        <v>256</v>
      </c>
      <c r="DD1" s="16" t="s">
        <v>258</v>
      </c>
      <c r="DE1" s="16" t="s">
        <v>260</v>
      </c>
      <c r="DF1" s="16" t="s">
        <v>262</v>
      </c>
      <c r="DG1" s="16" t="s">
        <v>264</v>
      </c>
      <c r="DH1" s="16" t="s">
        <v>266</v>
      </c>
      <c r="DI1" s="16" t="s">
        <v>268</v>
      </c>
      <c r="DJ1" s="16" t="s">
        <v>270</v>
      </c>
      <c r="DK1" s="16" t="s">
        <v>272</v>
      </c>
      <c r="DL1" s="16" t="s">
        <v>274</v>
      </c>
      <c r="DM1" s="16" t="s">
        <v>276</v>
      </c>
      <c r="DN1" s="16" t="s">
        <v>278</v>
      </c>
      <c r="DO1" s="16" t="s">
        <v>280</v>
      </c>
      <c r="DP1" s="16" t="s">
        <v>282</v>
      </c>
      <c r="DQ1" s="16" t="s">
        <v>284</v>
      </c>
      <c r="DR1" s="16" t="s">
        <v>286</v>
      </c>
      <c r="DS1" s="16" t="s">
        <v>288</v>
      </c>
      <c r="DT1" s="16" t="s">
        <v>290</v>
      </c>
      <c r="DU1" s="16" t="s">
        <v>292</v>
      </c>
      <c r="DV1" s="16" t="s">
        <v>294</v>
      </c>
      <c r="DW1" s="16" t="s">
        <v>296</v>
      </c>
      <c r="DX1" s="16" t="s">
        <v>298</v>
      </c>
      <c r="DY1" s="16" t="s">
        <v>300</v>
      </c>
      <c r="DZ1" s="16" t="s">
        <v>302</v>
      </c>
      <c r="EA1" s="16" t="s">
        <v>304</v>
      </c>
      <c r="EB1" s="16" t="s">
        <v>306</v>
      </c>
      <c r="EC1" s="16" t="s">
        <v>308</v>
      </c>
      <c r="ED1" s="16" t="s">
        <v>310</v>
      </c>
      <c r="EE1" s="16" t="s">
        <v>312</v>
      </c>
      <c r="EF1" s="16" t="s">
        <v>314</v>
      </c>
      <c r="EG1" s="16" t="s">
        <v>316</v>
      </c>
      <c r="EH1" s="16" t="s">
        <v>318</v>
      </c>
      <c r="EI1" s="16" t="s">
        <v>320</v>
      </c>
      <c r="EJ1" s="16" t="s">
        <v>322</v>
      </c>
      <c r="EK1" s="16" t="s">
        <v>324</v>
      </c>
      <c r="EL1" s="16" t="s">
        <v>326</v>
      </c>
      <c r="EM1" s="16" t="s">
        <v>328</v>
      </c>
      <c r="EN1" s="16" t="s">
        <v>330</v>
      </c>
      <c r="EO1" s="16" t="s">
        <v>332</v>
      </c>
      <c r="EP1" s="16" t="s">
        <v>334</v>
      </c>
      <c r="EQ1" s="16" t="s">
        <v>336</v>
      </c>
      <c r="ER1" s="16" t="s">
        <v>338</v>
      </c>
      <c r="ES1" s="16" t="s">
        <v>340</v>
      </c>
      <c r="ET1" s="16" t="s">
        <v>342</v>
      </c>
      <c r="EU1" s="16" t="s">
        <v>344</v>
      </c>
      <c r="EV1" s="16" t="s">
        <v>346</v>
      </c>
      <c r="EW1" s="16" t="s">
        <v>348</v>
      </c>
      <c r="EX1" s="16" t="s">
        <v>350</v>
      </c>
      <c r="EY1" s="16" t="s">
        <v>352</v>
      </c>
      <c r="EZ1" s="16" t="s">
        <v>354</v>
      </c>
      <c r="FA1" s="16" t="s">
        <v>356</v>
      </c>
      <c r="FB1" s="16" t="s">
        <v>358</v>
      </c>
      <c r="FC1" s="16" t="s">
        <v>360</v>
      </c>
      <c r="FD1" s="16" t="s">
        <v>362</v>
      </c>
      <c r="FE1" s="16" t="s">
        <v>364</v>
      </c>
      <c r="FF1" s="16" t="s">
        <v>366</v>
      </c>
      <c r="FG1" s="16" t="s">
        <v>368</v>
      </c>
      <c r="FH1" s="16" t="s">
        <v>370</v>
      </c>
      <c r="FI1" s="16" t="s">
        <v>372</v>
      </c>
      <c r="FJ1" s="16" t="s">
        <v>374</v>
      </c>
      <c r="FK1" s="16" t="s">
        <v>376</v>
      </c>
      <c r="FL1" s="16" t="s">
        <v>378</v>
      </c>
      <c r="FM1" s="16" t="s">
        <v>380</v>
      </c>
      <c r="FN1" s="16" t="s">
        <v>382</v>
      </c>
      <c r="FO1" s="16" t="s">
        <v>384</v>
      </c>
      <c r="FP1" s="16" t="s">
        <v>386</v>
      </c>
      <c r="FQ1" s="16" t="s">
        <v>388</v>
      </c>
      <c r="FR1" s="16" t="s">
        <v>390</v>
      </c>
      <c r="FS1" s="16" t="s">
        <v>392</v>
      </c>
      <c r="FT1" s="16" t="s">
        <v>394</v>
      </c>
      <c r="FU1" s="16" t="s">
        <v>396</v>
      </c>
      <c r="FV1" s="16" t="s">
        <v>398</v>
      </c>
      <c r="FW1" s="16" t="s">
        <v>400</v>
      </c>
      <c r="FX1" s="16" t="s">
        <v>402</v>
      </c>
      <c r="FY1" s="17" t="s">
        <v>404</v>
      </c>
      <c r="FZ1" s="17" t="s">
        <v>407</v>
      </c>
      <c r="GA1" s="17" t="s">
        <v>410</v>
      </c>
      <c r="GB1" s="17" t="s">
        <v>413</v>
      </c>
      <c r="GC1" s="17" t="s">
        <v>416</v>
      </c>
      <c r="GD1" s="17" t="s">
        <v>419</v>
      </c>
      <c r="GE1" s="17" t="s">
        <v>422</v>
      </c>
      <c r="GF1" s="17" t="s">
        <v>425</v>
      </c>
      <c r="GG1" s="17" t="s">
        <v>428</v>
      </c>
      <c r="GH1" s="17" t="s">
        <v>431</v>
      </c>
      <c r="GI1" s="17" t="s">
        <v>434</v>
      </c>
      <c r="GJ1" s="17" t="s">
        <v>437</v>
      </c>
    </row>
    <row r="2" spans="1:192">
      <c r="A2" s="18" t="s">
        <v>20</v>
      </c>
      <c r="B2" s="18" t="s">
        <v>26</v>
      </c>
      <c r="C2" s="18" t="s">
        <v>28</v>
      </c>
      <c r="D2" s="18" t="s">
        <v>30</v>
      </c>
      <c r="E2" s="18" t="s">
        <v>34</v>
      </c>
      <c r="F2" s="18" t="s">
        <v>37</v>
      </c>
      <c r="G2" s="18" t="s">
        <v>39</v>
      </c>
      <c r="H2" s="18" t="s">
        <v>41</v>
      </c>
      <c r="I2" s="18" t="s">
        <v>43</v>
      </c>
      <c r="J2" s="18" t="s">
        <v>45</v>
      </c>
      <c r="K2" s="18" t="s">
        <v>47</v>
      </c>
      <c r="L2" s="18" t="s">
        <v>49</v>
      </c>
      <c r="M2" s="18" t="s">
        <v>51</v>
      </c>
      <c r="N2" s="18" t="s">
        <v>53</v>
      </c>
      <c r="O2" s="18" t="s">
        <v>55</v>
      </c>
      <c r="P2" s="18" t="s">
        <v>57</v>
      </c>
      <c r="Q2" s="18" t="s">
        <v>59</v>
      </c>
      <c r="R2" s="18" t="s">
        <v>61</v>
      </c>
      <c r="S2" s="18" t="s">
        <v>63</v>
      </c>
      <c r="T2" s="18" t="s">
        <v>65</v>
      </c>
      <c r="U2" s="18" t="s">
        <v>67</v>
      </c>
      <c r="V2" s="18" t="s">
        <v>69</v>
      </c>
      <c r="W2" s="18" t="s">
        <v>71</v>
      </c>
      <c r="X2" s="18" t="s">
        <v>73</v>
      </c>
      <c r="Y2" s="18" t="s">
        <v>75</v>
      </c>
      <c r="Z2" s="18" t="s">
        <v>77</v>
      </c>
      <c r="AA2" s="18" t="s">
        <v>79</v>
      </c>
      <c r="AB2" s="18" t="s">
        <v>81</v>
      </c>
      <c r="AC2" s="18" t="s">
        <v>83</v>
      </c>
      <c r="AD2" s="18" t="s">
        <v>85</v>
      </c>
      <c r="AE2" s="18" t="s">
        <v>87</v>
      </c>
      <c r="AF2" s="18" t="s">
        <v>89</v>
      </c>
      <c r="AG2" s="18" t="s">
        <v>91</v>
      </c>
      <c r="AH2" s="18" t="s">
        <v>93</v>
      </c>
      <c r="AI2" s="18" t="s">
        <v>95</v>
      </c>
      <c r="AJ2" s="18" t="s">
        <v>97</v>
      </c>
      <c r="AK2" s="18" t="s">
        <v>99</v>
      </c>
      <c r="AL2" s="18" t="s">
        <v>101</v>
      </c>
      <c r="AM2" s="18" t="s">
        <v>103</v>
      </c>
      <c r="AN2" s="18" t="s">
        <v>105</v>
      </c>
      <c r="AO2" s="18" t="s">
        <v>107</v>
      </c>
      <c r="AP2" s="18" t="s">
        <v>109</v>
      </c>
      <c r="AQ2" s="18" t="s">
        <v>111</v>
      </c>
      <c r="AR2" s="18" t="s">
        <v>113</v>
      </c>
      <c r="AS2" s="18" t="s">
        <v>115</v>
      </c>
      <c r="AT2" s="18" t="s">
        <v>118</v>
      </c>
      <c r="AU2" s="18" t="s">
        <v>120</v>
      </c>
      <c r="AV2" s="18" t="s">
        <v>122</v>
      </c>
      <c r="AW2" s="18" t="s">
        <v>124</v>
      </c>
      <c r="AX2" s="18" t="s">
        <v>126</v>
      </c>
      <c r="AY2" s="18" t="s">
        <v>128</v>
      </c>
      <c r="AZ2" s="18" t="s">
        <v>130</v>
      </c>
      <c r="BA2" s="18" t="s">
        <v>132</v>
      </c>
      <c r="BB2" s="18" t="s">
        <v>134</v>
      </c>
      <c r="BC2" s="18" t="s">
        <v>136</v>
      </c>
      <c r="BD2" s="18" t="s">
        <v>138</v>
      </c>
      <c r="BE2" s="18" t="s">
        <v>140</v>
      </c>
      <c r="BF2" s="18" t="s">
        <v>142</v>
      </c>
      <c r="BG2" s="18" t="s">
        <v>144</v>
      </c>
      <c r="BH2" s="18" t="s">
        <v>146</v>
      </c>
      <c r="BI2" s="18" t="s">
        <v>148</v>
      </c>
      <c r="BJ2" s="18" t="s">
        <v>150</v>
      </c>
      <c r="BK2" s="18" t="s">
        <v>152</v>
      </c>
      <c r="BL2" s="18" t="s">
        <v>154</v>
      </c>
      <c r="BM2" s="18" t="s">
        <v>156</v>
      </c>
      <c r="BN2" s="18" t="s">
        <v>158</v>
      </c>
      <c r="BO2" s="18" t="s">
        <v>160</v>
      </c>
      <c r="BP2" s="18" t="s">
        <v>162</v>
      </c>
      <c r="BQ2" s="18" t="s">
        <v>164</v>
      </c>
      <c r="BR2" s="18" t="s">
        <v>166</v>
      </c>
      <c r="BS2" s="18" t="s">
        <v>168</v>
      </c>
      <c r="BT2" s="18" t="s">
        <v>170</v>
      </c>
      <c r="BU2" s="18" t="s">
        <v>172</v>
      </c>
      <c r="BV2" s="18" t="s">
        <v>174</v>
      </c>
      <c r="BW2" s="18" t="s">
        <v>176</v>
      </c>
      <c r="BX2" s="18" t="s">
        <v>178</v>
      </c>
      <c r="BY2" s="18" t="s">
        <v>196</v>
      </c>
      <c r="BZ2" s="18" t="s">
        <v>199</v>
      </c>
      <c r="CA2" s="18" t="s">
        <v>201</v>
      </c>
      <c r="CB2" s="18" t="s">
        <v>203</v>
      </c>
      <c r="CC2" s="18" t="s">
        <v>205</v>
      </c>
      <c r="CD2" s="18" t="s">
        <v>207</v>
      </c>
      <c r="CE2" s="18" t="s">
        <v>209</v>
      </c>
      <c r="CF2" s="18" t="s">
        <v>211</v>
      </c>
      <c r="CG2" s="18" t="s">
        <v>213</v>
      </c>
      <c r="CH2" s="18" t="s">
        <v>215</v>
      </c>
      <c r="CI2" s="18" t="s">
        <v>217</v>
      </c>
      <c r="CJ2" s="18" t="s">
        <v>219</v>
      </c>
      <c r="CK2" s="18" t="s">
        <v>221</v>
      </c>
      <c r="CL2" s="18" t="s">
        <v>223</v>
      </c>
      <c r="CM2" s="18" t="s">
        <v>225</v>
      </c>
      <c r="CN2" s="18" t="s">
        <v>227</v>
      </c>
      <c r="CO2" s="18" t="s">
        <v>229</v>
      </c>
      <c r="CP2" s="18" t="s">
        <v>231</v>
      </c>
      <c r="CQ2" s="18" t="s">
        <v>233</v>
      </c>
      <c r="CR2" s="18" t="s">
        <v>235</v>
      </c>
      <c r="CS2" s="18" t="s">
        <v>237</v>
      </c>
      <c r="CT2" s="18" t="s">
        <v>239</v>
      </c>
      <c r="CU2" s="18" t="s">
        <v>241</v>
      </c>
      <c r="CV2" s="18" t="s">
        <v>243</v>
      </c>
      <c r="CW2" s="18" t="s">
        <v>245</v>
      </c>
      <c r="CX2" s="18" t="s">
        <v>247</v>
      </c>
      <c r="CY2" s="18" t="s">
        <v>249</v>
      </c>
      <c r="CZ2" s="18" t="s">
        <v>251</v>
      </c>
      <c r="DA2" s="18" t="s">
        <v>253</v>
      </c>
      <c r="DB2" s="18" t="s">
        <v>255</v>
      </c>
      <c r="DC2" s="18" t="s">
        <v>257</v>
      </c>
      <c r="DD2" s="18" t="s">
        <v>259</v>
      </c>
      <c r="DE2" s="18" t="s">
        <v>261</v>
      </c>
      <c r="DF2" s="18" t="s">
        <v>263</v>
      </c>
      <c r="DG2" s="18" t="s">
        <v>265</v>
      </c>
      <c r="DH2" s="18" t="s">
        <v>267</v>
      </c>
      <c r="DI2" s="18" t="s">
        <v>269</v>
      </c>
      <c r="DJ2" s="18" t="s">
        <v>271</v>
      </c>
      <c r="DK2" s="18" t="s">
        <v>273</v>
      </c>
      <c r="DL2" s="18" t="s">
        <v>275</v>
      </c>
      <c r="DM2" s="18" t="s">
        <v>277</v>
      </c>
      <c r="DN2" s="18" t="s">
        <v>279</v>
      </c>
      <c r="DO2" s="18" t="s">
        <v>281</v>
      </c>
      <c r="DP2" s="18" t="s">
        <v>283</v>
      </c>
      <c r="DQ2" s="18" t="s">
        <v>285</v>
      </c>
      <c r="DR2" s="18" t="s">
        <v>287</v>
      </c>
      <c r="DS2" s="18" t="s">
        <v>289</v>
      </c>
      <c r="DT2" s="18" t="s">
        <v>291</v>
      </c>
      <c r="DU2" s="18" t="s">
        <v>293</v>
      </c>
      <c r="DV2" s="18" t="s">
        <v>295</v>
      </c>
      <c r="DW2" s="18" t="s">
        <v>297</v>
      </c>
      <c r="DX2" s="18" t="s">
        <v>299</v>
      </c>
      <c r="DY2" s="18" t="s">
        <v>301</v>
      </c>
      <c r="DZ2" s="18" t="s">
        <v>303</v>
      </c>
      <c r="EA2" s="18" t="s">
        <v>305</v>
      </c>
      <c r="EB2" s="18" t="s">
        <v>307</v>
      </c>
      <c r="EC2" s="18" t="s">
        <v>309</v>
      </c>
      <c r="ED2" s="18" t="s">
        <v>311</v>
      </c>
      <c r="EE2" s="18" t="s">
        <v>313</v>
      </c>
      <c r="EF2" s="18" t="s">
        <v>315</v>
      </c>
      <c r="EG2" s="18" t="s">
        <v>317</v>
      </c>
      <c r="EH2" s="18" t="s">
        <v>319</v>
      </c>
      <c r="EI2" s="18" t="s">
        <v>321</v>
      </c>
      <c r="EJ2" s="18" t="s">
        <v>323</v>
      </c>
      <c r="EK2" s="18" t="s">
        <v>325</v>
      </c>
      <c r="EL2" s="18" t="s">
        <v>327</v>
      </c>
      <c r="EM2" s="18" t="s">
        <v>329</v>
      </c>
      <c r="EN2" s="18" t="s">
        <v>331</v>
      </c>
      <c r="EO2" s="18" t="s">
        <v>333</v>
      </c>
      <c r="EP2" s="18" t="s">
        <v>335</v>
      </c>
      <c r="EQ2" s="18" t="s">
        <v>337</v>
      </c>
      <c r="ER2" s="18" t="s">
        <v>339</v>
      </c>
      <c r="ES2" s="18" t="s">
        <v>341</v>
      </c>
      <c r="ET2" s="18" t="s">
        <v>343</v>
      </c>
      <c r="EU2" s="18" t="s">
        <v>345</v>
      </c>
      <c r="EV2" s="18" t="s">
        <v>347</v>
      </c>
      <c r="EW2" s="18" t="s">
        <v>349</v>
      </c>
      <c r="EX2" s="18" t="s">
        <v>351</v>
      </c>
      <c r="EY2" s="18" t="s">
        <v>353</v>
      </c>
      <c r="EZ2" s="18" t="s">
        <v>355</v>
      </c>
      <c r="FA2" s="18" t="s">
        <v>357</v>
      </c>
      <c r="FB2" s="18" t="s">
        <v>359</v>
      </c>
      <c r="FC2" s="18" t="s">
        <v>361</v>
      </c>
      <c r="FD2" s="18" t="s">
        <v>363</v>
      </c>
      <c r="FE2" s="18" t="s">
        <v>365</v>
      </c>
      <c r="FF2" s="18" t="s">
        <v>367</v>
      </c>
      <c r="FG2" s="18" t="s">
        <v>369</v>
      </c>
      <c r="FH2" s="18" t="s">
        <v>371</v>
      </c>
      <c r="FI2" s="18" t="s">
        <v>373</v>
      </c>
      <c r="FJ2" s="18" t="s">
        <v>375</v>
      </c>
      <c r="FK2" s="18" t="s">
        <v>377</v>
      </c>
      <c r="FL2" s="18" t="s">
        <v>379</v>
      </c>
      <c r="FM2" s="18" t="s">
        <v>381</v>
      </c>
      <c r="FN2" s="18" t="s">
        <v>383</v>
      </c>
      <c r="FO2" s="18" t="s">
        <v>385</v>
      </c>
      <c r="FP2" s="18" t="s">
        <v>387</v>
      </c>
      <c r="FQ2" s="18" t="s">
        <v>389</v>
      </c>
      <c r="FR2" s="18" t="s">
        <v>391</v>
      </c>
      <c r="FS2" s="18" t="s">
        <v>393</v>
      </c>
      <c r="FT2" s="18" t="s">
        <v>395</v>
      </c>
      <c r="FU2" s="18" t="s">
        <v>397</v>
      </c>
      <c r="FV2" s="18" t="s">
        <v>399</v>
      </c>
      <c r="FW2" s="18" t="s">
        <v>401</v>
      </c>
      <c r="FX2" s="18" t="s">
        <v>403</v>
      </c>
      <c r="FY2" s="18" t="s">
        <v>405</v>
      </c>
      <c r="FZ2" s="18" t="s">
        <v>408</v>
      </c>
      <c r="GA2" s="18" t="s">
        <v>411</v>
      </c>
      <c r="GB2" s="18" t="s">
        <v>414</v>
      </c>
      <c r="GC2" s="18" t="s">
        <v>417</v>
      </c>
      <c r="GD2" s="18" t="s">
        <v>420</v>
      </c>
      <c r="GE2" s="18" t="s">
        <v>423</v>
      </c>
      <c r="GF2" s="18" t="s">
        <v>426</v>
      </c>
      <c r="GG2" s="18" t="s">
        <v>429</v>
      </c>
      <c r="GH2" s="18" t="s">
        <v>432</v>
      </c>
      <c r="GI2" s="18" t="s">
        <v>435</v>
      </c>
      <c r="GJ2" s="18" t="s">
        <v>438</v>
      </c>
    </row>
    <row r="3" spans="1:192" ht="60" customHeight="1">
      <c r="A3" s="16"/>
      <c r="B3" s="16"/>
      <c r="C3" s="16"/>
      <c r="D3" s="16"/>
      <c r="E3" s="19" t="s">
        <v>440</v>
      </c>
      <c r="F3" s="19" t="s">
        <v>440</v>
      </c>
      <c r="G3" s="19" t="s">
        <v>440</v>
      </c>
      <c r="H3" s="19" t="s">
        <v>440</v>
      </c>
      <c r="I3" s="19" t="s">
        <v>440</v>
      </c>
      <c r="J3" s="19" t="s">
        <v>440</v>
      </c>
      <c r="K3" s="19" t="s">
        <v>440</v>
      </c>
      <c r="L3" s="19" t="s">
        <v>440</v>
      </c>
      <c r="M3" s="19" t="s">
        <v>440</v>
      </c>
      <c r="N3" s="19" t="s">
        <v>440</v>
      </c>
      <c r="O3" s="19" t="s">
        <v>440</v>
      </c>
      <c r="P3" s="19" t="s">
        <v>440</v>
      </c>
      <c r="Q3" s="19" t="s">
        <v>440</v>
      </c>
      <c r="R3" s="19" t="s">
        <v>440</v>
      </c>
      <c r="S3" s="19" t="s">
        <v>440</v>
      </c>
      <c r="T3" s="19" t="s">
        <v>440</v>
      </c>
      <c r="U3" s="19" t="s">
        <v>440</v>
      </c>
      <c r="V3" s="19" t="s">
        <v>440</v>
      </c>
      <c r="W3" s="19" t="s">
        <v>440</v>
      </c>
      <c r="X3" s="19" t="s">
        <v>440</v>
      </c>
      <c r="Y3" s="19" t="s">
        <v>440</v>
      </c>
      <c r="Z3" s="19" t="s">
        <v>440</v>
      </c>
      <c r="AA3" s="19" t="s">
        <v>440</v>
      </c>
      <c r="AB3" s="19" t="s">
        <v>440</v>
      </c>
      <c r="AC3" s="19" t="s">
        <v>440</v>
      </c>
      <c r="AD3" s="19" t="s">
        <v>440</v>
      </c>
      <c r="AE3" s="19" t="s">
        <v>440</v>
      </c>
      <c r="AF3" s="19" t="s">
        <v>440</v>
      </c>
      <c r="AG3" s="19" t="s">
        <v>440</v>
      </c>
      <c r="AH3" s="19" t="s">
        <v>440</v>
      </c>
      <c r="AI3" s="19" t="s">
        <v>440</v>
      </c>
      <c r="AJ3" s="19" t="s">
        <v>440</v>
      </c>
      <c r="AK3" s="19" t="s">
        <v>440</v>
      </c>
      <c r="AL3" s="19" t="s">
        <v>440</v>
      </c>
      <c r="AM3" s="19" t="s">
        <v>440</v>
      </c>
      <c r="AN3" s="19" t="s">
        <v>440</v>
      </c>
      <c r="AO3" s="19" t="s">
        <v>440</v>
      </c>
      <c r="AP3" s="19" t="s">
        <v>440</v>
      </c>
      <c r="AQ3" s="19" t="s">
        <v>440</v>
      </c>
      <c r="AR3" s="19" t="s">
        <v>441</v>
      </c>
      <c r="AS3" s="19" t="s">
        <v>440</v>
      </c>
      <c r="AT3" s="19" t="s">
        <v>440</v>
      </c>
      <c r="AU3" s="19" t="s">
        <v>440</v>
      </c>
      <c r="AV3" s="19" t="s">
        <v>440</v>
      </c>
      <c r="AW3" s="19" t="s">
        <v>440</v>
      </c>
      <c r="AX3" s="19" t="s">
        <v>440</v>
      </c>
      <c r="AY3" s="19" t="s">
        <v>440</v>
      </c>
      <c r="AZ3" s="19" t="s">
        <v>440</v>
      </c>
      <c r="BA3" s="19" t="s">
        <v>440</v>
      </c>
      <c r="BB3" s="19" t="s">
        <v>440</v>
      </c>
      <c r="BC3" s="19" t="s">
        <v>440</v>
      </c>
      <c r="BD3" s="19" t="s">
        <v>440</v>
      </c>
      <c r="BE3" s="19" t="s">
        <v>440</v>
      </c>
      <c r="BF3" s="19" t="s">
        <v>440</v>
      </c>
      <c r="BG3" s="19" t="s">
        <v>440</v>
      </c>
      <c r="BH3" s="19" t="s">
        <v>440</v>
      </c>
      <c r="BI3" s="19" t="s">
        <v>440</v>
      </c>
      <c r="BJ3" s="19" t="s">
        <v>440</v>
      </c>
      <c r="BK3" s="19" t="s">
        <v>440</v>
      </c>
      <c r="BL3" s="19" t="s">
        <v>440</v>
      </c>
      <c r="BM3" s="19" t="s">
        <v>440</v>
      </c>
      <c r="BN3" s="19" t="s">
        <v>440</v>
      </c>
      <c r="BO3" s="19" t="s">
        <v>440</v>
      </c>
      <c r="BP3" s="19" t="s">
        <v>440</v>
      </c>
      <c r="BQ3" s="19" t="s">
        <v>440</v>
      </c>
      <c r="BR3" s="19" t="s">
        <v>440</v>
      </c>
      <c r="BS3" s="19" t="s">
        <v>441</v>
      </c>
      <c r="BT3" s="19" t="s">
        <v>440</v>
      </c>
      <c r="BU3" s="19" t="s">
        <v>440</v>
      </c>
      <c r="BV3" s="19" t="s">
        <v>440</v>
      </c>
      <c r="BW3" s="19" t="s">
        <v>440</v>
      </c>
      <c r="BX3" s="19" t="s">
        <v>440</v>
      </c>
      <c r="BY3" s="19" t="s">
        <v>440</v>
      </c>
      <c r="BZ3" s="19" t="s">
        <v>440</v>
      </c>
      <c r="CA3" s="19" t="s">
        <v>440</v>
      </c>
      <c r="CB3" s="19" t="s">
        <v>440</v>
      </c>
      <c r="CC3" s="19" t="s">
        <v>440</v>
      </c>
      <c r="CD3" s="19" t="s">
        <v>440</v>
      </c>
      <c r="CE3" s="19" t="s">
        <v>440</v>
      </c>
      <c r="CF3" s="19" t="s">
        <v>440</v>
      </c>
      <c r="CG3" s="19" t="s">
        <v>440</v>
      </c>
      <c r="CH3" s="19" t="s">
        <v>440</v>
      </c>
      <c r="CI3" s="19" t="s">
        <v>440</v>
      </c>
      <c r="CJ3" s="19" t="s">
        <v>440</v>
      </c>
      <c r="CK3" s="19" t="s">
        <v>440</v>
      </c>
      <c r="CL3" s="19" t="s">
        <v>440</v>
      </c>
      <c r="CM3" s="19" t="s">
        <v>440</v>
      </c>
      <c r="CN3" s="19" t="s">
        <v>440</v>
      </c>
      <c r="CO3" s="19" t="s">
        <v>440</v>
      </c>
      <c r="CP3" s="19" t="s">
        <v>440</v>
      </c>
      <c r="CQ3" s="19" t="s">
        <v>440</v>
      </c>
      <c r="CR3" s="19" t="s">
        <v>440</v>
      </c>
      <c r="CS3" s="19" t="s">
        <v>440</v>
      </c>
      <c r="CT3" s="19" t="s">
        <v>440</v>
      </c>
      <c r="CU3" s="19" t="s">
        <v>440</v>
      </c>
      <c r="CV3" s="19" t="s">
        <v>440</v>
      </c>
      <c r="CW3" s="19" t="s">
        <v>440</v>
      </c>
      <c r="CX3" s="19" t="s">
        <v>440</v>
      </c>
      <c r="CY3" s="19" t="s">
        <v>440</v>
      </c>
      <c r="CZ3" s="19" t="s">
        <v>440</v>
      </c>
      <c r="DA3" s="19" t="s">
        <v>440</v>
      </c>
      <c r="DB3" s="19" t="s">
        <v>440</v>
      </c>
      <c r="DC3" s="19" t="s">
        <v>440</v>
      </c>
      <c r="DD3" s="19" t="s">
        <v>440</v>
      </c>
      <c r="DE3" s="19" t="s">
        <v>440</v>
      </c>
      <c r="DF3" s="19" t="s">
        <v>440</v>
      </c>
      <c r="DG3" s="19" t="s">
        <v>440</v>
      </c>
      <c r="DH3" s="19" t="s">
        <v>440</v>
      </c>
      <c r="DI3" s="19" t="s">
        <v>440</v>
      </c>
      <c r="DJ3" s="19" t="s">
        <v>440</v>
      </c>
      <c r="DK3" s="19" t="s">
        <v>440</v>
      </c>
      <c r="DL3" s="19" t="s">
        <v>440</v>
      </c>
      <c r="DM3" s="19" t="s">
        <v>440</v>
      </c>
      <c r="DN3" s="19" t="s">
        <v>440</v>
      </c>
      <c r="DO3" s="19" t="s">
        <v>440</v>
      </c>
      <c r="DP3" s="19" t="s">
        <v>440</v>
      </c>
      <c r="DQ3" s="19" t="s">
        <v>440</v>
      </c>
      <c r="DR3" s="19" t="s">
        <v>440</v>
      </c>
      <c r="DS3" s="19" t="s">
        <v>440</v>
      </c>
      <c r="DT3" s="19" t="s">
        <v>440</v>
      </c>
      <c r="DU3" s="19" t="s">
        <v>440</v>
      </c>
      <c r="DV3" s="19" t="s">
        <v>440</v>
      </c>
      <c r="DW3" s="19" t="s">
        <v>440</v>
      </c>
      <c r="DX3" s="19" t="s">
        <v>440</v>
      </c>
      <c r="DY3" s="19" t="s">
        <v>440</v>
      </c>
      <c r="DZ3" s="19" t="s">
        <v>440</v>
      </c>
      <c r="EA3" s="19" t="s">
        <v>440</v>
      </c>
      <c r="EB3" s="19" t="s">
        <v>440</v>
      </c>
      <c r="EC3" s="19" t="s">
        <v>440</v>
      </c>
      <c r="ED3" s="19" t="s">
        <v>440</v>
      </c>
      <c r="EE3" s="19" t="s">
        <v>440</v>
      </c>
      <c r="EF3" s="19" t="s">
        <v>440</v>
      </c>
      <c r="EG3" s="19" t="s">
        <v>440</v>
      </c>
      <c r="EH3" s="19" t="s">
        <v>440</v>
      </c>
      <c r="EI3" s="19" t="s">
        <v>440</v>
      </c>
      <c r="EJ3" s="19" t="s">
        <v>440</v>
      </c>
      <c r="EK3" s="19" t="s">
        <v>440</v>
      </c>
      <c r="EL3" s="19" t="s">
        <v>440</v>
      </c>
      <c r="EM3" s="19" t="s">
        <v>440</v>
      </c>
      <c r="EN3" s="19" t="s">
        <v>440</v>
      </c>
      <c r="EO3" s="19" t="s">
        <v>440</v>
      </c>
      <c r="EP3" s="19" t="s">
        <v>440</v>
      </c>
      <c r="EQ3" s="19" t="s">
        <v>440</v>
      </c>
      <c r="ER3" s="19" t="s">
        <v>440</v>
      </c>
      <c r="ES3" s="19" t="s">
        <v>440</v>
      </c>
      <c r="ET3" s="19" t="s">
        <v>440</v>
      </c>
      <c r="EU3" s="19" t="s">
        <v>440</v>
      </c>
      <c r="EV3" s="19" t="s">
        <v>440</v>
      </c>
      <c r="EW3" s="19" t="s">
        <v>440</v>
      </c>
      <c r="EX3" s="19" t="s">
        <v>440</v>
      </c>
      <c r="EY3" s="19" t="s">
        <v>440</v>
      </c>
      <c r="EZ3" s="19" t="s">
        <v>440</v>
      </c>
      <c r="FA3" s="19" t="s">
        <v>440</v>
      </c>
      <c r="FB3" s="19" t="s">
        <v>440</v>
      </c>
      <c r="FC3" s="19" t="s">
        <v>440</v>
      </c>
      <c r="FD3" s="19" t="s">
        <v>440</v>
      </c>
      <c r="FE3" s="19" t="s">
        <v>440</v>
      </c>
      <c r="FF3" s="19" t="s">
        <v>440</v>
      </c>
      <c r="FG3" s="19" t="s">
        <v>440</v>
      </c>
      <c r="FH3" s="19" t="s">
        <v>440</v>
      </c>
      <c r="FI3" s="19" t="s">
        <v>440</v>
      </c>
      <c r="FJ3" s="19" t="s">
        <v>440</v>
      </c>
      <c r="FK3" s="19" t="s">
        <v>440</v>
      </c>
      <c r="FL3" s="19" t="s">
        <v>440</v>
      </c>
      <c r="FM3" s="19" t="s">
        <v>440</v>
      </c>
      <c r="FN3" s="19" t="s">
        <v>440</v>
      </c>
      <c r="FO3" s="19" t="s">
        <v>440</v>
      </c>
      <c r="FP3" s="19" t="s">
        <v>440</v>
      </c>
      <c r="FQ3" s="19" t="s">
        <v>440</v>
      </c>
      <c r="FR3" s="19" t="s">
        <v>440</v>
      </c>
      <c r="FS3" s="19" t="s">
        <v>440</v>
      </c>
      <c r="FT3" s="19" t="s">
        <v>440</v>
      </c>
      <c r="FU3" s="19" t="s">
        <v>440</v>
      </c>
      <c r="FV3" s="19" t="s">
        <v>441</v>
      </c>
      <c r="FW3" s="19" t="s">
        <v>440</v>
      </c>
      <c r="FX3" s="19" t="s">
        <v>440</v>
      </c>
      <c r="FY3" s="20" t="s">
        <v>406</v>
      </c>
      <c r="FZ3" s="20" t="s">
        <v>409</v>
      </c>
      <c r="GA3" s="20" t="s">
        <v>412</v>
      </c>
      <c r="GB3" s="20" t="s">
        <v>415</v>
      </c>
      <c r="GC3" s="20" t="s">
        <v>418</v>
      </c>
      <c r="GD3" s="20" t="s">
        <v>421</v>
      </c>
      <c r="GE3" s="20" t="s">
        <v>424</v>
      </c>
      <c r="GF3" s="20" t="s">
        <v>427</v>
      </c>
      <c r="GG3" s="20" t="s">
        <v>430</v>
      </c>
      <c r="GH3" s="20" t="s">
        <v>433</v>
      </c>
      <c r="GI3" s="20" t="s">
        <v>436</v>
      </c>
      <c r="GJ3" s="20" t="s">
        <v>439</v>
      </c>
    </row>
    <row r="4" spans="1:192">
      <c r="A4" t="s">
        <v>19</v>
      </c>
      <c r="B4" t="s">
        <v>181</v>
      </c>
      <c r="C4">
        <v>30</v>
      </c>
      <c r="D4">
        <v>1</v>
      </c>
      <c r="E4" s="10">
        <f>SUM('Entity Inputs'!F4,'Entity Inputs'!F10)</f>
        <v>4320.0</v>
      </c>
      <c r="F4" s="10">
        <f>SUM('Entity Inputs'!G4,'Entity Inputs'!G10)</f>
        <v>4284.0</v>
      </c>
      <c r="G4" s="10">
        <f>SUM('Entity Inputs'!H4,'Entity Inputs'!H10)</f>
        <v>4113.5</v>
      </c>
      <c r="H4" s="10">
        <f>SUM('Entity Inputs'!I4,'Entity Inputs'!I10)</f>
        <v>103.9</v>
      </c>
      <c r="I4" s="10">
        <f>SUM('Entity Inputs'!J4,'Entity Inputs'!J10)</f>
        <v>743065.0</v>
      </c>
      <c r="J4" s="10">
        <f>SUM('Entity Inputs'!K4,'Entity Inputs'!K10)</f>
        <v>749808.0</v>
      </c>
      <c r="K4" s="10">
        <f>SUM('Entity Inputs'!L4,'Entity Inputs'!L10)</f>
        <v>654253.0</v>
      </c>
      <c r="L4" s="10">
        <f>SUM('Entity Inputs'!M4,'Entity Inputs'!M10)</f>
        <v>650517.0</v>
      </c>
      <c r="M4" s="10">
        <f>SUM('Entity Inputs'!N4,'Entity Inputs'!N10)</f>
        <v>629656.0</v>
      </c>
      <c r="N4" s="10">
        <f>SUM('Entity Inputs'!O4,'Entity Inputs'!O10)</f>
        <v>695737.0</v>
      </c>
      <c r="O4" s="10">
        <f>SUM('Entity Inputs'!P4,'Entity Inputs'!P10)</f>
        <v>151630.0</v>
      </c>
      <c r="P4" s="10">
        <f>SUM('Entity Inputs'!Q4,'Entity Inputs'!Q10)</f>
        <v>131905.0</v>
      </c>
      <c r="Q4" s="10">
        <f>SUM('Entity Inputs'!R4,'Entity Inputs'!R10)</f>
        <v>18729.0</v>
      </c>
      <c r="R4" s="10">
        <f>SUM('Entity Inputs'!S4,'Entity Inputs'!S10)</f>
        <v>14.0</v>
      </c>
      <c r="S4" s="10">
        <f>SUM('Entity Inputs'!T4,'Entity Inputs'!T10)</f>
        <v>71.10000000000001</v>
      </c>
      <c r="T4" s="10">
        <f>SUM('Entity Inputs'!U4,'Entity Inputs'!U10)</f>
        <v>260.0</v>
      </c>
      <c r="U4" s="10">
        <f>SUM('Entity Inputs'!V4,'Entity Inputs'!V10)</f>
        <v>243.0</v>
      </c>
      <c r="V4" s="10">
        <f>SUM('Entity Inputs'!W4,'Entity Inputs'!W10)</f>
        <v>1911388.7000000002</v>
      </c>
      <c r="W4" s="10">
        <f>SUM('Entity Inputs'!X4,'Entity Inputs'!X10)</f>
        <v>490330.5</v>
      </c>
      <c r="X4" s="10">
        <f>SUM('Entity Inputs'!Y4,'Entity Inputs'!Y10)</f>
        <v>7002.5</v>
      </c>
      <c r="Y4" s="10">
        <f>SUM('Entity Inputs'!Z4,'Entity Inputs'!Z10)</f>
        <v>1352732.0</v>
      </c>
      <c r="Z4" s="10">
        <f>SUM('Entity Inputs'!AA4,'Entity Inputs'!AA10)</f>
        <v>425627.0</v>
      </c>
      <c r="AA4" s="10">
        <f>SUM('Entity Inputs'!AB4,'Entity Inputs'!AB10)</f>
        <v>2122206.0</v>
      </c>
      <c r="AB4" s="10">
        <f>SUM('Entity Inputs'!AC4,'Entity Inputs'!AC10)</f>
        <v>28497.0</v>
      </c>
      <c r="AC4" s="10">
        <f>SUM('Entity Inputs'!AD4,'Entity Inputs'!AD10)</f>
        <v>8.0</v>
      </c>
      <c r="AD4" s="10">
        <f>SUM('Entity Inputs'!AE4,'Entity Inputs'!AE10)</f>
        <v>459000.0</v>
      </c>
      <c r="AE4" s="10">
        <f>SUM('Entity Inputs'!AF4,'Entity Inputs'!AF10)</f>
        <v>2.0</v>
      </c>
      <c r="AF4" s="10">
        <f>SUM('Entity Inputs'!AG4,'Entity Inputs'!AG10)</f>
        <v>1.0</v>
      </c>
      <c r="AG4" s="10">
        <f>SUM('Entity Inputs'!AH4,'Entity Inputs'!AH10)</f>
        <v>39.0</v>
      </c>
      <c r="AH4" s="10">
        <f>SUM('Entity Inputs'!AI4,'Entity Inputs'!AI10)</f>
        <v>0.0</v>
      </c>
      <c r="AI4" s="10">
        <f>SUM('Entity Inputs'!AJ4,'Entity Inputs'!AJ10)</f>
        <v>2.0</v>
      </c>
      <c r="AJ4" s="10">
        <f>SUM('Entity Inputs'!AK4,'Entity Inputs'!AK10)</f>
        <v>1.0</v>
      </c>
      <c r="AK4" s="10">
        <f>SUM('Entity Inputs'!AL4,'Entity Inputs'!AL10)</f>
        <v>60.0</v>
      </c>
      <c r="AL4" s="10">
        <f>SUM('Entity Inputs'!AM4,'Entity Inputs'!AM10)</f>
        <v>12.0</v>
      </c>
      <c r="AM4" s="10">
        <f>SUM('Entity Inputs'!AN4,'Entity Inputs'!AN10)</f>
        <v>9.0</v>
      </c>
      <c r="AN4" s="10">
        <f>SUM('Entity Inputs'!AO4,'Entity Inputs'!AO10)</f>
        <v>6.0</v>
      </c>
      <c r="AO4" s="10">
        <f>SUM('Entity Inputs'!AP4,'Entity Inputs'!AP10)</f>
        <v>3.0</v>
      </c>
      <c r="AP4" s="10">
        <f>SUM('Entity Inputs'!AQ4,'Entity Inputs'!AQ10)</f>
        <v>1036.0</v>
      </c>
      <c r="AQ4" s="10">
        <f>SUM('Entity Inputs'!AR4,'Entity Inputs'!AR10)</f>
        <v>62.0</v>
      </c>
      <c r="AR4" s="10">
        <f>MIN('Entity Inputs'!AS4,'Entity Inputs'!AS10)</f>
        <v>215</v>
      </c>
      <c r="AS4" s="10">
        <f>SUM('Entity Inputs'!AT4,'Entity Inputs'!AT10)</f>
        <v>625586.0</v>
      </c>
      <c r="AT4" s="10">
        <f>SUM('Entity Inputs'!AU4,'Entity Inputs'!AU10)</f>
        <v>656098.0</v>
      </c>
      <c r="AU4" s="10">
        <f>SUM('Entity Inputs'!AV4,'Entity Inputs'!AV10)</f>
        <v>2349263.5</v>
      </c>
      <c r="AV4" s="10">
        <f>SUM('Entity Inputs'!AW4,'Entity Inputs'!AW10)</f>
        <v>2466928.5</v>
      </c>
      <c r="AW4" s="10">
        <f>SUM('Entity Inputs'!AX4,'Entity Inputs'!AX10)</f>
        <v>117629.1</v>
      </c>
      <c r="AX4" s="10">
        <f>SUM('Entity Inputs'!AY4,'Entity Inputs'!AY10)</f>
        <v>89279.3</v>
      </c>
      <c r="AY4" s="10">
        <f>SUM('Entity Inputs'!AZ4,'Entity Inputs'!AZ10)</f>
        <v>1305.0</v>
      </c>
      <c r="AZ4" s="10">
        <f>SUM('Entity Inputs'!BA4,'Entity Inputs'!BA10)</f>
        <v>1189.0</v>
      </c>
      <c r="BA4" s="10">
        <f>SUM('Entity Inputs'!BB4,'Entity Inputs'!BB10)</f>
        <v>690449.0</v>
      </c>
      <c r="BB4" s="10">
        <f>SUM('Entity Inputs'!BC4,'Entity Inputs'!BC10)</f>
        <v>662572.0</v>
      </c>
      <c r="BC4" s="10">
        <f>SUM('Entity Inputs'!BD4,'Entity Inputs'!BD10)</f>
        <v>7872.0</v>
      </c>
      <c r="BD4" s="10">
        <f>SUM('Entity Inputs'!BE4,'Entity Inputs'!BE10)</f>
        <v>4634.0</v>
      </c>
      <c r="BE4" s="10">
        <f>SUM('Entity Inputs'!BF4,'Entity Inputs'!BF10)</f>
        <v>4879.0</v>
      </c>
      <c r="BF4" s="10">
        <f>SUM('Entity Inputs'!BG4,'Entity Inputs'!BG10)</f>
        <v>1067130.0</v>
      </c>
      <c r="BG4" s="10">
        <f>SUM('Entity Inputs'!BH4,'Entity Inputs'!BH10)</f>
        <v>368852.6</v>
      </c>
      <c r="BH4" s="10">
        <f>SUM('Entity Inputs'!BI4,'Entity Inputs'!BI10)</f>
        <v>0.0</v>
      </c>
      <c r="BI4" s="10">
        <f>SUM('Entity Inputs'!BJ4,'Entity Inputs'!BJ10)</f>
        <v>3.0</v>
      </c>
      <c r="BJ4" s="10">
        <f>SUM('Entity Inputs'!BK4,'Entity Inputs'!BK10)</f>
        <v>2.0</v>
      </c>
      <c r="BK4" s="10">
        <f>SUM('Entity Inputs'!BL4,'Entity Inputs'!BL10)</f>
        <v>3.0</v>
      </c>
      <c r="BL4" s="10">
        <f>SUM('Entity Inputs'!BM4,'Entity Inputs'!BM10)</f>
        <v>4.0</v>
      </c>
      <c r="BM4" s="10">
        <f>SUM('Entity Inputs'!BN4,'Entity Inputs'!BN10)</f>
        <v>0.0</v>
      </c>
      <c r="BN4" s="10">
        <f>SUM('Entity Inputs'!BO4,'Entity Inputs'!BO10)</f>
        <v>0.0</v>
      </c>
      <c r="BO4" s="10">
        <f>SUM('Entity Inputs'!BP4,'Entity Inputs'!BP10)</f>
        <v>0.0</v>
      </c>
      <c r="BP4" s="10">
        <f>SUM('Entity Inputs'!BQ4,'Entity Inputs'!BQ10)</f>
        <v>0.0</v>
      </c>
      <c r="BQ4" s="10">
        <f>SUM('Entity Inputs'!BR4,'Entity Inputs'!BR10)</f>
        <v>0.0</v>
      </c>
      <c r="BR4" s="10">
        <f>SUM('Entity Inputs'!BS4,'Entity Inputs'!BS10)</f>
        <v>0.0</v>
      </c>
      <c r="BS4" s="10">
        <f>MIN('Entity Inputs'!BT4,'Entity Inputs'!BT10)</f>
        <v>17</v>
      </c>
      <c r="BT4" s="10">
        <f>SUM('Entity Inputs'!BU4,'Entity Inputs'!BU10)</f>
        <v>660395.0</v>
      </c>
      <c r="BU4" s="10">
        <f>SUM('Entity Inputs'!BV4,'Entity Inputs'!BV10)</f>
        <v>653965.0</v>
      </c>
      <c r="BV4" s="10">
        <f>SUM('Entity Inputs'!BW4,'Entity Inputs'!BW10)</f>
        <v>282244117.0</v>
      </c>
      <c r="BW4" s="10">
        <f>SUM('Entity Inputs'!BX4,'Entity Inputs'!BX10)</f>
        <v>743065.0</v>
      </c>
      <c r="BX4" s="10">
        <f>SUM('Entity Inputs'!BY4,'Entity Inputs'!BY10)</f>
        <v>19207.0</v>
      </c>
      <c r="BY4" s="10">
        <f>SUM('Entity Inputs'!BZ4,'Entity Inputs'!BZ10)</f>
        <v>108909.2</v>
      </c>
      <c r="BZ4" s="10">
        <f>SUM('Entity Inputs'!CA4,'Entity Inputs'!CA10)</f>
        <v>65760.6</v>
      </c>
      <c r="CA4" s="10">
        <f>SUM('Entity Inputs'!CB4,'Entity Inputs'!CB10)</f>
        <v>20800000.0</v>
      </c>
      <c r="CB4" s="10">
        <f>SUM('Entity Inputs'!CC4,'Entity Inputs'!CC10)</f>
        <v>9099113.7</v>
      </c>
      <c r="CC4" s="10">
        <f>SUM('Entity Inputs'!CD4,'Entity Inputs'!CD10)</f>
        <v>2099113.7</v>
      </c>
      <c r="CD4" s="10">
        <f>SUM('Entity Inputs'!CE4,'Entity Inputs'!CE10)</f>
        <v>903397.0</v>
      </c>
      <c r="CE4" s="10">
        <f>SUM('Entity Inputs'!CF4,'Entity Inputs'!CF10)</f>
        <v>73500.0</v>
      </c>
      <c r="CF4" s="10">
        <f>SUM('Entity Inputs'!CG4,'Entity Inputs'!CG10)</f>
        <v>844304.7</v>
      </c>
      <c r="CG4" s="10">
        <f>SUM('Entity Inputs'!CH4,'Entity Inputs'!CH10)</f>
        <v>2721454.3</v>
      </c>
      <c r="CH4" s="10">
        <f>SUM('Entity Inputs'!CI4,'Entity Inputs'!CI10)</f>
        <v>322240.0</v>
      </c>
      <c r="CI4" s="10">
        <f>SUM('Entity Inputs'!CJ4,'Entity Inputs'!CJ10)</f>
        <v>2327623.3</v>
      </c>
      <c r="CJ4" s="10">
        <f>SUM('Entity Inputs'!CK4,'Entity Inputs'!CK10)</f>
        <v>3692917.2</v>
      </c>
      <c r="CK4" s="10">
        <f>SUM('Entity Inputs'!CL4,'Entity Inputs'!CL10)</f>
        <v>3209413.1</v>
      </c>
      <c r="CL4" s="10">
        <f>SUM('Entity Inputs'!CM4,'Entity Inputs'!CM10)</f>
        <v>2429077.6</v>
      </c>
      <c r="CM4" s="10">
        <f>SUM('Entity Inputs'!CN4,'Entity Inputs'!CN10)</f>
        <v>2310535.9000000004</v>
      </c>
      <c r="CN4" s="10">
        <f>SUM('Entity Inputs'!CO4,'Entity Inputs'!CO10)</f>
        <v>3826.3</v>
      </c>
      <c r="CO4" s="10">
        <f>SUM('Entity Inputs'!CP4,'Entity Inputs'!CP10)</f>
        <v>186096.0</v>
      </c>
      <c r="CP4" s="10">
        <f>SUM('Entity Inputs'!CQ4,'Entity Inputs'!CQ10)</f>
        <v>186096.0</v>
      </c>
      <c r="CQ4" s="10">
        <f>SUM('Entity Inputs'!CR4,'Entity Inputs'!CR10)</f>
        <v>792.0</v>
      </c>
      <c r="CR4" s="10">
        <f>SUM('Entity Inputs'!CS4,'Entity Inputs'!CS10)</f>
        <v>35769.0</v>
      </c>
      <c r="CS4" s="10">
        <f>SUM('Entity Inputs'!CT4,'Entity Inputs'!CT10)</f>
        <v>35640.0</v>
      </c>
      <c r="CT4" s="10">
        <f>SUM('Entity Inputs'!CU4,'Entity Inputs'!CU10)</f>
        <v>0.0</v>
      </c>
      <c r="CU4" s="10">
        <f>SUM('Entity Inputs'!CV4,'Entity Inputs'!CV10)</f>
        <v>1921445.4</v>
      </c>
      <c r="CV4" s="10">
        <f>SUM('Entity Inputs'!CW4,'Entity Inputs'!CW10)</f>
        <v>1942564.4</v>
      </c>
      <c r="CW4" s="10">
        <f>SUM('Entity Inputs'!CX4,'Entity Inputs'!CX10)</f>
        <v>338667.9</v>
      </c>
      <c r="CX4" s="10">
        <f>SUM('Entity Inputs'!CY4,'Entity Inputs'!CY10)</f>
        <v>6928217.3</v>
      </c>
      <c r="CY4" s="10">
        <f>SUM('Entity Inputs'!CZ4,'Entity Inputs'!CZ10)</f>
        <v>3776934.5</v>
      </c>
      <c r="CZ4" s="10">
        <f>SUM('Entity Inputs'!DA4,'Entity Inputs'!DA10)</f>
        <v>724158.6</v>
      </c>
      <c r="DA4" s="10">
        <f>SUM('Entity Inputs'!DB4,'Entity Inputs'!DB10)</f>
        <v>533367.2</v>
      </c>
      <c r="DB4" s="10">
        <f>SUM('Entity Inputs'!DC4,'Entity Inputs'!DC10)</f>
        <v>573842.5</v>
      </c>
      <c r="DC4" s="10">
        <f>SUM('Entity Inputs'!DD4,'Entity Inputs'!DD10)</f>
        <v>420775.9</v>
      </c>
      <c r="DD4" s="10">
        <f>SUM('Entity Inputs'!DE4,'Entity Inputs'!DE10)</f>
        <v>10219.3</v>
      </c>
      <c r="DE4" s="10">
        <f>SUM('Entity Inputs'!DF4,'Entity Inputs'!DF10)</f>
        <v>11471.2</v>
      </c>
      <c r="DF4" s="10">
        <f>SUM('Entity Inputs'!DG4,'Entity Inputs'!DG10)</f>
        <v>4336408.2</v>
      </c>
      <c r="DG4" s="10">
        <f>SUM('Entity Inputs'!DH4,'Entity Inputs'!DH10)</f>
        <v>3045059.9000000004</v>
      </c>
      <c r="DH4" s="10">
        <f>SUM('Entity Inputs'!DI4,'Entity Inputs'!DI10)</f>
        <v>1860000.0</v>
      </c>
      <c r="DI4" s="10">
        <f>SUM('Entity Inputs'!DJ4,'Entity Inputs'!DJ10)</f>
        <v>838529.3</v>
      </c>
      <c r="DJ4" s="10">
        <f>SUM('Entity Inputs'!DK4,'Entity Inputs'!DK10)</f>
        <v>146556.6</v>
      </c>
      <c r="DK4" s="10">
        <f>SUM('Entity Inputs'!DL4,'Entity Inputs'!DL10)</f>
        <v>706800.0</v>
      </c>
      <c r="DL4" s="10">
        <f>SUM('Entity Inputs'!DM4,'Entity Inputs'!DM10)</f>
        <v>139237.5</v>
      </c>
      <c r="DM4" s="10">
        <f>SUM('Entity Inputs'!DN4,'Entity Inputs'!DN10)</f>
        <v>9.0</v>
      </c>
      <c r="DN4" s="10">
        <f>SUM('Entity Inputs'!DO4,'Entity Inputs'!DO10)</f>
        <v>2.0</v>
      </c>
      <c r="DO4" s="10">
        <f>SUM('Entity Inputs'!DP4,'Entity Inputs'!DP10)</f>
        <v>0.0</v>
      </c>
      <c r="DP4" s="10">
        <f>SUM('Entity Inputs'!DQ4,'Entity Inputs'!DQ10)</f>
        <v>0.0</v>
      </c>
      <c r="DQ4" s="10">
        <f>SUM('Entity Inputs'!DR4,'Entity Inputs'!DR10)</f>
        <v>11.0</v>
      </c>
      <c r="DR4" s="10">
        <f>SUM('Entity Inputs'!DS4,'Entity Inputs'!DS10)</f>
        <v>26.0</v>
      </c>
      <c r="DS4" s="10">
        <f>SUM('Entity Inputs'!DT4,'Entity Inputs'!DT10)</f>
        <v>15.0</v>
      </c>
      <c r="DT4" s="10">
        <f>SUM('Entity Inputs'!DU4,'Entity Inputs'!DU10)</f>
        <v>6.0</v>
      </c>
      <c r="DU4" s="10">
        <f>SUM('Entity Inputs'!DV4,'Entity Inputs'!DV10)</f>
        <v>3.0</v>
      </c>
      <c r="DV4" s="10">
        <f>SUM('Entity Inputs'!DW4,'Entity Inputs'!DW10)</f>
        <v>124.0</v>
      </c>
      <c r="DW4" s="10">
        <f>SUM('Entity Inputs'!DX4,'Entity Inputs'!DX10)</f>
        <v>37.0</v>
      </c>
      <c r="DX4" s="10">
        <f>SUM('Entity Inputs'!DY4,'Entity Inputs'!DY10)</f>
        <v>13965.5</v>
      </c>
      <c r="DY4" s="10">
        <f>SUM('Entity Inputs'!DZ4,'Entity Inputs'!DZ10)</f>
        <v>6521.1</v>
      </c>
      <c r="DZ4" s="10">
        <f>SUM('Entity Inputs'!EA4,'Entity Inputs'!EA10)</f>
        <v>2363.8</v>
      </c>
      <c r="EA4" s="10">
        <f>SUM('Entity Inputs'!EB4,'Entity Inputs'!EB10)</f>
        <v>1443.8999999999999</v>
      </c>
      <c r="EB4" s="10">
        <f>SUM('Entity Inputs'!EC4,'Entity Inputs'!EC10)</f>
        <v>1773.9</v>
      </c>
      <c r="EC4" s="10">
        <f>SUM('Entity Inputs'!ED4,'Entity Inputs'!ED10)</f>
        <v>140.0</v>
      </c>
      <c r="ED4" s="10">
        <f>SUM('Entity Inputs'!EE4,'Entity Inputs'!EE10)</f>
        <v>135.0</v>
      </c>
      <c r="EE4" s="10">
        <f>SUM('Entity Inputs'!EF4,'Entity Inputs'!EF10)</f>
        <v>3.0</v>
      </c>
      <c r="EF4" s="10">
        <f>SUM('Entity Inputs'!EG4,'Entity Inputs'!EG10)</f>
        <v>1.0</v>
      </c>
      <c r="EG4" s="10">
        <f>SUM('Entity Inputs'!EH4,'Entity Inputs'!EH10)</f>
        <v>3.0</v>
      </c>
      <c r="EH4" s="10">
        <f>SUM('Entity Inputs'!EI4,'Entity Inputs'!EI10)</f>
        <v>1.0</v>
      </c>
      <c r="EI4" s="10">
        <f>SUM('Entity Inputs'!EJ4,'Entity Inputs'!EJ10)</f>
        <v>0.0</v>
      </c>
      <c r="EJ4" s="10">
        <f>SUM('Entity Inputs'!EK4,'Entity Inputs'!EK10)</f>
        <v>2.0</v>
      </c>
      <c r="EK4" s="10">
        <f>SUM('Entity Inputs'!EL4,'Entity Inputs'!EL10)</f>
        <v>2.0</v>
      </c>
      <c r="EL4" s="10">
        <f>SUM('Entity Inputs'!EM4,'Entity Inputs'!EM10)</f>
        <v>0.0</v>
      </c>
      <c r="EM4" s="10">
        <f>SUM('Entity Inputs'!EN4,'Entity Inputs'!EN10)</f>
        <v>0.0</v>
      </c>
      <c r="EN4" s="10">
        <f>SUM('Entity Inputs'!EO4,'Entity Inputs'!EO10)</f>
        <v>0.0</v>
      </c>
      <c r="EO4" s="10">
        <f>SUM('Entity Inputs'!EP4,'Entity Inputs'!EP10)</f>
        <v>0.0</v>
      </c>
      <c r="EP4" s="10">
        <f>SUM('Entity Inputs'!EQ4,'Entity Inputs'!EQ10)</f>
        <v>0.0</v>
      </c>
      <c r="EQ4" s="10">
        <f>SUM('Entity Inputs'!ER4,'Entity Inputs'!ER10)</f>
        <v>1.0</v>
      </c>
      <c r="ER4" s="10">
        <f>SUM('Entity Inputs'!ES4,'Entity Inputs'!ES10)</f>
        <v>1.0</v>
      </c>
      <c r="ES4" s="10">
        <f>SUM('Entity Inputs'!ET4,'Entity Inputs'!ET10)</f>
        <v>0.0</v>
      </c>
      <c r="ET4" s="10">
        <f>SUM('Entity Inputs'!EU4,'Entity Inputs'!EU10)</f>
        <v>1.0</v>
      </c>
      <c r="EU4" s="10">
        <f>SUM('Entity Inputs'!EV4,'Entity Inputs'!EV10)</f>
        <v>8.0</v>
      </c>
      <c r="EV4" s="10">
        <f>SUM('Entity Inputs'!EW4,'Entity Inputs'!EW10)</f>
        <v>0.0</v>
      </c>
      <c r="EW4" s="10">
        <f>SUM('Entity Inputs'!EX4,'Entity Inputs'!EX10)</f>
        <v>1.0</v>
      </c>
      <c r="EX4" s="10">
        <f>SUM('Entity Inputs'!EY4,'Entity Inputs'!EY10)</f>
        <v>1.0</v>
      </c>
      <c r="EY4" s="10">
        <f>SUM('Entity Inputs'!EZ4,'Entity Inputs'!EZ10)</f>
        <v>108.0</v>
      </c>
      <c r="EZ4" s="10">
        <f>SUM('Entity Inputs'!FA4,'Entity Inputs'!FA10)</f>
        <v>95.0</v>
      </c>
      <c r="FA4" s="10">
        <f>SUM('Entity Inputs'!FB4,'Entity Inputs'!FB10)</f>
        <v>5.0</v>
      </c>
      <c r="FB4" s="10">
        <f>SUM('Entity Inputs'!FC4,'Entity Inputs'!FC10)</f>
        <v>166.0</v>
      </c>
      <c r="FC4" s="10">
        <f>SUM('Entity Inputs'!FD4,'Entity Inputs'!FD10)</f>
        <v>56.0</v>
      </c>
      <c r="FD4" s="10">
        <f>SUM('Entity Inputs'!FE4,'Entity Inputs'!FE10)</f>
        <v>47.0</v>
      </c>
      <c r="FE4" s="10">
        <f>SUM('Entity Inputs'!FF4,'Entity Inputs'!FF10)</f>
        <v>52.0</v>
      </c>
      <c r="FF4" s="10">
        <f>SUM('Entity Inputs'!FG4,'Entity Inputs'!FG10)</f>
        <v>1.0</v>
      </c>
      <c r="FG4" s="10">
        <f>SUM('Entity Inputs'!FH4,'Entity Inputs'!FH10)</f>
        <v>1.0</v>
      </c>
      <c r="FH4" s="10">
        <f>SUM('Entity Inputs'!FI4,'Entity Inputs'!FI10)</f>
        <v>0.0</v>
      </c>
      <c r="FI4" s="10">
        <f>SUM('Entity Inputs'!FJ4,'Entity Inputs'!FJ10)</f>
        <v>997324.0</v>
      </c>
      <c r="FJ4" s="10">
        <f>SUM('Entity Inputs'!FK4,'Entity Inputs'!FK10)</f>
        <v>991798.0</v>
      </c>
      <c r="FK4" s="10">
        <f>SUM('Entity Inputs'!FL4,'Entity Inputs'!FL10)</f>
        <v>820.0</v>
      </c>
      <c r="FL4" s="10">
        <f>SUM('Entity Inputs'!FM4,'Entity Inputs'!FM10)</f>
        <v>794.0</v>
      </c>
      <c r="FM4" s="10">
        <f>SUM('Entity Inputs'!FN4,'Entity Inputs'!FN10)</f>
        <v>0.0</v>
      </c>
      <c r="FN4" s="10">
        <f>SUM('Entity Inputs'!FO4,'Entity Inputs'!FO10)</f>
        <v>0.0</v>
      </c>
      <c r="FO4" s="10">
        <f>SUM('Entity Inputs'!FP4,'Entity Inputs'!FP10)</f>
        <v>0.0</v>
      </c>
      <c r="FP4" s="10">
        <f>SUM('Entity Inputs'!FQ4,'Entity Inputs'!FQ10)</f>
        <v>12.0</v>
      </c>
      <c r="FQ4" s="10">
        <f>SUM('Entity Inputs'!FR4,'Entity Inputs'!FR10)</f>
        <v>30.700000000000003</v>
      </c>
      <c r="FR4" s="10">
        <f>SUM('Entity Inputs'!FS4,'Entity Inputs'!FS10)</f>
        <v>12.0</v>
      </c>
      <c r="FS4" s="10">
        <f>SUM('Entity Inputs'!FT4,'Entity Inputs'!FT10)</f>
        <v>0.0</v>
      </c>
      <c r="FT4" s="10">
        <f>SUM('Entity Inputs'!FU4,'Entity Inputs'!FU10)</f>
        <v>1.0</v>
      </c>
      <c r="FU4" s="10">
        <f>SUM('Entity Inputs'!FV4,'Entity Inputs'!FV10)</f>
        <v>1.0</v>
      </c>
      <c r="FV4" s="10">
        <f>MIN('Entity Inputs'!FW4,'Entity Inputs'!FW10)</f>
        <v>999</v>
      </c>
      <c r="FW4" s="10">
        <f>SUM('Entity Inputs'!FX4,'Entity Inputs'!FX10)</f>
        <v>101104.9</v>
      </c>
      <c r="FX4" s="10">
        <f>SUM('Entity Inputs'!FY4,'Entity Inputs'!FY10)</f>
        <v>100093.8</v>
      </c>
      <c r="FY4" s="12">
        <f>AU4-V4-X4-BY4</f>
        <v>321963.0999999998</v>
      </c>
      <c r="FZ4" s="12">
        <f>FY4-AX4</f>
        <v>232683.7999999998</v>
      </c>
      <c r="GA4" s="12">
        <f>CJ4+CL4-CK4</f>
        <v>2912581.7000000007</v>
      </c>
      <c r="GB4" s="12">
        <f>GA4-Parameters!$B$7</f>
        <v>43688.70000000065</v>
      </c>
      <c r="GC4" s="12">
        <f>FY4-BZ4-GB4</f>
        <v>212513.79999999914</v>
      </c>
      <c r="GD4" s="12">
        <f>GC4-DJ4</f>
        <v>65957.19999999914</v>
      </c>
      <c r="GE4" s="12">
        <f>CB4-CC4</f>
        <v>6999999.999999999</v>
      </c>
      <c r="GF4" s="12">
        <f>SUM(FY$4:FY4)*12/D4</f>
        <v>3863557.1999999974</v>
      </c>
      <c r="GG4" s="12">
        <f>IF(AU4=0,0,CJ4/AU4*C4)</f>
        <v>47.15840347411008</v>
      </c>
      <c r="GH4" s="12">
        <f>IF(V4=0,0,CK4/V4*C4)</f>
        <v>50.373005239593596</v>
      </c>
      <c r="GI4" s="12">
        <f>IF(V4=0,0,CL4/V4*C4)</f>
        <v>38.12533159791098</v>
      </c>
      <c r="GJ4" s="12">
        <f>IF(OR(AS4=0,AT4=0,AV4=0),0,100*((AU4/AS4)/(AV4/AT4)-1))</f>
        <v>-0.12498405095641152</v>
      </c>
    </row>
    <row r="5" spans="1:192">
      <c r="A5" t="s">
        <v>19</v>
      </c>
      <c r="B5" t="s">
        <v>182</v>
      </c>
      <c r="C5">
        <v>31</v>
      </c>
      <c r="D5">
        <v>2</v>
      </c>
      <c r="E5" s="10">
        <f>SUM('Entity Inputs'!F5,'Entity Inputs'!F11)</f>
        <v>4464.0</v>
      </c>
      <c r="F5" s="10">
        <f>SUM('Entity Inputs'!G5,'Entity Inputs'!G11)</f>
        <v>4205.0</v>
      </c>
      <c r="G5" s="10">
        <f>SUM('Entity Inputs'!H5,'Entity Inputs'!H11)</f>
        <v>3960.1000000000004</v>
      </c>
      <c r="H5" s="10">
        <f>SUM('Entity Inputs'!I5,'Entity Inputs'!I11)</f>
        <v>167.89999999999998</v>
      </c>
      <c r="I5" s="10">
        <f>SUM('Entity Inputs'!J5,'Entity Inputs'!J11)</f>
        <v>724257.0</v>
      </c>
      <c r="J5" s="10">
        <f>SUM('Entity Inputs'!K5,'Entity Inputs'!K11)</f>
        <v>774802.0</v>
      </c>
      <c r="K5" s="10">
        <f>SUM('Entity Inputs'!L5,'Entity Inputs'!L11)</f>
        <v>644875.0</v>
      </c>
      <c r="L5" s="10">
        <f>SUM('Entity Inputs'!M5,'Entity Inputs'!M11)</f>
        <v>610774.0</v>
      </c>
      <c r="M5" s="10">
        <f>SUM('Entity Inputs'!N5,'Entity Inputs'!N11)</f>
        <v>590465.0</v>
      </c>
      <c r="N5" s="10">
        <f>SUM('Entity Inputs'!O5,'Entity Inputs'!O11)</f>
        <v>639407.0</v>
      </c>
      <c r="O5" s="10">
        <f>SUM('Entity Inputs'!P5,'Entity Inputs'!P11)</f>
        <v>123174.0</v>
      </c>
      <c r="P5" s="10">
        <f>SUM('Entity Inputs'!Q5,'Entity Inputs'!Q11)</f>
        <v>106051.0</v>
      </c>
      <c r="Q5" s="10">
        <f>SUM('Entity Inputs'!R5,'Entity Inputs'!R11)</f>
        <v>28641.0</v>
      </c>
      <c r="R5" s="10">
        <f>SUM('Entity Inputs'!S5,'Entity Inputs'!S11)</f>
        <v>21.0</v>
      </c>
      <c r="S5" s="10">
        <f>SUM('Entity Inputs'!T5,'Entity Inputs'!T11)</f>
        <v>129.4</v>
      </c>
      <c r="T5" s="10">
        <f>SUM('Entity Inputs'!U5,'Entity Inputs'!U11)</f>
        <v>275.0</v>
      </c>
      <c r="U5" s="10">
        <f>SUM('Entity Inputs'!V5,'Entity Inputs'!V11)</f>
        <v>255.0</v>
      </c>
      <c r="V5" s="10">
        <f>SUM('Entity Inputs'!W5,'Entity Inputs'!W11)</f>
        <v>1857317.9000000001</v>
      </c>
      <c r="W5" s="10">
        <f>SUM('Entity Inputs'!X5,'Entity Inputs'!X11)</f>
        <v>492350.2</v>
      </c>
      <c r="X5" s="10">
        <f>SUM('Entity Inputs'!Y5,'Entity Inputs'!Y11)</f>
        <v>8206.3</v>
      </c>
      <c r="Y5" s="10">
        <f>SUM('Entity Inputs'!Z5,'Entity Inputs'!Z11)</f>
        <v>1282066.0</v>
      </c>
      <c r="Z5" s="10">
        <f>SUM('Entity Inputs'!AA5,'Entity Inputs'!AA11)</f>
        <v>382393.0</v>
      </c>
      <c r="AA5" s="10">
        <f>SUM('Entity Inputs'!AB5,'Entity Inputs'!AB11)</f>
        <v>1878809.0</v>
      </c>
      <c r="AB5" s="10">
        <f>SUM('Entity Inputs'!AC5,'Entity Inputs'!AC11)</f>
        <v>55870.0</v>
      </c>
      <c r="AC5" s="10">
        <f>SUM('Entity Inputs'!AD5,'Entity Inputs'!AD11)</f>
        <v>6.0</v>
      </c>
      <c r="AD5" s="10">
        <f>SUM('Entity Inputs'!AE5,'Entity Inputs'!AE11)</f>
        <v>427000.0</v>
      </c>
      <c r="AE5" s="10">
        <f>SUM('Entity Inputs'!AF5,'Entity Inputs'!AF11)</f>
        <v>4.0</v>
      </c>
      <c r="AF5" s="10">
        <f>SUM('Entity Inputs'!AG5,'Entity Inputs'!AG11)</f>
        <v>1.0</v>
      </c>
      <c r="AG5" s="10">
        <f>SUM('Entity Inputs'!AH5,'Entity Inputs'!AH11)</f>
        <v>46.0</v>
      </c>
      <c r="AH5" s="10">
        <f>SUM('Entity Inputs'!AI5,'Entity Inputs'!AI11)</f>
        <v>1.0</v>
      </c>
      <c r="AI5" s="10">
        <f>SUM('Entity Inputs'!AJ5,'Entity Inputs'!AJ11)</f>
        <v>1.0</v>
      </c>
      <c r="AJ5" s="10">
        <f>SUM('Entity Inputs'!AK5,'Entity Inputs'!AK11)</f>
        <v>0.0</v>
      </c>
      <c r="AK5" s="10">
        <f>SUM('Entity Inputs'!AL5,'Entity Inputs'!AL11)</f>
        <v>58.0</v>
      </c>
      <c r="AL5" s="10">
        <f>SUM('Entity Inputs'!AM5,'Entity Inputs'!AM11)</f>
        <v>14.0</v>
      </c>
      <c r="AM5" s="10">
        <f>SUM('Entity Inputs'!AN5,'Entity Inputs'!AN11)</f>
        <v>8.0</v>
      </c>
      <c r="AN5" s="10">
        <f>SUM('Entity Inputs'!AO5,'Entity Inputs'!AO11)</f>
        <v>8.0</v>
      </c>
      <c r="AO5" s="10">
        <f>SUM('Entity Inputs'!AP5,'Entity Inputs'!AP11)</f>
        <v>3.0</v>
      </c>
      <c r="AP5" s="10">
        <f>SUM('Entity Inputs'!AQ5,'Entity Inputs'!AQ11)</f>
        <v>1159.0</v>
      </c>
      <c r="AQ5" s="10">
        <f>SUM('Entity Inputs'!AR5,'Entity Inputs'!AR11)</f>
        <v>82.0</v>
      </c>
      <c r="AR5" s="10">
        <f>MIN('Entity Inputs'!AS5,'Entity Inputs'!AS11)</f>
        <v>185</v>
      </c>
      <c r="AS5" s="10">
        <f>SUM('Entity Inputs'!AT5,'Entity Inputs'!AT11)</f>
        <v>590080.0</v>
      </c>
      <c r="AT5" s="10">
        <f>SUM('Entity Inputs'!AU5,'Entity Inputs'!AU11)</f>
        <v>643832.0</v>
      </c>
      <c r="AU5" s="10">
        <f>SUM('Entity Inputs'!AV5,'Entity Inputs'!AV11)</f>
        <v>2218839.1</v>
      </c>
      <c r="AV5" s="10">
        <f>SUM('Entity Inputs'!AW5,'Entity Inputs'!AW11)</f>
        <v>2420808.4000000004</v>
      </c>
      <c r="AW5" s="10">
        <f>SUM('Entity Inputs'!AX5,'Entity Inputs'!AX11)</f>
        <v>109717.90000000001</v>
      </c>
      <c r="AX5" s="10">
        <f>SUM('Entity Inputs'!AY5,'Entity Inputs'!AY11)</f>
        <v>87987.40000000001</v>
      </c>
      <c r="AY5" s="10">
        <f>SUM('Entity Inputs'!AZ5,'Entity Inputs'!AZ11)</f>
        <v>1277.0</v>
      </c>
      <c r="AZ5" s="10">
        <f>SUM('Entity Inputs'!BA5,'Entity Inputs'!BA11)</f>
        <v>1167.0</v>
      </c>
      <c r="BA5" s="10">
        <f>SUM('Entity Inputs'!BB5,'Entity Inputs'!BB11)</f>
        <v>635837.0</v>
      </c>
      <c r="BB5" s="10">
        <f>SUM('Entity Inputs'!BC5,'Entity Inputs'!BC11)</f>
        <v>607351.0</v>
      </c>
      <c r="BC5" s="10">
        <f>SUM('Entity Inputs'!BD5,'Entity Inputs'!BD11)</f>
        <v>5654.0</v>
      </c>
      <c r="BD5" s="10">
        <f>SUM('Entity Inputs'!BE5,'Entity Inputs'!BE11)</f>
        <v>4746.0</v>
      </c>
      <c r="BE5" s="10">
        <f>SUM('Entity Inputs'!BF5,'Entity Inputs'!BF11)</f>
        <v>4885.0</v>
      </c>
      <c r="BF5" s="10">
        <f>SUM('Entity Inputs'!BG5,'Entity Inputs'!BG11)</f>
        <v>1046558.0</v>
      </c>
      <c r="BG5" s="10">
        <f>SUM('Entity Inputs'!BH5,'Entity Inputs'!BH11)</f>
        <v>382358.80000000005</v>
      </c>
      <c r="BH5" s="10">
        <f>SUM('Entity Inputs'!BI5,'Entity Inputs'!BI11)</f>
        <v>0.0</v>
      </c>
      <c r="BI5" s="10">
        <f>SUM('Entity Inputs'!BJ5,'Entity Inputs'!BJ11)</f>
        <v>3.0</v>
      </c>
      <c r="BJ5" s="10">
        <f>SUM('Entity Inputs'!BK5,'Entity Inputs'!BK11)</f>
        <v>1.0</v>
      </c>
      <c r="BK5" s="10">
        <f>SUM('Entity Inputs'!BL5,'Entity Inputs'!BL11)</f>
        <v>1.0</v>
      </c>
      <c r="BL5" s="10">
        <f>SUM('Entity Inputs'!BM5,'Entity Inputs'!BM11)</f>
        <v>2.0</v>
      </c>
      <c r="BM5" s="10">
        <f>SUM('Entity Inputs'!BN5,'Entity Inputs'!BN11)</f>
        <v>0.0</v>
      </c>
      <c r="BN5" s="10">
        <f>SUM('Entity Inputs'!BO5,'Entity Inputs'!BO11)</f>
        <v>1.0</v>
      </c>
      <c r="BO5" s="10">
        <f>SUM('Entity Inputs'!BP5,'Entity Inputs'!BP11)</f>
        <v>0.0</v>
      </c>
      <c r="BP5" s="10">
        <f>SUM('Entity Inputs'!BQ5,'Entity Inputs'!BQ11)</f>
        <v>0.0</v>
      </c>
      <c r="BQ5" s="10">
        <f>SUM('Entity Inputs'!BR5,'Entity Inputs'!BR11)</f>
        <v>0.0</v>
      </c>
      <c r="BR5" s="10">
        <f>SUM('Entity Inputs'!BS5,'Entity Inputs'!BS11)</f>
        <v>0.0</v>
      </c>
      <c r="BS5" s="10">
        <f>MIN('Entity Inputs'!BT5,'Entity Inputs'!BT11)</f>
        <v>12</v>
      </c>
      <c r="BT5" s="10">
        <f>SUM('Entity Inputs'!BU5,'Entity Inputs'!BU11)</f>
        <v>649801.0</v>
      </c>
      <c r="BU5" s="10">
        <f>SUM('Entity Inputs'!BV5,'Entity Inputs'!BV11)</f>
        <v>645666.0</v>
      </c>
      <c r="BV5" s="10">
        <f>SUM('Entity Inputs'!BW5,'Entity Inputs'!BW11)</f>
        <v>272360559.0</v>
      </c>
      <c r="BW5" s="10">
        <f>SUM('Entity Inputs'!BX5,'Entity Inputs'!BX11)</f>
        <v>724257.0</v>
      </c>
      <c r="BX5" s="10">
        <f>SUM('Entity Inputs'!BY5,'Entity Inputs'!BY11)</f>
        <v>28018.0</v>
      </c>
      <c r="BY5" s="10">
        <f>SUM('Entity Inputs'!BZ5,'Entity Inputs'!BZ11)</f>
        <v>100755.3</v>
      </c>
      <c r="BZ5" s="10">
        <f>SUM('Entity Inputs'!CA5,'Entity Inputs'!CA11)</f>
        <v>54351.1</v>
      </c>
      <c r="CA5" s="10">
        <f>SUM('Entity Inputs'!CB5,'Entity Inputs'!CB11)</f>
        <v>20883200.0</v>
      </c>
      <c r="CB5" s="10">
        <f>SUM('Entity Inputs'!CC5,'Entity Inputs'!CC11)</f>
        <v>8947661.6</v>
      </c>
      <c r="CC5" s="10">
        <f>SUM('Entity Inputs'!CD5,'Entity Inputs'!CD11)</f>
        <v>2017661.6</v>
      </c>
      <c r="CD5" s="10">
        <f>SUM('Entity Inputs'!CE5,'Entity Inputs'!CE11)</f>
        <v>873410.3</v>
      </c>
      <c r="CE5" s="10">
        <f>SUM('Entity Inputs'!CF5,'Entity Inputs'!CF11)</f>
        <v>72765.0</v>
      </c>
      <c r="CF5" s="10">
        <f>SUM('Entity Inputs'!CG5,'Entity Inputs'!CG11)</f>
        <v>922918.1000000001</v>
      </c>
      <c r="CG5" s="10">
        <f>SUM('Entity Inputs'!CH5,'Entity Inputs'!CH11)</f>
        <v>2519257.7</v>
      </c>
      <c r="CH5" s="10">
        <f>SUM('Entity Inputs'!CI5,'Entity Inputs'!CI11)</f>
        <v>252242.0</v>
      </c>
      <c r="CI5" s="10">
        <f>SUM('Entity Inputs'!CJ5,'Entity Inputs'!CJ11)</f>
        <v>2211784.9000000004</v>
      </c>
      <c r="CJ5" s="10">
        <f>SUM('Entity Inputs'!CK5,'Entity Inputs'!CK11)</f>
        <v>3482516.3</v>
      </c>
      <c r="CK5" s="10">
        <f>SUM('Entity Inputs'!CL5,'Entity Inputs'!CL11)</f>
        <v>3062231.0</v>
      </c>
      <c r="CL5" s="10">
        <f>SUM('Entity Inputs'!CM5,'Entity Inputs'!CM11)</f>
        <v>2299712.9000000004</v>
      </c>
      <c r="CM5" s="10">
        <f>SUM('Entity Inputs'!CN5,'Entity Inputs'!CN11)</f>
        <v>2190667.8</v>
      </c>
      <c r="CN5" s="10">
        <f>SUM('Entity Inputs'!CO5,'Entity Inputs'!CO11)</f>
        <v>3664.4</v>
      </c>
      <c r="CO5" s="10">
        <f>SUM('Entity Inputs'!CP5,'Entity Inputs'!CP11)</f>
        <v>197350.9</v>
      </c>
      <c r="CP5" s="10">
        <f>SUM('Entity Inputs'!CQ5,'Entity Inputs'!CQ11)</f>
        <v>197350.9</v>
      </c>
      <c r="CQ5" s="10">
        <f>SUM('Entity Inputs'!CR5,'Entity Inputs'!CR11)</f>
        <v>734.0</v>
      </c>
      <c r="CR5" s="10">
        <f>SUM('Entity Inputs'!CS5,'Entity Inputs'!CS11)</f>
        <v>33025.0</v>
      </c>
      <c r="CS5" s="10">
        <f>SUM('Entity Inputs'!CT5,'Entity Inputs'!CT11)</f>
        <v>33030.0</v>
      </c>
      <c r="CT5" s="10">
        <f>SUM('Entity Inputs'!CU5,'Entity Inputs'!CU11)</f>
        <v>1.0</v>
      </c>
      <c r="CU5" s="10">
        <f>SUM('Entity Inputs'!CV5,'Entity Inputs'!CV11)</f>
        <v>1501487.5</v>
      </c>
      <c r="CV5" s="10">
        <f>SUM('Entity Inputs'!CW5,'Entity Inputs'!CW11)</f>
        <v>1522247.4</v>
      </c>
      <c r="CW5" s="10">
        <f>SUM('Entity Inputs'!CX5,'Entity Inputs'!CX11)</f>
        <v>260668.8</v>
      </c>
      <c r="CX5" s="10">
        <f>SUM('Entity Inputs'!CY5,'Entity Inputs'!CY11)</f>
        <v>6880788.0</v>
      </c>
      <c r="CY5" s="10">
        <f>SUM('Entity Inputs'!CZ5,'Entity Inputs'!CZ11)</f>
        <v>2961852.0</v>
      </c>
      <c r="CZ5" s="10">
        <f>SUM('Entity Inputs'!DA5,'Entity Inputs'!DA11)</f>
        <v>715308.8</v>
      </c>
      <c r="DA5" s="10">
        <f>SUM('Entity Inputs'!DB5,'Entity Inputs'!DB11)</f>
        <v>507809.10000000003</v>
      </c>
      <c r="DB5" s="10">
        <f>SUM('Entity Inputs'!DC5,'Entity Inputs'!DC11)</f>
        <v>581147.2</v>
      </c>
      <c r="DC5" s="10">
        <f>SUM('Entity Inputs'!DD5,'Entity Inputs'!DD11)</f>
        <v>410679.9</v>
      </c>
      <c r="DD5" s="10">
        <f>SUM('Entity Inputs'!DE5,'Entity Inputs'!DE11)</f>
        <v>7958.8</v>
      </c>
      <c r="DE5" s="10">
        <f>SUM('Entity Inputs'!DF5,'Entity Inputs'!DF11)</f>
        <v>8601.6</v>
      </c>
      <c r="DF5" s="10">
        <f>SUM('Entity Inputs'!DG5,'Entity Inputs'!DG11)</f>
        <v>4305420.8</v>
      </c>
      <c r="DG5" s="10">
        <f>SUM('Entity Inputs'!DH5,'Entity Inputs'!DH11)</f>
        <v>3061203.8</v>
      </c>
      <c r="DH5" s="10">
        <f>SUM('Entity Inputs'!DI5,'Entity Inputs'!DI11)</f>
        <v>1860000.0</v>
      </c>
      <c r="DI5" s="10">
        <f>SUM('Entity Inputs'!DJ5,'Entity Inputs'!DJ11)</f>
        <v>933323.1000000001</v>
      </c>
      <c r="DJ5" s="10">
        <f>SUM('Entity Inputs'!DK5,'Entity Inputs'!DK11)</f>
        <v>145067.40000000002</v>
      </c>
      <c r="DK5" s="10">
        <f>SUM('Entity Inputs'!DL5,'Entity Inputs'!DL11)</f>
        <v>791800.0</v>
      </c>
      <c r="DL5" s="10">
        <f>SUM('Entity Inputs'!DM5,'Entity Inputs'!DM11)</f>
        <v>161831.1</v>
      </c>
      <c r="DM5" s="10">
        <f>SUM('Entity Inputs'!DN5,'Entity Inputs'!DN11)</f>
        <v>9.0</v>
      </c>
      <c r="DN5" s="10">
        <f>SUM('Entity Inputs'!DO5,'Entity Inputs'!DO11)</f>
        <v>2.0</v>
      </c>
      <c r="DO5" s="10">
        <f>SUM('Entity Inputs'!DP5,'Entity Inputs'!DP11)</f>
        <v>0.0</v>
      </c>
      <c r="DP5" s="10">
        <f>SUM('Entity Inputs'!DQ5,'Entity Inputs'!DQ11)</f>
        <v>0.0</v>
      </c>
      <c r="DQ5" s="10">
        <f>SUM('Entity Inputs'!DR5,'Entity Inputs'!DR11)</f>
        <v>10.0</v>
      </c>
      <c r="DR5" s="10">
        <f>SUM('Entity Inputs'!DS5,'Entity Inputs'!DS11)</f>
        <v>22.0</v>
      </c>
      <c r="DS5" s="10">
        <f>SUM('Entity Inputs'!DT5,'Entity Inputs'!DT11)</f>
        <v>15.0</v>
      </c>
      <c r="DT5" s="10">
        <f>SUM('Entity Inputs'!DU5,'Entity Inputs'!DU11)</f>
        <v>6.0</v>
      </c>
      <c r="DU5" s="10">
        <f>SUM('Entity Inputs'!DV5,'Entity Inputs'!DV11)</f>
        <v>3.0</v>
      </c>
      <c r="DV5" s="10">
        <f>SUM('Entity Inputs'!DW5,'Entity Inputs'!DW11)</f>
        <v>124.0</v>
      </c>
      <c r="DW5" s="10">
        <f>SUM('Entity Inputs'!DX5,'Entity Inputs'!DX11)</f>
        <v>43.0</v>
      </c>
      <c r="DX5" s="10">
        <f>SUM('Entity Inputs'!DY5,'Entity Inputs'!DY11)</f>
        <v>14465.400000000001</v>
      </c>
      <c r="DY5" s="10">
        <f>SUM('Entity Inputs'!DZ5,'Entity Inputs'!DZ11)</f>
        <v>7082.700000000001</v>
      </c>
      <c r="DZ5" s="10">
        <f>SUM('Entity Inputs'!EA5,'Entity Inputs'!EA11)</f>
        <v>2340.2</v>
      </c>
      <c r="EA5" s="10">
        <f>SUM('Entity Inputs'!EB5,'Entity Inputs'!EB11)</f>
        <v>1492.6999999999998</v>
      </c>
      <c r="EB5" s="10">
        <f>SUM('Entity Inputs'!EC5,'Entity Inputs'!EC11)</f>
        <v>1895.1</v>
      </c>
      <c r="EC5" s="10">
        <f>SUM('Entity Inputs'!ED5,'Entity Inputs'!ED11)</f>
        <v>140.0</v>
      </c>
      <c r="ED5" s="10">
        <f>SUM('Entity Inputs'!EE5,'Entity Inputs'!EE11)</f>
        <v>133.0</v>
      </c>
      <c r="EE5" s="10">
        <f>SUM('Entity Inputs'!EF5,'Entity Inputs'!EF11)</f>
        <v>5.0</v>
      </c>
      <c r="EF5" s="10">
        <f>SUM('Entity Inputs'!EG5,'Entity Inputs'!EG11)</f>
        <v>1.0</v>
      </c>
      <c r="EG5" s="10">
        <f>SUM('Entity Inputs'!EH5,'Entity Inputs'!EH11)</f>
        <v>3.0</v>
      </c>
      <c r="EH5" s="10">
        <f>SUM('Entity Inputs'!EI5,'Entity Inputs'!EI11)</f>
        <v>0.0</v>
      </c>
      <c r="EI5" s="10">
        <f>SUM('Entity Inputs'!EJ5,'Entity Inputs'!EJ11)</f>
        <v>0.0</v>
      </c>
      <c r="EJ5" s="10">
        <f>SUM('Entity Inputs'!EK5,'Entity Inputs'!EK11)</f>
        <v>2.0</v>
      </c>
      <c r="EK5" s="10">
        <f>SUM('Entity Inputs'!EL5,'Entity Inputs'!EL11)</f>
        <v>1.0</v>
      </c>
      <c r="EL5" s="10">
        <f>SUM('Entity Inputs'!EM5,'Entity Inputs'!EM11)</f>
        <v>0.0</v>
      </c>
      <c r="EM5" s="10">
        <f>SUM('Entity Inputs'!EN5,'Entity Inputs'!EN11)</f>
        <v>0.0</v>
      </c>
      <c r="EN5" s="10">
        <f>SUM('Entity Inputs'!EO5,'Entity Inputs'!EO11)</f>
        <v>0.0</v>
      </c>
      <c r="EO5" s="10">
        <f>SUM('Entity Inputs'!EP5,'Entity Inputs'!EP11)</f>
        <v>0.0</v>
      </c>
      <c r="EP5" s="10">
        <f>SUM('Entity Inputs'!EQ5,'Entity Inputs'!EQ11)</f>
        <v>0.0</v>
      </c>
      <c r="EQ5" s="10">
        <f>SUM('Entity Inputs'!ER5,'Entity Inputs'!ER11)</f>
        <v>2.0</v>
      </c>
      <c r="ER5" s="10">
        <f>SUM('Entity Inputs'!ES5,'Entity Inputs'!ES11)</f>
        <v>2.0</v>
      </c>
      <c r="ES5" s="10">
        <f>SUM('Entity Inputs'!ET5,'Entity Inputs'!ET11)</f>
        <v>0.0</v>
      </c>
      <c r="ET5" s="10">
        <f>SUM('Entity Inputs'!EU5,'Entity Inputs'!EU11)</f>
        <v>1.0</v>
      </c>
      <c r="EU5" s="10">
        <f>SUM('Entity Inputs'!EV5,'Entity Inputs'!EV11)</f>
        <v>8.0</v>
      </c>
      <c r="EV5" s="10">
        <f>SUM('Entity Inputs'!EW5,'Entity Inputs'!EW11)</f>
        <v>0.0</v>
      </c>
      <c r="EW5" s="10">
        <f>SUM('Entity Inputs'!EX5,'Entity Inputs'!EX11)</f>
        <v>1.0</v>
      </c>
      <c r="EX5" s="10">
        <f>SUM('Entity Inputs'!EY5,'Entity Inputs'!EY11)</f>
        <v>1.0</v>
      </c>
      <c r="EY5" s="10">
        <f>SUM('Entity Inputs'!EZ5,'Entity Inputs'!EZ11)</f>
        <v>108.0</v>
      </c>
      <c r="EZ5" s="10">
        <f>SUM('Entity Inputs'!FA5,'Entity Inputs'!FA11)</f>
        <v>95.0</v>
      </c>
      <c r="FA5" s="10">
        <f>SUM('Entity Inputs'!FB5,'Entity Inputs'!FB11)</f>
        <v>4.0</v>
      </c>
      <c r="FB5" s="10">
        <f>SUM('Entity Inputs'!FC5,'Entity Inputs'!FC11)</f>
        <v>122.0</v>
      </c>
      <c r="FC5" s="10">
        <f>SUM('Entity Inputs'!FD5,'Entity Inputs'!FD11)</f>
        <v>56.0</v>
      </c>
      <c r="FD5" s="10">
        <f>SUM('Entity Inputs'!FE5,'Entity Inputs'!FE11)</f>
        <v>47.0</v>
      </c>
      <c r="FE5" s="10">
        <f>SUM('Entity Inputs'!FF5,'Entity Inputs'!FF11)</f>
        <v>52.0</v>
      </c>
      <c r="FF5" s="10">
        <f>SUM('Entity Inputs'!FG5,'Entity Inputs'!FG11)</f>
        <v>1.0</v>
      </c>
      <c r="FG5" s="10">
        <f>SUM('Entity Inputs'!FH5,'Entity Inputs'!FH11)</f>
        <v>1.0</v>
      </c>
      <c r="FH5" s="10">
        <f>SUM('Entity Inputs'!FI5,'Entity Inputs'!FI11)</f>
        <v>0.0</v>
      </c>
      <c r="FI5" s="10">
        <f>SUM('Entity Inputs'!FJ5,'Entity Inputs'!FJ11)</f>
        <v>970266.0</v>
      </c>
      <c r="FJ5" s="10">
        <f>SUM('Entity Inputs'!FK5,'Entity Inputs'!FK11)</f>
        <v>964647.0</v>
      </c>
      <c r="FK5" s="10">
        <f>SUM('Entity Inputs'!FL5,'Entity Inputs'!FL11)</f>
        <v>820.0</v>
      </c>
      <c r="FL5" s="10">
        <f>SUM('Entity Inputs'!FM5,'Entity Inputs'!FM11)</f>
        <v>790.0</v>
      </c>
      <c r="FM5" s="10">
        <f>SUM('Entity Inputs'!FN5,'Entity Inputs'!FN11)</f>
        <v>0.0</v>
      </c>
      <c r="FN5" s="10">
        <f>SUM('Entity Inputs'!FO5,'Entity Inputs'!FO11)</f>
        <v>0.0</v>
      </c>
      <c r="FO5" s="10">
        <f>SUM('Entity Inputs'!FP5,'Entity Inputs'!FP11)</f>
        <v>0.0</v>
      </c>
      <c r="FP5" s="10">
        <f>SUM('Entity Inputs'!FQ5,'Entity Inputs'!FQ11)</f>
        <v>8.0</v>
      </c>
      <c r="FQ5" s="10">
        <f>SUM('Entity Inputs'!FR5,'Entity Inputs'!FR11)</f>
        <v>19.3</v>
      </c>
      <c r="FR5" s="10">
        <f>SUM('Entity Inputs'!FS5,'Entity Inputs'!FS11)</f>
        <v>10.0</v>
      </c>
      <c r="FS5" s="10">
        <f>SUM('Entity Inputs'!FT5,'Entity Inputs'!FT11)</f>
        <v>1.0</v>
      </c>
      <c r="FT5" s="10">
        <f>SUM('Entity Inputs'!FU5,'Entity Inputs'!FU11)</f>
        <v>1.0</v>
      </c>
      <c r="FU5" s="10">
        <f>SUM('Entity Inputs'!FV5,'Entity Inputs'!FV11)</f>
        <v>1.0</v>
      </c>
      <c r="FV5" s="10">
        <f>MIN('Entity Inputs'!FW5,'Entity Inputs'!FW11)</f>
        <v>999</v>
      </c>
      <c r="FW5" s="10">
        <f>SUM('Entity Inputs'!FX5,'Entity Inputs'!FX11)</f>
        <v>95366.5</v>
      </c>
      <c r="FX5" s="10">
        <f>SUM('Entity Inputs'!FY5,'Entity Inputs'!FY11)</f>
        <v>94412.8</v>
      </c>
      <c r="FY5" s="12">
        <f>AU5-V5-X5-BY5</f>
        <v>252559.59999999998</v>
      </c>
      <c r="FZ5" s="12">
        <f>FY5-AX5</f>
        <v>164572.19999999995</v>
      </c>
      <c r="GA5" s="12">
        <f>CJ5+CL5-CK5</f>
        <v>2719998.2</v>
      </c>
      <c r="GB5" s="12">
        <f>GA5-GA4</f>
        <v>-192583.50000000047</v>
      </c>
      <c r="GC5" s="12">
        <f>FY5-BZ5-GB5</f>
        <v>390792.00000000047</v>
      </c>
      <c r="GD5" s="12">
        <f>GC5-DJ5</f>
        <v>245724.60000000044</v>
      </c>
      <c r="GE5" s="12">
        <f>CB5-CC5</f>
        <v>6930000.0</v>
      </c>
      <c r="GF5" s="12">
        <f>SUM(FY$4:FY5)*12/D5</f>
        <v>3447136.1999999983</v>
      </c>
      <c r="GG5" s="12">
        <f>IF(AU5=0,0,CJ5/AU5*C5)</f>
        <v>48.65517526710251</v>
      </c>
      <c r="GH5" s="12">
        <f>IF(V5=0,0,CK5/V5*C5)</f>
        <v>51.110884679461705</v>
      </c>
      <c r="GI5" s="12">
        <f>IF(V5=0,0,CL5/V5*C5)</f>
        <v>38.38389750079941</v>
      </c>
      <c r="GJ5" s="12">
        <f>IF(OR(AS5=0,AT5=0,AV5=0),0,100*((AU5/AS5)/(AV5/AT5)-1))</f>
        <v>0.006230072772361872</v>
      </c>
    </row>
    <row r="6" spans="1:192">
      <c r="A6" t="s">
        <v>19</v>
      </c>
      <c r="B6" t="s">
        <v>183</v>
      </c>
      <c r="C6">
        <v>30</v>
      </c>
      <c r="D6">
        <v>3</v>
      </c>
      <c r="E6" s="10">
        <f>SUM('Entity Inputs'!F6,'Entity Inputs'!F12)</f>
        <v>4320.0</v>
      </c>
      <c r="F6" s="10">
        <f>SUM('Entity Inputs'!G6,'Entity Inputs'!G12)</f>
        <v>4295.0</v>
      </c>
      <c r="G6" s="10">
        <f>SUM('Entity Inputs'!H6,'Entity Inputs'!H12)</f>
        <v>4063.3</v>
      </c>
      <c r="H6" s="10">
        <f>SUM('Entity Inputs'!I6,'Entity Inputs'!I12)</f>
        <v>142.0</v>
      </c>
      <c r="I6" s="10">
        <f>SUM('Entity Inputs'!J6,'Entity Inputs'!J12)</f>
        <v>745554.0</v>
      </c>
      <c r="J6" s="10">
        <f>SUM('Entity Inputs'!K6,'Entity Inputs'!K12)</f>
        <v>749808.0</v>
      </c>
      <c r="K6" s="10">
        <f>SUM('Entity Inputs'!L6,'Entity Inputs'!L12)</f>
        <v>665109.0</v>
      </c>
      <c r="L6" s="10">
        <f>SUM('Entity Inputs'!M6,'Entity Inputs'!M12)</f>
        <v>617636.0</v>
      </c>
      <c r="M6" s="10">
        <f>SUM('Entity Inputs'!N6,'Entity Inputs'!N12)</f>
        <v>598134.0</v>
      </c>
      <c r="N6" s="10">
        <f>SUM('Entity Inputs'!O6,'Entity Inputs'!O12)</f>
        <v>653880.0</v>
      </c>
      <c r="O6" s="10">
        <f>SUM('Entity Inputs'!P6,'Entity Inputs'!P12)</f>
        <v>130336.0</v>
      </c>
      <c r="P6" s="10">
        <f>SUM('Entity Inputs'!Q6,'Entity Inputs'!Q12)</f>
        <v>114893.0</v>
      </c>
      <c r="Q6" s="10">
        <f>SUM('Entity Inputs'!R6,'Entity Inputs'!R12)</f>
        <v>24878.0</v>
      </c>
      <c r="R6" s="10">
        <f>SUM('Entity Inputs'!S6,'Entity Inputs'!S12)</f>
        <v>17.0</v>
      </c>
      <c r="S6" s="10">
        <f>SUM('Entity Inputs'!T6,'Entity Inputs'!T12)</f>
        <v>111.80000000000001</v>
      </c>
      <c r="T6" s="10">
        <f>SUM('Entity Inputs'!U6,'Entity Inputs'!U12)</f>
        <v>263.0</v>
      </c>
      <c r="U6" s="10">
        <f>SUM('Entity Inputs'!V6,'Entity Inputs'!V12)</f>
        <v>249.0</v>
      </c>
      <c r="V6" s="10">
        <f>SUM('Entity Inputs'!W6,'Entity Inputs'!W12)</f>
        <v>1886763.2000000002</v>
      </c>
      <c r="W6" s="10">
        <f>SUM('Entity Inputs'!X6,'Entity Inputs'!X12)</f>
        <v>514853.4</v>
      </c>
      <c r="X6" s="10">
        <f>SUM('Entity Inputs'!Y6,'Entity Inputs'!Y12)</f>
        <v>6480.2</v>
      </c>
      <c r="Y6" s="10">
        <f>SUM('Entity Inputs'!Z6,'Entity Inputs'!Z12)</f>
        <v>1245659.0</v>
      </c>
      <c r="Z6" s="10">
        <f>SUM('Entity Inputs'!AA6,'Entity Inputs'!AA12)</f>
        <v>374121.0</v>
      </c>
      <c r="AA6" s="10">
        <f>SUM('Entity Inputs'!AB6,'Entity Inputs'!AB12)</f>
        <v>1951323.0</v>
      </c>
      <c r="AB6" s="10">
        <f>SUM('Entity Inputs'!AC6,'Entity Inputs'!AC12)</f>
        <v>72181.0</v>
      </c>
      <c r="AC6" s="10">
        <f>SUM('Entity Inputs'!AD6,'Entity Inputs'!AD12)</f>
        <v>9.0</v>
      </c>
      <c r="AD6" s="10">
        <f>SUM('Entity Inputs'!AE6,'Entity Inputs'!AE12)</f>
        <v>443000.0</v>
      </c>
      <c r="AE6" s="10">
        <f>SUM('Entity Inputs'!AF6,'Entity Inputs'!AF12)</f>
        <v>5.0</v>
      </c>
      <c r="AF6" s="10">
        <f>SUM('Entity Inputs'!AG6,'Entity Inputs'!AG12)</f>
        <v>0.0</v>
      </c>
      <c r="AG6" s="10">
        <f>SUM('Entity Inputs'!AH6,'Entity Inputs'!AH12)</f>
        <v>44.0</v>
      </c>
      <c r="AH6" s="10">
        <f>SUM('Entity Inputs'!AI6,'Entity Inputs'!AI12)</f>
        <v>0.0</v>
      </c>
      <c r="AI6" s="10">
        <f>SUM('Entity Inputs'!AJ6,'Entity Inputs'!AJ12)</f>
        <v>1.0</v>
      </c>
      <c r="AJ6" s="10">
        <f>SUM('Entity Inputs'!AK6,'Entity Inputs'!AK12)</f>
        <v>1.0</v>
      </c>
      <c r="AK6" s="10">
        <f>SUM('Entity Inputs'!AL6,'Entity Inputs'!AL12)</f>
        <v>45.0</v>
      </c>
      <c r="AL6" s="10">
        <f>SUM('Entity Inputs'!AM6,'Entity Inputs'!AM12)</f>
        <v>8.0</v>
      </c>
      <c r="AM6" s="10">
        <f>SUM('Entity Inputs'!AN6,'Entity Inputs'!AN12)</f>
        <v>9.0</v>
      </c>
      <c r="AN6" s="10">
        <f>SUM('Entity Inputs'!AO6,'Entity Inputs'!AO12)</f>
        <v>8.0</v>
      </c>
      <c r="AO6" s="10">
        <f>SUM('Entity Inputs'!AP6,'Entity Inputs'!AP12)</f>
        <v>1.0</v>
      </c>
      <c r="AP6" s="10">
        <f>SUM('Entity Inputs'!AQ6,'Entity Inputs'!AQ12)</f>
        <v>1109.0</v>
      </c>
      <c r="AQ6" s="10">
        <f>SUM('Entity Inputs'!AR6,'Entity Inputs'!AR12)</f>
        <v>83.0</v>
      </c>
      <c r="AR6" s="10">
        <f>MIN('Entity Inputs'!AS6,'Entity Inputs'!AS12)</f>
        <v>155</v>
      </c>
      <c r="AS6" s="10">
        <f>SUM('Entity Inputs'!AT6,'Entity Inputs'!AT12)</f>
        <v>592634.0</v>
      </c>
      <c r="AT6" s="10">
        <f>SUM('Entity Inputs'!AU6,'Entity Inputs'!AU12)</f>
        <v>666119.0</v>
      </c>
      <c r="AU6" s="10">
        <f>SUM('Entity Inputs'!AV6,'Entity Inputs'!AV12)</f>
        <v>2235648.7</v>
      </c>
      <c r="AV6" s="10">
        <f>SUM('Entity Inputs'!AW6,'Entity Inputs'!AW12)</f>
        <v>2504607.4</v>
      </c>
      <c r="AW6" s="10">
        <f>SUM('Entity Inputs'!AX6,'Entity Inputs'!AX12)</f>
        <v>114615.8</v>
      </c>
      <c r="AX6" s="10">
        <f>SUM('Entity Inputs'!AY6,'Entity Inputs'!AY12)</f>
        <v>88467.79999999999</v>
      </c>
      <c r="AY6" s="10">
        <f>SUM('Entity Inputs'!AZ6,'Entity Inputs'!AZ12)</f>
        <v>1373.0</v>
      </c>
      <c r="AZ6" s="10">
        <f>SUM('Entity Inputs'!BA6,'Entity Inputs'!BA12)</f>
        <v>1264.0</v>
      </c>
      <c r="BA6" s="10">
        <f>SUM('Entity Inputs'!BB6,'Entity Inputs'!BB12)</f>
        <v>650182.0</v>
      </c>
      <c r="BB6" s="10">
        <f>SUM('Entity Inputs'!BC6,'Entity Inputs'!BC12)</f>
        <v>630209.0</v>
      </c>
      <c r="BC6" s="10">
        <f>SUM('Entity Inputs'!BD6,'Entity Inputs'!BD12)</f>
        <v>5472.0</v>
      </c>
      <c r="BD6" s="10">
        <f>SUM('Entity Inputs'!BE6,'Entity Inputs'!BE12)</f>
        <v>4620.0</v>
      </c>
      <c r="BE6" s="10">
        <f>SUM('Entity Inputs'!BF6,'Entity Inputs'!BF12)</f>
        <v>4767.0</v>
      </c>
      <c r="BF6" s="10">
        <f>SUM('Entity Inputs'!BG6,'Entity Inputs'!BG12)</f>
        <v>1065448.9</v>
      </c>
      <c r="BG6" s="10">
        <f>SUM('Entity Inputs'!BH6,'Entity Inputs'!BH12)</f>
        <v>398487.7</v>
      </c>
      <c r="BH6" s="10">
        <f>SUM('Entity Inputs'!BI6,'Entity Inputs'!BI12)</f>
        <v>1.0</v>
      </c>
      <c r="BI6" s="10">
        <f>SUM('Entity Inputs'!BJ6,'Entity Inputs'!BJ12)</f>
        <v>1.0</v>
      </c>
      <c r="BJ6" s="10">
        <f>SUM('Entity Inputs'!BK6,'Entity Inputs'!BK12)</f>
        <v>2.0</v>
      </c>
      <c r="BK6" s="10">
        <f>SUM('Entity Inputs'!BL6,'Entity Inputs'!BL12)</f>
        <v>3.0</v>
      </c>
      <c r="BL6" s="10">
        <f>SUM('Entity Inputs'!BM6,'Entity Inputs'!BM12)</f>
        <v>4.0</v>
      </c>
      <c r="BM6" s="10">
        <f>SUM('Entity Inputs'!BN6,'Entity Inputs'!BN12)</f>
        <v>0.0</v>
      </c>
      <c r="BN6" s="10">
        <f>SUM('Entity Inputs'!BO6,'Entity Inputs'!BO12)</f>
        <v>0.0</v>
      </c>
      <c r="BO6" s="10">
        <f>SUM('Entity Inputs'!BP6,'Entity Inputs'!BP12)</f>
        <v>0.0</v>
      </c>
      <c r="BP6" s="10">
        <f>SUM('Entity Inputs'!BQ6,'Entity Inputs'!BQ12)</f>
        <v>0.0</v>
      </c>
      <c r="BQ6" s="10">
        <f>SUM('Entity Inputs'!BR6,'Entity Inputs'!BR12)</f>
        <v>0.0</v>
      </c>
      <c r="BR6" s="10">
        <f>SUM('Entity Inputs'!BS6,'Entity Inputs'!BS12)</f>
        <v>0.0</v>
      </c>
      <c r="BS6" s="10">
        <f>MIN('Entity Inputs'!BT6,'Entity Inputs'!BT12)</f>
        <v>18</v>
      </c>
      <c r="BT6" s="10">
        <f>SUM('Entity Inputs'!BU6,'Entity Inputs'!BU12)</f>
        <v>669096.0</v>
      </c>
      <c r="BU6" s="10">
        <f>SUM('Entity Inputs'!BV6,'Entity Inputs'!BV12)</f>
        <v>662563.0</v>
      </c>
      <c r="BV6" s="10">
        <f>SUM('Entity Inputs'!BW6,'Entity Inputs'!BW12)</f>
        <v>266716438.0</v>
      </c>
      <c r="BW6" s="10">
        <f>SUM('Entity Inputs'!BX6,'Entity Inputs'!BX12)</f>
        <v>745554.0</v>
      </c>
      <c r="BX6" s="10">
        <f>SUM('Entity Inputs'!BY6,'Entity Inputs'!BY12)</f>
        <v>23284.0</v>
      </c>
      <c r="BY6" s="10">
        <f>SUM('Entity Inputs'!BZ6,'Entity Inputs'!BZ12)</f>
        <v>100465.79999999999</v>
      </c>
      <c r="BZ6" s="10">
        <f>SUM('Entity Inputs'!CA6,'Entity Inputs'!CA12)</f>
        <v>51727.8</v>
      </c>
      <c r="CA6" s="10">
        <f>SUM('Entity Inputs'!CB6,'Entity Inputs'!CB12)</f>
        <v>20966400.0</v>
      </c>
      <c r="CB6" s="10">
        <f>SUM('Entity Inputs'!CC6,'Entity Inputs'!CC12)</f>
        <v>8846191.399999999</v>
      </c>
      <c r="CC6" s="10">
        <f>SUM('Entity Inputs'!CD6,'Entity Inputs'!CD12)</f>
        <v>1986191.4</v>
      </c>
      <c r="CD6" s="10">
        <f>SUM('Entity Inputs'!CE6,'Entity Inputs'!CE12)</f>
        <v>896428.1</v>
      </c>
      <c r="CE6" s="10">
        <f>SUM('Entity Inputs'!CF6,'Entity Inputs'!CF12)</f>
        <v>72030.0</v>
      </c>
      <c r="CF6" s="10">
        <f>SUM('Entity Inputs'!CG6,'Entity Inputs'!CG12)</f>
        <v>881233.3</v>
      </c>
      <c r="CG6" s="10">
        <f>SUM('Entity Inputs'!CH6,'Entity Inputs'!CH12)</f>
        <v>2568180.9</v>
      </c>
      <c r="CH6" s="10">
        <f>SUM('Entity Inputs'!CI6,'Entity Inputs'!CI12)</f>
        <v>241464.69999999998</v>
      </c>
      <c r="CI6" s="10">
        <f>SUM('Entity Inputs'!CJ6,'Entity Inputs'!CJ12)</f>
        <v>2245429.6</v>
      </c>
      <c r="CJ6" s="10">
        <f>SUM('Entity Inputs'!CK6,'Entity Inputs'!CK12)</f>
        <v>3608355.3</v>
      </c>
      <c r="CK6" s="10">
        <f>SUM('Entity Inputs'!CL6,'Entity Inputs'!CL12)</f>
        <v>3294920.3</v>
      </c>
      <c r="CL6" s="10">
        <f>SUM('Entity Inputs'!CM6,'Entity Inputs'!CM12)</f>
        <v>2436926.9</v>
      </c>
      <c r="CM6" s="10">
        <f>SUM('Entity Inputs'!CN6,'Entity Inputs'!CN12)</f>
        <v>2203457.6</v>
      </c>
      <c r="CN6" s="10">
        <f>SUM('Entity Inputs'!CO6,'Entity Inputs'!CO12)</f>
        <v>3784.2999999999997</v>
      </c>
      <c r="CO6" s="10">
        <f>SUM('Entity Inputs'!CP6,'Entity Inputs'!CP12)</f>
        <v>196267.7</v>
      </c>
      <c r="CP6" s="10">
        <f>SUM('Entity Inputs'!CQ6,'Entity Inputs'!CQ12)</f>
        <v>196267.7</v>
      </c>
      <c r="CQ6" s="10">
        <f>SUM('Entity Inputs'!CR6,'Entity Inputs'!CR12)</f>
        <v>758.0</v>
      </c>
      <c r="CR6" s="10">
        <f>SUM('Entity Inputs'!CS6,'Entity Inputs'!CS12)</f>
        <v>34210.0</v>
      </c>
      <c r="CS6" s="10">
        <f>SUM('Entity Inputs'!CT6,'Entity Inputs'!CT12)</f>
        <v>34110.0</v>
      </c>
      <c r="CT6" s="10">
        <f>SUM('Entity Inputs'!CU6,'Entity Inputs'!CU12)</f>
        <v>0.0</v>
      </c>
      <c r="CU6" s="10">
        <f>SUM('Entity Inputs'!CV6,'Entity Inputs'!CV12)</f>
        <v>1443633.8</v>
      </c>
      <c r="CV6" s="10">
        <f>SUM('Entity Inputs'!CW6,'Entity Inputs'!CW12)</f>
        <v>1455641.9</v>
      </c>
      <c r="CW6" s="10">
        <f>SUM('Entity Inputs'!CX6,'Entity Inputs'!CX12)</f>
        <v>247703.9</v>
      </c>
      <c r="CX6" s="10">
        <f>SUM('Entity Inputs'!CY6,'Entity Inputs'!CY12)</f>
        <v>6761559.9</v>
      </c>
      <c r="CY6" s="10">
        <f>SUM('Entity Inputs'!CZ6,'Entity Inputs'!CZ12)</f>
        <v>2835283.7</v>
      </c>
      <c r="CZ6" s="10">
        <f>SUM('Entity Inputs'!DA6,'Entity Inputs'!DA12)</f>
        <v>706443.8999999999</v>
      </c>
      <c r="DA6" s="10">
        <f>SUM('Entity Inputs'!DB6,'Entity Inputs'!DB12)</f>
        <v>518162.4</v>
      </c>
      <c r="DB6" s="10">
        <f>SUM('Entity Inputs'!DC6,'Entity Inputs'!DC12)</f>
        <v>559114.3</v>
      </c>
      <c r="DC6" s="10">
        <f>SUM('Entity Inputs'!DD6,'Entity Inputs'!DD12)</f>
        <v>411224.6</v>
      </c>
      <c r="DD6" s="10">
        <f>SUM('Entity Inputs'!DE6,'Entity Inputs'!DE12)</f>
        <v>7733.799999999999</v>
      </c>
      <c r="DE6" s="10">
        <f>SUM('Entity Inputs'!DF6,'Entity Inputs'!DF12)</f>
        <v>8330.3</v>
      </c>
      <c r="DF6" s="10">
        <f>SUM('Entity Inputs'!DG6,'Entity Inputs'!DG12)</f>
        <v>4307643.3</v>
      </c>
      <c r="DG6" s="10">
        <f>SUM('Entity Inputs'!DH6,'Entity Inputs'!DH12)</f>
        <v>3010603.7</v>
      </c>
      <c r="DH6" s="10">
        <f>SUM('Entity Inputs'!DI6,'Entity Inputs'!DI12)</f>
        <v>1860000.0</v>
      </c>
      <c r="DI6" s="10">
        <f>SUM('Entity Inputs'!DJ6,'Entity Inputs'!DJ12)</f>
        <v>1037264.3999999999</v>
      </c>
      <c r="DJ6" s="10">
        <f>SUM('Entity Inputs'!DK6,'Entity Inputs'!DK12)</f>
        <v>143652.5</v>
      </c>
      <c r="DK6" s="10">
        <f>SUM('Entity Inputs'!DL6,'Entity Inputs'!DL12)</f>
        <v>876800.0</v>
      </c>
      <c r="DL6" s="10">
        <f>SUM('Entity Inputs'!DM6,'Entity Inputs'!DM12)</f>
        <v>152285.7</v>
      </c>
      <c r="DM6" s="10">
        <f>SUM('Entity Inputs'!DN6,'Entity Inputs'!DN12)</f>
        <v>9.0</v>
      </c>
      <c r="DN6" s="10">
        <f>SUM('Entity Inputs'!DO6,'Entity Inputs'!DO12)</f>
        <v>2.0</v>
      </c>
      <c r="DO6" s="10">
        <f>SUM('Entity Inputs'!DP6,'Entity Inputs'!DP12)</f>
        <v>0.0</v>
      </c>
      <c r="DP6" s="10">
        <f>SUM('Entity Inputs'!DQ6,'Entity Inputs'!DQ12)</f>
        <v>0.0</v>
      </c>
      <c r="DQ6" s="10">
        <f>SUM('Entity Inputs'!DR6,'Entity Inputs'!DR12)</f>
        <v>11.0</v>
      </c>
      <c r="DR6" s="10">
        <f>SUM('Entity Inputs'!DS6,'Entity Inputs'!DS12)</f>
        <v>24.0</v>
      </c>
      <c r="DS6" s="10">
        <f>SUM('Entity Inputs'!DT6,'Entity Inputs'!DT12)</f>
        <v>15.0</v>
      </c>
      <c r="DT6" s="10">
        <f>SUM('Entity Inputs'!DU6,'Entity Inputs'!DU12)</f>
        <v>6.0</v>
      </c>
      <c r="DU6" s="10">
        <f>SUM('Entity Inputs'!DV6,'Entity Inputs'!DV12)</f>
        <v>3.0</v>
      </c>
      <c r="DV6" s="10">
        <f>SUM('Entity Inputs'!DW6,'Entity Inputs'!DW12)</f>
        <v>124.0</v>
      </c>
      <c r="DW6" s="10">
        <f>SUM('Entity Inputs'!DX6,'Entity Inputs'!DX12)</f>
        <v>49.0</v>
      </c>
      <c r="DX6" s="10">
        <f>SUM('Entity Inputs'!DY6,'Entity Inputs'!DY12)</f>
        <v>14111.0</v>
      </c>
      <c r="DY6" s="10">
        <f>SUM('Entity Inputs'!DZ6,'Entity Inputs'!DZ12)</f>
        <v>6707.1</v>
      </c>
      <c r="DZ6" s="10">
        <f>SUM('Entity Inputs'!EA6,'Entity Inputs'!EA12)</f>
        <v>2384.8999999999996</v>
      </c>
      <c r="EA6" s="10">
        <f>SUM('Entity Inputs'!EB6,'Entity Inputs'!EB12)</f>
        <v>1435.2</v>
      </c>
      <c r="EB6" s="10">
        <f>SUM('Entity Inputs'!EC6,'Entity Inputs'!EC12)</f>
        <v>1895.1</v>
      </c>
      <c r="EC6" s="10">
        <f>SUM('Entity Inputs'!ED6,'Entity Inputs'!ED12)</f>
        <v>140.0</v>
      </c>
      <c r="ED6" s="10">
        <f>SUM('Entity Inputs'!EE6,'Entity Inputs'!EE12)</f>
        <v>135.0</v>
      </c>
      <c r="EE6" s="10">
        <f>SUM('Entity Inputs'!EF6,'Entity Inputs'!EF12)</f>
        <v>4.0</v>
      </c>
      <c r="EF6" s="10">
        <f>SUM('Entity Inputs'!EG6,'Entity Inputs'!EG12)</f>
        <v>0.0</v>
      </c>
      <c r="EG6" s="10">
        <f>SUM('Entity Inputs'!EH6,'Entity Inputs'!EH12)</f>
        <v>3.0</v>
      </c>
      <c r="EH6" s="10">
        <f>SUM('Entity Inputs'!EI6,'Entity Inputs'!EI12)</f>
        <v>0.0</v>
      </c>
      <c r="EI6" s="10">
        <f>SUM('Entity Inputs'!EJ6,'Entity Inputs'!EJ12)</f>
        <v>0.0</v>
      </c>
      <c r="EJ6" s="10">
        <f>SUM('Entity Inputs'!EK6,'Entity Inputs'!EK12)</f>
        <v>0.0</v>
      </c>
      <c r="EK6" s="10">
        <f>SUM('Entity Inputs'!EL6,'Entity Inputs'!EL12)</f>
        <v>0.0</v>
      </c>
      <c r="EL6" s="10">
        <f>SUM('Entity Inputs'!EM6,'Entity Inputs'!EM12)</f>
        <v>0.0</v>
      </c>
      <c r="EM6" s="10">
        <f>SUM('Entity Inputs'!EN6,'Entity Inputs'!EN12)</f>
        <v>0.0</v>
      </c>
      <c r="EN6" s="10">
        <f>SUM('Entity Inputs'!EO6,'Entity Inputs'!EO12)</f>
        <v>1.0</v>
      </c>
      <c r="EO6" s="10">
        <f>SUM('Entity Inputs'!EP6,'Entity Inputs'!EP12)</f>
        <v>0.0</v>
      </c>
      <c r="EP6" s="10">
        <f>SUM('Entity Inputs'!EQ6,'Entity Inputs'!EQ12)</f>
        <v>0.0</v>
      </c>
      <c r="EQ6" s="10">
        <f>SUM('Entity Inputs'!ER6,'Entity Inputs'!ER12)</f>
        <v>3.0</v>
      </c>
      <c r="ER6" s="10">
        <f>SUM('Entity Inputs'!ES6,'Entity Inputs'!ES12)</f>
        <v>0.0</v>
      </c>
      <c r="ES6" s="10">
        <f>SUM('Entity Inputs'!ET6,'Entity Inputs'!ET12)</f>
        <v>0.0</v>
      </c>
      <c r="ET6" s="10">
        <f>SUM('Entity Inputs'!EU6,'Entity Inputs'!EU12)</f>
        <v>1.0</v>
      </c>
      <c r="EU6" s="10">
        <f>SUM('Entity Inputs'!EV6,'Entity Inputs'!EV12)</f>
        <v>8.0</v>
      </c>
      <c r="EV6" s="10">
        <f>SUM('Entity Inputs'!EW6,'Entity Inputs'!EW12)</f>
        <v>0.0</v>
      </c>
      <c r="EW6" s="10">
        <f>SUM('Entity Inputs'!EX6,'Entity Inputs'!EX12)</f>
        <v>1.0</v>
      </c>
      <c r="EX6" s="10">
        <f>SUM('Entity Inputs'!EY6,'Entity Inputs'!EY12)</f>
        <v>1.0</v>
      </c>
      <c r="EY6" s="10">
        <f>SUM('Entity Inputs'!EZ6,'Entity Inputs'!EZ12)</f>
        <v>108.0</v>
      </c>
      <c r="EZ6" s="10">
        <f>SUM('Entity Inputs'!FA6,'Entity Inputs'!FA12)</f>
        <v>95.0</v>
      </c>
      <c r="FA6" s="10">
        <f>SUM('Entity Inputs'!FB6,'Entity Inputs'!FB12)</f>
        <v>4.0</v>
      </c>
      <c r="FB6" s="10">
        <f>SUM('Entity Inputs'!FC6,'Entity Inputs'!FC12)</f>
        <v>145.0</v>
      </c>
      <c r="FC6" s="10">
        <f>SUM('Entity Inputs'!FD6,'Entity Inputs'!FD12)</f>
        <v>56.0</v>
      </c>
      <c r="FD6" s="10">
        <f>SUM('Entity Inputs'!FE6,'Entity Inputs'!FE12)</f>
        <v>47.0</v>
      </c>
      <c r="FE6" s="10">
        <f>SUM('Entity Inputs'!FF6,'Entity Inputs'!FF12)</f>
        <v>52.0</v>
      </c>
      <c r="FF6" s="10">
        <f>SUM('Entity Inputs'!FG6,'Entity Inputs'!FG12)</f>
        <v>1.0</v>
      </c>
      <c r="FG6" s="10">
        <f>SUM('Entity Inputs'!FH6,'Entity Inputs'!FH12)</f>
        <v>1.0</v>
      </c>
      <c r="FH6" s="10">
        <f>SUM('Entity Inputs'!FI6,'Entity Inputs'!FI12)</f>
        <v>0.0</v>
      </c>
      <c r="FI6" s="10">
        <f>SUM('Entity Inputs'!FJ6,'Entity Inputs'!FJ12)</f>
        <v>988464.0</v>
      </c>
      <c r="FJ6" s="10">
        <f>SUM('Entity Inputs'!FK6,'Entity Inputs'!FK12)</f>
        <v>980818.0</v>
      </c>
      <c r="FK6" s="10">
        <f>SUM('Entity Inputs'!FL6,'Entity Inputs'!FL12)</f>
        <v>820.0</v>
      </c>
      <c r="FL6" s="10">
        <f>SUM('Entity Inputs'!FM6,'Entity Inputs'!FM12)</f>
        <v>791.0</v>
      </c>
      <c r="FM6" s="10">
        <f>SUM('Entity Inputs'!FN6,'Entity Inputs'!FN12)</f>
        <v>0.0</v>
      </c>
      <c r="FN6" s="10">
        <f>SUM('Entity Inputs'!FO6,'Entity Inputs'!FO12)</f>
        <v>0.0</v>
      </c>
      <c r="FO6" s="10">
        <f>SUM('Entity Inputs'!FP6,'Entity Inputs'!FP12)</f>
        <v>0.0</v>
      </c>
      <c r="FP6" s="10">
        <f>SUM('Entity Inputs'!FQ6,'Entity Inputs'!FQ12)</f>
        <v>8.0</v>
      </c>
      <c r="FQ6" s="10">
        <f>SUM('Entity Inputs'!FR6,'Entity Inputs'!FR12)</f>
        <v>19.5</v>
      </c>
      <c r="FR6" s="10">
        <f>SUM('Entity Inputs'!FS6,'Entity Inputs'!FS12)</f>
        <v>11.0</v>
      </c>
      <c r="FS6" s="10">
        <f>SUM('Entity Inputs'!FT6,'Entity Inputs'!FT12)</f>
        <v>1.0</v>
      </c>
      <c r="FT6" s="10">
        <f>SUM('Entity Inputs'!FU6,'Entity Inputs'!FU12)</f>
        <v>1.0</v>
      </c>
      <c r="FU6" s="10">
        <f>SUM('Entity Inputs'!FV6,'Entity Inputs'!FV12)</f>
        <v>0.0</v>
      </c>
      <c r="FV6" s="10">
        <f>MIN('Entity Inputs'!FW6,'Entity Inputs'!FW12)</f>
        <v>999</v>
      </c>
      <c r="FW6" s="10">
        <f>SUM('Entity Inputs'!FX6,'Entity Inputs'!FX12)</f>
        <v>95772.9</v>
      </c>
      <c r="FX6" s="10">
        <f>SUM('Entity Inputs'!FY6,'Entity Inputs'!FY12)</f>
        <v>94821.4</v>
      </c>
      <c r="FY6" s="12">
        <f>AU6-V6-X6-BY6</f>
        <v>241939.5</v>
      </c>
      <c r="FZ6" s="12">
        <f>FY6-AX6</f>
        <v>153471.7</v>
      </c>
      <c r="GA6" s="12">
        <f>CJ6+CL6-CK6</f>
        <v>2750361.8999999994</v>
      </c>
      <c r="GB6" s="12">
        <f>GA6-GA5</f>
        <v>30363.699999999255</v>
      </c>
      <c r="GC6" s="12">
        <f>FY6-BZ6-GB6</f>
        <v>159848.00000000076</v>
      </c>
      <c r="GD6" s="12">
        <f>GC6-DJ6</f>
        <v>16195.500000000757</v>
      </c>
      <c r="GE6" s="12">
        <f>CB6-CC6</f>
        <v>6859999.999999998</v>
      </c>
      <c r="GF6" s="12">
        <f>SUM(FY$4:FY6)*12/D6</f>
        <v>3265848.799999999</v>
      </c>
      <c r="GG6" s="12">
        <f>IF(AU6=0,0,CJ6/AU6*C6)</f>
        <v>48.420245542155165</v>
      </c>
      <c r="GH6" s="12">
        <f>IF(V6=0,0,CK6/V6*C6)</f>
        <v>52.39004502525806</v>
      </c>
      <c r="GI6" s="12">
        <f>IF(V6=0,0,CL6/V6*C6)</f>
        <v>38.747738454937</v>
      </c>
      <c r="GJ6" s="12">
        <f>IF(OR(AS6=0,AT6=0,AV6=0),0,100*((AU6/AS6)/(AV6/AT6)-1))</f>
        <v>0.32961823126316236</v>
      </c>
    </row>
    <row r="7" spans="1:192">
      <c r="A7" t="s">
        <v>19</v>
      </c>
      <c r="B7" t="s">
        <v>184</v>
      </c>
      <c r="C7">
        <v>31</v>
      </c>
      <c r="D7">
        <v>4</v>
      </c>
      <c r="E7" s="10">
        <f>SUM('Entity Inputs'!F7,'Entity Inputs'!F13)</f>
        <v>4464.0</v>
      </c>
      <c r="F7" s="10">
        <f>SUM('Entity Inputs'!G7,'Entity Inputs'!G13)</f>
        <v>4439.0</v>
      </c>
      <c r="G7" s="10">
        <f>SUM('Entity Inputs'!H7,'Entity Inputs'!H13)</f>
        <v>4178.1</v>
      </c>
      <c r="H7" s="10">
        <f>SUM('Entity Inputs'!I7,'Entity Inputs'!I13)</f>
        <v>185.3</v>
      </c>
      <c r="I7" s="10">
        <f>SUM('Entity Inputs'!J7,'Entity Inputs'!J13)</f>
        <v>770386.0</v>
      </c>
      <c r="J7" s="10">
        <f>SUM('Entity Inputs'!K7,'Entity Inputs'!K13)</f>
        <v>774802.0</v>
      </c>
      <c r="K7" s="10">
        <f>SUM('Entity Inputs'!L7,'Entity Inputs'!L13)</f>
        <v>678280.0</v>
      </c>
      <c r="L7" s="10">
        <f>SUM('Entity Inputs'!M7,'Entity Inputs'!M13)</f>
        <v>661278.0</v>
      </c>
      <c r="M7" s="10">
        <f>SUM('Entity Inputs'!N7,'Entity Inputs'!N13)</f>
        <v>637730.0</v>
      </c>
      <c r="N7" s="10">
        <f>SUM('Entity Inputs'!O7,'Entity Inputs'!O13)</f>
        <v>697342.0</v>
      </c>
      <c r="O7" s="10">
        <f>SUM('Entity Inputs'!P7,'Entity Inputs'!P13)</f>
        <v>146686.0</v>
      </c>
      <c r="P7" s="10">
        <f>SUM('Entity Inputs'!Q7,'Entity Inputs'!Q13)</f>
        <v>127849.0</v>
      </c>
      <c r="Q7" s="10">
        <f>SUM('Entity Inputs'!R7,'Entity Inputs'!R13)</f>
        <v>32847.0</v>
      </c>
      <c r="R7" s="10">
        <f>SUM('Entity Inputs'!S7,'Entity Inputs'!S13)</f>
        <v>22.0</v>
      </c>
      <c r="S7" s="10">
        <f>SUM('Entity Inputs'!T7,'Entity Inputs'!T13)</f>
        <v>147.1</v>
      </c>
      <c r="T7" s="10">
        <f>SUM('Entity Inputs'!U7,'Entity Inputs'!U13)</f>
        <v>282.0</v>
      </c>
      <c r="U7" s="10">
        <f>SUM('Entity Inputs'!V7,'Entity Inputs'!V13)</f>
        <v>261.0</v>
      </c>
      <c r="V7" s="10">
        <f>SUM('Entity Inputs'!W7,'Entity Inputs'!W13)</f>
        <v>1970228.4000000001</v>
      </c>
      <c r="W7" s="10">
        <f>SUM('Entity Inputs'!X7,'Entity Inputs'!X13)</f>
        <v>564124.2</v>
      </c>
      <c r="X7" s="10">
        <f>SUM('Entity Inputs'!Y7,'Entity Inputs'!Y13)</f>
        <v>7301.6</v>
      </c>
      <c r="Y7" s="10">
        <f>SUM('Entity Inputs'!Z7,'Entity Inputs'!Z13)</f>
        <v>1399278.0</v>
      </c>
      <c r="Z7" s="10">
        <f>SUM('Entity Inputs'!AA7,'Entity Inputs'!AA13)</f>
        <v>397386.0</v>
      </c>
      <c r="AA7" s="10">
        <f>SUM('Entity Inputs'!AB7,'Entity Inputs'!AB13)</f>
        <v>2075090.0</v>
      </c>
      <c r="AB7" s="10">
        <f>SUM('Entity Inputs'!AC7,'Entity Inputs'!AC13)</f>
        <v>38527.0</v>
      </c>
      <c r="AC7" s="10">
        <f>SUM('Entity Inputs'!AD7,'Entity Inputs'!AD13)</f>
        <v>3.0</v>
      </c>
      <c r="AD7" s="10">
        <f>SUM('Entity Inputs'!AE7,'Entity Inputs'!AE13)</f>
        <v>445000.0</v>
      </c>
      <c r="AE7" s="10">
        <f>SUM('Entity Inputs'!AF7,'Entity Inputs'!AF13)</f>
        <v>3.0</v>
      </c>
      <c r="AF7" s="10">
        <f>SUM('Entity Inputs'!AG7,'Entity Inputs'!AG13)</f>
        <v>2.0</v>
      </c>
      <c r="AG7" s="10">
        <f>SUM('Entity Inputs'!AH7,'Entity Inputs'!AH13)</f>
        <v>32.0</v>
      </c>
      <c r="AH7" s="10">
        <f>SUM('Entity Inputs'!AI7,'Entity Inputs'!AI13)</f>
        <v>0.0</v>
      </c>
      <c r="AI7" s="10">
        <f>SUM('Entity Inputs'!AJ7,'Entity Inputs'!AJ13)</f>
        <v>3.0</v>
      </c>
      <c r="AJ7" s="10">
        <f>SUM('Entity Inputs'!AK7,'Entity Inputs'!AK13)</f>
        <v>0.0</v>
      </c>
      <c r="AK7" s="10">
        <f>SUM('Entity Inputs'!AL7,'Entity Inputs'!AL13)</f>
        <v>60.0</v>
      </c>
      <c r="AL7" s="10">
        <f>SUM('Entity Inputs'!AM7,'Entity Inputs'!AM13)</f>
        <v>12.0</v>
      </c>
      <c r="AM7" s="10">
        <f>SUM('Entity Inputs'!AN7,'Entity Inputs'!AN13)</f>
        <v>7.0</v>
      </c>
      <c r="AN7" s="10">
        <f>SUM('Entity Inputs'!AO7,'Entity Inputs'!AO13)</f>
        <v>6.0</v>
      </c>
      <c r="AO7" s="10">
        <f>SUM('Entity Inputs'!AP7,'Entity Inputs'!AP13)</f>
        <v>6.0</v>
      </c>
      <c r="AP7" s="10">
        <f>SUM('Entity Inputs'!AQ7,'Entity Inputs'!AQ13)</f>
        <v>977.0</v>
      </c>
      <c r="AQ7" s="10">
        <f>SUM('Entity Inputs'!AR7,'Entity Inputs'!AR13)</f>
        <v>78.0</v>
      </c>
      <c r="AR7" s="10">
        <f>MIN('Entity Inputs'!AS7,'Entity Inputs'!AS13)</f>
        <v>125</v>
      </c>
      <c r="AS7" s="10">
        <f>SUM('Entity Inputs'!AT7,'Entity Inputs'!AT13)</f>
        <v>635438.0</v>
      </c>
      <c r="AT7" s="10">
        <f>SUM('Entity Inputs'!AU7,'Entity Inputs'!AU13)</f>
        <v>676173.0</v>
      </c>
      <c r="AU7" s="10">
        <f>SUM('Entity Inputs'!AV7,'Entity Inputs'!AV13)</f>
        <v>2384701.9</v>
      </c>
      <c r="AV7" s="10">
        <f>SUM('Entity Inputs'!AW7,'Entity Inputs'!AW13)</f>
        <v>2542410.4</v>
      </c>
      <c r="AW7" s="10">
        <f>SUM('Entity Inputs'!AX7,'Entity Inputs'!AX13)</f>
        <v>109507.9</v>
      </c>
      <c r="AX7" s="10">
        <f>SUM('Entity Inputs'!AY7,'Entity Inputs'!AY13)</f>
        <v>88574.3</v>
      </c>
      <c r="AY7" s="10">
        <f>SUM('Entity Inputs'!AZ7,'Entity Inputs'!AZ13)</f>
        <v>1331.0</v>
      </c>
      <c r="AZ7" s="10">
        <f>SUM('Entity Inputs'!BA7,'Entity Inputs'!BA13)</f>
        <v>1223.0</v>
      </c>
      <c r="BA7" s="10">
        <f>SUM('Entity Inputs'!BB7,'Entity Inputs'!BB13)</f>
        <v>686998.0</v>
      </c>
      <c r="BB7" s="10">
        <f>SUM('Entity Inputs'!BC7,'Entity Inputs'!BC13)</f>
        <v>658620.0</v>
      </c>
      <c r="BC7" s="10">
        <f>SUM('Entity Inputs'!BD7,'Entity Inputs'!BD13)</f>
        <v>5953.0</v>
      </c>
      <c r="BD7" s="10">
        <f>SUM('Entity Inputs'!BE7,'Entity Inputs'!BE13)</f>
        <v>5208.0</v>
      </c>
      <c r="BE7" s="10">
        <f>SUM('Entity Inputs'!BF7,'Entity Inputs'!BF13)</f>
        <v>5337.0</v>
      </c>
      <c r="BF7" s="10">
        <f>SUM('Entity Inputs'!BG7,'Entity Inputs'!BG13)</f>
        <v>1045229.7999999999</v>
      </c>
      <c r="BG7" s="10">
        <f>SUM('Entity Inputs'!BH7,'Entity Inputs'!BH13)</f>
        <v>378014.8</v>
      </c>
      <c r="BH7" s="10">
        <f>SUM('Entity Inputs'!BI7,'Entity Inputs'!BI13)</f>
        <v>0.0</v>
      </c>
      <c r="BI7" s="10">
        <f>SUM('Entity Inputs'!BJ7,'Entity Inputs'!BJ13)</f>
        <v>1.0</v>
      </c>
      <c r="BJ7" s="10">
        <f>SUM('Entity Inputs'!BK7,'Entity Inputs'!BK13)</f>
        <v>2.0</v>
      </c>
      <c r="BK7" s="10">
        <f>SUM('Entity Inputs'!BL7,'Entity Inputs'!BL13)</f>
        <v>2.0</v>
      </c>
      <c r="BL7" s="10">
        <f>SUM('Entity Inputs'!BM7,'Entity Inputs'!BM13)</f>
        <v>4.0</v>
      </c>
      <c r="BM7" s="10">
        <f>SUM('Entity Inputs'!BN7,'Entity Inputs'!BN13)</f>
        <v>0.0</v>
      </c>
      <c r="BN7" s="10">
        <f>SUM('Entity Inputs'!BO7,'Entity Inputs'!BO13)</f>
        <v>1.0</v>
      </c>
      <c r="BO7" s="10">
        <f>SUM('Entity Inputs'!BP7,'Entity Inputs'!BP13)</f>
        <v>0.0</v>
      </c>
      <c r="BP7" s="10">
        <f>SUM('Entity Inputs'!BQ7,'Entity Inputs'!BQ13)</f>
        <v>0.0</v>
      </c>
      <c r="BQ7" s="10">
        <f>SUM('Entity Inputs'!BR7,'Entity Inputs'!BR13)</f>
        <v>0.0</v>
      </c>
      <c r="BR7" s="10">
        <f>SUM('Entity Inputs'!BS7,'Entity Inputs'!BS13)</f>
        <v>0.0</v>
      </c>
      <c r="BS7" s="10">
        <f>MIN('Entity Inputs'!BT7,'Entity Inputs'!BT13)</f>
        <v>12</v>
      </c>
      <c r="BT7" s="10">
        <f>SUM('Entity Inputs'!BU7,'Entity Inputs'!BU13)</f>
        <v>682196.0</v>
      </c>
      <c r="BU7" s="10">
        <f>SUM('Entity Inputs'!BV7,'Entity Inputs'!BV13)</f>
        <v>675253.0</v>
      </c>
      <c r="BV7" s="10">
        <f>SUM('Entity Inputs'!BW7,'Entity Inputs'!BW13)</f>
        <v>290381779.0</v>
      </c>
      <c r="BW7" s="10">
        <f>SUM('Entity Inputs'!BX7,'Entity Inputs'!BX13)</f>
        <v>770386.0</v>
      </c>
      <c r="BX7" s="10">
        <f>SUM('Entity Inputs'!BY7,'Entity Inputs'!BY13)</f>
        <v>32772.0</v>
      </c>
      <c r="BY7" s="10">
        <f>SUM('Entity Inputs'!BZ7,'Entity Inputs'!BZ13)</f>
        <v>109216.8</v>
      </c>
      <c r="BZ7" s="10">
        <f>SUM('Entity Inputs'!CA7,'Entity Inputs'!CA13)</f>
        <v>62968.399999999994</v>
      </c>
      <c r="CA7" s="10">
        <f>SUM('Entity Inputs'!CB7,'Entity Inputs'!CB13)</f>
        <v>21049600.0</v>
      </c>
      <c r="CB7" s="10">
        <f>SUM('Entity Inputs'!CC7,'Entity Inputs'!CC13)</f>
        <v>8932071.2</v>
      </c>
      <c r="CC7" s="10">
        <f>SUM('Entity Inputs'!CD7,'Entity Inputs'!CD13)</f>
        <v>2142071.2</v>
      </c>
      <c r="CD7" s="10">
        <f>SUM('Entity Inputs'!CE7,'Entity Inputs'!CE13)</f>
        <v>900739.8</v>
      </c>
      <c r="CE7" s="10">
        <f>SUM('Entity Inputs'!CF7,'Entity Inputs'!CF13)</f>
        <v>71295.0</v>
      </c>
      <c r="CF7" s="10">
        <f>SUM('Entity Inputs'!CG7,'Entity Inputs'!CG13)</f>
        <v>910310.3</v>
      </c>
      <c r="CG7" s="10">
        <f>SUM('Entity Inputs'!CH7,'Entity Inputs'!CH13)</f>
        <v>2622480.8</v>
      </c>
      <c r="CH7" s="10">
        <f>SUM('Entity Inputs'!CI7,'Entity Inputs'!CI13)</f>
        <v>297861.9</v>
      </c>
      <c r="CI7" s="10">
        <f>SUM('Entity Inputs'!CJ7,'Entity Inputs'!CJ13)</f>
        <v>2387045.5</v>
      </c>
      <c r="CJ7" s="10">
        <f>SUM('Entity Inputs'!CK7,'Entity Inputs'!CK13)</f>
        <v>3694900.6</v>
      </c>
      <c r="CK7" s="10">
        <f>SUM('Entity Inputs'!CL7,'Entity Inputs'!CL13)</f>
        <v>3257654.4</v>
      </c>
      <c r="CL7" s="10">
        <f>SUM('Entity Inputs'!CM7,'Entity Inputs'!CM13)</f>
        <v>2355477.0999999996</v>
      </c>
      <c r="CM7" s="10">
        <f>SUM('Entity Inputs'!CN7,'Entity Inputs'!CN13)</f>
        <v>2349520.7</v>
      </c>
      <c r="CN7" s="10">
        <f>SUM('Entity Inputs'!CO7,'Entity Inputs'!CO13)</f>
        <v>3607.0</v>
      </c>
      <c r="CO7" s="10">
        <f>SUM('Entity Inputs'!CP7,'Entity Inputs'!CP13)</f>
        <v>197786.9</v>
      </c>
      <c r="CP7" s="10">
        <f>SUM('Entity Inputs'!CQ7,'Entity Inputs'!CQ13)</f>
        <v>197786.9</v>
      </c>
      <c r="CQ7" s="10">
        <f>SUM('Entity Inputs'!CR7,'Entity Inputs'!CR13)</f>
        <v>780.0</v>
      </c>
      <c r="CR7" s="10">
        <f>SUM('Entity Inputs'!CS7,'Entity Inputs'!CS13)</f>
        <v>35124.0</v>
      </c>
      <c r="CS7" s="10">
        <f>SUM('Entity Inputs'!CT7,'Entity Inputs'!CT13)</f>
        <v>35100.0</v>
      </c>
      <c r="CT7" s="10">
        <f>SUM('Entity Inputs'!CU7,'Entity Inputs'!CU13)</f>
        <v>1.0</v>
      </c>
      <c r="CU7" s="10">
        <f>SUM('Entity Inputs'!CV7,'Entity Inputs'!CV13)</f>
        <v>1780285.1</v>
      </c>
      <c r="CV7" s="10">
        <f>SUM('Entity Inputs'!CW7,'Entity Inputs'!CW13)</f>
        <v>1794265.0</v>
      </c>
      <c r="CW7" s="10">
        <f>SUM('Entity Inputs'!CX7,'Entity Inputs'!CX13)</f>
        <v>312111.80000000005</v>
      </c>
      <c r="CX7" s="10">
        <f>SUM('Entity Inputs'!CY7,'Entity Inputs'!CY13)</f>
        <v>6723079.199999999</v>
      </c>
      <c r="CY7" s="10">
        <f>SUM('Entity Inputs'!CZ7,'Entity Inputs'!CZ13)</f>
        <v>3531953.4000000004</v>
      </c>
      <c r="CZ7" s="10">
        <f>SUM('Entity Inputs'!DA7,'Entity Inputs'!DA13)</f>
        <v>793744.0</v>
      </c>
      <c r="DA7" s="10">
        <f>SUM('Entity Inputs'!DB7,'Entity Inputs'!DB13)</f>
        <v>565960.4</v>
      </c>
      <c r="DB7" s="10">
        <f>SUM('Entity Inputs'!DC7,'Entity Inputs'!DC13)</f>
        <v>648543.4</v>
      </c>
      <c r="DC7" s="10">
        <f>SUM('Entity Inputs'!DD7,'Entity Inputs'!DD13)</f>
        <v>465577.7</v>
      </c>
      <c r="DD7" s="10">
        <f>SUM('Entity Inputs'!DE7,'Entity Inputs'!DE13)</f>
        <v>12843.1</v>
      </c>
      <c r="DE7" s="10">
        <f>SUM('Entity Inputs'!DF7,'Entity Inputs'!DF13)</f>
        <v>14184.900000000001</v>
      </c>
      <c r="DF7" s="10">
        <f>SUM('Entity Inputs'!DG7,'Entity Inputs'!DG13)</f>
        <v>4635623.9</v>
      </c>
      <c r="DG7" s="10">
        <f>SUM('Entity Inputs'!DH7,'Entity Inputs'!DH13)</f>
        <v>3172453.0999999996</v>
      </c>
      <c r="DH7" s="10">
        <f>SUM('Entity Inputs'!DI7,'Entity Inputs'!DI13)</f>
        <v>1860000.0</v>
      </c>
      <c r="DI7" s="10">
        <f>SUM('Entity Inputs'!DJ7,'Entity Inputs'!DJ13)</f>
        <v>1134853.5</v>
      </c>
      <c r="DJ7" s="10">
        <f>SUM('Entity Inputs'!DK7,'Entity Inputs'!DK13)</f>
        <v>147622.4</v>
      </c>
      <c r="DK7" s="10">
        <f>SUM('Entity Inputs'!DL7,'Entity Inputs'!DL13)</f>
        <v>961800.0</v>
      </c>
      <c r="DL7" s="10">
        <f>SUM('Entity Inputs'!DM7,'Entity Inputs'!DM13)</f>
        <v>153971.0</v>
      </c>
      <c r="DM7" s="10">
        <f>SUM('Entity Inputs'!DN7,'Entity Inputs'!DN13)</f>
        <v>9.0</v>
      </c>
      <c r="DN7" s="10">
        <f>SUM('Entity Inputs'!DO7,'Entity Inputs'!DO13)</f>
        <v>2.0</v>
      </c>
      <c r="DO7" s="10">
        <f>SUM('Entity Inputs'!DP7,'Entity Inputs'!DP13)</f>
        <v>0.0</v>
      </c>
      <c r="DP7" s="10">
        <f>SUM('Entity Inputs'!DQ7,'Entity Inputs'!DQ13)</f>
        <v>1.0</v>
      </c>
      <c r="DQ7" s="10">
        <f>SUM('Entity Inputs'!DR7,'Entity Inputs'!DR13)</f>
        <v>10.0</v>
      </c>
      <c r="DR7" s="10">
        <f>SUM('Entity Inputs'!DS7,'Entity Inputs'!DS13)</f>
        <v>21.0</v>
      </c>
      <c r="DS7" s="10">
        <f>SUM('Entity Inputs'!DT7,'Entity Inputs'!DT13)</f>
        <v>15.0</v>
      </c>
      <c r="DT7" s="10">
        <f>SUM('Entity Inputs'!DU7,'Entity Inputs'!DU13)</f>
        <v>6.0</v>
      </c>
      <c r="DU7" s="10">
        <f>SUM('Entity Inputs'!DV7,'Entity Inputs'!DV13)</f>
        <v>3.0</v>
      </c>
      <c r="DV7" s="10">
        <f>SUM('Entity Inputs'!DW7,'Entity Inputs'!DW13)</f>
        <v>124.0</v>
      </c>
      <c r="DW7" s="10">
        <f>SUM('Entity Inputs'!DX7,'Entity Inputs'!DX13)</f>
        <v>55.0</v>
      </c>
      <c r="DX7" s="10">
        <f>SUM('Entity Inputs'!DY7,'Entity Inputs'!DY13)</f>
        <v>14496.300000000001</v>
      </c>
      <c r="DY7" s="10">
        <f>SUM('Entity Inputs'!DZ7,'Entity Inputs'!DZ13)</f>
        <v>7092.0</v>
      </c>
      <c r="DZ7" s="10">
        <f>SUM('Entity Inputs'!EA7,'Entity Inputs'!EA13)</f>
        <v>2378.6</v>
      </c>
      <c r="EA7" s="10">
        <f>SUM('Entity Inputs'!EB7,'Entity Inputs'!EB13)</f>
        <v>1484.8999999999999</v>
      </c>
      <c r="EB7" s="10">
        <f>SUM('Entity Inputs'!EC7,'Entity Inputs'!EC13)</f>
        <v>1910.6</v>
      </c>
      <c r="EC7" s="10">
        <f>SUM('Entity Inputs'!ED7,'Entity Inputs'!ED13)</f>
        <v>140.0</v>
      </c>
      <c r="ED7" s="10">
        <f>SUM('Entity Inputs'!EE7,'Entity Inputs'!EE13)</f>
        <v>133.0</v>
      </c>
      <c r="EE7" s="10">
        <f>SUM('Entity Inputs'!EF7,'Entity Inputs'!EF13)</f>
        <v>5.0</v>
      </c>
      <c r="EF7" s="10">
        <f>SUM('Entity Inputs'!EG7,'Entity Inputs'!EG13)</f>
        <v>1.0</v>
      </c>
      <c r="EG7" s="10">
        <f>SUM('Entity Inputs'!EH7,'Entity Inputs'!EH13)</f>
        <v>3.0</v>
      </c>
      <c r="EH7" s="10">
        <f>SUM('Entity Inputs'!EI7,'Entity Inputs'!EI13)</f>
        <v>1.0</v>
      </c>
      <c r="EI7" s="10">
        <f>SUM('Entity Inputs'!EJ7,'Entity Inputs'!EJ13)</f>
        <v>0.0</v>
      </c>
      <c r="EJ7" s="10">
        <f>SUM('Entity Inputs'!EK7,'Entity Inputs'!EK13)</f>
        <v>2.0</v>
      </c>
      <c r="EK7" s="10">
        <f>SUM('Entity Inputs'!EL7,'Entity Inputs'!EL13)</f>
        <v>1.0</v>
      </c>
      <c r="EL7" s="10">
        <f>SUM('Entity Inputs'!EM7,'Entity Inputs'!EM13)</f>
        <v>1.0</v>
      </c>
      <c r="EM7" s="10">
        <f>SUM('Entity Inputs'!EN7,'Entity Inputs'!EN13)</f>
        <v>0.0</v>
      </c>
      <c r="EN7" s="10">
        <f>SUM('Entity Inputs'!EO7,'Entity Inputs'!EO13)</f>
        <v>0.0</v>
      </c>
      <c r="EO7" s="10">
        <f>SUM('Entity Inputs'!EP7,'Entity Inputs'!EP13)</f>
        <v>0.0</v>
      </c>
      <c r="EP7" s="10">
        <f>SUM('Entity Inputs'!EQ7,'Entity Inputs'!EQ13)</f>
        <v>0.0</v>
      </c>
      <c r="EQ7" s="10">
        <f>SUM('Entity Inputs'!ER7,'Entity Inputs'!ER13)</f>
        <v>1.0</v>
      </c>
      <c r="ER7" s="10">
        <f>SUM('Entity Inputs'!ES7,'Entity Inputs'!ES13)</f>
        <v>1.0</v>
      </c>
      <c r="ES7" s="10">
        <f>SUM('Entity Inputs'!ET7,'Entity Inputs'!ET13)</f>
        <v>0.0</v>
      </c>
      <c r="ET7" s="10">
        <f>SUM('Entity Inputs'!EU7,'Entity Inputs'!EU13)</f>
        <v>1.0</v>
      </c>
      <c r="EU7" s="10">
        <f>SUM('Entity Inputs'!EV7,'Entity Inputs'!EV13)</f>
        <v>7.0</v>
      </c>
      <c r="EV7" s="10">
        <f>SUM('Entity Inputs'!EW7,'Entity Inputs'!EW13)</f>
        <v>0.0</v>
      </c>
      <c r="EW7" s="10">
        <f>SUM('Entity Inputs'!EX7,'Entity Inputs'!EX13)</f>
        <v>1.0</v>
      </c>
      <c r="EX7" s="10">
        <f>SUM('Entity Inputs'!EY7,'Entity Inputs'!EY13)</f>
        <v>1.0</v>
      </c>
      <c r="EY7" s="10">
        <f>SUM('Entity Inputs'!EZ7,'Entity Inputs'!EZ13)</f>
        <v>108.0</v>
      </c>
      <c r="EZ7" s="10">
        <f>SUM('Entity Inputs'!FA7,'Entity Inputs'!FA13)</f>
        <v>96.0</v>
      </c>
      <c r="FA7" s="10">
        <f>SUM('Entity Inputs'!FB7,'Entity Inputs'!FB13)</f>
        <v>4.0</v>
      </c>
      <c r="FB7" s="10">
        <f>SUM('Entity Inputs'!FC7,'Entity Inputs'!FC13)</f>
        <v>118.0</v>
      </c>
      <c r="FC7" s="10">
        <f>SUM('Entity Inputs'!FD7,'Entity Inputs'!FD13)</f>
        <v>56.0</v>
      </c>
      <c r="FD7" s="10">
        <f>SUM('Entity Inputs'!FE7,'Entity Inputs'!FE13)</f>
        <v>47.0</v>
      </c>
      <c r="FE7" s="10">
        <f>SUM('Entity Inputs'!FF7,'Entity Inputs'!FF13)</f>
        <v>52.0</v>
      </c>
      <c r="FF7" s="10">
        <f>SUM('Entity Inputs'!FG7,'Entity Inputs'!FG13)</f>
        <v>1.0</v>
      </c>
      <c r="FG7" s="10">
        <f>SUM('Entity Inputs'!FH7,'Entity Inputs'!FH13)</f>
        <v>1.0</v>
      </c>
      <c r="FH7" s="10">
        <f>SUM('Entity Inputs'!FI7,'Entity Inputs'!FI13)</f>
        <v>0.0</v>
      </c>
      <c r="FI7" s="10">
        <f>SUM('Entity Inputs'!FJ7,'Entity Inputs'!FJ13)</f>
        <v>1029162.0</v>
      </c>
      <c r="FJ7" s="10">
        <f>SUM('Entity Inputs'!FK7,'Entity Inputs'!FK13)</f>
        <v>1018610.0</v>
      </c>
      <c r="FK7" s="10">
        <f>SUM('Entity Inputs'!FL7,'Entity Inputs'!FL13)</f>
        <v>820.0</v>
      </c>
      <c r="FL7" s="10">
        <f>SUM('Entity Inputs'!FM7,'Entity Inputs'!FM13)</f>
        <v>795.0</v>
      </c>
      <c r="FM7" s="10">
        <f>SUM('Entity Inputs'!FN7,'Entity Inputs'!FN13)</f>
        <v>0.0</v>
      </c>
      <c r="FN7" s="10">
        <f>SUM('Entity Inputs'!FO7,'Entity Inputs'!FO13)</f>
        <v>0.0</v>
      </c>
      <c r="FO7" s="10">
        <f>SUM('Entity Inputs'!FP7,'Entity Inputs'!FP13)</f>
        <v>0.0</v>
      </c>
      <c r="FP7" s="10">
        <f>SUM('Entity Inputs'!FQ7,'Entity Inputs'!FQ13)</f>
        <v>8.0</v>
      </c>
      <c r="FQ7" s="10">
        <f>SUM('Entity Inputs'!FR7,'Entity Inputs'!FR13)</f>
        <v>20.5</v>
      </c>
      <c r="FR7" s="10">
        <f>SUM('Entity Inputs'!FS7,'Entity Inputs'!FS13)</f>
        <v>11.0</v>
      </c>
      <c r="FS7" s="10">
        <f>SUM('Entity Inputs'!FT7,'Entity Inputs'!FT13)</f>
        <v>2.0</v>
      </c>
      <c r="FT7" s="10">
        <f>SUM('Entity Inputs'!FU7,'Entity Inputs'!FU13)</f>
        <v>2.0</v>
      </c>
      <c r="FU7" s="10">
        <f>SUM('Entity Inputs'!FV7,'Entity Inputs'!FV13)</f>
        <v>2.0</v>
      </c>
      <c r="FV7" s="10">
        <f>MIN('Entity Inputs'!FW7,'Entity Inputs'!FW13)</f>
        <v>999</v>
      </c>
      <c r="FW7" s="10">
        <f>SUM('Entity Inputs'!FX7,'Entity Inputs'!FX13)</f>
        <v>102687.20000000001</v>
      </c>
      <c r="FX7" s="10">
        <f>SUM('Entity Inputs'!FY7,'Entity Inputs'!FY13)</f>
        <v>101670.1</v>
      </c>
      <c r="FY7" s="12">
        <f>AU7-V7-X7-BY7</f>
        <v>297955.0999999998</v>
      </c>
      <c r="FZ7" s="12">
        <f>FY7-AX7</f>
        <v>209380.7999999998</v>
      </c>
      <c r="GA7" s="12">
        <f>CJ7+CL7-CK7</f>
        <v>2792723.2999999993</v>
      </c>
      <c r="GB7" s="12">
        <f>GA7-GA6</f>
        <v>42361.39999999991</v>
      </c>
      <c r="GC7" s="12">
        <f>FY7-BZ7-GB7</f>
        <v>192625.2999999999</v>
      </c>
      <c r="GD7" s="12">
        <f>GC7-DJ7</f>
        <v>45002.89999999991</v>
      </c>
      <c r="GE7" s="12">
        <f>CB7-CC7</f>
        <v>6789999.999999999</v>
      </c>
      <c r="GF7" s="12">
        <f>SUM(FY$4:FY7)*12/D7</f>
        <v>3343251.8999999985</v>
      </c>
      <c r="GG7" s="12">
        <f>IF(AU7=0,0,CJ7/AU7*C7)</f>
        <v>48.0319651693153</v>
      </c>
      <c r="GH7" s="12">
        <f>IF(V7=0,0,CK7/V7*C7)</f>
        <v>51.25663928100924</v>
      </c>
      <c r="GI7" s="12">
        <f>IF(V7=0,0,CL7/V7*C7)</f>
        <v>37.06158641302703</v>
      </c>
      <c r="GJ7" s="12">
        <f>IF(OR(AS7=0,AT7=0,AV7=0),0,100*((AU7/AS7)/(AV7/AT7)-1))</f>
        <v>-0.19022332939020448</v>
      </c>
    </row>
    <row r="8" spans="1:192">
      <c r="A8" t="s">
        <v>19</v>
      </c>
      <c r="B8" t="s">
        <v>185</v>
      </c>
      <c r="C8">
        <v>31</v>
      </c>
      <c r="D8">
        <v>5</v>
      </c>
      <c r="E8" s="10">
        <f>SUM('Entity Inputs'!F8,'Entity Inputs'!F14)</f>
        <v>4464.0</v>
      </c>
      <c r="F8" s="10">
        <f>SUM('Entity Inputs'!G8,'Entity Inputs'!G14)</f>
        <v>4280.0</v>
      </c>
      <c r="G8" s="10">
        <f>SUM('Entity Inputs'!H8,'Entity Inputs'!H14)</f>
        <v>4022.0</v>
      </c>
      <c r="H8" s="10">
        <f>SUM('Entity Inputs'!I8,'Entity Inputs'!I14)</f>
        <v>164.0</v>
      </c>
      <c r="I8" s="10">
        <f>SUM('Entity Inputs'!J8,'Entity Inputs'!J14)</f>
        <v>743292.0</v>
      </c>
      <c r="J8" s="10">
        <f>SUM('Entity Inputs'!K8,'Entity Inputs'!K14)</f>
        <v>774802.0</v>
      </c>
      <c r="K8" s="10">
        <f>SUM('Entity Inputs'!L8,'Entity Inputs'!L14)</f>
        <v>661605.0</v>
      </c>
      <c r="L8" s="10">
        <f>SUM('Entity Inputs'!M8,'Entity Inputs'!M14)</f>
        <v>626623.0</v>
      </c>
      <c r="M8" s="10">
        <f>SUM('Entity Inputs'!N8,'Entity Inputs'!N14)</f>
        <v>611088.0</v>
      </c>
      <c r="N8" s="10">
        <f>SUM('Entity Inputs'!O8,'Entity Inputs'!O14)</f>
        <v>670841.0</v>
      </c>
      <c r="O8" s="10">
        <f>SUM('Entity Inputs'!P8,'Entity Inputs'!P14)</f>
        <v>151700.0</v>
      </c>
      <c r="P8" s="10">
        <f>SUM('Entity Inputs'!Q8,'Entity Inputs'!Q14)</f>
        <v>134276.0</v>
      </c>
      <c r="Q8" s="10">
        <f>SUM('Entity Inputs'!R8,'Entity Inputs'!R14)</f>
        <v>30108.0</v>
      </c>
      <c r="R8" s="10">
        <f>SUM('Entity Inputs'!S8,'Entity Inputs'!S14)</f>
        <v>19.0</v>
      </c>
      <c r="S8" s="10">
        <f>SUM('Entity Inputs'!T8,'Entity Inputs'!T14)</f>
        <v>131.2</v>
      </c>
      <c r="T8" s="10">
        <f>SUM('Entity Inputs'!U8,'Entity Inputs'!U14)</f>
        <v>233.0</v>
      </c>
      <c r="U8" s="10">
        <f>SUM('Entity Inputs'!V8,'Entity Inputs'!V14)</f>
        <v>229.0</v>
      </c>
      <c r="V8" s="10">
        <f>SUM('Entity Inputs'!W8,'Entity Inputs'!W14)</f>
        <v>1926079.2000000002</v>
      </c>
      <c r="W8" s="10">
        <f>SUM('Entity Inputs'!X8,'Entity Inputs'!X14)</f>
        <v>544908.7</v>
      </c>
      <c r="X8" s="10">
        <f>SUM('Entity Inputs'!Y8,'Entity Inputs'!Y14)</f>
        <v>7866.1</v>
      </c>
      <c r="Y8" s="10">
        <f>SUM('Entity Inputs'!Z8,'Entity Inputs'!Z14)</f>
        <v>1363699.0</v>
      </c>
      <c r="Z8" s="10">
        <f>SUM('Entity Inputs'!AA8,'Entity Inputs'!AA14)</f>
        <v>410412.0</v>
      </c>
      <c r="AA8" s="10">
        <f>SUM('Entity Inputs'!AB8,'Entity Inputs'!AB14)</f>
        <v>2150639.0</v>
      </c>
      <c r="AB8" s="10">
        <f>SUM('Entity Inputs'!AC8,'Entity Inputs'!AC14)</f>
        <v>44820.0</v>
      </c>
      <c r="AC8" s="10">
        <f>SUM('Entity Inputs'!AD8,'Entity Inputs'!AD14)</f>
        <v>11.0</v>
      </c>
      <c r="AD8" s="10">
        <f>SUM('Entity Inputs'!AE8,'Entity Inputs'!AE14)</f>
        <v>388000.0</v>
      </c>
      <c r="AE8" s="10">
        <f>SUM('Entity Inputs'!AF8,'Entity Inputs'!AF14)</f>
        <v>3.0</v>
      </c>
      <c r="AF8" s="10">
        <f>SUM('Entity Inputs'!AG8,'Entity Inputs'!AG14)</f>
        <v>1.0</v>
      </c>
      <c r="AG8" s="10">
        <f>SUM('Entity Inputs'!AH8,'Entity Inputs'!AH14)</f>
        <v>42.0</v>
      </c>
      <c r="AH8" s="10">
        <f>SUM('Entity Inputs'!AI8,'Entity Inputs'!AI14)</f>
        <v>1.0</v>
      </c>
      <c r="AI8" s="10">
        <f>SUM('Entity Inputs'!AJ8,'Entity Inputs'!AJ14)</f>
        <v>1.0</v>
      </c>
      <c r="AJ8" s="10">
        <f>SUM('Entity Inputs'!AK8,'Entity Inputs'!AK14)</f>
        <v>0.0</v>
      </c>
      <c r="AK8" s="10">
        <f>SUM('Entity Inputs'!AL8,'Entity Inputs'!AL14)</f>
        <v>44.0</v>
      </c>
      <c r="AL8" s="10">
        <f>SUM('Entity Inputs'!AM8,'Entity Inputs'!AM14)</f>
        <v>3.0</v>
      </c>
      <c r="AM8" s="10">
        <f>SUM('Entity Inputs'!AN8,'Entity Inputs'!AN14)</f>
        <v>11.0</v>
      </c>
      <c r="AN8" s="10">
        <f>SUM('Entity Inputs'!AO8,'Entity Inputs'!AO14)</f>
        <v>10.0</v>
      </c>
      <c r="AO8" s="10">
        <f>SUM('Entity Inputs'!AP8,'Entity Inputs'!AP14)</f>
        <v>6.0</v>
      </c>
      <c r="AP8" s="10">
        <f>SUM('Entity Inputs'!AQ8,'Entity Inputs'!AQ14)</f>
        <v>1075.0</v>
      </c>
      <c r="AQ8" s="10">
        <f>SUM('Entity Inputs'!AR8,'Entity Inputs'!AR14)</f>
        <v>82.0</v>
      </c>
      <c r="AR8" s="10">
        <f>MIN('Entity Inputs'!AS8,'Entity Inputs'!AS14)</f>
        <v>95</v>
      </c>
      <c r="AS8" s="10">
        <f>SUM('Entity Inputs'!AT8,'Entity Inputs'!AT14)</f>
        <v>610022.0</v>
      </c>
      <c r="AT8" s="10">
        <f>SUM('Entity Inputs'!AU8,'Entity Inputs'!AU14)</f>
        <v>660188.0</v>
      </c>
      <c r="AU8" s="10">
        <f>SUM('Entity Inputs'!AV8,'Entity Inputs'!AV14)</f>
        <v>2287029.2</v>
      </c>
      <c r="AV8" s="10">
        <f>SUM('Entity Inputs'!AW8,'Entity Inputs'!AW14)</f>
        <v>2482306.8</v>
      </c>
      <c r="AW8" s="10">
        <f>SUM('Entity Inputs'!AX8,'Entity Inputs'!AX14)</f>
        <v>114697.2</v>
      </c>
      <c r="AX8" s="10">
        <f>SUM('Entity Inputs'!AY8,'Entity Inputs'!AY14)</f>
        <v>88167.3</v>
      </c>
      <c r="AY8" s="10">
        <f>SUM('Entity Inputs'!AZ8,'Entity Inputs'!AZ14)</f>
        <v>1280.0</v>
      </c>
      <c r="AZ8" s="10">
        <f>SUM('Entity Inputs'!BA8,'Entity Inputs'!BA14)</f>
        <v>1167.0</v>
      </c>
      <c r="BA8" s="10">
        <f>SUM('Entity Inputs'!BB8,'Entity Inputs'!BB14)</f>
        <v>669580.0</v>
      </c>
      <c r="BB8" s="10">
        <f>SUM('Entity Inputs'!BC8,'Entity Inputs'!BC14)</f>
        <v>649013.0</v>
      </c>
      <c r="BC8" s="10">
        <f>SUM('Entity Inputs'!BD8,'Entity Inputs'!BD14)</f>
        <v>8615.0</v>
      </c>
      <c r="BD8" s="10">
        <f>SUM('Entity Inputs'!BE8,'Entity Inputs'!BE14)</f>
        <v>5068.0</v>
      </c>
      <c r="BE8" s="10">
        <f>SUM('Entity Inputs'!BF8,'Entity Inputs'!BF14)</f>
        <v>5196.0</v>
      </c>
      <c r="BF8" s="10">
        <f>SUM('Entity Inputs'!BG8,'Entity Inputs'!BG14)</f>
        <v>1023859.2000000001</v>
      </c>
      <c r="BG8" s="10">
        <f>SUM('Entity Inputs'!BH8,'Entity Inputs'!BH14)</f>
        <v>376580.2</v>
      </c>
      <c r="BH8" s="10">
        <f>SUM('Entity Inputs'!BI8,'Entity Inputs'!BI14)</f>
        <v>0.0</v>
      </c>
      <c r="BI8" s="10">
        <f>SUM('Entity Inputs'!BJ8,'Entity Inputs'!BJ14)</f>
        <v>0.0</v>
      </c>
      <c r="BJ8" s="10">
        <f>SUM('Entity Inputs'!BK8,'Entity Inputs'!BK14)</f>
        <v>0.0</v>
      </c>
      <c r="BK8" s="10">
        <f>SUM('Entity Inputs'!BL8,'Entity Inputs'!BL14)</f>
        <v>2.0</v>
      </c>
      <c r="BL8" s="10">
        <f>SUM('Entity Inputs'!BM8,'Entity Inputs'!BM14)</f>
        <v>4.0</v>
      </c>
      <c r="BM8" s="10">
        <f>SUM('Entity Inputs'!BN8,'Entity Inputs'!BN14)</f>
        <v>0.0</v>
      </c>
      <c r="BN8" s="10">
        <f>SUM('Entity Inputs'!BO8,'Entity Inputs'!BO14)</f>
        <v>1.0</v>
      </c>
      <c r="BO8" s="10">
        <f>SUM('Entity Inputs'!BP8,'Entity Inputs'!BP14)</f>
        <v>0.0</v>
      </c>
      <c r="BP8" s="10">
        <f>SUM('Entity Inputs'!BQ8,'Entity Inputs'!BQ14)</f>
        <v>0.0</v>
      </c>
      <c r="BQ8" s="10">
        <f>SUM('Entity Inputs'!BR8,'Entity Inputs'!BR14)</f>
        <v>0.0</v>
      </c>
      <c r="BR8" s="10">
        <f>SUM('Entity Inputs'!BS8,'Entity Inputs'!BS14)</f>
        <v>0.0</v>
      </c>
      <c r="BS8" s="10">
        <f>MIN('Entity Inputs'!BT8,'Entity Inputs'!BT14)</f>
        <v>10</v>
      </c>
      <c r="BT8" s="10">
        <f>SUM('Entity Inputs'!BU8,'Entity Inputs'!BU14)</f>
        <v>664556.0</v>
      </c>
      <c r="BU8" s="10">
        <f>SUM('Entity Inputs'!BV8,'Entity Inputs'!BV14)</f>
        <v>659868.0</v>
      </c>
      <c r="BV8" s="10">
        <f>SUM('Entity Inputs'!BW8,'Entity Inputs'!BW14)</f>
        <v>277302717.0</v>
      </c>
      <c r="BW8" s="10">
        <f>SUM('Entity Inputs'!BX8,'Entity Inputs'!BX14)</f>
        <v>743292.0</v>
      </c>
      <c r="BX8" s="10">
        <f>SUM('Entity Inputs'!BY8,'Entity Inputs'!BY14)</f>
        <v>28337.0</v>
      </c>
      <c r="BY8" s="10">
        <f>SUM('Entity Inputs'!BZ8,'Entity Inputs'!BZ14)</f>
        <v>104388.3</v>
      </c>
      <c r="BZ8" s="10">
        <f>SUM('Entity Inputs'!CA8,'Entity Inputs'!CA14)</f>
        <v>49875.8</v>
      </c>
      <c r="CA8" s="10">
        <f>SUM('Entity Inputs'!CB8,'Entity Inputs'!CB14)</f>
        <v>21132800.0</v>
      </c>
      <c r="CB8" s="10">
        <f>SUM('Entity Inputs'!CC8,'Entity Inputs'!CC14)</f>
        <v>8747310.5</v>
      </c>
      <c r="CC8" s="10">
        <f>SUM('Entity Inputs'!CD8,'Entity Inputs'!CD14)</f>
        <v>2027310.5</v>
      </c>
      <c r="CD8" s="10">
        <f>SUM('Entity Inputs'!CE8,'Entity Inputs'!CE14)</f>
        <v>875899.8</v>
      </c>
      <c r="CE8" s="10">
        <f>SUM('Entity Inputs'!CF8,'Entity Inputs'!CF14)</f>
        <v>70560.0</v>
      </c>
      <c r="CF8" s="10">
        <f>SUM('Entity Inputs'!CG8,'Entity Inputs'!CG14)</f>
        <v>866117.7</v>
      </c>
      <c r="CG8" s="10">
        <f>SUM('Entity Inputs'!CH8,'Entity Inputs'!CH14)</f>
        <v>2627519.9</v>
      </c>
      <c r="CH8" s="10">
        <f>SUM('Entity Inputs'!CI8,'Entity Inputs'!CI14)</f>
        <v>248703.90000000002</v>
      </c>
      <c r="CI8" s="10">
        <f>SUM('Entity Inputs'!CJ8,'Entity Inputs'!CJ14)</f>
        <v>2292454.3</v>
      </c>
      <c r="CJ8" s="10">
        <f>SUM('Entity Inputs'!CK8,'Entity Inputs'!CK14)</f>
        <v>3505362.0999999996</v>
      </c>
      <c r="CK8" s="10">
        <f>SUM('Entity Inputs'!CL8,'Entity Inputs'!CL14)</f>
        <v>3129664.0</v>
      </c>
      <c r="CL8" s="10">
        <f>SUM('Entity Inputs'!CM8,'Entity Inputs'!CM14)</f>
        <v>2388029.9</v>
      </c>
      <c r="CM8" s="10">
        <f>SUM('Entity Inputs'!CN8,'Entity Inputs'!CN14)</f>
        <v>2282013.5</v>
      </c>
      <c r="CN8" s="10">
        <f>SUM('Entity Inputs'!CO8,'Entity Inputs'!CO14)</f>
        <v>3739.2</v>
      </c>
      <c r="CO8" s="10">
        <f>SUM('Entity Inputs'!CP8,'Entity Inputs'!CP14)</f>
        <v>182887.2</v>
      </c>
      <c r="CP8" s="10">
        <f>SUM('Entity Inputs'!CQ8,'Entity Inputs'!CQ14)</f>
        <v>157266.90000000002</v>
      </c>
      <c r="CQ8" s="10">
        <f>SUM('Entity Inputs'!CR8,'Entity Inputs'!CR14)</f>
        <v>755.0</v>
      </c>
      <c r="CR8" s="10">
        <f>SUM('Entity Inputs'!CS8,'Entity Inputs'!CS14)</f>
        <v>35040.0</v>
      </c>
      <c r="CS8" s="10">
        <f>SUM('Entity Inputs'!CT8,'Entity Inputs'!CT14)</f>
        <v>33975.0</v>
      </c>
      <c r="CT8" s="10">
        <f>SUM('Entity Inputs'!CU8,'Entity Inputs'!CU14)</f>
        <v>3.0</v>
      </c>
      <c r="CU8" s="10">
        <f>SUM('Entity Inputs'!CV8,'Entity Inputs'!CV14)</f>
        <v>1459331.5</v>
      </c>
      <c r="CV8" s="10">
        <f>SUM('Entity Inputs'!CW8,'Entity Inputs'!CW14)</f>
        <v>1498248.1</v>
      </c>
      <c r="CW8" s="10">
        <f>SUM('Entity Inputs'!CX8,'Entity Inputs'!CX14)</f>
        <v>291855.1</v>
      </c>
      <c r="CX8" s="10">
        <f>SUM('Entity Inputs'!CY8,'Entity Inputs'!CY14)</f>
        <v>6635539.4</v>
      </c>
      <c r="CY8" s="10">
        <f>SUM('Entity Inputs'!CZ8,'Entity Inputs'!CZ14)</f>
        <v>2926282.0</v>
      </c>
      <c r="CZ8" s="10">
        <f>SUM('Entity Inputs'!DA8,'Entity Inputs'!DA14)</f>
        <v>722608.9</v>
      </c>
      <c r="DA8" s="10">
        <f>SUM('Entity Inputs'!DB8,'Entity Inputs'!DB14)</f>
        <v>497079.8</v>
      </c>
      <c r="DB8" s="10">
        <f>SUM('Entity Inputs'!DC8,'Entity Inputs'!DC14)</f>
        <v>584849.6</v>
      </c>
      <c r="DC8" s="10">
        <f>SUM('Entity Inputs'!DD8,'Entity Inputs'!DD14)</f>
        <v>423930.7</v>
      </c>
      <c r="DD8" s="10">
        <f>SUM('Entity Inputs'!DE8,'Entity Inputs'!DE14)</f>
        <v>9567.6</v>
      </c>
      <c r="DE8" s="10">
        <f>SUM('Entity Inputs'!DF8,'Entity Inputs'!DF14)</f>
        <v>10289.2</v>
      </c>
      <c r="DF8" s="10">
        <f>SUM('Entity Inputs'!DG8,'Entity Inputs'!DG14)</f>
        <v>4407372.5</v>
      </c>
      <c r="DG8" s="10">
        <f>SUM('Entity Inputs'!DH8,'Entity Inputs'!DH14)</f>
        <v>3070830.9</v>
      </c>
      <c r="DH8" s="10">
        <f>SUM('Entity Inputs'!DI8,'Entity Inputs'!DI14)</f>
        <v>1860000.0</v>
      </c>
      <c r="DI8" s="10">
        <f>SUM('Entity Inputs'!DJ8,'Entity Inputs'!DJ14)</f>
        <v>1238527.0</v>
      </c>
      <c r="DJ8" s="10">
        <f>SUM('Entity Inputs'!DK8,'Entity Inputs'!DK14)</f>
        <v>151938.1</v>
      </c>
      <c r="DK8" s="10">
        <f>SUM('Entity Inputs'!DL8,'Entity Inputs'!DL14)</f>
        <v>1046800.0</v>
      </c>
      <c r="DL8" s="10">
        <f>SUM('Entity Inputs'!DM8,'Entity Inputs'!DM14)</f>
        <v>153087.80000000002</v>
      </c>
      <c r="DM8" s="10">
        <f>SUM('Entity Inputs'!DN8,'Entity Inputs'!DN14)</f>
        <v>9.0</v>
      </c>
      <c r="DN8" s="10">
        <f>SUM('Entity Inputs'!DO8,'Entity Inputs'!DO14)</f>
        <v>2.0</v>
      </c>
      <c r="DO8" s="10">
        <f>SUM('Entity Inputs'!DP8,'Entity Inputs'!DP14)</f>
        <v>0.0</v>
      </c>
      <c r="DP8" s="10">
        <f>SUM('Entity Inputs'!DQ8,'Entity Inputs'!DQ14)</f>
        <v>1.0</v>
      </c>
      <c r="DQ8" s="10">
        <f>SUM('Entity Inputs'!DR8,'Entity Inputs'!DR14)</f>
        <v>13.0</v>
      </c>
      <c r="DR8" s="10">
        <f>SUM('Entity Inputs'!DS8,'Entity Inputs'!DS14)</f>
        <v>28.0</v>
      </c>
      <c r="DS8" s="10">
        <f>SUM('Entity Inputs'!DT8,'Entity Inputs'!DT14)</f>
        <v>15.0</v>
      </c>
      <c r="DT8" s="10">
        <f>SUM('Entity Inputs'!DU8,'Entity Inputs'!DU14)</f>
        <v>6.0</v>
      </c>
      <c r="DU8" s="10">
        <f>SUM('Entity Inputs'!DV8,'Entity Inputs'!DV14)</f>
        <v>3.0</v>
      </c>
      <c r="DV8" s="10">
        <f>SUM('Entity Inputs'!DW8,'Entity Inputs'!DW14)</f>
        <v>124.0</v>
      </c>
      <c r="DW8" s="10">
        <f>SUM('Entity Inputs'!DX8,'Entity Inputs'!DX14)</f>
        <v>61.0</v>
      </c>
      <c r="DX8" s="10">
        <f>SUM('Entity Inputs'!DY8,'Entity Inputs'!DY14)</f>
        <v>14203.800000000001</v>
      </c>
      <c r="DY8" s="10">
        <f>SUM('Entity Inputs'!DZ8,'Entity Inputs'!DZ14)</f>
        <v>6865.9</v>
      </c>
      <c r="DZ8" s="10">
        <f>SUM('Entity Inputs'!EA8,'Entity Inputs'!EA14)</f>
        <v>2393.2</v>
      </c>
      <c r="EA8" s="10">
        <f>SUM('Entity Inputs'!EB8,'Entity Inputs'!EB14)</f>
        <v>1421.0</v>
      </c>
      <c r="EB8" s="10">
        <f>SUM('Entity Inputs'!EC8,'Entity Inputs'!EC14)</f>
        <v>1883.3</v>
      </c>
      <c r="EC8" s="10">
        <f>SUM('Entity Inputs'!ED8,'Entity Inputs'!ED14)</f>
        <v>140.0</v>
      </c>
      <c r="ED8" s="10">
        <f>SUM('Entity Inputs'!EE8,'Entity Inputs'!EE14)</f>
        <v>133.0</v>
      </c>
      <c r="EE8" s="10">
        <f>SUM('Entity Inputs'!EF8,'Entity Inputs'!EF14)</f>
        <v>4.0</v>
      </c>
      <c r="EF8" s="10">
        <f>SUM('Entity Inputs'!EG8,'Entity Inputs'!EG14)</f>
        <v>0.0</v>
      </c>
      <c r="EG8" s="10">
        <f>SUM('Entity Inputs'!EH8,'Entity Inputs'!EH14)</f>
        <v>3.0</v>
      </c>
      <c r="EH8" s="10">
        <f>SUM('Entity Inputs'!EI8,'Entity Inputs'!EI14)</f>
        <v>1.0</v>
      </c>
      <c r="EI8" s="10">
        <f>SUM('Entity Inputs'!EJ8,'Entity Inputs'!EJ14)</f>
        <v>0.0</v>
      </c>
      <c r="EJ8" s="10">
        <f>SUM('Entity Inputs'!EK8,'Entity Inputs'!EK14)</f>
        <v>2.0</v>
      </c>
      <c r="EK8" s="10">
        <f>SUM('Entity Inputs'!EL8,'Entity Inputs'!EL14)</f>
        <v>2.0</v>
      </c>
      <c r="EL8" s="10">
        <f>SUM('Entity Inputs'!EM8,'Entity Inputs'!EM14)</f>
        <v>2.0</v>
      </c>
      <c r="EM8" s="10">
        <f>SUM('Entity Inputs'!EN8,'Entity Inputs'!EN14)</f>
        <v>0.0</v>
      </c>
      <c r="EN8" s="10">
        <f>SUM('Entity Inputs'!EO8,'Entity Inputs'!EO14)</f>
        <v>0.0</v>
      </c>
      <c r="EO8" s="10">
        <f>SUM('Entity Inputs'!EP8,'Entity Inputs'!EP14)</f>
        <v>0.0</v>
      </c>
      <c r="EP8" s="10">
        <f>SUM('Entity Inputs'!EQ8,'Entity Inputs'!EQ14)</f>
        <v>0.0</v>
      </c>
      <c r="EQ8" s="10">
        <f>SUM('Entity Inputs'!ER8,'Entity Inputs'!ER14)</f>
        <v>4.0</v>
      </c>
      <c r="ER8" s="10">
        <f>SUM('Entity Inputs'!ES8,'Entity Inputs'!ES14)</f>
        <v>2.0</v>
      </c>
      <c r="ES8" s="10">
        <f>SUM('Entity Inputs'!ET8,'Entity Inputs'!ET14)</f>
        <v>0.0</v>
      </c>
      <c r="ET8" s="10">
        <f>SUM('Entity Inputs'!EU8,'Entity Inputs'!EU14)</f>
        <v>1.0</v>
      </c>
      <c r="EU8" s="10">
        <f>SUM('Entity Inputs'!EV8,'Entity Inputs'!EV14)</f>
        <v>8.0</v>
      </c>
      <c r="EV8" s="10">
        <f>SUM('Entity Inputs'!EW8,'Entity Inputs'!EW14)</f>
        <v>0.0</v>
      </c>
      <c r="EW8" s="10">
        <f>SUM('Entity Inputs'!EX8,'Entity Inputs'!EX14)</f>
        <v>1.0</v>
      </c>
      <c r="EX8" s="10">
        <f>SUM('Entity Inputs'!EY8,'Entity Inputs'!EY14)</f>
        <v>1.0</v>
      </c>
      <c r="EY8" s="10">
        <f>SUM('Entity Inputs'!EZ8,'Entity Inputs'!EZ14)</f>
        <v>108.0</v>
      </c>
      <c r="EZ8" s="10">
        <f>SUM('Entity Inputs'!FA8,'Entity Inputs'!FA14)</f>
        <v>95.0</v>
      </c>
      <c r="FA8" s="10">
        <f>SUM('Entity Inputs'!FB8,'Entity Inputs'!FB14)</f>
        <v>4.0</v>
      </c>
      <c r="FB8" s="10">
        <f>SUM('Entity Inputs'!FC8,'Entity Inputs'!FC14)</f>
        <v>136.0</v>
      </c>
      <c r="FC8" s="10">
        <f>SUM('Entity Inputs'!FD8,'Entity Inputs'!FD14)</f>
        <v>56.0</v>
      </c>
      <c r="FD8" s="10">
        <f>SUM('Entity Inputs'!FE8,'Entity Inputs'!FE14)</f>
        <v>47.0</v>
      </c>
      <c r="FE8" s="10">
        <f>SUM('Entity Inputs'!FF8,'Entity Inputs'!FF14)</f>
        <v>52.0</v>
      </c>
      <c r="FF8" s="10">
        <f>SUM('Entity Inputs'!FG8,'Entity Inputs'!FG14)</f>
        <v>2.0</v>
      </c>
      <c r="FG8" s="10">
        <f>SUM('Entity Inputs'!FH8,'Entity Inputs'!FH14)</f>
        <v>1.0</v>
      </c>
      <c r="FH8" s="10">
        <f>SUM('Entity Inputs'!FI8,'Entity Inputs'!FI14)</f>
        <v>1.0</v>
      </c>
      <c r="FI8" s="10">
        <f>SUM('Entity Inputs'!FJ8,'Entity Inputs'!FJ14)</f>
        <v>988417.0</v>
      </c>
      <c r="FJ8" s="10">
        <f>SUM('Entity Inputs'!FK8,'Entity Inputs'!FK14)</f>
        <v>981805.0</v>
      </c>
      <c r="FK8" s="10">
        <f>SUM('Entity Inputs'!FL8,'Entity Inputs'!FL14)</f>
        <v>820.0</v>
      </c>
      <c r="FL8" s="10">
        <f>SUM('Entity Inputs'!FM8,'Entity Inputs'!FM14)</f>
        <v>794.0</v>
      </c>
      <c r="FM8" s="10">
        <f>SUM('Entity Inputs'!FN8,'Entity Inputs'!FN14)</f>
        <v>1.0</v>
      </c>
      <c r="FN8" s="10">
        <f>SUM('Entity Inputs'!FO8,'Entity Inputs'!FO14)</f>
        <v>0.0</v>
      </c>
      <c r="FO8" s="10">
        <f>SUM('Entity Inputs'!FP8,'Entity Inputs'!FP14)</f>
        <v>0.0</v>
      </c>
      <c r="FP8" s="10">
        <f>SUM('Entity Inputs'!FQ8,'Entity Inputs'!FQ14)</f>
        <v>9.0</v>
      </c>
      <c r="FQ8" s="10">
        <f>SUM('Entity Inputs'!FR8,'Entity Inputs'!FR14)</f>
        <v>22.1</v>
      </c>
      <c r="FR8" s="10">
        <f>SUM('Entity Inputs'!FS8,'Entity Inputs'!FS14)</f>
        <v>11.0</v>
      </c>
      <c r="FS8" s="10">
        <f>SUM('Entity Inputs'!FT8,'Entity Inputs'!FT14)</f>
        <v>1.0</v>
      </c>
      <c r="FT8" s="10">
        <f>SUM('Entity Inputs'!FU8,'Entity Inputs'!FU14)</f>
        <v>2.0</v>
      </c>
      <c r="FU8" s="10">
        <f>SUM('Entity Inputs'!FV8,'Entity Inputs'!FV14)</f>
        <v>2.0</v>
      </c>
      <c r="FV8" s="10">
        <f>MIN('Entity Inputs'!FW8,'Entity Inputs'!FW14)</f>
        <v>999</v>
      </c>
      <c r="FW8" s="10">
        <f>SUM('Entity Inputs'!FX8,'Entity Inputs'!FX14)</f>
        <v>98594.1</v>
      </c>
      <c r="FX8" s="10">
        <f>SUM('Entity Inputs'!FY8,'Entity Inputs'!FY14)</f>
        <v>97603.5</v>
      </c>
      <c r="FY8" s="12">
        <f>AU8-V8-X8-BY8</f>
        <v>248695.60000000003</v>
      </c>
      <c r="FZ8" s="12">
        <f>FY8-AX8</f>
        <v>160528.30000000005</v>
      </c>
      <c r="GA8" s="12">
        <f>CJ8+CL8-CK8</f>
        <v>2763728.0</v>
      </c>
      <c r="GB8" s="12">
        <f>GA8-GA7</f>
        <v>-28995.299999999348</v>
      </c>
      <c r="GC8" s="12">
        <f>FY8-BZ8-GB8</f>
        <v>227815.0999999994</v>
      </c>
      <c r="GD8" s="12">
        <f>GC8-DJ8</f>
        <v>75876.99999999939</v>
      </c>
      <c r="GE8" s="12">
        <f>CB8-CC8</f>
        <v>6720000.0</v>
      </c>
      <c r="GF8" s="12">
        <f>SUM(FY$4:FY8)*12/D8</f>
        <v>3271470.9599999995</v>
      </c>
      <c r="GG8" s="12">
        <f>IF(AU8=0,0,CJ8/AU8*C8)</f>
        <v>47.514139784485465</v>
      </c>
      <c r="GH8" s="12">
        <f>IF(V8=0,0,CK8/V8*C8)</f>
        <v>50.37154443077937</v>
      </c>
      <c r="GI8" s="12">
        <f>IF(V8=0,0,CL8/V8*C8)</f>
        <v>38.43503782191303</v>
      </c>
      <c r="GJ8" s="12">
        <f>IF(OR(AS8=0,AT8=0,AV8=0),0,100*((AU8/AS8)/(AV8/AT8)-1))</f>
        <v>-0.2900770117596374</v>
      </c>
    </row>
    <row r="9" spans="1:192">
      <c r="A9" t="s">
        <v>19</v>
      </c>
      <c r="B9" t="s">
        <v>186</v>
      </c>
      <c r="C9">
        <v>30</v>
      </c>
      <c r="D9">
        <v>6</v>
      </c>
      <c r="E9" s="10">
        <f>SUM('Entity Inputs'!F9,'Entity Inputs'!F15)</f>
        <v>4320.0</v>
      </c>
      <c r="F9" s="10">
        <f>SUM('Entity Inputs'!G9,'Entity Inputs'!G15)</f>
        <v>4287.0</v>
      </c>
      <c r="G9" s="10">
        <f>SUM('Entity Inputs'!H9,'Entity Inputs'!H15)</f>
        <v>4045.3999999999996</v>
      </c>
      <c r="H9" s="10">
        <f>SUM('Entity Inputs'!I9,'Entity Inputs'!I15)</f>
        <v>154.4</v>
      </c>
      <c r="I9" s="10">
        <f>SUM('Entity Inputs'!J9,'Entity Inputs'!J15)</f>
        <v>744212.0</v>
      </c>
      <c r="J9" s="10">
        <f>SUM('Entity Inputs'!K9,'Entity Inputs'!K15)</f>
        <v>749808.0</v>
      </c>
      <c r="K9" s="10">
        <f>SUM('Entity Inputs'!L9,'Entity Inputs'!L15)</f>
        <v>655054.0</v>
      </c>
      <c r="L9" s="10">
        <f>SUM('Entity Inputs'!M9,'Entity Inputs'!M15)</f>
        <v>643004.0</v>
      </c>
      <c r="M9" s="10">
        <f>SUM('Entity Inputs'!N9,'Entity Inputs'!N15)</f>
        <v>625667.0</v>
      </c>
      <c r="N9" s="10">
        <f>SUM('Entity Inputs'!O9,'Entity Inputs'!O15)</f>
        <v>680575.0</v>
      </c>
      <c r="O9" s="10">
        <f>SUM('Entity Inputs'!P9,'Entity Inputs'!P15)</f>
        <v>146965.0</v>
      </c>
      <c r="P9" s="10">
        <f>SUM('Entity Inputs'!Q9,'Entity Inputs'!Q15)</f>
        <v>128381.0</v>
      </c>
      <c r="Q9" s="10">
        <f>SUM('Entity Inputs'!R9,'Entity Inputs'!R15)</f>
        <v>27176.0</v>
      </c>
      <c r="R9" s="10">
        <f>SUM('Entity Inputs'!S9,'Entity Inputs'!S15)</f>
        <v>15.0</v>
      </c>
      <c r="S9" s="10">
        <f>SUM('Entity Inputs'!T9,'Entity Inputs'!T15)</f>
        <v>117.39999999999999</v>
      </c>
      <c r="T9" s="10">
        <f>SUM('Entity Inputs'!U9,'Entity Inputs'!U15)</f>
        <v>274.0</v>
      </c>
      <c r="U9" s="10">
        <f>SUM('Entity Inputs'!V9,'Entity Inputs'!V15)</f>
        <v>262.0</v>
      </c>
      <c r="V9" s="10">
        <f>SUM('Entity Inputs'!W9,'Entity Inputs'!W15)</f>
        <v>1827824.7999999998</v>
      </c>
      <c r="W9" s="10">
        <f>SUM('Entity Inputs'!X9,'Entity Inputs'!X15)</f>
        <v>459369.29999999993</v>
      </c>
      <c r="X9" s="10">
        <f>SUM('Entity Inputs'!Y9,'Entity Inputs'!Y15)</f>
        <v>7718.9</v>
      </c>
      <c r="Y9" s="10">
        <f>SUM('Entity Inputs'!Z9,'Entity Inputs'!Z15)</f>
        <v>1450141.0</v>
      </c>
      <c r="Z9" s="10">
        <f>SUM('Entity Inputs'!AA9,'Entity Inputs'!AA15)</f>
        <v>427664.0</v>
      </c>
      <c r="AA9" s="10">
        <f>SUM('Entity Inputs'!AB9,'Entity Inputs'!AB15)</f>
        <v>2140719.0</v>
      </c>
      <c r="AB9" s="10">
        <f>SUM('Entity Inputs'!AC9,'Entity Inputs'!AC15)</f>
        <v>36810.0</v>
      </c>
      <c r="AC9" s="10">
        <f>SUM('Entity Inputs'!AD9,'Entity Inputs'!AD15)</f>
        <v>7.0</v>
      </c>
      <c r="AD9" s="10">
        <f>SUM('Entity Inputs'!AE9,'Entity Inputs'!AE15)</f>
        <v>425000.0</v>
      </c>
      <c r="AE9" s="10">
        <f>SUM('Entity Inputs'!AF9,'Entity Inputs'!AF15)</f>
        <v>1.0</v>
      </c>
      <c r="AF9" s="10">
        <f>SUM('Entity Inputs'!AG9,'Entity Inputs'!AG15)</f>
        <v>3.0</v>
      </c>
      <c r="AG9" s="10">
        <f>SUM('Entity Inputs'!AH9,'Entity Inputs'!AH15)</f>
        <v>41.0</v>
      </c>
      <c r="AH9" s="10">
        <f>SUM('Entity Inputs'!AI9,'Entity Inputs'!AI15)</f>
        <v>0.0</v>
      </c>
      <c r="AI9" s="10">
        <f>SUM('Entity Inputs'!AJ9,'Entity Inputs'!AJ15)</f>
        <v>2.0</v>
      </c>
      <c r="AJ9" s="10">
        <f>SUM('Entity Inputs'!AK9,'Entity Inputs'!AK15)</f>
        <v>0.0</v>
      </c>
      <c r="AK9" s="10">
        <f>SUM('Entity Inputs'!AL9,'Entity Inputs'!AL15)</f>
        <v>45.0</v>
      </c>
      <c r="AL9" s="10">
        <f>SUM('Entity Inputs'!AM9,'Entity Inputs'!AM15)</f>
        <v>9.0</v>
      </c>
      <c r="AM9" s="10">
        <f>SUM('Entity Inputs'!AN9,'Entity Inputs'!AN15)</f>
        <v>4.0</v>
      </c>
      <c r="AN9" s="10">
        <f>SUM('Entity Inputs'!AO9,'Entity Inputs'!AO15)</f>
        <v>3.0</v>
      </c>
      <c r="AO9" s="10">
        <f>SUM('Entity Inputs'!AP9,'Entity Inputs'!AP15)</f>
        <v>5.0</v>
      </c>
      <c r="AP9" s="10">
        <f>SUM('Entity Inputs'!AQ9,'Entity Inputs'!AQ15)</f>
        <v>1051.0</v>
      </c>
      <c r="AQ9" s="10">
        <f>SUM('Entity Inputs'!AR9,'Entity Inputs'!AR15)</f>
        <v>91.0</v>
      </c>
      <c r="AR9" s="10">
        <f>MIN('Entity Inputs'!AS9,'Entity Inputs'!AS15)</f>
        <v>65</v>
      </c>
      <c r="AS9" s="10">
        <f>SUM('Entity Inputs'!AT9,'Entity Inputs'!AT15)</f>
        <v>623746.0</v>
      </c>
      <c r="AT9" s="10">
        <f>SUM('Entity Inputs'!AU9,'Entity Inputs'!AU15)</f>
        <v>654973.0</v>
      </c>
      <c r="AU9" s="10">
        <f>SUM('Entity Inputs'!AV9,'Entity Inputs'!AV15)</f>
        <v>2335817.8</v>
      </c>
      <c r="AV9" s="10">
        <f>SUM('Entity Inputs'!AW9,'Entity Inputs'!AW15)</f>
        <v>2462698.5</v>
      </c>
      <c r="AW9" s="10">
        <f>SUM('Entity Inputs'!AX9,'Entity Inputs'!AX15)</f>
        <v>109048.79999999999</v>
      </c>
      <c r="AX9" s="10">
        <f>SUM('Entity Inputs'!AY9,'Entity Inputs'!AY15)</f>
        <v>89473.7</v>
      </c>
      <c r="AY9" s="10">
        <f>SUM('Entity Inputs'!AZ9,'Entity Inputs'!AZ15)</f>
        <v>1339.0</v>
      </c>
      <c r="AZ9" s="10">
        <f>SUM('Entity Inputs'!BA9,'Entity Inputs'!BA15)</f>
        <v>1224.0</v>
      </c>
      <c r="BA9" s="10">
        <f>SUM('Entity Inputs'!BB9,'Entity Inputs'!BB15)</f>
        <v>672929.0</v>
      </c>
      <c r="BB9" s="10">
        <f>SUM('Entity Inputs'!BC9,'Entity Inputs'!BC15)</f>
        <v>651499.0</v>
      </c>
      <c r="BC9" s="10">
        <f>SUM('Entity Inputs'!BD9,'Entity Inputs'!BD15)</f>
        <v>7320.0</v>
      </c>
      <c r="BD9" s="10">
        <f>SUM('Entity Inputs'!BE9,'Entity Inputs'!BE15)</f>
        <v>5166.0</v>
      </c>
      <c r="BE9" s="10">
        <f>SUM('Entity Inputs'!BF9,'Entity Inputs'!BF15)</f>
        <v>5437.0</v>
      </c>
      <c r="BF9" s="10">
        <f>SUM('Entity Inputs'!BG9,'Entity Inputs'!BG15)</f>
        <v>1019083.3999999999</v>
      </c>
      <c r="BG9" s="10">
        <f>SUM('Entity Inputs'!BH9,'Entity Inputs'!BH15)</f>
        <v>358582.30000000005</v>
      </c>
      <c r="BH9" s="10">
        <f>SUM('Entity Inputs'!BI9,'Entity Inputs'!BI15)</f>
        <v>2.0</v>
      </c>
      <c r="BI9" s="10">
        <f>SUM('Entity Inputs'!BJ9,'Entity Inputs'!BJ15)</f>
        <v>0.0</v>
      </c>
      <c r="BJ9" s="10">
        <f>SUM('Entity Inputs'!BK9,'Entity Inputs'!BK15)</f>
        <v>3.0</v>
      </c>
      <c r="BK9" s="10">
        <f>SUM('Entity Inputs'!BL9,'Entity Inputs'!BL15)</f>
        <v>1.0</v>
      </c>
      <c r="BL9" s="10">
        <f>SUM('Entity Inputs'!BM9,'Entity Inputs'!BM15)</f>
        <v>2.0</v>
      </c>
      <c r="BM9" s="10">
        <f>SUM('Entity Inputs'!BN9,'Entity Inputs'!BN15)</f>
        <v>0.0</v>
      </c>
      <c r="BN9" s="10">
        <f>SUM('Entity Inputs'!BO9,'Entity Inputs'!BO15)</f>
        <v>0.0</v>
      </c>
      <c r="BO9" s="10">
        <f>SUM('Entity Inputs'!BP9,'Entity Inputs'!BP15)</f>
        <v>0.0</v>
      </c>
      <c r="BP9" s="10">
        <f>SUM('Entity Inputs'!BQ9,'Entity Inputs'!BQ15)</f>
        <v>0.0</v>
      </c>
      <c r="BQ9" s="10">
        <f>SUM('Entity Inputs'!BR9,'Entity Inputs'!BR15)</f>
        <v>0.0</v>
      </c>
      <c r="BR9" s="10">
        <f>SUM('Entity Inputs'!BS9,'Entity Inputs'!BS15)</f>
        <v>0.0</v>
      </c>
      <c r="BS9" s="10">
        <f>MIN('Entity Inputs'!BT9,'Entity Inputs'!BT15)</f>
        <v>4</v>
      </c>
      <c r="BT9" s="10">
        <f>SUM('Entity Inputs'!BU9,'Entity Inputs'!BU15)</f>
        <v>661346.0</v>
      </c>
      <c r="BU9" s="10">
        <f>SUM('Entity Inputs'!BV9,'Entity Inputs'!BV15)</f>
        <v>652912.0</v>
      </c>
      <c r="BV9" s="10">
        <f>SUM('Entity Inputs'!BW9,'Entity Inputs'!BW15)</f>
        <v>267584263.0</v>
      </c>
      <c r="BW9" s="10">
        <f>SUM('Entity Inputs'!BX9,'Entity Inputs'!BX15)</f>
        <v>744212.0</v>
      </c>
      <c r="BX9" s="10">
        <f>SUM('Entity Inputs'!BY9,'Entity Inputs'!BY15)</f>
        <v>28008.0</v>
      </c>
      <c r="BY9" s="10">
        <f>SUM('Entity Inputs'!BZ9,'Entity Inputs'!BZ15)</f>
        <v>103293.8</v>
      </c>
      <c r="BZ9" s="10">
        <f>SUM('Entity Inputs'!CA9,'Entity Inputs'!CA15)</f>
        <v>77420.9</v>
      </c>
      <c r="CA9" s="10">
        <f>SUM('Entity Inputs'!CB9,'Entity Inputs'!CB15)</f>
        <v>21216000.0</v>
      </c>
      <c r="CB9" s="10">
        <f>SUM('Entity Inputs'!CC9,'Entity Inputs'!CC15)</f>
        <v>8791822.399999999</v>
      </c>
      <c r="CC9" s="10">
        <f>SUM('Entity Inputs'!CD9,'Entity Inputs'!CD15)</f>
        <v>2141822.4</v>
      </c>
      <c r="CD9" s="10">
        <f>SUM('Entity Inputs'!CE9,'Entity Inputs'!CE15)</f>
        <v>880814.6000000001</v>
      </c>
      <c r="CE9" s="10">
        <f>SUM('Entity Inputs'!CF9,'Entity Inputs'!CF15)</f>
        <v>69825.0</v>
      </c>
      <c r="CF9" s="10">
        <f>SUM('Entity Inputs'!CG9,'Entity Inputs'!CG15)</f>
        <v>891410.2</v>
      </c>
      <c r="CG9" s="10">
        <f>SUM('Entity Inputs'!CH9,'Entity Inputs'!CH15)</f>
        <v>2720832.1</v>
      </c>
      <c r="CH9" s="10">
        <f>SUM('Entity Inputs'!CI9,'Entity Inputs'!CI15)</f>
        <v>396100.19999999995</v>
      </c>
      <c r="CI9" s="10">
        <f>SUM('Entity Inputs'!CJ9,'Entity Inputs'!CJ15)</f>
        <v>2326971.1</v>
      </c>
      <c r="CJ9" s="10">
        <f>SUM('Entity Inputs'!CK9,'Entity Inputs'!CK15)</f>
        <v>3657489.0</v>
      </c>
      <c r="CK9" s="10">
        <f>SUM('Entity Inputs'!CL9,'Entity Inputs'!CL15)</f>
        <v>3177113.9000000004</v>
      </c>
      <c r="CL9" s="10">
        <f>SUM('Entity Inputs'!CM9,'Entity Inputs'!CM15)</f>
        <v>2300611.5</v>
      </c>
      <c r="CM9" s="10">
        <f>SUM('Entity Inputs'!CN9,'Entity Inputs'!CN15)</f>
        <v>2303231.4000000004</v>
      </c>
      <c r="CN9" s="10">
        <f>SUM('Entity Inputs'!CO9,'Entity Inputs'!CO15)</f>
        <v>3410.7</v>
      </c>
      <c r="CO9" s="10">
        <f>SUM('Entity Inputs'!CP9,'Entity Inputs'!CP15)</f>
        <v>205271.0</v>
      </c>
      <c r="CP9" s="10">
        <f>SUM('Entity Inputs'!CQ9,'Entity Inputs'!CQ15)</f>
        <v>178058.40000000002</v>
      </c>
      <c r="CQ9" s="10">
        <f>SUM('Entity Inputs'!CR9,'Entity Inputs'!CR15)</f>
        <v>750.0</v>
      </c>
      <c r="CR9" s="10">
        <f>SUM('Entity Inputs'!CS9,'Entity Inputs'!CS15)</f>
        <v>34592.0</v>
      </c>
      <c r="CS9" s="10">
        <f>SUM('Entity Inputs'!CT9,'Entity Inputs'!CT15)</f>
        <v>33750.0</v>
      </c>
      <c r="CT9" s="10">
        <f>SUM('Entity Inputs'!CU9,'Entity Inputs'!CU15)</f>
        <v>3.0</v>
      </c>
      <c r="CU9" s="10">
        <f>SUM('Entity Inputs'!CV9,'Entity Inputs'!CV15)</f>
        <v>2334226.4</v>
      </c>
      <c r="CV9" s="10">
        <f>SUM('Entity Inputs'!CW9,'Entity Inputs'!CW15)</f>
        <v>2390406.5</v>
      </c>
      <c r="CW9" s="10">
        <f>SUM('Entity Inputs'!CX9,'Entity Inputs'!CX15)</f>
        <v>347118.3</v>
      </c>
      <c r="CX9" s="10">
        <f>SUM('Entity Inputs'!CY9,'Entity Inputs'!CY15)</f>
        <v>6584269.1</v>
      </c>
      <c r="CY9" s="10">
        <f>SUM('Entity Inputs'!CZ9,'Entity Inputs'!CZ15)</f>
        <v>4695236.9</v>
      </c>
      <c r="CZ9" s="10">
        <f>SUM('Entity Inputs'!DA9,'Entity Inputs'!DA15)</f>
        <v>767723.3</v>
      </c>
      <c r="DA9" s="10">
        <f>SUM('Entity Inputs'!DB9,'Entity Inputs'!DB15)</f>
        <v>545998.6</v>
      </c>
      <c r="DB9" s="10">
        <f>SUM('Entity Inputs'!DC9,'Entity Inputs'!DC15)</f>
        <v>614925.4</v>
      </c>
      <c r="DC9" s="10">
        <f>SUM('Entity Inputs'!DD9,'Entity Inputs'!DD15)</f>
        <v>446793.4</v>
      </c>
      <c r="DD9" s="10">
        <f>SUM('Entity Inputs'!DE9,'Entity Inputs'!DE15)</f>
        <v>11376.900000000001</v>
      </c>
      <c r="DE9" s="10">
        <f>SUM('Entity Inputs'!DF9,'Entity Inputs'!DF15)</f>
        <v>12406.099999999999</v>
      </c>
      <c r="DF9" s="10">
        <f>SUM('Entity Inputs'!DG9,'Entity Inputs'!DG15)</f>
        <v>4533205.0</v>
      </c>
      <c r="DG9" s="10">
        <f>SUM('Entity Inputs'!DH9,'Entity Inputs'!DH15)</f>
        <v>3202912.2</v>
      </c>
      <c r="DH9" s="10">
        <f>SUM('Entity Inputs'!DI9,'Entity Inputs'!DI15)</f>
        <v>1860000.0</v>
      </c>
      <c r="DI9" s="10">
        <f>SUM('Entity Inputs'!DJ9,'Entity Inputs'!DJ15)</f>
        <v>1347733.2999999998</v>
      </c>
      <c r="DJ9" s="10">
        <f>SUM('Entity Inputs'!DK9,'Entity Inputs'!DK15)</f>
        <v>144874.2</v>
      </c>
      <c r="DK9" s="10">
        <f>SUM('Entity Inputs'!DL9,'Entity Inputs'!DL15)</f>
        <v>1131800.0</v>
      </c>
      <c r="DL9" s="10">
        <f>SUM('Entity Inputs'!DM9,'Entity Inputs'!DM15)</f>
        <v>148031.4</v>
      </c>
      <c r="DM9" s="10">
        <f>SUM('Entity Inputs'!DN9,'Entity Inputs'!DN15)</f>
        <v>9.0</v>
      </c>
      <c r="DN9" s="10">
        <f>SUM('Entity Inputs'!DO9,'Entity Inputs'!DO15)</f>
        <v>2.0</v>
      </c>
      <c r="DO9" s="10">
        <f>SUM('Entity Inputs'!DP9,'Entity Inputs'!DP15)</f>
        <v>0.0</v>
      </c>
      <c r="DP9" s="10">
        <f>SUM('Entity Inputs'!DQ9,'Entity Inputs'!DQ15)</f>
        <v>1.0</v>
      </c>
      <c r="DQ9" s="10">
        <f>SUM('Entity Inputs'!DR9,'Entity Inputs'!DR15)</f>
        <v>11.0</v>
      </c>
      <c r="DR9" s="10">
        <f>SUM('Entity Inputs'!DS9,'Entity Inputs'!DS15)</f>
        <v>19.0</v>
      </c>
      <c r="DS9" s="10">
        <f>SUM('Entity Inputs'!DT9,'Entity Inputs'!DT15)</f>
        <v>15.0</v>
      </c>
      <c r="DT9" s="10">
        <f>SUM('Entity Inputs'!DU9,'Entity Inputs'!DU15)</f>
        <v>6.0</v>
      </c>
      <c r="DU9" s="10">
        <f>SUM('Entity Inputs'!DV9,'Entity Inputs'!DV15)</f>
        <v>3.0</v>
      </c>
      <c r="DV9" s="10">
        <f>SUM('Entity Inputs'!DW9,'Entity Inputs'!DW15)</f>
        <v>124.0</v>
      </c>
      <c r="DW9" s="10">
        <f>SUM('Entity Inputs'!DX9,'Entity Inputs'!DX15)</f>
        <v>67.0</v>
      </c>
      <c r="DX9" s="10">
        <f>SUM('Entity Inputs'!DY9,'Entity Inputs'!DY15)</f>
        <v>14155.7</v>
      </c>
      <c r="DY9" s="10">
        <f>SUM('Entity Inputs'!DZ9,'Entity Inputs'!DZ15)</f>
        <v>6684.7</v>
      </c>
      <c r="DZ9" s="10">
        <f>SUM('Entity Inputs'!EA9,'Entity Inputs'!EA15)</f>
        <v>2346.7</v>
      </c>
      <c r="EA9" s="10">
        <f>SUM('Entity Inputs'!EB9,'Entity Inputs'!EB15)</f>
        <v>1431.5</v>
      </c>
      <c r="EB9" s="10">
        <f>SUM('Entity Inputs'!EC9,'Entity Inputs'!EC15)</f>
        <v>1889.9</v>
      </c>
      <c r="EC9" s="10">
        <f>SUM('Entity Inputs'!ED9,'Entity Inputs'!ED15)</f>
        <v>140.0</v>
      </c>
      <c r="ED9" s="10">
        <f>SUM('Entity Inputs'!EE9,'Entity Inputs'!EE15)</f>
        <v>134.0</v>
      </c>
      <c r="EE9" s="10">
        <f>SUM('Entity Inputs'!EF9,'Entity Inputs'!EF15)</f>
        <v>4.0</v>
      </c>
      <c r="EF9" s="10">
        <f>SUM('Entity Inputs'!EG9,'Entity Inputs'!EG15)</f>
        <v>0.0</v>
      </c>
      <c r="EG9" s="10">
        <f>SUM('Entity Inputs'!EH9,'Entity Inputs'!EH15)</f>
        <v>3.0</v>
      </c>
      <c r="EH9" s="10">
        <f>SUM('Entity Inputs'!EI9,'Entity Inputs'!EI15)</f>
        <v>1.0</v>
      </c>
      <c r="EI9" s="10">
        <f>SUM('Entity Inputs'!EJ9,'Entity Inputs'!EJ15)</f>
        <v>0.0</v>
      </c>
      <c r="EJ9" s="10">
        <f>SUM('Entity Inputs'!EK9,'Entity Inputs'!EK15)</f>
        <v>0.0</v>
      </c>
      <c r="EK9" s="10">
        <f>SUM('Entity Inputs'!EL9,'Entity Inputs'!EL15)</f>
        <v>0.0</v>
      </c>
      <c r="EL9" s="10">
        <f>SUM('Entity Inputs'!EM9,'Entity Inputs'!EM15)</f>
        <v>1.0</v>
      </c>
      <c r="EM9" s="10">
        <f>SUM('Entity Inputs'!EN9,'Entity Inputs'!EN15)</f>
        <v>0.0</v>
      </c>
      <c r="EN9" s="10">
        <f>SUM('Entity Inputs'!EO9,'Entity Inputs'!EO15)</f>
        <v>0.0</v>
      </c>
      <c r="EO9" s="10">
        <f>SUM('Entity Inputs'!EP9,'Entity Inputs'!EP15)</f>
        <v>0.0</v>
      </c>
      <c r="EP9" s="10">
        <f>SUM('Entity Inputs'!EQ9,'Entity Inputs'!EQ15)</f>
        <v>0.0</v>
      </c>
      <c r="EQ9" s="10">
        <f>SUM('Entity Inputs'!ER9,'Entity Inputs'!ER15)</f>
        <v>3.0</v>
      </c>
      <c r="ER9" s="10">
        <f>SUM('Entity Inputs'!ES9,'Entity Inputs'!ES15)</f>
        <v>2.0</v>
      </c>
      <c r="ES9" s="10">
        <f>SUM('Entity Inputs'!ET9,'Entity Inputs'!ET15)</f>
        <v>0.0</v>
      </c>
      <c r="ET9" s="10">
        <f>SUM('Entity Inputs'!EU9,'Entity Inputs'!EU15)</f>
        <v>1.0</v>
      </c>
      <c r="EU9" s="10">
        <f>SUM('Entity Inputs'!EV9,'Entity Inputs'!EV15)</f>
        <v>7.0</v>
      </c>
      <c r="EV9" s="10">
        <f>SUM('Entity Inputs'!EW9,'Entity Inputs'!EW15)</f>
        <v>0.0</v>
      </c>
      <c r="EW9" s="10">
        <f>SUM('Entity Inputs'!EX9,'Entity Inputs'!EX15)</f>
        <v>1.0</v>
      </c>
      <c r="EX9" s="10">
        <f>SUM('Entity Inputs'!EY9,'Entity Inputs'!EY15)</f>
        <v>1.0</v>
      </c>
      <c r="EY9" s="10">
        <f>SUM('Entity Inputs'!EZ9,'Entity Inputs'!EZ15)</f>
        <v>108.0</v>
      </c>
      <c r="EZ9" s="10">
        <f>SUM('Entity Inputs'!FA9,'Entity Inputs'!FA15)</f>
        <v>95.0</v>
      </c>
      <c r="FA9" s="10">
        <f>SUM('Entity Inputs'!FB9,'Entity Inputs'!FB15)</f>
        <v>5.0</v>
      </c>
      <c r="FB9" s="10">
        <f>SUM('Entity Inputs'!FC9,'Entity Inputs'!FC15)</f>
        <v>166.0</v>
      </c>
      <c r="FC9" s="10">
        <f>SUM('Entity Inputs'!FD9,'Entity Inputs'!FD15)</f>
        <v>56.0</v>
      </c>
      <c r="FD9" s="10">
        <f>SUM('Entity Inputs'!FE9,'Entity Inputs'!FE15)</f>
        <v>47.0</v>
      </c>
      <c r="FE9" s="10">
        <f>SUM('Entity Inputs'!FF9,'Entity Inputs'!FF15)</f>
        <v>52.0</v>
      </c>
      <c r="FF9" s="10">
        <f>SUM('Entity Inputs'!FG9,'Entity Inputs'!FG15)</f>
        <v>2.0</v>
      </c>
      <c r="FG9" s="10">
        <f>SUM('Entity Inputs'!FH9,'Entity Inputs'!FH15)</f>
        <v>1.0</v>
      </c>
      <c r="FH9" s="10">
        <f>SUM('Entity Inputs'!FI9,'Entity Inputs'!FI15)</f>
        <v>1.0</v>
      </c>
      <c r="FI9" s="10">
        <f>SUM('Entity Inputs'!FJ9,'Entity Inputs'!FJ15)</f>
        <v>1004309.0</v>
      </c>
      <c r="FJ9" s="10">
        <f>SUM('Entity Inputs'!FK9,'Entity Inputs'!FK15)</f>
        <v>994443.0</v>
      </c>
      <c r="FK9" s="10">
        <f>SUM('Entity Inputs'!FL9,'Entity Inputs'!FL15)</f>
        <v>820.0</v>
      </c>
      <c r="FL9" s="10">
        <f>SUM('Entity Inputs'!FM9,'Entity Inputs'!FM15)</f>
        <v>787.0</v>
      </c>
      <c r="FM9" s="10">
        <f>SUM('Entity Inputs'!FN9,'Entity Inputs'!FN15)</f>
        <v>1.0</v>
      </c>
      <c r="FN9" s="10">
        <f>SUM('Entity Inputs'!FO9,'Entity Inputs'!FO15)</f>
        <v>1.0</v>
      </c>
      <c r="FO9" s="10">
        <f>SUM('Entity Inputs'!FP9,'Entity Inputs'!FP15)</f>
        <v>0.0</v>
      </c>
      <c r="FP9" s="10">
        <f>SUM('Entity Inputs'!FQ9,'Entity Inputs'!FQ15)</f>
        <v>11.0</v>
      </c>
      <c r="FQ9" s="10">
        <f>SUM('Entity Inputs'!FR9,'Entity Inputs'!FR15)</f>
        <v>27.0</v>
      </c>
      <c r="FR9" s="10">
        <f>SUM('Entity Inputs'!FS9,'Entity Inputs'!FS15)</f>
        <v>11.0</v>
      </c>
      <c r="FS9" s="10">
        <f>SUM('Entity Inputs'!FT9,'Entity Inputs'!FT15)</f>
        <v>1.0</v>
      </c>
      <c r="FT9" s="10">
        <f>SUM('Entity Inputs'!FU9,'Entity Inputs'!FU15)</f>
        <v>2.0</v>
      </c>
      <c r="FU9" s="10">
        <f>SUM('Entity Inputs'!FV9,'Entity Inputs'!FV15)</f>
        <v>2.0</v>
      </c>
      <c r="FV9" s="10">
        <f>MIN('Entity Inputs'!FW9,'Entity Inputs'!FW15)</f>
        <v>38</v>
      </c>
      <c r="FW9" s="10">
        <f>SUM('Entity Inputs'!FX9,'Entity Inputs'!FX15)</f>
        <v>101786.6</v>
      </c>
      <c r="FX9" s="10">
        <f>SUM('Entity Inputs'!FY9,'Entity Inputs'!FY15)</f>
        <v>99799.3</v>
      </c>
      <c r="FY9" s="12">
        <f>AU9-V9-X9-BY9</f>
        <v>396980.3</v>
      </c>
      <c r="FZ9" s="12">
        <f>FY9-AX9</f>
        <v>307506.6</v>
      </c>
      <c r="GA9" s="12">
        <f>CJ9+CL9-CK9</f>
        <v>2780986.5999999996</v>
      </c>
      <c r="GB9" s="12">
        <f>GA9-GA8</f>
        <v>17258.599999999627</v>
      </c>
      <c r="GC9" s="12">
        <f>FY9-BZ9-GB9</f>
        <v>302300.8000000004</v>
      </c>
      <c r="GD9" s="12">
        <f>GC9-DJ9</f>
        <v>157426.60000000038</v>
      </c>
      <c r="GE9" s="12">
        <f>CB9-CC9</f>
        <v>6649999.999999998</v>
      </c>
      <c r="GF9" s="12">
        <f>SUM(FY$4:FY9)*12/D9</f>
        <v>3520186.4</v>
      </c>
      <c r="GG9" s="12">
        <f>IF(AU9=0,0,CJ9/AU9*C9)</f>
        <v>46.97484110276068</v>
      </c>
      <c r="GH9" s="12">
        <f>IF(V9=0,0,CK9/V9*C9)</f>
        <v>52.14581671066069</v>
      </c>
      <c r="GI9" s="12">
        <f>IF(V9=0,0,CL9/V9*C9)</f>
        <v>37.759825230514444</v>
      </c>
      <c r="GJ9" s="12">
        <f>IF(OR(AS9=0,AT9=0,AV9=0),0,100*((AU9/AS9)/(AV9/AT9)-1))</f>
        <v>-0.40366860023611784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K15"/>
  <sheetViews>
    <sheetView workbookViewId="0">
      <pane xSplit="3" ySplit="3" topLeftCell="D4" activePane="bottomRight" state="frozen"/>
      <selection pane="topRight" activeCell="D1" sqref="D1"/>
      <selection pane="bottomLeft" activeCell="A4" sqref="A4"/>
      <selection pane="bottomRight"/>
    </sheetView>
  </sheetViews>
  <sheetFormatPr defaultRowHeight="15"/>
  <cols>
    <col min="1" max="5" width="10.7109375" customWidth="1"/>
    <col min="6" max="193" width="15.7109375" customWidth="1"/>
  </cols>
  <sheetData>
    <row r="1" spans="1:193" ht="48" customHeight="1">
      <c r="A1" s="16" t="s">
        <v>19</v>
      </c>
      <c r="B1" s="16" t="s">
        <v>21</v>
      </c>
      <c r="C1" s="16" t="s">
        <v>25</v>
      </c>
      <c r="D1" s="16" t="s">
        <v>27</v>
      </c>
      <c r="E1" s="16" t="s">
        <v>29</v>
      </c>
      <c r="F1" s="16" t="s">
        <v>33</v>
      </c>
      <c r="G1" s="16" t="s">
        <v>36</v>
      </c>
      <c r="H1" s="16" t="s">
        <v>38</v>
      </c>
      <c r="I1" s="16" t="s">
        <v>40</v>
      </c>
      <c r="J1" s="16" t="s">
        <v>42</v>
      </c>
      <c r="K1" s="16" t="s">
        <v>44</v>
      </c>
      <c r="L1" s="16" t="s">
        <v>46</v>
      </c>
      <c r="M1" s="16" t="s">
        <v>48</v>
      </c>
      <c r="N1" s="16" t="s">
        <v>50</v>
      </c>
      <c r="O1" s="16" t="s">
        <v>52</v>
      </c>
      <c r="P1" s="16" t="s">
        <v>54</v>
      </c>
      <c r="Q1" s="16" t="s">
        <v>56</v>
      </c>
      <c r="R1" s="16" t="s">
        <v>58</v>
      </c>
      <c r="S1" s="16" t="s">
        <v>60</v>
      </c>
      <c r="T1" s="16" t="s">
        <v>62</v>
      </c>
      <c r="U1" s="16" t="s">
        <v>64</v>
      </c>
      <c r="V1" s="16" t="s">
        <v>66</v>
      </c>
      <c r="W1" s="16" t="s">
        <v>68</v>
      </c>
      <c r="X1" s="16" t="s">
        <v>70</v>
      </c>
      <c r="Y1" s="16" t="s">
        <v>72</v>
      </c>
      <c r="Z1" s="16" t="s">
        <v>74</v>
      </c>
      <c r="AA1" s="16" t="s">
        <v>76</v>
      </c>
      <c r="AB1" s="16" t="s">
        <v>78</v>
      </c>
      <c r="AC1" s="16" t="s">
        <v>80</v>
      </c>
      <c r="AD1" s="16" t="s">
        <v>82</v>
      </c>
      <c r="AE1" s="16" t="s">
        <v>84</v>
      </c>
      <c r="AF1" s="16" t="s">
        <v>86</v>
      </c>
      <c r="AG1" s="16" t="s">
        <v>88</v>
      </c>
      <c r="AH1" s="16" t="s">
        <v>90</v>
      </c>
      <c r="AI1" s="16" t="s">
        <v>92</v>
      </c>
      <c r="AJ1" s="16" t="s">
        <v>94</v>
      </c>
      <c r="AK1" s="16" t="s">
        <v>96</v>
      </c>
      <c r="AL1" s="16" t="s">
        <v>98</v>
      </c>
      <c r="AM1" s="16" t="s">
        <v>100</v>
      </c>
      <c r="AN1" s="16" t="s">
        <v>102</v>
      </c>
      <c r="AO1" s="16" t="s">
        <v>104</v>
      </c>
      <c r="AP1" s="16" t="s">
        <v>106</v>
      </c>
      <c r="AQ1" s="16" t="s">
        <v>108</v>
      </c>
      <c r="AR1" s="16" t="s">
        <v>110</v>
      </c>
      <c r="AS1" s="16" t="s">
        <v>112</v>
      </c>
      <c r="AT1" s="16" t="s">
        <v>114</v>
      </c>
      <c r="AU1" s="16" t="s">
        <v>117</v>
      </c>
      <c r="AV1" s="16" t="s">
        <v>119</v>
      </c>
      <c r="AW1" s="16" t="s">
        <v>121</v>
      </c>
      <c r="AX1" s="16" t="s">
        <v>123</v>
      </c>
      <c r="AY1" s="16" t="s">
        <v>125</v>
      </c>
      <c r="AZ1" s="16" t="s">
        <v>127</v>
      </c>
      <c r="BA1" s="16" t="s">
        <v>129</v>
      </c>
      <c r="BB1" s="16" t="s">
        <v>131</v>
      </c>
      <c r="BC1" s="16" t="s">
        <v>133</v>
      </c>
      <c r="BD1" s="16" t="s">
        <v>135</v>
      </c>
      <c r="BE1" s="16" t="s">
        <v>137</v>
      </c>
      <c r="BF1" s="16" t="s">
        <v>139</v>
      </c>
      <c r="BG1" s="16" t="s">
        <v>141</v>
      </c>
      <c r="BH1" s="16" t="s">
        <v>143</v>
      </c>
      <c r="BI1" s="16" t="s">
        <v>145</v>
      </c>
      <c r="BJ1" s="16" t="s">
        <v>147</v>
      </c>
      <c r="BK1" s="16" t="s">
        <v>149</v>
      </c>
      <c r="BL1" s="16" t="s">
        <v>151</v>
      </c>
      <c r="BM1" s="16" t="s">
        <v>153</v>
      </c>
      <c r="BN1" s="16" t="s">
        <v>155</v>
      </c>
      <c r="BO1" s="16" t="s">
        <v>157</v>
      </c>
      <c r="BP1" s="16" t="s">
        <v>159</v>
      </c>
      <c r="BQ1" s="16" t="s">
        <v>161</v>
      </c>
      <c r="BR1" s="16" t="s">
        <v>163</v>
      </c>
      <c r="BS1" s="16" t="s">
        <v>165</v>
      </c>
      <c r="BT1" s="16" t="s">
        <v>167</v>
      </c>
      <c r="BU1" s="16" t="s">
        <v>169</v>
      </c>
      <c r="BV1" s="16" t="s">
        <v>171</v>
      </c>
      <c r="BW1" s="16" t="s">
        <v>173</v>
      </c>
      <c r="BX1" s="16" t="s">
        <v>175</v>
      </c>
      <c r="BY1" s="16" t="s">
        <v>177</v>
      </c>
      <c r="BZ1" s="16" t="s">
        <v>195</v>
      </c>
      <c r="CA1" s="16" t="s">
        <v>198</v>
      </c>
      <c r="CB1" s="16" t="s">
        <v>200</v>
      </c>
      <c r="CC1" s="16" t="s">
        <v>202</v>
      </c>
      <c r="CD1" s="16" t="s">
        <v>204</v>
      </c>
      <c r="CE1" s="16" t="s">
        <v>206</v>
      </c>
      <c r="CF1" s="16" t="s">
        <v>208</v>
      </c>
      <c r="CG1" s="16" t="s">
        <v>210</v>
      </c>
      <c r="CH1" s="16" t="s">
        <v>212</v>
      </c>
      <c r="CI1" s="16" t="s">
        <v>214</v>
      </c>
      <c r="CJ1" s="16" t="s">
        <v>216</v>
      </c>
      <c r="CK1" s="16" t="s">
        <v>218</v>
      </c>
      <c r="CL1" s="16" t="s">
        <v>220</v>
      </c>
      <c r="CM1" s="16" t="s">
        <v>222</v>
      </c>
      <c r="CN1" s="16" t="s">
        <v>224</v>
      </c>
      <c r="CO1" s="16" t="s">
        <v>226</v>
      </c>
      <c r="CP1" s="16" t="s">
        <v>228</v>
      </c>
      <c r="CQ1" s="16" t="s">
        <v>230</v>
      </c>
      <c r="CR1" s="16" t="s">
        <v>232</v>
      </c>
      <c r="CS1" s="16" t="s">
        <v>234</v>
      </c>
      <c r="CT1" s="16" t="s">
        <v>236</v>
      </c>
      <c r="CU1" s="16" t="s">
        <v>238</v>
      </c>
      <c r="CV1" s="16" t="s">
        <v>240</v>
      </c>
      <c r="CW1" s="16" t="s">
        <v>242</v>
      </c>
      <c r="CX1" s="16" t="s">
        <v>244</v>
      </c>
      <c r="CY1" s="16" t="s">
        <v>246</v>
      </c>
      <c r="CZ1" s="16" t="s">
        <v>248</v>
      </c>
      <c r="DA1" s="16" t="s">
        <v>250</v>
      </c>
      <c r="DB1" s="16" t="s">
        <v>252</v>
      </c>
      <c r="DC1" s="16" t="s">
        <v>254</v>
      </c>
      <c r="DD1" s="16" t="s">
        <v>256</v>
      </c>
      <c r="DE1" s="16" t="s">
        <v>258</v>
      </c>
      <c r="DF1" s="16" t="s">
        <v>260</v>
      </c>
      <c r="DG1" s="16" t="s">
        <v>262</v>
      </c>
      <c r="DH1" s="16" t="s">
        <v>264</v>
      </c>
      <c r="DI1" s="16" t="s">
        <v>266</v>
      </c>
      <c r="DJ1" s="16" t="s">
        <v>268</v>
      </c>
      <c r="DK1" s="16" t="s">
        <v>270</v>
      </c>
      <c r="DL1" s="16" t="s">
        <v>272</v>
      </c>
      <c r="DM1" s="16" t="s">
        <v>274</v>
      </c>
      <c r="DN1" s="16" t="s">
        <v>276</v>
      </c>
      <c r="DO1" s="16" t="s">
        <v>278</v>
      </c>
      <c r="DP1" s="16" t="s">
        <v>280</v>
      </c>
      <c r="DQ1" s="16" t="s">
        <v>282</v>
      </c>
      <c r="DR1" s="16" t="s">
        <v>284</v>
      </c>
      <c r="DS1" s="16" t="s">
        <v>286</v>
      </c>
      <c r="DT1" s="16" t="s">
        <v>288</v>
      </c>
      <c r="DU1" s="16" t="s">
        <v>290</v>
      </c>
      <c r="DV1" s="16" t="s">
        <v>292</v>
      </c>
      <c r="DW1" s="16" t="s">
        <v>294</v>
      </c>
      <c r="DX1" s="16" t="s">
        <v>296</v>
      </c>
      <c r="DY1" s="16" t="s">
        <v>298</v>
      </c>
      <c r="DZ1" s="16" t="s">
        <v>300</v>
      </c>
      <c r="EA1" s="16" t="s">
        <v>302</v>
      </c>
      <c r="EB1" s="16" t="s">
        <v>304</v>
      </c>
      <c r="EC1" s="16" t="s">
        <v>306</v>
      </c>
      <c r="ED1" s="16" t="s">
        <v>308</v>
      </c>
      <c r="EE1" s="16" t="s">
        <v>310</v>
      </c>
      <c r="EF1" s="16" t="s">
        <v>312</v>
      </c>
      <c r="EG1" s="16" t="s">
        <v>314</v>
      </c>
      <c r="EH1" s="16" t="s">
        <v>316</v>
      </c>
      <c r="EI1" s="16" t="s">
        <v>318</v>
      </c>
      <c r="EJ1" s="16" t="s">
        <v>320</v>
      </c>
      <c r="EK1" s="16" t="s">
        <v>322</v>
      </c>
      <c r="EL1" s="16" t="s">
        <v>324</v>
      </c>
      <c r="EM1" s="16" t="s">
        <v>326</v>
      </c>
      <c r="EN1" s="16" t="s">
        <v>328</v>
      </c>
      <c r="EO1" s="16" t="s">
        <v>330</v>
      </c>
      <c r="EP1" s="16" t="s">
        <v>332</v>
      </c>
      <c r="EQ1" s="16" t="s">
        <v>334</v>
      </c>
      <c r="ER1" s="16" t="s">
        <v>336</v>
      </c>
      <c r="ES1" s="16" t="s">
        <v>338</v>
      </c>
      <c r="ET1" s="16" t="s">
        <v>340</v>
      </c>
      <c r="EU1" s="16" t="s">
        <v>342</v>
      </c>
      <c r="EV1" s="16" t="s">
        <v>344</v>
      </c>
      <c r="EW1" s="16" t="s">
        <v>346</v>
      </c>
      <c r="EX1" s="16" t="s">
        <v>348</v>
      </c>
      <c r="EY1" s="16" t="s">
        <v>350</v>
      </c>
      <c r="EZ1" s="16" t="s">
        <v>352</v>
      </c>
      <c r="FA1" s="16" t="s">
        <v>354</v>
      </c>
      <c r="FB1" s="16" t="s">
        <v>356</v>
      </c>
      <c r="FC1" s="16" t="s">
        <v>358</v>
      </c>
      <c r="FD1" s="16" t="s">
        <v>360</v>
      </c>
      <c r="FE1" s="16" t="s">
        <v>362</v>
      </c>
      <c r="FF1" s="16" t="s">
        <v>364</v>
      </c>
      <c r="FG1" s="16" t="s">
        <v>366</v>
      </c>
      <c r="FH1" s="16" t="s">
        <v>368</v>
      </c>
      <c r="FI1" s="16" t="s">
        <v>370</v>
      </c>
      <c r="FJ1" s="16" t="s">
        <v>372</v>
      </c>
      <c r="FK1" s="16" t="s">
        <v>374</v>
      </c>
      <c r="FL1" s="16" t="s">
        <v>376</v>
      </c>
      <c r="FM1" s="16" t="s">
        <v>378</v>
      </c>
      <c r="FN1" s="16" t="s">
        <v>380</v>
      </c>
      <c r="FO1" s="16" t="s">
        <v>382</v>
      </c>
      <c r="FP1" s="16" t="s">
        <v>384</v>
      </c>
      <c r="FQ1" s="16" t="s">
        <v>386</v>
      </c>
      <c r="FR1" s="16" t="s">
        <v>388</v>
      </c>
      <c r="FS1" s="16" t="s">
        <v>390</v>
      </c>
      <c r="FT1" s="16" t="s">
        <v>392</v>
      </c>
      <c r="FU1" s="16" t="s">
        <v>394</v>
      </c>
      <c r="FV1" s="16" t="s">
        <v>396</v>
      </c>
      <c r="FW1" s="16" t="s">
        <v>398</v>
      </c>
      <c r="FX1" s="16" t="s">
        <v>400</v>
      </c>
      <c r="FY1" s="16" t="s">
        <v>402</v>
      </c>
      <c r="FZ1" s="17" t="s">
        <v>404</v>
      </c>
      <c r="GA1" s="17" t="s">
        <v>407</v>
      </c>
      <c r="GB1" s="17" t="s">
        <v>410</v>
      </c>
      <c r="GC1" s="17" t="s">
        <v>413</v>
      </c>
      <c r="GD1" s="17" t="s">
        <v>416</v>
      </c>
      <c r="GE1" s="17" t="s">
        <v>419</v>
      </c>
      <c r="GF1" s="17" t="s">
        <v>422</v>
      </c>
      <c r="GG1" s="17" t="s">
        <v>425</v>
      </c>
      <c r="GH1" s="17" t="s">
        <v>428</v>
      </c>
      <c r="GI1" s="17" t="s">
        <v>431</v>
      </c>
      <c r="GJ1" s="17" t="s">
        <v>434</v>
      </c>
      <c r="GK1" s="17" t="s">
        <v>437</v>
      </c>
    </row>
    <row r="2" spans="1:193">
      <c r="A2" s="18" t="s">
        <v>20</v>
      </c>
      <c r="B2" s="18" t="s">
        <v>22</v>
      </c>
      <c r="C2" s="18" t="s">
        <v>26</v>
      </c>
      <c r="D2" s="18" t="s">
        <v>28</v>
      </c>
      <c r="E2" s="18" t="s">
        <v>30</v>
      </c>
      <c r="F2" s="18" t="s">
        <v>34</v>
      </c>
      <c r="G2" s="18" t="s">
        <v>37</v>
      </c>
      <c r="H2" s="18" t="s">
        <v>39</v>
      </c>
      <c r="I2" s="18" t="s">
        <v>41</v>
      </c>
      <c r="J2" s="18" t="s">
        <v>43</v>
      </c>
      <c r="K2" s="18" t="s">
        <v>45</v>
      </c>
      <c r="L2" s="18" t="s">
        <v>47</v>
      </c>
      <c r="M2" s="18" t="s">
        <v>49</v>
      </c>
      <c r="N2" s="18" t="s">
        <v>51</v>
      </c>
      <c r="O2" s="18" t="s">
        <v>53</v>
      </c>
      <c r="P2" s="18" t="s">
        <v>55</v>
      </c>
      <c r="Q2" s="18" t="s">
        <v>57</v>
      </c>
      <c r="R2" s="18" t="s">
        <v>59</v>
      </c>
      <c r="S2" s="18" t="s">
        <v>61</v>
      </c>
      <c r="T2" s="18" t="s">
        <v>63</v>
      </c>
      <c r="U2" s="18" t="s">
        <v>65</v>
      </c>
      <c r="V2" s="18" t="s">
        <v>67</v>
      </c>
      <c r="W2" s="18" t="s">
        <v>69</v>
      </c>
      <c r="X2" s="18" t="s">
        <v>71</v>
      </c>
      <c r="Y2" s="18" t="s">
        <v>73</v>
      </c>
      <c r="Z2" s="18" t="s">
        <v>75</v>
      </c>
      <c r="AA2" s="18" t="s">
        <v>77</v>
      </c>
      <c r="AB2" s="18" t="s">
        <v>79</v>
      </c>
      <c r="AC2" s="18" t="s">
        <v>81</v>
      </c>
      <c r="AD2" s="18" t="s">
        <v>83</v>
      </c>
      <c r="AE2" s="18" t="s">
        <v>85</v>
      </c>
      <c r="AF2" s="18" t="s">
        <v>87</v>
      </c>
      <c r="AG2" s="18" t="s">
        <v>89</v>
      </c>
      <c r="AH2" s="18" t="s">
        <v>91</v>
      </c>
      <c r="AI2" s="18" t="s">
        <v>93</v>
      </c>
      <c r="AJ2" s="18" t="s">
        <v>95</v>
      </c>
      <c r="AK2" s="18" t="s">
        <v>97</v>
      </c>
      <c r="AL2" s="18" t="s">
        <v>99</v>
      </c>
      <c r="AM2" s="18" t="s">
        <v>101</v>
      </c>
      <c r="AN2" s="18" t="s">
        <v>103</v>
      </c>
      <c r="AO2" s="18" t="s">
        <v>105</v>
      </c>
      <c r="AP2" s="18" t="s">
        <v>107</v>
      </c>
      <c r="AQ2" s="18" t="s">
        <v>109</v>
      </c>
      <c r="AR2" s="18" t="s">
        <v>111</v>
      </c>
      <c r="AS2" s="18" t="s">
        <v>113</v>
      </c>
      <c r="AT2" s="18" t="s">
        <v>115</v>
      </c>
      <c r="AU2" s="18" t="s">
        <v>118</v>
      </c>
      <c r="AV2" s="18" t="s">
        <v>120</v>
      </c>
      <c r="AW2" s="18" t="s">
        <v>122</v>
      </c>
      <c r="AX2" s="18" t="s">
        <v>124</v>
      </c>
      <c r="AY2" s="18" t="s">
        <v>126</v>
      </c>
      <c r="AZ2" s="18" t="s">
        <v>128</v>
      </c>
      <c r="BA2" s="18" t="s">
        <v>130</v>
      </c>
      <c r="BB2" s="18" t="s">
        <v>132</v>
      </c>
      <c r="BC2" s="18" t="s">
        <v>134</v>
      </c>
      <c r="BD2" s="18" t="s">
        <v>136</v>
      </c>
      <c r="BE2" s="18" t="s">
        <v>138</v>
      </c>
      <c r="BF2" s="18" t="s">
        <v>140</v>
      </c>
      <c r="BG2" s="18" t="s">
        <v>142</v>
      </c>
      <c r="BH2" s="18" t="s">
        <v>144</v>
      </c>
      <c r="BI2" s="18" t="s">
        <v>146</v>
      </c>
      <c r="BJ2" s="18" t="s">
        <v>148</v>
      </c>
      <c r="BK2" s="18" t="s">
        <v>150</v>
      </c>
      <c r="BL2" s="18" t="s">
        <v>152</v>
      </c>
      <c r="BM2" s="18" t="s">
        <v>154</v>
      </c>
      <c r="BN2" s="18" t="s">
        <v>156</v>
      </c>
      <c r="BO2" s="18" t="s">
        <v>158</v>
      </c>
      <c r="BP2" s="18" t="s">
        <v>160</v>
      </c>
      <c r="BQ2" s="18" t="s">
        <v>162</v>
      </c>
      <c r="BR2" s="18" t="s">
        <v>164</v>
      </c>
      <c r="BS2" s="18" t="s">
        <v>166</v>
      </c>
      <c r="BT2" s="18" t="s">
        <v>168</v>
      </c>
      <c r="BU2" s="18" t="s">
        <v>170</v>
      </c>
      <c r="BV2" s="18" t="s">
        <v>172</v>
      </c>
      <c r="BW2" s="18" t="s">
        <v>174</v>
      </c>
      <c r="BX2" s="18" t="s">
        <v>176</v>
      </c>
      <c r="BY2" s="18" t="s">
        <v>178</v>
      </c>
      <c r="BZ2" s="18" t="s">
        <v>196</v>
      </c>
      <c r="CA2" s="18" t="s">
        <v>199</v>
      </c>
      <c r="CB2" s="18" t="s">
        <v>201</v>
      </c>
      <c r="CC2" s="18" t="s">
        <v>203</v>
      </c>
      <c r="CD2" s="18" t="s">
        <v>205</v>
      </c>
      <c r="CE2" s="18" t="s">
        <v>207</v>
      </c>
      <c r="CF2" s="18" t="s">
        <v>209</v>
      </c>
      <c r="CG2" s="18" t="s">
        <v>211</v>
      </c>
      <c r="CH2" s="18" t="s">
        <v>213</v>
      </c>
      <c r="CI2" s="18" t="s">
        <v>215</v>
      </c>
      <c r="CJ2" s="18" t="s">
        <v>217</v>
      </c>
      <c r="CK2" s="18" t="s">
        <v>219</v>
      </c>
      <c r="CL2" s="18" t="s">
        <v>221</v>
      </c>
      <c r="CM2" s="18" t="s">
        <v>223</v>
      </c>
      <c r="CN2" s="18" t="s">
        <v>225</v>
      </c>
      <c r="CO2" s="18" t="s">
        <v>227</v>
      </c>
      <c r="CP2" s="18" t="s">
        <v>229</v>
      </c>
      <c r="CQ2" s="18" t="s">
        <v>231</v>
      </c>
      <c r="CR2" s="18" t="s">
        <v>233</v>
      </c>
      <c r="CS2" s="18" t="s">
        <v>235</v>
      </c>
      <c r="CT2" s="18" t="s">
        <v>237</v>
      </c>
      <c r="CU2" s="18" t="s">
        <v>239</v>
      </c>
      <c r="CV2" s="18" t="s">
        <v>241</v>
      </c>
      <c r="CW2" s="18" t="s">
        <v>243</v>
      </c>
      <c r="CX2" s="18" t="s">
        <v>245</v>
      </c>
      <c r="CY2" s="18" t="s">
        <v>247</v>
      </c>
      <c r="CZ2" s="18" t="s">
        <v>249</v>
      </c>
      <c r="DA2" s="18" t="s">
        <v>251</v>
      </c>
      <c r="DB2" s="18" t="s">
        <v>253</v>
      </c>
      <c r="DC2" s="18" t="s">
        <v>255</v>
      </c>
      <c r="DD2" s="18" t="s">
        <v>257</v>
      </c>
      <c r="DE2" s="18" t="s">
        <v>259</v>
      </c>
      <c r="DF2" s="18" t="s">
        <v>261</v>
      </c>
      <c r="DG2" s="18" t="s">
        <v>263</v>
      </c>
      <c r="DH2" s="18" t="s">
        <v>265</v>
      </c>
      <c r="DI2" s="18" t="s">
        <v>267</v>
      </c>
      <c r="DJ2" s="18" t="s">
        <v>269</v>
      </c>
      <c r="DK2" s="18" t="s">
        <v>271</v>
      </c>
      <c r="DL2" s="18" t="s">
        <v>273</v>
      </c>
      <c r="DM2" s="18" t="s">
        <v>275</v>
      </c>
      <c r="DN2" s="18" t="s">
        <v>277</v>
      </c>
      <c r="DO2" s="18" t="s">
        <v>279</v>
      </c>
      <c r="DP2" s="18" t="s">
        <v>281</v>
      </c>
      <c r="DQ2" s="18" t="s">
        <v>283</v>
      </c>
      <c r="DR2" s="18" t="s">
        <v>285</v>
      </c>
      <c r="DS2" s="18" t="s">
        <v>287</v>
      </c>
      <c r="DT2" s="18" t="s">
        <v>289</v>
      </c>
      <c r="DU2" s="18" t="s">
        <v>291</v>
      </c>
      <c r="DV2" s="18" t="s">
        <v>293</v>
      </c>
      <c r="DW2" s="18" t="s">
        <v>295</v>
      </c>
      <c r="DX2" s="18" t="s">
        <v>297</v>
      </c>
      <c r="DY2" s="18" t="s">
        <v>299</v>
      </c>
      <c r="DZ2" s="18" t="s">
        <v>301</v>
      </c>
      <c r="EA2" s="18" t="s">
        <v>303</v>
      </c>
      <c r="EB2" s="18" t="s">
        <v>305</v>
      </c>
      <c r="EC2" s="18" t="s">
        <v>307</v>
      </c>
      <c r="ED2" s="18" t="s">
        <v>309</v>
      </c>
      <c r="EE2" s="18" t="s">
        <v>311</v>
      </c>
      <c r="EF2" s="18" t="s">
        <v>313</v>
      </c>
      <c r="EG2" s="18" t="s">
        <v>315</v>
      </c>
      <c r="EH2" s="18" t="s">
        <v>317</v>
      </c>
      <c r="EI2" s="18" t="s">
        <v>319</v>
      </c>
      <c r="EJ2" s="18" t="s">
        <v>321</v>
      </c>
      <c r="EK2" s="18" t="s">
        <v>323</v>
      </c>
      <c r="EL2" s="18" t="s">
        <v>325</v>
      </c>
      <c r="EM2" s="18" t="s">
        <v>327</v>
      </c>
      <c r="EN2" s="18" t="s">
        <v>329</v>
      </c>
      <c r="EO2" s="18" t="s">
        <v>331</v>
      </c>
      <c r="EP2" s="18" t="s">
        <v>333</v>
      </c>
      <c r="EQ2" s="18" t="s">
        <v>335</v>
      </c>
      <c r="ER2" s="18" t="s">
        <v>337</v>
      </c>
      <c r="ES2" s="18" t="s">
        <v>339</v>
      </c>
      <c r="ET2" s="18" t="s">
        <v>341</v>
      </c>
      <c r="EU2" s="18" t="s">
        <v>343</v>
      </c>
      <c r="EV2" s="18" t="s">
        <v>345</v>
      </c>
      <c r="EW2" s="18" t="s">
        <v>347</v>
      </c>
      <c r="EX2" s="18" t="s">
        <v>349</v>
      </c>
      <c r="EY2" s="18" t="s">
        <v>351</v>
      </c>
      <c r="EZ2" s="18" t="s">
        <v>353</v>
      </c>
      <c r="FA2" s="18" t="s">
        <v>355</v>
      </c>
      <c r="FB2" s="18" t="s">
        <v>357</v>
      </c>
      <c r="FC2" s="18" t="s">
        <v>359</v>
      </c>
      <c r="FD2" s="18" t="s">
        <v>361</v>
      </c>
      <c r="FE2" s="18" t="s">
        <v>363</v>
      </c>
      <c r="FF2" s="18" t="s">
        <v>365</v>
      </c>
      <c r="FG2" s="18" t="s">
        <v>367</v>
      </c>
      <c r="FH2" s="18" t="s">
        <v>369</v>
      </c>
      <c r="FI2" s="18" t="s">
        <v>371</v>
      </c>
      <c r="FJ2" s="18" t="s">
        <v>373</v>
      </c>
      <c r="FK2" s="18" t="s">
        <v>375</v>
      </c>
      <c r="FL2" s="18" t="s">
        <v>377</v>
      </c>
      <c r="FM2" s="18" t="s">
        <v>379</v>
      </c>
      <c r="FN2" s="18" t="s">
        <v>381</v>
      </c>
      <c r="FO2" s="18" t="s">
        <v>383</v>
      </c>
      <c r="FP2" s="18" t="s">
        <v>385</v>
      </c>
      <c r="FQ2" s="18" t="s">
        <v>387</v>
      </c>
      <c r="FR2" s="18" t="s">
        <v>389</v>
      </c>
      <c r="FS2" s="18" t="s">
        <v>391</v>
      </c>
      <c r="FT2" s="18" t="s">
        <v>393</v>
      </c>
      <c r="FU2" s="18" t="s">
        <v>395</v>
      </c>
      <c r="FV2" s="18" t="s">
        <v>397</v>
      </c>
      <c r="FW2" s="18" t="s">
        <v>399</v>
      </c>
      <c r="FX2" s="18" t="s">
        <v>401</v>
      </c>
      <c r="FY2" s="18" t="s">
        <v>403</v>
      </c>
      <c r="FZ2" s="18" t="s">
        <v>405</v>
      </c>
      <c r="GA2" s="18" t="s">
        <v>408</v>
      </c>
      <c r="GB2" s="18" t="s">
        <v>411</v>
      </c>
      <c r="GC2" s="18" t="s">
        <v>414</v>
      </c>
      <c r="GD2" s="18" t="s">
        <v>417</v>
      </c>
      <c r="GE2" s="18" t="s">
        <v>420</v>
      </c>
      <c r="GF2" s="18" t="s">
        <v>423</v>
      </c>
      <c r="GG2" s="18" t="s">
        <v>426</v>
      </c>
      <c r="GH2" s="18" t="s">
        <v>429</v>
      </c>
      <c r="GI2" s="18" t="s">
        <v>432</v>
      </c>
      <c r="GJ2" s="18" t="s">
        <v>435</v>
      </c>
      <c r="GK2" s="18" t="s">
        <v>438</v>
      </c>
    </row>
    <row r="3" spans="1:193" ht="48" customHeight="1">
      <c r="A3" s="16"/>
      <c r="B3" s="16"/>
      <c r="C3" s="16"/>
      <c r="D3" s="16"/>
      <c r="E3" s="16"/>
      <c r="F3" s="19" t="s">
        <v>193</v>
      </c>
      <c r="G3" s="19" t="s">
        <v>193</v>
      </c>
      <c r="H3" s="19" t="s">
        <v>193</v>
      </c>
      <c r="I3" s="19" t="s">
        <v>193</v>
      </c>
      <c r="J3" s="19" t="s">
        <v>193</v>
      </c>
      <c r="K3" s="19" t="s">
        <v>193</v>
      </c>
      <c r="L3" s="19" t="s">
        <v>193</v>
      </c>
      <c r="M3" s="19" t="s">
        <v>193</v>
      </c>
      <c r="N3" s="19" t="s">
        <v>193</v>
      </c>
      <c r="O3" s="19" t="s">
        <v>193</v>
      </c>
      <c r="P3" s="19" t="s">
        <v>193</v>
      </c>
      <c r="Q3" s="19" t="s">
        <v>193</v>
      </c>
      <c r="R3" s="19" t="s">
        <v>193</v>
      </c>
      <c r="S3" s="19" t="s">
        <v>193</v>
      </c>
      <c r="T3" s="19" t="s">
        <v>193</v>
      </c>
      <c r="U3" s="19" t="s">
        <v>193</v>
      </c>
      <c r="V3" s="19" t="s">
        <v>193</v>
      </c>
      <c r="W3" s="19" t="s">
        <v>193</v>
      </c>
      <c r="X3" s="19" t="s">
        <v>193</v>
      </c>
      <c r="Y3" s="19" t="s">
        <v>193</v>
      </c>
      <c r="Z3" s="19" t="s">
        <v>193</v>
      </c>
      <c r="AA3" s="19" t="s">
        <v>193</v>
      </c>
      <c r="AB3" s="19" t="s">
        <v>193</v>
      </c>
      <c r="AC3" s="19" t="s">
        <v>193</v>
      </c>
      <c r="AD3" s="19" t="s">
        <v>193</v>
      </c>
      <c r="AE3" s="19" t="s">
        <v>193</v>
      </c>
      <c r="AF3" s="19" t="s">
        <v>193</v>
      </c>
      <c r="AG3" s="19" t="s">
        <v>193</v>
      </c>
      <c r="AH3" s="19" t="s">
        <v>193</v>
      </c>
      <c r="AI3" s="19" t="s">
        <v>193</v>
      </c>
      <c r="AJ3" s="19" t="s">
        <v>193</v>
      </c>
      <c r="AK3" s="19" t="s">
        <v>193</v>
      </c>
      <c r="AL3" s="19" t="s">
        <v>193</v>
      </c>
      <c r="AM3" s="19" t="s">
        <v>193</v>
      </c>
      <c r="AN3" s="19" t="s">
        <v>193</v>
      </c>
      <c r="AO3" s="19" t="s">
        <v>193</v>
      </c>
      <c r="AP3" s="19" t="s">
        <v>193</v>
      </c>
      <c r="AQ3" s="19" t="s">
        <v>193</v>
      </c>
      <c r="AR3" s="19" t="s">
        <v>193</v>
      </c>
      <c r="AS3" s="19" t="s">
        <v>194</v>
      </c>
      <c r="AT3" s="19" t="s">
        <v>193</v>
      </c>
      <c r="AU3" s="19" t="s">
        <v>193</v>
      </c>
      <c r="AV3" s="19" t="s">
        <v>193</v>
      </c>
      <c r="AW3" s="19" t="s">
        <v>193</v>
      </c>
      <c r="AX3" s="19" t="s">
        <v>193</v>
      </c>
      <c r="AY3" s="19" t="s">
        <v>193</v>
      </c>
      <c r="AZ3" s="19" t="s">
        <v>193</v>
      </c>
      <c r="BA3" s="19" t="s">
        <v>193</v>
      </c>
      <c r="BB3" s="19" t="s">
        <v>193</v>
      </c>
      <c r="BC3" s="19" t="s">
        <v>193</v>
      </c>
      <c r="BD3" s="19" t="s">
        <v>193</v>
      </c>
      <c r="BE3" s="19" t="s">
        <v>193</v>
      </c>
      <c r="BF3" s="19" t="s">
        <v>193</v>
      </c>
      <c r="BG3" s="19" t="s">
        <v>193</v>
      </c>
      <c r="BH3" s="19" t="s">
        <v>193</v>
      </c>
      <c r="BI3" s="19" t="s">
        <v>193</v>
      </c>
      <c r="BJ3" s="19" t="s">
        <v>193</v>
      </c>
      <c r="BK3" s="19" t="s">
        <v>193</v>
      </c>
      <c r="BL3" s="19" t="s">
        <v>193</v>
      </c>
      <c r="BM3" s="19" t="s">
        <v>193</v>
      </c>
      <c r="BN3" s="19" t="s">
        <v>193</v>
      </c>
      <c r="BO3" s="19" t="s">
        <v>193</v>
      </c>
      <c r="BP3" s="19" t="s">
        <v>193</v>
      </c>
      <c r="BQ3" s="19" t="s">
        <v>193</v>
      </c>
      <c r="BR3" s="19" t="s">
        <v>193</v>
      </c>
      <c r="BS3" s="19" t="s">
        <v>193</v>
      </c>
      <c r="BT3" s="19" t="s">
        <v>194</v>
      </c>
      <c r="BU3" s="19" t="s">
        <v>193</v>
      </c>
      <c r="BV3" s="19" t="s">
        <v>193</v>
      </c>
      <c r="BW3" s="19" t="s">
        <v>193</v>
      </c>
      <c r="BX3" s="19" t="s">
        <v>193</v>
      </c>
      <c r="BY3" s="19" t="s">
        <v>193</v>
      </c>
      <c r="BZ3" s="20" t="s">
        <v>197</v>
      </c>
      <c r="CA3" s="20" t="s">
        <v>197</v>
      </c>
      <c r="CB3" s="20" t="s">
        <v>197</v>
      </c>
      <c r="CC3" s="20" t="s">
        <v>197</v>
      </c>
      <c r="CD3" s="20" t="s">
        <v>197</v>
      </c>
      <c r="CE3" s="20" t="s">
        <v>197</v>
      </c>
      <c r="CF3" s="20" t="s">
        <v>197</v>
      </c>
      <c r="CG3" s="20" t="s">
        <v>197</v>
      </c>
      <c r="CH3" s="20" t="s">
        <v>197</v>
      </c>
      <c r="CI3" s="20" t="s">
        <v>197</v>
      </c>
      <c r="CJ3" s="20" t="s">
        <v>197</v>
      </c>
      <c r="CK3" s="20" t="s">
        <v>197</v>
      </c>
      <c r="CL3" s="20" t="s">
        <v>197</v>
      </c>
      <c r="CM3" s="20" t="s">
        <v>197</v>
      </c>
      <c r="CN3" s="20" t="s">
        <v>197</v>
      </c>
      <c r="CO3" s="20" t="s">
        <v>197</v>
      </c>
      <c r="CP3" s="20" t="s">
        <v>197</v>
      </c>
      <c r="CQ3" s="20" t="s">
        <v>197</v>
      </c>
      <c r="CR3" s="20" t="s">
        <v>197</v>
      </c>
      <c r="CS3" s="20" t="s">
        <v>197</v>
      </c>
      <c r="CT3" s="20" t="s">
        <v>197</v>
      </c>
      <c r="CU3" s="20" t="s">
        <v>197</v>
      </c>
      <c r="CV3" s="20" t="s">
        <v>197</v>
      </c>
      <c r="CW3" s="20" t="s">
        <v>197</v>
      </c>
      <c r="CX3" s="20" t="s">
        <v>197</v>
      </c>
      <c r="CY3" s="20" t="s">
        <v>197</v>
      </c>
      <c r="CZ3" s="20" t="s">
        <v>197</v>
      </c>
      <c r="DA3" s="20" t="s">
        <v>197</v>
      </c>
      <c r="DB3" s="20" t="s">
        <v>197</v>
      </c>
      <c r="DC3" s="20" t="s">
        <v>197</v>
      </c>
      <c r="DD3" s="20" t="s">
        <v>197</v>
      </c>
      <c r="DE3" s="20" t="s">
        <v>197</v>
      </c>
      <c r="DF3" s="20" t="s">
        <v>197</v>
      </c>
      <c r="DG3" s="20" t="s">
        <v>197</v>
      </c>
      <c r="DH3" s="20" t="s">
        <v>197</v>
      </c>
      <c r="DI3" s="20" t="s">
        <v>197</v>
      </c>
      <c r="DJ3" s="20" t="s">
        <v>197</v>
      </c>
      <c r="DK3" s="20" t="s">
        <v>197</v>
      </c>
      <c r="DL3" s="20" t="s">
        <v>197</v>
      </c>
      <c r="DM3" s="20" t="s">
        <v>197</v>
      </c>
      <c r="DN3" s="20" t="s">
        <v>197</v>
      </c>
      <c r="DO3" s="20" t="s">
        <v>197</v>
      </c>
      <c r="DP3" s="20" t="s">
        <v>197</v>
      </c>
      <c r="DQ3" s="20" t="s">
        <v>197</v>
      </c>
      <c r="DR3" s="20" t="s">
        <v>197</v>
      </c>
      <c r="DS3" s="20" t="s">
        <v>197</v>
      </c>
      <c r="DT3" s="20" t="s">
        <v>197</v>
      </c>
      <c r="DU3" s="20" t="s">
        <v>197</v>
      </c>
      <c r="DV3" s="20" t="s">
        <v>197</v>
      </c>
      <c r="DW3" s="20" t="s">
        <v>197</v>
      </c>
      <c r="DX3" s="20" t="s">
        <v>197</v>
      </c>
      <c r="DY3" s="20" t="s">
        <v>197</v>
      </c>
      <c r="DZ3" s="20" t="s">
        <v>197</v>
      </c>
      <c r="EA3" s="20" t="s">
        <v>197</v>
      </c>
      <c r="EB3" s="20" t="s">
        <v>197</v>
      </c>
      <c r="EC3" s="20" t="s">
        <v>197</v>
      </c>
      <c r="ED3" s="20" t="s">
        <v>197</v>
      </c>
      <c r="EE3" s="20" t="s">
        <v>197</v>
      </c>
      <c r="EF3" s="20" t="s">
        <v>197</v>
      </c>
      <c r="EG3" s="20" t="s">
        <v>197</v>
      </c>
      <c r="EH3" s="20" t="s">
        <v>197</v>
      </c>
      <c r="EI3" s="20" t="s">
        <v>197</v>
      </c>
      <c r="EJ3" s="20" t="s">
        <v>197</v>
      </c>
      <c r="EK3" s="20" t="s">
        <v>197</v>
      </c>
      <c r="EL3" s="20" t="s">
        <v>197</v>
      </c>
      <c r="EM3" s="20" t="s">
        <v>197</v>
      </c>
      <c r="EN3" s="20" t="s">
        <v>197</v>
      </c>
      <c r="EO3" s="20" t="s">
        <v>197</v>
      </c>
      <c r="EP3" s="20" t="s">
        <v>197</v>
      </c>
      <c r="EQ3" s="20" t="s">
        <v>197</v>
      </c>
      <c r="ER3" s="20" t="s">
        <v>197</v>
      </c>
      <c r="ES3" s="20" t="s">
        <v>197</v>
      </c>
      <c r="ET3" s="20" t="s">
        <v>197</v>
      </c>
      <c r="EU3" s="20" t="s">
        <v>197</v>
      </c>
      <c r="EV3" s="20" t="s">
        <v>197</v>
      </c>
      <c r="EW3" s="20" t="s">
        <v>197</v>
      </c>
      <c r="EX3" s="20" t="s">
        <v>197</v>
      </c>
      <c r="EY3" s="20" t="s">
        <v>197</v>
      </c>
      <c r="EZ3" s="20" t="s">
        <v>197</v>
      </c>
      <c r="FA3" s="20" t="s">
        <v>197</v>
      </c>
      <c r="FB3" s="20" t="s">
        <v>197</v>
      </c>
      <c r="FC3" s="20" t="s">
        <v>197</v>
      </c>
      <c r="FD3" s="20" t="s">
        <v>197</v>
      </c>
      <c r="FE3" s="20" t="s">
        <v>197</v>
      </c>
      <c r="FF3" s="20" t="s">
        <v>197</v>
      </c>
      <c r="FG3" s="20" t="s">
        <v>197</v>
      </c>
      <c r="FH3" s="20" t="s">
        <v>197</v>
      </c>
      <c r="FI3" s="20" t="s">
        <v>197</v>
      </c>
      <c r="FJ3" s="20" t="s">
        <v>197</v>
      </c>
      <c r="FK3" s="20" t="s">
        <v>197</v>
      </c>
      <c r="FL3" s="20" t="s">
        <v>197</v>
      </c>
      <c r="FM3" s="20" t="s">
        <v>197</v>
      </c>
      <c r="FN3" s="20" t="s">
        <v>197</v>
      </c>
      <c r="FO3" s="20" t="s">
        <v>197</v>
      </c>
      <c r="FP3" s="20" t="s">
        <v>197</v>
      </c>
      <c r="FQ3" s="20" t="s">
        <v>197</v>
      </c>
      <c r="FR3" s="20" t="s">
        <v>197</v>
      </c>
      <c r="FS3" s="20" t="s">
        <v>197</v>
      </c>
      <c r="FT3" s="20" t="s">
        <v>197</v>
      </c>
      <c r="FU3" s="20" t="s">
        <v>197</v>
      </c>
      <c r="FV3" s="20" t="s">
        <v>197</v>
      </c>
      <c r="FW3" s="20" t="s">
        <v>197</v>
      </c>
      <c r="FX3" s="20" t="s">
        <v>197</v>
      </c>
      <c r="FY3" s="20" t="s">
        <v>197</v>
      </c>
      <c r="FZ3" s="20" t="s">
        <v>406</v>
      </c>
      <c r="GA3" s="20" t="s">
        <v>409</v>
      </c>
      <c r="GB3" s="20" t="s">
        <v>412</v>
      </c>
      <c r="GC3" s="20" t="s">
        <v>415</v>
      </c>
      <c r="GD3" s="20" t="s">
        <v>418</v>
      </c>
      <c r="GE3" s="20" t="s">
        <v>421</v>
      </c>
      <c r="GF3" s="20" t="s">
        <v>424</v>
      </c>
      <c r="GG3" s="20" t="s">
        <v>427</v>
      </c>
      <c r="GH3" s="20" t="s">
        <v>430</v>
      </c>
      <c r="GI3" s="20" t="s">
        <v>433</v>
      </c>
      <c r="GJ3" s="20" t="s">
        <v>436</v>
      </c>
      <c r="GK3" s="20" t="s">
        <v>439</v>
      </c>
    </row>
    <row r="4" spans="1:193">
      <c r="A4" t="s">
        <v>19</v>
      </c>
      <c r="B4" t="s">
        <v>179</v>
      </c>
      <c r="C4" t="s">
        <v>181</v>
      </c>
      <c r="D4">
        <v>30</v>
      </c>
      <c r="E4">
        <v>1</v>
      </c>
      <c r="F4" s="10">
        <f>SUM('Plant Inputs'!H4,'Plant Inputs'!H10,'Plant Inputs'!H16)</f>
        <v>2160.0</v>
      </c>
      <c r="G4" s="10">
        <f>SUM('Plant Inputs'!I4,'Plant Inputs'!I10,'Plant Inputs'!I16)</f>
        <v>2141.0</v>
      </c>
      <c r="H4" s="10">
        <f>SUM('Plant Inputs'!J4,'Plant Inputs'!J10,'Plant Inputs'!J16)</f>
        <v>2046.5</v>
      </c>
      <c r="I4" s="10">
        <f>SUM('Plant Inputs'!K4,'Plant Inputs'!K10,'Plant Inputs'!K16)</f>
        <v>62.8</v>
      </c>
      <c r="J4" s="10">
        <f>SUM('Plant Inputs'!L4,'Plant Inputs'!L10,'Plant Inputs'!L16)</f>
        <v>393328.0</v>
      </c>
      <c r="K4" s="10">
        <f>SUM('Plant Inputs'!M4,'Plant Inputs'!M10,'Plant Inputs'!M16)</f>
        <v>397008.0</v>
      </c>
      <c r="L4" s="10">
        <f>SUM('Plant Inputs'!N4,'Plant Inputs'!N10,'Plant Inputs'!N16)</f>
        <v>346056.0</v>
      </c>
      <c r="M4" s="10">
        <f>SUM('Plant Inputs'!O4,'Plant Inputs'!O10,'Plant Inputs'!O16)</f>
        <v>328945.0</v>
      </c>
      <c r="N4" s="10">
        <f>SUM('Plant Inputs'!P4,'Plant Inputs'!P10,'Plant Inputs'!P16)</f>
        <v>321162.0</v>
      </c>
      <c r="O4" s="10">
        <f>SUM('Plant Inputs'!Q4,'Plant Inputs'!Q10,'Plant Inputs'!Q16)</f>
        <v>358136.0</v>
      </c>
      <c r="P4" s="10">
        <f>SUM('Plant Inputs'!R4,'Plant Inputs'!R10,'Plant Inputs'!R16)</f>
        <v>74315.0</v>
      </c>
      <c r="Q4" s="10">
        <f>SUM('Plant Inputs'!S4,'Plant Inputs'!S10,'Plant Inputs'!S16)</f>
        <v>64615.0</v>
      </c>
      <c r="R4" s="10">
        <f>SUM('Plant Inputs'!T4,'Plant Inputs'!T10,'Plant Inputs'!T16)</f>
        <v>11849.0</v>
      </c>
      <c r="S4" s="10">
        <f>SUM('Plant Inputs'!U4,'Plant Inputs'!U10,'Plant Inputs'!U16)</f>
        <v>9.0</v>
      </c>
      <c r="T4" s="10">
        <f>SUM('Plant Inputs'!V4,'Plant Inputs'!V10,'Plant Inputs'!V16)</f>
        <v>47.300000000000004</v>
      </c>
      <c r="U4" s="10">
        <f>SUM('Plant Inputs'!W4,'Plant Inputs'!W10,'Plant Inputs'!W16)</f>
        <v>123.0</v>
      </c>
      <c r="V4" s="10">
        <f>SUM('Plant Inputs'!X4,'Plant Inputs'!X10,'Plant Inputs'!X16)</f>
        <v>115.0</v>
      </c>
      <c r="W4" s="10">
        <f>SUM('Plant Inputs'!Y4,'Plant Inputs'!Y10,'Plant Inputs'!Y16)</f>
        <v>969684.7000000001</v>
      </c>
      <c r="X4" s="10">
        <f>SUM('Plant Inputs'!Z4,'Plant Inputs'!Z10,'Plant Inputs'!Z16)</f>
        <v>232897.8</v>
      </c>
      <c r="Y4" s="10">
        <f>SUM('Plant Inputs'!AA4,'Plant Inputs'!AA10,'Plant Inputs'!AA16)</f>
        <v>3580.2000000000003</v>
      </c>
      <c r="Z4" s="10">
        <f>SUM('Plant Inputs'!AB4,'Plant Inputs'!AB10,'Plant Inputs'!AB16)</f>
        <v>663733.0</v>
      </c>
      <c r="AA4" s="10">
        <f>SUM('Plant Inputs'!AC4,'Plant Inputs'!AC10,'Plant Inputs'!AC16)</f>
        <v>230681.0</v>
      </c>
      <c r="AB4" s="10">
        <f>SUM('Plant Inputs'!AD4,'Plant Inputs'!AD10,'Plant Inputs'!AD16)</f>
        <v>1071778.0</v>
      </c>
      <c r="AC4" s="10">
        <f>SUM('Plant Inputs'!AE4,'Plant Inputs'!AE10,'Plant Inputs'!AE16)</f>
        <v>25809.0</v>
      </c>
      <c r="AD4" s="10">
        <f>SUM('Plant Inputs'!AF4,'Plant Inputs'!AF10,'Plant Inputs'!AF16)</f>
        <v>4.0</v>
      </c>
      <c r="AE4" s="10">
        <f>SUM('Plant Inputs'!AG4,'Plant Inputs'!AG10,'Plant Inputs'!AG16)</f>
        <v>221000.0</v>
      </c>
      <c r="AF4" s="10">
        <f>SUM('Plant Inputs'!AH4,'Plant Inputs'!AH10,'Plant Inputs'!AH16)</f>
        <v>0.0</v>
      </c>
      <c r="AG4" s="10">
        <f>SUM('Plant Inputs'!AI4,'Plant Inputs'!AI10,'Plant Inputs'!AI16)</f>
        <v>1.0</v>
      </c>
      <c r="AH4" s="10">
        <f>SUM('Plant Inputs'!AJ4,'Plant Inputs'!AJ10,'Plant Inputs'!AJ16)</f>
        <v>21.0</v>
      </c>
      <c r="AI4" s="10">
        <f>SUM('Plant Inputs'!AK4,'Plant Inputs'!AK10,'Plant Inputs'!AK16)</f>
        <v>0.0</v>
      </c>
      <c r="AJ4" s="10">
        <f>SUM('Plant Inputs'!AL4,'Plant Inputs'!AL10,'Plant Inputs'!AL16)</f>
        <v>1.0</v>
      </c>
      <c r="AK4" s="10">
        <f>SUM('Plant Inputs'!AM4,'Plant Inputs'!AM10,'Plant Inputs'!AM16)</f>
        <v>0.0</v>
      </c>
      <c r="AL4" s="10">
        <f>SUM('Plant Inputs'!AN4,'Plant Inputs'!AN10,'Plant Inputs'!AN16)</f>
        <v>25.0</v>
      </c>
      <c r="AM4" s="10">
        <f>SUM('Plant Inputs'!AO4,'Plant Inputs'!AO10,'Plant Inputs'!AO16)</f>
        <v>7.0</v>
      </c>
      <c r="AN4" s="10">
        <f>SUM('Plant Inputs'!AP4,'Plant Inputs'!AP10,'Plant Inputs'!AP16)</f>
        <v>4.0</v>
      </c>
      <c r="AO4" s="10">
        <f>SUM('Plant Inputs'!AQ4,'Plant Inputs'!AQ10,'Plant Inputs'!AQ16)</f>
        <v>3.0</v>
      </c>
      <c r="AP4" s="10">
        <f>SUM('Plant Inputs'!AR4,'Plant Inputs'!AR10,'Plant Inputs'!AR16)</f>
        <v>1.0</v>
      </c>
      <c r="AQ4" s="10">
        <f>SUM('Plant Inputs'!AS4,'Plant Inputs'!AS10,'Plant Inputs'!AS16)</f>
        <v>475.0</v>
      </c>
      <c r="AR4" s="10">
        <f>SUM('Plant Inputs'!AT4,'Plant Inputs'!AT10,'Plant Inputs'!AT16)</f>
        <v>25.0</v>
      </c>
      <c r="AS4" s="10">
        <f>MIN('Plant Inputs'!AU4,'Plant Inputs'!AU10,'Plant Inputs'!AU16)</f>
        <v>215</v>
      </c>
      <c r="AT4" s="10">
        <f>SUM('Plant Inputs'!AV4,'Plant Inputs'!AV10,'Plant Inputs'!AV16)</f>
        <v>319125.0</v>
      </c>
      <c r="AU4" s="10">
        <f>SUM('Plant Inputs'!AW4,'Plant Inputs'!AW10,'Plant Inputs'!AW16)</f>
        <v>346912.0</v>
      </c>
      <c r="AV4" s="10">
        <f>SUM('Plant Inputs'!AX4,'Plant Inputs'!AX10,'Plant Inputs'!AX16)</f>
        <v>1196058.7</v>
      </c>
      <c r="AW4" s="10">
        <f>SUM('Plant Inputs'!AY4,'Plant Inputs'!AY10,'Plant Inputs'!AY16)</f>
        <v>1304389.1</v>
      </c>
      <c r="AX4" s="10">
        <f>SUM('Plant Inputs'!AZ4,'Plant Inputs'!AZ10,'Plant Inputs'!AZ16)</f>
        <v>62188.40000000001</v>
      </c>
      <c r="AY4" s="10">
        <f>SUM('Plant Inputs'!BA4,'Plant Inputs'!BA10,'Plant Inputs'!BA16)</f>
        <v>46646.5</v>
      </c>
      <c r="AZ4" s="10">
        <f>SUM('Plant Inputs'!BB4,'Plant Inputs'!BB10,'Plant Inputs'!BB16)</f>
        <v>545.0</v>
      </c>
      <c r="BA4" s="10">
        <f>SUM('Plant Inputs'!BC4,'Plant Inputs'!BC10,'Plant Inputs'!BC16)</f>
        <v>493.0</v>
      </c>
      <c r="BB4" s="10">
        <f>SUM('Plant Inputs'!BD4,'Plant Inputs'!BD10,'Plant Inputs'!BD16)</f>
        <v>356576.0</v>
      </c>
      <c r="BC4" s="10">
        <f>SUM('Plant Inputs'!BE4,'Plant Inputs'!BE10,'Plant Inputs'!BE16)</f>
        <v>343275.0</v>
      </c>
      <c r="BD4" s="10">
        <f>SUM('Plant Inputs'!BF4,'Plant Inputs'!BF10,'Plant Inputs'!BF16)</f>
        <v>4065.0</v>
      </c>
      <c r="BE4" s="10">
        <f>SUM('Plant Inputs'!BG4,'Plant Inputs'!BG10,'Plant Inputs'!BG16)</f>
        <v>2114.0</v>
      </c>
      <c r="BF4" s="10">
        <f>SUM('Plant Inputs'!BH4,'Plant Inputs'!BH10,'Plant Inputs'!BH16)</f>
        <v>2242.0</v>
      </c>
      <c r="BG4" s="10">
        <f>SUM('Plant Inputs'!BI4,'Plant Inputs'!BI10,'Plant Inputs'!BI16)</f>
        <v>517470.19999999995</v>
      </c>
      <c r="BH4" s="10">
        <f>SUM('Plant Inputs'!BJ4,'Plant Inputs'!BJ10,'Plant Inputs'!BJ16)</f>
        <v>198437.80000000002</v>
      </c>
      <c r="BI4" s="10">
        <f>SUM('Plant Inputs'!BK4,'Plant Inputs'!BK10,'Plant Inputs'!BK16)</f>
        <v>0.0</v>
      </c>
      <c r="BJ4" s="10">
        <f>SUM('Plant Inputs'!BL4,'Plant Inputs'!BL10,'Plant Inputs'!BL16)</f>
        <v>1.0</v>
      </c>
      <c r="BK4" s="10">
        <f>SUM('Plant Inputs'!BM4,'Plant Inputs'!BM10,'Plant Inputs'!BM16)</f>
        <v>2.0</v>
      </c>
      <c r="BL4" s="10">
        <f>SUM('Plant Inputs'!BN4,'Plant Inputs'!BN10,'Plant Inputs'!BN16)</f>
        <v>2.0</v>
      </c>
      <c r="BM4" s="10">
        <f>SUM('Plant Inputs'!BO4,'Plant Inputs'!BO10,'Plant Inputs'!BO16)</f>
        <v>3.0</v>
      </c>
      <c r="BN4" s="10">
        <f>SUM('Plant Inputs'!BP4,'Plant Inputs'!BP10,'Plant Inputs'!BP16)</f>
        <v>0.0</v>
      </c>
      <c r="BO4" s="10">
        <f>SUM('Plant Inputs'!BQ4,'Plant Inputs'!BQ10,'Plant Inputs'!BQ16)</f>
        <v>0.0</v>
      </c>
      <c r="BP4" s="10">
        <f>SUM('Plant Inputs'!BR4,'Plant Inputs'!BR10,'Plant Inputs'!BR16)</f>
        <v>0.0</v>
      </c>
      <c r="BQ4" s="10">
        <f>SUM('Plant Inputs'!BS4,'Plant Inputs'!BS10,'Plant Inputs'!BS16)</f>
        <v>0.0</v>
      </c>
      <c r="BR4" s="10">
        <f>SUM('Plant Inputs'!BT4,'Plant Inputs'!BT10,'Plant Inputs'!BT16)</f>
        <v>0.0</v>
      </c>
      <c r="BS4" s="10">
        <f>SUM('Plant Inputs'!BU4,'Plant Inputs'!BU10,'Plant Inputs'!BU16)</f>
        <v>0.0</v>
      </c>
      <c r="BT4" s="10">
        <f>MIN('Plant Inputs'!BV4,'Plant Inputs'!BV10,'Plant Inputs'!BV16)</f>
        <v>17</v>
      </c>
      <c r="BU4" s="10">
        <f>SUM('Plant Inputs'!BW4,'Plant Inputs'!BW10,'Plant Inputs'!BW16)</f>
        <v>349487.0</v>
      </c>
      <c r="BV4" s="10">
        <f>SUM('Plant Inputs'!BX4,'Plant Inputs'!BX10,'Plant Inputs'!BX16)</f>
        <v>339473.0</v>
      </c>
      <c r="BW4" s="10">
        <f>SUM('Plant Inputs'!BY4,'Plant Inputs'!BY10,'Plant Inputs'!BY16)</f>
        <v>150111897.0</v>
      </c>
      <c r="BX4" s="10">
        <f>SUM('Plant Inputs'!BZ4,'Plant Inputs'!BZ10,'Plant Inputs'!BZ16)</f>
        <v>393328.0</v>
      </c>
      <c r="BY4" s="10">
        <f>SUM('Plant Inputs'!CA4,'Plant Inputs'!CA10,'Plant Inputs'!CA16)</f>
        <v>11718.0</v>
      </c>
      <c r="BZ4" s="21">
        <v>54938.6</v>
      </c>
      <c r="CA4" s="21">
        <v>35929.2</v>
      </c>
      <c r="CB4" s="21">
        <v>10800000</v>
      </c>
      <c r="CC4" s="21">
        <v>4736181</v>
      </c>
      <c r="CD4" s="21">
        <v>936181</v>
      </c>
      <c r="CE4" s="21">
        <v>436986.6</v>
      </c>
      <c r="CF4" s="21">
        <v>39900</v>
      </c>
      <c r="CG4" s="21">
        <v>442623.4</v>
      </c>
      <c r="CH4" s="21">
        <v>1357977.9</v>
      </c>
      <c r="CI4" s="21">
        <v>167684.4</v>
      </c>
      <c r="CJ4" s="21">
        <v>1183542.5</v>
      </c>
      <c r="CK4" s="21">
        <v>2022544.1</v>
      </c>
      <c r="CL4" s="21">
        <v>1234856.8</v>
      </c>
      <c r="CM4" s="21">
        <v>1354000.8</v>
      </c>
      <c r="CN4" s="21">
        <v>1181957.8</v>
      </c>
      <c r="CO4" s="21">
        <v>519.8</v>
      </c>
      <c r="CP4" s="21">
        <v>115844.2</v>
      </c>
      <c r="CQ4" s="21">
        <v>115844.2</v>
      </c>
      <c r="CR4" s="21">
        <v>418</v>
      </c>
      <c r="CS4" s="21">
        <v>18974</v>
      </c>
      <c r="CT4" s="21">
        <v>18810</v>
      </c>
      <c r="CU4" s="21">
        <v>0</v>
      </c>
      <c r="CV4" s="21">
        <v>997106.1</v>
      </c>
      <c r="CW4" s="21">
        <v>1011641.5</v>
      </c>
      <c r="CX4" s="21">
        <v>195977</v>
      </c>
      <c r="CY4" s="21">
        <v>3747391.4</v>
      </c>
      <c r="CZ4" s="21">
        <v>1976093.2</v>
      </c>
      <c r="DA4" s="21">
        <v>425331</v>
      </c>
      <c r="DB4" s="21">
        <v>314182</v>
      </c>
      <c r="DC4" s="21">
        <v>339270.5</v>
      </c>
      <c r="DD4" s="21">
        <v>248759</v>
      </c>
      <c r="DE4" s="21">
        <v>5649.1</v>
      </c>
      <c r="DF4" s="21">
        <v>6321.3</v>
      </c>
      <c r="DG4" s="21">
        <v>2572845.7</v>
      </c>
      <c r="DH4" s="21">
        <v>1994270.3</v>
      </c>
      <c r="DI4" s="21">
        <v>1000000</v>
      </c>
      <c r="DJ4" s="21">
        <v>449046.9</v>
      </c>
      <c r="DK4" s="21">
        <v>76777.10000000001</v>
      </c>
      <c r="DL4" s="21">
        <v>380000</v>
      </c>
      <c r="DM4" s="21">
        <v>22271.5</v>
      </c>
      <c r="DN4" s="21">
        <v>5</v>
      </c>
      <c r="DO4" s="21">
        <v>1</v>
      </c>
      <c r="DP4" s="21">
        <v>0</v>
      </c>
      <c r="DQ4" s="21">
        <v>0</v>
      </c>
      <c r="DR4" s="21">
        <v>7</v>
      </c>
      <c r="DS4" s="21">
        <v>21</v>
      </c>
      <c r="DT4" s="21">
        <v>5</v>
      </c>
      <c r="DU4" s="21">
        <v>2</v>
      </c>
      <c r="DV4" s="21">
        <v>1</v>
      </c>
      <c r="DW4" s="21">
        <v>60</v>
      </c>
      <c r="DX4" s="21">
        <v>18</v>
      </c>
      <c r="DY4" s="21">
        <v>4834.8</v>
      </c>
      <c r="DZ4" s="21">
        <v>3489.6</v>
      </c>
      <c r="EA4" s="21">
        <v>987.8</v>
      </c>
      <c r="EB4" s="21">
        <v>352.3</v>
      </c>
      <c r="EC4" s="21">
        <v>600.2</v>
      </c>
      <c r="ED4" s="21">
        <v>72</v>
      </c>
      <c r="EE4" s="21">
        <v>69</v>
      </c>
      <c r="EF4" s="21">
        <v>1</v>
      </c>
      <c r="EG4" s="21">
        <v>0</v>
      </c>
      <c r="EH4" s="21">
        <v>2</v>
      </c>
      <c r="EI4" s="21">
        <v>1</v>
      </c>
      <c r="EJ4" s="21">
        <v>0</v>
      </c>
      <c r="EK4" s="21">
        <v>1</v>
      </c>
      <c r="EL4" s="21">
        <v>1</v>
      </c>
      <c r="EM4" s="21">
        <v>0</v>
      </c>
      <c r="EN4" s="21">
        <v>0</v>
      </c>
      <c r="EO4" s="21">
        <v>0</v>
      </c>
      <c r="EP4" s="21">
        <v>0</v>
      </c>
      <c r="EQ4" s="21">
        <v>0</v>
      </c>
      <c r="ER4" s="21">
        <v>1</v>
      </c>
      <c r="ES4" s="21">
        <v>1</v>
      </c>
      <c r="ET4" s="21">
        <v>0</v>
      </c>
      <c r="EU4" s="21">
        <v>1</v>
      </c>
      <c r="EV4" s="21">
        <v>2</v>
      </c>
      <c r="EW4" s="21">
        <v>0</v>
      </c>
      <c r="EX4" s="21">
        <v>0</v>
      </c>
      <c r="EY4" s="21">
        <v>0</v>
      </c>
      <c r="EZ4" s="21">
        <v>50</v>
      </c>
      <c r="FA4" s="21">
        <v>43</v>
      </c>
      <c r="FB4" s="21">
        <v>2</v>
      </c>
      <c r="FC4" s="21">
        <v>55</v>
      </c>
      <c r="FD4" s="21">
        <v>28</v>
      </c>
      <c r="FE4" s="21">
        <v>23</v>
      </c>
      <c r="FF4" s="21">
        <v>26</v>
      </c>
      <c r="FG4" s="21">
        <v>0</v>
      </c>
      <c r="FH4" s="21">
        <v>1</v>
      </c>
      <c r="FI4" s="21">
        <v>0</v>
      </c>
      <c r="FJ4" s="21">
        <v>482362</v>
      </c>
      <c r="FK4" s="21">
        <v>479530</v>
      </c>
      <c r="FL4" s="21">
        <v>400</v>
      </c>
      <c r="FM4" s="21">
        <v>381</v>
      </c>
      <c r="FN4" s="21">
        <v>0</v>
      </c>
      <c r="FO4" s="21">
        <v>0</v>
      </c>
      <c r="FP4" s="21">
        <v>0</v>
      </c>
      <c r="FQ4" s="21">
        <v>6</v>
      </c>
      <c r="FR4" s="21">
        <v>17.8</v>
      </c>
      <c r="FS4" s="21">
        <v>4</v>
      </c>
      <c r="FT4" s="21">
        <v>0</v>
      </c>
      <c r="FU4" s="21">
        <v>0</v>
      </c>
      <c r="FV4" s="21">
        <v>0</v>
      </c>
      <c r="FW4" s="21">
        <v>999</v>
      </c>
      <c r="FX4" s="21">
        <v>51825.9</v>
      </c>
      <c r="FY4" s="21">
        <v>51060</v>
      </c>
      <c r="FZ4" s="12">
        <f>AV4-W4-Y4-BZ4</f>
        <v>167855.19999999987</v>
      </c>
      <c r="GA4" s="12">
        <f>FZ4-AY4</f>
        <v>121208.69999999987</v>
      </c>
      <c r="GB4" s="12">
        <f>CK4+CM4-CL4</f>
        <v>2141688.1000000006</v>
      </c>
      <c r="GC4" s="12">
        <f>GB4-Parameters!$B$5</f>
        <v>32125.300000000745</v>
      </c>
      <c r="GD4" s="12">
        <f>FZ4-CA4-GC4</f>
        <v>99800.69999999914</v>
      </c>
      <c r="GE4" s="12">
        <f>GD4-DK4</f>
        <v>23023.599999999133</v>
      </c>
      <c r="GF4" s="12">
        <f>CC4-CD4</f>
        <v>3800000.0</v>
      </c>
      <c r="GG4" s="12">
        <f>SUM(FZ$4:FZ4)*12/E4</f>
        <v>2014262.3999999985</v>
      </c>
      <c r="GH4" s="12">
        <f>IF(AV4=0,0,CK4/AV4*D4)</f>
        <v>50.730221685607916</v>
      </c>
      <c r="GI4" s="12">
        <f>IF(W4=0,0,CL4/W4*D4)</f>
        <v>38.203865648287525</v>
      </c>
      <c r="GJ4" s="12">
        <f>IF(W4=0,0,CM4/W4*D4)</f>
        <v>41.889929788517854</v>
      </c>
      <c r="GK4" s="12">
        <f>IF(OR(AT4=0,AU4=0,AW4=0),0,100*((AV4/AT4)/(AW4/AU4)-1))</f>
        <v>-0.3209642107336208</v>
      </c>
    </row>
    <row r="5" spans="1:193">
      <c r="A5" t="s">
        <v>19</v>
      </c>
      <c r="B5" t="s">
        <v>179</v>
      </c>
      <c r="C5" t="s">
        <v>182</v>
      </c>
      <c r="D5">
        <v>31</v>
      </c>
      <c r="E5">
        <v>2</v>
      </c>
      <c r="F5" s="10">
        <f>SUM('Plant Inputs'!H5,'Plant Inputs'!H11,'Plant Inputs'!H17)</f>
        <v>2232.0</v>
      </c>
      <c r="G5" s="10">
        <f>SUM('Plant Inputs'!I5,'Plant Inputs'!I11,'Plant Inputs'!I17)</f>
        <v>2109.0</v>
      </c>
      <c r="H5" s="10">
        <f>SUM('Plant Inputs'!J5,'Plant Inputs'!J11,'Plant Inputs'!J17)</f>
        <v>1977.4</v>
      </c>
      <c r="I5" s="10">
        <f>SUM('Plant Inputs'!K5,'Plant Inputs'!K11,'Plant Inputs'!K17)</f>
        <v>88.0</v>
      </c>
      <c r="J5" s="10">
        <f>SUM('Plant Inputs'!L5,'Plant Inputs'!L11,'Plant Inputs'!L17)</f>
        <v>384488.0</v>
      </c>
      <c r="K5" s="10">
        <f>SUM('Plant Inputs'!M5,'Plant Inputs'!M11,'Plant Inputs'!M17)</f>
        <v>410242.0</v>
      </c>
      <c r="L5" s="10">
        <f>SUM('Plant Inputs'!N5,'Plant Inputs'!N11,'Plant Inputs'!N17)</f>
        <v>346126.0</v>
      </c>
      <c r="M5" s="10">
        <f>SUM('Plant Inputs'!O5,'Plant Inputs'!O11,'Plant Inputs'!O17)</f>
        <v>313194.0</v>
      </c>
      <c r="N5" s="10">
        <f>SUM('Plant Inputs'!P5,'Plant Inputs'!P11,'Plant Inputs'!P17)</f>
        <v>301438.0</v>
      </c>
      <c r="O5" s="10">
        <f>SUM('Plant Inputs'!Q5,'Plant Inputs'!Q11,'Plant Inputs'!Q17)</f>
        <v>328020.0</v>
      </c>
      <c r="P5" s="10">
        <f>SUM('Plant Inputs'!R5,'Plant Inputs'!R11,'Plant Inputs'!R17)</f>
        <v>63947.0</v>
      </c>
      <c r="Q5" s="10">
        <f>SUM('Plant Inputs'!S5,'Plant Inputs'!S11,'Plant Inputs'!S17)</f>
        <v>54804.0</v>
      </c>
      <c r="R5" s="10">
        <f>SUM('Plant Inputs'!T5,'Plant Inputs'!T11,'Plant Inputs'!T17)</f>
        <v>16433.0</v>
      </c>
      <c r="S5" s="10">
        <f>SUM('Plant Inputs'!U5,'Plant Inputs'!U11,'Plant Inputs'!U17)</f>
        <v>12.0</v>
      </c>
      <c r="T5" s="10">
        <f>SUM('Plant Inputs'!V5,'Plant Inputs'!V11,'Plant Inputs'!V17)</f>
        <v>74.4</v>
      </c>
      <c r="U5" s="10">
        <f>SUM('Plant Inputs'!W5,'Plant Inputs'!W11,'Plant Inputs'!W17)</f>
        <v>146.0</v>
      </c>
      <c r="V5" s="10">
        <f>SUM('Plant Inputs'!X5,'Plant Inputs'!X11,'Plant Inputs'!X17)</f>
        <v>131.0</v>
      </c>
      <c r="W5" s="10">
        <f>SUM('Plant Inputs'!Y5,'Plant Inputs'!Y11,'Plant Inputs'!Y17)</f>
        <v>1003677.6000000001</v>
      </c>
      <c r="X5" s="10">
        <f>SUM('Plant Inputs'!Z5,'Plant Inputs'!Z11,'Plant Inputs'!Z17)</f>
        <v>266120.60000000003</v>
      </c>
      <c r="Y5" s="10">
        <f>SUM('Plant Inputs'!AA5,'Plant Inputs'!AA11,'Plant Inputs'!AA17)</f>
        <v>3769.6</v>
      </c>
      <c r="Z5" s="10">
        <f>SUM('Plant Inputs'!AB5,'Plant Inputs'!AB11,'Plant Inputs'!AB17)</f>
        <v>702326.0</v>
      </c>
      <c r="AA5" s="10">
        <f>SUM('Plant Inputs'!AC5,'Plant Inputs'!AC11,'Plant Inputs'!AC17)</f>
        <v>188840.0</v>
      </c>
      <c r="AB5" s="10">
        <f>SUM('Plant Inputs'!AD5,'Plant Inputs'!AD11,'Plant Inputs'!AD17)</f>
        <v>1006841.0</v>
      </c>
      <c r="AC5" s="10">
        <f>SUM('Plant Inputs'!AE5,'Plant Inputs'!AE11,'Plant Inputs'!AE17)</f>
        <v>43812.0</v>
      </c>
      <c r="AD5" s="10">
        <f>SUM('Plant Inputs'!AF5,'Plant Inputs'!AF11,'Plant Inputs'!AF17)</f>
        <v>6.0</v>
      </c>
      <c r="AE5" s="10">
        <f>SUM('Plant Inputs'!AG5,'Plant Inputs'!AG11,'Plant Inputs'!AG17)</f>
        <v>211000.0</v>
      </c>
      <c r="AF5" s="10">
        <f>SUM('Plant Inputs'!AH5,'Plant Inputs'!AH11,'Plant Inputs'!AH17)</f>
        <v>2.0</v>
      </c>
      <c r="AG5" s="10">
        <f>SUM('Plant Inputs'!AI5,'Plant Inputs'!AI11,'Plant Inputs'!AI17)</f>
        <v>0.0</v>
      </c>
      <c r="AH5" s="10">
        <f>SUM('Plant Inputs'!AJ5,'Plant Inputs'!AJ11,'Plant Inputs'!AJ17)</f>
        <v>18.0</v>
      </c>
      <c r="AI5" s="10">
        <f>SUM('Plant Inputs'!AK5,'Plant Inputs'!AK11,'Plant Inputs'!AK17)</f>
        <v>0.0</v>
      </c>
      <c r="AJ5" s="10">
        <f>SUM('Plant Inputs'!AL5,'Plant Inputs'!AL11,'Plant Inputs'!AL17)</f>
        <v>1.0</v>
      </c>
      <c r="AK5" s="10">
        <f>SUM('Plant Inputs'!AM5,'Plant Inputs'!AM11,'Plant Inputs'!AM17)</f>
        <v>0.0</v>
      </c>
      <c r="AL5" s="10">
        <f>SUM('Plant Inputs'!AN5,'Plant Inputs'!AN11,'Plant Inputs'!AN17)</f>
        <v>26.0</v>
      </c>
      <c r="AM5" s="10">
        <f>SUM('Plant Inputs'!AO5,'Plant Inputs'!AO11,'Plant Inputs'!AO17)</f>
        <v>5.0</v>
      </c>
      <c r="AN5" s="10">
        <f>SUM('Plant Inputs'!AP5,'Plant Inputs'!AP11,'Plant Inputs'!AP17)</f>
        <v>3.0</v>
      </c>
      <c r="AO5" s="10">
        <f>SUM('Plant Inputs'!AQ5,'Plant Inputs'!AQ11,'Plant Inputs'!AQ17)</f>
        <v>3.0</v>
      </c>
      <c r="AP5" s="10">
        <f>SUM('Plant Inputs'!AR5,'Plant Inputs'!AR11,'Plant Inputs'!AR17)</f>
        <v>0.0</v>
      </c>
      <c r="AQ5" s="10">
        <f>SUM('Plant Inputs'!AS5,'Plant Inputs'!AS11,'Plant Inputs'!AS17)</f>
        <v>683.0</v>
      </c>
      <c r="AR5" s="10">
        <f>SUM('Plant Inputs'!AT5,'Plant Inputs'!AT11,'Plant Inputs'!AT17)</f>
        <v>43.0</v>
      </c>
      <c r="AS5" s="10">
        <f>MIN('Plant Inputs'!AU5,'Plant Inputs'!AU11,'Plant Inputs'!AU17)</f>
        <v>185</v>
      </c>
      <c r="AT5" s="10">
        <f>SUM('Plant Inputs'!AV5,'Plant Inputs'!AV11,'Plant Inputs'!AV17)</f>
        <v>301046.0</v>
      </c>
      <c r="AU5" s="10">
        <f>SUM('Plant Inputs'!AW5,'Plant Inputs'!AW11,'Plant Inputs'!AW17)</f>
        <v>344116.0</v>
      </c>
      <c r="AV5" s="10">
        <f>SUM('Plant Inputs'!AX5,'Plant Inputs'!AX11,'Plant Inputs'!AX17)</f>
        <v>1125908.0</v>
      </c>
      <c r="AW5" s="10">
        <f>SUM('Plant Inputs'!AY5,'Plant Inputs'!AY11,'Plant Inputs'!AY17)</f>
        <v>1293876.2000000002</v>
      </c>
      <c r="AX5" s="10">
        <f>SUM('Plant Inputs'!AZ5,'Plant Inputs'!AZ11,'Plant Inputs'!AZ17)</f>
        <v>55719.600000000006</v>
      </c>
      <c r="AY5" s="10">
        <f>SUM('Plant Inputs'!BA5,'Plant Inputs'!BA11,'Plant Inputs'!BA17)</f>
        <v>46164.100000000006</v>
      </c>
      <c r="AZ5" s="10">
        <f>SUM('Plant Inputs'!BB5,'Plant Inputs'!BB11,'Plant Inputs'!BB17)</f>
        <v>572.0</v>
      </c>
      <c r="BA5" s="10">
        <f>SUM('Plant Inputs'!BC5,'Plant Inputs'!BC11,'Plant Inputs'!BC17)</f>
        <v>506.0</v>
      </c>
      <c r="BB5" s="10">
        <f>SUM('Plant Inputs'!BD5,'Plant Inputs'!BD11,'Plant Inputs'!BD17)</f>
        <v>330685.0</v>
      </c>
      <c r="BC5" s="10">
        <f>SUM('Plant Inputs'!BE5,'Plant Inputs'!BE11,'Plant Inputs'!BE17)</f>
        <v>318817.0</v>
      </c>
      <c r="BD5" s="10">
        <f>SUM('Plant Inputs'!BF5,'Plant Inputs'!BF11,'Plant Inputs'!BF17)</f>
        <v>2613.0</v>
      </c>
      <c r="BE5" s="10">
        <f>SUM('Plant Inputs'!BG5,'Plant Inputs'!BG11,'Plant Inputs'!BG17)</f>
        <v>2632.0</v>
      </c>
      <c r="BF5" s="10">
        <f>SUM('Plant Inputs'!BH5,'Plant Inputs'!BH11,'Plant Inputs'!BH17)</f>
        <v>2716.0</v>
      </c>
      <c r="BG5" s="10">
        <f>SUM('Plant Inputs'!BI5,'Plant Inputs'!BI11,'Plant Inputs'!BI17)</f>
        <v>554781.7</v>
      </c>
      <c r="BH5" s="10">
        <f>SUM('Plant Inputs'!BJ5,'Plant Inputs'!BJ11,'Plant Inputs'!BJ17)</f>
        <v>222154.6</v>
      </c>
      <c r="BI5" s="10">
        <f>SUM('Plant Inputs'!BK5,'Plant Inputs'!BK11,'Plant Inputs'!BK17)</f>
        <v>0.0</v>
      </c>
      <c r="BJ5" s="10">
        <f>SUM('Plant Inputs'!BL5,'Plant Inputs'!BL11,'Plant Inputs'!BL17)</f>
        <v>2.0</v>
      </c>
      <c r="BK5" s="10">
        <f>SUM('Plant Inputs'!BM5,'Plant Inputs'!BM11,'Plant Inputs'!BM17)</f>
        <v>1.0</v>
      </c>
      <c r="BL5" s="10">
        <f>SUM('Plant Inputs'!BN5,'Plant Inputs'!BN11,'Plant Inputs'!BN17)</f>
        <v>1.0</v>
      </c>
      <c r="BM5" s="10">
        <f>SUM('Plant Inputs'!BO5,'Plant Inputs'!BO11,'Plant Inputs'!BO17)</f>
        <v>1.0</v>
      </c>
      <c r="BN5" s="10">
        <f>SUM('Plant Inputs'!BP5,'Plant Inputs'!BP11,'Plant Inputs'!BP17)</f>
        <v>0.0</v>
      </c>
      <c r="BO5" s="10">
        <f>SUM('Plant Inputs'!BQ5,'Plant Inputs'!BQ11,'Plant Inputs'!BQ17)</f>
        <v>0.0</v>
      </c>
      <c r="BP5" s="10">
        <f>SUM('Plant Inputs'!BR5,'Plant Inputs'!BR11,'Plant Inputs'!BR17)</f>
        <v>0.0</v>
      </c>
      <c r="BQ5" s="10">
        <f>SUM('Plant Inputs'!BS5,'Plant Inputs'!BS11,'Plant Inputs'!BS17)</f>
        <v>0.0</v>
      </c>
      <c r="BR5" s="10">
        <f>SUM('Plant Inputs'!BT5,'Plant Inputs'!BT11,'Plant Inputs'!BT17)</f>
        <v>0.0</v>
      </c>
      <c r="BS5" s="10">
        <f>SUM('Plant Inputs'!BU5,'Plant Inputs'!BU11,'Plant Inputs'!BU17)</f>
        <v>0.0</v>
      </c>
      <c r="BT5" s="10">
        <f>MIN('Plant Inputs'!BV5,'Plant Inputs'!BV11,'Plant Inputs'!BV17)</f>
        <v>12</v>
      </c>
      <c r="BU5" s="10">
        <f>SUM('Plant Inputs'!BW5,'Plant Inputs'!BW11,'Plant Inputs'!BW17)</f>
        <v>350845.0</v>
      </c>
      <c r="BV5" s="10">
        <f>SUM('Plant Inputs'!BX5,'Plant Inputs'!BX11,'Plant Inputs'!BX17)</f>
        <v>344395.0</v>
      </c>
      <c r="BW5" s="10">
        <f>SUM('Plant Inputs'!BY5,'Plant Inputs'!BY11,'Plant Inputs'!BY17)</f>
        <v>158876053.0</v>
      </c>
      <c r="BX5" s="10">
        <f>SUM('Plant Inputs'!BZ5,'Plant Inputs'!BZ11,'Plant Inputs'!BZ17)</f>
        <v>384488.0</v>
      </c>
      <c r="BY5" s="10">
        <f>SUM('Plant Inputs'!CA5,'Plant Inputs'!CA11,'Plant Inputs'!CA17)</f>
        <v>15568.0</v>
      </c>
      <c r="BZ5" s="21">
        <v>50704.9</v>
      </c>
      <c r="CA5" s="21">
        <v>14276.1</v>
      </c>
      <c r="CB5" s="21">
        <v>10843200</v>
      </c>
      <c r="CC5" s="21">
        <v>4689727.1</v>
      </c>
      <c r="CD5" s="21">
        <v>927727.1</v>
      </c>
      <c r="CE5" s="21">
        <v>438182.1</v>
      </c>
      <c r="CF5" s="21">
        <v>39501</v>
      </c>
      <c r="CG5" s="21">
        <v>484600.2</v>
      </c>
      <c r="CH5" s="21">
        <v>1326721.5</v>
      </c>
      <c r="CI5" s="21">
        <v>67821.89999999999</v>
      </c>
      <c r="CJ5" s="21">
        <v>1128801.3</v>
      </c>
      <c r="CK5" s="21">
        <v>1918893.1</v>
      </c>
      <c r="CL5" s="21">
        <v>1294064.9</v>
      </c>
      <c r="CM5" s="21">
        <v>1295301.1</v>
      </c>
      <c r="CN5" s="21">
        <v>1117881.8</v>
      </c>
      <c r="CO5" s="21">
        <v>812.1</v>
      </c>
      <c r="CP5" s="21">
        <v>123248</v>
      </c>
      <c r="CQ5" s="21">
        <v>123248</v>
      </c>
      <c r="CR5" s="21">
        <v>382</v>
      </c>
      <c r="CS5" s="21">
        <v>17264</v>
      </c>
      <c r="CT5" s="21">
        <v>17190</v>
      </c>
      <c r="CU5" s="21">
        <v>0</v>
      </c>
      <c r="CV5" s="21">
        <v>403490.1</v>
      </c>
      <c r="CW5" s="21">
        <v>409969.6</v>
      </c>
      <c r="CX5" s="21">
        <v>76015</v>
      </c>
      <c r="CY5" s="21">
        <v>3729497.8</v>
      </c>
      <c r="CZ5" s="21">
        <v>797457</v>
      </c>
      <c r="DA5" s="21">
        <v>402268.2</v>
      </c>
      <c r="DB5" s="21">
        <v>277847.9</v>
      </c>
      <c r="DC5" s="21">
        <v>324638.2</v>
      </c>
      <c r="DD5" s="21">
        <v>229566.1</v>
      </c>
      <c r="DE5" s="21">
        <v>3941.5</v>
      </c>
      <c r="DF5" s="21">
        <v>4320.5</v>
      </c>
      <c r="DG5" s="21">
        <v>2519902.8</v>
      </c>
      <c r="DH5" s="21">
        <v>1969944</v>
      </c>
      <c r="DI5" s="21">
        <v>1000000</v>
      </c>
      <c r="DJ5" s="21">
        <v>500855.7</v>
      </c>
      <c r="DK5" s="21">
        <v>75177.60000000001</v>
      </c>
      <c r="DL5" s="21">
        <v>422000</v>
      </c>
      <c r="DM5" s="21">
        <v>25527.6</v>
      </c>
      <c r="DN5" s="21">
        <v>5</v>
      </c>
      <c r="DO5" s="21">
        <v>1</v>
      </c>
      <c r="DP5" s="21">
        <v>0</v>
      </c>
      <c r="DQ5" s="21">
        <v>0</v>
      </c>
      <c r="DR5" s="21">
        <v>6</v>
      </c>
      <c r="DS5" s="21">
        <v>17</v>
      </c>
      <c r="DT5" s="21">
        <v>5</v>
      </c>
      <c r="DU5" s="21">
        <v>2</v>
      </c>
      <c r="DV5" s="21">
        <v>1</v>
      </c>
      <c r="DW5" s="21">
        <v>60</v>
      </c>
      <c r="DX5" s="21">
        <v>21</v>
      </c>
      <c r="DY5" s="21">
        <v>5163.3</v>
      </c>
      <c r="DZ5" s="21">
        <v>3608.4</v>
      </c>
      <c r="EA5" s="21">
        <v>951.1</v>
      </c>
      <c r="EB5" s="21">
        <v>446.1</v>
      </c>
      <c r="EC5" s="21">
        <v>650.5</v>
      </c>
      <c r="ED5" s="21">
        <v>72</v>
      </c>
      <c r="EE5" s="21">
        <v>68</v>
      </c>
      <c r="EF5" s="21">
        <v>2</v>
      </c>
      <c r="EG5" s="21">
        <v>0</v>
      </c>
      <c r="EH5" s="21">
        <v>2</v>
      </c>
      <c r="EI5" s="21">
        <v>0</v>
      </c>
      <c r="EJ5" s="21">
        <v>0</v>
      </c>
      <c r="EK5" s="21">
        <v>1</v>
      </c>
      <c r="EL5" s="21">
        <v>0</v>
      </c>
      <c r="EM5" s="21">
        <v>0</v>
      </c>
      <c r="EN5" s="21">
        <v>0</v>
      </c>
      <c r="EO5" s="21">
        <v>0</v>
      </c>
      <c r="EP5" s="21">
        <v>0</v>
      </c>
      <c r="EQ5" s="21">
        <v>0</v>
      </c>
      <c r="ER5" s="21">
        <v>0</v>
      </c>
      <c r="ES5" s="21">
        <v>1</v>
      </c>
      <c r="ET5" s="21">
        <v>0</v>
      </c>
      <c r="EU5" s="21">
        <v>1</v>
      </c>
      <c r="EV5" s="21">
        <v>3</v>
      </c>
      <c r="EW5" s="21">
        <v>0</v>
      </c>
      <c r="EX5" s="21">
        <v>0</v>
      </c>
      <c r="EY5" s="21">
        <v>0</v>
      </c>
      <c r="EZ5" s="21">
        <v>50</v>
      </c>
      <c r="FA5" s="21">
        <v>43</v>
      </c>
      <c r="FB5" s="21">
        <v>3</v>
      </c>
      <c r="FC5" s="21">
        <v>85</v>
      </c>
      <c r="FD5" s="21">
        <v>28</v>
      </c>
      <c r="FE5" s="21">
        <v>23</v>
      </c>
      <c r="FF5" s="21">
        <v>26</v>
      </c>
      <c r="FG5" s="21">
        <v>0</v>
      </c>
      <c r="FH5" s="21">
        <v>1</v>
      </c>
      <c r="FI5" s="21">
        <v>0</v>
      </c>
      <c r="FJ5" s="21">
        <v>488893</v>
      </c>
      <c r="FK5" s="21">
        <v>485890</v>
      </c>
      <c r="FL5" s="21">
        <v>400</v>
      </c>
      <c r="FM5" s="21">
        <v>379</v>
      </c>
      <c r="FN5" s="21">
        <v>0</v>
      </c>
      <c r="FO5" s="21">
        <v>0</v>
      </c>
      <c r="FP5" s="21">
        <v>0</v>
      </c>
      <c r="FQ5" s="21">
        <v>4</v>
      </c>
      <c r="FR5" s="21">
        <v>11.6</v>
      </c>
      <c r="FS5" s="21">
        <v>3</v>
      </c>
      <c r="FT5" s="21">
        <v>0</v>
      </c>
      <c r="FU5" s="21">
        <v>0</v>
      </c>
      <c r="FV5" s="21">
        <v>0</v>
      </c>
      <c r="FW5" s="21">
        <v>999</v>
      </c>
      <c r="FX5" s="21">
        <v>48889.9</v>
      </c>
      <c r="FY5" s="21">
        <v>48167.4</v>
      </c>
      <c r="FZ5" s="12">
        <f>AV5-W5-Y5-BZ5</f>
        <v>67755.8999999999</v>
      </c>
      <c r="GA5" s="12">
        <f>FZ5-AY5</f>
        <v>21591.7999999999</v>
      </c>
      <c r="GB5" s="12">
        <f>CK5+CM5-CL5</f>
        <v>1920129.3000000003</v>
      </c>
      <c r="GC5" s="12">
        <f>GB5-GB4</f>
        <v>-221558.80000000028</v>
      </c>
      <c r="GD5" s="12">
        <f>FZ5-CA5-GC5</f>
        <v>275038.6000000002</v>
      </c>
      <c r="GE5" s="12">
        <f>GD5-DK5</f>
        <v>199861.0000000002</v>
      </c>
      <c r="GF5" s="12">
        <f>CC5-CD5</f>
        <v>3761999.9999999995</v>
      </c>
      <c r="GG5" s="12">
        <f>SUM(FZ$4:FZ5)*12/E5</f>
        <v>1413666.5999999987</v>
      </c>
      <c r="GH5" s="12">
        <f>IF(AV5=0,0,CK5/AV5*D5)</f>
        <v>52.83352289885141</v>
      </c>
      <c r="GI5" s="12">
        <f>IF(W5=0,0,CL5/W5*D5)</f>
        <v>39.96902182533514</v>
      </c>
      <c r="GJ5" s="12">
        <f>IF(W5=0,0,CM5/W5*D5)</f>
        <v>40.007203608011174</v>
      </c>
      <c r="GK5" s="12">
        <f>IF(OR(AT5=0,AU5=0,AW5=0),0,100*((AV5/AT5)/(AW5/AU5)-1))</f>
        <v>-0.5322748802444099</v>
      </c>
    </row>
    <row r="6" spans="1:193">
      <c r="A6" t="s">
        <v>19</v>
      </c>
      <c r="B6" t="s">
        <v>179</v>
      </c>
      <c r="C6" t="s">
        <v>183</v>
      </c>
      <c r="D6">
        <v>30</v>
      </c>
      <c r="E6">
        <v>3</v>
      </c>
      <c r="F6" s="10">
        <f>SUM('Plant Inputs'!H6,'Plant Inputs'!H12,'Plant Inputs'!H18)</f>
        <v>2160.0</v>
      </c>
      <c r="G6" s="10">
        <f>SUM('Plant Inputs'!I6,'Plant Inputs'!I12,'Plant Inputs'!I18)</f>
        <v>2157.0</v>
      </c>
      <c r="H6" s="10">
        <f>SUM('Plant Inputs'!J6,'Plant Inputs'!J12,'Plant Inputs'!J18)</f>
        <v>2023.7</v>
      </c>
      <c r="I6" s="10">
        <f>SUM('Plant Inputs'!K6,'Plant Inputs'!K12,'Plant Inputs'!K18)</f>
        <v>85.7</v>
      </c>
      <c r="J6" s="10">
        <f>SUM('Plant Inputs'!L6,'Plant Inputs'!L12,'Plant Inputs'!L18)</f>
        <v>396405.0</v>
      </c>
      <c r="K6" s="10">
        <f>SUM('Plant Inputs'!M6,'Plant Inputs'!M12,'Plant Inputs'!M18)</f>
        <v>397008.0</v>
      </c>
      <c r="L6" s="10">
        <f>SUM('Plant Inputs'!N6,'Plant Inputs'!N12,'Plant Inputs'!N18)</f>
        <v>350330.0</v>
      </c>
      <c r="M6" s="10">
        <f>SUM('Plant Inputs'!O6,'Plant Inputs'!O12,'Plant Inputs'!O18)</f>
        <v>315205.0</v>
      </c>
      <c r="N6" s="10">
        <f>SUM('Plant Inputs'!P6,'Plant Inputs'!P12,'Plant Inputs'!P18)</f>
        <v>302144.0</v>
      </c>
      <c r="O6" s="10">
        <f>SUM('Plant Inputs'!Q6,'Plant Inputs'!Q12,'Plant Inputs'!Q18)</f>
        <v>324030.0</v>
      </c>
      <c r="P6" s="10">
        <f>SUM('Plant Inputs'!R6,'Plant Inputs'!R12,'Plant Inputs'!R18)</f>
        <v>68775.0</v>
      </c>
      <c r="Q6" s="10">
        <f>SUM('Plant Inputs'!S6,'Plant Inputs'!S12,'Plant Inputs'!S18)</f>
        <v>59968.0</v>
      </c>
      <c r="R6" s="10">
        <f>SUM('Plant Inputs'!T6,'Plant Inputs'!T12,'Plant Inputs'!T18)</f>
        <v>16320.0</v>
      </c>
      <c r="S6" s="10">
        <f>SUM('Plant Inputs'!U6,'Plant Inputs'!U12,'Plant Inputs'!U18)</f>
        <v>10.0</v>
      </c>
      <c r="T6" s="10">
        <f>SUM('Plant Inputs'!V6,'Plant Inputs'!V12,'Plant Inputs'!V18)</f>
        <v>70.4</v>
      </c>
      <c r="U6" s="10">
        <f>SUM('Plant Inputs'!W6,'Plant Inputs'!W12,'Plant Inputs'!W18)</f>
        <v>134.0</v>
      </c>
      <c r="V6" s="10">
        <f>SUM('Plant Inputs'!X6,'Plant Inputs'!X12,'Plant Inputs'!X18)</f>
        <v>124.0</v>
      </c>
      <c r="W6" s="10">
        <f>SUM('Plant Inputs'!Y6,'Plant Inputs'!Y12,'Plant Inputs'!Y18)</f>
        <v>936612.8</v>
      </c>
      <c r="X6" s="10">
        <f>SUM('Plant Inputs'!Z6,'Plant Inputs'!Z12,'Plant Inputs'!Z18)</f>
        <v>240228.4</v>
      </c>
      <c r="Y6" s="10">
        <f>SUM('Plant Inputs'!AA6,'Plant Inputs'!AA12,'Plant Inputs'!AA18)</f>
        <v>3155.0</v>
      </c>
      <c r="Z6" s="10">
        <f>SUM('Plant Inputs'!AB6,'Plant Inputs'!AB12,'Plant Inputs'!AB18)</f>
        <v>622781.0</v>
      </c>
      <c r="AA6" s="10">
        <f>SUM('Plant Inputs'!AC6,'Plant Inputs'!AC12,'Plant Inputs'!AC18)</f>
        <v>188173.0</v>
      </c>
      <c r="AB6" s="10">
        <f>SUM('Plant Inputs'!AD6,'Plant Inputs'!AD12,'Plant Inputs'!AD18)</f>
        <v>989137.0</v>
      </c>
      <c r="AC6" s="10">
        <f>SUM('Plant Inputs'!AE6,'Plant Inputs'!AE12,'Plant Inputs'!AE18)</f>
        <v>49614.0</v>
      </c>
      <c r="AD6" s="10">
        <f>SUM('Plant Inputs'!AF6,'Plant Inputs'!AF12,'Plant Inputs'!AF18)</f>
        <v>5.0</v>
      </c>
      <c r="AE6" s="10">
        <f>SUM('Plant Inputs'!AG6,'Plant Inputs'!AG12,'Plant Inputs'!AG18)</f>
        <v>225000.0</v>
      </c>
      <c r="AF6" s="10">
        <f>SUM('Plant Inputs'!AH6,'Plant Inputs'!AH12,'Plant Inputs'!AH18)</f>
        <v>3.0</v>
      </c>
      <c r="AG6" s="10">
        <f>SUM('Plant Inputs'!AI6,'Plant Inputs'!AI12,'Plant Inputs'!AI18)</f>
        <v>0.0</v>
      </c>
      <c r="AH6" s="10">
        <f>SUM('Plant Inputs'!AJ6,'Plant Inputs'!AJ12,'Plant Inputs'!AJ18)</f>
        <v>22.0</v>
      </c>
      <c r="AI6" s="10">
        <f>SUM('Plant Inputs'!AK6,'Plant Inputs'!AK12,'Plant Inputs'!AK18)</f>
        <v>0.0</v>
      </c>
      <c r="AJ6" s="10">
        <f>SUM('Plant Inputs'!AL6,'Plant Inputs'!AL12,'Plant Inputs'!AL18)</f>
        <v>1.0</v>
      </c>
      <c r="AK6" s="10">
        <f>SUM('Plant Inputs'!AM6,'Plant Inputs'!AM12,'Plant Inputs'!AM18)</f>
        <v>0.0</v>
      </c>
      <c r="AL6" s="10">
        <f>SUM('Plant Inputs'!AN6,'Plant Inputs'!AN12,'Plant Inputs'!AN18)</f>
        <v>23.0</v>
      </c>
      <c r="AM6" s="10">
        <f>SUM('Plant Inputs'!AO6,'Plant Inputs'!AO12,'Plant Inputs'!AO18)</f>
        <v>4.0</v>
      </c>
      <c r="AN6" s="10">
        <f>SUM('Plant Inputs'!AP6,'Plant Inputs'!AP12,'Plant Inputs'!AP18)</f>
        <v>4.0</v>
      </c>
      <c r="AO6" s="10">
        <f>SUM('Plant Inputs'!AQ6,'Plant Inputs'!AQ12,'Plant Inputs'!AQ18)</f>
        <v>3.0</v>
      </c>
      <c r="AP6" s="10">
        <f>SUM('Plant Inputs'!AR6,'Plant Inputs'!AR12,'Plant Inputs'!AR18)</f>
        <v>1.0</v>
      </c>
      <c r="AQ6" s="10">
        <f>SUM('Plant Inputs'!AS6,'Plant Inputs'!AS12,'Plant Inputs'!AS18)</f>
        <v>523.0</v>
      </c>
      <c r="AR6" s="10">
        <f>SUM('Plant Inputs'!AT6,'Plant Inputs'!AT12,'Plant Inputs'!AT18)</f>
        <v>45.0</v>
      </c>
      <c r="AS6" s="10">
        <f>MIN('Plant Inputs'!AU6,'Plant Inputs'!AU12,'Plant Inputs'!AU18)</f>
        <v>155</v>
      </c>
      <c r="AT6" s="10">
        <f>SUM('Plant Inputs'!AV6,'Plant Inputs'!AV12,'Plant Inputs'!AV18)</f>
        <v>298382.0</v>
      </c>
      <c r="AU6" s="10">
        <f>SUM('Plant Inputs'!AW6,'Plant Inputs'!AW12,'Plant Inputs'!AW18)</f>
        <v>351394.0</v>
      </c>
      <c r="AV6" s="10">
        <f>SUM('Plant Inputs'!AX6,'Plant Inputs'!AX12,'Plant Inputs'!AX18)</f>
        <v>1122941.6</v>
      </c>
      <c r="AW6" s="10">
        <f>SUM('Plant Inputs'!AY6,'Plant Inputs'!AY12,'Plant Inputs'!AY18)</f>
        <v>1321241.4</v>
      </c>
      <c r="AX6" s="10">
        <f>SUM('Plant Inputs'!AZ6,'Plant Inputs'!AZ12,'Plant Inputs'!AZ18)</f>
        <v>54701.1</v>
      </c>
      <c r="AY6" s="10">
        <f>SUM('Plant Inputs'!BA6,'Plant Inputs'!BA12,'Plant Inputs'!BA18)</f>
        <v>46544.7</v>
      </c>
      <c r="AZ6" s="10">
        <f>SUM('Plant Inputs'!BB6,'Plant Inputs'!BB12,'Plant Inputs'!BB18)</f>
        <v>629.0</v>
      </c>
      <c r="BA6" s="10">
        <f>SUM('Plant Inputs'!BC6,'Plant Inputs'!BC12,'Plant Inputs'!BC18)</f>
        <v>569.0</v>
      </c>
      <c r="BB6" s="10">
        <f>SUM('Plant Inputs'!BD6,'Plant Inputs'!BD12,'Plant Inputs'!BD18)</f>
        <v>323536.0</v>
      </c>
      <c r="BC6" s="10">
        <f>SUM('Plant Inputs'!BE6,'Plant Inputs'!BE12,'Plant Inputs'!BE18)</f>
        <v>313013.0</v>
      </c>
      <c r="BD6" s="10">
        <f>SUM('Plant Inputs'!BF6,'Plant Inputs'!BF12,'Plant Inputs'!BF18)</f>
        <v>3081.0</v>
      </c>
      <c r="BE6" s="10">
        <f>SUM('Plant Inputs'!BG6,'Plant Inputs'!BG12,'Plant Inputs'!BG18)</f>
        <v>2282.0</v>
      </c>
      <c r="BF6" s="10">
        <f>SUM('Plant Inputs'!BH6,'Plant Inputs'!BH12,'Plant Inputs'!BH18)</f>
        <v>2372.0</v>
      </c>
      <c r="BG6" s="10">
        <f>SUM('Plant Inputs'!BI6,'Plant Inputs'!BI12,'Plant Inputs'!BI18)</f>
        <v>536546.4</v>
      </c>
      <c r="BH6" s="10">
        <f>SUM('Plant Inputs'!BJ6,'Plant Inputs'!BJ12,'Plant Inputs'!BJ18)</f>
        <v>205625.3</v>
      </c>
      <c r="BI6" s="10">
        <f>SUM('Plant Inputs'!BK6,'Plant Inputs'!BK12,'Plant Inputs'!BK18)</f>
        <v>1.0</v>
      </c>
      <c r="BJ6" s="10">
        <f>SUM('Plant Inputs'!BL6,'Plant Inputs'!BL12,'Plant Inputs'!BL18)</f>
        <v>0.0</v>
      </c>
      <c r="BK6" s="10">
        <f>SUM('Plant Inputs'!BM6,'Plant Inputs'!BM12,'Plant Inputs'!BM18)</f>
        <v>0.0</v>
      </c>
      <c r="BL6" s="10">
        <f>SUM('Plant Inputs'!BN6,'Plant Inputs'!BN12,'Plant Inputs'!BN18)</f>
        <v>2.0</v>
      </c>
      <c r="BM6" s="10">
        <f>SUM('Plant Inputs'!BO6,'Plant Inputs'!BO12,'Plant Inputs'!BO18)</f>
        <v>2.0</v>
      </c>
      <c r="BN6" s="10">
        <f>SUM('Plant Inputs'!BP6,'Plant Inputs'!BP12,'Plant Inputs'!BP18)</f>
        <v>0.0</v>
      </c>
      <c r="BO6" s="10">
        <f>SUM('Plant Inputs'!BQ6,'Plant Inputs'!BQ12,'Plant Inputs'!BQ18)</f>
        <v>0.0</v>
      </c>
      <c r="BP6" s="10">
        <f>SUM('Plant Inputs'!BR6,'Plant Inputs'!BR12,'Plant Inputs'!BR18)</f>
        <v>0.0</v>
      </c>
      <c r="BQ6" s="10">
        <f>SUM('Plant Inputs'!BS6,'Plant Inputs'!BS12,'Plant Inputs'!BS18)</f>
        <v>0.0</v>
      </c>
      <c r="BR6" s="10">
        <f>SUM('Plant Inputs'!BT6,'Plant Inputs'!BT12,'Plant Inputs'!BT18)</f>
        <v>0.0</v>
      </c>
      <c r="BS6" s="10">
        <f>SUM('Plant Inputs'!BU6,'Plant Inputs'!BU12,'Plant Inputs'!BU18)</f>
        <v>0.0</v>
      </c>
      <c r="BT6" s="10">
        <f>MIN('Plant Inputs'!BV6,'Plant Inputs'!BV12,'Plant Inputs'!BV18)</f>
        <v>18</v>
      </c>
      <c r="BU6" s="10">
        <f>SUM('Plant Inputs'!BW6,'Plant Inputs'!BW12,'Plant Inputs'!BW18)</f>
        <v>351296.0</v>
      </c>
      <c r="BV6" s="10">
        <f>SUM('Plant Inputs'!BX6,'Plant Inputs'!BX12,'Plant Inputs'!BX18)</f>
        <v>342407.0</v>
      </c>
      <c r="BW6" s="10">
        <f>SUM('Plant Inputs'!BY6,'Plant Inputs'!BY12,'Plant Inputs'!BY18)</f>
        <v>141852847.0</v>
      </c>
      <c r="BX6" s="10">
        <f>SUM('Plant Inputs'!BZ6,'Plant Inputs'!BZ12,'Plant Inputs'!BZ18)</f>
        <v>396405.0</v>
      </c>
      <c r="BY6" s="10">
        <f>SUM('Plant Inputs'!CA6,'Plant Inputs'!CA12,'Plant Inputs'!CA18)</f>
        <v>15624.0</v>
      </c>
      <c r="BZ6" s="21">
        <v>48811.1</v>
      </c>
      <c r="CA6" s="21">
        <v>29278.7</v>
      </c>
      <c r="CB6" s="21">
        <v>10886400</v>
      </c>
      <c r="CC6" s="21">
        <v>4635169.6</v>
      </c>
      <c r="CD6" s="21">
        <v>911169.6</v>
      </c>
      <c r="CE6" s="21">
        <v>460112.3</v>
      </c>
      <c r="CF6" s="21">
        <v>39102</v>
      </c>
      <c r="CG6" s="21">
        <v>476219.3</v>
      </c>
      <c r="CH6" s="21">
        <v>1378110</v>
      </c>
      <c r="CI6" s="21">
        <v>133983.3</v>
      </c>
      <c r="CJ6" s="21">
        <v>1126086</v>
      </c>
      <c r="CK6" s="21">
        <v>1943165.8</v>
      </c>
      <c r="CL6" s="21">
        <v>1271185.4</v>
      </c>
      <c r="CM6" s="21">
        <v>1281353</v>
      </c>
      <c r="CN6" s="21">
        <v>1116529.3</v>
      </c>
      <c r="CO6" s="21">
        <v>735.6</v>
      </c>
      <c r="CP6" s="21">
        <v>117650.6</v>
      </c>
      <c r="CQ6" s="21">
        <v>117650.6</v>
      </c>
      <c r="CR6" s="21">
        <v>425</v>
      </c>
      <c r="CS6" s="21">
        <v>19112</v>
      </c>
      <c r="CT6" s="21">
        <v>19125</v>
      </c>
      <c r="CU6" s="21">
        <v>0</v>
      </c>
      <c r="CV6" s="21">
        <v>802788</v>
      </c>
      <c r="CW6" s="21">
        <v>808463.3</v>
      </c>
      <c r="CX6" s="21">
        <v>155641.9</v>
      </c>
      <c r="CY6" s="21">
        <v>3675892.6</v>
      </c>
      <c r="CZ6" s="21">
        <v>1569788.9</v>
      </c>
      <c r="DA6" s="21">
        <v>418805.1</v>
      </c>
      <c r="DB6" s="21">
        <v>306320.8</v>
      </c>
      <c r="DC6" s="21">
        <v>327500.7</v>
      </c>
      <c r="DD6" s="21">
        <v>240203.5</v>
      </c>
      <c r="DE6" s="21">
        <v>4261.9</v>
      </c>
      <c r="DF6" s="21">
        <v>4555.5</v>
      </c>
      <c r="DG6" s="21">
        <v>2534835.3</v>
      </c>
      <c r="DH6" s="21">
        <v>1925015.9</v>
      </c>
      <c r="DI6" s="21">
        <v>1000000</v>
      </c>
      <c r="DJ6" s="21">
        <v>561019.6</v>
      </c>
      <c r="DK6" s="21">
        <v>73628.5</v>
      </c>
      <c r="DL6" s="21">
        <v>464000</v>
      </c>
      <c r="DM6" s="21">
        <v>21951.6</v>
      </c>
      <c r="DN6" s="21">
        <v>5</v>
      </c>
      <c r="DO6" s="21">
        <v>1</v>
      </c>
      <c r="DP6" s="21">
        <v>0</v>
      </c>
      <c r="DQ6" s="21">
        <v>0</v>
      </c>
      <c r="DR6" s="21">
        <v>4</v>
      </c>
      <c r="DS6" s="21">
        <v>14</v>
      </c>
      <c r="DT6" s="21">
        <v>5</v>
      </c>
      <c r="DU6" s="21">
        <v>2</v>
      </c>
      <c r="DV6" s="21">
        <v>1</v>
      </c>
      <c r="DW6" s="21">
        <v>60</v>
      </c>
      <c r="DX6" s="21">
        <v>24</v>
      </c>
      <c r="DY6" s="21">
        <v>5112.3</v>
      </c>
      <c r="DZ6" s="21">
        <v>3419.9</v>
      </c>
      <c r="EA6" s="21">
        <v>1071.3</v>
      </c>
      <c r="EB6" s="21">
        <v>417.2</v>
      </c>
      <c r="EC6" s="21">
        <v>665.8</v>
      </c>
      <c r="ED6" s="21">
        <v>72</v>
      </c>
      <c r="EE6" s="21">
        <v>69</v>
      </c>
      <c r="EF6" s="21">
        <v>2</v>
      </c>
      <c r="EG6" s="21">
        <v>0</v>
      </c>
      <c r="EH6" s="21">
        <v>2</v>
      </c>
      <c r="EI6" s="21">
        <v>0</v>
      </c>
      <c r="EJ6" s="21">
        <v>0</v>
      </c>
      <c r="EK6" s="21">
        <v>0</v>
      </c>
      <c r="EL6" s="21">
        <v>0</v>
      </c>
      <c r="EM6" s="21">
        <v>0</v>
      </c>
      <c r="EN6" s="21">
        <v>0</v>
      </c>
      <c r="EO6" s="21">
        <v>0</v>
      </c>
      <c r="EP6" s="21">
        <v>0</v>
      </c>
      <c r="EQ6" s="21">
        <v>0</v>
      </c>
      <c r="ER6" s="21">
        <v>2</v>
      </c>
      <c r="ES6" s="21">
        <v>0</v>
      </c>
      <c r="ET6" s="21">
        <v>0</v>
      </c>
      <c r="EU6" s="21">
        <v>1</v>
      </c>
      <c r="EV6" s="21">
        <v>2</v>
      </c>
      <c r="EW6" s="21">
        <v>0</v>
      </c>
      <c r="EX6" s="21">
        <v>0</v>
      </c>
      <c r="EY6" s="21">
        <v>0</v>
      </c>
      <c r="EZ6" s="21">
        <v>50</v>
      </c>
      <c r="FA6" s="21">
        <v>43</v>
      </c>
      <c r="FB6" s="21">
        <v>1</v>
      </c>
      <c r="FC6" s="21">
        <v>30</v>
      </c>
      <c r="FD6" s="21">
        <v>28</v>
      </c>
      <c r="FE6" s="21">
        <v>23</v>
      </c>
      <c r="FF6" s="21">
        <v>26</v>
      </c>
      <c r="FG6" s="21">
        <v>0</v>
      </c>
      <c r="FH6" s="21">
        <v>1</v>
      </c>
      <c r="FI6" s="21">
        <v>0</v>
      </c>
      <c r="FJ6" s="21">
        <v>488990</v>
      </c>
      <c r="FK6" s="21">
        <v>485052</v>
      </c>
      <c r="FL6" s="21">
        <v>400</v>
      </c>
      <c r="FM6" s="21">
        <v>378</v>
      </c>
      <c r="FN6" s="21">
        <v>0</v>
      </c>
      <c r="FO6" s="21">
        <v>0</v>
      </c>
      <c r="FP6" s="21">
        <v>0</v>
      </c>
      <c r="FQ6" s="21">
        <v>4</v>
      </c>
      <c r="FR6" s="21">
        <v>11.7</v>
      </c>
      <c r="FS6" s="21">
        <v>4</v>
      </c>
      <c r="FT6" s="21">
        <v>1</v>
      </c>
      <c r="FU6" s="21">
        <v>1</v>
      </c>
      <c r="FV6" s="21">
        <v>1</v>
      </c>
      <c r="FW6" s="21">
        <v>999</v>
      </c>
      <c r="FX6" s="21">
        <v>48457.2</v>
      </c>
      <c r="FY6" s="21">
        <v>47741.1</v>
      </c>
      <c r="FZ6" s="12">
        <f>AV6-W6-Y6-BZ6</f>
        <v>134362.70000000004</v>
      </c>
      <c r="GA6" s="12">
        <f>FZ6-AY6</f>
        <v>87818.00000000004</v>
      </c>
      <c r="GB6" s="12">
        <f>CK6+CM6-CL6</f>
        <v>1953333.4</v>
      </c>
      <c r="GC6" s="12">
        <f>GB6-GB5</f>
        <v>33204.09999999963</v>
      </c>
      <c r="GD6" s="12">
        <f>FZ6-CA6-GC6</f>
        <v>71879.90000000042</v>
      </c>
      <c r="GE6" s="12">
        <f>GD6-DK6</f>
        <v>-1748.5999999995838</v>
      </c>
      <c r="GF6" s="12">
        <f>CC6-CD6</f>
        <v>3723999.9999999995</v>
      </c>
      <c r="GG6" s="12">
        <f>SUM(FZ$4:FZ6)*12/E6</f>
        <v>1479895.1999999993</v>
      </c>
      <c r="GH6" s="12">
        <f>IF(AV6=0,0,CK6/AV6*D6)</f>
        <v>51.912738828092216</v>
      </c>
      <c r="GI6" s="12">
        <f>IF(W6=0,0,CL6/W6*D6)</f>
        <v>40.71646469063843</v>
      </c>
      <c r="GJ6" s="12">
        <f>IF(W6=0,0,CM6/W6*D6)</f>
        <v>41.0421360886804</v>
      </c>
      <c r="GK6" s="12">
        <f>IF(OR(AT6=0,AU6=0,AW6=0),0,100*((AV6/AT6)/(AW6/AU6)-1))</f>
        <v>0.09138952507272702</v>
      </c>
    </row>
    <row r="7" spans="1:193">
      <c r="A7" t="s">
        <v>19</v>
      </c>
      <c r="B7" t="s">
        <v>179</v>
      </c>
      <c r="C7" t="s">
        <v>184</v>
      </c>
      <c r="D7">
        <v>31</v>
      </c>
      <c r="E7">
        <v>4</v>
      </c>
      <c r="F7" s="10">
        <f>SUM('Plant Inputs'!H7,'Plant Inputs'!H13,'Plant Inputs'!H19)</f>
        <v>2232.0</v>
      </c>
      <c r="G7" s="10">
        <f>SUM('Plant Inputs'!I7,'Plant Inputs'!I13,'Plant Inputs'!I19)</f>
        <v>2216.0</v>
      </c>
      <c r="H7" s="10">
        <f>SUM('Plant Inputs'!J7,'Plant Inputs'!J13,'Plant Inputs'!J19)</f>
        <v>2054.8</v>
      </c>
      <c r="I7" s="10">
        <f>SUM('Plant Inputs'!K7,'Plant Inputs'!K13,'Plant Inputs'!K19)</f>
        <v>127.1</v>
      </c>
      <c r="J7" s="10">
        <f>SUM('Plant Inputs'!L7,'Plant Inputs'!L13,'Plant Inputs'!L19)</f>
        <v>407155.0</v>
      </c>
      <c r="K7" s="10">
        <f>SUM('Plant Inputs'!M7,'Plant Inputs'!M13,'Plant Inputs'!M19)</f>
        <v>410242.0</v>
      </c>
      <c r="L7" s="10">
        <f>SUM('Plant Inputs'!N7,'Plant Inputs'!N13,'Plant Inputs'!N19)</f>
        <v>353877.0</v>
      </c>
      <c r="M7" s="10">
        <f>SUM('Plant Inputs'!O7,'Plant Inputs'!O13,'Plant Inputs'!O19)</f>
        <v>335677.0</v>
      </c>
      <c r="N7" s="10">
        <f>SUM('Plant Inputs'!P7,'Plant Inputs'!P13,'Plant Inputs'!P19)</f>
        <v>322095.0</v>
      </c>
      <c r="O7" s="10">
        <f>SUM('Plant Inputs'!Q7,'Plant Inputs'!Q13,'Plant Inputs'!Q19)</f>
        <v>357955.0</v>
      </c>
      <c r="P7" s="10">
        <f>SUM('Plant Inputs'!R7,'Plant Inputs'!R13,'Plant Inputs'!R19)</f>
        <v>77968.0</v>
      </c>
      <c r="Q7" s="10">
        <f>SUM('Plant Inputs'!S7,'Plant Inputs'!S13,'Plant Inputs'!S19)</f>
        <v>68247.0</v>
      </c>
      <c r="R7" s="10">
        <f>SUM('Plant Inputs'!T7,'Plant Inputs'!T13,'Plant Inputs'!T19)</f>
        <v>23717.0</v>
      </c>
      <c r="S7" s="10">
        <f>SUM('Plant Inputs'!U7,'Plant Inputs'!U13,'Plant Inputs'!U19)</f>
        <v>14.0</v>
      </c>
      <c r="T7" s="10">
        <f>SUM('Plant Inputs'!V7,'Plant Inputs'!V13,'Plant Inputs'!V19)</f>
        <v>108.8</v>
      </c>
      <c r="U7" s="10">
        <f>SUM('Plant Inputs'!W7,'Plant Inputs'!W13,'Plant Inputs'!W19)</f>
        <v>142.0</v>
      </c>
      <c r="V7" s="10">
        <f>SUM('Plant Inputs'!X7,'Plant Inputs'!X13,'Plant Inputs'!X19)</f>
        <v>126.0</v>
      </c>
      <c r="W7" s="10">
        <f>SUM('Plant Inputs'!Y7,'Plant Inputs'!Y13,'Plant Inputs'!Y19)</f>
        <v>953215.4000000001</v>
      </c>
      <c r="X7" s="10">
        <f>SUM('Plant Inputs'!Z7,'Plant Inputs'!Z13,'Plant Inputs'!Z19)</f>
        <v>250507.4</v>
      </c>
      <c r="Y7" s="10">
        <f>SUM('Plant Inputs'!AA7,'Plant Inputs'!AA13,'Plant Inputs'!AA19)</f>
        <v>3486.0000000000005</v>
      </c>
      <c r="Z7" s="10">
        <f>SUM('Plant Inputs'!AB7,'Plant Inputs'!AB13,'Plant Inputs'!AB19)</f>
        <v>738476.0</v>
      </c>
      <c r="AA7" s="10">
        <f>SUM('Plant Inputs'!AC7,'Plant Inputs'!AC13,'Plant Inputs'!AC19)</f>
        <v>190291.0</v>
      </c>
      <c r="AB7" s="10">
        <f>SUM('Plant Inputs'!AD7,'Plant Inputs'!AD13,'Plant Inputs'!AD19)</f>
        <v>1071006.0</v>
      </c>
      <c r="AC7" s="10">
        <f>SUM('Plant Inputs'!AE7,'Plant Inputs'!AE13,'Plant Inputs'!AE19)</f>
        <v>30407.0</v>
      </c>
      <c r="AD7" s="10">
        <f>SUM('Plant Inputs'!AF7,'Plant Inputs'!AF13,'Plant Inputs'!AF19)</f>
        <v>2.0</v>
      </c>
      <c r="AE7" s="10">
        <f>SUM('Plant Inputs'!AG7,'Plant Inputs'!AG13,'Plant Inputs'!AG19)</f>
        <v>232000.0</v>
      </c>
      <c r="AF7" s="10">
        <f>SUM('Plant Inputs'!AH7,'Plant Inputs'!AH13,'Plant Inputs'!AH19)</f>
        <v>2.0</v>
      </c>
      <c r="AG7" s="10">
        <f>SUM('Plant Inputs'!AI7,'Plant Inputs'!AI13,'Plant Inputs'!AI19)</f>
        <v>1.0</v>
      </c>
      <c r="AH7" s="10">
        <f>SUM('Plant Inputs'!AJ7,'Plant Inputs'!AJ13,'Plant Inputs'!AJ19)</f>
        <v>19.0</v>
      </c>
      <c r="AI7" s="10">
        <f>SUM('Plant Inputs'!AK7,'Plant Inputs'!AK13,'Plant Inputs'!AK19)</f>
        <v>0.0</v>
      </c>
      <c r="AJ7" s="10">
        <f>SUM('Plant Inputs'!AL7,'Plant Inputs'!AL13,'Plant Inputs'!AL19)</f>
        <v>2.0</v>
      </c>
      <c r="AK7" s="10">
        <f>SUM('Plant Inputs'!AM7,'Plant Inputs'!AM13,'Plant Inputs'!AM19)</f>
        <v>0.0</v>
      </c>
      <c r="AL7" s="10">
        <f>SUM('Plant Inputs'!AN7,'Plant Inputs'!AN13,'Plant Inputs'!AN19)</f>
        <v>24.0</v>
      </c>
      <c r="AM7" s="10">
        <f>SUM('Plant Inputs'!AO7,'Plant Inputs'!AO13,'Plant Inputs'!AO19)</f>
        <v>5.0</v>
      </c>
      <c r="AN7" s="10">
        <f>SUM('Plant Inputs'!AP7,'Plant Inputs'!AP13,'Plant Inputs'!AP19)</f>
        <v>4.0</v>
      </c>
      <c r="AO7" s="10">
        <f>SUM('Plant Inputs'!AQ7,'Plant Inputs'!AQ13,'Plant Inputs'!AQ19)</f>
        <v>4.0</v>
      </c>
      <c r="AP7" s="10">
        <f>SUM('Plant Inputs'!AR7,'Plant Inputs'!AR13,'Plant Inputs'!AR19)</f>
        <v>2.0</v>
      </c>
      <c r="AQ7" s="10">
        <f>SUM('Plant Inputs'!AS7,'Plant Inputs'!AS13,'Plant Inputs'!AS19)</f>
        <v>473.0</v>
      </c>
      <c r="AR7" s="10">
        <f>SUM('Plant Inputs'!AT7,'Plant Inputs'!AT13,'Plant Inputs'!AT19)</f>
        <v>36.0</v>
      </c>
      <c r="AS7" s="10">
        <f>MIN('Plant Inputs'!AU7,'Plant Inputs'!AU13,'Plant Inputs'!AU19)</f>
        <v>125</v>
      </c>
      <c r="AT7" s="10">
        <f>SUM('Plant Inputs'!AV7,'Plant Inputs'!AV13,'Plant Inputs'!AV19)</f>
        <v>318013.0</v>
      </c>
      <c r="AU7" s="10">
        <f>SUM('Plant Inputs'!AW7,'Plant Inputs'!AW13,'Plant Inputs'!AW19)</f>
        <v>352859.0</v>
      </c>
      <c r="AV7" s="10">
        <f>SUM('Plant Inputs'!AX7,'Plant Inputs'!AX13,'Plant Inputs'!AX19)</f>
        <v>1189685.5</v>
      </c>
      <c r="AW7" s="10">
        <f>SUM('Plant Inputs'!AY7,'Plant Inputs'!AY13,'Plant Inputs'!AY19)</f>
        <v>1326749.7999999998</v>
      </c>
      <c r="AX7" s="10">
        <f>SUM('Plant Inputs'!AZ7,'Plant Inputs'!AZ13,'Plant Inputs'!AZ19)</f>
        <v>52069.5</v>
      </c>
      <c r="AY7" s="10">
        <f>SUM('Plant Inputs'!BA7,'Plant Inputs'!BA13,'Plant Inputs'!BA19)</f>
        <v>47000.2</v>
      </c>
      <c r="AZ7" s="10">
        <f>SUM('Plant Inputs'!BB7,'Plant Inputs'!BB13,'Plant Inputs'!BB19)</f>
        <v>610.0</v>
      </c>
      <c r="BA7" s="10">
        <f>SUM('Plant Inputs'!BC7,'Plant Inputs'!BC13,'Plant Inputs'!BC19)</f>
        <v>551.0</v>
      </c>
      <c r="BB7" s="10">
        <f>SUM('Plant Inputs'!BD7,'Plant Inputs'!BD13,'Plant Inputs'!BD19)</f>
        <v>354831.0</v>
      </c>
      <c r="BC7" s="10">
        <f>SUM('Plant Inputs'!BE7,'Plant Inputs'!BE13,'Plant Inputs'!BE19)</f>
        <v>339517.0</v>
      </c>
      <c r="BD7" s="10">
        <f>SUM('Plant Inputs'!BF7,'Plant Inputs'!BF13,'Plant Inputs'!BF19)</f>
        <v>3896.0</v>
      </c>
      <c r="BE7" s="10">
        <f>SUM('Plant Inputs'!BG7,'Plant Inputs'!BG13,'Plant Inputs'!BG19)</f>
        <v>2142.0</v>
      </c>
      <c r="BF7" s="10">
        <f>SUM('Plant Inputs'!BH7,'Plant Inputs'!BH13,'Plant Inputs'!BH19)</f>
        <v>2290.0</v>
      </c>
      <c r="BG7" s="10">
        <f>SUM('Plant Inputs'!BI7,'Plant Inputs'!BI13,'Plant Inputs'!BI19)</f>
        <v>486309.6</v>
      </c>
      <c r="BH7" s="10">
        <f>SUM('Plant Inputs'!BJ7,'Plant Inputs'!BJ13,'Plant Inputs'!BJ19)</f>
        <v>186003.4</v>
      </c>
      <c r="BI7" s="10">
        <f>SUM('Plant Inputs'!BK7,'Plant Inputs'!BK13,'Plant Inputs'!BK19)</f>
        <v>0.0</v>
      </c>
      <c r="BJ7" s="10">
        <f>SUM('Plant Inputs'!BL7,'Plant Inputs'!BL13,'Plant Inputs'!BL19)</f>
        <v>0.0</v>
      </c>
      <c r="BK7" s="10">
        <f>SUM('Plant Inputs'!BM7,'Plant Inputs'!BM13,'Plant Inputs'!BM19)</f>
        <v>0.0</v>
      </c>
      <c r="BL7" s="10">
        <f>SUM('Plant Inputs'!BN7,'Plant Inputs'!BN13,'Plant Inputs'!BN19)</f>
        <v>1.0</v>
      </c>
      <c r="BM7" s="10">
        <f>SUM('Plant Inputs'!BO7,'Plant Inputs'!BO13,'Plant Inputs'!BO19)</f>
        <v>1.0</v>
      </c>
      <c r="BN7" s="10">
        <f>SUM('Plant Inputs'!BP7,'Plant Inputs'!BP13,'Plant Inputs'!BP19)</f>
        <v>0.0</v>
      </c>
      <c r="BO7" s="10">
        <f>SUM('Plant Inputs'!BQ7,'Plant Inputs'!BQ13,'Plant Inputs'!BQ19)</f>
        <v>1.0</v>
      </c>
      <c r="BP7" s="10">
        <f>SUM('Plant Inputs'!BR7,'Plant Inputs'!BR13,'Plant Inputs'!BR19)</f>
        <v>0.0</v>
      </c>
      <c r="BQ7" s="10">
        <f>SUM('Plant Inputs'!BS7,'Plant Inputs'!BS13,'Plant Inputs'!BS19)</f>
        <v>0.0</v>
      </c>
      <c r="BR7" s="10">
        <f>SUM('Plant Inputs'!BT7,'Plant Inputs'!BT13,'Plant Inputs'!BT19)</f>
        <v>0.0</v>
      </c>
      <c r="BS7" s="10">
        <f>SUM('Plant Inputs'!BU7,'Plant Inputs'!BU13,'Plant Inputs'!BU19)</f>
        <v>0.0</v>
      </c>
      <c r="BT7" s="10">
        <f>MIN('Plant Inputs'!BV7,'Plant Inputs'!BV13,'Plant Inputs'!BV19)</f>
        <v>12</v>
      </c>
      <c r="BU7" s="10">
        <f>SUM('Plant Inputs'!BW7,'Plant Inputs'!BW13,'Plant Inputs'!BW19)</f>
        <v>353760.0</v>
      </c>
      <c r="BV7" s="10">
        <f>SUM('Plant Inputs'!BX7,'Plant Inputs'!BX13,'Plant Inputs'!BX19)</f>
        <v>344411.0</v>
      </c>
      <c r="BW7" s="10">
        <f>SUM('Plant Inputs'!BY7,'Plant Inputs'!BY13,'Plant Inputs'!BY19)</f>
        <v>156457896.0</v>
      </c>
      <c r="BX7" s="10">
        <f>SUM('Plant Inputs'!BZ7,'Plant Inputs'!BZ13,'Plant Inputs'!BZ19)</f>
        <v>407155.0</v>
      </c>
      <c r="BY7" s="10">
        <f>SUM('Plant Inputs'!CA7,'Plant Inputs'!CA13,'Plant Inputs'!CA19)</f>
        <v>23730.0</v>
      </c>
      <c r="BZ7" s="21">
        <v>54606.3</v>
      </c>
      <c r="CA7" s="21">
        <v>39213.2</v>
      </c>
      <c r="CB7" s="21">
        <v>10929600</v>
      </c>
      <c r="CC7" s="21">
        <v>4608966.7</v>
      </c>
      <c r="CD7" s="21">
        <v>922966.7</v>
      </c>
      <c r="CE7" s="21">
        <v>458165.4</v>
      </c>
      <c r="CF7" s="21">
        <v>38703</v>
      </c>
      <c r="CG7" s="21">
        <v>484735.8</v>
      </c>
      <c r="CH7" s="21">
        <v>1328589.5</v>
      </c>
      <c r="CI7" s="21">
        <v>178047.3</v>
      </c>
      <c r="CJ7" s="21">
        <v>1185026</v>
      </c>
      <c r="CK7" s="21">
        <v>1960349</v>
      </c>
      <c r="CL7" s="21">
        <v>1201672</v>
      </c>
      <c r="CM7" s="21">
        <v>1233450.9</v>
      </c>
      <c r="CN7" s="21">
        <v>1188396</v>
      </c>
      <c r="CO7" s="21">
        <v>694.8</v>
      </c>
      <c r="CP7" s="21">
        <v>119061.7</v>
      </c>
      <c r="CQ7" s="21">
        <v>119061.7</v>
      </c>
      <c r="CR7" s="21">
        <v>438</v>
      </c>
      <c r="CS7" s="21">
        <v>19650</v>
      </c>
      <c r="CT7" s="21">
        <v>19710</v>
      </c>
      <c r="CU7" s="21">
        <v>0</v>
      </c>
      <c r="CV7" s="21">
        <v>1065509.6</v>
      </c>
      <c r="CW7" s="21">
        <v>1075543.1</v>
      </c>
      <c r="CX7" s="21">
        <v>172153.2</v>
      </c>
      <c r="CY7" s="21">
        <v>3675766.9</v>
      </c>
      <c r="CZ7" s="21">
        <v>2119721.6</v>
      </c>
      <c r="DA7" s="21">
        <v>446718.8</v>
      </c>
      <c r="DB7" s="21">
        <v>323811.5</v>
      </c>
      <c r="DC7" s="21">
        <v>364424.2</v>
      </c>
      <c r="DD7" s="21">
        <v>266166.7</v>
      </c>
      <c r="DE7" s="21">
        <v>6450.1</v>
      </c>
      <c r="DF7" s="21">
        <v>7325.1</v>
      </c>
      <c r="DG7" s="21">
        <v>2637874.2</v>
      </c>
      <c r="DH7" s="21">
        <v>2001983.7</v>
      </c>
      <c r="DI7" s="21">
        <v>1000000</v>
      </c>
      <c r="DJ7" s="21">
        <v>608680.1</v>
      </c>
      <c r="DK7" s="21">
        <v>80895.5</v>
      </c>
      <c r="DL7" s="21">
        <v>506000</v>
      </c>
      <c r="DM7" s="21">
        <v>24159.6</v>
      </c>
      <c r="DN7" s="21">
        <v>5</v>
      </c>
      <c r="DO7" s="21">
        <v>1</v>
      </c>
      <c r="DP7" s="21">
        <v>0</v>
      </c>
      <c r="DQ7" s="21">
        <v>0</v>
      </c>
      <c r="DR7" s="21">
        <v>6</v>
      </c>
      <c r="DS7" s="21">
        <v>17</v>
      </c>
      <c r="DT7" s="21">
        <v>5</v>
      </c>
      <c r="DU7" s="21">
        <v>2</v>
      </c>
      <c r="DV7" s="21">
        <v>1</v>
      </c>
      <c r="DW7" s="21">
        <v>60</v>
      </c>
      <c r="DX7" s="21">
        <v>27</v>
      </c>
      <c r="DY7" s="21">
        <v>5177.6</v>
      </c>
      <c r="DZ7" s="21">
        <v>3634.4</v>
      </c>
      <c r="EA7" s="21">
        <v>1084</v>
      </c>
      <c r="EB7" s="21">
        <v>415.8</v>
      </c>
      <c r="EC7" s="21">
        <v>690.3</v>
      </c>
      <c r="ED7" s="21">
        <v>72</v>
      </c>
      <c r="EE7" s="21">
        <v>68</v>
      </c>
      <c r="EF7" s="21">
        <v>2</v>
      </c>
      <c r="EG7" s="21">
        <v>0</v>
      </c>
      <c r="EH7" s="21">
        <v>2</v>
      </c>
      <c r="EI7" s="21">
        <v>1</v>
      </c>
      <c r="EJ7" s="21">
        <v>0</v>
      </c>
      <c r="EK7" s="21">
        <v>1</v>
      </c>
      <c r="EL7" s="21">
        <v>0</v>
      </c>
      <c r="EM7" s="21">
        <v>0</v>
      </c>
      <c r="EN7" s="21">
        <v>0</v>
      </c>
      <c r="EO7" s="21">
        <v>0</v>
      </c>
      <c r="EP7" s="21">
        <v>0</v>
      </c>
      <c r="EQ7" s="21">
        <v>0</v>
      </c>
      <c r="ER7" s="21">
        <v>1</v>
      </c>
      <c r="ES7" s="21">
        <v>1</v>
      </c>
      <c r="ET7" s="21">
        <v>0</v>
      </c>
      <c r="EU7" s="21">
        <v>1</v>
      </c>
      <c r="EV7" s="21">
        <v>2</v>
      </c>
      <c r="EW7" s="21">
        <v>0</v>
      </c>
      <c r="EX7" s="21">
        <v>0</v>
      </c>
      <c r="EY7" s="21">
        <v>0</v>
      </c>
      <c r="EZ7" s="21">
        <v>50</v>
      </c>
      <c r="FA7" s="21">
        <v>43</v>
      </c>
      <c r="FB7" s="21">
        <v>3</v>
      </c>
      <c r="FC7" s="21">
        <v>82</v>
      </c>
      <c r="FD7" s="21">
        <v>28</v>
      </c>
      <c r="FE7" s="21">
        <v>23</v>
      </c>
      <c r="FF7" s="21">
        <v>26</v>
      </c>
      <c r="FG7" s="21">
        <v>0</v>
      </c>
      <c r="FH7" s="21">
        <v>1</v>
      </c>
      <c r="FI7" s="21">
        <v>0</v>
      </c>
      <c r="FJ7" s="21">
        <v>517040</v>
      </c>
      <c r="FK7" s="21">
        <v>512116</v>
      </c>
      <c r="FL7" s="21">
        <v>400</v>
      </c>
      <c r="FM7" s="21">
        <v>380</v>
      </c>
      <c r="FN7" s="21">
        <v>0</v>
      </c>
      <c r="FO7" s="21">
        <v>0</v>
      </c>
      <c r="FP7" s="21">
        <v>0</v>
      </c>
      <c r="FQ7" s="21">
        <v>4</v>
      </c>
      <c r="FR7" s="21">
        <v>12</v>
      </c>
      <c r="FS7" s="21">
        <v>3</v>
      </c>
      <c r="FT7" s="21">
        <v>1</v>
      </c>
      <c r="FU7" s="21">
        <v>1</v>
      </c>
      <c r="FV7" s="21">
        <v>1</v>
      </c>
      <c r="FW7" s="21">
        <v>999</v>
      </c>
      <c r="FX7" s="21">
        <v>51645.3</v>
      </c>
      <c r="FY7" s="21">
        <v>50882.1</v>
      </c>
      <c r="FZ7" s="12">
        <f>AV7-W7-Y7-BZ7</f>
        <v>178377.79999999987</v>
      </c>
      <c r="GA7" s="12">
        <f>FZ7-AY7</f>
        <v>131377.59999999986</v>
      </c>
      <c r="GB7" s="12">
        <f>CK7+CM7-CL7</f>
        <v>1992127.9</v>
      </c>
      <c r="GC7" s="12">
        <f>GB7-GB6</f>
        <v>38794.5</v>
      </c>
      <c r="GD7" s="12">
        <f>FZ7-CA7-GC7</f>
        <v>100370.09999999986</v>
      </c>
      <c r="GE7" s="12">
        <f>GD7-DK7</f>
        <v>19474.59999999986</v>
      </c>
      <c r="GF7" s="12">
        <f>CC7-CD7</f>
        <v>3686000.0</v>
      </c>
      <c r="GG7" s="12">
        <f>SUM(FZ$4:FZ7)*12/E7</f>
        <v>1645054.7999999989</v>
      </c>
      <c r="GH7" s="12">
        <f>IF(AV7=0,0,CK7/AV7*D7)</f>
        <v>51.08141521435707</v>
      </c>
      <c r="GI7" s="12">
        <f>IF(W7=0,0,CL7/W7*D7)</f>
        <v>39.08018271630945</v>
      </c>
      <c r="GJ7" s="12">
        <f>IF(W7=0,0,CM7/W7*D7)</f>
        <v>40.113680391651236</v>
      </c>
      <c r="GK7" s="12">
        <f>IF(OR(AT7=0,AU7=0,AW7=0),0,100*((AV7/AT7)/(AW7/AU7)-1))</f>
        <v>-0.505410903208503</v>
      </c>
    </row>
    <row r="8" spans="1:193">
      <c r="A8" t="s">
        <v>19</v>
      </c>
      <c r="B8" t="s">
        <v>179</v>
      </c>
      <c r="C8" t="s">
        <v>185</v>
      </c>
      <c r="D8">
        <v>31</v>
      </c>
      <c r="E8">
        <v>5</v>
      </c>
      <c r="F8" s="10">
        <f>SUM('Plant Inputs'!H8,'Plant Inputs'!H14,'Plant Inputs'!H20)</f>
        <v>2232.0</v>
      </c>
      <c r="G8" s="10">
        <f>SUM('Plant Inputs'!I8,'Plant Inputs'!I14,'Plant Inputs'!I20)</f>
        <v>2162.0</v>
      </c>
      <c r="H8" s="10">
        <f>SUM('Plant Inputs'!J8,'Plant Inputs'!J14,'Plant Inputs'!J20)</f>
        <v>2026.0</v>
      </c>
      <c r="I8" s="10">
        <f>SUM('Plant Inputs'!K8,'Plant Inputs'!K14,'Plant Inputs'!K20)</f>
        <v>96.19999999999999</v>
      </c>
      <c r="J8" s="10">
        <f>SUM('Plant Inputs'!L8,'Plant Inputs'!L14,'Plant Inputs'!L20)</f>
        <v>397019.0</v>
      </c>
      <c r="K8" s="10">
        <f>SUM('Plant Inputs'!M8,'Plant Inputs'!M14,'Plant Inputs'!M20)</f>
        <v>410242.0</v>
      </c>
      <c r="L8" s="10">
        <f>SUM('Plant Inputs'!N8,'Plant Inputs'!N14,'Plant Inputs'!N20)</f>
        <v>352869.0</v>
      </c>
      <c r="M8" s="10">
        <f>SUM('Plant Inputs'!O8,'Plant Inputs'!O14,'Plant Inputs'!O20)</f>
        <v>322341.0</v>
      </c>
      <c r="N8" s="10">
        <f>SUM('Plant Inputs'!P8,'Plant Inputs'!P14,'Plant Inputs'!P20)</f>
        <v>312572.0</v>
      </c>
      <c r="O8" s="10">
        <f>SUM('Plant Inputs'!Q8,'Plant Inputs'!Q14,'Plant Inputs'!Q20)</f>
        <v>342784.0</v>
      </c>
      <c r="P8" s="10">
        <f>SUM('Plant Inputs'!R8,'Plant Inputs'!R14,'Plant Inputs'!R20)</f>
        <v>76378.0</v>
      </c>
      <c r="Q8" s="10">
        <f>SUM('Plant Inputs'!S8,'Plant Inputs'!S14,'Plant Inputs'!S20)</f>
        <v>66416.0</v>
      </c>
      <c r="R8" s="10">
        <f>SUM('Plant Inputs'!T8,'Plant Inputs'!T14,'Plant Inputs'!T20)</f>
        <v>18044.0</v>
      </c>
      <c r="S8" s="10">
        <f>SUM('Plant Inputs'!U8,'Plant Inputs'!U14,'Plant Inputs'!U20)</f>
        <v>10.0</v>
      </c>
      <c r="T8" s="10">
        <f>SUM('Plant Inputs'!V8,'Plant Inputs'!V14,'Plant Inputs'!V20)</f>
        <v>81.8</v>
      </c>
      <c r="U8" s="10">
        <f>SUM('Plant Inputs'!W8,'Plant Inputs'!W14,'Plant Inputs'!W20)</f>
        <v>115.0</v>
      </c>
      <c r="V8" s="10">
        <f>SUM('Plant Inputs'!X8,'Plant Inputs'!X14,'Plant Inputs'!X20)</f>
        <v>112.0</v>
      </c>
      <c r="W8" s="10">
        <f>SUM('Plant Inputs'!Y8,'Plant Inputs'!Y14,'Plant Inputs'!Y20)</f>
        <v>985820.0</v>
      </c>
      <c r="X8" s="10">
        <f>SUM('Plant Inputs'!Z8,'Plant Inputs'!Z14,'Plant Inputs'!Z20)</f>
        <v>298298.6</v>
      </c>
      <c r="Y8" s="10">
        <f>SUM('Plant Inputs'!AA8,'Plant Inputs'!AA14,'Plant Inputs'!AA20)</f>
        <v>3674.9999999999995</v>
      </c>
      <c r="Z8" s="10">
        <f>SUM('Plant Inputs'!AB8,'Plant Inputs'!AB14,'Plant Inputs'!AB20)</f>
        <v>673374.0</v>
      </c>
      <c r="AA8" s="10">
        <f>SUM('Plant Inputs'!AC8,'Plant Inputs'!AC14,'Plant Inputs'!AC20)</f>
        <v>216415.0</v>
      </c>
      <c r="AB8" s="10">
        <f>SUM('Plant Inputs'!AD8,'Plant Inputs'!AD14,'Plant Inputs'!AD20)</f>
        <v>1125992.0</v>
      </c>
      <c r="AC8" s="10">
        <f>SUM('Plant Inputs'!AE8,'Plant Inputs'!AE14,'Plant Inputs'!AE20)</f>
        <v>38187.0</v>
      </c>
      <c r="AD8" s="10">
        <f>SUM('Plant Inputs'!AF8,'Plant Inputs'!AF14,'Plant Inputs'!AF20)</f>
        <v>7.0</v>
      </c>
      <c r="AE8" s="10">
        <f>SUM('Plant Inputs'!AG8,'Plant Inputs'!AG14,'Plant Inputs'!AG20)</f>
        <v>193000.0</v>
      </c>
      <c r="AF8" s="10">
        <f>SUM('Plant Inputs'!AH8,'Plant Inputs'!AH14,'Plant Inputs'!AH20)</f>
        <v>2.0</v>
      </c>
      <c r="AG8" s="10">
        <f>SUM('Plant Inputs'!AI8,'Plant Inputs'!AI14,'Plant Inputs'!AI20)</f>
        <v>1.0</v>
      </c>
      <c r="AH8" s="10">
        <f>SUM('Plant Inputs'!AJ8,'Plant Inputs'!AJ14,'Plant Inputs'!AJ20)</f>
        <v>19.0</v>
      </c>
      <c r="AI8" s="10">
        <f>SUM('Plant Inputs'!AK8,'Plant Inputs'!AK14,'Plant Inputs'!AK20)</f>
        <v>1.0</v>
      </c>
      <c r="AJ8" s="10">
        <f>SUM('Plant Inputs'!AL8,'Plant Inputs'!AL14,'Plant Inputs'!AL20)</f>
        <v>0.0</v>
      </c>
      <c r="AK8" s="10">
        <f>SUM('Plant Inputs'!AM8,'Plant Inputs'!AM14,'Plant Inputs'!AM20)</f>
        <v>0.0</v>
      </c>
      <c r="AL8" s="10">
        <f>SUM('Plant Inputs'!AN8,'Plant Inputs'!AN14,'Plant Inputs'!AN20)</f>
        <v>18.0</v>
      </c>
      <c r="AM8" s="10">
        <f>SUM('Plant Inputs'!AO8,'Plant Inputs'!AO14,'Plant Inputs'!AO20)</f>
        <v>1.0</v>
      </c>
      <c r="AN8" s="10">
        <f>SUM('Plant Inputs'!AP8,'Plant Inputs'!AP14,'Plant Inputs'!AP20)</f>
        <v>3.0</v>
      </c>
      <c r="AO8" s="10">
        <f>SUM('Plant Inputs'!AQ8,'Plant Inputs'!AQ14,'Plant Inputs'!AQ20)</f>
        <v>2.0</v>
      </c>
      <c r="AP8" s="10">
        <f>SUM('Plant Inputs'!AR8,'Plant Inputs'!AR14,'Plant Inputs'!AR20)</f>
        <v>3.0</v>
      </c>
      <c r="AQ8" s="10">
        <f>SUM('Plant Inputs'!AS8,'Plant Inputs'!AS14,'Plant Inputs'!AS20)</f>
        <v>456.0</v>
      </c>
      <c r="AR8" s="10">
        <f>SUM('Plant Inputs'!AT8,'Plant Inputs'!AT14,'Plant Inputs'!AT20)</f>
        <v>46.0</v>
      </c>
      <c r="AS8" s="10">
        <f>MIN('Plant Inputs'!AU8,'Plant Inputs'!AU14,'Plant Inputs'!AU20)</f>
        <v>95</v>
      </c>
      <c r="AT8" s="10">
        <f>SUM('Plant Inputs'!AV8,'Plant Inputs'!AV14,'Plant Inputs'!AV20)</f>
        <v>314142.0</v>
      </c>
      <c r="AU8" s="10">
        <f>SUM('Plant Inputs'!AW8,'Plant Inputs'!AW14,'Plant Inputs'!AW20)</f>
        <v>353373.0</v>
      </c>
      <c r="AV8" s="10">
        <f>SUM('Plant Inputs'!AX8,'Plant Inputs'!AX14,'Plant Inputs'!AX20)</f>
        <v>1182005.4</v>
      </c>
      <c r="AW8" s="10">
        <f>SUM('Plant Inputs'!AY8,'Plant Inputs'!AY14,'Plant Inputs'!AY20)</f>
        <v>1328682.5</v>
      </c>
      <c r="AX8" s="10">
        <f>SUM('Plant Inputs'!AZ8,'Plant Inputs'!AZ14,'Plant Inputs'!AZ20)</f>
        <v>61671.0</v>
      </c>
      <c r="AY8" s="10">
        <f>SUM('Plant Inputs'!BA8,'Plant Inputs'!BA14,'Plant Inputs'!BA20)</f>
        <v>46821.8</v>
      </c>
      <c r="AZ8" s="10">
        <f>SUM('Plant Inputs'!BB8,'Plant Inputs'!BB14,'Plant Inputs'!BB20)</f>
        <v>574.0</v>
      </c>
      <c r="BA8" s="10">
        <f>SUM('Plant Inputs'!BC8,'Plant Inputs'!BC14,'Plant Inputs'!BC20)</f>
        <v>510.0</v>
      </c>
      <c r="BB8" s="10">
        <f>SUM('Plant Inputs'!BD8,'Plant Inputs'!BD14,'Plant Inputs'!BD20)</f>
        <v>336937.0</v>
      </c>
      <c r="BC8" s="10">
        <f>SUM('Plant Inputs'!BE8,'Plant Inputs'!BE14,'Plant Inputs'!BE20)</f>
        <v>326540.0</v>
      </c>
      <c r="BD8" s="10">
        <f>SUM('Plant Inputs'!BF8,'Plant Inputs'!BF14,'Plant Inputs'!BF20)</f>
        <v>5196.0</v>
      </c>
      <c r="BE8" s="10">
        <f>SUM('Plant Inputs'!BG8,'Plant Inputs'!BG14,'Plant Inputs'!BG20)</f>
        <v>2534.0</v>
      </c>
      <c r="BF8" s="10">
        <f>SUM('Plant Inputs'!BH8,'Plant Inputs'!BH14,'Plant Inputs'!BH20)</f>
        <v>2660.0</v>
      </c>
      <c r="BG8" s="10">
        <f>SUM('Plant Inputs'!BI8,'Plant Inputs'!BI14,'Plant Inputs'!BI20)</f>
        <v>525426.4</v>
      </c>
      <c r="BH8" s="10">
        <f>SUM('Plant Inputs'!BJ8,'Plant Inputs'!BJ14,'Plant Inputs'!BJ20)</f>
        <v>203713.2</v>
      </c>
      <c r="BI8" s="10">
        <f>SUM('Plant Inputs'!BK8,'Plant Inputs'!BK14,'Plant Inputs'!BK20)</f>
        <v>0.0</v>
      </c>
      <c r="BJ8" s="10">
        <f>SUM('Plant Inputs'!BL8,'Plant Inputs'!BL14,'Plant Inputs'!BL20)</f>
        <v>0.0</v>
      </c>
      <c r="BK8" s="10">
        <f>SUM('Plant Inputs'!BM8,'Plant Inputs'!BM14,'Plant Inputs'!BM20)</f>
        <v>0.0</v>
      </c>
      <c r="BL8" s="10">
        <f>SUM('Plant Inputs'!BN8,'Plant Inputs'!BN14,'Plant Inputs'!BN20)</f>
        <v>1.0</v>
      </c>
      <c r="BM8" s="10">
        <f>SUM('Plant Inputs'!BO8,'Plant Inputs'!BO14,'Plant Inputs'!BO20)</f>
        <v>2.0</v>
      </c>
      <c r="BN8" s="10">
        <f>SUM('Plant Inputs'!BP8,'Plant Inputs'!BP14,'Plant Inputs'!BP20)</f>
        <v>0.0</v>
      </c>
      <c r="BO8" s="10">
        <f>SUM('Plant Inputs'!BQ8,'Plant Inputs'!BQ14,'Plant Inputs'!BQ20)</f>
        <v>0.0</v>
      </c>
      <c r="BP8" s="10">
        <f>SUM('Plant Inputs'!BR8,'Plant Inputs'!BR14,'Plant Inputs'!BR20)</f>
        <v>0.0</v>
      </c>
      <c r="BQ8" s="10">
        <f>SUM('Plant Inputs'!BS8,'Plant Inputs'!BS14,'Plant Inputs'!BS20)</f>
        <v>0.0</v>
      </c>
      <c r="BR8" s="10">
        <f>SUM('Plant Inputs'!BT8,'Plant Inputs'!BT14,'Plant Inputs'!BT20)</f>
        <v>0.0</v>
      </c>
      <c r="BS8" s="10">
        <f>SUM('Plant Inputs'!BU8,'Plant Inputs'!BU14,'Plant Inputs'!BU20)</f>
        <v>0.0</v>
      </c>
      <c r="BT8" s="10">
        <f>MIN('Plant Inputs'!BV8,'Plant Inputs'!BV14,'Plant Inputs'!BV20)</f>
        <v>10</v>
      </c>
      <c r="BU8" s="10">
        <f>SUM('Plant Inputs'!BW8,'Plant Inputs'!BW14,'Plant Inputs'!BW20)</f>
        <v>355856.0</v>
      </c>
      <c r="BV8" s="10">
        <f>SUM('Plant Inputs'!BX8,'Plant Inputs'!BX14,'Plant Inputs'!BX20)</f>
        <v>348535.0</v>
      </c>
      <c r="BW8" s="10">
        <f>SUM('Plant Inputs'!BY8,'Plant Inputs'!BY14,'Plant Inputs'!BY20)</f>
        <v>146074050.0</v>
      </c>
      <c r="BX8" s="10">
        <f>SUM('Plant Inputs'!BZ8,'Plant Inputs'!BZ14,'Plant Inputs'!BZ20)</f>
        <v>397019.0</v>
      </c>
      <c r="BY8" s="10">
        <f>SUM('Plant Inputs'!CA8,'Plant Inputs'!CA14,'Plant Inputs'!CA20)</f>
        <v>16568.0</v>
      </c>
      <c r="BZ8" s="21">
        <v>51744.4</v>
      </c>
      <c r="CA8" s="21">
        <v>26325.4</v>
      </c>
      <c r="CB8" s="21">
        <v>10972800</v>
      </c>
      <c r="CC8" s="21">
        <v>4538500.4</v>
      </c>
      <c r="CD8" s="21">
        <v>890500.4</v>
      </c>
      <c r="CE8" s="21">
        <v>450000.3</v>
      </c>
      <c r="CF8" s="21">
        <v>38304</v>
      </c>
      <c r="CG8" s="21">
        <v>430017.2</v>
      </c>
      <c r="CH8" s="21">
        <v>1434553</v>
      </c>
      <c r="CI8" s="21">
        <v>141020.6</v>
      </c>
      <c r="CJ8" s="21">
        <v>1178034.5</v>
      </c>
      <c r="CK8" s="21">
        <v>1942517.4</v>
      </c>
      <c r="CL8" s="21">
        <v>1220348.1</v>
      </c>
      <c r="CM8" s="21">
        <v>1299238.7</v>
      </c>
      <c r="CN8" s="21">
        <v>1172897</v>
      </c>
      <c r="CO8" s="21">
        <v>595.6</v>
      </c>
      <c r="CP8" s="21">
        <v>111451.4</v>
      </c>
      <c r="CQ8" s="21">
        <v>85831.10000000001</v>
      </c>
      <c r="CR8" s="21">
        <v>429</v>
      </c>
      <c r="CS8" s="21">
        <v>20245</v>
      </c>
      <c r="CT8" s="21">
        <v>19305</v>
      </c>
      <c r="CU8" s="21">
        <v>2</v>
      </c>
      <c r="CV8" s="21">
        <v>814011.1</v>
      </c>
      <c r="CW8" s="21">
        <v>844976.7</v>
      </c>
      <c r="CX8" s="21">
        <v>168030.4</v>
      </c>
      <c r="CY8" s="21">
        <v>3603080.9</v>
      </c>
      <c r="CZ8" s="21">
        <v>1658464.7</v>
      </c>
      <c r="DA8" s="21">
        <v>420833</v>
      </c>
      <c r="DB8" s="21">
        <v>289646.6</v>
      </c>
      <c r="DC8" s="21">
        <v>345045.2</v>
      </c>
      <c r="DD8" s="21">
        <v>254976</v>
      </c>
      <c r="DE8" s="21">
        <v>5930.1</v>
      </c>
      <c r="DF8" s="21">
        <v>6390.2</v>
      </c>
      <c r="DG8" s="21">
        <v>2577012.3</v>
      </c>
      <c r="DH8" s="21">
        <v>2005260.4</v>
      </c>
      <c r="DI8" s="21">
        <v>1000000</v>
      </c>
      <c r="DJ8" s="21">
        <v>671475.8</v>
      </c>
      <c r="DK8" s="21">
        <v>82465.60000000001</v>
      </c>
      <c r="DL8" s="21">
        <v>548000</v>
      </c>
      <c r="DM8" s="21">
        <v>21559.1</v>
      </c>
      <c r="DN8" s="21">
        <v>5</v>
      </c>
      <c r="DO8" s="21">
        <v>1</v>
      </c>
      <c r="DP8" s="21">
        <v>0</v>
      </c>
      <c r="DQ8" s="21">
        <v>0</v>
      </c>
      <c r="DR8" s="21">
        <v>7</v>
      </c>
      <c r="DS8" s="21">
        <v>21</v>
      </c>
      <c r="DT8" s="21">
        <v>5</v>
      </c>
      <c r="DU8" s="21">
        <v>2</v>
      </c>
      <c r="DV8" s="21">
        <v>1</v>
      </c>
      <c r="DW8" s="21">
        <v>60</v>
      </c>
      <c r="DX8" s="21">
        <v>30</v>
      </c>
      <c r="DY8" s="21">
        <v>5059.6</v>
      </c>
      <c r="DZ8" s="21">
        <v>3578</v>
      </c>
      <c r="EA8" s="21">
        <v>1035</v>
      </c>
      <c r="EB8" s="21">
        <v>350.8</v>
      </c>
      <c r="EC8" s="21">
        <v>639.5</v>
      </c>
      <c r="ED8" s="21">
        <v>72</v>
      </c>
      <c r="EE8" s="21">
        <v>68</v>
      </c>
      <c r="EF8" s="21">
        <v>2</v>
      </c>
      <c r="EG8" s="21">
        <v>0</v>
      </c>
      <c r="EH8" s="21">
        <v>2</v>
      </c>
      <c r="EI8" s="21">
        <v>0</v>
      </c>
      <c r="EJ8" s="21">
        <v>0</v>
      </c>
      <c r="EK8" s="21">
        <v>1</v>
      </c>
      <c r="EL8" s="21">
        <v>1</v>
      </c>
      <c r="EM8" s="21">
        <v>1</v>
      </c>
      <c r="EN8" s="21">
        <v>0</v>
      </c>
      <c r="EO8" s="21">
        <v>0</v>
      </c>
      <c r="EP8" s="21">
        <v>0</v>
      </c>
      <c r="EQ8" s="21">
        <v>0</v>
      </c>
      <c r="ER8" s="21">
        <v>2</v>
      </c>
      <c r="ES8" s="21">
        <v>1</v>
      </c>
      <c r="ET8" s="21">
        <v>0</v>
      </c>
      <c r="EU8" s="21">
        <v>1</v>
      </c>
      <c r="EV8" s="21">
        <v>3</v>
      </c>
      <c r="EW8" s="21">
        <v>0</v>
      </c>
      <c r="EX8" s="21">
        <v>0</v>
      </c>
      <c r="EY8" s="21">
        <v>0</v>
      </c>
      <c r="EZ8" s="21">
        <v>50</v>
      </c>
      <c r="FA8" s="21">
        <v>43</v>
      </c>
      <c r="FB8" s="21">
        <v>2</v>
      </c>
      <c r="FC8" s="21">
        <v>60</v>
      </c>
      <c r="FD8" s="21">
        <v>28</v>
      </c>
      <c r="FE8" s="21">
        <v>23</v>
      </c>
      <c r="FF8" s="21">
        <v>26</v>
      </c>
      <c r="FG8" s="21">
        <v>0</v>
      </c>
      <c r="FH8" s="21">
        <v>1</v>
      </c>
      <c r="FI8" s="21">
        <v>1</v>
      </c>
      <c r="FJ8" s="21">
        <v>489715</v>
      </c>
      <c r="FK8" s="21">
        <v>486862</v>
      </c>
      <c r="FL8" s="21">
        <v>400</v>
      </c>
      <c r="FM8" s="21">
        <v>382</v>
      </c>
      <c r="FN8" s="21">
        <v>1</v>
      </c>
      <c r="FO8" s="21">
        <v>0</v>
      </c>
      <c r="FP8" s="21">
        <v>0</v>
      </c>
      <c r="FQ8" s="21">
        <v>4</v>
      </c>
      <c r="FR8" s="21">
        <v>12.2</v>
      </c>
      <c r="FS8" s="21">
        <v>3</v>
      </c>
      <c r="FT8" s="21">
        <v>1</v>
      </c>
      <c r="FU8" s="21">
        <v>1</v>
      </c>
      <c r="FV8" s="21">
        <v>1</v>
      </c>
      <c r="FW8" s="21">
        <v>999</v>
      </c>
      <c r="FX8" s="21">
        <v>51016.6</v>
      </c>
      <c r="FY8" s="21">
        <v>50262.7</v>
      </c>
      <c r="FZ8" s="12">
        <f>AV8-W8-Y8-BZ8</f>
        <v>140765.9999999999</v>
      </c>
      <c r="GA8" s="12">
        <f>FZ8-AY8</f>
        <v>93944.19999999991</v>
      </c>
      <c r="GB8" s="12">
        <f>CK8+CM8-CL8</f>
        <v>2021407.9999999995</v>
      </c>
      <c r="GC8" s="12">
        <f>GB8-GB7</f>
        <v>29280.099999999627</v>
      </c>
      <c r="GD8" s="12">
        <f>FZ8-CA8-GC8</f>
        <v>85160.50000000029</v>
      </c>
      <c r="GE8" s="12">
        <f>GD8-DK8</f>
        <v>2694.900000000285</v>
      </c>
      <c r="GF8" s="12">
        <f>CC8-CD8</f>
        <v>3648000.0000000005</v>
      </c>
      <c r="GG8" s="12">
        <f>SUM(FZ$4:FZ8)*12/E8</f>
        <v>1653882.2399999988</v>
      </c>
      <c r="GH8" s="12">
        <f>IF(AV8=0,0,CK8/AV8*D8)</f>
        <v>50.94565507061135</v>
      </c>
      <c r="GI8" s="12">
        <f>IF(W8=0,0,CL8/W8*D8)</f>
        <v>38.37494786066422</v>
      </c>
      <c r="GJ8" s="12">
        <f>IF(W8=0,0,CM8/W8*D8)</f>
        <v>40.855734008236794</v>
      </c>
      <c r="GK8" s="12">
        <f>IF(OR(AT8=0,AU8=0,AW8=0),0,100*((AV8/AT8)/(AW8/AU8)-1))</f>
        <v>0.0703928688044142</v>
      </c>
    </row>
    <row r="9" spans="1:193">
      <c r="A9" t="s">
        <v>19</v>
      </c>
      <c r="B9" t="s">
        <v>179</v>
      </c>
      <c r="C9" t="s">
        <v>186</v>
      </c>
      <c r="D9">
        <v>30</v>
      </c>
      <c r="E9">
        <v>6</v>
      </c>
      <c r="F9" s="10">
        <f>SUM('Plant Inputs'!H9,'Plant Inputs'!H15,'Plant Inputs'!H21)</f>
        <v>2160.0</v>
      </c>
      <c r="G9" s="10">
        <f>SUM('Plant Inputs'!I9,'Plant Inputs'!I15,'Plant Inputs'!I21)</f>
        <v>2147.0</v>
      </c>
      <c r="H9" s="10">
        <f>SUM('Plant Inputs'!J9,'Plant Inputs'!J15,'Plant Inputs'!J21)</f>
        <v>1984.1999999999998</v>
      </c>
      <c r="I9" s="10">
        <f>SUM('Plant Inputs'!K9,'Plant Inputs'!K15,'Plant Inputs'!K21)</f>
        <v>120.7</v>
      </c>
      <c r="J9" s="10">
        <f>SUM('Plant Inputs'!L9,'Plant Inputs'!L15,'Plant Inputs'!L21)</f>
        <v>394982.0</v>
      </c>
      <c r="K9" s="10">
        <f>SUM('Plant Inputs'!M9,'Plant Inputs'!M15,'Plant Inputs'!M21)</f>
        <v>397008.0</v>
      </c>
      <c r="L9" s="10">
        <f>SUM('Plant Inputs'!N9,'Plant Inputs'!N15,'Plant Inputs'!N21)</f>
        <v>347088.0</v>
      </c>
      <c r="M9" s="10">
        <f>SUM('Plant Inputs'!O9,'Plant Inputs'!O15,'Plant Inputs'!O21)</f>
        <v>327032.0</v>
      </c>
      <c r="N9" s="10">
        <f>SUM('Plant Inputs'!P9,'Plant Inputs'!P15,'Plant Inputs'!P21)</f>
        <v>316798.0</v>
      </c>
      <c r="O9" s="10">
        <f>SUM('Plant Inputs'!Q9,'Plant Inputs'!Q15,'Plant Inputs'!Q21)</f>
        <v>346362.0</v>
      </c>
      <c r="P9" s="10">
        <f>SUM('Plant Inputs'!R9,'Plant Inputs'!R15,'Plant Inputs'!R21)</f>
        <v>77576.0</v>
      </c>
      <c r="Q9" s="10">
        <f>SUM('Plant Inputs'!S9,'Plant Inputs'!S15,'Plant Inputs'!S21)</f>
        <v>67855.0</v>
      </c>
      <c r="R9" s="10">
        <f>SUM('Plant Inputs'!T9,'Plant Inputs'!T15,'Plant Inputs'!T21)</f>
        <v>21684.0</v>
      </c>
      <c r="S9" s="10">
        <f>SUM('Plant Inputs'!U9,'Plant Inputs'!U15,'Plant Inputs'!U21)</f>
        <v>12.0</v>
      </c>
      <c r="T9" s="10">
        <f>SUM('Plant Inputs'!V9,'Plant Inputs'!V15,'Plant Inputs'!V21)</f>
        <v>98.89999999999999</v>
      </c>
      <c r="U9" s="10">
        <f>SUM('Plant Inputs'!W9,'Plant Inputs'!W15,'Plant Inputs'!W21)</f>
        <v>137.0</v>
      </c>
      <c r="V9" s="10">
        <f>SUM('Plant Inputs'!X9,'Plant Inputs'!X15,'Plant Inputs'!X21)</f>
        <v>128.0</v>
      </c>
      <c r="W9" s="10">
        <f>SUM('Plant Inputs'!Y9,'Plant Inputs'!Y15,'Plant Inputs'!Y21)</f>
        <v>900069.3999999999</v>
      </c>
      <c r="X9" s="10">
        <f>SUM('Plant Inputs'!Z9,'Plant Inputs'!Z15,'Plant Inputs'!Z21)</f>
        <v>218672.4</v>
      </c>
      <c r="Y9" s="10">
        <f>SUM('Plant Inputs'!AA9,'Plant Inputs'!AA15,'Plant Inputs'!AA21)</f>
        <v>3769.7999999999997</v>
      </c>
      <c r="Z9" s="10">
        <f>SUM('Plant Inputs'!AB9,'Plant Inputs'!AB15,'Plant Inputs'!AB21)</f>
        <v>741310.0</v>
      </c>
      <c r="AA9" s="10">
        <f>SUM('Plant Inputs'!AC9,'Plant Inputs'!AC15,'Plant Inputs'!AC21)</f>
        <v>219505.0</v>
      </c>
      <c r="AB9" s="10">
        <f>SUM('Plant Inputs'!AD9,'Plant Inputs'!AD15,'Plant Inputs'!AD21)</f>
        <v>1144453.0</v>
      </c>
      <c r="AC9" s="10">
        <f>SUM('Plant Inputs'!AE9,'Plant Inputs'!AE15,'Plant Inputs'!AE21)</f>
        <v>30930.0</v>
      </c>
      <c r="AD9" s="10">
        <f>SUM('Plant Inputs'!AF9,'Plant Inputs'!AF15,'Plant Inputs'!AF21)</f>
        <v>5.0</v>
      </c>
      <c r="AE9" s="10">
        <f>SUM('Plant Inputs'!AG9,'Plant Inputs'!AG15,'Plant Inputs'!AG21)</f>
        <v>219000.0</v>
      </c>
      <c r="AF9" s="10">
        <f>SUM('Plant Inputs'!AH9,'Plant Inputs'!AH15,'Plant Inputs'!AH21)</f>
        <v>1.0</v>
      </c>
      <c r="AG9" s="10">
        <f>SUM('Plant Inputs'!AI9,'Plant Inputs'!AI15,'Plant Inputs'!AI21)</f>
        <v>1.0</v>
      </c>
      <c r="AH9" s="10">
        <f>SUM('Plant Inputs'!AJ9,'Plant Inputs'!AJ15,'Plant Inputs'!AJ21)</f>
        <v>20.0</v>
      </c>
      <c r="AI9" s="10">
        <f>SUM('Plant Inputs'!AK9,'Plant Inputs'!AK15,'Plant Inputs'!AK21)</f>
        <v>0.0</v>
      </c>
      <c r="AJ9" s="10">
        <f>SUM('Plant Inputs'!AL9,'Plant Inputs'!AL15,'Plant Inputs'!AL21)</f>
        <v>1.0</v>
      </c>
      <c r="AK9" s="10">
        <f>SUM('Plant Inputs'!AM9,'Plant Inputs'!AM15,'Plant Inputs'!AM21)</f>
        <v>0.0</v>
      </c>
      <c r="AL9" s="10">
        <f>SUM('Plant Inputs'!AN9,'Plant Inputs'!AN15,'Plant Inputs'!AN21)</f>
        <v>28.0</v>
      </c>
      <c r="AM9" s="10">
        <f>SUM('Plant Inputs'!AO9,'Plant Inputs'!AO15,'Plant Inputs'!AO21)</f>
        <v>7.0</v>
      </c>
      <c r="AN9" s="10">
        <f>SUM('Plant Inputs'!AP9,'Plant Inputs'!AP15,'Plant Inputs'!AP21)</f>
        <v>4.0</v>
      </c>
      <c r="AO9" s="10">
        <f>SUM('Plant Inputs'!AQ9,'Plant Inputs'!AQ15,'Plant Inputs'!AQ21)</f>
        <v>3.0</v>
      </c>
      <c r="AP9" s="10">
        <f>SUM('Plant Inputs'!AR9,'Plant Inputs'!AR15,'Plant Inputs'!AR21)</f>
        <v>4.0</v>
      </c>
      <c r="AQ9" s="10">
        <f>SUM('Plant Inputs'!AS9,'Plant Inputs'!AS15,'Plant Inputs'!AS21)</f>
        <v>559.0</v>
      </c>
      <c r="AR9" s="10">
        <f>SUM('Plant Inputs'!AT9,'Plant Inputs'!AT15,'Plant Inputs'!AT21)</f>
        <v>61.0</v>
      </c>
      <c r="AS9" s="10">
        <f>MIN('Plant Inputs'!AU9,'Plant Inputs'!AU15,'Plant Inputs'!AU21)</f>
        <v>65</v>
      </c>
      <c r="AT9" s="10">
        <f>SUM('Plant Inputs'!AV9,'Plant Inputs'!AV15,'Plant Inputs'!AV21)</f>
        <v>310047.0</v>
      </c>
      <c r="AU9" s="10">
        <f>SUM('Plant Inputs'!AW9,'Plant Inputs'!AW15,'Plant Inputs'!AW21)</f>
        <v>347556.0</v>
      </c>
      <c r="AV9" s="10">
        <f>SUM('Plant Inputs'!AX9,'Plant Inputs'!AX15,'Plant Inputs'!AX21)</f>
        <v>1155724.2</v>
      </c>
      <c r="AW9" s="10">
        <f>SUM('Plant Inputs'!AY9,'Plant Inputs'!AY15,'Plant Inputs'!AY21)</f>
        <v>1306810.6</v>
      </c>
      <c r="AX9" s="10">
        <f>SUM('Plant Inputs'!AZ9,'Plant Inputs'!AZ15,'Plant Inputs'!AZ21)</f>
        <v>55885.899999999994</v>
      </c>
      <c r="AY9" s="10">
        <f>SUM('Plant Inputs'!BA9,'Plant Inputs'!BA15,'Plant Inputs'!BA21)</f>
        <v>47328.2</v>
      </c>
      <c r="AZ9" s="10">
        <f>SUM('Plant Inputs'!BB9,'Plant Inputs'!BB15,'Plant Inputs'!BB21)</f>
        <v>614.0</v>
      </c>
      <c r="BA9" s="10">
        <f>SUM('Plant Inputs'!BC9,'Plant Inputs'!BC15,'Plant Inputs'!BC21)</f>
        <v>555.0</v>
      </c>
      <c r="BB9" s="10">
        <f>SUM('Plant Inputs'!BD9,'Plant Inputs'!BD15,'Plant Inputs'!BD21)</f>
        <v>343753.0</v>
      </c>
      <c r="BC9" s="10">
        <f>SUM('Plant Inputs'!BE9,'Plant Inputs'!BE15,'Plant Inputs'!BE21)</f>
        <v>333481.0</v>
      </c>
      <c r="BD9" s="10">
        <f>SUM('Plant Inputs'!BF9,'Plant Inputs'!BF15,'Plant Inputs'!BF21)</f>
        <v>3243.0</v>
      </c>
      <c r="BE9" s="10">
        <f>SUM('Plant Inputs'!BG9,'Plant Inputs'!BG15,'Plant Inputs'!BG21)</f>
        <v>2534.0</v>
      </c>
      <c r="BF9" s="10">
        <f>SUM('Plant Inputs'!BH9,'Plant Inputs'!BH15,'Plant Inputs'!BH21)</f>
        <v>2709.0</v>
      </c>
      <c r="BG9" s="10">
        <f>SUM('Plant Inputs'!BI9,'Plant Inputs'!BI15,'Plant Inputs'!BI21)</f>
        <v>498240.2</v>
      </c>
      <c r="BH9" s="10">
        <f>SUM('Plant Inputs'!BJ9,'Plant Inputs'!BJ15,'Plant Inputs'!BJ21)</f>
        <v>173445.1</v>
      </c>
      <c r="BI9" s="10">
        <f>SUM('Plant Inputs'!BK9,'Plant Inputs'!BK15,'Plant Inputs'!BK21)</f>
        <v>1.0</v>
      </c>
      <c r="BJ9" s="10">
        <f>SUM('Plant Inputs'!BL9,'Plant Inputs'!BL15,'Plant Inputs'!BL21)</f>
        <v>0.0</v>
      </c>
      <c r="BK9" s="10">
        <f>SUM('Plant Inputs'!BM9,'Plant Inputs'!BM15,'Plant Inputs'!BM21)</f>
        <v>2.0</v>
      </c>
      <c r="BL9" s="10">
        <f>SUM('Plant Inputs'!BN9,'Plant Inputs'!BN15,'Plant Inputs'!BN21)</f>
        <v>1.0</v>
      </c>
      <c r="BM9" s="10">
        <f>SUM('Plant Inputs'!BO9,'Plant Inputs'!BO15,'Plant Inputs'!BO21)</f>
        <v>1.0</v>
      </c>
      <c r="BN9" s="10">
        <f>SUM('Plant Inputs'!BP9,'Plant Inputs'!BP15,'Plant Inputs'!BP21)</f>
        <v>0.0</v>
      </c>
      <c r="BO9" s="10">
        <f>SUM('Plant Inputs'!BQ9,'Plant Inputs'!BQ15,'Plant Inputs'!BQ21)</f>
        <v>0.0</v>
      </c>
      <c r="BP9" s="10">
        <f>SUM('Plant Inputs'!BR9,'Plant Inputs'!BR15,'Plant Inputs'!BR21)</f>
        <v>0.0</v>
      </c>
      <c r="BQ9" s="10">
        <f>SUM('Plant Inputs'!BS9,'Plant Inputs'!BS15,'Plant Inputs'!BS21)</f>
        <v>0.0</v>
      </c>
      <c r="BR9" s="10">
        <f>SUM('Plant Inputs'!BT9,'Plant Inputs'!BT15,'Plant Inputs'!BT21)</f>
        <v>0.0</v>
      </c>
      <c r="BS9" s="10">
        <f>SUM('Plant Inputs'!BU9,'Plant Inputs'!BU15,'Plant Inputs'!BU21)</f>
        <v>0.0</v>
      </c>
      <c r="BT9" s="10">
        <f>MIN('Plant Inputs'!BV9,'Plant Inputs'!BV15,'Plant Inputs'!BV21)</f>
        <v>4</v>
      </c>
      <c r="BU9" s="10">
        <f>SUM('Plant Inputs'!BW9,'Plant Inputs'!BW15,'Plant Inputs'!BW21)</f>
        <v>347978.0</v>
      </c>
      <c r="BV9" s="10">
        <f>SUM('Plant Inputs'!BX9,'Plant Inputs'!BX15,'Plant Inputs'!BX21)</f>
        <v>338180.0</v>
      </c>
      <c r="BW9" s="10">
        <f>SUM('Plant Inputs'!BY9,'Plant Inputs'!BY15,'Plant Inputs'!BY21)</f>
        <v>143103746.0</v>
      </c>
      <c r="BX9" s="10">
        <f>SUM('Plant Inputs'!BZ9,'Plant Inputs'!BZ15,'Plant Inputs'!BZ21)</f>
        <v>394982.0</v>
      </c>
      <c r="BY9" s="10">
        <f>SUM('Plant Inputs'!CA9,'Plant Inputs'!CA15,'Plant Inputs'!CA21)</f>
        <v>22295.0</v>
      </c>
      <c r="BZ9" s="21">
        <v>50448.8</v>
      </c>
      <c r="CA9" s="21">
        <v>37174.1</v>
      </c>
      <c r="CB9" s="21">
        <v>11016000</v>
      </c>
      <c r="CC9" s="21">
        <v>4577082.6</v>
      </c>
      <c r="CD9" s="21">
        <v>967082.6</v>
      </c>
      <c r="CE9" s="21">
        <v>449031.4</v>
      </c>
      <c r="CF9" s="21">
        <v>37905</v>
      </c>
      <c r="CG9" s="21">
        <v>486342.3</v>
      </c>
      <c r="CH9" s="21">
        <v>1440701.8</v>
      </c>
      <c r="CI9" s="21">
        <v>201088.9</v>
      </c>
      <c r="CJ9" s="21">
        <v>1153045</v>
      </c>
      <c r="CK9" s="21">
        <v>2003213.3</v>
      </c>
      <c r="CL9" s="21">
        <v>1205957.8</v>
      </c>
      <c r="CM9" s="21">
        <v>1214918.8</v>
      </c>
      <c r="CN9" s="21">
        <v>1158127.3</v>
      </c>
      <c r="CO9" s="21">
        <v>843.3</v>
      </c>
      <c r="CP9" s="21">
        <v>122055.2</v>
      </c>
      <c r="CQ9" s="21">
        <v>94842.60000000001</v>
      </c>
      <c r="CR9" s="21">
        <v>395</v>
      </c>
      <c r="CS9" s="21">
        <v>18541</v>
      </c>
      <c r="CT9" s="21">
        <v>17775</v>
      </c>
      <c r="CU9" s="21">
        <v>2</v>
      </c>
      <c r="CV9" s="21">
        <v>1161973.5</v>
      </c>
      <c r="CW9" s="21">
        <v>1210504.1</v>
      </c>
      <c r="CX9" s="21">
        <v>164691.3</v>
      </c>
      <c r="CY9" s="21">
        <v>3584699.7</v>
      </c>
      <c r="CZ9" s="21">
        <v>2391562.6</v>
      </c>
      <c r="DA9" s="21">
        <v>437492.4</v>
      </c>
      <c r="DB9" s="21">
        <v>314223.8</v>
      </c>
      <c r="DC9" s="21">
        <v>354951.3</v>
      </c>
      <c r="DD9" s="21">
        <v>255711.3</v>
      </c>
      <c r="DE9" s="21">
        <v>7006.3</v>
      </c>
      <c r="DF9" s="21">
        <v>7653.2</v>
      </c>
      <c r="DG9" s="21">
        <v>2579231.2</v>
      </c>
      <c r="DH9" s="21">
        <v>2009224.9</v>
      </c>
      <c r="DI9" s="21">
        <v>1000000</v>
      </c>
      <c r="DJ9" s="21">
        <v>722629.1</v>
      </c>
      <c r="DK9" s="21">
        <v>79170.5</v>
      </c>
      <c r="DL9" s="21">
        <v>590000</v>
      </c>
      <c r="DM9" s="21">
        <v>20798.4</v>
      </c>
      <c r="DN9" s="21">
        <v>5</v>
      </c>
      <c r="DO9" s="21">
        <v>1</v>
      </c>
      <c r="DP9" s="21">
        <v>0</v>
      </c>
      <c r="DQ9" s="21">
        <v>0</v>
      </c>
      <c r="DR9" s="21">
        <v>4</v>
      </c>
      <c r="DS9" s="21">
        <v>10</v>
      </c>
      <c r="DT9" s="21">
        <v>5</v>
      </c>
      <c r="DU9" s="21">
        <v>2</v>
      </c>
      <c r="DV9" s="21">
        <v>1</v>
      </c>
      <c r="DW9" s="21">
        <v>60</v>
      </c>
      <c r="DX9" s="21">
        <v>32</v>
      </c>
      <c r="DY9" s="21">
        <v>4825.8</v>
      </c>
      <c r="DZ9" s="21">
        <v>3192.7</v>
      </c>
      <c r="EA9" s="21">
        <v>1075</v>
      </c>
      <c r="EB9" s="21">
        <v>391.3</v>
      </c>
      <c r="EC9" s="21">
        <v>648.2</v>
      </c>
      <c r="ED9" s="21">
        <v>72</v>
      </c>
      <c r="EE9" s="21">
        <v>69</v>
      </c>
      <c r="EF9" s="21">
        <v>2</v>
      </c>
      <c r="EG9" s="21">
        <v>0</v>
      </c>
      <c r="EH9" s="21">
        <v>2</v>
      </c>
      <c r="EI9" s="21">
        <v>0</v>
      </c>
      <c r="EJ9" s="21">
        <v>0</v>
      </c>
      <c r="EK9" s="21">
        <v>0</v>
      </c>
      <c r="EL9" s="21">
        <v>0</v>
      </c>
      <c r="EM9" s="21">
        <v>1</v>
      </c>
      <c r="EN9" s="21">
        <v>0</v>
      </c>
      <c r="EO9" s="21">
        <v>0</v>
      </c>
      <c r="EP9" s="21">
        <v>0</v>
      </c>
      <c r="EQ9" s="21">
        <v>0</v>
      </c>
      <c r="ER9" s="21">
        <v>1</v>
      </c>
      <c r="ES9" s="21">
        <v>1</v>
      </c>
      <c r="ET9" s="21">
        <v>0</v>
      </c>
      <c r="EU9" s="21">
        <v>1</v>
      </c>
      <c r="EV9" s="21">
        <v>2</v>
      </c>
      <c r="EW9" s="21">
        <v>0</v>
      </c>
      <c r="EX9" s="21">
        <v>0</v>
      </c>
      <c r="EY9" s="21">
        <v>0</v>
      </c>
      <c r="EZ9" s="21">
        <v>50</v>
      </c>
      <c r="FA9" s="21">
        <v>43</v>
      </c>
      <c r="FB9" s="21">
        <v>3</v>
      </c>
      <c r="FC9" s="21">
        <v>88</v>
      </c>
      <c r="FD9" s="21">
        <v>28</v>
      </c>
      <c r="FE9" s="21">
        <v>23</v>
      </c>
      <c r="FF9" s="21">
        <v>26</v>
      </c>
      <c r="FG9" s="21">
        <v>0</v>
      </c>
      <c r="FH9" s="21">
        <v>1</v>
      </c>
      <c r="FI9" s="21">
        <v>1</v>
      </c>
      <c r="FJ9" s="21">
        <v>500044</v>
      </c>
      <c r="FK9" s="21">
        <v>494690</v>
      </c>
      <c r="FL9" s="21">
        <v>400</v>
      </c>
      <c r="FM9" s="21">
        <v>377</v>
      </c>
      <c r="FN9" s="21">
        <v>1</v>
      </c>
      <c r="FO9" s="21">
        <v>0</v>
      </c>
      <c r="FP9" s="21">
        <v>0</v>
      </c>
      <c r="FQ9" s="21">
        <v>6</v>
      </c>
      <c r="FR9" s="21">
        <v>16.7</v>
      </c>
      <c r="FS9" s="21">
        <v>3</v>
      </c>
      <c r="FT9" s="21">
        <v>1</v>
      </c>
      <c r="FU9" s="21">
        <v>1</v>
      </c>
      <c r="FV9" s="21">
        <v>1</v>
      </c>
      <c r="FW9" s="21">
        <v>38</v>
      </c>
      <c r="FX9" s="21">
        <v>51343.8</v>
      </c>
      <c r="FY9" s="21">
        <v>49607.5</v>
      </c>
      <c r="FZ9" s="12">
        <f>AV9-W9-Y9-BZ9</f>
        <v>201436.20000000007</v>
      </c>
      <c r="GA9" s="12">
        <f>FZ9-AY9</f>
        <v>154108.00000000006</v>
      </c>
      <c r="GB9" s="12">
        <f>CK9+CM9-CL9</f>
        <v>2012174.3</v>
      </c>
      <c r="GC9" s="12">
        <f>GB9-GB8</f>
        <v>-9233.699999999488</v>
      </c>
      <c r="GD9" s="12">
        <f>FZ9-CA9-GC9</f>
        <v>173495.79999999955</v>
      </c>
      <c r="GE9" s="12">
        <f>GD9-DK9</f>
        <v>94325.29999999955</v>
      </c>
      <c r="GF9" s="12">
        <f>CC9-CD9</f>
        <v>3609999.9999999995</v>
      </c>
      <c r="GG9" s="12">
        <f>SUM(FZ$4:FZ9)*12/E9</f>
        <v>1781107.599999999</v>
      </c>
      <c r="GH9" s="12">
        <f>IF(AV9=0,0,CK9/AV9*D9)</f>
        <v>51.998910293649644</v>
      </c>
      <c r="GI9" s="12">
        <f>IF(W9=0,0,CL9/W9*D9)</f>
        <v>40.195493814143674</v>
      </c>
      <c r="GJ9" s="12">
        <f>IF(W9=0,0,CM9/W9*D9)</f>
        <v>40.49417078283076</v>
      </c>
      <c r="GK9" s="12">
        <f>IF(OR(AT9=0,AU9=0,AW9=0),0,100*((AV9/AT9)/(AW9/AU9)-1))</f>
        <v>-0.8623053800058345</v>
      </c>
    </row>
    <row r="10" spans="1:193">
      <c r="A10" t="s">
        <v>19</v>
      </c>
      <c r="B10" t="s">
        <v>189</v>
      </c>
      <c r="C10" t="s">
        <v>181</v>
      </c>
      <c r="D10">
        <v>30</v>
      </c>
      <c r="E10">
        <v>1</v>
      </c>
      <c r="F10" s="10">
        <f>SUM('Plant Inputs'!H22,'Plant Inputs'!H28,'Plant Inputs'!H34)</f>
        <v>2160.0</v>
      </c>
      <c r="G10" s="10">
        <f>SUM('Plant Inputs'!I22,'Plant Inputs'!I28,'Plant Inputs'!I34)</f>
        <v>2143.0</v>
      </c>
      <c r="H10" s="10">
        <f>SUM('Plant Inputs'!J22,'Plant Inputs'!J28,'Plant Inputs'!J34)</f>
        <v>2067.0</v>
      </c>
      <c r="I10" s="10">
        <f>SUM('Plant Inputs'!K22,'Plant Inputs'!K28,'Plant Inputs'!K34)</f>
        <v>41.1</v>
      </c>
      <c r="J10" s="10">
        <f>SUM('Plant Inputs'!L22,'Plant Inputs'!L28,'Plant Inputs'!L34)</f>
        <v>349737.0</v>
      </c>
      <c r="K10" s="10">
        <f>SUM('Plant Inputs'!M22,'Plant Inputs'!M28,'Plant Inputs'!M34)</f>
        <v>352800.0</v>
      </c>
      <c r="L10" s="10">
        <f>SUM('Plant Inputs'!N22,'Plant Inputs'!N28,'Plant Inputs'!N34)</f>
        <v>308197.0</v>
      </c>
      <c r="M10" s="10">
        <f>SUM('Plant Inputs'!O22,'Plant Inputs'!O28,'Plant Inputs'!O34)</f>
        <v>321572.0</v>
      </c>
      <c r="N10" s="10">
        <f>SUM('Plant Inputs'!P22,'Plant Inputs'!P28,'Plant Inputs'!P34)</f>
        <v>308494.0</v>
      </c>
      <c r="O10" s="10">
        <f>SUM('Plant Inputs'!Q22,'Plant Inputs'!Q28,'Plant Inputs'!Q34)</f>
        <v>337601.0</v>
      </c>
      <c r="P10" s="10">
        <f>SUM('Plant Inputs'!R22,'Plant Inputs'!R28,'Plant Inputs'!R34)</f>
        <v>77315.0</v>
      </c>
      <c r="Q10" s="10">
        <f>SUM('Plant Inputs'!S22,'Plant Inputs'!S28,'Plant Inputs'!S34)</f>
        <v>67290.0</v>
      </c>
      <c r="R10" s="10">
        <f>SUM('Plant Inputs'!T22,'Plant Inputs'!T28,'Plant Inputs'!T34)</f>
        <v>6880.0</v>
      </c>
      <c r="S10" s="10">
        <f>SUM('Plant Inputs'!U22,'Plant Inputs'!U28,'Plant Inputs'!U34)</f>
        <v>5.0</v>
      </c>
      <c r="T10" s="10">
        <f>SUM('Plant Inputs'!V22,'Plant Inputs'!V28,'Plant Inputs'!V34)</f>
        <v>23.8</v>
      </c>
      <c r="U10" s="10">
        <f>SUM('Plant Inputs'!W22,'Plant Inputs'!W28,'Plant Inputs'!W34)</f>
        <v>137.0</v>
      </c>
      <c r="V10" s="10">
        <f>SUM('Plant Inputs'!X22,'Plant Inputs'!X28,'Plant Inputs'!X34)</f>
        <v>128.0</v>
      </c>
      <c r="W10" s="10">
        <f>SUM('Plant Inputs'!Y22,'Plant Inputs'!Y28,'Plant Inputs'!Y34)</f>
        <v>941704.0</v>
      </c>
      <c r="X10" s="10">
        <f>SUM('Plant Inputs'!Z22,'Plant Inputs'!Z28,'Plant Inputs'!Z34)</f>
        <v>257432.69999999998</v>
      </c>
      <c r="Y10" s="10">
        <f>SUM('Plant Inputs'!AA22,'Plant Inputs'!AA28,'Plant Inputs'!AA34)</f>
        <v>3422.3</v>
      </c>
      <c r="Z10" s="10">
        <f>SUM('Plant Inputs'!AB22,'Plant Inputs'!AB28,'Plant Inputs'!AB34)</f>
        <v>688999.0</v>
      </c>
      <c r="AA10" s="10">
        <f>SUM('Plant Inputs'!AC22,'Plant Inputs'!AC28,'Plant Inputs'!AC34)</f>
        <v>194946.0</v>
      </c>
      <c r="AB10" s="10">
        <f>SUM('Plant Inputs'!AD22,'Plant Inputs'!AD28,'Plant Inputs'!AD34)</f>
        <v>1050428.0</v>
      </c>
      <c r="AC10" s="10">
        <f>SUM('Plant Inputs'!AE22,'Plant Inputs'!AE28,'Plant Inputs'!AE34)</f>
        <v>2688.0</v>
      </c>
      <c r="AD10" s="10">
        <f>SUM('Plant Inputs'!AF22,'Plant Inputs'!AF28,'Plant Inputs'!AF34)</f>
        <v>4.0</v>
      </c>
      <c r="AE10" s="10">
        <f>SUM('Plant Inputs'!AG22,'Plant Inputs'!AG28,'Plant Inputs'!AG34)</f>
        <v>238000.0</v>
      </c>
      <c r="AF10" s="10">
        <f>SUM('Plant Inputs'!AH22,'Plant Inputs'!AH28,'Plant Inputs'!AH34)</f>
        <v>2.0</v>
      </c>
      <c r="AG10" s="10">
        <f>SUM('Plant Inputs'!AI22,'Plant Inputs'!AI28,'Plant Inputs'!AI34)</f>
        <v>0.0</v>
      </c>
      <c r="AH10" s="10">
        <f>SUM('Plant Inputs'!AJ22,'Plant Inputs'!AJ28,'Plant Inputs'!AJ34)</f>
        <v>18.0</v>
      </c>
      <c r="AI10" s="10">
        <f>SUM('Plant Inputs'!AK22,'Plant Inputs'!AK28,'Plant Inputs'!AK34)</f>
        <v>0.0</v>
      </c>
      <c r="AJ10" s="10">
        <f>SUM('Plant Inputs'!AL22,'Plant Inputs'!AL28,'Plant Inputs'!AL34)</f>
        <v>1.0</v>
      </c>
      <c r="AK10" s="10">
        <f>SUM('Plant Inputs'!AM22,'Plant Inputs'!AM28,'Plant Inputs'!AM34)</f>
        <v>1.0</v>
      </c>
      <c r="AL10" s="10">
        <f>SUM('Plant Inputs'!AN22,'Plant Inputs'!AN28,'Plant Inputs'!AN34)</f>
        <v>35.0</v>
      </c>
      <c r="AM10" s="10">
        <f>SUM('Plant Inputs'!AO22,'Plant Inputs'!AO28,'Plant Inputs'!AO34)</f>
        <v>5.0</v>
      </c>
      <c r="AN10" s="10">
        <f>SUM('Plant Inputs'!AP22,'Plant Inputs'!AP28,'Plant Inputs'!AP34)</f>
        <v>5.0</v>
      </c>
      <c r="AO10" s="10">
        <f>SUM('Plant Inputs'!AQ22,'Plant Inputs'!AQ28,'Plant Inputs'!AQ34)</f>
        <v>3.0</v>
      </c>
      <c r="AP10" s="10">
        <f>SUM('Plant Inputs'!AR22,'Plant Inputs'!AR28,'Plant Inputs'!AR34)</f>
        <v>2.0</v>
      </c>
      <c r="AQ10" s="10">
        <f>SUM('Plant Inputs'!AS22,'Plant Inputs'!AS28,'Plant Inputs'!AS34)</f>
        <v>561.0</v>
      </c>
      <c r="AR10" s="10">
        <f>SUM('Plant Inputs'!AT22,'Plant Inputs'!AT28,'Plant Inputs'!AT34)</f>
        <v>37.0</v>
      </c>
      <c r="AS10" s="10">
        <f>MIN('Plant Inputs'!AU22,'Plant Inputs'!AU28,'Plant Inputs'!AU34)</f>
        <v>252</v>
      </c>
      <c r="AT10" s="10">
        <f>SUM('Plant Inputs'!AV22,'Plant Inputs'!AV28,'Plant Inputs'!AV34)</f>
        <v>306461.0</v>
      </c>
      <c r="AU10" s="10">
        <f>SUM('Plant Inputs'!AW22,'Plant Inputs'!AW28,'Plant Inputs'!AW34)</f>
        <v>309186.0</v>
      </c>
      <c r="AV10" s="10">
        <f>SUM('Plant Inputs'!AX22,'Plant Inputs'!AX28,'Plant Inputs'!AX34)</f>
        <v>1153204.7999999998</v>
      </c>
      <c r="AW10" s="10">
        <f>SUM('Plant Inputs'!AY22,'Plant Inputs'!AY28,'Plant Inputs'!AY34)</f>
        <v>1162539.4</v>
      </c>
      <c r="AX10" s="10">
        <f>SUM('Plant Inputs'!AZ22,'Plant Inputs'!AZ28,'Plant Inputs'!AZ34)</f>
        <v>55440.7</v>
      </c>
      <c r="AY10" s="10">
        <f>SUM('Plant Inputs'!BA22,'Plant Inputs'!BA28,'Plant Inputs'!BA34)</f>
        <v>42632.8</v>
      </c>
      <c r="AZ10" s="10">
        <f>SUM('Plant Inputs'!BB22,'Plant Inputs'!BB28,'Plant Inputs'!BB34)</f>
        <v>760.0</v>
      </c>
      <c r="BA10" s="10">
        <f>SUM('Plant Inputs'!BC22,'Plant Inputs'!BC28,'Plant Inputs'!BC34)</f>
        <v>696.0</v>
      </c>
      <c r="BB10" s="10">
        <f>SUM('Plant Inputs'!BD22,'Plant Inputs'!BD28,'Plant Inputs'!BD34)</f>
        <v>333873.0</v>
      </c>
      <c r="BC10" s="10">
        <f>SUM('Plant Inputs'!BE22,'Plant Inputs'!BE28,'Plant Inputs'!BE34)</f>
        <v>319297.0</v>
      </c>
      <c r="BD10" s="10">
        <f>SUM('Plant Inputs'!BF22,'Plant Inputs'!BF28,'Plant Inputs'!BF34)</f>
        <v>3807.0</v>
      </c>
      <c r="BE10" s="10">
        <f>SUM('Plant Inputs'!BG22,'Plant Inputs'!BG28,'Plant Inputs'!BG34)</f>
        <v>2520.0</v>
      </c>
      <c r="BF10" s="10">
        <f>SUM('Plant Inputs'!BH22,'Plant Inputs'!BH28,'Plant Inputs'!BH34)</f>
        <v>2637.0</v>
      </c>
      <c r="BG10" s="10">
        <f>SUM('Plant Inputs'!BI22,'Plant Inputs'!BI28,'Plant Inputs'!BI34)</f>
        <v>549659.8</v>
      </c>
      <c r="BH10" s="10">
        <f>SUM('Plant Inputs'!BJ22,'Plant Inputs'!BJ28,'Plant Inputs'!BJ34)</f>
        <v>170414.8</v>
      </c>
      <c r="BI10" s="10">
        <f>SUM('Plant Inputs'!BK22,'Plant Inputs'!BK28,'Plant Inputs'!BK34)</f>
        <v>0.0</v>
      </c>
      <c r="BJ10" s="10">
        <f>SUM('Plant Inputs'!BL22,'Plant Inputs'!BL28,'Plant Inputs'!BL34)</f>
        <v>2.0</v>
      </c>
      <c r="BK10" s="10">
        <f>SUM('Plant Inputs'!BM22,'Plant Inputs'!BM28,'Plant Inputs'!BM34)</f>
        <v>0.0</v>
      </c>
      <c r="BL10" s="10">
        <f>SUM('Plant Inputs'!BN22,'Plant Inputs'!BN28,'Plant Inputs'!BN34)</f>
        <v>1.0</v>
      </c>
      <c r="BM10" s="10">
        <f>SUM('Plant Inputs'!BO22,'Plant Inputs'!BO28,'Plant Inputs'!BO34)</f>
        <v>1.0</v>
      </c>
      <c r="BN10" s="10">
        <f>SUM('Plant Inputs'!BP22,'Plant Inputs'!BP28,'Plant Inputs'!BP34)</f>
        <v>0.0</v>
      </c>
      <c r="BO10" s="10">
        <f>SUM('Plant Inputs'!BQ22,'Plant Inputs'!BQ28,'Plant Inputs'!BQ34)</f>
        <v>0.0</v>
      </c>
      <c r="BP10" s="10">
        <f>SUM('Plant Inputs'!BR22,'Plant Inputs'!BR28,'Plant Inputs'!BR34)</f>
        <v>0.0</v>
      </c>
      <c r="BQ10" s="10">
        <f>SUM('Plant Inputs'!BS22,'Plant Inputs'!BS28,'Plant Inputs'!BS34)</f>
        <v>0.0</v>
      </c>
      <c r="BR10" s="10">
        <f>SUM('Plant Inputs'!BT22,'Plant Inputs'!BT28,'Plant Inputs'!BT34)</f>
        <v>0.0</v>
      </c>
      <c r="BS10" s="10">
        <f>SUM('Plant Inputs'!BU22,'Plant Inputs'!BU28,'Plant Inputs'!BU34)</f>
        <v>0.0</v>
      </c>
      <c r="BT10" s="10">
        <f>MIN('Plant Inputs'!BV22,'Plant Inputs'!BV28,'Plant Inputs'!BV34)</f>
        <v>99</v>
      </c>
      <c r="BU10" s="10">
        <f>SUM('Plant Inputs'!BW22,'Plant Inputs'!BW28,'Plant Inputs'!BW34)</f>
        <v>310908.0</v>
      </c>
      <c r="BV10" s="10">
        <f>SUM('Plant Inputs'!BX22,'Plant Inputs'!BX28,'Plant Inputs'!BX34)</f>
        <v>314492.0</v>
      </c>
      <c r="BW10" s="10">
        <f>SUM('Plant Inputs'!BY22,'Plant Inputs'!BY28,'Plant Inputs'!BY34)</f>
        <v>132132220.0</v>
      </c>
      <c r="BX10" s="10">
        <f>SUM('Plant Inputs'!BZ22,'Plant Inputs'!BZ28,'Plant Inputs'!BZ34)</f>
        <v>349737.0</v>
      </c>
      <c r="BY10" s="10">
        <f>SUM('Plant Inputs'!CA22,'Plant Inputs'!CA28,'Plant Inputs'!CA34)</f>
        <v>7489.0</v>
      </c>
      <c r="BZ10" s="21">
        <v>53970.6</v>
      </c>
      <c r="CA10" s="21">
        <v>29831.4</v>
      </c>
      <c r="CB10" s="21">
        <v>10000000</v>
      </c>
      <c r="CC10" s="21">
        <v>4362932.7</v>
      </c>
      <c r="CD10" s="21">
        <v>1162932.7</v>
      </c>
      <c r="CE10" s="21">
        <v>466410.4</v>
      </c>
      <c r="CF10" s="21">
        <v>33600</v>
      </c>
      <c r="CG10" s="21">
        <v>401681.3</v>
      </c>
      <c r="CH10" s="21">
        <v>1363476.4</v>
      </c>
      <c r="CI10" s="21">
        <v>154555.6</v>
      </c>
      <c r="CJ10" s="21">
        <v>1144080.8</v>
      </c>
      <c r="CK10" s="21">
        <v>1670373.1</v>
      </c>
      <c r="CL10" s="21">
        <v>1974556.3</v>
      </c>
      <c r="CM10" s="21">
        <v>1075076.8</v>
      </c>
      <c r="CN10" s="21">
        <v>1128578.1</v>
      </c>
      <c r="CO10" s="21">
        <v>3306.5</v>
      </c>
      <c r="CP10" s="21">
        <v>70251.8</v>
      </c>
      <c r="CQ10" s="21">
        <v>70251.8</v>
      </c>
      <c r="CR10" s="21">
        <v>374</v>
      </c>
      <c r="CS10" s="21">
        <v>16795</v>
      </c>
      <c r="CT10" s="21">
        <v>16830</v>
      </c>
      <c r="CU10" s="21">
        <v>0</v>
      </c>
      <c r="CV10" s="21">
        <v>924339.3</v>
      </c>
      <c r="CW10" s="21">
        <v>930922.9</v>
      </c>
      <c r="CX10" s="21">
        <v>142690.9</v>
      </c>
      <c r="CY10" s="21">
        <v>3180825.9</v>
      </c>
      <c r="CZ10" s="21">
        <v>1800841.3</v>
      </c>
      <c r="DA10" s="21">
        <v>298827.6</v>
      </c>
      <c r="DB10" s="21">
        <v>219185.2</v>
      </c>
      <c r="DC10" s="21">
        <v>234572</v>
      </c>
      <c r="DD10" s="21">
        <v>172016.9</v>
      </c>
      <c r="DE10" s="21">
        <v>4570.2</v>
      </c>
      <c r="DF10" s="21">
        <v>5149.9</v>
      </c>
      <c r="DG10" s="21">
        <v>1763562.5</v>
      </c>
      <c r="DH10" s="21">
        <v>1050789.6</v>
      </c>
      <c r="DI10" s="21">
        <v>860000</v>
      </c>
      <c r="DJ10" s="21">
        <v>389482.4</v>
      </c>
      <c r="DK10" s="21">
        <v>69779.5</v>
      </c>
      <c r="DL10" s="21">
        <v>326800</v>
      </c>
      <c r="DM10" s="21">
        <v>116966</v>
      </c>
      <c r="DN10" s="21">
        <v>4</v>
      </c>
      <c r="DO10" s="21">
        <v>1</v>
      </c>
      <c r="DP10" s="21">
        <v>0</v>
      </c>
      <c r="DQ10" s="21">
        <v>0</v>
      </c>
      <c r="DR10" s="21">
        <v>4</v>
      </c>
      <c r="DS10" s="21">
        <v>5</v>
      </c>
      <c r="DT10" s="21">
        <v>10</v>
      </c>
      <c r="DU10" s="21">
        <v>4</v>
      </c>
      <c r="DV10" s="21">
        <v>2</v>
      </c>
      <c r="DW10" s="21">
        <v>64</v>
      </c>
      <c r="DX10" s="21">
        <v>19</v>
      </c>
      <c r="DY10" s="21">
        <v>9130.700000000001</v>
      </c>
      <c r="DZ10" s="21">
        <v>3031.5</v>
      </c>
      <c r="EA10" s="21">
        <v>1376</v>
      </c>
      <c r="EB10" s="21">
        <v>1091.6</v>
      </c>
      <c r="EC10" s="21">
        <v>1173.7</v>
      </c>
      <c r="ED10" s="21">
        <v>68</v>
      </c>
      <c r="EE10" s="21">
        <v>66</v>
      </c>
      <c r="EF10" s="21">
        <v>2</v>
      </c>
      <c r="EG10" s="21">
        <v>1</v>
      </c>
      <c r="EH10" s="21">
        <v>1</v>
      </c>
      <c r="EI10" s="21">
        <v>0</v>
      </c>
      <c r="EJ10" s="21">
        <v>0</v>
      </c>
      <c r="EK10" s="21">
        <v>1</v>
      </c>
      <c r="EL10" s="21">
        <v>1</v>
      </c>
      <c r="EM10" s="21">
        <v>0</v>
      </c>
      <c r="EN10" s="21">
        <v>0</v>
      </c>
      <c r="EO10" s="21">
        <v>0</v>
      </c>
      <c r="EP10" s="21">
        <v>0</v>
      </c>
      <c r="EQ10" s="21">
        <v>0</v>
      </c>
      <c r="ER10" s="21">
        <v>0</v>
      </c>
      <c r="ES10" s="21">
        <v>0</v>
      </c>
      <c r="ET10" s="21">
        <v>0</v>
      </c>
      <c r="EU10" s="21">
        <v>0</v>
      </c>
      <c r="EV10" s="21">
        <v>6</v>
      </c>
      <c r="EW10" s="21">
        <v>0</v>
      </c>
      <c r="EX10" s="21">
        <v>1</v>
      </c>
      <c r="EY10" s="21">
        <v>1</v>
      </c>
      <c r="EZ10" s="21">
        <v>58</v>
      </c>
      <c r="FA10" s="21">
        <v>52</v>
      </c>
      <c r="FB10" s="21">
        <v>3</v>
      </c>
      <c r="FC10" s="21">
        <v>111</v>
      </c>
      <c r="FD10" s="21">
        <v>28</v>
      </c>
      <c r="FE10" s="21">
        <v>24</v>
      </c>
      <c r="FF10" s="21">
        <v>26</v>
      </c>
      <c r="FG10" s="21">
        <v>1</v>
      </c>
      <c r="FH10" s="21">
        <v>0</v>
      </c>
      <c r="FI10" s="21">
        <v>0</v>
      </c>
      <c r="FJ10" s="21">
        <v>514962</v>
      </c>
      <c r="FK10" s="21">
        <v>512268</v>
      </c>
      <c r="FL10" s="21">
        <v>420</v>
      </c>
      <c r="FM10" s="21">
        <v>413</v>
      </c>
      <c r="FN10" s="21">
        <v>0</v>
      </c>
      <c r="FO10" s="21">
        <v>0</v>
      </c>
      <c r="FP10" s="21">
        <v>0</v>
      </c>
      <c r="FQ10" s="21">
        <v>6</v>
      </c>
      <c r="FR10" s="21">
        <v>12.9</v>
      </c>
      <c r="FS10" s="21">
        <v>8</v>
      </c>
      <c r="FT10" s="21">
        <v>0</v>
      </c>
      <c r="FU10" s="21">
        <v>1</v>
      </c>
      <c r="FV10" s="21">
        <v>1</v>
      </c>
      <c r="FW10" s="21">
        <v>999</v>
      </c>
      <c r="FX10" s="21">
        <v>49279</v>
      </c>
      <c r="FY10" s="21">
        <v>49033.8</v>
      </c>
      <c r="FZ10" s="12">
        <f>AV10-W10-Y10-BZ10</f>
        <v>154107.89999999982</v>
      </c>
      <c r="GA10" s="12">
        <f>FZ10-AY10</f>
        <v>111475.09999999982</v>
      </c>
      <c r="GB10" s="12">
        <f>CK10+CM10-CL10</f>
        <v>770893.6000000003</v>
      </c>
      <c r="GC10" s="12">
        <f>GB10-Parameters!$B$6</f>
        <v>11563.400000000373</v>
      </c>
      <c r="GD10" s="12">
        <f>FZ10-CA10-GC10</f>
        <v>112713.09999999945</v>
      </c>
      <c r="GE10" s="12">
        <f>GD10-DK10</f>
        <v>42933.59999999945</v>
      </c>
      <c r="GF10" s="12">
        <f>CC10-CD10</f>
        <v>3200000.0</v>
      </c>
      <c r="GG10" s="12">
        <f>SUM(FZ$10:FZ10)*12/E10</f>
        <v>1849294.799999998</v>
      </c>
      <c r="GH10" s="12">
        <f>IF(AV10=0,0,CK10/AV10*D10)</f>
        <v>43.45385399020193</v>
      </c>
      <c r="GI10" s="12">
        <f>IF(W10=0,0,CL10/W10*D10)</f>
        <v>62.9037245249038</v>
      </c>
      <c r="GJ10" s="12">
        <f>IF(W10=0,0,CM10/W10*D10)</f>
        <v>34.24887650471911</v>
      </c>
      <c r="GK10" s="12">
        <f>IF(OR(AT10=0,AU10=0,AW10=0),0,100*((AV10/AT10)/(AW10/AU10)-1))</f>
        <v>0.07909446958711541</v>
      </c>
    </row>
    <row r="11" spans="1:193">
      <c r="A11" t="s">
        <v>19</v>
      </c>
      <c r="B11" t="s">
        <v>189</v>
      </c>
      <c r="C11" t="s">
        <v>182</v>
      </c>
      <c r="D11">
        <v>31</v>
      </c>
      <c r="E11">
        <v>2</v>
      </c>
      <c r="F11" s="10">
        <f>SUM('Plant Inputs'!H23,'Plant Inputs'!H29,'Plant Inputs'!H35)</f>
        <v>2232.0</v>
      </c>
      <c r="G11" s="10">
        <f>SUM('Plant Inputs'!I23,'Plant Inputs'!I29,'Plant Inputs'!I35)</f>
        <v>2096.0</v>
      </c>
      <c r="H11" s="10">
        <f>SUM('Plant Inputs'!J23,'Plant Inputs'!J29,'Plant Inputs'!J35)</f>
        <v>1982.7</v>
      </c>
      <c r="I11" s="10">
        <f>SUM('Plant Inputs'!K23,'Plant Inputs'!K29,'Plant Inputs'!K35)</f>
        <v>79.89999999999999</v>
      </c>
      <c r="J11" s="10">
        <f>SUM('Plant Inputs'!L23,'Plant Inputs'!L29,'Plant Inputs'!L35)</f>
        <v>339769.0</v>
      </c>
      <c r="K11" s="10">
        <f>SUM('Plant Inputs'!M23,'Plant Inputs'!M29,'Plant Inputs'!M35)</f>
        <v>364560.0</v>
      </c>
      <c r="L11" s="10">
        <f>SUM('Plant Inputs'!N23,'Plant Inputs'!N29,'Plant Inputs'!N35)</f>
        <v>298749.0</v>
      </c>
      <c r="M11" s="10">
        <f>SUM('Plant Inputs'!O23,'Plant Inputs'!O29,'Plant Inputs'!O35)</f>
        <v>297580.0</v>
      </c>
      <c r="N11" s="10">
        <f>SUM('Plant Inputs'!P23,'Plant Inputs'!P29,'Plant Inputs'!P35)</f>
        <v>289027.0</v>
      </c>
      <c r="O11" s="10">
        <f>SUM('Plant Inputs'!Q23,'Plant Inputs'!Q29,'Plant Inputs'!Q35)</f>
        <v>311387.0</v>
      </c>
      <c r="P11" s="10">
        <f>SUM('Plant Inputs'!R23,'Plant Inputs'!R29,'Plant Inputs'!R35)</f>
        <v>59227.0</v>
      </c>
      <c r="Q11" s="10">
        <f>SUM('Plant Inputs'!S23,'Plant Inputs'!S29,'Plant Inputs'!S35)</f>
        <v>51247.0</v>
      </c>
      <c r="R11" s="10">
        <f>SUM('Plant Inputs'!T23,'Plant Inputs'!T29,'Plant Inputs'!T35)</f>
        <v>12208.0</v>
      </c>
      <c r="S11" s="10">
        <f>SUM('Plant Inputs'!U23,'Plant Inputs'!U29,'Plant Inputs'!U35)</f>
        <v>9.0</v>
      </c>
      <c r="T11" s="10">
        <f>SUM('Plant Inputs'!V23,'Plant Inputs'!V29,'Plant Inputs'!V35)</f>
        <v>55.00000000000001</v>
      </c>
      <c r="U11" s="10">
        <f>SUM('Plant Inputs'!W23,'Plant Inputs'!W29,'Plant Inputs'!W35)</f>
        <v>129.0</v>
      </c>
      <c r="V11" s="10">
        <f>SUM('Plant Inputs'!X23,'Plant Inputs'!X29,'Plant Inputs'!X35)</f>
        <v>124.0</v>
      </c>
      <c r="W11" s="10">
        <f>SUM('Plant Inputs'!Y23,'Plant Inputs'!Y29,'Plant Inputs'!Y35)</f>
        <v>853640.3</v>
      </c>
      <c r="X11" s="10">
        <f>SUM('Plant Inputs'!Z23,'Plant Inputs'!Z29,'Plant Inputs'!Z35)</f>
        <v>226229.59999999998</v>
      </c>
      <c r="Y11" s="10">
        <f>SUM('Plant Inputs'!AA23,'Plant Inputs'!AA29,'Plant Inputs'!AA35)</f>
        <v>4436.7</v>
      </c>
      <c r="Z11" s="10">
        <f>SUM('Plant Inputs'!AB23,'Plant Inputs'!AB29,'Plant Inputs'!AB35)</f>
        <v>579740.0</v>
      </c>
      <c r="AA11" s="10">
        <f>SUM('Plant Inputs'!AC23,'Plant Inputs'!AC29,'Plant Inputs'!AC35)</f>
        <v>193553.0</v>
      </c>
      <c r="AB11" s="10">
        <f>SUM('Plant Inputs'!AD23,'Plant Inputs'!AD29,'Plant Inputs'!AD35)</f>
        <v>871968.0</v>
      </c>
      <c r="AC11" s="10">
        <f>SUM('Plant Inputs'!AE23,'Plant Inputs'!AE29,'Plant Inputs'!AE35)</f>
        <v>12058.0</v>
      </c>
      <c r="AD11" s="10">
        <f>SUM('Plant Inputs'!AF23,'Plant Inputs'!AF29,'Plant Inputs'!AF35)</f>
        <v>0.0</v>
      </c>
      <c r="AE11" s="10">
        <f>SUM('Plant Inputs'!AG23,'Plant Inputs'!AG29,'Plant Inputs'!AG35)</f>
        <v>216000.0</v>
      </c>
      <c r="AF11" s="10">
        <f>SUM('Plant Inputs'!AH23,'Plant Inputs'!AH29,'Plant Inputs'!AH35)</f>
        <v>2.0</v>
      </c>
      <c r="AG11" s="10">
        <f>SUM('Plant Inputs'!AI23,'Plant Inputs'!AI29,'Plant Inputs'!AI35)</f>
        <v>1.0</v>
      </c>
      <c r="AH11" s="10">
        <f>SUM('Plant Inputs'!AJ23,'Plant Inputs'!AJ29,'Plant Inputs'!AJ35)</f>
        <v>28.0</v>
      </c>
      <c r="AI11" s="10">
        <f>SUM('Plant Inputs'!AK23,'Plant Inputs'!AK29,'Plant Inputs'!AK35)</f>
        <v>1.0</v>
      </c>
      <c r="AJ11" s="10">
        <f>SUM('Plant Inputs'!AL23,'Plant Inputs'!AL29,'Plant Inputs'!AL35)</f>
        <v>0.0</v>
      </c>
      <c r="AK11" s="10">
        <f>SUM('Plant Inputs'!AM23,'Plant Inputs'!AM29,'Plant Inputs'!AM35)</f>
        <v>0.0</v>
      </c>
      <c r="AL11" s="10">
        <f>SUM('Plant Inputs'!AN23,'Plant Inputs'!AN29,'Plant Inputs'!AN35)</f>
        <v>32.0</v>
      </c>
      <c r="AM11" s="10">
        <f>SUM('Plant Inputs'!AO23,'Plant Inputs'!AO29,'Plant Inputs'!AO35)</f>
        <v>9.0</v>
      </c>
      <c r="AN11" s="10">
        <f>SUM('Plant Inputs'!AP23,'Plant Inputs'!AP29,'Plant Inputs'!AP35)</f>
        <v>5.0</v>
      </c>
      <c r="AO11" s="10">
        <f>SUM('Plant Inputs'!AQ23,'Plant Inputs'!AQ29,'Plant Inputs'!AQ35)</f>
        <v>5.0</v>
      </c>
      <c r="AP11" s="10">
        <f>SUM('Plant Inputs'!AR23,'Plant Inputs'!AR29,'Plant Inputs'!AR35)</f>
        <v>3.0</v>
      </c>
      <c r="AQ11" s="10">
        <f>SUM('Plant Inputs'!AS23,'Plant Inputs'!AS29,'Plant Inputs'!AS35)</f>
        <v>476.0</v>
      </c>
      <c r="AR11" s="10">
        <f>SUM('Plant Inputs'!AT23,'Plant Inputs'!AT29,'Plant Inputs'!AT35)</f>
        <v>39.0</v>
      </c>
      <c r="AS11" s="10">
        <f>MIN('Plant Inputs'!AU23,'Plant Inputs'!AU29,'Plant Inputs'!AU35)</f>
        <v>222</v>
      </c>
      <c r="AT11" s="10">
        <f>SUM('Plant Inputs'!AV23,'Plant Inputs'!AV29,'Plant Inputs'!AV35)</f>
        <v>289034.0</v>
      </c>
      <c r="AU11" s="10">
        <f>SUM('Plant Inputs'!AW23,'Plant Inputs'!AW29,'Plant Inputs'!AW35)</f>
        <v>299716.0</v>
      </c>
      <c r="AV11" s="10">
        <f>SUM('Plant Inputs'!AX23,'Plant Inputs'!AX29,'Plant Inputs'!AX35)</f>
        <v>1092931.1</v>
      </c>
      <c r="AW11" s="10">
        <f>SUM('Plant Inputs'!AY23,'Plant Inputs'!AY29,'Plant Inputs'!AY35)</f>
        <v>1126932.2</v>
      </c>
      <c r="AX11" s="10">
        <f>SUM('Plant Inputs'!AZ23,'Plant Inputs'!AZ29,'Plant Inputs'!AZ35)</f>
        <v>53998.3</v>
      </c>
      <c r="AY11" s="10">
        <f>SUM('Plant Inputs'!BA23,'Plant Inputs'!BA29,'Plant Inputs'!BA35)</f>
        <v>41823.3</v>
      </c>
      <c r="AZ11" s="10">
        <f>SUM('Plant Inputs'!BB23,'Plant Inputs'!BB29,'Plant Inputs'!BB35)</f>
        <v>705.0</v>
      </c>
      <c r="BA11" s="10">
        <f>SUM('Plant Inputs'!BC23,'Plant Inputs'!BC29,'Plant Inputs'!BC35)</f>
        <v>661.0</v>
      </c>
      <c r="BB11" s="10">
        <f>SUM('Plant Inputs'!BD23,'Plant Inputs'!BD29,'Plant Inputs'!BD35)</f>
        <v>305152.0</v>
      </c>
      <c r="BC11" s="10">
        <f>SUM('Plant Inputs'!BE23,'Plant Inputs'!BE29,'Plant Inputs'!BE35)</f>
        <v>288534.0</v>
      </c>
      <c r="BD11" s="10">
        <f>SUM('Plant Inputs'!BF23,'Plant Inputs'!BF29,'Plant Inputs'!BF35)</f>
        <v>3041.0</v>
      </c>
      <c r="BE11" s="10">
        <f>SUM('Plant Inputs'!BG23,'Plant Inputs'!BG29,'Plant Inputs'!BG35)</f>
        <v>2114.0</v>
      </c>
      <c r="BF11" s="10">
        <f>SUM('Plant Inputs'!BH23,'Plant Inputs'!BH29,'Plant Inputs'!BH35)</f>
        <v>2169.0</v>
      </c>
      <c r="BG11" s="10">
        <f>SUM('Plant Inputs'!BI23,'Plant Inputs'!BI29,'Plant Inputs'!BI35)</f>
        <v>491776.3</v>
      </c>
      <c r="BH11" s="10">
        <f>SUM('Plant Inputs'!BJ23,'Plant Inputs'!BJ29,'Plant Inputs'!BJ35)</f>
        <v>160204.2</v>
      </c>
      <c r="BI11" s="10">
        <f>SUM('Plant Inputs'!BK23,'Plant Inputs'!BK29,'Plant Inputs'!BK35)</f>
        <v>0.0</v>
      </c>
      <c r="BJ11" s="10">
        <f>SUM('Plant Inputs'!BL23,'Plant Inputs'!BL29,'Plant Inputs'!BL35)</f>
        <v>1.0</v>
      </c>
      <c r="BK11" s="10">
        <f>SUM('Plant Inputs'!BM23,'Plant Inputs'!BM29,'Plant Inputs'!BM35)</f>
        <v>0.0</v>
      </c>
      <c r="BL11" s="10">
        <f>SUM('Plant Inputs'!BN23,'Plant Inputs'!BN29,'Plant Inputs'!BN35)</f>
        <v>0.0</v>
      </c>
      <c r="BM11" s="10">
        <f>SUM('Plant Inputs'!BO23,'Plant Inputs'!BO29,'Plant Inputs'!BO35)</f>
        <v>1.0</v>
      </c>
      <c r="BN11" s="10">
        <f>SUM('Plant Inputs'!BP23,'Plant Inputs'!BP29,'Plant Inputs'!BP35)</f>
        <v>0.0</v>
      </c>
      <c r="BO11" s="10">
        <f>SUM('Plant Inputs'!BQ23,'Plant Inputs'!BQ29,'Plant Inputs'!BQ35)</f>
        <v>1.0</v>
      </c>
      <c r="BP11" s="10">
        <f>SUM('Plant Inputs'!BR23,'Plant Inputs'!BR29,'Plant Inputs'!BR35)</f>
        <v>0.0</v>
      </c>
      <c r="BQ11" s="10">
        <f>SUM('Plant Inputs'!BS23,'Plant Inputs'!BS29,'Plant Inputs'!BS35)</f>
        <v>0.0</v>
      </c>
      <c r="BR11" s="10">
        <f>SUM('Plant Inputs'!BT23,'Plant Inputs'!BT29,'Plant Inputs'!BT35)</f>
        <v>0.0</v>
      </c>
      <c r="BS11" s="10">
        <f>SUM('Plant Inputs'!BU23,'Plant Inputs'!BU29,'Plant Inputs'!BU35)</f>
        <v>0.0</v>
      </c>
      <c r="BT11" s="10">
        <f>MIN('Plant Inputs'!BV23,'Plant Inputs'!BV29,'Plant Inputs'!BV35)</f>
        <v>99</v>
      </c>
      <c r="BU11" s="10">
        <f>SUM('Plant Inputs'!BW23,'Plant Inputs'!BW29,'Plant Inputs'!BW35)</f>
        <v>298956.0</v>
      </c>
      <c r="BV11" s="10">
        <f>SUM('Plant Inputs'!BX23,'Plant Inputs'!BX29,'Plant Inputs'!BX35)</f>
        <v>301271.0</v>
      </c>
      <c r="BW11" s="10">
        <f>SUM('Plant Inputs'!BY23,'Plant Inputs'!BY29,'Plant Inputs'!BY35)</f>
        <v>113484506.0</v>
      </c>
      <c r="BX11" s="10">
        <f>SUM('Plant Inputs'!BZ23,'Plant Inputs'!BZ29,'Plant Inputs'!BZ35)</f>
        <v>339769.0</v>
      </c>
      <c r="BY11" s="10">
        <f>SUM('Plant Inputs'!CA23,'Plant Inputs'!CA29,'Plant Inputs'!CA35)</f>
        <v>12450.0</v>
      </c>
      <c r="BZ11" s="21">
        <v>50050.4</v>
      </c>
      <c r="CA11" s="21">
        <v>40075</v>
      </c>
      <c r="CB11" s="21">
        <v>10040000</v>
      </c>
      <c r="CC11" s="21">
        <v>4257934.5</v>
      </c>
      <c r="CD11" s="21">
        <v>1089934.5</v>
      </c>
      <c r="CE11" s="21">
        <v>435228.2</v>
      </c>
      <c r="CF11" s="21">
        <v>33264</v>
      </c>
      <c r="CG11" s="21">
        <v>438317.9</v>
      </c>
      <c r="CH11" s="21">
        <v>1192536.2</v>
      </c>
      <c r="CI11" s="21">
        <v>184420.1</v>
      </c>
      <c r="CJ11" s="21">
        <v>1082983.6</v>
      </c>
      <c r="CK11" s="21">
        <v>1563623.2</v>
      </c>
      <c r="CL11" s="21">
        <v>1768166.1</v>
      </c>
      <c r="CM11" s="21">
        <v>1004411.8</v>
      </c>
      <c r="CN11" s="21">
        <v>1072786</v>
      </c>
      <c r="CO11" s="21">
        <v>2852.3</v>
      </c>
      <c r="CP11" s="21">
        <v>74102.89999999999</v>
      </c>
      <c r="CQ11" s="21">
        <v>74102.89999999999</v>
      </c>
      <c r="CR11" s="21">
        <v>352</v>
      </c>
      <c r="CS11" s="21">
        <v>15761</v>
      </c>
      <c r="CT11" s="21">
        <v>15840</v>
      </c>
      <c r="CU11" s="21">
        <v>1</v>
      </c>
      <c r="CV11" s="21">
        <v>1097997.4</v>
      </c>
      <c r="CW11" s="21">
        <v>1112277.8</v>
      </c>
      <c r="CX11" s="21">
        <v>184653.8</v>
      </c>
      <c r="CY11" s="21">
        <v>3151290.2</v>
      </c>
      <c r="CZ11" s="21">
        <v>2164395</v>
      </c>
      <c r="DA11" s="21">
        <v>313040.6</v>
      </c>
      <c r="DB11" s="21">
        <v>229961.2</v>
      </c>
      <c r="DC11" s="21">
        <v>256509</v>
      </c>
      <c r="DD11" s="21">
        <v>181113.8</v>
      </c>
      <c r="DE11" s="21">
        <v>4017.3</v>
      </c>
      <c r="DF11" s="21">
        <v>4281.1</v>
      </c>
      <c r="DG11" s="21">
        <v>1785518</v>
      </c>
      <c r="DH11" s="21">
        <v>1091259.8</v>
      </c>
      <c r="DI11" s="21">
        <v>860000</v>
      </c>
      <c r="DJ11" s="21">
        <v>432467.4</v>
      </c>
      <c r="DK11" s="21">
        <v>69889.8</v>
      </c>
      <c r="DL11" s="21">
        <v>369800</v>
      </c>
      <c r="DM11" s="21">
        <v>136303.5</v>
      </c>
      <c r="DN11" s="21">
        <v>4</v>
      </c>
      <c r="DO11" s="21">
        <v>1</v>
      </c>
      <c r="DP11" s="21">
        <v>0</v>
      </c>
      <c r="DQ11" s="21">
        <v>0</v>
      </c>
      <c r="DR11" s="21">
        <v>4</v>
      </c>
      <c r="DS11" s="21">
        <v>5</v>
      </c>
      <c r="DT11" s="21">
        <v>10</v>
      </c>
      <c r="DU11" s="21">
        <v>4</v>
      </c>
      <c r="DV11" s="21">
        <v>2</v>
      </c>
      <c r="DW11" s="21">
        <v>64</v>
      </c>
      <c r="DX11" s="21">
        <v>22</v>
      </c>
      <c r="DY11" s="21">
        <v>9302.1</v>
      </c>
      <c r="DZ11" s="21">
        <v>3474.3</v>
      </c>
      <c r="EA11" s="21">
        <v>1389.1</v>
      </c>
      <c r="EB11" s="21">
        <v>1046.6</v>
      </c>
      <c r="EC11" s="21">
        <v>1244.6</v>
      </c>
      <c r="ED11" s="21">
        <v>68</v>
      </c>
      <c r="EE11" s="21">
        <v>65</v>
      </c>
      <c r="EF11" s="21">
        <v>3</v>
      </c>
      <c r="EG11" s="21">
        <v>1</v>
      </c>
      <c r="EH11" s="21">
        <v>1</v>
      </c>
      <c r="EI11" s="21">
        <v>0</v>
      </c>
      <c r="EJ11" s="21">
        <v>0</v>
      </c>
      <c r="EK11" s="21">
        <v>1</v>
      </c>
      <c r="EL11" s="21">
        <v>1</v>
      </c>
      <c r="EM11" s="21">
        <v>0</v>
      </c>
      <c r="EN11" s="21">
        <v>0</v>
      </c>
      <c r="EO11" s="21">
        <v>0</v>
      </c>
      <c r="EP11" s="21">
        <v>0</v>
      </c>
      <c r="EQ11" s="21">
        <v>0</v>
      </c>
      <c r="ER11" s="21">
        <v>2</v>
      </c>
      <c r="ES11" s="21">
        <v>1</v>
      </c>
      <c r="ET11" s="21">
        <v>0</v>
      </c>
      <c r="EU11" s="21">
        <v>0</v>
      </c>
      <c r="EV11" s="21">
        <v>5</v>
      </c>
      <c r="EW11" s="21">
        <v>0</v>
      </c>
      <c r="EX11" s="21">
        <v>1</v>
      </c>
      <c r="EY11" s="21">
        <v>1</v>
      </c>
      <c r="EZ11" s="21">
        <v>58</v>
      </c>
      <c r="FA11" s="21">
        <v>52</v>
      </c>
      <c r="FB11" s="21">
        <v>1</v>
      </c>
      <c r="FC11" s="21">
        <v>37</v>
      </c>
      <c r="FD11" s="21">
        <v>28</v>
      </c>
      <c r="FE11" s="21">
        <v>24</v>
      </c>
      <c r="FF11" s="21">
        <v>26</v>
      </c>
      <c r="FG11" s="21">
        <v>1</v>
      </c>
      <c r="FH11" s="21">
        <v>0</v>
      </c>
      <c r="FI11" s="21">
        <v>0</v>
      </c>
      <c r="FJ11" s="21">
        <v>481373</v>
      </c>
      <c r="FK11" s="21">
        <v>478757</v>
      </c>
      <c r="FL11" s="21">
        <v>420</v>
      </c>
      <c r="FM11" s="21">
        <v>411</v>
      </c>
      <c r="FN11" s="21">
        <v>0</v>
      </c>
      <c r="FO11" s="21">
        <v>0</v>
      </c>
      <c r="FP11" s="21">
        <v>0</v>
      </c>
      <c r="FQ11" s="21">
        <v>4</v>
      </c>
      <c r="FR11" s="21">
        <v>7.7</v>
      </c>
      <c r="FS11" s="21">
        <v>7</v>
      </c>
      <c r="FT11" s="21">
        <v>1</v>
      </c>
      <c r="FU11" s="21">
        <v>1</v>
      </c>
      <c r="FV11" s="21">
        <v>1</v>
      </c>
      <c r="FW11" s="21">
        <v>999</v>
      </c>
      <c r="FX11" s="21">
        <v>46476.6</v>
      </c>
      <c r="FY11" s="21">
        <v>46245.4</v>
      </c>
      <c r="FZ11" s="12">
        <f>AV11-W11-Y11-BZ11</f>
        <v>184803.70000000004</v>
      </c>
      <c r="GA11" s="12">
        <f>FZ11-AY11</f>
        <v>142980.40000000002</v>
      </c>
      <c r="GB11" s="12">
        <f>CK11+CM11-CL11</f>
        <v>799868.8999999999</v>
      </c>
      <c r="GC11" s="12">
        <f>GB11-GB10</f>
        <v>28975.29999999958</v>
      </c>
      <c r="GD11" s="12">
        <f>FZ11-CA11-GC11</f>
        <v>115753.40000000046</v>
      </c>
      <c r="GE11" s="12">
        <f>GD11-DK11</f>
        <v>45863.60000000046</v>
      </c>
      <c r="GF11" s="12">
        <f>CC11-CD11</f>
        <v>3168000.0</v>
      </c>
      <c r="GG11" s="12">
        <f>SUM(FZ$10:FZ11)*12/E11</f>
        <v>2033469.5999999992</v>
      </c>
      <c r="GH11" s="12">
        <f>IF(AV11=0,0,CK11/AV11*D11)</f>
        <v>44.35075477310509</v>
      </c>
      <c r="GI11" s="12">
        <f>IF(W11=0,0,CL11/W11*D11)</f>
        <v>64.21106067743054</v>
      </c>
      <c r="GJ11" s="12">
        <f>IF(W11=0,0,CM11/W11*D11)</f>
        <v>36.47527629611676</v>
      </c>
      <c r="GK11" s="12">
        <f>IF(OR(AT11=0,AU11=0,AW11=0),0,100*((AV11/AT11)/(AW11/AU11)-1))</f>
        <v>0.5671147949000144</v>
      </c>
    </row>
    <row r="12" spans="1:193">
      <c r="A12" t="s">
        <v>19</v>
      </c>
      <c r="B12" t="s">
        <v>189</v>
      </c>
      <c r="C12" t="s">
        <v>183</v>
      </c>
      <c r="D12">
        <v>30</v>
      </c>
      <c r="E12">
        <v>3</v>
      </c>
      <c r="F12" s="10">
        <f>SUM('Plant Inputs'!H24,'Plant Inputs'!H30,'Plant Inputs'!H36)</f>
        <v>2160.0</v>
      </c>
      <c r="G12" s="10">
        <f>SUM('Plant Inputs'!I24,'Plant Inputs'!I30,'Plant Inputs'!I36)</f>
        <v>2138.0</v>
      </c>
      <c r="H12" s="10">
        <f>SUM('Plant Inputs'!J24,'Plant Inputs'!J30,'Plant Inputs'!J36)</f>
        <v>2039.6</v>
      </c>
      <c r="I12" s="10">
        <f>SUM('Plant Inputs'!K24,'Plant Inputs'!K30,'Plant Inputs'!K36)</f>
        <v>56.300000000000004</v>
      </c>
      <c r="J12" s="10">
        <f>SUM('Plant Inputs'!L24,'Plant Inputs'!L30,'Plant Inputs'!L36)</f>
        <v>349149.0</v>
      </c>
      <c r="K12" s="10">
        <f>SUM('Plant Inputs'!M24,'Plant Inputs'!M30,'Plant Inputs'!M36)</f>
        <v>352800.0</v>
      </c>
      <c r="L12" s="10">
        <f>SUM('Plant Inputs'!N24,'Plant Inputs'!N30,'Plant Inputs'!N36)</f>
        <v>314779.0</v>
      </c>
      <c r="M12" s="10">
        <f>SUM('Plant Inputs'!O24,'Plant Inputs'!O30,'Plant Inputs'!O36)</f>
        <v>302431.0</v>
      </c>
      <c r="N12" s="10">
        <f>SUM('Plant Inputs'!P24,'Plant Inputs'!P30,'Plant Inputs'!P36)</f>
        <v>295990.0</v>
      </c>
      <c r="O12" s="10">
        <f>SUM('Plant Inputs'!Q24,'Plant Inputs'!Q30,'Plant Inputs'!Q36)</f>
        <v>329850.0</v>
      </c>
      <c r="P12" s="10">
        <f>SUM('Plant Inputs'!R24,'Plant Inputs'!R30,'Plant Inputs'!R36)</f>
        <v>61561.0</v>
      </c>
      <c r="Q12" s="10">
        <f>SUM('Plant Inputs'!S24,'Plant Inputs'!S30,'Plant Inputs'!S36)</f>
        <v>54925.0</v>
      </c>
      <c r="R12" s="10">
        <f>SUM('Plant Inputs'!T24,'Plant Inputs'!T30,'Plant Inputs'!T36)</f>
        <v>8558.0</v>
      </c>
      <c r="S12" s="10">
        <f>SUM('Plant Inputs'!U24,'Plant Inputs'!U30,'Plant Inputs'!U36)</f>
        <v>7.0</v>
      </c>
      <c r="T12" s="10">
        <f>SUM('Plant Inputs'!V24,'Plant Inputs'!V30,'Plant Inputs'!V36)</f>
        <v>41.4</v>
      </c>
      <c r="U12" s="10">
        <f>SUM('Plant Inputs'!W24,'Plant Inputs'!W30,'Plant Inputs'!W36)</f>
        <v>129.0</v>
      </c>
      <c r="V12" s="10">
        <f>SUM('Plant Inputs'!X24,'Plant Inputs'!X30,'Plant Inputs'!X36)</f>
        <v>125.0</v>
      </c>
      <c r="W12" s="10">
        <f>SUM('Plant Inputs'!Y24,'Plant Inputs'!Y30,'Plant Inputs'!Y36)</f>
        <v>950150.4</v>
      </c>
      <c r="X12" s="10">
        <f>SUM('Plant Inputs'!Z24,'Plant Inputs'!Z30,'Plant Inputs'!Z36)</f>
        <v>274625.0</v>
      </c>
      <c r="Y12" s="10">
        <f>SUM('Plant Inputs'!AA24,'Plant Inputs'!AA30,'Plant Inputs'!AA36)</f>
        <v>3325.2</v>
      </c>
      <c r="Z12" s="10">
        <f>SUM('Plant Inputs'!AB24,'Plant Inputs'!AB30,'Plant Inputs'!AB36)</f>
        <v>622878.0</v>
      </c>
      <c r="AA12" s="10">
        <f>SUM('Plant Inputs'!AC24,'Plant Inputs'!AC30,'Plant Inputs'!AC36)</f>
        <v>185948.0</v>
      </c>
      <c r="AB12" s="10">
        <f>SUM('Plant Inputs'!AD24,'Plant Inputs'!AD30,'Plant Inputs'!AD36)</f>
        <v>962186.0</v>
      </c>
      <c r="AC12" s="10">
        <f>SUM('Plant Inputs'!AE24,'Plant Inputs'!AE30,'Plant Inputs'!AE36)</f>
        <v>22567.0</v>
      </c>
      <c r="AD12" s="10">
        <f>SUM('Plant Inputs'!AF24,'Plant Inputs'!AF30,'Plant Inputs'!AF36)</f>
        <v>4.0</v>
      </c>
      <c r="AE12" s="10">
        <f>SUM('Plant Inputs'!AG24,'Plant Inputs'!AG30,'Plant Inputs'!AG36)</f>
        <v>218000.0</v>
      </c>
      <c r="AF12" s="10">
        <f>SUM('Plant Inputs'!AH24,'Plant Inputs'!AH30,'Plant Inputs'!AH36)</f>
        <v>2.0</v>
      </c>
      <c r="AG12" s="10">
        <f>SUM('Plant Inputs'!AI24,'Plant Inputs'!AI30,'Plant Inputs'!AI36)</f>
        <v>0.0</v>
      </c>
      <c r="AH12" s="10">
        <f>SUM('Plant Inputs'!AJ24,'Plant Inputs'!AJ30,'Plant Inputs'!AJ36)</f>
        <v>22.0</v>
      </c>
      <c r="AI12" s="10">
        <f>SUM('Plant Inputs'!AK24,'Plant Inputs'!AK30,'Plant Inputs'!AK36)</f>
        <v>0.0</v>
      </c>
      <c r="AJ12" s="10">
        <f>SUM('Plant Inputs'!AL24,'Plant Inputs'!AL30,'Plant Inputs'!AL36)</f>
        <v>0.0</v>
      </c>
      <c r="AK12" s="10">
        <f>SUM('Plant Inputs'!AM24,'Plant Inputs'!AM30,'Plant Inputs'!AM36)</f>
        <v>1.0</v>
      </c>
      <c r="AL12" s="10">
        <f>SUM('Plant Inputs'!AN24,'Plant Inputs'!AN30,'Plant Inputs'!AN36)</f>
        <v>22.0</v>
      </c>
      <c r="AM12" s="10">
        <f>SUM('Plant Inputs'!AO24,'Plant Inputs'!AO30,'Plant Inputs'!AO36)</f>
        <v>4.0</v>
      </c>
      <c r="AN12" s="10">
        <f>SUM('Plant Inputs'!AP24,'Plant Inputs'!AP30,'Plant Inputs'!AP36)</f>
        <v>5.0</v>
      </c>
      <c r="AO12" s="10">
        <f>SUM('Plant Inputs'!AQ24,'Plant Inputs'!AQ30,'Plant Inputs'!AQ36)</f>
        <v>5.0</v>
      </c>
      <c r="AP12" s="10">
        <f>SUM('Plant Inputs'!AR24,'Plant Inputs'!AR30,'Plant Inputs'!AR36)</f>
        <v>0.0</v>
      </c>
      <c r="AQ12" s="10">
        <f>SUM('Plant Inputs'!AS24,'Plant Inputs'!AS30,'Plant Inputs'!AS36)</f>
        <v>586.0</v>
      </c>
      <c r="AR12" s="10">
        <f>SUM('Plant Inputs'!AT24,'Plant Inputs'!AT30,'Plant Inputs'!AT36)</f>
        <v>38.0</v>
      </c>
      <c r="AS12" s="10">
        <f>MIN('Plant Inputs'!AU24,'Plant Inputs'!AU30,'Plant Inputs'!AU36)</f>
        <v>192</v>
      </c>
      <c r="AT12" s="10">
        <f>SUM('Plant Inputs'!AV24,'Plant Inputs'!AV30,'Plant Inputs'!AV36)</f>
        <v>294252.0</v>
      </c>
      <c r="AU12" s="10">
        <f>SUM('Plant Inputs'!AW24,'Plant Inputs'!AW30,'Plant Inputs'!AW36)</f>
        <v>314725.0</v>
      </c>
      <c r="AV12" s="10">
        <f>SUM('Plant Inputs'!AX24,'Plant Inputs'!AX30,'Plant Inputs'!AX36)</f>
        <v>1112707.1</v>
      </c>
      <c r="AW12" s="10">
        <f>SUM('Plant Inputs'!AY24,'Plant Inputs'!AY30,'Plant Inputs'!AY36)</f>
        <v>1183366.0</v>
      </c>
      <c r="AX12" s="10">
        <f>SUM('Plant Inputs'!AZ24,'Plant Inputs'!AZ30,'Plant Inputs'!AZ36)</f>
        <v>59914.700000000004</v>
      </c>
      <c r="AY12" s="10">
        <f>SUM('Plant Inputs'!BA24,'Plant Inputs'!BA30,'Plant Inputs'!BA36)</f>
        <v>41923.1</v>
      </c>
      <c r="AZ12" s="10">
        <f>SUM('Plant Inputs'!BB24,'Plant Inputs'!BB30,'Plant Inputs'!BB36)</f>
        <v>744.0</v>
      </c>
      <c r="BA12" s="10">
        <f>SUM('Plant Inputs'!BC24,'Plant Inputs'!BC30,'Plant Inputs'!BC36)</f>
        <v>695.0</v>
      </c>
      <c r="BB12" s="10">
        <f>SUM('Plant Inputs'!BD24,'Plant Inputs'!BD30,'Plant Inputs'!BD36)</f>
        <v>326646.0</v>
      </c>
      <c r="BC12" s="10">
        <f>SUM('Plant Inputs'!BE24,'Plant Inputs'!BE30,'Plant Inputs'!BE36)</f>
        <v>317196.0</v>
      </c>
      <c r="BD12" s="10">
        <f>SUM('Plant Inputs'!BF24,'Plant Inputs'!BF30,'Plant Inputs'!BF36)</f>
        <v>2391.0</v>
      </c>
      <c r="BE12" s="10">
        <f>SUM('Plant Inputs'!BG24,'Plant Inputs'!BG30,'Plant Inputs'!BG36)</f>
        <v>2338.0</v>
      </c>
      <c r="BF12" s="10">
        <f>SUM('Plant Inputs'!BH24,'Plant Inputs'!BH30,'Plant Inputs'!BH36)</f>
        <v>2395.0</v>
      </c>
      <c r="BG12" s="10">
        <f>SUM('Plant Inputs'!BI24,'Plant Inputs'!BI30,'Plant Inputs'!BI36)</f>
        <v>528902.5</v>
      </c>
      <c r="BH12" s="10">
        <f>SUM('Plant Inputs'!BJ24,'Plant Inputs'!BJ30,'Plant Inputs'!BJ36)</f>
        <v>192862.40000000002</v>
      </c>
      <c r="BI12" s="10">
        <f>SUM('Plant Inputs'!BK24,'Plant Inputs'!BK30,'Plant Inputs'!BK36)</f>
        <v>0.0</v>
      </c>
      <c r="BJ12" s="10">
        <f>SUM('Plant Inputs'!BL24,'Plant Inputs'!BL30,'Plant Inputs'!BL36)</f>
        <v>1.0</v>
      </c>
      <c r="BK12" s="10">
        <f>SUM('Plant Inputs'!BM24,'Plant Inputs'!BM30,'Plant Inputs'!BM36)</f>
        <v>2.0</v>
      </c>
      <c r="BL12" s="10">
        <f>SUM('Plant Inputs'!BN24,'Plant Inputs'!BN30,'Plant Inputs'!BN36)</f>
        <v>1.0</v>
      </c>
      <c r="BM12" s="10">
        <f>SUM('Plant Inputs'!BO24,'Plant Inputs'!BO30,'Plant Inputs'!BO36)</f>
        <v>2.0</v>
      </c>
      <c r="BN12" s="10">
        <f>SUM('Plant Inputs'!BP24,'Plant Inputs'!BP30,'Plant Inputs'!BP36)</f>
        <v>0.0</v>
      </c>
      <c r="BO12" s="10">
        <f>SUM('Plant Inputs'!BQ24,'Plant Inputs'!BQ30,'Plant Inputs'!BQ36)</f>
        <v>0.0</v>
      </c>
      <c r="BP12" s="10">
        <f>SUM('Plant Inputs'!BR24,'Plant Inputs'!BR30,'Plant Inputs'!BR36)</f>
        <v>0.0</v>
      </c>
      <c r="BQ12" s="10">
        <f>SUM('Plant Inputs'!BS24,'Plant Inputs'!BS30,'Plant Inputs'!BS36)</f>
        <v>0.0</v>
      </c>
      <c r="BR12" s="10">
        <f>SUM('Plant Inputs'!BT24,'Plant Inputs'!BT30,'Plant Inputs'!BT36)</f>
        <v>0.0</v>
      </c>
      <c r="BS12" s="10">
        <f>SUM('Plant Inputs'!BU24,'Plant Inputs'!BU30,'Plant Inputs'!BU36)</f>
        <v>0.0</v>
      </c>
      <c r="BT12" s="10">
        <f>MIN('Plant Inputs'!BV24,'Plant Inputs'!BV30,'Plant Inputs'!BV36)</f>
        <v>99</v>
      </c>
      <c r="BU12" s="10">
        <f>SUM('Plant Inputs'!BW24,'Plant Inputs'!BW30,'Plant Inputs'!BW36)</f>
        <v>317800.0</v>
      </c>
      <c r="BV12" s="10">
        <f>SUM('Plant Inputs'!BX24,'Plant Inputs'!BX30,'Plant Inputs'!BX36)</f>
        <v>320156.0</v>
      </c>
      <c r="BW12" s="10">
        <f>SUM('Plant Inputs'!BY24,'Plant Inputs'!BY30,'Plant Inputs'!BY36)</f>
        <v>124863591.0</v>
      </c>
      <c r="BX12" s="10">
        <f>SUM('Plant Inputs'!BZ24,'Plant Inputs'!BZ30,'Plant Inputs'!BZ36)</f>
        <v>349149.0</v>
      </c>
      <c r="BY12" s="10">
        <f>SUM('Plant Inputs'!CA24,'Plant Inputs'!CA30,'Plant Inputs'!CA36)</f>
        <v>7660.0</v>
      </c>
      <c r="BZ12" s="21">
        <v>51654.7</v>
      </c>
      <c r="CA12" s="21">
        <v>22449.1</v>
      </c>
      <c r="CB12" s="21">
        <v>10080000</v>
      </c>
      <c r="CC12" s="21">
        <v>4211021.8</v>
      </c>
      <c r="CD12" s="21">
        <v>1075021.8</v>
      </c>
      <c r="CE12" s="21">
        <v>436315.8</v>
      </c>
      <c r="CF12" s="21">
        <v>32928</v>
      </c>
      <c r="CG12" s="21">
        <v>405014</v>
      </c>
      <c r="CH12" s="21">
        <v>1190070.9</v>
      </c>
      <c r="CI12" s="21">
        <v>107481.4</v>
      </c>
      <c r="CJ12" s="21">
        <v>1119343.6</v>
      </c>
      <c r="CK12" s="21">
        <v>1665189.5</v>
      </c>
      <c r="CL12" s="21">
        <v>2023734.9</v>
      </c>
      <c r="CM12" s="21">
        <v>1155573.9</v>
      </c>
      <c r="CN12" s="21">
        <v>1086928.3</v>
      </c>
      <c r="CO12" s="21">
        <v>3048.7</v>
      </c>
      <c r="CP12" s="21">
        <v>78617.10000000001</v>
      </c>
      <c r="CQ12" s="21">
        <v>78617.10000000001</v>
      </c>
      <c r="CR12" s="21">
        <v>333</v>
      </c>
      <c r="CS12" s="21">
        <v>15098</v>
      </c>
      <c r="CT12" s="21">
        <v>14985</v>
      </c>
      <c r="CU12" s="21">
        <v>0</v>
      </c>
      <c r="CV12" s="21">
        <v>640845.8</v>
      </c>
      <c r="CW12" s="21">
        <v>647178.6</v>
      </c>
      <c r="CX12" s="21">
        <v>92062</v>
      </c>
      <c r="CY12" s="21">
        <v>3085667.3</v>
      </c>
      <c r="CZ12" s="21">
        <v>1265494.8</v>
      </c>
      <c r="DA12" s="21">
        <v>287638.8</v>
      </c>
      <c r="DB12" s="21">
        <v>211841.6</v>
      </c>
      <c r="DC12" s="21">
        <v>231613.6</v>
      </c>
      <c r="DD12" s="21">
        <v>171021.1</v>
      </c>
      <c r="DE12" s="21">
        <v>3471.9</v>
      </c>
      <c r="DF12" s="21">
        <v>3774.8</v>
      </c>
      <c r="DG12" s="21">
        <v>1772808</v>
      </c>
      <c r="DH12" s="21">
        <v>1085587.8</v>
      </c>
      <c r="DI12" s="21">
        <v>860000</v>
      </c>
      <c r="DJ12" s="21">
        <v>476244.8</v>
      </c>
      <c r="DK12" s="21">
        <v>70024</v>
      </c>
      <c r="DL12" s="21">
        <v>412800</v>
      </c>
      <c r="DM12" s="21">
        <v>130334.1</v>
      </c>
      <c r="DN12" s="21">
        <v>4</v>
      </c>
      <c r="DO12" s="21">
        <v>1</v>
      </c>
      <c r="DP12" s="21">
        <v>0</v>
      </c>
      <c r="DQ12" s="21">
        <v>0</v>
      </c>
      <c r="DR12" s="21">
        <v>7</v>
      </c>
      <c r="DS12" s="21">
        <v>10</v>
      </c>
      <c r="DT12" s="21">
        <v>10</v>
      </c>
      <c r="DU12" s="21">
        <v>4</v>
      </c>
      <c r="DV12" s="21">
        <v>2</v>
      </c>
      <c r="DW12" s="21">
        <v>64</v>
      </c>
      <c r="DX12" s="21">
        <v>25</v>
      </c>
      <c r="DY12" s="21">
        <v>8998.700000000001</v>
      </c>
      <c r="DZ12" s="21">
        <v>3287.2</v>
      </c>
      <c r="EA12" s="21">
        <v>1313.6</v>
      </c>
      <c r="EB12" s="21">
        <v>1018</v>
      </c>
      <c r="EC12" s="21">
        <v>1229.3</v>
      </c>
      <c r="ED12" s="21">
        <v>68</v>
      </c>
      <c r="EE12" s="21">
        <v>66</v>
      </c>
      <c r="EF12" s="21">
        <v>2</v>
      </c>
      <c r="EG12" s="21">
        <v>0</v>
      </c>
      <c r="EH12" s="21">
        <v>1</v>
      </c>
      <c r="EI12" s="21">
        <v>0</v>
      </c>
      <c r="EJ12" s="21">
        <v>0</v>
      </c>
      <c r="EK12" s="21">
        <v>0</v>
      </c>
      <c r="EL12" s="21">
        <v>0</v>
      </c>
      <c r="EM12" s="21">
        <v>0</v>
      </c>
      <c r="EN12" s="21">
        <v>0</v>
      </c>
      <c r="EO12" s="21">
        <v>1</v>
      </c>
      <c r="EP12" s="21">
        <v>0</v>
      </c>
      <c r="EQ12" s="21">
        <v>0</v>
      </c>
      <c r="ER12" s="21">
        <v>1</v>
      </c>
      <c r="ES12" s="21">
        <v>0</v>
      </c>
      <c r="ET12" s="21">
        <v>0</v>
      </c>
      <c r="EU12" s="21">
        <v>0</v>
      </c>
      <c r="EV12" s="21">
        <v>6</v>
      </c>
      <c r="EW12" s="21">
        <v>0</v>
      </c>
      <c r="EX12" s="21">
        <v>1</v>
      </c>
      <c r="EY12" s="21">
        <v>1</v>
      </c>
      <c r="EZ12" s="21">
        <v>58</v>
      </c>
      <c r="FA12" s="21">
        <v>52</v>
      </c>
      <c r="FB12" s="21">
        <v>3</v>
      </c>
      <c r="FC12" s="21">
        <v>115</v>
      </c>
      <c r="FD12" s="21">
        <v>28</v>
      </c>
      <c r="FE12" s="21">
        <v>24</v>
      </c>
      <c r="FF12" s="21">
        <v>26</v>
      </c>
      <c r="FG12" s="21">
        <v>1</v>
      </c>
      <c r="FH12" s="21">
        <v>0</v>
      </c>
      <c r="FI12" s="21">
        <v>0</v>
      </c>
      <c r="FJ12" s="21">
        <v>499474</v>
      </c>
      <c r="FK12" s="21">
        <v>495766</v>
      </c>
      <c r="FL12" s="21">
        <v>420</v>
      </c>
      <c r="FM12" s="21">
        <v>413</v>
      </c>
      <c r="FN12" s="21">
        <v>0</v>
      </c>
      <c r="FO12" s="21">
        <v>0</v>
      </c>
      <c r="FP12" s="21">
        <v>0</v>
      </c>
      <c r="FQ12" s="21">
        <v>4</v>
      </c>
      <c r="FR12" s="21">
        <v>7.8</v>
      </c>
      <c r="FS12" s="21">
        <v>7</v>
      </c>
      <c r="FT12" s="21">
        <v>0</v>
      </c>
      <c r="FU12" s="21">
        <v>0</v>
      </c>
      <c r="FV12" s="21">
        <v>-1</v>
      </c>
      <c r="FW12" s="21">
        <v>999</v>
      </c>
      <c r="FX12" s="21">
        <v>47315.7</v>
      </c>
      <c r="FY12" s="21">
        <v>47080.3</v>
      </c>
      <c r="FZ12" s="12">
        <f>AV12-W12-Y12-BZ12</f>
        <v>107576.80000000006</v>
      </c>
      <c r="GA12" s="12">
        <f>FZ12-AY12</f>
        <v>65653.70000000007</v>
      </c>
      <c r="GB12" s="12">
        <f>CK12+CM12-CL12</f>
        <v>797028.5</v>
      </c>
      <c r="GC12" s="12">
        <f>GB12-GB11</f>
        <v>-2840.399999999907</v>
      </c>
      <c r="GD12" s="12">
        <f>FZ12-CA12-GC12</f>
        <v>87968.09999999998</v>
      </c>
      <c r="GE12" s="12">
        <f>GD12-DK12</f>
        <v>17944.099999999977</v>
      </c>
      <c r="GF12" s="12">
        <f>CC12-CD12</f>
        <v>3136000.0</v>
      </c>
      <c r="GG12" s="12">
        <f>SUM(FZ$10:FZ12)*12/E12</f>
        <v>1785953.5999999996</v>
      </c>
      <c r="GH12" s="12">
        <f>IF(AV12=0,0,CK12/AV12*D12)</f>
        <v>44.89562886765079</v>
      </c>
      <c r="GI12" s="12">
        <f>IF(W12=0,0,CL12/W12*D12)</f>
        <v>63.8973019429345</v>
      </c>
      <c r="GJ12" s="12">
        <f>IF(W12=0,0,CM12/W12*D12)</f>
        <v>36.486031053610034</v>
      </c>
      <c r="GK12" s="12">
        <f>IF(OR(AT12=0,AU12=0,AW12=0),0,100*((AV12/AT12)/(AW12/AU12)-1))</f>
        <v>0.571190463175153</v>
      </c>
    </row>
    <row r="13" spans="1:193">
      <c r="A13" t="s">
        <v>19</v>
      </c>
      <c r="B13" t="s">
        <v>189</v>
      </c>
      <c r="C13" t="s">
        <v>184</v>
      </c>
      <c r="D13">
        <v>31</v>
      </c>
      <c r="E13">
        <v>4</v>
      </c>
      <c r="F13" s="10">
        <f>SUM('Plant Inputs'!H25,'Plant Inputs'!H31,'Plant Inputs'!H37)</f>
        <v>2232.0</v>
      </c>
      <c r="G13" s="10">
        <f>SUM('Plant Inputs'!I25,'Plant Inputs'!I31,'Plant Inputs'!I37)</f>
        <v>2223.0</v>
      </c>
      <c r="H13" s="10">
        <f>SUM('Plant Inputs'!J25,'Plant Inputs'!J31,'Plant Inputs'!J37)</f>
        <v>2123.3</v>
      </c>
      <c r="I13" s="10">
        <f>SUM('Plant Inputs'!K25,'Plant Inputs'!K31,'Plant Inputs'!K37)</f>
        <v>58.2</v>
      </c>
      <c r="J13" s="10">
        <f>SUM('Plant Inputs'!L25,'Plant Inputs'!L31,'Plant Inputs'!L37)</f>
        <v>363231.0</v>
      </c>
      <c r="K13" s="10">
        <f>SUM('Plant Inputs'!M25,'Plant Inputs'!M31,'Plant Inputs'!M37)</f>
        <v>364560.0</v>
      </c>
      <c r="L13" s="10">
        <f>SUM('Plant Inputs'!N25,'Plant Inputs'!N31,'Plant Inputs'!N37)</f>
        <v>324403.0</v>
      </c>
      <c r="M13" s="10">
        <f>SUM('Plant Inputs'!O25,'Plant Inputs'!O31,'Plant Inputs'!O37)</f>
        <v>325601.0</v>
      </c>
      <c r="N13" s="10">
        <f>SUM('Plant Inputs'!P25,'Plant Inputs'!P31,'Plant Inputs'!P37)</f>
        <v>315635.0</v>
      </c>
      <c r="O13" s="10">
        <f>SUM('Plant Inputs'!Q25,'Plant Inputs'!Q31,'Plant Inputs'!Q37)</f>
        <v>339387.0</v>
      </c>
      <c r="P13" s="10">
        <f>SUM('Plant Inputs'!R25,'Plant Inputs'!R31,'Plant Inputs'!R37)</f>
        <v>68718.0</v>
      </c>
      <c r="Q13" s="10">
        <f>SUM('Plant Inputs'!S25,'Plant Inputs'!S31,'Plant Inputs'!S37)</f>
        <v>59602.0</v>
      </c>
      <c r="R13" s="10">
        <f>SUM('Plant Inputs'!T25,'Plant Inputs'!T31,'Plant Inputs'!T37)</f>
        <v>9130.0</v>
      </c>
      <c r="S13" s="10">
        <f>SUM('Plant Inputs'!U25,'Plant Inputs'!U31,'Plant Inputs'!U37)</f>
        <v>8.0</v>
      </c>
      <c r="T13" s="10">
        <f>SUM('Plant Inputs'!V25,'Plant Inputs'!V31,'Plant Inputs'!V37)</f>
        <v>38.3</v>
      </c>
      <c r="U13" s="10">
        <f>SUM('Plant Inputs'!W25,'Plant Inputs'!W31,'Plant Inputs'!W37)</f>
        <v>140.0</v>
      </c>
      <c r="V13" s="10">
        <f>SUM('Plant Inputs'!X25,'Plant Inputs'!X31,'Plant Inputs'!X37)</f>
        <v>135.0</v>
      </c>
      <c r="W13" s="10">
        <f>SUM('Plant Inputs'!Y25,'Plant Inputs'!Y31,'Plant Inputs'!Y37)</f>
        <v>1017013.0</v>
      </c>
      <c r="X13" s="10">
        <f>SUM('Plant Inputs'!Z25,'Plant Inputs'!Z31,'Plant Inputs'!Z37)</f>
        <v>313616.8</v>
      </c>
      <c r="Y13" s="10">
        <f>SUM('Plant Inputs'!AA25,'Plant Inputs'!AA31,'Plant Inputs'!AA37)</f>
        <v>3815.6</v>
      </c>
      <c r="Z13" s="10">
        <f>SUM('Plant Inputs'!AB25,'Plant Inputs'!AB31,'Plant Inputs'!AB37)</f>
        <v>660802.0</v>
      </c>
      <c r="AA13" s="10">
        <f>SUM('Plant Inputs'!AC25,'Plant Inputs'!AC31,'Plant Inputs'!AC37)</f>
        <v>207095.0</v>
      </c>
      <c r="AB13" s="10">
        <f>SUM('Plant Inputs'!AD25,'Plant Inputs'!AD31,'Plant Inputs'!AD37)</f>
        <v>1004084.0</v>
      </c>
      <c r="AC13" s="10">
        <f>SUM('Plant Inputs'!AE25,'Plant Inputs'!AE31,'Plant Inputs'!AE37)</f>
        <v>8120.0</v>
      </c>
      <c r="AD13" s="10">
        <f>SUM('Plant Inputs'!AF25,'Plant Inputs'!AF31,'Plant Inputs'!AF37)</f>
        <v>1.0</v>
      </c>
      <c r="AE13" s="10">
        <f>SUM('Plant Inputs'!AG25,'Plant Inputs'!AG31,'Plant Inputs'!AG37)</f>
        <v>213000.0</v>
      </c>
      <c r="AF13" s="10">
        <f>SUM('Plant Inputs'!AH25,'Plant Inputs'!AH31,'Plant Inputs'!AH37)</f>
        <v>1.0</v>
      </c>
      <c r="AG13" s="10">
        <f>SUM('Plant Inputs'!AI25,'Plant Inputs'!AI31,'Plant Inputs'!AI37)</f>
        <v>1.0</v>
      </c>
      <c r="AH13" s="10">
        <f>SUM('Plant Inputs'!AJ25,'Plant Inputs'!AJ31,'Plant Inputs'!AJ37)</f>
        <v>13.0</v>
      </c>
      <c r="AI13" s="10">
        <f>SUM('Plant Inputs'!AK25,'Plant Inputs'!AK31,'Plant Inputs'!AK37)</f>
        <v>0.0</v>
      </c>
      <c r="AJ13" s="10">
        <f>SUM('Plant Inputs'!AL25,'Plant Inputs'!AL31,'Plant Inputs'!AL37)</f>
        <v>1.0</v>
      </c>
      <c r="AK13" s="10">
        <f>SUM('Plant Inputs'!AM25,'Plant Inputs'!AM31,'Plant Inputs'!AM37)</f>
        <v>0.0</v>
      </c>
      <c r="AL13" s="10">
        <f>SUM('Plant Inputs'!AN25,'Plant Inputs'!AN31,'Plant Inputs'!AN37)</f>
        <v>36.0</v>
      </c>
      <c r="AM13" s="10">
        <f>SUM('Plant Inputs'!AO25,'Plant Inputs'!AO31,'Plant Inputs'!AO37)</f>
        <v>7.0</v>
      </c>
      <c r="AN13" s="10">
        <f>SUM('Plant Inputs'!AP25,'Plant Inputs'!AP31,'Plant Inputs'!AP37)</f>
        <v>3.0</v>
      </c>
      <c r="AO13" s="10">
        <f>SUM('Plant Inputs'!AQ25,'Plant Inputs'!AQ31,'Plant Inputs'!AQ37)</f>
        <v>2.0</v>
      </c>
      <c r="AP13" s="10">
        <f>SUM('Plant Inputs'!AR25,'Plant Inputs'!AR31,'Plant Inputs'!AR37)</f>
        <v>4.0</v>
      </c>
      <c r="AQ13" s="10">
        <f>SUM('Plant Inputs'!AS25,'Plant Inputs'!AS31,'Plant Inputs'!AS37)</f>
        <v>504.0</v>
      </c>
      <c r="AR13" s="10">
        <f>SUM('Plant Inputs'!AT25,'Plant Inputs'!AT31,'Plant Inputs'!AT37)</f>
        <v>42.0</v>
      </c>
      <c r="AS13" s="10">
        <f>MIN('Plant Inputs'!AU25,'Plant Inputs'!AU31,'Plant Inputs'!AU37)</f>
        <v>162</v>
      </c>
      <c r="AT13" s="10">
        <f>SUM('Plant Inputs'!AV25,'Plant Inputs'!AV31,'Plant Inputs'!AV37)</f>
        <v>317425.0</v>
      </c>
      <c r="AU13" s="10">
        <f>SUM('Plant Inputs'!AW25,'Plant Inputs'!AW31,'Plant Inputs'!AW37)</f>
        <v>323314.0</v>
      </c>
      <c r="AV13" s="10">
        <f>SUM('Plant Inputs'!AX25,'Plant Inputs'!AX31,'Plant Inputs'!AX37)</f>
        <v>1195016.4</v>
      </c>
      <c r="AW13" s="10">
        <f>SUM('Plant Inputs'!AY25,'Plant Inputs'!AY31,'Plant Inputs'!AY37)</f>
        <v>1215660.6</v>
      </c>
      <c r="AX13" s="10">
        <f>SUM('Plant Inputs'!AZ25,'Plant Inputs'!AZ31,'Plant Inputs'!AZ37)</f>
        <v>57438.4</v>
      </c>
      <c r="AY13" s="10">
        <f>SUM('Plant Inputs'!BA25,'Plant Inputs'!BA31,'Plant Inputs'!BA37)</f>
        <v>41574.100000000006</v>
      </c>
      <c r="AZ13" s="10">
        <f>SUM('Plant Inputs'!BB25,'Plant Inputs'!BB31,'Plant Inputs'!BB37)</f>
        <v>721.0</v>
      </c>
      <c r="BA13" s="10">
        <f>SUM('Plant Inputs'!BC25,'Plant Inputs'!BC31,'Plant Inputs'!BC37)</f>
        <v>672.0</v>
      </c>
      <c r="BB13" s="10">
        <f>SUM('Plant Inputs'!BD25,'Plant Inputs'!BD31,'Plant Inputs'!BD37)</f>
        <v>332167.0</v>
      </c>
      <c r="BC13" s="10">
        <f>SUM('Plant Inputs'!BE25,'Plant Inputs'!BE31,'Plant Inputs'!BE37)</f>
        <v>319103.0</v>
      </c>
      <c r="BD13" s="10">
        <f>SUM('Plant Inputs'!BF25,'Plant Inputs'!BF31,'Plant Inputs'!BF37)</f>
        <v>2057.0</v>
      </c>
      <c r="BE13" s="10">
        <f>SUM('Plant Inputs'!BG25,'Plant Inputs'!BG31,'Plant Inputs'!BG37)</f>
        <v>3066.0</v>
      </c>
      <c r="BF13" s="10">
        <f>SUM('Plant Inputs'!BH25,'Plant Inputs'!BH31,'Plant Inputs'!BH37)</f>
        <v>3047.0</v>
      </c>
      <c r="BG13" s="10">
        <f>SUM('Plant Inputs'!BI25,'Plant Inputs'!BI31,'Plant Inputs'!BI37)</f>
        <v>558920.2</v>
      </c>
      <c r="BH13" s="10">
        <f>SUM('Plant Inputs'!BJ25,'Plant Inputs'!BJ31,'Plant Inputs'!BJ37)</f>
        <v>192011.4</v>
      </c>
      <c r="BI13" s="10">
        <f>SUM('Plant Inputs'!BK25,'Plant Inputs'!BK31,'Plant Inputs'!BK37)</f>
        <v>0.0</v>
      </c>
      <c r="BJ13" s="10">
        <f>SUM('Plant Inputs'!BL25,'Plant Inputs'!BL31,'Plant Inputs'!BL37)</f>
        <v>1.0</v>
      </c>
      <c r="BK13" s="10">
        <f>SUM('Plant Inputs'!BM25,'Plant Inputs'!BM31,'Plant Inputs'!BM37)</f>
        <v>2.0</v>
      </c>
      <c r="BL13" s="10">
        <f>SUM('Plant Inputs'!BN25,'Plant Inputs'!BN31,'Plant Inputs'!BN37)</f>
        <v>1.0</v>
      </c>
      <c r="BM13" s="10">
        <f>SUM('Plant Inputs'!BO25,'Plant Inputs'!BO31,'Plant Inputs'!BO37)</f>
        <v>3.0</v>
      </c>
      <c r="BN13" s="10">
        <f>SUM('Plant Inputs'!BP25,'Plant Inputs'!BP31,'Plant Inputs'!BP37)</f>
        <v>0.0</v>
      </c>
      <c r="BO13" s="10">
        <f>SUM('Plant Inputs'!BQ25,'Plant Inputs'!BQ31,'Plant Inputs'!BQ37)</f>
        <v>0.0</v>
      </c>
      <c r="BP13" s="10">
        <f>SUM('Plant Inputs'!BR25,'Plant Inputs'!BR31,'Plant Inputs'!BR37)</f>
        <v>0.0</v>
      </c>
      <c r="BQ13" s="10">
        <f>SUM('Plant Inputs'!BS25,'Plant Inputs'!BS31,'Plant Inputs'!BS37)</f>
        <v>0.0</v>
      </c>
      <c r="BR13" s="10">
        <f>SUM('Plant Inputs'!BT25,'Plant Inputs'!BT31,'Plant Inputs'!BT37)</f>
        <v>0.0</v>
      </c>
      <c r="BS13" s="10">
        <f>SUM('Plant Inputs'!BU25,'Plant Inputs'!BU31,'Plant Inputs'!BU37)</f>
        <v>0.0</v>
      </c>
      <c r="BT13" s="10">
        <f>MIN('Plant Inputs'!BV25,'Plant Inputs'!BV31,'Plant Inputs'!BV37)</f>
        <v>99</v>
      </c>
      <c r="BU13" s="10">
        <f>SUM('Plant Inputs'!BW25,'Plant Inputs'!BW31,'Plant Inputs'!BW37)</f>
        <v>328436.0</v>
      </c>
      <c r="BV13" s="10">
        <f>SUM('Plant Inputs'!BX25,'Plant Inputs'!BX31,'Plant Inputs'!BX37)</f>
        <v>330842.0</v>
      </c>
      <c r="BW13" s="10">
        <f>SUM('Plant Inputs'!BY25,'Plant Inputs'!BY31,'Plant Inputs'!BY37)</f>
        <v>133923883.0</v>
      </c>
      <c r="BX13" s="10">
        <f>SUM('Plant Inputs'!BZ25,'Plant Inputs'!BZ31,'Plant Inputs'!BZ37)</f>
        <v>363231.0</v>
      </c>
      <c r="BY13" s="10">
        <f>SUM('Plant Inputs'!CA25,'Plant Inputs'!CA31,'Plant Inputs'!CA37)</f>
        <v>9042.0</v>
      </c>
      <c r="BZ13" s="21">
        <v>54610.5</v>
      </c>
      <c r="CA13" s="21">
        <v>23755.2</v>
      </c>
      <c r="CB13" s="21">
        <v>10120000</v>
      </c>
      <c r="CC13" s="21">
        <v>4323104.5</v>
      </c>
      <c r="CD13" s="21">
        <v>1219104.5</v>
      </c>
      <c r="CE13" s="21">
        <v>442574.4</v>
      </c>
      <c r="CF13" s="21">
        <v>32592</v>
      </c>
      <c r="CG13" s="21">
        <v>425574.5</v>
      </c>
      <c r="CH13" s="21">
        <v>1293891.3</v>
      </c>
      <c r="CI13" s="21">
        <v>119814.6</v>
      </c>
      <c r="CJ13" s="21">
        <v>1202019.5</v>
      </c>
      <c r="CK13" s="21">
        <v>1734551.6</v>
      </c>
      <c r="CL13" s="21">
        <v>2055982.4</v>
      </c>
      <c r="CM13" s="21">
        <v>1122026.2</v>
      </c>
      <c r="CN13" s="21">
        <v>1161124.7</v>
      </c>
      <c r="CO13" s="21">
        <v>2912.2</v>
      </c>
      <c r="CP13" s="21">
        <v>78725.2</v>
      </c>
      <c r="CQ13" s="21">
        <v>78725.2</v>
      </c>
      <c r="CR13" s="21">
        <v>342</v>
      </c>
      <c r="CS13" s="21">
        <v>15474</v>
      </c>
      <c r="CT13" s="21">
        <v>15390</v>
      </c>
      <c r="CU13" s="21">
        <v>1</v>
      </c>
      <c r="CV13" s="21">
        <v>714775.5</v>
      </c>
      <c r="CW13" s="21">
        <v>718721.9</v>
      </c>
      <c r="CX13" s="21">
        <v>139958.6</v>
      </c>
      <c r="CY13" s="21">
        <v>3047312.3</v>
      </c>
      <c r="CZ13" s="21">
        <v>1412231.8</v>
      </c>
      <c r="DA13" s="21">
        <v>347025.2</v>
      </c>
      <c r="DB13" s="21">
        <v>242148.9</v>
      </c>
      <c r="DC13" s="21">
        <v>284119.2</v>
      </c>
      <c r="DD13" s="21">
        <v>199411</v>
      </c>
      <c r="DE13" s="21">
        <v>6393</v>
      </c>
      <c r="DF13" s="21">
        <v>6859.8</v>
      </c>
      <c r="DG13" s="21">
        <v>1997749.7</v>
      </c>
      <c r="DH13" s="21">
        <v>1170469.4</v>
      </c>
      <c r="DI13" s="21">
        <v>860000</v>
      </c>
      <c r="DJ13" s="21">
        <v>526173.4</v>
      </c>
      <c r="DK13" s="21">
        <v>66726.89999999999</v>
      </c>
      <c r="DL13" s="21">
        <v>455800</v>
      </c>
      <c r="DM13" s="21">
        <v>129811.4</v>
      </c>
      <c r="DN13" s="21">
        <v>4</v>
      </c>
      <c r="DO13" s="21">
        <v>1</v>
      </c>
      <c r="DP13" s="21">
        <v>0</v>
      </c>
      <c r="DQ13" s="21">
        <v>1</v>
      </c>
      <c r="DR13" s="21">
        <v>4</v>
      </c>
      <c r="DS13" s="21">
        <v>4</v>
      </c>
      <c r="DT13" s="21">
        <v>10</v>
      </c>
      <c r="DU13" s="21">
        <v>4</v>
      </c>
      <c r="DV13" s="21">
        <v>2</v>
      </c>
      <c r="DW13" s="21">
        <v>64</v>
      </c>
      <c r="DX13" s="21">
        <v>28</v>
      </c>
      <c r="DY13" s="21">
        <v>9318.700000000001</v>
      </c>
      <c r="DZ13" s="21">
        <v>3457.6</v>
      </c>
      <c r="EA13" s="21">
        <v>1294.6</v>
      </c>
      <c r="EB13" s="21">
        <v>1069.1</v>
      </c>
      <c r="EC13" s="21">
        <v>1220.3</v>
      </c>
      <c r="ED13" s="21">
        <v>68</v>
      </c>
      <c r="EE13" s="21">
        <v>65</v>
      </c>
      <c r="EF13" s="21">
        <v>3</v>
      </c>
      <c r="EG13" s="21">
        <v>1</v>
      </c>
      <c r="EH13" s="21">
        <v>1</v>
      </c>
      <c r="EI13" s="21">
        <v>0</v>
      </c>
      <c r="EJ13" s="21">
        <v>0</v>
      </c>
      <c r="EK13" s="21">
        <v>1</v>
      </c>
      <c r="EL13" s="21">
        <v>1</v>
      </c>
      <c r="EM13" s="21">
        <v>1</v>
      </c>
      <c r="EN13" s="21">
        <v>0</v>
      </c>
      <c r="EO13" s="21">
        <v>0</v>
      </c>
      <c r="EP13" s="21">
        <v>0</v>
      </c>
      <c r="EQ13" s="21">
        <v>0</v>
      </c>
      <c r="ER13" s="21">
        <v>0</v>
      </c>
      <c r="ES13" s="21">
        <v>0</v>
      </c>
      <c r="ET13" s="21">
        <v>0</v>
      </c>
      <c r="EU13" s="21">
        <v>0</v>
      </c>
      <c r="EV13" s="21">
        <v>5</v>
      </c>
      <c r="EW13" s="21">
        <v>0</v>
      </c>
      <c r="EX13" s="21">
        <v>1</v>
      </c>
      <c r="EY13" s="21">
        <v>1</v>
      </c>
      <c r="EZ13" s="21">
        <v>58</v>
      </c>
      <c r="FA13" s="21">
        <v>53</v>
      </c>
      <c r="FB13" s="21">
        <v>1</v>
      </c>
      <c r="FC13" s="21">
        <v>36</v>
      </c>
      <c r="FD13" s="21">
        <v>28</v>
      </c>
      <c r="FE13" s="21">
        <v>24</v>
      </c>
      <c r="FF13" s="21">
        <v>26</v>
      </c>
      <c r="FG13" s="21">
        <v>1</v>
      </c>
      <c r="FH13" s="21">
        <v>0</v>
      </c>
      <c r="FI13" s="21">
        <v>0</v>
      </c>
      <c r="FJ13" s="21">
        <v>512122</v>
      </c>
      <c r="FK13" s="21">
        <v>506494</v>
      </c>
      <c r="FL13" s="21">
        <v>420</v>
      </c>
      <c r="FM13" s="21">
        <v>415</v>
      </c>
      <c r="FN13" s="21">
        <v>0</v>
      </c>
      <c r="FO13" s="21">
        <v>0</v>
      </c>
      <c r="FP13" s="21">
        <v>0</v>
      </c>
      <c r="FQ13" s="21">
        <v>4</v>
      </c>
      <c r="FR13" s="21">
        <v>8.5</v>
      </c>
      <c r="FS13" s="21">
        <v>8</v>
      </c>
      <c r="FT13" s="21">
        <v>1</v>
      </c>
      <c r="FU13" s="21">
        <v>1</v>
      </c>
      <c r="FV13" s="21">
        <v>1</v>
      </c>
      <c r="FW13" s="21">
        <v>999</v>
      </c>
      <c r="FX13" s="21">
        <v>51041.9</v>
      </c>
      <c r="FY13" s="21">
        <v>50788</v>
      </c>
      <c r="FZ13" s="12">
        <f>AV13-W13-Y13-BZ13</f>
        <v>119577.2999999999</v>
      </c>
      <c r="GA13" s="12">
        <f>FZ13-AY13</f>
        <v>78003.1999999999</v>
      </c>
      <c r="GB13" s="12">
        <f>CK13+CM13-CL13</f>
        <v>800595.3999999999</v>
      </c>
      <c r="GC13" s="12">
        <f>GB13-GB12</f>
        <v>3566.899999999907</v>
      </c>
      <c r="GD13" s="12">
        <f>FZ13-CA13-GC13</f>
        <v>92255.2</v>
      </c>
      <c r="GE13" s="12">
        <f>GD13-DK13</f>
        <v>25528.300000000003</v>
      </c>
      <c r="GF13" s="12">
        <f>CC13-CD13</f>
        <v>3104000.0</v>
      </c>
      <c r="GG13" s="12">
        <f>SUM(FZ$10:FZ13)*12/E13</f>
        <v>1698197.0999999996</v>
      </c>
      <c r="GH13" s="12">
        <f>IF(AV13=0,0,CK13/AV13*D13)</f>
        <v>44.996118546992335</v>
      </c>
      <c r="GI13" s="12">
        <f>IF(W13=0,0,CL13/W13*D13)</f>
        <v>62.669262241485605</v>
      </c>
      <c r="GJ13" s="12">
        <f>IF(W13=0,0,CM13/W13*D13)</f>
        <v>34.200951413600414</v>
      </c>
      <c r="GK13" s="12">
        <f>IF(OR(AT13=0,AU13=0,AW13=0),0,100*((AV13/AT13)/(AW13/AU13)-1))</f>
        <v>0.12554811244780417</v>
      </c>
    </row>
    <row r="14" spans="1:193">
      <c r="A14" t="s">
        <v>19</v>
      </c>
      <c r="B14" t="s">
        <v>189</v>
      </c>
      <c r="C14" t="s">
        <v>185</v>
      </c>
      <c r="D14">
        <v>31</v>
      </c>
      <c r="E14">
        <v>5</v>
      </c>
      <c r="F14" s="10">
        <f>SUM('Plant Inputs'!H26,'Plant Inputs'!H32,'Plant Inputs'!H38)</f>
        <v>2232.0</v>
      </c>
      <c r="G14" s="10">
        <f>SUM('Plant Inputs'!I26,'Plant Inputs'!I32,'Plant Inputs'!I38)</f>
        <v>2118.0</v>
      </c>
      <c r="H14" s="10">
        <f>SUM('Plant Inputs'!J26,'Plant Inputs'!J32,'Plant Inputs'!J38)</f>
        <v>1996.0</v>
      </c>
      <c r="I14" s="10">
        <f>SUM('Plant Inputs'!K26,'Plant Inputs'!K32,'Plant Inputs'!K38)</f>
        <v>67.8</v>
      </c>
      <c r="J14" s="10">
        <f>SUM('Plant Inputs'!L26,'Plant Inputs'!L32,'Plant Inputs'!L38)</f>
        <v>346273.0</v>
      </c>
      <c r="K14" s="10">
        <f>SUM('Plant Inputs'!M26,'Plant Inputs'!M32,'Plant Inputs'!M38)</f>
        <v>364560.0</v>
      </c>
      <c r="L14" s="10">
        <f>SUM('Plant Inputs'!N26,'Plant Inputs'!N32,'Plant Inputs'!N38)</f>
        <v>308736.0</v>
      </c>
      <c r="M14" s="10">
        <f>SUM('Plant Inputs'!O26,'Plant Inputs'!O32,'Plant Inputs'!O38)</f>
        <v>304282.0</v>
      </c>
      <c r="N14" s="10">
        <f>SUM('Plant Inputs'!P26,'Plant Inputs'!P32,'Plant Inputs'!P38)</f>
        <v>298516.0</v>
      </c>
      <c r="O14" s="10">
        <f>SUM('Plant Inputs'!Q26,'Plant Inputs'!Q32,'Plant Inputs'!Q38)</f>
        <v>328057.0</v>
      </c>
      <c r="P14" s="10">
        <f>SUM('Plant Inputs'!R26,'Plant Inputs'!R32,'Plant Inputs'!R38)</f>
        <v>75322.0</v>
      </c>
      <c r="Q14" s="10">
        <f>SUM('Plant Inputs'!S26,'Plant Inputs'!S32,'Plant Inputs'!S38)</f>
        <v>67860.0</v>
      </c>
      <c r="R14" s="10">
        <f>SUM('Plant Inputs'!T26,'Plant Inputs'!T32,'Plant Inputs'!T38)</f>
        <v>12064.0</v>
      </c>
      <c r="S14" s="10">
        <f>SUM('Plant Inputs'!U26,'Plant Inputs'!U32,'Plant Inputs'!U38)</f>
        <v>9.0</v>
      </c>
      <c r="T14" s="10">
        <f>SUM('Plant Inputs'!V26,'Plant Inputs'!V32,'Plant Inputs'!V38)</f>
        <v>49.400000000000006</v>
      </c>
      <c r="U14" s="10">
        <f>SUM('Plant Inputs'!W26,'Plant Inputs'!W32,'Plant Inputs'!W38)</f>
        <v>118.0</v>
      </c>
      <c r="V14" s="10">
        <f>SUM('Plant Inputs'!X26,'Plant Inputs'!X32,'Plant Inputs'!X38)</f>
        <v>117.0</v>
      </c>
      <c r="W14" s="10">
        <f>SUM('Plant Inputs'!Y26,'Plant Inputs'!Y32,'Plant Inputs'!Y38)</f>
        <v>940259.2000000001</v>
      </c>
      <c r="X14" s="10">
        <f>SUM('Plant Inputs'!Z26,'Plant Inputs'!Z32,'Plant Inputs'!Z38)</f>
        <v>246610.1</v>
      </c>
      <c r="Y14" s="10">
        <f>SUM('Plant Inputs'!AA26,'Plant Inputs'!AA32,'Plant Inputs'!AA38)</f>
        <v>4191.1</v>
      </c>
      <c r="Z14" s="10">
        <f>SUM('Plant Inputs'!AB26,'Plant Inputs'!AB32,'Plant Inputs'!AB38)</f>
        <v>690325.0</v>
      </c>
      <c r="AA14" s="10">
        <f>SUM('Plant Inputs'!AC26,'Plant Inputs'!AC32,'Plant Inputs'!AC38)</f>
        <v>193997.0</v>
      </c>
      <c r="AB14" s="10">
        <f>SUM('Plant Inputs'!AD26,'Plant Inputs'!AD32,'Plant Inputs'!AD38)</f>
        <v>1024647.0</v>
      </c>
      <c r="AC14" s="10">
        <f>SUM('Plant Inputs'!AE26,'Plant Inputs'!AE32,'Plant Inputs'!AE38)</f>
        <v>6633.0</v>
      </c>
      <c r="AD14" s="10">
        <f>SUM('Plant Inputs'!AF26,'Plant Inputs'!AF32,'Plant Inputs'!AF38)</f>
        <v>4.0</v>
      </c>
      <c r="AE14" s="10">
        <f>SUM('Plant Inputs'!AG26,'Plant Inputs'!AG32,'Plant Inputs'!AG38)</f>
        <v>195000.0</v>
      </c>
      <c r="AF14" s="10">
        <f>SUM('Plant Inputs'!AH26,'Plant Inputs'!AH32,'Plant Inputs'!AH38)</f>
        <v>1.0</v>
      </c>
      <c r="AG14" s="10">
        <f>SUM('Plant Inputs'!AI26,'Plant Inputs'!AI32,'Plant Inputs'!AI38)</f>
        <v>0.0</v>
      </c>
      <c r="AH14" s="10">
        <f>SUM('Plant Inputs'!AJ26,'Plant Inputs'!AJ32,'Plant Inputs'!AJ38)</f>
        <v>23.0</v>
      </c>
      <c r="AI14" s="10">
        <f>SUM('Plant Inputs'!AK26,'Plant Inputs'!AK32,'Plant Inputs'!AK38)</f>
        <v>0.0</v>
      </c>
      <c r="AJ14" s="10">
        <f>SUM('Plant Inputs'!AL26,'Plant Inputs'!AL32,'Plant Inputs'!AL38)</f>
        <v>1.0</v>
      </c>
      <c r="AK14" s="10">
        <f>SUM('Plant Inputs'!AM26,'Plant Inputs'!AM32,'Plant Inputs'!AM38)</f>
        <v>0.0</v>
      </c>
      <c r="AL14" s="10">
        <f>SUM('Plant Inputs'!AN26,'Plant Inputs'!AN32,'Plant Inputs'!AN38)</f>
        <v>26.0</v>
      </c>
      <c r="AM14" s="10">
        <f>SUM('Plant Inputs'!AO26,'Plant Inputs'!AO32,'Plant Inputs'!AO38)</f>
        <v>2.0</v>
      </c>
      <c r="AN14" s="10">
        <f>SUM('Plant Inputs'!AP26,'Plant Inputs'!AP32,'Plant Inputs'!AP38)</f>
        <v>8.0</v>
      </c>
      <c r="AO14" s="10">
        <f>SUM('Plant Inputs'!AQ26,'Plant Inputs'!AQ32,'Plant Inputs'!AQ38)</f>
        <v>8.0</v>
      </c>
      <c r="AP14" s="10">
        <f>SUM('Plant Inputs'!AR26,'Plant Inputs'!AR32,'Plant Inputs'!AR38)</f>
        <v>3.0</v>
      </c>
      <c r="AQ14" s="10">
        <f>SUM('Plant Inputs'!AS26,'Plant Inputs'!AS32,'Plant Inputs'!AS38)</f>
        <v>619.0</v>
      </c>
      <c r="AR14" s="10">
        <f>SUM('Plant Inputs'!AT26,'Plant Inputs'!AT32,'Plant Inputs'!AT38)</f>
        <v>36.0</v>
      </c>
      <c r="AS14" s="10">
        <f>MIN('Plant Inputs'!AU26,'Plant Inputs'!AU32,'Plant Inputs'!AU38)</f>
        <v>132</v>
      </c>
      <c r="AT14" s="10">
        <f>SUM('Plant Inputs'!AV26,'Plant Inputs'!AV32,'Plant Inputs'!AV38)</f>
        <v>295880.0</v>
      </c>
      <c r="AU14" s="10">
        <f>SUM('Plant Inputs'!AW26,'Plant Inputs'!AW32,'Plant Inputs'!AW38)</f>
        <v>306815.0</v>
      </c>
      <c r="AV14" s="10">
        <f>SUM('Plant Inputs'!AX26,'Plant Inputs'!AX32,'Plant Inputs'!AX38)</f>
        <v>1105023.8</v>
      </c>
      <c r="AW14" s="10">
        <f>SUM('Plant Inputs'!AY26,'Plant Inputs'!AY32,'Plant Inputs'!AY38)</f>
        <v>1153624.3</v>
      </c>
      <c r="AX14" s="10">
        <f>SUM('Plant Inputs'!AZ26,'Plant Inputs'!AZ32,'Plant Inputs'!AZ38)</f>
        <v>53026.2</v>
      </c>
      <c r="AY14" s="10">
        <f>SUM('Plant Inputs'!BA26,'Plant Inputs'!BA32,'Plant Inputs'!BA38)</f>
        <v>41345.5</v>
      </c>
      <c r="AZ14" s="10">
        <f>SUM('Plant Inputs'!BB26,'Plant Inputs'!BB32,'Plant Inputs'!BB38)</f>
        <v>706.0</v>
      </c>
      <c r="BA14" s="10">
        <f>SUM('Plant Inputs'!BC26,'Plant Inputs'!BC32,'Plant Inputs'!BC38)</f>
        <v>657.0</v>
      </c>
      <c r="BB14" s="10">
        <f>SUM('Plant Inputs'!BD26,'Plant Inputs'!BD32,'Plant Inputs'!BD38)</f>
        <v>332643.0</v>
      </c>
      <c r="BC14" s="10">
        <f>SUM('Plant Inputs'!BE26,'Plant Inputs'!BE32,'Plant Inputs'!BE38)</f>
        <v>322473.0</v>
      </c>
      <c r="BD14" s="10">
        <f>SUM('Plant Inputs'!BF26,'Plant Inputs'!BF32,'Plant Inputs'!BF38)</f>
        <v>3419.0</v>
      </c>
      <c r="BE14" s="10">
        <f>SUM('Plant Inputs'!BG26,'Plant Inputs'!BG32,'Plant Inputs'!BG38)</f>
        <v>2534.0</v>
      </c>
      <c r="BF14" s="10">
        <f>SUM('Plant Inputs'!BH26,'Plant Inputs'!BH32,'Plant Inputs'!BH38)</f>
        <v>2536.0</v>
      </c>
      <c r="BG14" s="10">
        <f>SUM('Plant Inputs'!BI26,'Plant Inputs'!BI32,'Plant Inputs'!BI38)</f>
        <v>498432.80000000005</v>
      </c>
      <c r="BH14" s="10">
        <f>SUM('Plant Inputs'!BJ26,'Plant Inputs'!BJ32,'Plant Inputs'!BJ38)</f>
        <v>172867.0</v>
      </c>
      <c r="BI14" s="10">
        <f>SUM('Plant Inputs'!BK26,'Plant Inputs'!BK32,'Plant Inputs'!BK38)</f>
        <v>0.0</v>
      </c>
      <c r="BJ14" s="10">
        <f>SUM('Plant Inputs'!BL26,'Plant Inputs'!BL32,'Plant Inputs'!BL38)</f>
        <v>0.0</v>
      </c>
      <c r="BK14" s="10">
        <f>SUM('Plant Inputs'!BM26,'Plant Inputs'!BM32,'Plant Inputs'!BM38)</f>
        <v>0.0</v>
      </c>
      <c r="BL14" s="10">
        <f>SUM('Plant Inputs'!BN26,'Plant Inputs'!BN32,'Plant Inputs'!BN38)</f>
        <v>1.0</v>
      </c>
      <c r="BM14" s="10">
        <f>SUM('Plant Inputs'!BO26,'Plant Inputs'!BO32,'Plant Inputs'!BO38)</f>
        <v>2.0</v>
      </c>
      <c r="BN14" s="10">
        <f>SUM('Plant Inputs'!BP26,'Plant Inputs'!BP32,'Plant Inputs'!BP38)</f>
        <v>0.0</v>
      </c>
      <c r="BO14" s="10">
        <f>SUM('Plant Inputs'!BQ26,'Plant Inputs'!BQ32,'Plant Inputs'!BQ38)</f>
        <v>1.0</v>
      </c>
      <c r="BP14" s="10">
        <f>SUM('Plant Inputs'!BR26,'Plant Inputs'!BR32,'Plant Inputs'!BR38)</f>
        <v>0.0</v>
      </c>
      <c r="BQ14" s="10">
        <f>SUM('Plant Inputs'!BS26,'Plant Inputs'!BS32,'Plant Inputs'!BS38)</f>
        <v>0.0</v>
      </c>
      <c r="BR14" s="10">
        <f>SUM('Plant Inputs'!BT26,'Plant Inputs'!BT32,'Plant Inputs'!BT38)</f>
        <v>0.0</v>
      </c>
      <c r="BS14" s="10">
        <f>SUM('Plant Inputs'!BU26,'Plant Inputs'!BU32,'Plant Inputs'!BU38)</f>
        <v>0.0</v>
      </c>
      <c r="BT14" s="10">
        <f>MIN('Plant Inputs'!BV26,'Plant Inputs'!BV32,'Plant Inputs'!BV38)</f>
        <v>99</v>
      </c>
      <c r="BU14" s="10">
        <f>SUM('Plant Inputs'!BW26,'Plant Inputs'!BW32,'Plant Inputs'!BW38)</f>
        <v>308700.0</v>
      </c>
      <c r="BV14" s="10">
        <f>SUM('Plant Inputs'!BX26,'Plant Inputs'!BX32,'Plant Inputs'!BX38)</f>
        <v>311333.0</v>
      </c>
      <c r="BW14" s="10">
        <f>SUM('Plant Inputs'!BY26,'Plant Inputs'!BY32,'Plant Inputs'!BY38)</f>
        <v>131228667.0</v>
      </c>
      <c r="BX14" s="10">
        <f>SUM('Plant Inputs'!BZ26,'Plant Inputs'!BZ32,'Plant Inputs'!BZ38)</f>
        <v>346273.0</v>
      </c>
      <c r="BY14" s="10">
        <f>SUM('Plant Inputs'!CA26,'Plant Inputs'!CA32,'Plant Inputs'!CA38)</f>
        <v>11769.0</v>
      </c>
      <c r="BZ14" s="21">
        <v>52643.9</v>
      </c>
      <c r="CA14" s="21">
        <v>23550.4</v>
      </c>
      <c r="CB14" s="21">
        <v>10160000</v>
      </c>
      <c r="CC14" s="21">
        <v>4208810.1</v>
      </c>
      <c r="CD14" s="21">
        <v>1136810.1</v>
      </c>
      <c r="CE14" s="21">
        <v>425899.5</v>
      </c>
      <c r="CF14" s="21">
        <v>32256</v>
      </c>
      <c r="CG14" s="21">
        <v>436100.5</v>
      </c>
      <c r="CH14" s="21">
        <v>1192966.9</v>
      </c>
      <c r="CI14" s="21">
        <v>107683.3</v>
      </c>
      <c r="CJ14" s="21">
        <v>1114419.8</v>
      </c>
      <c r="CK14" s="21">
        <v>1562844.7</v>
      </c>
      <c r="CL14" s="21">
        <v>1909315.9</v>
      </c>
      <c r="CM14" s="21">
        <v>1088791.2</v>
      </c>
      <c r="CN14" s="21">
        <v>1109116.5</v>
      </c>
      <c r="CO14" s="21">
        <v>3143.6</v>
      </c>
      <c r="CP14" s="21">
        <v>71435.8</v>
      </c>
      <c r="CQ14" s="21">
        <v>71435.8</v>
      </c>
      <c r="CR14" s="21">
        <v>326</v>
      </c>
      <c r="CS14" s="21">
        <v>14795</v>
      </c>
      <c r="CT14" s="21">
        <v>14670</v>
      </c>
      <c r="CU14" s="21">
        <v>1</v>
      </c>
      <c r="CV14" s="21">
        <v>645320.4</v>
      </c>
      <c r="CW14" s="21">
        <v>653271.4</v>
      </c>
      <c r="CX14" s="21">
        <v>123824.7</v>
      </c>
      <c r="CY14" s="21">
        <v>3032458.5</v>
      </c>
      <c r="CZ14" s="21">
        <v>1267817.3</v>
      </c>
      <c r="DA14" s="21">
        <v>301775.9</v>
      </c>
      <c r="DB14" s="21">
        <v>207433.2</v>
      </c>
      <c r="DC14" s="21">
        <v>239804.4</v>
      </c>
      <c r="DD14" s="21">
        <v>168954.7</v>
      </c>
      <c r="DE14" s="21">
        <v>3637.5</v>
      </c>
      <c r="DF14" s="21">
        <v>3899</v>
      </c>
      <c r="DG14" s="21">
        <v>1830360.2</v>
      </c>
      <c r="DH14" s="21">
        <v>1065570.5</v>
      </c>
      <c r="DI14" s="21">
        <v>860000</v>
      </c>
      <c r="DJ14" s="21">
        <v>567051.2</v>
      </c>
      <c r="DK14" s="21">
        <v>69472.5</v>
      </c>
      <c r="DL14" s="21">
        <v>498800</v>
      </c>
      <c r="DM14" s="21">
        <v>131528.7</v>
      </c>
      <c r="DN14" s="21">
        <v>4</v>
      </c>
      <c r="DO14" s="21">
        <v>1</v>
      </c>
      <c r="DP14" s="21">
        <v>0</v>
      </c>
      <c r="DQ14" s="21">
        <v>1</v>
      </c>
      <c r="DR14" s="21">
        <v>6</v>
      </c>
      <c r="DS14" s="21">
        <v>7</v>
      </c>
      <c r="DT14" s="21">
        <v>10</v>
      </c>
      <c r="DU14" s="21">
        <v>4</v>
      </c>
      <c r="DV14" s="21">
        <v>2</v>
      </c>
      <c r="DW14" s="21">
        <v>64</v>
      </c>
      <c r="DX14" s="21">
        <v>31</v>
      </c>
      <c r="DY14" s="21">
        <v>9144.200000000001</v>
      </c>
      <c r="DZ14" s="21">
        <v>3287.9</v>
      </c>
      <c r="EA14" s="21">
        <v>1358.2</v>
      </c>
      <c r="EB14" s="21">
        <v>1070.2</v>
      </c>
      <c r="EC14" s="21">
        <v>1243.8</v>
      </c>
      <c r="ED14" s="21">
        <v>68</v>
      </c>
      <c r="EE14" s="21">
        <v>65</v>
      </c>
      <c r="EF14" s="21">
        <v>2</v>
      </c>
      <c r="EG14" s="21">
        <v>0</v>
      </c>
      <c r="EH14" s="21">
        <v>1</v>
      </c>
      <c r="EI14" s="21">
        <v>1</v>
      </c>
      <c r="EJ14" s="21">
        <v>0</v>
      </c>
      <c r="EK14" s="21">
        <v>1</v>
      </c>
      <c r="EL14" s="21">
        <v>1</v>
      </c>
      <c r="EM14" s="21">
        <v>1</v>
      </c>
      <c r="EN14" s="21">
        <v>0</v>
      </c>
      <c r="EO14" s="21">
        <v>0</v>
      </c>
      <c r="EP14" s="21">
        <v>0</v>
      </c>
      <c r="EQ14" s="21">
        <v>0</v>
      </c>
      <c r="ER14" s="21">
        <v>2</v>
      </c>
      <c r="ES14" s="21">
        <v>1</v>
      </c>
      <c r="ET14" s="21">
        <v>0</v>
      </c>
      <c r="EU14" s="21">
        <v>0</v>
      </c>
      <c r="EV14" s="21">
        <v>5</v>
      </c>
      <c r="EW14" s="21">
        <v>0</v>
      </c>
      <c r="EX14" s="21">
        <v>1</v>
      </c>
      <c r="EY14" s="21">
        <v>1</v>
      </c>
      <c r="EZ14" s="21">
        <v>58</v>
      </c>
      <c r="FA14" s="21">
        <v>52</v>
      </c>
      <c r="FB14" s="21">
        <v>2</v>
      </c>
      <c r="FC14" s="21">
        <v>76</v>
      </c>
      <c r="FD14" s="21">
        <v>28</v>
      </c>
      <c r="FE14" s="21">
        <v>24</v>
      </c>
      <c r="FF14" s="21">
        <v>26</v>
      </c>
      <c r="FG14" s="21">
        <v>2</v>
      </c>
      <c r="FH14" s="21">
        <v>0</v>
      </c>
      <c r="FI14" s="21">
        <v>0</v>
      </c>
      <c r="FJ14" s="21">
        <v>498702</v>
      </c>
      <c r="FK14" s="21">
        <v>494943</v>
      </c>
      <c r="FL14" s="21">
        <v>420</v>
      </c>
      <c r="FM14" s="21">
        <v>412</v>
      </c>
      <c r="FN14" s="21">
        <v>0</v>
      </c>
      <c r="FO14" s="21">
        <v>0</v>
      </c>
      <c r="FP14" s="21">
        <v>0</v>
      </c>
      <c r="FQ14" s="21">
        <v>5</v>
      </c>
      <c r="FR14" s="21">
        <v>9.9</v>
      </c>
      <c r="FS14" s="21">
        <v>8</v>
      </c>
      <c r="FT14" s="21">
        <v>0</v>
      </c>
      <c r="FU14" s="21">
        <v>1</v>
      </c>
      <c r="FV14" s="21">
        <v>1</v>
      </c>
      <c r="FW14" s="21">
        <v>999</v>
      </c>
      <c r="FX14" s="21">
        <v>47577.5</v>
      </c>
      <c r="FY14" s="21">
        <v>47340.8</v>
      </c>
      <c r="FZ14" s="12">
        <f>AV14-W14-Y14-BZ14</f>
        <v>107929.59999999998</v>
      </c>
      <c r="GA14" s="12">
        <f>FZ14-AY14</f>
        <v>66584.09999999998</v>
      </c>
      <c r="GB14" s="12">
        <f>CK14+CM14-CL14</f>
        <v>742320.0</v>
      </c>
      <c r="GC14" s="12">
        <f>GB14-GB13</f>
        <v>-58275.39999999991</v>
      </c>
      <c r="GD14" s="12">
        <f>FZ14-CA14-GC14</f>
        <v>142654.5999999999</v>
      </c>
      <c r="GE14" s="12">
        <f>GD14-DK14</f>
        <v>73182.09999999989</v>
      </c>
      <c r="GF14" s="12">
        <f>CC14-CD14</f>
        <v>3071999.9999999995</v>
      </c>
      <c r="GG14" s="12">
        <f>SUM(FZ$10:FZ14)*12/E14</f>
        <v>1617588.7199999995</v>
      </c>
      <c r="GH14" s="12">
        <f>IF(AV14=0,0,CK14/AV14*D14)</f>
        <v>43.84356762270641</v>
      </c>
      <c r="GI14" s="12">
        <f>IF(W14=0,0,CL14/W14*D14)</f>
        <v>62.9494429833816</v>
      </c>
      <c r="GJ14" s="12">
        <f>IF(W14=0,0,CM14/W14*D14)</f>
        <v>35.89704541045703</v>
      </c>
      <c r="GK14" s="12">
        <f>IF(OR(AT14=0,AU14=0,AW14=0),0,100*((AV14/AT14)/(AW14/AU14)-1))</f>
        <v>-0.6727950567989471</v>
      </c>
    </row>
    <row r="15" spans="1:193">
      <c r="A15" t="s">
        <v>19</v>
      </c>
      <c r="B15" t="s">
        <v>189</v>
      </c>
      <c r="C15" t="s">
        <v>186</v>
      </c>
      <c r="D15">
        <v>30</v>
      </c>
      <c r="E15">
        <v>6</v>
      </c>
      <c r="F15" s="10">
        <f>SUM('Plant Inputs'!H27,'Plant Inputs'!H33,'Plant Inputs'!H39)</f>
        <v>2160.0</v>
      </c>
      <c r="G15" s="10">
        <f>SUM('Plant Inputs'!I27,'Plant Inputs'!I33,'Plant Inputs'!I39)</f>
        <v>2140.0</v>
      </c>
      <c r="H15" s="10">
        <f>SUM('Plant Inputs'!J27,'Plant Inputs'!J33,'Plant Inputs'!J39)</f>
        <v>2061.2</v>
      </c>
      <c r="I15" s="10">
        <f>SUM('Plant Inputs'!K27,'Plant Inputs'!K33,'Plant Inputs'!K39)</f>
        <v>33.699999999999996</v>
      </c>
      <c r="J15" s="10">
        <f>SUM('Plant Inputs'!L27,'Plant Inputs'!L33,'Plant Inputs'!L39)</f>
        <v>349230.0</v>
      </c>
      <c r="K15" s="10">
        <f>SUM('Plant Inputs'!M27,'Plant Inputs'!M33,'Plant Inputs'!M39)</f>
        <v>352800.0</v>
      </c>
      <c r="L15" s="10">
        <f>SUM('Plant Inputs'!N27,'Plant Inputs'!N33,'Plant Inputs'!N39)</f>
        <v>307966.0</v>
      </c>
      <c r="M15" s="10">
        <f>SUM('Plant Inputs'!O27,'Plant Inputs'!O33,'Plant Inputs'!O39)</f>
        <v>315972.0</v>
      </c>
      <c r="N15" s="10">
        <f>SUM('Plant Inputs'!P27,'Plant Inputs'!P33,'Plant Inputs'!P39)</f>
        <v>308869.0</v>
      </c>
      <c r="O15" s="10">
        <f>SUM('Plant Inputs'!Q27,'Plant Inputs'!Q33,'Plant Inputs'!Q39)</f>
        <v>334213.0</v>
      </c>
      <c r="P15" s="10">
        <f>SUM('Plant Inputs'!R27,'Plant Inputs'!R33,'Plant Inputs'!R39)</f>
        <v>69389.0</v>
      </c>
      <c r="Q15" s="10">
        <f>SUM('Plant Inputs'!S27,'Plant Inputs'!S33,'Plant Inputs'!S39)</f>
        <v>60526.0</v>
      </c>
      <c r="R15" s="10">
        <f>SUM('Plant Inputs'!T27,'Plant Inputs'!T33,'Plant Inputs'!T39)</f>
        <v>5492.0</v>
      </c>
      <c r="S15" s="10">
        <f>SUM('Plant Inputs'!U27,'Plant Inputs'!U33,'Plant Inputs'!U39)</f>
        <v>3.0</v>
      </c>
      <c r="T15" s="10">
        <f>SUM('Plant Inputs'!V27,'Plant Inputs'!V33,'Plant Inputs'!V39)</f>
        <v>18.5</v>
      </c>
      <c r="U15" s="10">
        <f>SUM('Plant Inputs'!W27,'Plant Inputs'!W33,'Plant Inputs'!W39)</f>
        <v>137.0</v>
      </c>
      <c r="V15" s="10">
        <f>SUM('Plant Inputs'!X27,'Plant Inputs'!X33,'Plant Inputs'!X39)</f>
        <v>134.0</v>
      </c>
      <c r="W15" s="10">
        <f>SUM('Plant Inputs'!Y27,'Plant Inputs'!Y33,'Plant Inputs'!Y39)</f>
        <v>927755.3999999999</v>
      </c>
      <c r="X15" s="10">
        <f>SUM('Plant Inputs'!Z27,'Plant Inputs'!Z33,'Plant Inputs'!Z39)</f>
        <v>240696.89999999997</v>
      </c>
      <c r="Y15" s="10">
        <f>SUM('Plant Inputs'!AA27,'Plant Inputs'!AA33,'Plant Inputs'!AA39)</f>
        <v>3949.1</v>
      </c>
      <c r="Z15" s="10">
        <f>SUM('Plant Inputs'!AB27,'Plant Inputs'!AB33,'Plant Inputs'!AB39)</f>
        <v>708831.0</v>
      </c>
      <c r="AA15" s="10">
        <f>SUM('Plant Inputs'!AC27,'Plant Inputs'!AC33,'Plant Inputs'!AC39)</f>
        <v>208159.0</v>
      </c>
      <c r="AB15" s="10">
        <f>SUM('Plant Inputs'!AD27,'Plant Inputs'!AD33,'Plant Inputs'!AD39)</f>
        <v>996266.0</v>
      </c>
      <c r="AC15" s="10">
        <f>SUM('Plant Inputs'!AE27,'Plant Inputs'!AE33,'Plant Inputs'!AE39)</f>
        <v>5880.0</v>
      </c>
      <c r="AD15" s="10">
        <f>SUM('Plant Inputs'!AF27,'Plant Inputs'!AF33,'Plant Inputs'!AF39)</f>
        <v>2.0</v>
      </c>
      <c r="AE15" s="10">
        <f>SUM('Plant Inputs'!AG27,'Plant Inputs'!AG33,'Plant Inputs'!AG39)</f>
        <v>206000.0</v>
      </c>
      <c r="AF15" s="10">
        <f>SUM('Plant Inputs'!AH27,'Plant Inputs'!AH33,'Plant Inputs'!AH39)</f>
        <v>0.0</v>
      </c>
      <c r="AG15" s="10">
        <f>SUM('Plant Inputs'!AI27,'Plant Inputs'!AI33,'Plant Inputs'!AI39)</f>
        <v>2.0</v>
      </c>
      <c r="AH15" s="10">
        <f>SUM('Plant Inputs'!AJ27,'Plant Inputs'!AJ33,'Plant Inputs'!AJ39)</f>
        <v>21.0</v>
      </c>
      <c r="AI15" s="10">
        <f>SUM('Plant Inputs'!AK27,'Plant Inputs'!AK33,'Plant Inputs'!AK39)</f>
        <v>0.0</v>
      </c>
      <c r="AJ15" s="10">
        <f>SUM('Plant Inputs'!AL27,'Plant Inputs'!AL33,'Plant Inputs'!AL39)</f>
        <v>1.0</v>
      </c>
      <c r="AK15" s="10">
        <f>SUM('Plant Inputs'!AM27,'Plant Inputs'!AM33,'Plant Inputs'!AM39)</f>
        <v>0.0</v>
      </c>
      <c r="AL15" s="10">
        <f>SUM('Plant Inputs'!AN27,'Plant Inputs'!AN33,'Plant Inputs'!AN39)</f>
        <v>17.0</v>
      </c>
      <c r="AM15" s="10">
        <f>SUM('Plant Inputs'!AO27,'Plant Inputs'!AO33,'Plant Inputs'!AO39)</f>
        <v>2.0</v>
      </c>
      <c r="AN15" s="10">
        <f>SUM('Plant Inputs'!AP27,'Plant Inputs'!AP33,'Plant Inputs'!AP39)</f>
        <v>0.0</v>
      </c>
      <c r="AO15" s="10">
        <f>SUM('Plant Inputs'!AQ27,'Plant Inputs'!AQ33,'Plant Inputs'!AQ39)</f>
        <v>0.0</v>
      </c>
      <c r="AP15" s="10">
        <f>SUM('Plant Inputs'!AR27,'Plant Inputs'!AR33,'Plant Inputs'!AR39)</f>
        <v>1.0</v>
      </c>
      <c r="AQ15" s="10">
        <f>SUM('Plant Inputs'!AS27,'Plant Inputs'!AS33,'Plant Inputs'!AS39)</f>
        <v>492.0</v>
      </c>
      <c r="AR15" s="10">
        <f>SUM('Plant Inputs'!AT27,'Plant Inputs'!AT33,'Plant Inputs'!AT39)</f>
        <v>30.0</v>
      </c>
      <c r="AS15" s="10">
        <f>MIN('Plant Inputs'!AU27,'Plant Inputs'!AU33,'Plant Inputs'!AU39)</f>
        <v>102</v>
      </c>
      <c r="AT15" s="10">
        <f>SUM('Plant Inputs'!AV27,'Plant Inputs'!AV33,'Plant Inputs'!AV39)</f>
        <v>313699.0</v>
      </c>
      <c r="AU15" s="10">
        <f>SUM('Plant Inputs'!AW27,'Plant Inputs'!AW33,'Plant Inputs'!AW39)</f>
        <v>307417.0</v>
      </c>
      <c r="AV15" s="10">
        <f>SUM('Plant Inputs'!AX27,'Plant Inputs'!AX33,'Plant Inputs'!AX39)</f>
        <v>1180093.6</v>
      </c>
      <c r="AW15" s="10">
        <f>SUM('Plant Inputs'!AY27,'Plant Inputs'!AY33,'Plant Inputs'!AY39)</f>
        <v>1155887.9000000001</v>
      </c>
      <c r="AX15" s="10">
        <f>SUM('Plant Inputs'!AZ27,'Plant Inputs'!AZ33,'Plant Inputs'!AZ39)</f>
        <v>53162.9</v>
      </c>
      <c r="AY15" s="10">
        <f>SUM('Plant Inputs'!BA27,'Plant Inputs'!BA33,'Plant Inputs'!BA39)</f>
        <v>42145.5</v>
      </c>
      <c r="AZ15" s="10">
        <f>SUM('Plant Inputs'!BB27,'Plant Inputs'!BB33,'Plant Inputs'!BB39)</f>
        <v>725.0</v>
      </c>
      <c r="BA15" s="10">
        <f>SUM('Plant Inputs'!BC27,'Plant Inputs'!BC33,'Plant Inputs'!BC39)</f>
        <v>669.0</v>
      </c>
      <c r="BB15" s="10">
        <f>SUM('Plant Inputs'!BD27,'Plant Inputs'!BD33,'Plant Inputs'!BD39)</f>
        <v>329176.0</v>
      </c>
      <c r="BC15" s="10">
        <f>SUM('Plant Inputs'!BE27,'Plant Inputs'!BE33,'Plant Inputs'!BE39)</f>
        <v>318018.0</v>
      </c>
      <c r="BD15" s="10">
        <f>SUM('Plant Inputs'!BF27,'Plant Inputs'!BF33,'Plant Inputs'!BF39)</f>
        <v>4077.0</v>
      </c>
      <c r="BE15" s="10">
        <f>SUM('Plant Inputs'!BG27,'Plant Inputs'!BG33,'Plant Inputs'!BG39)</f>
        <v>2632.0</v>
      </c>
      <c r="BF15" s="10">
        <f>SUM('Plant Inputs'!BH27,'Plant Inputs'!BH33,'Plant Inputs'!BH39)</f>
        <v>2728.0</v>
      </c>
      <c r="BG15" s="10">
        <f>SUM('Plant Inputs'!BI27,'Plant Inputs'!BI33,'Plant Inputs'!BI39)</f>
        <v>520843.19999999995</v>
      </c>
      <c r="BH15" s="10">
        <f>SUM('Plant Inputs'!BJ27,'Plant Inputs'!BJ33,'Plant Inputs'!BJ39)</f>
        <v>185137.2</v>
      </c>
      <c r="BI15" s="10">
        <f>SUM('Plant Inputs'!BK27,'Plant Inputs'!BK33,'Plant Inputs'!BK39)</f>
        <v>1.0</v>
      </c>
      <c r="BJ15" s="10">
        <f>SUM('Plant Inputs'!BL27,'Plant Inputs'!BL33,'Plant Inputs'!BL39)</f>
        <v>0.0</v>
      </c>
      <c r="BK15" s="10">
        <f>SUM('Plant Inputs'!BM27,'Plant Inputs'!BM33,'Plant Inputs'!BM39)</f>
        <v>1.0</v>
      </c>
      <c r="BL15" s="10">
        <f>SUM('Plant Inputs'!BN27,'Plant Inputs'!BN33,'Plant Inputs'!BN39)</f>
        <v>0.0</v>
      </c>
      <c r="BM15" s="10">
        <f>SUM('Plant Inputs'!BO27,'Plant Inputs'!BO33,'Plant Inputs'!BO39)</f>
        <v>1.0</v>
      </c>
      <c r="BN15" s="10">
        <f>SUM('Plant Inputs'!BP27,'Plant Inputs'!BP33,'Plant Inputs'!BP39)</f>
        <v>0.0</v>
      </c>
      <c r="BO15" s="10">
        <f>SUM('Plant Inputs'!BQ27,'Plant Inputs'!BQ33,'Plant Inputs'!BQ39)</f>
        <v>0.0</v>
      </c>
      <c r="BP15" s="10">
        <f>SUM('Plant Inputs'!BR27,'Plant Inputs'!BR33,'Plant Inputs'!BR39)</f>
        <v>0.0</v>
      </c>
      <c r="BQ15" s="10">
        <f>SUM('Plant Inputs'!BS27,'Plant Inputs'!BS33,'Plant Inputs'!BS39)</f>
        <v>0.0</v>
      </c>
      <c r="BR15" s="10">
        <f>SUM('Plant Inputs'!BT27,'Plant Inputs'!BT33,'Plant Inputs'!BT39)</f>
        <v>0.0</v>
      </c>
      <c r="BS15" s="10">
        <f>SUM('Plant Inputs'!BU27,'Plant Inputs'!BU33,'Plant Inputs'!BU39)</f>
        <v>0.0</v>
      </c>
      <c r="BT15" s="10">
        <f>MIN('Plant Inputs'!BV27,'Plant Inputs'!BV33,'Plant Inputs'!BV39)</f>
        <v>99</v>
      </c>
      <c r="BU15" s="10">
        <f>SUM('Plant Inputs'!BW27,'Plant Inputs'!BW33,'Plant Inputs'!BW39)</f>
        <v>313368.0</v>
      </c>
      <c r="BV15" s="10">
        <f>SUM('Plant Inputs'!BX27,'Plant Inputs'!BX33,'Plant Inputs'!BX39)</f>
        <v>314732.0</v>
      </c>
      <c r="BW15" s="10">
        <f>SUM('Plant Inputs'!BY27,'Plant Inputs'!BY33,'Plant Inputs'!BY39)</f>
        <v>124480517.0</v>
      </c>
      <c r="BX15" s="10">
        <f>SUM('Plant Inputs'!BZ27,'Plant Inputs'!BZ33,'Plant Inputs'!BZ39)</f>
        <v>349230.0</v>
      </c>
      <c r="BY15" s="10">
        <f>SUM('Plant Inputs'!CA27,'Plant Inputs'!CA33,'Plant Inputs'!CA39)</f>
        <v>5713.0</v>
      </c>
      <c r="BZ15" s="21">
        <v>52845</v>
      </c>
      <c r="CA15" s="21">
        <v>40246.8</v>
      </c>
      <c r="CB15" s="21">
        <v>10200000</v>
      </c>
      <c r="CC15" s="21">
        <v>4214739.8</v>
      </c>
      <c r="CD15" s="21">
        <v>1174739.8</v>
      </c>
      <c r="CE15" s="21">
        <v>431783.2</v>
      </c>
      <c r="CF15" s="21">
        <v>31920</v>
      </c>
      <c r="CG15" s="21">
        <v>405067.9</v>
      </c>
      <c r="CH15" s="21">
        <v>1280130.3</v>
      </c>
      <c r="CI15" s="21">
        <v>195011.3</v>
      </c>
      <c r="CJ15" s="21">
        <v>1173926.1</v>
      </c>
      <c r="CK15" s="21">
        <v>1654275.7</v>
      </c>
      <c r="CL15" s="21">
        <v>1971156.1</v>
      </c>
      <c r="CM15" s="21">
        <v>1085692.7</v>
      </c>
      <c r="CN15" s="21">
        <v>1145104.1</v>
      </c>
      <c r="CO15" s="21">
        <v>2567.4</v>
      </c>
      <c r="CP15" s="21">
        <v>83215.8</v>
      </c>
      <c r="CQ15" s="21">
        <v>83215.8</v>
      </c>
      <c r="CR15" s="21">
        <v>355</v>
      </c>
      <c r="CS15" s="21">
        <v>16051</v>
      </c>
      <c r="CT15" s="21">
        <v>15975</v>
      </c>
      <c r="CU15" s="21">
        <v>1</v>
      </c>
      <c r="CV15" s="21">
        <v>1172252.9</v>
      </c>
      <c r="CW15" s="21">
        <v>1179902.4</v>
      </c>
      <c r="CX15" s="21">
        <v>182427</v>
      </c>
      <c r="CY15" s="21">
        <v>2999569.4</v>
      </c>
      <c r="CZ15" s="21">
        <v>2303674.3</v>
      </c>
      <c r="DA15" s="21">
        <v>330230.9</v>
      </c>
      <c r="DB15" s="21">
        <v>231774.8</v>
      </c>
      <c r="DC15" s="21">
        <v>259974.1</v>
      </c>
      <c r="DD15" s="21">
        <v>191082.1</v>
      </c>
      <c r="DE15" s="21">
        <v>4370.6</v>
      </c>
      <c r="DF15" s="21">
        <v>4752.9</v>
      </c>
      <c r="DG15" s="21">
        <v>1953973.8</v>
      </c>
      <c r="DH15" s="21">
        <v>1193687.3</v>
      </c>
      <c r="DI15" s="21">
        <v>860000</v>
      </c>
      <c r="DJ15" s="21">
        <v>625104.2</v>
      </c>
      <c r="DK15" s="21">
        <v>65703.7</v>
      </c>
      <c r="DL15" s="21">
        <v>541800</v>
      </c>
      <c r="DM15" s="21">
        <v>127233</v>
      </c>
      <c r="DN15" s="21">
        <v>4</v>
      </c>
      <c r="DO15" s="21">
        <v>1</v>
      </c>
      <c r="DP15" s="21">
        <v>0</v>
      </c>
      <c r="DQ15" s="21">
        <v>1</v>
      </c>
      <c r="DR15" s="21">
        <v>7</v>
      </c>
      <c r="DS15" s="21">
        <v>9</v>
      </c>
      <c r="DT15" s="21">
        <v>10</v>
      </c>
      <c r="DU15" s="21">
        <v>4</v>
      </c>
      <c r="DV15" s="21">
        <v>2</v>
      </c>
      <c r="DW15" s="21">
        <v>64</v>
      </c>
      <c r="DX15" s="21">
        <v>35</v>
      </c>
      <c r="DY15" s="21">
        <v>9329.9</v>
      </c>
      <c r="DZ15" s="21">
        <v>3492</v>
      </c>
      <c r="EA15" s="21">
        <v>1271.7</v>
      </c>
      <c r="EB15" s="21">
        <v>1040.2</v>
      </c>
      <c r="EC15" s="21">
        <v>1241.7</v>
      </c>
      <c r="ED15" s="21">
        <v>68</v>
      </c>
      <c r="EE15" s="21">
        <v>65</v>
      </c>
      <c r="EF15" s="21">
        <v>2</v>
      </c>
      <c r="EG15" s="21">
        <v>0</v>
      </c>
      <c r="EH15" s="21">
        <v>1</v>
      </c>
      <c r="EI15" s="21">
        <v>1</v>
      </c>
      <c r="EJ15" s="21">
        <v>0</v>
      </c>
      <c r="EK15" s="21">
        <v>0</v>
      </c>
      <c r="EL15" s="21">
        <v>0</v>
      </c>
      <c r="EM15" s="21">
        <v>0</v>
      </c>
      <c r="EN15" s="21">
        <v>0</v>
      </c>
      <c r="EO15" s="21">
        <v>0</v>
      </c>
      <c r="EP15" s="21">
        <v>0</v>
      </c>
      <c r="EQ15" s="21">
        <v>0</v>
      </c>
      <c r="ER15" s="21">
        <v>2</v>
      </c>
      <c r="ES15" s="21">
        <v>1</v>
      </c>
      <c r="ET15" s="21">
        <v>0</v>
      </c>
      <c r="EU15" s="21">
        <v>0</v>
      </c>
      <c r="EV15" s="21">
        <v>5</v>
      </c>
      <c r="EW15" s="21">
        <v>0</v>
      </c>
      <c r="EX15" s="21">
        <v>1</v>
      </c>
      <c r="EY15" s="21">
        <v>1</v>
      </c>
      <c r="EZ15" s="21">
        <v>58</v>
      </c>
      <c r="FA15" s="21">
        <v>52</v>
      </c>
      <c r="FB15" s="21">
        <v>2</v>
      </c>
      <c r="FC15" s="21">
        <v>78</v>
      </c>
      <c r="FD15" s="21">
        <v>28</v>
      </c>
      <c r="FE15" s="21">
        <v>24</v>
      </c>
      <c r="FF15" s="21">
        <v>26</v>
      </c>
      <c r="FG15" s="21">
        <v>2</v>
      </c>
      <c r="FH15" s="21">
        <v>0</v>
      </c>
      <c r="FI15" s="21">
        <v>0</v>
      </c>
      <c r="FJ15" s="21">
        <v>504265</v>
      </c>
      <c r="FK15" s="21">
        <v>499753</v>
      </c>
      <c r="FL15" s="21">
        <v>420</v>
      </c>
      <c r="FM15" s="21">
        <v>410</v>
      </c>
      <c r="FN15" s="21">
        <v>0</v>
      </c>
      <c r="FO15" s="21">
        <v>1</v>
      </c>
      <c r="FP15" s="21">
        <v>0</v>
      </c>
      <c r="FQ15" s="21">
        <v>5</v>
      </c>
      <c r="FR15" s="21">
        <v>10.3</v>
      </c>
      <c r="FS15" s="21">
        <v>8</v>
      </c>
      <c r="FT15" s="21">
        <v>0</v>
      </c>
      <c r="FU15" s="21">
        <v>1</v>
      </c>
      <c r="FV15" s="21">
        <v>1</v>
      </c>
      <c r="FW15" s="21">
        <v>999</v>
      </c>
      <c r="FX15" s="21">
        <v>50442.8</v>
      </c>
      <c r="FY15" s="21">
        <v>50191.8</v>
      </c>
      <c r="FZ15" s="12">
        <f>AV15-W15-Y15-BZ15</f>
        <v>195544.10000000018</v>
      </c>
      <c r="GA15" s="12">
        <f>FZ15-AY15</f>
        <v>153398.60000000018</v>
      </c>
      <c r="GB15" s="12">
        <f>CK15+CM15-CL15</f>
        <v>768812.2999999998</v>
      </c>
      <c r="GC15" s="12">
        <f>GB15-GB14</f>
        <v>26492.299999999814</v>
      </c>
      <c r="GD15" s="12">
        <f>FZ15-CA15-GC15</f>
        <v>128805.00000000035</v>
      </c>
      <c r="GE15" s="12">
        <f>GD15-DK15</f>
        <v>63101.30000000035</v>
      </c>
      <c r="GF15" s="12">
        <f>CC15-CD15</f>
        <v>3040000.0</v>
      </c>
      <c r="GG15" s="12">
        <f>SUM(FZ$10:FZ15)*12/E15</f>
        <v>1739078.8</v>
      </c>
      <c r="GH15" s="12">
        <f>IF(AV15=0,0,CK15/AV15*D15)</f>
        <v>42.05452092952627</v>
      </c>
      <c r="GI15" s="12">
        <f>IF(W15=0,0,CL15/W15*D15)</f>
        <v>63.73951905857946</v>
      </c>
      <c r="GJ15" s="12">
        <f>IF(W15=0,0,CM15/W15*D15)</f>
        <v>35.10707779227154</v>
      </c>
      <c r="GK15" s="12">
        <f>IF(OR(AT15=0,AU15=0,AW15=0),0,100*((AV15/AT15)/(AW15/AU15)-1))</f>
        <v>0.04962919282567313</v>
      </c>
    </row>
  </sheetData>
  <autoFilter ref="A3:GK15"/>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A39"/>
  <sheetViews>
    <sheetView workbookViewId="0">
      <pane xSplit="4" ySplit="3" topLeftCell="E4" activePane="bottomRight" state="frozen"/>
      <selection pane="topRight" activeCell="E1" sqref="E1"/>
      <selection pane="bottomLeft" activeCell="A4" sqref="A4"/>
      <selection pane="bottomRight"/>
    </sheetView>
  </sheetViews>
  <sheetFormatPr defaultRowHeight="15"/>
  <cols>
    <col min="1" max="7" width="10.7109375" customWidth="1"/>
    <col min="8" max="79" width="15.7109375" customWidth="1"/>
  </cols>
  <sheetData>
    <row r="1" spans="1:79" ht="48" customHeight="1">
      <c r="A1" s="16" t="s">
        <v>19</v>
      </c>
      <c r="B1" s="16" t="s">
        <v>21</v>
      </c>
      <c r="C1" s="16" t="s">
        <v>23</v>
      </c>
      <c r="D1" s="16" t="s">
        <v>25</v>
      </c>
      <c r="E1" s="16" t="s">
        <v>27</v>
      </c>
      <c r="F1" s="16" t="s">
        <v>29</v>
      </c>
      <c r="G1" s="16" t="s">
        <v>31</v>
      </c>
      <c r="H1" s="16" t="s">
        <v>33</v>
      </c>
      <c r="I1" s="16" t="s">
        <v>36</v>
      </c>
      <c r="J1" s="16" t="s">
        <v>38</v>
      </c>
      <c r="K1" s="16" t="s">
        <v>40</v>
      </c>
      <c r="L1" s="16" t="s">
        <v>42</v>
      </c>
      <c r="M1" s="16" t="s">
        <v>44</v>
      </c>
      <c r="N1" s="16" t="s">
        <v>46</v>
      </c>
      <c r="O1" s="16" t="s">
        <v>48</v>
      </c>
      <c r="P1" s="16" t="s">
        <v>50</v>
      </c>
      <c r="Q1" s="16" t="s">
        <v>52</v>
      </c>
      <c r="R1" s="16" t="s">
        <v>54</v>
      </c>
      <c r="S1" s="16" t="s">
        <v>56</v>
      </c>
      <c r="T1" s="16" t="s">
        <v>58</v>
      </c>
      <c r="U1" s="16" t="s">
        <v>60</v>
      </c>
      <c r="V1" s="16" t="s">
        <v>62</v>
      </c>
      <c r="W1" s="16" t="s">
        <v>64</v>
      </c>
      <c r="X1" s="16" t="s">
        <v>66</v>
      </c>
      <c r="Y1" s="16" t="s">
        <v>68</v>
      </c>
      <c r="Z1" s="16" t="s">
        <v>70</v>
      </c>
      <c r="AA1" s="16" t="s">
        <v>72</v>
      </c>
      <c r="AB1" s="16" t="s">
        <v>74</v>
      </c>
      <c r="AC1" s="16" t="s">
        <v>76</v>
      </c>
      <c r="AD1" s="16" t="s">
        <v>78</v>
      </c>
      <c r="AE1" s="16" t="s">
        <v>80</v>
      </c>
      <c r="AF1" s="16" t="s">
        <v>82</v>
      </c>
      <c r="AG1" s="16" t="s">
        <v>84</v>
      </c>
      <c r="AH1" s="16" t="s">
        <v>86</v>
      </c>
      <c r="AI1" s="16" t="s">
        <v>88</v>
      </c>
      <c r="AJ1" s="16" t="s">
        <v>90</v>
      </c>
      <c r="AK1" s="16" t="s">
        <v>92</v>
      </c>
      <c r="AL1" s="16" t="s">
        <v>94</v>
      </c>
      <c r="AM1" s="16" t="s">
        <v>96</v>
      </c>
      <c r="AN1" s="16" t="s">
        <v>98</v>
      </c>
      <c r="AO1" s="16" t="s">
        <v>100</v>
      </c>
      <c r="AP1" s="16" t="s">
        <v>102</v>
      </c>
      <c r="AQ1" s="16" t="s">
        <v>104</v>
      </c>
      <c r="AR1" s="16" t="s">
        <v>106</v>
      </c>
      <c r="AS1" s="16" t="s">
        <v>108</v>
      </c>
      <c r="AT1" s="16" t="s">
        <v>110</v>
      </c>
      <c r="AU1" s="16" t="s">
        <v>112</v>
      </c>
      <c r="AV1" s="16" t="s">
        <v>114</v>
      </c>
      <c r="AW1" s="16" t="s">
        <v>117</v>
      </c>
      <c r="AX1" s="16" t="s">
        <v>119</v>
      </c>
      <c r="AY1" s="16" t="s">
        <v>121</v>
      </c>
      <c r="AZ1" s="16" t="s">
        <v>123</v>
      </c>
      <c r="BA1" s="16" t="s">
        <v>125</v>
      </c>
      <c r="BB1" s="16" t="s">
        <v>127</v>
      </c>
      <c r="BC1" s="16" t="s">
        <v>129</v>
      </c>
      <c r="BD1" s="16" t="s">
        <v>131</v>
      </c>
      <c r="BE1" s="16" t="s">
        <v>133</v>
      </c>
      <c r="BF1" s="16" t="s">
        <v>135</v>
      </c>
      <c r="BG1" s="16" t="s">
        <v>137</v>
      </c>
      <c r="BH1" s="16" t="s">
        <v>139</v>
      </c>
      <c r="BI1" s="16" t="s">
        <v>141</v>
      </c>
      <c r="BJ1" s="16" t="s">
        <v>143</v>
      </c>
      <c r="BK1" s="16" t="s">
        <v>145</v>
      </c>
      <c r="BL1" s="16" t="s">
        <v>147</v>
      </c>
      <c r="BM1" s="16" t="s">
        <v>149</v>
      </c>
      <c r="BN1" s="16" t="s">
        <v>151</v>
      </c>
      <c r="BO1" s="16" t="s">
        <v>153</v>
      </c>
      <c r="BP1" s="16" t="s">
        <v>155</v>
      </c>
      <c r="BQ1" s="16" t="s">
        <v>157</v>
      </c>
      <c r="BR1" s="16" t="s">
        <v>159</v>
      </c>
      <c r="BS1" s="16" t="s">
        <v>161</v>
      </c>
      <c r="BT1" s="16" t="s">
        <v>163</v>
      </c>
      <c r="BU1" s="16" t="s">
        <v>165</v>
      </c>
      <c r="BV1" s="16" t="s">
        <v>167</v>
      </c>
      <c r="BW1" s="16" t="s">
        <v>169</v>
      </c>
      <c r="BX1" s="16" t="s">
        <v>171</v>
      </c>
      <c r="BY1" s="16" t="s">
        <v>173</v>
      </c>
      <c r="BZ1" s="16" t="s">
        <v>175</v>
      </c>
      <c r="CA1" s="16" t="s">
        <v>177</v>
      </c>
    </row>
    <row r="2" spans="1:79">
      <c r="A2" s="18" t="s">
        <v>20</v>
      </c>
      <c r="B2" s="18" t="s">
        <v>22</v>
      </c>
      <c r="C2" s="18" t="s">
        <v>24</v>
      </c>
      <c r="D2" s="18" t="s">
        <v>26</v>
      </c>
      <c r="E2" s="18" t="s">
        <v>28</v>
      </c>
      <c r="F2" s="18" t="s">
        <v>30</v>
      </c>
      <c r="G2" s="18" t="s">
        <v>32</v>
      </c>
      <c r="H2" s="18" t="s">
        <v>34</v>
      </c>
      <c r="I2" s="18" t="s">
        <v>37</v>
      </c>
      <c r="J2" s="18" t="s">
        <v>39</v>
      </c>
      <c r="K2" s="18" t="s">
        <v>41</v>
      </c>
      <c r="L2" s="18" t="s">
        <v>43</v>
      </c>
      <c r="M2" s="18" t="s">
        <v>45</v>
      </c>
      <c r="N2" s="18" t="s">
        <v>47</v>
      </c>
      <c r="O2" s="18" t="s">
        <v>49</v>
      </c>
      <c r="P2" s="18" t="s">
        <v>51</v>
      </c>
      <c r="Q2" s="18" t="s">
        <v>53</v>
      </c>
      <c r="R2" s="18" t="s">
        <v>55</v>
      </c>
      <c r="S2" s="18" t="s">
        <v>57</v>
      </c>
      <c r="T2" s="18" t="s">
        <v>59</v>
      </c>
      <c r="U2" s="18" t="s">
        <v>61</v>
      </c>
      <c r="V2" s="18" t="s">
        <v>63</v>
      </c>
      <c r="W2" s="18" t="s">
        <v>65</v>
      </c>
      <c r="X2" s="18" t="s">
        <v>67</v>
      </c>
      <c r="Y2" s="18" t="s">
        <v>69</v>
      </c>
      <c r="Z2" s="18" t="s">
        <v>71</v>
      </c>
      <c r="AA2" s="18" t="s">
        <v>73</v>
      </c>
      <c r="AB2" s="18" t="s">
        <v>75</v>
      </c>
      <c r="AC2" s="18" t="s">
        <v>77</v>
      </c>
      <c r="AD2" s="18" t="s">
        <v>79</v>
      </c>
      <c r="AE2" s="18" t="s">
        <v>81</v>
      </c>
      <c r="AF2" s="18" t="s">
        <v>83</v>
      </c>
      <c r="AG2" s="18" t="s">
        <v>85</v>
      </c>
      <c r="AH2" s="18" t="s">
        <v>87</v>
      </c>
      <c r="AI2" s="18" t="s">
        <v>89</v>
      </c>
      <c r="AJ2" s="18" t="s">
        <v>91</v>
      </c>
      <c r="AK2" s="18" t="s">
        <v>93</v>
      </c>
      <c r="AL2" s="18" t="s">
        <v>95</v>
      </c>
      <c r="AM2" s="18" t="s">
        <v>97</v>
      </c>
      <c r="AN2" s="18" t="s">
        <v>99</v>
      </c>
      <c r="AO2" s="18" t="s">
        <v>101</v>
      </c>
      <c r="AP2" s="18" t="s">
        <v>103</v>
      </c>
      <c r="AQ2" s="18" t="s">
        <v>105</v>
      </c>
      <c r="AR2" s="18" t="s">
        <v>107</v>
      </c>
      <c r="AS2" s="18" t="s">
        <v>109</v>
      </c>
      <c r="AT2" s="18" t="s">
        <v>111</v>
      </c>
      <c r="AU2" s="18" t="s">
        <v>113</v>
      </c>
      <c r="AV2" s="18" t="s">
        <v>115</v>
      </c>
      <c r="AW2" s="18" t="s">
        <v>118</v>
      </c>
      <c r="AX2" s="18" t="s">
        <v>120</v>
      </c>
      <c r="AY2" s="18" t="s">
        <v>122</v>
      </c>
      <c r="AZ2" s="18" t="s">
        <v>124</v>
      </c>
      <c r="BA2" s="18" t="s">
        <v>126</v>
      </c>
      <c r="BB2" s="18" t="s">
        <v>128</v>
      </c>
      <c r="BC2" s="18" t="s">
        <v>130</v>
      </c>
      <c r="BD2" s="18" t="s">
        <v>132</v>
      </c>
      <c r="BE2" s="18" t="s">
        <v>134</v>
      </c>
      <c r="BF2" s="18" t="s">
        <v>136</v>
      </c>
      <c r="BG2" s="18" t="s">
        <v>138</v>
      </c>
      <c r="BH2" s="18" t="s">
        <v>140</v>
      </c>
      <c r="BI2" s="18" t="s">
        <v>142</v>
      </c>
      <c r="BJ2" s="18" t="s">
        <v>144</v>
      </c>
      <c r="BK2" s="18" t="s">
        <v>146</v>
      </c>
      <c r="BL2" s="18" t="s">
        <v>148</v>
      </c>
      <c r="BM2" s="18" t="s">
        <v>150</v>
      </c>
      <c r="BN2" s="18" t="s">
        <v>152</v>
      </c>
      <c r="BO2" s="18" t="s">
        <v>154</v>
      </c>
      <c r="BP2" s="18" t="s">
        <v>156</v>
      </c>
      <c r="BQ2" s="18" t="s">
        <v>158</v>
      </c>
      <c r="BR2" s="18" t="s">
        <v>160</v>
      </c>
      <c r="BS2" s="18" t="s">
        <v>162</v>
      </c>
      <c r="BT2" s="18" t="s">
        <v>164</v>
      </c>
      <c r="BU2" s="18" t="s">
        <v>166</v>
      </c>
      <c r="BV2" s="18" t="s">
        <v>168</v>
      </c>
      <c r="BW2" s="18" t="s">
        <v>170</v>
      </c>
      <c r="BX2" s="18" t="s">
        <v>172</v>
      </c>
      <c r="BY2" s="18" t="s">
        <v>174</v>
      </c>
      <c r="BZ2" s="18" t="s">
        <v>176</v>
      </c>
      <c r="CA2" s="18" t="s">
        <v>178</v>
      </c>
    </row>
    <row r="3" spans="1:79">
      <c r="A3" s="16"/>
      <c r="B3" s="16"/>
      <c r="C3" s="16"/>
      <c r="D3" s="16"/>
      <c r="E3" s="16"/>
      <c r="F3" s="16"/>
      <c r="G3" s="16"/>
      <c r="H3" s="19" t="s">
        <v>35</v>
      </c>
      <c r="I3" s="19" t="s">
        <v>35</v>
      </c>
      <c r="J3" s="19" t="s">
        <v>35</v>
      </c>
      <c r="K3" s="19" t="s">
        <v>35</v>
      </c>
      <c r="L3" s="19" t="s">
        <v>35</v>
      </c>
      <c r="M3" s="19" t="s">
        <v>35</v>
      </c>
      <c r="N3" s="19" t="s">
        <v>35</v>
      </c>
      <c r="O3" s="19" t="s">
        <v>35</v>
      </c>
      <c r="P3" s="19" t="s">
        <v>35</v>
      </c>
      <c r="Q3" s="19" t="s">
        <v>35</v>
      </c>
      <c r="R3" s="19" t="s">
        <v>35</v>
      </c>
      <c r="S3" s="19" t="s">
        <v>35</v>
      </c>
      <c r="T3" s="19" t="s">
        <v>35</v>
      </c>
      <c r="U3" s="19" t="s">
        <v>35</v>
      </c>
      <c r="V3" s="19" t="s">
        <v>35</v>
      </c>
      <c r="W3" s="19" t="s">
        <v>35</v>
      </c>
      <c r="X3" s="19" t="s">
        <v>35</v>
      </c>
      <c r="Y3" s="19" t="s">
        <v>35</v>
      </c>
      <c r="Z3" s="19" t="s">
        <v>35</v>
      </c>
      <c r="AA3" s="19" t="s">
        <v>35</v>
      </c>
      <c r="AB3" s="19" t="s">
        <v>35</v>
      </c>
      <c r="AC3" s="19" t="s">
        <v>35</v>
      </c>
      <c r="AD3" s="19" t="s">
        <v>35</v>
      </c>
      <c r="AE3" s="19" t="s">
        <v>35</v>
      </c>
      <c r="AF3" s="19" t="s">
        <v>35</v>
      </c>
      <c r="AG3" s="19" t="s">
        <v>35</v>
      </c>
      <c r="AH3" s="19" t="s">
        <v>35</v>
      </c>
      <c r="AI3" s="19" t="s">
        <v>35</v>
      </c>
      <c r="AJ3" s="19" t="s">
        <v>35</v>
      </c>
      <c r="AK3" s="19" t="s">
        <v>35</v>
      </c>
      <c r="AL3" s="19" t="s">
        <v>35</v>
      </c>
      <c r="AM3" s="19" t="s">
        <v>35</v>
      </c>
      <c r="AN3" s="19" t="s">
        <v>35</v>
      </c>
      <c r="AO3" s="19" t="s">
        <v>35</v>
      </c>
      <c r="AP3" s="19" t="s">
        <v>35</v>
      </c>
      <c r="AQ3" s="19" t="s">
        <v>35</v>
      </c>
      <c r="AR3" s="19" t="s">
        <v>35</v>
      </c>
      <c r="AS3" s="19" t="s">
        <v>35</v>
      </c>
      <c r="AT3" s="19" t="s">
        <v>35</v>
      </c>
      <c r="AU3" s="19" t="s">
        <v>35</v>
      </c>
      <c r="AV3" s="20" t="s">
        <v>116</v>
      </c>
      <c r="AW3" s="20" t="s">
        <v>116</v>
      </c>
      <c r="AX3" s="20" t="s">
        <v>116</v>
      </c>
      <c r="AY3" s="20" t="s">
        <v>116</v>
      </c>
      <c r="AZ3" s="20" t="s">
        <v>116</v>
      </c>
      <c r="BA3" s="20" t="s">
        <v>116</v>
      </c>
      <c r="BB3" s="20" t="s">
        <v>116</v>
      </c>
      <c r="BC3" s="20" t="s">
        <v>116</v>
      </c>
      <c r="BD3" s="20" t="s">
        <v>116</v>
      </c>
      <c r="BE3" s="20" t="s">
        <v>116</v>
      </c>
      <c r="BF3" s="20" t="s">
        <v>116</v>
      </c>
      <c r="BG3" s="20" t="s">
        <v>116</v>
      </c>
      <c r="BH3" s="20" t="s">
        <v>116</v>
      </c>
      <c r="BI3" s="20" t="s">
        <v>116</v>
      </c>
      <c r="BJ3" s="20" t="s">
        <v>116</v>
      </c>
      <c r="BK3" s="20" t="s">
        <v>116</v>
      </c>
      <c r="BL3" s="20" t="s">
        <v>116</v>
      </c>
      <c r="BM3" s="20" t="s">
        <v>116</v>
      </c>
      <c r="BN3" s="20" t="s">
        <v>116</v>
      </c>
      <c r="BO3" s="20" t="s">
        <v>116</v>
      </c>
      <c r="BP3" s="20" t="s">
        <v>116</v>
      </c>
      <c r="BQ3" s="20" t="s">
        <v>116</v>
      </c>
      <c r="BR3" s="20" t="s">
        <v>116</v>
      </c>
      <c r="BS3" s="20" t="s">
        <v>116</v>
      </c>
      <c r="BT3" s="20" t="s">
        <v>116</v>
      </c>
      <c r="BU3" s="20" t="s">
        <v>116</v>
      </c>
      <c r="BV3" s="20" t="s">
        <v>116</v>
      </c>
      <c r="BW3" s="20" t="s">
        <v>116</v>
      </c>
      <c r="BX3" s="20" t="s">
        <v>116</v>
      </c>
      <c r="BY3" s="20" t="s">
        <v>116</v>
      </c>
      <c r="BZ3" s="20" t="s">
        <v>116</v>
      </c>
      <c r="CA3" s="20" t="s">
        <v>116</v>
      </c>
    </row>
    <row r="4" spans="1:79">
      <c r="A4" s="22" t="s">
        <v>19</v>
      </c>
      <c r="B4" s="22" t="s">
        <v>179</v>
      </c>
      <c r="C4" s="22" t="s">
        <v>180</v>
      </c>
      <c r="D4" s="22" t="s">
        <v>181</v>
      </c>
      <c r="E4" s="22">
        <v>30</v>
      </c>
      <c r="F4" s="22">
        <v>1</v>
      </c>
      <c r="G4" s="22">
        <v>137.1</v>
      </c>
      <c r="H4" s="22">
        <v>720</v>
      </c>
      <c r="I4" s="22">
        <v>714</v>
      </c>
      <c r="J4" s="22">
        <v>692.3</v>
      </c>
      <c r="K4" s="22">
        <v>13.3</v>
      </c>
      <c r="L4" s="22">
        <v>97889</v>
      </c>
      <c r="M4" s="22">
        <v>98712</v>
      </c>
      <c r="N4" s="22">
        <v>88515</v>
      </c>
      <c r="O4" s="22">
        <v>89648</v>
      </c>
      <c r="P4" s="22">
        <v>87087</v>
      </c>
      <c r="Q4" s="22">
        <v>95600</v>
      </c>
      <c r="R4" s="22">
        <v>19579</v>
      </c>
      <c r="S4" s="22">
        <v>17553</v>
      </c>
      <c r="T4" s="22">
        <v>1823</v>
      </c>
      <c r="U4" s="22">
        <v>2</v>
      </c>
      <c r="V4" s="22">
        <v>7.1</v>
      </c>
      <c r="W4" s="22">
        <v>37</v>
      </c>
      <c r="X4" s="22">
        <v>36</v>
      </c>
      <c r="Y4" s="22">
        <v>251985.8</v>
      </c>
      <c r="Z4" s="22">
        <v>62832</v>
      </c>
      <c r="AA4" s="22">
        <v>1091.7</v>
      </c>
      <c r="AB4" s="22">
        <v>167244</v>
      </c>
      <c r="AC4" s="22">
        <v>61316</v>
      </c>
      <c r="AD4" s="22">
        <v>311042</v>
      </c>
      <c r="AE4" s="22">
        <v>3223</v>
      </c>
      <c r="AF4" s="22">
        <v>1</v>
      </c>
      <c r="AG4" s="22">
        <v>79000</v>
      </c>
      <c r="AH4" s="22">
        <v>0</v>
      </c>
      <c r="AI4" s="22">
        <v>1</v>
      </c>
      <c r="AJ4" s="22">
        <v>10</v>
      </c>
      <c r="AK4" s="22">
        <v>0</v>
      </c>
      <c r="AL4" s="22">
        <v>0</v>
      </c>
      <c r="AM4" s="22">
        <v>0</v>
      </c>
      <c r="AN4" s="22">
        <v>14</v>
      </c>
      <c r="AO4" s="22">
        <v>4</v>
      </c>
      <c r="AP4" s="22">
        <v>0</v>
      </c>
      <c r="AQ4" s="22">
        <v>0</v>
      </c>
      <c r="AR4" s="22">
        <v>0</v>
      </c>
      <c r="AS4" s="22">
        <v>158</v>
      </c>
      <c r="AT4" s="22">
        <v>9</v>
      </c>
      <c r="AU4" s="22">
        <v>311</v>
      </c>
      <c r="AV4" s="22">
        <v>87409</v>
      </c>
      <c r="AW4" s="22">
        <v>89254</v>
      </c>
      <c r="AX4" s="22">
        <v>329486.5</v>
      </c>
      <c r="AY4" s="22">
        <v>335595</v>
      </c>
      <c r="AZ4" s="22">
        <v>15168.7</v>
      </c>
      <c r="BA4" s="22">
        <v>11886.3</v>
      </c>
      <c r="BB4" s="22">
        <v>209</v>
      </c>
      <c r="BC4" s="22">
        <v>195</v>
      </c>
      <c r="BD4" s="22">
        <v>95742</v>
      </c>
      <c r="BE4" s="22">
        <v>92606</v>
      </c>
      <c r="BF4" s="22">
        <v>1350</v>
      </c>
      <c r="BG4" s="22">
        <v>588</v>
      </c>
      <c r="BH4" s="22">
        <v>583</v>
      </c>
      <c r="BI4" s="22">
        <v>131922.8</v>
      </c>
      <c r="BJ4" s="22">
        <v>40636.9</v>
      </c>
      <c r="BK4" s="22">
        <v>0</v>
      </c>
      <c r="BL4" s="22">
        <v>0</v>
      </c>
      <c r="BM4" s="22">
        <v>1</v>
      </c>
      <c r="BN4" s="22">
        <v>0</v>
      </c>
      <c r="BO4" s="22">
        <v>1</v>
      </c>
      <c r="BP4" s="22">
        <v>0</v>
      </c>
      <c r="BQ4" s="22">
        <v>0</v>
      </c>
      <c r="BR4" s="22">
        <v>0</v>
      </c>
      <c r="BS4" s="22">
        <v>0</v>
      </c>
      <c r="BT4" s="22">
        <v>0</v>
      </c>
      <c r="BU4" s="22">
        <v>0</v>
      </c>
      <c r="BV4" s="22">
        <v>99</v>
      </c>
      <c r="BW4" s="22">
        <v>87645</v>
      </c>
      <c r="BX4" s="22">
        <v>87637</v>
      </c>
      <c r="BY4" s="22">
        <v>24380601</v>
      </c>
      <c r="BZ4" s="22">
        <v>97889</v>
      </c>
      <c r="CA4" s="22">
        <v>1620</v>
      </c>
    </row>
    <row r="5" spans="1:79">
      <c r="A5" s="22" t="s">
        <v>19</v>
      </c>
      <c r="B5" s="22" t="s">
        <v>179</v>
      </c>
      <c r="C5" s="22" t="s">
        <v>180</v>
      </c>
      <c r="D5" s="22" t="s">
        <v>182</v>
      </c>
      <c r="E5" s="22">
        <v>31</v>
      </c>
      <c r="F5" s="22">
        <v>2</v>
      </c>
      <c r="G5" s="22">
        <v>137.1</v>
      </c>
      <c r="H5" s="22">
        <v>744</v>
      </c>
      <c r="I5" s="22">
        <v>744</v>
      </c>
      <c r="J5" s="22">
        <v>702.5</v>
      </c>
      <c r="K5" s="22">
        <v>19.6</v>
      </c>
      <c r="L5" s="22">
        <v>102002</v>
      </c>
      <c r="M5" s="22">
        <v>102002</v>
      </c>
      <c r="N5" s="22">
        <v>88139</v>
      </c>
      <c r="O5" s="22">
        <v>84940</v>
      </c>
      <c r="P5" s="22">
        <v>80872</v>
      </c>
      <c r="Q5" s="22">
        <v>86252</v>
      </c>
      <c r="R5" s="22">
        <v>17739</v>
      </c>
      <c r="S5" s="22">
        <v>15002</v>
      </c>
      <c r="T5" s="22">
        <v>2687</v>
      </c>
      <c r="U5" s="22">
        <v>3</v>
      </c>
      <c r="V5" s="22">
        <v>15.5</v>
      </c>
      <c r="W5" s="22">
        <v>48</v>
      </c>
      <c r="X5" s="22">
        <v>47</v>
      </c>
      <c r="Y5" s="22">
        <v>272778.7</v>
      </c>
      <c r="Z5" s="22">
        <v>79959.60000000001</v>
      </c>
      <c r="AA5" s="22">
        <v>1465.4</v>
      </c>
      <c r="AB5" s="22">
        <v>205726</v>
      </c>
      <c r="AC5" s="22">
        <v>53724</v>
      </c>
      <c r="AD5" s="22">
        <v>252523</v>
      </c>
      <c r="AE5" s="22">
        <v>5217</v>
      </c>
      <c r="AF5" s="22">
        <v>1</v>
      </c>
      <c r="AG5" s="22">
        <v>66000</v>
      </c>
      <c r="AH5" s="22">
        <v>0</v>
      </c>
      <c r="AI5" s="22">
        <v>0</v>
      </c>
      <c r="AJ5" s="22">
        <v>4</v>
      </c>
      <c r="AK5" s="22">
        <v>0</v>
      </c>
      <c r="AL5" s="22">
        <v>0</v>
      </c>
      <c r="AM5" s="22">
        <v>0</v>
      </c>
      <c r="AN5" s="22">
        <v>11</v>
      </c>
      <c r="AO5" s="22">
        <v>2</v>
      </c>
      <c r="AP5" s="22">
        <v>3</v>
      </c>
      <c r="AQ5" s="22">
        <v>3</v>
      </c>
      <c r="AR5" s="22">
        <v>0</v>
      </c>
      <c r="AS5" s="22">
        <v>256</v>
      </c>
      <c r="AT5" s="22">
        <v>10</v>
      </c>
      <c r="AU5" s="22">
        <v>281</v>
      </c>
      <c r="AV5" s="22">
        <v>81067</v>
      </c>
      <c r="AW5" s="22">
        <v>87363</v>
      </c>
      <c r="AX5" s="22">
        <v>309234.4</v>
      </c>
      <c r="AY5" s="22">
        <v>328484.9</v>
      </c>
      <c r="AZ5" s="22">
        <v>17277.2</v>
      </c>
      <c r="BA5" s="22">
        <v>11827.2</v>
      </c>
      <c r="BB5" s="22">
        <v>166</v>
      </c>
      <c r="BC5" s="22">
        <v>151</v>
      </c>
      <c r="BD5" s="22">
        <v>85077</v>
      </c>
      <c r="BE5" s="22">
        <v>81619</v>
      </c>
      <c r="BF5" s="22">
        <v>587</v>
      </c>
      <c r="BG5" s="22">
        <v>868</v>
      </c>
      <c r="BH5" s="22">
        <v>870</v>
      </c>
      <c r="BI5" s="22">
        <v>150305.9</v>
      </c>
      <c r="BJ5" s="22">
        <v>52546</v>
      </c>
      <c r="BK5" s="22">
        <v>0</v>
      </c>
      <c r="BL5" s="22">
        <v>1</v>
      </c>
      <c r="BM5" s="22">
        <v>0</v>
      </c>
      <c r="BN5" s="22">
        <v>0</v>
      </c>
      <c r="BO5" s="22">
        <v>0</v>
      </c>
      <c r="BP5" s="22">
        <v>0</v>
      </c>
      <c r="BQ5" s="22">
        <v>0</v>
      </c>
      <c r="BR5" s="22">
        <v>0</v>
      </c>
      <c r="BS5" s="22">
        <v>0</v>
      </c>
      <c r="BT5" s="22">
        <v>0</v>
      </c>
      <c r="BU5" s="22">
        <v>0</v>
      </c>
      <c r="BV5" s="22">
        <v>99</v>
      </c>
      <c r="BW5" s="22">
        <v>89736</v>
      </c>
      <c r="BX5" s="22">
        <v>91812</v>
      </c>
      <c r="BY5" s="22">
        <v>30306703</v>
      </c>
      <c r="BZ5" s="22">
        <v>102002</v>
      </c>
      <c r="CA5" s="22">
        <v>2913</v>
      </c>
    </row>
    <row r="6" spans="1:79">
      <c r="A6" s="22" t="s">
        <v>19</v>
      </c>
      <c r="B6" s="22" t="s">
        <v>179</v>
      </c>
      <c r="C6" s="22" t="s">
        <v>180</v>
      </c>
      <c r="D6" s="22" t="s">
        <v>183</v>
      </c>
      <c r="E6" s="22">
        <v>30</v>
      </c>
      <c r="F6" s="22">
        <v>3</v>
      </c>
      <c r="G6" s="22">
        <v>137.1</v>
      </c>
      <c r="H6" s="22">
        <v>720</v>
      </c>
      <c r="I6" s="22">
        <v>720</v>
      </c>
      <c r="J6" s="22">
        <v>681.5</v>
      </c>
      <c r="K6" s="22">
        <v>18.6</v>
      </c>
      <c r="L6" s="22">
        <v>98712</v>
      </c>
      <c r="M6" s="22">
        <v>98712</v>
      </c>
      <c r="N6" s="22">
        <v>88801</v>
      </c>
      <c r="O6" s="22">
        <v>84328</v>
      </c>
      <c r="P6" s="22">
        <v>81129</v>
      </c>
      <c r="Q6" s="22">
        <v>86263</v>
      </c>
      <c r="R6" s="22">
        <v>18895</v>
      </c>
      <c r="S6" s="22">
        <v>16380</v>
      </c>
      <c r="T6" s="22">
        <v>2550</v>
      </c>
      <c r="U6" s="22">
        <v>2</v>
      </c>
      <c r="V6" s="22">
        <v>14.7</v>
      </c>
      <c r="W6" s="22">
        <v>48</v>
      </c>
      <c r="X6" s="22">
        <v>45</v>
      </c>
      <c r="Y6" s="22">
        <v>269800.1</v>
      </c>
      <c r="Z6" s="22">
        <v>63241.6</v>
      </c>
      <c r="AA6" s="22">
        <v>1103.4</v>
      </c>
      <c r="AB6" s="22">
        <v>166424</v>
      </c>
      <c r="AC6" s="22">
        <v>60010</v>
      </c>
      <c r="AD6" s="22">
        <v>243788</v>
      </c>
      <c r="AE6" s="22">
        <v>7297</v>
      </c>
      <c r="AF6" s="22">
        <v>2</v>
      </c>
      <c r="AG6" s="22">
        <v>91000</v>
      </c>
      <c r="AH6" s="22">
        <v>1</v>
      </c>
      <c r="AI6" s="22">
        <v>0</v>
      </c>
      <c r="AJ6" s="22">
        <v>10</v>
      </c>
      <c r="AK6" s="22">
        <v>0</v>
      </c>
      <c r="AL6" s="22">
        <v>1</v>
      </c>
      <c r="AM6" s="22">
        <v>0</v>
      </c>
      <c r="AN6" s="22">
        <v>5</v>
      </c>
      <c r="AO6" s="22">
        <v>1</v>
      </c>
      <c r="AP6" s="22">
        <v>0</v>
      </c>
      <c r="AQ6" s="22">
        <v>0</v>
      </c>
      <c r="AR6" s="22">
        <v>0</v>
      </c>
      <c r="AS6" s="22">
        <v>148</v>
      </c>
      <c r="AT6" s="22">
        <v>11</v>
      </c>
      <c r="AU6" s="22">
        <v>251</v>
      </c>
      <c r="AV6" s="22">
        <v>78859</v>
      </c>
      <c r="AW6" s="22">
        <v>89179</v>
      </c>
      <c r="AX6" s="22">
        <v>300728.2</v>
      </c>
      <c r="AY6" s="22">
        <v>335313</v>
      </c>
      <c r="AZ6" s="22">
        <v>16758.3</v>
      </c>
      <c r="BA6" s="22">
        <v>11531.2</v>
      </c>
      <c r="BB6" s="22">
        <v>179</v>
      </c>
      <c r="BC6" s="22">
        <v>167</v>
      </c>
      <c r="BD6" s="22">
        <v>87881</v>
      </c>
      <c r="BE6" s="22">
        <v>85157</v>
      </c>
      <c r="BF6" s="22">
        <v>708</v>
      </c>
      <c r="BG6" s="22">
        <v>980</v>
      </c>
      <c r="BH6" s="22">
        <v>979</v>
      </c>
      <c r="BI6" s="22">
        <v>148313</v>
      </c>
      <c r="BJ6" s="22">
        <v>46780.1</v>
      </c>
      <c r="BK6" s="22">
        <v>1</v>
      </c>
      <c r="BL6" s="22">
        <v>0</v>
      </c>
      <c r="BM6" s="22">
        <v>0</v>
      </c>
      <c r="BN6" s="22">
        <v>0</v>
      </c>
      <c r="BO6" s="22">
        <v>1</v>
      </c>
      <c r="BP6" s="22">
        <v>0</v>
      </c>
      <c r="BQ6" s="22">
        <v>0</v>
      </c>
      <c r="BR6" s="22">
        <v>0</v>
      </c>
      <c r="BS6" s="22">
        <v>0</v>
      </c>
      <c r="BT6" s="22">
        <v>0</v>
      </c>
      <c r="BU6" s="22">
        <v>0</v>
      </c>
      <c r="BV6" s="22">
        <v>99</v>
      </c>
      <c r="BW6" s="22">
        <v>89319</v>
      </c>
      <c r="BX6" s="22">
        <v>90196</v>
      </c>
      <c r="BY6" s="22">
        <v>26705815</v>
      </c>
      <c r="BZ6" s="22">
        <v>98712</v>
      </c>
      <c r="CA6" s="22">
        <v>2398</v>
      </c>
    </row>
    <row r="7" spans="1:79">
      <c r="A7" s="22" t="s">
        <v>19</v>
      </c>
      <c r="B7" s="22" t="s">
        <v>179</v>
      </c>
      <c r="C7" s="22" t="s">
        <v>180</v>
      </c>
      <c r="D7" s="22" t="s">
        <v>184</v>
      </c>
      <c r="E7" s="22">
        <v>31</v>
      </c>
      <c r="F7" s="22">
        <v>4</v>
      </c>
      <c r="G7" s="22">
        <v>137.1</v>
      </c>
      <c r="H7" s="22">
        <v>744</v>
      </c>
      <c r="I7" s="22">
        <v>741</v>
      </c>
      <c r="J7" s="22">
        <v>701.6</v>
      </c>
      <c r="K7" s="22">
        <v>27.2</v>
      </c>
      <c r="L7" s="22">
        <v>101591</v>
      </c>
      <c r="M7" s="22">
        <v>102002</v>
      </c>
      <c r="N7" s="22">
        <v>88152</v>
      </c>
      <c r="O7" s="22">
        <v>86711</v>
      </c>
      <c r="P7" s="22">
        <v>83254</v>
      </c>
      <c r="Q7" s="22">
        <v>94209</v>
      </c>
      <c r="R7" s="22">
        <v>21264</v>
      </c>
      <c r="S7" s="22">
        <v>19441</v>
      </c>
      <c r="T7" s="22">
        <v>3729</v>
      </c>
      <c r="U7" s="22">
        <v>4</v>
      </c>
      <c r="V7" s="22">
        <v>21.3</v>
      </c>
      <c r="W7" s="22">
        <v>55</v>
      </c>
      <c r="X7" s="22">
        <v>52</v>
      </c>
      <c r="Y7" s="22">
        <v>221284.2</v>
      </c>
      <c r="Z7" s="22">
        <v>64810.6</v>
      </c>
      <c r="AA7" s="22">
        <v>1144.9</v>
      </c>
      <c r="AB7" s="22">
        <v>180484</v>
      </c>
      <c r="AC7" s="22">
        <v>54600</v>
      </c>
      <c r="AD7" s="22">
        <v>243753</v>
      </c>
      <c r="AE7" s="22">
        <v>5312</v>
      </c>
      <c r="AF7" s="22">
        <v>0</v>
      </c>
      <c r="AG7" s="22">
        <v>76000</v>
      </c>
      <c r="AH7" s="22">
        <v>1</v>
      </c>
      <c r="AI7" s="22">
        <v>0</v>
      </c>
      <c r="AJ7" s="22">
        <v>9</v>
      </c>
      <c r="AK7" s="22">
        <v>0</v>
      </c>
      <c r="AL7" s="22">
        <v>1</v>
      </c>
      <c r="AM7" s="22">
        <v>0</v>
      </c>
      <c r="AN7" s="22">
        <v>4</v>
      </c>
      <c r="AO7" s="22">
        <v>1</v>
      </c>
      <c r="AP7" s="22">
        <v>3</v>
      </c>
      <c r="AQ7" s="22">
        <v>3</v>
      </c>
      <c r="AR7" s="22">
        <v>1</v>
      </c>
      <c r="AS7" s="22">
        <v>198</v>
      </c>
      <c r="AT7" s="22">
        <v>9</v>
      </c>
      <c r="AU7" s="22">
        <v>221</v>
      </c>
      <c r="AV7" s="22">
        <v>84466</v>
      </c>
      <c r="AW7" s="22">
        <v>87398</v>
      </c>
      <c r="AX7" s="22">
        <v>321422</v>
      </c>
      <c r="AY7" s="22">
        <v>328616.5</v>
      </c>
      <c r="AZ7" s="22">
        <v>11354.6</v>
      </c>
      <c r="BA7" s="22">
        <v>11607.9</v>
      </c>
      <c r="BB7" s="22">
        <v>300</v>
      </c>
      <c r="BC7" s="22">
        <v>281</v>
      </c>
      <c r="BD7" s="22">
        <v>96576</v>
      </c>
      <c r="BE7" s="22">
        <v>93033</v>
      </c>
      <c r="BF7" s="22">
        <v>1429</v>
      </c>
      <c r="BG7" s="22">
        <v>742</v>
      </c>
      <c r="BH7" s="22">
        <v>772</v>
      </c>
      <c r="BI7" s="22">
        <v>112971</v>
      </c>
      <c r="BJ7" s="22">
        <v>43971.6</v>
      </c>
      <c r="BK7" s="22">
        <v>0</v>
      </c>
      <c r="BL7" s="22">
        <v>0</v>
      </c>
      <c r="BM7" s="22">
        <v>0</v>
      </c>
      <c r="BN7" s="22">
        <v>0</v>
      </c>
      <c r="BO7" s="22">
        <v>0</v>
      </c>
      <c r="BP7" s="22">
        <v>0</v>
      </c>
      <c r="BQ7" s="22">
        <v>1</v>
      </c>
      <c r="BR7" s="22">
        <v>0</v>
      </c>
      <c r="BS7" s="22">
        <v>0</v>
      </c>
      <c r="BT7" s="22">
        <v>0</v>
      </c>
      <c r="BU7" s="22">
        <v>0</v>
      </c>
      <c r="BV7" s="22">
        <v>99</v>
      </c>
      <c r="BW7" s="22">
        <v>87292</v>
      </c>
      <c r="BX7" s="22">
        <v>87138</v>
      </c>
      <c r="BY7" s="22">
        <v>23937559</v>
      </c>
      <c r="BZ7" s="22">
        <v>101591</v>
      </c>
      <c r="CA7" s="22">
        <v>3863</v>
      </c>
    </row>
    <row r="8" spans="1:79">
      <c r="A8" s="22" t="s">
        <v>19</v>
      </c>
      <c r="B8" s="22" t="s">
        <v>179</v>
      </c>
      <c r="C8" s="22" t="s">
        <v>180</v>
      </c>
      <c r="D8" s="22" t="s">
        <v>185</v>
      </c>
      <c r="E8" s="22">
        <v>31</v>
      </c>
      <c r="F8" s="22">
        <v>5</v>
      </c>
      <c r="G8" s="22">
        <v>137.1</v>
      </c>
      <c r="H8" s="22">
        <v>744</v>
      </c>
      <c r="I8" s="22">
        <v>744</v>
      </c>
      <c r="J8" s="22">
        <v>710.7</v>
      </c>
      <c r="K8" s="22">
        <v>19.1</v>
      </c>
      <c r="L8" s="22">
        <v>102002</v>
      </c>
      <c r="M8" s="22">
        <v>102002</v>
      </c>
      <c r="N8" s="22">
        <v>91424</v>
      </c>
      <c r="O8" s="22">
        <v>90032</v>
      </c>
      <c r="P8" s="22">
        <v>87527</v>
      </c>
      <c r="Q8" s="22">
        <v>94670</v>
      </c>
      <c r="R8" s="22">
        <v>19426</v>
      </c>
      <c r="S8" s="22">
        <v>17234</v>
      </c>
      <c r="T8" s="22">
        <v>2619</v>
      </c>
      <c r="U8" s="22">
        <v>2</v>
      </c>
      <c r="V8" s="22">
        <v>14</v>
      </c>
      <c r="W8" s="22">
        <v>32</v>
      </c>
      <c r="X8" s="22">
        <v>31</v>
      </c>
      <c r="Y8" s="22">
        <v>268254.7</v>
      </c>
      <c r="Z8" s="22">
        <v>78893.89999999999</v>
      </c>
      <c r="AA8" s="22">
        <v>1065.3</v>
      </c>
      <c r="AB8" s="22">
        <v>192091</v>
      </c>
      <c r="AC8" s="22">
        <v>54889</v>
      </c>
      <c r="AD8" s="22">
        <v>306311</v>
      </c>
      <c r="AE8" s="22">
        <v>1480</v>
      </c>
      <c r="AF8" s="22">
        <v>2</v>
      </c>
      <c r="AG8" s="22">
        <v>56000</v>
      </c>
      <c r="AH8" s="22">
        <v>1</v>
      </c>
      <c r="AI8" s="22">
        <v>0</v>
      </c>
      <c r="AJ8" s="22">
        <v>6</v>
      </c>
      <c r="AK8" s="22">
        <v>0</v>
      </c>
      <c r="AL8" s="22">
        <v>0</v>
      </c>
      <c r="AM8" s="22">
        <v>0</v>
      </c>
      <c r="AN8" s="22">
        <v>5</v>
      </c>
      <c r="AO8" s="22">
        <v>0</v>
      </c>
      <c r="AP8" s="22">
        <v>1</v>
      </c>
      <c r="AQ8" s="22">
        <v>1</v>
      </c>
      <c r="AR8" s="22">
        <v>2</v>
      </c>
      <c r="AS8" s="22">
        <v>121</v>
      </c>
      <c r="AT8" s="22">
        <v>10</v>
      </c>
      <c r="AU8" s="22">
        <v>191</v>
      </c>
      <c r="AV8" s="22">
        <v>86793</v>
      </c>
      <c r="AW8" s="22">
        <v>91102</v>
      </c>
      <c r="AX8" s="22">
        <v>330981.6</v>
      </c>
      <c r="AY8" s="22">
        <v>342543.5</v>
      </c>
      <c r="AZ8" s="22">
        <v>16048.6</v>
      </c>
      <c r="BA8" s="22">
        <v>11694.1</v>
      </c>
      <c r="BB8" s="22">
        <v>169</v>
      </c>
      <c r="BC8" s="22">
        <v>156</v>
      </c>
      <c r="BD8" s="22">
        <v>95196</v>
      </c>
      <c r="BE8" s="22">
        <v>92043</v>
      </c>
      <c r="BF8" s="22">
        <v>1181</v>
      </c>
      <c r="BG8" s="22">
        <v>868</v>
      </c>
      <c r="BH8" s="22">
        <v>855</v>
      </c>
      <c r="BI8" s="22">
        <v>154797</v>
      </c>
      <c r="BJ8" s="22">
        <v>58229.3</v>
      </c>
      <c r="BK8" s="22">
        <v>0</v>
      </c>
      <c r="BL8" s="22">
        <v>0</v>
      </c>
      <c r="BM8" s="22">
        <v>0</v>
      </c>
      <c r="BN8" s="22">
        <v>0</v>
      </c>
      <c r="BO8" s="22">
        <v>1</v>
      </c>
      <c r="BP8" s="22">
        <v>0</v>
      </c>
      <c r="BQ8" s="22">
        <v>0</v>
      </c>
      <c r="BR8" s="22">
        <v>0</v>
      </c>
      <c r="BS8" s="22">
        <v>0</v>
      </c>
      <c r="BT8" s="22">
        <v>0</v>
      </c>
      <c r="BU8" s="22">
        <v>0</v>
      </c>
      <c r="BV8" s="22">
        <v>99</v>
      </c>
      <c r="BW8" s="22">
        <v>92975</v>
      </c>
      <c r="BX8" s="22">
        <v>93639</v>
      </c>
      <c r="BY8" s="22">
        <v>35960460</v>
      </c>
      <c r="BZ8" s="22">
        <v>102002</v>
      </c>
      <c r="CA8" s="22">
        <v>2699</v>
      </c>
    </row>
    <row r="9" spans="1:79">
      <c r="A9" s="22" t="s">
        <v>19</v>
      </c>
      <c r="B9" s="22" t="s">
        <v>179</v>
      </c>
      <c r="C9" s="22" t="s">
        <v>180</v>
      </c>
      <c r="D9" s="22" t="s">
        <v>186</v>
      </c>
      <c r="E9" s="22">
        <v>30</v>
      </c>
      <c r="F9" s="22">
        <v>6</v>
      </c>
      <c r="G9" s="22">
        <v>137.1</v>
      </c>
      <c r="H9" s="22">
        <v>720</v>
      </c>
      <c r="I9" s="22">
        <v>711</v>
      </c>
      <c r="J9" s="22">
        <v>664.5</v>
      </c>
      <c r="K9" s="22">
        <v>30.2</v>
      </c>
      <c r="L9" s="22">
        <v>97478</v>
      </c>
      <c r="M9" s="22">
        <v>98712</v>
      </c>
      <c r="N9" s="22">
        <v>85234</v>
      </c>
      <c r="O9" s="22">
        <v>84182</v>
      </c>
      <c r="P9" s="22">
        <v>81854</v>
      </c>
      <c r="Q9" s="22">
        <v>89479</v>
      </c>
      <c r="R9" s="22">
        <v>19996</v>
      </c>
      <c r="S9" s="22">
        <v>18334</v>
      </c>
      <c r="T9" s="22">
        <v>4140</v>
      </c>
      <c r="U9" s="22">
        <v>4</v>
      </c>
      <c r="V9" s="22">
        <v>21.6</v>
      </c>
      <c r="W9" s="22">
        <v>46</v>
      </c>
      <c r="X9" s="22">
        <v>43</v>
      </c>
      <c r="Y9" s="22">
        <v>226098.2</v>
      </c>
      <c r="Z9" s="22">
        <v>50616</v>
      </c>
      <c r="AA9" s="22">
        <v>1375.5</v>
      </c>
      <c r="AB9" s="22">
        <v>148807</v>
      </c>
      <c r="AC9" s="22">
        <v>59115</v>
      </c>
      <c r="AD9" s="22">
        <v>289576</v>
      </c>
      <c r="AE9" s="22">
        <v>3669</v>
      </c>
      <c r="AF9" s="22">
        <v>0</v>
      </c>
      <c r="AG9" s="22">
        <v>55000</v>
      </c>
      <c r="AH9" s="22">
        <v>0</v>
      </c>
      <c r="AI9" s="22">
        <v>1</v>
      </c>
      <c r="AJ9" s="22">
        <v>9</v>
      </c>
      <c r="AK9" s="22">
        <v>0</v>
      </c>
      <c r="AL9" s="22">
        <v>0</v>
      </c>
      <c r="AM9" s="22">
        <v>0</v>
      </c>
      <c r="AN9" s="22">
        <v>14</v>
      </c>
      <c r="AO9" s="22">
        <v>4</v>
      </c>
      <c r="AP9" s="22">
        <v>2</v>
      </c>
      <c r="AQ9" s="22">
        <v>2</v>
      </c>
      <c r="AR9" s="22">
        <v>2</v>
      </c>
      <c r="AS9" s="22">
        <v>120</v>
      </c>
      <c r="AT9" s="22">
        <v>9</v>
      </c>
      <c r="AU9" s="22">
        <v>161</v>
      </c>
      <c r="AV9" s="22">
        <v>79865</v>
      </c>
      <c r="AW9" s="22">
        <v>86061</v>
      </c>
      <c r="AX9" s="22">
        <v>300900.3</v>
      </c>
      <c r="AY9" s="22">
        <v>323589.4</v>
      </c>
      <c r="AZ9" s="22">
        <v>13488.8</v>
      </c>
      <c r="BA9" s="22">
        <v>11990.8</v>
      </c>
      <c r="BB9" s="22">
        <v>151</v>
      </c>
      <c r="BC9" s="22">
        <v>140</v>
      </c>
      <c r="BD9" s="22">
        <v>89804</v>
      </c>
      <c r="BE9" s="22">
        <v>86335</v>
      </c>
      <c r="BF9" s="22">
        <v>1211</v>
      </c>
      <c r="BG9" s="22">
        <v>644</v>
      </c>
      <c r="BH9" s="22">
        <v>676</v>
      </c>
      <c r="BI9" s="22">
        <v>116619.5</v>
      </c>
      <c r="BJ9" s="22">
        <v>35125</v>
      </c>
      <c r="BK9" s="22">
        <v>1</v>
      </c>
      <c r="BL9" s="22">
        <v>0</v>
      </c>
      <c r="BM9" s="22">
        <v>1</v>
      </c>
      <c r="BN9" s="22">
        <v>0</v>
      </c>
      <c r="BO9" s="22">
        <v>0</v>
      </c>
      <c r="BP9" s="22">
        <v>0</v>
      </c>
      <c r="BQ9" s="22">
        <v>0</v>
      </c>
      <c r="BR9" s="22">
        <v>0</v>
      </c>
      <c r="BS9" s="22">
        <v>0</v>
      </c>
      <c r="BT9" s="22">
        <v>0</v>
      </c>
      <c r="BU9" s="22">
        <v>0</v>
      </c>
      <c r="BV9" s="22">
        <v>99</v>
      </c>
      <c r="BW9" s="22">
        <v>85101</v>
      </c>
      <c r="BX9" s="22">
        <v>86567</v>
      </c>
      <c r="BY9" s="22">
        <v>26609951</v>
      </c>
      <c r="BZ9" s="22">
        <v>97478</v>
      </c>
      <c r="CA9" s="22">
        <v>4173</v>
      </c>
    </row>
    <row r="10" spans="1:79">
      <c r="A10" s="22" t="s">
        <v>19</v>
      </c>
      <c r="B10" s="22" t="s">
        <v>179</v>
      </c>
      <c r="C10" s="22" t="s">
        <v>187</v>
      </c>
      <c r="D10" s="22" t="s">
        <v>181</v>
      </c>
      <c r="E10" s="22">
        <v>30</v>
      </c>
      <c r="F10" s="22">
        <v>1</v>
      </c>
      <c r="G10" s="22">
        <v>188.9</v>
      </c>
      <c r="H10" s="22">
        <v>720</v>
      </c>
      <c r="I10" s="22">
        <v>718</v>
      </c>
      <c r="J10" s="22">
        <v>675.1</v>
      </c>
      <c r="K10" s="22">
        <v>31</v>
      </c>
      <c r="L10" s="22">
        <v>135630</v>
      </c>
      <c r="M10" s="22">
        <v>136008</v>
      </c>
      <c r="N10" s="22">
        <v>117160</v>
      </c>
      <c r="O10" s="22">
        <v>101595</v>
      </c>
      <c r="P10" s="22">
        <v>98478</v>
      </c>
      <c r="Q10" s="22">
        <v>110890</v>
      </c>
      <c r="R10" s="22">
        <v>24227</v>
      </c>
      <c r="S10" s="22">
        <v>19946</v>
      </c>
      <c r="T10" s="22">
        <v>5856</v>
      </c>
      <c r="U10" s="22">
        <v>5</v>
      </c>
      <c r="V10" s="22">
        <v>28.6</v>
      </c>
      <c r="W10" s="22">
        <v>40</v>
      </c>
      <c r="X10" s="22">
        <v>34</v>
      </c>
      <c r="Y10" s="22">
        <v>293950</v>
      </c>
      <c r="Z10" s="22">
        <v>67780.39999999999</v>
      </c>
      <c r="AA10" s="22">
        <v>1112.1</v>
      </c>
      <c r="AB10" s="22">
        <v>202909</v>
      </c>
      <c r="AC10" s="22">
        <v>69227</v>
      </c>
      <c r="AD10" s="22">
        <v>349419</v>
      </c>
      <c r="AE10" s="22">
        <v>17173</v>
      </c>
      <c r="AF10" s="22">
        <v>2</v>
      </c>
      <c r="AG10" s="22">
        <v>61000</v>
      </c>
      <c r="AH10" s="22">
        <v>0</v>
      </c>
      <c r="AI10" s="22">
        <v>0</v>
      </c>
      <c r="AJ10" s="22">
        <v>6</v>
      </c>
      <c r="AK10" s="22">
        <v>0</v>
      </c>
      <c r="AL10" s="22">
        <v>0</v>
      </c>
      <c r="AM10" s="22">
        <v>0</v>
      </c>
      <c r="AN10" s="22">
        <v>6</v>
      </c>
      <c r="AO10" s="22">
        <v>2</v>
      </c>
      <c r="AP10" s="22">
        <v>3</v>
      </c>
      <c r="AQ10" s="22">
        <v>3</v>
      </c>
      <c r="AR10" s="22">
        <v>1</v>
      </c>
      <c r="AS10" s="22">
        <v>187</v>
      </c>
      <c r="AT10" s="22">
        <v>11</v>
      </c>
      <c r="AU10" s="22">
        <v>215</v>
      </c>
      <c r="AV10" s="22">
        <v>99647</v>
      </c>
      <c r="AW10" s="22">
        <v>116251</v>
      </c>
      <c r="AX10" s="22">
        <v>367581.1</v>
      </c>
      <c r="AY10" s="22">
        <v>437103.8</v>
      </c>
      <c r="AZ10" s="22">
        <v>20037.9</v>
      </c>
      <c r="BA10" s="22">
        <v>15943.3</v>
      </c>
      <c r="BB10" s="22">
        <v>167</v>
      </c>
      <c r="BC10" s="22">
        <v>142</v>
      </c>
      <c r="BD10" s="22">
        <v>108759</v>
      </c>
      <c r="BE10" s="22">
        <v>107531</v>
      </c>
      <c r="BF10" s="22">
        <v>1079</v>
      </c>
      <c r="BG10" s="22">
        <v>574</v>
      </c>
      <c r="BH10" s="22">
        <v>662</v>
      </c>
      <c r="BI10" s="22">
        <v>161218.5</v>
      </c>
      <c r="BJ10" s="22">
        <v>73012.8</v>
      </c>
      <c r="BK10" s="22">
        <v>0</v>
      </c>
      <c r="BL10" s="22">
        <v>1</v>
      </c>
      <c r="BM10" s="22">
        <v>1</v>
      </c>
      <c r="BN10" s="22">
        <v>1</v>
      </c>
      <c r="BO10" s="22">
        <v>1</v>
      </c>
      <c r="BP10" s="22">
        <v>0</v>
      </c>
      <c r="BQ10" s="22">
        <v>0</v>
      </c>
      <c r="BR10" s="22">
        <v>0</v>
      </c>
      <c r="BS10" s="22">
        <v>0</v>
      </c>
      <c r="BT10" s="22">
        <v>0</v>
      </c>
      <c r="BU10" s="22">
        <v>0</v>
      </c>
      <c r="BV10" s="22">
        <v>17</v>
      </c>
      <c r="BW10" s="22">
        <v>119412</v>
      </c>
      <c r="BX10" s="22">
        <v>107510</v>
      </c>
      <c r="BY10" s="22">
        <v>40574219</v>
      </c>
      <c r="BZ10" s="22">
        <v>135630</v>
      </c>
      <c r="CA10" s="22">
        <v>5356</v>
      </c>
    </row>
    <row r="11" spans="1:79">
      <c r="A11" s="22" t="s">
        <v>19</v>
      </c>
      <c r="B11" s="22" t="s">
        <v>179</v>
      </c>
      <c r="C11" s="22" t="s">
        <v>187</v>
      </c>
      <c r="D11" s="22" t="s">
        <v>182</v>
      </c>
      <c r="E11" s="22">
        <v>31</v>
      </c>
      <c r="F11" s="22">
        <v>2</v>
      </c>
      <c r="G11" s="22">
        <v>188.9</v>
      </c>
      <c r="H11" s="22">
        <v>744</v>
      </c>
      <c r="I11" s="22">
        <v>690</v>
      </c>
      <c r="J11" s="22">
        <v>630.7</v>
      </c>
      <c r="K11" s="22">
        <v>45.8</v>
      </c>
      <c r="L11" s="22">
        <v>130341</v>
      </c>
      <c r="M11" s="22">
        <v>140542</v>
      </c>
      <c r="N11" s="22">
        <v>118660</v>
      </c>
      <c r="O11" s="22">
        <v>98372</v>
      </c>
      <c r="P11" s="22">
        <v>96839</v>
      </c>
      <c r="Q11" s="22">
        <v>102676</v>
      </c>
      <c r="R11" s="22">
        <v>19541</v>
      </c>
      <c r="S11" s="22">
        <v>16926</v>
      </c>
      <c r="T11" s="22">
        <v>8652</v>
      </c>
      <c r="U11" s="22">
        <v>5</v>
      </c>
      <c r="V11" s="22">
        <v>40.5</v>
      </c>
      <c r="W11" s="22">
        <v>44</v>
      </c>
      <c r="X11" s="22">
        <v>33</v>
      </c>
      <c r="Y11" s="22">
        <v>350205.1</v>
      </c>
      <c r="Z11" s="22">
        <v>97181.8</v>
      </c>
      <c r="AA11" s="22">
        <v>1212.1</v>
      </c>
      <c r="AB11" s="22">
        <v>176546</v>
      </c>
      <c r="AC11" s="22">
        <v>62330</v>
      </c>
      <c r="AD11" s="22">
        <v>375349</v>
      </c>
      <c r="AE11" s="22">
        <v>20499</v>
      </c>
      <c r="AF11" s="22">
        <v>4</v>
      </c>
      <c r="AG11" s="22">
        <v>69000</v>
      </c>
      <c r="AH11" s="22">
        <v>1</v>
      </c>
      <c r="AI11" s="22">
        <v>0</v>
      </c>
      <c r="AJ11" s="22">
        <v>4</v>
      </c>
      <c r="AK11" s="22">
        <v>0</v>
      </c>
      <c r="AL11" s="22">
        <v>0</v>
      </c>
      <c r="AM11" s="22">
        <v>0</v>
      </c>
      <c r="AN11" s="22">
        <v>5</v>
      </c>
      <c r="AO11" s="22">
        <v>1</v>
      </c>
      <c r="AP11" s="22">
        <v>0</v>
      </c>
      <c r="AQ11" s="22">
        <v>0</v>
      </c>
      <c r="AR11" s="22">
        <v>0</v>
      </c>
      <c r="AS11" s="22">
        <v>197</v>
      </c>
      <c r="AT11" s="22">
        <v>21</v>
      </c>
      <c r="AU11" s="22">
        <v>185</v>
      </c>
      <c r="AV11" s="22">
        <v>96710</v>
      </c>
      <c r="AW11" s="22">
        <v>118595</v>
      </c>
      <c r="AX11" s="22">
        <v>355792.8</v>
      </c>
      <c r="AY11" s="22">
        <v>445917.2</v>
      </c>
      <c r="AZ11" s="22">
        <v>18442.1</v>
      </c>
      <c r="BA11" s="22">
        <v>15809.6</v>
      </c>
      <c r="BB11" s="22">
        <v>174</v>
      </c>
      <c r="BC11" s="22">
        <v>142</v>
      </c>
      <c r="BD11" s="22">
        <v>102899</v>
      </c>
      <c r="BE11" s="22">
        <v>101308</v>
      </c>
      <c r="BF11" s="22">
        <v>846</v>
      </c>
      <c r="BG11" s="22">
        <v>616</v>
      </c>
      <c r="BH11" s="22">
        <v>696</v>
      </c>
      <c r="BI11" s="22">
        <v>188788.5</v>
      </c>
      <c r="BJ11" s="22">
        <v>87101.10000000001</v>
      </c>
      <c r="BK11" s="22">
        <v>0</v>
      </c>
      <c r="BL11" s="22">
        <v>0</v>
      </c>
      <c r="BM11" s="22">
        <v>1</v>
      </c>
      <c r="BN11" s="22">
        <v>1</v>
      </c>
      <c r="BO11" s="22">
        <v>0</v>
      </c>
      <c r="BP11" s="22">
        <v>0</v>
      </c>
      <c r="BQ11" s="22">
        <v>0</v>
      </c>
      <c r="BR11" s="22">
        <v>0</v>
      </c>
      <c r="BS11" s="22">
        <v>0</v>
      </c>
      <c r="BT11" s="22">
        <v>0</v>
      </c>
      <c r="BU11" s="22">
        <v>0</v>
      </c>
      <c r="BV11" s="22">
        <v>12</v>
      </c>
      <c r="BW11" s="22">
        <v>120898</v>
      </c>
      <c r="BX11" s="22">
        <v>110663</v>
      </c>
      <c r="BY11" s="22">
        <v>51573641</v>
      </c>
      <c r="BZ11" s="22">
        <v>130341</v>
      </c>
      <c r="CA11" s="22">
        <v>8040</v>
      </c>
    </row>
    <row r="12" spans="1:79">
      <c r="A12" s="22" t="s">
        <v>19</v>
      </c>
      <c r="B12" s="22" t="s">
        <v>179</v>
      </c>
      <c r="C12" s="22" t="s">
        <v>187</v>
      </c>
      <c r="D12" s="22" t="s">
        <v>183</v>
      </c>
      <c r="E12" s="22">
        <v>30</v>
      </c>
      <c r="F12" s="22">
        <v>3</v>
      </c>
      <c r="G12" s="22">
        <v>188.9</v>
      </c>
      <c r="H12" s="22">
        <v>720</v>
      </c>
      <c r="I12" s="22">
        <v>718</v>
      </c>
      <c r="J12" s="22">
        <v>669.9</v>
      </c>
      <c r="K12" s="22">
        <v>37.1</v>
      </c>
      <c r="L12" s="22">
        <v>135630</v>
      </c>
      <c r="M12" s="22">
        <v>136008</v>
      </c>
      <c r="N12" s="22">
        <v>120521</v>
      </c>
      <c r="O12" s="22">
        <v>96232</v>
      </c>
      <c r="P12" s="22">
        <v>91848</v>
      </c>
      <c r="Q12" s="22">
        <v>97224</v>
      </c>
      <c r="R12" s="22">
        <v>21417</v>
      </c>
      <c r="S12" s="22">
        <v>17596</v>
      </c>
      <c r="T12" s="22">
        <v>7008</v>
      </c>
      <c r="U12" s="22">
        <v>4</v>
      </c>
      <c r="V12" s="22">
        <v>32.6</v>
      </c>
      <c r="W12" s="22">
        <v>36</v>
      </c>
      <c r="X12" s="22">
        <v>31</v>
      </c>
      <c r="Y12" s="22">
        <v>321487.9</v>
      </c>
      <c r="Z12" s="22">
        <v>71503.8</v>
      </c>
      <c r="AA12" s="22">
        <v>1098.9</v>
      </c>
      <c r="AB12" s="22">
        <v>174177</v>
      </c>
      <c r="AC12" s="22">
        <v>54970</v>
      </c>
      <c r="AD12" s="22">
        <v>368624</v>
      </c>
      <c r="AE12" s="22">
        <v>28075</v>
      </c>
      <c r="AF12" s="22">
        <v>2</v>
      </c>
      <c r="AG12" s="22">
        <v>62000</v>
      </c>
      <c r="AH12" s="22">
        <v>1</v>
      </c>
      <c r="AI12" s="22">
        <v>0</v>
      </c>
      <c r="AJ12" s="22">
        <v>4</v>
      </c>
      <c r="AK12" s="22">
        <v>0</v>
      </c>
      <c r="AL12" s="22">
        <v>0</v>
      </c>
      <c r="AM12" s="22">
        <v>0</v>
      </c>
      <c r="AN12" s="22">
        <v>5</v>
      </c>
      <c r="AO12" s="22">
        <v>0</v>
      </c>
      <c r="AP12" s="22">
        <v>2</v>
      </c>
      <c r="AQ12" s="22">
        <v>1</v>
      </c>
      <c r="AR12" s="22">
        <v>1</v>
      </c>
      <c r="AS12" s="22">
        <v>194</v>
      </c>
      <c r="AT12" s="22">
        <v>21</v>
      </c>
      <c r="AU12" s="22">
        <v>155</v>
      </c>
      <c r="AV12" s="22">
        <v>93443</v>
      </c>
      <c r="AW12" s="22">
        <v>119908</v>
      </c>
      <c r="AX12" s="22">
        <v>341097.4</v>
      </c>
      <c r="AY12" s="22">
        <v>450854.1</v>
      </c>
      <c r="AZ12" s="22">
        <v>17509.3</v>
      </c>
      <c r="BA12" s="22">
        <v>15920</v>
      </c>
      <c r="BB12" s="22">
        <v>150</v>
      </c>
      <c r="BC12" s="22">
        <v>124</v>
      </c>
      <c r="BD12" s="22">
        <v>98097</v>
      </c>
      <c r="BE12" s="22">
        <v>96415</v>
      </c>
      <c r="BF12" s="22">
        <v>1343</v>
      </c>
      <c r="BG12" s="22">
        <v>630</v>
      </c>
      <c r="BH12" s="22">
        <v>704</v>
      </c>
      <c r="BI12" s="22">
        <v>190497.7</v>
      </c>
      <c r="BJ12" s="22">
        <v>86054.39999999999</v>
      </c>
      <c r="BK12" s="22">
        <v>0</v>
      </c>
      <c r="BL12" s="22">
        <v>0</v>
      </c>
      <c r="BM12" s="22">
        <v>0</v>
      </c>
      <c r="BN12" s="22">
        <v>1</v>
      </c>
      <c r="BO12" s="22">
        <v>1</v>
      </c>
      <c r="BP12" s="22">
        <v>0</v>
      </c>
      <c r="BQ12" s="22">
        <v>0</v>
      </c>
      <c r="BR12" s="22">
        <v>0</v>
      </c>
      <c r="BS12" s="22">
        <v>0</v>
      </c>
      <c r="BT12" s="22">
        <v>0</v>
      </c>
      <c r="BU12" s="22">
        <v>0</v>
      </c>
      <c r="BV12" s="22">
        <v>18</v>
      </c>
      <c r="BW12" s="22">
        <v>119591</v>
      </c>
      <c r="BX12" s="22">
        <v>108329</v>
      </c>
      <c r="BY12" s="22">
        <v>44645372</v>
      </c>
      <c r="BZ12" s="22">
        <v>135630</v>
      </c>
      <c r="CA12" s="22">
        <v>6878</v>
      </c>
    </row>
    <row r="13" spans="1:79">
      <c r="A13" s="22" t="s">
        <v>19</v>
      </c>
      <c r="B13" s="22" t="s">
        <v>179</v>
      </c>
      <c r="C13" s="22" t="s">
        <v>187</v>
      </c>
      <c r="D13" s="22" t="s">
        <v>184</v>
      </c>
      <c r="E13" s="22">
        <v>31</v>
      </c>
      <c r="F13" s="22">
        <v>4</v>
      </c>
      <c r="G13" s="22">
        <v>188.9</v>
      </c>
      <c r="H13" s="22">
        <v>744</v>
      </c>
      <c r="I13" s="22">
        <v>737</v>
      </c>
      <c r="J13" s="22">
        <v>655.4</v>
      </c>
      <c r="K13" s="22">
        <v>69.3</v>
      </c>
      <c r="L13" s="22">
        <v>139219</v>
      </c>
      <c r="M13" s="22">
        <v>140542</v>
      </c>
      <c r="N13" s="22">
        <v>122135</v>
      </c>
      <c r="O13" s="22">
        <v>101413</v>
      </c>
      <c r="P13" s="22">
        <v>97731</v>
      </c>
      <c r="Q13" s="22">
        <v>108037</v>
      </c>
      <c r="R13" s="22">
        <v>20571</v>
      </c>
      <c r="S13" s="22">
        <v>17916</v>
      </c>
      <c r="T13" s="22">
        <v>13091</v>
      </c>
      <c r="U13" s="22">
        <v>6</v>
      </c>
      <c r="V13" s="22">
        <v>65.7</v>
      </c>
      <c r="W13" s="22">
        <v>56</v>
      </c>
      <c r="X13" s="22">
        <v>44</v>
      </c>
      <c r="Y13" s="22">
        <v>350472.9</v>
      </c>
      <c r="Z13" s="22">
        <v>93258.3</v>
      </c>
      <c r="AA13" s="22">
        <v>1434.2</v>
      </c>
      <c r="AB13" s="22">
        <v>204288</v>
      </c>
      <c r="AC13" s="22">
        <v>57701</v>
      </c>
      <c r="AD13" s="22">
        <v>356252</v>
      </c>
      <c r="AE13" s="22">
        <v>22870</v>
      </c>
      <c r="AF13" s="22">
        <v>2</v>
      </c>
      <c r="AG13" s="22">
        <v>68000</v>
      </c>
      <c r="AH13" s="22">
        <v>0</v>
      </c>
      <c r="AI13" s="22">
        <v>1</v>
      </c>
      <c r="AJ13" s="22">
        <v>6</v>
      </c>
      <c r="AK13" s="22">
        <v>0</v>
      </c>
      <c r="AL13" s="22">
        <v>1</v>
      </c>
      <c r="AM13" s="22">
        <v>0</v>
      </c>
      <c r="AN13" s="22">
        <v>7</v>
      </c>
      <c r="AO13" s="22">
        <v>0</v>
      </c>
      <c r="AP13" s="22">
        <v>1</v>
      </c>
      <c r="AQ13" s="22">
        <v>1</v>
      </c>
      <c r="AR13" s="22">
        <v>0</v>
      </c>
      <c r="AS13" s="22">
        <v>129</v>
      </c>
      <c r="AT13" s="22">
        <v>15</v>
      </c>
      <c r="AU13" s="22">
        <v>125</v>
      </c>
      <c r="AV13" s="22">
        <v>95686</v>
      </c>
      <c r="AW13" s="22">
        <v>120914</v>
      </c>
      <c r="AX13" s="22">
        <v>355004.6</v>
      </c>
      <c r="AY13" s="22">
        <v>454636.6</v>
      </c>
      <c r="AZ13" s="22">
        <v>21552.3</v>
      </c>
      <c r="BA13" s="22">
        <v>15764.7</v>
      </c>
      <c r="BB13" s="22">
        <v>159</v>
      </c>
      <c r="BC13" s="22">
        <v>128</v>
      </c>
      <c r="BD13" s="22">
        <v>105180</v>
      </c>
      <c r="BE13" s="22">
        <v>101093</v>
      </c>
      <c r="BF13" s="22">
        <v>720</v>
      </c>
      <c r="BG13" s="22">
        <v>658</v>
      </c>
      <c r="BH13" s="22">
        <v>772</v>
      </c>
      <c r="BI13" s="22">
        <v>179819.6</v>
      </c>
      <c r="BJ13" s="22">
        <v>82831.7</v>
      </c>
      <c r="BK13" s="22">
        <v>0</v>
      </c>
      <c r="BL13" s="22">
        <v>0</v>
      </c>
      <c r="BM13" s="22">
        <v>0</v>
      </c>
      <c r="BN13" s="22">
        <v>1</v>
      </c>
      <c r="BO13" s="22">
        <v>1</v>
      </c>
      <c r="BP13" s="22">
        <v>0</v>
      </c>
      <c r="BQ13" s="22">
        <v>0</v>
      </c>
      <c r="BR13" s="22">
        <v>0</v>
      </c>
      <c r="BS13" s="22">
        <v>0</v>
      </c>
      <c r="BT13" s="22">
        <v>0</v>
      </c>
      <c r="BU13" s="22">
        <v>0</v>
      </c>
      <c r="BV13" s="22">
        <v>12</v>
      </c>
      <c r="BW13" s="22">
        <v>123620</v>
      </c>
      <c r="BX13" s="22">
        <v>113701</v>
      </c>
      <c r="BY13" s="22">
        <v>53958022</v>
      </c>
      <c r="BZ13" s="22">
        <v>139219</v>
      </c>
      <c r="CA13" s="22">
        <v>13208</v>
      </c>
    </row>
    <row r="14" spans="1:79">
      <c r="A14" s="22" t="s">
        <v>19</v>
      </c>
      <c r="B14" s="22" t="s">
        <v>179</v>
      </c>
      <c r="C14" s="22" t="s">
        <v>187</v>
      </c>
      <c r="D14" s="22" t="s">
        <v>185</v>
      </c>
      <c r="E14" s="22">
        <v>31</v>
      </c>
      <c r="F14" s="22">
        <v>5</v>
      </c>
      <c r="G14" s="22">
        <v>188.9</v>
      </c>
      <c r="H14" s="22">
        <v>744</v>
      </c>
      <c r="I14" s="22">
        <v>674</v>
      </c>
      <c r="J14" s="22">
        <v>603.4</v>
      </c>
      <c r="K14" s="22">
        <v>53.5</v>
      </c>
      <c r="L14" s="22">
        <v>127319</v>
      </c>
      <c r="M14" s="22">
        <v>140542</v>
      </c>
      <c r="N14" s="22">
        <v>109907</v>
      </c>
      <c r="O14" s="22">
        <v>90236</v>
      </c>
      <c r="P14" s="22">
        <v>86596</v>
      </c>
      <c r="Q14" s="22">
        <v>97767</v>
      </c>
      <c r="R14" s="22">
        <v>22655</v>
      </c>
      <c r="S14" s="22">
        <v>18611</v>
      </c>
      <c r="T14" s="22">
        <v>10106</v>
      </c>
      <c r="U14" s="22">
        <v>4</v>
      </c>
      <c r="V14" s="22">
        <v>46.8</v>
      </c>
      <c r="W14" s="22">
        <v>39</v>
      </c>
      <c r="X14" s="22">
        <v>37</v>
      </c>
      <c r="Y14" s="22">
        <v>293787.6</v>
      </c>
      <c r="Z14" s="22">
        <v>89718.10000000001</v>
      </c>
      <c r="AA14" s="22">
        <v>1404.1</v>
      </c>
      <c r="AB14" s="22">
        <v>164589</v>
      </c>
      <c r="AC14" s="22">
        <v>62319</v>
      </c>
      <c r="AD14" s="22">
        <v>347920</v>
      </c>
      <c r="AE14" s="22">
        <v>23073</v>
      </c>
      <c r="AF14" s="22">
        <v>3</v>
      </c>
      <c r="AG14" s="22">
        <v>69000</v>
      </c>
      <c r="AH14" s="22">
        <v>0</v>
      </c>
      <c r="AI14" s="22">
        <v>1</v>
      </c>
      <c r="AJ14" s="22">
        <v>5</v>
      </c>
      <c r="AK14" s="22">
        <v>1</v>
      </c>
      <c r="AL14" s="22">
        <v>0</v>
      </c>
      <c r="AM14" s="22">
        <v>0</v>
      </c>
      <c r="AN14" s="22">
        <v>8</v>
      </c>
      <c r="AO14" s="22">
        <v>1</v>
      </c>
      <c r="AP14" s="22">
        <v>0</v>
      </c>
      <c r="AQ14" s="22">
        <v>0</v>
      </c>
      <c r="AR14" s="22">
        <v>0</v>
      </c>
      <c r="AS14" s="22">
        <v>212</v>
      </c>
      <c r="AT14" s="22">
        <v>32</v>
      </c>
      <c r="AU14" s="22">
        <v>95</v>
      </c>
      <c r="AV14" s="22">
        <v>87463</v>
      </c>
      <c r="AW14" s="22">
        <v>110393</v>
      </c>
      <c r="AX14" s="22">
        <v>324045</v>
      </c>
      <c r="AY14" s="22">
        <v>415077.7</v>
      </c>
      <c r="AZ14" s="22">
        <v>17217.2</v>
      </c>
      <c r="BA14" s="22">
        <v>16383.2</v>
      </c>
      <c r="BB14" s="22">
        <v>157</v>
      </c>
      <c r="BC14" s="22">
        <v>131</v>
      </c>
      <c r="BD14" s="22">
        <v>94985</v>
      </c>
      <c r="BE14" s="22">
        <v>92164</v>
      </c>
      <c r="BF14" s="22">
        <v>1526</v>
      </c>
      <c r="BG14" s="22">
        <v>560</v>
      </c>
      <c r="BH14" s="22">
        <v>665</v>
      </c>
      <c r="BI14" s="22">
        <v>153621.7</v>
      </c>
      <c r="BJ14" s="22">
        <v>72743.60000000001</v>
      </c>
      <c r="BK14" s="22">
        <v>0</v>
      </c>
      <c r="BL14" s="22">
        <v>0</v>
      </c>
      <c r="BM14" s="22">
        <v>0</v>
      </c>
      <c r="BN14" s="22">
        <v>1</v>
      </c>
      <c r="BO14" s="22">
        <v>0</v>
      </c>
      <c r="BP14" s="22">
        <v>0</v>
      </c>
      <c r="BQ14" s="22">
        <v>0</v>
      </c>
      <c r="BR14" s="22">
        <v>0</v>
      </c>
      <c r="BS14" s="22">
        <v>0</v>
      </c>
      <c r="BT14" s="22">
        <v>0</v>
      </c>
      <c r="BU14" s="22">
        <v>0</v>
      </c>
      <c r="BV14" s="22">
        <v>10</v>
      </c>
      <c r="BW14" s="22">
        <v>111815</v>
      </c>
      <c r="BX14" s="22">
        <v>102323</v>
      </c>
      <c r="BY14" s="22">
        <v>35614658</v>
      </c>
      <c r="BZ14" s="22">
        <v>127319</v>
      </c>
      <c r="CA14" s="22">
        <v>8914</v>
      </c>
    </row>
    <row r="15" spans="1:79">
      <c r="A15" s="22" t="s">
        <v>19</v>
      </c>
      <c r="B15" s="22" t="s">
        <v>179</v>
      </c>
      <c r="C15" s="22" t="s">
        <v>187</v>
      </c>
      <c r="D15" s="22" t="s">
        <v>186</v>
      </c>
      <c r="E15" s="22">
        <v>30</v>
      </c>
      <c r="F15" s="22">
        <v>6</v>
      </c>
      <c r="G15" s="22">
        <v>188.9</v>
      </c>
      <c r="H15" s="22">
        <v>720</v>
      </c>
      <c r="I15" s="22">
        <v>717</v>
      </c>
      <c r="J15" s="22">
        <v>624.3</v>
      </c>
      <c r="K15" s="22">
        <v>78.2</v>
      </c>
      <c r="L15" s="22">
        <v>135441</v>
      </c>
      <c r="M15" s="22">
        <v>136008</v>
      </c>
      <c r="N15" s="22">
        <v>121475</v>
      </c>
      <c r="O15" s="22">
        <v>97250</v>
      </c>
      <c r="P15" s="22">
        <v>95233</v>
      </c>
      <c r="Q15" s="22">
        <v>102279</v>
      </c>
      <c r="R15" s="22">
        <v>20791</v>
      </c>
      <c r="S15" s="22">
        <v>17994</v>
      </c>
      <c r="T15" s="22">
        <v>14772</v>
      </c>
      <c r="U15" s="22">
        <v>6</v>
      </c>
      <c r="V15" s="22">
        <v>68.5</v>
      </c>
      <c r="W15" s="22">
        <v>33</v>
      </c>
      <c r="X15" s="22">
        <v>27</v>
      </c>
      <c r="Y15" s="22">
        <v>308111</v>
      </c>
      <c r="Z15" s="22">
        <v>70784.39999999999</v>
      </c>
      <c r="AA15" s="22">
        <v>940.2</v>
      </c>
      <c r="AB15" s="22">
        <v>245659</v>
      </c>
      <c r="AC15" s="22">
        <v>68824</v>
      </c>
      <c r="AD15" s="22">
        <v>358135</v>
      </c>
      <c r="AE15" s="22">
        <v>24322</v>
      </c>
      <c r="AF15" s="22">
        <v>4</v>
      </c>
      <c r="AG15" s="22">
        <v>95000</v>
      </c>
      <c r="AH15" s="22">
        <v>0</v>
      </c>
      <c r="AI15" s="22">
        <v>0</v>
      </c>
      <c r="AJ15" s="22">
        <v>2</v>
      </c>
      <c r="AK15" s="22">
        <v>0</v>
      </c>
      <c r="AL15" s="22">
        <v>1</v>
      </c>
      <c r="AM15" s="22">
        <v>0</v>
      </c>
      <c r="AN15" s="22">
        <v>6</v>
      </c>
      <c r="AO15" s="22">
        <v>1</v>
      </c>
      <c r="AP15" s="22">
        <v>2</v>
      </c>
      <c r="AQ15" s="22">
        <v>1</v>
      </c>
      <c r="AR15" s="22">
        <v>1</v>
      </c>
      <c r="AS15" s="22">
        <v>225</v>
      </c>
      <c r="AT15" s="22">
        <v>36</v>
      </c>
      <c r="AU15" s="22">
        <v>65</v>
      </c>
      <c r="AV15" s="22">
        <v>94217</v>
      </c>
      <c r="AW15" s="22">
        <v>121397</v>
      </c>
      <c r="AX15" s="22">
        <v>346059.3</v>
      </c>
      <c r="AY15" s="22">
        <v>456452.7</v>
      </c>
      <c r="AZ15" s="22">
        <v>20557.3</v>
      </c>
      <c r="BA15" s="22">
        <v>16054.5</v>
      </c>
      <c r="BB15" s="22">
        <v>173</v>
      </c>
      <c r="BC15" s="22">
        <v>147</v>
      </c>
      <c r="BD15" s="22">
        <v>103840</v>
      </c>
      <c r="BE15" s="22">
        <v>101122</v>
      </c>
      <c r="BF15" s="22">
        <v>1125</v>
      </c>
      <c r="BG15" s="22">
        <v>658</v>
      </c>
      <c r="BH15" s="22">
        <v>772</v>
      </c>
      <c r="BI15" s="22">
        <v>171707.4</v>
      </c>
      <c r="BJ15" s="22">
        <v>73868.5</v>
      </c>
      <c r="BK15" s="22">
        <v>0</v>
      </c>
      <c r="BL15" s="22">
        <v>0</v>
      </c>
      <c r="BM15" s="22">
        <v>0</v>
      </c>
      <c r="BN15" s="22">
        <v>1</v>
      </c>
      <c r="BO15" s="22">
        <v>1</v>
      </c>
      <c r="BP15" s="22">
        <v>0</v>
      </c>
      <c r="BQ15" s="22">
        <v>0</v>
      </c>
      <c r="BR15" s="22">
        <v>0</v>
      </c>
      <c r="BS15" s="22">
        <v>0</v>
      </c>
      <c r="BT15" s="22">
        <v>0</v>
      </c>
      <c r="BU15" s="22">
        <v>0</v>
      </c>
      <c r="BV15" s="22">
        <v>4</v>
      </c>
      <c r="BW15" s="22">
        <v>121378</v>
      </c>
      <c r="BX15" s="22">
        <v>108581</v>
      </c>
      <c r="BY15" s="22">
        <v>36663480</v>
      </c>
      <c r="BZ15" s="22">
        <v>135441</v>
      </c>
      <c r="CA15" s="22">
        <v>15611</v>
      </c>
    </row>
    <row r="16" spans="1:79">
      <c r="A16" s="22" t="s">
        <v>19</v>
      </c>
      <c r="B16" s="22" t="s">
        <v>179</v>
      </c>
      <c r="C16" s="22" t="s">
        <v>188</v>
      </c>
      <c r="D16" s="22" t="s">
        <v>181</v>
      </c>
      <c r="E16" s="22">
        <v>30</v>
      </c>
      <c r="F16" s="22">
        <v>1</v>
      </c>
      <c r="G16" s="22">
        <v>225.4</v>
      </c>
      <c r="H16" s="22">
        <v>720</v>
      </c>
      <c r="I16" s="22">
        <v>709</v>
      </c>
      <c r="J16" s="22">
        <v>679.1</v>
      </c>
      <c r="K16" s="22">
        <v>18.5</v>
      </c>
      <c r="L16" s="22">
        <v>159809</v>
      </c>
      <c r="M16" s="22">
        <v>162288</v>
      </c>
      <c r="N16" s="22">
        <v>140381</v>
      </c>
      <c r="O16" s="22">
        <v>137702</v>
      </c>
      <c r="P16" s="22">
        <v>135597</v>
      </c>
      <c r="Q16" s="22">
        <v>151646</v>
      </c>
      <c r="R16" s="22">
        <v>30509</v>
      </c>
      <c r="S16" s="22">
        <v>27116</v>
      </c>
      <c r="T16" s="22">
        <v>4170</v>
      </c>
      <c r="U16" s="22">
        <v>2</v>
      </c>
      <c r="V16" s="22">
        <v>11.6</v>
      </c>
      <c r="W16" s="22">
        <v>46</v>
      </c>
      <c r="X16" s="22">
        <v>45</v>
      </c>
      <c r="Y16" s="22">
        <v>423748.9</v>
      </c>
      <c r="Z16" s="22">
        <v>102285.4</v>
      </c>
      <c r="AA16" s="22">
        <v>1376.4</v>
      </c>
      <c r="AB16" s="22">
        <v>293580</v>
      </c>
      <c r="AC16" s="22">
        <v>100138</v>
      </c>
      <c r="AD16" s="22">
        <v>411317</v>
      </c>
      <c r="AE16" s="22">
        <v>5413</v>
      </c>
      <c r="AF16" s="22">
        <v>1</v>
      </c>
      <c r="AG16" s="22">
        <v>81000</v>
      </c>
      <c r="AH16" s="22">
        <v>0</v>
      </c>
      <c r="AI16" s="22">
        <v>0</v>
      </c>
      <c r="AJ16" s="22">
        <v>5</v>
      </c>
      <c r="AK16" s="22">
        <v>0</v>
      </c>
      <c r="AL16" s="22">
        <v>1</v>
      </c>
      <c r="AM16" s="22">
        <v>0</v>
      </c>
      <c r="AN16" s="22">
        <v>5</v>
      </c>
      <c r="AO16" s="22">
        <v>1</v>
      </c>
      <c r="AP16" s="22">
        <v>1</v>
      </c>
      <c r="AQ16" s="22">
        <v>0</v>
      </c>
      <c r="AR16" s="22">
        <v>0</v>
      </c>
      <c r="AS16" s="22">
        <v>130</v>
      </c>
      <c r="AT16" s="22">
        <v>5</v>
      </c>
      <c r="AU16" s="22">
        <v>218</v>
      </c>
      <c r="AV16" s="22">
        <v>132069</v>
      </c>
      <c r="AW16" s="22">
        <v>141407</v>
      </c>
      <c r="AX16" s="22">
        <v>498991.1</v>
      </c>
      <c r="AY16" s="22">
        <v>531690.3</v>
      </c>
      <c r="AZ16" s="22">
        <v>26981.8</v>
      </c>
      <c r="BA16" s="22">
        <v>18816.9</v>
      </c>
      <c r="BB16" s="22">
        <v>169</v>
      </c>
      <c r="BC16" s="22">
        <v>156</v>
      </c>
      <c r="BD16" s="22">
        <v>152075</v>
      </c>
      <c r="BE16" s="22">
        <v>143138</v>
      </c>
      <c r="BF16" s="22">
        <v>1636</v>
      </c>
      <c r="BG16" s="22">
        <v>952</v>
      </c>
      <c r="BH16" s="22">
        <v>997</v>
      </c>
      <c r="BI16" s="22">
        <v>224328.9</v>
      </c>
      <c r="BJ16" s="22">
        <v>84788.10000000001</v>
      </c>
      <c r="BK16" s="22">
        <v>0</v>
      </c>
      <c r="BL16" s="22">
        <v>0</v>
      </c>
      <c r="BM16" s="22">
        <v>0</v>
      </c>
      <c r="BN16" s="22">
        <v>1</v>
      </c>
      <c r="BO16" s="22">
        <v>1</v>
      </c>
      <c r="BP16" s="22">
        <v>0</v>
      </c>
      <c r="BQ16" s="22">
        <v>0</v>
      </c>
      <c r="BR16" s="22">
        <v>0</v>
      </c>
      <c r="BS16" s="22">
        <v>0</v>
      </c>
      <c r="BT16" s="22">
        <v>0</v>
      </c>
      <c r="BU16" s="22">
        <v>0</v>
      </c>
      <c r="BV16" s="22">
        <v>99</v>
      </c>
      <c r="BW16" s="22">
        <v>142430</v>
      </c>
      <c r="BX16" s="22">
        <v>144326</v>
      </c>
      <c r="BY16" s="22">
        <v>85157077</v>
      </c>
      <c r="BZ16" s="22">
        <v>159809</v>
      </c>
      <c r="CA16" s="22">
        <v>4742</v>
      </c>
    </row>
    <row r="17" spans="1:79">
      <c r="A17" s="22" t="s">
        <v>19</v>
      </c>
      <c r="B17" s="22" t="s">
        <v>179</v>
      </c>
      <c r="C17" s="22" t="s">
        <v>188</v>
      </c>
      <c r="D17" s="22" t="s">
        <v>182</v>
      </c>
      <c r="E17" s="22">
        <v>31</v>
      </c>
      <c r="F17" s="22">
        <v>2</v>
      </c>
      <c r="G17" s="22">
        <v>225.4</v>
      </c>
      <c r="H17" s="22">
        <v>744</v>
      </c>
      <c r="I17" s="22">
        <v>675</v>
      </c>
      <c r="J17" s="22">
        <v>644.2</v>
      </c>
      <c r="K17" s="22">
        <v>22.6</v>
      </c>
      <c r="L17" s="22">
        <v>152145</v>
      </c>
      <c r="M17" s="22">
        <v>167698</v>
      </c>
      <c r="N17" s="22">
        <v>139327</v>
      </c>
      <c r="O17" s="22">
        <v>129882</v>
      </c>
      <c r="P17" s="22">
        <v>123727</v>
      </c>
      <c r="Q17" s="22">
        <v>139092</v>
      </c>
      <c r="R17" s="22">
        <v>26667</v>
      </c>
      <c r="S17" s="22">
        <v>22876</v>
      </c>
      <c r="T17" s="22">
        <v>5094</v>
      </c>
      <c r="U17" s="22">
        <v>4</v>
      </c>
      <c r="V17" s="22">
        <v>18.4</v>
      </c>
      <c r="W17" s="22">
        <v>54</v>
      </c>
      <c r="X17" s="22">
        <v>51</v>
      </c>
      <c r="Y17" s="22">
        <v>380693.8</v>
      </c>
      <c r="Z17" s="22">
        <v>88979.2</v>
      </c>
      <c r="AA17" s="22">
        <v>1092.1</v>
      </c>
      <c r="AB17" s="22">
        <v>320054</v>
      </c>
      <c r="AC17" s="22">
        <v>72786</v>
      </c>
      <c r="AD17" s="22">
        <v>378969</v>
      </c>
      <c r="AE17" s="22">
        <v>18096</v>
      </c>
      <c r="AF17" s="22">
        <v>1</v>
      </c>
      <c r="AG17" s="22">
        <v>76000</v>
      </c>
      <c r="AH17" s="22">
        <v>1</v>
      </c>
      <c r="AI17" s="22">
        <v>0</v>
      </c>
      <c r="AJ17" s="22">
        <v>10</v>
      </c>
      <c r="AK17" s="22">
        <v>0</v>
      </c>
      <c r="AL17" s="22">
        <v>1</v>
      </c>
      <c r="AM17" s="22">
        <v>0</v>
      </c>
      <c r="AN17" s="22">
        <v>10</v>
      </c>
      <c r="AO17" s="22">
        <v>2</v>
      </c>
      <c r="AP17" s="22">
        <v>0</v>
      </c>
      <c r="AQ17" s="22">
        <v>0</v>
      </c>
      <c r="AR17" s="22">
        <v>0</v>
      </c>
      <c r="AS17" s="22">
        <v>230</v>
      </c>
      <c r="AT17" s="22">
        <v>12</v>
      </c>
      <c r="AU17" s="22">
        <v>188</v>
      </c>
      <c r="AV17" s="22">
        <v>123269</v>
      </c>
      <c r="AW17" s="22">
        <v>138158</v>
      </c>
      <c r="AX17" s="22">
        <v>460880.8</v>
      </c>
      <c r="AY17" s="22">
        <v>519474.1</v>
      </c>
      <c r="AZ17" s="22">
        <v>20000.3</v>
      </c>
      <c r="BA17" s="22">
        <v>18527.3</v>
      </c>
      <c r="BB17" s="22">
        <v>232</v>
      </c>
      <c r="BC17" s="22">
        <v>213</v>
      </c>
      <c r="BD17" s="22">
        <v>142709</v>
      </c>
      <c r="BE17" s="22">
        <v>135890</v>
      </c>
      <c r="BF17" s="22">
        <v>1180</v>
      </c>
      <c r="BG17" s="22">
        <v>1148</v>
      </c>
      <c r="BH17" s="22">
        <v>1150</v>
      </c>
      <c r="BI17" s="22">
        <v>215687.3</v>
      </c>
      <c r="BJ17" s="22">
        <v>82507.5</v>
      </c>
      <c r="BK17" s="22">
        <v>0</v>
      </c>
      <c r="BL17" s="22">
        <v>1</v>
      </c>
      <c r="BM17" s="22">
        <v>0</v>
      </c>
      <c r="BN17" s="22">
        <v>0</v>
      </c>
      <c r="BO17" s="22">
        <v>1</v>
      </c>
      <c r="BP17" s="22">
        <v>0</v>
      </c>
      <c r="BQ17" s="22">
        <v>0</v>
      </c>
      <c r="BR17" s="22">
        <v>0</v>
      </c>
      <c r="BS17" s="22">
        <v>0</v>
      </c>
      <c r="BT17" s="22">
        <v>0</v>
      </c>
      <c r="BU17" s="22">
        <v>0</v>
      </c>
      <c r="BV17" s="22">
        <v>99</v>
      </c>
      <c r="BW17" s="22">
        <v>140211</v>
      </c>
      <c r="BX17" s="22">
        <v>141920</v>
      </c>
      <c r="BY17" s="22">
        <v>76995709</v>
      </c>
      <c r="BZ17" s="22">
        <v>152145</v>
      </c>
      <c r="CA17" s="22">
        <v>4615</v>
      </c>
    </row>
    <row r="18" spans="1:79">
      <c r="A18" s="22" t="s">
        <v>19</v>
      </c>
      <c r="B18" s="22" t="s">
        <v>179</v>
      </c>
      <c r="C18" s="22" t="s">
        <v>188</v>
      </c>
      <c r="D18" s="22" t="s">
        <v>183</v>
      </c>
      <c r="E18" s="22">
        <v>30</v>
      </c>
      <c r="F18" s="22">
        <v>3</v>
      </c>
      <c r="G18" s="22">
        <v>225.4</v>
      </c>
      <c r="H18" s="22">
        <v>720</v>
      </c>
      <c r="I18" s="22">
        <v>719</v>
      </c>
      <c r="J18" s="22">
        <v>672.3</v>
      </c>
      <c r="K18" s="22">
        <v>30</v>
      </c>
      <c r="L18" s="22">
        <v>162063</v>
      </c>
      <c r="M18" s="22">
        <v>162288</v>
      </c>
      <c r="N18" s="22">
        <v>141008</v>
      </c>
      <c r="O18" s="22">
        <v>134645</v>
      </c>
      <c r="P18" s="22">
        <v>129167</v>
      </c>
      <c r="Q18" s="22">
        <v>140543</v>
      </c>
      <c r="R18" s="22">
        <v>28463</v>
      </c>
      <c r="S18" s="22">
        <v>25992</v>
      </c>
      <c r="T18" s="22">
        <v>6762</v>
      </c>
      <c r="U18" s="22">
        <v>4</v>
      </c>
      <c r="V18" s="22">
        <v>23.1</v>
      </c>
      <c r="W18" s="22">
        <v>50</v>
      </c>
      <c r="X18" s="22">
        <v>48</v>
      </c>
      <c r="Y18" s="22">
        <v>345324.8</v>
      </c>
      <c r="Z18" s="22">
        <v>105483</v>
      </c>
      <c r="AA18" s="22">
        <v>952.7</v>
      </c>
      <c r="AB18" s="22">
        <v>282180</v>
      </c>
      <c r="AC18" s="22">
        <v>73193</v>
      </c>
      <c r="AD18" s="22">
        <v>376725</v>
      </c>
      <c r="AE18" s="22">
        <v>14242</v>
      </c>
      <c r="AF18" s="22">
        <v>1</v>
      </c>
      <c r="AG18" s="22">
        <v>72000</v>
      </c>
      <c r="AH18" s="22">
        <v>1</v>
      </c>
      <c r="AI18" s="22">
        <v>0</v>
      </c>
      <c r="AJ18" s="22">
        <v>8</v>
      </c>
      <c r="AK18" s="22">
        <v>0</v>
      </c>
      <c r="AL18" s="22">
        <v>0</v>
      </c>
      <c r="AM18" s="22">
        <v>0</v>
      </c>
      <c r="AN18" s="22">
        <v>13</v>
      </c>
      <c r="AO18" s="22">
        <v>3</v>
      </c>
      <c r="AP18" s="22">
        <v>2</v>
      </c>
      <c r="AQ18" s="22">
        <v>2</v>
      </c>
      <c r="AR18" s="22">
        <v>0</v>
      </c>
      <c r="AS18" s="22">
        <v>181</v>
      </c>
      <c r="AT18" s="22">
        <v>13</v>
      </c>
      <c r="AU18" s="22">
        <v>158</v>
      </c>
      <c r="AV18" s="22">
        <v>126080</v>
      </c>
      <c r="AW18" s="22">
        <v>142307</v>
      </c>
      <c r="AX18" s="22">
        <v>481116</v>
      </c>
      <c r="AY18" s="22">
        <v>535074.3</v>
      </c>
      <c r="AZ18" s="22">
        <v>20433.5</v>
      </c>
      <c r="BA18" s="22">
        <v>19093.5</v>
      </c>
      <c r="BB18" s="22">
        <v>300</v>
      </c>
      <c r="BC18" s="22">
        <v>278</v>
      </c>
      <c r="BD18" s="22">
        <v>137558</v>
      </c>
      <c r="BE18" s="22">
        <v>131441</v>
      </c>
      <c r="BF18" s="22">
        <v>1030</v>
      </c>
      <c r="BG18" s="22">
        <v>672</v>
      </c>
      <c r="BH18" s="22">
        <v>689</v>
      </c>
      <c r="BI18" s="22">
        <v>197735.7</v>
      </c>
      <c r="BJ18" s="22">
        <v>72790.8</v>
      </c>
      <c r="BK18" s="22">
        <v>0</v>
      </c>
      <c r="BL18" s="22">
        <v>0</v>
      </c>
      <c r="BM18" s="22">
        <v>0</v>
      </c>
      <c r="BN18" s="22">
        <v>1</v>
      </c>
      <c r="BO18" s="22">
        <v>0</v>
      </c>
      <c r="BP18" s="22">
        <v>0</v>
      </c>
      <c r="BQ18" s="22">
        <v>0</v>
      </c>
      <c r="BR18" s="22">
        <v>0</v>
      </c>
      <c r="BS18" s="22">
        <v>0</v>
      </c>
      <c r="BT18" s="22">
        <v>0</v>
      </c>
      <c r="BU18" s="22">
        <v>0</v>
      </c>
      <c r="BV18" s="22">
        <v>99</v>
      </c>
      <c r="BW18" s="22">
        <v>142386</v>
      </c>
      <c r="BX18" s="22">
        <v>143882</v>
      </c>
      <c r="BY18" s="22">
        <v>70501660</v>
      </c>
      <c r="BZ18" s="22">
        <v>162063</v>
      </c>
      <c r="CA18" s="22">
        <v>6348</v>
      </c>
    </row>
    <row r="19" spans="1:79">
      <c r="A19" s="22" t="s">
        <v>19</v>
      </c>
      <c r="B19" s="22" t="s">
        <v>179</v>
      </c>
      <c r="C19" s="22" t="s">
        <v>188</v>
      </c>
      <c r="D19" s="22" t="s">
        <v>184</v>
      </c>
      <c r="E19" s="22">
        <v>31</v>
      </c>
      <c r="F19" s="22">
        <v>4</v>
      </c>
      <c r="G19" s="22">
        <v>225.4</v>
      </c>
      <c r="H19" s="22">
        <v>744</v>
      </c>
      <c r="I19" s="22">
        <v>738</v>
      </c>
      <c r="J19" s="22">
        <v>697.8</v>
      </c>
      <c r="K19" s="22">
        <v>30.6</v>
      </c>
      <c r="L19" s="22">
        <v>166345</v>
      </c>
      <c r="M19" s="22">
        <v>167698</v>
      </c>
      <c r="N19" s="22">
        <v>143590</v>
      </c>
      <c r="O19" s="22">
        <v>147553</v>
      </c>
      <c r="P19" s="22">
        <v>141110</v>
      </c>
      <c r="Q19" s="22">
        <v>155709</v>
      </c>
      <c r="R19" s="22">
        <v>36133</v>
      </c>
      <c r="S19" s="22">
        <v>30890</v>
      </c>
      <c r="T19" s="22">
        <v>6897</v>
      </c>
      <c r="U19" s="22">
        <v>4</v>
      </c>
      <c r="V19" s="22">
        <v>21.8</v>
      </c>
      <c r="W19" s="22">
        <v>31</v>
      </c>
      <c r="X19" s="22">
        <v>30</v>
      </c>
      <c r="Y19" s="22">
        <v>381458.3</v>
      </c>
      <c r="Z19" s="22">
        <v>92438.5</v>
      </c>
      <c r="AA19" s="22">
        <v>906.9</v>
      </c>
      <c r="AB19" s="22">
        <v>353704</v>
      </c>
      <c r="AC19" s="22">
        <v>77990</v>
      </c>
      <c r="AD19" s="22">
        <v>471001</v>
      </c>
      <c r="AE19" s="22">
        <v>2225</v>
      </c>
      <c r="AF19" s="22">
        <v>0</v>
      </c>
      <c r="AG19" s="22">
        <v>88000</v>
      </c>
      <c r="AH19" s="22">
        <v>1</v>
      </c>
      <c r="AI19" s="22">
        <v>0</v>
      </c>
      <c r="AJ19" s="22">
        <v>4</v>
      </c>
      <c r="AK19" s="22">
        <v>0</v>
      </c>
      <c r="AL19" s="22">
        <v>0</v>
      </c>
      <c r="AM19" s="22">
        <v>0</v>
      </c>
      <c r="AN19" s="22">
        <v>13</v>
      </c>
      <c r="AO19" s="22">
        <v>4</v>
      </c>
      <c r="AP19" s="22">
        <v>0</v>
      </c>
      <c r="AQ19" s="22">
        <v>0</v>
      </c>
      <c r="AR19" s="22">
        <v>1</v>
      </c>
      <c r="AS19" s="22">
        <v>146</v>
      </c>
      <c r="AT19" s="22">
        <v>12</v>
      </c>
      <c r="AU19" s="22">
        <v>128</v>
      </c>
      <c r="AV19" s="22">
        <v>137861</v>
      </c>
      <c r="AW19" s="22">
        <v>144547</v>
      </c>
      <c r="AX19" s="22">
        <v>513258.9</v>
      </c>
      <c r="AY19" s="22">
        <v>543496.7</v>
      </c>
      <c r="AZ19" s="22">
        <v>19162.6</v>
      </c>
      <c r="BA19" s="22">
        <v>19627.6</v>
      </c>
      <c r="BB19" s="22">
        <v>151</v>
      </c>
      <c r="BC19" s="22">
        <v>142</v>
      </c>
      <c r="BD19" s="22">
        <v>153075</v>
      </c>
      <c r="BE19" s="22">
        <v>145391</v>
      </c>
      <c r="BF19" s="22">
        <v>1747</v>
      </c>
      <c r="BG19" s="22">
        <v>742</v>
      </c>
      <c r="BH19" s="22">
        <v>746</v>
      </c>
      <c r="BI19" s="22">
        <v>193519</v>
      </c>
      <c r="BJ19" s="22">
        <v>59200.1</v>
      </c>
      <c r="BK19" s="22">
        <v>0</v>
      </c>
      <c r="BL19" s="22">
        <v>0</v>
      </c>
      <c r="BM19" s="22">
        <v>0</v>
      </c>
      <c r="BN19" s="22">
        <v>0</v>
      </c>
      <c r="BO19" s="22">
        <v>0</v>
      </c>
      <c r="BP19" s="22">
        <v>0</v>
      </c>
      <c r="BQ19" s="22">
        <v>0</v>
      </c>
      <c r="BR19" s="22">
        <v>0</v>
      </c>
      <c r="BS19" s="22">
        <v>0</v>
      </c>
      <c r="BT19" s="22">
        <v>0</v>
      </c>
      <c r="BU19" s="22">
        <v>0</v>
      </c>
      <c r="BV19" s="22">
        <v>99</v>
      </c>
      <c r="BW19" s="22">
        <v>142848</v>
      </c>
      <c r="BX19" s="22">
        <v>143572</v>
      </c>
      <c r="BY19" s="22">
        <v>78562315</v>
      </c>
      <c r="BZ19" s="22">
        <v>166345</v>
      </c>
      <c r="CA19" s="22">
        <v>6659</v>
      </c>
    </row>
    <row r="20" spans="1:79">
      <c r="A20" s="22" t="s">
        <v>19</v>
      </c>
      <c r="B20" s="22" t="s">
        <v>179</v>
      </c>
      <c r="C20" s="22" t="s">
        <v>188</v>
      </c>
      <c r="D20" s="22" t="s">
        <v>185</v>
      </c>
      <c r="E20" s="22">
        <v>31</v>
      </c>
      <c r="F20" s="22">
        <v>5</v>
      </c>
      <c r="G20" s="22">
        <v>225.4</v>
      </c>
      <c r="H20" s="22">
        <v>744</v>
      </c>
      <c r="I20" s="22">
        <v>744</v>
      </c>
      <c r="J20" s="22">
        <v>711.9</v>
      </c>
      <c r="K20" s="22">
        <v>23.6</v>
      </c>
      <c r="L20" s="22">
        <v>167698</v>
      </c>
      <c r="M20" s="22">
        <v>167698</v>
      </c>
      <c r="N20" s="22">
        <v>151538</v>
      </c>
      <c r="O20" s="22">
        <v>142073</v>
      </c>
      <c r="P20" s="22">
        <v>138449</v>
      </c>
      <c r="Q20" s="22">
        <v>150347</v>
      </c>
      <c r="R20" s="22">
        <v>34297</v>
      </c>
      <c r="S20" s="22">
        <v>30571</v>
      </c>
      <c r="T20" s="22">
        <v>5319</v>
      </c>
      <c r="U20" s="22">
        <v>4</v>
      </c>
      <c r="V20" s="22">
        <v>21</v>
      </c>
      <c r="W20" s="22">
        <v>44</v>
      </c>
      <c r="X20" s="22">
        <v>44</v>
      </c>
      <c r="Y20" s="22">
        <v>423777.7</v>
      </c>
      <c r="Z20" s="22">
        <v>129686.6</v>
      </c>
      <c r="AA20" s="22">
        <v>1205.6</v>
      </c>
      <c r="AB20" s="22">
        <v>316694</v>
      </c>
      <c r="AC20" s="22">
        <v>99207</v>
      </c>
      <c r="AD20" s="22">
        <v>471761</v>
      </c>
      <c r="AE20" s="22">
        <v>13634</v>
      </c>
      <c r="AF20" s="22">
        <v>2</v>
      </c>
      <c r="AG20" s="22">
        <v>68000</v>
      </c>
      <c r="AH20" s="22">
        <v>1</v>
      </c>
      <c r="AI20" s="22">
        <v>0</v>
      </c>
      <c r="AJ20" s="22">
        <v>8</v>
      </c>
      <c r="AK20" s="22">
        <v>0</v>
      </c>
      <c r="AL20" s="22">
        <v>0</v>
      </c>
      <c r="AM20" s="22">
        <v>0</v>
      </c>
      <c r="AN20" s="22">
        <v>5</v>
      </c>
      <c r="AO20" s="22">
        <v>0</v>
      </c>
      <c r="AP20" s="22">
        <v>2</v>
      </c>
      <c r="AQ20" s="22">
        <v>1</v>
      </c>
      <c r="AR20" s="22">
        <v>1</v>
      </c>
      <c r="AS20" s="22">
        <v>123</v>
      </c>
      <c r="AT20" s="22">
        <v>4</v>
      </c>
      <c r="AU20" s="22">
        <v>98</v>
      </c>
      <c r="AV20" s="22">
        <v>139886</v>
      </c>
      <c r="AW20" s="22">
        <v>151878</v>
      </c>
      <c r="AX20" s="22">
        <v>526978.8</v>
      </c>
      <c r="AY20" s="22">
        <v>571061.3</v>
      </c>
      <c r="AZ20" s="22">
        <v>28405.2</v>
      </c>
      <c r="BA20" s="22">
        <v>18744.5</v>
      </c>
      <c r="BB20" s="22">
        <v>248</v>
      </c>
      <c r="BC20" s="22">
        <v>223</v>
      </c>
      <c r="BD20" s="22">
        <v>146756</v>
      </c>
      <c r="BE20" s="22">
        <v>142333</v>
      </c>
      <c r="BF20" s="22">
        <v>2489</v>
      </c>
      <c r="BG20" s="22">
        <v>1106</v>
      </c>
      <c r="BH20" s="22">
        <v>1140</v>
      </c>
      <c r="BI20" s="22">
        <v>217007.7</v>
      </c>
      <c r="BJ20" s="22">
        <v>72740.3</v>
      </c>
      <c r="BK20" s="22">
        <v>0</v>
      </c>
      <c r="BL20" s="22">
        <v>0</v>
      </c>
      <c r="BM20" s="22">
        <v>0</v>
      </c>
      <c r="BN20" s="22">
        <v>0</v>
      </c>
      <c r="BO20" s="22">
        <v>1</v>
      </c>
      <c r="BP20" s="22">
        <v>0</v>
      </c>
      <c r="BQ20" s="22">
        <v>0</v>
      </c>
      <c r="BR20" s="22">
        <v>0</v>
      </c>
      <c r="BS20" s="22">
        <v>0</v>
      </c>
      <c r="BT20" s="22">
        <v>0</v>
      </c>
      <c r="BU20" s="22">
        <v>0</v>
      </c>
      <c r="BV20" s="22">
        <v>99</v>
      </c>
      <c r="BW20" s="22">
        <v>151066</v>
      </c>
      <c r="BX20" s="22">
        <v>152573</v>
      </c>
      <c r="BY20" s="22">
        <v>74498932</v>
      </c>
      <c r="BZ20" s="22">
        <v>167698</v>
      </c>
      <c r="CA20" s="22">
        <v>4955</v>
      </c>
    </row>
    <row r="21" spans="1:79">
      <c r="A21" s="22" t="s">
        <v>19</v>
      </c>
      <c r="B21" s="22" t="s">
        <v>179</v>
      </c>
      <c r="C21" s="22" t="s">
        <v>188</v>
      </c>
      <c r="D21" s="22" t="s">
        <v>186</v>
      </c>
      <c r="E21" s="22">
        <v>30</v>
      </c>
      <c r="F21" s="22">
        <v>6</v>
      </c>
      <c r="G21" s="22">
        <v>225.4</v>
      </c>
      <c r="H21" s="22">
        <v>720</v>
      </c>
      <c r="I21" s="22">
        <v>719</v>
      </c>
      <c r="J21" s="22">
        <v>695.4</v>
      </c>
      <c r="K21" s="22">
        <v>12.3</v>
      </c>
      <c r="L21" s="22">
        <v>162063</v>
      </c>
      <c r="M21" s="22">
        <v>162288</v>
      </c>
      <c r="N21" s="22">
        <v>140379</v>
      </c>
      <c r="O21" s="22">
        <v>145600</v>
      </c>
      <c r="P21" s="22">
        <v>139711</v>
      </c>
      <c r="Q21" s="22">
        <v>154604</v>
      </c>
      <c r="R21" s="22">
        <v>36789</v>
      </c>
      <c r="S21" s="22">
        <v>31527</v>
      </c>
      <c r="T21" s="22">
        <v>2772</v>
      </c>
      <c r="U21" s="22">
        <v>2</v>
      </c>
      <c r="V21" s="22">
        <v>8.800000000000001</v>
      </c>
      <c r="W21" s="22">
        <v>58</v>
      </c>
      <c r="X21" s="22">
        <v>58</v>
      </c>
      <c r="Y21" s="22">
        <v>365860.2</v>
      </c>
      <c r="Z21" s="22">
        <v>97272</v>
      </c>
      <c r="AA21" s="22">
        <v>1454.1</v>
      </c>
      <c r="AB21" s="22">
        <v>346844</v>
      </c>
      <c r="AC21" s="22">
        <v>91566</v>
      </c>
      <c r="AD21" s="22">
        <v>496742</v>
      </c>
      <c r="AE21" s="22">
        <v>2939</v>
      </c>
      <c r="AF21" s="22">
        <v>1</v>
      </c>
      <c r="AG21" s="22">
        <v>69000</v>
      </c>
      <c r="AH21" s="22">
        <v>1</v>
      </c>
      <c r="AI21" s="22">
        <v>0</v>
      </c>
      <c r="AJ21" s="22">
        <v>9</v>
      </c>
      <c r="AK21" s="22">
        <v>0</v>
      </c>
      <c r="AL21" s="22">
        <v>0</v>
      </c>
      <c r="AM21" s="22">
        <v>0</v>
      </c>
      <c r="AN21" s="22">
        <v>8</v>
      </c>
      <c r="AO21" s="22">
        <v>2</v>
      </c>
      <c r="AP21" s="22">
        <v>0</v>
      </c>
      <c r="AQ21" s="22">
        <v>0</v>
      </c>
      <c r="AR21" s="22">
        <v>1</v>
      </c>
      <c r="AS21" s="22">
        <v>214</v>
      </c>
      <c r="AT21" s="22">
        <v>16</v>
      </c>
      <c r="AU21" s="22">
        <v>68</v>
      </c>
      <c r="AV21" s="22">
        <v>135965</v>
      </c>
      <c r="AW21" s="22">
        <v>140098</v>
      </c>
      <c r="AX21" s="22">
        <v>508764.6</v>
      </c>
      <c r="AY21" s="22">
        <v>526768.5</v>
      </c>
      <c r="AZ21" s="22">
        <v>21839.8</v>
      </c>
      <c r="BA21" s="22">
        <v>19282.9</v>
      </c>
      <c r="BB21" s="22">
        <v>290</v>
      </c>
      <c r="BC21" s="22">
        <v>268</v>
      </c>
      <c r="BD21" s="22">
        <v>150109</v>
      </c>
      <c r="BE21" s="22">
        <v>146024</v>
      </c>
      <c r="BF21" s="22">
        <v>907</v>
      </c>
      <c r="BG21" s="22">
        <v>1232</v>
      </c>
      <c r="BH21" s="22">
        <v>1261</v>
      </c>
      <c r="BI21" s="22">
        <v>209913.3</v>
      </c>
      <c r="BJ21" s="22">
        <v>64451.6</v>
      </c>
      <c r="BK21" s="22">
        <v>0</v>
      </c>
      <c r="BL21" s="22">
        <v>0</v>
      </c>
      <c r="BM21" s="22">
        <v>1</v>
      </c>
      <c r="BN21" s="22">
        <v>0</v>
      </c>
      <c r="BO21" s="22">
        <v>0</v>
      </c>
      <c r="BP21" s="22">
        <v>0</v>
      </c>
      <c r="BQ21" s="22">
        <v>0</v>
      </c>
      <c r="BR21" s="22">
        <v>0</v>
      </c>
      <c r="BS21" s="22">
        <v>0</v>
      </c>
      <c r="BT21" s="22">
        <v>0</v>
      </c>
      <c r="BU21" s="22">
        <v>0</v>
      </c>
      <c r="BV21" s="22">
        <v>99</v>
      </c>
      <c r="BW21" s="22">
        <v>141499</v>
      </c>
      <c r="BX21" s="22">
        <v>143032</v>
      </c>
      <c r="BY21" s="22">
        <v>79830315</v>
      </c>
      <c r="BZ21" s="22">
        <v>162063</v>
      </c>
      <c r="CA21" s="22">
        <v>2511</v>
      </c>
    </row>
    <row r="22" spans="1:79">
      <c r="A22" s="22" t="s">
        <v>19</v>
      </c>
      <c r="B22" s="22" t="s">
        <v>189</v>
      </c>
      <c r="C22" s="22" t="s">
        <v>190</v>
      </c>
      <c r="D22" s="22" t="s">
        <v>181</v>
      </c>
      <c r="E22" s="22">
        <v>30</v>
      </c>
      <c r="F22" s="22">
        <v>1</v>
      </c>
      <c r="G22" s="22">
        <v>126.8</v>
      </c>
      <c r="H22" s="22">
        <v>720</v>
      </c>
      <c r="I22" s="22">
        <v>717</v>
      </c>
      <c r="J22" s="22">
        <v>688.4</v>
      </c>
      <c r="K22" s="22">
        <v>13.3</v>
      </c>
      <c r="L22" s="22">
        <v>90916</v>
      </c>
      <c r="M22" s="22">
        <v>91296</v>
      </c>
      <c r="N22" s="22">
        <v>79171</v>
      </c>
      <c r="O22" s="22">
        <v>79525</v>
      </c>
      <c r="P22" s="22">
        <v>77084</v>
      </c>
      <c r="Q22" s="22">
        <v>83058</v>
      </c>
      <c r="R22" s="22">
        <v>18101</v>
      </c>
      <c r="S22" s="22">
        <v>16015</v>
      </c>
      <c r="T22" s="22">
        <v>1686</v>
      </c>
      <c r="U22" s="22">
        <v>2</v>
      </c>
      <c r="V22" s="22">
        <v>6.8</v>
      </c>
      <c r="W22" s="22">
        <v>46</v>
      </c>
      <c r="X22" s="22">
        <v>43</v>
      </c>
      <c r="Y22" s="22">
        <v>238202.9</v>
      </c>
      <c r="Z22" s="22">
        <v>62768.6</v>
      </c>
      <c r="AA22" s="22">
        <v>1114.8</v>
      </c>
      <c r="AB22" s="22">
        <v>186852</v>
      </c>
      <c r="AC22" s="22">
        <v>47773</v>
      </c>
      <c r="AD22" s="22">
        <v>263207</v>
      </c>
      <c r="AE22" s="22">
        <v>29</v>
      </c>
      <c r="AF22" s="22">
        <v>0</v>
      </c>
      <c r="AG22" s="22">
        <v>82000</v>
      </c>
      <c r="AH22" s="22">
        <v>0</v>
      </c>
      <c r="AI22" s="22">
        <v>0</v>
      </c>
      <c r="AJ22" s="22">
        <v>5</v>
      </c>
      <c r="AK22" s="22">
        <v>0</v>
      </c>
      <c r="AL22" s="22">
        <v>0</v>
      </c>
      <c r="AM22" s="22">
        <v>0</v>
      </c>
      <c r="AN22" s="22">
        <v>14</v>
      </c>
      <c r="AO22" s="22">
        <v>4</v>
      </c>
      <c r="AP22" s="22">
        <v>2</v>
      </c>
      <c r="AQ22" s="22">
        <v>1</v>
      </c>
      <c r="AR22" s="22">
        <v>2</v>
      </c>
      <c r="AS22" s="22">
        <v>243</v>
      </c>
      <c r="AT22" s="22">
        <v>21</v>
      </c>
      <c r="AU22" s="22">
        <v>369</v>
      </c>
      <c r="AV22" s="22">
        <v>78225</v>
      </c>
      <c r="AW22" s="22">
        <v>79795</v>
      </c>
      <c r="AX22" s="22">
        <v>292752.8</v>
      </c>
      <c r="AY22" s="22">
        <v>300029.2</v>
      </c>
      <c r="AZ22" s="22">
        <v>12037.8</v>
      </c>
      <c r="BA22" s="22">
        <v>10982</v>
      </c>
      <c r="BB22" s="22">
        <v>185</v>
      </c>
      <c r="BC22" s="22">
        <v>171</v>
      </c>
      <c r="BD22" s="22">
        <v>85445</v>
      </c>
      <c r="BE22" s="22">
        <v>81285</v>
      </c>
      <c r="BF22" s="22">
        <v>817</v>
      </c>
      <c r="BG22" s="22">
        <v>910</v>
      </c>
      <c r="BH22" s="22">
        <v>944</v>
      </c>
      <c r="BI22" s="22">
        <v>138709</v>
      </c>
      <c r="BJ22" s="22">
        <v>42357</v>
      </c>
      <c r="BK22" s="22">
        <v>0</v>
      </c>
      <c r="BL22" s="22">
        <v>1</v>
      </c>
      <c r="BM22" s="22">
        <v>0</v>
      </c>
      <c r="BN22" s="22">
        <v>0</v>
      </c>
      <c r="BO22" s="22">
        <v>0</v>
      </c>
      <c r="BP22" s="22">
        <v>0</v>
      </c>
      <c r="BQ22" s="22">
        <v>0</v>
      </c>
      <c r="BR22" s="22">
        <v>0</v>
      </c>
      <c r="BS22" s="22">
        <v>0</v>
      </c>
      <c r="BT22" s="22">
        <v>0</v>
      </c>
      <c r="BU22" s="22">
        <v>0</v>
      </c>
      <c r="BV22" s="22">
        <v>99</v>
      </c>
      <c r="BW22" s="22">
        <v>80201</v>
      </c>
      <c r="BX22" s="22">
        <v>80236</v>
      </c>
      <c r="BY22" s="22">
        <v>22408244</v>
      </c>
      <c r="BZ22" s="22">
        <v>90916</v>
      </c>
      <c r="CA22" s="22">
        <v>1762</v>
      </c>
    </row>
    <row r="23" spans="1:79">
      <c r="A23" s="22" t="s">
        <v>19</v>
      </c>
      <c r="B23" s="22" t="s">
        <v>189</v>
      </c>
      <c r="C23" s="22" t="s">
        <v>190</v>
      </c>
      <c r="D23" s="22" t="s">
        <v>182</v>
      </c>
      <c r="E23" s="22">
        <v>31</v>
      </c>
      <c r="F23" s="22">
        <v>2</v>
      </c>
      <c r="G23" s="22">
        <v>126.8</v>
      </c>
      <c r="H23" s="22">
        <v>744</v>
      </c>
      <c r="I23" s="22">
        <v>744</v>
      </c>
      <c r="J23" s="22">
        <v>690.2</v>
      </c>
      <c r="K23" s="22">
        <v>40.9</v>
      </c>
      <c r="L23" s="22">
        <v>94339</v>
      </c>
      <c r="M23" s="22">
        <v>94339</v>
      </c>
      <c r="N23" s="22">
        <v>84525</v>
      </c>
      <c r="O23" s="22">
        <v>77136</v>
      </c>
      <c r="P23" s="22">
        <v>76321</v>
      </c>
      <c r="Q23" s="22">
        <v>83199</v>
      </c>
      <c r="R23" s="22">
        <v>16003</v>
      </c>
      <c r="S23" s="22">
        <v>14046</v>
      </c>
      <c r="T23" s="22">
        <v>5186</v>
      </c>
      <c r="U23" s="22">
        <v>4</v>
      </c>
      <c r="V23" s="22">
        <v>31.1</v>
      </c>
      <c r="W23" s="22">
        <v>39</v>
      </c>
      <c r="X23" s="22">
        <v>39</v>
      </c>
      <c r="Y23" s="22">
        <v>233996.7</v>
      </c>
      <c r="Z23" s="22">
        <v>64991.9</v>
      </c>
      <c r="AA23" s="22">
        <v>1447.4</v>
      </c>
      <c r="AB23" s="22">
        <v>165220</v>
      </c>
      <c r="AC23" s="22">
        <v>55497</v>
      </c>
      <c r="AD23" s="22">
        <v>234243</v>
      </c>
      <c r="AE23" s="22">
        <v>10015</v>
      </c>
      <c r="AF23" s="22">
        <v>0</v>
      </c>
      <c r="AG23" s="22">
        <v>78000</v>
      </c>
      <c r="AH23" s="22">
        <v>2</v>
      </c>
      <c r="AI23" s="22">
        <v>0</v>
      </c>
      <c r="AJ23" s="22">
        <v>8</v>
      </c>
      <c r="AK23" s="22">
        <v>0</v>
      </c>
      <c r="AL23" s="22">
        <v>0</v>
      </c>
      <c r="AM23" s="22">
        <v>0</v>
      </c>
      <c r="AN23" s="22">
        <v>14</v>
      </c>
      <c r="AO23" s="22">
        <v>4</v>
      </c>
      <c r="AP23" s="22">
        <v>1</v>
      </c>
      <c r="AQ23" s="22">
        <v>1</v>
      </c>
      <c r="AR23" s="22">
        <v>2</v>
      </c>
      <c r="AS23" s="22">
        <v>142</v>
      </c>
      <c r="AT23" s="22">
        <v>12</v>
      </c>
      <c r="AU23" s="22">
        <v>339</v>
      </c>
      <c r="AV23" s="22">
        <v>76384</v>
      </c>
      <c r="AW23" s="22">
        <v>84435</v>
      </c>
      <c r="AX23" s="22">
        <v>286207.4</v>
      </c>
      <c r="AY23" s="22">
        <v>317475.6</v>
      </c>
      <c r="AZ23" s="22">
        <v>12579.9</v>
      </c>
      <c r="BA23" s="22">
        <v>10522.7</v>
      </c>
      <c r="BB23" s="22">
        <v>256</v>
      </c>
      <c r="BC23" s="22">
        <v>244</v>
      </c>
      <c r="BD23" s="22">
        <v>81385</v>
      </c>
      <c r="BE23" s="22">
        <v>76900</v>
      </c>
      <c r="BF23" s="22">
        <v>1273</v>
      </c>
      <c r="BG23" s="22">
        <v>868</v>
      </c>
      <c r="BH23" s="22">
        <v>864</v>
      </c>
      <c r="BI23" s="22">
        <v>134793.4</v>
      </c>
      <c r="BJ23" s="22">
        <v>42151.6</v>
      </c>
      <c r="BK23" s="22">
        <v>0</v>
      </c>
      <c r="BL23" s="22">
        <v>1</v>
      </c>
      <c r="BM23" s="22">
        <v>0</v>
      </c>
      <c r="BN23" s="22">
        <v>0</v>
      </c>
      <c r="BO23" s="22">
        <v>0</v>
      </c>
      <c r="BP23" s="22">
        <v>0</v>
      </c>
      <c r="BQ23" s="22">
        <v>1</v>
      </c>
      <c r="BR23" s="22">
        <v>0</v>
      </c>
      <c r="BS23" s="22">
        <v>0</v>
      </c>
      <c r="BT23" s="22">
        <v>0</v>
      </c>
      <c r="BU23" s="22">
        <v>0</v>
      </c>
      <c r="BV23" s="22">
        <v>99</v>
      </c>
      <c r="BW23" s="22">
        <v>84694</v>
      </c>
      <c r="BX23" s="22">
        <v>86072</v>
      </c>
      <c r="BY23" s="22">
        <v>29628619</v>
      </c>
      <c r="BZ23" s="22">
        <v>94339</v>
      </c>
      <c r="CA23" s="22">
        <v>5194</v>
      </c>
    </row>
    <row r="24" spans="1:79">
      <c r="A24" s="22" t="s">
        <v>19</v>
      </c>
      <c r="B24" s="22" t="s">
        <v>189</v>
      </c>
      <c r="C24" s="22" t="s">
        <v>190</v>
      </c>
      <c r="D24" s="22" t="s">
        <v>183</v>
      </c>
      <c r="E24" s="22">
        <v>30</v>
      </c>
      <c r="F24" s="22">
        <v>3</v>
      </c>
      <c r="G24" s="22">
        <v>126.8</v>
      </c>
      <c r="H24" s="22">
        <v>720</v>
      </c>
      <c r="I24" s="22">
        <v>715</v>
      </c>
      <c r="J24" s="22">
        <v>673.8</v>
      </c>
      <c r="K24" s="22">
        <v>33.6</v>
      </c>
      <c r="L24" s="22">
        <v>90662</v>
      </c>
      <c r="M24" s="22">
        <v>91296</v>
      </c>
      <c r="N24" s="22">
        <v>81891</v>
      </c>
      <c r="O24" s="22">
        <v>77095</v>
      </c>
      <c r="P24" s="22">
        <v>75177</v>
      </c>
      <c r="Q24" s="22">
        <v>82906</v>
      </c>
      <c r="R24" s="22">
        <v>14930</v>
      </c>
      <c r="S24" s="22">
        <v>13568</v>
      </c>
      <c r="T24" s="22">
        <v>4260</v>
      </c>
      <c r="U24" s="22">
        <v>3</v>
      </c>
      <c r="V24" s="22">
        <v>25.4</v>
      </c>
      <c r="W24" s="22">
        <v>57</v>
      </c>
      <c r="X24" s="22">
        <v>54</v>
      </c>
      <c r="Y24" s="22">
        <v>245128.1</v>
      </c>
      <c r="Z24" s="22">
        <v>77698.3</v>
      </c>
      <c r="AA24" s="22">
        <v>915.1</v>
      </c>
      <c r="AB24" s="22">
        <v>135852</v>
      </c>
      <c r="AC24" s="22">
        <v>41790</v>
      </c>
      <c r="AD24" s="22">
        <v>240232</v>
      </c>
      <c r="AE24" s="22">
        <v>6867</v>
      </c>
      <c r="AF24" s="22">
        <v>0</v>
      </c>
      <c r="AG24" s="22">
        <v>61000</v>
      </c>
      <c r="AH24" s="22">
        <v>0</v>
      </c>
      <c r="AI24" s="22">
        <v>0</v>
      </c>
      <c r="AJ24" s="22">
        <v>11</v>
      </c>
      <c r="AK24" s="22">
        <v>0</v>
      </c>
      <c r="AL24" s="22">
        <v>0</v>
      </c>
      <c r="AM24" s="22">
        <v>0</v>
      </c>
      <c r="AN24" s="22">
        <v>7</v>
      </c>
      <c r="AO24" s="22">
        <v>1</v>
      </c>
      <c r="AP24" s="22">
        <v>2</v>
      </c>
      <c r="AQ24" s="22">
        <v>2</v>
      </c>
      <c r="AR24" s="22">
        <v>0</v>
      </c>
      <c r="AS24" s="22">
        <v>162</v>
      </c>
      <c r="AT24" s="22">
        <v>12</v>
      </c>
      <c r="AU24" s="22">
        <v>309</v>
      </c>
      <c r="AV24" s="22">
        <v>73486</v>
      </c>
      <c r="AW24" s="22">
        <v>81728</v>
      </c>
      <c r="AX24" s="22">
        <v>279181.4</v>
      </c>
      <c r="AY24" s="22">
        <v>307297.3</v>
      </c>
      <c r="AZ24" s="22">
        <v>13248</v>
      </c>
      <c r="BA24" s="22">
        <v>10780</v>
      </c>
      <c r="BB24" s="22">
        <v>260</v>
      </c>
      <c r="BC24" s="22">
        <v>244</v>
      </c>
      <c r="BD24" s="22">
        <v>82921</v>
      </c>
      <c r="BE24" s="22">
        <v>80610</v>
      </c>
      <c r="BF24" s="22">
        <v>1193</v>
      </c>
      <c r="BG24" s="22">
        <v>616</v>
      </c>
      <c r="BH24" s="22">
        <v>612</v>
      </c>
      <c r="BI24" s="22">
        <v>125625</v>
      </c>
      <c r="BJ24" s="22">
        <v>45178.6</v>
      </c>
      <c r="BK24" s="22">
        <v>0</v>
      </c>
      <c r="BL24" s="22">
        <v>0</v>
      </c>
      <c r="BM24" s="22">
        <v>0</v>
      </c>
      <c r="BN24" s="22">
        <v>0</v>
      </c>
      <c r="BO24" s="22">
        <v>1</v>
      </c>
      <c r="BP24" s="22">
        <v>0</v>
      </c>
      <c r="BQ24" s="22">
        <v>0</v>
      </c>
      <c r="BR24" s="22">
        <v>0</v>
      </c>
      <c r="BS24" s="22">
        <v>0</v>
      </c>
      <c r="BT24" s="22">
        <v>0</v>
      </c>
      <c r="BU24" s="22">
        <v>0</v>
      </c>
      <c r="BV24" s="22">
        <v>99</v>
      </c>
      <c r="BW24" s="22">
        <v>82984</v>
      </c>
      <c r="BX24" s="22">
        <v>84868</v>
      </c>
      <c r="BY24" s="22">
        <v>28287238</v>
      </c>
      <c r="BZ24" s="22">
        <v>90662</v>
      </c>
      <c r="CA24" s="22">
        <v>3740</v>
      </c>
    </row>
    <row r="25" spans="1:79">
      <c r="A25" s="22" t="s">
        <v>19</v>
      </c>
      <c r="B25" s="22" t="s">
        <v>189</v>
      </c>
      <c r="C25" s="22" t="s">
        <v>190</v>
      </c>
      <c r="D25" s="22" t="s">
        <v>184</v>
      </c>
      <c r="E25" s="22">
        <v>31</v>
      </c>
      <c r="F25" s="22">
        <v>4</v>
      </c>
      <c r="G25" s="22">
        <v>126.8</v>
      </c>
      <c r="H25" s="22">
        <v>744</v>
      </c>
      <c r="I25" s="22">
        <v>741</v>
      </c>
      <c r="J25" s="22">
        <v>708.1</v>
      </c>
      <c r="K25" s="22">
        <v>22</v>
      </c>
      <c r="L25" s="22">
        <v>93959</v>
      </c>
      <c r="M25" s="22">
        <v>94339</v>
      </c>
      <c r="N25" s="22">
        <v>82701</v>
      </c>
      <c r="O25" s="22">
        <v>79759</v>
      </c>
      <c r="P25" s="22">
        <v>77695</v>
      </c>
      <c r="Q25" s="22">
        <v>82058</v>
      </c>
      <c r="R25" s="22">
        <v>17436</v>
      </c>
      <c r="S25" s="22">
        <v>14929</v>
      </c>
      <c r="T25" s="22">
        <v>2790</v>
      </c>
      <c r="U25" s="22">
        <v>4</v>
      </c>
      <c r="V25" s="22">
        <v>15.4</v>
      </c>
      <c r="W25" s="22">
        <v>51</v>
      </c>
      <c r="X25" s="22">
        <v>49</v>
      </c>
      <c r="Y25" s="22">
        <v>257344</v>
      </c>
      <c r="Z25" s="22">
        <v>81305.8</v>
      </c>
      <c r="AA25" s="22">
        <v>1342.1</v>
      </c>
      <c r="AB25" s="22">
        <v>154581</v>
      </c>
      <c r="AC25" s="22">
        <v>45272</v>
      </c>
      <c r="AD25" s="22">
        <v>243309</v>
      </c>
      <c r="AE25" s="22">
        <v>5005</v>
      </c>
      <c r="AF25" s="22">
        <v>1</v>
      </c>
      <c r="AG25" s="22">
        <v>62000</v>
      </c>
      <c r="AH25" s="22">
        <v>0</v>
      </c>
      <c r="AI25" s="22">
        <v>1</v>
      </c>
      <c r="AJ25" s="22">
        <v>4</v>
      </c>
      <c r="AK25" s="22">
        <v>0</v>
      </c>
      <c r="AL25" s="22">
        <v>1</v>
      </c>
      <c r="AM25" s="22">
        <v>0</v>
      </c>
      <c r="AN25" s="22">
        <v>13</v>
      </c>
      <c r="AO25" s="22">
        <v>2</v>
      </c>
      <c r="AP25" s="22">
        <v>0</v>
      </c>
      <c r="AQ25" s="22">
        <v>0</v>
      </c>
      <c r="AR25" s="22">
        <v>1</v>
      </c>
      <c r="AS25" s="22">
        <v>184</v>
      </c>
      <c r="AT25" s="22">
        <v>16</v>
      </c>
      <c r="AU25" s="22">
        <v>279</v>
      </c>
      <c r="AV25" s="22">
        <v>77247</v>
      </c>
      <c r="AW25" s="22">
        <v>82056</v>
      </c>
      <c r="AX25" s="22">
        <v>291169.2</v>
      </c>
      <c r="AY25" s="22">
        <v>308530.6</v>
      </c>
      <c r="AZ25" s="22">
        <v>13722.7</v>
      </c>
      <c r="BA25" s="22">
        <v>11010.1</v>
      </c>
      <c r="BB25" s="22">
        <v>185</v>
      </c>
      <c r="BC25" s="22">
        <v>171</v>
      </c>
      <c r="BD25" s="22">
        <v>79610</v>
      </c>
      <c r="BE25" s="22">
        <v>75439</v>
      </c>
      <c r="BF25" s="22">
        <v>478</v>
      </c>
      <c r="BG25" s="22">
        <v>966</v>
      </c>
      <c r="BH25" s="22">
        <v>950</v>
      </c>
      <c r="BI25" s="22">
        <v>140730.1</v>
      </c>
      <c r="BJ25" s="22">
        <v>45590.2</v>
      </c>
      <c r="BK25" s="22">
        <v>0</v>
      </c>
      <c r="BL25" s="22">
        <v>0</v>
      </c>
      <c r="BM25" s="22">
        <v>1</v>
      </c>
      <c r="BN25" s="22">
        <v>0</v>
      </c>
      <c r="BO25" s="22">
        <v>1</v>
      </c>
      <c r="BP25" s="22">
        <v>0</v>
      </c>
      <c r="BQ25" s="22">
        <v>0</v>
      </c>
      <c r="BR25" s="22">
        <v>0</v>
      </c>
      <c r="BS25" s="22">
        <v>0</v>
      </c>
      <c r="BT25" s="22">
        <v>0</v>
      </c>
      <c r="BU25" s="22">
        <v>0</v>
      </c>
      <c r="BV25" s="22">
        <v>99</v>
      </c>
      <c r="BW25" s="22">
        <v>83335</v>
      </c>
      <c r="BX25" s="22">
        <v>83508</v>
      </c>
      <c r="BY25" s="22">
        <v>27394770</v>
      </c>
      <c r="BZ25" s="22">
        <v>93959</v>
      </c>
      <c r="CA25" s="22">
        <v>3147</v>
      </c>
    </row>
    <row r="26" spans="1:79">
      <c r="A26" s="22" t="s">
        <v>19</v>
      </c>
      <c r="B26" s="22" t="s">
        <v>189</v>
      </c>
      <c r="C26" s="22" t="s">
        <v>190</v>
      </c>
      <c r="D26" s="22" t="s">
        <v>185</v>
      </c>
      <c r="E26" s="22">
        <v>31</v>
      </c>
      <c r="F26" s="22">
        <v>5</v>
      </c>
      <c r="G26" s="22">
        <v>126.8</v>
      </c>
      <c r="H26" s="22">
        <v>744</v>
      </c>
      <c r="I26" s="22">
        <v>679</v>
      </c>
      <c r="J26" s="22">
        <v>649.4</v>
      </c>
      <c r="K26" s="22">
        <v>9.4</v>
      </c>
      <c r="L26" s="22">
        <v>86097</v>
      </c>
      <c r="M26" s="22">
        <v>94339</v>
      </c>
      <c r="N26" s="22">
        <v>76728</v>
      </c>
      <c r="O26" s="22">
        <v>78482</v>
      </c>
      <c r="P26" s="22">
        <v>77594</v>
      </c>
      <c r="Q26" s="22">
        <v>84729</v>
      </c>
      <c r="R26" s="22">
        <v>18910</v>
      </c>
      <c r="S26" s="22">
        <v>16857</v>
      </c>
      <c r="T26" s="22">
        <v>1192</v>
      </c>
      <c r="U26" s="22">
        <v>1</v>
      </c>
      <c r="V26" s="22">
        <v>4.1</v>
      </c>
      <c r="W26" s="22">
        <v>34</v>
      </c>
      <c r="X26" s="22">
        <v>33</v>
      </c>
      <c r="Y26" s="22">
        <v>220843.7</v>
      </c>
      <c r="Z26" s="22">
        <v>64490.9</v>
      </c>
      <c r="AA26" s="22">
        <v>1234.9</v>
      </c>
      <c r="AB26" s="22">
        <v>184195</v>
      </c>
      <c r="AC26" s="22">
        <v>53673</v>
      </c>
      <c r="AD26" s="22">
        <v>235582</v>
      </c>
      <c r="AE26" s="22">
        <v>806</v>
      </c>
      <c r="AF26" s="22">
        <v>0</v>
      </c>
      <c r="AG26" s="22">
        <v>70000</v>
      </c>
      <c r="AH26" s="22">
        <v>0</v>
      </c>
      <c r="AI26" s="22">
        <v>0</v>
      </c>
      <c r="AJ26" s="22">
        <v>2</v>
      </c>
      <c r="AK26" s="22">
        <v>0</v>
      </c>
      <c r="AL26" s="22">
        <v>1</v>
      </c>
      <c r="AM26" s="22">
        <v>0</v>
      </c>
      <c r="AN26" s="22">
        <v>12</v>
      </c>
      <c r="AO26" s="22">
        <v>1</v>
      </c>
      <c r="AP26" s="22">
        <v>2</v>
      </c>
      <c r="AQ26" s="22">
        <v>2</v>
      </c>
      <c r="AR26" s="22">
        <v>2</v>
      </c>
      <c r="AS26" s="22">
        <v>203</v>
      </c>
      <c r="AT26" s="22">
        <v>17</v>
      </c>
      <c r="AU26" s="22">
        <v>249</v>
      </c>
      <c r="AV26" s="22">
        <v>77529</v>
      </c>
      <c r="AW26" s="22">
        <v>76544</v>
      </c>
      <c r="AX26" s="22">
        <v>289721.3</v>
      </c>
      <c r="AY26" s="22">
        <v>287805.4</v>
      </c>
      <c r="AZ26" s="22">
        <v>14166.6</v>
      </c>
      <c r="BA26" s="22">
        <v>10471.6</v>
      </c>
      <c r="BB26" s="22">
        <v>289</v>
      </c>
      <c r="BC26" s="22">
        <v>271</v>
      </c>
      <c r="BD26" s="22">
        <v>86419</v>
      </c>
      <c r="BE26" s="22">
        <v>81593</v>
      </c>
      <c r="BF26" s="22">
        <v>1269</v>
      </c>
      <c r="BG26" s="22">
        <v>854</v>
      </c>
      <c r="BH26" s="22">
        <v>848</v>
      </c>
      <c r="BI26" s="22">
        <v>125934</v>
      </c>
      <c r="BJ26" s="22">
        <v>46998.8</v>
      </c>
      <c r="BK26" s="22">
        <v>0</v>
      </c>
      <c r="BL26" s="22">
        <v>0</v>
      </c>
      <c r="BM26" s="22">
        <v>0</v>
      </c>
      <c r="BN26" s="22">
        <v>0</v>
      </c>
      <c r="BO26" s="22">
        <v>1</v>
      </c>
      <c r="BP26" s="22">
        <v>0</v>
      </c>
      <c r="BQ26" s="22">
        <v>0</v>
      </c>
      <c r="BR26" s="22">
        <v>0</v>
      </c>
      <c r="BS26" s="22">
        <v>0</v>
      </c>
      <c r="BT26" s="22">
        <v>0</v>
      </c>
      <c r="BU26" s="22">
        <v>0</v>
      </c>
      <c r="BV26" s="22">
        <v>99</v>
      </c>
      <c r="BW26" s="22">
        <v>76557</v>
      </c>
      <c r="BX26" s="22">
        <v>77850</v>
      </c>
      <c r="BY26" s="22">
        <v>25092390</v>
      </c>
      <c r="BZ26" s="22">
        <v>86097</v>
      </c>
      <c r="CA26" s="22">
        <v>1134</v>
      </c>
    </row>
    <row r="27" spans="1:79">
      <c r="A27" s="22" t="s">
        <v>19</v>
      </c>
      <c r="B27" s="22" t="s">
        <v>189</v>
      </c>
      <c r="C27" s="22" t="s">
        <v>190</v>
      </c>
      <c r="D27" s="22" t="s">
        <v>186</v>
      </c>
      <c r="E27" s="22">
        <v>30</v>
      </c>
      <c r="F27" s="22">
        <v>6</v>
      </c>
      <c r="G27" s="22">
        <v>126.8</v>
      </c>
      <c r="H27" s="22">
        <v>720</v>
      </c>
      <c r="I27" s="22">
        <v>718</v>
      </c>
      <c r="J27" s="22">
        <v>690.6</v>
      </c>
      <c r="K27" s="22">
        <v>10.1</v>
      </c>
      <c r="L27" s="22">
        <v>91042</v>
      </c>
      <c r="M27" s="22">
        <v>91296</v>
      </c>
      <c r="N27" s="22">
        <v>79048</v>
      </c>
      <c r="O27" s="22">
        <v>83890</v>
      </c>
      <c r="P27" s="22">
        <v>81694</v>
      </c>
      <c r="Q27" s="22">
        <v>90180</v>
      </c>
      <c r="R27" s="22">
        <v>20374</v>
      </c>
      <c r="S27" s="22">
        <v>18005</v>
      </c>
      <c r="T27" s="22">
        <v>1281</v>
      </c>
      <c r="U27" s="22">
        <v>1</v>
      </c>
      <c r="V27" s="22">
        <v>6.8</v>
      </c>
      <c r="W27" s="22">
        <v>59</v>
      </c>
      <c r="X27" s="22">
        <v>59</v>
      </c>
      <c r="Y27" s="22">
        <v>266460.1</v>
      </c>
      <c r="Z27" s="22">
        <v>82640.2</v>
      </c>
      <c r="AA27" s="22">
        <v>1127.6</v>
      </c>
      <c r="AB27" s="22">
        <v>178267</v>
      </c>
      <c r="AC27" s="22">
        <v>58385</v>
      </c>
      <c r="AD27" s="22">
        <v>283879</v>
      </c>
      <c r="AE27" s="22">
        <v>0</v>
      </c>
      <c r="AF27" s="22">
        <v>0</v>
      </c>
      <c r="AG27" s="22">
        <v>57000</v>
      </c>
      <c r="AH27" s="22">
        <v>0</v>
      </c>
      <c r="AI27" s="22">
        <v>0</v>
      </c>
      <c r="AJ27" s="22">
        <v>3</v>
      </c>
      <c r="AK27" s="22">
        <v>0</v>
      </c>
      <c r="AL27" s="22">
        <v>1</v>
      </c>
      <c r="AM27" s="22">
        <v>0</v>
      </c>
      <c r="AN27" s="22">
        <v>6</v>
      </c>
      <c r="AO27" s="22">
        <v>1</v>
      </c>
      <c r="AP27" s="22">
        <v>0</v>
      </c>
      <c r="AQ27" s="22">
        <v>0</v>
      </c>
      <c r="AR27" s="22">
        <v>0</v>
      </c>
      <c r="AS27" s="22">
        <v>169</v>
      </c>
      <c r="AT27" s="22">
        <v>12</v>
      </c>
      <c r="AU27" s="22">
        <v>219</v>
      </c>
      <c r="AV27" s="22">
        <v>83171</v>
      </c>
      <c r="AW27" s="22">
        <v>78942</v>
      </c>
      <c r="AX27" s="22">
        <v>310595</v>
      </c>
      <c r="AY27" s="22">
        <v>296821.9</v>
      </c>
      <c r="AZ27" s="22">
        <v>16180</v>
      </c>
      <c r="BA27" s="22">
        <v>11077.3</v>
      </c>
      <c r="BB27" s="22">
        <v>290</v>
      </c>
      <c r="BC27" s="22">
        <v>271</v>
      </c>
      <c r="BD27" s="22">
        <v>90306</v>
      </c>
      <c r="BE27" s="22">
        <v>85528</v>
      </c>
      <c r="BF27" s="22">
        <v>1378</v>
      </c>
      <c r="BG27" s="22">
        <v>1148</v>
      </c>
      <c r="BH27" s="22">
        <v>1193</v>
      </c>
      <c r="BI27" s="22">
        <v>145373</v>
      </c>
      <c r="BJ27" s="22">
        <v>45358</v>
      </c>
      <c r="BK27" s="22">
        <v>0</v>
      </c>
      <c r="BL27" s="22">
        <v>0</v>
      </c>
      <c r="BM27" s="22">
        <v>0</v>
      </c>
      <c r="BN27" s="22">
        <v>0</v>
      </c>
      <c r="BO27" s="22">
        <v>0</v>
      </c>
      <c r="BP27" s="22">
        <v>0</v>
      </c>
      <c r="BQ27" s="22">
        <v>0</v>
      </c>
      <c r="BR27" s="22">
        <v>0</v>
      </c>
      <c r="BS27" s="22">
        <v>0</v>
      </c>
      <c r="BT27" s="22">
        <v>0</v>
      </c>
      <c r="BU27" s="22">
        <v>0</v>
      </c>
      <c r="BV27" s="22">
        <v>99</v>
      </c>
      <c r="BW27" s="22">
        <v>80582</v>
      </c>
      <c r="BX27" s="22">
        <v>80307</v>
      </c>
      <c r="BY27" s="22">
        <v>23556548</v>
      </c>
      <c r="BZ27" s="22">
        <v>91042</v>
      </c>
      <c r="CA27" s="22">
        <v>1421</v>
      </c>
    </row>
    <row r="28" spans="1:79">
      <c r="A28" s="22" t="s">
        <v>19</v>
      </c>
      <c r="B28" s="22" t="s">
        <v>189</v>
      </c>
      <c r="C28" s="22" t="s">
        <v>191</v>
      </c>
      <c r="D28" s="22" t="s">
        <v>181</v>
      </c>
      <c r="E28" s="22">
        <v>30</v>
      </c>
      <c r="F28" s="22">
        <v>1</v>
      </c>
      <c r="G28" s="22">
        <v>205</v>
      </c>
      <c r="H28" s="22">
        <v>720</v>
      </c>
      <c r="I28" s="22">
        <v>710</v>
      </c>
      <c r="J28" s="22">
        <v>684.5</v>
      </c>
      <c r="K28" s="22">
        <v>17</v>
      </c>
      <c r="L28" s="22">
        <v>145550</v>
      </c>
      <c r="M28" s="22">
        <v>147600</v>
      </c>
      <c r="N28" s="22">
        <v>129763</v>
      </c>
      <c r="O28" s="22">
        <v>135746</v>
      </c>
      <c r="P28" s="22">
        <v>129454</v>
      </c>
      <c r="Q28" s="22">
        <v>144929</v>
      </c>
      <c r="R28" s="22">
        <v>32992</v>
      </c>
      <c r="S28" s="22">
        <v>28916</v>
      </c>
      <c r="T28" s="22">
        <v>3485</v>
      </c>
      <c r="U28" s="22">
        <v>2</v>
      </c>
      <c r="V28" s="22">
        <v>13.9</v>
      </c>
      <c r="W28" s="22">
        <v>52</v>
      </c>
      <c r="X28" s="22">
        <v>48</v>
      </c>
      <c r="Y28" s="22">
        <v>435077.3</v>
      </c>
      <c r="Z28" s="22">
        <v>128779.7</v>
      </c>
      <c r="AA28" s="22">
        <v>1262.8</v>
      </c>
      <c r="AB28" s="22">
        <v>292639</v>
      </c>
      <c r="AC28" s="22">
        <v>86136</v>
      </c>
      <c r="AD28" s="22">
        <v>447791</v>
      </c>
      <c r="AE28" s="22">
        <v>2659</v>
      </c>
      <c r="AF28" s="22">
        <v>2</v>
      </c>
      <c r="AG28" s="22">
        <v>88000</v>
      </c>
      <c r="AH28" s="22">
        <v>2</v>
      </c>
      <c r="AI28" s="22">
        <v>0</v>
      </c>
      <c r="AJ28" s="22">
        <v>3</v>
      </c>
      <c r="AK28" s="22">
        <v>0</v>
      </c>
      <c r="AL28" s="22">
        <v>0</v>
      </c>
      <c r="AM28" s="22">
        <v>0</v>
      </c>
      <c r="AN28" s="22">
        <v>12</v>
      </c>
      <c r="AO28" s="22">
        <v>0</v>
      </c>
      <c r="AP28" s="22">
        <v>1</v>
      </c>
      <c r="AQ28" s="22">
        <v>0</v>
      </c>
      <c r="AR28" s="22">
        <v>0</v>
      </c>
      <c r="AS28" s="22">
        <v>134</v>
      </c>
      <c r="AT28" s="22">
        <v>10</v>
      </c>
      <c r="AU28" s="22">
        <v>252</v>
      </c>
      <c r="AV28" s="22">
        <v>126937</v>
      </c>
      <c r="AW28" s="22">
        <v>131046</v>
      </c>
      <c r="AX28" s="22">
        <v>474578.4</v>
      </c>
      <c r="AY28" s="22">
        <v>492733</v>
      </c>
      <c r="AZ28" s="22">
        <v>24654.9</v>
      </c>
      <c r="BA28" s="22">
        <v>18002.6</v>
      </c>
      <c r="BB28" s="22">
        <v>280</v>
      </c>
      <c r="BC28" s="22">
        <v>258</v>
      </c>
      <c r="BD28" s="22">
        <v>140973</v>
      </c>
      <c r="BE28" s="22">
        <v>132586</v>
      </c>
      <c r="BF28" s="22">
        <v>1848</v>
      </c>
      <c r="BG28" s="22">
        <v>1022</v>
      </c>
      <c r="BH28" s="22">
        <v>1097</v>
      </c>
      <c r="BI28" s="22">
        <v>253921.8</v>
      </c>
      <c r="BJ28" s="22">
        <v>78167.5</v>
      </c>
      <c r="BK28" s="22">
        <v>0</v>
      </c>
      <c r="BL28" s="22">
        <v>0</v>
      </c>
      <c r="BM28" s="22">
        <v>0</v>
      </c>
      <c r="BN28" s="22">
        <v>1</v>
      </c>
      <c r="BO28" s="22">
        <v>1</v>
      </c>
      <c r="BP28" s="22">
        <v>0</v>
      </c>
      <c r="BQ28" s="22">
        <v>0</v>
      </c>
      <c r="BR28" s="22">
        <v>0</v>
      </c>
      <c r="BS28" s="22">
        <v>0</v>
      </c>
      <c r="BT28" s="22">
        <v>0</v>
      </c>
      <c r="BU28" s="22">
        <v>0</v>
      </c>
      <c r="BV28" s="22">
        <v>99</v>
      </c>
      <c r="BW28" s="22">
        <v>129733</v>
      </c>
      <c r="BX28" s="22">
        <v>131690</v>
      </c>
      <c r="BY28" s="22">
        <v>72606958</v>
      </c>
      <c r="BZ28" s="22">
        <v>145550</v>
      </c>
      <c r="CA28" s="22">
        <v>3973</v>
      </c>
    </row>
    <row r="29" spans="1:79">
      <c r="A29" s="22" t="s">
        <v>19</v>
      </c>
      <c r="B29" s="22" t="s">
        <v>189</v>
      </c>
      <c r="C29" s="22" t="s">
        <v>191</v>
      </c>
      <c r="D29" s="22" t="s">
        <v>182</v>
      </c>
      <c r="E29" s="22">
        <v>31</v>
      </c>
      <c r="F29" s="22">
        <v>2</v>
      </c>
      <c r="G29" s="22">
        <v>205</v>
      </c>
      <c r="H29" s="22">
        <v>744</v>
      </c>
      <c r="I29" s="22">
        <v>674</v>
      </c>
      <c r="J29" s="22">
        <v>642.5</v>
      </c>
      <c r="K29" s="22">
        <v>18.2</v>
      </c>
      <c r="L29" s="22">
        <v>138170</v>
      </c>
      <c r="M29" s="22">
        <v>152520</v>
      </c>
      <c r="N29" s="22">
        <v>121141</v>
      </c>
      <c r="O29" s="22">
        <v>127057</v>
      </c>
      <c r="P29" s="22">
        <v>121753</v>
      </c>
      <c r="Q29" s="22">
        <v>132003</v>
      </c>
      <c r="R29" s="22">
        <v>24602</v>
      </c>
      <c r="S29" s="22">
        <v>21013</v>
      </c>
      <c r="T29" s="22">
        <v>3731</v>
      </c>
      <c r="U29" s="22">
        <v>2</v>
      </c>
      <c r="V29" s="22">
        <v>9.300000000000001</v>
      </c>
      <c r="W29" s="22">
        <v>39</v>
      </c>
      <c r="X29" s="22">
        <v>36</v>
      </c>
      <c r="Y29" s="22">
        <v>362340.8</v>
      </c>
      <c r="Z29" s="22">
        <v>89550</v>
      </c>
      <c r="AA29" s="22">
        <v>1517.5</v>
      </c>
      <c r="AB29" s="22">
        <v>244417</v>
      </c>
      <c r="AC29" s="22">
        <v>74247</v>
      </c>
      <c r="AD29" s="22">
        <v>353899</v>
      </c>
      <c r="AE29" s="22">
        <v>0</v>
      </c>
      <c r="AF29" s="22">
        <v>0</v>
      </c>
      <c r="AG29" s="22">
        <v>79000</v>
      </c>
      <c r="AH29" s="22">
        <v>0</v>
      </c>
      <c r="AI29" s="22">
        <v>0</v>
      </c>
      <c r="AJ29" s="22">
        <v>12</v>
      </c>
      <c r="AK29" s="22">
        <v>0</v>
      </c>
      <c r="AL29" s="22">
        <v>0</v>
      </c>
      <c r="AM29" s="22">
        <v>0</v>
      </c>
      <c r="AN29" s="22">
        <v>12</v>
      </c>
      <c r="AO29" s="22">
        <v>3</v>
      </c>
      <c r="AP29" s="22">
        <v>2</v>
      </c>
      <c r="AQ29" s="22">
        <v>2</v>
      </c>
      <c r="AR29" s="22">
        <v>1</v>
      </c>
      <c r="AS29" s="22">
        <v>149</v>
      </c>
      <c r="AT29" s="22">
        <v>12</v>
      </c>
      <c r="AU29" s="22">
        <v>222</v>
      </c>
      <c r="AV29" s="22">
        <v>121779</v>
      </c>
      <c r="AW29" s="22">
        <v>122065</v>
      </c>
      <c r="AX29" s="22">
        <v>464614.6</v>
      </c>
      <c r="AY29" s="22">
        <v>458964.4</v>
      </c>
      <c r="AZ29" s="22">
        <v>23636.6</v>
      </c>
      <c r="BA29" s="22">
        <v>17476.6</v>
      </c>
      <c r="BB29" s="22">
        <v>208</v>
      </c>
      <c r="BC29" s="22">
        <v>190</v>
      </c>
      <c r="BD29" s="22">
        <v>128569</v>
      </c>
      <c r="BE29" s="22">
        <v>121230</v>
      </c>
      <c r="BF29" s="22">
        <v>631</v>
      </c>
      <c r="BG29" s="22">
        <v>602</v>
      </c>
      <c r="BH29" s="22">
        <v>628</v>
      </c>
      <c r="BI29" s="22">
        <v>216076.1</v>
      </c>
      <c r="BJ29" s="22">
        <v>68076.8</v>
      </c>
      <c r="BK29" s="22">
        <v>0</v>
      </c>
      <c r="BL29" s="22">
        <v>0</v>
      </c>
      <c r="BM29" s="22">
        <v>0</v>
      </c>
      <c r="BN29" s="22">
        <v>0</v>
      </c>
      <c r="BO29" s="22">
        <v>1</v>
      </c>
      <c r="BP29" s="22">
        <v>0</v>
      </c>
      <c r="BQ29" s="22">
        <v>0</v>
      </c>
      <c r="BR29" s="22">
        <v>0</v>
      </c>
      <c r="BS29" s="22">
        <v>0</v>
      </c>
      <c r="BT29" s="22">
        <v>0</v>
      </c>
      <c r="BU29" s="22">
        <v>0</v>
      </c>
      <c r="BV29" s="22">
        <v>99</v>
      </c>
      <c r="BW29" s="22">
        <v>121668</v>
      </c>
      <c r="BX29" s="22">
        <v>122263</v>
      </c>
      <c r="BY29" s="22">
        <v>48910799</v>
      </c>
      <c r="BZ29" s="22">
        <v>138170</v>
      </c>
      <c r="CA29" s="22">
        <v>3744</v>
      </c>
    </row>
    <row r="30" spans="1:79">
      <c r="A30" s="22" t="s">
        <v>19</v>
      </c>
      <c r="B30" s="22" t="s">
        <v>189</v>
      </c>
      <c r="C30" s="22" t="s">
        <v>191</v>
      </c>
      <c r="D30" s="22" t="s">
        <v>183</v>
      </c>
      <c r="E30" s="22">
        <v>30</v>
      </c>
      <c r="F30" s="22">
        <v>3</v>
      </c>
      <c r="G30" s="22">
        <v>205</v>
      </c>
      <c r="H30" s="22">
        <v>720</v>
      </c>
      <c r="I30" s="22">
        <v>713</v>
      </c>
      <c r="J30" s="22">
        <v>680.7</v>
      </c>
      <c r="K30" s="22">
        <v>15.1</v>
      </c>
      <c r="L30" s="22">
        <v>146165</v>
      </c>
      <c r="M30" s="22">
        <v>147600</v>
      </c>
      <c r="N30" s="22">
        <v>131151</v>
      </c>
      <c r="O30" s="22">
        <v>125961</v>
      </c>
      <c r="P30" s="22">
        <v>123027</v>
      </c>
      <c r="Q30" s="22">
        <v>137718</v>
      </c>
      <c r="R30" s="22">
        <v>26078</v>
      </c>
      <c r="S30" s="22">
        <v>23615</v>
      </c>
      <c r="T30" s="22">
        <v>3096</v>
      </c>
      <c r="U30" s="22">
        <v>3</v>
      </c>
      <c r="V30" s="22">
        <v>12</v>
      </c>
      <c r="W30" s="22">
        <v>38</v>
      </c>
      <c r="X30" s="22">
        <v>37</v>
      </c>
      <c r="Y30" s="22">
        <v>411518.7</v>
      </c>
      <c r="Z30" s="22">
        <v>126359</v>
      </c>
      <c r="AA30" s="22">
        <v>1457</v>
      </c>
      <c r="AB30" s="22">
        <v>277551</v>
      </c>
      <c r="AC30" s="22">
        <v>89682</v>
      </c>
      <c r="AD30" s="22">
        <v>432290</v>
      </c>
      <c r="AE30" s="22">
        <v>11194</v>
      </c>
      <c r="AF30" s="22">
        <v>2</v>
      </c>
      <c r="AG30" s="22">
        <v>64000</v>
      </c>
      <c r="AH30" s="22">
        <v>2</v>
      </c>
      <c r="AI30" s="22">
        <v>0</v>
      </c>
      <c r="AJ30" s="22">
        <v>6</v>
      </c>
      <c r="AK30" s="22">
        <v>0</v>
      </c>
      <c r="AL30" s="22">
        <v>0</v>
      </c>
      <c r="AM30" s="22">
        <v>1</v>
      </c>
      <c r="AN30" s="22">
        <v>3</v>
      </c>
      <c r="AO30" s="22">
        <v>1</v>
      </c>
      <c r="AP30" s="22">
        <v>0</v>
      </c>
      <c r="AQ30" s="22">
        <v>0</v>
      </c>
      <c r="AR30" s="22">
        <v>0</v>
      </c>
      <c r="AS30" s="22">
        <v>249</v>
      </c>
      <c r="AT30" s="22">
        <v>18</v>
      </c>
      <c r="AU30" s="22">
        <v>192</v>
      </c>
      <c r="AV30" s="22">
        <v>122701</v>
      </c>
      <c r="AW30" s="22">
        <v>131018</v>
      </c>
      <c r="AX30" s="22">
        <v>463267.7</v>
      </c>
      <c r="AY30" s="22">
        <v>492627.7</v>
      </c>
      <c r="AZ30" s="22">
        <v>26455.3</v>
      </c>
      <c r="BA30" s="22">
        <v>17493.2</v>
      </c>
      <c r="BB30" s="22">
        <v>187</v>
      </c>
      <c r="BC30" s="22">
        <v>170</v>
      </c>
      <c r="BD30" s="22">
        <v>133988</v>
      </c>
      <c r="BE30" s="22">
        <v>130452</v>
      </c>
      <c r="BF30" s="22">
        <v>617</v>
      </c>
      <c r="BG30" s="22">
        <v>1134</v>
      </c>
      <c r="BH30" s="22">
        <v>1202</v>
      </c>
      <c r="BI30" s="22">
        <v>242243.9</v>
      </c>
      <c r="BJ30" s="22">
        <v>89931.10000000001</v>
      </c>
      <c r="BK30" s="22">
        <v>0</v>
      </c>
      <c r="BL30" s="22">
        <v>1</v>
      </c>
      <c r="BM30" s="22">
        <v>1</v>
      </c>
      <c r="BN30" s="22">
        <v>1</v>
      </c>
      <c r="BO30" s="22">
        <v>1</v>
      </c>
      <c r="BP30" s="22">
        <v>0</v>
      </c>
      <c r="BQ30" s="22">
        <v>0</v>
      </c>
      <c r="BR30" s="22">
        <v>0</v>
      </c>
      <c r="BS30" s="22">
        <v>0</v>
      </c>
      <c r="BT30" s="22">
        <v>0</v>
      </c>
      <c r="BU30" s="22">
        <v>0</v>
      </c>
      <c r="BV30" s="22">
        <v>99</v>
      </c>
      <c r="BW30" s="22">
        <v>132111</v>
      </c>
      <c r="BX30" s="22">
        <v>132015</v>
      </c>
      <c r="BY30" s="22">
        <v>56526721</v>
      </c>
      <c r="BZ30" s="22">
        <v>146165</v>
      </c>
      <c r="CA30" s="22">
        <v>2889</v>
      </c>
    </row>
    <row r="31" spans="1:79">
      <c r="A31" s="22" t="s">
        <v>19</v>
      </c>
      <c r="B31" s="22" t="s">
        <v>189</v>
      </c>
      <c r="C31" s="22" t="s">
        <v>191</v>
      </c>
      <c r="D31" s="22" t="s">
        <v>184</v>
      </c>
      <c r="E31" s="22">
        <v>31</v>
      </c>
      <c r="F31" s="22">
        <v>4</v>
      </c>
      <c r="G31" s="22">
        <v>205</v>
      </c>
      <c r="H31" s="22">
        <v>744</v>
      </c>
      <c r="I31" s="22">
        <v>744</v>
      </c>
      <c r="J31" s="22">
        <v>715.3</v>
      </c>
      <c r="K31" s="22">
        <v>13.1</v>
      </c>
      <c r="L31" s="22">
        <v>152520</v>
      </c>
      <c r="M31" s="22">
        <v>152520</v>
      </c>
      <c r="N31" s="22">
        <v>137952</v>
      </c>
      <c r="O31" s="22">
        <v>141931</v>
      </c>
      <c r="P31" s="22">
        <v>136982</v>
      </c>
      <c r="Q31" s="22">
        <v>145102</v>
      </c>
      <c r="R31" s="22">
        <v>29563</v>
      </c>
      <c r="S31" s="22">
        <v>26355</v>
      </c>
      <c r="T31" s="22">
        <v>2686</v>
      </c>
      <c r="U31" s="22">
        <v>1</v>
      </c>
      <c r="V31" s="22">
        <v>6</v>
      </c>
      <c r="W31" s="22">
        <v>58</v>
      </c>
      <c r="X31" s="22">
        <v>57</v>
      </c>
      <c r="Y31" s="22">
        <v>444075.7</v>
      </c>
      <c r="Z31" s="22">
        <v>131632.2</v>
      </c>
      <c r="AA31" s="22">
        <v>1411.4</v>
      </c>
      <c r="AB31" s="22">
        <v>285264</v>
      </c>
      <c r="AC31" s="22">
        <v>93285</v>
      </c>
      <c r="AD31" s="22">
        <v>457581</v>
      </c>
      <c r="AE31" s="22">
        <v>1175</v>
      </c>
      <c r="AF31" s="22">
        <v>0</v>
      </c>
      <c r="AG31" s="22">
        <v>65000</v>
      </c>
      <c r="AH31" s="22">
        <v>1</v>
      </c>
      <c r="AI31" s="22">
        <v>0</v>
      </c>
      <c r="AJ31" s="22">
        <v>3</v>
      </c>
      <c r="AK31" s="22">
        <v>0</v>
      </c>
      <c r="AL31" s="22">
        <v>0</v>
      </c>
      <c r="AM31" s="22">
        <v>0</v>
      </c>
      <c r="AN31" s="22">
        <v>14</v>
      </c>
      <c r="AO31" s="22">
        <v>4</v>
      </c>
      <c r="AP31" s="22">
        <v>0</v>
      </c>
      <c r="AQ31" s="22">
        <v>0</v>
      </c>
      <c r="AR31" s="22">
        <v>1</v>
      </c>
      <c r="AS31" s="22">
        <v>167</v>
      </c>
      <c r="AT31" s="22">
        <v>14</v>
      </c>
      <c r="AU31" s="22">
        <v>162</v>
      </c>
      <c r="AV31" s="22">
        <v>138862</v>
      </c>
      <c r="AW31" s="22">
        <v>137969</v>
      </c>
      <c r="AX31" s="22">
        <v>525780.3</v>
      </c>
      <c r="AY31" s="22">
        <v>518763.4</v>
      </c>
      <c r="AZ31" s="22">
        <v>27030.8</v>
      </c>
      <c r="BA31" s="22">
        <v>17228.8</v>
      </c>
      <c r="BB31" s="22">
        <v>256</v>
      </c>
      <c r="BC31" s="22">
        <v>239</v>
      </c>
      <c r="BD31" s="22">
        <v>142258</v>
      </c>
      <c r="BE31" s="22">
        <v>135171</v>
      </c>
      <c r="BF31" s="22">
        <v>660</v>
      </c>
      <c r="BG31" s="22">
        <v>910</v>
      </c>
      <c r="BH31" s="22">
        <v>898</v>
      </c>
      <c r="BI31" s="22">
        <v>243517.9</v>
      </c>
      <c r="BJ31" s="22">
        <v>87017.8</v>
      </c>
      <c r="BK31" s="22">
        <v>0</v>
      </c>
      <c r="BL31" s="22">
        <v>1</v>
      </c>
      <c r="BM31" s="22">
        <v>1</v>
      </c>
      <c r="BN31" s="22">
        <v>0</v>
      </c>
      <c r="BO31" s="22">
        <v>1</v>
      </c>
      <c r="BP31" s="22">
        <v>0</v>
      </c>
      <c r="BQ31" s="22">
        <v>0</v>
      </c>
      <c r="BR31" s="22">
        <v>0</v>
      </c>
      <c r="BS31" s="22">
        <v>0</v>
      </c>
      <c r="BT31" s="22">
        <v>0</v>
      </c>
      <c r="BU31" s="22">
        <v>0</v>
      </c>
      <c r="BV31" s="22">
        <v>99</v>
      </c>
      <c r="BW31" s="22">
        <v>140177</v>
      </c>
      <c r="BX31" s="22">
        <v>140153</v>
      </c>
      <c r="BY31" s="22">
        <v>60097020</v>
      </c>
      <c r="BZ31" s="22">
        <v>152520</v>
      </c>
      <c r="CA31" s="22">
        <v>2618</v>
      </c>
    </row>
    <row r="32" spans="1:79">
      <c r="A32" s="22" t="s">
        <v>19</v>
      </c>
      <c r="B32" s="22" t="s">
        <v>189</v>
      </c>
      <c r="C32" s="22" t="s">
        <v>191</v>
      </c>
      <c r="D32" s="22" t="s">
        <v>185</v>
      </c>
      <c r="E32" s="22">
        <v>31</v>
      </c>
      <c r="F32" s="22">
        <v>5</v>
      </c>
      <c r="G32" s="22">
        <v>205</v>
      </c>
      <c r="H32" s="22">
        <v>744</v>
      </c>
      <c r="I32" s="22">
        <v>695</v>
      </c>
      <c r="J32" s="22">
        <v>644.6</v>
      </c>
      <c r="K32" s="22">
        <v>34.9</v>
      </c>
      <c r="L32" s="22">
        <v>142475</v>
      </c>
      <c r="M32" s="22">
        <v>152520</v>
      </c>
      <c r="N32" s="22">
        <v>126640</v>
      </c>
      <c r="O32" s="22">
        <v>125577</v>
      </c>
      <c r="P32" s="22">
        <v>123607</v>
      </c>
      <c r="Q32" s="22">
        <v>138276</v>
      </c>
      <c r="R32" s="22">
        <v>32113</v>
      </c>
      <c r="S32" s="22">
        <v>29045</v>
      </c>
      <c r="T32" s="22">
        <v>7154</v>
      </c>
      <c r="U32" s="22">
        <v>4</v>
      </c>
      <c r="V32" s="22">
        <v>30.5</v>
      </c>
      <c r="W32" s="22">
        <v>54</v>
      </c>
      <c r="X32" s="22">
        <v>54</v>
      </c>
      <c r="Y32" s="22">
        <v>390308.9</v>
      </c>
      <c r="Z32" s="22">
        <v>92794.10000000001</v>
      </c>
      <c r="AA32" s="22">
        <v>1470.7</v>
      </c>
      <c r="AB32" s="22">
        <v>320464</v>
      </c>
      <c r="AC32" s="22">
        <v>79520</v>
      </c>
      <c r="AD32" s="22">
        <v>439606</v>
      </c>
      <c r="AE32" s="22">
        <v>0</v>
      </c>
      <c r="AF32" s="22">
        <v>2</v>
      </c>
      <c r="AG32" s="22">
        <v>68000</v>
      </c>
      <c r="AH32" s="22">
        <v>0</v>
      </c>
      <c r="AI32" s="22">
        <v>0</v>
      </c>
      <c r="AJ32" s="22">
        <v>11</v>
      </c>
      <c r="AK32" s="22">
        <v>0</v>
      </c>
      <c r="AL32" s="22">
        <v>0</v>
      </c>
      <c r="AM32" s="22">
        <v>0</v>
      </c>
      <c r="AN32" s="22">
        <v>8</v>
      </c>
      <c r="AO32" s="22">
        <v>1</v>
      </c>
      <c r="AP32" s="22">
        <v>3</v>
      </c>
      <c r="AQ32" s="22">
        <v>3</v>
      </c>
      <c r="AR32" s="22">
        <v>1</v>
      </c>
      <c r="AS32" s="22">
        <v>185</v>
      </c>
      <c r="AT32" s="22">
        <v>11</v>
      </c>
      <c r="AU32" s="22">
        <v>132</v>
      </c>
      <c r="AV32" s="22">
        <v>122433</v>
      </c>
      <c r="AW32" s="22">
        <v>125687</v>
      </c>
      <c r="AX32" s="22">
        <v>456214</v>
      </c>
      <c r="AY32" s="22">
        <v>472583.1</v>
      </c>
      <c r="AZ32" s="22">
        <v>19729.8</v>
      </c>
      <c r="BA32" s="22">
        <v>17527</v>
      </c>
      <c r="BB32" s="22">
        <v>162</v>
      </c>
      <c r="BC32" s="22">
        <v>147</v>
      </c>
      <c r="BD32" s="22">
        <v>138383</v>
      </c>
      <c r="BE32" s="22">
        <v>134882</v>
      </c>
      <c r="BF32" s="22">
        <v>1069</v>
      </c>
      <c r="BG32" s="22">
        <v>602</v>
      </c>
      <c r="BH32" s="22">
        <v>623</v>
      </c>
      <c r="BI32" s="22">
        <v>204888.7</v>
      </c>
      <c r="BJ32" s="22">
        <v>69384.7</v>
      </c>
      <c r="BK32" s="22">
        <v>0</v>
      </c>
      <c r="BL32" s="22">
        <v>0</v>
      </c>
      <c r="BM32" s="22">
        <v>0</v>
      </c>
      <c r="BN32" s="22">
        <v>0</v>
      </c>
      <c r="BO32" s="22">
        <v>1</v>
      </c>
      <c r="BP32" s="22">
        <v>0</v>
      </c>
      <c r="BQ32" s="22">
        <v>1</v>
      </c>
      <c r="BR32" s="22">
        <v>0</v>
      </c>
      <c r="BS32" s="22">
        <v>0</v>
      </c>
      <c r="BT32" s="22">
        <v>0</v>
      </c>
      <c r="BU32" s="22">
        <v>0</v>
      </c>
      <c r="BV32" s="22">
        <v>99</v>
      </c>
      <c r="BW32" s="22">
        <v>127165</v>
      </c>
      <c r="BX32" s="22">
        <v>127020</v>
      </c>
      <c r="BY32" s="22">
        <v>65248016</v>
      </c>
      <c r="BZ32" s="22">
        <v>142475</v>
      </c>
      <c r="CA32" s="22">
        <v>6469</v>
      </c>
    </row>
    <row r="33" spans="1:79">
      <c r="A33" s="22" t="s">
        <v>19</v>
      </c>
      <c r="B33" s="22" t="s">
        <v>189</v>
      </c>
      <c r="C33" s="22" t="s">
        <v>191</v>
      </c>
      <c r="D33" s="22" t="s">
        <v>186</v>
      </c>
      <c r="E33" s="22">
        <v>30</v>
      </c>
      <c r="F33" s="22">
        <v>6</v>
      </c>
      <c r="G33" s="22">
        <v>205</v>
      </c>
      <c r="H33" s="22">
        <v>720</v>
      </c>
      <c r="I33" s="22">
        <v>710</v>
      </c>
      <c r="J33" s="22">
        <v>689.9</v>
      </c>
      <c r="K33" s="22">
        <v>10.2</v>
      </c>
      <c r="L33" s="22">
        <v>145550</v>
      </c>
      <c r="M33" s="22">
        <v>147600</v>
      </c>
      <c r="N33" s="22">
        <v>130881</v>
      </c>
      <c r="O33" s="22">
        <v>134645</v>
      </c>
      <c r="P33" s="22">
        <v>132787</v>
      </c>
      <c r="Q33" s="22">
        <v>142400</v>
      </c>
      <c r="R33" s="22">
        <v>28428</v>
      </c>
      <c r="S33" s="22">
        <v>25111</v>
      </c>
      <c r="T33" s="22">
        <v>2091</v>
      </c>
      <c r="U33" s="22">
        <v>1</v>
      </c>
      <c r="V33" s="22">
        <v>5.2</v>
      </c>
      <c r="W33" s="22">
        <v>42</v>
      </c>
      <c r="X33" s="22">
        <v>41</v>
      </c>
      <c r="Y33" s="22">
        <v>398678.1</v>
      </c>
      <c r="Z33" s="22">
        <v>92193.89999999999</v>
      </c>
      <c r="AA33" s="22">
        <v>1248.5</v>
      </c>
      <c r="AB33" s="22">
        <v>299945</v>
      </c>
      <c r="AC33" s="22">
        <v>86535</v>
      </c>
      <c r="AD33" s="22">
        <v>425107</v>
      </c>
      <c r="AE33" s="22">
        <v>0</v>
      </c>
      <c r="AF33" s="22">
        <v>1</v>
      </c>
      <c r="AG33" s="22">
        <v>60000</v>
      </c>
      <c r="AH33" s="22">
        <v>0</v>
      </c>
      <c r="AI33" s="22">
        <v>1</v>
      </c>
      <c r="AJ33" s="22">
        <v>9</v>
      </c>
      <c r="AK33" s="22">
        <v>0</v>
      </c>
      <c r="AL33" s="22">
        <v>0</v>
      </c>
      <c r="AM33" s="22">
        <v>0</v>
      </c>
      <c r="AN33" s="22">
        <v>6</v>
      </c>
      <c r="AO33" s="22">
        <v>0</v>
      </c>
      <c r="AP33" s="22">
        <v>0</v>
      </c>
      <c r="AQ33" s="22">
        <v>0</v>
      </c>
      <c r="AR33" s="22">
        <v>0</v>
      </c>
      <c r="AS33" s="22">
        <v>198</v>
      </c>
      <c r="AT33" s="22">
        <v>15</v>
      </c>
      <c r="AU33" s="22">
        <v>102</v>
      </c>
      <c r="AV33" s="22">
        <v>134472</v>
      </c>
      <c r="AW33" s="22">
        <v>130597</v>
      </c>
      <c r="AX33" s="22">
        <v>506388.4</v>
      </c>
      <c r="AY33" s="22">
        <v>491044.7</v>
      </c>
      <c r="AZ33" s="22">
        <v>22330.4</v>
      </c>
      <c r="BA33" s="22">
        <v>17627.7</v>
      </c>
      <c r="BB33" s="22">
        <v>284</v>
      </c>
      <c r="BC33" s="22">
        <v>261</v>
      </c>
      <c r="BD33" s="22">
        <v>138360</v>
      </c>
      <c r="BE33" s="22">
        <v>136947</v>
      </c>
      <c r="BF33" s="22">
        <v>1389</v>
      </c>
      <c r="BG33" s="22">
        <v>868</v>
      </c>
      <c r="BH33" s="22">
        <v>926</v>
      </c>
      <c r="BI33" s="22">
        <v>229069.1</v>
      </c>
      <c r="BJ33" s="22">
        <v>81412.2</v>
      </c>
      <c r="BK33" s="22">
        <v>1</v>
      </c>
      <c r="BL33" s="22">
        <v>0</v>
      </c>
      <c r="BM33" s="22">
        <v>0</v>
      </c>
      <c r="BN33" s="22">
        <v>0</v>
      </c>
      <c r="BO33" s="22">
        <v>1</v>
      </c>
      <c r="BP33" s="22">
        <v>0</v>
      </c>
      <c r="BQ33" s="22">
        <v>0</v>
      </c>
      <c r="BR33" s="22">
        <v>0</v>
      </c>
      <c r="BS33" s="22">
        <v>0</v>
      </c>
      <c r="BT33" s="22">
        <v>0</v>
      </c>
      <c r="BU33" s="22">
        <v>0</v>
      </c>
      <c r="BV33" s="22">
        <v>99</v>
      </c>
      <c r="BW33" s="22">
        <v>133388</v>
      </c>
      <c r="BX33" s="22">
        <v>134036</v>
      </c>
      <c r="BY33" s="22">
        <v>67486316</v>
      </c>
      <c r="BZ33" s="22">
        <v>145550</v>
      </c>
      <c r="CA33" s="22">
        <v>2268</v>
      </c>
    </row>
    <row r="34" spans="1:79">
      <c r="A34" s="22" t="s">
        <v>19</v>
      </c>
      <c r="B34" s="22" t="s">
        <v>189</v>
      </c>
      <c r="C34" s="22" t="s">
        <v>192</v>
      </c>
      <c r="D34" s="22" t="s">
        <v>181</v>
      </c>
      <c r="E34" s="22">
        <v>30</v>
      </c>
      <c r="F34" s="22">
        <v>1</v>
      </c>
      <c r="G34" s="22">
        <v>158.2</v>
      </c>
      <c r="H34" s="22">
        <v>720</v>
      </c>
      <c r="I34" s="22">
        <v>716</v>
      </c>
      <c r="J34" s="22">
        <v>694.1</v>
      </c>
      <c r="K34" s="22">
        <v>10.8</v>
      </c>
      <c r="L34" s="22">
        <v>113271</v>
      </c>
      <c r="M34" s="22">
        <v>113904</v>
      </c>
      <c r="N34" s="22">
        <v>99263</v>
      </c>
      <c r="O34" s="22">
        <v>106301</v>
      </c>
      <c r="P34" s="22">
        <v>101956</v>
      </c>
      <c r="Q34" s="22">
        <v>109614</v>
      </c>
      <c r="R34" s="22">
        <v>26222</v>
      </c>
      <c r="S34" s="22">
        <v>22359</v>
      </c>
      <c r="T34" s="22">
        <v>1709</v>
      </c>
      <c r="U34" s="22">
        <v>1</v>
      </c>
      <c r="V34" s="22">
        <v>3.1</v>
      </c>
      <c r="W34" s="22">
        <v>39</v>
      </c>
      <c r="X34" s="22">
        <v>37</v>
      </c>
      <c r="Y34" s="22">
        <v>268423.8</v>
      </c>
      <c r="Z34" s="22">
        <v>65884.39999999999</v>
      </c>
      <c r="AA34" s="22">
        <v>1044.7</v>
      </c>
      <c r="AB34" s="22">
        <v>209508</v>
      </c>
      <c r="AC34" s="22">
        <v>61037</v>
      </c>
      <c r="AD34" s="22">
        <v>339430</v>
      </c>
      <c r="AE34" s="22">
        <v>0</v>
      </c>
      <c r="AF34" s="22">
        <v>2</v>
      </c>
      <c r="AG34" s="22">
        <v>68000</v>
      </c>
      <c r="AH34" s="22">
        <v>0</v>
      </c>
      <c r="AI34" s="22">
        <v>0</v>
      </c>
      <c r="AJ34" s="22">
        <v>10</v>
      </c>
      <c r="AK34" s="22">
        <v>0</v>
      </c>
      <c r="AL34" s="22">
        <v>1</v>
      </c>
      <c r="AM34" s="22">
        <v>1</v>
      </c>
      <c r="AN34" s="22">
        <v>9</v>
      </c>
      <c r="AO34" s="22">
        <v>1</v>
      </c>
      <c r="AP34" s="22">
        <v>2</v>
      </c>
      <c r="AQ34" s="22">
        <v>2</v>
      </c>
      <c r="AR34" s="22">
        <v>0</v>
      </c>
      <c r="AS34" s="22">
        <v>184</v>
      </c>
      <c r="AT34" s="22">
        <v>6</v>
      </c>
      <c r="AU34" s="22">
        <v>260</v>
      </c>
      <c r="AV34" s="22">
        <v>101299</v>
      </c>
      <c r="AW34" s="22">
        <v>98345</v>
      </c>
      <c r="AX34" s="22">
        <v>385873.6</v>
      </c>
      <c r="AY34" s="22">
        <v>369777.2</v>
      </c>
      <c r="AZ34" s="22">
        <v>18748</v>
      </c>
      <c r="BA34" s="22">
        <v>13648.2</v>
      </c>
      <c r="BB34" s="22">
        <v>295</v>
      </c>
      <c r="BC34" s="22">
        <v>267</v>
      </c>
      <c r="BD34" s="22">
        <v>107455</v>
      </c>
      <c r="BE34" s="22">
        <v>105426</v>
      </c>
      <c r="BF34" s="22">
        <v>1142</v>
      </c>
      <c r="BG34" s="22">
        <v>588</v>
      </c>
      <c r="BH34" s="22">
        <v>596</v>
      </c>
      <c r="BI34" s="22">
        <v>157029</v>
      </c>
      <c r="BJ34" s="22">
        <v>49890.3</v>
      </c>
      <c r="BK34" s="22">
        <v>0</v>
      </c>
      <c r="BL34" s="22">
        <v>1</v>
      </c>
      <c r="BM34" s="22">
        <v>0</v>
      </c>
      <c r="BN34" s="22">
        <v>0</v>
      </c>
      <c r="BO34" s="22">
        <v>0</v>
      </c>
      <c r="BP34" s="22">
        <v>0</v>
      </c>
      <c r="BQ34" s="22">
        <v>0</v>
      </c>
      <c r="BR34" s="22">
        <v>0</v>
      </c>
      <c r="BS34" s="22">
        <v>0</v>
      </c>
      <c r="BT34" s="22">
        <v>0</v>
      </c>
      <c r="BU34" s="22">
        <v>0</v>
      </c>
      <c r="BV34" s="22">
        <v>99</v>
      </c>
      <c r="BW34" s="22">
        <v>100974</v>
      </c>
      <c r="BX34" s="22">
        <v>102566</v>
      </c>
      <c r="BY34" s="22">
        <v>37117018</v>
      </c>
      <c r="BZ34" s="22">
        <v>113271</v>
      </c>
      <c r="CA34" s="22">
        <v>1754</v>
      </c>
    </row>
    <row r="35" spans="1:79">
      <c r="A35" s="22" t="s">
        <v>19</v>
      </c>
      <c r="B35" s="22" t="s">
        <v>189</v>
      </c>
      <c r="C35" s="22" t="s">
        <v>192</v>
      </c>
      <c r="D35" s="22" t="s">
        <v>182</v>
      </c>
      <c r="E35" s="22">
        <v>31</v>
      </c>
      <c r="F35" s="22">
        <v>2</v>
      </c>
      <c r="G35" s="22">
        <v>158.2</v>
      </c>
      <c r="H35" s="22">
        <v>744</v>
      </c>
      <c r="I35" s="22">
        <v>678</v>
      </c>
      <c r="J35" s="22">
        <v>650</v>
      </c>
      <c r="K35" s="22">
        <v>20.8</v>
      </c>
      <c r="L35" s="22">
        <v>107260</v>
      </c>
      <c r="M35" s="22">
        <v>117701</v>
      </c>
      <c r="N35" s="22">
        <v>93083</v>
      </c>
      <c r="O35" s="22">
        <v>93387</v>
      </c>
      <c r="P35" s="22">
        <v>90953</v>
      </c>
      <c r="Q35" s="22">
        <v>96185</v>
      </c>
      <c r="R35" s="22">
        <v>18622</v>
      </c>
      <c r="S35" s="22">
        <v>16188</v>
      </c>
      <c r="T35" s="22">
        <v>3291</v>
      </c>
      <c r="U35" s="22">
        <v>3</v>
      </c>
      <c r="V35" s="22">
        <v>14.6</v>
      </c>
      <c r="W35" s="22">
        <v>51</v>
      </c>
      <c r="X35" s="22">
        <v>49</v>
      </c>
      <c r="Y35" s="22">
        <v>257302.8</v>
      </c>
      <c r="Z35" s="22">
        <v>71687.7</v>
      </c>
      <c r="AA35" s="22">
        <v>1471.8</v>
      </c>
      <c r="AB35" s="22">
        <v>170103</v>
      </c>
      <c r="AC35" s="22">
        <v>63809</v>
      </c>
      <c r="AD35" s="22">
        <v>283826</v>
      </c>
      <c r="AE35" s="22">
        <v>2043</v>
      </c>
      <c r="AF35" s="22">
        <v>0</v>
      </c>
      <c r="AG35" s="22">
        <v>59000</v>
      </c>
      <c r="AH35" s="22">
        <v>0</v>
      </c>
      <c r="AI35" s="22">
        <v>1</v>
      </c>
      <c r="AJ35" s="22">
        <v>8</v>
      </c>
      <c r="AK35" s="22">
        <v>1</v>
      </c>
      <c r="AL35" s="22">
        <v>0</v>
      </c>
      <c r="AM35" s="22">
        <v>0</v>
      </c>
      <c r="AN35" s="22">
        <v>6</v>
      </c>
      <c r="AO35" s="22">
        <v>2</v>
      </c>
      <c r="AP35" s="22">
        <v>2</v>
      </c>
      <c r="AQ35" s="22">
        <v>2</v>
      </c>
      <c r="AR35" s="22">
        <v>0</v>
      </c>
      <c r="AS35" s="22">
        <v>185</v>
      </c>
      <c r="AT35" s="22">
        <v>15</v>
      </c>
      <c r="AU35" s="22">
        <v>230</v>
      </c>
      <c r="AV35" s="22">
        <v>90871</v>
      </c>
      <c r="AW35" s="22">
        <v>93216</v>
      </c>
      <c r="AX35" s="22">
        <v>342109.1</v>
      </c>
      <c r="AY35" s="22">
        <v>350492.2</v>
      </c>
      <c r="AZ35" s="22">
        <v>17781.8</v>
      </c>
      <c r="BA35" s="22">
        <v>13824</v>
      </c>
      <c r="BB35" s="22">
        <v>241</v>
      </c>
      <c r="BC35" s="22">
        <v>227</v>
      </c>
      <c r="BD35" s="22">
        <v>95198</v>
      </c>
      <c r="BE35" s="22">
        <v>90404</v>
      </c>
      <c r="BF35" s="22">
        <v>1137</v>
      </c>
      <c r="BG35" s="22">
        <v>644</v>
      </c>
      <c r="BH35" s="22">
        <v>677</v>
      </c>
      <c r="BI35" s="22">
        <v>140906.8</v>
      </c>
      <c r="BJ35" s="22">
        <v>49975.8</v>
      </c>
      <c r="BK35" s="22">
        <v>0</v>
      </c>
      <c r="BL35" s="22">
        <v>0</v>
      </c>
      <c r="BM35" s="22">
        <v>0</v>
      </c>
      <c r="BN35" s="22">
        <v>0</v>
      </c>
      <c r="BO35" s="22">
        <v>0</v>
      </c>
      <c r="BP35" s="22">
        <v>0</v>
      </c>
      <c r="BQ35" s="22">
        <v>0</v>
      </c>
      <c r="BR35" s="22">
        <v>0</v>
      </c>
      <c r="BS35" s="22">
        <v>0</v>
      </c>
      <c r="BT35" s="22">
        <v>0</v>
      </c>
      <c r="BU35" s="22">
        <v>0</v>
      </c>
      <c r="BV35" s="22">
        <v>99</v>
      </c>
      <c r="BW35" s="22">
        <v>92594</v>
      </c>
      <c r="BX35" s="22">
        <v>92936</v>
      </c>
      <c r="BY35" s="22">
        <v>34945088</v>
      </c>
      <c r="BZ35" s="22">
        <v>107260</v>
      </c>
      <c r="CA35" s="22">
        <v>3512</v>
      </c>
    </row>
    <row r="36" spans="1:79">
      <c r="A36" s="22" t="s">
        <v>19</v>
      </c>
      <c r="B36" s="22" t="s">
        <v>189</v>
      </c>
      <c r="C36" s="22" t="s">
        <v>192</v>
      </c>
      <c r="D36" s="22" t="s">
        <v>183</v>
      </c>
      <c r="E36" s="22">
        <v>30</v>
      </c>
      <c r="F36" s="22">
        <v>3</v>
      </c>
      <c r="G36" s="22">
        <v>158.2</v>
      </c>
      <c r="H36" s="22">
        <v>720</v>
      </c>
      <c r="I36" s="22">
        <v>710</v>
      </c>
      <c r="J36" s="22">
        <v>685.1</v>
      </c>
      <c r="K36" s="22">
        <v>7.6</v>
      </c>
      <c r="L36" s="22">
        <v>112322</v>
      </c>
      <c r="M36" s="22">
        <v>113904</v>
      </c>
      <c r="N36" s="22">
        <v>101737</v>
      </c>
      <c r="O36" s="22">
        <v>99375</v>
      </c>
      <c r="P36" s="22">
        <v>97786</v>
      </c>
      <c r="Q36" s="22">
        <v>109226</v>
      </c>
      <c r="R36" s="22">
        <v>20553</v>
      </c>
      <c r="S36" s="22">
        <v>17742</v>
      </c>
      <c r="T36" s="22">
        <v>1202</v>
      </c>
      <c r="U36" s="22">
        <v>1</v>
      </c>
      <c r="V36" s="22">
        <v>4</v>
      </c>
      <c r="W36" s="22">
        <v>34</v>
      </c>
      <c r="X36" s="22">
        <v>34</v>
      </c>
      <c r="Y36" s="22">
        <v>293503.6</v>
      </c>
      <c r="Z36" s="22">
        <v>70567.7</v>
      </c>
      <c r="AA36" s="22">
        <v>953.1</v>
      </c>
      <c r="AB36" s="22">
        <v>209475</v>
      </c>
      <c r="AC36" s="22">
        <v>54476</v>
      </c>
      <c r="AD36" s="22">
        <v>289664</v>
      </c>
      <c r="AE36" s="22">
        <v>4506</v>
      </c>
      <c r="AF36" s="22">
        <v>2</v>
      </c>
      <c r="AG36" s="22">
        <v>93000</v>
      </c>
      <c r="AH36" s="22">
        <v>0</v>
      </c>
      <c r="AI36" s="22">
        <v>0</v>
      </c>
      <c r="AJ36" s="22">
        <v>5</v>
      </c>
      <c r="AK36" s="22">
        <v>0</v>
      </c>
      <c r="AL36" s="22">
        <v>0</v>
      </c>
      <c r="AM36" s="22">
        <v>0</v>
      </c>
      <c r="AN36" s="22">
        <v>12</v>
      </c>
      <c r="AO36" s="22">
        <v>2</v>
      </c>
      <c r="AP36" s="22">
        <v>3</v>
      </c>
      <c r="AQ36" s="22">
        <v>3</v>
      </c>
      <c r="AR36" s="22">
        <v>0</v>
      </c>
      <c r="AS36" s="22">
        <v>175</v>
      </c>
      <c r="AT36" s="22">
        <v>8</v>
      </c>
      <c r="AU36" s="22">
        <v>200</v>
      </c>
      <c r="AV36" s="22">
        <v>98065</v>
      </c>
      <c r="AW36" s="22">
        <v>101979</v>
      </c>
      <c r="AX36" s="22">
        <v>370258</v>
      </c>
      <c r="AY36" s="22">
        <v>383441</v>
      </c>
      <c r="AZ36" s="22">
        <v>20211.4</v>
      </c>
      <c r="BA36" s="22">
        <v>13649.9</v>
      </c>
      <c r="BB36" s="22">
        <v>297</v>
      </c>
      <c r="BC36" s="22">
        <v>281</v>
      </c>
      <c r="BD36" s="22">
        <v>109737</v>
      </c>
      <c r="BE36" s="22">
        <v>106134</v>
      </c>
      <c r="BF36" s="22">
        <v>581</v>
      </c>
      <c r="BG36" s="22">
        <v>588</v>
      </c>
      <c r="BH36" s="22">
        <v>581</v>
      </c>
      <c r="BI36" s="22">
        <v>161033.6</v>
      </c>
      <c r="BJ36" s="22">
        <v>57752.7</v>
      </c>
      <c r="BK36" s="22">
        <v>0</v>
      </c>
      <c r="BL36" s="22">
        <v>0</v>
      </c>
      <c r="BM36" s="22">
        <v>1</v>
      </c>
      <c r="BN36" s="22">
        <v>0</v>
      </c>
      <c r="BO36" s="22">
        <v>0</v>
      </c>
      <c r="BP36" s="22">
        <v>0</v>
      </c>
      <c r="BQ36" s="22">
        <v>0</v>
      </c>
      <c r="BR36" s="22">
        <v>0</v>
      </c>
      <c r="BS36" s="22">
        <v>0</v>
      </c>
      <c r="BT36" s="22">
        <v>0</v>
      </c>
      <c r="BU36" s="22">
        <v>0</v>
      </c>
      <c r="BV36" s="22">
        <v>99</v>
      </c>
      <c r="BW36" s="22">
        <v>102705</v>
      </c>
      <c r="BX36" s="22">
        <v>103273</v>
      </c>
      <c r="BY36" s="22">
        <v>40049632</v>
      </c>
      <c r="BZ36" s="22">
        <v>112322</v>
      </c>
      <c r="CA36" s="22">
        <v>1031</v>
      </c>
    </row>
    <row r="37" spans="1:79">
      <c r="A37" s="22" t="s">
        <v>19</v>
      </c>
      <c r="B37" s="22" t="s">
        <v>189</v>
      </c>
      <c r="C37" s="22" t="s">
        <v>192</v>
      </c>
      <c r="D37" s="22" t="s">
        <v>184</v>
      </c>
      <c r="E37" s="22">
        <v>31</v>
      </c>
      <c r="F37" s="22">
        <v>4</v>
      </c>
      <c r="G37" s="22">
        <v>158.2</v>
      </c>
      <c r="H37" s="22">
        <v>744</v>
      </c>
      <c r="I37" s="22">
        <v>738</v>
      </c>
      <c r="J37" s="22">
        <v>699.9</v>
      </c>
      <c r="K37" s="22">
        <v>23.1</v>
      </c>
      <c r="L37" s="22">
        <v>116752</v>
      </c>
      <c r="M37" s="22">
        <v>117701</v>
      </c>
      <c r="N37" s="22">
        <v>103750</v>
      </c>
      <c r="O37" s="22">
        <v>103911</v>
      </c>
      <c r="P37" s="22">
        <v>100958</v>
      </c>
      <c r="Q37" s="22">
        <v>112227</v>
      </c>
      <c r="R37" s="22">
        <v>21719</v>
      </c>
      <c r="S37" s="22">
        <v>18318</v>
      </c>
      <c r="T37" s="22">
        <v>3654</v>
      </c>
      <c r="U37" s="22">
        <v>3</v>
      </c>
      <c r="V37" s="22">
        <v>16.9</v>
      </c>
      <c r="W37" s="22">
        <v>31</v>
      </c>
      <c r="X37" s="22">
        <v>29</v>
      </c>
      <c r="Y37" s="22">
        <v>315593.3</v>
      </c>
      <c r="Z37" s="22">
        <v>100678.8</v>
      </c>
      <c r="AA37" s="22">
        <v>1062.1</v>
      </c>
      <c r="AB37" s="22">
        <v>220957</v>
      </c>
      <c r="AC37" s="22">
        <v>68538</v>
      </c>
      <c r="AD37" s="22">
        <v>303194</v>
      </c>
      <c r="AE37" s="22">
        <v>1940</v>
      </c>
      <c r="AF37" s="22">
        <v>0</v>
      </c>
      <c r="AG37" s="22">
        <v>86000</v>
      </c>
      <c r="AH37" s="22">
        <v>0</v>
      </c>
      <c r="AI37" s="22">
        <v>0</v>
      </c>
      <c r="AJ37" s="22">
        <v>6</v>
      </c>
      <c r="AK37" s="22">
        <v>0</v>
      </c>
      <c r="AL37" s="22">
        <v>0</v>
      </c>
      <c r="AM37" s="22">
        <v>0</v>
      </c>
      <c r="AN37" s="22">
        <v>9</v>
      </c>
      <c r="AO37" s="22">
        <v>1</v>
      </c>
      <c r="AP37" s="22">
        <v>3</v>
      </c>
      <c r="AQ37" s="22">
        <v>2</v>
      </c>
      <c r="AR37" s="22">
        <v>2</v>
      </c>
      <c r="AS37" s="22">
        <v>153</v>
      </c>
      <c r="AT37" s="22">
        <v>12</v>
      </c>
      <c r="AU37" s="22">
        <v>170</v>
      </c>
      <c r="AV37" s="22">
        <v>101316</v>
      </c>
      <c r="AW37" s="22">
        <v>103289</v>
      </c>
      <c r="AX37" s="22">
        <v>378066.9</v>
      </c>
      <c r="AY37" s="22">
        <v>388366.6</v>
      </c>
      <c r="AZ37" s="22">
        <v>16684.9</v>
      </c>
      <c r="BA37" s="22">
        <v>13335.2</v>
      </c>
      <c r="BB37" s="22">
        <v>280</v>
      </c>
      <c r="BC37" s="22">
        <v>262</v>
      </c>
      <c r="BD37" s="22">
        <v>110299</v>
      </c>
      <c r="BE37" s="22">
        <v>108493</v>
      </c>
      <c r="BF37" s="22">
        <v>919</v>
      </c>
      <c r="BG37" s="22">
        <v>1190</v>
      </c>
      <c r="BH37" s="22">
        <v>1199</v>
      </c>
      <c r="BI37" s="22">
        <v>174672.2</v>
      </c>
      <c r="BJ37" s="22">
        <v>59403.4</v>
      </c>
      <c r="BK37" s="22">
        <v>0</v>
      </c>
      <c r="BL37" s="22">
        <v>0</v>
      </c>
      <c r="BM37" s="22">
        <v>0</v>
      </c>
      <c r="BN37" s="22">
        <v>1</v>
      </c>
      <c r="BO37" s="22">
        <v>1</v>
      </c>
      <c r="BP37" s="22">
        <v>0</v>
      </c>
      <c r="BQ37" s="22">
        <v>0</v>
      </c>
      <c r="BR37" s="22">
        <v>0</v>
      </c>
      <c r="BS37" s="22">
        <v>0</v>
      </c>
      <c r="BT37" s="22">
        <v>0</v>
      </c>
      <c r="BU37" s="22">
        <v>0</v>
      </c>
      <c r="BV37" s="22">
        <v>99</v>
      </c>
      <c r="BW37" s="22">
        <v>104924</v>
      </c>
      <c r="BX37" s="22">
        <v>107181</v>
      </c>
      <c r="BY37" s="22">
        <v>46432093</v>
      </c>
      <c r="BZ37" s="22">
        <v>116752</v>
      </c>
      <c r="CA37" s="22">
        <v>3277</v>
      </c>
    </row>
    <row r="38" spans="1:79">
      <c r="A38" s="22" t="s">
        <v>19</v>
      </c>
      <c r="B38" s="22" t="s">
        <v>189</v>
      </c>
      <c r="C38" s="22" t="s">
        <v>192</v>
      </c>
      <c r="D38" s="22" t="s">
        <v>185</v>
      </c>
      <c r="E38" s="22">
        <v>31</v>
      </c>
      <c r="F38" s="22">
        <v>5</v>
      </c>
      <c r="G38" s="22">
        <v>158.2</v>
      </c>
      <c r="H38" s="22">
        <v>744</v>
      </c>
      <c r="I38" s="22">
        <v>744</v>
      </c>
      <c r="J38" s="22">
        <v>702</v>
      </c>
      <c r="K38" s="22">
        <v>23.5</v>
      </c>
      <c r="L38" s="22">
        <v>117701</v>
      </c>
      <c r="M38" s="22">
        <v>117701</v>
      </c>
      <c r="N38" s="22">
        <v>105368</v>
      </c>
      <c r="O38" s="22">
        <v>100223</v>
      </c>
      <c r="P38" s="22">
        <v>97315</v>
      </c>
      <c r="Q38" s="22">
        <v>105052</v>
      </c>
      <c r="R38" s="22">
        <v>24299</v>
      </c>
      <c r="S38" s="22">
        <v>21958</v>
      </c>
      <c r="T38" s="22">
        <v>3718</v>
      </c>
      <c r="U38" s="22">
        <v>4</v>
      </c>
      <c r="V38" s="22">
        <v>14.8</v>
      </c>
      <c r="W38" s="22">
        <v>30</v>
      </c>
      <c r="X38" s="22">
        <v>30</v>
      </c>
      <c r="Y38" s="22">
        <v>329106.6</v>
      </c>
      <c r="Z38" s="22">
        <v>89325.10000000001</v>
      </c>
      <c r="AA38" s="22">
        <v>1485.5</v>
      </c>
      <c r="AB38" s="22">
        <v>185666</v>
      </c>
      <c r="AC38" s="22">
        <v>60804</v>
      </c>
      <c r="AD38" s="22">
        <v>349459</v>
      </c>
      <c r="AE38" s="22">
        <v>5827</v>
      </c>
      <c r="AF38" s="22">
        <v>2</v>
      </c>
      <c r="AG38" s="22">
        <v>57000</v>
      </c>
      <c r="AH38" s="22">
        <v>1</v>
      </c>
      <c r="AI38" s="22">
        <v>0</v>
      </c>
      <c r="AJ38" s="22">
        <v>10</v>
      </c>
      <c r="AK38" s="22">
        <v>0</v>
      </c>
      <c r="AL38" s="22">
        <v>0</v>
      </c>
      <c r="AM38" s="22">
        <v>0</v>
      </c>
      <c r="AN38" s="22">
        <v>6</v>
      </c>
      <c r="AO38" s="22">
        <v>0</v>
      </c>
      <c r="AP38" s="22">
        <v>3</v>
      </c>
      <c r="AQ38" s="22">
        <v>3</v>
      </c>
      <c r="AR38" s="22">
        <v>0</v>
      </c>
      <c r="AS38" s="22">
        <v>231</v>
      </c>
      <c r="AT38" s="22">
        <v>8</v>
      </c>
      <c r="AU38" s="22">
        <v>140</v>
      </c>
      <c r="AV38" s="22">
        <v>95918</v>
      </c>
      <c r="AW38" s="22">
        <v>104584</v>
      </c>
      <c r="AX38" s="22">
        <v>359088.5</v>
      </c>
      <c r="AY38" s="22">
        <v>393235.8</v>
      </c>
      <c r="AZ38" s="22">
        <v>19129.8</v>
      </c>
      <c r="BA38" s="22">
        <v>13346.9</v>
      </c>
      <c r="BB38" s="22">
        <v>255</v>
      </c>
      <c r="BC38" s="22">
        <v>239</v>
      </c>
      <c r="BD38" s="22">
        <v>107841</v>
      </c>
      <c r="BE38" s="22">
        <v>105998</v>
      </c>
      <c r="BF38" s="22">
        <v>1081</v>
      </c>
      <c r="BG38" s="22">
        <v>1078</v>
      </c>
      <c r="BH38" s="22">
        <v>1065</v>
      </c>
      <c r="BI38" s="22">
        <v>167610.1</v>
      </c>
      <c r="BJ38" s="22">
        <v>56483.5</v>
      </c>
      <c r="BK38" s="22">
        <v>0</v>
      </c>
      <c r="BL38" s="22">
        <v>0</v>
      </c>
      <c r="BM38" s="22">
        <v>0</v>
      </c>
      <c r="BN38" s="22">
        <v>1</v>
      </c>
      <c r="BO38" s="22">
        <v>0</v>
      </c>
      <c r="BP38" s="22">
        <v>0</v>
      </c>
      <c r="BQ38" s="22">
        <v>0</v>
      </c>
      <c r="BR38" s="22">
        <v>0</v>
      </c>
      <c r="BS38" s="22">
        <v>0</v>
      </c>
      <c r="BT38" s="22">
        <v>0</v>
      </c>
      <c r="BU38" s="22">
        <v>0</v>
      </c>
      <c r="BV38" s="22">
        <v>99</v>
      </c>
      <c r="BW38" s="22">
        <v>104978</v>
      </c>
      <c r="BX38" s="22">
        <v>106463</v>
      </c>
      <c r="BY38" s="22">
        <v>40888261</v>
      </c>
      <c r="BZ38" s="22">
        <v>117701</v>
      </c>
      <c r="CA38" s="22">
        <v>4166</v>
      </c>
    </row>
    <row r="39" spans="1:79">
      <c r="A39" s="22" t="s">
        <v>19</v>
      </c>
      <c r="B39" s="22" t="s">
        <v>189</v>
      </c>
      <c r="C39" s="22" t="s">
        <v>192</v>
      </c>
      <c r="D39" s="22" t="s">
        <v>186</v>
      </c>
      <c r="E39" s="22">
        <v>30</v>
      </c>
      <c r="F39" s="22">
        <v>6</v>
      </c>
      <c r="G39" s="22">
        <v>158.2</v>
      </c>
      <c r="H39" s="22">
        <v>720</v>
      </c>
      <c r="I39" s="22">
        <v>712</v>
      </c>
      <c r="J39" s="22">
        <v>680.7</v>
      </c>
      <c r="K39" s="22">
        <v>13.4</v>
      </c>
      <c r="L39" s="22">
        <v>112638</v>
      </c>
      <c r="M39" s="22">
        <v>113904</v>
      </c>
      <c r="N39" s="22">
        <v>98037</v>
      </c>
      <c r="O39" s="22">
        <v>97437</v>
      </c>
      <c r="P39" s="22">
        <v>94388</v>
      </c>
      <c r="Q39" s="22">
        <v>101633</v>
      </c>
      <c r="R39" s="22">
        <v>20587</v>
      </c>
      <c r="S39" s="22">
        <v>17410</v>
      </c>
      <c r="T39" s="22">
        <v>2120</v>
      </c>
      <c r="U39" s="22">
        <v>1</v>
      </c>
      <c r="V39" s="22">
        <v>6.5</v>
      </c>
      <c r="W39" s="22">
        <v>36</v>
      </c>
      <c r="X39" s="22">
        <v>34</v>
      </c>
      <c r="Y39" s="22">
        <v>262617.2</v>
      </c>
      <c r="Z39" s="22">
        <v>65862.8</v>
      </c>
      <c r="AA39" s="22">
        <v>1573</v>
      </c>
      <c r="AB39" s="22">
        <v>230619</v>
      </c>
      <c r="AC39" s="22">
        <v>63239</v>
      </c>
      <c r="AD39" s="22">
        <v>287280</v>
      </c>
      <c r="AE39" s="22">
        <v>5880</v>
      </c>
      <c r="AF39" s="22">
        <v>1</v>
      </c>
      <c r="AG39" s="22">
        <v>89000</v>
      </c>
      <c r="AH39" s="22">
        <v>0</v>
      </c>
      <c r="AI39" s="22">
        <v>1</v>
      </c>
      <c r="AJ39" s="22">
        <v>9</v>
      </c>
      <c r="AK39" s="22">
        <v>0</v>
      </c>
      <c r="AL39" s="22">
        <v>0</v>
      </c>
      <c r="AM39" s="22">
        <v>0</v>
      </c>
      <c r="AN39" s="22">
        <v>5</v>
      </c>
      <c r="AO39" s="22">
        <v>1</v>
      </c>
      <c r="AP39" s="22">
        <v>0</v>
      </c>
      <c r="AQ39" s="22">
        <v>0</v>
      </c>
      <c r="AR39" s="22">
        <v>1</v>
      </c>
      <c r="AS39" s="22">
        <v>125</v>
      </c>
      <c r="AT39" s="22">
        <v>3</v>
      </c>
      <c r="AU39" s="22">
        <v>110</v>
      </c>
      <c r="AV39" s="22">
        <v>96056</v>
      </c>
      <c r="AW39" s="22">
        <v>97878</v>
      </c>
      <c r="AX39" s="22">
        <v>363110.2</v>
      </c>
      <c r="AY39" s="22">
        <v>368021.3</v>
      </c>
      <c r="AZ39" s="22">
        <v>14652.5</v>
      </c>
      <c r="BA39" s="22">
        <v>13440.5</v>
      </c>
      <c r="BB39" s="22">
        <v>151</v>
      </c>
      <c r="BC39" s="22">
        <v>137</v>
      </c>
      <c r="BD39" s="22">
        <v>100510</v>
      </c>
      <c r="BE39" s="22">
        <v>95543</v>
      </c>
      <c r="BF39" s="22">
        <v>1310</v>
      </c>
      <c r="BG39" s="22">
        <v>616</v>
      </c>
      <c r="BH39" s="22">
        <v>609</v>
      </c>
      <c r="BI39" s="22">
        <v>146401.1</v>
      </c>
      <c r="BJ39" s="22">
        <v>58367</v>
      </c>
      <c r="BK39" s="22">
        <v>0</v>
      </c>
      <c r="BL39" s="22">
        <v>0</v>
      </c>
      <c r="BM39" s="22">
        <v>1</v>
      </c>
      <c r="BN39" s="22">
        <v>0</v>
      </c>
      <c r="BO39" s="22">
        <v>0</v>
      </c>
      <c r="BP39" s="22">
        <v>0</v>
      </c>
      <c r="BQ39" s="22">
        <v>0</v>
      </c>
      <c r="BR39" s="22">
        <v>0</v>
      </c>
      <c r="BS39" s="22">
        <v>0</v>
      </c>
      <c r="BT39" s="22">
        <v>0</v>
      </c>
      <c r="BU39" s="22">
        <v>0</v>
      </c>
      <c r="BV39" s="22">
        <v>99</v>
      </c>
      <c r="BW39" s="22">
        <v>99398</v>
      </c>
      <c r="BX39" s="22">
        <v>100389</v>
      </c>
      <c r="BY39" s="22">
        <v>33437653</v>
      </c>
      <c r="BZ39" s="22">
        <v>112638</v>
      </c>
      <c r="CA39" s="22">
        <v>2024</v>
      </c>
    </row>
  </sheetData>
  <autoFilter ref="A3:CA39"/>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9"/>
  <sheetViews>
    <sheetView workbookViewId="0"/>
  </sheetViews>
  <sheetFormatPr defaultRowHeight="15"/>
  <cols>
    <col min="1" max="1" width="18.7109375" customWidth="1"/>
    <col min="2" max="2" width="14.7109375" customWidth="1"/>
    <col min="3" max="3" width="60.7109375" customWidth="1"/>
  </cols>
  <sheetData>
    <row r="1" spans="1:3">
      <c r="A1" s="5" t="s">
        <v>0</v>
      </c>
      <c r="B1" s="5" t="s">
        <v>1</v>
      </c>
      <c r="C1" s="5" t="s">
        <v>2</v>
      </c>
    </row>
    <row r="2" spans="1:3">
      <c r="A2" s="23" t="s">
        <v>3</v>
      </c>
      <c r="B2" s="24">
        <v>0.25</v>
      </c>
      <c r="C2" s="6" t="s">
        <v>4</v>
      </c>
    </row>
    <row r="3" spans="1:3">
      <c r="A3" s="23" t="s">
        <v>5</v>
      </c>
      <c r="B3" s="24">
        <v>0.095</v>
      </c>
      <c r="C3" s="6" t="s">
        <v>6</v>
      </c>
    </row>
    <row r="4" spans="1:3">
      <c r="A4" s="23" t="s">
        <v>7</v>
      </c>
      <c r="B4" s="24">
        <v>2.5</v>
      </c>
      <c r="C4" s="6" t="s">
        <v>8</v>
      </c>
    </row>
    <row r="5" spans="1:3">
      <c r="A5" s="23" t="s">
        <v>9</v>
      </c>
      <c r="B5" s="24">
        <v>2109562.8</v>
      </c>
      <c r="C5" s="6" t="s">
        <v>10</v>
      </c>
    </row>
    <row r="6" spans="1:3">
      <c r="A6" s="23" t="s">
        <v>11</v>
      </c>
      <c r="B6" s="24">
        <v>759330.2</v>
      </c>
      <c r="C6" s="6" t="s">
        <v>12</v>
      </c>
    </row>
    <row r="7" spans="1:3">
      <c r="A7" s="23" t="s">
        <v>13</v>
      </c>
      <c r="B7" s="25">
        <f>B5+B6</f>
        <v>2868893.0</v>
      </c>
      <c r="C7" s="6" t="s">
        <v>14</v>
      </c>
    </row>
    <row r="8" spans="1:3">
      <c r="A8" s="23" t="s">
        <v>15</v>
      </c>
      <c r="B8" s="24">
        <v>2000</v>
      </c>
      <c r="C8" s="6" t="s">
        <v>16</v>
      </c>
    </row>
    <row r="9" spans="1:3">
      <c r="A9" s="23" t="s">
        <v>17</v>
      </c>
      <c r="B9" s="24">
        <v>0.04</v>
      </c>
      <c r="C9" s="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Coverage</vt:lpstr>
      <vt:lpstr>KPI Register</vt:lpstr>
      <vt:lpstr>Lineage (Sep 2026)</vt:lpstr>
      <vt:lpstr>Screen Values</vt:lpstr>
      <vt:lpstr>Group KPIs</vt:lpstr>
      <vt:lpstr>Entity KPIs</vt:lpstr>
      <vt:lpstr>Plant KPIs</vt:lpstr>
      <vt:lpstr>Group Inputs</vt:lpstr>
      <vt:lpstr>Entity Inputs</vt:lpstr>
      <vt:lpstr>Plant Inputs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2026-10-05T19:33:19Z</dcterms:created>
  <dcterms:modified xsi:type="dcterms:W3CDTF">2026-10-05T19:33:19Z</dcterms:modified>
</cp:coreProperties>
</file>