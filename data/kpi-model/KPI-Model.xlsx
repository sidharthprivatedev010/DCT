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xf numFmtId="0" fontId="0" fillId="15" borderId="0" pivotButton="0" quotePrefix="0" xfId="0"/>
    <xf numFmtId="0"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1"/>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G05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G01 G01b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 O03</t>
        </is>
      </c>
      <c r="E11" t="n">
        <v>22.03</v>
      </c>
      <c r="F11" t="n">
        <v>4.2</v>
      </c>
      <c r="G11" t="n">
        <v>17.83</v>
      </c>
      <c r="H11" t="inlineStr">
        <is>
          <t>no</t>
        </is>
      </c>
      <c r="I11" t="inlineStr">
        <is>
          <t>source model</t>
        </is>
      </c>
    </row>
    <row r="12">
      <c r="A12" t="inlineStr">
        <is>
          <t>CSH-003</t>
        </is>
      </c>
      <c r="B12" t="inlineStr">
        <is>
          <t>Daily collections</t>
        </is>
      </c>
      <c r="C12" t="inlineStr">
        <is>
          <t>A1,Group</t>
        </is>
      </c>
      <c r="D12" t="inlineStr">
        <is>
          <t>E01 E05 E08 G04 O03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 O03</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A1,Group</t>
        </is>
      </c>
      <c r="D16" t="inlineStr">
        <is>
          <t>E02 E11 G03 O09</t>
        </is>
      </c>
      <c r="E16" t="n">
        <v>1827824.8</v>
      </c>
      <c r="F16" t="n">
        <v>900069.4</v>
      </c>
      <c r="G16" t="n">
        <v>927755.4</v>
      </c>
      <c r="H16" t="inlineStr">
        <is>
          <t>yes</t>
        </is>
      </c>
      <c r="I16" t="inlineStr">
        <is>
          <t>source model</t>
        </is>
      </c>
    </row>
    <row r="17">
      <c r="A17" t="inlineStr">
        <is>
          <t>CST-003</t>
        </is>
      </c>
      <c r="B17" t="inlineStr">
        <is>
          <t>Fuel cost</t>
        </is>
      </c>
      <c r="C17" t="inlineStr">
        <is>
          <t>A1,Group</t>
        </is>
      </c>
      <c r="D17" t="inlineStr">
        <is>
          <t>E02 O09</t>
        </is>
      </c>
      <c r="E17" t="n">
        <v>459369.3</v>
      </c>
      <c r="F17" t="n">
        <v>218672.4</v>
      </c>
      <c r="G17" t="n">
        <v>240696.9</v>
      </c>
      <c r="H17" t="inlineStr">
        <is>
          <t>yes</t>
        </is>
      </c>
      <c r="I17" t="inlineStr">
        <is>
          <t>source model</t>
        </is>
      </c>
    </row>
    <row r="18">
      <c r="A18" t="inlineStr">
        <is>
          <t>CST-004</t>
        </is>
      </c>
      <c r="B18" t="inlineStr">
        <is>
          <t>Power cost per tonne</t>
        </is>
      </c>
      <c r="C18" t="inlineStr">
        <is>
          <t>Group</t>
        </is>
      </c>
      <c r="D18" t="inlineStr">
        <is>
          <t>O09</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E04 E07 G07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G07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G07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G02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G08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G01 G01b G07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E07 G07 O05</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G07 O05</t>
        </is>
      </c>
      <c r="E43" t="n">
        <v>0</v>
      </c>
      <c r="F43" t="n">
        <v>0</v>
      </c>
      <c r="G43" t="n">
        <v>0</v>
      </c>
      <c r="H43" t="inlineStr">
        <is>
          <t>yes</t>
        </is>
      </c>
      <c r="I43" t="inlineStr">
        <is>
          <t>source model</t>
        </is>
      </c>
    </row>
    <row r="44">
      <c r="A44" t="inlineStr">
        <is>
          <t>EHS-009</t>
        </is>
      </c>
      <c r="B44" t="inlineStr">
        <is>
          <t>EHS investigation completion</t>
        </is>
      </c>
      <c r="C44" t="inlineStr">
        <is>
          <t>A1,Group</t>
        </is>
      </c>
      <c r="D44" t="inlineStr">
        <is>
          <t>E07 G07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 G08o O01 X L</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G01 G01b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G08 O01 X L</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O03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G03 O01 X L</t>
        </is>
      </c>
      <c r="E50" t="n">
        <v>11.58</v>
      </c>
      <c r="F50" t="n">
        <v>11.08</v>
      </c>
      <c r="G50" t="n">
        <v>12.12</v>
      </c>
      <c r="H50" t="inlineStr">
        <is>
          <t>no</t>
        </is>
      </c>
      <c r="I50" t="inlineStr">
        <is>
          <t>source model</t>
        </is>
      </c>
    </row>
    <row r="51">
      <c r="A51" t="inlineStr">
        <is>
          <t>FIN-006</t>
        </is>
      </c>
      <c r="B51" t="inlineStr">
        <is>
          <t>Net debt</t>
        </is>
      </c>
      <c r="C51" t="inlineStr">
        <is>
          <t>Group</t>
        </is>
      </c>
      <c r="D51" t="inlineStr">
        <is>
          <t>G01 G01b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G08 O01 X L</t>
        </is>
      </c>
      <c r="E52" t="n">
        <v>-86.65000000000001</v>
      </c>
      <c r="F52" t="n">
        <v>-65.72</v>
      </c>
      <c r="G52" t="n">
        <v>-20.93</v>
      </c>
      <c r="H52" t="inlineStr">
        <is>
          <t>no</t>
        </is>
      </c>
      <c r="I52" t="inlineStr">
        <is>
          <t>source model</t>
        </is>
      </c>
    </row>
    <row r="53">
      <c r="A53" t="inlineStr">
        <is>
          <t>FIN-008</t>
        </is>
      </c>
      <c r="B53" t="inlineStr">
        <is>
          <t>FCF conversion (FCF ÷ EBITDA)</t>
        </is>
      </c>
      <c r="C53" t="inlineStr">
        <is>
          <t>Group</t>
        </is>
      </c>
      <c r="D53" t="inlineStr">
        <is>
          <t>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 O03</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Group</t>
        </is>
      </c>
      <c r="D66" t="inlineStr">
        <is>
          <t>G04 O03</t>
        </is>
      </c>
      <c r="E66" t="n">
        <v>2720.83</v>
      </c>
      <c r="F66" t="n">
        <v>1440.7</v>
      </c>
      <c r="G66" t="n">
        <v>1280.13</v>
      </c>
      <c r="H66" t="inlineStr">
        <is>
          <t>no</t>
        </is>
      </c>
      <c r="I66" t="inlineStr">
        <is>
          <t>source model</t>
        </is>
      </c>
    </row>
    <row r="67">
      <c r="A67" t="inlineStr">
        <is>
          <t>OPS-001</t>
        </is>
      </c>
      <c r="B67" t="inlineStr">
        <is>
          <t>Production vs plan</t>
        </is>
      </c>
      <c r="C67" t="inlineStr">
        <is>
          <t>A1,Group,Plant02</t>
        </is>
      </c>
      <c r="D67" t="inlineStr">
        <is>
          <t>E01 E02 E05 E08 G01 G01b G02 G03 G05 G08 G08o O01 O02 O09 S03 S03e S03o S10 S12e X L</t>
        </is>
      </c>
      <c r="E67" t="n">
        <v>95.51000000000001</v>
      </c>
      <c r="F67" t="n">
        <v>91.27</v>
      </c>
      <c r="G67" t="n">
        <v>100.29</v>
      </c>
      <c r="H67" t="inlineStr">
        <is>
          <t>yes</t>
        </is>
      </c>
      <c r="I67" t="inlineStr">
        <is>
          <t>source model</t>
        </is>
      </c>
    </row>
    <row r="68">
      <c r="A68" t="inlineStr">
        <is>
          <t>OPS-002</t>
        </is>
      </c>
      <c r="B68" t="inlineStr">
        <is>
          <t>Sales vs plan</t>
        </is>
      </c>
      <c r="C68" t="inlineStr">
        <is>
          <t>A1,Group</t>
        </is>
      </c>
      <c r="D68" t="inlineStr">
        <is>
          <t>E01 E08 G01 G01b G03 O01 X L</t>
        </is>
      </c>
      <c r="E68" t="n">
        <v>95.23</v>
      </c>
      <c r="F68" t="n">
        <v>89.20999999999999</v>
      </c>
      <c r="G68" t="n">
        <v>102.04</v>
      </c>
      <c r="H68" t="inlineStr">
        <is>
          <t>yes</t>
        </is>
      </c>
      <c r="I68" t="inlineStr">
        <is>
          <t>source model</t>
        </is>
      </c>
    </row>
    <row r="69">
      <c r="A69" t="inlineStr">
        <is>
          <t>OPS-003</t>
        </is>
      </c>
      <c r="B69" t="inlineStr">
        <is>
          <t>Capacity utilization</t>
        </is>
      </c>
      <c r="C69" t="inlineStr">
        <is>
          <t>A1,Group</t>
        </is>
      </c>
      <c r="D69" t="inlineStr">
        <is>
          <t>E02 G05 O01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G01 G01b O01 O09</t>
        </is>
      </c>
      <c r="E71" t="n">
        <v>83.44</v>
      </c>
      <c r="F71" t="n">
        <v>79.8</v>
      </c>
      <c r="G71" t="n">
        <v>87.55</v>
      </c>
      <c r="H71" t="inlineStr">
        <is>
          <t>yes</t>
        </is>
      </c>
      <c r="I71" t="inlineStr">
        <is>
          <t>alias of OPS-003</t>
        </is>
      </c>
    </row>
    <row r="72">
      <c r="A72" t="inlineStr">
        <is>
          <t>OPS-006</t>
        </is>
      </c>
      <c r="B72" t="inlineStr">
        <is>
          <t>OEE · Group weighted (same measure as PLT-002)</t>
        </is>
      </c>
      <c r="C72" t="inlineStr">
        <is>
          <t>Group</t>
        </is>
      </c>
      <c r="D72" t="inlineStr">
        <is>
          <t>O09</t>
        </is>
      </c>
      <c r="E72" t="n">
        <v>84.06999999999999</v>
      </c>
      <c r="F72" t="n">
        <v>80.20999999999999</v>
      </c>
      <c r="G72" t="n">
        <v>88.44</v>
      </c>
      <c r="H72" t="inlineStr">
        <is>
          <t>yes</t>
        </is>
      </c>
      <c r="I72" t="inlineStr">
        <is>
          <t>alias of PLT-002</t>
        </is>
      </c>
    </row>
    <row r="73">
      <c r="A73" t="inlineStr">
        <is>
          <t>PLT-001</t>
        </is>
      </c>
      <c r="B73" t="inlineStr">
        <is>
          <t>Asset utilization</t>
        </is>
      </c>
      <c r="C73" t="inlineStr">
        <is>
          <t>A1</t>
        </is>
      </c>
      <c r="D73" t="inlineStr">
        <is>
          <t>E02</t>
        </is>
      </c>
      <c r="E73" t="n">
        <v>93.64</v>
      </c>
      <c r="F73" t="n">
        <v>91.86</v>
      </c>
      <c r="G73" t="n">
        <v>95.43000000000001</v>
      </c>
      <c r="H73" t="inlineStr">
        <is>
          <t>yes</t>
        </is>
      </c>
      <c r="I73" t="inlineStr">
        <is>
          <t>source model</t>
        </is>
      </c>
    </row>
    <row r="74">
      <c r="A74" t="inlineStr">
        <is>
          <t>PLT-002</t>
        </is>
      </c>
      <c r="B74" t="inlineStr">
        <is>
          <t>OEE</t>
        </is>
      </c>
      <c r="C74" t="inlineStr">
        <is>
          <t>Group,Plant02</t>
        </is>
      </c>
      <c r="D74" t="inlineStr">
        <is>
          <t>E02 G05</t>
        </is>
      </c>
      <c r="E74" t="n">
        <v>84.06999999999999</v>
      </c>
      <c r="F74" t="n">
        <v>80.20999999999999</v>
      </c>
      <c r="G74" t="n">
        <v>88.44</v>
      </c>
      <c r="H74" t="inlineStr">
        <is>
          <t>yes</t>
        </is>
      </c>
      <c r="I74" t="inlineStr">
        <is>
          <t>source model</t>
        </is>
      </c>
    </row>
    <row r="75">
      <c r="A75" t="inlineStr">
        <is>
          <t>PLT-004</t>
        </is>
      </c>
      <c r="B75" t="inlineStr">
        <is>
          <t>Recovery percentage</t>
        </is>
      </c>
      <c r="C75" t="inlineStr">
        <is>
          <t>A1</t>
        </is>
      </c>
      <c r="D75" t="inlineStr">
        <is>
          <t>E02</t>
        </is>
      </c>
      <c r="E75" t="n">
        <v>87.34999999999999</v>
      </c>
      <c r="F75" t="n">
        <v>87.47</v>
      </c>
      <c r="G75" t="n">
        <v>87.23</v>
      </c>
      <c r="H75" t="inlineStr">
        <is>
          <t>yes</t>
        </is>
      </c>
      <c r="I75" t="inlineStr">
        <is>
          <t>source model</t>
        </is>
      </c>
    </row>
    <row r="76">
      <c r="A76" t="inlineStr">
        <is>
          <t>PLT-005</t>
        </is>
      </c>
      <c r="B76" t="inlineStr">
        <is>
          <t>Yield</t>
        </is>
      </c>
      <c r="C76" t="inlineStr">
        <is>
          <t>A1</t>
        </is>
      </c>
      <c r="D76" t="inlineStr">
        <is>
          <t>E02</t>
        </is>
      </c>
      <c r="E76" t="n">
        <v>91.93000000000001</v>
      </c>
      <c r="F76" t="n">
        <v>91.45999999999999</v>
      </c>
      <c r="G76" t="n">
        <v>92.42</v>
      </c>
      <c r="H76" t="inlineStr">
        <is>
          <t>yes</t>
        </is>
      </c>
      <c r="I76" t="inlineStr">
        <is>
          <t>source model</t>
        </is>
      </c>
    </row>
    <row r="77">
      <c r="A77" t="inlineStr">
        <is>
          <t>PRD-001</t>
        </is>
      </c>
      <c r="B77" t="inlineStr">
        <is>
          <t>Days to breach (earliest plant)</t>
        </is>
      </c>
      <c r="C77" t="inlineStr">
        <is>
          <t>A1,Plant02</t>
        </is>
      </c>
      <c r="D77" t="inlineStr">
        <is>
          <t>E01 E04 O01 O02 O09 S10 S12 S12e X L</t>
        </is>
      </c>
      <c r="E77" t="n">
        <v>4</v>
      </c>
      <c r="F77" t="n">
        <v>4</v>
      </c>
      <c r="G77" t="n">
        <v>99</v>
      </c>
      <c r="H77" t="inlineStr">
        <is>
          <t>yes</t>
        </is>
      </c>
      <c r="I77" t="inlineStr">
        <is>
          <t>source model</t>
        </is>
      </c>
    </row>
    <row r="78">
      <c r="A78" t="inlineStr">
        <is>
          <t>PRD-002</t>
        </is>
      </c>
      <c r="B78" t="inlineStr">
        <is>
          <t>Probability of production plan miss, next month</t>
        </is>
      </c>
      <c r="C78" t="inlineStr">
        <is>
          <t>A1,Group</t>
        </is>
      </c>
      <c r="D78" t="inlineStr">
        <is>
          <t>G01 G01b G10 O01 O02 S12 S12e X L</t>
        </is>
      </c>
      <c r="E78" t="n">
        <v>69.69</v>
      </c>
      <c r="F78" t="n">
        <v>79.36</v>
      </c>
      <c r="G78" t="n">
        <v>45.13</v>
      </c>
      <c r="H78" t="inlineStr">
        <is>
          <t>yes</t>
        </is>
      </c>
      <c r="I78" t="inlineStr">
        <is>
          <t>source model</t>
        </is>
      </c>
    </row>
    <row r="79">
      <c r="A79" t="inlineStr">
        <is>
          <t>PRD-003</t>
        </is>
      </c>
      <c r="B79" t="inlineStr">
        <is>
          <t>Projected EBITDA gap, rest of year</t>
        </is>
      </c>
      <c r="C79" t="inlineStr">
        <is>
          <t>A1,Group</t>
        </is>
      </c>
      <c r="D79" t="inlineStr">
        <is>
          <t>G01 G01b G03 G10 O01 O02 S09 S12 S12e X L</t>
        </is>
      </c>
      <c r="E79" t="n">
        <v>-56.18</v>
      </c>
      <c r="F79" t="n">
        <v>-48.53</v>
      </c>
      <c r="G79" t="n">
        <v>-7.65</v>
      </c>
      <c r="H79" t="inlineStr">
        <is>
          <t>no</t>
        </is>
      </c>
      <c r="I79" t="inlineStr">
        <is>
          <t>source model</t>
        </is>
      </c>
    </row>
    <row r="80">
      <c r="A80" t="inlineStr">
        <is>
          <t>PRD-004</t>
        </is>
      </c>
      <c r="B80" t="inlineStr">
        <is>
          <t>Projected liquidity gap, next 90 days</t>
        </is>
      </c>
      <c r="C80" t="inlineStr">
        <is>
          <t>A1,Group</t>
        </is>
      </c>
      <c r="D80" t="inlineStr">
        <is>
          <t>G01 G01b G04 O02 O03 S12 S12e</t>
        </is>
      </c>
      <c r="E80" t="inlineStr">
        <is>
          <t>None within 90 d</t>
        </is>
      </c>
      <c r="F80" t="inlineStr">
        <is>
          <t>None within 90 d</t>
        </is>
      </c>
      <c r="G80" t="inlineStr">
        <is>
          <t>None within 90 d</t>
        </is>
      </c>
      <c r="H80" t="inlineStr">
        <is>
          <t>no</t>
        </is>
      </c>
      <c r="I80" t="inlineStr">
        <is>
          <t>source model</t>
        </is>
      </c>
    </row>
    <row r="81">
      <c r="A81" t="inlineStr">
        <is>
          <t>PRD-005</t>
        </is>
      </c>
      <c r="B81" t="inlineStr">
        <is>
          <t>Forecast covenant breach</t>
        </is>
      </c>
      <c r="C81" t="inlineStr">
        <is>
          <t>A1,Group</t>
        </is>
      </c>
      <c r="D81" t="inlineStr">
        <is>
          <t>G04 G10 O02 O03 S12 S12e</t>
        </is>
      </c>
      <c r="E81" t="inlineStr">
        <is>
          <t>Not forecast</t>
        </is>
      </c>
      <c r="F81" t="inlineStr">
        <is>
          <t>Not forecast</t>
        </is>
      </c>
      <c r="G81" t="inlineStr">
        <is>
          <t>Not forecast</t>
        </is>
      </c>
      <c r="H81" t="inlineStr">
        <is>
          <t>no</t>
        </is>
      </c>
      <c r="I81" t="inlineStr">
        <is>
          <t>source model</t>
        </is>
      </c>
    </row>
    <row r="82">
      <c r="A82" t="inlineStr">
        <is>
          <t>PRD-006</t>
        </is>
      </c>
      <c r="B82" t="inlineStr">
        <is>
          <t>Production loss from downtime, next month</t>
        </is>
      </c>
      <c r="C82" t="inlineStr">
        <is>
          <t>Group</t>
        </is>
      </c>
      <c r="D82" t="inlineStr">
        <is>
          <t>G05 G10 O09</t>
        </is>
      </c>
      <c r="E82" t="n">
        <v>28.01</v>
      </c>
      <c r="F82" t="n">
        <v>22.3</v>
      </c>
      <c r="G82" t="n">
        <v>5.71</v>
      </c>
      <c r="H82" t="inlineStr">
        <is>
          <t>yes</t>
        </is>
      </c>
      <c r="I82" t="inlineStr">
        <is>
          <t>source model</t>
        </is>
      </c>
    </row>
    <row r="83">
      <c r="A83" t="inlineStr">
        <is>
          <t>PRD-007</t>
        </is>
      </c>
      <c r="B83" t="inlineStr">
        <is>
          <t>Probability OEE below 78%, next month</t>
        </is>
      </c>
      <c r="C83" t="inlineStr">
        <is>
          <t>Group</t>
        </is>
      </c>
      <c r="D83" t="inlineStr">
        <is>
          <t>O09</t>
        </is>
      </c>
      <c r="E83" t="n">
        <v>0</v>
      </c>
      <c r="F83" t="n">
        <v>0.59</v>
      </c>
      <c r="G83" t="n">
        <v>0.01</v>
      </c>
      <c r="H83" t="inlineStr">
        <is>
          <t>yes</t>
        </is>
      </c>
      <c r="I83" t="inlineStr">
        <is>
          <t>source model</t>
        </is>
      </c>
    </row>
    <row r="84">
      <c r="A84" t="inlineStr">
        <is>
          <t>PRD-008</t>
        </is>
      </c>
      <c r="B84" t="inlineStr">
        <is>
          <t>Projected FCF gap, full year</t>
        </is>
      </c>
      <c r="C84" t="inlineStr">
        <is>
          <t>A1</t>
        </is>
      </c>
      <c r="D84" t="inlineStr">
        <is>
          <t>E11</t>
        </is>
      </c>
      <c r="E84" t="n">
        <v>-120.09</v>
      </c>
      <c r="F84" t="n">
        <v>-101.29</v>
      </c>
      <c r="G84" t="n">
        <v>-18.8</v>
      </c>
      <c r="H84" t="inlineStr">
        <is>
          <t>no</t>
        </is>
      </c>
      <c r="I84" t="inlineStr">
        <is>
          <t>added (synthetic inputs)</t>
        </is>
      </c>
    </row>
    <row r="85">
      <c r="A85" t="inlineStr">
        <is>
          <t>PRD-009</t>
        </is>
      </c>
      <c r="B85" t="inlineStr">
        <is>
          <t>ROCE at P12 (forecast)</t>
        </is>
      </c>
      <c r="C85" t="inlineStr">
        <is>
          <t>A1</t>
        </is>
      </c>
      <c r="D85" t="inlineStr">
        <is>
          <t>E11</t>
        </is>
      </c>
      <c r="E85" t="n">
        <v>11.26</v>
      </c>
      <c r="F85" t="n">
        <v>10.48</v>
      </c>
      <c r="G85" t="n">
        <v>12.12</v>
      </c>
      <c r="H85" t="inlineStr">
        <is>
          <t>no</t>
        </is>
      </c>
      <c r="I85" t="inlineStr">
        <is>
          <t>added (synthetic inputs)</t>
        </is>
      </c>
    </row>
    <row r="86">
      <c r="A86" t="inlineStr">
        <is>
          <t>PRD-010</t>
        </is>
      </c>
      <c r="B86" t="inlineStr">
        <is>
          <t>Revenue per FTE YTD</t>
        </is>
      </c>
      <c r="C86" t="inlineStr">
        <is>
          <t>A1</t>
        </is>
      </c>
      <c r="D86" t="inlineStr">
        <is>
          <t>E11</t>
        </is>
      </c>
      <c r="E86" t="n">
        <v>5.247</v>
      </c>
      <c r="F86" t="n">
        <v>5.172</v>
      </c>
      <c r="G86" t="n">
        <v>5.326</v>
      </c>
      <c r="H86" t="inlineStr">
        <is>
          <t>no</t>
        </is>
      </c>
      <c r="I86" t="inlineStr">
        <is>
          <t>added (synthetic inputs)</t>
        </is>
      </c>
    </row>
    <row r="87">
      <c r="A87" t="inlineStr">
        <is>
          <t>PRD-011</t>
        </is>
      </c>
      <c r="B87" t="inlineStr">
        <is>
          <t>Tonnes per FTE</t>
        </is>
      </c>
      <c r="C87" t="inlineStr">
        <is>
          <t>A1</t>
        </is>
      </c>
      <c r="D87" t="inlineStr">
        <is>
          <t>E11</t>
        </is>
      </c>
      <c r="E87" t="n">
        <v>237.7</v>
      </c>
      <c r="F87" t="n">
        <v>235</v>
      </c>
      <c r="G87" t="n">
        <v>240.6</v>
      </c>
      <c r="H87" t="inlineStr">
        <is>
          <t>no</t>
        </is>
      </c>
      <c r="I87" t="inlineStr">
        <is>
          <t>added (synthetic inputs)</t>
        </is>
      </c>
    </row>
    <row r="88">
      <c r="A88" t="inlineStr">
        <is>
          <t>PRD-012</t>
        </is>
      </c>
      <c r="B88" t="inlineStr">
        <is>
          <t>Probability of EBITDA plan miss, full year</t>
        </is>
      </c>
      <c r="C88" t="inlineStr">
        <is>
          <t>A1</t>
        </is>
      </c>
      <c r="D88" t="inlineStr">
        <is>
          <t>E11</t>
        </is>
      </c>
      <c r="E88" t="n">
        <v>69.39</v>
      </c>
      <c r="F88" t="n">
        <v>80.43000000000001</v>
      </c>
      <c r="G88" t="n">
        <v>44.32</v>
      </c>
      <c r="H88" t="inlineStr">
        <is>
          <t>no</t>
        </is>
      </c>
      <c r="I88" t="inlineStr">
        <is>
          <t>added (synthetic inputs)</t>
        </is>
      </c>
    </row>
    <row r="89">
      <c r="A89" t="inlineStr">
        <is>
          <t>PRG-001</t>
        </is>
      </c>
      <c r="B89" t="inlineStr">
        <is>
          <t>Capex project status</t>
        </is>
      </c>
      <c r="C89" t="inlineStr">
        <is>
          <t>Group</t>
        </is>
      </c>
      <c r="D89" t="inlineStr">
        <is>
          <t>G06 O04</t>
        </is>
      </c>
      <c r="E89" t="inlineStr">
        <is>
          <t>9 on track · 2 at risk · 0 off track</t>
        </is>
      </c>
      <c r="F89" t="inlineStr">
        <is>
          <t>5 on track · 1 at risk · 0 off track</t>
        </is>
      </c>
      <c r="G89" t="inlineStr">
        <is>
          <t>4 on track · 1 at risk · 0 off track</t>
        </is>
      </c>
      <c r="H89" t="inlineStr">
        <is>
          <t>no</t>
        </is>
      </c>
      <c r="I89" t="inlineStr">
        <is>
          <t>source model</t>
        </is>
      </c>
    </row>
    <row r="90">
      <c r="A90" t="inlineStr">
        <is>
          <t>PRG-002</t>
        </is>
      </c>
      <c r="B90" t="inlineStr">
        <is>
          <t>Benefits realisation</t>
        </is>
      </c>
      <c r="C90" t="inlineStr">
        <is>
          <t>A1,Group</t>
        </is>
      </c>
      <c r="D90" t="inlineStr">
        <is>
          <t>E06 G06 O04</t>
        </is>
      </c>
      <c r="E90" t="n">
        <v>47.96</v>
      </c>
      <c r="F90" t="n">
        <v>69.34</v>
      </c>
      <c r="G90" t="n">
        <v>36.27</v>
      </c>
      <c r="H90" t="inlineStr">
        <is>
          <t>no</t>
        </is>
      </c>
      <c r="I90" t="inlineStr">
        <is>
          <t>source model</t>
        </is>
      </c>
    </row>
    <row r="91">
      <c r="A91" t="inlineStr">
        <is>
          <t>PRG-003</t>
        </is>
      </c>
      <c r="B91" t="inlineStr">
        <is>
          <t>Delayed projects</t>
        </is>
      </c>
      <c r="C91" t="inlineStr">
        <is>
          <t>A1,Group</t>
        </is>
      </c>
      <c r="D91" t="inlineStr">
        <is>
          <t>E06 G06 O04</t>
        </is>
      </c>
      <c r="E91" t="n">
        <v>1</v>
      </c>
      <c r="F91" t="n">
        <v>0</v>
      </c>
      <c r="G91" t="n">
        <v>1</v>
      </c>
      <c r="H91" t="inlineStr">
        <is>
          <t>no</t>
        </is>
      </c>
      <c r="I91" t="inlineStr">
        <is>
          <t>source model</t>
        </is>
      </c>
    </row>
    <row r="92">
      <c r="A92" t="inlineStr">
        <is>
          <t>PRG-004</t>
        </is>
      </c>
      <c r="B92" t="inlineStr">
        <is>
          <t>Capex / transformation progress (same measure as STR-002)</t>
        </is>
      </c>
      <c r="C92" t="inlineStr">
        <is>
          <t>A1,Group</t>
        </is>
      </c>
      <c r="D92" t="inlineStr">
        <is>
          <t>E01 G01 G01b O01 O04</t>
        </is>
      </c>
      <c r="E92" t="n">
        <v>54.03</v>
      </c>
      <c r="F92" t="n">
        <v>53.33</v>
      </c>
      <c r="G92" t="n">
        <v>54.69</v>
      </c>
      <c r="H92" t="inlineStr">
        <is>
          <t>no</t>
        </is>
      </c>
      <c r="I92" t="inlineStr">
        <is>
          <t>alias of STR-002</t>
        </is>
      </c>
    </row>
    <row r="93">
      <c r="A93" t="inlineStr">
        <is>
          <t>PRG-005</t>
        </is>
      </c>
      <c r="B93" t="inlineStr">
        <is>
          <t>Transformation initiative status</t>
        </is>
      </c>
      <c r="C93" t="inlineStr">
        <is>
          <t>A1,Group</t>
        </is>
      </c>
      <c r="D93" t="inlineStr">
        <is>
          <t>E06 O04</t>
        </is>
      </c>
      <c r="E93" t="inlineStr">
        <is>
          <t>15 on track · 6 at risk · 3 delayed</t>
        </is>
      </c>
      <c r="F93" t="inlineStr">
        <is>
          <t>5 on track · 2 at risk · 1 delayed</t>
        </is>
      </c>
      <c r="G93" t="inlineStr">
        <is>
          <t>10 on track · 4 at risk · 2 delayed</t>
        </is>
      </c>
      <c r="H93" t="inlineStr">
        <is>
          <t>no</t>
        </is>
      </c>
      <c r="I93" t="inlineStr">
        <is>
          <t>source model</t>
        </is>
      </c>
    </row>
    <row r="94">
      <c r="A94" t="inlineStr">
        <is>
          <t>REG-001</t>
        </is>
      </c>
      <c r="B94" t="inlineStr">
        <is>
          <t>Pending filings</t>
        </is>
      </c>
      <c r="C94" t="inlineStr">
        <is>
          <t>A1,Group</t>
        </is>
      </c>
      <c r="D94" t="inlineStr">
        <is>
          <t>E07 G07</t>
        </is>
      </c>
      <c r="E94" t="n">
        <v>0</v>
      </c>
      <c r="F94" t="n">
        <v>0</v>
      </c>
      <c r="G94" t="n">
        <v>0</v>
      </c>
      <c r="H94" t="inlineStr">
        <is>
          <t>yes</t>
        </is>
      </c>
      <c r="I94" t="inlineStr">
        <is>
          <t>source model</t>
        </is>
      </c>
    </row>
    <row r="95">
      <c r="A95" t="inlineStr">
        <is>
          <t>REG-002</t>
        </is>
      </c>
      <c r="B95" t="inlineStr">
        <is>
          <t>Regulatory deadlines, next 30 days</t>
        </is>
      </c>
      <c r="C95" t="inlineStr">
        <is>
          <t>A1,Group</t>
        </is>
      </c>
      <c r="D95" t="inlineStr">
        <is>
          <t>E07 G07</t>
        </is>
      </c>
      <c r="E95" t="n">
        <v>3</v>
      </c>
      <c r="F95" t="n">
        <v>2</v>
      </c>
      <c r="G95" t="n">
        <v>1</v>
      </c>
      <c r="H95" t="inlineStr">
        <is>
          <t>yes</t>
        </is>
      </c>
      <c r="I95" t="inlineStr">
        <is>
          <t>source model</t>
        </is>
      </c>
    </row>
    <row r="96">
      <c r="A96" t="inlineStr">
        <is>
          <t>REG-003</t>
        </is>
      </c>
      <c r="B96" t="inlineStr">
        <is>
          <t>Licence expirations, next 12 months</t>
        </is>
      </c>
      <c r="C96" t="inlineStr">
        <is>
          <t>A1,Group</t>
        </is>
      </c>
      <c r="D96" t="inlineStr">
        <is>
          <t>E07 G07</t>
        </is>
      </c>
      <c r="E96" t="n">
        <v>1</v>
      </c>
      <c r="F96" t="n">
        <v>1</v>
      </c>
      <c r="G96" t="n">
        <v>0</v>
      </c>
      <c r="H96" t="inlineStr">
        <is>
          <t>yes</t>
        </is>
      </c>
      <c r="I96" t="inlineStr">
        <is>
          <t>source model</t>
        </is>
      </c>
    </row>
    <row r="97">
      <c r="A97" t="inlineStr">
        <is>
          <t>REG-004</t>
        </is>
      </c>
      <c r="B97" t="inlineStr">
        <is>
          <t>Regulatory obligations due, next 30 days</t>
        </is>
      </c>
      <c r="C97" t="inlineStr">
        <is>
          <t>A1,Group</t>
        </is>
      </c>
      <c r="D97" t="inlineStr">
        <is>
          <t>E07 G07</t>
        </is>
      </c>
      <c r="E97" t="n">
        <v>2</v>
      </c>
      <c r="F97" t="n">
        <v>1</v>
      </c>
      <c r="G97" t="n">
        <v>1</v>
      </c>
      <c r="H97" t="inlineStr">
        <is>
          <t>yes</t>
        </is>
      </c>
      <c r="I97" t="inlineStr">
        <is>
          <t>source model</t>
        </is>
      </c>
    </row>
    <row r="98">
      <c r="A98" t="inlineStr">
        <is>
          <t>REG-005</t>
        </is>
      </c>
      <c r="B98" t="inlineStr">
        <is>
          <t>Overdue regulatory obligations</t>
        </is>
      </c>
      <c r="C98" t="inlineStr">
        <is>
          <t>A1,Group</t>
        </is>
      </c>
      <c r="D98" t="inlineStr">
        <is>
          <t>E07 G07 O05</t>
        </is>
      </c>
      <c r="E98" t="n">
        <v>0</v>
      </c>
      <c r="F98" t="n">
        <v>0</v>
      </c>
      <c r="G98" t="n">
        <v>0</v>
      </c>
      <c r="H98" t="inlineStr">
        <is>
          <t>yes</t>
        </is>
      </c>
      <c r="I98" t="inlineStr">
        <is>
          <t>source model</t>
        </is>
      </c>
    </row>
    <row r="99">
      <c r="A99" t="inlineStr">
        <is>
          <t>REG-006</t>
        </is>
      </c>
      <c r="B99" t="inlineStr">
        <is>
          <t>Licence or permit expiry clock</t>
        </is>
      </c>
      <c r="C99" t="inlineStr">
        <is>
          <t>A1,Group</t>
        </is>
      </c>
      <c r="D99" t="inlineStr">
        <is>
          <t>E07 O05</t>
        </is>
      </c>
      <c r="E99" t="n">
        <v>65</v>
      </c>
      <c r="F99" t="n">
        <v>65</v>
      </c>
      <c r="G99" t="n">
        <v>102</v>
      </c>
      <c r="H99" t="inlineStr">
        <is>
          <t>yes</t>
        </is>
      </c>
      <c r="I99" t="inlineStr">
        <is>
          <t>source model</t>
        </is>
      </c>
    </row>
    <row r="100">
      <c r="A100" t="inlineStr">
        <is>
          <t>REG-007</t>
        </is>
      </c>
      <c r="B100" t="inlineStr">
        <is>
          <t>Open regulatory actions</t>
        </is>
      </c>
      <c r="C100" t="inlineStr">
        <is>
          <t>A1,Group</t>
        </is>
      </c>
      <c r="D100" t="inlineStr">
        <is>
          <t>E07 G07</t>
        </is>
      </c>
      <c r="E100" t="n">
        <v>0</v>
      </c>
      <c r="F100" t="n">
        <v>0</v>
      </c>
      <c r="G100" t="n">
        <v>0</v>
      </c>
      <c r="H100" t="inlineStr">
        <is>
          <t>yes</t>
        </is>
      </c>
      <c r="I100" t="inlineStr">
        <is>
          <t>source model</t>
        </is>
      </c>
    </row>
    <row r="101">
      <c r="A101" t="inlineStr">
        <is>
          <t>REG-008</t>
        </is>
      </c>
      <c r="B101" t="inlineStr">
        <is>
          <t>Overdue compliance actions</t>
        </is>
      </c>
      <c r="C101" t="inlineStr">
        <is>
          <t>A1,Group</t>
        </is>
      </c>
      <c r="D101" t="inlineStr">
        <is>
          <t>E07 G07</t>
        </is>
      </c>
      <c r="E101" t="n">
        <v>0</v>
      </c>
      <c r="F101" t="n">
        <v>0</v>
      </c>
      <c r="G101" t="n">
        <v>0</v>
      </c>
      <c r="H101" t="inlineStr">
        <is>
          <t>yes</t>
        </is>
      </c>
      <c r="I101" t="inlineStr">
        <is>
          <t>source model</t>
        </is>
      </c>
    </row>
    <row r="102">
      <c r="A102" t="inlineStr">
        <is>
          <t>REG-009</t>
        </is>
      </c>
      <c r="B102" t="inlineStr">
        <is>
          <t>Disclosure-clock status</t>
        </is>
      </c>
      <c r="C102" t="inlineStr">
        <is>
          <t>Group</t>
        </is>
      </c>
      <c r="D102" t="inlineStr">
        <is>
          <t>O05</t>
        </is>
      </c>
      <c r="E102" t="inlineStr">
        <is>
          <t>Not triggered</t>
        </is>
      </c>
      <c r="F102" t="inlineStr">
        <is>
          <t>Not triggered</t>
        </is>
      </c>
      <c r="G102" t="inlineStr">
        <is>
          <t>Not triggered</t>
        </is>
      </c>
      <c r="H102" t="inlineStr">
        <is>
          <t>yes</t>
        </is>
      </c>
      <c r="I102" t="inlineStr">
        <is>
          <t>source model</t>
        </is>
      </c>
    </row>
    <row r="103">
      <c r="A103" t="inlineStr">
        <is>
          <t>REG-010</t>
        </is>
      </c>
      <c r="B103" t="inlineStr">
        <is>
          <t>Regulatory breaches YTD</t>
        </is>
      </c>
      <c r="C103" t="inlineStr">
        <is>
          <t>A1,Group</t>
        </is>
      </c>
      <c r="D103" t="inlineStr">
        <is>
          <t>E07 G01 G01b O05</t>
        </is>
      </c>
      <c r="E103" t="n">
        <v>0</v>
      </c>
      <c r="F103" t="n">
        <v>0</v>
      </c>
      <c r="G103" t="n">
        <v>0</v>
      </c>
      <c r="H103" t="inlineStr">
        <is>
          <t>yes</t>
        </is>
      </c>
      <c r="I103" t="inlineStr">
        <is>
          <t>source model</t>
        </is>
      </c>
    </row>
    <row r="104">
      <c r="A104" t="inlineStr">
        <is>
          <t>REG-011</t>
        </is>
      </c>
      <c r="B104" t="inlineStr">
        <is>
          <t>Disclosure clock, hours remaining</t>
        </is>
      </c>
      <c r="C104" t="inlineStr">
        <is>
          <t>A1</t>
        </is>
      </c>
      <c r="D104" t="inlineStr">
        <is>
          <t>E07</t>
        </is>
      </c>
      <c r="E104" t="n">
        <v>38</v>
      </c>
      <c r="F104" t="n">
        <v>38</v>
      </c>
      <c r="G104" t="n">
        <v>999</v>
      </c>
      <c r="H104" t="inlineStr">
        <is>
          <t>no</t>
        </is>
      </c>
      <c r="I104" t="inlineStr">
        <is>
          <t>added (synthetic inputs)</t>
        </is>
      </c>
    </row>
    <row r="105">
      <c r="A105" t="inlineStr">
        <is>
          <t>REL-001</t>
        </is>
      </c>
      <c r="B105" t="inlineStr">
        <is>
          <t>MTBF</t>
        </is>
      </c>
      <c r="C105" t="inlineStr">
        <is>
          <t>A1,Group</t>
        </is>
      </c>
      <c r="D105" t="inlineStr">
        <is>
          <t>E03 G05 O09</t>
        </is>
      </c>
      <c r="E105" t="n">
        <v>269.69</v>
      </c>
      <c r="F105" t="n">
        <v>165.35</v>
      </c>
      <c r="G105" t="n">
        <v>687.0700000000001</v>
      </c>
      <c r="H105" t="inlineStr">
        <is>
          <t>yes</t>
        </is>
      </c>
      <c r="I105" t="inlineStr">
        <is>
          <t>source model</t>
        </is>
      </c>
    </row>
    <row r="106">
      <c r="A106" t="inlineStr">
        <is>
          <t>REL-002</t>
        </is>
      </c>
      <c r="B106" t="inlineStr">
        <is>
          <t>Mean Time to Repair</t>
        </is>
      </c>
      <c r="C106" t="inlineStr">
        <is>
          <t>A1,Group</t>
        </is>
      </c>
      <c r="D106" t="inlineStr">
        <is>
          <t>E03 G05 O09</t>
        </is>
      </c>
      <c r="E106" t="n">
        <v>7.83</v>
      </c>
      <c r="F106" t="n">
        <v>8.24</v>
      </c>
      <c r="G106" t="n">
        <v>6.17</v>
      </c>
      <c r="H106" t="inlineStr">
        <is>
          <t>yes</t>
        </is>
      </c>
      <c r="I106" t="inlineStr">
        <is>
          <t>source model</t>
        </is>
      </c>
    </row>
    <row r="107">
      <c r="A107" t="inlineStr">
        <is>
          <t>REL-003</t>
        </is>
      </c>
      <c r="B107" t="inlineStr">
        <is>
          <t>Unplanned downtime</t>
        </is>
      </c>
      <c r="C107" t="inlineStr">
        <is>
          <t>A1,Group</t>
        </is>
      </c>
      <c r="D107" t="inlineStr">
        <is>
          <t>E03 G05 O09</t>
        </is>
      </c>
      <c r="E107" t="n">
        <v>154.4</v>
      </c>
      <c r="F107" t="n">
        <v>120.7</v>
      </c>
      <c r="G107" t="n">
        <v>33.7</v>
      </c>
      <c r="H107" t="inlineStr">
        <is>
          <t>yes</t>
        </is>
      </c>
      <c r="I107" t="inlineStr">
        <is>
          <t>source model</t>
        </is>
      </c>
    </row>
    <row r="108">
      <c r="A108" t="inlineStr">
        <is>
          <t>REL-004</t>
        </is>
      </c>
      <c r="B108" t="inlineStr">
        <is>
          <t>Production loss from downtime</t>
        </is>
      </c>
      <c r="C108" t="inlineStr">
        <is>
          <t>A1,Group</t>
        </is>
      </c>
      <c r="D108" t="inlineStr">
        <is>
          <t>E03 G05</t>
        </is>
      </c>
      <c r="E108" t="n">
        <v>27176</v>
      </c>
      <c r="F108" t="n">
        <v>21684</v>
      </c>
      <c r="G108" t="n">
        <v>5492</v>
      </c>
      <c r="H108" t="inlineStr">
        <is>
          <t>yes</t>
        </is>
      </c>
      <c r="I108" t="inlineStr">
        <is>
          <t>source model</t>
        </is>
      </c>
    </row>
    <row r="109">
      <c r="A109" t="inlineStr">
        <is>
          <t>REL-005</t>
        </is>
      </c>
      <c r="B109" t="inlineStr">
        <is>
          <t>Preventive-maintenance compliance</t>
        </is>
      </c>
      <c r="C109" t="inlineStr">
        <is>
          <t>A1,Group</t>
        </is>
      </c>
      <c r="D109" t="inlineStr">
        <is>
          <t>E03 O09</t>
        </is>
      </c>
      <c r="E109" t="n">
        <v>95.62</v>
      </c>
      <c r="F109" t="n">
        <v>93.43000000000001</v>
      </c>
      <c r="G109" t="n">
        <v>97.81</v>
      </c>
      <c r="H109" t="inlineStr">
        <is>
          <t>yes</t>
        </is>
      </c>
      <c r="I109" t="inlineStr">
        <is>
          <t>source model</t>
        </is>
      </c>
    </row>
    <row r="110">
      <c r="A110" t="inlineStr">
        <is>
          <t>RSK-001</t>
        </is>
      </c>
      <c r="B110" t="inlineStr">
        <is>
          <t>Open critical alerts (same measure as EFF-002)</t>
        </is>
      </c>
      <c r="C110" t="inlineStr">
        <is>
          <t>Group</t>
        </is>
      </c>
      <c r="D110" t="inlineStr">
        <is>
          <t>O01 X L</t>
        </is>
      </c>
      <c r="E110" t="n">
        <v>1</v>
      </c>
      <c r="F110" t="n">
        <v>1</v>
      </c>
      <c r="G110" t="n">
        <v>0</v>
      </c>
      <c r="H110" t="inlineStr">
        <is>
          <t>no</t>
        </is>
      </c>
      <c r="I110" t="inlineStr">
        <is>
          <t>alias of EFF-002</t>
        </is>
      </c>
    </row>
    <row r="111">
      <c r="A111" t="inlineStr">
        <is>
          <t>RSK-002</t>
        </is>
      </c>
      <c r="B111" t="inlineStr">
        <is>
          <t>Severity incidents (same measure as EHS-002)</t>
        </is>
      </c>
      <c r="C111" t="inlineStr">
        <is>
          <t>Group</t>
        </is>
      </c>
      <c r="D111" t="inlineStr">
        <is>
          <t>O01 X L</t>
        </is>
      </c>
      <c r="E111" t="n">
        <v>3</v>
      </c>
      <c r="F111" t="n">
        <v>1</v>
      </c>
      <c r="G111" t="n">
        <v>2</v>
      </c>
      <c r="H111" t="inlineStr">
        <is>
          <t>yes</t>
        </is>
      </c>
      <c r="I111" t="inlineStr">
        <is>
          <t>alias of EHS-002</t>
        </is>
      </c>
    </row>
    <row r="112">
      <c r="A112" t="inlineStr">
        <is>
          <t>RSK-003</t>
        </is>
      </c>
      <c r="B112" t="inlineStr">
        <is>
          <t>Regulatory breaches YTD (same measure as REG-010)</t>
        </is>
      </c>
      <c r="C112" t="inlineStr">
        <is>
          <t>Group</t>
        </is>
      </c>
      <c r="D112" t="inlineStr">
        <is>
          <t>O01 X L</t>
        </is>
      </c>
      <c r="E112" t="n">
        <v>0</v>
      </c>
      <c r="F112" t="n">
        <v>0</v>
      </c>
      <c r="G112" t="n">
        <v>0</v>
      </c>
      <c r="H112" t="inlineStr">
        <is>
          <t>yes</t>
        </is>
      </c>
      <c r="I112" t="inlineStr">
        <is>
          <t>alias of REG-010</t>
        </is>
      </c>
    </row>
    <row r="113">
      <c r="A113" t="inlineStr">
        <is>
          <t>SIG-001</t>
        </is>
      </c>
      <c r="B113" t="inlineStr">
        <is>
          <t>Unplanned downtime (same measure as REL-003)</t>
        </is>
      </c>
      <c r="C113" t="inlineStr">
        <is>
          <t>A1,Group</t>
        </is>
      </c>
      <c r="D113" t="inlineStr">
        <is>
          <t>O02 S12 S12e</t>
        </is>
      </c>
      <c r="E113" t="n">
        <v>154.4</v>
      </c>
      <c r="F113" t="n">
        <v>120.7</v>
      </c>
      <c r="G113" t="n">
        <v>33.7</v>
      </c>
      <c r="H113" t="inlineStr">
        <is>
          <t>yes</t>
        </is>
      </c>
      <c r="I113" t="inlineStr">
        <is>
          <t>alias of REL-003</t>
        </is>
      </c>
    </row>
    <row r="114">
      <c r="A114" t="inlineStr">
        <is>
          <t>SIG-002</t>
        </is>
      </c>
      <c r="B114" t="inlineStr">
        <is>
          <t>Yield (same measure as PLT-005)</t>
        </is>
      </c>
      <c r="C114" t="inlineStr">
        <is>
          <t>A1,Group</t>
        </is>
      </c>
      <c r="D114" t="inlineStr">
        <is>
          <t>E02 S12 S12e</t>
        </is>
      </c>
      <c r="E114" t="n">
        <v>91.93000000000001</v>
      </c>
      <c r="F114" t="n">
        <v>91.45999999999999</v>
      </c>
      <c r="G114" t="n">
        <v>92.42</v>
      </c>
      <c r="H114" t="inlineStr">
        <is>
          <t>yes</t>
        </is>
      </c>
      <c r="I114" t="inlineStr">
        <is>
          <t>alias of PLT-005</t>
        </is>
      </c>
    </row>
    <row r="115">
      <c r="A115" t="inlineStr">
        <is>
          <t>SIG-003</t>
        </is>
      </c>
      <c r="B115" t="inlineStr">
        <is>
          <t>Recovery percentage (same measure as PLT-004)</t>
        </is>
      </c>
      <c r="C115" t="inlineStr">
        <is>
          <t>A1,Group</t>
        </is>
      </c>
      <c r="D115" t="inlineStr">
        <is>
          <t>E02 S12</t>
        </is>
      </c>
      <c r="E115" t="n">
        <v>87.34999999999999</v>
      </c>
      <c r="F115" t="n">
        <v>87.47</v>
      </c>
      <c r="G115" t="n">
        <v>87.23</v>
      </c>
      <c r="H115" t="inlineStr">
        <is>
          <t>yes</t>
        </is>
      </c>
      <c r="I115" t="inlineStr">
        <is>
          <t>alias of PLT-004</t>
        </is>
      </c>
    </row>
    <row r="116">
      <c r="A116" t="inlineStr">
        <is>
          <t>SIG-004</t>
        </is>
      </c>
      <c r="B116" t="inlineStr">
        <is>
          <t>Collections slippage</t>
        </is>
      </c>
      <c r="C116" t="inlineStr">
        <is>
          <t>A1,Group</t>
        </is>
      </c>
      <c r="D116" t="inlineStr">
        <is>
          <t>E05 G04 O02 O03 S12 S12e</t>
        </is>
      </c>
      <c r="E116" t="n">
        <v>1.12</v>
      </c>
      <c r="F116" t="n">
        <v>1.94</v>
      </c>
      <c r="G116" t="n">
        <v>0.21</v>
      </c>
      <c r="H116" t="inlineStr">
        <is>
          <t>no</t>
        </is>
      </c>
      <c r="I116" t="inlineStr">
        <is>
          <t>source model</t>
        </is>
      </c>
    </row>
    <row r="117">
      <c r="A117" t="inlineStr">
        <is>
          <t>SIG-005</t>
        </is>
      </c>
      <c r="B117" t="inlineStr">
        <is>
          <t>Payment delays</t>
        </is>
      </c>
      <c r="C117" t="inlineStr">
        <is>
          <t>A1,Group</t>
        </is>
      </c>
      <c r="D117" t="inlineStr">
        <is>
          <t>E05 G04 S12 S12e</t>
        </is>
      </c>
      <c r="E117" t="n">
        <v>3</v>
      </c>
      <c r="F117" t="n">
        <v>2</v>
      </c>
      <c r="G117" t="n">
        <v>1</v>
      </c>
      <c r="H117" t="inlineStr">
        <is>
          <t>no</t>
        </is>
      </c>
      <c r="I117" t="inlineStr">
        <is>
          <t>source model</t>
        </is>
      </c>
    </row>
    <row r="118">
      <c r="A118" t="inlineStr">
        <is>
          <t>SIG-006</t>
        </is>
      </c>
      <c r="B118" t="inlineStr">
        <is>
          <t>Cash burn signal</t>
        </is>
      </c>
      <c r="C118" t="inlineStr">
        <is>
          <t>Group</t>
        </is>
      </c>
      <c r="D118" t="inlineStr">
        <is>
          <t>O03 S12</t>
        </is>
      </c>
      <c r="E118" t="inlineStr">
        <is>
          <t>Not triggered</t>
        </is>
      </c>
      <c r="F118" t="inlineStr">
        <is>
          <t>Not triggered</t>
        </is>
      </c>
      <c r="G118" t="inlineStr">
        <is>
          <t>Not triggered</t>
        </is>
      </c>
      <c r="H118" t="inlineStr">
        <is>
          <t>no</t>
        </is>
      </c>
      <c r="I118" t="inlineStr">
        <is>
          <t>source model</t>
        </is>
      </c>
    </row>
    <row r="119">
      <c r="A119" t="inlineStr">
        <is>
          <t>SIG-007</t>
        </is>
      </c>
      <c r="B119" t="inlineStr">
        <is>
          <t>Production at risk</t>
        </is>
      </c>
      <c r="C119" t="inlineStr">
        <is>
          <t>A1,Group,Plant02</t>
        </is>
      </c>
      <c r="D119" t="inlineStr">
        <is>
          <t>E01 E02 E05 O02 S10 S12 S12e</t>
        </is>
      </c>
      <c r="E119" t="n">
        <v>36810</v>
      </c>
      <c r="F119" t="n">
        <v>30930</v>
      </c>
      <c r="G119" t="n">
        <v>5880</v>
      </c>
      <c r="H119" t="inlineStr">
        <is>
          <t>yes</t>
        </is>
      </c>
      <c r="I119" t="inlineStr">
        <is>
          <t>source model</t>
        </is>
      </c>
    </row>
    <row r="120">
      <c r="A120" t="inlineStr">
        <is>
          <t>SIG-008</t>
        </is>
      </c>
      <c r="B120" t="inlineStr">
        <is>
          <t>Critical plant-state alerts</t>
        </is>
      </c>
      <c r="C120" t="inlineStr">
        <is>
          <t>A1,Group</t>
        </is>
      </c>
      <c r="D120" t="inlineStr">
        <is>
          <t>E03 S12 S12e</t>
        </is>
      </c>
      <c r="E120" t="n">
        <v>7</v>
      </c>
      <c r="F120" t="n">
        <v>5</v>
      </c>
      <c r="G120" t="n">
        <v>2</v>
      </c>
      <c r="H120" t="inlineStr">
        <is>
          <t>yes</t>
        </is>
      </c>
      <c r="I120" t="inlineStr">
        <is>
          <t>source model</t>
        </is>
      </c>
    </row>
    <row r="121">
      <c r="A121" t="inlineStr">
        <is>
          <t>SIG-009</t>
        </is>
      </c>
      <c r="B121" t="inlineStr">
        <is>
          <t>Critical-material shortage risk</t>
        </is>
      </c>
      <c r="C121" t="inlineStr">
        <is>
          <t>A1,Group</t>
        </is>
      </c>
      <c r="D121" t="inlineStr">
        <is>
          <t>E01 E04 O02 O09 S10 S12 S12e</t>
        </is>
      </c>
      <c r="E121" t="n">
        <v>5</v>
      </c>
      <c r="F121" t="n">
        <v>4</v>
      </c>
      <c r="G121" t="n">
        <v>1</v>
      </c>
      <c r="H121" t="inlineStr">
        <is>
          <t>yes</t>
        </is>
      </c>
      <c r="I121" t="inlineStr">
        <is>
          <t>source model</t>
        </is>
      </c>
    </row>
    <row r="122">
      <c r="A122" t="inlineStr">
        <is>
          <t>SIG-010</t>
        </is>
      </c>
      <c r="B122" t="inlineStr">
        <is>
          <t>Single-source supply risk</t>
        </is>
      </c>
      <c r="C122" t="inlineStr">
        <is>
          <t>A1,Group</t>
        </is>
      </c>
      <c r="D122" t="inlineStr">
        <is>
          <t>E01 E04 S12 S12e</t>
        </is>
      </c>
      <c r="E122" t="n">
        <v>1</v>
      </c>
      <c r="F122" t="n">
        <v>1</v>
      </c>
      <c r="G122" t="n">
        <v>0</v>
      </c>
      <c r="H122" t="inlineStr">
        <is>
          <t>no</t>
        </is>
      </c>
      <c r="I122" t="inlineStr">
        <is>
          <t>added (synthetic inputs)</t>
        </is>
      </c>
    </row>
    <row r="123">
      <c r="A123" t="inlineStr">
        <is>
          <t>SIG-011</t>
        </is>
      </c>
      <c r="B123" t="inlineStr">
        <is>
          <t>Capex value at risk</t>
        </is>
      </c>
      <c r="C123" t="inlineStr">
        <is>
          <t>A1,Group</t>
        </is>
      </c>
      <c r="D123" t="inlineStr">
        <is>
          <t>E06 G06 O04 S12 S12e</t>
        </is>
      </c>
      <c r="E123" t="n">
        <v>148.03</v>
      </c>
      <c r="F123" t="n">
        <v>20.8</v>
      </c>
      <c r="G123" t="n">
        <v>127.23</v>
      </c>
      <c r="H123" t="inlineStr">
        <is>
          <t>no</t>
        </is>
      </c>
      <c r="I123" t="inlineStr">
        <is>
          <t>source model</t>
        </is>
      </c>
    </row>
    <row r="124">
      <c r="A124" t="inlineStr">
        <is>
          <t>SIG-012</t>
        </is>
      </c>
      <c r="B124" t="inlineStr">
        <is>
          <t>Dispatch delays</t>
        </is>
      </c>
      <c r="C124" t="inlineStr">
        <is>
          <t>A1,Group</t>
        </is>
      </c>
      <c r="D124" t="inlineStr">
        <is>
          <t>E05 O02 S11 S12 S12e</t>
        </is>
      </c>
      <c r="E124" t="n">
        <v>8.66</v>
      </c>
      <c r="F124" t="n">
        <v>10.91</v>
      </c>
      <c r="G124" t="n">
        <v>6.1</v>
      </c>
      <c r="H124" t="inlineStr">
        <is>
          <t>yes</t>
        </is>
      </c>
      <c r="I124" t="inlineStr">
        <is>
          <t>source model</t>
        </is>
      </c>
    </row>
    <row r="125">
      <c r="A125" t="inlineStr">
        <is>
          <t>SIG-013</t>
        </is>
      </c>
      <c r="B125" t="inlineStr">
        <is>
          <t>Pricing pressure</t>
        </is>
      </c>
      <c r="C125" t="inlineStr">
        <is>
          <t>Group</t>
        </is>
      </c>
      <c r="D125" t="inlineStr">
        <is>
          <t>G03 S12</t>
        </is>
      </c>
      <c r="E125" t="inlineStr">
        <is>
          <t>Low (-0.4% vs plan price)</t>
        </is>
      </c>
      <c r="F125" t="inlineStr">
        <is>
          <t>Low (-0.9% vs plan price)</t>
        </is>
      </c>
      <c r="G125" t="inlineStr">
        <is>
          <t>Low (0% vs plan price)</t>
        </is>
      </c>
      <c r="H125" t="inlineStr">
        <is>
          <t>yes</t>
        </is>
      </c>
      <c r="I125" t="inlineStr">
        <is>
          <t>source model</t>
        </is>
      </c>
    </row>
    <row r="126">
      <c r="A126" t="inlineStr">
        <is>
          <t>SIG-014</t>
        </is>
      </c>
      <c r="B126" t="inlineStr">
        <is>
          <t>Commodity-price movement (RM-1 index)</t>
        </is>
      </c>
      <c r="C126" t="inlineStr">
        <is>
          <t>Group</t>
        </is>
      </c>
      <c r="D126" t="inlineStr">
        <is>
          <t>G03 O02 S12</t>
        </is>
      </c>
      <c r="E126" t="n">
        <v>2.13</v>
      </c>
      <c r="F126" t="n">
        <v>2.13</v>
      </c>
      <c r="G126" t="n">
        <v>2.13</v>
      </c>
      <c r="H126" t="inlineStr">
        <is>
          <t>no</t>
        </is>
      </c>
      <c r="I126" t="inlineStr">
        <is>
          <t>added (synthetic inputs)</t>
        </is>
      </c>
    </row>
    <row r="127">
      <c r="A127" t="inlineStr">
        <is>
          <t>SIG-015</t>
        </is>
      </c>
      <c r="B127" t="inlineStr">
        <is>
          <t>FX exposure, unhedged (same measure as TRS-001)</t>
        </is>
      </c>
      <c r="C127" t="inlineStr">
        <is>
          <t>Group</t>
        </is>
      </c>
      <c r="D127" t="inlineStr">
        <is>
          <t>G03 O02 S12</t>
        </is>
      </c>
      <c r="E127" t="n">
        <v>221.72</v>
      </c>
      <c r="F127" t="n">
        <v>123.27</v>
      </c>
      <c r="G127" t="n">
        <v>98.45999999999999</v>
      </c>
      <c r="H127" t="inlineStr">
        <is>
          <t>no</t>
        </is>
      </c>
      <c r="I127" t="inlineStr">
        <is>
          <t>alias of TRS-001</t>
        </is>
      </c>
    </row>
    <row r="128">
      <c r="A128" t="inlineStr">
        <is>
          <t>SIG-016</t>
        </is>
      </c>
      <c r="B128" t="inlineStr">
        <is>
          <t>Freight exposure (lanes disrupted)</t>
        </is>
      </c>
      <c r="C128" t="inlineStr">
        <is>
          <t>A1,Group</t>
        </is>
      </c>
      <c r="D128" t="inlineStr">
        <is>
          <t>G03 O02 S12 S12e</t>
        </is>
      </c>
      <c r="E128" t="n">
        <v>1</v>
      </c>
      <c r="F128" t="n">
        <v>1</v>
      </c>
      <c r="G128" t="n">
        <v>0</v>
      </c>
      <c r="H128" t="inlineStr">
        <is>
          <t>no</t>
        </is>
      </c>
      <c r="I128" t="inlineStr">
        <is>
          <t>added (synthetic inputs)</t>
        </is>
      </c>
    </row>
    <row r="129">
      <c r="A129" t="inlineStr">
        <is>
          <t>SIG-017</t>
        </is>
      </c>
      <c r="B129" t="inlineStr">
        <is>
          <t>Fuel exposure (fuel cost per tonne, MoM)</t>
        </is>
      </c>
      <c r="C129" t="inlineStr">
        <is>
          <t>A1,Group</t>
        </is>
      </c>
      <c r="D129" t="inlineStr">
        <is>
          <t>G03 O02 S12 S12e</t>
        </is>
      </c>
      <c r="E129" t="n">
        <v>-17.66</v>
      </c>
      <c r="F129" t="n">
        <v>-27.67</v>
      </c>
      <c r="G129" t="n">
        <v>-5.67</v>
      </c>
      <c r="H129" t="inlineStr">
        <is>
          <t>yes</t>
        </is>
      </c>
      <c r="I129" t="inlineStr">
        <is>
          <t>added (synthetic inputs)</t>
        </is>
      </c>
    </row>
    <row r="130">
      <c r="A130" t="inlineStr">
        <is>
          <t>SIG-018</t>
        </is>
      </c>
      <c r="B130" t="inlineStr">
        <is>
          <t>Power-cost exposure (power cost per tonne, MoM)</t>
        </is>
      </c>
      <c r="C130" t="inlineStr">
        <is>
          <t>Group</t>
        </is>
      </c>
      <c r="D130" t="inlineStr">
        <is>
          <t>G03 O02 S12</t>
        </is>
      </c>
      <c r="E130" t="n">
        <v>-7.14</v>
      </c>
      <c r="F130" t="n">
        <v>-10.59</v>
      </c>
      <c r="G130" t="n">
        <v>-3.1</v>
      </c>
      <c r="H130" t="inlineStr">
        <is>
          <t>yes</t>
        </is>
      </c>
      <c r="I130" t="inlineStr">
        <is>
          <t>added (synthetic inputs)</t>
        </is>
      </c>
    </row>
    <row r="131">
      <c r="A131" t="inlineStr">
        <is>
          <t>SIG-019</t>
        </is>
      </c>
      <c r="B131" t="inlineStr">
        <is>
          <t>Regulatory deadlines, next 30 days (same measure as REG-002)</t>
        </is>
      </c>
      <c r="C131" t="inlineStr">
        <is>
          <t>A1,Group</t>
        </is>
      </c>
      <c r="D131" t="inlineStr">
        <is>
          <t>S12 S12e</t>
        </is>
      </c>
      <c r="E131" t="n">
        <v>3</v>
      </c>
      <c r="F131" t="n">
        <v>2</v>
      </c>
      <c r="G131" t="n">
        <v>1</v>
      </c>
      <c r="H131" t="inlineStr">
        <is>
          <t>yes</t>
        </is>
      </c>
      <c r="I131" t="inlineStr">
        <is>
          <t>alias of REG-002</t>
        </is>
      </c>
    </row>
    <row r="132">
      <c r="A132" t="inlineStr">
        <is>
          <t>SIG-020</t>
        </is>
      </c>
      <c r="B132" t="inlineStr">
        <is>
          <t>Licence expirations, next 12 months (same measure as REG-003)</t>
        </is>
      </c>
      <c r="C132" t="inlineStr">
        <is>
          <t>A1,Group</t>
        </is>
      </c>
      <c r="D132" t="inlineStr">
        <is>
          <t>S12 S12e</t>
        </is>
      </c>
      <c r="E132" t="n">
        <v>1</v>
      </c>
      <c r="F132" t="n">
        <v>1</v>
      </c>
      <c r="G132" t="n">
        <v>0</v>
      </c>
      <c r="H132" t="inlineStr">
        <is>
          <t>yes</t>
        </is>
      </c>
      <c r="I132" t="inlineStr">
        <is>
          <t>alias of REG-003</t>
        </is>
      </c>
    </row>
    <row r="133">
      <c r="A133" t="inlineStr">
        <is>
          <t>SIG-021</t>
        </is>
      </c>
      <c r="B133" t="inlineStr">
        <is>
          <t>Environmental violations</t>
        </is>
      </c>
      <c r="C133" t="inlineStr">
        <is>
          <t>A1,Group</t>
        </is>
      </c>
      <c r="D133" t="inlineStr">
        <is>
          <t>E07 S12 S12e</t>
        </is>
      </c>
      <c r="E133" t="n">
        <v>0</v>
      </c>
      <c r="F133" t="n">
        <v>0</v>
      </c>
      <c r="G133" t="n">
        <v>0</v>
      </c>
      <c r="H133" t="inlineStr">
        <is>
          <t>yes</t>
        </is>
      </c>
      <c r="I133" t="inlineStr">
        <is>
          <t>source model</t>
        </is>
      </c>
    </row>
    <row r="134">
      <c r="A134" t="inlineStr">
        <is>
          <t>STR-001</t>
        </is>
      </c>
      <c r="B134" t="inlineStr">
        <is>
          <t>Capex physical progress, weighted (same measure as CPX-004)</t>
        </is>
      </c>
      <c r="C134" t="inlineStr">
        <is>
          <t>Group</t>
        </is>
      </c>
      <c r="D134" t="inlineStr">
        <is>
          <t>O01 X L</t>
        </is>
      </c>
      <c r="E134" t="n">
        <v>60.85</v>
      </c>
      <c r="F134" t="n">
        <v>59</v>
      </c>
      <c r="G134" t="n">
        <v>63</v>
      </c>
      <c r="H134" t="inlineStr">
        <is>
          <t>no</t>
        </is>
      </c>
      <c r="I134" t="inlineStr">
        <is>
          <t>alias of CPX-004</t>
        </is>
      </c>
    </row>
    <row r="135">
      <c r="A135" t="inlineStr">
        <is>
          <t>STR-002</t>
        </is>
      </c>
      <c r="B135" t="inlineStr">
        <is>
          <t>Transformation progress</t>
        </is>
      </c>
      <c r="C135" t="inlineStr">
        <is>
          <t>Group</t>
        </is>
      </c>
      <c r="D135" t="inlineStr">
        <is>
          <t>G06 O01 O04 X L</t>
        </is>
      </c>
      <c r="E135" t="n">
        <v>54.03</v>
      </c>
      <c r="F135" t="n">
        <v>53.33</v>
      </c>
      <c r="G135" t="n">
        <v>54.69</v>
      </c>
      <c r="H135" t="inlineStr">
        <is>
          <t>no</t>
        </is>
      </c>
      <c r="I135" t="inlineStr">
        <is>
          <t>source model</t>
        </is>
      </c>
    </row>
    <row r="136">
      <c r="A136" t="inlineStr">
        <is>
          <t>SUP-001</t>
        </is>
      </c>
      <c r="B136" t="inlineStr">
        <is>
          <t>Supplier on-time delivery</t>
        </is>
      </c>
      <c r="C136" t="inlineStr">
        <is>
          <t>A1,Group</t>
        </is>
      </c>
      <c r="D136" t="inlineStr">
        <is>
          <t>E04 G05 O09</t>
        </is>
      </c>
      <c r="E136" t="n">
        <v>91.41</v>
      </c>
      <c r="F136" t="n">
        <v>90.39</v>
      </c>
      <c r="G136" t="n">
        <v>92.28</v>
      </c>
      <c r="H136" t="inlineStr">
        <is>
          <t>yes</t>
        </is>
      </c>
      <c r="I136" t="inlineStr">
        <is>
          <t>source model</t>
        </is>
      </c>
    </row>
    <row r="137">
      <c r="A137" t="inlineStr">
        <is>
          <t>SUP-002</t>
        </is>
      </c>
      <c r="B137" t="inlineStr">
        <is>
          <t>Supplier fill rate</t>
        </is>
      </c>
      <c r="C137" t="inlineStr">
        <is>
          <t>A1</t>
        </is>
      </c>
      <c r="D137" t="inlineStr">
        <is>
          <t>E04</t>
        </is>
      </c>
      <c r="E137" t="n">
        <v>96.81999999999999</v>
      </c>
      <c r="F137" t="n">
        <v>97.01000000000001</v>
      </c>
      <c r="G137" t="n">
        <v>96.61</v>
      </c>
      <c r="H137" t="inlineStr">
        <is>
          <t>yes</t>
        </is>
      </c>
      <c r="I137" t="inlineStr">
        <is>
          <t>source model</t>
        </is>
      </c>
    </row>
    <row r="138">
      <c r="A138" t="inlineStr">
        <is>
          <t>SUP-003</t>
        </is>
      </c>
      <c r="B138" t="inlineStr">
        <is>
          <t>Supplier quality-rejection rate</t>
        </is>
      </c>
      <c r="C138" t="inlineStr">
        <is>
          <t>A1</t>
        </is>
      </c>
      <c r="D138" t="inlineStr">
        <is>
          <t>E04</t>
        </is>
      </c>
      <c r="E138" t="n">
        <v>1.12</v>
      </c>
      <c r="F138" t="n">
        <v>0.97</v>
      </c>
      <c r="G138" t="n">
        <v>1.28</v>
      </c>
      <c r="H138" t="inlineStr">
        <is>
          <t>yes</t>
        </is>
      </c>
      <c r="I138" t="inlineStr">
        <is>
          <t>source model</t>
        </is>
      </c>
    </row>
    <row r="139">
      <c r="A139" t="inlineStr">
        <is>
          <t>SUP-004</t>
        </is>
      </c>
      <c r="B139" t="inlineStr">
        <is>
          <t>Supplier lead-time variance</t>
        </is>
      </c>
      <c r="C139" t="inlineStr">
        <is>
          <t>A1,Group</t>
        </is>
      </c>
      <c r="D139" t="inlineStr">
        <is>
          <t>E04 G05</t>
        </is>
      </c>
      <c r="E139" t="n">
        <v>5.25</v>
      </c>
      <c r="F139" t="n">
        <v>6.91</v>
      </c>
      <c r="G139" t="n">
        <v>3.65</v>
      </c>
      <c r="H139" t="inlineStr">
        <is>
          <t>yes</t>
        </is>
      </c>
      <c r="I139" t="inlineStr">
        <is>
          <t>source model</t>
        </is>
      </c>
    </row>
    <row r="140">
      <c r="A140" t="inlineStr">
        <is>
          <t>SUP-005</t>
        </is>
      </c>
      <c r="B140" t="inlineStr">
        <is>
          <t>Critical supplier exposure</t>
        </is>
      </c>
      <c r="C140" t="inlineStr">
        <is>
          <t>A1,Group</t>
        </is>
      </c>
      <c r="D140" t="inlineStr">
        <is>
          <t>E04 G05</t>
        </is>
      </c>
      <c r="E140" t="n">
        <v>3</v>
      </c>
      <c r="F140" t="n">
        <v>2</v>
      </c>
      <c r="G140" t="n">
        <v>1</v>
      </c>
      <c r="H140" t="inlineStr">
        <is>
          <t>no</t>
        </is>
      </c>
      <c r="I140" t="inlineStr">
        <is>
          <t>source model</t>
        </is>
      </c>
    </row>
    <row r="141">
      <c r="A141" t="inlineStr">
        <is>
          <t>SUP-006</t>
        </is>
      </c>
      <c r="B141" t="inlineStr">
        <is>
          <t>Contractor slippage</t>
        </is>
      </c>
      <c r="C141" t="inlineStr">
        <is>
          <t>A1,Group</t>
        </is>
      </c>
      <c r="D141" t="inlineStr">
        <is>
          <t>E04 E06 G06</t>
        </is>
      </c>
      <c r="E141" t="n">
        <v>1.73</v>
      </c>
      <c r="F141" t="n">
        <v>2.5</v>
      </c>
      <c r="G141" t="n">
        <v>1.29</v>
      </c>
      <c r="H141" t="inlineStr">
        <is>
          <t>no</t>
        </is>
      </c>
      <c r="I141" t="inlineStr">
        <is>
          <t>source model</t>
        </is>
      </c>
    </row>
    <row r="142">
      <c r="A142" t="inlineStr">
        <is>
          <t>SUP-007</t>
        </is>
      </c>
      <c r="B142" t="inlineStr">
        <is>
          <t>Single-source spend share</t>
        </is>
      </c>
      <c r="C142" t="inlineStr">
        <is>
          <t>Group</t>
        </is>
      </c>
      <c r="D142" t="inlineStr">
        <is>
          <t>O09</t>
        </is>
      </c>
      <c r="E142" t="n">
        <v>35.19</v>
      </c>
      <c r="F142" t="n">
        <v>34.81</v>
      </c>
      <c r="G142" t="n">
        <v>35.55</v>
      </c>
      <c r="H142" t="inlineStr">
        <is>
          <t>yes</t>
        </is>
      </c>
      <c r="I142" t="inlineStr">
        <is>
          <t>source model</t>
        </is>
      </c>
    </row>
    <row r="143">
      <c r="A143" t="inlineStr">
        <is>
          <t>SUP-008</t>
        </is>
      </c>
      <c r="B143" t="inlineStr">
        <is>
          <t>Supplier EHS incidents YTD</t>
        </is>
      </c>
      <c r="C143" t="inlineStr">
        <is>
          <t>Group</t>
        </is>
      </c>
      <c r="D143" t="inlineStr">
        <is>
          <t>O09</t>
        </is>
      </c>
      <c r="E143" t="n">
        <v>3</v>
      </c>
      <c r="F143" t="n">
        <v>2</v>
      </c>
      <c r="G143" t="n">
        <v>1</v>
      </c>
      <c r="H143" t="inlineStr">
        <is>
          <t>yes</t>
        </is>
      </c>
      <c r="I143" t="inlineStr">
        <is>
          <t>source model</t>
        </is>
      </c>
    </row>
    <row r="144">
      <c r="A144" t="inlineStr">
        <is>
          <t>SUS-001</t>
        </is>
      </c>
      <c r="B144" t="inlineStr">
        <is>
          <t>Water usage</t>
        </is>
      </c>
      <c r="C144" t="inlineStr">
        <is>
          <t>A1,Group</t>
        </is>
      </c>
      <c r="D144" t="inlineStr">
        <is>
          <t>E02 E07 G05 G07 O05 O09</t>
        </is>
      </c>
      <c r="E144" t="n">
        <v>1450141</v>
      </c>
      <c r="F144" t="n">
        <v>741310</v>
      </c>
      <c r="G144" t="n">
        <v>708831</v>
      </c>
      <c r="H144" t="inlineStr">
        <is>
          <t>yes</t>
        </is>
      </c>
      <c r="I144" t="inlineStr">
        <is>
          <t>source model</t>
        </is>
      </c>
    </row>
    <row r="145">
      <c r="A145" t="inlineStr">
        <is>
          <t>SUS-002</t>
        </is>
      </c>
      <c r="B145" t="inlineStr">
        <is>
          <t>Emissions</t>
        </is>
      </c>
      <c r="C145" t="inlineStr">
        <is>
          <t>A1,Group</t>
        </is>
      </c>
      <c r="D145" t="inlineStr">
        <is>
          <t>E02 E07 G05 G07 O05 O09</t>
        </is>
      </c>
      <c r="E145" t="n">
        <v>427664</v>
      </c>
      <c r="F145" t="n">
        <v>219505</v>
      </c>
      <c r="G145" t="n">
        <v>208159</v>
      </c>
      <c r="H145" t="inlineStr">
        <is>
          <t>yes</t>
        </is>
      </c>
      <c r="I145" t="inlineStr">
        <is>
          <t>source model</t>
        </is>
      </c>
    </row>
    <row r="146">
      <c r="A146" t="inlineStr">
        <is>
          <t>SUS-003</t>
        </is>
      </c>
      <c r="B146" t="inlineStr">
        <is>
          <t>Energy intensity</t>
        </is>
      </c>
      <c r="C146" t="inlineStr">
        <is>
          <t>A1,Group</t>
        </is>
      </c>
      <c r="D146" t="inlineStr">
        <is>
          <t>E02 E07 G05 G07 O05 O09</t>
        </is>
      </c>
      <c r="E146" t="n">
        <v>3.42</v>
      </c>
      <c r="F146" t="n">
        <v>3.61</v>
      </c>
      <c r="G146" t="n">
        <v>3.23</v>
      </c>
      <c r="H146" t="inlineStr">
        <is>
          <t>yes</t>
        </is>
      </c>
      <c r="I146" t="inlineStr">
        <is>
          <t>source model</t>
        </is>
      </c>
    </row>
    <row r="147">
      <c r="A147" t="inlineStr">
        <is>
          <t>TRS-001</t>
        </is>
      </c>
      <c r="B147" t="inlineStr">
        <is>
          <t>FX exposure, unhedged</t>
        </is>
      </c>
      <c r="C147" t="inlineStr">
        <is>
          <t>A1,Group</t>
        </is>
      </c>
      <c r="D147" t="inlineStr">
        <is>
          <t>E05 G04 O03</t>
        </is>
      </c>
      <c r="E147" t="n">
        <v>221.72</v>
      </c>
      <c r="F147" t="n">
        <v>123.27</v>
      </c>
      <c r="G147" t="n">
        <v>98.45999999999999</v>
      </c>
      <c r="H147" t="inlineStr">
        <is>
          <t>no</t>
        </is>
      </c>
      <c r="I147" t="inlineStr">
        <is>
          <t>source model</t>
        </is>
      </c>
    </row>
    <row r="148">
      <c r="A148" t="inlineStr">
        <is>
          <t>TRS-002</t>
        </is>
      </c>
      <c r="B148" t="inlineStr">
        <is>
          <t>Hedging effectiveness</t>
        </is>
      </c>
      <c r="C148" t="inlineStr">
        <is>
          <t>A1,Group</t>
        </is>
      </c>
      <c r="D148" t="inlineStr">
        <is>
          <t>E05 G04 O03</t>
        </is>
      </c>
      <c r="E148" t="n">
        <v>91.7</v>
      </c>
      <c r="F148" t="n">
        <v>91.55</v>
      </c>
      <c r="G148" t="n">
        <v>91.95999999999999</v>
      </c>
      <c r="H148" t="inlineStr">
        <is>
          <t>no</t>
        </is>
      </c>
      <c r="I148" t="inlineStr">
        <is>
          <t>source model</t>
        </is>
      </c>
    </row>
    <row r="149">
      <c r="A149" t="inlineStr">
        <is>
          <t>TRS-003</t>
        </is>
      </c>
      <c r="B149" t="inlineStr">
        <is>
          <t>USD share of unhedged FX exposure</t>
        </is>
      </c>
      <c r="C149" t="inlineStr">
        <is>
          <t>Group</t>
        </is>
      </c>
      <c r="D149" t="inlineStr">
        <is>
          <t>O03</t>
        </is>
      </c>
      <c r="E149" t="n">
        <v>75.83</v>
      </c>
      <c r="F149" t="n">
        <v>80.51000000000001</v>
      </c>
      <c r="G149" t="n">
        <v>69.97</v>
      </c>
      <c r="H149" t="inlineStr">
        <is>
          <t>no</t>
        </is>
      </c>
      <c r="I149" t="inlineStr">
        <is>
          <t>source model</t>
        </is>
      </c>
    </row>
    <row r="150">
      <c r="A150" t="inlineStr">
        <is>
          <t>TRS-004</t>
        </is>
      </c>
      <c r="B150" t="inlineStr">
        <is>
          <t>Hedge cover, next 6 months</t>
        </is>
      </c>
      <c r="C150" t="inlineStr">
        <is>
          <t>A1,Group</t>
        </is>
      </c>
      <c r="D150" t="inlineStr">
        <is>
          <t>E05 G04 O03</t>
        </is>
      </c>
      <c r="E150" t="n">
        <v>70.65000000000001</v>
      </c>
      <c r="F150" t="n">
        <v>77.90000000000001</v>
      </c>
      <c r="G150" t="n">
        <v>61.09</v>
      </c>
      <c r="H150" t="inlineStr">
        <is>
          <t>no</t>
        </is>
      </c>
      <c r="I150" t="inlineStr">
        <is>
          <t>source model</t>
        </is>
      </c>
    </row>
    <row r="151">
      <c r="A151" t="inlineStr">
        <is>
          <t>TRS-005</t>
        </is>
      </c>
      <c r="B151" t="inlineStr">
        <is>
          <t>FX sensitivity, 5% USD move</t>
        </is>
      </c>
      <c r="C151" t="inlineStr">
        <is>
          <t>Group</t>
        </is>
      </c>
      <c r="D151" t="inlineStr">
        <is>
          <t>O03</t>
        </is>
      </c>
      <c r="E151" t="n">
        <v>8.41</v>
      </c>
      <c r="F151" t="n">
        <v>4.96</v>
      </c>
      <c r="G151" t="n">
        <v>3.44</v>
      </c>
      <c r="H151" t="inlineStr">
        <is>
          <t>no</t>
        </is>
      </c>
      <c r="I151" t="inlineStr">
        <is>
          <t>source model</t>
        </is>
      </c>
    </row>
    <row r="152">
      <c r="A152" t="inlineStr">
        <is>
          <t>TRU-001</t>
        </is>
      </c>
      <c r="B152" t="inlineStr">
        <is>
          <t>Certified KPI percentage</t>
        </is>
      </c>
      <c r="C152" t="inlineStr">
        <is>
          <t>A1,Group</t>
        </is>
      </c>
      <c r="D152" t="inlineStr">
        <is>
          <t>E08 G01 G01b G02 G08 G08o</t>
        </is>
      </c>
      <c r="E152" t="n">
        <v>83.93000000000001</v>
      </c>
      <c r="F152" t="n">
        <v>82.14</v>
      </c>
      <c r="G152" t="n">
        <v>85.70999999999999</v>
      </c>
      <c r="H152" t="inlineStr">
        <is>
          <t>no</t>
        </is>
      </c>
      <c r="I152" t="inlineStr">
        <is>
          <t>source model</t>
        </is>
      </c>
    </row>
    <row r="153">
      <c r="A153" t="inlineStr">
        <is>
          <t>TRU-002</t>
        </is>
      </c>
      <c r="B153" t="inlineStr">
        <is>
          <t>Uncertified KPI count</t>
        </is>
      </c>
      <c r="C153" t="inlineStr">
        <is>
          <t>Group</t>
        </is>
      </c>
      <c r="D153" t="inlineStr">
        <is>
          <t>G08 G08o</t>
        </is>
      </c>
      <c r="E153" t="n">
        <v>9</v>
      </c>
      <c r="F153" t="n">
        <v>5</v>
      </c>
      <c r="G153" t="n">
        <v>4</v>
      </c>
      <c r="H153" t="inlineStr">
        <is>
          <t>no</t>
        </is>
      </c>
      <c r="I153" t="inlineStr">
        <is>
          <t>source model</t>
        </is>
      </c>
    </row>
    <row r="154">
      <c r="A154" t="inlineStr">
        <is>
          <t>TRU-003</t>
        </is>
      </c>
      <c r="B154" t="inlineStr">
        <is>
          <t>Variance against Board number (EBITDA)</t>
        </is>
      </c>
      <c r="C154" t="inlineStr">
        <is>
          <t>Group</t>
        </is>
      </c>
      <c r="D154" t="inlineStr">
        <is>
          <t>G08</t>
        </is>
      </c>
      <c r="E154" t="n">
        <v>-0.22</v>
      </c>
      <c r="F154" t="n">
        <v>-0.17</v>
      </c>
      <c r="G154" t="n">
        <v>-0.27</v>
      </c>
      <c r="H154" t="inlineStr">
        <is>
          <t>no</t>
        </is>
      </c>
      <c r="I154" t="inlineStr">
        <is>
          <t>source model</t>
        </is>
      </c>
    </row>
    <row r="155">
      <c r="A155" t="inlineStr">
        <is>
          <t>TRU-004</t>
        </is>
      </c>
      <c r="B155" t="inlineStr">
        <is>
          <t>Open reconciliation breaks</t>
        </is>
      </c>
      <c r="C155" t="inlineStr">
        <is>
          <t>A1,Group</t>
        </is>
      </c>
      <c r="D155" t="inlineStr">
        <is>
          <t>E08 G08</t>
        </is>
      </c>
      <c r="E155" t="n">
        <v>1</v>
      </c>
      <c r="F155" t="n">
        <v>1</v>
      </c>
      <c r="G155" t="n">
        <v>0</v>
      </c>
      <c r="H155" t="inlineStr">
        <is>
          <t>no</t>
        </is>
      </c>
      <c r="I155" t="inlineStr">
        <is>
          <t>source model</t>
        </is>
      </c>
    </row>
    <row r="156">
      <c r="A156" t="inlineStr">
        <is>
          <t>TRU-005</t>
        </is>
      </c>
      <c r="B156" t="inlineStr">
        <is>
          <t>KPI certification coverage</t>
        </is>
      </c>
      <c r="C156" t="inlineStr">
        <is>
          <t>Group</t>
        </is>
      </c>
      <c r="D156" t="inlineStr">
        <is>
          <t>G08</t>
        </is>
      </c>
      <c r="E156" t="n">
        <v>92.86</v>
      </c>
      <c r="F156" t="n">
        <v>92.86</v>
      </c>
      <c r="G156" t="n">
        <v>92.86</v>
      </c>
      <c r="H156" t="inlineStr">
        <is>
          <t>no</t>
        </is>
      </c>
      <c r="I156" t="inlineStr">
        <is>
          <t>source model</t>
        </is>
      </c>
    </row>
    <row r="157">
      <c r="A157" t="inlineStr">
        <is>
          <t>TRU-006</t>
        </is>
      </c>
      <c r="B157" t="inlineStr">
        <is>
          <t>Overdue certifications</t>
        </is>
      </c>
      <c r="C157" t="inlineStr">
        <is>
          <t>A1,Group</t>
        </is>
      </c>
      <c r="D157" t="inlineStr">
        <is>
          <t>E08 G08</t>
        </is>
      </c>
      <c r="E157" t="n">
        <v>2</v>
      </c>
      <c r="F157" t="n">
        <v>0</v>
      </c>
      <c r="G157" t="n">
        <v>2</v>
      </c>
      <c r="H157" t="inlineStr">
        <is>
          <t>no</t>
        </is>
      </c>
      <c r="I157" t="inlineStr">
        <is>
          <t>source model</t>
        </is>
      </c>
    </row>
    <row r="158">
      <c r="A158" t="inlineStr">
        <is>
          <t>TRU-007</t>
        </is>
      </c>
      <c r="B158" t="inlineStr">
        <is>
          <t>Material reconciliation breaks</t>
        </is>
      </c>
      <c r="C158" t="inlineStr">
        <is>
          <t>Group</t>
        </is>
      </c>
      <c r="D158" t="inlineStr">
        <is>
          <t>G08 G08o</t>
        </is>
      </c>
      <c r="E158" t="n">
        <v>1</v>
      </c>
      <c r="F158" t="n">
        <v>1</v>
      </c>
      <c r="G158" t="n">
        <v>0</v>
      </c>
      <c r="H158" t="inlineStr">
        <is>
          <t>no</t>
        </is>
      </c>
      <c r="I158" t="inlineStr">
        <is>
          <t>source model</t>
        </is>
      </c>
    </row>
    <row r="159">
      <c r="A159" t="inlineStr">
        <is>
          <t>TRU-008</t>
        </is>
      </c>
      <c r="B159" t="inlineStr">
        <is>
          <t>Source-to-Lake reconciliation rate</t>
        </is>
      </c>
      <c r="C159" t="inlineStr">
        <is>
          <t>A1,Group</t>
        </is>
      </c>
      <c r="D159" t="inlineStr">
        <is>
          <t>E08 G08 G08o</t>
        </is>
      </c>
      <c r="E159" t="n">
        <v>99.02</v>
      </c>
      <c r="F159" t="n">
        <v>98.93000000000001</v>
      </c>
      <c r="G159" t="n">
        <v>99.11</v>
      </c>
      <c r="H159" t="inlineStr">
        <is>
          <t>no</t>
        </is>
      </c>
      <c r="I159" t="inlineStr">
        <is>
          <t>source model</t>
        </is>
      </c>
    </row>
    <row r="160">
      <c r="A160" t="inlineStr">
        <is>
          <t>TRU-009</t>
        </is>
      </c>
      <c r="B160" t="inlineStr">
        <is>
          <t>Flash-to-MIS reconciliation rate</t>
        </is>
      </c>
      <c r="C160" t="inlineStr">
        <is>
          <t>A1,Group</t>
        </is>
      </c>
      <c r="D160" t="inlineStr">
        <is>
          <t>E08 G08 G08o</t>
        </is>
      </c>
      <c r="E160" t="n">
        <v>95.98</v>
      </c>
      <c r="F160" t="n">
        <v>94.25</v>
      </c>
      <c r="G160" t="n">
        <v>97.62</v>
      </c>
      <c r="H160" t="inlineStr">
        <is>
          <t>no</t>
        </is>
      </c>
      <c r="I160" t="inlineStr">
        <is>
          <t>source model</t>
        </is>
      </c>
    </row>
    <row r="161">
      <c r="A161" t="inlineStr">
        <is>
          <t>TRU-010</t>
        </is>
      </c>
      <c r="B161" t="inlineStr">
        <is>
          <t>Flash-to-close variance</t>
        </is>
      </c>
      <c r="C161" t="inlineStr">
        <is>
          <t>A1,Group</t>
        </is>
      </c>
      <c r="D161" t="inlineStr">
        <is>
          <t>E08 G08 G08o</t>
        </is>
      </c>
      <c r="E161" t="n">
        <v>0.38</v>
      </c>
      <c r="F161" t="n">
        <v>0.23</v>
      </c>
      <c r="G161" t="n">
        <v>0.52</v>
      </c>
      <c r="H161" t="inlineStr">
        <is>
          <t>no</t>
        </is>
      </c>
      <c r="I161" t="inlineStr">
        <is>
          <t>source model</t>
        </is>
      </c>
    </row>
    <row r="162">
      <c r="A162" t="inlineStr">
        <is>
          <t>TRU-011</t>
        </is>
      </c>
      <c r="B162" t="inlineStr">
        <is>
          <t>Largest entity variance against Board numbers</t>
        </is>
      </c>
      <c r="C162" t="inlineStr">
        <is>
          <t>A1,Group</t>
        </is>
      </c>
      <c r="D162" t="inlineStr">
        <is>
          <t>E08 G08 G08o</t>
        </is>
      </c>
      <c r="E162" t="n">
        <v>0.27</v>
      </c>
      <c r="F162" t="n">
        <v>0.27</v>
      </c>
      <c r="G162" t="n">
        <v>0.27</v>
      </c>
      <c r="H162" t="inlineStr">
        <is>
          <t>no</t>
        </is>
      </c>
      <c r="I162" t="inlineStr">
        <is>
          <t>source model</t>
        </is>
      </c>
    </row>
    <row r="163">
      <c r="A163" t="inlineStr">
        <is>
          <t>VAL-001</t>
        </is>
      </c>
      <c r="B163" t="inlineStr">
        <is>
          <t>EBITDA benefit YTD</t>
        </is>
      </c>
      <c r="C163" t="inlineStr">
        <is>
          <t>A1,Group</t>
        </is>
      </c>
      <c r="D163" t="inlineStr">
        <is>
          <t>E06 G06 O04</t>
        </is>
      </c>
      <c r="E163" t="n">
        <v>14.21</v>
      </c>
      <c r="F163" t="n">
        <v>6.2</v>
      </c>
      <c r="G163" t="n">
        <v>8</v>
      </c>
      <c r="H163" t="inlineStr">
        <is>
          <t>no</t>
        </is>
      </c>
      <c r="I163" t="inlineStr">
        <is>
          <t>source model</t>
        </is>
      </c>
    </row>
    <row r="164">
      <c r="A164" t="inlineStr">
        <is>
          <t>VAL-002</t>
        </is>
      </c>
      <c r="B164" t="inlineStr">
        <is>
          <t>Cash benefit YTD</t>
        </is>
      </c>
      <c r="C164" t="inlineStr">
        <is>
          <t>A1,Group</t>
        </is>
      </c>
      <c r="D164" t="inlineStr">
        <is>
          <t>E06 G06 O04</t>
        </is>
      </c>
      <c r="E164" t="n">
        <v>8.710000000000001</v>
      </c>
      <c r="F164" t="n">
        <v>2.37</v>
      </c>
      <c r="G164" t="n">
        <v>6.34</v>
      </c>
      <c r="H164" t="inlineStr">
        <is>
          <t>no</t>
        </is>
      </c>
      <c r="I164" t="inlineStr">
        <is>
          <t>source model</t>
        </is>
      </c>
    </row>
    <row r="165">
      <c r="A165" t="inlineStr">
        <is>
          <t>VAL-003</t>
        </is>
      </c>
      <c r="B165" t="inlineStr">
        <is>
          <t>Cost savings delivered YTD</t>
        </is>
      </c>
      <c r="C165" t="inlineStr">
        <is>
          <t>A1,Group</t>
        </is>
      </c>
      <c r="D165" t="inlineStr">
        <is>
          <t>E06 G06 O04</t>
        </is>
      </c>
      <c r="E165" t="n">
        <v>11.25</v>
      </c>
      <c r="F165" t="n">
        <v>3.89</v>
      </c>
      <c r="G165" t="n">
        <v>7.35</v>
      </c>
      <c r="H165" t="inlineStr">
        <is>
          <t>no</t>
        </is>
      </c>
      <c r="I165" t="inlineStr">
        <is>
          <t>source model</t>
        </is>
      </c>
    </row>
    <row r="166">
      <c r="A166" t="inlineStr">
        <is>
          <t>WCP-001</t>
        </is>
      </c>
      <c r="B166" t="inlineStr">
        <is>
          <t>DSO</t>
        </is>
      </c>
      <c r="C166" t="inlineStr">
        <is>
          <t>A1,Group</t>
        </is>
      </c>
      <c r="D166" t="inlineStr">
        <is>
          <t>E01 E05 G02 G04 G08 O03 S11</t>
        </is>
      </c>
      <c r="E166" t="n">
        <v>46.97</v>
      </c>
      <c r="F166" t="n">
        <v>52</v>
      </c>
      <c r="G166" t="n">
        <v>42.05</v>
      </c>
      <c r="H166" t="inlineStr">
        <is>
          <t>no</t>
        </is>
      </c>
      <c r="I166" t="inlineStr">
        <is>
          <t>source model</t>
        </is>
      </c>
    </row>
    <row r="167">
      <c r="A167" t="inlineStr">
        <is>
          <t>WCP-002</t>
        </is>
      </c>
      <c r="B167" t="inlineStr">
        <is>
          <t>DPO</t>
        </is>
      </c>
      <c r="C167" t="inlineStr">
        <is>
          <t>A1,Group</t>
        </is>
      </c>
      <c r="D167" t="inlineStr">
        <is>
          <t>E05 G04 O03</t>
        </is>
      </c>
      <c r="E167" t="n">
        <v>52.15</v>
      </c>
      <c r="F167" t="n">
        <v>40.2</v>
      </c>
      <c r="G167" t="n">
        <v>63.74</v>
      </c>
      <c r="H167" t="inlineStr">
        <is>
          <t>no</t>
        </is>
      </c>
      <c r="I167" t="inlineStr">
        <is>
          <t>source model</t>
        </is>
      </c>
    </row>
    <row r="168">
      <c r="A168" t="inlineStr">
        <is>
          <t>WCP-003</t>
        </is>
      </c>
      <c r="B168" t="inlineStr">
        <is>
          <t>Inventory days</t>
        </is>
      </c>
      <c r="C168" t="inlineStr">
        <is>
          <t>A1,Group</t>
        </is>
      </c>
      <c r="D168" t="inlineStr">
        <is>
          <t>E05 G04 O03</t>
        </is>
      </c>
      <c r="E168" t="n">
        <v>37.76</v>
      </c>
      <c r="F168" t="n">
        <v>40.49</v>
      </c>
      <c r="G168" t="n">
        <v>35.11</v>
      </c>
      <c r="H168" t="inlineStr">
        <is>
          <t>no</t>
        </is>
      </c>
      <c r="I168" t="inlineStr">
        <is>
          <t>source model</t>
        </is>
      </c>
    </row>
    <row r="169">
      <c r="A169" t="inlineStr">
        <is>
          <t>WCP-004</t>
        </is>
      </c>
      <c r="B169" t="inlineStr">
        <is>
          <t>Net working capital</t>
        </is>
      </c>
      <c r="C169" t="inlineStr">
        <is>
          <t>A1,Group</t>
        </is>
      </c>
      <c r="D169" t="inlineStr">
        <is>
          <t>E05 G04 O03</t>
        </is>
      </c>
      <c r="E169" t="n">
        <v>2780.99</v>
      </c>
      <c r="F169" t="n">
        <v>2012.17</v>
      </c>
      <c r="G169" t="n">
        <v>768.8099999999999</v>
      </c>
      <c r="H169" t="inlineStr">
        <is>
          <t>no</t>
        </is>
      </c>
      <c r="I169" t="inlineStr">
        <is>
          <t>source model</t>
        </is>
      </c>
    </row>
    <row r="170">
      <c r="A170" t="inlineStr">
        <is>
          <t>WCP-005</t>
        </is>
      </c>
      <c r="B170" t="inlineStr">
        <is>
          <t>Working-capital movement</t>
        </is>
      </c>
      <c r="C170" t="inlineStr">
        <is>
          <t>A1,Group</t>
        </is>
      </c>
      <c r="D170" t="inlineStr">
        <is>
          <t>E05 G04 O03</t>
        </is>
      </c>
      <c r="E170" t="n">
        <v>17.26</v>
      </c>
      <c r="F170" t="n">
        <v>-9.23</v>
      </c>
      <c r="G170" t="n">
        <v>26.49</v>
      </c>
      <c r="H170" t="inlineStr">
        <is>
          <t>no</t>
        </is>
      </c>
      <c r="I170" t="inlineStr">
        <is>
          <t>source model</t>
        </is>
      </c>
    </row>
    <row r="171">
      <c r="A171" t="inlineStr">
        <is>
          <t>WCP-006</t>
        </is>
      </c>
      <c r="B171" t="inlineStr">
        <is>
          <t>Working-capital days</t>
        </is>
      </c>
      <c r="C171" t="inlineStr">
        <is>
          <t>A1,Group</t>
        </is>
      </c>
      <c r="D171" t="inlineStr">
        <is>
          <t>E05 G04 O03</t>
        </is>
      </c>
      <c r="E171" t="n">
        <v>35.72</v>
      </c>
      <c r="F171" t="n">
        <v>52.23</v>
      </c>
      <c r="G171" t="n">
        <v>19.54</v>
      </c>
      <c r="H171" t="inlineStr">
        <is>
          <t>no</t>
        </is>
      </c>
      <c r="I171"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98.1%</t>
        </is>
      </c>
      <c r="G2" s="5" t="inlineStr">
        <is>
          <t>Different</t>
        </is>
      </c>
      <c r="H2" s="3" t="inlineStr">
        <is>
          <t>E-01,E-02,E-05,G-01,G-02,G-03,G-05,O-01,O-09,S-03,S-10,STATE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86%</t>
        </is>
      </c>
      <c r="G3" s="5" t="inlineStr">
        <is>
          <t>Different</t>
        </is>
      </c>
      <c r="H3" s="3" t="inlineStr">
        <is>
          <t>E-02,G-05,O-01,STATE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78 %</t>
        </is>
      </c>
      <c r="G5" s="5" t="inlineStr">
        <is>
          <t>Different</t>
        </is>
      </c>
      <c r="H5" s="3" t="inlineStr">
        <is>
          <t>E-02,G-05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205 h</t>
        </is>
      </c>
      <c r="G8" s="5" t="inlineStr">
        <is>
          <t>Different</t>
        </is>
      </c>
      <c r="H8" s="3" t="inlineStr">
        <is>
          <t>E-03,G-05,O-09</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3.6 h</t>
        </is>
      </c>
      <c r="G9" s="5" t="inlineStr">
        <is>
          <t>Different</t>
        </is>
      </c>
      <c r="H9" s="3" t="inlineStr">
        <is>
          <t>E-03,G-05,O-09</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E-03,G-05,O-09</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93%</t>
        </is>
      </c>
      <c r="G12" s="5" t="inlineStr">
        <is>
          <t>Different</t>
        </is>
      </c>
      <c r="H12" s="3" t="inlineStr">
        <is>
          <t>E-03,O-09</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₹412 /t</t>
        </is>
      </c>
      <c r="G13" s="5" t="inlineStr">
        <is>
          <t>Different</t>
        </is>
      </c>
      <c r="H13" s="3" t="inlineStr">
        <is>
          <t>E-02,E-11,G-03,G-05,O-09</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E-02,E-11,G-03,O-09</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E-02,O-09</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E-02,E-07,G-05,G-07,O-05,O-09</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0.82 tCO2e/t</t>
        </is>
      </c>
      <c r="G17" s="5" t="inlineStr">
        <is>
          <t>Different</t>
        </is>
      </c>
      <c r="H17" s="3" t="inlineStr">
        <is>
          <t>E-02,E-07,G-05,G-07,O-05,O-09</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E-02,E-07,G-05,G-07,O-05,O-09</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E-01,E-04,O-09,S-10,S-12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E-01,G-01,O-01,O-09</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78.4 %</t>
        </is>
      </c>
      <c r="G34" s="5" t="inlineStr">
        <is>
          <t>Different</t>
        </is>
      </c>
      <c r="H34" s="3" t="inlineStr">
        <is>
          <t>O-09</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6.1 ₹/t</t>
        </is>
      </c>
      <c r="G37" s="5" t="inlineStr">
        <is>
          <t>Different</t>
        </is>
      </c>
      <c r="H37" s="3" t="inlineStr">
        <is>
          <t>O-09</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O-01, E-01, E-11, G-01, G-03, 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6,650.0 ₹ m</t>
        </is>
      </c>
      <c r="G43" s="5" t="inlineStr">
        <is>
          <t>Same</t>
        </is>
      </c>
      <c r="H43" s="3" t="inlineStr">
        <is>
          <t>O-01, O-03, G-01, G-03, 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2,141.8 ₹ m</t>
        </is>
      </c>
      <c r="G46" s="5" t="inlineStr">
        <is>
          <t>Same</t>
        </is>
      </c>
      <c r="H46" s="3" t="inlineStr">
        <is>
          <t>O-03, E-05, G-04</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 G-04</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 E-05, G-04, 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 G-04</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27.2 ₹ m</t>
        </is>
      </c>
      <c r="G50" s="5" t="inlineStr">
        <is>
          <t>Same</t>
        </is>
      </c>
      <c r="H50" s="3" t="inlineStr">
        <is>
          <t>O-03, E-01, E-05, G-04, 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47.0 days</t>
        </is>
      </c>
      <c r="G51" s="7" t="inlineStr">
        <is>
          <t>Same</t>
        </is>
      </c>
      <c r="H51" s="3" t="inlineStr">
        <is>
          <t>O-03, E-01, E-05, G-02, G-04, 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 G-04</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 G-04</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2,781.0 ₹ m</t>
        </is>
      </c>
      <c r="G54" s="5" t="inlineStr">
        <is>
          <t>Same</t>
        </is>
      </c>
      <c r="H54" s="3" t="inlineStr">
        <is>
          <t>O-03, E-05, G-04</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 G-04</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 G-04</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16.7 months</t>
        </is>
      </c>
      <c r="G57" s="5" t="inlineStr">
        <is>
          <t>Same</t>
        </is>
      </c>
      <c r="H57" s="3" t="inlineStr">
        <is>
          <t>O-03, E-05, G-04</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 G-04</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891.4 ₹ m</t>
        </is>
      </c>
      <c r="G59" s="5" t="inlineStr">
        <is>
          <t>Same</t>
        </is>
      </c>
      <c r="H59" s="3" t="inlineStr">
        <is>
          <t>O-03, E-05, G-04</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2,720.8 ₹ m</t>
        </is>
      </c>
      <c r="G60" s="5" t="inlineStr">
        <is>
          <t>Same</t>
        </is>
      </c>
      <c r="H60" s="3" t="inlineStr">
        <is>
          <t>O-03, G-04</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 G-04</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 G-04</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Not on a screen</t>
        </is>
      </c>
      <c r="G63" s="5" t="inlineStr">
        <is>
          <t>—</t>
        </is>
      </c>
      <c r="H63" s="3" t="inlineStr">
        <is>
          <t>—</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70.7 %</t>
        </is>
      </c>
      <c r="G64" s="5" t="inlineStr">
        <is>
          <t>Same</t>
        </is>
      </c>
      <c r="H64" s="3" t="inlineStr">
        <is>
          <t>O-03, E-05, G-04</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Not on a screen</t>
        </is>
      </c>
      <c r="G65" s="5" t="inlineStr">
        <is>
          <t>—</t>
        </is>
      </c>
      <c r="H65" s="3" t="inlineStr">
        <is>
          <t>—</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t>
        </is>
      </c>
      <c r="G81" s="7" t="inlineStr">
        <is>
          <t>Same</t>
        </is>
      </c>
      <c r="H81" s="3" t="inlineStr">
        <is>
          <t>E-04,G-05,O-09</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shown</t>
        </is>
      </c>
      <c r="G82" s="6" t="inlineStr">
        <is>
          <t>Not shown</t>
        </is>
      </c>
      <c r="H82" s="3" t="n"/>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38%</t>
        </is>
      </c>
      <c r="G86" s="5" t="inlineStr">
        <is>
          <t>Different</t>
        </is>
      </c>
      <c r="H86" s="3" t="inlineStr">
        <is>
          <t>O-09</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0</t>
        </is>
      </c>
      <c r="G87" s="5" t="inlineStr">
        <is>
          <t>Different</t>
        </is>
      </c>
      <c r="H87" s="3" t="inlineStr">
        <is>
          <t>O-09</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 G-04, 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on a screen</t>
        </is>
      </c>
      <c r="G142" s="7" t="inlineStr">
        <is>
          <t>—</t>
        </is>
      </c>
      <c r="H142" s="3" t="inlineStr">
        <is>
          <t>—</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E-01,E-04,O-01,O-02,O-09,S-10,S-12,STATE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O-02, G-01, G-04, 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O-02, G-04, G-10, 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G-05,G-10,O-09</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41%</t>
        </is>
      </c>
      <c r="G150" s="5" t="inlineStr">
        <is>
          <t>Different</t>
        </is>
      </c>
      <c r="H150" s="3" t="inlineStr">
        <is>
          <t>O-09</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t>
        </is>
      </c>
      <c r="M2" s="3" t="inlineStr">
        <is>
          <t>E-01,E-02,E-05,G-01,G-02,G-03,G-05,O-01,O-09,S-03,S-10,STATE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E-02,G-05,O-01,STATE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t>
        </is>
      </c>
      <c r="M8" s="3" t="inlineStr">
        <is>
          <t>E-03,G-05,O-09</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E-03,G-05,O-09</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E-03,G-05,O-09</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E-03,O-09</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t>
        </is>
      </c>
      <c r="M13" s="3" t="inlineStr">
        <is>
          <t>E-02,E-11,G-03,G-05,O-09</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E-02,E-11,G-03,O-09</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E-02,O-09</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E-02,E-07,G-05,G-07,O-05,O-09</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E-02,E-07,G-05,G-07,O-05,O-09</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E-02,E-07,G-05,G-07,O-05,O-09</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E-01,E-04,O-09,S-10,S-12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E-01,G-01,O-01,O-09</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O-09</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O-09</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O-01, E-01, E-11, G-01, G-03, 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 6,650.0 ₹ m (O-03)</t>
        </is>
      </c>
      <c r="M43" s="3" t="inlineStr">
        <is>
          <t>O-01, O-03, G-01, G-03, 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 2,141.8 ₹ m (O-03)</t>
        </is>
      </c>
      <c r="M46" s="3" t="inlineStr">
        <is>
          <t>O-03, E-05, G-04</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 G-04</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 E-05, G-04, 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 G-04</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 27.2 ₹ m (O-03)</t>
        </is>
      </c>
      <c r="M50" s="3" t="inlineStr">
        <is>
          <t>O-03, E-01, E-05, G-04, 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 47.0 days (O-03)</t>
        </is>
      </c>
      <c r="M51" s="3" t="inlineStr">
        <is>
          <t>O-03, E-01, E-05, G-02, G-04, 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 G-04</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 G-04</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 2,781.0 ₹ m (O-03)</t>
        </is>
      </c>
      <c r="M54" s="3" t="inlineStr">
        <is>
          <t>O-03, E-05, G-04</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 G-04</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 G-04</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 16.7 months (O-03)</t>
        </is>
      </c>
      <c r="M57" s="3" t="inlineStr">
        <is>
          <t>O-03, E-05, G-04</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 G-04</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 891.4 ₹ m (O-03)</t>
        </is>
      </c>
      <c r="M59" s="3" t="inlineStr">
        <is>
          <t>O-03, E-05, G-04</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 2,720.8 ₹ m (O-03)</t>
        </is>
      </c>
      <c r="M60" s="3" t="inlineStr">
        <is>
          <t>O-03, G-04</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 G-04</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 G-04</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 70.7 % (O-03)</t>
        </is>
      </c>
      <c r="M64" s="3" t="inlineStr">
        <is>
          <t>O-03, E-05, G-04</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E-04,G-05,O-09</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n"/>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O-09</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O-09</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 G-04, 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E-01,E-04,O-01,O-02,O-09,S-10,S-12,STATE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O-02, G-01, G-04, 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O-02, G-04, G-10, 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G-05,G-10,O-09</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O-09</t>
        </is>
      </c>
      <c r="N150" s="3" t="inlineStr">
        <is>
          <t>forecast_good_next_t, forecast_good_var_next, ideal_output_next_t</t>
        </is>
      </c>
    </row>
    <row r="151">
      <c r="A151" s="25" t="inlineStr">
        <is>
          <t>CST-005</t>
        </is>
      </c>
      <c r="B151" s="25" t="inlineStr">
        <is>
          <t>Fixed cost YTD</t>
        </is>
      </c>
      <c r="C151" s="25" t="inlineStr">
        <is>
          <t>₹ m</t>
        </is>
      </c>
      <c r="D151" s="25" t="inlineStr">
        <is>
          <t>Year to date</t>
        </is>
      </c>
      <c r="E151" s="25" t="inlineStr">
        <is>
          <t>Sum of monthly fixed cost since April ÷ 1000</t>
        </is>
      </c>
      <c r="F151" s="25">
        <f>ROUND(SUM('Group Inputs'!X$4:X4)/1000,2)</f>
        <v/>
      </c>
      <c r="G151" s="25">
        <f>ROUND(SUM('Group Inputs'!X$4:X5)/1000,2)</f>
        <v/>
      </c>
      <c r="H151" s="25">
        <f>ROUND(SUM('Group Inputs'!X$4:X6)/1000,2)</f>
        <v/>
      </c>
      <c r="I151" s="25">
        <f>ROUND(SUM('Group Inputs'!X$4:X7)/1000,2)</f>
        <v/>
      </c>
      <c r="J151" s="25">
        <f>ROUND(SUM('Group Inputs'!X$4:X8)/1000,2)</f>
        <v/>
      </c>
      <c r="K151" s="25">
        <f>ROUND(SUM('Group Inputs'!X$4:X9)/1000,2)</f>
        <v/>
      </c>
      <c r="L151" s="25" t="inlineStr">
        <is>
          <t>(added: UI KPI not in source model)</t>
        </is>
      </c>
      <c r="M151" s="25" t="n"/>
      <c r="N151" s="25" t="inlineStr">
        <is>
          <t>fixed_cost_k</t>
        </is>
      </c>
    </row>
    <row r="152">
      <c r="A152" s="25" t="inlineStr">
        <is>
          <t>PRD-008</t>
        </is>
      </c>
      <c r="B152" s="25" t="inlineStr">
        <is>
          <t>Projected FCF gap, full year</t>
        </is>
      </c>
      <c r="C152" s="25" t="inlineStr">
        <is>
          <t>₹ m</t>
        </is>
      </c>
      <c r="D152" s="25" t="inlineStr">
        <is>
          <t>Forecast</t>
        </is>
      </c>
      <c r="E152" s="25" t="inlineStr">
        <is>
          <t>(FCF YTD + forecast FCF rest of year − FY FCF plan) ÷ 1000</t>
        </is>
      </c>
      <c r="F152" s="25">
        <f>ROUND((SUM('Group Inputs'!GA$4:GA4)+'Group Inputs'!GJ4-'Group Inputs'!GI4)/1000,2)</f>
        <v/>
      </c>
      <c r="G152" s="25">
        <f>ROUND((SUM('Group Inputs'!GA$4:GA5)+'Group Inputs'!GJ5-'Group Inputs'!GI5)/1000,2)</f>
        <v/>
      </c>
      <c r="H152" s="25">
        <f>ROUND((SUM('Group Inputs'!GA$4:GA6)+'Group Inputs'!GJ6-'Group Inputs'!GI6)/1000,2)</f>
        <v/>
      </c>
      <c r="I152" s="25">
        <f>ROUND((SUM('Group Inputs'!GA$4:GA7)+'Group Inputs'!GJ7-'Group Inputs'!GI7)/1000,2)</f>
        <v/>
      </c>
      <c r="J152" s="25">
        <f>ROUND((SUM('Group Inputs'!GA$4:GA8)+'Group Inputs'!GJ8-'Group Inputs'!GI8)/1000,2)</f>
        <v/>
      </c>
      <c r="K152" s="25">
        <f>ROUND((SUM('Group Inputs'!GA$4:GA9)+'Group Inputs'!GJ9-'Group Inputs'!GI9)/1000,2)</f>
        <v/>
      </c>
      <c r="L152" s="25" t="inlineStr">
        <is>
          <t>(added: UI KPI not in source model)</t>
        </is>
      </c>
      <c r="M152" s="25" t="n"/>
      <c r="N152" s="25" t="inlineStr">
        <is>
          <t>fcf_k, fcf_plan_fy_k, forecast_fcf_rest_k</t>
        </is>
      </c>
    </row>
    <row r="153">
      <c r="A153" s="25" t="inlineStr">
        <is>
          <t>PRD-009</t>
        </is>
      </c>
      <c r="B153" s="25" t="inlineStr">
        <is>
          <t>ROCE at P12 (forecast)</t>
        </is>
      </c>
      <c r="C153" s="25" t="inlineStr">
        <is>
          <t>%</t>
        </is>
      </c>
      <c r="D153" s="25" t="inlineStr">
        <is>
          <t>Forecast</t>
        </is>
      </c>
      <c r="E153" s="25" t="inlineStr">
        <is>
          <t>(EBIT YTD + forecast EBIT rest of year) ÷ forecast capital employed at P12 × 100</t>
        </is>
      </c>
      <c r="F153" s="25">
        <f>ROUND(IF('Group Inputs'!GL4=0,0,100*(SUM('Group Inputs'!FW$4:FW4)+'Group Inputs'!GK4)/'Group Inputs'!GL4),2)</f>
        <v/>
      </c>
      <c r="G153" s="25">
        <f>ROUND(IF('Group Inputs'!GL5=0,0,100*(SUM('Group Inputs'!FW$4:FW5)+'Group Inputs'!GK5)/'Group Inputs'!GL5),2)</f>
        <v/>
      </c>
      <c r="H153" s="25">
        <f>ROUND(IF('Group Inputs'!GL6=0,0,100*(SUM('Group Inputs'!FW$4:FW6)+'Group Inputs'!GK6)/'Group Inputs'!GL6),2)</f>
        <v/>
      </c>
      <c r="I153" s="25">
        <f>ROUND(IF('Group Inputs'!GL7=0,0,100*(SUM('Group Inputs'!FW$4:FW7)+'Group Inputs'!GK7)/'Group Inputs'!GL7),2)</f>
        <v/>
      </c>
      <c r="J153" s="25">
        <f>ROUND(IF('Group Inputs'!GL8=0,0,100*(SUM('Group Inputs'!FW$4:FW8)+'Group Inputs'!GK8)/'Group Inputs'!GL8),2)</f>
        <v/>
      </c>
      <c r="K153" s="25">
        <f>ROUND(IF('Group Inputs'!GL9=0,0,100*(SUM('Group Inputs'!FW$4:FW9)+'Group Inputs'!GK9)/'Group Inputs'!GL9),2)</f>
        <v/>
      </c>
      <c r="L153" s="25" t="inlineStr">
        <is>
          <t>(added: UI KPI not in source model)</t>
        </is>
      </c>
      <c r="M153" s="25" t="n"/>
      <c r="N153" s="25" t="inlineStr">
        <is>
          <t>capital_employed_p12_k, ebit_fcst_rest_k, ebit_k</t>
        </is>
      </c>
    </row>
    <row r="154">
      <c r="A154" s="25" t="inlineStr">
        <is>
          <t>PRD-010</t>
        </is>
      </c>
      <c r="B154" s="25" t="inlineStr">
        <is>
          <t>Revenue per FTE YTD</t>
        </is>
      </c>
      <c r="C154" s="25" t="inlineStr">
        <is>
          <t>₹ m</t>
        </is>
      </c>
      <c r="D154" s="25" t="inlineStr">
        <is>
          <t>Year to date</t>
        </is>
      </c>
      <c r="E154" s="25" t="inlineStr">
        <is>
          <t>Revenue since April ÷ FTE ÷ 1000</t>
        </is>
      </c>
      <c r="F154" s="25">
        <f>ROUND(IF('Group Inputs'!GH4=0,0,SUM('Group Inputs'!AU$4:AU4)/'Group Inputs'!GH4/1000),3)</f>
        <v/>
      </c>
      <c r="G154" s="25">
        <f>ROUND(IF('Group Inputs'!GH5=0,0,SUM('Group Inputs'!AU$4:AU5)/'Group Inputs'!GH5/1000),3)</f>
        <v/>
      </c>
      <c r="H154" s="25">
        <f>ROUND(IF('Group Inputs'!GH6=0,0,SUM('Group Inputs'!AU$4:AU6)/'Group Inputs'!GH6/1000),3)</f>
        <v/>
      </c>
      <c r="I154" s="25">
        <f>ROUND(IF('Group Inputs'!GH7=0,0,SUM('Group Inputs'!AU$4:AU7)/'Group Inputs'!GH7/1000),3)</f>
        <v/>
      </c>
      <c r="J154" s="25">
        <f>ROUND(IF('Group Inputs'!GH8=0,0,SUM('Group Inputs'!AU$4:AU8)/'Group Inputs'!GH8/1000),3)</f>
        <v/>
      </c>
      <c r="K154" s="25">
        <f>ROUND(IF('Group Inputs'!GH9=0,0,SUM('Group Inputs'!AU$4:AU9)/'Group Inputs'!GH9/1000),3)</f>
        <v/>
      </c>
      <c r="L154" s="25" t="inlineStr">
        <is>
          <t>(added: UI KPI not in source model)</t>
        </is>
      </c>
      <c r="M154" s="25" t="n"/>
      <c r="N154" s="25" t="inlineStr">
        <is>
          <t>fte, revenue_k</t>
        </is>
      </c>
    </row>
    <row r="155">
      <c r="A155" s="25" t="inlineStr">
        <is>
          <t>PRD-011</t>
        </is>
      </c>
      <c r="B155" s="25" t="inlineStr">
        <is>
          <t>Tonnes per FTE</t>
        </is>
      </c>
      <c r="C155" s="25" t="inlineStr">
        <is>
          <t>t</t>
        </is>
      </c>
      <c r="D155" s="25" t="inlineStr">
        <is>
          <t>Month</t>
        </is>
      </c>
      <c r="E155" s="25" t="inlineStr">
        <is>
          <t>Good output ÷ FTE</t>
        </is>
      </c>
      <c r="F155" s="25">
        <f>ROUND(IF('Group Inputs'!GH4=0,0,'Group Inputs'!M4/'Group Inputs'!GH4),1)</f>
        <v/>
      </c>
      <c r="G155" s="25">
        <f>ROUND(IF('Group Inputs'!GH5=0,0,'Group Inputs'!M5/'Group Inputs'!GH5),1)</f>
        <v/>
      </c>
      <c r="H155" s="25">
        <f>ROUND(IF('Group Inputs'!GH6=0,0,'Group Inputs'!M6/'Group Inputs'!GH6),1)</f>
        <v/>
      </c>
      <c r="I155" s="25">
        <f>ROUND(IF('Group Inputs'!GH7=0,0,'Group Inputs'!M7/'Group Inputs'!GH7),1)</f>
        <v/>
      </c>
      <c r="J155" s="25">
        <f>ROUND(IF('Group Inputs'!GH8=0,0,'Group Inputs'!M8/'Group Inputs'!GH8),1)</f>
        <v/>
      </c>
      <c r="K155" s="25">
        <f>ROUND(IF('Group Inputs'!GH9=0,0,'Group Inputs'!M9/'Group Inputs'!GH9),1)</f>
        <v/>
      </c>
      <c r="L155" s="25" t="inlineStr">
        <is>
          <t>(added: UI KPI not in source model)</t>
        </is>
      </c>
      <c r="M155" s="25" t="n"/>
      <c r="N155" s="25" t="inlineStr">
        <is>
          <t>fte, good_output_t</t>
        </is>
      </c>
    </row>
    <row r="156">
      <c r="A156" s="25" t="inlineStr">
        <is>
          <t>PRD-012</t>
        </is>
      </c>
      <c r="B156" s="25" t="inlineStr">
        <is>
          <t>Probability of EBITDA plan miss, full year</t>
        </is>
      </c>
      <c r="C156" s="25" t="inlineStr">
        <is>
          <t>%</t>
        </is>
      </c>
      <c r="D156" s="25" t="inlineStr">
        <is>
          <t>Forecast</t>
        </is>
      </c>
      <c r="E156" s="25" t="inlineStr">
        <is>
          <t>P(FY EBITDA &lt; FY plan), FY EBITDA ~ Normal(EBITDA YTD + forecast rest of year, σ)</t>
        </is>
      </c>
      <c r="F156" s="25">
        <f>ROUND(100*NORM.DIST('Group Inputs'!GM4,SUM('Group Inputs'!FV$4:FV4)+'Group Inputs'!CU4,'Group Inputs'!GN4,TRUE),2)</f>
        <v/>
      </c>
      <c r="G156" s="25">
        <f>ROUND(100*NORM.DIST('Group Inputs'!GM5,SUM('Group Inputs'!FV$4:FV5)+'Group Inputs'!CU5,'Group Inputs'!GN5,TRUE),2)</f>
        <v/>
      </c>
      <c r="H156" s="25">
        <f>ROUND(100*NORM.DIST('Group Inputs'!GM6,SUM('Group Inputs'!FV$4:FV6)+'Group Inputs'!CU6,'Group Inputs'!GN6,TRUE),2)</f>
        <v/>
      </c>
      <c r="I156" s="25">
        <f>ROUND(100*NORM.DIST('Group Inputs'!GM7,SUM('Group Inputs'!FV$4:FV7)+'Group Inputs'!CU7,'Group Inputs'!GN7,TRUE),2)</f>
        <v/>
      </c>
      <c r="J156" s="25">
        <f>ROUND(100*NORM.DIST('Group Inputs'!GM8,SUM('Group Inputs'!FV$4:FV8)+'Group Inputs'!CU8,'Group Inputs'!GN8,TRUE),2)</f>
        <v/>
      </c>
      <c r="K156" s="25">
        <f>ROUND(100*NORM.DIST('Group Inputs'!GM9,SUM('Group Inputs'!FV$4:FV9)+'Group Inputs'!CU9,'Group Inputs'!GN9,TRUE),2)</f>
        <v/>
      </c>
      <c r="L156" s="25" t="inlineStr">
        <is>
          <t>(added: UI KPI not in source model)</t>
        </is>
      </c>
      <c r="M156" s="25" t="n"/>
      <c r="N156" s="25" t="inlineStr">
        <is>
          <t>ebitda_fy_sigma_k, ebitda_k, ebitda_plan_fy_k, forecast_ebitda_rest_k</t>
        </is>
      </c>
    </row>
    <row r="157">
      <c r="A157" s="25" t="inlineStr">
        <is>
          <t>REG-011</t>
        </is>
      </c>
      <c r="B157" s="25" t="inlineStr">
        <is>
          <t>Disclosure clock, hours remaining</t>
        </is>
      </c>
      <c r="C157" s="25" t="inlineStr">
        <is>
          <t>h</t>
        </is>
      </c>
      <c r="D157" s="25" t="inlineStr">
        <is>
          <t>Month end</t>
        </is>
      </c>
      <c r="E157" s="25" t="inlineStr">
        <is>
          <t>Hours to the nearest open disclosure deadline (999 = none running)</t>
        </is>
      </c>
      <c r="F157" s="25">
        <f>ROUND('Group Inputs'!GO4,0)</f>
        <v/>
      </c>
      <c r="G157" s="25">
        <f>ROUND('Group Inputs'!GO5,0)</f>
        <v/>
      </c>
      <c r="H157" s="25">
        <f>ROUND('Group Inputs'!GO6,0)</f>
        <v/>
      </c>
      <c r="I157" s="25">
        <f>ROUND('Group Inputs'!GO7,0)</f>
        <v/>
      </c>
      <c r="J157" s="25">
        <f>ROUND('Group Inputs'!GO8,0)</f>
        <v/>
      </c>
      <c r="K157" s="25">
        <f>ROUND('Group Inputs'!GO9,0)</f>
        <v/>
      </c>
      <c r="L157" s="25" t="inlineStr">
        <is>
          <t>(added: UI KPI not in source model)</t>
        </is>
      </c>
      <c r="M157" s="25" t="n"/>
      <c r="N157" s="25" t="inlineStr">
        <is>
          <t>disclosure_deadline_h</t>
        </is>
      </c>
    </row>
    <row r="158">
      <c r="A158" s="25" t="inlineStr">
        <is>
          <t>SIG-010</t>
        </is>
      </c>
      <c r="B158" s="25" t="inlineStr">
        <is>
          <t>Single-source supply risk</t>
        </is>
      </c>
      <c r="C158" s="25" t="inlineStr">
        <is>
          <t>count</t>
        </is>
      </c>
      <c r="D158" s="25" t="inlineStr">
        <is>
          <t>Month end</t>
        </is>
      </c>
      <c r="E158" s="25" t="inlineStr">
        <is>
          <t>Single-source suppliers with cover below lead time</t>
        </is>
      </c>
      <c r="F158" s="25">
        <f>ROUND('Group Inputs'!GP4,0)</f>
        <v/>
      </c>
      <c r="G158" s="25">
        <f>ROUND('Group Inputs'!GP5,0)</f>
        <v/>
      </c>
      <c r="H158" s="25">
        <f>ROUND('Group Inputs'!GP6,0)</f>
        <v/>
      </c>
      <c r="I158" s="25">
        <f>ROUND('Group Inputs'!GP7,0)</f>
        <v/>
      </c>
      <c r="J158" s="25">
        <f>ROUND('Group Inputs'!GP8,0)</f>
        <v/>
      </c>
      <c r="K158" s="25">
        <f>ROUND('Group Inputs'!GP9,0)</f>
        <v/>
      </c>
      <c r="L158" s="25" t="inlineStr">
        <is>
          <t>(added: UI KPI not in source model)</t>
        </is>
      </c>
      <c r="M158" s="25" t="n"/>
      <c r="N158" s="25" t="inlineStr">
        <is>
          <t>single_source_elevated</t>
        </is>
      </c>
    </row>
    <row r="159">
      <c r="A159" s="25" t="inlineStr">
        <is>
          <t>SIG-014</t>
        </is>
      </c>
      <c r="B159" s="25" t="inlineStr">
        <is>
          <t>Commodity-price movement (RM-1 index)</t>
        </is>
      </c>
      <c r="C159" s="25" t="inlineStr">
        <is>
          <t>%</t>
        </is>
      </c>
      <c r="D159" s="25" t="inlineStr">
        <is>
          <t>Month</t>
        </is>
      </c>
      <c r="E159" s="25" t="inlineStr">
        <is>
          <t>RM-1 price index ÷ last month's index − 1, as %</t>
        </is>
      </c>
      <c r="F159" s="25">
        <f>ROUND(IF('Group Inputs'!GQ4=0,0,100*('Group Inputs'!GQ4/'Group Inputs'!GQ4-1)),2)</f>
        <v/>
      </c>
      <c r="G159" s="25">
        <f>ROUND(IF('Group Inputs'!GQ4=0,0,100*('Group Inputs'!GQ5/'Group Inputs'!GQ4-1)),2)</f>
        <v/>
      </c>
      <c r="H159" s="25">
        <f>ROUND(IF('Group Inputs'!GQ5=0,0,100*('Group Inputs'!GQ6/'Group Inputs'!GQ5-1)),2)</f>
        <v/>
      </c>
      <c r="I159" s="25">
        <f>ROUND(IF('Group Inputs'!GQ6=0,0,100*('Group Inputs'!GQ7/'Group Inputs'!GQ6-1)),2)</f>
        <v/>
      </c>
      <c r="J159" s="25">
        <f>ROUND(IF('Group Inputs'!GQ7=0,0,100*('Group Inputs'!GQ8/'Group Inputs'!GQ7-1)),2)</f>
        <v/>
      </c>
      <c r="K159" s="25">
        <f>ROUND(IF('Group Inputs'!GQ8=0,0,100*('Group Inputs'!GQ9/'Group Inputs'!GQ8-1)),2)</f>
        <v/>
      </c>
      <c r="L159" s="25" t="inlineStr">
        <is>
          <t>(added: UI KPI not in source model)</t>
        </is>
      </c>
      <c r="M159" s="25" t="n"/>
      <c r="N159" s="25" t="inlineStr">
        <is>
          <t>rm1_price_index</t>
        </is>
      </c>
    </row>
    <row r="160">
      <c r="A160" s="25" t="inlineStr">
        <is>
          <t>SIG-016</t>
        </is>
      </c>
      <c r="B160" s="25" t="inlineStr">
        <is>
          <t>Freight exposure (lanes disrupted)</t>
        </is>
      </c>
      <c r="C160" s="25" t="inlineStr">
        <is>
          <t>count</t>
        </is>
      </c>
      <c r="D160" s="25" t="inlineStr">
        <is>
          <t>Month end</t>
        </is>
      </c>
      <c r="E160" s="25" t="inlineStr">
        <is>
          <t>Supply lanes with a disruption flag</t>
        </is>
      </c>
      <c r="F160" s="25">
        <f>ROUND('Group Inputs'!GR4,0)</f>
        <v/>
      </c>
      <c r="G160" s="25">
        <f>ROUND('Group Inputs'!GR5,0)</f>
        <v/>
      </c>
      <c r="H160" s="25">
        <f>ROUND('Group Inputs'!GR6,0)</f>
        <v/>
      </c>
      <c r="I160" s="25">
        <f>ROUND('Group Inputs'!GR7,0)</f>
        <v/>
      </c>
      <c r="J160" s="25">
        <f>ROUND('Group Inputs'!GR8,0)</f>
        <v/>
      </c>
      <c r="K160" s="25">
        <f>ROUND('Group Inputs'!GR9,0)</f>
        <v/>
      </c>
      <c r="L160" s="25" t="inlineStr">
        <is>
          <t>(added: UI KPI not in source model)</t>
        </is>
      </c>
      <c r="M160" s="25" t="n"/>
      <c r="N160" s="25" t="inlineStr">
        <is>
          <t>freight_lanes_disrupted</t>
        </is>
      </c>
    </row>
    <row r="161">
      <c r="A161" s="25" t="inlineStr">
        <is>
          <t>SIG-017</t>
        </is>
      </c>
      <c r="B161" s="25" t="inlineStr">
        <is>
          <t>Fuel exposure (fuel cost per tonne, MoM)</t>
        </is>
      </c>
      <c r="C161" s="25" t="inlineStr">
        <is>
          <t>%</t>
        </is>
      </c>
      <c r="D161" s="25" t="inlineStr">
        <is>
          <t>Month</t>
        </is>
      </c>
      <c r="E161" s="25" t="inlineStr">
        <is>
          <t>(Fuel cost ÷ good output) ÷ last month's − 1, as %</t>
        </is>
      </c>
      <c r="F161" s="25">
        <f>ROUND(IF(OR('Group Inputs'!M4=0,'Group Inputs'!W4=0,'Group Inputs'!M4=0),0,100*(('Group Inputs'!W4/'Group Inputs'!M4)/('Group Inputs'!W4/'Group Inputs'!M4)-1)),2)</f>
        <v/>
      </c>
      <c r="G161" s="25">
        <f>ROUND(IF(OR('Group Inputs'!M4=0,'Group Inputs'!W4=0,'Group Inputs'!M5=0),0,100*(('Group Inputs'!W5/'Group Inputs'!M5)/('Group Inputs'!W4/'Group Inputs'!M4)-1)),2)</f>
        <v/>
      </c>
      <c r="H161" s="25">
        <f>ROUND(IF(OR('Group Inputs'!M5=0,'Group Inputs'!W5=0,'Group Inputs'!M6=0),0,100*(('Group Inputs'!W6/'Group Inputs'!M6)/('Group Inputs'!W5/'Group Inputs'!M5)-1)),2)</f>
        <v/>
      </c>
      <c r="I161" s="25">
        <f>ROUND(IF(OR('Group Inputs'!M6=0,'Group Inputs'!W6=0,'Group Inputs'!M7=0),0,100*(('Group Inputs'!W7/'Group Inputs'!M7)/('Group Inputs'!W6/'Group Inputs'!M6)-1)),2)</f>
        <v/>
      </c>
      <c r="J161" s="25">
        <f>ROUND(IF(OR('Group Inputs'!M7=0,'Group Inputs'!W7=0,'Group Inputs'!M8=0),0,100*(('Group Inputs'!W8/'Group Inputs'!M8)/('Group Inputs'!W7/'Group Inputs'!M7)-1)),2)</f>
        <v/>
      </c>
      <c r="K161" s="25">
        <f>ROUND(IF(OR('Group Inputs'!M8=0,'Group Inputs'!W8=0,'Group Inputs'!M9=0),0,100*(('Group Inputs'!W9/'Group Inputs'!M9)/('Group Inputs'!W8/'Group Inputs'!M8)-1)),2)</f>
        <v/>
      </c>
      <c r="L161" s="25" t="inlineStr">
        <is>
          <t>(added: UI KPI not in source model)</t>
        </is>
      </c>
      <c r="M161" s="25" t="n"/>
      <c r="N161" s="25" t="inlineStr">
        <is>
          <t>fuel_cost_k, good_output_t</t>
        </is>
      </c>
    </row>
    <row r="162">
      <c r="A162" s="25" t="inlineStr">
        <is>
          <t>SIG-018</t>
        </is>
      </c>
      <c r="B162" s="25" t="inlineStr">
        <is>
          <t>Power-cost exposure (power cost per tonne, MoM)</t>
        </is>
      </c>
      <c r="C162" s="25" t="inlineStr">
        <is>
          <t>%</t>
        </is>
      </c>
      <c r="D162" s="25" t="inlineStr">
        <is>
          <t>Month</t>
        </is>
      </c>
      <c r="E162" s="25" t="inlineStr">
        <is>
          <t>(Power cost ÷ good output) ÷ last month's − 1, as %</t>
        </is>
      </c>
      <c r="F162" s="25">
        <f>ROUND(IF(OR('Group Inputs'!M4=0,'Group Inputs'!AW4=0,'Group Inputs'!M4=0),0,100*(('Group Inputs'!AW4/'Group Inputs'!M4)/('Group Inputs'!AW4/'Group Inputs'!M4)-1)),2)</f>
        <v/>
      </c>
      <c r="G162" s="25">
        <f>ROUND(IF(OR('Group Inputs'!M4=0,'Group Inputs'!AW4=0,'Group Inputs'!M5=0),0,100*(('Group Inputs'!AW5/'Group Inputs'!M5)/('Group Inputs'!AW4/'Group Inputs'!M4)-1)),2)</f>
        <v/>
      </c>
      <c r="H162" s="25">
        <f>ROUND(IF(OR('Group Inputs'!M5=0,'Group Inputs'!AW5=0,'Group Inputs'!M6=0),0,100*(('Group Inputs'!AW6/'Group Inputs'!M6)/('Group Inputs'!AW5/'Group Inputs'!M5)-1)),2)</f>
        <v/>
      </c>
      <c r="I162" s="25">
        <f>ROUND(IF(OR('Group Inputs'!M6=0,'Group Inputs'!AW6=0,'Group Inputs'!M7=0),0,100*(('Group Inputs'!AW7/'Group Inputs'!M7)/('Group Inputs'!AW6/'Group Inputs'!M6)-1)),2)</f>
        <v/>
      </c>
      <c r="J162" s="25">
        <f>ROUND(IF(OR('Group Inputs'!M7=0,'Group Inputs'!AW7=0,'Group Inputs'!M8=0),0,100*(('Group Inputs'!AW8/'Group Inputs'!M8)/('Group Inputs'!AW7/'Group Inputs'!M7)-1)),2)</f>
        <v/>
      </c>
      <c r="K162" s="25">
        <f>ROUND(IF(OR('Group Inputs'!M8=0,'Group Inputs'!AW8=0,'Group Inputs'!M9=0),0,100*(('Group Inputs'!AW9/'Group Inputs'!M9)/('Group Inputs'!AW8/'Group Inputs'!M8)-1)),2)</f>
        <v/>
      </c>
      <c r="L162" s="25" t="inlineStr">
        <is>
          <t>(added: UI KPI not in source model)</t>
        </is>
      </c>
      <c r="M162" s="25" t="n"/>
      <c r="N162" s="25" t="inlineStr">
        <is>
          <t>good_output_t, power_cost_k</t>
        </is>
      </c>
    </row>
    <row r="163">
      <c r="A163" s="25" t="inlineStr">
        <is>
          <t>SIG-001</t>
        </is>
      </c>
      <c r="B163" s="25" t="inlineStr">
        <is>
          <t>Unplanned downtime (same measure as REL-003)</t>
        </is>
      </c>
      <c r="C163" s="25" t="inlineStr">
        <is>
          <t>h</t>
        </is>
      </c>
      <c r="D163" s="25" t="inlineStr">
        <is>
          <t>Month</t>
        </is>
      </c>
      <c r="E163" s="25" t="inlineStr">
        <is>
          <t>Alias of REL-003: same value</t>
        </is>
      </c>
      <c r="F163" s="25">
        <f>F10</f>
        <v/>
      </c>
      <c r="G163" s="25">
        <f>G10</f>
        <v/>
      </c>
      <c r="H163" s="25">
        <f>H10</f>
        <v/>
      </c>
      <c r="I163" s="25">
        <f>I10</f>
        <v/>
      </c>
      <c r="J163" s="25">
        <f>J10</f>
        <v/>
      </c>
      <c r="K163" s="25">
        <f>K10</f>
        <v/>
      </c>
      <c r="L163" s="25" t="inlineStr">
        <is>
          <t>(added alias)</t>
        </is>
      </c>
      <c r="M163" s="25" t="n"/>
      <c r="N163" s="25" t="inlineStr">
        <is>
          <t>unplanned_downtime_hours</t>
        </is>
      </c>
    </row>
    <row r="164">
      <c r="A164" s="25" t="inlineStr">
        <is>
          <t>SIG-002</t>
        </is>
      </c>
      <c r="B164" s="25" t="inlineStr">
        <is>
          <t>Yield (same measure as PLT-005)</t>
        </is>
      </c>
      <c r="C164" s="25" t="inlineStr">
        <is>
          <t>%</t>
        </is>
      </c>
      <c r="D164" s="25" t="inlineStr">
        <is>
          <t>Month</t>
        </is>
      </c>
      <c r="E164" s="25" t="inlineStr">
        <is>
          <t>Alias of PLT-005: same value</t>
        </is>
      </c>
      <c r="F164" s="25">
        <f>F7</f>
        <v/>
      </c>
      <c r="G164" s="25">
        <f>G7</f>
        <v/>
      </c>
      <c r="H164" s="25">
        <f>H7</f>
        <v/>
      </c>
      <c r="I164" s="25">
        <f>I7</f>
        <v/>
      </c>
      <c r="J164" s="25">
        <f>J7</f>
        <v/>
      </c>
      <c r="K164" s="25">
        <f>K7</f>
        <v/>
      </c>
      <c r="L164" s="25" t="inlineStr">
        <is>
          <t>(added alias)</t>
        </is>
      </c>
      <c r="M164" s="25" t="n"/>
      <c r="N164" s="25" t="inlineStr">
        <is>
          <t>good_output_t, feed_input_t</t>
        </is>
      </c>
    </row>
    <row r="165">
      <c r="A165" s="25" t="inlineStr">
        <is>
          <t>SIG-003</t>
        </is>
      </c>
      <c r="B165" s="25" t="inlineStr">
        <is>
          <t>Recovery percentage (same measure as PLT-004)</t>
        </is>
      </c>
      <c r="C165" s="25" t="inlineStr">
        <is>
          <t>%</t>
        </is>
      </c>
      <c r="D165" s="25" t="inlineStr">
        <is>
          <t>Month</t>
        </is>
      </c>
      <c r="E165" s="25" t="inlineStr">
        <is>
          <t>Alias of PLT-004: same value</t>
        </is>
      </c>
      <c r="F165" s="25">
        <f>F6</f>
        <v/>
      </c>
      <c r="G165" s="25">
        <f>G6</f>
        <v/>
      </c>
      <c r="H165" s="25">
        <f>H6</f>
        <v/>
      </c>
      <c r="I165" s="25">
        <f>I6</f>
        <v/>
      </c>
      <c r="J165" s="25">
        <f>J6</f>
        <v/>
      </c>
      <c r="K165" s="25">
        <f>K6</f>
        <v/>
      </c>
      <c r="L165" s="25" t="inlineStr">
        <is>
          <t>(added alias)</t>
        </is>
      </c>
      <c r="M165" s="25" t="n"/>
      <c r="N165" s="25" t="inlineStr">
        <is>
          <t>feed_contained_t, recovered_contained_t</t>
        </is>
      </c>
    </row>
    <row r="166">
      <c r="A166" s="25" t="inlineStr">
        <is>
          <t>SIG-015</t>
        </is>
      </c>
      <c r="B166" s="25" t="inlineStr">
        <is>
          <t>FX exposure, unhedged (same measure as TRS-001)</t>
        </is>
      </c>
      <c r="C166" s="25" t="inlineStr">
        <is>
          <t>₹ m</t>
        </is>
      </c>
      <c r="D166" s="25" t="inlineStr">
        <is>
          <t>Month end</t>
        </is>
      </c>
      <c r="E166" s="25" t="inlineStr">
        <is>
          <t>Alias of TRS-001: same value</t>
        </is>
      </c>
      <c r="F166" s="25">
        <f>F61</f>
        <v/>
      </c>
      <c r="G166" s="25">
        <f>G61</f>
        <v/>
      </c>
      <c r="H166" s="25">
        <f>H61</f>
        <v/>
      </c>
      <c r="I166" s="25">
        <f>I61</f>
        <v/>
      </c>
      <c r="J166" s="25">
        <f>J61</f>
        <v/>
      </c>
      <c r="K166" s="25">
        <f>K61</f>
        <v/>
      </c>
      <c r="L166" s="25" t="inlineStr">
        <is>
          <t>(added alias)</t>
        </is>
      </c>
      <c r="M166" s="25" t="n"/>
      <c r="N166" s="25" t="inlineStr">
        <is>
          <t>fx_exposure_k, fx_hedged_k</t>
        </is>
      </c>
    </row>
    <row r="167">
      <c r="A167" s="25" t="inlineStr">
        <is>
          <t>SIG-019</t>
        </is>
      </c>
      <c r="B167" s="25" t="inlineStr">
        <is>
          <t>Regulatory deadlines, next 30 days (same measure as REG-002)</t>
        </is>
      </c>
      <c r="C167" s="25" t="inlineStr">
        <is>
          <t>count</t>
        </is>
      </c>
      <c r="D167" s="25" t="inlineStr">
        <is>
          <t>Month end</t>
        </is>
      </c>
      <c r="E167" s="25" t="inlineStr">
        <is>
          <t>Alias of REG-002: same value</t>
        </is>
      </c>
      <c r="F167" s="25">
        <f>F92</f>
        <v/>
      </c>
      <c r="G167" s="25">
        <f>G92</f>
        <v/>
      </c>
      <c r="H167" s="25">
        <f>H92</f>
        <v/>
      </c>
      <c r="I167" s="25">
        <f>I92</f>
        <v/>
      </c>
      <c r="J167" s="25">
        <f>J92</f>
        <v/>
      </c>
      <c r="K167" s="25">
        <f>K92</f>
        <v/>
      </c>
      <c r="L167" s="25" t="inlineStr">
        <is>
          <t>(added alias)</t>
        </is>
      </c>
      <c r="M167" s="25" t="n"/>
      <c r="N167" s="25" t="inlineStr">
        <is>
          <t>reg_deadlines_30d</t>
        </is>
      </c>
    </row>
    <row r="168">
      <c r="A168" s="25" t="inlineStr">
        <is>
          <t>SIG-020</t>
        </is>
      </c>
      <c r="B168" s="25" t="inlineStr">
        <is>
          <t>Licence expirations, next 12 months (same measure as REG-003)</t>
        </is>
      </c>
      <c r="C168" s="25" t="inlineStr">
        <is>
          <t>count</t>
        </is>
      </c>
      <c r="D168" s="25" t="inlineStr">
        <is>
          <t>Month end</t>
        </is>
      </c>
      <c r="E168" s="25" t="inlineStr">
        <is>
          <t>Alias of REG-003: same value</t>
        </is>
      </c>
      <c r="F168" s="25">
        <f>F93</f>
        <v/>
      </c>
      <c r="G168" s="25">
        <f>G93</f>
        <v/>
      </c>
      <c r="H168" s="25">
        <f>H93</f>
        <v/>
      </c>
      <c r="I168" s="25">
        <f>I93</f>
        <v/>
      </c>
      <c r="J168" s="25">
        <f>J93</f>
        <v/>
      </c>
      <c r="K168" s="25">
        <f>K93</f>
        <v/>
      </c>
      <c r="L168" s="25" t="inlineStr">
        <is>
          <t>(added alias)</t>
        </is>
      </c>
      <c r="M168" s="25" t="n"/>
      <c r="N168" s="25" t="inlineStr">
        <is>
          <t>licences_expiring_12m</t>
        </is>
      </c>
    </row>
    <row r="169">
      <c r="A169" s="25" t="inlineStr">
        <is>
          <t>RSK-001</t>
        </is>
      </c>
      <c r="B169" s="25" t="inlineStr">
        <is>
          <t>Open critical alerts (same measure as EFF-002)</t>
        </is>
      </c>
      <c r="C169" s="25" t="inlineStr">
        <is>
          <t>count</t>
        </is>
      </c>
      <c r="D169" s="25" t="inlineStr">
        <is>
          <t>Month end</t>
        </is>
      </c>
      <c r="E169" s="25" t="inlineStr">
        <is>
          <t>Alias of EFF-002: same value</t>
        </is>
      </c>
      <c r="F169" s="25">
        <f>F133</f>
        <v/>
      </c>
      <c r="G169" s="25">
        <f>G133</f>
        <v/>
      </c>
      <c r="H169" s="25">
        <f>H133</f>
        <v/>
      </c>
      <c r="I169" s="25">
        <f>I133</f>
        <v/>
      </c>
      <c r="J169" s="25">
        <f>J133</f>
        <v/>
      </c>
      <c r="K169" s="25">
        <f>K133</f>
        <v/>
      </c>
      <c r="L169" s="25" t="inlineStr">
        <is>
          <t>(added alias)</t>
        </is>
      </c>
      <c r="M169" s="25" t="n"/>
      <c r="N169" s="25" t="inlineStr">
        <is>
          <t>critical_alerts_open</t>
        </is>
      </c>
    </row>
    <row r="170">
      <c r="A170" s="25" t="inlineStr">
        <is>
          <t>RSK-002</t>
        </is>
      </c>
      <c r="B170" s="25" t="inlineStr">
        <is>
          <t>Severity incidents (same measure as EHS-002)</t>
        </is>
      </c>
      <c r="C170" s="25" t="inlineStr">
        <is>
          <t>count</t>
        </is>
      </c>
      <c r="D170" s="25" t="inlineStr">
        <is>
          <t>Month</t>
        </is>
      </c>
      <c r="E170" s="25" t="inlineStr">
        <is>
          <t>Alias of EHS-002: same value</t>
        </is>
      </c>
      <c r="F170" s="25">
        <f>F25</f>
        <v/>
      </c>
      <c r="G170" s="25">
        <f>G25</f>
        <v/>
      </c>
      <c r="H170" s="25">
        <f>H25</f>
        <v/>
      </c>
      <c r="I170" s="25">
        <f>I25</f>
        <v/>
      </c>
      <c r="J170" s="25">
        <f>J25</f>
        <v/>
      </c>
      <c r="K170" s="25">
        <f>K25</f>
        <v/>
      </c>
      <c r="L170" s="25" t="inlineStr">
        <is>
          <t>(added alias)</t>
        </is>
      </c>
      <c r="M170" s="25" t="n"/>
      <c r="N170" s="25" t="inlineStr">
        <is>
          <t>severity_incidents</t>
        </is>
      </c>
    </row>
    <row r="171">
      <c r="A171" s="25" t="inlineStr">
        <is>
          <t>STR-001</t>
        </is>
      </c>
      <c r="B171" s="25" t="inlineStr">
        <is>
          <t>Capex physical progress, weighted (same measure as CPX-004)</t>
        </is>
      </c>
      <c r="C171" s="25" t="inlineStr">
        <is>
          <t>%</t>
        </is>
      </c>
      <c r="D171" s="25" t="inlineStr">
        <is>
          <t>To date</t>
        </is>
      </c>
      <c r="E171" s="25" t="inlineStr">
        <is>
          <t>Alias of CPX-004: same value</t>
        </is>
      </c>
      <c r="F171" s="25">
        <f>F69</f>
        <v/>
      </c>
      <c r="G171" s="25">
        <f>G69</f>
        <v/>
      </c>
      <c r="H171" s="25">
        <f>H69</f>
        <v/>
      </c>
      <c r="I171" s="25">
        <f>I69</f>
        <v/>
      </c>
      <c r="J171" s="25">
        <f>J69</f>
        <v/>
      </c>
      <c r="K171" s="25">
        <f>K69</f>
        <v/>
      </c>
      <c r="L171" s="25" t="inlineStr">
        <is>
          <t>(added alias)</t>
        </is>
      </c>
      <c r="M171" s="25" t="n"/>
      <c r="N171" s="25"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6" t="inlineStr">
        <is>
          <t>Full-time employees (FTE, count)</t>
        </is>
      </c>
      <c r="GI1" s="26" t="inlineStr">
        <is>
          <t>FCF plan, full year (₹ thousand)</t>
        </is>
      </c>
      <c r="GJ1" s="26" t="inlineStr">
        <is>
          <t>Forecast FCF, rest of year (₹ thousand)</t>
        </is>
      </c>
      <c r="GK1" s="26" t="inlineStr">
        <is>
          <t>Forecast EBIT, rest of year (₹ thousand)</t>
        </is>
      </c>
      <c r="GL1" s="26" t="inlineStr">
        <is>
          <t>Forecast capital employed at P12 (₹ thousand)</t>
        </is>
      </c>
      <c r="GM1" s="26" t="inlineStr">
        <is>
          <t>EBITDA plan, full year (₹ thousand)</t>
        </is>
      </c>
      <c r="GN1" s="26" t="inlineStr">
        <is>
          <t>EBITDA full-year forecast uncertainty, 1σ (₹ thousand)</t>
        </is>
      </c>
      <c r="GO1" s="26" t="inlineStr">
        <is>
          <t>Hours to nearest open disclosure deadline (999 = none)</t>
        </is>
      </c>
      <c r="GP1" s="26" t="inlineStr">
        <is>
          <t>Single-source suppliers with cover below lead time (count)</t>
        </is>
      </c>
      <c r="GQ1" s="26" t="inlineStr">
        <is>
          <t>RM-1 price index (external, same for every entity)</t>
        </is>
      </c>
      <c r="GR1" s="26"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c r="GH4" s="25">
        <f>SUM('Entity Inputs'!FV4,'Entity Inputs'!FV10)</f>
        <v/>
      </c>
      <c r="GI4" s="25">
        <f>SUM('Entity Inputs'!FW4,'Entity Inputs'!FW10)</f>
        <v/>
      </c>
      <c r="GJ4" s="25">
        <f>SUM('Entity Inputs'!FX4,'Entity Inputs'!FX10)</f>
        <v/>
      </c>
      <c r="GK4" s="25">
        <f>SUM('Entity Inputs'!FY4,'Entity Inputs'!FY10)</f>
        <v/>
      </c>
      <c r="GL4" s="25">
        <f>SUM('Entity Inputs'!FZ4,'Entity Inputs'!FZ10)</f>
        <v/>
      </c>
      <c r="GM4" s="25">
        <f>SUM('Entity Inputs'!GA4,'Entity Inputs'!GA10)</f>
        <v/>
      </c>
      <c r="GN4" s="25">
        <f>SQRT('Entity Inputs'!GB4^2+'Entity Inputs'!GB10^2)</f>
        <v/>
      </c>
      <c r="GO4" s="25">
        <f>MIN('Entity Inputs'!GC4,'Entity Inputs'!GC10)</f>
        <v/>
      </c>
      <c r="GP4" s="25">
        <f>SUM('Entity Inputs'!GD4,'Entity Inputs'!GD10)</f>
        <v/>
      </c>
      <c r="GQ4" s="25">
        <f>'Entity Inputs'!GE4</f>
        <v/>
      </c>
      <c r="GR4" s="25">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c r="GH5" s="25">
        <f>SUM('Entity Inputs'!FV5,'Entity Inputs'!FV11)</f>
        <v/>
      </c>
      <c r="GI5" s="25">
        <f>SUM('Entity Inputs'!FW5,'Entity Inputs'!FW11)</f>
        <v/>
      </c>
      <c r="GJ5" s="25">
        <f>SUM('Entity Inputs'!FX5,'Entity Inputs'!FX11)</f>
        <v/>
      </c>
      <c r="GK5" s="25">
        <f>SUM('Entity Inputs'!FY5,'Entity Inputs'!FY11)</f>
        <v/>
      </c>
      <c r="GL5" s="25">
        <f>SUM('Entity Inputs'!FZ5,'Entity Inputs'!FZ11)</f>
        <v/>
      </c>
      <c r="GM5" s="25">
        <f>SUM('Entity Inputs'!GA5,'Entity Inputs'!GA11)</f>
        <v/>
      </c>
      <c r="GN5" s="25">
        <f>SQRT('Entity Inputs'!GB5^2+'Entity Inputs'!GB11^2)</f>
        <v/>
      </c>
      <c r="GO5" s="25">
        <f>MIN('Entity Inputs'!GC5,'Entity Inputs'!GC11)</f>
        <v/>
      </c>
      <c r="GP5" s="25">
        <f>SUM('Entity Inputs'!GD5,'Entity Inputs'!GD11)</f>
        <v/>
      </c>
      <c r="GQ5" s="25">
        <f>'Entity Inputs'!GE5</f>
        <v/>
      </c>
      <c r="GR5" s="25">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c r="GH6" s="25">
        <f>SUM('Entity Inputs'!FV6,'Entity Inputs'!FV12)</f>
        <v/>
      </c>
      <c r="GI6" s="25">
        <f>SUM('Entity Inputs'!FW6,'Entity Inputs'!FW12)</f>
        <v/>
      </c>
      <c r="GJ6" s="25">
        <f>SUM('Entity Inputs'!FX6,'Entity Inputs'!FX12)</f>
        <v/>
      </c>
      <c r="GK6" s="25">
        <f>SUM('Entity Inputs'!FY6,'Entity Inputs'!FY12)</f>
        <v/>
      </c>
      <c r="GL6" s="25">
        <f>SUM('Entity Inputs'!FZ6,'Entity Inputs'!FZ12)</f>
        <v/>
      </c>
      <c r="GM6" s="25">
        <f>SUM('Entity Inputs'!GA6,'Entity Inputs'!GA12)</f>
        <v/>
      </c>
      <c r="GN6" s="25">
        <f>SQRT('Entity Inputs'!GB6^2+'Entity Inputs'!GB12^2)</f>
        <v/>
      </c>
      <c r="GO6" s="25">
        <f>MIN('Entity Inputs'!GC6,'Entity Inputs'!GC12)</f>
        <v/>
      </c>
      <c r="GP6" s="25">
        <f>SUM('Entity Inputs'!GD6,'Entity Inputs'!GD12)</f>
        <v/>
      </c>
      <c r="GQ6" s="25">
        <f>'Entity Inputs'!GE6</f>
        <v/>
      </c>
      <c r="GR6" s="25">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c r="GH7" s="25">
        <f>SUM('Entity Inputs'!FV7,'Entity Inputs'!FV13)</f>
        <v/>
      </c>
      <c r="GI7" s="25">
        <f>SUM('Entity Inputs'!FW7,'Entity Inputs'!FW13)</f>
        <v/>
      </c>
      <c r="GJ7" s="25">
        <f>SUM('Entity Inputs'!FX7,'Entity Inputs'!FX13)</f>
        <v/>
      </c>
      <c r="GK7" s="25">
        <f>SUM('Entity Inputs'!FY7,'Entity Inputs'!FY13)</f>
        <v/>
      </c>
      <c r="GL7" s="25">
        <f>SUM('Entity Inputs'!FZ7,'Entity Inputs'!FZ13)</f>
        <v/>
      </c>
      <c r="GM7" s="25">
        <f>SUM('Entity Inputs'!GA7,'Entity Inputs'!GA13)</f>
        <v/>
      </c>
      <c r="GN7" s="25">
        <f>SQRT('Entity Inputs'!GB7^2+'Entity Inputs'!GB13^2)</f>
        <v/>
      </c>
      <c r="GO7" s="25">
        <f>MIN('Entity Inputs'!GC7,'Entity Inputs'!GC13)</f>
        <v/>
      </c>
      <c r="GP7" s="25">
        <f>SUM('Entity Inputs'!GD7,'Entity Inputs'!GD13)</f>
        <v/>
      </c>
      <c r="GQ7" s="25">
        <f>'Entity Inputs'!GE7</f>
        <v/>
      </c>
      <c r="GR7" s="25">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c r="GH8" s="25">
        <f>SUM('Entity Inputs'!FV8,'Entity Inputs'!FV14)</f>
        <v/>
      </c>
      <c r="GI8" s="25">
        <f>SUM('Entity Inputs'!FW8,'Entity Inputs'!FW14)</f>
        <v/>
      </c>
      <c r="GJ8" s="25">
        <f>SUM('Entity Inputs'!FX8,'Entity Inputs'!FX14)</f>
        <v/>
      </c>
      <c r="GK8" s="25">
        <f>SUM('Entity Inputs'!FY8,'Entity Inputs'!FY14)</f>
        <v/>
      </c>
      <c r="GL8" s="25">
        <f>SUM('Entity Inputs'!FZ8,'Entity Inputs'!FZ14)</f>
        <v/>
      </c>
      <c r="GM8" s="25">
        <f>SUM('Entity Inputs'!GA8,'Entity Inputs'!GA14)</f>
        <v/>
      </c>
      <c r="GN8" s="25">
        <f>SQRT('Entity Inputs'!GB8^2+'Entity Inputs'!GB14^2)</f>
        <v/>
      </c>
      <c r="GO8" s="25">
        <f>MIN('Entity Inputs'!GC8,'Entity Inputs'!GC14)</f>
        <v/>
      </c>
      <c r="GP8" s="25">
        <f>SUM('Entity Inputs'!GD8,'Entity Inputs'!GD14)</f>
        <v/>
      </c>
      <c r="GQ8" s="25">
        <f>'Entity Inputs'!GE8</f>
        <v/>
      </c>
      <c r="GR8" s="25">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c r="GH9" s="25">
        <f>SUM('Entity Inputs'!FV9,'Entity Inputs'!FV15)</f>
        <v/>
      </c>
      <c r="GI9" s="25">
        <f>SUM('Entity Inputs'!FW9,'Entity Inputs'!FW15)</f>
        <v/>
      </c>
      <c r="GJ9" s="25">
        <f>SUM('Entity Inputs'!FX9,'Entity Inputs'!FX15)</f>
        <v/>
      </c>
      <c r="GK9" s="25">
        <f>SUM('Entity Inputs'!FY9,'Entity Inputs'!FY15)</f>
        <v/>
      </c>
      <c r="GL9" s="25">
        <f>SUM('Entity Inputs'!FZ9,'Entity Inputs'!FZ15)</f>
        <v/>
      </c>
      <c r="GM9" s="25">
        <f>SUM('Entity Inputs'!GA9,'Entity Inputs'!GA15)</f>
        <v/>
      </c>
      <c r="GN9" s="25">
        <f>SQRT('Entity Inputs'!GB9^2+'Entity Inputs'!GB15^2)</f>
        <v/>
      </c>
      <c r="GO9" s="25">
        <f>MIN('Entity Inputs'!GC9,'Entity Inputs'!GC15)</f>
        <v/>
      </c>
      <c r="GP9" s="25">
        <f>SUM('Entity Inputs'!GD9,'Entity Inputs'!GD15)</f>
        <v/>
      </c>
      <c r="GQ9" s="25">
        <f>'Entity Inputs'!GE9</f>
        <v/>
      </c>
      <c r="GR9" s="25">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6" t="inlineStr">
        <is>
          <t>Full-time employees (FTE, count)</t>
        </is>
      </c>
      <c r="FW1" s="26" t="inlineStr">
        <is>
          <t>FCF plan, full year (₹ thousand)</t>
        </is>
      </c>
      <c r="FX1" s="26" t="inlineStr">
        <is>
          <t>Forecast FCF, rest of year (₹ thousand)</t>
        </is>
      </c>
      <c r="FY1" s="26" t="inlineStr">
        <is>
          <t>Forecast EBIT, rest of year (₹ thousand)</t>
        </is>
      </c>
      <c r="FZ1" s="26" t="inlineStr">
        <is>
          <t>Forecast capital employed at P12 (₹ thousand)</t>
        </is>
      </c>
      <c r="GA1" s="26" t="inlineStr">
        <is>
          <t>EBITDA plan, full year (₹ thousand)</t>
        </is>
      </c>
      <c r="GB1" s="26" t="inlineStr">
        <is>
          <t>EBITDA full-year forecast uncertainty, 1σ (₹ thousand)</t>
        </is>
      </c>
      <c r="GC1" s="26" t="inlineStr">
        <is>
          <t>Hours to nearest open disclosure deadline (999 = none)</t>
        </is>
      </c>
      <c r="GD1" s="26" t="inlineStr">
        <is>
          <t>Single-source suppliers with cover below lead time (count)</t>
        </is>
      </c>
      <c r="GE1" s="26" t="inlineStr">
        <is>
          <t>RM-1 price index (external, same for every entity)</t>
        </is>
      </c>
      <c r="GF1" s="26"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5" t="n">
        <v>1340</v>
      </c>
      <c r="FW4" s="25" t="n">
        <v>309437.2</v>
      </c>
      <c r="FX4" s="25" t="n">
        <v>238064</v>
      </c>
      <c r="FY4" s="25" t="n">
        <v>1266630.9</v>
      </c>
      <c r="FZ4" s="25" t="n">
        <v>11124000</v>
      </c>
      <c r="GA4" s="25" t="n">
        <v>1199910.1</v>
      </c>
      <c r="GB4" s="25" t="n">
        <v>40773.6</v>
      </c>
      <c r="GC4" s="25" t="n">
        <v>999</v>
      </c>
      <c r="GD4" s="25" t="n">
        <v>0</v>
      </c>
      <c r="GE4" s="25" t="n">
        <v>100</v>
      </c>
      <c r="GF4" s="25"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5" t="n">
        <v>1344</v>
      </c>
      <c r="FW5" s="25" t="n">
        <v>1497784.5</v>
      </c>
      <c r="FX5" s="25" t="n">
        <v>1047557.6</v>
      </c>
      <c r="FY5" s="25" t="n">
        <v>678302.4</v>
      </c>
      <c r="FZ5" s="25" t="n">
        <v>11168496</v>
      </c>
      <c r="GA5" s="25" t="n">
        <v>658274.2</v>
      </c>
      <c r="GB5" s="25" t="n">
        <v>22368.5</v>
      </c>
      <c r="GC5" s="25" t="n">
        <v>999</v>
      </c>
      <c r="GD5" s="25" t="n">
        <v>0</v>
      </c>
      <c r="GE5" s="25" t="n">
        <v>101.2</v>
      </c>
      <c r="GF5" s="25"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5" t="n">
        <v>1348</v>
      </c>
      <c r="FW6" s="25" t="n">
        <v>990689.3</v>
      </c>
      <c r="FX6" s="25" t="n">
        <v>623603.5</v>
      </c>
      <c r="FY6" s="25" t="n">
        <v>657262.7</v>
      </c>
      <c r="FZ6" s="25" t="n">
        <v>11212992</v>
      </c>
      <c r="GA6" s="25" t="n">
        <v>1207944.7</v>
      </c>
      <c r="GB6" s="25" t="n">
        <v>41046.7</v>
      </c>
      <c r="GC6" s="25" t="n">
        <v>999</v>
      </c>
      <c r="GD6" s="25" t="n">
        <v>0</v>
      </c>
      <c r="GE6" s="25" t="n">
        <v>100.6</v>
      </c>
      <c r="GF6" s="25"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5" t="n">
        <v>1340</v>
      </c>
      <c r="FW7" s="25" t="n">
        <v>808451.6</v>
      </c>
      <c r="FX7" s="25" t="n">
        <v>452347.9</v>
      </c>
      <c r="FY7" s="25" t="n">
        <v>687792.6</v>
      </c>
      <c r="FZ7" s="25" t="n">
        <v>11257488</v>
      </c>
      <c r="GA7" s="25" t="n">
        <v>1662277</v>
      </c>
      <c r="GB7" s="25" t="n">
        <v>56485.1</v>
      </c>
      <c r="GC7" s="25" t="n">
        <v>999</v>
      </c>
      <c r="GD7" s="25" t="n">
        <v>0</v>
      </c>
      <c r="GE7" s="25" t="n">
        <v>102.3</v>
      </c>
      <c r="GF7" s="25"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5" t="n">
        <v>1344</v>
      </c>
      <c r="FW8" s="25" t="n">
        <v>654005.2</v>
      </c>
      <c r="FX8" s="25" t="n">
        <v>320190</v>
      </c>
      <c r="FY8" s="25" t="n">
        <v>606400.6</v>
      </c>
      <c r="FZ8" s="25" t="n">
        <v>11301984</v>
      </c>
      <c r="GA8" s="25" t="n">
        <v>1548222.6</v>
      </c>
      <c r="GB8" s="25" t="n">
        <v>52609.5</v>
      </c>
      <c r="GC8" s="25" t="n">
        <v>999</v>
      </c>
      <c r="GD8" s="25" t="n">
        <v>1</v>
      </c>
      <c r="GE8" s="25" t="n">
        <v>103.1</v>
      </c>
      <c r="GF8" s="25"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5" t="n">
        <v>1348</v>
      </c>
      <c r="FW9" s="25" t="n">
        <v>756293</v>
      </c>
      <c r="FX9" s="25" t="n">
        <v>317373</v>
      </c>
      <c r="FY9" s="25" t="n">
        <v>579545.9</v>
      </c>
      <c r="FZ9" s="25" t="n">
        <v>11346480</v>
      </c>
      <c r="GA9" s="25" t="n">
        <v>2114103.1</v>
      </c>
      <c r="GB9" s="25" t="n">
        <v>71838.5</v>
      </c>
      <c r="GC9" s="25" t="n">
        <v>38</v>
      </c>
      <c r="GD9" s="25" t="n">
        <v>1</v>
      </c>
      <c r="GE9" s="25" t="n">
        <v>105.3</v>
      </c>
      <c r="GF9" s="25"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5" t="n">
        <v>1290</v>
      </c>
      <c r="FW10" s="25" t="n">
        <v>535811.3</v>
      </c>
      <c r="FX10" s="25" t="n">
        <v>476992.3</v>
      </c>
      <c r="FY10" s="25" t="n">
        <v>1250750.6</v>
      </c>
      <c r="FZ10" s="25" t="n">
        <v>10100000</v>
      </c>
      <c r="GA10" s="25" t="n">
        <v>1073055</v>
      </c>
      <c r="GB10" s="25" t="n">
        <v>37745.7</v>
      </c>
      <c r="GC10" s="25" t="n">
        <v>999</v>
      </c>
      <c r="GD10" s="25" t="n">
        <v>0</v>
      </c>
      <c r="GE10" s="25" t="n">
        <v>100</v>
      </c>
      <c r="GF10" s="25"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5" t="n">
        <v>1287</v>
      </c>
      <c r="FW11" s="25" t="n">
        <v>554094.5</v>
      </c>
      <c r="FX11" s="25" t="n">
        <v>448425.9</v>
      </c>
      <c r="FY11" s="25" t="n">
        <v>1297723.1</v>
      </c>
      <c r="FZ11" s="25" t="n">
        <v>10140400</v>
      </c>
      <c r="GA11" s="25" t="n">
        <v>1429724.5</v>
      </c>
      <c r="GB11" s="25" t="n">
        <v>50291.8</v>
      </c>
      <c r="GC11" s="25" t="n">
        <v>999</v>
      </c>
      <c r="GD11" s="25" t="n">
        <v>0</v>
      </c>
      <c r="GE11" s="25" t="n">
        <v>101.2</v>
      </c>
      <c r="GF11" s="25"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5" t="n">
        <v>1284</v>
      </c>
      <c r="FW12" s="25" t="n">
        <v>444043.8</v>
      </c>
      <c r="FX12" s="25" t="n">
        <v>323426.1</v>
      </c>
      <c r="FY12" s="25" t="n">
        <v>979534.2</v>
      </c>
      <c r="FZ12" s="25" t="n">
        <v>10180800</v>
      </c>
      <c r="GA12" s="25" t="n">
        <v>1081897.5</v>
      </c>
      <c r="GB12" s="25" t="n">
        <v>38056.7</v>
      </c>
      <c r="GC12" s="25" t="n">
        <v>999</v>
      </c>
      <c r="GD12" s="25" t="n">
        <v>0</v>
      </c>
      <c r="GE12" s="25" t="n">
        <v>100.6</v>
      </c>
      <c r="GF12" s="25"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5" t="n">
        <v>1290</v>
      </c>
      <c r="FW13" s="25" t="n">
        <v>412681.2</v>
      </c>
      <c r="FX13" s="25" t="n">
        <v>267184.6</v>
      </c>
      <c r="FY13" s="25" t="n">
        <v>812149.3</v>
      </c>
      <c r="FZ13" s="25" t="n">
        <v>10221200</v>
      </c>
      <c r="GA13" s="25" t="n">
        <v>1274437</v>
      </c>
      <c r="GB13" s="25" t="n">
        <v>44829.4</v>
      </c>
      <c r="GC13" s="25" t="n">
        <v>999</v>
      </c>
      <c r="GD13" s="25" t="n">
        <v>0</v>
      </c>
      <c r="GE13" s="25" t="n">
        <v>102.3</v>
      </c>
      <c r="GF13" s="25"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5" t="n">
        <v>1287</v>
      </c>
      <c r="FW14" s="25" t="n">
        <v>512807.4</v>
      </c>
      <c r="FX14" s="25" t="n">
        <v>290508.7</v>
      </c>
      <c r="FY14" s="25" t="n">
        <v>663586.6</v>
      </c>
      <c r="FZ14" s="25" t="n">
        <v>10261600</v>
      </c>
      <c r="GA14" s="25" t="n">
        <v>1312719.1</v>
      </c>
      <c r="GB14" s="25" t="n">
        <v>46176</v>
      </c>
      <c r="GC14" s="25" t="n">
        <v>999</v>
      </c>
      <c r="GD14" s="25" t="n">
        <v>0</v>
      </c>
      <c r="GE14" s="25" t="n">
        <v>103.1</v>
      </c>
      <c r="GF14" s="25"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5" t="n">
        <v>1284</v>
      </c>
      <c r="FW15" s="25" t="n">
        <v>558590.2</v>
      </c>
      <c r="FX15" s="25" t="n">
        <v>271238.5</v>
      </c>
      <c r="FY15" s="25" t="n">
        <v>630457</v>
      </c>
      <c r="FZ15" s="25" t="n">
        <v>10302000</v>
      </c>
      <c r="GA15" s="25" t="n">
        <v>2031583.3</v>
      </c>
      <c r="GB15" s="25" t="n">
        <v>71462.7</v>
      </c>
      <c r="GC15" s="25" t="n">
        <v>999</v>
      </c>
      <c r="GD15" s="25" t="n">
        <v>0</v>
      </c>
      <c r="GE15" s="25" t="n">
        <v>105.3</v>
      </c>
      <c r="GF15" s="25"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2026-10-05T18:41:15Z</dcterms:created>
  <dcterms:modified xmlns:dcterms="http://purl.org/dc/terms/" xmlns:xsi="http://www.w3.org/2001/XMLSchema-instance" xsi:type="dcterms:W3CDTF">2026-10-06T10:00:20Z</dcterms:modified>
</cp:coreProperties>
</file>