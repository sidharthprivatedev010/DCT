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UI KPI Map" sheetId="1" state="visible" r:id="rId1"/>
    <sheet xmlns:r="http://schemas.openxmlformats.org/officeDocument/2006/relationships" name="Calculated vs Shown" sheetId="2" state="visible" r:id="rId2"/>
    <sheet xmlns:r="http://schemas.openxmlformats.org/officeDocument/2006/relationships" name="Group KPI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 xmlns:r="http://schemas.openxmlformats.org/officeDocument/2006/relationships" name="A1 Inputs" sheetId="9" state="visible" r:id="rId9"/>
    <sheet xmlns:r="http://schemas.openxmlformats.org/officeDocument/2006/relationships" name="A2 Inputs" sheetId="10" state="visible" r:id="rId10"/>
    <sheet xmlns:r="http://schemas.openxmlformats.org/officeDocument/2006/relationships" name="Plant01 Inputs" sheetId="11" state="visible" r:id="rId11"/>
    <sheet xmlns:r="http://schemas.openxmlformats.org/officeDocument/2006/relationships" name="Plant02 Inputs" sheetId="12" state="visible" r:id="rId12"/>
    <sheet xmlns:r="http://schemas.openxmlformats.org/officeDocument/2006/relationships" name="Plant03 Inputs" sheetId="13" state="visible" r:id="rId13"/>
    <sheet xmlns:r="http://schemas.openxmlformats.org/officeDocument/2006/relationships" name="Plant04 Inputs" sheetId="14" state="visible" r:id="rId14"/>
    <sheet xmlns:r="http://schemas.openxmlformats.org/officeDocument/2006/relationships" name="Plant05 Inputs" sheetId="15" state="visible" r:id="rId15"/>
    <sheet xmlns:r="http://schemas.openxmlformats.org/officeDocument/2006/relationships" name="Plant06 Inputs" sheetId="16" state="visible" r:id="rId16"/>
    <sheet xmlns:r="http://schemas.openxmlformats.org/officeDocument/2006/relationships" name="A1 KPIs" sheetId="17" state="visible" r:id="rId17"/>
    <sheet xmlns:r="http://schemas.openxmlformats.org/officeDocument/2006/relationships" name="A2 KPIs" sheetId="18" state="visible" r:id="rId18"/>
    <sheet xmlns:r="http://schemas.openxmlformats.org/officeDocument/2006/relationships" name="Plant01 KPIs" sheetId="19" state="visible" r:id="rId19"/>
    <sheet xmlns:r="http://schemas.openxmlformats.org/officeDocument/2006/relationships" name="Plant02 KPIs" sheetId="20" state="visible" r:id="rId20"/>
    <sheet xmlns:r="http://schemas.openxmlformats.org/officeDocument/2006/relationships" name="Plant03 KPIs" sheetId="21" state="visible" r:id="rId21"/>
    <sheet xmlns:r="http://schemas.openxmlformats.org/officeDocument/2006/relationships" name="Plant04 KPIs" sheetId="22" state="visible" r:id="rId22"/>
    <sheet xmlns:r="http://schemas.openxmlformats.org/officeDocument/2006/relationships" name="Plant05 KPIs" sheetId="23" state="visible" r:id="rId23"/>
    <sheet xmlns:r="http://schemas.openxmlformats.org/officeDocument/2006/relationships" name="Plant06 KPIs" sheetId="24" state="visible" r:id="rId24"/>
  </sheets>
  <definedNames>
    <definedName name="_xlnm._FilterDatabase" localSheetId="1" hidden="1">'Calculated vs Shown'!$A$1:$I$150</definedName>
    <definedName name="_xlnm._FilterDatabase" localSheetId="2" hidden="1">'Group KPIs'!$A$1:$N$150</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
      <b val="1"/>
    </font>
  </fonts>
  <fills count="16">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
      <patternFill patternType="solid">
        <fgColor rgb="00E8F5E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0" fontId="0" fillId="15" borderId="0" pivotButton="0" quotePrefix="0" xfId="0"/>
    <xf numFmtId="0" fontId="5" fillId="0" borderId="0" pivotButton="0" quotePrefix="0" xfId="0"/>
    <xf numFmtId="4" fontId="0" fillId="12" borderId="0" pivotButton="0" quotePrefix="0" xfId="0"/>
    <xf numFmtId="4" fontId="0" fillId="0" borderId="1" pivotButton="0" quotePrefix="0" xfId="0"/>
    <xf numFmtId="164"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1"/>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22" customWidth="1" min="3" max="3"/>
    <col width="40" customWidth="1" min="4" max="4"/>
    <col width="14" customWidth="1" min="5" max="5"/>
    <col width="14" customWidth="1" min="6" max="6"/>
    <col width="14" customWidth="1" min="7" max="7"/>
    <col width="12" customWidth="1" min="8" max="8"/>
    <col width="26" customWidth="1" min="9" max="9"/>
  </cols>
  <sheetData>
    <row r="1">
      <c r="A1" t="inlineStr">
        <is>
          <t>KPI ID</t>
        </is>
      </c>
      <c r="B1" t="inlineStr">
        <is>
          <t>Measure</t>
        </is>
      </c>
      <c r="C1" t="inlineStr">
        <is>
          <t>Scopes shown in UI</t>
        </is>
      </c>
      <c r="D1" t="inlineStr">
        <is>
          <t>Screens</t>
        </is>
      </c>
      <c r="E1" t="inlineStr">
        <is>
          <t>Group P06</t>
        </is>
      </c>
      <c r="F1" t="inlineStr">
        <is>
          <t>A1 P06</t>
        </is>
      </c>
      <c r="G1" t="inlineStr">
        <is>
          <t>A2 P06</t>
        </is>
      </c>
      <c r="H1" t="inlineStr">
        <is>
          <t>Plant-level?</t>
        </is>
      </c>
      <c r="I1" t="inlineStr">
        <is>
          <t>Source</t>
        </is>
      </c>
    </row>
    <row r="2">
      <c r="A2" t="inlineStr">
        <is>
          <t>CMP-005</t>
        </is>
      </c>
      <c r="B2" t="inlineStr">
        <is>
          <t>Regulatory breaches YTD (same measure as REG-010)</t>
        </is>
      </c>
      <c r="C2" t="inlineStr">
        <is>
          <t>A1,Group</t>
        </is>
      </c>
      <c r="D2" t="inlineStr">
        <is>
          <t>E01 O01</t>
        </is>
      </c>
      <c r="E2" t="n">
        <v>0</v>
      </c>
      <c r="F2" t="n">
        <v>0</v>
      </c>
      <c r="G2" t="n">
        <v>0</v>
      </c>
      <c r="H2" t="inlineStr">
        <is>
          <t>yes</t>
        </is>
      </c>
      <c r="I2" t="inlineStr">
        <is>
          <t>alias of REG-010</t>
        </is>
      </c>
    </row>
    <row r="3">
      <c r="A3" t="inlineStr">
        <is>
          <t>CON-001</t>
        </is>
      </c>
      <c r="B3" t="inlineStr">
        <is>
          <t>Contracts expiring, next 90 days</t>
        </is>
      </c>
      <c r="C3" t="inlineStr">
        <is>
          <t>A1,Group</t>
        </is>
      </c>
      <c r="D3" t="inlineStr">
        <is>
          <t>E04 E07 G07 O05</t>
        </is>
      </c>
      <c r="E3" t="n">
        <v>4</v>
      </c>
      <c r="F3" t="n">
        <v>2</v>
      </c>
      <c r="G3" t="n">
        <v>2</v>
      </c>
      <c r="H3" t="inlineStr">
        <is>
          <t>no</t>
        </is>
      </c>
      <c r="I3" t="inlineStr">
        <is>
          <t>source model</t>
        </is>
      </c>
    </row>
    <row r="4">
      <c r="A4" t="inlineStr">
        <is>
          <t>CON-002</t>
        </is>
      </c>
      <c r="B4" t="inlineStr">
        <is>
          <t>Contract-compliance rate</t>
        </is>
      </c>
      <c r="C4" t="inlineStr">
        <is>
          <t>A1,Group</t>
        </is>
      </c>
      <c r="D4" t="inlineStr">
        <is>
          <t>E04 E07 G07 O05</t>
        </is>
      </c>
      <c r="E4" t="n">
        <v>95.70999999999999</v>
      </c>
      <c r="F4" t="n">
        <v>95.83</v>
      </c>
      <c r="G4" t="n">
        <v>95.59</v>
      </c>
      <c r="H4" t="inlineStr">
        <is>
          <t>no</t>
        </is>
      </c>
      <c r="I4" t="inlineStr">
        <is>
          <t>source model</t>
        </is>
      </c>
    </row>
    <row r="5">
      <c r="A5" t="inlineStr">
        <is>
          <t>CON-003</t>
        </is>
      </c>
      <c r="B5" t="inlineStr">
        <is>
          <t>Supplier EHS non-compliance</t>
        </is>
      </c>
      <c r="C5" t="inlineStr">
        <is>
          <t>A1,Group</t>
        </is>
      </c>
      <c r="D5" t="inlineStr">
        <is>
          <t>E04 E07 G05 G07 O05</t>
        </is>
      </c>
      <c r="E5" t="n">
        <v>0</v>
      </c>
      <c r="F5" t="n">
        <v>0</v>
      </c>
      <c r="G5" t="n">
        <v>0</v>
      </c>
      <c r="H5" t="inlineStr">
        <is>
          <t>no</t>
        </is>
      </c>
      <c r="I5" t="inlineStr">
        <is>
          <t>source model</t>
        </is>
      </c>
    </row>
    <row r="6">
      <c r="A6" t="inlineStr">
        <is>
          <t>CPX-001</t>
        </is>
      </c>
      <c r="B6" t="inlineStr">
        <is>
          <t>Approved capex budget</t>
        </is>
      </c>
      <c r="C6" t="inlineStr">
        <is>
          <t>A1,Group</t>
        </is>
      </c>
      <c r="D6" t="inlineStr">
        <is>
          <t>E06 G06 O04</t>
        </is>
      </c>
      <c r="E6" t="n">
        <v>1860</v>
      </c>
      <c r="F6" t="n">
        <v>1000</v>
      </c>
      <c r="G6" t="n">
        <v>860</v>
      </c>
      <c r="H6" t="inlineStr">
        <is>
          <t>no</t>
        </is>
      </c>
      <c r="I6" t="inlineStr">
        <is>
          <t>source model</t>
        </is>
      </c>
    </row>
    <row r="7">
      <c r="A7" t="inlineStr">
        <is>
          <t>CPX-002</t>
        </is>
      </c>
      <c r="B7" t="inlineStr">
        <is>
          <t>Committed capex</t>
        </is>
      </c>
      <c r="C7" t="inlineStr">
        <is>
          <t>A1,Group</t>
        </is>
      </c>
      <c r="D7" t="inlineStr">
        <is>
          <t>E06 G06 O04</t>
        </is>
      </c>
      <c r="E7" t="n">
        <v>1347.73</v>
      </c>
      <c r="F7" t="n">
        <v>722.63</v>
      </c>
      <c r="G7" t="n">
        <v>625.1</v>
      </c>
      <c r="H7" t="inlineStr">
        <is>
          <t>no</t>
        </is>
      </c>
      <c r="I7" t="inlineStr">
        <is>
          <t>source model</t>
        </is>
      </c>
    </row>
    <row r="8">
      <c r="A8" t="inlineStr">
        <is>
          <t>CPX-003</t>
        </is>
      </c>
      <c r="B8" t="inlineStr">
        <is>
          <t>Capex actual spend YTD</t>
        </is>
      </c>
      <c r="C8" t="inlineStr">
        <is>
          <t>A1,Group</t>
        </is>
      </c>
      <c r="D8" t="inlineStr">
        <is>
          <t>E06 G06 O04</t>
        </is>
      </c>
      <c r="E8" t="n">
        <v>879.71</v>
      </c>
      <c r="F8" t="n">
        <v>468.11</v>
      </c>
      <c r="G8" t="n">
        <v>411.6</v>
      </c>
      <c r="H8" t="inlineStr">
        <is>
          <t>no</t>
        </is>
      </c>
      <c r="I8" t="inlineStr">
        <is>
          <t>source model</t>
        </is>
      </c>
    </row>
    <row r="9">
      <c r="A9" t="inlineStr">
        <is>
          <t>CPX-004</t>
        </is>
      </c>
      <c r="B9" t="inlineStr">
        <is>
          <t>Capex physical progress, weighted</t>
        </is>
      </c>
      <c r="C9" t="inlineStr">
        <is>
          <t>A1,Group</t>
        </is>
      </c>
      <c r="D9" t="inlineStr">
        <is>
          <t>E06 G01 G01b G06 O01 O04 X L</t>
        </is>
      </c>
      <c r="E9" t="n">
        <v>60.85</v>
      </c>
      <c r="F9" t="n">
        <v>59</v>
      </c>
      <c r="G9" t="n">
        <v>63</v>
      </c>
      <c r="H9" t="inlineStr">
        <is>
          <t>no</t>
        </is>
      </c>
      <c r="I9" t="inlineStr">
        <is>
          <t>source model</t>
        </is>
      </c>
    </row>
    <row r="10">
      <c r="A10" t="inlineStr">
        <is>
          <t>CSH-001</t>
        </is>
      </c>
      <c r="B10" t="inlineStr">
        <is>
          <t>Cash position</t>
        </is>
      </c>
      <c r="C10" t="inlineStr">
        <is>
          <t>A1,Group</t>
        </is>
      </c>
      <c r="D10" t="inlineStr">
        <is>
          <t>E05 G04 G08 G08o O03</t>
        </is>
      </c>
      <c r="E10" t="n">
        <v>2141.82</v>
      </c>
      <c r="F10" t="n">
        <v>967.08</v>
      </c>
      <c r="G10" t="n">
        <v>1174.74</v>
      </c>
      <c r="H10" t="inlineStr">
        <is>
          <t>no</t>
        </is>
      </c>
      <c r="I10" t="inlineStr">
        <is>
          <t>source model</t>
        </is>
      </c>
    </row>
    <row r="11">
      <c r="A11" t="inlineStr">
        <is>
          <t>CSH-002</t>
        </is>
      </c>
      <c r="B11" t="inlineStr">
        <is>
          <t>Cash released YTD</t>
        </is>
      </c>
      <c r="C11" t="inlineStr">
        <is>
          <t>A1,Group</t>
        </is>
      </c>
      <c r="D11" t="inlineStr">
        <is>
          <t>E05 G04 O03</t>
        </is>
      </c>
      <c r="E11" t="n">
        <v>22.03</v>
      </c>
      <c r="F11" t="n">
        <v>4.2</v>
      </c>
      <c r="G11" t="n">
        <v>17.83</v>
      </c>
      <c r="H11" t="inlineStr">
        <is>
          <t>no</t>
        </is>
      </c>
      <c r="I11" t="inlineStr">
        <is>
          <t>source model</t>
        </is>
      </c>
    </row>
    <row r="12">
      <c r="A12" t="inlineStr">
        <is>
          <t>CSH-003</t>
        </is>
      </c>
      <c r="B12" t="inlineStr">
        <is>
          <t>Daily collections</t>
        </is>
      </c>
      <c r="C12" t="inlineStr">
        <is>
          <t>A1,Group</t>
        </is>
      </c>
      <c r="D12" t="inlineStr">
        <is>
          <t>E01 E05 E08 G04 O03 S11</t>
        </is>
      </c>
      <c r="E12" t="n">
        <v>76.77</v>
      </c>
      <c r="F12" t="n">
        <v>38.6</v>
      </c>
      <c r="G12" t="n">
        <v>38.17</v>
      </c>
      <c r="H12" t="inlineStr">
        <is>
          <t>no</t>
        </is>
      </c>
      <c r="I12" t="inlineStr">
        <is>
          <t>source model</t>
        </is>
      </c>
    </row>
    <row r="13">
      <c r="A13" t="inlineStr">
        <is>
          <t>CSH-004</t>
        </is>
      </c>
      <c r="B13" t="inlineStr">
        <is>
          <t>Cash-conversion cycle</t>
        </is>
      </c>
      <c r="C13" t="inlineStr">
        <is>
          <t>A1,Group</t>
        </is>
      </c>
      <c r="D13" t="inlineStr">
        <is>
          <t>E05 G04 O03</t>
        </is>
      </c>
      <c r="E13" t="n">
        <v>32.59</v>
      </c>
      <c r="F13" t="n">
        <v>52.3</v>
      </c>
      <c r="G13" t="n">
        <v>13.42</v>
      </c>
      <c r="H13" t="inlineStr">
        <is>
          <t>no</t>
        </is>
      </c>
      <c r="I13" t="inlineStr">
        <is>
          <t>source model</t>
        </is>
      </c>
    </row>
    <row r="14">
      <c r="A14" t="inlineStr">
        <is>
          <t>CSH-006</t>
        </is>
      </c>
      <c r="B14" t="inlineStr">
        <is>
          <t>Cash-upstream exposure</t>
        </is>
      </c>
      <c r="C14" t="inlineStr">
        <is>
          <t>A1,Group</t>
        </is>
      </c>
      <c r="D14" t="inlineStr">
        <is>
          <t>E01 E05 G04 G08o O02 O03 S11</t>
        </is>
      </c>
      <c r="E14" t="n">
        <v>27.21</v>
      </c>
      <c r="F14" t="n">
        <v>27.21</v>
      </c>
      <c r="G14" t="n">
        <v>0</v>
      </c>
      <c r="H14" t="inlineStr">
        <is>
          <t>no</t>
        </is>
      </c>
      <c r="I14" t="inlineStr">
        <is>
          <t>source model</t>
        </is>
      </c>
    </row>
    <row r="15">
      <c r="A15" t="inlineStr">
        <is>
          <t>CST-001</t>
        </is>
      </c>
      <c r="B15" t="inlineStr">
        <is>
          <t>Cost per tonne</t>
        </is>
      </c>
      <c r="C15" t="inlineStr">
        <is>
          <t>A1,Group</t>
        </is>
      </c>
      <c r="D15" t="inlineStr">
        <is>
          <t>E02 E11 G03 G05 O09</t>
        </is>
      </c>
      <c r="E15" t="n">
        <v>2933.74</v>
      </c>
      <c r="F15" t="n">
        <v>2853.05</v>
      </c>
      <c r="G15" t="n">
        <v>3016.5</v>
      </c>
      <c r="H15" t="inlineStr">
        <is>
          <t>yes</t>
        </is>
      </c>
      <c r="I15" t="inlineStr">
        <is>
          <t>source model</t>
        </is>
      </c>
    </row>
    <row r="16">
      <c r="A16" t="inlineStr">
        <is>
          <t>CST-002</t>
        </is>
      </c>
      <c r="B16" t="inlineStr">
        <is>
          <t>Variable cost</t>
        </is>
      </c>
      <c r="C16" t="inlineStr">
        <is>
          <t>A1,Group</t>
        </is>
      </c>
      <c r="D16" t="inlineStr">
        <is>
          <t>E02 E11 G03 O09</t>
        </is>
      </c>
      <c r="E16" t="n">
        <v>1827824.8</v>
      </c>
      <c r="F16" t="n">
        <v>900069.4</v>
      </c>
      <c r="G16" t="n">
        <v>927755.4</v>
      </c>
      <c r="H16" t="inlineStr">
        <is>
          <t>yes</t>
        </is>
      </c>
      <c r="I16" t="inlineStr">
        <is>
          <t>source model</t>
        </is>
      </c>
    </row>
    <row r="17">
      <c r="A17" t="inlineStr">
        <is>
          <t>CST-003</t>
        </is>
      </c>
      <c r="B17" t="inlineStr">
        <is>
          <t>Fuel cost</t>
        </is>
      </c>
      <c r="C17" t="inlineStr">
        <is>
          <t>A1,Group</t>
        </is>
      </c>
      <c r="D17" t="inlineStr">
        <is>
          <t>E02 O09</t>
        </is>
      </c>
      <c r="E17" t="n">
        <v>459369.3</v>
      </c>
      <c r="F17" t="n">
        <v>218672.4</v>
      </c>
      <c r="G17" t="n">
        <v>240696.9</v>
      </c>
      <c r="H17" t="inlineStr">
        <is>
          <t>yes</t>
        </is>
      </c>
      <c r="I17" t="inlineStr">
        <is>
          <t>source model</t>
        </is>
      </c>
    </row>
    <row r="18">
      <c r="A18" t="inlineStr">
        <is>
          <t>CST-004</t>
        </is>
      </c>
      <c r="B18" t="inlineStr">
        <is>
          <t>Power cost per tonne</t>
        </is>
      </c>
      <c r="C18" t="inlineStr">
        <is>
          <t>Group</t>
        </is>
      </c>
      <c r="D18" t="inlineStr">
        <is>
          <t>O09</t>
        </is>
      </c>
      <c r="E18" t="n">
        <v>174.29</v>
      </c>
      <c r="F18" t="n">
        <v>176.41</v>
      </c>
      <c r="G18" t="n">
        <v>172.12</v>
      </c>
      <c r="H18" t="inlineStr">
        <is>
          <t>yes</t>
        </is>
      </c>
      <c r="I18" t="inlineStr">
        <is>
          <t>source model</t>
        </is>
      </c>
    </row>
    <row r="19">
      <c r="A19" t="inlineStr">
        <is>
          <t>CST-005</t>
        </is>
      </c>
      <c r="B19" t="inlineStr">
        <is>
          <t>Fixed cost YTD</t>
        </is>
      </c>
      <c r="C19" t="inlineStr">
        <is>
          <t>A1</t>
        </is>
      </c>
      <c r="D19" t="inlineStr">
        <is>
          <t>E11</t>
        </is>
      </c>
      <c r="E19" t="n">
        <v>44.58</v>
      </c>
      <c r="F19" t="n">
        <v>21.44</v>
      </c>
      <c r="G19" t="n">
        <v>23.14</v>
      </c>
      <c r="H19" t="inlineStr">
        <is>
          <t>yes</t>
        </is>
      </c>
      <c r="I19" t="inlineStr">
        <is>
          <t>added (synthetic inputs)</t>
        </is>
      </c>
    </row>
    <row r="20">
      <c r="A20" t="inlineStr">
        <is>
          <t>CTL-002</t>
        </is>
      </c>
      <c r="B20" t="inlineStr">
        <is>
          <t>Control failures YTD</t>
        </is>
      </c>
      <c r="C20" t="inlineStr">
        <is>
          <t>A1,Group</t>
        </is>
      </c>
      <c r="D20" t="inlineStr">
        <is>
          <t>E07 G07 O05</t>
        </is>
      </c>
      <c r="E20" t="n">
        <v>4</v>
      </c>
      <c r="F20" t="n">
        <v>2</v>
      </c>
      <c r="G20" t="n">
        <v>2</v>
      </c>
      <c r="H20" t="inlineStr">
        <is>
          <t>no</t>
        </is>
      </c>
      <c r="I20" t="inlineStr">
        <is>
          <t>source model</t>
        </is>
      </c>
    </row>
    <row r="21">
      <c r="A21" t="inlineStr">
        <is>
          <t>CTL-003</t>
        </is>
      </c>
      <c r="B21" t="inlineStr">
        <is>
          <t>Assurance reviews completed</t>
        </is>
      </c>
      <c r="C21" t="inlineStr">
        <is>
          <t>Group</t>
        </is>
      </c>
      <c r="D21" t="inlineStr">
        <is>
          <t>G07</t>
        </is>
      </c>
      <c r="E21" t="inlineStr">
        <is>
          <t>6 of 8</t>
        </is>
      </c>
      <c r="F21" t="inlineStr">
        <is>
          <t>2 of 4</t>
        </is>
      </c>
      <c r="G21" t="inlineStr">
        <is>
          <t>4 of 4</t>
        </is>
      </c>
      <c r="H21" t="inlineStr">
        <is>
          <t>no</t>
        </is>
      </c>
      <c r="I21" t="inlineStr">
        <is>
          <t>source model</t>
        </is>
      </c>
    </row>
    <row r="22">
      <c r="A22" t="inlineStr">
        <is>
          <t>CTL-004</t>
        </is>
      </c>
      <c r="B22" t="inlineStr">
        <is>
          <t>High-severity control failures YTD</t>
        </is>
      </c>
      <c r="C22" t="inlineStr">
        <is>
          <t>Group</t>
        </is>
      </c>
      <c r="D22" t="inlineStr">
        <is>
          <t>G07 O05</t>
        </is>
      </c>
      <c r="E22" t="n">
        <v>0</v>
      </c>
      <c r="F22" t="n">
        <v>0</v>
      </c>
      <c r="G22" t="n">
        <v>0</v>
      </c>
      <c r="H22" t="inlineStr">
        <is>
          <t>no</t>
        </is>
      </c>
      <c r="I22" t="inlineStr">
        <is>
          <t>source model</t>
        </is>
      </c>
    </row>
    <row r="23">
      <c r="A23" t="inlineStr">
        <is>
          <t>CTL-005</t>
        </is>
      </c>
      <c r="B23" t="inlineStr">
        <is>
          <t>Policy exceptions YTD</t>
        </is>
      </c>
      <c r="C23" t="inlineStr">
        <is>
          <t>A1,Group</t>
        </is>
      </c>
      <c r="D23" t="inlineStr">
        <is>
          <t>E07 G07 O05</t>
        </is>
      </c>
      <c r="E23" t="n">
        <v>4</v>
      </c>
      <c r="F23" t="n">
        <v>2</v>
      </c>
      <c r="G23" t="n">
        <v>2</v>
      </c>
      <c r="H23" t="inlineStr">
        <is>
          <t>no</t>
        </is>
      </c>
      <c r="I23" t="inlineStr">
        <is>
          <t>source model</t>
        </is>
      </c>
    </row>
    <row r="24">
      <c r="A24" t="inlineStr">
        <is>
          <t>CTL-006</t>
        </is>
      </c>
      <c r="B24" t="inlineStr">
        <is>
          <t>Unauthorised-vendor usage YTD</t>
        </is>
      </c>
      <c r="C24" t="inlineStr">
        <is>
          <t>A1,Group</t>
        </is>
      </c>
      <c r="D24" t="inlineStr">
        <is>
          <t>E04 E07 G07 O05</t>
        </is>
      </c>
      <c r="E24" t="n">
        <v>0</v>
      </c>
      <c r="F24" t="n">
        <v>0</v>
      </c>
      <c r="G24" t="n">
        <v>0</v>
      </c>
      <c r="H24" t="inlineStr">
        <is>
          <t>no</t>
        </is>
      </c>
      <c r="I24" t="inlineStr">
        <is>
          <t>source model</t>
        </is>
      </c>
    </row>
    <row r="25">
      <c r="A25" t="inlineStr">
        <is>
          <t>CTL-007</t>
        </is>
      </c>
      <c r="B25" t="inlineStr">
        <is>
          <t>Segregation-of-duties exceptions YTD</t>
        </is>
      </c>
      <c r="C25" t="inlineStr">
        <is>
          <t>A1,Group</t>
        </is>
      </c>
      <c r="D25" t="inlineStr">
        <is>
          <t>E07 G07 O05</t>
        </is>
      </c>
      <c r="E25" t="n">
        <v>1</v>
      </c>
      <c r="F25" t="n">
        <v>0</v>
      </c>
      <c r="G25" t="n">
        <v>1</v>
      </c>
      <c r="H25" t="inlineStr">
        <is>
          <t>no</t>
        </is>
      </c>
      <c r="I25" t="inlineStr">
        <is>
          <t>source model</t>
        </is>
      </c>
    </row>
    <row r="26">
      <c r="A26" t="inlineStr">
        <is>
          <t>CTL-008</t>
        </is>
      </c>
      <c r="B26" t="inlineStr">
        <is>
          <t>Unauthorised-access events YTD</t>
        </is>
      </c>
      <c r="C26" t="inlineStr">
        <is>
          <t>A1,Group</t>
        </is>
      </c>
      <c r="D26" t="inlineStr">
        <is>
          <t>E07 G07 O05</t>
        </is>
      </c>
      <c r="E26" t="n">
        <v>0</v>
      </c>
      <c r="F26" t="n">
        <v>0</v>
      </c>
      <c r="G26" t="n">
        <v>0</v>
      </c>
      <c r="H26" t="inlineStr">
        <is>
          <t>no</t>
        </is>
      </c>
      <c r="I26" t="inlineStr">
        <is>
          <t>source model</t>
        </is>
      </c>
    </row>
    <row r="27">
      <c r="A27" t="inlineStr">
        <is>
          <t>CTL-009</t>
        </is>
      </c>
      <c r="B27" t="inlineStr">
        <is>
          <t>Data-sharing exceptions YTD</t>
        </is>
      </c>
      <c r="C27" t="inlineStr">
        <is>
          <t>A1,Group</t>
        </is>
      </c>
      <c r="D27" t="inlineStr">
        <is>
          <t>E07 G07 O05</t>
        </is>
      </c>
      <c r="E27" t="n">
        <v>0</v>
      </c>
      <c r="F27" t="n">
        <v>0</v>
      </c>
      <c r="G27" t="n">
        <v>0</v>
      </c>
      <c r="H27" t="inlineStr">
        <is>
          <t>no</t>
        </is>
      </c>
      <c r="I27" t="inlineStr">
        <is>
          <t>source model</t>
        </is>
      </c>
    </row>
    <row r="28">
      <c r="A28" t="inlineStr">
        <is>
          <t>CTL-010</t>
        </is>
      </c>
      <c r="B28" t="inlineStr">
        <is>
          <t>Manual overrides YTD</t>
        </is>
      </c>
      <c r="C28" t="inlineStr">
        <is>
          <t>A1,Group</t>
        </is>
      </c>
      <c r="D28" t="inlineStr">
        <is>
          <t>E07 G07 O05</t>
        </is>
      </c>
      <c r="E28" t="n">
        <v>14</v>
      </c>
      <c r="F28" t="n">
        <v>7</v>
      </c>
      <c r="G28" t="n">
        <v>7</v>
      </c>
      <c r="H28" t="inlineStr">
        <is>
          <t>no</t>
        </is>
      </c>
      <c r="I28" t="inlineStr">
        <is>
          <t>source model</t>
        </is>
      </c>
    </row>
    <row r="29">
      <c r="A29" t="inlineStr">
        <is>
          <t>EFF-002</t>
        </is>
      </c>
      <c r="B29" t="inlineStr">
        <is>
          <t>Open critical alerts</t>
        </is>
      </c>
      <c r="C29" t="inlineStr">
        <is>
          <t>A1,Group</t>
        </is>
      </c>
      <c r="D29" t="inlineStr">
        <is>
          <t>E01 E09 G01 G01b G02 G07 G09 O01 X L</t>
        </is>
      </c>
      <c r="E29" t="n">
        <v>1</v>
      </c>
      <c r="F29" t="n">
        <v>1</v>
      </c>
      <c r="G29" t="n">
        <v>0</v>
      </c>
      <c r="H29" t="inlineStr">
        <is>
          <t>no</t>
        </is>
      </c>
      <c r="I29" t="inlineStr">
        <is>
          <t>source model</t>
        </is>
      </c>
    </row>
    <row r="30">
      <c r="A30" t="inlineStr">
        <is>
          <t>EFF-006</t>
        </is>
      </c>
      <c r="B30" t="inlineStr">
        <is>
          <t>Alerts without accepted owners</t>
        </is>
      </c>
      <c r="C30" t="inlineStr">
        <is>
          <t>Group</t>
        </is>
      </c>
      <c r="D30" t="inlineStr">
        <is>
          <t>G09</t>
        </is>
      </c>
      <c r="E30" t="n">
        <v>1</v>
      </c>
      <c r="F30" t="n">
        <v>0</v>
      </c>
      <c r="G30" t="n">
        <v>1</v>
      </c>
      <c r="H30" t="inlineStr">
        <is>
          <t>no</t>
        </is>
      </c>
      <c r="I30" t="inlineStr">
        <is>
          <t>source model</t>
        </is>
      </c>
    </row>
    <row r="31">
      <c r="A31" t="inlineStr">
        <is>
          <t>EFF-007</t>
        </is>
      </c>
      <c r="B31" t="inlineStr">
        <is>
          <t>Overdue actions</t>
        </is>
      </c>
      <c r="C31" t="inlineStr">
        <is>
          <t>A1,Group</t>
        </is>
      </c>
      <c r="D31" t="inlineStr">
        <is>
          <t>E01 E09 G09</t>
        </is>
      </c>
      <c r="E31" t="n">
        <v>0</v>
      </c>
      <c r="F31" t="n">
        <v>0</v>
      </c>
      <c r="G31" t="n">
        <v>0</v>
      </c>
      <c r="H31" t="inlineStr">
        <is>
          <t>no</t>
        </is>
      </c>
      <c r="I31" t="inlineStr">
        <is>
          <t>source model</t>
        </is>
      </c>
    </row>
    <row r="32">
      <c r="A32" t="inlineStr">
        <is>
          <t>EFF-008</t>
        </is>
      </c>
      <c r="B32" t="inlineStr">
        <is>
          <t>Average resolution time</t>
        </is>
      </c>
      <c r="C32" t="inlineStr">
        <is>
          <t>A1,Group</t>
        </is>
      </c>
      <c r="D32" t="inlineStr">
        <is>
          <t>E09 G09 O06</t>
        </is>
      </c>
      <c r="E32" t="n">
        <v>2.45</v>
      </c>
      <c r="F32" t="n">
        <v>2.78</v>
      </c>
      <c r="G32" t="n">
        <v>2.06</v>
      </c>
      <c r="H32" t="inlineStr">
        <is>
          <t>no</t>
        </is>
      </c>
      <c r="I32" t="inlineStr">
        <is>
          <t>source model</t>
        </is>
      </c>
    </row>
    <row r="33">
      <c r="A33" t="inlineStr">
        <is>
          <t>EFF-009</t>
        </is>
      </c>
      <c r="B33" t="inlineStr">
        <is>
          <t>Closed escalations, last 30 days</t>
        </is>
      </c>
      <c r="C33" t="inlineStr">
        <is>
          <t>A1,Group</t>
        </is>
      </c>
      <c r="D33" t="inlineStr">
        <is>
          <t>E09 G09 O06</t>
        </is>
      </c>
      <c r="E33" t="n">
        <v>11</v>
      </c>
      <c r="F33" t="n">
        <v>3</v>
      </c>
      <c r="G33" t="n">
        <v>8</v>
      </c>
      <c r="H33" t="inlineStr">
        <is>
          <t>no</t>
        </is>
      </c>
      <c r="I33" t="inlineStr">
        <is>
          <t>source model</t>
        </is>
      </c>
    </row>
    <row r="34">
      <c r="A34" t="inlineStr">
        <is>
          <t>EFF-010</t>
        </is>
      </c>
      <c r="B34" t="inlineStr">
        <is>
          <t>Repeat issues, last 90 days</t>
        </is>
      </c>
      <c r="C34" t="inlineStr">
        <is>
          <t>A1,Group</t>
        </is>
      </c>
      <c r="D34" t="inlineStr">
        <is>
          <t>E09 G09 O06</t>
        </is>
      </c>
      <c r="E34" t="n">
        <v>4</v>
      </c>
      <c r="F34" t="n">
        <v>3</v>
      </c>
      <c r="G34" t="n">
        <v>1</v>
      </c>
      <c r="H34" t="inlineStr">
        <is>
          <t>no</t>
        </is>
      </c>
      <c r="I34" t="inlineStr">
        <is>
          <t>source model</t>
        </is>
      </c>
    </row>
    <row r="35">
      <c r="A35" t="inlineStr">
        <is>
          <t>EFF-011</t>
        </is>
      </c>
      <c r="B35" t="inlineStr">
        <is>
          <t>Root causes eliminated YTD</t>
        </is>
      </c>
      <c r="C35" t="inlineStr">
        <is>
          <t>A1,Group</t>
        </is>
      </c>
      <c r="D35" t="inlineStr">
        <is>
          <t>E09 G09 O06</t>
        </is>
      </c>
      <c r="E35" t="inlineStr">
        <is>
          <t>8 of 9</t>
        </is>
      </c>
      <c r="F35" t="inlineStr">
        <is>
          <t>4 of 4</t>
        </is>
      </c>
      <c r="G35" t="inlineStr">
        <is>
          <t>4 of 5</t>
        </is>
      </c>
      <c r="H35" t="inlineStr">
        <is>
          <t>no</t>
        </is>
      </c>
      <c r="I35" t="inlineStr">
        <is>
          <t>source model</t>
        </is>
      </c>
    </row>
    <row r="36">
      <c r="A36" t="inlineStr">
        <is>
          <t>EHS-001</t>
        </is>
      </c>
      <c r="B36" t="inlineStr">
        <is>
          <t>TRIR</t>
        </is>
      </c>
      <c r="C36" t="inlineStr">
        <is>
          <t>A1,Group</t>
        </is>
      </c>
      <c r="D36" t="inlineStr">
        <is>
          <t>E07 G07 G08 O05</t>
        </is>
      </c>
      <c r="E36" t="n">
        <v>0.47</v>
      </c>
      <c r="F36" t="n">
        <v>0.91</v>
      </c>
      <c r="G36" t="n">
        <v>0</v>
      </c>
      <c r="H36" t="inlineStr">
        <is>
          <t>yes</t>
        </is>
      </c>
      <c r="I36" t="inlineStr">
        <is>
          <t>source model</t>
        </is>
      </c>
    </row>
    <row r="37">
      <c r="A37" t="inlineStr">
        <is>
          <t>EHS-002</t>
        </is>
      </c>
      <c r="B37" t="inlineStr">
        <is>
          <t>Severity incidents</t>
        </is>
      </c>
      <c r="C37" t="inlineStr">
        <is>
          <t>A1,Group</t>
        </is>
      </c>
      <c r="D37" t="inlineStr">
        <is>
          <t>E07 G01 G01b G07 O05</t>
        </is>
      </c>
      <c r="E37" t="n">
        <v>3</v>
      </c>
      <c r="F37" t="n">
        <v>1</v>
      </c>
      <c r="G37" t="n">
        <v>2</v>
      </c>
      <c r="H37" t="inlineStr">
        <is>
          <t>yes</t>
        </is>
      </c>
      <c r="I37" t="inlineStr">
        <is>
          <t>source model</t>
        </is>
      </c>
    </row>
    <row r="38">
      <c r="A38" t="inlineStr">
        <is>
          <t>EHS-003</t>
        </is>
      </c>
      <c r="B38" t="inlineStr">
        <is>
          <t>Near misses</t>
        </is>
      </c>
      <c r="C38" t="inlineStr">
        <is>
          <t>A1,Group</t>
        </is>
      </c>
      <c r="D38" t="inlineStr">
        <is>
          <t>E07 G07 O05</t>
        </is>
      </c>
      <c r="E38" t="n">
        <v>41</v>
      </c>
      <c r="F38" t="n">
        <v>20</v>
      </c>
      <c r="G38" t="n">
        <v>21</v>
      </c>
      <c r="H38" t="inlineStr">
        <is>
          <t>yes</t>
        </is>
      </c>
      <c r="I38" t="inlineStr">
        <is>
          <t>source model</t>
        </is>
      </c>
    </row>
    <row r="39">
      <c r="A39" t="inlineStr">
        <is>
          <t>EHS-004</t>
        </is>
      </c>
      <c r="B39" t="inlineStr">
        <is>
          <t>Critical safety incidents</t>
        </is>
      </c>
      <c r="C39" t="inlineStr">
        <is>
          <t>A1,Group</t>
        </is>
      </c>
      <c r="D39" t="inlineStr">
        <is>
          <t>E07 G07 O05</t>
        </is>
      </c>
      <c r="E39" t="n">
        <v>0</v>
      </c>
      <c r="F39" t="n">
        <v>0</v>
      </c>
      <c r="G39" t="n">
        <v>0</v>
      </c>
      <c r="H39" t="inlineStr">
        <is>
          <t>yes</t>
        </is>
      </c>
      <c r="I39" t="inlineStr">
        <is>
          <t>source model</t>
        </is>
      </c>
    </row>
    <row r="40">
      <c r="A40" t="inlineStr">
        <is>
          <t>EHS-005</t>
        </is>
      </c>
      <c r="B40" t="inlineStr">
        <is>
          <t>Environmental excursions</t>
        </is>
      </c>
      <c r="C40" t="inlineStr">
        <is>
          <t>A1,Group</t>
        </is>
      </c>
      <c r="D40" t="inlineStr">
        <is>
          <t>E07 G07 O05</t>
        </is>
      </c>
      <c r="E40" t="n">
        <v>2</v>
      </c>
      <c r="F40" t="n">
        <v>1</v>
      </c>
      <c r="G40" t="n">
        <v>1</v>
      </c>
      <c r="H40" t="inlineStr">
        <is>
          <t>yes</t>
        </is>
      </c>
      <c r="I40" t="inlineStr">
        <is>
          <t>source model</t>
        </is>
      </c>
    </row>
    <row r="41">
      <c r="A41" t="inlineStr">
        <is>
          <t>EHS-006</t>
        </is>
      </c>
      <c r="B41" t="inlineStr">
        <is>
          <t>Open EHS corrective actions</t>
        </is>
      </c>
      <c r="C41" t="inlineStr">
        <is>
          <t>A1,Group</t>
        </is>
      </c>
      <c r="D41" t="inlineStr">
        <is>
          <t>E07 G07</t>
        </is>
      </c>
      <c r="E41" t="n">
        <v>45</v>
      </c>
      <c r="F41" t="n">
        <v>28</v>
      </c>
      <c r="G41" t="n">
        <v>17</v>
      </c>
      <c r="H41" t="inlineStr">
        <is>
          <t>yes</t>
        </is>
      </c>
      <c r="I41" t="inlineStr">
        <is>
          <t>source model</t>
        </is>
      </c>
    </row>
    <row r="42">
      <c r="A42" t="inlineStr">
        <is>
          <t>EHS-007</t>
        </is>
      </c>
      <c r="B42" t="inlineStr">
        <is>
          <t>Overdue EHS actions</t>
        </is>
      </c>
      <c r="C42" t="inlineStr">
        <is>
          <t>A1,Group</t>
        </is>
      </c>
      <c r="D42" t="inlineStr">
        <is>
          <t>E07 G07 O05</t>
        </is>
      </c>
      <c r="E42" t="n">
        <v>9</v>
      </c>
      <c r="F42" t="n">
        <v>7</v>
      </c>
      <c r="G42" t="n">
        <v>2</v>
      </c>
      <c r="H42" t="inlineStr">
        <is>
          <t>yes</t>
        </is>
      </c>
      <c r="I42" t="inlineStr">
        <is>
          <t>source model</t>
        </is>
      </c>
    </row>
    <row r="43">
      <c r="A43" t="inlineStr">
        <is>
          <t>EHS-008</t>
        </is>
      </c>
      <c r="B43" t="inlineStr">
        <is>
          <t>EHS escalation clocks running</t>
        </is>
      </c>
      <c r="C43" t="inlineStr">
        <is>
          <t>A1,Group</t>
        </is>
      </c>
      <c r="D43" t="inlineStr">
        <is>
          <t>E07 G07 O05</t>
        </is>
      </c>
      <c r="E43" t="n">
        <v>0</v>
      </c>
      <c r="F43" t="n">
        <v>0</v>
      </c>
      <c r="G43" t="n">
        <v>0</v>
      </c>
      <c r="H43" t="inlineStr">
        <is>
          <t>yes</t>
        </is>
      </c>
      <c r="I43" t="inlineStr">
        <is>
          <t>source model</t>
        </is>
      </c>
    </row>
    <row r="44">
      <c r="A44" t="inlineStr">
        <is>
          <t>EHS-009</t>
        </is>
      </c>
      <c r="B44" t="inlineStr">
        <is>
          <t>EHS investigation completion</t>
        </is>
      </c>
      <c r="C44" t="inlineStr">
        <is>
          <t>A1,Group</t>
        </is>
      </c>
      <c r="D44" t="inlineStr">
        <is>
          <t>E07 G07</t>
        </is>
      </c>
      <c r="E44" t="n">
        <v>75</v>
      </c>
      <c r="F44" t="n">
        <v>75</v>
      </c>
      <c r="G44" t="n">
        <v>100</v>
      </c>
      <c r="H44" t="inlineStr">
        <is>
          <t>yes</t>
        </is>
      </c>
      <c r="I44" t="inlineStr">
        <is>
          <t>source model</t>
        </is>
      </c>
    </row>
    <row r="45">
      <c r="A45" t="inlineStr">
        <is>
          <t>EHS-010</t>
        </is>
      </c>
      <c r="B45" t="inlineStr">
        <is>
          <t>EHS investigation completion rate YTD</t>
        </is>
      </c>
      <c r="C45" t="inlineStr">
        <is>
          <t>Group</t>
        </is>
      </c>
      <c r="D45" t="inlineStr">
        <is>
          <t>G07</t>
        </is>
      </c>
      <c r="E45" t="n">
        <v>85.42</v>
      </c>
      <c r="F45" t="n">
        <v>81.81999999999999</v>
      </c>
      <c r="G45" t="n">
        <v>88.45999999999999</v>
      </c>
      <c r="H45" t="inlineStr">
        <is>
          <t>yes</t>
        </is>
      </c>
      <c r="I45" t="inlineStr">
        <is>
          <t>source model</t>
        </is>
      </c>
    </row>
    <row r="46">
      <c r="A46" t="inlineStr">
        <is>
          <t>FIN-001</t>
        </is>
      </c>
      <c r="B46" t="inlineStr">
        <is>
          <t>EBITDA YTD</t>
        </is>
      </c>
      <c r="C46" t="inlineStr">
        <is>
          <t>A1,Group</t>
        </is>
      </c>
      <c r="D46" t="inlineStr">
        <is>
          <t>E01 E11 G01 G01b G02 G03 G08 G08o O01 X L</t>
        </is>
      </c>
      <c r="E46" t="n">
        <v>1760.09</v>
      </c>
      <c r="F46" t="n">
        <v>890.55</v>
      </c>
      <c r="G46" t="n">
        <v>869.54</v>
      </c>
      <c r="H46" t="inlineStr">
        <is>
          <t>no</t>
        </is>
      </c>
      <c r="I46" t="inlineStr">
        <is>
          <t>source model</t>
        </is>
      </c>
    </row>
    <row r="47">
      <c r="A47" t="inlineStr">
        <is>
          <t>FIN-002</t>
        </is>
      </c>
      <c r="B47" t="inlineStr">
        <is>
          <t>EBIT YTD</t>
        </is>
      </c>
      <c r="C47" t="inlineStr">
        <is>
          <t>A1,Group</t>
        </is>
      </c>
      <c r="D47" t="inlineStr">
        <is>
          <t>E01 E11 G01 G01b G03 O01 X L</t>
        </is>
      </c>
      <c r="E47" t="n">
        <v>1228.14</v>
      </c>
      <c r="F47" t="n">
        <v>610.05</v>
      </c>
      <c r="G47" t="n">
        <v>618.1</v>
      </c>
      <c r="H47" t="inlineStr">
        <is>
          <t>no</t>
        </is>
      </c>
      <c r="I47" t="inlineStr">
        <is>
          <t>source model</t>
        </is>
      </c>
    </row>
    <row r="48">
      <c r="A48" t="inlineStr">
        <is>
          <t>FIN-003</t>
        </is>
      </c>
      <c r="B48" t="inlineStr">
        <is>
          <t>Revenue YTD</t>
        </is>
      </c>
      <c r="C48" t="inlineStr">
        <is>
          <t>A1,Group</t>
        </is>
      </c>
      <c r="D48" t="inlineStr">
        <is>
          <t>E01 E11 G01 G01b G02 G03 G08 O01 X L</t>
        </is>
      </c>
      <c r="E48" t="n">
        <v>13811.3</v>
      </c>
      <c r="F48" t="n">
        <v>6972.32</v>
      </c>
      <c r="G48" t="n">
        <v>6838.98</v>
      </c>
      <c r="H48" t="inlineStr">
        <is>
          <t>yes</t>
        </is>
      </c>
      <c r="I48" t="inlineStr">
        <is>
          <t>source model</t>
        </is>
      </c>
    </row>
    <row r="49">
      <c r="A49" t="inlineStr">
        <is>
          <t>FIN-004</t>
        </is>
      </c>
      <c r="B49" t="inlineStr">
        <is>
          <t>Free cash flow YTD</t>
        </is>
      </c>
      <c r="C49" t="inlineStr">
        <is>
          <t>A1,Group</t>
        </is>
      </c>
      <c r="D49" t="inlineStr">
        <is>
          <t>E01 E11 G01 G01b G03 O01 O03 X L</t>
        </is>
      </c>
      <c r="E49" t="n">
        <v>606.1799999999999</v>
      </c>
      <c r="F49" t="n">
        <v>337.63</v>
      </c>
      <c r="G49" t="n">
        <v>268.55</v>
      </c>
      <c r="H49" t="inlineStr">
        <is>
          <t>no</t>
        </is>
      </c>
      <c r="I49" t="inlineStr">
        <is>
          <t>source model</t>
        </is>
      </c>
    </row>
    <row r="50">
      <c r="A50" t="inlineStr">
        <is>
          <t>FIN-005</t>
        </is>
      </c>
      <c r="B50" t="inlineStr">
        <is>
          <t>ROCE, annualised</t>
        </is>
      </c>
      <c r="C50" t="inlineStr">
        <is>
          <t>A1,Group</t>
        </is>
      </c>
      <c r="D50" t="inlineStr">
        <is>
          <t>E01 E11 G01 G01b G03 O01 X L</t>
        </is>
      </c>
      <c r="E50" t="n">
        <v>11.58</v>
      </c>
      <c r="F50" t="n">
        <v>11.08</v>
      </c>
      <c r="G50" t="n">
        <v>12.12</v>
      </c>
      <c r="H50" t="inlineStr">
        <is>
          <t>no</t>
        </is>
      </c>
      <c r="I50" t="inlineStr">
        <is>
          <t>source model</t>
        </is>
      </c>
    </row>
    <row r="51">
      <c r="A51" t="inlineStr">
        <is>
          <t>FIN-006</t>
        </is>
      </c>
      <c r="B51" t="inlineStr">
        <is>
          <t>Net debt</t>
        </is>
      </c>
      <c r="C51" t="inlineStr">
        <is>
          <t>Group</t>
        </is>
      </c>
      <c r="D51" t="inlineStr">
        <is>
          <t>G01 G01b G03 O01 O03 X L</t>
        </is>
      </c>
      <c r="E51" t="n">
        <v>6650</v>
      </c>
      <c r="F51" t="n">
        <v>3610</v>
      </c>
      <c r="G51" t="n">
        <v>3040</v>
      </c>
      <c r="H51" t="inlineStr">
        <is>
          <t>no</t>
        </is>
      </c>
      <c r="I51" t="inlineStr">
        <is>
          <t>source model</t>
        </is>
      </c>
    </row>
    <row r="52">
      <c r="A52" t="inlineStr">
        <is>
          <t>FIN-007</t>
        </is>
      </c>
      <c r="B52" t="inlineStr">
        <is>
          <t>Shareholder-value indicator (economic profit YTD)</t>
        </is>
      </c>
      <c r="C52" t="inlineStr">
        <is>
          <t>Group</t>
        </is>
      </c>
      <c r="D52" t="inlineStr">
        <is>
          <t>G03 G08 O01 X L</t>
        </is>
      </c>
      <c r="E52" t="n">
        <v>-86.65000000000001</v>
      </c>
      <c r="F52" t="n">
        <v>-65.72</v>
      </c>
      <c r="G52" t="n">
        <v>-20.93</v>
      </c>
      <c r="H52" t="inlineStr">
        <is>
          <t>no</t>
        </is>
      </c>
      <c r="I52" t="inlineStr">
        <is>
          <t>source model</t>
        </is>
      </c>
    </row>
    <row r="53">
      <c r="A53" t="inlineStr">
        <is>
          <t>FIN-008</t>
        </is>
      </c>
      <c r="B53" t="inlineStr">
        <is>
          <t>FCF conversion (FCF ÷ EBITDA)</t>
        </is>
      </c>
      <c r="C53" t="inlineStr">
        <is>
          <t>Group</t>
        </is>
      </c>
      <c r="D53" t="inlineStr">
        <is>
          <t>G03</t>
        </is>
      </c>
      <c r="E53" t="n">
        <v>34.44</v>
      </c>
      <c r="F53" t="n">
        <v>37.91</v>
      </c>
      <c r="G53" t="n">
        <v>30.88</v>
      </c>
      <c r="H53" t="inlineStr">
        <is>
          <t>no</t>
        </is>
      </c>
      <c r="I53" t="inlineStr">
        <is>
          <t>source model</t>
        </is>
      </c>
    </row>
    <row r="54">
      <c r="A54" t="inlineStr">
        <is>
          <t>GOV-001</t>
        </is>
      </c>
      <c r="B54" t="inlineStr">
        <is>
          <t>Ageing certification approvals</t>
        </is>
      </c>
      <c r="C54" t="inlineStr">
        <is>
          <t>A1,Group</t>
        </is>
      </c>
      <c r="D54" t="inlineStr">
        <is>
          <t>E08 G08 G08o</t>
        </is>
      </c>
      <c r="E54" t="n">
        <v>2</v>
      </c>
      <c r="F54" t="n">
        <v>1</v>
      </c>
      <c r="G54" t="n">
        <v>1</v>
      </c>
      <c r="H54" t="inlineStr">
        <is>
          <t>no</t>
        </is>
      </c>
      <c r="I54" t="inlineStr">
        <is>
          <t>source model</t>
        </is>
      </c>
    </row>
    <row r="55">
      <c r="A55" t="inlineStr">
        <is>
          <t>GOV-002</t>
        </is>
      </c>
      <c r="B55" t="inlineStr">
        <is>
          <t>KPI overrides</t>
        </is>
      </c>
      <c r="C55" t="inlineStr">
        <is>
          <t>A1,Group</t>
        </is>
      </c>
      <c r="D55" t="inlineStr">
        <is>
          <t>E08 G08 G08o</t>
        </is>
      </c>
      <c r="E55" t="n">
        <v>0</v>
      </c>
      <c r="F55" t="n">
        <v>0</v>
      </c>
      <c r="G55" t="n">
        <v>0</v>
      </c>
      <c r="H55" t="inlineStr">
        <is>
          <t>no</t>
        </is>
      </c>
      <c r="I55" t="inlineStr">
        <is>
          <t>source model</t>
        </is>
      </c>
    </row>
    <row r="56">
      <c r="A56" t="inlineStr">
        <is>
          <t>GOV-003</t>
        </is>
      </c>
      <c r="B56" t="inlineStr">
        <is>
          <t>Recurring data-quality issues</t>
        </is>
      </c>
      <c r="C56" t="inlineStr">
        <is>
          <t>A1,Group</t>
        </is>
      </c>
      <c r="D56" t="inlineStr">
        <is>
          <t>E08 G08 G08o</t>
        </is>
      </c>
      <c r="E56" t="n">
        <v>1</v>
      </c>
      <c r="F56" t="n">
        <v>1</v>
      </c>
      <c r="G56" t="n">
        <v>0</v>
      </c>
      <c r="H56" t="inlineStr">
        <is>
          <t>no</t>
        </is>
      </c>
      <c r="I56" t="inlineStr">
        <is>
          <t>source model</t>
        </is>
      </c>
    </row>
    <row r="57">
      <c r="A57" t="inlineStr">
        <is>
          <t>GOV-004</t>
        </is>
      </c>
      <c r="B57" t="inlineStr">
        <is>
          <t>Open audit findings</t>
        </is>
      </c>
      <c r="C57" t="inlineStr">
        <is>
          <t>A1,Group</t>
        </is>
      </c>
      <c r="D57" t="inlineStr">
        <is>
          <t>E07 E08 G07 G08 G08o O05</t>
        </is>
      </c>
      <c r="E57" t="n">
        <v>7</v>
      </c>
      <c r="F57" t="n">
        <v>2</v>
      </c>
      <c r="G57" t="n">
        <v>5</v>
      </c>
      <c r="H57" t="inlineStr">
        <is>
          <t>no</t>
        </is>
      </c>
      <c r="I57" t="inlineStr">
        <is>
          <t>source model</t>
        </is>
      </c>
    </row>
    <row r="58">
      <c r="A58" t="inlineStr">
        <is>
          <t>GOV-005</t>
        </is>
      </c>
      <c r="B58" t="inlineStr">
        <is>
          <t>Overdue assurance actions</t>
        </is>
      </c>
      <c r="C58" t="inlineStr">
        <is>
          <t>A1,Group</t>
        </is>
      </c>
      <c r="D58" t="inlineStr">
        <is>
          <t>E08 G08 G08o</t>
        </is>
      </c>
      <c r="E58" t="n">
        <v>0</v>
      </c>
      <c r="F58" t="n">
        <v>0</v>
      </c>
      <c r="G58" t="n">
        <v>0</v>
      </c>
      <c r="H58" t="inlineStr">
        <is>
          <t>no</t>
        </is>
      </c>
      <c r="I58" t="inlineStr">
        <is>
          <t>source model</t>
        </is>
      </c>
    </row>
    <row r="59">
      <c r="A59" t="inlineStr">
        <is>
          <t>GOV-006</t>
        </is>
      </c>
      <c r="B59" t="inlineStr">
        <is>
          <t>Repeat findings</t>
        </is>
      </c>
      <c r="C59" t="inlineStr">
        <is>
          <t>A1,Group</t>
        </is>
      </c>
      <c r="D59" t="inlineStr">
        <is>
          <t>E08 G08 G08o</t>
        </is>
      </c>
      <c r="E59" t="n">
        <v>1</v>
      </c>
      <c r="F59" t="n">
        <v>0</v>
      </c>
      <c r="G59" t="n">
        <v>1</v>
      </c>
      <c r="H59" t="inlineStr">
        <is>
          <t>no</t>
        </is>
      </c>
      <c r="I59" t="inlineStr">
        <is>
          <t>source model</t>
        </is>
      </c>
    </row>
    <row r="60">
      <c r="A60" t="inlineStr">
        <is>
          <t>GOV-007</t>
        </is>
      </c>
      <c r="B60" t="inlineStr">
        <is>
          <t>Leadership KPIs affected by findings</t>
        </is>
      </c>
      <c r="C60" t="inlineStr">
        <is>
          <t>Group</t>
        </is>
      </c>
      <c r="D60" t="inlineStr">
        <is>
          <t>G08 G08o</t>
        </is>
      </c>
      <c r="E60" t="n">
        <v>1</v>
      </c>
      <c r="F60" t="n">
        <v>0</v>
      </c>
      <c r="G60" t="n">
        <v>1</v>
      </c>
      <c r="H60" t="inlineStr">
        <is>
          <t>no</t>
        </is>
      </c>
      <c r="I60" t="inlineStr">
        <is>
          <t>source model</t>
        </is>
      </c>
    </row>
    <row r="61">
      <c r="A61" t="inlineStr">
        <is>
          <t>GOV-008</t>
        </is>
      </c>
      <c r="B61" t="inlineStr">
        <is>
          <t>Evidence completeness rate</t>
        </is>
      </c>
      <c r="C61" t="inlineStr">
        <is>
          <t>A1,Group</t>
        </is>
      </c>
      <c r="D61" t="inlineStr">
        <is>
          <t>E08 G08 G08o</t>
        </is>
      </c>
      <c r="E61" t="n">
        <v>87.95999999999999</v>
      </c>
      <c r="F61" t="n">
        <v>86</v>
      </c>
      <c r="G61" t="n">
        <v>89.66</v>
      </c>
      <c r="H61" t="inlineStr">
        <is>
          <t>no</t>
        </is>
      </c>
      <c r="I61" t="inlineStr">
        <is>
          <t>source model</t>
        </is>
      </c>
    </row>
    <row r="62">
      <c r="A62" t="inlineStr">
        <is>
          <t>GOV-009</t>
        </is>
      </c>
      <c r="B62" t="inlineStr">
        <is>
          <t>Average finding-closure time</t>
        </is>
      </c>
      <c r="C62" t="inlineStr">
        <is>
          <t>A1,Group</t>
        </is>
      </c>
      <c r="D62" t="inlineStr">
        <is>
          <t>E08 G08 G08o</t>
        </is>
      </c>
      <c r="E62" t="n">
        <v>32.81</v>
      </c>
      <c r="F62" t="n">
        <v>28.57</v>
      </c>
      <c r="G62" t="n">
        <v>37.75</v>
      </c>
      <c r="H62" t="inlineStr">
        <is>
          <t>no</t>
        </is>
      </c>
      <c r="I62" t="inlineStr">
        <is>
          <t>source model</t>
        </is>
      </c>
    </row>
    <row r="63">
      <c r="A63" t="inlineStr">
        <is>
          <t>LIQ-001</t>
        </is>
      </c>
      <c r="B63" t="inlineStr">
        <is>
          <t>Liquidity runway</t>
        </is>
      </c>
      <c r="C63" t="inlineStr">
        <is>
          <t>A1,Group</t>
        </is>
      </c>
      <c r="D63" t="inlineStr">
        <is>
          <t>E05 G04 O03</t>
        </is>
      </c>
      <c r="E63" t="n">
        <v>16.71</v>
      </c>
      <c r="F63" t="n">
        <v>15.37</v>
      </c>
      <c r="G63" t="n">
        <v>18.11</v>
      </c>
      <c r="H63" t="inlineStr">
        <is>
          <t>no</t>
        </is>
      </c>
      <c r="I63" t="inlineStr">
        <is>
          <t>source model</t>
        </is>
      </c>
    </row>
    <row r="64">
      <c r="A64" t="inlineStr">
        <is>
          <t>LIQ-002</t>
        </is>
      </c>
      <c r="B64" t="inlineStr">
        <is>
          <t>Covenant headroom</t>
        </is>
      </c>
      <c r="C64" t="inlineStr">
        <is>
          <t>A1,Group</t>
        </is>
      </c>
      <c r="D64" t="inlineStr">
        <is>
          <t>E05 G04 O03</t>
        </is>
      </c>
      <c r="E64" t="n">
        <v>24.44</v>
      </c>
      <c r="F64" t="n">
        <v>18.93</v>
      </c>
      <c r="G64" t="n">
        <v>30.08</v>
      </c>
      <c r="H64" t="inlineStr">
        <is>
          <t>no</t>
        </is>
      </c>
      <c r="I64" t="inlineStr">
        <is>
          <t>source model</t>
        </is>
      </c>
    </row>
    <row r="65">
      <c r="A65" t="inlineStr">
        <is>
          <t>LIQ-003</t>
        </is>
      </c>
      <c r="B65" t="inlineStr">
        <is>
          <t>Debt-maturity exposure, next 12 months</t>
        </is>
      </c>
      <c r="C65" t="inlineStr">
        <is>
          <t>A1,Group</t>
        </is>
      </c>
      <c r="D65" t="inlineStr">
        <is>
          <t>E05 G04 O03</t>
        </is>
      </c>
      <c r="E65" t="n">
        <v>891.41</v>
      </c>
      <c r="F65" t="n">
        <v>486.34</v>
      </c>
      <c r="G65" t="n">
        <v>405.07</v>
      </c>
      <c r="H65" t="inlineStr">
        <is>
          <t>no</t>
        </is>
      </c>
      <c r="I65" t="inlineStr">
        <is>
          <t>source model</t>
        </is>
      </c>
    </row>
    <row r="66">
      <c r="A66" t="inlineStr">
        <is>
          <t>LIQ-004</t>
        </is>
      </c>
      <c r="B66" t="inlineStr">
        <is>
          <t>Financing exposure (floating-rate debt)</t>
        </is>
      </c>
      <c r="C66" t="inlineStr">
        <is>
          <t>Group</t>
        </is>
      </c>
      <c r="D66" t="inlineStr">
        <is>
          <t>G04 O03</t>
        </is>
      </c>
      <c r="E66" t="n">
        <v>2720.83</v>
      </c>
      <c r="F66" t="n">
        <v>1440.7</v>
      </c>
      <c r="G66" t="n">
        <v>1280.13</v>
      </c>
      <c r="H66" t="inlineStr">
        <is>
          <t>no</t>
        </is>
      </c>
      <c r="I66" t="inlineStr">
        <is>
          <t>source model</t>
        </is>
      </c>
    </row>
    <row r="67">
      <c r="A67" t="inlineStr">
        <is>
          <t>OPS-001</t>
        </is>
      </c>
      <c r="B67" t="inlineStr">
        <is>
          <t>Production vs plan</t>
        </is>
      </c>
      <c r="C67" t="inlineStr">
        <is>
          <t>A1,Group,Plant02</t>
        </is>
      </c>
      <c r="D67" t="inlineStr">
        <is>
          <t>E01 E02 E05 E08 G01 G01b G02 G03 G05 G08 G08o O01 O02 O09 S03 S03e S03o S10 S12e X L</t>
        </is>
      </c>
      <c r="E67" t="n">
        <v>95.51000000000001</v>
      </c>
      <c r="F67" t="n">
        <v>91.27</v>
      </c>
      <c r="G67" t="n">
        <v>100.29</v>
      </c>
      <c r="H67" t="inlineStr">
        <is>
          <t>yes</t>
        </is>
      </c>
      <c r="I67" t="inlineStr">
        <is>
          <t>source model</t>
        </is>
      </c>
    </row>
    <row r="68">
      <c r="A68" t="inlineStr">
        <is>
          <t>OPS-002</t>
        </is>
      </c>
      <c r="B68" t="inlineStr">
        <is>
          <t>Sales vs plan</t>
        </is>
      </c>
      <c r="C68" t="inlineStr">
        <is>
          <t>A1,Group</t>
        </is>
      </c>
      <c r="D68" t="inlineStr">
        <is>
          <t>E01 E08 G01 G01b G03 O01 X L</t>
        </is>
      </c>
      <c r="E68" t="n">
        <v>95.23</v>
      </c>
      <c r="F68" t="n">
        <v>89.20999999999999</v>
      </c>
      <c r="G68" t="n">
        <v>102.04</v>
      </c>
      <c r="H68" t="inlineStr">
        <is>
          <t>yes</t>
        </is>
      </c>
      <c r="I68" t="inlineStr">
        <is>
          <t>source model</t>
        </is>
      </c>
    </row>
    <row r="69">
      <c r="A69" t="inlineStr">
        <is>
          <t>OPS-003</t>
        </is>
      </c>
      <c r="B69" t="inlineStr">
        <is>
          <t>Capacity utilization</t>
        </is>
      </c>
      <c r="C69" t="inlineStr">
        <is>
          <t>A1,Group</t>
        </is>
      </c>
      <c r="D69" t="inlineStr">
        <is>
          <t>E02 G05 O01 X L</t>
        </is>
      </c>
      <c r="E69" t="n">
        <v>83.44</v>
      </c>
      <c r="F69" t="n">
        <v>79.8</v>
      </c>
      <c r="G69" t="n">
        <v>87.55</v>
      </c>
      <c r="H69" t="inlineStr">
        <is>
          <t>yes</t>
        </is>
      </c>
      <c r="I69" t="inlineStr">
        <is>
          <t>source model</t>
        </is>
      </c>
    </row>
    <row r="70">
      <c r="A70" t="inlineStr">
        <is>
          <t>OPS-004</t>
        </is>
      </c>
      <c r="B70" t="inlineStr">
        <is>
          <t>Sales vs plan · Group (same measure as OPS-002)</t>
        </is>
      </c>
      <c r="C70" t="inlineStr">
        <is>
          <t>Group</t>
        </is>
      </c>
      <c r="D70" t="inlineStr">
        <is>
          <t>O01</t>
        </is>
      </c>
      <c r="E70" t="n">
        <v>95.23</v>
      </c>
      <c r="F70" t="n">
        <v>89.20999999999999</v>
      </c>
      <c r="G70" t="n">
        <v>102.04</v>
      </c>
      <c r="H70" t="inlineStr">
        <is>
          <t>yes</t>
        </is>
      </c>
      <c r="I70" t="inlineStr">
        <is>
          <t>alias of OPS-002</t>
        </is>
      </c>
    </row>
    <row r="71">
      <c r="A71" t="inlineStr">
        <is>
          <t>OPS-005</t>
        </is>
      </c>
      <c r="B71" t="inlineStr">
        <is>
          <t>Capacity utilisation (same measure as OPS-003)</t>
        </is>
      </c>
      <c r="C71" t="inlineStr">
        <is>
          <t>A1,Group</t>
        </is>
      </c>
      <c r="D71" t="inlineStr">
        <is>
          <t>E01 G01 G01b O01 O09</t>
        </is>
      </c>
      <c r="E71" t="n">
        <v>83.44</v>
      </c>
      <c r="F71" t="n">
        <v>79.8</v>
      </c>
      <c r="G71" t="n">
        <v>87.55</v>
      </c>
      <c r="H71" t="inlineStr">
        <is>
          <t>yes</t>
        </is>
      </c>
      <c r="I71" t="inlineStr">
        <is>
          <t>alias of OPS-003</t>
        </is>
      </c>
    </row>
    <row r="72">
      <c r="A72" t="inlineStr">
        <is>
          <t>OPS-006</t>
        </is>
      </c>
      <c r="B72" t="inlineStr">
        <is>
          <t>OEE · Group weighted (same measure as PLT-002)</t>
        </is>
      </c>
      <c r="C72" t="inlineStr">
        <is>
          <t>Group</t>
        </is>
      </c>
      <c r="D72" t="inlineStr">
        <is>
          <t>O09</t>
        </is>
      </c>
      <c r="E72" t="n">
        <v>84.06999999999999</v>
      </c>
      <c r="F72" t="n">
        <v>80.20999999999999</v>
      </c>
      <c r="G72" t="n">
        <v>88.44</v>
      </c>
      <c r="H72" t="inlineStr">
        <is>
          <t>yes</t>
        </is>
      </c>
      <c r="I72" t="inlineStr">
        <is>
          <t>alias of PLT-002</t>
        </is>
      </c>
    </row>
    <row r="73">
      <c r="A73" t="inlineStr">
        <is>
          <t>PLT-001</t>
        </is>
      </c>
      <c r="B73" t="inlineStr">
        <is>
          <t>Asset utilization</t>
        </is>
      </c>
      <c r="C73" t="inlineStr">
        <is>
          <t>A1</t>
        </is>
      </c>
      <c r="D73" t="inlineStr">
        <is>
          <t>E02</t>
        </is>
      </c>
      <c r="E73" t="n">
        <v>93.64</v>
      </c>
      <c r="F73" t="n">
        <v>91.86</v>
      </c>
      <c r="G73" t="n">
        <v>95.43000000000001</v>
      </c>
      <c r="H73" t="inlineStr">
        <is>
          <t>yes</t>
        </is>
      </c>
      <c r="I73" t="inlineStr">
        <is>
          <t>source model</t>
        </is>
      </c>
    </row>
    <row r="74">
      <c r="A74" t="inlineStr">
        <is>
          <t>PLT-002</t>
        </is>
      </c>
      <c r="B74" t="inlineStr">
        <is>
          <t>OEE</t>
        </is>
      </c>
      <c r="C74" t="inlineStr">
        <is>
          <t>Group,Plant02</t>
        </is>
      </c>
      <c r="D74" t="inlineStr">
        <is>
          <t>E02 G05</t>
        </is>
      </c>
      <c r="E74" t="n">
        <v>84.06999999999999</v>
      </c>
      <c r="F74" t="n">
        <v>80.20999999999999</v>
      </c>
      <c r="G74" t="n">
        <v>88.44</v>
      </c>
      <c r="H74" t="inlineStr">
        <is>
          <t>yes</t>
        </is>
      </c>
      <c r="I74" t="inlineStr">
        <is>
          <t>source model</t>
        </is>
      </c>
    </row>
    <row r="75">
      <c r="A75" t="inlineStr">
        <is>
          <t>PLT-004</t>
        </is>
      </c>
      <c r="B75" t="inlineStr">
        <is>
          <t>Recovery percentage</t>
        </is>
      </c>
      <c r="C75" t="inlineStr">
        <is>
          <t>A1</t>
        </is>
      </c>
      <c r="D75" t="inlineStr">
        <is>
          <t>E02</t>
        </is>
      </c>
      <c r="E75" t="n">
        <v>87.34999999999999</v>
      </c>
      <c r="F75" t="n">
        <v>87.47</v>
      </c>
      <c r="G75" t="n">
        <v>87.23</v>
      </c>
      <c r="H75" t="inlineStr">
        <is>
          <t>yes</t>
        </is>
      </c>
      <c r="I75" t="inlineStr">
        <is>
          <t>source model</t>
        </is>
      </c>
    </row>
    <row r="76">
      <c r="A76" t="inlineStr">
        <is>
          <t>PLT-005</t>
        </is>
      </c>
      <c r="B76" t="inlineStr">
        <is>
          <t>Yield</t>
        </is>
      </c>
      <c r="C76" t="inlineStr">
        <is>
          <t>A1</t>
        </is>
      </c>
      <c r="D76" t="inlineStr">
        <is>
          <t>E02</t>
        </is>
      </c>
      <c r="E76" t="n">
        <v>91.93000000000001</v>
      </c>
      <c r="F76" t="n">
        <v>91.45999999999999</v>
      </c>
      <c r="G76" t="n">
        <v>92.42</v>
      </c>
      <c r="H76" t="inlineStr">
        <is>
          <t>yes</t>
        </is>
      </c>
      <c r="I76" t="inlineStr">
        <is>
          <t>source model</t>
        </is>
      </c>
    </row>
    <row r="77">
      <c r="A77" t="inlineStr">
        <is>
          <t>PRD-001</t>
        </is>
      </c>
      <c r="B77" t="inlineStr">
        <is>
          <t>Days to breach (earliest plant)</t>
        </is>
      </c>
      <c r="C77" t="inlineStr">
        <is>
          <t>A1,Plant02</t>
        </is>
      </c>
      <c r="D77" t="inlineStr">
        <is>
          <t>E01 E04 O01 O02 O09 S10 S12 S12e X L</t>
        </is>
      </c>
      <c r="E77" t="n">
        <v>4</v>
      </c>
      <c r="F77" t="n">
        <v>4</v>
      </c>
      <c r="G77" t="n">
        <v>99</v>
      </c>
      <c r="H77" t="inlineStr">
        <is>
          <t>yes</t>
        </is>
      </c>
      <c r="I77" t="inlineStr">
        <is>
          <t>source model</t>
        </is>
      </c>
    </row>
    <row r="78">
      <c r="A78" t="inlineStr">
        <is>
          <t>PRD-002</t>
        </is>
      </c>
      <c r="B78" t="inlineStr">
        <is>
          <t>Probability of production plan miss, next month</t>
        </is>
      </c>
      <c r="C78" t="inlineStr">
        <is>
          <t>A1,Group</t>
        </is>
      </c>
      <c r="D78" t="inlineStr">
        <is>
          <t>G01 G01b G10 O01 O02 S12 S12e X L</t>
        </is>
      </c>
      <c r="E78" t="n">
        <v>69.69</v>
      </c>
      <c r="F78" t="n">
        <v>79.36</v>
      </c>
      <c r="G78" t="n">
        <v>45.13</v>
      </c>
      <c r="H78" t="inlineStr">
        <is>
          <t>yes</t>
        </is>
      </c>
      <c r="I78" t="inlineStr">
        <is>
          <t>source model</t>
        </is>
      </c>
    </row>
    <row r="79">
      <c r="A79" t="inlineStr">
        <is>
          <t>PRD-003</t>
        </is>
      </c>
      <c r="B79" t="inlineStr">
        <is>
          <t>Projected EBITDA gap, rest of year</t>
        </is>
      </c>
      <c r="C79" t="inlineStr">
        <is>
          <t>A1,Group</t>
        </is>
      </c>
      <c r="D79" t="inlineStr">
        <is>
          <t>G01 G01b G03 G10 O01 O02 S09 S12 S12e X L</t>
        </is>
      </c>
      <c r="E79" t="n">
        <v>-56.18</v>
      </c>
      <c r="F79" t="n">
        <v>-48.53</v>
      </c>
      <c r="G79" t="n">
        <v>-7.65</v>
      </c>
      <c r="H79" t="inlineStr">
        <is>
          <t>no</t>
        </is>
      </c>
      <c r="I79" t="inlineStr">
        <is>
          <t>source model</t>
        </is>
      </c>
    </row>
    <row r="80">
      <c r="A80" t="inlineStr">
        <is>
          <t>PRD-004</t>
        </is>
      </c>
      <c r="B80" t="inlineStr">
        <is>
          <t>Projected liquidity gap, next 90 days</t>
        </is>
      </c>
      <c r="C80" t="inlineStr">
        <is>
          <t>A1,Group</t>
        </is>
      </c>
      <c r="D80" t="inlineStr">
        <is>
          <t>G01 G01b G04 O02 O03 S12 S12e</t>
        </is>
      </c>
      <c r="E80" t="inlineStr">
        <is>
          <t>None within 90 d</t>
        </is>
      </c>
      <c r="F80" t="inlineStr">
        <is>
          <t>None within 90 d</t>
        </is>
      </c>
      <c r="G80" t="inlineStr">
        <is>
          <t>None within 90 d</t>
        </is>
      </c>
      <c r="H80" t="inlineStr">
        <is>
          <t>no</t>
        </is>
      </c>
      <c r="I80" t="inlineStr">
        <is>
          <t>source model</t>
        </is>
      </c>
    </row>
    <row r="81">
      <c r="A81" t="inlineStr">
        <is>
          <t>PRD-005</t>
        </is>
      </c>
      <c r="B81" t="inlineStr">
        <is>
          <t>Forecast covenant breach</t>
        </is>
      </c>
      <c r="C81" t="inlineStr">
        <is>
          <t>A1,Group</t>
        </is>
      </c>
      <c r="D81" t="inlineStr">
        <is>
          <t>G04 G10 O02 O03 S12 S12e</t>
        </is>
      </c>
      <c r="E81" t="inlineStr">
        <is>
          <t>Not forecast</t>
        </is>
      </c>
      <c r="F81" t="inlineStr">
        <is>
          <t>Not forecast</t>
        </is>
      </c>
      <c r="G81" t="inlineStr">
        <is>
          <t>Not forecast</t>
        </is>
      </c>
      <c r="H81" t="inlineStr">
        <is>
          <t>no</t>
        </is>
      </c>
      <c r="I81" t="inlineStr">
        <is>
          <t>source model</t>
        </is>
      </c>
    </row>
    <row r="82">
      <c r="A82" t="inlineStr">
        <is>
          <t>PRD-006</t>
        </is>
      </c>
      <c r="B82" t="inlineStr">
        <is>
          <t>Production loss from downtime, next month</t>
        </is>
      </c>
      <c r="C82" t="inlineStr">
        <is>
          <t>Group</t>
        </is>
      </c>
      <c r="D82" t="inlineStr">
        <is>
          <t>G05 G10 O09</t>
        </is>
      </c>
      <c r="E82" t="n">
        <v>28.01</v>
      </c>
      <c r="F82" t="n">
        <v>22.3</v>
      </c>
      <c r="G82" t="n">
        <v>5.71</v>
      </c>
      <c r="H82" t="inlineStr">
        <is>
          <t>yes</t>
        </is>
      </c>
      <c r="I82" t="inlineStr">
        <is>
          <t>source model</t>
        </is>
      </c>
    </row>
    <row r="83">
      <c r="A83" t="inlineStr">
        <is>
          <t>PRD-007</t>
        </is>
      </c>
      <c r="B83" t="inlineStr">
        <is>
          <t>Probability OEE below 78%, next month</t>
        </is>
      </c>
      <c r="C83" t="inlineStr">
        <is>
          <t>Group</t>
        </is>
      </c>
      <c r="D83" t="inlineStr">
        <is>
          <t>O09</t>
        </is>
      </c>
      <c r="E83" t="n">
        <v>0</v>
      </c>
      <c r="F83" t="n">
        <v>0.59</v>
      </c>
      <c r="G83" t="n">
        <v>0.01</v>
      </c>
      <c r="H83" t="inlineStr">
        <is>
          <t>yes</t>
        </is>
      </c>
      <c r="I83" t="inlineStr">
        <is>
          <t>source model</t>
        </is>
      </c>
    </row>
    <row r="84">
      <c r="A84" t="inlineStr">
        <is>
          <t>PRD-008</t>
        </is>
      </c>
      <c r="B84" t="inlineStr">
        <is>
          <t>Projected FCF gap, full year</t>
        </is>
      </c>
      <c r="C84" t="inlineStr">
        <is>
          <t>A1</t>
        </is>
      </c>
      <c r="D84" t="inlineStr">
        <is>
          <t>E11</t>
        </is>
      </c>
      <c r="E84" t="n">
        <v>-120.09</v>
      </c>
      <c r="F84" t="n">
        <v>-101.29</v>
      </c>
      <c r="G84" t="n">
        <v>-18.8</v>
      </c>
      <c r="H84" t="inlineStr">
        <is>
          <t>no</t>
        </is>
      </c>
      <c r="I84" t="inlineStr">
        <is>
          <t>added (synthetic inputs)</t>
        </is>
      </c>
    </row>
    <row r="85">
      <c r="A85" t="inlineStr">
        <is>
          <t>PRD-009</t>
        </is>
      </c>
      <c r="B85" t="inlineStr">
        <is>
          <t>ROCE at P12 (forecast)</t>
        </is>
      </c>
      <c r="C85" t="inlineStr">
        <is>
          <t>A1</t>
        </is>
      </c>
      <c r="D85" t="inlineStr">
        <is>
          <t>E11</t>
        </is>
      </c>
      <c r="E85" t="n">
        <v>11.26</v>
      </c>
      <c r="F85" t="n">
        <v>10.48</v>
      </c>
      <c r="G85" t="n">
        <v>12.12</v>
      </c>
      <c r="H85" t="inlineStr">
        <is>
          <t>no</t>
        </is>
      </c>
      <c r="I85" t="inlineStr">
        <is>
          <t>added (synthetic inputs)</t>
        </is>
      </c>
    </row>
    <row r="86">
      <c r="A86" t="inlineStr">
        <is>
          <t>PRD-010</t>
        </is>
      </c>
      <c r="B86" t="inlineStr">
        <is>
          <t>Revenue per FTE YTD</t>
        </is>
      </c>
      <c r="C86" t="inlineStr">
        <is>
          <t>A1</t>
        </is>
      </c>
      <c r="D86" t="inlineStr">
        <is>
          <t>E11</t>
        </is>
      </c>
      <c r="E86" t="n">
        <v>5.247</v>
      </c>
      <c r="F86" t="n">
        <v>5.172</v>
      </c>
      <c r="G86" t="n">
        <v>5.326</v>
      </c>
      <c r="H86" t="inlineStr">
        <is>
          <t>no</t>
        </is>
      </c>
      <c r="I86" t="inlineStr">
        <is>
          <t>added (synthetic inputs)</t>
        </is>
      </c>
    </row>
    <row r="87">
      <c r="A87" t="inlineStr">
        <is>
          <t>PRD-011</t>
        </is>
      </c>
      <c r="B87" t="inlineStr">
        <is>
          <t>Tonnes per FTE</t>
        </is>
      </c>
      <c r="C87" t="inlineStr">
        <is>
          <t>A1</t>
        </is>
      </c>
      <c r="D87" t="inlineStr">
        <is>
          <t>E11</t>
        </is>
      </c>
      <c r="E87" t="n">
        <v>237.7</v>
      </c>
      <c r="F87" t="n">
        <v>235</v>
      </c>
      <c r="G87" t="n">
        <v>240.6</v>
      </c>
      <c r="H87" t="inlineStr">
        <is>
          <t>no</t>
        </is>
      </c>
      <c r="I87" t="inlineStr">
        <is>
          <t>added (synthetic inputs)</t>
        </is>
      </c>
    </row>
    <row r="88">
      <c r="A88" t="inlineStr">
        <is>
          <t>PRD-012</t>
        </is>
      </c>
      <c r="B88" t="inlineStr">
        <is>
          <t>Probability of EBITDA plan miss, full year</t>
        </is>
      </c>
      <c r="C88" t="inlineStr">
        <is>
          <t>A1</t>
        </is>
      </c>
      <c r="D88" t="inlineStr">
        <is>
          <t>E11</t>
        </is>
      </c>
      <c r="E88" t="n">
        <v>69.39</v>
      </c>
      <c r="F88" t="n">
        <v>80.43000000000001</v>
      </c>
      <c r="G88" t="n">
        <v>44.32</v>
      </c>
      <c r="H88" t="inlineStr">
        <is>
          <t>no</t>
        </is>
      </c>
      <c r="I88" t="inlineStr">
        <is>
          <t>added (synthetic inputs)</t>
        </is>
      </c>
    </row>
    <row r="89">
      <c r="A89" t="inlineStr">
        <is>
          <t>PRG-001</t>
        </is>
      </c>
      <c r="B89" t="inlineStr">
        <is>
          <t>Capex project status</t>
        </is>
      </c>
      <c r="C89" t="inlineStr">
        <is>
          <t>Group</t>
        </is>
      </c>
      <c r="D89" t="inlineStr">
        <is>
          <t>G06 O04</t>
        </is>
      </c>
      <c r="E89" t="inlineStr">
        <is>
          <t>9 on track · 2 at risk · 0 off track</t>
        </is>
      </c>
      <c r="F89" t="inlineStr">
        <is>
          <t>5 on track · 1 at risk · 0 off track</t>
        </is>
      </c>
      <c r="G89" t="inlineStr">
        <is>
          <t>4 on track · 1 at risk · 0 off track</t>
        </is>
      </c>
      <c r="H89" t="inlineStr">
        <is>
          <t>no</t>
        </is>
      </c>
      <c r="I89" t="inlineStr">
        <is>
          <t>source model</t>
        </is>
      </c>
    </row>
    <row r="90">
      <c r="A90" t="inlineStr">
        <is>
          <t>PRG-002</t>
        </is>
      </c>
      <c r="B90" t="inlineStr">
        <is>
          <t>Benefits realisation</t>
        </is>
      </c>
      <c r="C90" t="inlineStr">
        <is>
          <t>A1,Group</t>
        </is>
      </c>
      <c r="D90" t="inlineStr">
        <is>
          <t>E06 G06 O04</t>
        </is>
      </c>
      <c r="E90" t="n">
        <v>47.96</v>
      </c>
      <c r="F90" t="n">
        <v>69.34</v>
      </c>
      <c r="G90" t="n">
        <v>36.27</v>
      </c>
      <c r="H90" t="inlineStr">
        <is>
          <t>no</t>
        </is>
      </c>
      <c r="I90" t="inlineStr">
        <is>
          <t>source model</t>
        </is>
      </c>
    </row>
    <row r="91">
      <c r="A91" t="inlineStr">
        <is>
          <t>PRG-003</t>
        </is>
      </c>
      <c r="B91" t="inlineStr">
        <is>
          <t>Delayed projects</t>
        </is>
      </c>
      <c r="C91" t="inlineStr">
        <is>
          <t>A1,Group</t>
        </is>
      </c>
      <c r="D91" t="inlineStr">
        <is>
          <t>E06 G06 O04</t>
        </is>
      </c>
      <c r="E91" t="n">
        <v>1</v>
      </c>
      <c r="F91" t="n">
        <v>0</v>
      </c>
      <c r="G91" t="n">
        <v>1</v>
      </c>
      <c r="H91" t="inlineStr">
        <is>
          <t>no</t>
        </is>
      </c>
      <c r="I91" t="inlineStr">
        <is>
          <t>source model</t>
        </is>
      </c>
    </row>
    <row r="92">
      <c r="A92" t="inlineStr">
        <is>
          <t>PRG-004</t>
        </is>
      </c>
      <c r="B92" t="inlineStr">
        <is>
          <t>Capex / transformation progress (same measure as STR-002)</t>
        </is>
      </c>
      <c r="C92" t="inlineStr">
        <is>
          <t>A1,Group</t>
        </is>
      </c>
      <c r="D92" t="inlineStr">
        <is>
          <t>E01 G01 G01b O01 O04</t>
        </is>
      </c>
      <c r="E92" t="n">
        <v>54.03</v>
      </c>
      <c r="F92" t="n">
        <v>53.33</v>
      </c>
      <c r="G92" t="n">
        <v>54.69</v>
      </c>
      <c r="H92" t="inlineStr">
        <is>
          <t>no</t>
        </is>
      </c>
      <c r="I92" t="inlineStr">
        <is>
          <t>alias of STR-002</t>
        </is>
      </c>
    </row>
    <row r="93">
      <c r="A93" t="inlineStr">
        <is>
          <t>PRG-005</t>
        </is>
      </c>
      <c r="B93" t="inlineStr">
        <is>
          <t>Transformation initiative status</t>
        </is>
      </c>
      <c r="C93" t="inlineStr">
        <is>
          <t>A1,Group</t>
        </is>
      </c>
      <c r="D93" t="inlineStr">
        <is>
          <t>E06 O04</t>
        </is>
      </c>
      <c r="E93" t="inlineStr">
        <is>
          <t>15 on track · 6 at risk · 3 delayed</t>
        </is>
      </c>
      <c r="F93" t="inlineStr">
        <is>
          <t>5 on track · 2 at risk · 1 delayed</t>
        </is>
      </c>
      <c r="G93" t="inlineStr">
        <is>
          <t>10 on track · 4 at risk · 2 delayed</t>
        </is>
      </c>
      <c r="H93" t="inlineStr">
        <is>
          <t>no</t>
        </is>
      </c>
      <c r="I93" t="inlineStr">
        <is>
          <t>source model</t>
        </is>
      </c>
    </row>
    <row r="94">
      <c r="A94" t="inlineStr">
        <is>
          <t>REG-001</t>
        </is>
      </c>
      <c r="B94" t="inlineStr">
        <is>
          <t>Pending filings</t>
        </is>
      </c>
      <c r="C94" t="inlineStr">
        <is>
          <t>A1,Group</t>
        </is>
      </c>
      <c r="D94" t="inlineStr">
        <is>
          <t>E07 G07</t>
        </is>
      </c>
      <c r="E94" t="n">
        <v>0</v>
      </c>
      <c r="F94" t="n">
        <v>0</v>
      </c>
      <c r="G94" t="n">
        <v>0</v>
      </c>
      <c r="H94" t="inlineStr">
        <is>
          <t>yes</t>
        </is>
      </c>
      <c r="I94" t="inlineStr">
        <is>
          <t>source model</t>
        </is>
      </c>
    </row>
    <row r="95">
      <c r="A95" t="inlineStr">
        <is>
          <t>REG-002</t>
        </is>
      </c>
      <c r="B95" t="inlineStr">
        <is>
          <t>Regulatory deadlines, next 30 days</t>
        </is>
      </c>
      <c r="C95" t="inlineStr">
        <is>
          <t>A1,Group</t>
        </is>
      </c>
      <c r="D95" t="inlineStr">
        <is>
          <t>E07 G07</t>
        </is>
      </c>
      <c r="E95" t="n">
        <v>3</v>
      </c>
      <c r="F95" t="n">
        <v>2</v>
      </c>
      <c r="G95" t="n">
        <v>1</v>
      </c>
      <c r="H95" t="inlineStr">
        <is>
          <t>yes</t>
        </is>
      </c>
      <c r="I95" t="inlineStr">
        <is>
          <t>source model</t>
        </is>
      </c>
    </row>
    <row r="96">
      <c r="A96" t="inlineStr">
        <is>
          <t>REG-003</t>
        </is>
      </c>
      <c r="B96" t="inlineStr">
        <is>
          <t>Licence expirations, next 12 months</t>
        </is>
      </c>
      <c r="C96" t="inlineStr">
        <is>
          <t>A1,Group</t>
        </is>
      </c>
      <c r="D96" t="inlineStr">
        <is>
          <t>E07 G07</t>
        </is>
      </c>
      <c r="E96" t="n">
        <v>1</v>
      </c>
      <c r="F96" t="n">
        <v>1</v>
      </c>
      <c r="G96" t="n">
        <v>0</v>
      </c>
      <c r="H96" t="inlineStr">
        <is>
          <t>yes</t>
        </is>
      </c>
      <c r="I96" t="inlineStr">
        <is>
          <t>source model</t>
        </is>
      </c>
    </row>
    <row r="97">
      <c r="A97" t="inlineStr">
        <is>
          <t>REG-004</t>
        </is>
      </c>
      <c r="B97" t="inlineStr">
        <is>
          <t>Regulatory obligations due, next 30 days</t>
        </is>
      </c>
      <c r="C97" t="inlineStr">
        <is>
          <t>A1,Group</t>
        </is>
      </c>
      <c r="D97" t="inlineStr">
        <is>
          <t>E07 G07</t>
        </is>
      </c>
      <c r="E97" t="n">
        <v>2</v>
      </c>
      <c r="F97" t="n">
        <v>1</v>
      </c>
      <c r="G97" t="n">
        <v>1</v>
      </c>
      <c r="H97" t="inlineStr">
        <is>
          <t>yes</t>
        </is>
      </c>
      <c r="I97" t="inlineStr">
        <is>
          <t>source model</t>
        </is>
      </c>
    </row>
    <row r="98">
      <c r="A98" t="inlineStr">
        <is>
          <t>REG-005</t>
        </is>
      </c>
      <c r="B98" t="inlineStr">
        <is>
          <t>Overdue regulatory obligations</t>
        </is>
      </c>
      <c r="C98" t="inlineStr">
        <is>
          <t>A1,Group</t>
        </is>
      </c>
      <c r="D98" t="inlineStr">
        <is>
          <t>E07 G07 O05</t>
        </is>
      </c>
      <c r="E98" t="n">
        <v>0</v>
      </c>
      <c r="F98" t="n">
        <v>0</v>
      </c>
      <c r="G98" t="n">
        <v>0</v>
      </c>
      <c r="H98" t="inlineStr">
        <is>
          <t>yes</t>
        </is>
      </c>
      <c r="I98" t="inlineStr">
        <is>
          <t>source model</t>
        </is>
      </c>
    </row>
    <row r="99">
      <c r="A99" t="inlineStr">
        <is>
          <t>REG-006</t>
        </is>
      </c>
      <c r="B99" t="inlineStr">
        <is>
          <t>Licence or permit expiry clock</t>
        </is>
      </c>
      <c r="C99" t="inlineStr">
        <is>
          <t>A1,Group</t>
        </is>
      </c>
      <c r="D99" t="inlineStr">
        <is>
          <t>E07 O05</t>
        </is>
      </c>
      <c r="E99" t="n">
        <v>65</v>
      </c>
      <c r="F99" t="n">
        <v>65</v>
      </c>
      <c r="G99" t="n">
        <v>102</v>
      </c>
      <c r="H99" t="inlineStr">
        <is>
          <t>yes</t>
        </is>
      </c>
      <c r="I99" t="inlineStr">
        <is>
          <t>source model</t>
        </is>
      </c>
    </row>
    <row r="100">
      <c r="A100" t="inlineStr">
        <is>
          <t>REG-007</t>
        </is>
      </c>
      <c r="B100" t="inlineStr">
        <is>
          <t>Open regulatory actions</t>
        </is>
      </c>
      <c r="C100" t="inlineStr">
        <is>
          <t>A1,Group</t>
        </is>
      </c>
      <c r="D100" t="inlineStr">
        <is>
          <t>E07 G07</t>
        </is>
      </c>
      <c r="E100" t="n">
        <v>0</v>
      </c>
      <c r="F100" t="n">
        <v>0</v>
      </c>
      <c r="G100" t="n">
        <v>0</v>
      </c>
      <c r="H100" t="inlineStr">
        <is>
          <t>yes</t>
        </is>
      </c>
      <c r="I100" t="inlineStr">
        <is>
          <t>source model</t>
        </is>
      </c>
    </row>
    <row r="101">
      <c r="A101" t="inlineStr">
        <is>
          <t>REG-008</t>
        </is>
      </c>
      <c r="B101" t="inlineStr">
        <is>
          <t>Overdue compliance actions</t>
        </is>
      </c>
      <c r="C101" t="inlineStr">
        <is>
          <t>A1,Group</t>
        </is>
      </c>
      <c r="D101" t="inlineStr">
        <is>
          <t>E07 G07</t>
        </is>
      </c>
      <c r="E101" t="n">
        <v>0</v>
      </c>
      <c r="F101" t="n">
        <v>0</v>
      </c>
      <c r="G101" t="n">
        <v>0</v>
      </c>
      <c r="H101" t="inlineStr">
        <is>
          <t>yes</t>
        </is>
      </c>
      <c r="I101" t="inlineStr">
        <is>
          <t>source model</t>
        </is>
      </c>
    </row>
    <row r="102">
      <c r="A102" t="inlineStr">
        <is>
          <t>REG-009</t>
        </is>
      </c>
      <c r="B102" t="inlineStr">
        <is>
          <t>Disclosure-clock status</t>
        </is>
      </c>
      <c r="C102" t="inlineStr">
        <is>
          <t>Group</t>
        </is>
      </c>
      <c r="D102" t="inlineStr">
        <is>
          <t>O05</t>
        </is>
      </c>
      <c r="E102" t="inlineStr">
        <is>
          <t>Not triggered</t>
        </is>
      </c>
      <c r="F102" t="inlineStr">
        <is>
          <t>Not triggered</t>
        </is>
      </c>
      <c r="G102" t="inlineStr">
        <is>
          <t>Not triggered</t>
        </is>
      </c>
      <c r="H102" t="inlineStr">
        <is>
          <t>yes</t>
        </is>
      </c>
      <c r="I102" t="inlineStr">
        <is>
          <t>source model</t>
        </is>
      </c>
    </row>
    <row r="103">
      <c r="A103" t="inlineStr">
        <is>
          <t>REG-010</t>
        </is>
      </c>
      <c r="B103" t="inlineStr">
        <is>
          <t>Regulatory breaches YTD</t>
        </is>
      </c>
      <c r="C103" t="inlineStr">
        <is>
          <t>A1,Group</t>
        </is>
      </c>
      <c r="D103" t="inlineStr">
        <is>
          <t>E07 G01 G01b O05</t>
        </is>
      </c>
      <c r="E103" t="n">
        <v>0</v>
      </c>
      <c r="F103" t="n">
        <v>0</v>
      </c>
      <c r="G103" t="n">
        <v>0</v>
      </c>
      <c r="H103" t="inlineStr">
        <is>
          <t>yes</t>
        </is>
      </c>
      <c r="I103" t="inlineStr">
        <is>
          <t>source model</t>
        </is>
      </c>
    </row>
    <row r="104">
      <c r="A104" t="inlineStr">
        <is>
          <t>REG-011</t>
        </is>
      </c>
      <c r="B104" t="inlineStr">
        <is>
          <t>Disclosure clock, hours remaining</t>
        </is>
      </c>
      <c r="C104" t="inlineStr">
        <is>
          <t>A1</t>
        </is>
      </c>
      <c r="D104" t="inlineStr">
        <is>
          <t>E07</t>
        </is>
      </c>
      <c r="E104" t="n">
        <v>38</v>
      </c>
      <c r="F104" t="n">
        <v>38</v>
      </c>
      <c r="G104" t="n">
        <v>999</v>
      </c>
      <c r="H104" t="inlineStr">
        <is>
          <t>no</t>
        </is>
      </c>
      <c r="I104" t="inlineStr">
        <is>
          <t>added (synthetic inputs)</t>
        </is>
      </c>
    </row>
    <row r="105">
      <c r="A105" t="inlineStr">
        <is>
          <t>REL-001</t>
        </is>
      </c>
      <c r="B105" t="inlineStr">
        <is>
          <t>MTBF</t>
        </is>
      </c>
      <c r="C105" t="inlineStr">
        <is>
          <t>A1,Group</t>
        </is>
      </c>
      <c r="D105" t="inlineStr">
        <is>
          <t>E03 G05 O09</t>
        </is>
      </c>
      <c r="E105" t="n">
        <v>269.69</v>
      </c>
      <c r="F105" t="n">
        <v>165.35</v>
      </c>
      <c r="G105" t="n">
        <v>687.0700000000001</v>
      </c>
      <c r="H105" t="inlineStr">
        <is>
          <t>yes</t>
        </is>
      </c>
      <c r="I105" t="inlineStr">
        <is>
          <t>source model</t>
        </is>
      </c>
    </row>
    <row r="106">
      <c r="A106" t="inlineStr">
        <is>
          <t>REL-002</t>
        </is>
      </c>
      <c r="B106" t="inlineStr">
        <is>
          <t>Mean Time to Repair</t>
        </is>
      </c>
      <c r="C106" t="inlineStr">
        <is>
          <t>A1,Group</t>
        </is>
      </c>
      <c r="D106" t="inlineStr">
        <is>
          <t>E03 G05 O09</t>
        </is>
      </c>
      <c r="E106" t="n">
        <v>7.83</v>
      </c>
      <c r="F106" t="n">
        <v>8.24</v>
      </c>
      <c r="G106" t="n">
        <v>6.17</v>
      </c>
      <c r="H106" t="inlineStr">
        <is>
          <t>yes</t>
        </is>
      </c>
      <c r="I106" t="inlineStr">
        <is>
          <t>source model</t>
        </is>
      </c>
    </row>
    <row r="107">
      <c r="A107" t="inlineStr">
        <is>
          <t>REL-003</t>
        </is>
      </c>
      <c r="B107" t="inlineStr">
        <is>
          <t>Unplanned downtime</t>
        </is>
      </c>
      <c r="C107" t="inlineStr">
        <is>
          <t>A1,Group</t>
        </is>
      </c>
      <c r="D107" t="inlineStr">
        <is>
          <t>E03 G05 O09</t>
        </is>
      </c>
      <c r="E107" t="n">
        <v>154.4</v>
      </c>
      <c r="F107" t="n">
        <v>120.7</v>
      </c>
      <c r="G107" t="n">
        <v>33.7</v>
      </c>
      <c r="H107" t="inlineStr">
        <is>
          <t>yes</t>
        </is>
      </c>
      <c r="I107" t="inlineStr">
        <is>
          <t>source model</t>
        </is>
      </c>
    </row>
    <row r="108">
      <c r="A108" t="inlineStr">
        <is>
          <t>REL-004</t>
        </is>
      </c>
      <c r="B108" t="inlineStr">
        <is>
          <t>Production loss from downtime</t>
        </is>
      </c>
      <c r="C108" t="inlineStr">
        <is>
          <t>A1,Group</t>
        </is>
      </c>
      <c r="D108" t="inlineStr">
        <is>
          <t>E03 G05</t>
        </is>
      </c>
      <c r="E108" t="n">
        <v>27176</v>
      </c>
      <c r="F108" t="n">
        <v>21684</v>
      </c>
      <c r="G108" t="n">
        <v>5492</v>
      </c>
      <c r="H108" t="inlineStr">
        <is>
          <t>yes</t>
        </is>
      </c>
      <c r="I108" t="inlineStr">
        <is>
          <t>source model</t>
        </is>
      </c>
    </row>
    <row r="109">
      <c r="A109" t="inlineStr">
        <is>
          <t>REL-005</t>
        </is>
      </c>
      <c r="B109" t="inlineStr">
        <is>
          <t>Preventive-maintenance compliance</t>
        </is>
      </c>
      <c r="C109" t="inlineStr">
        <is>
          <t>A1,Group</t>
        </is>
      </c>
      <c r="D109" t="inlineStr">
        <is>
          <t>E03 O09</t>
        </is>
      </c>
      <c r="E109" t="n">
        <v>95.62</v>
      </c>
      <c r="F109" t="n">
        <v>93.43000000000001</v>
      </c>
      <c r="G109" t="n">
        <v>97.81</v>
      </c>
      <c r="H109" t="inlineStr">
        <is>
          <t>yes</t>
        </is>
      </c>
      <c r="I109" t="inlineStr">
        <is>
          <t>source model</t>
        </is>
      </c>
    </row>
    <row r="110">
      <c r="A110" t="inlineStr">
        <is>
          <t>RSK-001</t>
        </is>
      </c>
      <c r="B110" t="inlineStr">
        <is>
          <t>Open critical alerts (same measure as EFF-002)</t>
        </is>
      </c>
      <c r="C110" t="inlineStr">
        <is>
          <t>Group</t>
        </is>
      </c>
      <c r="D110" t="inlineStr">
        <is>
          <t>O01 X L</t>
        </is>
      </c>
      <c r="E110" t="n">
        <v>1</v>
      </c>
      <c r="F110" t="n">
        <v>1</v>
      </c>
      <c r="G110" t="n">
        <v>0</v>
      </c>
      <c r="H110" t="inlineStr">
        <is>
          <t>no</t>
        </is>
      </c>
      <c r="I110" t="inlineStr">
        <is>
          <t>alias of EFF-002</t>
        </is>
      </c>
    </row>
    <row r="111">
      <c r="A111" t="inlineStr">
        <is>
          <t>RSK-002</t>
        </is>
      </c>
      <c r="B111" t="inlineStr">
        <is>
          <t>Severity incidents (same measure as EHS-002)</t>
        </is>
      </c>
      <c r="C111" t="inlineStr">
        <is>
          <t>Group</t>
        </is>
      </c>
      <c r="D111" t="inlineStr">
        <is>
          <t>O01 X L</t>
        </is>
      </c>
      <c r="E111" t="n">
        <v>3</v>
      </c>
      <c r="F111" t="n">
        <v>1</v>
      </c>
      <c r="G111" t="n">
        <v>2</v>
      </c>
      <c r="H111" t="inlineStr">
        <is>
          <t>yes</t>
        </is>
      </c>
      <c r="I111" t="inlineStr">
        <is>
          <t>alias of EHS-002</t>
        </is>
      </c>
    </row>
    <row r="112">
      <c r="A112" t="inlineStr">
        <is>
          <t>RSK-003</t>
        </is>
      </c>
      <c r="B112" t="inlineStr">
        <is>
          <t>Regulatory breaches YTD (same measure as REG-010)</t>
        </is>
      </c>
      <c r="C112" t="inlineStr">
        <is>
          <t>Group</t>
        </is>
      </c>
      <c r="D112" t="inlineStr">
        <is>
          <t>O01 X L</t>
        </is>
      </c>
      <c r="E112" t="n">
        <v>0</v>
      </c>
      <c r="F112" t="n">
        <v>0</v>
      </c>
      <c r="G112" t="n">
        <v>0</v>
      </c>
      <c r="H112" t="inlineStr">
        <is>
          <t>yes</t>
        </is>
      </c>
      <c r="I112" t="inlineStr">
        <is>
          <t>alias of REG-010</t>
        </is>
      </c>
    </row>
    <row r="113">
      <c r="A113" t="inlineStr">
        <is>
          <t>SIG-001</t>
        </is>
      </c>
      <c r="B113" t="inlineStr">
        <is>
          <t>Unplanned downtime (same measure as REL-003)</t>
        </is>
      </c>
      <c r="C113" t="inlineStr">
        <is>
          <t>A1,Group</t>
        </is>
      </c>
      <c r="D113" t="inlineStr">
        <is>
          <t>O02 S12 S12e</t>
        </is>
      </c>
      <c r="E113" t="n">
        <v>154.4</v>
      </c>
      <c r="F113" t="n">
        <v>120.7</v>
      </c>
      <c r="G113" t="n">
        <v>33.7</v>
      </c>
      <c r="H113" t="inlineStr">
        <is>
          <t>yes</t>
        </is>
      </c>
      <c r="I113" t="inlineStr">
        <is>
          <t>alias of REL-003</t>
        </is>
      </c>
    </row>
    <row r="114">
      <c r="A114" t="inlineStr">
        <is>
          <t>SIG-002</t>
        </is>
      </c>
      <c r="B114" t="inlineStr">
        <is>
          <t>Yield (same measure as PLT-005)</t>
        </is>
      </c>
      <c r="C114" t="inlineStr">
        <is>
          <t>A1,Group</t>
        </is>
      </c>
      <c r="D114" t="inlineStr">
        <is>
          <t>E02 S12 S12e</t>
        </is>
      </c>
      <c r="E114" t="n">
        <v>91.93000000000001</v>
      </c>
      <c r="F114" t="n">
        <v>91.45999999999999</v>
      </c>
      <c r="G114" t="n">
        <v>92.42</v>
      </c>
      <c r="H114" t="inlineStr">
        <is>
          <t>yes</t>
        </is>
      </c>
      <c r="I114" t="inlineStr">
        <is>
          <t>alias of PLT-005</t>
        </is>
      </c>
    </row>
    <row r="115">
      <c r="A115" t="inlineStr">
        <is>
          <t>SIG-003</t>
        </is>
      </c>
      <c r="B115" t="inlineStr">
        <is>
          <t>Recovery percentage (same measure as PLT-004)</t>
        </is>
      </c>
      <c r="C115" t="inlineStr">
        <is>
          <t>A1,Group</t>
        </is>
      </c>
      <c r="D115" t="inlineStr">
        <is>
          <t>E02 S12</t>
        </is>
      </c>
      <c r="E115" t="n">
        <v>87.34999999999999</v>
      </c>
      <c r="F115" t="n">
        <v>87.47</v>
      </c>
      <c r="G115" t="n">
        <v>87.23</v>
      </c>
      <c r="H115" t="inlineStr">
        <is>
          <t>yes</t>
        </is>
      </c>
      <c r="I115" t="inlineStr">
        <is>
          <t>alias of PLT-004</t>
        </is>
      </c>
    </row>
    <row r="116">
      <c r="A116" t="inlineStr">
        <is>
          <t>SIG-004</t>
        </is>
      </c>
      <c r="B116" t="inlineStr">
        <is>
          <t>Collections slippage</t>
        </is>
      </c>
      <c r="C116" t="inlineStr">
        <is>
          <t>A1,Group</t>
        </is>
      </c>
      <c r="D116" t="inlineStr">
        <is>
          <t>E05 G04 O02 O03 S12 S12e</t>
        </is>
      </c>
      <c r="E116" t="n">
        <v>1.12</v>
      </c>
      <c r="F116" t="n">
        <v>1.94</v>
      </c>
      <c r="G116" t="n">
        <v>0.21</v>
      </c>
      <c r="H116" t="inlineStr">
        <is>
          <t>no</t>
        </is>
      </c>
      <c r="I116" t="inlineStr">
        <is>
          <t>source model</t>
        </is>
      </c>
    </row>
    <row r="117">
      <c r="A117" t="inlineStr">
        <is>
          <t>SIG-005</t>
        </is>
      </c>
      <c r="B117" t="inlineStr">
        <is>
          <t>Payment delays</t>
        </is>
      </c>
      <c r="C117" t="inlineStr">
        <is>
          <t>A1,Group</t>
        </is>
      </c>
      <c r="D117" t="inlineStr">
        <is>
          <t>E05 G04 S12 S12e</t>
        </is>
      </c>
      <c r="E117" t="n">
        <v>3</v>
      </c>
      <c r="F117" t="n">
        <v>2</v>
      </c>
      <c r="G117" t="n">
        <v>1</v>
      </c>
      <c r="H117" t="inlineStr">
        <is>
          <t>no</t>
        </is>
      </c>
      <c r="I117" t="inlineStr">
        <is>
          <t>source model</t>
        </is>
      </c>
    </row>
    <row r="118">
      <c r="A118" t="inlineStr">
        <is>
          <t>SIG-006</t>
        </is>
      </c>
      <c r="B118" t="inlineStr">
        <is>
          <t>Cash burn signal</t>
        </is>
      </c>
      <c r="C118" t="inlineStr">
        <is>
          <t>Group</t>
        </is>
      </c>
      <c r="D118" t="inlineStr">
        <is>
          <t>O03 S12</t>
        </is>
      </c>
      <c r="E118" t="inlineStr">
        <is>
          <t>Not triggered</t>
        </is>
      </c>
      <c r="F118" t="inlineStr">
        <is>
          <t>Not triggered</t>
        </is>
      </c>
      <c r="G118" t="inlineStr">
        <is>
          <t>Not triggered</t>
        </is>
      </c>
      <c r="H118" t="inlineStr">
        <is>
          <t>no</t>
        </is>
      </c>
      <c r="I118" t="inlineStr">
        <is>
          <t>source model</t>
        </is>
      </c>
    </row>
    <row r="119">
      <c r="A119" t="inlineStr">
        <is>
          <t>SIG-007</t>
        </is>
      </c>
      <c r="B119" t="inlineStr">
        <is>
          <t>Production at risk</t>
        </is>
      </c>
      <c r="C119" t="inlineStr">
        <is>
          <t>A1,Group,Plant02</t>
        </is>
      </c>
      <c r="D119" t="inlineStr">
        <is>
          <t>E01 E02 E05 O02 S10 S12 S12e</t>
        </is>
      </c>
      <c r="E119" t="n">
        <v>36810</v>
      </c>
      <c r="F119" t="n">
        <v>30930</v>
      </c>
      <c r="G119" t="n">
        <v>5880</v>
      </c>
      <c r="H119" t="inlineStr">
        <is>
          <t>yes</t>
        </is>
      </c>
      <c r="I119" t="inlineStr">
        <is>
          <t>source model</t>
        </is>
      </c>
    </row>
    <row r="120">
      <c r="A120" t="inlineStr">
        <is>
          <t>SIG-008</t>
        </is>
      </c>
      <c r="B120" t="inlineStr">
        <is>
          <t>Critical plant-state alerts</t>
        </is>
      </c>
      <c r="C120" t="inlineStr">
        <is>
          <t>A1,Group</t>
        </is>
      </c>
      <c r="D120" t="inlineStr">
        <is>
          <t>E03 S12 S12e</t>
        </is>
      </c>
      <c r="E120" t="n">
        <v>7</v>
      </c>
      <c r="F120" t="n">
        <v>5</v>
      </c>
      <c r="G120" t="n">
        <v>2</v>
      </c>
      <c r="H120" t="inlineStr">
        <is>
          <t>yes</t>
        </is>
      </c>
      <c r="I120" t="inlineStr">
        <is>
          <t>source model</t>
        </is>
      </c>
    </row>
    <row r="121">
      <c r="A121" t="inlineStr">
        <is>
          <t>SIG-009</t>
        </is>
      </c>
      <c r="B121" t="inlineStr">
        <is>
          <t>Critical-material shortage risk</t>
        </is>
      </c>
      <c r="C121" t="inlineStr">
        <is>
          <t>A1,Group</t>
        </is>
      </c>
      <c r="D121" t="inlineStr">
        <is>
          <t>E01 E04 O02 O09 S10 S12 S12e</t>
        </is>
      </c>
      <c r="E121" t="n">
        <v>5</v>
      </c>
      <c r="F121" t="n">
        <v>4</v>
      </c>
      <c r="G121" t="n">
        <v>1</v>
      </c>
      <c r="H121" t="inlineStr">
        <is>
          <t>yes</t>
        </is>
      </c>
      <c r="I121" t="inlineStr">
        <is>
          <t>source model</t>
        </is>
      </c>
    </row>
    <row r="122">
      <c r="A122" t="inlineStr">
        <is>
          <t>SIG-010</t>
        </is>
      </c>
      <c r="B122" t="inlineStr">
        <is>
          <t>Single-source supply risk</t>
        </is>
      </c>
      <c r="C122" t="inlineStr">
        <is>
          <t>A1,Group</t>
        </is>
      </c>
      <c r="D122" t="inlineStr">
        <is>
          <t>E01 E04 S12 S12e</t>
        </is>
      </c>
      <c r="E122" t="n">
        <v>1</v>
      </c>
      <c r="F122" t="n">
        <v>1</v>
      </c>
      <c r="G122" t="n">
        <v>0</v>
      </c>
      <c r="H122" t="inlineStr">
        <is>
          <t>no</t>
        </is>
      </c>
      <c r="I122" t="inlineStr">
        <is>
          <t>added (synthetic inputs)</t>
        </is>
      </c>
    </row>
    <row r="123">
      <c r="A123" t="inlineStr">
        <is>
          <t>SIG-011</t>
        </is>
      </c>
      <c r="B123" t="inlineStr">
        <is>
          <t>Capex value at risk</t>
        </is>
      </c>
      <c r="C123" t="inlineStr">
        <is>
          <t>A1,Group</t>
        </is>
      </c>
      <c r="D123" t="inlineStr">
        <is>
          <t>E06 G06 O04 S12 S12e</t>
        </is>
      </c>
      <c r="E123" t="n">
        <v>148.03</v>
      </c>
      <c r="F123" t="n">
        <v>20.8</v>
      </c>
      <c r="G123" t="n">
        <v>127.23</v>
      </c>
      <c r="H123" t="inlineStr">
        <is>
          <t>no</t>
        </is>
      </c>
      <c r="I123" t="inlineStr">
        <is>
          <t>source model</t>
        </is>
      </c>
    </row>
    <row r="124">
      <c r="A124" t="inlineStr">
        <is>
          <t>SIG-012</t>
        </is>
      </c>
      <c r="B124" t="inlineStr">
        <is>
          <t>Dispatch delays</t>
        </is>
      </c>
      <c r="C124" t="inlineStr">
        <is>
          <t>A1,Group</t>
        </is>
      </c>
      <c r="D124" t="inlineStr">
        <is>
          <t>E05 O02 S11 S12 S12e</t>
        </is>
      </c>
      <c r="E124" t="n">
        <v>8.66</v>
      </c>
      <c r="F124" t="n">
        <v>10.91</v>
      </c>
      <c r="G124" t="n">
        <v>6.1</v>
      </c>
      <c r="H124" t="inlineStr">
        <is>
          <t>yes</t>
        </is>
      </c>
      <c r="I124" t="inlineStr">
        <is>
          <t>source model</t>
        </is>
      </c>
    </row>
    <row r="125">
      <c r="A125" t="inlineStr">
        <is>
          <t>SIG-013</t>
        </is>
      </c>
      <c r="B125" t="inlineStr">
        <is>
          <t>Pricing pressure</t>
        </is>
      </c>
      <c r="C125" t="inlineStr">
        <is>
          <t>Group</t>
        </is>
      </c>
      <c r="D125" t="inlineStr">
        <is>
          <t>G03 S12</t>
        </is>
      </c>
      <c r="E125" t="inlineStr">
        <is>
          <t>Low (-0.4% vs plan price)</t>
        </is>
      </c>
      <c r="F125" t="inlineStr">
        <is>
          <t>Low (-0.9% vs plan price)</t>
        </is>
      </c>
      <c r="G125" t="inlineStr">
        <is>
          <t>Low (0% vs plan price)</t>
        </is>
      </c>
      <c r="H125" t="inlineStr">
        <is>
          <t>yes</t>
        </is>
      </c>
      <c r="I125" t="inlineStr">
        <is>
          <t>source model</t>
        </is>
      </c>
    </row>
    <row r="126">
      <c r="A126" t="inlineStr">
        <is>
          <t>SIG-014</t>
        </is>
      </c>
      <c r="B126" t="inlineStr">
        <is>
          <t>Commodity-price movement (RM-1 index)</t>
        </is>
      </c>
      <c r="C126" t="inlineStr">
        <is>
          <t>Group</t>
        </is>
      </c>
      <c r="D126" t="inlineStr">
        <is>
          <t>G03 O02 S12</t>
        </is>
      </c>
      <c r="E126" t="n">
        <v>2.13</v>
      </c>
      <c r="F126" t="n">
        <v>2.13</v>
      </c>
      <c r="G126" t="n">
        <v>2.13</v>
      </c>
      <c r="H126" t="inlineStr">
        <is>
          <t>no</t>
        </is>
      </c>
      <c r="I126" t="inlineStr">
        <is>
          <t>added (synthetic inputs)</t>
        </is>
      </c>
    </row>
    <row r="127">
      <c r="A127" t="inlineStr">
        <is>
          <t>SIG-015</t>
        </is>
      </c>
      <c r="B127" t="inlineStr">
        <is>
          <t>FX exposure, unhedged (same measure as TRS-001)</t>
        </is>
      </c>
      <c r="C127" t="inlineStr">
        <is>
          <t>Group</t>
        </is>
      </c>
      <c r="D127" t="inlineStr">
        <is>
          <t>G03 O02 S12</t>
        </is>
      </c>
      <c r="E127" t="n">
        <v>221.72</v>
      </c>
      <c r="F127" t="n">
        <v>123.27</v>
      </c>
      <c r="G127" t="n">
        <v>98.45999999999999</v>
      </c>
      <c r="H127" t="inlineStr">
        <is>
          <t>no</t>
        </is>
      </c>
      <c r="I127" t="inlineStr">
        <is>
          <t>alias of TRS-001</t>
        </is>
      </c>
    </row>
    <row r="128">
      <c r="A128" t="inlineStr">
        <is>
          <t>SIG-016</t>
        </is>
      </c>
      <c r="B128" t="inlineStr">
        <is>
          <t>Freight exposure (lanes disrupted)</t>
        </is>
      </c>
      <c r="C128" t="inlineStr">
        <is>
          <t>A1,Group</t>
        </is>
      </c>
      <c r="D128" t="inlineStr">
        <is>
          <t>G03 O02 S12 S12e</t>
        </is>
      </c>
      <c r="E128" t="n">
        <v>1</v>
      </c>
      <c r="F128" t="n">
        <v>1</v>
      </c>
      <c r="G128" t="n">
        <v>0</v>
      </c>
      <c r="H128" t="inlineStr">
        <is>
          <t>no</t>
        </is>
      </c>
      <c r="I128" t="inlineStr">
        <is>
          <t>added (synthetic inputs)</t>
        </is>
      </c>
    </row>
    <row r="129">
      <c r="A129" t="inlineStr">
        <is>
          <t>SIG-017</t>
        </is>
      </c>
      <c r="B129" t="inlineStr">
        <is>
          <t>Fuel exposure (fuel cost per tonne, MoM)</t>
        </is>
      </c>
      <c r="C129" t="inlineStr">
        <is>
          <t>A1,Group</t>
        </is>
      </c>
      <c r="D129" t="inlineStr">
        <is>
          <t>G03 O02 S12 S12e</t>
        </is>
      </c>
      <c r="E129" t="n">
        <v>-17.66</v>
      </c>
      <c r="F129" t="n">
        <v>-27.67</v>
      </c>
      <c r="G129" t="n">
        <v>-5.67</v>
      </c>
      <c r="H129" t="inlineStr">
        <is>
          <t>yes</t>
        </is>
      </c>
      <c r="I129" t="inlineStr">
        <is>
          <t>added (synthetic inputs)</t>
        </is>
      </c>
    </row>
    <row r="130">
      <c r="A130" t="inlineStr">
        <is>
          <t>SIG-018</t>
        </is>
      </c>
      <c r="B130" t="inlineStr">
        <is>
          <t>Power-cost exposure (power cost per tonne, MoM)</t>
        </is>
      </c>
      <c r="C130" t="inlineStr">
        <is>
          <t>Group</t>
        </is>
      </c>
      <c r="D130" t="inlineStr">
        <is>
          <t>G03 O02 S12</t>
        </is>
      </c>
      <c r="E130" t="n">
        <v>-7.14</v>
      </c>
      <c r="F130" t="n">
        <v>-10.59</v>
      </c>
      <c r="G130" t="n">
        <v>-3.1</v>
      </c>
      <c r="H130" t="inlineStr">
        <is>
          <t>yes</t>
        </is>
      </c>
      <c r="I130" t="inlineStr">
        <is>
          <t>added (synthetic inputs)</t>
        </is>
      </c>
    </row>
    <row r="131">
      <c r="A131" t="inlineStr">
        <is>
          <t>SIG-019</t>
        </is>
      </c>
      <c r="B131" t="inlineStr">
        <is>
          <t>Regulatory deadlines, next 30 days (same measure as REG-002)</t>
        </is>
      </c>
      <c r="C131" t="inlineStr">
        <is>
          <t>A1,Group</t>
        </is>
      </c>
      <c r="D131" t="inlineStr">
        <is>
          <t>S12 S12e</t>
        </is>
      </c>
      <c r="E131" t="n">
        <v>3</v>
      </c>
      <c r="F131" t="n">
        <v>2</v>
      </c>
      <c r="G131" t="n">
        <v>1</v>
      </c>
      <c r="H131" t="inlineStr">
        <is>
          <t>yes</t>
        </is>
      </c>
      <c r="I131" t="inlineStr">
        <is>
          <t>alias of REG-002</t>
        </is>
      </c>
    </row>
    <row r="132">
      <c r="A132" t="inlineStr">
        <is>
          <t>SIG-020</t>
        </is>
      </c>
      <c r="B132" t="inlineStr">
        <is>
          <t>Licence expirations, next 12 months (same measure as REG-003)</t>
        </is>
      </c>
      <c r="C132" t="inlineStr">
        <is>
          <t>A1,Group</t>
        </is>
      </c>
      <c r="D132" t="inlineStr">
        <is>
          <t>S12 S12e</t>
        </is>
      </c>
      <c r="E132" t="n">
        <v>1</v>
      </c>
      <c r="F132" t="n">
        <v>1</v>
      </c>
      <c r="G132" t="n">
        <v>0</v>
      </c>
      <c r="H132" t="inlineStr">
        <is>
          <t>yes</t>
        </is>
      </c>
      <c r="I132" t="inlineStr">
        <is>
          <t>alias of REG-003</t>
        </is>
      </c>
    </row>
    <row r="133">
      <c r="A133" t="inlineStr">
        <is>
          <t>SIG-021</t>
        </is>
      </c>
      <c r="B133" t="inlineStr">
        <is>
          <t>Environmental violations</t>
        </is>
      </c>
      <c r="C133" t="inlineStr">
        <is>
          <t>A1,Group</t>
        </is>
      </c>
      <c r="D133" t="inlineStr">
        <is>
          <t>E07 S12 S12e</t>
        </is>
      </c>
      <c r="E133" t="n">
        <v>0</v>
      </c>
      <c r="F133" t="n">
        <v>0</v>
      </c>
      <c r="G133" t="n">
        <v>0</v>
      </c>
      <c r="H133" t="inlineStr">
        <is>
          <t>yes</t>
        </is>
      </c>
      <c r="I133" t="inlineStr">
        <is>
          <t>source model</t>
        </is>
      </c>
    </row>
    <row r="134">
      <c r="A134" t="inlineStr">
        <is>
          <t>STR-001</t>
        </is>
      </c>
      <c r="B134" t="inlineStr">
        <is>
          <t>Capex physical progress, weighted (same measure as CPX-004)</t>
        </is>
      </c>
      <c r="C134" t="inlineStr">
        <is>
          <t>Group</t>
        </is>
      </c>
      <c r="D134" t="inlineStr">
        <is>
          <t>O01 X L</t>
        </is>
      </c>
      <c r="E134" t="n">
        <v>60.85</v>
      </c>
      <c r="F134" t="n">
        <v>59</v>
      </c>
      <c r="G134" t="n">
        <v>63</v>
      </c>
      <c r="H134" t="inlineStr">
        <is>
          <t>no</t>
        </is>
      </c>
      <c r="I134" t="inlineStr">
        <is>
          <t>alias of CPX-004</t>
        </is>
      </c>
    </row>
    <row r="135">
      <c r="A135" t="inlineStr">
        <is>
          <t>STR-002</t>
        </is>
      </c>
      <c r="B135" t="inlineStr">
        <is>
          <t>Transformation progress</t>
        </is>
      </c>
      <c r="C135" t="inlineStr">
        <is>
          <t>Group</t>
        </is>
      </c>
      <c r="D135" t="inlineStr">
        <is>
          <t>G06 O01 O04 X L</t>
        </is>
      </c>
      <c r="E135" t="n">
        <v>54.03</v>
      </c>
      <c r="F135" t="n">
        <v>53.33</v>
      </c>
      <c r="G135" t="n">
        <v>54.69</v>
      </c>
      <c r="H135" t="inlineStr">
        <is>
          <t>no</t>
        </is>
      </c>
      <c r="I135" t="inlineStr">
        <is>
          <t>source model</t>
        </is>
      </c>
    </row>
    <row r="136">
      <c r="A136" t="inlineStr">
        <is>
          <t>SUP-001</t>
        </is>
      </c>
      <c r="B136" t="inlineStr">
        <is>
          <t>Supplier on-time delivery</t>
        </is>
      </c>
      <c r="C136" t="inlineStr">
        <is>
          <t>A1,Group</t>
        </is>
      </c>
      <c r="D136" t="inlineStr">
        <is>
          <t>E04 G05 O09</t>
        </is>
      </c>
      <c r="E136" t="n">
        <v>91.41</v>
      </c>
      <c r="F136" t="n">
        <v>90.39</v>
      </c>
      <c r="G136" t="n">
        <v>92.28</v>
      </c>
      <c r="H136" t="inlineStr">
        <is>
          <t>yes</t>
        </is>
      </c>
      <c r="I136" t="inlineStr">
        <is>
          <t>source model</t>
        </is>
      </c>
    </row>
    <row r="137">
      <c r="A137" t="inlineStr">
        <is>
          <t>SUP-002</t>
        </is>
      </c>
      <c r="B137" t="inlineStr">
        <is>
          <t>Supplier fill rate</t>
        </is>
      </c>
      <c r="C137" t="inlineStr">
        <is>
          <t>A1</t>
        </is>
      </c>
      <c r="D137" t="inlineStr">
        <is>
          <t>E04</t>
        </is>
      </c>
      <c r="E137" t="n">
        <v>96.81999999999999</v>
      </c>
      <c r="F137" t="n">
        <v>97.01000000000001</v>
      </c>
      <c r="G137" t="n">
        <v>96.61</v>
      </c>
      <c r="H137" t="inlineStr">
        <is>
          <t>yes</t>
        </is>
      </c>
      <c r="I137" t="inlineStr">
        <is>
          <t>source model</t>
        </is>
      </c>
    </row>
    <row r="138">
      <c r="A138" t="inlineStr">
        <is>
          <t>SUP-003</t>
        </is>
      </c>
      <c r="B138" t="inlineStr">
        <is>
          <t>Supplier quality-rejection rate</t>
        </is>
      </c>
      <c r="C138" t="inlineStr">
        <is>
          <t>A1</t>
        </is>
      </c>
      <c r="D138" t="inlineStr">
        <is>
          <t>E04</t>
        </is>
      </c>
      <c r="E138" t="n">
        <v>1.12</v>
      </c>
      <c r="F138" t="n">
        <v>0.97</v>
      </c>
      <c r="G138" t="n">
        <v>1.28</v>
      </c>
      <c r="H138" t="inlineStr">
        <is>
          <t>yes</t>
        </is>
      </c>
      <c r="I138" t="inlineStr">
        <is>
          <t>source model</t>
        </is>
      </c>
    </row>
    <row r="139">
      <c r="A139" t="inlineStr">
        <is>
          <t>SUP-004</t>
        </is>
      </c>
      <c r="B139" t="inlineStr">
        <is>
          <t>Supplier lead-time variance</t>
        </is>
      </c>
      <c r="C139" t="inlineStr">
        <is>
          <t>A1,Group</t>
        </is>
      </c>
      <c r="D139" t="inlineStr">
        <is>
          <t>E04 G05</t>
        </is>
      </c>
      <c r="E139" t="n">
        <v>5.25</v>
      </c>
      <c r="F139" t="n">
        <v>6.91</v>
      </c>
      <c r="G139" t="n">
        <v>3.65</v>
      </c>
      <c r="H139" t="inlineStr">
        <is>
          <t>yes</t>
        </is>
      </c>
      <c r="I139" t="inlineStr">
        <is>
          <t>source model</t>
        </is>
      </c>
    </row>
    <row r="140">
      <c r="A140" t="inlineStr">
        <is>
          <t>SUP-005</t>
        </is>
      </c>
      <c r="B140" t="inlineStr">
        <is>
          <t>Critical supplier exposure</t>
        </is>
      </c>
      <c r="C140" t="inlineStr">
        <is>
          <t>A1,Group</t>
        </is>
      </c>
      <c r="D140" t="inlineStr">
        <is>
          <t>E04 G05</t>
        </is>
      </c>
      <c r="E140" t="n">
        <v>3</v>
      </c>
      <c r="F140" t="n">
        <v>2</v>
      </c>
      <c r="G140" t="n">
        <v>1</v>
      </c>
      <c r="H140" t="inlineStr">
        <is>
          <t>no</t>
        </is>
      </c>
      <c r="I140" t="inlineStr">
        <is>
          <t>source model</t>
        </is>
      </c>
    </row>
    <row r="141">
      <c r="A141" t="inlineStr">
        <is>
          <t>SUP-006</t>
        </is>
      </c>
      <c r="B141" t="inlineStr">
        <is>
          <t>Contractor slippage</t>
        </is>
      </c>
      <c r="C141" t="inlineStr">
        <is>
          <t>A1,Group</t>
        </is>
      </c>
      <c r="D141" t="inlineStr">
        <is>
          <t>E04 E06 G06</t>
        </is>
      </c>
      <c r="E141" t="n">
        <v>1.73</v>
      </c>
      <c r="F141" t="n">
        <v>2.5</v>
      </c>
      <c r="G141" t="n">
        <v>1.29</v>
      </c>
      <c r="H141" t="inlineStr">
        <is>
          <t>no</t>
        </is>
      </c>
      <c r="I141" t="inlineStr">
        <is>
          <t>source model</t>
        </is>
      </c>
    </row>
    <row r="142">
      <c r="A142" t="inlineStr">
        <is>
          <t>SUP-007</t>
        </is>
      </c>
      <c r="B142" t="inlineStr">
        <is>
          <t>Single-source spend share</t>
        </is>
      </c>
      <c r="C142" t="inlineStr">
        <is>
          <t>Group</t>
        </is>
      </c>
      <c r="D142" t="inlineStr">
        <is>
          <t>O09</t>
        </is>
      </c>
      <c r="E142" t="n">
        <v>35.19</v>
      </c>
      <c r="F142" t="n">
        <v>34.81</v>
      </c>
      <c r="G142" t="n">
        <v>35.55</v>
      </c>
      <c r="H142" t="inlineStr">
        <is>
          <t>yes</t>
        </is>
      </c>
      <c r="I142" t="inlineStr">
        <is>
          <t>source model</t>
        </is>
      </c>
    </row>
    <row r="143">
      <c r="A143" t="inlineStr">
        <is>
          <t>SUP-008</t>
        </is>
      </c>
      <c r="B143" t="inlineStr">
        <is>
          <t>Supplier EHS incidents YTD</t>
        </is>
      </c>
      <c r="C143" t="inlineStr">
        <is>
          <t>Group</t>
        </is>
      </c>
      <c r="D143" t="inlineStr">
        <is>
          <t>O09</t>
        </is>
      </c>
      <c r="E143" t="n">
        <v>3</v>
      </c>
      <c r="F143" t="n">
        <v>2</v>
      </c>
      <c r="G143" t="n">
        <v>1</v>
      </c>
      <c r="H143" t="inlineStr">
        <is>
          <t>yes</t>
        </is>
      </c>
      <c r="I143" t="inlineStr">
        <is>
          <t>source model</t>
        </is>
      </c>
    </row>
    <row r="144">
      <c r="A144" t="inlineStr">
        <is>
          <t>SUS-001</t>
        </is>
      </c>
      <c r="B144" t="inlineStr">
        <is>
          <t>Water usage</t>
        </is>
      </c>
      <c r="C144" t="inlineStr">
        <is>
          <t>A1,Group</t>
        </is>
      </c>
      <c r="D144" t="inlineStr">
        <is>
          <t>E02 E07 G05 G07 O05 O09</t>
        </is>
      </c>
      <c r="E144" t="n">
        <v>1450141</v>
      </c>
      <c r="F144" t="n">
        <v>741310</v>
      </c>
      <c r="G144" t="n">
        <v>708831</v>
      </c>
      <c r="H144" t="inlineStr">
        <is>
          <t>yes</t>
        </is>
      </c>
      <c r="I144" t="inlineStr">
        <is>
          <t>source model</t>
        </is>
      </c>
    </row>
    <row r="145">
      <c r="A145" t="inlineStr">
        <is>
          <t>SUS-002</t>
        </is>
      </c>
      <c r="B145" t="inlineStr">
        <is>
          <t>Emissions</t>
        </is>
      </c>
      <c r="C145" t="inlineStr">
        <is>
          <t>A1,Group</t>
        </is>
      </c>
      <c r="D145" t="inlineStr">
        <is>
          <t>E02 E07 G05 G07 O05 O09</t>
        </is>
      </c>
      <c r="E145" t="n">
        <v>427664</v>
      </c>
      <c r="F145" t="n">
        <v>219505</v>
      </c>
      <c r="G145" t="n">
        <v>208159</v>
      </c>
      <c r="H145" t="inlineStr">
        <is>
          <t>yes</t>
        </is>
      </c>
      <c r="I145" t="inlineStr">
        <is>
          <t>source model</t>
        </is>
      </c>
    </row>
    <row r="146">
      <c r="A146" t="inlineStr">
        <is>
          <t>SUS-003</t>
        </is>
      </c>
      <c r="B146" t="inlineStr">
        <is>
          <t>Energy intensity</t>
        </is>
      </c>
      <c r="C146" t="inlineStr">
        <is>
          <t>A1,Group</t>
        </is>
      </c>
      <c r="D146" t="inlineStr">
        <is>
          <t>E02 E07 G05 G07 O05 O09</t>
        </is>
      </c>
      <c r="E146" t="n">
        <v>3.42</v>
      </c>
      <c r="F146" t="n">
        <v>3.61</v>
      </c>
      <c r="G146" t="n">
        <v>3.23</v>
      </c>
      <c r="H146" t="inlineStr">
        <is>
          <t>yes</t>
        </is>
      </c>
      <c r="I146" t="inlineStr">
        <is>
          <t>source model</t>
        </is>
      </c>
    </row>
    <row r="147">
      <c r="A147" t="inlineStr">
        <is>
          <t>TRS-001</t>
        </is>
      </c>
      <c r="B147" t="inlineStr">
        <is>
          <t>FX exposure, unhedged</t>
        </is>
      </c>
      <c r="C147" t="inlineStr">
        <is>
          <t>A1,Group</t>
        </is>
      </c>
      <c r="D147" t="inlineStr">
        <is>
          <t>E05 G04 O03</t>
        </is>
      </c>
      <c r="E147" t="n">
        <v>221.72</v>
      </c>
      <c r="F147" t="n">
        <v>123.27</v>
      </c>
      <c r="G147" t="n">
        <v>98.45999999999999</v>
      </c>
      <c r="H147" t="inlineStr">
        <is>
          <t>no</t>
        </is>
      </c>
      <c r="I147" t="inlineStr">
        <is>
          <t>source model</t>
        </is>
      </c>
    </row>
    <row r="148">
      <c r="A148" t="inlineStr">
        <is>
          <t>TRS-002</t>
        </is>
      </c>
      <c r="B148" t="inlineStr">
        <is>
          <t>Hedging effectiveness</t>
        </is>
      </c>
      <c r="C148" t="inlineStr">
        <is>
          <t>A1,Group</t>
        </is>
      </c>
      <c r="D148" t="inlineStr">
        <is>
          <t>E05 G04 O03</t>
        </is>
      </c>
      <c r="E148" t="n">
        <v>91.7</v>
      </c>
      <c r="F148" t="n">
        <v>91.55</v>
      </c>
      <c r="G148" t="n">
        <v>91.95999999999999</v>
      </c>
      <c r="H148" t="inlineStr">
        <is>
          <t>no</t>
        </is>
      </c>
      <c r="I148" t="inlineStr">
        <is>
          <t>source model</t>
        </is>
      </c>
    </row>
    <row r="149">
      <c r="A149" t="inlineStr">
        <is>
          <t>TRS-003</t>
        </is>
      </c>
      <c r="B149" t="inlineStr">
        <is>
          <t>USD share of unhedged FX exposure</t>
        </is>
      </c>
      <c r="C149" t="inlineStr">
        <is>
          <t>Group</t>
        </is>
      </c>
      <c r="D149" t="inlineStr">
        <is>
          <t>O03</t>
        </is>
      </c>
      <c r="E149" t="n">
        <v>75.83</v>
      </c>
      <c r="F149" t="n">
        <v>80.51000000000001</v>
      </c>
      <c r="G149" t="n">
        <v>69.97</v>
      </c>
      <c r="H149" t="inlineStr">
        <is>
          <t>no</t>
        </is>
      </c>
      <c r="I149" t="inlineStr">
        <is>
          <t>source model</t>
        </is>
      </c>
    </row>
    <row r="150">
      <c r="A150" t="inlineStr">
        <is>
          <t>TRS-004</t>
        </is>
      </c>
      <c r="B150" t="inlineStr">
        <is>
          <t>Hedge cover, next 6 months</t>
        </is>
      </c>
      <c r="C150" t="inlineStr">
        <is>
          <t>A1,Group</t>
        </is>
      </c>
      <c r="D150" t="inlineStr">
        <is>
          <t>E05 G04 O03</t>
        </is>
      </c>
      <c r="E150" t="n">
        <v>70.65000000000001</v>
      </c>
      <c r="F150" t="n">
        <v>77.90000000000001</v>
      </c>
      <c r="G150" t="n">
        <v>61.09</v>
      </c>
      <c r="H150" t="inlineStr">
        <is>
          <t>no</t>
        </is>
      </c>
      <c r="I150" t="inlineStr">
        <is>
          <t>source model</t>
        </is>
      </c>
    </row>
    <row r="151">
      <c r="A151" t="inlineStr">
        <is>
          <t>TRS-005</t>
        </is>
      </c>
      <c r="B151" t="inlineStr">
        <is>
          <t>FX sensitivity, 5% USD move</t>
        </is>
      </c>
      <c r="C151" t="inlineStr">
        <is>
          <t>Group</t>
        </is>
      </c>
      <c r="D151" t="inlineStr">
        <is>
          <t>O03</t>
        </is>
      </c>
      <c r="E151" t="n">
        <v>8.41</v>
      </c>
      <c r="F151" t="n">
        <v>4.96</v>
      </c>
      <c r="G151" t="n">
        <v>3.44</v>
      </c>
      <c r="H151" t="inlineStr">
        <is>
          <t>no</t>
        </is>
      </c>
      <c r="I151" t="inlineStr">
        <is>
          <t>source model</t>
        </is>
      </c>
    </row>
    <row r="152">
      <c r="A152" t="inlineStr">
        <is>
          <t>TRU-001</t>
        </is>
      </c>
      <c r="B152" t="inlineStr">
        <is>
          <t>Certified KPI percentage</t>
        </is>
      </c>
      <c r="C152" t="inlineStr">
        <is>
          <t>A1,Group</t>
        </is>
      </c>
      <c r="D152" t="inlineStr">
        <is>
          <t>E08 G01 G01b G02 G08 G08o</t>
        </is>
      </c>
      <c r="E152" t="n">
        <v>83.93000000000001</v>
      </c>
      <c r="F152" t="n">
        <v>82.14</v>
      </c>
      <c r="G152" t="n">
        <v>85.70999999999999</v>
      </c>
      <c r="H152" t="inlineStr">
        <is>
          <t>no</t>
        </is>
      </c>
      <c r="I152" t="inlineStr">
        <is>
          <t>source model</t>
        </is>
      </c>
    </row>
    <row r="153">
      <c r="A153" t="inlineStr">
        <is>
          <t>TRU-002</t>
        </is>
      </c>
      <c r="B153" t="inlineStr">
        <is>
          <t>Uncertified KPI count</t>
        </is>
      </c>
      <c r="C153" t="inlineStr">
        <is>
          <t>Group</t>
        </is>
      </c>
      <c r="D153" t="inlineStr">
        <is>
          <t>G08 G08o</t>
        </is>
      </c>
      <c r="E153" t="n">
        <v>9</v>
      </c>
      <c r="F153" t="n">
        <v>5</v>
      </c>
      <c r="G153" t="n">
        <v>4</v>
      </c>
      <c r="H153" t="inlineStr">
        <is>
          <t>no</t>
        </is>
      </c>
      <c r="I153" t="inlineStr">
        <is>
          <t>source model</t>
        </is>
      </c>
    </row>
    <row r="154">
      <c r="A154" t="inlineStr">
        <is>
          <t>TRU-003</t>
        </is>
      </c>
      <c r="B154" t="inlineStr">
        <is>
          <t>Variance against Board number (EBITDA)</t>
        </is>
      </c>
      <c r="C154" t="inlineStr">
        <is>
          <t>Group</t>
        </is>
      </c>
      <c r="D154" t="inlineStr">
        <is>
          <t>G08</t>
        </is>
      </c>
      <c r="E154" t="n">
        <v>-0.22</v>
      </c>
      <c r="F154" t="n">
        <v>-0.17</v>
      </c>
      <c r="G154" t="n">
        <v>-0.27</v>
      </c>
      <c r="H154" t="inlineStr">
        <is>
          <t>no</t>
        </is>
      </c>
      <c r="I154" t="inlineStr">
        <is>
          <t>source model</t>
        </is>
      </c>
    </row>
    <row r="155">
      <c r="A155" t="inlineStr">
        <is>
          <t>TRU-004</t>
        </is>
      </c>
      <c r="B155" t="inlineStr">
        <is>
          <t>Open reconciliation breaks</t>
        </is>
      </c>
      <c r="C155" t="inlineStr">
        <is>
          <t>A1,Group</t>
        </is>
      </c>
      <c r="D155" t="inlineStr">
        <is>
          <t>E08 G08</t>
        </is>
      </c>
      <c r="E155" t="n">
        <v>1</v>
      </c>
      <c r="F155" t="n">
        <v>1</v>
      </c>
      <c r="G155" t="n">
        <v>0</v>
      </c>
      <c r="H155" t="inlineStr">
        <is>
          <t>no</t>
        </is>
      </c>
      <c r="I155" t="inlineStr">
        <is>
          <t>source model</t>
        </is>
      </c>
    </row>
    <row r="156">
      <c r="A156" t="inlineStr">
        <is>
          <t>TRU-005</t>
        </is>
      </c>
      <c r="B156" t="inlineStr">
        <is>
          <t>KPI certification coverage</t>
        </is>
      </c>
      <c r="C156" t="inlineStr">
        <is>
          <t>Group</t>
        </is>
      </c>
      <c r="D156" t="inlineStr">
        <is>
          <t>G08</t>
        </is>
      </c>
      <c r="E156" t="n">
        <v>92.86</v>
      </c>
      <c r="F156" t="n">
        <v>92.86</v>
      </c>
      <c r="G156" t="n">
        <v>92.86</v>
      </c>
      <c r="H156" t="inlineStr">
        <is>
          <t>no</t>
        </is>
      </c>
      <c r="I156" t="inlineStr">
        <is>
          <t>source model</t>
        </is>
      </c>
    </row>
    <row r="157">
      <c r="A157" t="inlineStr">
        <is>
          <t>TRU-006</t>
        </is>
      </c>
      <c r="B157" t="inlineStr">
        <is>
          <t>Overdue certifications</t>
        </is>
      </c>
      <c r="C157" t="inlineStr">
        <is>
          <t>A1,Group</t>
        </is>
      </c>
      <c r="D157" t="inlineStr">
        <is>
          <t>E08 G08</t>
        </is>
      </c>
      <c r="E157" t="n">
        <v>2</v>
      </c>
      <c r="F157" t="n">
        <v>0</v>
      </c>
      <c r="G157" t="n">
        <v>2</v>
      </c>
      <c r="H157" t="inlineStr">
        <is>
          <t>no</t>
        </is>
      </c>
      <c r="I157" t="inlineStr">
        <is>
          <t>source model</t>
        </is>
      </c>
    </row>
    <row r="158">
      <c r="A158" t="inlineStr">
        <is>
          <t>TRU-007</t>
        </is>
      </c>
      <c r="B158" t="inlineStr">
        <is>
          <t>Material reconciliation breaks</t>
        </is>
      </c>
      <c r="C158" t="inlineStr">
        <is>
          <t>Group</t>
        </is>
      </c>
      <c r="D158" t="inlineStr">
        <is>
          <t>G08 G08o</t>
        </is>
      </c>
      <c r="E158" t="n">
        <v>1</v>
      </c>
      <c r="F158" t="n">
        <v>1</v>
      </c>
      <c r="G158" t="n">
        <v>0</v>
      </c>
      <c r="H158" t="inlineStr">
        <is>
          <t>no</t>
        </is>
      </c>
      <c r="I158" t="inlineStr">
        <is>
          <t>source model</t>
        </is>
      </c>
    </row>
    <row r="159">
      <c r="A159" t="inlineStr">
        <is>
          <t>TRU-008</t>
        </is>
      </c>
      <c r="B159" t="inlineStr">
        <is>
          <t>Source-to-Lake reconciliation rate</t>
        </is>
      </c>
      <c r="C159" t="inlineStr">
        <is>
          <t>A1,Group</t>
        </is>
      </c>
      <c r="D159" t="inlineStr">
        <is>
          <t>E08 G08 G08o</t>
        </is>
      </c>
      <c r="E159" t="n">
        <v>99.02</v>
      </c>
      <c r="F159" t="n">
        <v>98.93000000000001</v>
      </c>
      <c r="G159" t="n">
        <v>99.11</v>
      </c>
      <c r="H159" t="inlineStr">
        <is>
          <t>no</t>
        </is>
      </c>
      <c r="I159" t="inlineStr">
        <is>
          <t>source model</t>
        </is>
      </c>
    </row>
    <row r="160">
      <c r="A160" t="inlineStr">
        <is>
          <t>TRU-009</t>
        </is>
      </c>
      <c r="B160" t="inlineStr">
        <is>
          <t>Flash-to-MIS reconciliation rate</t>
        </is>
      </c>
      <c r="C160" t="inlineStr">
        <is>
          <t>A1,Group</t>
        </is>
      </c>
      <c r="D160" t="inlineStr">
        <is>
          <t>E08 G08 G08o</t>
        </is>
      </c>
      <c r="E160" t="n">
        <v>95.98</v>
      </c>
      <c r="F160" t="n">
        <v>94.25</v>
      </c>
      <c r="G160" t="n">
        <v>97.62</v>
      </c>
      <c r="H160" t="inlineStr">
        <is>
          <t>no</t>
        </is>
      </c>
      <c r="I160" t="inlineStr">
        <is>
          <t>source model</t>
        </is>
      </c>
    </row>
    <row r="161">
      <c r="A161" t="inlineStr">
        <is>
          <t>TRU-010</t>
        </is>
      </c>
      <c r="B161" t="inlineStr">
        <is>
          <t>Flash-to-close variance</t>
        </is>
      </c>
      <c r="C161" t="inlineStr">
        <is>
          <t>A1,Group</t>
        </is>
      </c>
      <c r="D161" t="inlineStr">
        <is>
          <t>E08 G08 G08o</t>
        </is>
      </c>
      <c r="E161" t="n">
        <v>0.38</v>
      </c>
      <c r="F161" t="n">
        <v>0.23</v>
      </c>
      <c r="G161" t="n">
        <v>0.52</v>
      </c>
      <c r="H161" t="inlineStr">
        <is>
          <t>no</t>
        </is>
      </c>
      <c r="I161" t="inlineStr">
        <is>
          <t>source model</t>
        </is>
      </c>
    </row>
    <row r="162">
      <c r="A162" t="inlineStr">
        <is>
          <t>TRU-011</t>
        </is>
      </c>
      <c r="B162" t="inlineStr">
        <is>
          <t>Largest entity variance against Board numbers</t>
        </is>
      </c>
      <c r="C162" t="inlineStr">
        <is>
          <t>A1,Group</t>
        </is>
      </c>
      <c r="D162" t="inlineStr">
        <is>
          <t>E08 G08 G08o</t>
        </is>
      </c>
      <c r="E162" t="n">
        <v>0.27</v>
      </c>
      <c r="F162" t="n">
        <v>0.27</v>
      </c>
      <c r="G162" t="n">
        <v>0.27</v>
      </c>
      <c r="H162" t="inlineStr">
        <is>
          <t>no</t>
        </is>
      </c>
      <c r="I162" t="inlineStr">
        <is>
          <t>source model</t>
        </is>
      </c>
    </row>
    <row r="163">
      <c r="A163" t="inlineStr">
        <is>
          <t>VAL-001</t>
        </is>
      </c>
      <c r="B163" t="inlineStr">
        <is>
          <t>EBITDA benefit YTD</t>
        </is>
      </c>
      <c r="C163" t="inlineStr">
        <is>
          <t>A1,Group</t>
        </is>
      </c>
      <c r="D163" t="inlineStr">
        <is>
          <t>E06 G06 O04</t>
        </is>
      </c>
      <c r="E163" t="n">
        <v>14.21</v>
      </c>
      <c r="F163" t="n">
        <v>6.2</v>
      </c>
      <c r="G163" t="n">
        <v>8</v>
      </c>
      <c r="H163" t="inlineStr">
        <is>
          <t>no</t>
        </is>
      </c>
      <c r="I163" t="inlineStr">
        <is>
          <t>source model</t>
        </is>
      </c>
    </row>
    <row r="164">
      <c r="A164" t="inlineStr">
        <is>
          <t>VAL-002</t>
        </is>
      </c>
      <c r="B164" t="inlineStr">
        <is>
          <t>Cash benefit YTD</t>
        </is>
      </c>
      <c r="C164" t="inlineStr">
        <is>
          <t>A1,Group</t>
        </is>
      </c>
      <c r="D164" t="inlineStr">
        <is>
          <t>E06 G06 O04</t>
        </is>
      </c>
      <c r="E164" t="n">
        <v>8.710000000000001</v>
      </c>
      <c r="F164" t="n">
        <v>2.37</v>
      </c>
      <c r="G164" t="n">
        <v>6.34</v>
      </c>
      <c r="H164" t="inlineStr">
        <is>
          <t>no</t>
        </is>
      </c>
      <c r="I164" t="inlineStr">
        <is>
          <t>source model</t>
        </is>
      </c>
    </row>
    <row r="165">
      <c r="A165" t="inlineStr">
        <is>
          <t>VAL-003</t>
        </is>
      </c>
      <c r="B165" t="inlineStr">
        <is>
          <t>Cost savings delivered YTD</t>
        </is>
      </c>
      <c r="C165" t="inlineStr">
        <is>
          <t>A1,Group</t>
        </is>
      </c>
      <c r="D165" t="inlineStr">
        <is>
          <t>E06 G06 O04</t>
        </is>
      </c>
      <c r="E165" t="n">
        <v>11.25</v>
      </c>
      <c r="F165" t="n">
        <v>3.89</v>
      </c>
      <c r="G165" t="n">
        <v>7.35</v>
      </c>
      <c r="H165" t="inlineStr">
        <is>
          <t>no</t>
        </is>
      </c>
      <c r="I165" t="inlineStr">
        <is>
          <t>source model</t>
        </is>
      </c>
    </row>
    <row r="166">
      <c r="A166" t="inlineStr">
        <is>
          <t>WCP-001</t>
        </is>
      </c>
      <c r="B166" t="inlineStr">
        <is>
          <t>DSO</t>
        </is>
      </c>
      <c r="C166" t="inlineStr">
        <is>
          <t>A1,Group</t>
        </is>
      </c>
      <c r="D166" t="inlineStr">
        <is>
          <t>E01 E05 G02 G04 G08 O03 S11</t>
        </is>
      </c>
      <c r="E166" t="n">
        <v>46.97</v>
      </c>
      <c r="F166" t="n">
        <v>52</v>
      </c>
      <c r="G166" t="n">
        <v>42.05</v>
      </c>
      <c r="H166" t="inlineStr">
        <is>
          <t>no</t>
        </is>
      </c>
      <c r="I166" t="inlineStr">
        <is>
          <t>source model</t>
        </is>
      </c>
    </row>
    <row r="167">
      <c r="A167" t="inlineStr">
        <is>
          <t>WCP-002</t>
        </is>
      </c>
      <c r="B167" t="inlineStr">
        <is>
          <t>DPO</t>
        </is>
      </c>
      <c r="C167" t="inlineStr">
        <is>
          <t>A1,Group</t>
        </is>
      </c>
      <c r="D167" t="inlineStr">
        <is>
          <t>E05 G04 O03</t>
        </is>
      </c>
      <c r="E167" t="n">
        <v>52.15</v>
      </c>
      <c r="F167" t="n">
        <v>40.2</v>
      </c>
      <c r="G167" t="n">
        <v>63.74</v>
      </c>
      <c r="H167" t="inlineStr">
        <is>
          <t>no</t>
        </is>
      </c>
      <c r="I167" t="inlineStr">
        <is>
          <t>source model</t>
        </is>
      </c>
    </row>
    <row r="168">
      <c r="A168" t="inlineStr">
        <is>
          <t>WCP-003</t>
        </is>
      </c>
      <c r="B168" t="inlineStr">
        <is>
          <t>Inventory days</t>
        </is>
      </c>
      <c r="C168" t="inlineStr">
        <is>
          <t>A1,Group</t>
        </is>
      </c>
      <c r="D168" t="inlineStr">
        <is>
          <t>E05 G04 O03</t>
        </is>
      </c>
      <c r="E168" t="n">
        <v>37.76</v>
      </c>
      <c r="F168" t="n">
        <v>40.49</v>
      </c>
      <c r="G168" t="n">
        <v>35.11</v>
      </c>
      <c r="H168" t="inlineStr">
        <is>
          <t>no</t>
        </is>
      </c>
      <c r="I168" t="inlineStr">
        <is>
          <t>source model</t>
        </is>
      </c>
    </row>
    <row r="169">
      <c r="A169" t="inlineStr">
        <is>
          <t>WCP-004</t>
        </is>
      </c>
      <c r="B169" t="inlineStr">
        <is>
          <t>Net working capital</t>
        </is>
      </c>
      <c r="C169" t="inlineStr">
        <is>
          <t>A1,Group</t>
        </is>
      </c>
      <c r="D169" t="inlineStr">
        <is>
          <t>E05 G04 O03</t>
        </is>
      </c>
      <c r="E169" t="n">
        <v>2780.99</v>
      </c>
      <c r="F169" t="n">
        <v>2012.17</v>
      </c>
      <c r="G169" t="n">
        <v>768.8099999999999</v>
      </c>
      <c r="H169" t="inlineStr">
        <is>
          <t>no</t>
        </is>
      </c>
      <c r="I169" t="inlineStr">
        <is>
          <t>source model</t>
        </is>
      </c>
    </row>
    <row r="170">
      <c r="A170" t="inlineStr">
        <is>
          <t>WCP-005</t>
        </is>
      </c>
      <c r="B170" t="inlineStr">
        <is>
          <t>Working-capital movement</t>
        </is>
      </c>
      <c r="C170" t="inlineStr">
        <is>
          <t>A1,Group</t>
        </is>
      </c>
      <c r="D170" t="inlineStr">
        <is>
          <t>E05 G04 O03</t>
        </is>
      </c>
      <c r="E170" t="n">
        <v>17.26</v>
      </c>
      <c r="F170" t="n">
        <v>-9.23</v>
      </c>
      <c r="G170" t="n">
        <v>26.49</v>
      </c>
      <c r="H170" t="inlineStr">
        <is>
          <t>no</t>
        </is>
      </c>
      <c r="I170" t="inlineStr">
        <is>
          <t>source model</t>
        </is>
      </c>
    </row>
    <row r="171">
      <c r="A171" t="inlineStr">
        <is>
          <t>WCP-006</t>
        </is>
      </c>
      <c r="B171" t="inlineStr">
        <is>
          <t>Working-capital days</t>
        </is>
      </c>
      <c r="C171" t="inlineStr">
        <is>
          <t>A1,Group</t>
        </is>
      </c>
      <c r="D171" t="inlineStr">
        <is>
          <t>E05 G04 O03</t>
        </is>
      </c>
      <c r="E171" t="n">
        <v>35.72</v>
      </c>
      <c r="F171" t="n">
        <v>52.23</v>
      </c>
      <c r="G171" t="n">
        <v>19.54</v>
      </c>
      <c r="H171" t="inlineStr">
        <is>
          <t>no</t>
        </is>
      </c>
      <c r="I171" t="inlineStr">
        <is>
          <t>source model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98.1%</t>
        </is>
      </c>
      <c r="G2" s="5" t="inlineStr">
        <is>
          <t>Different</t>
        </is>
      </c>
      <c r="H2" s="3" t="inlineStr">
        <is>
          <t>E-01,E-02,E-05,G-01,G-02,G-03,G-05,O-01,O-09,S-03,S-10,STATE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86%</t>
        </is>
      </c>
      <c r="G3" s="5" t="inlineStr">
        <is>
          <t>Different</t>
        </is>
      </c>
      <c r="H3" s="3" t="inlineStr">
        <is>
          <t>E-02,G-05,O-01,STATE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78 %</t>
        </is>
      </c>
      <c r="G5" s="5" t="inlineStr">
        <is>
          <t>Different</t>
        </is>
      </c>
      <c r="H5" s="3" t="inlineStr">
        <is>
          <t>E-02,G-05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205 h</t>
        </is>
      </c>
      <c r="G8" s="5" t="inlineStr">
        <is>
          <t>Different</t>
        </is>
      </c>
      <c r="H8" s="3" t="inlineStr">
        <is>
          <t>E-03,G-05,O-09</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3.6 h</t>
        </is>
      </c>
      <c r="G9" s="5" t="inlineStr">
        <is>
          <t>Different</t>
        </is>
      </c>
      <c r="H9" s="3" t="inlineStr">
        <is>
          <t>E-03,G-05,O-09</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E-03,G-05,O-09</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93%</t>
        </is>
      </c>
      <c r="G12" s="5" t="inlineStr">
        <is>
          <t>Different</t>
        </is>
      </c>
      <c r="H12" s="3" t="inlineStr">
        <is>
          <t>E-03,O-09</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₹412 /t</t>
        </is>
      </c>
      <c r="G13" s="5" t="inlineStr">
        <is>
          <t>Different</t>
        </is>
      </c>
      <c r="H13" s="3" t="inlineStr">
        <is>
          <t>E-02,E-11,G-03,G-05,O-09</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E-02,E-11,G-03,O-09</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E-02,O-09</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E-02,E-07,G-05,G-07,O-05,O-09</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0.82 tCO2e/t</t>
        </is>
      </c>
      <c r="G17" s="5" t="inlineStr">
        <is>
          <t>Different</t>
        </is>
      </c>
      <c r="H17" s="3" t="inlineStr">
        <is>
          <t>E-02,E-07,G-05,G-07,O-05,O-09</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E-02,E-07,G-05,G-07,O-05,O-09</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E-01,E-04,O-09,S-10,S-12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E-01,G-01,O-01,O-09</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78.4 %</t>
        </is>
      </c>
      <c r="G34" s="5" t="inlineStr">
        <is>
          <t>Different</t>
        </is>
      </c>
      <c r="H34" s="3" t="inlineStr">
        <is>
          <t>O-09</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6.1 ₹/t</t>
        </is>
      </c>
      <c r="G37" s="5" t="inlineStr">
        <is>
          <t>Different</t>
        </is>
      </c>
      <c r="H37" s="3" t="inlineStr">
        <is>
          <t>O-09</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E-01,E-11,G-01,G-03,O-01,O-03,STATE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1,140 ₹ m</t>
        </is>
      </c>
      <c r="G43" s="5" t="inlineStr">
        <is>
          <t>Different</t>
        </is>
      </c>
      <c r="H43" s="3" t="inlineStr">
        <is>
          <t>G-01,G-03,O-01,O-03,STATE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384 ₹ m</t>
        </is>
      </c>
      <c r="G46" s="5" t="inlineStr">
        <is>
          <t>Different</t>
        </is>
      </c>
      <c r="H46" s="3" t="inlineStr">
        <is>
          <t>E-05,G-04,O-03</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E-05,G-04,O-03</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E-01,E-05,G-04,O-03,S-11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E-05,G-04,O-03</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26 ₹ m</t>
        </is>
      </c>
      <c r="G50" s="5" t="inlineStr">
        <is>
          <t>Different</t>
        </is>
      </c>
      <c r="H50" s="3" t="inlineStr">
        <is>
          <t>E-01,E-05,G-04,O-03,S-11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 d</t>
        </is>
      </c>
      <c r="G51" s="7" t="inlineStr">
        <is>
          <t>Same</t>
        </is>
      </c>
      <c r="H51" s="3" t="inlineStr">
        <is>
          <t>E-01,E-05,G-02,G-04,O-03,S-11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E-05,G-04,O-03</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E-05,G-04,O-03</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512 ₹ m</t>
        </is>
      </c>
      <c r="G54" s="5" t="inlineStr">
        <is>
          <t>Different</t>
        </is>
      </c>
      <c r="H54" s="3" t="inlineStr">
        <is>
          <t>E-05,G-04,O-03</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E-05,G-04,O-03</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E-05,G-04,O-03</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14.2 months</t>
        </is>
      </c>
      <c r="G57" s="5" t="inlineStr">
        <is>
          <t>Different</t>
        </is>
      </c>
      <c r="H57" s="3" t="inlineStr">
        <is>
          <t>E-05,G-04,O-03</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E-05,G-04,O-03</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₹120 m</t>
        </is>
      </c>
      <c r="G59" s="5" t="inlineStr">
        <is>
          <t>Different</t>
        </is>
      </c>
      <c r="H59" s="3" t="inlineStr">
        <is>
          <t>E-05,G-04,O-03</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₹310 m</t>
        </is>
      </c>
      <c r="G60" s="5" t="inlineStr">
        <is>
          <t>Different</t>
        </is>
      </c>
      <c r="H60" s="3" t="inlineStr">
        <is>
          <t>G-04,O-03</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E-05,G-04,O-03</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E-05,G-04,O-03</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72% of unhedged</t>
        </is>
      </c>
      <c r="G63" s="5" t="inlineStr">
        <is>
          <t>Different</t>
        </is>
      </c>
      <c r="H63" s="3" t="inlineStr">
        <is>
          <t>O-03</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68%</t>
        </is>
      </c>
      <c r="G64" s="5" t="inlineStr">
        <is>
          <t>Different</t>
        </is>
      </c>
      <c r="H64" s="3" t="inlineStr">
        <is>
          <t>E-05,G-04,O-03</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₹3.2 m EBITDA</t>
        </is>
      </c>
      <c r="G65" s="5" t="inlineStr">
        <is>
          <t>Different</t>
        </is>
      </c>
      <c r="H65" s="3" t="inlineStr">
        <is>
          <t>O-03</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t>
        </is>
      </c>
      <c r="G81" s="7" t="inlineStr">
        <is>
          <t>Same</t>
        </is>
      </c>
      <c r="H81" s="3" t="inlineStr">
        <is>
          <t>E-04,G-05,O-09</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Not shown</t>
        </is>
      </c>
      <c r="G82" s="6" t="inlineStr">
        <is>
          <t>Not shown</t>
        </is>
      </c>
      <c r="H82" s="3" t="n"/>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38%</t>
        </is>
      </c>
      <c r="G86" s="5" t="inlineStr">
        <is>
          <t>Different</t>
        </is>
      </c>
      <c r="H86" s="3" t="inlineStr">
        <is>
          <t>O-09</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0</t>
        </is>
      </c>
      <c r="G87" s="5" t="inlineStr">
        <is>
          <t>Different</t>
        </is>
      </c>
      <c r="H87" s="3" t="inlineStr">
        <is>
          <t>O-09</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E-05,G-04,O-03,S-12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triggered</t>
        </is>
      </c>
      <c r="G142" s="7" t="inlineStr">
        <is>
          <t>Same</t>
        </is>
      </c>
      <c r="H142" s="3" t="inlineStr">
        <is>
          <t>O-03</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E-01,E-04,O-01,O-02,O-09,S-10,S-12,STATE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G-01,G-04,O-02,O-03,S-12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G-04,G-10,O-02,O-03,S-12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G-05,G-10,O-09</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41%</t>
        </is>
      </c>
      <c r="G150" s="5" t="inlineStr">
        <is>
          <t>Different</t>
        </is>
      </c>
      <c r="H150" s="3" t="inlineStr">
        <is>
          <t>O-09</t>
        </is>
      </c>
      <c r="I150" s="3" t="inlineStr">
        <is>
          <t>Synthetic inputs added for this model</t>
        </is>
      </c>
    </row>
  </sheetData>
  <autoFilter ref="A1:I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71"/>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t>
        </is>
      </c>
      <c r="M2" s="3" t="inlineStr">
        <is>
          <t>E-01,E-02,E-05,G-01,G-02,G-03,G-05,O-01,O-09,S-03,S-10,STATE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t>
        </is>
      </c>
      <c r="M3" s="3" t="inlineStr">
        <is>
          <t>E-02,G-05,O-01,STATE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t>
        </is>
      </c>
      <c r="M5" s="3" t="inlineStr">
        <is>
          <t>E-02,G-05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t>
        </is>
      </c>
      <c r="M8" s="3" t="inlineStr">
        <is>
          <t>E-03,G-05,O-09</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t>
        </is>
      </c>
      <c r="M9" s="3" t="inlineStr">
        <is>
          <t>E-03,G-05,O-09</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E-03,G-05,O-09</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t>
        </is>
      </c>
      <c r="M12" s="3" t="inlineStr">
        <is>
          <t>E-03,O-09</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t>
        </is>
      </c>
      <c r="M13" s="3" t="inlineStr">
        <is>
          <t>E-02,E-11,G-03,G-05,O-09</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E-02,E-11,G-03,O-09</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E-02,O-09</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E-02,E-07,G-05,G-07,O-05,O-09</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t>
        </is>
      </c>
      <c r="M17" s="3" t="inlineStr">
        <is>
          <t>E-02,E-07,G-05,G-07,O-05,O-09</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E-02,E-07,G-05,G-07,O-05,O-09</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E-01,E-04,O-09,S-10,S-12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E-01,G-01,O-01,O-09</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O-09</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t>
        </is>
      </c>
      <c r="M37" s="3" t="inlineStr">
        <is>
          <t>O-09</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E-01,E-11,G-01,G-03,O-01,O-03,STATE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t>
        </is>
      </c>
      <c r="M43" s="3" t="inlineStr">
        <is>
          <t>G-01,G-03,O-01,O-03,STATE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t>
        </is>
      </c>
      <c r="M46" s="3" t="inlineStr">
        <is>
          <t>E-05,G-04,O-03</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E-05,G-04,O-03</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E-01,E-05,G-04,O-03,S-11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E-05,G-04,O-03</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t>
        </is>
      </c>
      <c r="M50" s="3" t="inlineStr">
        <is>
          <t>E-01,E-05,G-04,O-03,S-11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t>
        </is>
      </c>
      <c r="M51" s="3" t="inlineStr">
        <is>
          <t>E-01,E-05,G-02,G-04,O-03,S-11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E-05,G-04,O-03</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E-05,G-04,O-03</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t>
        </is>
      </c>
      <c r="M54" s="3" t="inlineStr">
        <is>
          <t>E-05,G-04,O-03</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E-05,G-04,O-03</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E-05,G-04,O-03</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t>
        </is>
      </c>
      <c r="M57" s="3" t="inlineStr">
        <is>
          <t>E-05,G-04,O-03</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E-05,G-04,O-03</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t>
        </is>
      </c>
      <c r="M59" s="3" t="inlineStr">
        <is>
          <t>E-05,G-04,O-03</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t>
        </is>
      </c>
      <c r="M60" s="3" t="inlineStr">
        <is>
          <t>G-04,O-03</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E-05,G-04,O-03</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E-05,G-04,O-03</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O-03</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t>
        </is>
      </c>
      <c r="M64" s="3" t="inlineStr">
        <is>
          <t>E-05,G-04,O-03</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O-03</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t>
        </is>
      </c>
      <c r="M81" s="3" t="inlineStr">
        <is>
          <t>E-04,G-05,O-09</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t>
        </is>
      </c>
      <c r="M82" s="3" t="n"/>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O-09</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O-09</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E-05,G-04,O-03,S-12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O-03</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E-01,E-04,O-01,O-02,O-09,S-10,S-12,STATE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G-01,G-04,O-02,O-03,S-12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G-04,G-10,O-02,O-03,S-12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G-05,G-10,O-09</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O-09</t>
        </is>
      </c>
      <c r="N150" s="3" t="inlineStr">
        <is>
          <t>forecast_good_next_t, forecast_good_var_next, ideal_output_next_t</t>
        </is>
      </c>
    </row>
    <row r="151">
      <c r="A151" s="22" t="inlineStr">
        <is>
          <t>CST-005</t>
        </is>
      </c>
      <c r="B151" s="22" t="inlineStr">
        <is>
          <t>Fixed cost YTD</t>
        </is>
      </c>
      <c r="C151" s="22" t="inlineStr">
        <is>
          <t>₹ m</t>
        </is>
      </c>
      <c r="D151" s="22" t="inlineStr">
        <is>
          <t>Year to date</t>
        </is>
      </c>
      <c r="E151" s="22" t="inlineStr">
        <is>
          <t>Sum of monthly fixed cost since April ÷ 1000</t>
        </is>
      </c>
      <c r="F151" s="22">
        <f>ROUND(SUM('Group Inputs'!X$4:X4)/1000,2)</f>
        <v/>
      </c>
      <c r="G151" s="22">
        <f>ROUND(SUM('Group Inputs'!X$4:X5)/1000,2)</f>
        <v/>
      </c>
      <c r="H151" s="22">
        <f>ROUND(SUM('Group Inputs'!X$4:X6)/1000,2)</f>
        <v/>
      </c>
      <c r="I151" s="22">
        <f>ROUND(SUM('Group Inputs'!X$4:X7)/1000,2)</f>
        <v/>
      </c>
      <c r="J151" s="22">
        <f>ROUND(SUM('Group Inputs'!X$4:X8)/1000,2)</f>
        <v/>
      </c>
      <c r="K151" s="22">
        <f>ROUND(SUM('Group Inputs'!X$4:X9)/1000,2)</f>
        <v/>
      </c>
      <c r="L151" s="22" t="inlineStr">
        <is>
          <t>(added: UI KPI not in source model)</t>
        </is>
      </c>
      <c r="M151" s="22" t="n"/>
      <c r="N151" s="22" t="inlineStr">
        <is>
          <t>fixed_cost_k</t>
        </is>
      </c>
    </row>
    <row r="152">
      <c r="A152" s="22" t="inlineStr">
        <is>
          <t>PRD-008</t>
        </is>
      </c>
      <c r="B152" s="22" t="inlineStr">
        <is>
          <t>Projected FCF gap, full year</t>
        </is>
      </c>
      <c r="C152" s="22" t="inlineStr">
        <is>
          <t>₹ m</t>
        </is>
      </c>
      <c r="D152" s="22" t="inlineStr">
        <is>
          <t>Forecast</t>
        </is>
      </c>
      <c r="E152" s="22" t="inlineStr">
        <is>
          <t>(FCF YTD + forecast FCF rest of year − FY FCF plan) ÷ 1000</t>
        </is>
      </c>
      <c r="F152" s="22">
        <f>ROUND((SUM('Group Inputs'!GA$4:GA4)+'Group Inputs'!GJ4-'Group Inputs'!GI4)/1000,2)</f>
        <v/>
      </c>
      <c r="G152" s="22">
        <f>ROUND((SUM('Group Inputs'!GA$4:GA5)+'Group Inputs'!GJ5-'Group Inputs'!GI5)/1000,2)</f>
        <v/>
      </c>
      <c r="H152" s="22">
        <f>ROUND((SUM('Group Inputs'!GA$4:GA6)+'Group Inputs'!GJ6-'Group Inputs'!GI6)/1000,2)</f>
        <v/>
      </c>
      <c r="I152" s="22">
        <f>ROUND((SUM('Group Inputs'!GA$4:GA7)+'Group Inputs'!GJ7-'Group Inputs'!GI7)/1000,2)</f>
        <v/>
      </c>
      <c r="J152" s="22">
        <f>ROUND((SUM('Group Inputs'!GA$4:GA8)+'Group Inputs'!GJ8-'Group Inputs'!GI8)/1000,2)</f>
        <v/>
      </c>
      <c r="K152" s="22">
        <f>ROUND((SUM('Group Inputs'!GA$4:GA9)+'Group Inputs'!GJ9-'Group Inputs'!GI9)/1000,2)</f>
        <v/>
      </c>
      <c r="L152" s="22" t="inlineStr">
        <is>
          <t>(added: UI KPI not in source model)</t>
        </is>
      </c>
      <c r="M152" s="22" t="n"/>
      <c r="N152" s="22" t="inlineStr">
        <is>
          <t>fcf_k, fcf_plan_fy_k, forecast_fcf_rest_k</t>
        </is>
      </c>
    </row>
    <row r="153">
      <c r="A153" s="22" t="inlineStr">
        <is>
          <t>PRD-009</t>
        </is>
      </c>
      <c r="B153" s="22" t="inlineStr">
        <is>
          <t>ROCE at P12 (forecast)</t>
        </is>
      </c>
      <c r="C153" s="22" t="inlineStr">
        <is>
          <t>%</t>
        </is>
      </c>
      <c r="D153" s="22" t="inlineStr">
        <is>
          <t>Forecast</t>
        </is>
      </c>
      <c r="E153" s="22" t="inlineStr">
        <is>
          <t>(EBIT YTD + forecast EBIT rest of year) ÷ forecast capital employed at P12 × 100</t>
        </is>
      </c>
      <c r="F153" s="22">
        <f>ROUND(IF('Group Inputs'!GL4=0,0,100*(SUM('Group Inputs'!FW$4:FW4)+'Group Inputs'!GK4)/'Group Inputs'!GL4),2)</f>
        <v/>
      </c>
      <c r="G153" s="22">
        <f>ROUND(IF('Group Inputs'!GL5=0,0,100*(SUM('Group Inputs'!FW$4:FW5)+'Group Inputs'!GK5)/'Group Inputs'!GL5),2)</f>
        <v/>
      </c>
      <c r="H153" s="22">
        <f>ROUND(IF('Group Inputs'!GL6=0,0,100*(SUM('Group Inputs'!FW$4:FW6)+'Group Inputs'!GK6)/'Group Inputs'!GL6),2)</f>
        <v/>
      </c>
      <c r="I153" s="22">
        <f>ROUND(IF('Group Inputs'!GL7=0,0,100*(SUM('Group Inputs'!FW$4:FW7)+'Group Inputs'!GK7)/'Group Inputs'!GL7),2)</f>
        <v/>
      </c>
      <c r="J153" s="22">
        <f>ROUND(IF('Group Inputs'!GL8=0,0,100*(SUM('Group Inputs'!FW$4:FW8)+'Group Inputs'!GK8)/'Group Inputs'!GL8),2)</f>
        <v/>
      </c>
      <c r="K153" s="22">
        <f>ROUND(IF('Group Inputs'!GL9=0,0,100*(SUM('Group Inputs'!FW$4:FW9)+'Group Inputs'!GK9)/'Group Inputs'!GL9),2)</f>
        <v/>
      </c>
      <c r="L153" s="22" t="inlineStr">
        <is>
          <t>(added: UI KPI not in source model)</t>
        </is>
      </c>
      <c r="M153" s="22" t="n"/>
      <c r="N153" s="22" t="inlineStr">
        <is>
          <t>capital_employed_p12_k, ebit_fcst_rest_k, ebit_k</t>
        </is>
      </c>
    </row>
    <row r="154">
      <c r="A154" s="22" t="inlineStr">
        <is>
          <t>PRD-010</t>
        </is>
      </c>
      <c r="B154" s="22" t="inlineStr">
        <is>
          <t>Revenue per FTE YTD</t>
        </is>
      </c>
      <c r="C154" s="22" t="inlineStr">
        <is>
          <t>₹ m</t>
        </is>
      </c>
      <c r="D154" s="22" t="inlineStr">
        <is>
          <t>Year to date</t>
        </is>
      </c>
      <c r="E154" s="22" t="inlineStr">
        <is>
          <t>Revenue since April ÷ FTE ÷ 1000</t>
        </is>
      </c>
      <c r="F154" s="22">
        <f>ROUND(IF('Group Inputs'!GH4=0,0,SUM('Group Inputs'!AU$4:AU4)/'Group Inputs'!GH4/1000),3)</f>
        <v/>
      </c>
      <c r="G154" s="22">
        <f>ROUND(IF('Group Inputs'!GH5=0,0,SUM('Group Inputs'!AU$4:AU5)/'Group Inputs'!GH5/1000),3)</f>
        <v/>
      </c>
      <c r="H154" s="22">
        <f>ROUND(IF('Group Inputs'!GH6=0,0,SUM('Group Inputs'!AU$4:AU6)/'Group Inputs'!GH6/1000),3)</f>
        <v/>
      </c>
      <c r="I154" s="22">
        <f>ROUND(IF('Group Inputs'!GH7=0,0,SUM('Group Inputs'!AU$4:AU7)/'Group Inputs'!GH7/1000),3)</f>
        <v/>
      </c>
      <c r="J154" s="22">
        <f>ROUND(IF('Group Inputs'!GH8=0,0,SUM('Group Inputs'!AU$4:AU8)/'Group Inputs'!GH8/1000),3)</f>
        <v/>
      </c>
      <c r="K154" s="22">
        <f>ROUND(IF('Group Inputs'!GH9=0,0,SUM('Group Inputs'!AU$4:AU9)/'Group Inputs'!GH9/1000),3)</f>
        <v/>
      </c>
      <c r="L154" s="22" t="inlineStr">
        <is>
          <t>(added: UI KPI not in source model)</t>
        </is>
      </c>
      <c r="M154" s="22" t="n"/>
      <c r="N154" s="22" t="inlineStr">
        <is>
          <t>fte, revenue_k</t>
        </is>
      </c>
    </row>
    <row r="155">
      <c r="A155" s="22" t="inlineStr">
        <is>
          <t>PRD-011</t>
        </is>
      </c>
      <c r="B155" s="22" t="inlineStr">
        <is>
          <t>Tonnes per FTE</t>
        </is>
      </c>
      <c r="C155" s="22" t="inlineStr">
        <is>
          <t>t</t>
        </is>
      </c>
      <c r="D155" s="22" t="inlineStr">
        <is>
          <t>Month</t>
        </is>
      </c>
      <c r="E155" s="22" t="inlineStr">
        <is>
          <t>Good output ÷ FTE</t>
        </is>
      </c>
      <c r="F155" s="22">
        <f>ROUND(IF('Group Inputs'!GH4=0,0,'Group Inputs'!M4/'Group Inputs'!GH4),1)</f>
        <v/>
      </c>
      <c r="G155" s="22">
        <f>ROUND(IF('Group Inputs'!GH5=0,0,'Group Inputs'!M5/'Group Inputs'!GH5),1)</f>
        <v/>
      </c>
      <c r="H155" s="22">
        <f>ROUND(IF('Group Inputs'!GH6=0,0,'Group Inputs'!M6/'Group Inputs'!GH6),1)</f>
        <v/>
      </c>
      <c r="I155" s="22">
        <f>ROUND(IF('Group Inputs'!GH7=0,0,'Group Inputs'!M7/'Group Inputs'!GH7),1)</f>
        <v/>
      </c>
      <c r="J155" s="22">
        <f>ROUND(IF('Group Inputs'!GH8=0,0,'Group Inputs'!M8/'Group Inputs'!GH8),1)</f>
        <v/>
      </c>
      <c r="K155" s="22">
        <f>ROUND(IF('Group Inputs'!GH9=0,0,'Group Inputs'!M9/'Group Inputs'!GH9),1)</f>
        <v/>
      </c>
      <c r="L155" s="22" t="inlineStr">
        <is>
          <t>(added: UI KPI not in source model)</t>
        </is>
      </c>
      <c r="M155" s="22" t="n"/>
      <c r="N155" s="22" t="inlineStr">
        <is>
          <t>fte, good_output_t</t>
        </is>
      </c>
    </row>
    <row r="156">
      <c r="A156" s="22" t="inlineStr">
        <is>
          <t>PRD-012</t>
        </is>
      </c>
      <c r="B156" s="22" t="inlineStr">
        <is>
          <t>Probability of EBITDA plan miss, full year</t>
        </is>
      </c>
      <c r="C156" s="22" t="inlineStr">
        <is>
          <t>%</t>
        </is>
      </c>
      <c r="D156" s="22" t="inlineStr">
        <is>
          <t>Forecast</t>
        </is>
      </c>
      <c r="E156" s="22" t="inlineStr">
        <is>
          <t>P(FY EBITDA &lt; FY plan), FY EBITDA ~ Normal(EBITDA YTD + forecast rest of year, σ)</t>
        </is>
      </c>
      <c r="F156" s="22">
        <f>ROUND(100*NORM.DIST('Group Inputs'!GM4,SUM('Group Inputs'!FV$4:FV4)+'Group Inputs'!CU4,'Group Inputs'!GN4,TRUE),2)</f>
        <v/>
      </c>
      <c r="G156" s="22">
        <f>ROUND(100*NORM.DIST('Group Inputs'!GM5,SUM('Group Inputs'!FV$4:FV5)+'Group Inputs'!CU5,'Group Inputs'!GN5,TRUE),2)</f>
        <v/>
      </c>
      <c r="H156" s="22">
        <f>ROUND(100*NORM.DIST('Group Inputs'!GM6,SUM('Group Inputs'!FV$4:FV6)+'Group Inputs'!CU6,'Group Inputs'!GN6,TRUE),2)</f>
        <v/>
      </c>
      <c r="I156" s="22">
        <f>ROUND(100*NORM.DIST('Group Inputs'!GM7,SUM('Group Inputs'!FV$4:FV7)+'Group Inputs'!CU7,'Group Inputs'!GN7,TRUE),2)</f>
        <v/>
      </c>
      <c r="J156" s="22">
        <f>ROUND(100*NORM.DIST('Group Inputs'!GM8,SUM('Group Inputs'!FV$4:FV8)+'Group Inputs'!CU8,'Group Inputs'!GN8,TRUE),2)</f>
        <v/>
      </c>
      <c r="K156" s="22">
        <f>ROUND(100*NORM.DIST('Group Inputs'!GM9,SUM('Group Inputs'!FV$4:FV9)+'Group Inputs'!CU9,'Group Inputs'!GN9,TRUE),2)</f>
        <v/>
      </c>
      <c r="L156" s="22" t="inlineStr">
        <is>
          <t>(added: UI KPI not in source model)</t>
        </is>
      </c>
      <c r="M156" s="22" t="n"/>
      <c r="N156" s="22" t="inlineStr">
        <is>
          <t>ebitda_fy_sigma_k, ebitda_k, ebitda_plan_fy_k, forecast_ebitda_rest_k</t>
        </is>
      </c>
    </row>
    <row r="157">
      <c r="A157" s="22" t="inlineStr">
        <is>
          <t>REG-011</t>
        </is>
      </c>
      <c r="B157" s="22" t="inlineStr">
        <is>
          <t>Disclosure clock, hours remaining</t>
        </is>
      </c>
      <c r="C157" s="22" t="inlineStr">
        <is>
          <t>h</t>
        </is>
      </c>
      <c r="D157" s="22" t="inlineStr">
        <is>
          <t>Month end</t>
        </is>
      </c>
      <c r="E157" s="22" t="inlineStr">
        <is>
          <t>Hours to the nearest open disclosure deadline (999 = none running)</t>
        </is>
      </c>
      <c r="F157" s="22">
        <f>ROUND('Group Inputs'!GO4,0)</f>
        <v/>
      </c>
      <c r="G157" s="22">
        <f>ROUND('Group Inputs'!GO5,0)</f>
        <v/>
      </c>
      <c r="H157" s="22">
        <f>ROUND('Group Inputs'!GO6,0)</f>
        <v/>
      </c>
      <c r="I157" s="22">
        <f>ROUND('Group Inputs'!GO7,0)</f>
        <v/>
      </c>
      <c r="J157" s="22">
        <f>ROUND('Group Inputs'!GO8,0)</f>
        <v/>
      </c>
      <c r="K157" s="22">
        <f>ROUND('Group Inputs'!GO9,0)</f>
        <v/>
      </c>
      <c r="L157" s="22" t="inlineStr">
        <is>
          <t>(added: UI KPI not in source model)</t>
        </is>
      </c>
      <c r="M157" s="22" t="n"/>
      <c r="N157" s="22" t="inlineStr">
        <is>
          <t>disclosure_deadline_h</t>
        </is>
      </c>
    </row>
    <row r="158">
      <c r="A158" s="22" t="inlineStr">
        <is>
          <t>SIG-010</t>
        </is>
      </c>
      <c r="B158" s="22" t="inlineStr">
        <is>
          <t>Single-source supply risk</t>
        </is>
      </c>
      <c r="C158" s="22" t="inlineStr">
        <is>
          <t>count</t>
        </is>
      </c>
      <c r="D158" s="22" t="inlineStr">
        <is>
          <t>Month end</t>
        </is>
      </c>
      <c r="E158" s="22" t="inlineStr">
        <is>
          <t>Single-source suppliers with cover below lead time</t>
        </is>
      </c>
      <c r="F158" s="22">
        <f>ROUND('Group Inputs'!GP4,0)</f>
        <v/>
      </c>
      <c r="G158" s="22">
        <f>ROUND('Group Inputs'!GP5,0)</f>
        <v/>
      </c>
      <c r="H158" s="22">
        <f>ROUND('Group Inputs'!GP6,0)</f>
        <v/>
      </c>
      <c r="I158" s="22">
        <f>ROUND('Group Inputs'!GP7,0)</f>
        <v/>
      </c>
      <c r="J158" s="22">
        <f>ROUND('Group Inputs'!GP8,0)</f>
        <v/>
      </c>
      <c r="K158" s="22">
        <f>ROUND('Group Inputs'!GP9,0)</f>
        <v/>
      </c>
      <c r="L158" s="22" t="inlineStr">
        <is>
          <t>(added: UI KPI not in source model)</t>
        </is>
      </c>
      <c r="M158" s="22" t="n"/>
      <c r="N158" s="22" t="inlineStr">
        <is>
          <t>single_source_elevated</t>
        </is>
      </c>
    </row>
    <row r="159">
      <c r="A159" s="22" t="inlineStr">
        <is>
          <t>SIG-014</t>
        </is>
      </c>
      <c r="B159" s="22" t="inlineStr">
        <is>
          <t>Commodity-price movement (RM-1 index)</t>
        </is>
      </c>
      <c r="C159" s="22" t="inlineStr">
        <is>
          <t>%</t>
        </is>
      </c>
      <c r="D159" s="22" t="inlineStr">
        <is>
          <t>Month</t>
        </is>
      </c>
      <c r="E159" s="22" t="inlineStr">
        <is>
          <t>RM-1 price index ÷ last month's index − 1, as %</t>
        </is>
      </c>
      <c r="F159" s="22">
        <f>ROUND(IF('Group Inputs'!GQ4=0,0,100*('Group Inputs'!GQ4/'Group Inputs'!GQ4-1)),2)</f>
        <v/>
      </c>
      <c r="G159" s="22">
        <f>ROUND(IF('Group Inputs'!GQ4=0,0,100*('Group Inputs'!GQ5/'Group Inputs'!GQ4-1)),2)</f>
        <v/>
      </c>
      <c r="H159" s="22">
        <f>ROUND(IF('Group Inputs'!GQ5=0,0,100*('Group Inputs'!GQ6/'Group Inputs'!GQ5-1)),2)</f>
        <v/>
      </c>
      <c r="I159" s="22">
        <f>ROUND(IF('Group Inputs'!GQ6=0,0,100*('Group Inputs'!GQ7/'Group Inputs'!GQ6-1)),2)</f>
        <v/>
      </c>
      <c r="J159" s="22">
        <f>ROUND(IF('Group Inputs'!GQ7=0,0,100*('Group Inputs'!GQ8/'Group Inputs'!GQ7-1)),2)</f>
        <v/>
      </c>
      <c r="K159" s="22">
        <f>ROUND(IF('Group Inputs'!GQ8=0,0,100*('Group Inputs'!GQ9/'Group Inputs'!GQ8-1)),2)</f>
        <v/>
      </c>
      <c r="L159" s="22" t="inlineStr">
        <is>
          <t>(added: UI KPI not in source model)</t>
        </is>
      </c>
      <c r="M159" s="22" t="n"/>
      <c r="N159" s="22" t="inlineStr">
        <is>
          <t>rm1_price_index</t>
        </is>
      </c>
    </row>
    <row r="160">
      <c r="A160" s="22" t="inlineStr">
        <is>
          <t>SIG-016</t>
        </is>
      </c>
      <c r="B160" s="22" t="inlineStr">
        <is>
          <t>Freight exposure (lanes disrupted)</t>
        </is>
      </c>
      <c r="C160" s="22" t="inlineStr">
        <is>
          <t>count</t>
        </is>
      </c>
      <c r="D160" s="22" t="inlineStr">
        <is>
          <t>Month end</t>
        </is>
      </c>
      <c r="E160" s="22" t="inlineStr">
        <is>
          <t>Supply lanes with a disruption flag</t>
        </is>
      </c>
      <c r="F160" s="22">
        <f>ROUND('Group Inputs'!GR4,0)</f>
        <v/>
      </c>
      <c r="G160" s="22">
        <f>ROUND('Group Inputs'!GR5,0)</f>
        <v/>
      </c>
      <c r="H160" s="22">
        <f>ROUND('Group Inputs'!GR6,0)</f>
        <v/>
      </c>
      <c r="I160" s="22">
        <f>ROUND('Group Inputs'!GR7,0)</f>
        <v/>
      </c>
      <c r="J160" s="22">
        <f>ROUND('Group Inputs'!GR8,0)</f>
        <v/>
      </c>
      <c r="K160" s="22">
        <f>ROUND('Group Inputs'!GR9,0)</f>
        <v/>
      </c>
      <c r="L160" s="22" t="inlineStr">
        <is>
          <t>(added: UI KPI not in source model)</t>
        </is>
      </c>
      <c r="M160" s="22" t="n"/>
      <c r="N160" s="22" t="inlineStr">
        <is>
          <t>freight_lanes_disrupted</t>
        </is>
      </c>
    </row>
    <row r="161">
      <c r="A161" s="22" t="inlineStr">
        <is>
          <t>SIG-017</t>
        </is>
      </c>
      <c r="B161" s="22" t="inlineStr">
        <is>
          <t>Fuel exposure (fuel cost per tonne, MoM)</t>
        </is>
      </c>
      <c r="C161" s="22" t="inlineStr">
        <is>
          <t>%</t>
        </is>
      </c>
      <c r="D161" s="22" t="inlineStr">
        <is>
          <t>Month</t>
        </is>
      </c>
      <c r="E161" s="22" t="inlineStr">
        <is>
          <t>(Fuel cost ÷ good output) ÷ last month's − 1, as %</t>
        </is>
      </c>
      <c r="F161" s="22">
        <f>ROUND(IF(OR('Group Inputs'!M4=0,'Group Inputs'!W4=0,'Group Inputs'!M4=0),0,100*(('Group Inputs'!W4/'Group Inputs'!M4)/('Group Inputs'!W4/'Group Inputs'!M4)-1)),2)</f>
        <v/>
      </c>
      <c r="G161" s="22">
        <f>ROUND(IF(OR('Group Inputs'!M4=0,'Group Inputs'!W4=0,'Group Inputs'!M5=0),0,100*(('Group Inputs'!W5/'Group Inputs'!M5)/('Group Inputs'!W4/'Group Inputs'!M4)-1)),2)</f>
        <v/>
      </c>
      <c r="H161" s="22">
        <f>ROUND(IF(OR('Group Inputs'!M5=0,'Group Inputs'!W5=0,'Group Inputs'!M6=0),0,100*(('Group Inputs'!W6/'Group Inputs'!M6)/('Group Inputs'!W5/'Group Inputs'!M5)-1)),2)</f>
        <v/>
      </c>
      <c r="I161" s="22">
        <f>ROUND(IF(OR('Group Inputs'!M6=0,'Group Inputs'!W6=0,'Group Inputs'!M7=0),0,100*(('Group Inputs'!W7/'Group Inputs'!M7)/('Group Inputs'!W6/'Group Inputs'!M6)-1)),2)</f>
        <v/>
      </c>
      <c r="J161" s="22">
        <f>ROUND(IF(OR('Group Inputs'!M7=0,'Group Inputs'!W7=0,'Group Inputs'!M8=0),0,100*(('Group Inputs'!W8/'Group Inputs'!M8)/('Group Inputs'!W7/'Group Inputs'!M7)-1)),2)</f>
        <v/>
      </c>
      <c r="K161" s="22">
        <f>ROUND(IF(OR('Group Inputs'!M8=0,'Group Inputs'!W8=0,'Group Inputs'!M9=0),0,100*(('Group Inputs'!W9/'Group Inputs'!M9)/('Group Inputs'!W8/'Group Inputs'!M8)-1)),2)</f>
        <v/>
      </c>
      <c r="L161" s="22" t="inlineStr">
        <is>
          <t>(added: UI KPI not in source model)</t>
        </is>
      </c>
      <c r="M161" s="22" t="n"/>
      <c r="N161" s="22" t="inlineStr">
        <is>
          <t>fuel_cost_k, good_output_t</t>
        </is>
      </c>
    </row>
    <row r="162">
      <c r="A162" s="22" t="inlineStr">
        <is>
          <t>SIG-018</t>
        </is>
      </c>
      <c r="B162" s="22" t="inlineStr">
        <is>
          <t>Power-cost exposure (power cost per tonne, MoM)</t>
        </is>
      </c>
      <c r="C162" s="22" t="inlineStr">
        <is>
          <t>%</t>
        </is>
      </c>
      <c r="D162" s="22" t="inlineStr">
        <is>
          <t>Month</t>
        </is>
      </c>
      <c r="E162" s="22" t="inlineStr">
        <is>
          <t>(Power cost ÷ good output) ÷ last month's − 1, as %</t>
        </is>
      </c>
      <c r="F162" s="22">
        <f>ROUND(IF(OR('Group Inputs'!M4=0,'Group Inputs'!AW4=0,'Group Inputs'!M4=0),0,100*(('Group Inputs'!AW4/'Group Inputs'!M4)/('Group Inputs'!AW4/'Group Inputs'!M4)-1)),2)</f>
        <v/>
      </c>
      <c r="G162" s="22">
        <f>ROUND(IF(OR('Group Inputs'!M4=0,'Group Inputs'!AW4=0,'Group Inputs'!M5=0),0,100*(('Group Inputs'!AW5/'Group Inputs'!M5)/('Group Inputs'!AW4/'Group Inputs'!M4)-1)),2)</f>
        <v/>
      </c>
      <c r="H162" s="22">
        <f>ROUND(IF(OR('Group Inputs'!M5=0,'Group Inputs'!AW5=0,'Group Inputs'!M6=0),0,100*(('Group Inputs'!AW6/'Group Inputs'!M6)/('Group Inputs'!AW5/'Group Inputs'!M5)-1)),2)</f>
        <v/>
      </c>
      <c r="I162" s="22">
        <f>ROUND(IF(OR('Group Inputs'!M6=0,'Group Inputs'!AW6=0,'Group Inputs'!M7=0),0,100*(('Group Inputs'!AW7/'Group Inputs'!M7)/('Group Inputs'!AW6/'Group Inputs'!M6)-1)),2)</f>
        <v/>
      </c>
      <c r="J162" s="22">
        <f>ROUND(IF(OR('Group Inputs'!M7=0,'Group Inputs'!AW7=0,'Group Inputs'!M8=0),0,100*(('Group Inputs'!AW8/'Group Inputs'!M8)/('Group Inputs'!AW7/'Group Inputs'!M7)-1)),2)</f>
        <v/>
      </c>
      <c r="K162" s="22">
        <f>ROUND(IF(OR('Group Inputs'!M8=0,'Group Inputs'!AW8=0,'Group Inputs'!M9=0),0,100*(('Group Inputs'!AW9/'Group Inputs'!M9)/('Group Inputs'!AW8/'Group Inputs'!M8)-1)),2)</f>
        <v/>
      </c>
      <c r="L162" s="22" t="inlineStr">
        <is>
          <t>(added: UI KPI not in source model)</t>
        </is>
      </c>
      <c r="M162" s="22" t="n"/>
      <c r="N162" s="22" t="inlineStr">
        <is>
          <t>good_output_t, power_cost_k</t>
        </is>
      </c>
    </row>
    <row r="163">
      <c r="A163" s="22" t="inlineStr">
        <is>
          <t>SIG-001</t>
        </is>
      </c>
      <c r="B163" s="22" t="inlineStr">
        <is>
          <t>Unplanned downtime (same measure as REL-003)</t>
        </is>
      </c>
      <c r="C163" s="22" t="inlineStr">
        <is>
          <t>h</t>
        </is>
      </c>
      <c r="D163" s="22" t="inlineStr">
        <is>
          <t>Month</t>
        </is>
      </c>
      <c r="E163" s="22" t="inlineStr">
        <is>
          <t>Alias of REL-003: same value</t>
        </is>
      </c>
      <c r="F163" s="22">
        <f>F10</f>
        <v/>
      </c>
      <c r="G163" s="22">
        <f>G10</f>
        <v/>
      </c>
      <c r="H163" s="22">
        <f>H10</f>
        <v/>
      </c>
      <c r="I163" s="22">
        <f>I10</f>
        <v/>
      </c>
      <c r="J163" s="22">
        <f>J10</f>
        <v/>
      </c>
      <c r="K163" s="22">
        <f>K10</f>
        <v/>
      </c>
      <c r="L163" s="22" t="inlineStr">
        <is>
          <t>(added alias)</t>
        </is>
      </c>
      <c r="M163" s="22" t="n"/>
      <c r="N163" s="22" t="inlineStr">
        <is>
          <t>unplanned_downtime_hours</t>
        </is>
      </c>
    </row>
    <row r="164">
      <c r="A164" s="22" t="inlineStr">
        <is>
          <t>SIG-002</t>
        </is>
      </c>
      <c r="B164" s="22" t="inlineStr">
        <is>
          <t>Yield (same measure as PLT-005)</t>
        </is>
      </c>
      <c r="C164" s="22" t="inlineStr">
        <is>
          <t>%</t>
        </is>
      </c>
      <c r="D164" s="22" t="inlineStr">
        <is>
          <t>Month</t>
        </is>
      </c>
      <c r="E164" s="22" t="inlineStr">
        <is>
          <t>Alias of PLT-005: same value</t>
        </is>
      </c>
      <c r="F164" s="22">
        <f>F7</f>
        <v/>
      </c>
      <c r="G164" s="22">
        <f>G7</f>
        <v/>
      </c>
      <c r="H164" s="22">
        <f>H7</f>
        <v/>
      </c>
      <c r="I164" s="22">
        <f>I7</f>
        <v/>
      </c>
      <c r="J164" s="22">
        <f>J7</f>
        <v/>
      </c>
      <c r="K164" s="22">
        <f>K7</f>
        <v/>
      </c>
      <c r="L164" s="22" t="inlineStr">
        <is>
          <t>(added alias)</t>
        </is>
      </c>
      <c r="M164" s="22" t="n"/>
      <c r="N164" s="22" t="inlineStr">
        <is>
          <t>good_output_t, feed_input_t</t>
        </is>
      </c>
    </row>
    <row r="165">
      <c r="A165" s="22" t="inlineStr">
        <is>
          <t>SIG-003</t>
        </is>
      </c>
      <c r="B165" s="22" t="inlineStr">
        <is>
          <t>Recovery percentage (same measure as PLT-004)</t>
        </is>
      </c>
      <c r="C165" s="22" t="inlineStr">
        <is>
          <t>%</t>
        </is>
      </c>
      <c r="D165" s="22" t="inlineStr">
        <is>
          <t>Month</t>
        </is>
      </c>
      <c r="E165" s="22" t="inlineStr">
        <is>
          <t>Alias of PLT-004: same value</t>
        </is>
      </c>
      <c r="F165" s="22">
        <f>F6</f>
        <v/>
      </c>
      <c r="G165" s="22">
        <f>G6</f>
        <v/>
      </c>
      <c r="H165" s="22">
        <f>H6</f>
        <v/>
      </c>
      <c r="I165" s="22">
        <f>I6</f>
        <v/>
      </c>
      <c r="J165" s="22">
        <f>J6</f>
        <v/>
      </c>
      <c r="K165" s="22">
        <f>K6</f>
        <v/>
      </c>
      <c r="L165" s="22" t="inlineStr">
        <is>
          <t>(added alias)</t>
        </is>
      </c>
      <c r="M165" s="22" t="n"/>
      <c r="N165" s="22" t="inlineStr">
        <is>
          <t>feed_contained_t, recovered_contained_t</t>
        </is>
      </c>
    </row>
    <row r="166">
      <c r="A166" s="22" t="inlineStr">
        <is>
          <t>SIG-015</t>
        </is>
      </c>
      <c r="B166" s="22" t="inlineStr">
        <is>
          <t>FX exposure, unhedged (same measure as TRS-001)</t>
        </is>
      </c>
      <c r="C166" s="22" t="inlineStr">
        <is>
          <t>₹ m</t>
        </is>
      </c>
      <c r="D166" s="22" t="inlineStr">
        <is>
          <t>Month end</t>
        </is>
      </c>
      <c r="E166" s="22" t="inlineStr">
        <is>
          <t>Alias of TRS-001: same value</t>
        </is>
      </c>
      <c r="F166" s="22">
        <f>F61</f>
        <v/>
      </c>
      <c r="G166" s="22">
        <f>G61</f>
        <v/>
      </c>
      <c r="H166" s="22">
        <f>H61</f>
        <v/>
      </c>
      <c r="I166" s="22">
        <f>I61</f>
        <v/>
      </c>
      <c r="J166" s="22">
        <f>J61</f>
        <v/>
      </c>
      <c r="K166" s="22">
        <f>K61</f>
        <v/>
      </c>
      <c r="L166" s="22" t="inlineStr">
        <is>
          <t>(added alias)</t>
        </is>
      </c>
      <c r="M166" s="22" t="n"/>
      <c r="N166" s="22" t="inlineStr">
        <is>
          <t>fx_exposure_k, fx_hedged_k</t>
        </is>
      </c>
    </row>
    <row r="167">
      <c r="A167" s="22" t="inlineStr">
        <is>
          <t>SIG-019</t>
        </is>
      </c>
      <c r="B167" s="22" t="inlineStr">
        <is>
          <t>Regulatory deadlines, next 30 days (same measure as REG-002)</t>
        </is>
      </c>
      <c r="C167" s="22" t="inlineStr">
        <is>
          <t>count</t>
        </is>
      </c>
      <c r="D167" s="22" t="inlineStr">
        <is>
          <t>Month end</t>
        </is>
      </c>
      <c r="E167" s="22" t="inlineStr">
        <is>
          <t>Alias of REG-002: same value</t>
        </is>
      </c>
      <c r="F167" s="22">
        <f>F92</f>
        <v/>
      </c>
      <c r="G167" s="22">
        <f>G92</f>
        <v/>
      </c>
      <c r="H167" s="22">
        <f>H92</f>
        <v/>
      </c>
      <c r="I167" s="22">
        <f>I92</f>
        <v/>
      </c>
      <c r="J167" s="22">
        <f>J92</f>
        <v/>
      </c>
      <c r="K167" s="22">
        <f>K92</f>
        <v/>
      </c>
      <c r="L167" s="22" t="inlineStr">
        <is>
          <t>(added alias)</t>
        </is>
      </c>
      <c r="M167" s="22" t="n"/>
      <c r="N167" s="22" t="inlineStr">
        <is>
          <t>reg_deadlines_30d</t>
        </is>
      </c>
    </row>
    <row r="168">
      <c r="A168" s="22" t="inlineStr">
        <is>
          <t>SIG-020</t>
        </is>
      </c>
      <c r="B168" s="22" t="inlineStr">
        <is>
          <t>Licence expirations, next 12 months (same measure as REG-003)</t>
        </is>
      </c>
      <c r="C168" s="22" t="inlineStr">
        <is>
          <t>count</t>
        </is>
      </c>
      <c r="D168" s="22" t="inlineStr">
        <is>
          <t>Month end</t>
        </is>
      </c>
      <c r="E168" s="22" t="inlineStr">
        <is>
          <t>Alias of REG-003: same value</t>
        </is>
      </c>
      <c r="F168" s="22">
        <f>F93</f>
        <v/>
      </c>
      <c r="G168" s="22">
        <f>G93</f>
        <v/>
      </c>
      <c r="H168" s="22">
        <f>H93</f>
        <v/>
      </c>
      <c r="I168" s="22">
        <f>I93</f>
        <v/>
      </c>
      <c r="J168" s="22">
        <f>J93</f>
        <v/>
      </c>
      <c r="K168" s="22">
        <f>K93</f>
        <v/>
      </c>
      <c r="L168" s="22" t="inlineStr">
        <is>
          <t>(added alias)</t>
        </is>
      </c>
      <c r="M168" s="22" t="n"/>
      <c r="N168" s="22" t="inlineStr">
        <is>
          <t>licences_expiring_12m</t>
        </is>
      </c>
    </row>
    <row r="169">
      <c r="A169" s="22" t="inlineStr">
        <is>
          <t>RSK-001</t>
        </is>
      </c>
      <c r="B169" s="22" t="inlineStr">
        <is>
          <t>Open critical alerts (same measure as EFF-002)</t>
        </is>
      </c>
      <c r="C169" s="22" t="inlineStr">
        <is>
          <t>count</t>
        </is>
      </c>
      <c r="D169" s="22" t="inlineStr">
        <is>
          <t>Month end</t>
        </is>
      </c>
      <c r="E169" s="22" t="inlineStr">
        <is>
          <t>Alias of EFF-002: same value</t>
        </is>
      </c>
      <c r="F169" s="22">
        <f>F133</f>
        <v/>
      </c>
      <c r="G169" s="22">
        <f>G133</f>
        <v/>
      </c>
      <c r="H169" s="22">
        <f>H133</f>
        <v/>
      </c>
      <c r="I169" s="22">
        <f>I133</f>
        <v/>
      </c>
      <c r="J169" s="22">
        <f>J133</f>
        <v/>
      </c>
      <c r="K169" s="22">
        <f>K133</f>
        <v/>
      </c>
      <c r="L169" s="22" t="inlineStr">
        <is>
          <t>(added alias)</t>
        </is>
      </c>
      <c r="M169" s="22" t="n"/>
      <c r="N169" s="22" t="inlineStr">
        <is>
          <t>critical_alerts_open</t>
        </is>
      </c>
    </row>
    <row r="170">
      <c r="A170" s="22" t="inlineStr">
        <is>
          <t>RSK-002</t>
        </is>
      </c>
      <c r="B170" s="22" t="inlineStr">
        <is>
          <t>Severity incidents (same measure as EHS-002)</t>
        </is>
      </c>
      <c r="C170" s="22" t="inlineStr">
        <is>
          <t>count</t>
        </is>
      </c>
      <c r="D170" s="22" t="inlineStr">
        <is>
          <t>Month</t>
        </is>
      </c>
      <c r="E170" s="22" t="inlineStr">
        <is>
          <t>Alias of EHS-002: same value</t>
        </is>
      </c>
      <c r="F170" s="22">
        <f>F25</f>
        <v/>
      </c>
      <c r="G170" s="22">
        <f>G25</f>
        <v/>
      </c>
      <c r="H170" s="22">
        <f>H25</f>
        <v/>
      </c>
      <c r="I170" s="22">
        <f>I25</f>
        <v/>
      </c>
      <c r="J170" s="22">
        <f>J25</f>
        <v/>
      </c>
      <c r="K170" s="22">
        <f>K25</f>
        <v/>
      </c>
      <c r="L170" s="22" t="inlineStr">
        <is>
          <t>(added alias)</t>
        </is>
      </c>
      <c r="M170" s="22" t="n"/>
      <c r="N170" s="22" t="inlineStr">
        <is>
          <t>severity_incidents</t>
        </is>
      </c>
    </row>
    <row r="171">
      <c r="A171" s="22" t="inlineStr">
        <is>
          <t>STR-001</t>
        </is>
      </c>
      <c r="B171" s="22" t="inlineStr">
        <is>
          <t>Capex physical progress, weighted (same measure as CPX-004)</t>
        </is>
      </c>
      <c r="C171" s="22" t="inlineStr">
        <is>
          <t>%</t>
        </is>
      </c>
      <c r="D171" s="22" t="inlineStr">
        <is>
          <t>To date</t>
        </is>
      </c>
      <c r="E171" s="22" t="inlineStr">
        <is>
          <t>Alias of CPX-004: same value</t>
        </is>
      </c>
      <c r="F171" s="22">
        <f>F69</f>
        <v/>
      </c>
      <c r="G171" s="22">
        <f>G69</f>
        <v/>
      </c>
      <c r="H171" s="22">
        <f>H69</f>
        <v/>
      </c>
      <c r="I171" s="22">
        <f>I69</f>
        <v/>
      </c>
      <c r="J171" s="22">
        <f>J69</f>
        <v/>
      </c>
      <c r="K171" s="22">
        <f>K69</f>
        <v/>
      </c>
      <c r="L171" s="22" t="inlineStr">
        <is>
          <t>(added alias)</t>
        </is>
      </c>
      <c r="M171" s="22" t="n"/>
      <c r="N171" s="22" t="inlineStr">
        <is>
          <t>capex_budget_k, capex_earned_value_k</t>
        </is>
      </c>
    </row>
  </sheetData>
  <autoFilter ref="A1:N150"/>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R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c r="GH1" s="23" t="inlineStr">
        <is>
          <t>Full-time employees (FTE, count)</t>
        </is>
      </c>
      <c r="GI1" s="23" t="inlineStr">
        <is>
          <t>FCF plan, full year (₹ thousand)</t>
        </is>
      </c>
      <c r="GJ1" s="23" t="inlineStr">
        <is>
          <t>Forecast FCF, rest of year (₹ thousand)</t>
        </is>
      </c>
      <c r="GK1" s="23" t="inlineStr">
        <is>
          <t>Forecast EBIT, rest of year (₹ thousand)</t>
        </is>
      </c>
      <c r="GL1" s="23" t="inlineStr">
        <is>
          <t>Forecast capital employed at P12 (₹ thousand)</t>
        </is>
      </c>
      <c r="GM1" s="23" t="inlineStr">
        <is>
          <t>EBITDA plan, full year (₹ thousand)</t>
        </is>
      </c>
      <c r="GN1" s="23" t="inlineStr">
        <is>
          <t>EBITDA full-year forecast uncertainty, 1σ (₹ thousand)</t>
        </is>
      </c>
      <c r="GO1" s="23" t="inlineStr">
        <is>
          <t>Hours to nearest open disclosure deadline (999 = none)</t>
        </is>
      </c>
      <c r="GP1" s="23" t="inlineStr">
        <is>
          <t>Single-source suppliers with cover below lead time (count)</t>
        </is>
      </c>
      <c r="GQ1" s="23" t="inlineStr">
        <is>
          <t>RM-1 price index (external, same for every entity)</t>
        </is>
      </c>
      <c r="GR1" s="23" t="inlineStr">
        <is>
          <t>Supply lanes with a disruption flag (count)</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4">
        <f>AU4-V4-X4-BY4</f>
        <v/>
      </c>
      <c r="FW4" s="24">
        <f>FV4-AX4</f>
        <v/>
      </c>
      <c r="FX4" s="24">
        <f>CJ4+CL4-CK4</f>
        <v/>
      </c>
      <c r="FY4" s="24">
        <f>FX4-Parameters!$B$7</f>
        <v/>
      </c>
      <c r="FZ4" s="24">
        <f>FV4-BZ4-FY4</f>
        <v/>
      </c>
      <c r="GA4" s="24">
        <f>FZ4-DJ4</f>
        <v/>
      </c>
      <c r="GB4" s="24">
        <f>CB4-CC4</f>
        <v/>
      </c>
      <c r="GC4" s="24">
        <f>SUM(FV$4:FV4)*12/D4</f>
        <v/>
      </c>
      <c r="GD4" s="24">
        <f>IF(AU4=0,0,CJ4/AU4*C4)</f>
        <v/>
      </c>
      <c r="GE4" s="24">
        <f>IF(V4=0,0,CK4/V4*C4)</f>
        <v/>
      </c>
      <c r="GF4" s="24">
        <f>IF(V4=0,0,CL4/V4*C4)</f>
        <v/>
      </c>
      <c r="GG4" s="24">
        <f>IF(OR(AS4=0,AT4=0,AV4=0),0,100*((AU4/AS4)/(AV4/AT4)-1))</f>
        <v/>
      </c>
      <c r="GH4" s="22">
        <f>SUM('Entity Inputs'!FV4,'Entity Inputs'!FV10)</f>
        <v/>
      </c>
      <c r="GI4" s="22">
        <f>SUM('Entity Inputs'!FW4,'Entity Inputs'!FW10)</f>
        <v/>
      </c>
      <c r="GJ4" s="22">
        <f>SUM('Entity Inputs'!FX4,'Entity Inputs'!FX10)</f>
        <v/>
      </c>
      <c r="GK4" s="22">
        <f>SUM('Entity Inputs'!FY4,'Entity Inputs'!FY10)</f>
        <v/>
      </c>
      <c r="GL4" s="22">
        <f>SUM('Entity Inputs'!FZ4,'Entity Inputs'!FZ10)</f>
        <v/>
      </c>
      <c r="GM4" s="22">
        <f>SUM('Entity Inputs'!GA4,'Entity Inputs'!GA10)</f>
        <v/>
      </c>
      <c r="GN4" s="22">
        <f>SQRT('Entity Inputs'!GB4^2+'Entity Inputs'!GB10^2)</f>
        <v/>
      </c>
      <c r="GO4" s="22">
        <f>MIN('Entity Inputs'!GC4,'Entity Inputs'!GC10)</f>
        <v/>
      </c>
      <c r="GP4" s="22">
        <f>SUM('Entity Inputs'!GD4,'Entity Inputs'!GD10)</f>
        <v/>
      </c>
      <c r="GQ4" s="22">
        <f>'Entity Inputs'!GE4</f>
        <v/>
      </c>
      <c r="GR4" s="22">
        <f>SUM('Entity Inputs'!GF4,'Entity Inputs'!GF10)</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4">
        <f>AU5-V5-X5-BY5</f>
        <v/>
      </c>
      <c r="FW5" s="24">
        <f>FV5-AX5</f>
        <v/>
      </c>
      <c r="FX5" s="24">
        <f>CJ5+CL5-CK5</f>
        <v/>
      </c>
      <c r="FY5" s="24">
        <f>FX5-FX4</f>
        <v/>
      </c>
      <c r="FZ5" s="24">
        <f>FV5-BZ5-FY5</f>
        <v/>
      </c>
      <c r="GA5" s="24">
        <f>FZ5-DJ5</f>
        <v/>
      </c>
      <c r="GB5" s="24">
        <f>CB5-CC5</f>
        <v/>
      </c>
      <c r="GC5" s="24">
        <f>SUM(FV$4:FV5)*12/D5</f>
        <v/>
      </c>
      <c r="GD5" s="24">
        <f>IF(AU5=0,0,CJ5/AU5*C5)</f>
        <v/>
      </c>
      <c r="GE5" s="24">
        <f>IF(V5=0,0,CK5/V5*C5)</f>
        <v/>
      </c>
      <c r="GF5" s="24">
        <f>IF(V5=0,0,CL5/V5*C5)</f>
        <v/>
      </c>
      <c r="GG5" s="24">
        <f>IF(OR(AS5=0,AT5=0,AV5=0),0,100*((AU5/AS5)/(AV5/AT5)-1))</f>
        <v/>
      </c>
      <c r="GH5" s="22">
        <f>SUM('Entity Inputs'!FV5,'Entity Inputs'!FV11)</f>
        <v/>
      </c>
      <c r="GI5" s="22">
        <f>SUM('Entity Inputs'!FW5,'Entity Inputs'!FW11)</f>
        <v/>
      </c>
      <c r="GJ5" s="22">
        <f>SUM('Entity Inputs'!FX5,'Entity Inputs'!FX11)</f>
        <v/>
      </c>
      <c r="GK5" s="22">
        <f>SUM('Entity Inputs'!FY5,'Entity Inputs'!FY11)</f>
        <v/>
      </c>
      <c r="GL5" s="22">
        <f>SUM('Entity Inputs'!FZ5,'Entity Inputs'!FZ11)</f>
        <v/>
      </c>
      <c r="GM5" s="22">
        <f>SUM('Entity Inputs'!GA5,'Entity Inputs'!GA11)</f>
        <v/>
      </c>
      <c r="GN5" s="22">
        <f>SQRT('Entity Inputs'!GB5^2+'Entity Inputs'!GB11^2)</f>
        <v/>
      </c>
      <c r="GO5" s="22">
        <f>MIN('Entity Inputs'!GC5,'Entity Inputs'!GC11)</f>
        <v/>
      </c>
      <c r="GP5" s="22">
        <f>SUM('Entity Inputs'!GD5,'Entity Inputs'!GD11)</f>
        <v/>
      </c>
      <c r="GQ5" s="22">
        <f>'Entity Inputs'!GE5</f>
        <v/>
      </c>
      <c r="GR5" s="22">
        <f>SUM('Entity Inputs'!GF5,'Entity Inputs'!GF11)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4">
        <f>AU6-V6-X6-BY6</f>
        <v/>
      </c>
      <c r="FW6" s="24">
        <f>FV6-AX6</f>
        <v/>
      </c>
      <c r="FX6" s="24">
        <f>CJ6+CL6-CK6</f>
        <v/>
      </c>
      <c r="FY6" s="24">
        <f>FX6-FX5</f>
        <v/>
      </c>
      <c r="FZ6" s="24">
        <f>FV6-BZ6-FY6</f>
        <v/>
      </c>
      <c r="GA6" s="24">
        <f>FZ6-DJ6</f>
        <v/>
      </c>
      <c r="GB6" s="24">
        <f>CB6-CC6</f>
        <v/>
      </c>
      <c r="GC6" s="24">
        <f>SUM(FV$4:FV6)*12/D6</f>
        <v/>
      </c>
      <c r="GD6" s="24">
        <f>IF(AU6=0,0,CJ6/AU6*C6)</f>
        <v/>
      </c>
      <c r="GE6" s="24">
        <f>IF(V6=0,0,CK6/V6*C6)</f>
        <v/>
      </c>
      <c r="GF6" s="24">
        <f>IF(V6=0,0,CL6/V6*C6)</f>
        <v/>
      </c>
      <c r="GG6" s="24">
        <f>IF(OR(AS6=0,AT6=0,AV6=0),0,100*((AU6/AS6)/(AV6/AT6)-1))</f>
        <v/>
      </c>
      <c r="GH6" s="22">
        <f>SUM('Entity Inputs'!FV6,'Entity Inputs'!FV12)</f>
        <v/>
      </c>
      <c r="GI6" s="22">
        <f>SUM('Entity Inputs'!FW6,'Entity Inputs'!FW12)</f>
        <v/>
      </c>
      <c r="GJ6" s="22">
        <f>SUM('Entity Inputs'!FX6,'Entity Inputs'!FX12)</f>
        <v/>
      </c>
      <c r="GK6" s="22">
        <f>SUM('Entity Inputs'!FY6,'Entity Inputs'!FY12)</f>
        <v/>
      </c>
      <c r="GL6" s="22">
        <f>SUM('Entity Inputs'!FZ6,'Entity Inputs'!FZ12)</f>
        <v/>
      </c>
      <c r="GM6" s="22">
        <f>SUM('Entity Inputs'!GA6,'Entity Inputs'!GA12)</f>
        <v/>
      </c>
      <c r="GN6" s="22">
        <f>SQRT('Entity Inputs'!GB6^2+'Entity Inputs'!GB12^2)</f>
        <v/>
      </c>
      <c r="GO6" s="22">
        <f>MIN('Entity Inputs'!GC6,'Entity Inputs'!GC12)</f>
        <v/>
      </c>
      <c r="GP6" s="22">
        <f>SUM('Entity Inputs'!GD6,'Entity Inputs'!GD12)</f>
        <v/>
      </c>
      <c r="GQ6" s="22">
        <f>'Entity Inputs'!GE6</f>
        <v/>
      </c>
      <c r="GR6" s="22">
        <f>SUM('Entity Inputs'!GF6,'Entity Inputs'!GF12)</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4">
        <f>AU7-V7-X7-BY7</f>
        <v/>
      </c>
      <c r="FW7" s="24">
        <f>FV7-AX7</f>
        <v/>
      </c>
      <c r="FX7" s="24">
        <f>CJ7+CL7-CK7</f>
        <v/>
      </c>
      <c r="FY7" s="24">
        <f>FX7-FX6</f>
        <v/>
      </c>
      <c r="FZ7" s="24">
        <f>FV7-BZ7-FY7</f>
        <v/>
      </c>
      <c r="GA7" s="24">
        <f>FZ7-DJ7</f>
        <v/>
      </c>
      <c r="GB7" s="24">
        <f>CB7-CC7</f>
        <v/>
      </c>
      <c r="GC7" s="24">
        <f>SUM(FV$4:FV7)*12/D7</f>
        <v/>
      </c>
      <c r="GD7" s="24">
        <f>IF(AU7=0,0,CJ7/AU7*C7)</f>
        <v/>
      </c>
      <c r="GE7" s="24">
        <f>IF(V7=0,0,CK7/V7*C7)</f>
        <v/>
      </c>
      <c r="GF7" s="24">
        <f>IF(V7=0,0,CL7/V7*C7)</f>
        <v/>
      </c>
      <c r="GG7" s="24">
        <f>IF(OR(AS7=0,AT7=0,AV7=0),0,100*((AU7/AS7)/(AV7/AT7)-1))</f>
        <v/>
      </c>
      <c r="GH7" s="22">
        <f>SUM('Entity Inputs'!FV7,'Entity Inputs'!FV13)</f>
        <v/>
      </c>
      <c r="GI7" s="22">
        <f>SUM('Entity Inputs'!FW7,'Entity Inputs'!FW13)</f>
        <v/>
      </c>
      <c r="GJ7" s="22">
        <f>SUM('Entity Inputs'!FX7,'Entity Inputs'!FX13)</f>
        <v/>
      </c>
      <c r="GK7" s="22">
        <f>SUM('Entity Inputs'!FY7,'Entity Inputs'!FY13)</f>
        <v/>
      </c>
      <c r="GL7" s="22">
        <f>SUM('Entity Inputs'!FZ7,'Entity Inputs'!FZ13)</f>
        <v/>
      </c>
      <c r="GM7" s="22">
        <f>SUM('Entity Inputs'!GA7,'Entity Inputs'!GA13)</f>
        <v/>
      </c>
      <c r="GN7" s="22">
        <f>SQRT('Entity Inputs'!GB7^2+'Entity Inputs'!GB13^2)</f>
        <v/>
      </c>
      <c r="GO7" s="22">
        <f>MIN('Entity Inputs'!GC7,'Entity Inputs'!GC13)</f>
        <v/>
      </c>
      <c r="GP7" s="22">
        <f>SUM('Entity Inputs'!GD7,'Entity Inputs'!GD13)</f>
        <v/>
      </c>
      <c r="GQ7" s="22">
        <f>'Entity Inputs'!GE7</f>
        <v/>
      </c>
      <c r="GR7" s="22">
        <f>SUM('Entity Inputs'!GF7,'Entity Inputs'!GF13)</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4">
        <f>AU8-V8-X8-BY8</f>
        <v/>
      </c>
      <c r="FW8" s="24">
        <f>FV8-AX8</f>
        <v/>
      </c>
      <c r="FX8" s="24">
        <f>CJ8+CL8-CK8</f>
        <v/>
      </c>
      <c r="FY8" s="24">
        <f>FX8-FX7</f>
        <v/>
      </c>
      <c r="FZ8" s="24">
        <f>FV8-BZ8-FY8</f>
        <v/>
      </c>
      <c r="GA8" s="24">
        <f>FZ8-DJ8</f>
        <v/>
      </c>
      <c r="GB8" s="24">
        <f>CB8-CC8</f>
        <v/>
      </c>
      <c r="GC8" s="24">
        <f>SUM(FV$4:FV8)*12/D8</f>
        <v/>
      </c>
      <c r="GD8" s="24">
        <f>IF(AU8=0,0,CJ8/AU8*C8)</f>
        <v/>
      </c>
      <c r="GE8" s="24">
        <f>IF(V8=0,0,CK8/V8*C8)</f>
        <v/>
      </c>
      <c r="GF8" s="24">
        <f>IF(V8=0,0,CL8/V8*C8)</f>
        <v/>
      </c>
      <c r="GG8" s="24">
        <f>IF(OR(AS8=0,AT8=0,AV8=0),0,100*((AU8/AS8)/(AV8/AT8)-1))</f>
        <v/>
      </c>
      <c r="GH8" s="22">
        <f>SUM('Entity Inputs'!FV8,'Entity Inputs'!FV14)</f>
        <v/>
      </c>
      <c r="GI8" s="22">
        <f>SUM('Entity Inputs'!FW8,'Entity Inputs'!FW14)</f>
        <v/>
      </c>
      <c r="GJ8" s="22">
        <f>SUM('Entity Inputs'!FX8,'Entity Inputs'!FX14)</f>
        <v/>
      </c>
      <c r="GK8" s="22">
        <f>SUM('Entity Inputs'!FY8,'Entity Inputs'!FY14)</f>
        <v/>
      </c>
      <c r="GL8" s="22">
        <f>SUM('Entity Inputs'!FZ8,'Entity Inputs'!FZ14)</f>
        <v/>
      </c>
      <c r="GM8" s="22">
        <f>SUM('Entity Inputs'!GA8,'Entity Inputs'!GA14)</f>
        <v/>
      </c>
      <c r="GN8" s="22">
        <f>SQRT('Entity Inputs'!GB8^2+'Entity Inputs'!GB14^2)</f>
        <v/>
      </c>
      <c r="GO8" s="22">
        <f>MIN('Entity Inputs'!GC8,'Entity Inputs'!GC14)</f>
        <v/>
      </c>
      <c r="GP8" s="22">
        <f>SUM('Entity Inputs'!GD8,'Entity Inputs'!GD14)</f>
        <v/>
      </c>
      <c r="GQ8" s="22">
        <f>'Entity Inputs'!GE8</f>
        <v/>
      </c>
      <c r="GR8" s="22">
        <f>SUM('Entity Inputs'!GF8,'Entity Inputs'!GF14)</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4">
        <f>AU9-V9-X9-BY9</f>
        <v/>
      </c>
      <c r="FW9" s="24">
        <f>FV9-AX9</f>
        <v/>
      </c>
      <c r="FX9" s="24">
        <f>CJ9+CL9-CK9</f>
        <v/>
      </c>
      <c r="FY9" s="24">
        <f>FX9-FX8</f>
        <v/>
      </c>
      <c r="FZ9" s="24">
        <f>FV9-BZ9-FY9</f>
        <v/>
      </c>
      <c r="GA9" s="24">
        <f>FZ9-DJ9</f>
        <v/>
      </c>
      <c r="GB9" s="24">
        <f>CB9-CC9</f>
        <v/>
      </c>
      <c r="GC9" s="24">
        <f>SUM(FV$4:FV9)*12/D9</f>
        <v/>
      </c>
      <c r="GD9" s="24">
        <f>IF(AU9=0,0,CJ9/AU9*C9)</f>
        <v/>
      </c>
      <c r="GE9" s="24">
        <f>IF(V9=0,0,CK9/V9*C9)</f>
        <v/>
      </c>
      <c r="GF9" s="24">
        <f>IF(V9=0,0,CL9/V9*C9)</f>
        <v/>
      </c>
      <c r="GG9" s="24">
        <f>IF(OR(AS9=0,AT9=0,AV9=0),0,100*((AU9/AS9)/(AV9/AT9)-1))</f>
        <v/>
      </c>
      <c r="GH9" s="22">
        <f>SUM('Entity Inputs'!FV9,'Entity Inputs'!FV15)</f>
        <v/>
      </c>
      <c r="GI9" s="22">
        <f>SUM('Entity Inputs'!FW9,'Entity Inputs'!FW15)</f>
        <v/>
      </c>
      <c r="GJ9" s="22">
        <f>SUM('Entity Inputs'!FX9,'Entity Inputs'!FX15)</f>
        <v/>
      </c>
      <c r="GK9" s="22">
        <f>SUM('Entity Inputs'!FY9,'Entity Inputs'!FY15)</f>
        <v/>
      </c>
      <c r="GL9" s="22">
        <f>SUM('Entity Inputs'!FZ9,'Entity Inputs'!FZ15)</f>
        <v/>
      </c>
      <c r="GM9" s="22">
        <f>SUM('Entity Inputs'!GA9,'Entity Inputs'!GA15)</f>
        <v/>
      </c>
      <c r="GN9" s="22">
        <f>SQRT('Entity Inputs'!GB9^2+'Entity Inputs'!GB15^2)</f>
        <v/>
      </c>
      <c r="GO9" s="22">
        <f>MIN('Entity Inputs'!GC9,'Entity Inputs'!GC15)</f>
        <v/>
      </c>
      <c r="GP9" s="22">
        <f>SUM('Entity Inputs'!GD9,'Entity Inputs'!GD15)</f>
        <v/>
      </c>
      <c r="GQ9" s="22">
        <f>'Entity Inputs'!GE9</f>
        <v/>
      </c>
      <c r="GR9" s="22">
        <f>SUM('Entity Inputs'!GF9,'Entity Inputs'!GF15)</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F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23" t="inlineStr">
        <is>
          <t>Full-time employees (FTE, count)</t>
        </is>
      </c>
      <c r="FW1" s="23" t="inlineStr">
        <is>
          <t>FCF plan, full year (₹ thousand)</t>
        </is>
      </c>
      <c r="FX1" s="23" t="inlineStr">
        <is>
          <t>Forecast FCF, rest of year (₹ thousand)</t>
        </is>
      </c>
      <c r="FY1" s="23" t="inlineStr">
        <is>
          <t>Forecast EBIT, rest of year (₹ thousand)</t>
        </is>
      </c>
      <c r="FZ1" s="23" t="inlineStr">
        <is>
          <t>Forecast capital employed at P12 (₹ thousand)</t>
        </is>
      </c>
      <c r="GA1" s="23" t="inlineStr">
        <is>
          <t>EBITDA plan, full year (₹ thousand)</t>
        </is>
      </c>
      <c r="GB1" s="23" t="inlineStr">
        <is>
          <t>EBITDA full-year forecast uncertainty, 1σ (₹ thousand)</t>
        </is>
      </c>
      <c r="GC1" s="23" t="inlineStr">
        <is>
          <t>Hours to nearest open disclosure deadline (999 = none)</t>
        </is>
      </c>
      <c r="GD1" s="23" t="inlineStr">
        <is>
          <t>Single-source suppliers with cover below lead time (count)</t>
        </is>
      </c>
      <c r="GE1" s="23" t="inlineStr">
        <is>
          <t>RM-1 price index (external, same for every entity)</t>
        </is>
      </c>
      <c r="GF1" s="23" t="inlineStr">
        <is>
          <t>Supply lanes with a disruption flag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t="inlineStr">
        <is>
          <t>fte</t>
        </is>
      </c>
      <c r="FW2" t="inlineStr">
        <is>
          <t>fcf_plan_fy_k</t>
        </is>
      </c>
      <c r="FX2" t="inlineStr">
        <is>
          <t>forecast_fcf_rest_k</t>
        </is>
      </c>
      <c r="FY2" t="inlineStr">
        <is>
          <t>ebit_fcst_rest_k</t>
        </is>
      </c>
      <c r="FZ2" t="inlineStr">
        <is>
          <t>capital_employed_p12_k</t>
        </is>
      </c>
      <c r="GA2" t="inlineStr">
        <is>
          <t>ebitda_plan_fy_k</t>
        </is>
      </c>
      <c r="GB2" t="inlineStr">
        <is>
          <t>ebitda_fy_sigma_k</t>
        </is>
      </c>
      <c r="GC2" t="inlineStr">
        <is>
          <t>disclosure_deadline_h</t>
        </is>
      </c>
      <c r="GD2" t="inlineStr">
        <is>
          <t>single_source_elevated</t>
        </is>
      </c>
      <c r="GE2" t="inlineStr">
        <is>
          <t>rm1_price_index</t>
        </is>
      </c>
      <c r="GF2" t="inlineStr">
        <is>
          <t>freight_lanes_disrupted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c r="FV3" t="inlineStr">
        <is>
          <t>Added (synthetic) for UI KPIs not in the source model</t>
        </is>
      </c>
      <c r="FW3" t="inlineStr">
        <is>
          <t>Added (synthetic) for UI KPIs not in the source model</t>
        </is>
      </c>
      <c r="FX3" t="inlineStr">
        <is>
          <t>Added (synthetic) for UI KPIs not in the source model</t>
        </is>
      </c>
      <c r="FY3" t="inlineStr">
        <is>
          <t>Added (synthetic) for UI KPIs not in the source model</t>
        </is>
      </c>
      <c r="FZ3" t="inlineStr">
        <is>
          <t>Added (synthetic) for UI KPIs not in the source model</t>
        </is>
      </c>
      <c r="GA3" t="inlineStr">
        <is>
          <t>Added (synthetic) for UI KPIs not in the source model</t>
        </is>
      </c>
      <c r="GB3" t="inlineStr">
        <is>
          <t>Added (synthetic) for UI KPIs not in the source model</t>
        </is>
      </c>
      <c r="GC3" t="inlineStr">
        <is>
          <t>Added (synthetic) for UI KPIs not in the source model</t>
        </is>
      </c>
      <c r="GD3" t="inlineStr">
        <is>
          <t>Added (synthetic) for UI KPIs not in the source model</t>
        </is>
      </c>
      <c r="GE3" t="inlineStr">
        <is>
          <t>Added (synthetic) for UI KPIs not in the source model</t>
        </is>
      </c>
      <c r="GF3" t="inlineStr">
        <is>
          <t>Added (synthetic) for UI KPIs not in the source model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c r="FV4" s="22" t="n">
        <v>1340</v>
      </c>
      <c r="FW4" s="22" t="n">
        <v>309437.2</v>
      </c>
      <c r="FX4" s="22" t="n">
        <v>238064</v>
      </c>
      <c r="FY4" s="22" t="n">
        <v>1266630.9</v>
      </c>
      <c r="FZ4" s="22" t="n">
        <v>11124000</v>
      </c>
      <c r="GA4" s="22" t="n">
        <v>1199910.1</v>
      </c>
      <c r="GB4" s="22" t="n">
        <v>40773.6</v>
      </c>
      <c r="GC4" s="22" t="n">
        <v>999</v>
      </c>
      <c r="GD4" s="22" t="n">
        <v>0</v>
      </c>
      <c r="GE4" s="22" t="n">
        <v>100</v>
      </c>
      <c r="GF4" s="22"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c r="FV5" s="22" t="n">
        <v>1344</v>
      </c>
      <c r="FW5" s="22" t="n">
        <v>1497784.5</v>
      </c>
      <c r="FX5" s="22" t="n">
        <v>1047557.6</v>
      </c>
      <c r="FY5" s="22" t="n">
        <v>678302.4</v>
      </c>
      <c r="FZ5" s="22" t="n">
        <v>11168496</v>
      </c>
      <c r="GA5" s="22" t="n">
        <v>658274.2</v>
      </c>
      <c r="GB5" s="22" t="n">
        <v>22368.5</v>
      </c>
      <c r="GC5" s="22" t="n">
        <v>999</v>
      </c>
      <c r="GD5" s="22" t="n">
        <v>0</v>
      </c>
      <c r="GE5" s="22" t="n">
        <v>101.2</v>
      </c>
      <c r="GF5" s="22"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c r="FV6" s="22" t="n">
        <v>1348</v>
      </c>
      <c r="FW6" s="22" t="n">
        <v>990689.3</v>
      </c>
      <c r="FX6" s="22" t="n">
        <v>623603.5</v>
      </c>
      <c r="FY6" s="22" t="n">
        <v>657262.7</v>
      </c>
      <c r="FZ6" s="22" t="n">
        <v>11212992</v>
      </c>
      <c r="GA6" s="22" t="n">
        <v>1207944.7</v>
      </c>
      <c r="GB6" s="22" t="n">
        <v>41046.7</v>
      </c>
      <c r="GC6" s="22" t="n">
        <v>999</v>
      </c>
      <c r="GD6" s="22" t="n">
        <v>0</v>
      </c>
      <c r="GE6" s="22" t="n">
        <v>100.6</v>
      </c>
      <c r="GF6" s="22" t="n">
        <v>0</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c r="FV7" s="22" t="n">
        <v>1340</v>
      </c>
      <c r="FW7" s="22" t="n">
        <v>808451.6</v>
      </c>
      <c r="FX7" s="22" t="n">
        <v>452347.9</v>
      </c>
      <c r="FY7" s="22" t="n">
        <v>687792.6</v>
      </c>
      <c r="FZ7" s="22" t="n">
        <v>11257488</v>
      </c>
      <c r="GA7" s="22" t="n">
        <v>1662277</v>
      </c>
      <c r="GB7" s="22" t="n">
        <v>56485.1</v>
      </c>
      <c r="GC7" s="22" t="n">
        <v>999</v>
      </c>
      <c r="GD7" s="22" t="n">
        <v>0</v>
      </c>
      <c r="GE7" s="22" t="n">
        <v>102.3</v>
      </c>
      <c r="GF7" s="22" t="n">
        <v>0</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c r="FV8" s="22" t="n">
        <v>1344</v>
      </c>
      <c r="FW8" s="22" t="n">
        <v>654005.2</v>
      </c>
      <c r="FX8" s="22" t="n">
        <v>320190</v>
      </c>
      <c r="FY8" s="22" t="n">
        <v>606400.6</v>
      </c>
      <c r="FZ8" s="22" t="n">
        <v>11301984</v>
      </c>
      <c r="GA8" s="22" t="n">
        <v>1548222.6</v>
      </c>
      <c r="GB8" s="22" t="n">
        <v>52609.5</v>
      </c>
      <c r="GC8" s="22" t="n">
        <v>999</v>
      </c>
      <c r="GD8" s="22" t="n">
        <v>1</v>
      </c>
      <c r="GE8" s="22" t="n">
        <v>103.1</v>
      </c>
      <c r="GF8" s="22" t="n">
        <v>0</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c r="FV9" s="22" t="n">
        <v>1348</v>
      </c>
      <c r="FW9" s="22" t="n">
        <v>756293</v>
      </c>
      <c r="FX9" s="22" t="n">
        <v>317373</v>
      </c>
      <c r="FY9" s="22" t="n">
        <v>579545.9</v>
      </c>
      <c r="FZ9" s="22" t="n">
        <v>11346480</v>
      </c>
      <c r="GA9" s="22" t="n">
        <v>2114103.1</v>
      </c>
      <c r="GB9" s="22" t="n">
        <v>71838.5</v>
      </c>
      <c r="GC9" s="22" t="n">
        <v>38</v>
      </c>
      <c r="GD9" s="22" t="n">
        <v>1</v>
      </c>
      <c r="GE9" s="22" t="n">
        <v>105.3</v>
      </c>
      <c r="GF9" s="22"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c r="FV10" s="22" t="n">
        <v>1290</v>
      </c>
      <c r="FW10" s="22" t="n">
        <v>535811.3</v>
      </c>
      <c r="FX10" s="22" t="n">
        <v>476992.3</v>
      </c>
      <c r="FY10" s="22" t="n">
        <v>1250750.6</v>
      </c>
      <c r="FZ10" s="22" t="n">
        <v>10100000</v>
      </c>
      <c r="GA10" s="22" t="n">
        <v>1073055</v>
      </c>
      <c r="GB10" s="22" t="n">
        <v>37745.7</v>
      </c>
      <c r="GC10" s="22" t="n">
        <v>999</v>
      </c>
      <c r="GD10" s="22" t="n">
        <v>0</v>
      </c>
      <c r="GE10" s="22" t="n">
        <v>100</v>
      </c>
      <c r="GF10" s="22" t="n">
        <v>0</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c r="FV11" s="22" t="n">
        <v>1287</v>
      </c>
      <c r="FW11" s="22" t="n">
        <v>554094.5</v>
      </c>
      <c r="FX11" s="22" t="n">
        <v>448425.9</v>
      </c>
      <c r="FY11" s="22" t="n">
        <v>1297723.1</v>
      </c>
      <c r="FZ11" s="22" t="n">
        <v>10140400</v>
      </c>
      <c r="GA11" s="22" t="n">
        <v>1429724.5</v>
      </c>
      <c r="GB11" s="22" t="n">
        <v>50291.8</v>
      </c>
      <c r="GC11" s="22" t="n">
        <v>999</v>
      </c>
      <c r="GD11" s="22" t="n">
        <v>0</v>
      </c>
      <c r="GE11" s="22" t="n">
        <v>101.2</v>
      </c>
      <c r="GF11" s="22" t="n">
        <v>0</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c r="FV12" s="22" t="n">
        <v>1284</v>
      </c>
      <c r="FW12" s="22" t="n">
        <v>444043.8</v>
      </c>
      <c r="FX12" s="22" t="n">
        <v>323426.1</v>
      </c>
      <c r="FY12" s="22" t="n">
        <v>979534.2</v>
      </c>
      <c r="FZ12" s="22" t="n">
        <v>10180800</v>
      </c>
      <c r="GA12" s="22" t="n">
        <v>1081897.5</v>
      </c>
      <c r="GB12" s="22" t="n">
        <v>38056.7</v>
      </c>
      <c r="GC12" s="22" t="n">
        <v>999</v>
      </c>
      <c r="GD12" s="22" t="n">
        <v>0</v>
      </c>
      <c r="GE12" s="22" t="n">
        <v>100.6</v>
      </c>
      <c r="GF12" s="22" t="n">
        <v>0</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c r="FV13" s="22" t="n">
        <v>1290</v>
      </c>
      <c r="FW13" s="22" t="n">
        <v>412681.2</v>
      </c>
      <c r="FX13" s="22" t="n">
        <v>267184.6</v>
      </c>
      <c r="FY13" s="22" t="n">
        <v>812149.3</v>
      </c>
      <c r="FZ13" s="22" t="n">
        <v>10221200</v>
      </c>
      <c r="GA13" s="22" t="n">
        <v>1274437</v>
      </c>
      <c r="GB13" s="22" t="n">
        <v>44829.4</v>
      </c>
      <c r="GC13" s="22" t="n">
        <v>999</v>
      </c>
      <c r="GD13" s="22" t="n">
        <v>0</v>
      </c>
      <c r="GE13" s="22" t="n">
        <v>102.3</v>
      </c>
      <c r="GF13" s="22" t="n">
        <v>0</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c r="FV14" s="22" t="n">
        <v>1287</v>
      </c>
      <c r="FW14" s="22" t="n">
        <v>512807.4</v>
      </c>
      <c r="FX14" s="22" t="n">
        <v>290508.7</v>
      </c>
      <c r="FY14" s="22" t="n">
        <v>663586.6</v>
      </c>
      <c r="FZ14" s="22" t="n">
        <v>10261600</v>
      </c>
      <c r="GA14" s="22" t="n">
        <v>1312719.1</v>
      </c>
      <c r="GB14" s="22" t="n">
        <v>46176</v>
      </c>
      <c r="GC14" s="22" t="n">
        <v>999</v>
      </c>
      <c r="GD14" s="22" t="n">
        <v>0</v>
      </c>
      <c r="GE14" s="22" t="n">
        <v>103.1</v>
      </c>
      <c r="GF14" s="22" t="n">
        <v>0</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c r="FV15" s="22" t="n">
        <v>1284</v>
      </c>
      <c r="FW15" s="22" t="n">
        <v>558590.2</v>
      </c>
      <c r="FX15" s="22" t="n">
        <v>271238.5</v>
      </c>
      <c r="FY15" s="22" t="n">
        <v>630457</v>
      </c>
      <c r="FZ15" s="22" t="n">
        <v>10302000</v>
      </c>
      <c r="GA15" s="22" t="n">
        <v>2031583.3</v>
      </c>
      <c r="GB15" s="22" t="n">
        <v>71462.7</v>
      </c>
      <c r="GC15" s="22" t="n">
        <v>999</v>
      </c>
      <c r="GD15" s="22" t="n">
        <v>0</v>
      </c>
      <c r="GE15" s="22" t="n">
        <v>105.3</v>
      </c>
      <c r="GF15" s="22" t="n">
        <v>0</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5" t="n">
        <v>0.25</v>
      </c>
      <c r="C2" s="3" t="inlineStr">
        <is>
          <t>Tax rate used for after-tax return</t>
        </is>
      </c>
    </row>
    <row r="3">
      <c r="A3" s="2" t="inlineStr">
        <is>
          <t>WACC</t>
        </is>
      </c>
      <c r="B3" s="25" t="n">
        <v>0.095</v>
      </c>
      <c r="C3" s="3" t="inlineStr">
        <is>
          <t>Cost of capital, per year</t>
        </is>
      </c>
    </row>
    <row r="4">
      <c r="A4" s="2" t="inlineStr">
        <is>
          <t>CovenantMax</t>
        </is>
      </c>
      <c r="B4" s="25" t="n">
        <v>2.5</v>
      </c>
      <c r="C4" s="3" t="inlineStr">
        <is>
          <t>Covenant limit: net debt ÷ EBITDA (times)</t>
        </is>
      </c>
    </row>
    <row r="5">
      <c r="A5" s="2" t="inlineStr">
        <is>
          <t>OpeningNWC_A1</t>
        </is>
      </c>
      <c r="B5" s="25" t="n">
        <v>2109562.8</v>
      </c>
      <c r="C5" s="3" t="inlineStr">
        <is>
          <t>Net working capital at 31 Mar 2026, Entity A1 (₹ thousand)</t>
        </is>
      </c>
    </row>
    <row r="6">
      <c r="A6" s="2" t="inlineStr">
        <is>
          <t>OpeningNWC_A2</t>
        </is>
      </c>
      <c r="B6" s="25" t="n">
        <v>759330.2</v>
      </c>
      <c r="C6" s="3" t="inlineStr">
        <is>
          <t>Net working capital at 31 Mar 2026, Entity A2 (₹ thousand)</t>
        </is>
      </c>
    </row>
    <row r="7">
      <c r="A7" s="2" t="inlineStr">
        <is>
          <t>OpeningNWC</t>
        </is>
      </c>
      <c r="B7" s="26">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row r="10">
      <c r="A10" t="inlineStr">
        <is>
          <t>KPI-Model.xlsx (data/kpi-model/build_kpi_model.py): adds per-scope input sheets (A1, A2, Plant01–06 Inputs) and KPI sheets with the same formulas, the green synthetic inputs and KPIs the UI needed, and the UI KPI Map. Plant KPI sheets only list KPIs whose inputs all exist at plant level.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A1);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A1</t>
        </is>
      </c>
      <c r="B4" t="inlineStr">
        <is>
          <t>2026-04</t>
        </is>
      </c>
      <c r="C4" t="n">
        <v>30</v>
      </c>
      <c r="D4" t="n">
        <v>1</v>
      </c>
      <c r="E4">
        <f>'Entity Inputs'!E4</f>
        <v/>
      </c>
      <c r="F4">
        <f>'Entity Inputs'!F4</f>
        <v/>
      </c>
      <c r="G4">
        <f>'Entity Inputs'!G4</f>
        <v/>
      </c>
      <c r="H4">
        <f>'Entity Inputs'!H4</f>
        <v/>
      </c>
      <c r="I4">
        <f>'Entity Inputs'!I4</f>
        <v/>
      </c>
      <c r="J4">
        <f>'Entity Inputs'!J4</f>
        <v/>
      </c>
      <c r="K4">
        <f>'Entity Inputs'!K4</f>
        <v/>
      </c>
      <c r="L4">
        <f>'Entity Inputs'!L4</f>
        <v/>
      </c>
      <c r="M4">
        <f>'Entity Inputs'!M4</f>
        <v/>
      </c>
      <c r="N4">
        <f>'Entity Inputs'!N4</f>
        <v/>
      </c>
      <c r="O4">
        <f>'Entity Inputs'!O4</f>
        <v/>
      </c>
      <c r="P4">
        <f>'Entity Inputs'!P4</f>
        <v/>
      </c>
      <c r="Q4">
        <f>'Entity Inputs'!Q4</f>
        <v/>
      </c>
      <c r="R4">
        <f>'Entity Inputs'!R4</f>
        <v/>
      </c>
      <c r="S4">
        <f>'Entity Inputs'!S4</f>
        <v/>
      </c>
      <c r="T4">
        <f>'Entity Inputs'!T4</f>
        <v/>
      </c>
      <c r="U4">
        <f>'Entity Inputs'!U4</f>
        <v/>
      </c>
      <c r="V4">
        <f>'Entity Inputs'!V4</f>
        <v/>
      </c>
      <c r="W4">
        <f>'Entity Inputs'!W4</f>
        <v/>
      </c>
      <c r="X4">
        <f>'Entity Inputs'!X4</f>
        <v/>
      </c>
      <c r="Y4">
        <f>'Entity Inputs'!Y4</f>
        <v/>
      </c>
      <c r="Z4">
        <f>'Entity Inputs'!Z4</f>
        <v/>
      </c>
      <c r="AA4">
        <f>'Entity Inputs'!AA4</f>
        <v/>
      </c>
      <c r="AB4">
        <f>'Entity Inputs'!AB4</f>
        <v/>
      </c>
      <c r="AC4">
        <f>'Entity Inputs'!AC4</f>
        <v/>
      </c>
      <c r="AD4">
        <f>'Entity Inputs'!AD4</f>
        <v/>
      </c>
      <c r="AE4">
        <f>'Entity Inputs'!AE4</f>
        <v/>
      </c>
      <c r="AF4">
        <f>'Entity Inputs'!AF4</f>
        <v/>
      </c>
      <c r="AG4">
        <f>'Entity Inputs'!AG4</f>
        <v/>
      </c>
      <c r="AH4">
        <f>'Entity Inputs'!AH4</f>
        <v/>
      </c>
      <c r="AI4">
        <f>'Entity Inputs'!AI4</f>
        <v/>
      </c>
      <c r="AJ4">
        <f>'Entity Inputs'!AJ4</f>
        <v/>
      </c>
      <c r="AK4">
        <f>'Entity Inputs'!AK4</f>
        <v/>
      </c>
      <c r="AL4">
        <f>'Entity Inputs'!AL4</f>
        <v/>
      </c>
      <c r="AM4">
        <f>'Entity Inputs'!AM4</f>
        <v/>
      </c>
      <c r="AN4">
        <f>'Entity Inputs'!AN4</f>
        <v/>
      </c>
      <c r="AO4">
        <f>'Entity Inputs'!AO4</f>
        <v/>
      </c>
      <c r="AP4">
        <f>'Entity Inputs'!AP4</f>
        <v/>
      </c>
      <c r="AQ4">
        <f>'Entity Inputs'!AQ4</f>
        <v/>
      </c>
      <c r="AR4">
        <f>'Entity Inputs'!AR4</f>
        <v/>
      </c>
      <c r="AS4">
        <f>'Entity Inputs'!AS4</f>
        <v/>
      </c>
      <c r="AT4">
        <f>'Entity Inputs'!AT4</f>
        <v/>
      </c>
      <c r="AU4">
        <f>'Entity Inputs'!AU4</f>
        <v/>
      </c>
      <c r="AV4">
        <f>'Entity Inputs'!AV4</f>
        <v/>
      </c>
      <c r="AW4">
        <f>'Entity Inputs'!AW4</f>
        <v/>
      </c>
      <c r="AX4">
        <f>'Entity Inputs'!AX4</f>
        <v/>
      </c>
      <c r="AY4">
        <f>'Entity Inputs'!AY4</f>
        <v/>
      </c>
      <c r="AZ4">
        <f>'Entity Inputs'!AZ4</f>
        <v/>
      </c>
      <c r="BA4">
        <f>'Entity Inputs'!BA4</f>
        <v/>
      </c>
      <c r="BB4">
        <f>'Entity Inputs'!BB4</f>
        <v/>
      </c>
      <c r="BC4">
        <f>'Entity Inputs'!BC4</f>
        <v/>
      </c>
      <c r="BD4">
        <f>'Entity Inputs'!BD4</f>
        <v/>
      </c>
      <c r="BE4">
        <f>'Entity Inputs'!BE4</f>
        <v/>
      </c>
      <c r="BF4">
        <f>'Entity Inputs'!BF4</f>
        <v/>
      </c>
      <c r="BG4">
        <f>'Entity Inputs'!BG4</f>
        <v/>
      </c>
      <c r="BH4">
        <f>'Entity Inputs'!BH4</f>
        <v/>
      </c>
      <c r="BI4">
        <f>'Entity Inputs'!BI4</f>
        <v/>
      </c>
      <c r="BJ4">
        <f>'Entity Inputs'!BJ4</f>
        <v/>
      </c>
      <c r="BK4">
        <f>'Entity Inputs'!BK4</f>
        <v/>
      </c>
      <c r="BL4">
        <f>'Entity Inputs'!BL4</f>
        <v/>
      </c>
      <c r="BM4">
        <f>'Entity Inputs'!BM4</f>
        <v/>
      </c>
      <c r="BN4">
        <f>'Entity Inputs'!BN4</f>
        <v/>
      </c>
      <c r="BO4">
        <f>'Entity Inputs'!BO4</f>
        <v/>
      </c>
      <c r="BP4">
        <f>'Entity Inputs'!BP4</f>
        <v/>
      </c>
      <c r="BQ4">
        <f>'Entity Inputs'!BQ4</f>
        <v/>
      </c>
      <c r="BR4">
        <f>'Entity Inputs'!BR4</f>
        <v/>
      </c>
      <c r="BS4">
        <f>'Entity Inputs'!BS4</f>
        <v/>
      </c>
      <c r="BT4">
        <f>'Entity Inputs'!BT4</f>
        <v/>
      </c>
      <c r="BU4">
        <f>'Entity Inputs'!BU4</f>
        <v/>
      </c>
      <c r="BV4">
        <f>'Entity Inputs'!BV4</f>
        <v/>
      </c>
      <c r="BW4">
        <f>'Entity Inputs'!BW4</f>
        <v/>
      </c>
      <c r="BX4">
        <f>'Entity Inputs'!BX4</f>
        <v/>
      </c>
      <c r="BY4">
        <f>'Entity Inputs'!BY4</f>
        <v/>
      </c>
      <c r="BZ4">
        <f>'Entity Inputs'!BZ4</f>
        <v/>
      </c>
      <c r="CA4">
        <f>'Entity Inputs'!CA4</f>
        <v/>
      </c>
      <c r="CB4">
        <f>'Entity Inputs'!CB4</f>
        <v/>
      </c>
      <c r="CC4">
        <f>'Entity Inputs'!CC4</f>
        <v/>
      </c>
      <c r="CD4">
        <f>'Entity Inputs'!CD4</f>
        <v/>
      </c>
      <c r="CE4">
        <f>'Entity Inputs'!CE4</f>
        <v/>
      </c>
      <c r="CF4">
        <f>'Entity Inputs'!CF4</f>
        <v/>
      </c>
      <c r="CG4">
        <f>'Entity Inputs'!CG4</f>
        <v/>
      </c>
      <c r="CH4">
        <f>'Entity Inputs'!CH4</f>
        <v/>
      </c>
      <c r="CI4">
        <f>'Entity Inputs'!CI4</f>
        <v/>
      </c>
      <c r="CJ4">
        <f>'Entity Inputs'!CJ4</f>
        <v/>
      </c>
      <c r="CK4">
        <f>'Entity Inputs'!CK4</f>
        <v/>
      </c>
      <c r="CL4">
        <f>'Entity Inputs'!CL4</f>
        <v/>
      </c>
      <c r="CM4">
        <f>'Entity Inputs'!CM4</f>
        <v/>
      </c>
      <c r="CN4">
        <f>'Entity Inputs'!CN4</f>
        <v/>
      </c>
      <c r="CO4">
        <f>'Entity Inputs'!CO4</f>
        <v/>
      </c>
      <c r="CP4">
        <f>'Entity Inputs'!CP4</f>
        <v/>
      </c>
      <c r="CQ4">
        <f>'Entity Inputs'!CQ4</f>
        <v/>
      </c>
      <c r="CR4">
        <f>'Entity Inputs'!CR4</f>
        <v/>
      </c>
      <c r="CS4">
        <f>'Entity Inputs'!CS4</f>
        <v/>
      </c>
      <c r="CT4">
        <f>'Entity Inputs'!CT4</f>
        <v/>
      </c>
      <c r="CU4">
        <f>'Entity Inputs'!CU4</f>
        <v/>
      </c>
      <c r="CV4">
        <f>'Entity Inputs'!CV4</f>
        <v/>
      </c>
      <c r="CW4">
        <f>'Entity Inputs'!CW4</f>
        <v/>
      </c>
      <c r="CX4">
        <f>'Entity Inputs'!CX4</f>
        <v/>
      </c>
      <c r="CY4">
        <f>'Entity Inputs'!CY4</f>
        <v/>
      </c>
      <c r="CZ4">
        <f>'Entity Inputs'!CZ4</f>
        <v/>
      </c>
      <c r="DA4">
        <f>'Entity Inputs'!DA4</f>
        <v/>
      </c>
      <c r="DB4">
        <f>'Entity Inputs'!DB4</f>
        <v/>
      </c>
      <c r="DC4">
        <f>'Entity Inputs'!DC4</f>
        <v/>
      </c>
      <c r="DD4">
        <f>'Entity Inputs'!DD4</f>
        <v/>
      </c>
      <c r="DE4">
        <f>'Entity Inputs'!DE4</f>
        <v/>
      </c>
      <c r="DF4">
        <f>'Entity Inputs'!DF4</f>
        <v/>
      </c>
      <c r="DG4">
        <f>'Entity Inputs'!DG4</f>
        <v/>
      </c>
      <c r="DH4">
        <f>'Entity Inputs'!DH4</f>
        <v/>
      </c>
      <c r="DI4">
        <f>'Entity Inputs'!DI4</f>
        <v/>
      </c>
      <c r="DJ4">
        <f>'Entity Inputs'!DJ4</f>
        <v/>
      </c>
      <c r="DK4">
        <f>'Entity Inputs'!DK4</f>
        <v/>
      </c>
      <c r="DL4">
        <f>'Entity Inputs'!DL4</f>
        <v/>
      </c>
      <c r="DM4">
        <f>'Entity Inputs'!DM4</f>
        <v/>
      </c>
      <c r="DN4">
        <f>'Entity Inputs'!DN4</f>
        <v/>
      </c>
      <c r="DO4">
        <f>'Entity Inputs'!DO4</f>
        <v/>
      </c>
      <c r="DP4">
        <f>'Entity Inputs'!DP4</f>
        <v/>
      </c>
      <c r="DQ4">
        <f>'Entity Inputs'!DQ4</f>
        <v/>
      </c>
      <c r="DR4">
        <f>'Entity Inputs'!DR4</f>
        <v/>
      </c>
      <c r="DS4">
        <f>'Entity Inputs'!DS4</f>
        <v/>
      </c>
      <c r="DT4">
        <f>'Entity Inputs'!DT4</f>
        <v/>
      </c>
      <c r="DU4">
        <f>'Entity Inputs'!DU4</f>
        <v/>
      </c>
      <c r="DV4">
        <f>'Entity Inputs'!DV4</f>
        <v/>
      </c>
      <c r="DW4">
        <f>'Entity Inputs'!DW4</f>
        <v/>
      </c>
      <c r="DX4">
        <f>'Entity Inputs'!DX4</f>
        <v/>
      </c>
      <c r="DY4">
        <f>'Entity Inputs'!DY4</f>
        <v/>
      </c>
      <c r="DZ4">
        <f>'Entity Inputs'!DZ4</f>
        <v/>
      </c>
      <c r="EA4">
        <f>'Entity Inputs'!EA4</f>
        <v/>
      </c>
      <c r="EB4">
        <f>'Entity Inputs'!EB4</f>
        <v/>
      </c>
      <c r="EC4">
        <f>'Entity Inputs'!EC4</f>
        <v/>
      </c>
      <c r="ED4">
        <f>'Entity Inputs'!ED4</f>
        <v/>
      </c>
      <c r="EE4">
        <f>'Entity Inputs'!EE4</f>
        <v/>
      </c>
      <c r="EF4">
        <f>'Entity Inputs'!EF4</f>
        <v/>
      </c>
      <c r="EG4">
        <f>'Entity Inputs'!EG4</f>
        <v/>
      </c>
      <c r="EH4">
        <f>'Entity Inputs'!EH4</f>
        <v/>
      </c>
      <c r="EI4">
        <f>'Entity Inputs'!EI4</f>
        <v/>
      </c>
      <c r="EJ4">
        <f>'Entity Inputs'!EJ4</f>
        <v/>
      </c>
      <c r="EK4">
        <f>'Entity Inputs'!EK4</f>
        <v/>
      </c>
      <c r="EL4">
        <f>'Entity Inputs'!EL4</f>
        <v/>
      </c>
      <c r="EM4">
        <f>'Entity Inputs'!EM4</f>
        <v/>
      </c>
      <c r="EN4">
        <f>'Entity Inputs'!EN4</f>
        <v/>
      </c>
      <c r="EO4">
        <f>'Entity Inputs'!EO4</f>
        <v/>
      </c>
      <c r="EP4">
        <f>'Entity Inputs'!EP4</f>
        <v/>
      </c>
      <c r="EQ4">
        <f>'Entity Inputs'!EQ4</f>
        <v/>
      </c>
      <c r="ER4">
        <f>'Entity Inputs'!ER4</f>
        <v/>
      </c>
      <c r="ES4">
        <f>'Entity Inputs'!ES4</f>
        <v/>
      </c>
      <c r="ET4">
        <f>'Entity Inputs'!ET4</f>
        <v/>
      </c>
      <c r="EU4">
        <f>'Entity Inputs'!EU4</f>
        <v/>
      </c>
      <c r="EV4">
        <f>'Entity Inputs'!EV4</f>
        <v/>
      </c>
      <c r="EW4">
        <f>'Entity Inputs'!EW4</f>
        <v/>
      </c>
      <c r="EX4">
        <f>'Entity Inputs'!EX4</f>
        <v/>
      </c>
      <c r="EY4">
        <f>'Entity Inputs'!EY4</f>
        <v/>
      </c>
      <c r="EZ4">
        <f>'Entity Inputs'!EZ4</f>
        <v/>
      </c>
      <c r="FA4">
        <f>'Entity Inputs'!FA4</f>
        <v/>
      </c>
      <c r="FB4">
        <f>'Entity Inputs'!FB4</f>
        <v/>
      </c>
      <c r="FC4">
        <f>'Entity Inputs'!FC4</f>
        <v/>
      </c>
      <c r="FD4">
        <f>'Entity Inputs'!FD4</f>
        <v/>
      </c>
      <c r="FE4">
        <f>'Entity Inputs'!FE4</f>
        <v/>
      </c>
      <c r="FF4">
        <f>'Entity Inputs'!FF4</f>
        <v/>
      </c>
      <c r="FG4">
        <f>'Entity Inputs'!FG4</f>
        <v/>
      </c>
      <c r="FH4">
        <f>'Entity Inputs'!FH4</f>
        <v/>
      </c>
      <c r="FI4">
        <f>'Entity Inputs'!FI4</f>
        <v/>
      </c>
      <c r="FJ4">
        <f>'Entity Inputs'!FJ4</f>
        <v/>
      </c>
      <c r="FK4">
        <f>'Entity Inputs'!FK4</f>
        <v/>
      </c>
      <c r="FL4">
        <f>'Entity Inputs'!FL4</f>
        <v/>
      </c>
      <c r="FM4">
        <f>'Entity Inputs'!FM4</f>
        <v/>
      </c>
      <c r="FN4">
        <f>'Entity Inputs'!FN4</f>
        <v/>
      </c>
      <c r="FO4">
        <f>'Entity Inputs'!FO4</f>
        <v/>
      </c>
      <c r="FP4">
        <f>'Entity Inputs'!FP4</f>
        <v/>
      </c>
      <c r="FQ4">
        <f>'Entity Inputs'!FQ4</f>
        <v/>
      </c>
      <c r="FR4">
        <f>'Entity Inputs'!FR4</f>
        <v/>
      </c>
      <c r="FS4">
        <f>'Entity Inputs'!FS4</f>
        <v/>
      </c>
      <c r="FT4">
        <f>'Entity Inputs'!FT4</f>
        <v/>
      </c>
      <c r="FU4">
        <f>'Entity Inputs'!FU4</f>
        <v/>
      </c>
      <c r="FV4">
        <f>AU4-V4-X4-BY4</f>
        <v/>
      </c>
      <c r="FW4">
        <f>FV4-AX4</f>
        <v/>
      </c>
      <c r="FX4">
        <f>CJ4+CL4-CK4</f>
        <v/>
      </c>
      <c r="FY4">
        <f>FX4-Parameters!$B$5</f>
        <v/>
      </c>
      <c r="FZ4">
        <f>FV4-BZ4-FY4</f>
        <v/>
      </c>
      <c r="GA4">
        <f>FZ4-DJ4</f>
        <v/>
      </c>
      <c r="GB4">
        <f>CB4-CC4</f>
        <v/>
      </c>
      <c r="GC4">
        <f>SUM(FV$4:FV4)*12/D4</f>
        <v/>
      </c>
      <c r="GD4">
        <f>IF(AU4=0,0,CJ4/AU4*C4)</f>
        <v/>
      </c>
      <c r="GE4">
        <f>IF(V4=0,0,CK4/V4*C4)</f>
        <v/>
      </c>
      <c r="GF4">
        <f>IF(V4=0,0,CL4/V4*C4)</f>
        <v/>
      </c>
      <c r="GG4">
        <f>IF(OR(AS4=0,AT4=0,AV4=0),0,100*((AU4/AS4)/(AV4/AT4)-1))</f>
        <v/>
      </c>
      <c r="GH4">
        <f>'Entity Inputs'!FV4</f>
        <v/>
      </c>
      <c r="GI4">
        <f>'Entity Inputs'!FW4</f>
        <v/>
      </c>
      <c r="GJ4">
        <f>'Entity Inputs'!FX4</f>
        <v/>
      </c>
      <c r="GK4">
        <f>'Entity Inputs'!FY4</f>
        <v/>
      </c>
      <c r="GL4">
        <f>'Entity Inputs'!FZ4</f>
        <v/>
      </c>
      <c r="GM4">
        <f>'Entity Inputs'!GA4</f>
        <v/>
      </c>
      <c r="GN4">
        <f>'Entity Inputs'!GB4</f>
        <v/>
      </c>
      <c r="GO4">
        <f>'Entity Inputs'!GC4</f>
        <v/>
      </c>
      <c r="GP4">
        <f>'Entity Inputs'!GD4</f>
        <v/>
      </c>
      <c r="GQ4">
        <f>'Entity Inputs'!GE4</f>
        <v/>
      </c>
      <c r="GR4">
        <f>'Entity Inputs'!GF4</f>
        <v/>
      </c>
    </row>
    <row r="5">
      <c r="A5" t="inlineStr">
        <is>
          <t>Entity A1</t>
        </is>
      </c>
      <c r="B5" t="inlineStr">
        <is>
          <t>2026-05</t>
        </is>
      </c>
      <c r="C5" t="n">
        <v>31</v>
      </c>
      <c r="D5" t="n">
        <v>2</v>
      </c>
      <c r="E5">
        <f>'Entity Inputs'!E5</f>
        <v/>
      </c>
      <c r="F5">
        <f>'Entity Inputs'!F5</f>
        <v/>
      </c>
      <c r="G5">
        <f>'Entity Inputs'!G5</f>
        <v/>
      </c>
      <c r="H5">
        <f>'Entity Inputs'!H5</f>
        <v/>
      </c>
      <c r="I5">
        <f>'Entity Inputs'!I5</f>
        <v/>
      </c>
      <c r="J5">
        <f>'Entity Inputs'!J5</f>
        <v/>
      </c>
      <c r="K5">
        <f>'Entity Inputs'!K5</f>
        <v/>
      </c>
      <c r="L5">
        <f>'Entity Inputs'!L5</f>
        <v/>
      </c>
      <c r="M5">
        <f>'Entity Inputs'!M5</f>
        <v/>
      </c>
      <c r="N5">
        <f>'Entity Inputs'!N5</f>
        <v/>
      </c>
      <c r="O5">
        <f>'Entity Inputs'!O5</f>
        <v/>
      </c>
      <c r="P5">
        <f>'Entity Inputs'!P5</f>
        <v/>
      </c>
      <c r="Q5">
        <f>'Entity Inputs'!Q5</f>
        <v/>
      </c>
      <c r="R5">
        <f>'Entity Inputs'!R5</f>
        <v/>
      </c>
      <c r="S5">
        <f>'Entity Inputs'!S5</f>
        <v/>
      </c>
      <c r="T5">
        <f>'Entity Inputs'!T5</f>
        <v/>
      </c>
      <c r="U5">
        <f>'Entity Inputs'!U5</f>
        <v/>
      </c>
      <c r="V5">
        <f>'Entity Inputs'!V5</f>
        <v/>
      </c>
      <c r="W5">
        <f>'Entity Inputs'!W5</f>
        <v/>
      </c>
      <c r="X5">
        <f>'Entity Inputs'!X5</f>
        <v/>
      </c>
      <c r="Y5">
        <f>'Entity Inputs'!Y5</f>
        <v/>
      </c>
      <c r="Z5">
        <f>'Entity Inputs'!Z5</f>
        <v/>
      </c>
      <c r="AA5">
        <f>'Entity Inputs'!AA5</f>
        <v/>
      </c>
      <c r="AB5">
        <f>'Entity Inputs'!AB5</f>
        <v/>
      </c>
      <c r="AC5">
        <f>'Entity Inputs'!AC5</f>
        <v/>
      </c>
      <c r="AD5">
        <f>'Entity Inputs'!AD5</f>
        <v/>
      </c>
      <c r="AE5">
        <f>'Entity Inputs'!AE5</f>
        <v/>
      </c>
      <c r="AF5">
        <f>'Entity Inputs'!AF5</f>
        <v/>
      </c>
      <c r="AG5">
        <f>'Entity Inputs'!AG5</f>
        <v/>
      </c>
      <c r="AH5">
        <f>'Entity Inputs'!AH5</f>
        <v/>
      </c>
      <c r="AI5">
        <f>'Entity Inputs'!AI5</f>
        <v/>
      </c>
      <c r="AJ5">
        <f>'Entity Inputs'!AJ5</f>
        <v/>
      </c>
      <c r="AK5">
        <f>'Entity Inputs'!AK5</f>
        <v/>
      </c>
      <c r="AL5">
        <f>'Entity Inputs'!AL5</f>
        <v/>
      </c>
      <c r="AM5">
        <f>'Entity Inputs'!AM5</f>
        <v/>
      </c>
      <c r="AN5">
        <f>'Entity Inputs'!AN5</f>
        <v/>
      </c>
      <c r="AO5">
        <f>'Entity Inputs'!AO5</f>
        <v/>
      </c>
      <c r="AP5">
        <f>'Entity Inputs'!AP5</f>
        <v/>
      </c>
      <c r="AQ5">
        <f>'Entity Inputs'!AQ5</f>
        <v/>
      </c>
      <c r="AR5">
        <f>'Entity Inputs'!AR5</f>
        <v/>
      </c>
      <c r="AS5">
        <f>'Entity Inputs'!AS5</f>
        <v/>
      </c>
      <c r="AT5">
        <f>'Entity Inputs'!AT5</f>
        <v/>
      </c>
      <c r="AU5">
        <f>'Entity Inputs'!AU5</f>
        <v/>
      </c>
      <c r="AV5">
        <f>'Entity Inputs'!AV5</f>
        <v/>
      </c>
      <c r="AW5">
        <f>'Entity Inputs'!AW5</f>
        <v/>
      </c>
      <c r="AX5">
        <f>'Entity Inputs'!AX5</f>
        <v/>
      </c>
      <c r="AY5">
        <f>'Entity Inputs'!AY5</f>
        <v/>
      </c>
      <c r="AZ5">
        <f>'Entity Inputs'!AZ5</f>
        <v/>
      </c>
      <c r="BA5">
        <f>'Entity Inputs'!BA5</f>
        <v/>
      </c>
      <c r="BB5">
        <f>'Entity Inputs'!BB5</f>
        <v/>
      </c>
      <c r="BC5">
        <f>'Entity Inputs'!BC5</f>
        <v/>
      </c>
      <c r="BD5">
        <f>'Entity Inputs'!BD5</f>
        <v/>
      </c>
      <c r="BE5">
        <f>'Entity Inputs'!BE5</f>
        <v/>
      </c>
      <c r="BF5">
        <f>'Entity Inputs'!BF5</f>
        <v/>
      </c>
      <c r="BG5">
        <f>'Entity Inputs'!BG5</f>
        <v/>
      </c>
      <c r="BH5">
        <f>'Entity Inputs'!BH5</f>
        <v/>
      </c>
      <c r="BI5">
        <f>'Entity Inputs'!BI5</f>
        <v/>
      </c>
      <c r="BJ5">
        <f>'Entity Inputs'!BJ5</f>
        <v/>
      </c>
      <c r="BK5">
        <f>'Entity Inputs'!BK5</f>
        <v/>
      </c>
      <c r="BL5">
        <f>'Entity Inputs'!BL5</f>
        <v/>
      </c>
      <c r="BM5">
        <f>'Entity Inputs'!BM5</f>
        <v/>
      </c>
      <c r="BN5">
        <f>'Entity Inputs'!BN5</f>
        <v/>
      </c>
      <c r="BO5">
        <f>'Entity Inputs'!BO5</f>
        <v/>
      </c>
      <c r="BP5">
        <f>'Entity Inputs'!BP5</f>
        <v/>
      </c>
      <c r="BQ5">
        <f>'Entity Inputs'!BQ5</f>
        <v/>
      </c>
      <c r="BR5">
        <f>'Entity Inputs'!BR5</f>
        <v/>
      </c>
      <c r="BS5">
        <f>'Entity Inputs'!BS5</f>
        <v/>
      </c>
      <c r="BT5">
        <f>'Entity Inputs'!BT5</f>
        <v/>
      </c>
      <c r="BU5">
        <f>'Entity Inputs'!BU5</f>
        <v/>
      </c>
      <c r="BV5">
        <f>'Entity Inputs'!BV5</f>
        <v/>
      </c>
      <c r="BW5">
        <f>'Entity Inputs'!BW5</f>
        <v/>
      </c>
      <c r="BX5">
        <f>'Entity Inputs'!BX5</f>
        <v/>
      </c>
      <c r="BY5">
        <f>'Entity Inputs'!BY5</f>
        <v/>
      </c>
      <c r="BZ5">
        <f>'Entity Inputs'!BZ5</f>
        <v/>
      </c>
      <c r="CA5">
        <f>'Entity Inputs'!CA5</f>
        <v/>
      </c>
      <c r="CB5">
        <f>'Entity Inputs'!CB5</f>
        <v/>
      </c>
      <c r="CC5">
        <f>'Entity Inputs'!CC5</f>
        <v/>
      </c>
      <c r="CD5">
        <f>'Entity Inputs'!CD5</f>
        <v/>
      </c>
      <c r="CE5">
        <f>'Entity Inputs'!CE5</f>
        <v/>
      </c>
      <c r="CF5">
        <f>'Entity Inputs'!CF5</f>
        <v/>
      </c>
      <c r="CG5">
        <f>'Entity Inputs'!CG5</f>
        <v/>
      </c>
      <c r="CH5">
        <f>'Entity Inputs'!CH5</f>
        <v/>
      </c>
      <c r="CI5">
        <f>'Entity Inputs'!CI5</f>
        <v/>
      </c>
      <c r="CJ5">
        <f>'Entity Inputs'!CJ5</f>
        <v/>
      </c>
      <c r="CK5">
        <f>'Entity Inputs'!CK5</f>
        <v/>
      </c>
      <c r="CL5">
        <f>'Entity Inputs'!CL5</f>
        <v/>
      </c>
      <c r="CM5">
        <f>'Entity Inputs'!CM5</f>
        <v/>
      </c>
      <c r="CN5">
        <f>'Entity Inputs'!CN5</f>
        <v/>
      </c>
      <c r="CO5">
        <f>'Entity Inputs'!CO5</f>
        <v/>
      </c>
      <c r="CP5">
        <f>'Entity Inputs'!CP5</f>
        <v/>
      </c>
      <c r="CQ5">
        <f>'Entity Inputs'!CQ5</f>
        <v/>
      </c>
      <c r="CR5">
        <f>'Entity Inputs'!CR5</f>
        <v/>
      </c>
      <c r="CS5">
        <f>'Entity Inputs'!CS5</f>
        <v/>
      </c>
      <c r="CT5">
        <f>'Entity Inputs'!CT5</f>
        <v/>
      </c>
      <c r="CU5">
        <f>'Entity Inputs'!CU5</f>
        <v/>
      </c>
      <c r="CV5">
        <f>'Entity Inputs'!CV5</f>
        <v/>
      </c>
      <c r="CW5">
        <f>'Entity Inputs'!CW5</f>
        <v/>
      </c>
      <c r="CX5">
        <f>'Entity Inputs'!CX5</f>
        <v/>
      </c>
      <c r="CY5">
        <f>'Entity Inputs'!CY5</f>
        <v/>
      </c>
      <c r="CZ5">
        <f>'Entity Inputs'!CZ5</f>
        <v/>
      </c>
      <c r="DA5">
        <f>'Entity Inputs'!DA5</f>
        <v/>
      </c>
      <c r="DB5">
        <f>'Entity Inputs'!DB5</f>
        <v/>
      </c>
      <c r="DC5">
        <f>'Entity Inputs'!DC5</f>
        <v/>
      </c>
      <c r="DD5">
        <f>'Entity Inputs'!DD5</f>
        <v/>
      </c>
      <c r="DE5">
        <f>'Entity Inputs'!DE5</f>
        <v/>
      </c>
      <c r="DF5">
        <f>'Entity Inputs'!DF5</f>
        <v/>
      </c>
      <c r="DG5">
        <f>'Entity Inputs'!DG5</f>
        <v/>
      </c>
      <c r="DH5">
        <f>'Entity Inputs'!DH5</f>
        <v/>
      </c>
      <c r="DI5">
        <f>'Entity Inputs'!DI5</f>
        <v/>
      </c>
      <c r="DJ5">
        <f>'Entity Inputs'!DJ5</f>
        <v/>
      </c>
      <c r="DK5">
        <f>'Entity Inputs'!DK5</f>
        <v/>
      </c>
      <c r="DL5">
        <f>'Entity Inputs'!DL5</f>
        <v/>
      </c>
      <c r="DM5">
        <f>'Entity Inputs'!DM5</f>
        <v/>
      </c>
      <c r="DN5">
        <f>'Entity Inputs'!DN5</f>
        <v/>
      </c>
      <c r="DO5">
        <f>'Entity Inputs'!DO5</f>
        <v/>
      </c>
      <c r="DP5">
        <f>'Entity Inputs'!DP5</f>
        <v/>
      </c>
      <c r="DQ5">
        <f>'Entity Inputs'!DQ5</f>
        <v/>
      </c>
      <c r="DR5">
        <f>'Entity Inputs'!DR5</f>
        <v/>
      </c>
      <c r="DS5">
        <f>'Entity Inputs'!DS5</f>
        <v/>
      </c>
      <c r="DT5">
        <f>'Entity Inputs'!DT5</f>
        <v/>
      </c>
      <c r="DU5">
        <f>'Entity Inputs'!DU5</f>
        <v/>
      </c>
      <c r="DV5">
        <f>'Entity Inputs'!DV5</f>
        <v/>
      </c>
      <c r="DW5">
        <f>'Entity Inputs'!DW5</f>
        <v/>
      </c>
      <c r="DX5">
        <f>'Entity Inputs'!DX5</f>
        <v/>
      </c>
      <c r="DY5">
        <f>'Entity Inputs'!DY5</f>
        <v/>
      </c>
      <c r="DZ5">
        <f>'Entity Inputs'!DZ5</f>
        <v/>
      </c>
      <c r="EA5">
        <f>'Entity Inputs'!EA5</f>
        <v/>
      </c>
      <c r="EB5">
        <f>'Entity Inputs'!EB5</f>
        <v/>
      </c>
      <c r="EC5">
        <f>'Entity Inputs'!EC5</f>
        <v/>
      </c>
      <c r="ED5">
        <f>'Entity Inputs'!ED5</f>
        <v/>
      </c>
      <c r="EE5">
        <f>'Entity Inputs'!EE5</f>
        <v/>
      </c>
      <c r="EF5">
        <f>'Entity Inputs'!EF5</f>
        <v/>
      </c>
      <c r="EG5">
        <f>'Entity Inputs'!EG5</f>
        <v/>
      </c>
      <c r="EH5">
        <f>'Entity Inputs'!EH5</f>
        <v/>
      </c>
      <c r="EI5">
        <f>'Entity Inputs'!EI5</f>
        <v/>
      </c>
      <c r="EJ5">
        <f>'Entity Inputs'!EJ5</f>
        <v/>
      </c>
      <c r="EK5">
        <f>'Entity Inputs'!EK5</f>
        <v/>
      </c>
      <c r="EL5">
        <f>'Entity Inputs'!EL5</f>
        <v/>
      </c>
      <c r="EM5">
        <f>'Entity Inputs'!EM5</f>
        <v/>
      </c>
      <c r="EN5">
        <f>'Entity Inputs'!EN5</f>
        <v/>
      </c>
      <c r="EO5">
        <f>'Entity Inputs'!EO5</f>
        <v/>
      </c>
      <c r="EP5">
        <f>'Entity Inputs'!EP5</f>
        <v/>
      </c>
      <c r="EQ5">
        <f>'Entity Inputs'!EQ5</f>
        <v/>
      </c>
      <c r="ER5">
        <f>'Entity Inputs'!ER5</f>
        <v/>
      </c>
      <c r="ES5">
        <f>'Entity Inputs'!ES5</f>
        <v/>
      </c>
      <c r="ET5">
        <f>'Entity Inputs'!ET5</f>
        <v/>
      </c>
      <c r="EU5">
        <f>'Entity Inputs'!EU5</f>
        <v/>
      </c>
      <c r="EV5">
        <f>'Entity Inputs'!EV5</f>
        <v/>
      </c>
      <c r="EW5">
        <f>'Entity Inputs'!EW5</f>
        <v/>
      </c>
      <c r="EX5">
        <f>'Entity Inputs'!EX5</f>
        <v/>
      </c>
      <c r="EY5">
        <f>'Entity Inputs'!EY5</f>
        <v/>
      </c>
      <c r="EZ5">
        <f>'Entity Inputs'!EZ5</f>
        <v/>
      </c>
      <c r="FA5">
        <f>'Entity Inputs'!FA5</f>
        <v/>
      </c>
      <c r="FB5">
        <f>'Entity Inputs'!FB5</f>
        <v/>
      </c>
      <c r="FC5">
        <f>'Entity Inputs'!FC5</f>
        <v/>
      </c>
      <c r="FD5">
        <f>'Entity Inputs'!FD5</f>
        <v/>
      </c>
      <c r="FE5">
        <f>'Entity Inputs'!FE5</f>
        <v/>
      </c>
      <c r="FF5">
        <f>'Entity Inputs'!FF5</f>
        <v/>
      </c>
      <c r="FG5">
        <f>'Entity Inputs'!FG5</f>
        <v/>
      </c>
      <c r="FH5">
        <f>'Entity Inputs'!FH5</f>
        <v/>
      </c>
      <c r="FI5">
        <f>'Entity Inputs'!FI5</f>
        <v/>
      </c>
      <c r="FJ5">
        <f>'Entity Inputs'!FJ5</f>
        <v/>
      </c>
      <c r="FK5">
        <f>'Entity Inputs'!FK5</f>
        <v/>
      </c>
      <c r="FL5">
        <f>'Entity Inputs'!FL5</f>
        <v/>
      </c>
      <c r="FM5">
        <f>'Entity Inputs'!FM5</f>
        <v/>
      </c>
      <c r="FN5">
        <f>'Entity Inputs'!FN5</f>
        <v/>
      </c>
      <c r="FO5">
        <f>'Entity Inputs'!FO5</f>
        <v/>
      </c>
      <c r="FP5">
        <f>'Entity Inputs'!FP5</f>
        <v/>
      </c>
      <c r="FQ5">
        <f>'Entity Inputs'!FQ5</f>
        <v/>
      </c>
      <c r="FR5">
        <f>'Entity Inputs'!FR5</f>
        <v/>
      </c>
      <c r="FS5">
        <f>'Entity Inputs'!FS5</f>
        <v/>
      </c>
      <c r="FT5">
        <f>'Entity Inputs'!FT5</f>
        <v/>
      </c>
      <c r="FU5">
        <f>'Entity Inputs'!FU5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Inputs'!FV5</f>
        <v/>
      </c>
      <c r="GI5">
        <f>'Entity Inputs'!FW5</f>
        <v/>
      </c>
      <c r="GJ5">
        <f>'Entity Inputs'!FX5</f>
        <v/>
      </c>
      <c r="GK5">
        <f>'Entity Inputs'!FY5</f>
        <v/>
      </c>
      <c r="GL5">
        <f>'Entity Inputs'!FZ5</f>
        <v/>
      </c>
      <c r="GM5">
        <f>'Entity Inputs'!GA5</f>
        <v/>
      </c>
      <c r="GN5">
        <f>'Entity Inputs'!GB5</f>
        <v/>
      </c>
      <c r="GO5">
        <f>'Entity Inputs'!GC5</f>
        <v/>
      </c>
      <c r="GP5">
        <f>'Entity Inputs'!GD5</f>
        <v/>
      </c>
      <c r="GQ5">
        <f>'Entity Inputs'!GE5</f>
        <v/>
      </c>
      <c r="GR5">
        <f>'Entity Inputs'!GF5</f>
        <v/>
      </c>
    </row>
    <row r="6">
      <c r="A6" t="inlineStr">
        <is>
          <t>Entity A1</t>
        </is>
      </c>
      <c r="B6" t="inlineStr">
        <is>
          <t>2026-06</t>
        </is>
      </c>
      <c r="C6" t="n">
        <v>30</v>
      </c>
      <c r="D6" t="n">
        <v>3</v>
      </c>
      <c r="E6">
        <f>'Entity Inputs'!E6</f>
        <v/>
      </c>
      <c r="F6">
        <f>'Entity Inputs'!F6</f>
        <v/>
      </c>
      <c r="G6">
        <f>'Entity Inputs'!G6</f>
        <v/>
      </c>
      <c r="H6">
        <f>'Entity Inputs'!H6</f>
        <v/>
      </c>
      <c r="I6">
        <f>'Entity Inputs'!I6</f>
        <v/>
      </c>
      <c r="J6">
        <f>'Entity Inputs'!J6</f>
        <v/>
      </c>
      <c r="K6">
        <f>'Entity Inputs'!K6</f>
        <v/>
      </c>
      <c r="L6">
        <f>'Entity Inputs'!L6</f>
        <v/>
      </c>
      <c r="M6">
        <f>'Entity Inputs'!M6</f>
        <v/>
      </c>
      <c r="N6">
        <f>'Entity Inputs'!N6</f>
        <v/>
      </c>
      <c r="O6">
        <f>'Entity Inputs'!O6</f>
        <v/>
      </c>
      <c r="P6">
        <f>'Entity Inputs'!P6</f>
        <v/>
      </c>
      <c r="Q6">
        <f>'Entity Inputs'!Q6</f>
        <v/>
      </c>
      <c r="R6">
        <f>'Entity Inputs'!R6</f>
        <v/>
      </c>
      <c r="S6">
        <f>'Entity Inputs'!S6</f>
        <v/>
      </c>
      <c r="T6">
        <f>'Entity Inputs'!T6</f>
        <v/>
      </c>
      <c r="U6">
        <f>'Entity Inputs'!U6</f>
        <v/>
      </c>
      <c r="V6">
        <f>'Entity Inputs'!V6</f>
        <v/>
      </c>
      <c r="W6">
        <f>'Entity Inputs'!W6</f>
        <v/>
      </c>
      <c r="X6">
        <f>'Entity Inputs'!X6</f>
        <v/>
      </c>
      <c r="Y6">
        <f>'Entity Inputs'!Y6</f>
        <v/>
      </c>
      <c r="Z6">
        <f>'Entity Inputs'!Z6</f>
        <v/>
      </c>
      <c r="AA6">
        <f>'Entity Inputs'!AA6</f>
        <v/>
      </c>
      <c r="AB6">
        <f>'Entity Inputs'!AB6</f>
        <v/>
      </c>
      <c r="AC6">
        <f>'Entity Inputs'!AC6</f>
        <v/>
      </c>
      <c r="AD6">
        <f>'Entity Inputs'!AD6</f>
        <v/>
      </c>
      <c r="AE6">
        <f>'Entity Inputs'!AE6</f>
        <v/>
      </c>
      <c r="AF6">
        <f>'Entity Inputs'!AF6</f>
        <v/>
      </c>
      <c r="AG6">
        <f>'Entity Inputs'!AG6</f>
        <v/>
      </c>
      <c r="AH6">
        <f>'Entity Inputs'!AH6</f>
        <v/>
      </c>
      <c r="AI6">
        <f>'Entity Inputs'!AI6</f>
        <v/>
      </c>
      <c r="AJ6">
        <f>'Entity Inputs'!AJ6</f>
        <v/>
      </c>
      <c r="AK6">
        <f>'Entity Inputs'!AK6</f>
        <v/>
      </c>
      <c r="AL6">
        <f>'Entity Inputs'!AL6</f>
        <v/>
      </c>
      <c r="AM6">
        <f>'Entity Inputs'!AM6</f>
        <v/>
      </c>
      <c r="AN6">
        <f>'Entity Inputs'!AN6</f>
        <v/>
      </c>
      <c r="AO6">
        <f>'Entity Inputs'!AO6</f>
        <v/>
      </c>
      <c r="AP6">
        <f>'Entity Inputs'!AP6</f>
        <v/>
      </c>
      <c r="AQ6">
        <f>'Entity Inputs'!AQ6</f>
        <v/>
      </c>
      <c r="AR6">
        <f>'Entity Inputs'!AR6</f>
        <v/>
      </c>
      <c r="AS6">
        <f>'Entity Inputs'!AS6</f>
        <v/>
      </c>
      <c r="AT6">
        <f>'Entity Inputs'!AT6</f>
        <v/>
      </c>
      <c r="AU6">
        <f>'Entity Inputs'!AU6</f>
        <v/>
      </c>
      <c r="AV6">
        <f>'Entity Inputs'!AV6</f>
        <v/>
      </c>
      <c r="AW6">
        <f>'Entity Inputs'!AW6</f>
        <v/>
      </c>
      <c r="AX6">
        <f>'Entity Inputs'!AX6</f>
        <v/>
      </c>
      <c r="AY6">
        <f>'Entity Inputs'!AY6</f>
        <v/>
      </c>
      <c r="AZ6">
        <f>'Entity Inputs'!AZ6</f>
        <v/>
      </c>
      <c r="BA6">
        <f>'Entity Inputs'!BA6</f>
        <v/>
      </c>
      <c r="BB6">
        <f>'Entity Inputs'!BB6</f>
        <v/>
      </c>
      <c r="BC6">
        <f>'Entity Inputs'!BC6</f>
        <v/>
      </c>
      <c r="BD6">
        <f>'Entity Inputs'!BD6</f>
        <v/>
      </c>
      <c r="BE6">
        <f>'Entity Inputs'!BE6</f>
        <v/>
      </c>
      <c r="BF6">
        <f>'Entity Inputs'!BF6</f>
        <v/>
      </c>
      <c r="BG6">
        <f>'Entity Inputs'!BG6</f>
        <v/>
      </c>
      <c r="BH6">
        <f>'Entity Inputs'!BH6</f>
        <v/>
      </c>
      <c r="BI6">
        <f>'Entity Inputs'!BI6</f>
        <v/>
      </c>
      <c r="BJ6">
        <f>'Entity Inputs'!BJ6</f>
        <v/>
      </c>
      <c r="BK6">
        <f>'Entity Inputs'!BK6</f>
        <v/>
      </c>
      <c r="BL6">
        <f>'Entity Inputs'!BL6</f>
        <v/>
      </c>
      <c r="BM6">
        <f>'Entity Inputs'!BM6</f>
        <v/>
      </c>
      <c r="BN6">
        <f>'Entity Inputs'!BN6</f>
        <v/>
      </c>
      <c r="BO6">
        <f>'Entity Inputs'!BO6</f>
        <v/>
      </c>
      <c r="BP6">
        <f>'Entity Inputs'!BP6</f>
        <v/>
      </c>
      <c r="BQ6">
        <f>'Entity Inputs'!BQ6</f>
        <v/>
      </c>
      <c r="BR6">
        <f>'Entity Inputs'!BR6</f>
        <v/>
      </c>
      <c r="BS6">
        <f>'Entity Inputs'!BS6</f>
        <v/>
      </c>
      <c r="BT6">
        <f>'Entity Inputs'!BT6</f>
        <v/>
      </c>
      <c r="BU6">
        <f>'Entity Inputs'!BU6</f>
        <v/>
      </c>
      <c r="BV6">
        <f>'Entity Inputs'!BV6</f>
        <v/>
      </c>
      <c r="BW6">
        <f>'Entity Inputs'!BW6</f>
        <v/>
      </c>
      <c r="BX6">
        <f>'Entity Inputs'!BX6</f>
        <v/>
      </c>
      <c r="BY6">
        <f>'Entity Inputs'!BY6</f>
        <v/>
      </c>
      <c r="BZ6">
        <f>'Entity Inputs'!BZ6</f>
        <v/>
      </c>
      <c r="CA6">
        <f>'Entity Inputs'!CA6</f>
        <v/>
      </c>
      <c r="CB6">
        <f>'Entity Inputs'!CB6</f>
        <v/>
      </c>
      <c r="CC6">
        <f>'Entity Inputs'!CC6</f>
        <v/>
      </c>
      <c r="CD6">
        <f>'Entity Inputs'!CD6</f>
        <v/>
      </c>
      <c r="CE6">
        <f>'Entity Inputs'!CE6</f>
        <v/>
      </c>
      <c r="CF6">
        <f>'Entity Inputs'!CF6</f>
        <v/>
      </c>
      <c r="CG6">
        <f>'Entity Inputs'!CG6</f>
        <v/>
      </c>
      <c r="CH6">
        <f>'Entity Inputs'!CH6</f>
        <v/>
      </c>
      <c r="CI6">
        <f>'Entity Inputs'!CI6</f>
        <v/>
      </c>
      <c r="CJ6">
        <f>'Entity Inputs'!CJ6</f>
        <v/>
      </c>
      <c r="CK6">
        <f>'Entity Inputs'!CK6</f>
        <v/>
      </c>
      <c r="CL6">
        <f>'Entity Inputs'!CL6</f>
        <v/>
      </c>
      <c r="CM6">
        <f>'Entity Inputs'!CM6</f>
        <v/>
      </c>
      <c r="CN6">
        <f>'Entity Inputs'!CN6</f>
        <v/>
      </c>
      <c r="CO6">
        <f>'Entity Inputs'!CO6</f>
        <v/>
      </c>
      <c r="CP6">
        <f>'Entity Inputs'!CP6</f>
        <v/>
      </c>
      <c r="CQ6">
        <f>'Entity Inputs'!CQ6</f>
        <v/>
      </c>
      <c r="CR6">
        <f>'Entity Inputs'!CR6</f>
        <v/>
      </c>
      <c r="CS6">
        <f>'Entity Inputs'!CS6</f>
        <v/>
      </c>
      <c r="CT6">
        <f>'Entity Inputs'!CT6</f>
        <v/>
      </c>
      <c r="CU6">
        <f>'Entity Inputs'!CU6</f>
        <v/>
      </c>
      <c r="CV6">
        <f>'Entity Inputs'!CV6</f>
        <v/>
      </c>
      <c r="CW6">
        <f>'Entity Inputs'!CW6</f>
        <v/>
      </c>
      <c r="CX6">
        <f>'Entity Inputs'!CX6</f>
        <v/>
      </c>
      <c r="CY6">
        <f>'Entity Inputs'!CY6</f>
        <v/>
      </c>
      <c r="CZ6">
        <f>'Entity Inputs'!CZ6</f>
        <v/>
      </c>
      <c r="DA6">
        <f>'Entity Inputs'!DA6</f>
        <v/>
      </c>
      <c r="DB6">
        <f>'Entity Inputs'!DB6</f>
        <v/>
      </c>
      <c r="DC6">
        <f>'Entity Inputs'!DC6</f>
        <v/>
      </c>
      <c r="DD6">
        <f>'Entity Inputs'!DD6</f>
        <v/>
      </c>
      <c r="DE6">
        <f>'Entity Inputs'!DE6</f>
        <v/>
      </c>
      <c r="DF6">
        <f>'Entity Inputs'!DF6</f>
        <v/>
      </c>
      <c r="DG6">
        <f>'Entity Inputs'!DG6</f>
        <v/>
      </c>
      <c r="DH6">
        <f>'Entity Inputs'!DH6</f>
        <v/>
      </c>
      <c r="DI6">
        <f>'Entity Inputs'!DI6</f>
        <v/>
      </c>
      <c r="DJ6">
        <f>'Entity Inputs'!DJ6</f>
        <v/>
      </c>
      <c r="DK6">
        <f>'Entity Inputs'!DK6</f>
        <v/>
      </c>
      <c r="DL6">
        <f>'Entity Inputs'!DL6</f>
        <v/>
      </c>
      <c r="DM6">
        <f>'Entity Inputs'!DM6</f>
        <v/>
      </c>
      <c r="DN6">
        <f>'Entity Inputs'!DN6</f>
        <v/>
      </c>
      <c r="DO6">
        <f>'Entity Inputs'!DO6</f>
        <v/>
      </c>
      <c r="DP6">
        <f>'Entity Inputs'!DP6</f>
        <v/>
      </c>
      <c r="DQ6">
        <f>'Entity Inputs'!DQ6</f>
        <v/>
      </c>
      <c r="DR6">
        <f>'Entity Inputs'!DR6</f>
        <v/>
      </c>
      <c r="DS6">
        <f>'Entity Inputs'!DS6</f>
        <v/>
      </c>
      <c r="DT6">
        <f>'Entity Inputs'!DT6</f>
        <v/>
      </c>
      <c r="DU6">
        <f>'Entity Inputs'!DU6</f>
        <v/>
      </c>
      <c r="DV6">
        <f>'Entity Inputs'!DV6</f>
        <v/>
      </c>
      <c r="DW6">
        <f>'Entity Inputs'!DW6</f>
        <v/>
      </c>
      <c r="DX6">
        <f>'Entity Inputs'!DX6</f>
        <v/>
      </c>
      <c r="DY6">
        <f>'Entity Inputs'!DY6</f>
        <v/>
      </c>
      <c r="DZ6">
        <f>'Entity Inputs'!DZ6</f>
        <v/>
      </c>
      <c r="EA6">
        <f>'Entity Inputs'!EA6</f>
        <v/>
      </c>
      <c r="EB6">
        <f>'Entity Inputs'!EB6</f>
        <v/>
      </c>
      <c r="EC6">
        <f>'Entity Inputs'!EC6</f>
        <v/>
      </c>
      <c r="ED6">
        <f>'Entity Inputs'!ED6</f>
        <v/>
      </c>
      <c r="EE6">
        <f>'Entity Inputs'!EE6</f>
        <v/>
      </c>
      <c r="EF6">
        <f>'Entity Inputs'!EF6</f>
        <v/>
      </c>
      <c r="EG6">
        <f>'Entity Inputs'!EG6</f>
        <v/>
      </c>
      <c r="EH6">
        <f>'Entity Inputs'!EH6</f>
        <v/>
      </c>
      <c r="EI6">
        <f>'Entity Inputs'!EI6</f>
        <v/>
      </c>
      <c r="EJ6">
        <f>'Entity Inputs'!EJ6</f>
        <v/>
      </c>
      <c r="EK6">
        <f>'Entity Inputs'!EK6</f>
        <v/>
      </c>
      <c r="EL6">
        <f>'Entity Inputs'!EL6</f>
        <v/>
      </c>
      <c r="EM6">
        <f>'Entity Inputs'!EM6</f>
        <v/>
      </c>
      <c r="EN6">
        <f>'Entity Inputs'!EN6</f>
        <v/>
      </c>
      <c r="EO6">
        <f>'Entity Inputs'!EO6</f>
        <v/>
      </c>
      <c r="EP6">
        <f>'Entity Inputs'!EP6</f>
        <v/>
      </c>
      <c r="EQ6">
        <f>'Entity Inputs'!EQ6</f>
        <v/>
      </c>
      <c r="ER6">
        <f>'Entity Inputs'!ER6</f>
        <v/>
      </c>
      <c r="ES6">
        <f>'Entity Inputs'!ES6</f>
        <v/>
      </c>
      <c r="ET6">
        <f>'Entity Inputs'!ET6</f>
        <v/>
      </c>
      <c r="EU6">
        <f>'Entity Inputs'!EU6</f>
        <v/>
      </c>
      <c r="EV6">
        <f>'Entity Inputs'!EV6</f>
        <v/>
      </c>
      <c r="EW6">
        <f>'Entity Inputs'!EW6</f>
        <v/>
      </c>
      <c r="EX6">
        <f>'Entity Inputs'!EX6</f>
        <v/>
      </c>
      <c r="EY6">
        <f>'Entity Inputs'!EY6</f>
        <v/>
      </c>
      <c r="EZ6">
        <f>'Entity Inputs'!EZ6</f>
        <v/>
      </c>
      <c r="FA6">
        <f>'Entity Inputs'!FA6</f>
        <v/>
      </c>
      <c r="FB6">
        <f>'Entity Inputs'!FB6</f>
        <v/>
      </c>
      <c r="FC6">
        <f>'Entity Inputs'!FC6</f>
        <v/>
      </c>
      <c r="FD6">
        <f>'Entity Inputs'!FD6</f>
        <v/>
      </c>
      <c r="FE6">
        <f>'Entity Inputs'!FE6</f>
        <v/>
      </c>
      <c r="FF6">
        <f>'Entity Inputs'!FF6</f>
        <v/>
      </c>
      <c r="FG6">
        <f>'Entity Inputs'!FG6</f>
        <v/>
      </c>
      <c r="FH6">
        <f>'Entity Inputs'!FH6</f>
        <v/>
      </c>
      <c r="FI6">
        <f>'Entity Inputs'!FI6</f>
        <v/>
      </c>
      <c r="FJ6">
        <f>'Entity Inputs'!FJ6</f>
        <v/>
      </c>
      <c r="FK6">
        <f>'Entity Inputs'!FK6</f>
        <v/>
      </c>
      <c r="FL6">
        <f>'Entity Inputs'!FL6</f>
        <v/>
      </c>
      <c r="FM6">
        <f>'Entity Inputs'!FM6</f>
        <v/>
      </c>
      <c r="FN6">
        <f>'Entity Inputs'!FN6</f>
        <v/>
      </c>
      <c r="FO6">
        <f>'Entity Inputs'!FO6</f>
        <v/>
      </c>
      <c r="FP6">
        <f>'Entity Inputs'!FP6</f>
        <v/>
      </c>
      <c r="FQ6">
        <f>'Entity Inputs'!FQ6</f>
        <v/>
      </c>
      <c r="FR6">
        <f>'Entity Inputs'!FR6</f>
        <v/>
      </c>
      <c r="FS6">
        <f>'Entity Inputs'!FS6</f>
        <v/>
      </c>
      <c r="FT6">
        <f>'Entity Inputs'!FT6</f>
        <v/>
      </c>
      <c r="FU6">
        <f>'Entity Inputs'!FU6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Inputs'!FV6</f>
        <v/>
      </c>
      <c r="GI6">
        <f>'Entity Inputs'!FW6</f>
        <v/>
      </c>
      <c r="GJ6">
        <f>'Entity Inputs'!FX6</f>
        <v/>
      </c>
      <c r="GK6">
        <f>'Entity Inputs'!FY6</f>
        <v/>
      </c>
      <c r="GL6">
        <f>'Entity Inputs'!FZ6</f>
        <v/>
      </c>
      <c r="GM6">
        <f>'Entity Inputs'!GA6</f>
        <v/>
      </c>
      <c r="GN6">
        <f>'Entity Inputs'!GB6</f>
        <v/>
      </c>
      <c r="GO6">
        <f>'Entity Inputs'!GC6</f>
        <v/>
      </c>
      <c r="GP6">
        <f>'Entity Inputs'!GD6</f>
        <v/>
      </c>
      <c r="GQ6">
        <f>'Entity Inputs'!GE6</f>
        <v/>
      </c>
      <c r="GR6">
        <f>'Entity Inputs'!GF6</f>
        <v/>
      </c>
    </row>
    <row r="7">
      <c r="A7" t="inlineStr">
        <is>
          <t>Entity A1</t>
        </is>
      </c>
      <c r="B7" t="inlineStr">
        <is>
          <t>2026-07</t>
        </is>
      </c>
      <c r="C7" t="n">
        <v>31</v>
      </c>
      <c r="D7" t="n">
        <v>4</v>
      </c>
      <c r="E7">
        <f>'Entity Inputs'!E7</f>
        <v/>
      </c>
      <c r="F7">
        <f>'Entity Inputs'!F7</f>
        <v/>
      </c>
      <c r="G7">
        <f>'Entity Inputs'!G7</f>
        <v/>
      </c>
      <c r="H7">
        <f>'Entity Inputs'!H7</f>
        <v/>
      </c>
      <c r="I7">
        <f>'Entity Inputs'!I7</f>
        <v/>
      </c>
      <c r="J7">
        <f>'Entity Inputs'!J7</f>
        <v/>
      </c>
      <c r="K7">
        <f>'Entity Inputs'!K7</f>
        <v/>
      </c>
      <c r="L7">
        <f>'Entity Inputs'!L7</f>
        <v/>
      </c>
      <c r="M7">
        <f>'Entity Inputs'!M7</f>
        <v/>
      </c>
      <c r="N7">
        <f>'Entity Inputs'!N7</f>
        <v/>
      </c>
      <c r="O7">
        <f>'Entity Inputs'!O7</f>
        <v/>
      </c>
      <c r="P7">
        <f>'Entity Inputs'!P7</f>
        <v/>
      </c>
      <c r="Q7">
        <f>'Entity Inputs'!Q7</f>
        <v/>
      </c>
      <c r="R7">
        <f>'Entity Inputs'!R7</f>
        <v/>
      </c>
      <c r="S7">
        <f>'Entity Inputs'!S7</f>
        <v/>
      </c>
      <c r="T7">
        <f>'Entity Inputs'!T7</f>
        <v/>
      </c>
      <c r="U7">
        <f>'Entity Inputs'!U7</f>
        <v/>
      </c>
      <c r="V7">
        <f>'Entity Inputs'!V7</f>
        <v/>
      </c>
      <c r="W7">
        <f>'Entity Inputs'!W7</f>
        <v/>
      </c>
      <c r="X7">
        <f>'Entity Inputs'!X7</f>
        <v/>
      </c>
      <c r="Y7">
        <f>'Entity Inputs'!Y7</f>
        <v/>
      </c>
      <c r="Z7">
        <f>'Entity Inputs'!Z7</f>
        <v/>
      </c>
      <c r="AA7">
        <f>'Entity Inputs'!AA7</f>
        <v/>
      </c>
      <c r="AB7">
        <f>'Entity Inputs'!AB7</f>
        <v/>
      </c>
      <c r="AC7">
        <f>'Entity Inputs'!AC7</f>
        <v/>
      </c>
      <c r="AD7">
        <f>'Entity Inputs'!AD7</f>
        <v/>
      </c>
      <c r="AE7">
        <f>'Entity Inputs'!AE7</f>
        <v/>
      </c>
      <c r="AF7">
        <f>'Entity Inputs'!AF7</f>
        <v/>
      </c>
      <c r="AG7">
        <f>'Entity Inputs'!AG7</f>
        <v/>
      </c>
      <c r="AH7">
        <f>'Entity Inputs'!AH7</f>
        <v/>
      </c>
      <c r="AI7">
        <f>'Entity Inputs'!AI7</f>
        <v/>
      </c>
      <c r="AJ7">
        <f>'Entity Inputs'!AJ7</f>
        <v/>
      </c>
      <c r="AK7">
        <f>'Entity Inputs'!AK7</f>
        <v/>
      </c>
      <c r="AL7">
        <f>'Entity Inputs'!AL7</f>
        <v/>
      </c>
      <c r="AM7">
        <f>'Entity Inputs'!AM7</f>
        <v/>
      </c>
      <c r="AN7">
        <f>'Entity Inputs'!AN7</f>
        <v/>
      </c>
      <c r="AO7">
        <f>'Entity Inputs'!AO7</f>
        <v/>
      </c>
      <c r="AP7">
        <f>'Entity Inputs'!AP7</f>
        <v/>
      </c>
      <c r="AQ7">
        <f>'Entity Inputs'!AQ7</f>
        <v/>
      </c>
      <c r="AR7">
        <f>'Entity Inputs'!AR7</f>
        <v/>
      </c>
      <c r="AS7">
        <f>'Entity Inputs'!AS7</f>
        <v/>
      </c>
      <c r="AT7">
        <f>'Entity Inputs'!AT7</f>
        <v/>
      </c>
      <c r="AU7">
        <f>'Entity Inputs'!AU7</f>
        <v/>
      </c>
      <c r="AV7">
        <f>'Entity Inputs'!AV7</f>
        <v/>
      </c>
      <c r="AW7">
        <f>'Entity Inputs'!AW7</f>
        <v/>
      </c>
      <c r="AX7">
        <f>'Entity Inputs'!AX7</f>
        <v/>
      </c>
      <c r="AY7">
        <f>'Entity Inputs'!AY7</f>
        <v/>
      </c>
      <c r="AZ7">
        <f>'Entity Inputs'!AZ7</f>
        <v/>
      </c>
      <c r="BA7">
        <f>'Entity Inputs'!BA7</f>
        <v/>
      </c>
      <c r="BB7">
        <f>'Entity Inputs'!BB7</f>
        <v/>
      </c>
      <c r="BC7">
        <f>'Entity Inputs'!BC7</f>
        <v/>
      </c>
      <c r="BD7">
        <f>'Entity Inputs'!BD7</f>
        <v/>
      </c>
      <c r="BE7">
        <f>'Entity Inputs'!BE7</f>
        <v/>
      </c>
      <c r="BF7">
        <f>'Entity Inputs'!BF7</f>
        <v/>
      </c>
      <c r="BG7">
        <f>'Entity Inputs'!BG7</f>
        <v/>
      </c>
      <c r="BH7">
        <f>'Entity Inputs'!BH7</f>
        <v/>
      </c>
      <c r="BI7">
        <f>'Entity Inputs'!BI7</f>
        <v/>
      </c>
      <c r="BJ7">
        <f>'Entity Inputs'!BJ7</f>
        <v/>
      </c>
      <c r="BK7">
        <f>'Entity Inputs'!BK7</f>
        <v/>
      </c>
      <c r="BL7">
        <f>'Entity Inputs'!BL7</f>
        <v/>
      </c>
      <c r="BM7">
        <f>'Entity Inputs'!BM7</f>
        <v/>
      </c>
      <c r="BN7">
        <f>'Entity Inputs'!BN7</f>
        <v/>
      </c>
      <c r="BO7">
        <f>'Entity Inputs'!BO7</f>
        <v/>
      </c>
      <c r="BP7">
        <f>'Entity Inputs'!BP7</f>
        <v/>
      </c>
      <c r="BQ7">
        <f>'Entity Inputs'!BQ7</f>
        <v/>
      </c>
      <c r="BR7">
        <f>'Entity Inputs'!BR7</f>
        <v/>
      </c>
      <c r="BS7">
        <f>'Entity Inputs'!BS7</f>
        <v/>
      </c>
      <c r="BT7">
        <f>'Entity Inputs'!BT7</f>
        <v/>
      </c>
      <c r="BU7">
        <f>'Entity Inputs'!BU7</f>
        <v/>
      </c>
      <c r="BV7">
        <f>'Entity Inputs'!BV7</f>
        <v/>
      </c>
      <c r="BW7">
        <f>'Entity Inputs'!BW7</f>
        <v/>
      </c>
      <c r="BX7">
        <f>'Entity Inputs'!BX7</f>
        <v/>
      </c>
      <c r="BY7">
        <f>'Entity Inputs'!BY7</f>
        <v/>
      </c>
      <c r="BZ7">
        <f>'Entity Inputs'!BZ7</f>
        <v/>
      </c>
      <c r="CA7">
        <f>'Entity Inputs'!CA7</f>
        <v/>
      </c>
      <c r="CB7">
        <f>'Entity Inputs'!CB7</f>
        <v/>
      </c>
      <c r="CC7">
        <f>'Entity Inputs'!CC7</f>
        <v/>
      </c>
      <c r="CD7">
        <f>'Entity Inputs'!CD7</f>
        <v/>
      </c>
      <c r="CE7">
        <f>'Entity Inputs'!CE7</f>
        <v/>
      </c>
      <c r="CF7">
        <f>'Entity Inputs'!CF7</f>
        <v/>
      </c>
      <c r="CG7">
        <f>'Entity Inputs'!CG7</f>
        <v/>
      </c>
      <c r="CH7">
        <f>'Entity Inputs'!CH7</f>
        <v/>
      </c>
      <c r="CI7">
        <f>'Entity Inputs'!CI7</f>
        <v/>
      </c>
      <c r="CJ7">
        <f>'Entity Inputs'!CJ7</f>
        <v/>
      </c>
      <c r="CK7">
        <f>'Entity Inputs'!CK7</f>
        <v/>
      </c>
      <c r="CL7">
        <f>'Entity Inputs'!CL7</f>
        <v/>
      </c>
      <c r="CM7">
        <f>'Entity Inputs'!CM7</f>
        <v/>
      </c>
      <c r="CN7">
        <f>'Entity Inputs'!CN7</f>
        <v/>
      </c>
      <c r="CO7">
        <f>'Entity Inputs'!CO7</f>
        <v/>
      </c>
      <c r="CP7">
        <f>'Entity Inputs'!CP7</f>
        <v/>
      </c>
      <c r="CQ7">
        <f>'Entity Inputs'!CQ7</f>
        <v/>
      </c>
      <c r="CR7">
        <f>'Entity Inputs'!CR7</f>
        <v/>
      </c>
      <c r="CS7">
        <f>'Entity Inputs'!CS7</f>
        <v/>
      </c>
      <c r="CT7">
        <f>'Entity Inputs'!CT7</f>
        <v/>
      </c>
      <c r="CU7">
        <f>'Entity Inputs'!CU7</f>
        <v/>
      </c>
      <c r="CV7">
        <f>'Entity Inputs'!CV7</f>
        <v/>
      </c>
      <c r="CW7">
        <f>'Entity Inputs'!CW7</f>
        <v/>
      </c>
      <c r="CX7">
        <f>'Entity Inputs'!CX7</f>
        <v/>
      </c>
      <c r="CY7">
        <f>'Entity Inputs'!CY7</f>
        <v/>
      </c>
      <c r="CZ7">
        <f>'Entity Inputs'!CZ7</f>
        <v/>
      </c>
      <c r="DA7">
        <f>'Entity Inputs'!DA7</f>
        <v/>
      </c>
      <c r="DB7">
        <f>'Entity Inputs'!DB7</f>
        <v/>
      </c>
      <c r="DC7">
        <f>'Entity Inputs'!DC7</f>
        <v/>
      </c>
      <c r="DD7">
        <f>'Entity Inputs'!DD7</f>
        <v/>
      </c>
      <c r="DE7">
        <f>'Entity Inputs'!DE7</f>
        <v/>
      </c>
      <c r="DF7">
        <f>'Entity Inputs'!DF7</f>
        <v/>
      </c>
      <c r="DG7">
        <f>'Entity Inputs'!DG7</f>
        <v/>
      </c>
      <c r="DH7">
        <f>'Entity Inputs'!DH7</f>
        <v/>
      </c>
      <c r="DI7">
        <f>'Entity Inputs'!DI7</f>
        <v/>
      </c>
      <c r="DJ7">
        <f>'Entity Inputs'!DJ7</f>
        <v/>
      </c>
      <c r="DK7">
        <f>'Entity Inputs'!DK7</f>
        <v/>
      </c>
      <c r="DL7">
        <f>'Entity Inputs'!DL7</f>
        <v/>
      </c>
      <c r="DM7">
        <f>'Entity Inputs'!DM7</f>
        <v/>
      </c>
      <c r="DN7">
        <f>'Entity Inputs'!DN7</f>
        <v/>
      </c>
      <c r="DO7">
        <f>'Entity Inputs'!DO7</f>
        <v/>
      </c>
      <c r="DP7">
        <f>'Entity Inputs'!DP7</f>
        <v/>
      </c>
      <c r="DQ7">
        <f>'Entity Inputs'!DQ7</f>
        <v/>
      </c>
      <c r="DR7">
        <f>'Entity Inputs'!DR7</f>
        <v/>
      </c>
      <c r="DS7">
        <f>'Entity Inputs'!DS7</f>
        <v/>
      </c>
      <c r="DT7">
        <f>'Entity Inputs'!DT7</f>
        <v/>
      </c>
      <c r="DU7">
        <f>'Entity Inputs'!DU7</f>
        <v/>
      </c>
      <c r="DV7">
        <f>'Entity Inputs'!DV7</f>
        <v/>
      </c>
      <c r="DW7">
        <f>'Entity Inputs'!DW7</f>
        <v/>
      </c>
      <c r="DX7">
        <f>'Entity Inputs'!DX7</f>
        <v/>
      </c>
      <c r="DY7">
        <f>'Entity Inputs'!DY7</f>
        <v/>
      </c>
      <c r="DZ7">
        <f>'Entity Inputs'!DZ7</f>
        <v/>
      </c>
      <c r="EA7">
        <f>'Entity Inputs'!EA7</f>
        <v/>
      </c>
      <c r="EB7">
        <f>'Entity Inputs'!EB7</f>
        <v/>
      </c>
      <c r="EC7">
        <f>'Entity Inputs'!EC7</f>
        <v/>
      </c>
      <c r="ED7">
        <f>'Entity Inputs'!ED7</f>
        <v/>
      </c>
      <c r="EE7">
        <f>'Entity Inputs'!EE7</f>
        <v/>
      </c>
      <c r="EF7">
        <f>'Entity Inputs'!EF7</f>
        <v/>
      </c>
      <c r="EG7">
        <f>'Entity Inputs'!EG7</f>
        <v/>
      </c>
      <c r="EH7">
        <f>'Entity Inputs'!EH7</f>
        <v/>
      </c>
      <c r="EI7">
        <f>'Entity Inputs'!EI7</f>
        <v/>
      </c>
      <c r="EJ7">
        <f>'Entity Inputs'!EJ7</f>
        <v/>
      </c>
      <c r="EK7">
        <f>'Entity Inputs'!EK7</f>
        <v/>
      </c>
      <c r="EL7">
        <f>'Entity Inputs'!EL7</f>
        <v/>
      </c>
      <c r="EM7">
        <f>'Entity Inputs'!EM7</f>
        <v/>
      </c>
      <c r="EN7">
        <f>'Entity Inputs'!EN7</f>
        <v/>
      </c>
      <c r="EO7">
        <f>'Entity Inputs'!EO7</f>
        <v/>
      </c>
      <c r="EP7">
        <f>'Entity Inputs'!EP7</f>
        <v/>
      </c>
      <c r="EQ7">
        <f>'Entity Inputs'!EQ7</f>
        <v/>
      </c>
      <c r="ER7">
        <f>'Entity Inputs'!ER7</f>
        <v/>
      </c>
      <c r="ES7">
        <f>'Entity Inputs'!ES7</f>
        <v/>
      </c>
      <c r="ET7">
        <f>'Entity Inputs'!ET7</f>
        <v/>
      </c>
      <c r="EU7">
        <f>'Entity Inputs'!EU7</f>
        <v/>
      </c>
      <c r="EV7">
        <f>'Entity Inputs'!EV7</f>
        <v/>
      </c>
      <c r="EW7">
        <f>'Entity Inputs'!EW7</f>
        <v/>
      </c>
      <c r="EX7">
        <f>'Entity Inputs'!EX7</f>
        <v/>
      </c>
      <c r="EY7">
        <f>'Entity Inputs'!EY7</f>
        <v/>
      </c>
      <c r="EZ7">
        <f>'Entity Inputs'!EZ7</f>
        <v/>
      </c>
      <c r="FA7">
        <f>'Entity Inputs'!FA7</f>
        <v/>
      </c>
      <c r="FB7">
        <f>'Entity Inputs'!FB7</f>
        <v/>
      </c>
      <c r="FC7">
        <f>'Entity Inputs'!FC7</f>
        <v/>
      </c>
      <c r="FD7">
        <f>'Entity Inputs'!FD7</f>
        <v/>
      </c>
      <c r="FE7">
        <f>'Entity Inputs'!FE7</f>
        <v/>
      </c>
      <c r="FF7">
        <f>'Entity Inputs'!FF7</f>
        <v/>
      </c>
      <c r="FG7">
        <f>'Entity Inputs'!FG7</f>
        <v/>
      </c>
      <c r="FH7">
        <f>'Entity Inputs'!FH7</f>
        <v/>
      </c>
      <c r="FI7">
        <f>'Entity Inputs'!FI7</f>
        <v/>
      </c>
      <c r="FJ7">
        <f>'Entity Inputs'!FJ7</f>
        <v/>
      </c>
      <c r="FK7">
        <f>'Entity Inputs'!FK7</f>
        <v/>
      </c>
      <c r="FL7">
        <f>'Entity Inputs'!FL7</f>
        <v/>
      </c>
      <c r="FM7">
        <f>'Entity Inputs'!FM7</f>
        <v/>
      </c>
      <c r="FN7">
        <f>'Entity Inputs'!FN7</f>
        <v/>
      </c>
      <c r="FO7">
        <f>'Entity Inputs'!FO7</f>
        <v/>
      </c>
      <c r="FP7">
        <f>'Entity Inputs'!FP7</f>
        <v/>
      </c>
      <c r="FQ7">
        <f>'Entity Inputs'!FQ7</f>
        <v/>
      </c>
      <c r="FR7">
        <f>'Entity Inputs'!FR7</f>
        <v/>
      </c>
      <c r="FS7">
        <f>'Entity Inputs'!FS7</f>
        <v/>
      </c>
      <c r="FT7">
        <f>'Entity Inputs'!FT7</f>
        <v/>
      </c>
      <c r="FU7">
        <f>'Entity Inputs'!FU7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Inputs'!FV7</f>
        <v/>
      </c>
      <c r="GI7">
        <f>'Entity Inputs'!FW7</f>
        <v/>
      </c>
      <c r="GJ7">
        <f>'Entity Inputs'!FX7</f>
        <v/>
      </c>
      <c r="GK7">
        <f>'Entity Inputs'!FY7</f>
        <v/>
      </c>
      <c r="GL7">
        <f>'Entity Inputs'!FZ7</f>
        <v/>
      </c>
      <c r="GM7">
        <f>'Entity Inputs'!GA7</f>
        <v/>
      </c>
      <c r="GN7">
        <f>'Entity Inputs'!GB7</f>
        <v/>
      </c>
      <c r="GO7">
        <f>'Entity Inputs'!GC7</f>
        <v/>
      </c>
      <c r="GP7">
        <f>'Entity Inputs'!GD7</f>
        <v/>
      </c>
      <c r="GQ7">
        <f>'Entity Inputs'!GE7</f>
        <v/>
      </c>
      <c r="GR7">
        <f>'Entity Inputs'!GF7</f>
        <v/>
      </c>
    </row>
    <row r="8">
      <c r="A8" t="inlineStr">
        <is>
          <t>Entity A1</t>
        </is>
      </c>
      <c r="B8" t="inlineStr">
        <is>
          <t>2026-08</t>
        </is>
      </c>
      <c r="C8" t="n">
        <v>31</v>
      </c>
      <c r="D8" t="n">
        <v>5</v>
      </c>
      <c r="E8">
        <f>'Entity Inputs'!E8</f>
        <v/>
      </c>
      <c r="F8">
        <f>'Entity Inputs'!F8</f>
        <v/>
      </c>
      <c r="G8">
        <f>'Entity Inputs'!G8</f>
        <v/>
      </c>
      <c r="H8">
        <f>'Entity Inputs'!H8</f>
        <v/>
      </c>
      <c r="I8">
        <f>'Entity Inputs'!I8</f>
        <v/>
      </c>
      <c r="J8">
        <f>'Entity Inputs'!J8</f>
        <v/>
      </c>
      <c r="K8">
        <f>'Entity Inputs'!K8</f>
        <v/>
      </c>
      <c r="L8">
        <f>'Entity Inputs'!L8</f>
        <v/>
      </c>
      <c r="M8">
        <f>'Entity Inputs'!M8</f>
        <v/>
      </c>
      <c r="N8">
        <f>'Entity Inputs'!N8</f>
        <v/>
      </c>
      <c r="O8">
        <f>'Entity Inputs'!O8</f>
        <v/>
      </c>
      <c r="P8">
        <f>'Entity Inputs'!P8</f>
        <v/>
      </c>
      <c r="Q8">
        <f>'Entity Inputs'!Q8</f>
        <v/>
      </c>
      <c r="R8">
        <f>'Entity Inputs'!R8</f>
        <v/>
      </c>
      <c r="S8">
        <f>'Entity Inputs'!S8</f>
        <v/>
      </c>
      <c r="T8">
        <f>'Entity Inputs'!T8</f>
        <v/>
      </c>
      <c r="U8">
        <f>'Entity Inputs'!U8</f>
        <v/>
      </c>
      <c r="V8">
        <f>'Entity Inputs'!V8</f>
        <v/>
      </c>
      <c r="W8">
        <f>'Entity Inputs'!W8</f>
        <v/>
      </c>
      <c r="X8">
        <f>'Entity Inputs'!X8</f>
        <v/>
      </c>
      <c r="Y8">
        <f>'Entity Inputs'!Y8</f>
        <v/>
      </c>
      <c r="Z8">
        <f>'Entity Inputs'!Z8</f>
        <v/>
      </c>
      <c r="AA8">
        <f>'Entity Inputs'!AA8</f>
        <v/>
      </c>
      <c r="AB8">
        <f>'Entity Inputs'!AB8</f>
        <v/>
      </c>
      <c r="AC8">
        <f>'Entity Inputs'!AC8</f>
        <v/>
      </c>
      <c r="AD8">
        <f>'Entity Inputs'!AD8</f>
        <v/>
      </c>
      <c r="AE8">
        <f>'Entity Inputs'!AE8</f>
        <v/>
      </c>
      <c r="AF8">
        <f>'Entity Inputs'!AF8</f>
        <v/>
      </c>
      <c r="AG8">
        <f>'Entity Inputs'!AG8</f>
        <v/>
      </c>
      <c r="AH8">
        <f>'Entity Inputs'!AH8</f>
        <v/>
      </c>
      <c r="AI8">
        <f>'Entity Inputs'!AI8</f>
        <v/>
      </c>
      <c r="AJ8">
        <f>'Entity Inputs'!AJ8</f>
        <v/>
      </c>
      <c r="AK8">
        <f>'Entity Inputs'!AK8</f>
        <v/>
      </c>
      <c r="AL8">
        <f>'Entity Inputs'!AL8</f>
        <v/>
      </c>
      <c r="AM8">
        <f>'Entity Inputs'!AM8</f>
        <v/>
      </c>
      <c r="AN8">
        <f>'Entity Inputs'!AN8</f>
        <v/>
      </c>
      <c r="AO8">
        <f>'Entity Inputs'!AO8</f>
        <v/>
      </c>
      <c r="AP8">
        <f>'Entity Inputs'!AP8</f>
        <v/>
      </c>
      <c r="AQ8">
        <f>'Entity Inputs'!AQ8</f>
        <v/>
      </c>
      <c r="AR8">
        <f>'Entity Inputs'!AR8</f>
        <v/>
      </c>
      <c r="AS8">
        <f>'Entity Inputs'!AS8</f>
        <v/>
      </c>
      <c r="AT8">
        <f>'Entity Inputs'!AT8</f>
        <v/>
      </c>
      <c r="AU8">
        <f>'Entity Inputs'!AU8</f>
        <v/>
      </c>
      <c r="AV8">
        <f>'Entity Inputs'!AV8</f>
        <v/>
      </c>
      <c r="AW8">
        <f>'Entity Inputs'!AW8</f>
        <v/>
      </c>
      <c r="AX8">
        <f>'Entity Inputs'!AX8</f>
        <v/>
      </c>
      <c r="AY8">
        <f>'Entity Inputs'!AY8</f>
        <v/>
      </c>
      <c r="AZ8">
        <f>'Entity Inputs'!AZ8</f>
        <v/>
      </c>
      <c r="BA8">
        <f>'Entity Inputs'!BA8</f>
        <v/>
      </c>
      <c r="BB8">
        <f>'Entity Inputs'!BB8</f>
        <v/>
      </c>
      <c r="BC8">
        <f>'Entity Inputs'!BC8</f>
        <v/>
      </c>
      <c r="BD8">
        <f>'Entity Inputs'!BD8</f>
        <v/>
      </c>
      <c r="BE8">
        <f>'Entity Inputs'!BE8</f>
        <v/>
      </c>
      <c r="BF8">
        <f>'Entity Inputs'!BF8</f>
        <v/>
      </c>
      <c r="BG8">
        <f>'Entity Inputs'!BG8</f>
        <v/>
      </c>
      <c r="BH8">
        <f>'Entity Inputs'!BH8</f>
        <v/>
      </c>
      <c r="BI8">
        <f>'Entity Inputs'!BI8</f>
        <v/>
      </c>
      <c r="BJ8">
        <f>'Entity Inputs'!BJ8</f>
        <v/>
      </c>
      <c r="BK8">
        <f>'Entity Inputs'!BK8</f>
        <v/>
      </c>
      <c r="BL8">
        <f>'Entity Inputs'!BL8</f>
        <v/>
      </c>
      <c r="BM8">
        <f>'Entity Inputs'!BM8</f>
        <v/>
      </c>
      <c r="BN8">
        <f>'Entity Inputs'!BN8</f>
        <v/>
      </c>
      <c r="BO8">
        <f>'Entity Inputs'!BO8</f>
        <v/>
      </c>
      <c r="BP8">
        <f>'Entity Inputs'!BP8</f>
        <v/>
      </c>
      <c r="BQ8">
        <f>'Entity Inputs'!BQ8</f>
        <v/>
      </c>
      <c r="BR8">
        <f>'Entity Inputs'!BR8</f>
        <v/>
      </c>
      <c r="BS8">
        <f>'Entity Inputs'!BS8</f>
        <v/>
      </c>
      <c r="BT8">
        <f>'Entity Inputs'!BT8</f>
        <v/>
      </c>
      <c r="BU8">
        <f>'Entity Inputs'!BU8</f>
        <v/>
      </c>
      <c r="BV8">
        <f>'Entity Inputs'!BV8</f>
        <v/>
      </c>
      <c r="BW8">
        <f>'Entity Inputs'!BW8</f>
        <v/>
      </c>
      <c r="BX8">
        <f>'Entity Inputs'!BX8</f>
        <v/>
      </c>
      <c r="BY8">
        <f>'Entity Inputs'!BY8</f>
        <v/>
      </c>
      <c r="BZ8">
        <f>'Entity Inputs'!BZ8</f>
        <v/>
      </c>
      <c r="CA8">
        <f>'Entity Inputs'!CA8</f>
        <v/>
      </c>
      <c r="CB8">
        <f>'Entity Inputs'!CB8</f>
        <v/>
      </c>
      <c r="CC8">
        <f>'Entity Inputs'!CC8</f>
        <v/>
      </c>
      <c r="CD8">
        <f>'Entity Inputs'!CD8</f>
        <v/>
      </c>
      <c r="CE8">
        <f>'Entity Inputs'!CE8</f>
        <v/>
      </c>
      <c r="CF8">
        <f>'Entity Inputs'!CF8</f>
        <v/>
      </c>
      <c r="CG8">
        <f>'Entity Inputs'!CG8</f>
        <v/>
      </c>
      <c r="CH8">
        <f>'Entity Inputs'!CH8</f>
        <v/>
      </c>
      <c r="CI8">
        <f>'Entity Inputs'!CI8</f>
        <v/>
      </c>
      <c r="CJ8">
        <f>'Entity Inputs'!CJ8</f>
        <v/>
      </c>
      <c r="CK8">
        <f>'Entity Inputs'!CK8</f>
        <v/>
      </c>
      <c r="CL8">
        <f>'Entity Inputs'!CL8</f>
        <v/>
      </c>
      <c r="CM8">
        <f>'Entity Inputs'!CM8</f>
        <v/>
      </c>
      <c r="CN8">
        <f>'Entity Inputs'!CN8</f>
        <v/>
      </c>
      <c r="CO8">
        <f>'Entity Inputs'!CO8</f>
        <v/>
      </c>
      <c r="CP8">
        <f>'Entity Inputs'!CP8</f>
        <v/>
      </c>
      <c r="CQ8">
        <f>'Entity Inputs'!CQ8</f>
        <v/>
      </c>
      <c r="CR8">
        <f>'Entity Inputs'!CR8</f>
        <v/>
      </c>
      <c r="CS8">
        <f>'Entity Inputs'!CS8</f>
        <v/>
      </c>
      <c r="CT8">
        <f>'Entity Inputs'!CT8</f>
        <v/>
      </c>
      <c r="CU8">
        <f>'Entity Inputs'!CU8</f>
        <v/>
      </c>
      <c r="CV8">
        <f>'Entity Inputs'!CV8</f>
        <v/>
      </c>
      <c r="CW8">
        <f>'Entity Inputs'!CW8</f>
        <v/>
      </c>
      <c r="CX8">
        <f>'Entity Inputs'!CX8</f>
        <v/>
      </c>
      <c r="CY8">
        <f>'Entity Inputs'!CY8</f>
        <v/>
      </c>
      <c r="CZ8">
        <f>'Entity Inputs'!CZ8</f>
        <v/>
      </c>
      <c r="DA8">
        <f>'Entity Inputs'!DA8</f>
        <v/>
      </c>
      <c r="DB8">
        <f>'Entity Inputs'!DB8</f>
        <v/>
      </c>
      <c r="DC8">
        <f>'Entity Inputs'!DC8</f>
        <v/>
      </c>
      <c r="DD8">
        <f>'Entity Inputs'!DD8</f>
        <v/>
      </c>
      <c r="DE8">
        <f>'Entity Inputs'!DE8</f>
        <v/>
      </c>
      <c r="DF8">
        <f>'Entity Inputs'!DF8</f>
        <v/>
      </c>
      <c r="DG8">
        <f>'Entity Inputs'!DG8</f>
        <v/>
      </c>
      <c r="DH8">
        <f>'Entity Inputs'!DH8</f>
        <v/>
      </c>
      <c r="DI8">
        <f>'Entity Inputs'!DI8</f>
        <v/>
      </c>
      <c r="DJ8">
        <f>'Entity Inputs'!DJ8</f>
        <v/>
      </c>
      <c r="DK8">
        <f>'Entity Inputs'!DK8</f>
        <v/>
      </c>
      <c r="DL8">
        <f>'Entity Inputs'!DL8</f>
        <v/>
      </c>
      <c r="DM8">
        <f>'Entity Inputs'!DM8</f>
        <v/>
      </c>
      <c r="DN8">
        <f>'Entity Inputs'!DN8</f>
        <v/>
      </c>
      <c r="DO8">
        <f>'Entity Inputs'!DO8</f>
        <v/>
      </c>
      <c r="DP8">
        <f>'Entity Inputs'!DP8</f>
        <v/>
      </c>
      <c r="DQ8">
        <f>'Entity Inputs'!DQ8</f>
        <v/>
      </c>
      <c r="DR8">
        <f>'Entity Inputs'!DR8</f>
        <v/>
      </c>
      <c r="DS8">
        <f>'Entity Inputs'!DS8</f>
        <v/>
      </c>
      <c r="DT8">
        <f>'Entity Inputs'!DT8</f>
        <v/>
      </c>
      <c r="DU8">
        <f>'Entity Inputs'!DU8</f>
        <v/>
      </c>
      <c r="DV8">
        <f>'Entity Inputs'!DV8</f>
        <v/>
      </c>
      <c r="DW8">
        <f>'Entity Inputs'!DW8</f>
        <v/>
      </c>
      <c r="DX8">
        <f>'Entity Inputs'!DX8</f>
        <v/>
      </c>
      <c r="DY8">
        <f>'Entity Inputs'!DY8</f>
        <v/>
      </c>
      <c r="DZ8">
        <f>'Entity Inputs'!DZ8</f>
        <v/>
      </c>
      <c r="EA8">
        <f>'Entity Inputs'!EA8</f>
        <v/>
      </c>
      <c r="EB8">
        <f>'Entity Inputs'!EB8</f>
        <v/>
      </c>
      <c r="EC8">
        <f>'Entity Inputs'!EC8</f>
        <v/>
      </c>
      <c r="ED8">
        <f>'Entity Inputs'!ED8</f>
        <v/>
      </c>
      <c r="EE8">
        <f>'Entity Inputs'!EE8</f>
        <v/>
      </c>
      <c r="EF8">
        <f>'Entity Inputs'!EF8</f>
        <v/>
      </c>
      <c r="EG8">
        <f>'Entity Inputs'!EG8</f>
        <v/>
      </c>
      <c r="EH8">
        <f>'Entity Inputs'!EH8</f>
        <v/>
      </c>
      <c r="EI8">
        <f>'Entity Inputs'!EI8</f>
        <v/>
      </c>
      <c r="EJ8">
        <f>'Entity Inputs'!EJ8</f>
        <v/>
      </c>
      <c r="EK8">
        <f>'Entity Inputs'!EK8</f>
        <v/>
      </c>
      <c r="EL8">
        <f>'Entity Inputs'!EL8</f>
        <v/>
      </c>
      <c r="EM8">
        <f>'Entity Inputs'!EM8</f>
        <v/>
      </c>
      <c r="EN8">
        <f>'Entity Inputs'!EN8</f>
        <v/>
      </c>
      <c r="EO8">
        <f>'Entity Inputs'!EO8</f>
        <v/>
      </c>
      <c r="EP8">
        <f>'Entity Inputs'!EP8</f>
        <v/>
      </c>
      <c r="EQ8">
        <f>'Entity Inputs'!EQ8</f>
        <v/>
      </c>
      <c r="ER8">
        <f>'Entity Inputs'!ER8</f>
        <v/>
      </c>
      <c r="ES8">
        <f>'Entity Inputs'!ES8</f>
        <v/>
      </c>
      <c r="ET8">
        <f>'Entity Inputs'!ET8</f>
        <v/>
      </c>
      <c r="EU8">
        <f>'Entity Inputs'!EU8</f>
        <v/>
      </c>
      <c r="EV8">
        <f>'Entity Inputs'!EV8</f>
        <v/>
      </c>
      <c r="EW8">
        <f>'Entity Inputs'!EW8</f>
        <v/>
      </c>
      <c r="EX8">
        <f>'Entity Inputs'!EX8</f>
        <v/>
      </c>
      <c r="EY8">
        <f>'Entity Inputs'!EY8</f>
        <v/>
      </c>
      <c r="EZ8">
        <f>'Entity Inputs'!EZ8</f>
        <v/>
      </c>
      <c r="FA8">
        <f>'Entity Inputs'!FA8</f>
        <v/>
      </c>
      <c r="FB8">
        <f>'Entity Inputs'!FB8</f>
        <v/>
      </c>
      <c r="FC8">
        <f>'Entity Inputs'!FC8</f>
        <v/>
      </c>
      <c r="FD8">
        <f>'Entity Inputs'!FD8</f>
        <v/>
      </c>
      <c r="FE8">
        <f>'Entity Inputs'!FE8</f>
        <v/>
      </c>
      <c r="FF8">
        <f>'Entity Inputs'!FF8</f>
        <v/>
      </c>
      <c r="FG8">
        <f>'Entity Inputs'!FG8</f>
        <v/>
      </c>
      <c r="FH8">
        <f>'Entity Inputs'!FH8</f>
        <v/>
      </c>
      <c r="FI8">
        <f>'Entity Inputs'!FI8</f>
        <v/>
      </c>
      <c r="FJ8">
        <f>'Entity Inputs'!FJ8</f>
        <v/>
      </c>
      <c r="FK8">
        <f>'Entity Inputs'!FK8</f>
        <v/>
      </c>
      <c r="FL8">
        <f>'Entity Inputs'!FL8</f>
        <v/>
      </c>
      <c r="FM8">
        <f>'Entity Inputs'!FM8</f>
        <v/>
      </c>
      <c r="FN8">
        <f>'Entity Inputs'!FN8</f>
        <v/>
      </c>
      <c r="FO8">
        <f>'Entity Inputs'!FO8</f>
        <v/>
      </c>
      <c r="FP8">
        <f>'Entity Inputs'!FP8</f>
        <v/>
      </c>
      <c r="FQ8">
        <f>'Entity Inputs'!FQ8</f>
        <v/>
      </c>
      <c r="FR8">
        <f>'Entity Inputs'!FR8</f>
        <v/>
      </c>
      <c r="FS8">
        <f>'Entity Inputs'!FS8</f>
        <v/>
      </c>
      <c r="FT8">
        <f>'Entity Inputs'!FT8</f>
        <v/>
      </c>
      <c r="FU8">
        <f>'Entity Inputs'!FU8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Inputs'!FV8</f>
        <v/>
      </c>
      <c r="GI8">
        <f>'Entity Inputs'!FW8</f>
        <v/>
      </c>
      <c r="GJ8">
        <f>'Entity Inputs'!FX8</f>
        <v/>
      </c>
      <c r="GK8">
        <f>'Entity Inputs'!FY8</f>
        <v/>
      </c>
      <c r="GL8">
        <f>'Entity Inputs'!FZ8</f>
        <v/>
      </c>
      <c r="GM8">
        <f>'Entity Inputs'!GA8</f>
        <v/>
      </c>
      <c r="GN8">
        <f>'Entity Inputs'!GB8</f>
        <v/>
      </c>
      <c r="GO8">
        <f>'Entity Inputs'!GC8</f>
        <v/>
      </c>
      <c r="GP8">
        <f>'Entity Inputs'!GD8</f>
        <v/>
      </c>
      <c r="GQ8">
        <f>'Entity Inputs'!GE8</f>
        <v/>
      </c>
      <c r="GR8">
        <f>'Entity Inputs'!GF8</f>
        <v/>
      </c>
    </row>
    <row r="9">
      <c r="A9" t="inlineStr">
        <is>
          <t>Entity A1</t>
        </is>
      </c>
      <c r="B9" t="inlineStr">
        <is>
          <t>2026-09</t>
        </is>
      </c>
      <c r="C9" t="n">
        <v>30</v>
      </c>
      <c r="D9" t="n">
        <v>6</v>
      </c>
      <c r="E9">
        <f>'Entity Inputs'!E9</f>
        <v/>
      </c>
      <c r="F9">
        <f>'Entity Inputs'!F9</f>
        <v/>
      </c>
      <c r="G9">
        <f>'Entity Inputs'!G9</f>
        <v/>
      </c>
      <c r="H9">
        <f>'Entity Inputs'!H9</f>
        <v/>
      </c>
      <c r="I9">
        <f>'Entity Inputs'!I9</f>
        <v/>
      </c>
      <c r="J9">
        <f>'Entity Inputs'!J9</f>
        <v/>
      </c>
      <c r="K9">
        <f>'Entity Inputs'!K9</f>
        <v/>
      </c>
      <c r="L9">
        <f>'Entity Inputs'!L9</f>
        <v/>
      </c>
      <c r="M9">
        <f>'Entity Inputs'!M9</f>
        <v/>
      </c>
      <c r="N9">
        <f>'Entity Inputs'!N9</f>
        <v/>
      </c>
      <c r="O9">
        <f>'Entity Inputs'!O9</f>
        <v/>
      </c>
      <c r="P9">
        <f>'Entity Inputs'!P9</f>
        <v/>
      </c>
      <c r="Q9">
        <f>'Entity Inputs'!Q9</f>
        <v/>
      </c>
      <c r="R9">
        <f>'Entity Inputs'!R9</f>
        <v/>
      </c>
      <c r="S9">
        <f>'Entity Inputs'!S9</f>
        <v/>
      </c>
      <c r="T9">
        <f>'Entity Inputs'!T9</f>
        <v/>
      </c>
      <c r="U9">
        <f>'Entity Inputs'!U9</f>
        <v/>
      </c>
      <c r="V9">
        <f>'Entity Inputs'!V9</f>
        <v/>
      </c>
      <c r="W9">
        <f>'Entity Inputs'!W9</f>
        <v/>
      </c>
      <c r="X9">
        <f>'Entity Inputs'!X9</f>
        <v/>
      </c>
      <c r="Y9">
        <f>'Entity Inputs'!Y9</f>
        <v/>
      </c>
      <c r="Z9">
        <f>'Entity Inputs'!Z9</f>
        <v/>
      </c>
      <c r="AA9">
        <f>'Entity Inputs'!AA9</f>
        <v/>
      </c>
      <c r="AB9">
        <f>'Entity Inputs'!AB9</f>
        <v/>
      </c>
      <c r="AC9">
        <f>'Entity Inputs'!AC9</f>
        <v/>
      </c>
      <c r="AD9">
        <f>'Entity Inputs'!AD9</f>
        <v/>
      </c>
      <c r="AE9">
        <f>'Entity Inputs'!AE9</f>
        <v/>
      </c>
      <c r="AF9">
        <f>'Entity Inputs'!AF9</f>
        <v/>
      </c>
      <c r="AG9">
        <f>'Entity Inputs'!AG9</f>
        <v/>
      </c>
      <c r="AH9">
        <f>'Entity Inputs'!AH9</f>
        <v/>
      </c>
      <c r="AI9">
        <f>'Entity Inputs'!AI9</f>
        <v/>
      </c>
      <c r="AJ9">
        <f>'Entity Inputs'!AJ9</f>
        <v/>
      </c>
      <c r="AK9">
        <f>'Entity Inputs'!AK9</f>
        <v/>
      </c>
      <c r="AL9">
        <f>'Entity Inputs'!AL9</f>
        <v/>
      </c>
      <c r="AM9">
        <f>'Entity Inputs'!AM9</f>
        <v/>
      </c>
      <c r="AN9">
        <f>'Entity Inputs'!AN9</f>
        <v/>
      </c>
      <c r="AO9">
        <f>'Entity Inputs'!AO9</f>
        <v/>
      </c>
      <c r="AP9">
        <f>'Entity Inputs'!AP9</f>
        <v/>
      </c>
      <c r="AQ9">
        <f>'Entity Inputs'!AQ9</f>
        <v/>
      </c>
      <c r="AR9">
        <f>'Entity Inputs'!AR9</f>
        <v/>
      </c>
      <c r="AS9">
        <f>'Entity Inputs'!AS9</f>
        <v/>
      </c>
      <c r="AT9">
        <f>'Entity Inputs'!AT9</f>
        <v/>
      </c>
      <c r="AU9">
        <f>'Entity Inputs'!AU9</f>
        <v/>
      </c>
      <c r="AV9">
        <f>'Entity Inputs'!AV9</f>
        <v/>
      </c>
      <c r="AW9">
        <f>'Entity Inputs'!AW9</f>
        <v/>
      </c>
      <c r="AX9">
        <f>'Entity Inputs'!AX9</f>
        <v/>
      </c>
      <c r="AY9">
        <f>'Entity Inputs'!AY9</f>
        <v/>
      </c>
      <c r="AZ9">
        <f>'Entity Inputs'!AZ9</f>
        <v/>
      </c>
      <c r="BA9">
        <f>'Entity Inputs'!BA9</f>
        <v/>
      </c>
      <c r="BB9">
        <f>'Entity Inputs'!BB9</f>
        <v/>
      </c>
      <c r="BC9">
        <f>'Entity Inputs'!BC9</f>
        <v/>
      </c>
      <c r="BD9">
        <f>'Entity Inputs'!BD9</f>
        <v/>
      </c>
      <c r="BE9">
        <f>'Entity Inputs'!BE9</f>
        <v/>
      </c>
      <c r="BF9">
        <f>'Entity Inputs'!BF9</f>
        <v/>
      </c>
      <c r="BG9">
        <f>'Entity Inputs'!BG9</f>
        <v/>
      </c>
      <c r="BH9">
        <f>'Entity Inputs'!BH9</f>
        <v/>
      </c>
      <c r="BI9">
        <f>'Entity Inputs'!BI9</f>
        <v/>
      </c>
      <c r="BJ9">
        <f>'Entity Inputs'!BJ9</f>
        <v/>
      </c>
      <c r="BK9">
        <f>'Entity Inputs'!BK9</f>
        <v/>
      </c>
      <c r="BL9">
        <f>'Entity Inputs'!BL9</f>
        <v/>
      </c>
      <c r="BM9">
        <f>'Entity Inputs'!BM9</f>
        <v/>
      </c>
      <c r="BN9">
        <f>'Entity Inputs'!BN9</f>
        <v/>
      </c>
      <c r="BO9">
        <f>'Entity Inputs'!BO9</f>
        <v/>
      </c>
      <c r="BP9">
        <f>'Entity Inputs'!BP9</f>
        <v/>
      </c>
      <c r="BQ9">
        <f>'Entity Inputs'!BQ9</f>
        <v/>
      </c>
      <c r="BR9">
        <f>'Entity Inputs'!BR9</f>
        <v/>
      </c>
      <c r="BS9">
        <f>'Entity Inputs'!BS9</f>
        <v/>
      </c>
      <c r="BT9">
        <f>'Entity Inputs'!BT9</f>
        <v/>
      </c>
      <c r="BU9">
        <f>'Entity Inputs'!BU9</f>
        <v/>
      </c>
      <c r="BV9">
        <f>'Entity Inputs'!BV9</f>
        <v/>
      </c>
      <c r="BW9">
        <f>'Entity Inputs'!BW9</f>
        <v/>
      </c>
      <c r="BX9">
        <f>'Entity Inputs'!BX9</f>
        <v/>
      </c>
      <c r="BY9">
        <f>'Entity Inputs'!BY9</f>
        <v/>
      </c>
      <c r="BZ9">
        <f>'Entity Inputs'!BZ9</f>
        <v/>
      </c>
      <c r="CA9">
        <f>'Entity Inputs'!CA9</f>
        <v/>
      </c>
      <c r="CB9">
        <f>'Entity Inputs'!CB9</f>
        <v/>
      </c>
      <c r="CC9">
        <f>'Entity Inputs'!CC9</f>
        <v/>
      </c>
      <c r="CD9">
        <f>'Entity Inputs'!CD9</f>
        <v/>
      </c>
      <c r="CE9">
        <f>'Entity Inputs'!CE9</f>
        <v/>
      </c>
      <c r="CF9">
        <f>'Entity Inputs'!CF9</f>
        <v/>
      </c>
      <c r="CG9">
        <f>'Entity Inputs'!CG9</f>
        <v/>
      </c>
      <c r="CH9">
        <f>'Entity Inputs'!CH9</f>
        <v/>
      </c>
      <c r="CI9">
        <f>'Entity Inputs'!CI9</f>
        <v/>
      </c>
      <c r="CJ9">
        <f>'Entity Inputs'!CJ9</f>
        <v/>
      </c>
      <c r="CK9">
        <f>'Entity Inputs'!CK9</f>
        <v/>
      </c>
      <c r="CL9">
        <f>'Entity Inputs'!CL9</f>
        <v/>
      </c>
      <c r="CM9">
        <f>'Entity Inputs'!CM9</f>
        <v/>
      </c>
      <c r="CN9">
        <f>'Entity Inputs'!CN9</f>
        <v/>
      </c>
      <c r="CO9">
        <f>'Entity Inputs'!CO9</f>
        <v/>
      </c>
      <c r="CP9">
        <f>'Entity Inputs'!CP9</f>
        <v/>
      </c>
      <c r="CQ9">
        <f>'Entity Inputs'!CQ9</f>
        <v/>
      </c>
      <c r="CR9">
        <f>'Entity Inputs'!CR9</f>
        <v/>
      </c>
      <c r="CS9">
        <f>'Entity Inputs'!CS9</f>
        <v/>
      </c>
      <c r="CT9">
        <f>'Entity Inputs'!CT9</f>
        <v/>
      </c>
      <c r="CU9">
        <f>'Entity Inputs'!CU9</f>
        <v/>
      </c>
      <c r="CV9">
        <f>'Entity Inputs'!CV9</f>
        <v/>
      </c>
      <c r="CW9">
        <f>'Entity Inputs'!CW9</f>
        <v/>
      </c>
      <c r="CX9">
        <f>'Entity Inputs'!CX9</f>
        <v/>
      </c>
      <c r="CY9">
        <f>'Entity Inputs'!CY9</f>
        <v/>
      </c>
      <c r="CZ9">
        <f>'Entity Inputs'!CZ9</f>
        <v/>
      </c>
      <c r="DA9">
        <f>'Entity Inputs'!DA9</f>
        <v/>
      </c>
      <c r="DB9">
        <f>'Entity Inputs'!DB9</f>
        <v/>
      </c>
      <c r="DC9">
        <f>'Entity Inputs'!DC9</f>
        <v/>
      </c>
      <c r="DD9">
        <f>'Entity Inputs'!DD9</f>
        <v/>
      </c>
      <c r="DE9">
        <f>'Entity Inputs'!DE9</f>
        <v/>
      </c>
      <c r="DF9">
        <f>'Entity Inputs'!DF9</f>
        <v/>
      </c>
      <c r="DG9">
        <f>'Entity Inputs'!DG9</f>
        <v/>
      </c>
      <c r="DH9">
        <f>'Entity Inputs'!DH9</f>
        <v/>
      </c>
      <c r="DI9">
        <f>'Entity Inputs'!DI9</f>
        <v/>
      </c>
      <c r="DJ9">
        <f>'Entity Inputs'!DJ9</f>
        <v/>
      </c>
      <c r="DK9">
        <f>'Entity Inputs'!DK9</f>
        <v/>
      </c>
      <c r="DL9">
        <f>'Entity Inputs'!DL9</f>
        <v/>
      </c>
      <c r="DM9">
        <f>'Entity Inputs'!DM9</f>
        <v/>
      </c>
      <c r="DN9">
        <f>'Entity Inputs'!DN9</f>
        <v/>
      </c>
      <c r="DO9">
        <f>'Entity Inputs'!DO9</f>
        <v/>
      </c>
      <c r="DP9">
        <f>'Entity Inputs'!DP9</f>
        <v/>
      </c>
      <c r="DQ9">
        <f>'Entity Inputs'!DQ9</f>
        <v/>
      </c>
      <c r="DR9">
        <f>'Entity Inputs'!DR9</f>
        <v/>
      </c>
      <c r="DS9">
        <f>'Entity Inputs'!DS9</f>
        <v/>
      </c>
      <c r="DT9">
        <f>'Entity Inputs'!DT9</f>
        <v/>
      </c>
      <c r="DU9">
        <f>'Entity Inputs'!DU9</f>
        <v/>
      </c>
      <c r="DV9">
        <f>'Entity Inputs'!DV9</f>
        <v/>
      </c>
      <c r="DW9">
        <f>'Entity Inputs'!DW9</f>
        <v/>
      </c>
      <c r="DX9">
        <f>'Entity Inputs'!DX9</f>
        <v/>
      </c>
      <c r="DY9">
        <f>'Entity Inputs'!DY9</f>
        <v/>
      </c>
      <c r="DZ9">
        <f>'Entity Inputs'!DZ9</f>
        <v/>
      </c>
      <c r="EA9">
        <f>'Entity Inputs'!EA9</f>
        <v/>
      </c>
      <c r="EB9">
        <f>'Entity Inputs'!EB9</f>
        <v/>
      </c>
      <c r="EC9">
        <f>'Entity Inputs'!EC9</f>
        <v/>
      </c>
      <c r="ED9">
        <f>'Entity Inputs'!ED9</f>
        <v/>
      </c>
      <c r="EE9">
        <f>'Entity Inputs'!EE9</f>
        <v/>
      </c>
      <c r="EF9">
        <f>'Entity Inputs'!EF9</f>
        <v/>
      </c>
      <c r="EG9">
        <f>'Entity Inputs'!EG9</f>
        <v/>
      </c>
      <c r="EH9">
        <f>'Entity Inputs'!EH9</f>
        <v/>
      </c>
      <c r="EI9">
        <f>'Entity Inputs'!EI9</f>
        <v/>
      </c>
      <c r="EJ9">
        <f>'Entity Inputs'!EJ9</f>
        <v/>
      </c>
      <c r="EK9">
        <f>'Entity Inputs'!EK9</f>
        <v/>
      </c>
      <c r="EL9">
        <f>'Entity Inputs'!EL9</f>
        <v/>
      </c>
      <c r="EM9">
        <f>'Entity Inputs'!EM9</f>
        <v/>
      </c>
      <c r="EN9">
        <f>'Entity Inputs'!EN9</f>
        <v/>
      </c>
      <c r="EO9">
        <f>'Entity Inputs'!EO9</f>
        <v/>
      </c>
      <c r="EP9">
        <f>'Entity Inputs'!EP9</f>
        <v/>
      </c>
      <c r="EQ9">
        <f>'Entity Inputs'!EQ9</f>
        <v/>
      </c>
      <c r="ER9">
        <f>'Entity Inputs'!ER9</f>
        <v/>
      </c>
      <c r="ES9">
        <f>'Entity Inputs'!ES9</f>
        <v/>
      </c>
      <c r="ET9">
        <f>'Entity Inputs'!ET9</f>
        <v/>
      </c>
      <c r="EU9">
        <f>'Entity Inputs'!EU9</f>
        <v/>
      </c>
      <c r="EV9">
        <f>'Entity Inputs'!EV9</f>
        <v/>
      </c>
      <c r="EW9">
        <f>'Entity Inputs'!EW9</f>
        <v/>
      </c>
      <c r="EX9">
        <f>'Entity Inputs'!EX9</f>
        <v/>
      </c>
      <c r="EY9">
        <f>'Entity Inputs'!EY9</f>
        <v/>
      </c>
      <c r="EZ9">
        <f>'Entity Inputs'!EZ9</f>
        <v/>
      </c>
      <c r="FA9">
        <f>'Entity Inputs'!FA9</f>
        <v/>
      </c>
      <c r="FB9">
        <f>'Entity Inputs'!FB9</f>
        <v/>
      </c>
      <c r="FC9">
        <f>'Entity Inputs'!FC9</f>
        <v/>
      </c>
      <c r="FD9">
        <f>'Entity Inputs'!FD9</f>
        <v/>
      </c>
      <c r="FE9">
        <f>'Entity Inputs'!FE9</f>
        <v/>
      </c>
      <c r="FF9">
        <f>'Entity Inputs'!FF9</f>
        <v/>
      </c>
      <c r="FG9">
        <f>'Entity Inputs'!FG9</f>
        <v/>
      </c>
      <c r="FH9">
        <f>'Entity Inputs'!FH9</f>
        <v/>
      </c>
      <c r="FI9">
        <f>'Entity Inputs'!FI9</f>
        <v/>
      </c>
      <c r="FJ9">
        <f>'Entity Inputs'!FJ9</f>
        <v/>
      </c>
      <c r="FK9">
        <f>'Entity Inputs'!FK9</f>
        <v/>
      </c>
      <c r="FL9">
        <f>'Entity Inputs'!FL9</f>
        <v/>
      </c>
      <c r="FM9">
        <f>'Entity Inputs'!FM9</f>
        <v/>
      </c>
      <c r="FN9">
        <f>'Entity Inputs'!FN9</f>
        <v/>
      </c>
      <c r="FO9">
        <f>'Entity Inputs'!FO9</f>
        <v/>
      </c>
      <c r="FP9">
        <f>'Entity Inputs'!FP9</f>
        <v/>
      </c>
      <c r="FQ9">
        <f>'Entity Inputs'!FQ9</f>
        <v/>
      </c>
      <c r="FR9">
        <f>'Entity Inputs'!FR9</f>
        <v/>
      </c>
      <c r="FS9">
        <f>'Entity Inputs'!FS9</f>
        <v/>
      </c>
      <c r="FT9">
        <f>'Entity Inputs'!FT9</f>
        <v/>
      </c>
      <c r="FU9">
        <f>'Entity Inputs'!FU9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Inputs'!FV9</f>
        <v/>
      </c>
      <c r="GI9">
        <f>'Entity Inputs'!FW9</f>
        <v/>
      </c>
      <c r="GJ9">
        <f>'Entity Inputs'!FX9</f>
        <v/>
      </c>
      <c r="GK9">
        <f>'Entity Inputs'!FY9</f>
        <v/>
      </c>
      <c r="GL9">
        <f>'Entity Inputs'!FZ9</f>
        <v/>
      </c>
      <c r="GM9">
        <f>'Entity Inputs'!GA9</f>
        <v/>
      </c>
      <c r="GN9">
        <f>'Entity Inputs'!GB9</f>
        <v/>
      </c>
      <c r="GO9">
        <f>'Entity Inputs'!GC9</f>
        <v/>
      </c>
      <c r="GP9">
        <f>'Entity Inputs'!GD9</f>
        <v/>
      </c>
      <c r="GQ9">
        <f>'Entity Inputs'!GE9</f>
        <v/>
      </c>
      <c r="GR9">
        <f>'Entity Inputs'!GF9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A2);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A2</t>
        </is>
      </c>
      <c r="B4" t="inlineStr">
        <is>
          <t>2026-04</t>
        </is>
      </c>
      <c r="C4" t="n">
        <v>30</v>
      </c>
      <c r="D4" t="n">
        <v>1</v>
      </c>
      <c r="E4">
        <f>'Entity Inputs'!E10</f>
        <v/>
      </c>
      <c r="F4">
        <f>'Entity Inputs'!F10</f>
        <v/>
      </c>
      <c r="G4">
        <f>'Entity Inputs'!G10</f>
        <v/>
      </c>
      <c r="H4">
        <f>'Entity Inputs'!H10</f>
        <v/>
      </c>
      <c r="I4">
        <f>'Entity Inputs'!I10</f>
        <v/>
      </c>
      <c r="J4">
        <f>'Entity Inputs'!J10</f>
        <v/>
      </c>
      <c r="K4">
        <f>'Entity Inputs'!K10</f>
        <v/>
      </c>
      <c r="L4">
        <f>'Entity Inputs'!L10</f>
        <v/>
      </c>
      <c r="M4">
        <f>'Entity Inputs'!M10</f>
        <v/>
      </c>
      <c r="N4">
        <f>'Entity Inputs'!N10</f>
        <v/>
      </c>
      <c r="O4">
        <f>'Entity Inputs'!O10</f>
        <v/>
      </c>
      <c r="P4">
        <f>'Entity Inputs'!P10</f>
        <v/>
      </c>
      <c r="Q4">
        <f>'Entity Inputs'!Q10</f>
        <v/>
      </c>
      <c r="R4">
        <f>'Entity Inputs'!R10</f>
        <v/>
      </c>
      <c r="S4">
        <f>'Entity Inputs'!S10</f>
        <v/>
      </c>
      <c r="T4">
        <f>'Entity Inputs'!T10</f>
        <v/>
      </c>
      <c r="U4">
        <f>'Entity Inputs'!U10</f>
        <v/>
      </c>
      <c r="V4">
        <f>'Entity Inputs'!V10</f>
        <v/>
      </c>
      <c r="W4">
        <f>'Entity Inputs'!W10</f>
        <v/>
      </c>
      <c r="X4">
        <f>'Entity Inputs'!X10</f>
        <v/>
      </c>
      <c r="Y4">
        <f>'Entity Inputs'!Y10</f>
        <v/>
      </c>
      <c r="Z4">
        <f>'Entity Inputs'!Z10</f>
        <v/>
      </c>
      <c r="AA4">
        <f>'Entity Inputs'!AA10</f>
        <v/>
      </c>
      <c r="AB4">
        <f>'Entity Inputs'!AB10</f>
        <v/>
      </c>
      <c r="AC4">
        <f>'Entity Inputs'!AC10</f>
        <v/>
      </c>
      <c r="AD4">
        <f>'Entity Inputs'!AD10</f>
        <v/>
      </c>
      <c r="AE4">
        <f>'Entity Inputs'!AE10</f>
        <v/>
      </c>
      <c r="AF4">
        <f>'Entity Inputs'!AF10</f>
        <v/>
      </c>
      <c r="AG4">
        <f>'Entity Inputs'!AG10</f>
        <v/>
      </c>
      <c r="AH4">
        <f>'Entity Inputs'!AH10</f>
        <v/>
      </c>
      <c r="AI4">
        <f>'Entity Inputs'!AI10</f>
        <v/>
      </c>
      <c r="AJ4">
        <f>'Entity Inputs'!AJ10</f>
        <v/>
      </c>
      <c r="AK4">
        <f>'Entity Inputs'!AK10</f>
        <v/>
      </c>
      <c r="AL4">
        <f>'Entity Inputs'!AL10</f>
        <v/>
      </c>
      <c r="AM4">
        <f>'Entity Inputs'!AM10</f>
        <v/>
      </c>
      <c r="AN4">
        <f>'Entity Inputs'!AN10</f>
        <v/>
      </c>
      <c r="AO4">
        <f>'Entity Inputs'!AO10</f>
        <v/>
      </c>
      <c r="AP4">
        <f>'Entity Inputs'!AP10</f>
        <v/>
      </c>
      <c r="AQ4">
        <f>'Entity Inputs'!AQ10</f>
        <v/>
      </c>
      <c r="AR4">
        <f>'Entity Inputs'!AR10</f>
        <v/>
      </c>
      <c r="AS4">
        <f>'Entity Inputs'!AS10</f>
        <v/>
      </c>
      <c r="AT4">
        <f>'Entity Inputs'!AT10</f>
        <v/>
      </c>
      <c r="AU4">
        <f>'Entity Inputs'!AU10</f>
        <v/>
      </c>
      <c r="AV4">
        <f>'Entity Inputs'!AV10</f>
        <v/>
      </c>
      <c r="AW4">
        <f>'Entity Inputs'!AW10</f>
        <v/>
      </c>
      <c r="AX4">
        <f>'Entity Inputs'!AX10</f>
        <v/>
      </c>
      <c r="AY4">
        <f>'Entity Inputs'!AY10</f>
        <v/>
      </c>
      <c r="AZ4">
        <f>'Entity Inputs'!AZ10</f>
        <v/>
      </c>
      <c r="BA4">
        <f>'Entity Inputs'!BA10</f>
        <v/>
      </c>
      <c r="BB4">
        <f>'Entity Inputs'!BB10</f>
        <v/>
      </c>
      <c r="BC4">
        <f>'Entity Inputs'!BC10</f>
        <v/>
      </c>
      <c r="BD4">
        <f>'Entity Inputs'!BD10</f>
        <v/>
      </c>
      <c r="BE4">
        <f>'Entity Inputs'!BE10</f>
        <v/>
      </c>
      <c r="BF4">
        <f>'Entity Inputs'!BF10</f>
        <v/>
      </c>
      <c r="BG4">
        <f>'Entity Inputs'!BG10</f>
        <v/>
      </c>
      <c r="BH4">
        <f>'Entity Inputs'!BH10</f>
        <v/>
      </c>
      <c r="BI4">
        <f>'Entity Inputs'!BI10</f>
        <v/>
      </c>
      <c r="BJ4">
        <f>'Entity Inputs'!BJ10</f>
        <v/>
      </c>
      <c r="BK4">
        <f>'Entity Inputs'!BK10</f>
        <v/>
      </c>
      <c r="BL4">
        <f>'Entity Inputs'!BL10</f>
        <v/>
      </c>
      <c r="BM4">
        <f>'Entity Inputs'!BM10</f>
        <v/>
      </c>
      <c r="BN4">
        <f>'Entity Inputs'!BN10</f>
        <v/>
      </c>
      <c r="BO4">
        <f>'Entity Inputs'!BO10</f>
        <v/>
      </c>
      <c r="BP4">
        <f>'Entity Inputs'!BP10</f>
        <v/>
      </c>
      <c r="BQ4">
        <f>'Entity Inputs'!BQ10</f>
        <v/>
      </c>
      <c r="BR4">
        <f>'Entity Inputs'!BR10</f>
        <v/>
      </c>
      <c r="BS4">
        <f>'Entity Inputs'!BS10</f>
        <v/>
      </c>
      <c r="BT4">
        <f>'Entity Inputs'!BT10</f>
        <v/>
      </c>
      <c r="BU4">
        <f>'Entity Inputs'!BU10</f>
        <v/>
      </c>
      <c r="BV4">
        <f>'Entity Inputs'!BV10</f>
        <v/>
      </c>
      <c r="BW4">
        <f>'Entity Inputs'!BW10</f>
        <v/>
      </c>
      <c r="BX4">
        <f>'Entity Inputs'!BX10</f>
        <v/>
      </c>
      <c r="BY4">
        <f>'Entity Inputs'!BY10</f>
        <v/>
      </c>
      <c r="BZ4">
        <f>'Entity Inputs'!BZ10</f>
        <v/>
      </c>
      <c r="CA4">
        <f>'Entity Inputs'!CA10</f>
        <v/>
      </c>
      <c r="CB4">
        <f>'Entity Inputs'!CB10</f>
        <v/>
      </c>
      <c r="CC4">
        <f>'Entity Inputs'!CC10</f>
        <v/>
      </c>
      <c r="CD4">
        <f>'Entity Inputs'!CD10</f>
        <v/>
      </c>
      <c r="CE4">
        <f>'Entity Inputs'!CE10</f>
        <v/>
      </c>
      <c r="CF4">
        <f>'Entity Inputs'!CF10</f>
        <v/>
      </c>
      <c r="CG4">
        <f>'Entity Inputs'!CG10</f>
        <v/>
      </c>
      <c r="CH4">
        <f>'Entity Inputs'!CH10</f>
        <v/>
      </c>
      <c r="CI4">
        <f>'Entity Inputs'!CI10</f>
        <v/>
      </c>
      <c r="CJ4">
        <f>'Entity Inputs'!CJ10</f>
        <v/>
      </c>
      <c r="CK4">
        <f>'Entity Inputs'!CK10</f>
        <v/>
      </c>
      <c r="CL4">
        <f>'Entity Inputs'!CL10</f>
        <v/>
      </c>
      <c r="CM4">
        <f>'Entity Inputs'!CM10</f>
        <v/>
      </c>
      <c r="CN4">
        <f>'Entity Inputs'!CN10</f>
        <v/>
      </c>
      <c r="CO4">
        <f>'Entity Inputs'!CO10</f>
        <v/>
      </c>
      <c r="CP4">
        <f>'Entity Inputs'!CP10</f>
        <v/>
      </c>
      <c r="CQ4">
        <f>'Entity Inputs'!CQ10</f>
        <v/>
      </c>
      <c r="CR4">
        <f>'Entity Inputs'!CR10</f>
        <v/>
      </c>
      <c r="CS4">
        <f>'Entity Inputs'!CS10</f>
        <v/>
      </c>
      <c r="CT4">
        <f>'Entity Inputs'!CT10</f>
        <v/>
      </c>
      <c r="CU4">
        <f>'Entity Inputs'!CU10</f>
        <v/>
      </c>
      <c r="CV4">
        <f>'Entity Inputs'!CV10</f>
        <v/>
      </c>
      <c r="CW4">
        <f>'Entity Inputs'!CW10</f>
        <v/>
      </c>
      <c r="CX4">
        <f>'Entity Inputs'!CX10</f>
        <v/>
      </c>
      <c r="CY4">
        <f>'Entity Inputs'!CY10</f>
        <v/>
      </c>
      <c r="CZ4">
        <f>'Entity Inputs'!CZ10</f>
        <v/>
      </c>
      <c r="DA4">
        <f>'Entity Inputs'!DA10</f>
        <v/>
      </c>
      <c r="DB4">
        <f>'Entity Inputs'!DB10</f>
        <v/>
      </c>
      <c r="DC4">
        <f>'Entity Inputs'!DC10</f>
        <v/>
      </c>
      <c r="DD4">
        <f>'Entity Inputs'!DD10</f>
        <v/>
      </c>
      <c r="DE4">
        <f>'Entity Inputs'!DE10</f>
        <v/>
      </c>
      <c r="DF4">
        <f>'Entity Inputs'!DF10</f>
        <v/>
      </c>
      <c r="DG4">
        <f>'Entity Inputs'!DG10</f>
        <v/>
      </c>
      <c r="DH4">
        <f>'Entity Inputs'!DH10</f>
        <v/>
      </c>
      <c r="DI4">
        <f>'Entity Inputs'!DI10</f>
        <v/>
      </c>
      <c r="DJ4">
        <f>'Entity Inputs'!DJ10</f>
        <v/>
      </c>
      <c r="DK4">
        <f>'Entity Inputs'!DK10</f>
        <v/>
      </c>
      <c r="DL4">
        <f>'Entity Inputs'!DL10</f>
        <v/>
      </c>
      <c r="DM4">
        <f>'Entity Inputs'!DM10</f>
        <v/>
      </c>
      <c r="DN4">
        <f>'Entity Inputs'!DN10</f>
        <v/>
      </c>
      <c r="DO4">
        <f>'Entity Inputs'!DO10</f>
        <v/>
      </c>
      <c r="DP4">
        <f>'Entity Inputs'!DP10</f>
        <v/>
      </c>
      <c r="DQ4">
        <f>'Entity Inputs'!DQ10</f>
        <v/>
      </c>
      <c r="DR4">
        <f>'Entity Inputs'!DR10</f>
        <v/>
      </c>
      <c r="DS4">
        <f>'Entity Inputs'!DS10</f>
        <v/>
      </c>
      <c r="DT4">
        <f>'Entity Inputs'!DT10</f>
        <v/>
      </c>
      <c r="DU4">
        <f>'Entity Inputs'!DU10</f>
        <v/>
      </c>
      <c r="DV4">
        <f>'Entity Inputs'!DV10</f>
        <v/>
      </c>
      <c r="DW4">
        <f>'Entity Inputs'!DW10</f>
        <v/>
      </c>
      <c r="DX4">
        <f>'Entity Inputs'!DX10</f>
        <v/>
      </c>
      <c r="DY4">
        <f>'Entity Inputs'!DY10</f>
        <v/>
      </c>
      <c r="DZ4">
        <f>'Entity Inputs'!DZ10</f>
        <v/>
      </c>
      <c r="EA4">
        <f>'Entity Inputs'!EA10</f>
        <v/>
      </c>
      <c r="EB4">
        <f>'Entity Inputs'!EB10</f>
        <v/>
      </c>
      <c r="EC4">
        <f>'Entity Inputs'!EC10</f>
        <v/>
      </c>
      <c r="ED4">
        <f>'Entity Inputs'!ED10</f>
        <v/>
      </c>
      <c r="EE4">
        <f>'Entity Inputs'!EE10</f>
        <v/>
      </c>
      <c r="EF4">
        <f>'Entity Inputs'!EF10</f>
        <v/>
      </c>
      <c r="EG4">
        <f>'Entity Inputs'!EG10</f>
        <v/>
      </c>
      <c r="EH4">
        <f>'Entity Inputs'!EH10</f>
        <v/>
      </c>
      <c r="EI4">
        <f>'Entity Inputs'!EI10</f>
        <v/>
      </c>
      <c r="EJ4">
        <f>'Entity Inputs'!EJ10</f>
        <v/>
      </c>
      <c r="EK4">
        <f>'Entity Inputs'!EK10</f>
        <v/>
      </c>
      <c r="EL4">
        <f>'Entity Inputs'!EL10</f>
        <v/>
      </c>
      <c r="EM4">
        <f>'Entity Inputs'!EM10</f>
        <v/>
      </c>
      <c r="EN4">
        <f>'Entity Inputs'!EN10</f>
        <v/>
      </c>
      <c r="EO4">
        <f>'Entity Inputs'!EO10</f>
        <v/>
      </c>
      <c r="EP4">
        <f>'Entity Inputs'!EP10</f>
        <v/>
      </c>
      <c r="EQ4">
        <f>'Entity Inputs'!EQ10</f>
        <v/>
      </c>
      <c r="ER4">
        <f>'Entity Inputs'!ER10</f>
        <v/>
      </c>
      <c r="ES4">
        <f>'Entity Inputs'!ES10</f>
        <v/>
      </c>
      <c r="ET4">
        <f>'Entity Inputs'!ET10</f>
        <v/>
      </c>
      <c r="EU4">
        <f>'Entity Inputs'!EU10</f>
        <v/>
      </c>
      <c r="EV4">
        <f>'Entity Inputs'!EV10</f>
        <v/>
      </c>
      <c r="EW4">
        <f>'Entity Inputs'!EW10</f>
        <v/>
      </c>
      <c r="EX4">
        <f>'Entity Inputs'!EX10</f>
        <v/>
      </c>
      <c r="EY4">
        <f>'Entity Inputs'!EY10</f>
        <v/>
      </c>
      <c r="EZ4">
        <f>'Entity Inputs'!EZ10</f>
        <v/>
      </c>
      <c r="FA4">
        <f>'Entity Inputs'!FA10</f>
        <v/>
      </c>
      <c r="FB4">
        <f>'Entity Inputs'!FB10</f>
        <v/>
      </c>
      <c r="FC4">
        <f>'Entity Inputs'!FC10</f>
        <v/>
      </c>
      <c r="FD4">
        <f>'Entity Inputs'!FD10</f>
        <v/>
      </c>
      <c r="FE4">
        <f>'Entity Inputs'!FE10</f>
        <v/>
      </c>
      <c r="FF4">
        <f>'Entity Inputs'!FF10</f>
        <v/>
      </c>
      <c r="FG4">
        <f>'Entity Inputs'!FG10</f>
        <v/>
      </c>
      <c r="FH4">
        <f>'Entity Inputs'!FH10</f>
        <v/>
      </c>
      <c r="FI4">
        <f>'Entity Inputs'!FI10</f>
        <v/>
      </c>
      <c r="FJ4">
        <f>'Entity Inputs'!FJ10</f>
        <v/>
      </c>
      <c r="FK4">
        <f>'Entity Inputs'!FK10</f>
        <v/>
      </c>
      <c r="FL4">
        <f>'Entity Inputs'!FL10</f>
        <v/>
      </c>
      <c r="FM4">
        <f>'Entity Inputs'!FM10</f>
        <v/>
      </c>
      <c r="FN4">
        <f>'Entity Inputs'!FN10</f>
        <v/>
      </c>
      <c r="FO4">
        <f>'Entity Inputs'!FO10</f>
        <v/>
      </c>
      <c r="FP4">
        <f>'Entity Inputs'!FP10</f>
        <v/>
      </c>
      <c r="FQ4">
        <f>'Entity Inputs'!FQ10</f>
        <v/>
      </c>
      <c r="FR4">
        <f>'Entity Inputs'!FR10</f>
        <v/>
      </c>
      <c r="FS4">
        <f>'Entity Inputs'!FS10</f>
        <v/>
      </c>
      <c r="FT4">
        <f>'Entity Inputs'!FT10</f>
        <v/>
      </c>
      <c r="FU4">
        <f>'Entity Inputs'!FU10</f>
        <v/>
      </c>
      <c r="FV4">
        <f>AU4-V4-X4-BY4</f>
        <v/>
      </c>
      <c r="FW4">
        <f>FV4-AX4</f>
        <v/>
      </c>
      <c r="FX4">
        <f>CJ4+CL4-CK4</f>
        <v/>
      </c>
      <c r="FY4">
        <f>FX4-Parameters!$B$6</f>
        <v/>
      </c>
      <c r="FZ4">
        <f>FV4-BZ4-FY4</f>
        <v/>
      </c>
      <c r="GA4">
        <f>FZ4-DJ4</f>
        <v/>
      </c>
      <c r="GB4">
        <f>CB4-CC4</f>
        <v/>
      </c>
      <c r="GC4">
        <f>SUM(FV$4:FV4)*12/D4</f>
        <v/>
      </c>
      <c r="GD4">
        <f>IF(AU4=0,0,CJ4/AU4*C4)</f>
        <v/>
      </c>
      <c r="GE4">
        <f>IF(V4=0,0,CK4/V4*C4)</f>
        <v/>
      </c>
      <c r="GF4">
        <f>IF(V4=0,0,CL4/V4*C4)</f>
        <v/>
      </c>
      <c r="GG4">
        <f>IF(OR(AS4=0,AT4=0,AV4=0),0,100*((AU4/AS4)/(AV4/AT4)-1))</f>
        <v/>
      </c>
      <c r="GH4">
        <f>'Entity Inputs'!FV10</f>
        <v/>
      </c>
      <c r="GI4">
        <f>'Entity Inputs'!FW10</f>
        <v/>
      </c>
      <c r="GJ4">
        <f>'Entity Inputs'!FX10</f>
        <v/>
      </c>
      <c r="GK4">
        <f>'Entity Inputs'!FY10</f>
        <v/>
      </c>
      <c r="GL4">
        <f>'Entity Inputs'!FZ10</f>
        <v/>
      </c>
      <c r="GM4">
        <f>'Entity Inputs'!GA10</f>
        <v/>
      </c>
      <c r="GN4">
        <f>'Entity Inputs'!GB10</f>
        <v/>
      </c>
      <c r="GO4">
        <f>'Entity Inputs'!GC10</f>
        <v/>
      </c>
      <c r="GP4">
        <f>'Entity Inputs'!GD10</f>
        <v/>
      </c>
      <c r="GQ4">
        <f>'Entity Inputs'!GE10</f>
        <v/>
      </c>
      <c r="GR4">
        <f>'Entity Inputs'!GF10</f>
        <v/>
      </c>
    </row>
    <row r="5">
      <c r="A5" t="inlineStr">
        <is>
          <t>Entity A2</t>
        </is>
      </c>
      <c r="B5" t="inlineStr">
        <is>
          <t>2026-05</t>
        </is>
      </c>
      <c r="C5" t="n">
        <v>31</v>
      </c>
      <c r="D5" t="n">
        <v>2</v>
      </c>
      <c r="E5">
        <f>'Entity Inputs'!E11</f>
        <v/>
      </c>
      <c r="F5">
        <f>'Entity Inputs'!F11</f>
        <v/>
      </c>
      <c r="G5">
        <f>'Entity Inputs'!G11</f>
        <v/>
      </c>
      <c r="H5">
        <f>'Entity Inputs'!H11</f>
        <v/>
      </c>
      <c r="I5">
        <f>'Entity Inputs'!I11</f>
        <v/>
      </c>
      <c r="J5">
        <f>'Entity Inputs'!J11</f>
        <v/>
      </c>
      <c r="K5">
        <f>'Entity Inputs'!K11</f>
        <v/>
      </c>
      <c r="L5">
        <f>'Entity Inputs'!L11</f>
        <v/>
      </c>
      <c r="M5">
        <f>'Entity Inputs'!M11</f>
        <v/>
      </c>
      <c r="N5">
        <f>'Entity Inputs'!N11</f>
        <v/>
      </c>
      <c r="O5">
        <f>'Entity Inputs'!O11</f>
        <v/>
      </c>
      <c r="P5">
        <f>'Entity Inputs'!P11</f>
        <v/>
      </c>
      <c r="Q5">
        <f>'Entity Inputs'!Q11</f>
        <v/>
      </c>
      <c r="R5">
        <f>'Entity Inputs'!R11</f>
        <v/>
      </c>
      <c r="S5">
        <f>'Entity Inputs'!S11</f>
        <v/>
      </c>
      <c r="T5">
        <f>'Entity Inputs'!T11</f>
        <v/>
      </c>
      <c r="U5">
        <f>'Entity Inputs'!U11</f>
        <v/>
      </c>
      <c r="V5">
        <f>'Entity Inputs'!V11</f>
        <v/>
      </c>
      <c r="W5">
        <f>'Entity Inputs'!W11</f>
        <v/>
      </c>
      <c r="X5">
        <f>'Entity Inputs'!X11</f>
        <v/>
      </c>
      <c r="Y5">
        <f>'Entity Inputs'!Y11</f>
        <v/>
      </c>
      <c r="Z5">
        <f>'Entity Inputs'!Z11</f>
        <v/>
      </c>
      <c r="AA5">
        <f>'Entity Inputs'!AA11</f>
        <v/>
      </c>
      <c r="AB5">
        <f>'Entity Inputs'!AB11</f>
        <v/>
      </c>
      <c r="AC5">
        <f>'Entity Inputs'!AC11</f>
        <v/>
      </c>
      <c r="AD5">
        <f>'Entity Inputs'!AD11</f>
        <v/>
      </c>
      <c r="AE5">
        <f>'Entity Inputs'!AE11</f>
        <v/>
      </c>
      <c r="AF5">
        <f>'Entity Inputs'!AF11</f>
        <v/>
      </c>
      <c r="AG5">
        <f>'Entity Inputs'!AG11</f>
        <v/>
      </c>
      <c r="AH5">
        <f>'Entity Inputs'!AH11</f>
        <v/>
      </c>
      <c r="AI5">
        <f>'Entity Inputs'!AI11</f>
        <v/>
      </c>
      <c r="AJ5">
        <f>'Entity Inputs'!AJ11</f>
        <v/>
      </c>
      <c r="AK5">
        <f>'Entity Inputs'!AK11</f>
        <v/>
      </c>
      <c r="AL5">
        <f>'Entity Inputs'!AL11</f>
        <v/>
      </c>
      <c r="AM5">
        <f>'Entity Inputs'!AM11</f>
        <v/>
      </c>
      <c r="AN5">
        <f>'Entity Inputs'!AN11</f>
        <v/>
      </c>
      <c r="AO5">
        <f>'Entity Inputs'!AO11</f>
        <v/>
      </c>
      <c r="AP5">
        <f>'Entity Inputs'!AP11</f>
        <v/>
      </c>
      <c r="AQ5">
        <f>'Entity Inputs'!AQ11</f>
        <v/>
      </c>
      <c r="AR5">
        <f>'Entity Inputs'!AR11</f>
        <v/>
      </c>
      <c r="AS5">
        <f>'Entity Inputs'!AS11</f>
        <v/>
      </c>
      <c r="AT5">
        <f>'Entity Inputs'!AT11</f>
        <v/>
      </c>
      <c r="AU5">
        <f>'Entity Inputs'!AU11</f>
        <v/>
      </c>
      <c r="AV5">
        <f>'Entity Inputs'!AV11</f>
        <v/>
      </c>
      <c r="AW5">
        <f>'Entity Inputs'!AW11</f>
        <v/>
      </c>
      <c r="AX5">
        <f>'Entity Inputs'!AX11</f>
        <v/>
      </c>
      <c r="AY5">
        <f>'Entity Inputs'!AY11</f>
        <v/>
      </c>
      <c r="AZ5">
        <f>'Entity Inputs'!AZ11</f>
        <v/>
      </c>
      <c r="BA5">
        <f>'Entity Inputs'!BA11</f>
        <v/>
      </c>
      <c r="BB5">
        <f>'Entity Inputs'!BB11</f>
        <v/>
      </c>
      <c r="BC5">
        <f>'Entity Inputs'!BC11</f>
        <v/>
      </c>
      <c r="BD5">
        <f>'Entity Inputs'!BD11</f>
        <v/>
      </c>
      <c r="BE5">
        <f>'Entity Inputs'!BE11</f>
        <v/>
      </c>
      <c r="BF5">
        <f>'Entity Inputs'!BF11</f>
        <v/>
      </c>
      <c r="BG5">
        <f>'Entity Inputs'!BG11</f>
        <v/>
      </c>
      <c r="BH5">
        <f>'Entity Inputs'!BH11</f>
        <v/>
      </c>
      <c r="BI5">
        <f>'Entity Inputs'!BI11</f>
        <v/>
      </c>
      <c r="BJ5">
        <f>'Entity Inputs'!BJ11</f>
        <v/>
      </c>
      <c r="BK5">
        <f>'Entity Inputs'!BK11</f>
        <v/>
      </c>
      <c r="BL5">
        <f>'Entity Inputs'!BL11</f>
        <v/>
      </c>
      <c r="BM5">
        <f>'Entity Inputs'!BM11</f>
        <v/>
      </c>
      <c r="BN5">
        <f>'Entity Inputs'!BN11</f>
        <v/>
      </c>
      <c r="BO5">
        <f>'Entity Inputs'!BO11</f>
        <v/>
      </c>
      <c r="BP5">
        <f>'Entity Inputs'!BP11</f>
        <v/>
      </c>
      <c r="BQ5">
        <f>'Entity Inputs'!BQ11</f>
        <v/>
      </c>
      <c r="BR5">
        <f>'Entity Inputs'!BR11</f>
        <v/>
      </c>
      <c r="BS5">
        <f>'Entity Inputs'!BS11</f>
        <v/>
      </c>
      <c r="BT5">
        <f>'Entity Inputs'!BT11</f>
        <v/>
      </c>
      <c r="BU5">
        <f>'Entity Inputs'!BU11</f>
        <v/>
      </c>
      <c r="BV5">
        <f>'Entity Inputs'!BV11</f>
        <v/>
      </c>
      <c r="BW5">
        <f>'Entity Inputs'!BW11</f>
        <v/>
      </c>
      <c r="BX5">
        <f>'Entity Inputs'!BX11</f>
        <v/>
      </c>
      <c r="BY5">
        <f>'Entity Inputs'!BY11</f>
        <v/>
      </c>
      <c r="BZ5">
        <f>'Entity Inputs'!BZ11</f>
        <v/>
      </c>
      <c r="CA5">
        <f>'Entity Inputs'!CA11</f>
        <v/>
      </c>
      <c r="CB5">
        <f>'Entity Inputs'!CB11</f>
        <v/>
      </c>
      <c r="CC5">
        <f>'Entity Inputs'!CC11</f>
        <v/>
      </c>
      <c r="CD5">
        <f>'Entity Inputs'!CD11</f>
        <v/>
      </c>
      <c r="CE5">
        <f>'Entity Inputs'!CE11</f>
        <v/>
      </c>
      <c r="CF5">
        <f>'Entity Inputs'!CF11</f>
        <v/>
      </c>
      <c r="CG5">
        <f>'Entity Inputs'!CG11</f>
        <v/>
      </c>
      <c r="CH5">
        <f>'Entity Inputs'!CH11</f>
        <v/>
      </c>
      <c r="CI5">
        <f>'Entity Inputs'!CI11</f>
        <v/>
      </c>
      <c r="CJ5">
        <f>'Entity Inputs'!CJ11</f>
        <v/>
      </c>
      <c r="CK5">
        <f>'Entity Inputs'!CK11</f>
        <v/>
      </c>
      <c r="CL5">
        <f>'Entity Inputs'!CL11</f>
        <v/>
      </c>
      <c r="CM5">
        <f>'Entity Inputs'!CM11</f>
        <v/>
      </c>
      <c r="CN5">
        <f>'Entity Inputs'!CN11</f>
        <v/>
      </c>
      <c r="CO5">
        <f>'Entity Inputs'!CO11</f>
        <v/>
      </c>
      <c r="CP5">
        <f>'Entity Inputs'!CP11</f>
        <v/>
      </c>
      <c r="CQ5">
        <f>'Entity Inputs'!CQ11</f>
        <v/>
      </c>
      <c r="CR5">
        <f>'Entity Inputs'!CR11</f>
        <v/>
      </c>
      <c r="CS5">
        <f>'Entity Inputs'!CS11</f>
        <v/>
      </c>
      <c r="CT5">
        <f>'Entity Inputs'!CT11</f>
        <v/>
      </c>
      <c r="CU5">
        <f>'Entity Inputs'!CU11</f>
        <v/>
      </c>
      <c r="CV5">
        <f>'Entity Inputs'!CV11</f>
        <v/>
      </c>
      <c r="CW5">
        <f>'Entity Inputs'!CW11</f>
        <v/>
      </c>
      <c r="CX5">
        <f>'Entity Inputs'!CX11</f>
        <v/>
      </c>
      <c r="CY5">
        <f>'Entity Inputs'!CY11</f>
        <v/>
      </c>
      <c r="CZ5">
        <f>'Entity Inputs'!CZ11</f>
        <v/>
      </c>
      <c r="DA5">
        <f>'Entity Inputs'!DA11</f>
        <v/>
      </c>
      <c r="DB5">
        <f>'Entity Inputs'!DB11</f>
        <v/>
      </c>
      <c r="DC5">
        <f>'Entity Inputs'!DC11</f>
        <v/>
      </c>
      <c r="DD5">
        <f>'Entity Inputs'!DD11</f>
        <v/>
      </c>
      <c r="DE5">
        <f>'Entity Inputs'!DE11</f>
        <v/>
      </c>
      <c r="DF5">
        <f>'Entity Inputs'!DF11</f>
        <v/>
      </c>
      <c r="DG5">
        <f>'Entity Inputs'!DG11</f>
        <v/>
      </c>
      <c r="DH5">
        <f>'Entity Inputs'!DH11</f>
        <v/>
      </c>
      <c r="DI5">
        <f>'Entity Inputs'!DI11</f>
        <v/>
      </c>
      <c r="DJ5">
        <f>'Entity Inputs'!DJ11</f>
        <v/>
      </c>
      <c r="DK5">
        <f>'Entity Inputs'!DK11</f>
        <v/>
      </c>
      <c r="DL5">
        <f>'Entity Inputs'!DL11</f>
        <v/>
      </c>
      <c r="DM5">
        <f>'Entity Inputs'!DM11</f>
        <v/>
      </c>
      <c r="DN5">
        <f>'Entity Inputs'!DN11</f>
        <v/>
      </c>
      <c r="DO5">
        <f>'Entity Inputs'!DO11</f>
        <v/>
      </c>
      <c r="DP5">
        <f>'Entity Inputs'!DP11</f>
        <v/>
      </c>
      <c r="DQ5">
        <f>'Entity Inputs'!DQ11</f>
        <v/>
      </c>
      <c r="DR5">
        <f>'Entity Inputs'!DR11</f>
        <v/>
      </c>
      <c r="DS5">
        <f>'Entity Inputs'!DS11</f>
        <v/>
      </c>
      <c r="DT5">
        <f>'Entity Inputs'!DT11</f>
        <v/>
      </c>
      <c r="DU5">
        <f>'Entity Inputs'!DU11</f>
        <v/>
      </c>
      <c r="DV5">
        <f>'Entity Inputs'!DV11</f>
        <v/>
      </c>
      <c r="DW5">
        <f>'Entity Inputs'!DW11</f>
        <v/>
      </c>
      <c r="DX5">
        <f>'Entity Inputs'!DX11</f>
        <v/>
      </c>
      <c r="DY5">
        <f>'Entity Inputs'!DY11</f>
        <v/>
      </c>
      <c r="DZ5">
        <f>'Entity Inputs'!DZ11</f>
        <v/>
      </c>
      <c r="EA5">
        <f>'Entity Inputs'!EA11</f>
        <v/>
      </c>
      <c r="EB5">
        <f>'Entity Inputs'!EB11</f>
        <v/>
      </c>
      <c r="EC5">
        <f>'Entity Inputs'!EC11</f>
        <v/>
      </c>
      <c r="ED5">
        <f>'Entity Inputs'!ED11</f>
        <v/>
      </c>
      <c r="EE5">
        <f>'Entity Inputs'!EE11</f>
        <v/>
      </c>
      <c r="EF5">
        <f>'Entity Inputs'!EF11</f>
        <v/>
      </c>
      <c r="EG5">
        <f>'Entity Inputs'!EG11</f>
        <v/>
      </c>
      <c r="EH5">
        <f>'Entity Inputs'!EH11</f>
        <v/>
      </c>
      <c r="EI5">
        <f>'Entity Inputs'!EI11</f>
        <v/>
      </c>
      <c r="EJ5">
        <f>'Entity Inputs'!EJ11</f>
        <v/>
      </c>
      <c r="EK5">
        <f>'Entity Inputs'!EK11</f>
        <v/>
      </c>
      <c r="EL5">
        <f>'Entity Inputs'!EL11</f>
        <v/>
      </c>
      <c r="EM5">
        <f>'Entity Inputs'!EM11</f>
        <v/>
      </c>
      <c r="EN5">
        <f>'Entity Inputs'!EN11</f>
        <v/>
      </c>
      <c r="EO5">
        <f>'Entity Inputs'!EO11</f>
        <v/>
      </c>
      <c r="EP5">
        <f>'Entity Inputs'!EP11</f>
        <v/>
      </c>
      <c r="EQ5">
        <f>'Entity Inputs'!EQ11</f>
        <v/>
      </c>
      <c r="ER5">
        <f>'Entity Inputs'!ER11</f>
        <v/>
      </c>
      <c r="ES5">
        <f>'Entity Inputs'!ES11</f>
        <v/>
      </c>
      <c r="ET5">
        <f>'Entity Inputs'!ET11</f>
        <v/>
      </c>
      <c r="EU5">
        <f>'Entity Inputs'!EU11</f>
        <v/>
      </c>
      <c r="EV5">
        <f>'Entity Inputs'!EV11</f>
        <v/>
      </c>
      <c r="EW5">
        <f>'Entity Inputs'!EW11</f>
        <v/>
      </c>
      <c r="EX5">
        <f>'Entity Inputs'!EX11</f>
        <v/>
      </c>
      <c r="EY5">
        <f>'Entity Inputs'!EY11</f>
        <v/>
      </c>
      <c r="EZ5">
        <f>'Entity Inputs'!EZ11</f>
        <v/>
      </c>
      <c r="FA5">
        <f>'Entity Inputs'!FA11</f>
        <v/>
      </c>
      <c r="FB5">
        <f>'Entity Inputs'!FB11</f>
        <v/>
      </c>
      <c r="FC5">
        <f>'Entity Inputs'!FC11</f>
        <v/>
      </c>
      <c r="FD5">
        <f>'Entity Inputs'!FD11</f>
        <v/>
      </c>
      <c r="FE5">
        <f>'Entity Inputs'!FE11</f>
        <v/>
      </c>
      <c r="FF5">
        <f>'Entity Inputs'!FF11</f>
        <v/>
      </c>
      <c r="FG5">
        <f>'Entity Inputs'!FG11</f>
        <v/>
      </c>
      <c r="FH5">
        <f>'Entity Inputs'!FH11</f>
        <v/>
      </c>
      <c r="FI5">
        <f>'Entity Inputs'!FI11</f>
        <v/>
      </c>
      <c r="FJ5">
        <f>'Entity Inputs'!FJ11</f>
        <v/>
      </c>
      <c r="FK5">
        <f>'Entity Inputs'!FK11</f>
        <v/>
      </c>
      <c r="FL5">
        <f>'Entity Inputs'!FL11</f>
        <v/>
      </c>
      <c r="FM5">
        <f>'Entity Inputs'!FM11</f>
        <v/>
      </c>
      <c r="FN5">
        <f>'Entity Inputs'!FN11</f>
        <v/>
      </c>
      <c r="FO5">
        <f>'Entity Inputs'!FO11</f>
        <v/>
      </c>
      <c r="FP5">
        <f>'Entity Inputs'!FP11</f>
        <v/>
      </c>
      <c r="FQ5">
        <f>'Entity Inputs'!FQ11</f>
        <v/>
      </c>
      <c r="FR5">
        <f>'Entity Inputs'!FR11</f>
        <v/>
      </c>
      <c r="FS5">
        <f>'Entity Inputs'!FS11</f>
        <v/>
      </c>
      <c r="FT5">
        <f>'Entity Inputs'!FT11</f>
        <v/>
      </c>
      <c r="FU5">
        <f>'Entity Inputs'!FU11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Inputs'!FV11</f>
        <v/>
      </c>
      <c r="GI5">
        <f>'Entity Inputs'!FW11</f>
        <v/>
      </c>
      <c r="GJ5">
        <f>'Entity Inputs'!FX11</f>
        <v/>
      </c>
      <c r="GK5">
        <f>'Entity Inputs'!FY11</f>
        <v/>
      </c>
      <c r="GL5">
        <f>'Entity Inputs'!FZ11</f>
        <v/>
      </c>
      <c r="GM5">
        <f>'Entity Inputs'!GA11</f>
        <v/>
      </c>
      <c r="GN5">
        <f>'Entity Inputs'!GB11</f>
        <v/>
      </c>
      <c r="GO5">
        <f>'Entity Inputs'!GC11</f>
        <v/>
      </c>
      <c r="GP5">
        <f>'Entity Inputs'!GD11</f>
        <v/>
      </c>
      <c r="GQ5">
        <f>'Entity Inputs'!GE11</f>
        <v/>
      </c>
      <c r="GR5">
        <f>'Entity Inputs'!GF11</f>
        <v/>
      </c>
    </row>
    <row r="6">
      <c r="A6" t="inlineStr">
        <is>
          <t>Entity A2</t>
        </is>
      </c>
      <c r="B6" t="inlineStr">
        <is>
          <t>2026-06</t>
        </is>
      </c>
      <c r="C6" t="n">
        <v>30</v>
      </c>
      <c r="D6" t="n">
        <v>3</v>
      </c>
      <c r="E6">
        <f>'Entity Inputs'!E12</f>
        <v/>
      </c>
      <c r="F6">
        <f>'Entity Inputs'!F12</f>
        <v/>
      </c>
      <c r="G6">
        <f>'Entity Inputs'!G12</f>
        <v/>
      </c>
      <c r="H6">
        <f>'Entity Inputs'!H12</f>
        <v/>
      </c>
      <c r="I6">
        <f>'Entity Inputs'!I12</f>
        <v/>
      </c>
      <c r="J6">
        <f>'Entity Inputs'!J12</f>
        <v/>
      </c>
      <c r="K6">
        <f>'Entity Inputs'!K12</f>
        <v/>
      </c>
      <c r="L6">
        <f>'Entity Inputs'!L12</f>
        <v/>
      </c>
      <c r="M6">
        <f>'Entity Inputs'!M12</f>
        <v/>
      </c>
      <c r="N6">
        <f>'Entity Inputs'!N12</f>
        <v/>
      </c>
      <c r="O6">
        <f>'Entity Inputs'!O12</f>
        <v/>
      </c>
      <c r="P6">
        <f>'Entity Inputs'!P12</f>
        <v/>
      </c>
      <c r="Q6">
        <f>'Entity Inputs'!Q12</f>
        <v/>
      </c>
      <c r="R6">
        <f>'Entity Inputs'!R12</f>
        <v/>
      </c>
      <c r="S6">
        <f>'Entity Inputs'!S12</f>
        <v/>
      </c>
      <c r="T6">
        <f>'Entity Inputs'!T12</f>
        <v/>
      </c>
      <c r="U6">
        <f>'Entity Inputs'!U12</f>
        <v/>
      </c>
      <c r="V6">
        <f>'Entity Inputs'!V12</f>
        <v/>
      </c>
      <c r="W6">
        <f>'Entity Inputs'!W12</f>
        <v/>
      </c>
      <c r="X6">
        <f>'Entity Inputs'!X12</f>
        <v/>
      </c>
      <c r="Y6">
        <f>'Entity Inputs'!Y12</f>
        <v/>
      </c>
      <c r="Z6">
        <f>'Entity Inputs'!Z12</f>
        <v/>
      </c>
      <c r="AA6">
        <f>'Entity Inputs'!AA12</f>
        <v/>
      </c>
      <c r="AB6">
        <f>'Entity Inputs'!AB12</f>
        <v/>
      </c>
      <c r="AC6">
        <f>'Entity Inputs'!AC12</f>
        <v/>
      </c>
      <c r="AD6">
        <f>'Entity Inputs'!AD12</f>
        <v/>
      </c>
      <c r="AE6">
        <f>'Entity Inputs'!AE12</f>
        <v/>
      </c>
      <c r="AF6">
        <f>'Entity Inputs'!AF12</f>
        <v/>
      </c>
      <c r="AG6">
        <f>'Entity Inputs'!AG12</f>
        <v/>
      </c>
      <c r="AH6">
        <f>'Entity Inputs'!AH12</f>
        <v/>
      </c>
      <c r="AI6">
        <f>'Entity Inputs'!AI12</f>
        <v/>
      </c>
      <c r="AJ6">
        <f>'Entity Inputs'!AJ12</f>
        <v/>
      </c>
      <c r="AK6">
        <f>'Entity Inputs'!AK12</f>
        <v/>
      </c>
      <c r="AL6">
        <f>'Entity Inputs'!AL12</f>
        <v/>
      </c>
      <c r="AM6">
        <f>'Entity Inputs'!AM12</f>
        <v/>
      </c>
      <c r="AN6">
        <f>'Entity Inputs'!AN12</f>
        <v/>
      </c>
      <c r="AO6">
        <f>'Entity Inputs'!AO12</f>
        <v/>
      </c>
      <c r="AP6">
        <f>'Entity Inputs'!AP12</f>
        <v/>
      </c>
      <c r="AQ6">
        <f>'Entity Inputs'!AQ12</f>
        <v/>
      </c>
      <c r="AR6">
        <f>'Entity Inputs'!AR12</f>
        <v/>
      </c>
      <c r="AS6">
        <f>'Entity Inputs'!AS12</f>
        <v/>
      </c>
      <c r="AT6">
        <f>'Entity Inputs'!AT12</f>
        <v/>
      </c>
      <c r="AU6">
        <f>'Entity Inputs'!AU12</f>
        <v/>
      </c>
      <c r="AV6">
        <f>'Entity Inputs'!AV12</f>
        <v/>
      </c>
      <c r="AW6">
        <f>'Entity Inputs'!AW12</f>
        <v/>
      </c>
      <c r="AX6">
        <f>'Entity Inputs'!AX12</f>
        <v/>
      </c>
      <c r="AY6">
        <f>'Entity Inputs'!AY12</f>
        <v/>
      </c>
      <c r="AZ6">
        <f>'Entity Inputs'!AZ12</f>
        <v/>
      </c>
      <c r="BA6">
        <f>'Entity Inputs'!BA12</f>
        <v/>
      </c>
      <c r="BB6">
        <f>'Entity Inputs'!BB12</f>
        <v/>
      </c>
      <c r="BC6">
        <f>'Entity Inputs'!BC12</f>
        <v/>
      </c>
      <c r="BD6">
        <f>'Entity Inputs'!BD12</f>
        <v/>
      </c>
      <c r="BE6">
        <f>'Entity Inputs'!BE12</f>
        <v/>
      </c>
      <c r="BF6">
        <f>'Entity Inputs'!BF12</f>
        <v/>
      </c>
      <c r="BG6">
        <f>'Entity Inputs'!BG12</f>
        <v/>
      </c>
      <c r="BH6">
        <f>'Entity Inputs'!BH12</f>
        <v/>
      </c>
      <c r="BI6">
        <f>'Entity Inputs'!BI12</f>
        <v/>
      </c>
      <c r="BJ6">
        <f>'Entity Inputs'!BJ12</f>
        <v/>
      </c>
      <c r="BK6">
        <f>'Entity Inputs'!BK12</f>
        <v/>
      </c>
      <c r="BL6">
        <f>'Entity Inputs'!BL12</f>
        <v/>
      </c>
      <c r="BM6">
        <f>'Entity Inputs'!BM12</f>
        <v/>
      </c>
      <c r="BN6">
        <f>'Entity Inputs'!BN12</f>
        <v/>
      </c>
      <c r="BO6">
        <f>'Entity Inputs'!BO12</f>
        <v/>
      </c>
      <c r="BP6">
        <f>'Entity Inputs'!BP12</f>
        <v/>
      </c>
      <c r="BQ6">
        <f>'Entity Inputs'!BQ12</f>
        <v/>
      </c>
      <c r="BR6">
        <f>'Entity Inputs'!BR12</f>
        <v/>
      </c>
      <c r="BS6">
        <f>'Entity Inputs'!BS12</f>
        <v/>
      </c>
      <c r="BT6">
        <f>'Entity Inputs'!BT12</f>
        <v/>
      </c>
      <c r="BU6">
        <f>'Entity Inputs'!BU12</f>
        <v/>
      </c>
      <c r="BV6">
        <f>'Entity Inputs'!BV12</f>
        <v/>
      </c>
      <c r="BW6">
        <f>'Entity Inputs'!BW12</f>
        <v/>
      </c>
      <c r="BX6">
        <f>'Entity Inputs'!BX12</f>
        <v/>
      </c>
      <c r="BY6">
        <f>'Entity Inputs'!BY12</f>
        <v/>
      </c>
      <c r="BZ6">
        <f>'Entity Inputs'!BZ12</f>
        <v/>
      </c>
      <c r="CA6">
        <f>'Entity Inputs'!CA12</f>
        <v/>
      </c>
      <c r="CB6">
        <f>'Entity Inputs'!CB12</f>
        <v/>
      </c>
      <c r="CC6">
        <f>'Entity Inputs'!CC12</f>
        <v/>
      </c>
      <c r="CD6">
        <f>'Entity Inputs'!CD12</f>
        <v/>
      </c>
      <c r="CE6">
        <f>'Entity Inputs'!CE12</f>
        <v/>
      </c>
      <c r="CF6">
        <f>'Entity Inputs'!CF12</f>
        <v/>
      </c>
      <c r="CG6">
        <f>'Entity Inputs'!CG12</f>
        <v/>
      </c>
      <c r="CH6">
        <f>'Entity Inputs'!CH12</f>
        <v/>
      </c>
      <c r="CI6">
        <f>'Entity Inputs'!CI12</f>
        <v/>
      </c>
      <c r="CJ6">
        <f>'Entity Inputs'!CJ12</f>
        <v/>
      </c>
      <c r="CK6">
        <f>'Entity Inputs'!CK12</f>
        <v/>
      </c>
      <c r="CL6">
        <f>'Entity Inputs'!CL12</f>
        <v/>
      </c>
      <c r="CM6">
        <f>'Entity Inputs'!CM12</f>
        <v/>
      </c>
      <c r="CN6">
        <f>'Entity Inputs'!CN12</f>
        <v/>
      </c>
      <c r="CO6">
        <f>'Entity Inputs'!CO12</f>
        <v/>
      </c>
      <c r="CP6">
        <f>'Entity Inputs'!CP12</f>
        <v/>
      </c>
      <c r="CQ6">
        <f>'Entity Inputs'!CQ12</f>
        <v/>
      </c>
      <c r="CR6">
        <f>'Entity Inputs'!CR12</f>
        <v/>
      </c>
      <c r="CS6">
        <f>'Entity Inputs'!CS12</f>
        <v/>
      </c>
      <c r="CT6">
        <f>'Entity Inputs'!CT12</f>
        <v/>
      </c>
      <c r="CU6">
        <f>'Entity Inputs'!CU12</f>
        <v/>
      </c>
      <c r="CV6">
        <f>'Entity Inputs'!CV12</f>
        <v/>
      </c>
      <c r="CW6">
        <f>'Entity Inputs'!CW12</f>
        <v/>
      </c>
      <c r="CX6">
        <f>'Entity Inputs'!CX12</f>
        <v/>
      </c>
      <c r="CY6">
        <f>'Entity Inputs'!CY12</f>
        <v/>
      </c>
      <c r="CZ6">
        <f>'Entity Inputs'!CZ12</f>
        <v/>
      </c>
      <c r="DA6">
        <f>'Entity Inputs'!DA12</f>
        <v/>
      </c>
      <c r="DB6">
        <f>'Entity Inputs'!DB12</f>
        <v/>
      </c>
      <c r="DC6">
        <f>'Entity Inputs'!DC12</f>
        <v/>
      </c>
      <c r="DD6">
        <f>'Entity Inputs'!DD12</f>
        <v/>
      </c>
      <c r="DE6">
        <f>'Entity Inputs'!DE12</f>
        <v/>
      </c>
      <c r="DF6">
        <f>'Entity Inputs'!DF12</f>
        <v/>
      </c>
      <c r="DG6">
        <f>'Entity Inputs'!DG12</f>
        <v/>
      </c>
      <c r="DH6">
        <f>'Entity Inputs'!DH12</f>
        <v/>
      </c>
      <c r="DI6">
        <f>'Entity Inputs'!DI12</f>
        <v/>
      </c>
      <c r="DJ6">
        <f>'Entity Inputs'!DJ12</f>
        <v/>
      </c>
      <c r="DK6">
        <f>'Entity Inputs'!DK12</f>
        <v/>
      </c>
      <c r="DL6">
        <f>'Entity Inputs'!DL12</f>
        <v/>
      </c>
      <c r="DM6">
        <f>'Entity Inputs'!DM12</f>
        <v/>
      </c>
      <c r="DN6">
        <f>'Entity Inputs'!DN12</f>
        <v/>
      </c>
      <c r="DO6">
        <f>'Entity Inputs'!DO12</f>
        <v/>
      </c>
      <c r="DP6">
        <f>'Entity Inputs'!DP12</f>
        <v/>
      </c>
      <c r="DQ6">
        <f>'Entity Inputs'!DQ12</f>
        <v/>
      </c>
      <c r="DR6">
        <f>'Entity Inputs'!DR12</f>
        <v/>
      </c>
      <c r="DS6">
        <f>'Entity Inputs'!DS12</f>
        <v/>
      </c>
      <c r="DT6">
        <f>'Entity Inputs'!DT12</f>
        <v/>
      </c>
      <c r="DU6">
        <f>'Entity Inputs'!DU12</f>
        <v/>
      </c>
      <c r="DV6">
        <f>'Entity Inputs'!DV12</f>
        <v/>
      </c>
      <c r="DW6">
        <f>'Entity Inputs'!DW12</f>
        <v/>
      </c>
      <c r="DX6">
        <f>'Entity Inputs'!DX12</f>
        <v/>
      </c>
      <c r="DY6">
        <f>'Entity Inputs'!DY12</f>
        <v/>
      </c>
      <c r="DZ6">
        <f>'Entity Inputs'!DZ12</f>
        <v/>
      </c>
      <c r="EA6">
        <f>'Entity Inputs'!EA12</f>
        <v/>
      </c>
      <c r="EB6">
        <f>'Entity Inputs'!EB12</f>
        <v/>
      </c>
      <c r="EC6">
        <f>'Entity Inputs'!EC12</f>
        <v/>
      </c>
      <c r="ED6">
        <f>'Entity Inputs'!ED12</f>
        <v/>
      </c>
      <c r="EE6">
        <f>'Entity Inputs'!EE12</f>
        <v/>
      </c>
      <c r="EF6">
        <f>'Entity Inputs'!EF12</f>
        <v/>
      </c>
      <c r="EG6">
        <f>'Entity Inputs'!EG12</f>
        <v/>
      </c>
      <c r="EH6">
        <f>'Entity Inputs'!EH12</f>
        <v/>
      </c>
      <c r="EI6">
        <f>'Entity Inputs'!EI12</f>
        <v/>
      </c>
      <c r="EJ6">
        <f>'Entity Inputs'!EJ12</f>
        <v/>
      </c>
      <c r="EK6">
        <f>'Entity Inputs'!EK12</f>
        <v/>
      </c>
      <c r="EL6">
        <f>'Entity Inputs'!EL12</f>
        <v/>
      </c>
      <c r="EM6">
        <f>'Entity Inputs'!EM12</f>
        <v/>
      </c>
      <c r="EN6">
        <f>'Entity Inputs'!EN12</f>
        <v/>
      </c>
      <c r="EO6">
        <f>'Entity Inputs'!EO12</f>
        <v/>
      </c>
      <c r="EP6">
        <f>'Entity Inputs'!EP12</f>
        <v/>
      </c>
      <c r="EQ6">
        <f>'Entity Inputs'!EQ12</f>
        <v/>
      </c>
      <c r="ER6">
        <f>'Entity Inputs'!ER12</f>
        <v/>
      </c>
      <c r="ES6">
        <f>'Entity Inputs'!ES12</f>
        <v/>
      </c>
      <c r="ET6">
        <f>'Entity Inputs'!ET12</f>
        <v/>
      </c>
      <c r="EU6">
        <f>'Entity Inputs'!EU12</f>
        <v/>
      </c>
      <c r="EV6">
        <f>'Entity Inputs'!EV12</f>
        <v/>
      </c>
      <c r="EW6">
        <f>'Entity Inputs'!EW12</f>
        <v/>
      </c>
      <c r="EX6">
        <f>'Entity Inputs'!EX12</f>
        <v/>
      </c>
      <c r="EY6">
        <f>'Entity Inputs'!EY12</f>
        <v/>
      </c>
      <c r="EZ6">
        <f>'Entity Inputs'!EZ12</f>
        <v/>
      </c>
      <c r="FA6">
        <f>'Entity Inputs'!FA12</f>
        <v/>
      </c>
      <c r="FB6">
        <f>'Entity Inputs'!FB12</f>
        <v/>
      </c>
      <c r="FC6">
        <f>'Entity Inputs'!FC12</f>
        <v/>
      </c>
      <c r="FD6">
        <f>'Entity Inputs'!FD12</f>
        <v/>
      </c>
      <c r="FE6">
        <f>'Entity Inputs'!FE12</f>
        <v/>
      </c>
      <c r="FF6">
        <f>'Entity Inputs'!FF12</f>
        <v/>
      </c>
      <c r="FG6">
        <f>'Entity Inputs'!FG12</f>
        <v/>
      </c>
      <c r="FH6">
        <f>'Entity Inputs'!FH12</f>
        <v/>
      </c>
      <c r="FI6">
        <f>'Entity Inputs'!FI12</f>
        <v/>
      </c>
      <c r="FJ6">
        <f>'Entity Inputs'!FJ12</f>
        <v/>
      </c>
      <c r="FK6">
        <f>'Entity Inputs'!FK12</f>
        <v/>
      </c>
      <c r="FL6">
        <f>'Entity Inputs'!FL12</f>
        <v/>
      </c>
      <c r="FM6">
        <f>'Entity Inputs'!FM12</f>
        <v/>
      </c>
      <c r="FN6">
        <f>'Entity Inputs'!FN12</f>
        <v/>
      </c>
      <c r="FO6">
        <f>'Entity Inputs'!FO12</f>
        <v/>
      </c>
      <c r="FP6">
        <f>'Entity Inputs'!FP12</f>
        <v/>
      </c>
      <c r="FQ6">
        <f>'Entity Inputs'!FQ12</f>
        <v/>
      </c>
      <c r="FR6">
        <f>'Entity Inputs'!FR12</f>
        <v/>
      </c>
      <c r="FS6">
        <f>'Entity Inputs'!FS12</f>
        <v/>
      </c>
      <c r="FT6">
        <f>'Entity Inputs'!FT12</f>
        <v/>
      </c>
      <c r="FU6">
        <f>'Entity Inputs'!FU12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Inputs'!FV12</f>
        <v/>
      </c>
      <c r="GI6">
        <f>'Entity Inputs'!FW12</f>
        <v/>
      </c>
      <c r="GJ6">
        <f>'Entity Inputs'!FX12</f>
        <v/>
      </c>
      <c r="GK6">
        <f>'Entity Inputs'!FY12</f>
        <v/>
      </c>
      <c r="GL6">
        <f>'Entity Inputs'!FZ12</f>
        <v/>
      </c>
      <c r="GM6">
        <f>'Entity Inputs'!GA12</f>
        <v/>
      </c>
      <c r="GN6">
        <f>'Entity Inputs'!GB12</f>
        <v/>
      </c>
      <c r="GO6">
        <f>'Entity Inputs'!GC12</f>
        <v/>
      </c>
      <c r="GP6">
        <f>'Entity Inputs'!GD12</f>
        <v/>
      </c>
      <c r="GQ6">
        <f>'Entity Inputs'!GE12</f>
        <v/>
      </c>
      <c r="GR6">
        <f>'Entity Inputs'!GF12</f>
        <v/>
      </c>
    </row>
    <row r="7">
      <c r="A7" t="inlineStr">
        <is>
          <t>Entity A2</t>
        </is>
      </c>
      <c r="B7" t="inlineStr">
        <is>
          <t>2026-07</t>
        </is>
      </c>
      <c r="C7" t="n">
        <v>31</v>
      </c>
      <c r="D7" t="n">
        <v>4</v>
      </c>
      <c r="E7">
        <f>'Entity Inputs'!E13</f>
        <v/>
      </c>
      <c r="F7">
        <f>'Entity Inputs'!F13</f>
        <v/>
      </c>
      <c r="G7">
        <f>'Entity Inputs'!G13</f>
        <v/>
      </c>
      <c r="H7">
        <f>'Entity Inputs'!H13</f>
        <v/>
      </c>
      <c r="I7">
        <f>'Entity Inputs'!I13</f>
        <v/>
      </c>
      <c r="J7">
        <f>'Entity Inputs'!J13</f>
        <v/>
      </c>
      <c r="K7">
        <f>'Entity Inputs'!K13</f>
        <v/>
      </c>
      <c r="L7">
        <f>'Entity Inputs'!L13</f>
        <v/>
      </c>
      <c r="M7">
        <f>'Entity Inputs'!M13</f>
        <v/>
      </c>
      <c r="N7">
        <f>'Entity Inputs'!N13</f>
        <v/>
      </c>
      <c r="O7">
        <f>'Entity Inputs'!O13</f>
        <v/>
      </c>
      <c r="P7">
        <f>'Entity Inputs'!P13</f>
        <v/>
      </c>
      <c r="Q7">
        <f>'Entity Inputs'!Q13</f>
        <v/>
      </c>
      <c r="R7">
        <f>'Entity Inputs'!R13</f>
        <v/>
      </c>
      <c r="S7">
        <f>'Entity Inputs'!S13</f>
        <v/>
      </c>
      <c r="T7">
        <f>'Entity Inputs'!T13</f>
        <v/>
      </c>
      <c r="U7">
        <f>'Entity Inputs'!U13</f>
        <v/>
      </c>
      <c r="V7">
        <f>'Entity Inputs'!V13</f>
        <v/>
      </c>
      <c r="W7">
        <f>'Entity Inputs'!W13</f>
        <v/>
      </c>
      <c r="X7">
        <f>'Entity Inputs'!X13</f>
        <v/>
      </c>
      <c r="Y7">
        <f>'Entity Inputs'!Y13</f>
        <v/>
      </c>
      <c r="Z7">
        <f>'Entity Inputs'!Z13</f>
        <v/>
      </c>
      <c r="AA7">
        <f>'Entity Inputs'!AA13</f>
        <v/>
      </c>
      <c r="AB7">
        <f>'Entity Inputs'!AB13</f>
        <v/>
      </c>
      <c r="AC7">
        <f>'Entity Inputs'!AC13</f>
        <v/>
      </c>
      <c r="AD7">
        <f>'Entity Inputs'!AD13</f>
        <v/>
      </c>
      <c r="AE7">
        <f>'Entity Inputs'!AE13</f>
        <v/>
      </c>
      <c r="AF7">
        <f>'Entity Inputs'!AF13</f>
        <v/>
      </c>
      <c r="AG7">
        <f>'Entity Inputs'!AG13</f>
        <v/>
      </c>
      <c r="AH7">
        <f>'Entity Inputs'!AH13</f>
        <v/>
      </c>
      <c r="AI7">
        <f>'Entity Inputs'!AI13</f>
        <v/>
      </c>
      <c r="AJ7">
        <f>'Entity Inputs'!AJ13</f>
        <v/>
      </c>
      <c r="AK7">
        <f>'Entity Inputs'!AK13</f>
        <v/>
      </c>
      <c r="AL7">
        <f>'Entity Inputs'!AL13</f>
        <v/>
      </c>
      <c r="AM7">
        <f>'Entity Inputs'!AM13</f>
        <v/>
      </c>
      <c r="AN7">
        <f>'Entity Inputs'!AN13</f>
        <v/>
      </c>
      <c r="AO7">
        <f>'Entity Inputs'!AO13</f>
        <v/>
      </c>
      <c r="AP7">
        <f>'Entity Inputs'!AP13</f>
        <v/>
      </c>
      <c r="AQ7">
        <f>'Entity Inputs'!AQ13</f>
        <v/>
      </c>
      <c r="AR7">
        <f>'Entity Inputs'!AR13</f>
        <v/>
      </c>
      <c r="AS7">
        <f>'Entity Inputs'!AS13</f>
        <v/>
      </c>
      <c r="AT7">
        <f>'Entity Inputs'!AT13</f>
        <v/>
      </c>
      <c r="AU7">
        <f>'Entity Inputs'!AU13</f>
        <v/>
      </c>
      <c r="AV7">
        <f>'Entity Inputs'!AV13</f>
        <v/>
      </c>
      <c r="AW7">
        <f>'Entity Inputs'!AW13</f>
        <v/>
      </c>
      <c r="AX7">
        <f>'Entity Inputs'!AX13</f>
        <v/>
      </c>
      <c r="AY7">
        <f>'Entity Inputs'!AY13</f>
        <v/>
      </c>
      <c r="AZ7">
        <f>'Entity Inputs'!AZ13</f>
        <v/>
      </c>
      <c r="BA7">
        <f>'Entity Inputs'!BA13</f>
        <v/>
      </c>
      <c r="BB7">
        <f>'Entity Inputs'!BB13</f>
        <v/>
      </c>
      <c r="BC7">
        <f>'Entity Inputs'!BC13</f>
        <v/>
      </c>
      <c r="BD7">
        <f>'Entity Inputs'!BD13</f>
        <v/>
      </c>
      <c r="BE7">
        <f>'Entity Inputs'!BE13</f>
        <v/>
      </c>
      <c r="BF7">
        <f>'Entity Inputs'!BF13</f>
        <v/>
      </c>
      <c r="BG7">
        <f>'Entity Inputs'!BG13</f>
        <v/>
      </c>
      <c r="BH7">
        <f>'Entity Inputs'!BH13</f>
        <v/>
      </c>
      <c r="BI7">
        <f>'Entity Inputs'!BI13</f>
        <v/>
      </c>
      <c r="BJ7">
        <f>'Entity Inputs'!BJ13</f>
        <v/>
      </c>
      <c r="BK7">
        <f>'Entity Inputs'!BK13</f>
        <v/>
      </c>
      <c r="BL7">
        <f>'Entity Inputs'!BL13</f>
        <v/>
      </c>
      <c r="BM7">
        <f>'Entity Inputs'!BM13</f>
        <v/>
      </c>
      <c r="BN7">
        <f>'Entity Inputs'!BN13</f>
        <v/>
      </c>
      <c r="BO7">
        <f>'Entity Inputs'!BO13</f>
        <v/>
      </c>
      <c r="BP7">
        <f>'Entity Inputs'!BP13</f>
        <v/>
      </c>
      <c r="BQ7">
        <f>'Entity Inputs'!BQ13</f>
        <v/>
      </c>
      <c r="BR7">
        <f>'Entity Inputs'!BR13</f>
        <v/>
      </c>
      <c r="BS7">
        <f>'Entity Inputs'!BS13</f>
        <v/>
      </c>
      <c r="BT7">
        <f>'Entity Inputs'!BT13</f>
        <v/>
      </c>
      <c r="BU7">
        <f>'Entity Inputs'!BU13</f>
        <v/>
      </c>
      <c r="BV7">
        <f>'Entity Inputs'!BV13</f>
        <v/>
      </c>
      <c r="BW7">
        <f>'Entity Inputs'!BW13</f>
        <v/>
      </c>
      <c r="BX7">
        <f>'Entity Inputs'!BX13</f>
        <v/>
      </c>
      <c r="BY7">
        <f>'Entity Inputs'!BY13</f>
        <v/>
      </c>
      <c r="BZ7">
        <f>'Entity Inputs'!BZ13</f>
        <v/>
      </c>
      <c r="CA7">
        <f>'Entity Inputs'!CA13</f>
        <v/>
      </c>
      <c r="CB7">
        <f>'Entity Inputs'!CB13</f>
        <v/>
      </c>
      <c r="CC7">
        <f>'Entity Inputs'!CC13</f>
        <v/>
      </c>
      <c r="CD7">
        <f>'Entity Inputs'!CD13</f>
        <v/>
      </c>
      <c r="CE7">
        <f>'Entity Inputs'!CE13</f>
        <v/>
      </c>
      <c r="CF7">
        <f>'Entity Inputs'!CF13</f>
        <v/>
      </c>
      <c r="CG7">
        <f>'Entity Inputs'!CG13</f>
        <v/>
      </c>
      <c r="CH7">
        <f>'Entity Inputs'!CH13</f>
        <v/>
      </c>
      <c r="CI7">
        <f>'Entity Inputs'!CI13</f>
        <v/>
      </c>
      <c r="CJ7">
        <f>'Entity Inputs'!CJ13</f>
        <v/>
      </c>
      <c r="CK7">
        <f>'Entity Inputs'!CK13</f>
        <v/>
      </c>
      <c r="CL7">
        <f>'Entity Inputs'!CL13</f>
        <v/>
      </c>
      <c r="CM7">
        <f>'Entity Inputs'!CM13</f>
        <v/>
      </c>
      <c r="CN7">
        <f>'Entity Inputs'!CN13</f>
        <v/>
      </c>
      <c r="CO7">
        <f>'Entity Inputs'!CO13</f>
        <v/>
      </c>
      <c r="CP7">
        <f>'Entity Inputs'!CP13</f>
        <v/>
      </c>
      <c r="CQ7">
        <f>'Entity Inputs'!CQ13</f>
        <v/>
      </c>
      <c r="CR7">
        <f>'Entity Inputs'!CR13</f>
        <v/>
      </c>
      <c r="CS7">
        <f>'Entity Inputs'!CS13</f>
        <v/>
      </c>
      <c r="CT7">
        <f>'Entity Inputs'!CT13</f>
        <v/>
      </c>
      <c r="CU7">
        <f>'Entity Inputs'!CU13</f>
        <v/>
      </c>
      <c r="CV7">
        <f>'Entity Inputs'!CV13</f>
        <v/>
      </c>
      <c r="CW7">
        <f>'Entity Inputs'!CW13</f>
        <v/>
      </c>
      <c r="CX7">
        <f>'Entity Inputs'!CX13</f>
        <v/>
      </c>
      <c r="CY7">
        <f>'Entity Inputs'!CY13</f>
        <v/>
      </c>
      <c r="CZ7">
        <f>'Entity Inputs'!CZ13</f>
        <v/>
      </c>
      <c r="DA7">
        <f>'Entity Inputs'!DA13</f>
        <v/>
      </c>
      <c r="DB7">
        <f>'Entity Inputs'!DB13</f>
        <v/>
      </c>
      <c r="DC7">
        <f>'Entity Inputs'!DC13</f>
        <v/>
      </c>
      <c r="DD7">
        <f>'Entity Inputs'!DD13</f>
        <v/>
      </c>
      <c r="DE7">
        <f>'Entity Inputs'!DE13</f>
        <v/>
      </c>
      <c r="DF7">
        <f>'Entity Inputs'!DF13</f>
        <v/>
      </c>
      <c r="DG7">
        <f>'Entity Inputs'!DG13</f>
        <v/>
      </c>
      <c r="DH7">
        <f>'Entity Inputs'!DH13</f>
        <v/>
      </c>
      <c r="DI7">
        <f>'Entity Inputs'!DI13</f>
        <v/>
      </c>
      <c r="DJ7">
        <f>'Entity Inputs'!DJ13</f>
        <v/>
      </c>
      <c r="DK7">
        <f>'Entity Inputs'!DK13</f>
        <v/>
      </c>
      <c r="DL7">
        <f>'Entity Inputs'!DL13</f>
        <v/>
      </c>
      <c r="DM7">
        <f>'Entity Inputs'!DM13</f>
        <v/>
      </c>
      <c r="DN7">
        <f>'Entity Inputs'!DN13</f>
        <v/>
      </c>
      <c r="DO7">
        <f>'Entity Inputs'!DO13</f>
        <v/>
      </c>
      <c r="DP7">
        <f>'Entity Inputs'!DP13</f>
        <v/>
      </c>
      <c r="DQ7">
        <f>'Entity Inputs'!DQ13</f>
        <v/>
      </c>
      <c r="DR7">
        <f>'Entity Inputs'!DR13</f>
        <v/>
      </c>
      <c r="DS7">
        <f>'Entity Inputs'!DS13</f>
        <v/>
      </c>
      <c r="DT7">
        <f>'Entity Inputs'!DT13</f>
        <v/>
      </c>
      <c r="DU7">
        <f>'Entity Inputs'!DU13</f>
        <v/>
      </c>
      <c r="DV7">
        <f>'Entity Inputs'!DV13</f>
        <v/>
      </c>
      <c r="DW7">
        <f>'Entity Inputs'!DW13</f>
        <v/>
      </c>
      <c r="DX7">
        <f>'Entity Inputs'!DX13</f>
        <v/>
      </c>
      <c r="DY7">
        <f>'Entity Inputs'!DY13</f>
        <v/>
      </c>
      <c r="DZ7">
        <f>'Entity Inputs'!DZ13</f>
        <v/>
      </c>
      <c r="EA7">
        <f>'Entity Inputs'!EA13</f>
        <v/>
      </c>
      <c r="EB7">
        <f>'Entity Inputs'!EB13</f>
        <v/>
      </c>
      <c r="EC7">
        <f>'Entity Inputs'!EC13</f>
        <v/>
      </c>
      <c r="ED7">
        <f>'Entity Inputs'!ED13</f>
        <v/>
      </c>
      <c r="EE7">
        <f>'Entity Inputs'!EE13</f>
        <v/>
      </c>
      <c r="EF7">
        <f>'Entity Inputs'!EF13</f>
        <v/>
      </c>
      <c r="EG7">
        <f>'Entity Inputs'!EG13</f>
        <v/>
      </c>
      <c r="EH7">
        <f>'Entity Inputs'!EH13</f>
        <v/>
      </c>
      <c r="EI7">
        <f>'Entity Inputs'!EI13</f>
        <v/>
      </c>
      <c r="EJ7">
        <f>'Entity Inputs'!EJ13</f>
        <v/>
      </c>
      <c r="EK7">
        <f>'Entity Inputs'!EK13</f>
        <v/>
      </c>
      <c r="EL7">
        <f>'Entity Inputs'!EL13</f>
        <v/>
      </c>
      <c r="EM7">
        <f>'Entity Inputs'!EM13</f>
        <v/>
      </c>
      <c r="EN7">
        <f>'Entity Inputs'!EN13</f>
        <v/>
      </c>
      <c r="EO7">
        <f>'Entity Inputs'!EO13</f>
        <v/>
      </c>
      <c r="EP7">
        <f>'Entity Inputs'!EP13</f>
        <v/>
      </c>
      <c r="EQ7">
        <f>'Entity Inputs'!EQ13</f>
        <v/>
      </c>
      <c r="ER7">
        <f>'Entity Inputs'!ER13</f>
        <v/>
      </c>
      <c r="ES7">
        <f>'Entity Inputs'!ES13</f>
        <v/>
      </c>
      <c r="ET7">
        <f>'Entity Inputs'!ET13</f>
        <v/>
      </c>
      <c r="EU7">
        <f>'Entity Inputs'!EU13</f>
        <v/>
      </c>
      <c r="EV7">
        <f>'Entity Inputs'!EV13</f>
        <v/>
      </c>
      <c r="EW7">
        <f>'Entity Inputs'!EW13</f>
        <v/>
      </c>
      <c r="EX7">
        <f>'Entity Inputs'!EX13</f>
        <v/>
      </c>
      <c r="EY7">
        <f>'Entity Inputs'!EY13</f>
        <v/>
      </c>
      <c r="EZ7">
        <f>'Entity Inputs'!EZ13</f>
        <v/>
      </c>
      <c r="FA7">
        <f>'Entity Inputs'!FA13</f>
        <v/>
      </c>
      <c r="FB7">
        <f>'Entity Inputs'!FB13</f>
        <v/>
      </c>
      <c r="FC7">
        <f>'Entity Inputs'!FC13</f>
        <v/>
      </c>
      <c r="FD7">
        <f>'Entity Inputs'!FD13</f>
        <v/>
      </c>
      <c r="FE7">
        <f>'Entity Inputs'!FE13</f>
        <v/>
      </c>
      <c r="FF7">
        <f>'Entity Inputs'!FF13</f>
        <v/>
      </c>
      <c r="FG7">
        <f>'Entity Inputs'!FG13</f>
        <v/>
      </c>
      <c r="FH7">
        <f>'Entity Inputs'!FH13</f>
        <v/>
      </c>
      <c r="FI7">
        <f>'Entity Inputs'!FI13</f>
        <v/>
      </c>
      <c r="FJ7">
        <f>'Entity Inputs'!FJ13</f>
        <v/>
      </c>
      <c r="FK7">
        <f>'Entity Inputs'!FK13</f>
        <v/>
      </c>
      <c r="FL7">
        <f>'Entity Inputs'!FL13</f>
        <v/>
      </c>
      <c r="FM7">
        <f>'Entity Inputs'!FM13</f>
        <v/>
      </c>
      <c r="FN7">
        <f>'Entity Inputs'!FN13</f>
        <v/>
      </c>
      <c r="FO7">
        <f>'Entity Inputs'!FO13</f>
        <v/>
      </c>
      <c r="FP7">
        <f>'Entity Inputs'!FP13</f>
        <v/>
      </c>
      <c r="FQ7">
        <f>'Entity Inputs'!FQ13</f>
        <v/>
      </c>
      <c r="FR7">
        <f>'Entity Inputs'!FR13</f>
        <v/>
      </c>
      <c r="FS7">
        <f>'Entity Inputs'!FS13</f>
        <v/>
      </c>
      <c r="FT7">
        <f>'Entity Inputs'!FT13</f>
        <v/>
      </c>
      <c r="FU7">
        <f>'Entity Inputs'!FU13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Inputs'!FV13</f>
        <v/>
      </c>
      <c r="GI7">
        <f>'Entity Inputs'!FW13</f>
        <v/>
      </c>
      <c r="GJ7">
        <f>'Entity Inputs'!FX13</f>
        <v/>
      </c>
      <c r="GK7">
        <f>'Entity Inputs'!FY13</f>
        <v/>
      </c>
      <c r="GL7">
        <f>'Entity Inputs'!FZ13</f>
        <v/>
      </c>
      <c r="GM7">
        <f>'Entity Inputs'!GA13</f>
        <v/>
      </c>
      <c r="GN7">
        <f>'Entity Inputs'!GB13</f>
        <v/>
      </c>
      <c r="GO7">
        <f>'Entity Inputs'!GC13</f>
        <v/>
      </c>
      <c r="GP7">
        <f>'Entity Inputs'!GD13</f>
        <v/>
      </c>
      <c r="GQ7">
        <f>'Entity Inputs'!GE13</f>
        <v/>
      </c>
      <c r="GR7">
        <f>'Entity Inputs'!GF13</f>
        <v/>
      </c>
    </row>
    <row r="8">
      <c r="A8" t="inlineStr">
        <is>
          <t>Entity A2</t>
        </is>
      </c>
      <c r="B8" t="inlineStr">
        <is>
          <t>2026-08</t>
        </is>
      </c>
      <c r="C8" t="n">
        <v>31</v>
      </c>
      <c r="D8" t="n">
        <v>5</v>
      </c>
      <c r="E8">
        <f>'Entity Inputs'!E14</f>
        <v/>
      </c>
      <c r="F8">
        <f>'Entity Inputs'!F14</f>
        <v/>
      </c>
      <c r="G8">
        <f>'Entity Inputs'!G14</f>
        <v/>
      </c>
      <c r="H8">
        <f>'Entity Inputs'!H14</f>
        <v/>
      </c>
      <c r="I8">
        <f>'Entity Inputs'!I14</f>
        <v/>
      </c>
      <c r="J8">
        <f>'Entity Inputs'!J14</f>
        <v/>
      </c>
      <c r="K8">
        <f>'Entity Inputs'!K14</f>
        <v/>
      </c>
      <c r="L8">
        <f>'Entity Inputs'!L14</f>
        <v/>
      </c>
      <c r="M8">
        <f>'Entity Inputs'!M14</f>
        <v/>
      </c>
      <c r="N8">
        <f>'Entity Inputs'!N14</f>
        <v/>
      </c>
      <c r="O8">
        <f>'Entity Inputs'!O14</f>
        <v/>
      </c>
      <c r="P8">
        <f>'Entity Inputs'!P14</f>
        <v/>
      </c>
      <c r="Q8">
        <f>'Entity Inputs'!Q14</f>
        <v/>
      </c>
      <c r="R8">
        <f>'Entity Inputs'!R14</f>
        <v/>
      </c>
      <c r="S8">
        <f>'Entity Inputs'!S14</f>
        <v/>
      </c>
      <c r="T8">
        <f>'Entity Inputs'!T14</f>
        <v/>
      </c>
      <c r="U8">
        <f>'Entity Inputs'!U14</f>
        <v/>
      </c>
      <c r="V8">
        <f>'Entity Inputs'!V14</f>
        <v/>
      </c>
      <c r="W8">
        <f>'Entity Inputs'!W14</f>
        <v/>
      </c>
      <c r="X8">
        <f>'Entity Inputs'!X14</f>
        <v/>
      </c>
      <c r="Y8">
        <f>'Entity Inputs'!Y14</f>
        <v/>
      </c>
      <c r="Z8">
        <f>'Entity Inputs'!Z14</f>
        <v/>
      </c>
      <c r="AA8">
        <f>'Entity Inputs'!AA14</f>
        <v/>
      </c>
      <c r="AB8">
        <f>'Entity Inputs'!AB14</f>
        <v/>
      </c>
      <c r="AC8">
        <f>'Entity Inputs'!AC14</f>
        <v/>
      </c>
      <c r="AD8">
        <f>'Entity Inputs'!AD14</f>
        <v/>
      </c>
      <c r="AE8">
        <f>'Entity Inputs'!AE14</f>
        <v/>
      </c>
      <c r="AF8">
        <f>'Entity Inputs'!AF14</f>
        <v/>
      </c>
      <c r="AG8">
        <f>'Entity Inputs'!AG14</f>
        <v/>
      </c>
      <c r="AH8">
        <f>'Entity Inputs'!AH14</f>
        <v/>
      </c>
      <c r="AI8">
        <f>'Entity Inputs'!AI14</f>
        <v/>
      </c>
      <c r="AJ8">
        <f>'Entity Inputs'!AJ14</f>
        <v/>
      </c>
      <c r="AK8">
        <f>'Entity Inputs'!AK14</f>
        <v/>
      </c>
      <c r="AL8">
        <f>'Entity Inputs'!AL14</f>
        <v/>
      </c>
      <c r="AM8">
        <f>'Entity Inputs'!AM14</f>
        <v/>
      </c>
      <c r="AN8">
        <f>'Entity Inputs'!AN14</f>
        <v/>
      </c>
      <c r="AO8">
        <f>'Entity Inputs'!AO14</f>
        <v/>
      </c>
      <c r="AP8">
        <f>'Entity Inputs'!AP14</f>
        <v/>
      </c>
      <c r="AQ8">
        <f>'Entity Inputs'!AQ14</f>
        <v/>
      </c>
      <c r="AR8">
        <f>'Entity Inputs'!AR14</f>
        <v/>
      </c>
      <c r="AS8">
        <f>'Entity Inputs'!AS14</f>
        <v/>
      </c>
      <c r="AT8">
        <f>'Entity Inputs'!AT14</f>
        <v/>
      </c>
      <c r="AU8">
        <f>'Entity Inputs'!AU14</f>
        <v/>
      </c>
      <c r="AV8">
        <f>'Entity Inputs'!AV14</f>
        <v/>
      </c>
      <c r="AW8">
        <f>'Entity Inputs'!AW14</f>
        <v/>
      </c>
      <c r="AX8">
        <f>'Entity Inputs'!AX14</f>
        <v/>
      </c>
      <c r="AY8">
        <f>'Entity Inputs'!AY14</f>
        <v/>
      </c>
      <c r="AZ8">
        <f>'Entity Inputs'!AZ14</f>
        <v/>
      </c>
      <c r="BA8">
        <f>'Entity Inputs'!BA14</f>
        <v/>
      </c>
      <c r="BB8">
        <f>'Entity Inputs'!BB14</f>
        <v/>
      </c>
      <c r="BC8">
        <f>'Entity Inputs'!BC14</f>
        <v/>
      </c>
      <c r="BD8">
        <f>'Entity Inputs'!BD14</f>
        <v/>
      </c>
      <c r="BE8">
        <f>'Entity Inputs'!BE14</f>
        <v/>
      </c>
      <c r="BF8">
        <f>'Entity Inputs'!BF14</f>
        <v/>
      </c>
      <c r="BG8">
        <f>'Entity Inputs'!BG14</f>
        <v/>
      </c>
      <c r="BH8">
        <f>'Entity Inputs'!BH14</f>
        <v/>
      </c>
      <c r="BI8">
        <f>'Entity Inputs'!BI14</f>
        <v/>
      </c>
      <c r="BJ8">
        <f>'Entity Inputs'!BJ14</f>
        <v/>
      </c>
      <c r="BK8">
        <f>'Entity Inputs'!BK14</f>
        <v/>
      </c>
      <c r="BL8">
        <f>'Entity Inputs'!BL14</f>
        <v/>
      </c>
      <c r="BM8">
        <f>'Entity Inputs'!BM14</f>
        <v/>
      </c>
      <c r="BN8">
        <f>'Entity Inputs'!BN14</f>
        <v/>
      </c>
      <c r="BO8">
        <f>'Entity Inputs'!BO14</f>
        <v/>
      </c>
      <c r="BP8">
        <f>'Entity Inputs'!BP14</f>
        <v/>
      </c>
      <c r="BQ8">
        <f>'Entity Inputs'!BQ14</f>
        <v/>
      </c>
      <c r="BR8">
        <f>'Entity Inputs'!BR14</f>
        <v/>
      </c>
      <c r="BS8">
        <f>'Entity Inputs'!BS14</f>
        <v/>
      </c>
      <c r="BT8">
        <f>'Entity Inputs'!BT14</f>
        <v/>
      </c>
      <c r="BU8">
        <f>'Entity Inputs'!BU14</f>
        <v/>
      </c>
      <c r="BV8">
        <f>'Entity Inputs'!BV14</f>
        <v/>
      </c>
      <c r="BW8">
        <f>'Entity Inputs'!BW14</f>
        <v/>
      </c>
      <c r="BX8">
        <f>'Entity Inputs'!BX14</f>
        <v/>
      </c>
      <c r="BY8">
        <f>'Entity Inputs'!BY14</f>
        <v/>
      </c>
      <c r="BZ8">
        <f>'Entity Inputs'!BZ14</f>
        <v/>
      </c>
      <c r="CA8">
        <f>'Entity Inputs'!CA14</f>
        <v/>
      </c>
      <c r="CB8">
        <f>'Entity Inputs'!CB14</f>
        <v/>
      </c>
      <c r="CC8">
        <f>'Entity Inputs'!CC14</f>
        <v/>
      </c>
      <c r="CD8">
        <f>'Entity Inputs'!CD14</f>
        <v/>
      </c>
      <c r="CE8">
        <f>'Entity Inputs'!CE14</f>
        <v/>
      </c>
      <c r="CF8">
        <f>'Entity Inputs'!CF14</f>
        <v/>
      </c>
      <c r="CG8">
        <f>'Entity Inputs'!CG14</f>
        <v/>
      </c>
      <c r="CH8">
        <f>'Entity Inputs'!CH14</f>
        <v/>
      </c>
      <c r="CI8">
        <f>'Entity Inputs'!CI14</f>
        <v/>
      </c>
      <c r="CJ8">
        <f>'Entity Inputs'!CJ14</f>
        <v/>
      </c>
      <c r="CK8">
        <f>'Entity Inputs'!CK14</f>
        <v/>
      </c>
      <c r="CL8">
        <f>'Entity Inputs'!CL14</f>
        <v/>
      </c>
      <c r="CM8">
        <f>'Entity Inputs'!CM14</f>
        <v/>
      </c>
      <c r="CN8">
        <f>'Entity Inputs'!CN14</f>
        <v/>
      </c>
      <c r="CO8">
        <f>'Entity Inputs'!CO14</f>
        <v/>
      </c>
      <c r="CP8">
        <f>'Entity Inputs'!CP14</f>
        <v/>
      </c>
      <c r="CQ8">
        <f>'Entity Inputs'!CQ14</f>
        <v/>
      </c>
      <c r="CR8">
        <f>'Entity Inputs'!CR14</f>
        <v/>
      </c>
      <c r="CS8">
        <f>'Entity Inputs'!CS14</f>
        <v/>
      </c>
      <c r="CT8">
        <f>'Entity Inputs'!CT14</f>
        <v/>
      </c>
      <c r="CU8">
        <f>'Entity Inputs'!CU14</f>
        <v/>
      </c>
      <c r="CV8">
        <f>'Entity Inputs'!CV14</f>
        <v/>
      </c>
      <c r="CW8">
        <f>'Entity Inputs'!CW14</f>
        <v/>
      </c>
      <c r="CX8">
        <f>'Entity Inputs'!CX14</f>
        <v/>
      </c>
      <c r="CY8">
        <f>'Entity Inputs'!CY14</f>
        <v/>
      </c>
      <c r="CZ8">
        <f>'Entity Inputs'!CZ14</f>
        <v/>
      </c>
      <c r="DA8">
        <f>'Entity Inputs'!DA14</f>
        <v/>
      </c>
      <c r="DB8">
        <f>'Entity Inputs'!DB14</f>
        <v/>
      </c>
      <c r="DC8">
        <f>'Entity Inputs'!DC14</f>
        <v/>
      </c>
      <c r="DD8">
        <f>'Entity Inputs'!DD14</f>
        <v/>
      </c>
      <c r="DE8">
        <f>'Entity Inputs'!DE14</f>
        <v/>
      </c>
      <c r="DF8">
        <f>'Entity Inputs'!DF14</f>
        <v/>
      </c>
      <c r="DG8">
        <f>'Entity Inputs'!DG14</f>
        <v/>
      </c>
      <c r="DH8">
        <f>'Entity Inputs'!DH14</f>
        <v/>
      </c>
      <c r="DI8">
        <f>'Entity Inputs'!DI14</f>
        <v/>
      </c>
      <c r="DJ8">
        <f>'Entity Inputs'!DJ14</f>
        <v/>
      </c>
      <c r="DK8">
        <f>'Entity Inputs'!DK14</f>
        <v/>
      </c>
      <c r="DL8">
        <f>'Entity Inputs'!DL14</f>
        <v/>
      </c>
      <c r="DM8">
        <f>'Entity Inputs'!DM14</f>
        <v/>
      </c>
      <c r="DN8">
        <f>'Entity Inputs'!DN14</f>
        <v/>
      </c>
      <c r="DO8">
        <f>'Entity Inputs'!DO14</f>
        <v/>
      </c>
      <c r="DP8">
        <f>'Entity Inputs'!DP14</f>
        <v/>
      </c>
      <c r="DQ8">
        <f>'Entity Inputs'!DQ14</f>
        <v/>
      </c>
      <c r="DR8">
        <f>'Entity Inputs'!DR14</f>
        <v/>
      </c>
      <c r="DS8">
        <f>'Entity Inputs'!DS14</f>
        <v/>
      </c>
      <c r="DT8">
        <f>'Entity Inputs'!DT14</f>
        <v/>
      </c>
      <c r="DU8">
        <f>'Entity Inputs'!DU14</f>
        <v/>
      </c>
      <c r="DV8">
        <f>'Entity Inputs'!DV14</f>
        <v/>
      </c>
      <c r="DW8">
        <f>'Entity Inputs'!DW14</f>
        <v/>
      </c>
      <c r="DX8">
        <f>'Entity Inputs'!DX14</f>
        <v/>
      </c>
      <c r="DY8">
        <f>'Entity Inputs'!DY14</f>
        <v/>
      </c>
      <c r="DZ8">
        <f>'Entity Inputs'!DZ14</f>
        <v/>
      </c>
      <c r="EA8">
        <f>'Entity Inputs'!EA14</f>
        <v/>
      </c>
      <c r="EB8">
        <f>'Entity Inputs'!EB14</f>
        <v/>
      </c>
      <c r="EC8">
        <f>'Entity Inputs'!EC14</f>
        <v/>
      </c>
      <c r="ED8">
        <f>'Entity Inputs'!ED14</f>
        <v/>
      </c>
      <c r="EE8">
        <f>'Entity Inputs'!EE14</f>
        <v/>
      </c>
      <c r="EF8">
        <f>'Entity Inputs'!EF14</f>
        <v/>
      </c>
      <c r="EG8">
        <f>'Entity Inputs'!EG14</f>
        <v/>
      </c>
      <c r="EH8">
        <f>'Entity Inputs'!EH14</f>
        <v/>
      </c>
      <c r="EI8">
        <f>'Entity Inputs'!EI14</f>
        <v/>
      </c>
      <c r="EJ8">
        <f>'Entity Inputs'!EJ14</f>
        <v/>
      </c>
      <c r="EK8">
        <f>'Entity Inputs'!EK14</f>
        <v/>
      </c>
      <c r="EL8">
        <f>'Entity Inputs'!EL14</f>
        <v/>
      </c>
      <c r="EM8">
        <f>'Entity Inputs'!EM14</f>
        <v/>
      </c>
      <c r="EN8">
        <f>'Entity Inputs'!EN14</f>
        <v/>
      </c>
      <c r="EO8">
        <f>'Entity Inputs'!EO14</f>
        <v/>
      </c>
      <c r="EP8">
        <f>'Entity Inputs'!EP14</f>
        <v/>
      </c>
      <c r="EQ8">
        <f>'Entity Inputs'!EQ14</f>
        <v/>
      </c>
      <c r="ER8">
        <f>'Entity Inputs'!ER14</f>
        <v/>
      </c>
      <c r="ES8">
        <f>'Entity Inputs'!ES14</f>
        <v/>
      </c>
      <c r="ET8">
        <f>'Entity Inputs'!ET14</f>
        <v/>
      </c>
      <c r="EU8">
        <f>'Entity Inputs'!EU14</f>
        <v/>
      </c>
      <c r="EV8">
        <f>'Entity Inputs'!EV14</f>
        <v/>
      </c>
      <c r="EW8">
        <f>'Entity Inputs'!EW14</f>
        <v/>
      </c>
      <c r="EX8">
        <f>'Entity Inputs'!EX14</f>
        <v/>
      </c>
      <c r="EY8">
        <f>'Entity Inputs'!EY14</f>
        <v/>
      </c>
      <c r="EZ8">
        <f>'Entity Inputs'!EZ14</f>
        <v/>
      </c>
      <c r="FA8">
        <f>'Entity Inputs'!FA14</f>
        <v/>
      </c>
      <c r="FB8">
        <f>'Entity Inputs'!FB14</f>
        <v/>
      </c>
      <c r="FC8">
        <f>'Entity Inputs'!FC14</f>
        <v/>
      </c>
      <c r="FD8">
        <f>'Entity Inputs'!FD14</f>
        <v/>
      </c>
      <c r="FE8">
        <f>'Entity Inputs'!FE14</f>
        <v/>
      </c>
      <c r="FF8">
        <f>'Entity Inputs'!FF14</f>
        <v/>
      </c>
      <c r="FG8">
        <f>'Entity Inputs'!FG14</f>
        <v/>
      </c>
      <c r="FH8">
        <f>'Entity Inputs'!FH14</f>
        <v/>
      </c>
      <c r="FI8">
        <f>'Entity Inputs'!FI14</f>
        <v/>
      </c>
      <c r="FJ8">
        <f>'Entity Inputs'!FJ14</f>
        <v/>
      </c>
      <c r="FK8">
        <f>'Entity Inputs'!FK14</f>
        <v/>
      </c>
      <c r="FL8">
        <f>'Entity Inputs'!FL14</f>
        <v/>
      </c>
      <c r="FM8">
        <f>'Entity Inputs'!FM14</f>
        <v/>
      </c>
      <c r="FN8">
        <f>'Entity Inputs'!FN14</f>
        <v/>
      </c>
      <c r="FO8">
        <f>'Entity Inputs'!FO14</f>
        <v/>
      </c>
      <c r="FP8">
        <f>'Entity Inputs'!FP14</f>
        <v/>
      </c>
      <c r="FQ8">
        <f>'Entity Inputs'!FQ14</f>
        <v/>
      </c>
      <c r="FR8">
        <f>'Entity Inputs'!FR14</f>
        <v/>
      </c>
      <c r="FS8">
        <f>'Entity Inputs'!FS14</f>
        <v/>
      </c>
      <c r="FT8">
        <f>'Entity Inputs'!FT14</f>
        <v/>
      </c>
      <c r="FU8">
        <f>'Entity Inputs'!FU14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Inputs'!FV14</f>
        <v/>
      </c>
      <c r="GI8">
        <f>'Entity Inputs'!FW14</f>
        <v/>
      </c>
      <c r="GJ8">
        <f>'Entity Inputs'!FX14</f>
        <v/>
      </c>
      <c r="GK8">
        <f>'Entity Inputs'!FY14</f>
        <v/>
      </c>
      <c r="GL8">
        <f>'Entity Inputs'!FZ14</f>
        <v/>
      </c>
      <c r="GM8">
        <f>'Entity Inputs'!GA14</f>
        <v/>
      </c>
      <c r="GN8">
        <f>'Entity Inputs'!GB14</f>
        <v/>
      </c>
      <c r="GO8">
        <f>'Entity Inputs'!GC14</f>
        <v/>
      </c>
      <c r="GP8">
        <f>'Entity Inputs'!GD14</f>
        <v/>
      </c>
      <c r="GQ8">
        <f>'Entity Inputs'!GE14</f>
        <v/>
      </c>
      <c r="GR8">
        <f>'Entity Inputs'!GF14</f>
        <v/>
      </c>
    </row>
    <row r="9">
      <c r="A9" t="inlineStr">
        <is>
          <t>Entity A2</t>
        </is>
      </c>
      <c r="B9" t="inlineStr">
        <is>
          <t>2026-09</t>
        </is>
      </c>
      <c r="C9" t="n">
        <v>30</v>
      </c>
      <c r="D9" t="n">
        <v>6</v>
      </c>
      <c r="E9">
        <f>'Entity Inputs'!E15</f>
        <v/>
      </c>
      <c r="F9">
        <f>'Entity Inputs'!F15</f>
        <v/>
      </c>
      <c r="G9">
        <f>'Entity Inputs'!G15</f>
        <v/>
      </c>
      <c r="H9">
        <f>'Entity Inputs'!H15</f>
        <v/>
      </c>
      <c r="I9">
        <f>'Entity Inputs'!I15</f>
        <v/>
      </c>
      <c r="J9">
        <f>'Entity Inputs'!J15</f>
        <v/>
      </c>
      <c r="K9">
        <f>'Entity Inputs'!K15</f>
        <v/>
      </c>
      <c r="L9">
        <f>'Entity Inputs'!L15</f>
        <v/>
      </c>
      <c r="M9">
        <f>'Entity Inputs'!M15</f>
        <v/>
      </c>
      <c r="N9">
        <f>'Entity Inputs'!N15</f>
        <v/>
      </c>
      <c r="O9">
        <f>'Entity Inputs'!O15</f>
        <v/>
      </c>
      <c r="P9">
        <f>'Entity Inputs'!P15</f>
        <v/>
      </c>
      <c r="Q9">
        <f>'Entity Inputs'!Q15</f>
        <v/>
      </c>
      <c r="R9">
        <f>'Entity Inputs'!R15</f>
        <v/>
      </c>
      <c r="S9">
        <f>'Entity Inputs'!S15</f>
        <v/>
      </c>
      <c r="T9">
        <f>'Entity Inputs'!T15</f>
        <v/>
      </c>
      <c r="U9">
        <f>'Entity Inputs'!U15</f>
        <v/>
      </c>
      <c r="V9">
        <f>'Entity Inputs'!V15</f>
        <v/>
      </c>
      <c r="W9">
        <f>'Entity Inputs'!W15</f>
        <v/>
      </c>
      <c r="X9">
        <f>'Entity Inputs'!X15</f>
        <v/>
      </c>
      <c r="Y9">
        <f>'Entity Inputs'!Y15</f>
        <v/>
      </c>
      <c r="Z9">
        <f>'Entity Inputs'!Z15</f>
        <v/>
      </c>
      <c r="AA9">
        <f>'Entity Inputs'!AA15</f>
        <v/>
      </c>
      <c r="AB9">
        <f>'Entity Inputs'!AB15</f>
        <v/>
      </c>
      <c r="AC9">
        <f>'Entity Inputs'!AC15</f>
        <v/>
      </c>
      <c r="AD9">
        <f>'Entity Inputs'!AD15</f>
        <v/>
      </c>
      <c r="AE9">
        <f>'Entity Inputs'!AE15</f>
        <v/>
      </c>
      <c r="AF9">
        <f>'Entity Inputs'!AF15</f>
        <v/>
      </c>
      <c r="AG9">
        <f>'Entity Inputs'!AG15</f>
        <v/>
      </c>
      <c r="AH9">
        <f>'Entity Inputs'!AH15</f>
        <v/>
      </c>
      <c r="AI9">
        <f>'Entity Inputs'!AI15</f>
        <v/>
      </c>
      <c r="AJ9">
        <f>'Entity Inputs'!AJ15</f>
        <v/>
      </c>
      <c r="AK9">
        <f>'Entity Inputs'!AK15</f>
        <v/>
      </c>
      <c r="AL9">
        <f>'Entity Inputs'!AL15</f>
        <v/>
      </c>
      <c r="AM9">
        <f>'Entity Inputs'!AM15</f>
        <v/>
      </c>
      <c r="AN9">
        <f>'Entity Inputs'!AN15</f>
        <v/>
      </c>
      <c r="AO9">
        <f>'Entity Inputs'!AO15</f>
        <v/>
      </c>
      <c r="AP9">
        <f>'Entity Inputs'!AP15</f>
        <v/>
      </c>
      <c r="AQ9">
        <f>'Entity Inputs'!AQ15</f>
        <v/>
      </c>
      <c r="AR9">
        <f>'Entity Inputs'!AR15</f>
        <v/>
      </c>
      <c r="AS9">
        <f>'Entity Inputs'!AS15</f>
        <v/>
      </c>
      <c r="AT9">
        <f>'Entity Inputs'!AT15</f>
        <v/>
      </c>
      <c r="AU9">
        <f>'Entity Inputs'!AU15</f>
        <v/>
      </c>
      <c r="AV9">
        <f>'Entity Inputs'!AV15</f>
        <v/>
      </c>
      <c r="AW9">
        <f>'Entity Inputs'!AW15</f>
        <v/>
      </c>
      <c r="AX9">
        <f>'Entity Inputs'!AX15</f>
        <v/>
      </c>
      <c r="AY9">
        <f>'Entity Inputs'!AY15</f>
        <v/>
      </c>
      <c r="AZ9">
        <f>'Entity Inputs'!AZ15</f>
        <v/>
      </c>
      <c r="BA9">
        <f>'Entity Inputs'!BA15</f>
        <v/>
      </c>
      <c r="BB9">
        <f>'Entity Inputs'!BB15</f>
        <v/>
      </c>
      <c r="BC9">
        <f>'Entity Inputs'!BC15</f>
        <v/>
      </c>
      <c r="BD9">
        <f>'Entity Inputs'!BD15</f>
        <v/>
      </c>
      <c r="BE9">
        <f>'Entity Inputs'!BE15</f>
        <v/>
      </c>
      <c r="BF9">
        <f>'Entity Inputs'!BF15</f>
        <v/>
      </c>
      <c r="BG9">
        <f>'Entity Inputs'!BG15</f>
        <v/>
      </c>
      <c r="BH9">
        <f>'Entity Inputs'!BH15</f>
        <v/>
      </c>
      <c r="BI9">
        <f>'Entity Inputs'!BI15</f>
        <v/>
      </c>
      <c r="BJ9">
        <f>'Entity Inputs'!BJ15</f>
        <v/>
      </c>
      <c r="BK9">
        <f>'Entity Inputs'!BK15</f>
        <v/>
      </c>
      <c r="BL9">
        <f>'Entity Inputs'!BL15</f>
        <v/>
      </c>
      <c r="BM9">
        <f>'Entity Inputs'!BM15</f>
        <v/>
      </c>
      <c r="BN9">
        <f>'Entity Inputs'!BN15</f>
        <v/>
      </c>
      <c r="BO9">
        <f>'Entity Inputs'!BO15</f>
        <v/>
      </c>
      <c r="BP9">
        <f>'Entity Inputs'!BP15</f>
        <v/>
      </c>
      <c r="BQ9">
        <f>'Entity Inputs'!BQ15</f>
        <v/>
      </c>
      <c r="BR9">
        <f>'Entity Inputs'!BR15</f>
        <v/>
      </c>
      <c r="BS9">
        <f>'Entity Inputs'!BS15</f>
        <v/>
      </c>
      <c r="BT9">
        <f>'Entity Inputs'!BT15</f>
        <v/>
      </c>
      <c r="BU9">
        <f>'Entity Inputs'!BU15</f>
        <v/>
      </c>
      <c r="BV9">
        <f>'Entity Inputs'!BV15</f>
        <v/>
      </c>
      <c r="BW9">
        <f>'Entity Inputs'!BW15</f>
        <v/>
      </c>
      <c r="BX9">
        <f>'Entity Inputs'!BX15</f>
        <v/>
      </c>
      <c r="BY9">
        <f>'Entity Inputs'!BY15</f>
        <v/>
      </c>
      <c r="BZ9">
        <f>'Entity Inputs'!BZ15</f>
        <v/>
      </c>
      <c r="CA9">
        <f>'Entity Inputs'!CA15</f>
        <v/>
      </c>
      <c r="CB9">
        <f>'Entity Inputs'!CB15</f>
        <v/>
      </c>
      <c r="CC9">
        <f>'Entity Inputs'!CC15</f>
        <v/>
      </c>
      <c r="CD9">
        <f>'Entity Inputs'!CD15</f>
        <v/>
      </c>
      <c r="CE9">
        <f>'Entity Inputs'!CE15</f>
        <v/>
      </c>
      <c r="CF9">
        <f>'Entity Inputs'!CF15</f>
        <v/>
      </c>
      <c r="CG9">
        <f>'Entity Inputs'!CG15</f>
        <v/>
      </c>
      <c r="CH9">
        <f>'Entity Inputs'!CH15</f>
        <v/>
      </c>
      <c r="CI9">
        <f>'Entity Inputs'!CI15</f>
        <v/>
      </c>
      <c r="CJ9">
        <f>'Entity Inputs'!CJ15</f>
        <v/>
      </c>
      <c r="CK9">
        <f>'Entity Inputs'!CK15</f>
        <v/>
      </c>
      <c r="CL9">
        <f>'Entity Inputs'!CL15</f>
        <v/>
      </c>
      <c r="CM9">
        <f>'Entity Inputs'!CM15</f>
        <v/>
      </c>
      <c r="CN9">
        <f>'Entity Inputs'!CN15</f>
        <v/>
      </c>
      <c r="CO9">
        <f>'Entity Inputs'!CO15</f>
        <v/>
      </c>
      <c r="CP9">
        <f>'Entity Inputs'!CP15</f>
        <v/>
      </c>
      <c r="CQ9">
        <f>'Entity Inputs'!CQ15</f>
        <v/>
      </c>
      <c r="CR9">
        <f>'Entity Inputs'!CR15</f>
        <v/>
      </c>
      <c r="CS9">
        <f>'Entity Inputs'!CS15</f>
        <v/>
      </c>
      <c r="CT9">
        <f>'Entity Inputs'!CT15</f>
        <v/>
      </c>
      <c r="CU9">
        <f>'Entity Inputs'!CU15</f>
        <v/>
      </c>
      <c r="CV9">
        <f>'Entity Inputs'!CV15</f>
        <v/>
      </c>
      <c r="CW9">
        <f>'Entity Inputs'!CW15</f>
        <v/>
      </c>
      <c r="CX9">
        <f>'Entity Inputs'!CX15</f>
        <v/>
      </c>
      <c r="CY9">
        <f>'Entity Inputs'!CY15</f>
        <v/>
      </c>
      <c r="CZ9">
        <f>'Entity Inputs'!CZ15</f>
        <v/>
      </c>
      <c r="DA9">
        <f>'Entity Inputs'!DA15</f>
        <v/>
      </c>
      <c r="DB9">
        <f>'Entity Inputs'!DB15</f>
        <v/>
      </c>
      <c r="DC9">
        <f>'Entity Inputs'!DC15</f>
        <v/>
      </c>
      <c r="DD9">
        <f>'Entity Inputs'!DD15</f>
        <v/>
      </c>
      <c r="DE9">
        <f>'Entity Inputs'!DE15</f>
        <v/>
      </c>
      <c r="DF9">
        <f>'Entity Inputs'!DF15</f>
        <v/>
      </c>
      <c r="DG9">
        <f>'Entity Inputs'!DG15</f>
        <v/>
      </c>
      <c r="DH9">
        <f>'Entity Inputs'!DH15</f>
        <v/>
      </c>
      <c r="DI9">
        <f>'Entity Inputs'!DI15</f>
        <v/>
      </c>
      <c r="DJ9">
        <f>'Entity Inputs'!DJ15</f>
        <v/>
      </c>
      <c r="DK9">
        <f>'Entity Inputs'!DK15</f>
        <v/>
      </c>
      <c r="DL9">
        <f>'Entity Inputs'!DL15</f>
        <v/>
      </c>
      <c r="DM9">
        <f>'Entity Inputs'!DM15</f>
        <v/>
      </c>
      <c r="DN9">
        <f>'Entity Inputs'!DN15</f>
        <v/>
      </c>
      <c r="DO9">
        <f>'Entity Inputs'!DO15</f>
        <v/>
      </c>
      <c r="DP9">
        <f>'Entity Inputs'!DP15</f>
        <v/>
      </c>
      <c r="DQ9">
        <f>'Entity Inputs'!DQ15</f>
        <v/>
      </c>
      <c r="DR9">
        <f>'Entity Inputs'!DR15</f>
        <v/>
      </c>
      <c r="DS9">
        <f>'Entity Inputs'!DS15</f>
        <v/>
      </c>
      <c r="DT9">
        <f>'Entity Inputs'!DT15</f>
        <v/>
      </c>
      <c r="DU9">
        <f>'Entity Inputs'!DU15</f>
        <v/>
      </c>
      <c r="DV9">
        <f>'Entity Inputs'!DV15</f>
        <v/>
      </c>
      <c r="DW9">
        <f>'Entity Inputs'!DW15</f>
        <v/>
      </c>
      <c r="DX9">
        <f>'Entity Inputs'!DX15</f>
        <v/>
      </c>
      <c r="DY9">
        <f>'Entity Inputs'!DY15</f>
        <v/>
      </c>
      <c r="DZ9">
        <f>'Entity Inputs'!DZ15</f>
        <v/>
      </c>
      <c r="EA9">
        <f>'Entity Inputs'!EA15</f>
        <v/>
      </c>
      <c r="EB9">
        <f>'Entity Inputs'!EB15</f>
        <v/>
      </c>
      <c r="EC9">
        <f>'Entity Inputs'!EC15</f>
        <v/>
      </c>
      <c r="ED9">
        <f>'Entity Inputs'!ED15</f>
        <v/>
      </c>
      <c r="EE9">
        <f>'Entity Inputs'!EE15</f>
        <v/>
      </c>
      <c r="EF9">
        <f>'Entity Inputs'!EF15</f>
        <v/>
      </c>
      <c r="EG9">
        <f>'Entity Inputs'!EG15</f>
        <v/>
      </c>
      <c r="EH9">
        <f>'Entity Inputs'!EH15</f>
        <v/>
      </c>
      <c r="EI9">
        <f>'Entity Inputs'!EI15</f>
        <v/>
      </c>
      <c r="EJ9">
        <f>'Entity Inputs'!EJ15</f>
        <v/>
      </c>
      <c r="EK9">
        <f>'Entity Inputs'!EK15</f>
        <v/>
      </c>
      <c r="EL9">
        <f>'Entity Inputs'!EL15</f>
        <v/>
      </c>
      <c r="EM9">
        <f>'Entity Inputs'!EM15</f>
        <v/>
      </c>
      <c r="EN9">
        <f>'Entity Inputs'!EN15</f>
        <v/>
      </c>
      <c r="EO9">
        <f>'Entity Inputs'!EO15</f>
        <v/>
      </c>
      <c r="EP9">
        <f>'Entity Inputs'!EP15</f>
        <v/>
      </c>
      <c r="EQ9">
        <f>'Entity Inputs'!EQ15</f>
        <v/>
      </c>
      <c r="ER9">
        <f>'Entity Inputs'!ER15</f>
        <v/>
      </c>
      <c r="ES9">
        <f>'Entity Inputs'!ES15</f>
        <v/>
      </c>
      <c r="ET9">
        <f>'Entity Inputs'!ET15</f>
        <v/>
      </c>
      <c r="EU9">
        <f>'Entity Inputs'!EU15</f>
        <v/>
      </c>
      <c r="EV9">
        <f>'Entity Inputs'!EV15</f>
        <v/>
      </c>
      <c r="EW9">
        <f>'Entity Inputs'!EW15</f>
        <v/>
      </c>
      <c r="EX9">
        <f>'Entity Inputs'!EX15</f>
        <v/>
      </c>
      <c r="EY9">
        <f>'Entity Inputs'!EY15</f>
        <v/>
      </c>
      <c r="EZ9">
        <f>'Entity Inputs'!EZ15</f>
        <v/>
      </c>
      <c r="FA9">
        <f>'Entity Inputs'!FA15</f>
        <v/>
      </c>
      <c r="FB9">
        <f>'Entity Inputs'!FB15</f>
        <v/>
      </c>
      <c r="FC9">
        <f>'Entity Inputs'!FC15</f>
        <v/>
      </c>
      <c r="FD9">
        <f>'Entity Inputs'!FD15</f>
        <v/>
      </c>
      <c r="FE9">
        <f>'Entity Inputs'!FE15</f>
        <v/>
      </c>
      <c r="FF9">
        <f>'Entity Inputs'!FF15</f>
        <v/>
      </c>
      <c r="FG9">
        <f>'Entity Inputs'!FG15</f>
        <v/>
      </c>
      <c r="FH9">
        <f>'Entity Inputs'!FH15</f>
        <v/>
      </c>
      <c r="FI9">
        <f>'Entity Inputs'!FI15</f>
        <v/>
      </c>
      <c r="FJ9">
        <f>'Entity Inputs'!FJ15</f>
        <v/>
      </c>
      <c r="FK9">
        <f>'Entity Inputs'!FK15</f>
        <v/>
      </c>
      <c r="FL9">
        <f>'Entity Inputs'!FL15</f>
        <v/>
      </c>
      <c r="FM9">
        <f>'Entity Inputs'!FM15</f>
        <v/>
      </c>
      <c r="FN9">
        <f>'Entity Inputs'!FN15</f>
        <v/>
      </c>
      <c r="FO9">
        <f>'Entity Inputs'!FO15</f>
        <v/>
      </c>
      <c r="FP9">
        <f>'Entity Inputs'!FP15</f>
        <v/>
      </c>
      <c r="FQ9">
        <f>'Entity Inputs'!FQ15</f>
        <v/>
      </c>
      <c r="FR9">
        <f>'Entity Inputs'!FR15</f>
        <v/>
      </c>
      <c r="FS9">
        <f>'Entity Inputs'!FS15</f>
        <v/>
      </c>
      <c r="FT9">
        <f>'Entity Inputs'!FT15</f>
        <v/>
      </c>
      <c r="FU9">
        <f>'Entity Inputs'!FU15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Inputs'!FV15</f>
        <v/>
      </c>
      <c r="GI9">
        <f>'Entity Inputs'!FW15</f>
        <v/>
      </c>
      <c r="GJ9">
        <f>'Entity Inputs'!FX15</f>
        <v/>
      </c>
      <c r="GK9">
        <f>'Entity Inputs'!FY15</f>
        <v/>
      </c>
      <c r="GL9">
        <f>'Entity Inputs'!FZ15</f>
        <v/>
      </c>
      <c r="GM9">
        <f>'Entity Inputs'!GA15</f>
        <v/>
      </c>
      <c r="GN9">
        <f>'Entity Inputs'!GB15</f>
        <v/>
      </c>
      <c r="GO9">
        <f>'Entity Inputs'!GC15</f>
        <v/>
      </c>
      <c r="GP9">
        <f>'Entity Inputs'!GD15</f>
        <v/>
      </c>
      <c r="GQ9">
        <f>'Entity Inputs'!GE15</f>
        <v/>
      </c>
      <c r="GR9">
        <f>'Entity Inputs'!GF15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01).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01</t>
        </is>
      </c>
      <c r="B4" t="inlineStr">
        <is>
          <t>2026-04</t>
        </is>
      </c>
      <c r="C4" t="n">
        <v>30</v>
      </c>
      <c r="D4" t="n">
        <v>1</v>
      </c>
      <c r="E4">
        <f>'Plant Inputs'!F4</f>
        <v/>
      </c>
      <c r="F4">
        <f>'Plant Inputs'!G4</f>
        <v/>
      </c>
      <c r="G4">
        <f>'Plant Inputs'!H4</f>
        <v/>
      </c>
      <c r="H4">
        <f>'Plant Inputs'!I4</f>
        <v/>
      </c>
      <c r="I4">
        <f>'Plant Inputs'!J4</f>
        <v/>
      </c>
      <c r="J4">
        <f>'Plant Inputs'!K4</f>
        <v/>
      </c>
      <c r="K4">
        <f>'Plant Inputs'!L4</f>
        <v/>
      </c>
      <c r="L4">
        <f>'Plant Inputs'!M4</f>
        <v/>
      </c>
      <c r="M4">
        <f>'Plant Inputs'!N4</f>
        <v/>
      </c>
      <c r="N4">
        <f>'Plant Inputs'!O4</f>
        <v/>
      </c>
      <c r="O4">
        <f>'Plant Inputs'!P4</f>
        <v/>
      </c>
      <c r="P4">
        <f>'Plant Inputs'!Q4</f>
        <v/>
      </c>
      <c r="Q4">
        <f>'Plant Inputs'!R4</f>
        <v/>
      </c>
      <c r="R4">
        <f>'Plant Inputs'!S4</f>
        <v/>
      </c>
      <c r="S4">
        <f>'Plant Inputs'!T4</f>
        <v/>
      </c>
      <c r="T4">
        <f>'Plant Inputs'!U4</f>
        <v/>
      </c>
      <c r="U4">
        <f>'Plant Inputs'!V4</f>
        <v/>
      </c>
      <c r="V4">
        <f>'Plant Inputs'!W4</f>
        <v/>
      </c>
      <c r="W4">
        <f>'Plant Inputs'!X4</f>
        <v/>
      </c>
      <c r="X4">
        <f>'Plant Inputs'!Y4</f>
        <v/>
      </c>
      <c r="Y4">
        <f>'Plant Inputs'!Z4</f>
        <v/>
      </c>
      <c r="Z4">
        <f>'Plant Inputs'!AA4</f>
        <v/>
      </c>
      <c r="AA4">
        <f>'Plant Inputs'!AB4</f>
        <v/>
      </c>
      <c r="AB4">
        <f>'Plant Inputs'!AC4</f>
        <v/>
      </c>
      <c r="AC4">
        <f>'Plant Inputs'!AD4</f>
        <v/>
      </c>
      <c r="AD4">
        <f>'Plant Inputs'!AE4</f>
        <v/>
      </c>
      <c r="AE4">
        <f>'Plant Inputs'!AF4</f>
        <v/>
      </c>
      <c r="AF4">
        <f>'Plant Inputs'!AG4</f>
        <v/>
      </c>
      <c r="AG4">
        <f>'Plant Inputs'!AH4</f>
        <v/>
      </c>
      <c r="AH4">
        <f>'Plant Inputs'!AI4</f>
        <v/>
      </c>
      <c r="AI4">
        <f>'Plant Inputs'!AJ4</f>
        <v/>
      </c>
      <c r="AJ4">
        <f>'Plant Inputs'!AK4</f>
        <v/>
      </c>
      <c r="AK4">
        <f>'Plant Inputs'!AL4</f>
        <v/>
      </c>
      <c r="AL4">
        <f>'Plant Inputs'!AM4</f>
        <v/>
      </c>
      <c r="AM4">
        <f>'Plant Inputs'!AN4</f>
        <v/>
      </c>
      <c r="AN4">
        <f>'Plant Inputs'!AO4</f>
        <v/>
      </c>
      <c r="AO4">
        <f>'Plant Inputs'!AP4</f>
        <v/>
      </c>
      <c r="AP4">
        <f>'Plant Inputs'!AQ4</f>
        <v/>
      </c>
      <c r="AQ4">
        <f>'Plant Inputs'!AR4</f>
        <v/>
      </c>
      <c r="AR4">
        <f>'Plant Inputs'!AS4</f>
        <v/>
      </c>
      <c r="AS4">
        <f>'Plant Inputs'!AT4</f>
        <v/>
      </c>
      <c r="AT4">
        <f>'Plant Inputs'!AU4</f>
        <v/>
      </c>
      <c r="AU4">
        <f>'Plant Inputs'!AV4</f>
        <v/>
      </c>
      <c r="AV4">
        <f>'Plant Inputs'!AW4</f>
        <v/>
      </c>
      <c r="AW4">
        <f>'Plant Inputs'!AX4</f>
        <v/>
      </c>
      <c r="AX4">
        <f>'Plant Inputs'!AY4</f>
        <v/>
      </c>
      <c r="AY4">
        <f>'Plant Inputs'!AZ4</f>
        <v/>
      </c>
      <c r="AZ4">
        <f>'Plant Inputs'!BA4</f>
        <v/>
      </c>
      <c r="BA4">
        <f>'Plant Inputs'!BB4</f>
        <v/>
      </c>
      <c r="BB4">
        <f>'Plant Inputs'!BC4</f>
        <v/>
      </c>
      <c r="BC4">
        <f>'Plant Inputs'!BD4</f>
        <v/>
      </c>
      <c r="BD4">
        <f>'Plant Inputs'!BE4</f>
        <v/>
      </c>
      <c r="BE4">
        <f>'Plant Inputs'!BF4</f>
        <v/>
      </c>
      <c r="BF4">
        <f>'Plant Inputs'!BG4</f>
        <v/>
      </c>
      <c r="BG4">
        <f>'Plant Inputs'!BH4</f>
        <v/>
      </c>
      <c r="BH4">
        <f>'Plant Inputs'!BI4</f>
        <v/>
      </c>
      <c r="BI4">
        <f>'Plant Inputs'!BJ4</f>
        <v/>
      </c>
      <c r="BJ4">
        <f>'Plant Inputs'!BK4</f>
        <v/>
      </c>
      <c r="BK4">
        <f>'Plant Inputs'!BL4</f>
        <v/>
      </c>
      <c r="BL4">
        <f>'Plant Inputs'!BM4</f>
        <v/>
      </c>
      <c r="BM4">
        <f>'Plant Inputs'!BN4</f>
        <v/>
      </c>
      <c r="BN4">
        <f>'Plant Inputs'!BO4</f>
        <v/>
      </c>
      <c r="BO4">
        <f>'Plant Inputs'!BP4</f>
        <v/>
      </c>
      <c r="BP4">
        <f>'Plant Inputs'!BQ4</f>
        <v/>
      </c>
      <c r="BQ4">
        <f>'Plant Inputs'!BR4</f>
        <v/>
      </c>
      <c r="BR4">
        <f>'Plant Inputs'!BS4</f>
        <v/>
      </c>
      <c r="BS4">
        <f>'Plant Inputs'!BT4</f>
        <v/>
      </c>
      <c r="BT4">
        <f>'Plant Inputs'!BU4</f>
        <v/>
      </c>
      <c r="BU4">
        <f>'Plant Inputs'!BV4</f>
        <v/>
      </c>
      <c r="BV4">
        <f>'Plant Inputs'!BW4</f>
        <v/>
      </c>
      <c r="BW4">
        <f>'Plant Inputs'!BX4</f>
        <v/>
      </c>
      <c r="BX4">
        <f>'Plant Inputs'!BY4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01</t>
        </is>
      </c>
      <c r="B5" t="inlineStr">
        <is>
          <t>2026-05</t>
        </is>
      </c>
      <c r="C5" t="n">
        <v>31</v>
      </c>
      <c r="D5" t="n">
        <v>2</v>
      </c>
      <c r="E5">
        <f>'Plant Inputs'!F5</f>
        <v/>
      </c>
      <c r="F5">
        <f>'Plant Inputs'!G5</f>
        <v/>
      </c>
      <c r="G5">
        <f>'Plant Inputs'!H5</f>
        <v/>
      </c>
      <c r="H5">
        <f>'Plant Inputs'!I5</f>
        <v/>
      </c>
      <c r="I5">
        <f>'Plant Inputs'!J5</f>
        <v/>
      </c>
      <c r="J5">
        <f>'Plant Inputs'!K5</f>
        <v/>
      </c>
      <c r="K5">
        <f>'Plant Inputs'!L5</f>
        <v/>
      </c>
      <c r="L5">
        <f>'Plant Inputs'!M5</f>
        <v/>
      </c>
      <c r="M5">
        <f>'Plant Inputs'!N5</f>
        <v/>
      </c>
      <c r="N5">
        <f>'Plant Inputs'!O5</f>
        <v/>
      </c>
      <c r="O5">
        <f>'Plant Inputs'!P5</f>
        <v/>
      </c>
      <c r="P5">
        <f>'Plant Inputs'!Q5</f>
        <v/>
      </c>
      <c r="Q5">
        <f>'Plant Inputs'!R5</f>
        <v/>
      </c>
      <c r="R5">
        <f>'Plant Inputs'!S5</f>
        <v/>
      </c>
      <c r="S5">
        <f>'Plant Inputs'!T5</f>
        <v/>
      </c>
      <c r="T5">
        <f>'Plant Inputs'!U5</f>
        <v/>
      </c>
      <c r="U5">
        <f>'Plant Inputs'!V5</f>
        <v/>
      </c>
      <c r="V5">
        <f>'Plant Inputs'!W5</f>
        <v/>
      </c>
      <c r="W5">
        <f>'Plant Inputs'!X5</f>
        <v/>
      </c>
      <c r="X5">
        <f>'Plant Inputs'!Y5</f>
        <v/>
      </c>
      <c r="Y5">
        <f>'Plant Inputs'!Z5</f>
        <v/>
      </c>
      <c r="Z5">
        <f>'Plant Inputs'!AA5</f>
        <v/>
      </c>
      <c r="AA5">
        <f>'Plant Inputs'!AB5</f>
        <v/>
      </c>
      <c r="AB5">
        <f>'Plant Inputs'!AC5</f>
        <v/>
      </c>
      <c r="AC5">
        <f>'Plant Inputs'!AD5</f>
        <v/>
      </c>
      <c r="AD5">
        <f>'Plant Inputs'!AE5</f>
        <v/>
      </c>
      <c r="AE5">
        <f>'Plant Inputs'!AF5</f>
        <v/>
      </c>
      <c r="AF5">
        <f>'Plant Inputs'!AG5</f>
        <v/>
      </c>
      <c r="AG5">
        <f>'Plant Inputs'!AH5</f>
        <v/>
      </c>
      <c r="AH5">
        <f>'Plant Inputs'!AI5</f>
        <v/>
      </c>
      <c r="AI5">
        <f>'Plant Inputs'!AJ5</f>
        <v/>
      </c>
      <c r="AJ5">
        <f>'Plant Inputs'!AK5</f>
        <v/>
      </c>
      <c r="AK5">
        <f>'Plant Inputs'!AL5</f>
        <v/>
      </c>
      <c r="AL5">
        <f>'Plant Inputs'!AM5</f>
        <v/>
      </c>
      <c r="AM5">
        <f>'Plant Inputs'!AN5</f>
        <v/>
      </c>
      <c r="AN5">
        <f>'Plant Inputs'!AO5</f>
        <v/>
      </c>
      <c r="AO5">
        <f>'Plant Inputs'!AP5</f>
        <v/>
      </c>
      <c r="AP5">
        <f>'Plant Inputs'!AQ5</f>
        <v/>
      </c>
      <c r="AQ5">
        <f>'Plant Inputs'!AR5</f>
        <v/>
      </c>
      <c r="AR5">
        <f>'Plant Inputs'!AS5</f>
        <v/>
      </c>
      <c r="AS5">
        <f>'Plant Inputs'!AT5</f>
        <v/>
      </c>
      <c r="AT5">
        <f>'Plant Inputs'!AU5</f>
        <v/>
      </c>
      <c r="AU5">
        <f>'Plant Inputs'!AV5</f>
        <v/>
      </c>
      <c r="AV5">
        <f>'Plant Inputs'!AW5</f>
        <v/>
      </c>
      <c r="AW5">
        <f>'Plant Inputs'!AX5</f>
        <v/>
      </c>
      <c r="AX5">
        <f>'Plant Inputs'!AY5</f>
        <v/>
      </c>
      <c r="AY5">
        <f>'Plant Inputs'!AZ5</f>
        <v/>
      </c>
      <c r="AZ5">
        <f>'Plant Inputs'!BA5</f>
        <v/>
      </c>
      <c r="BA5">
        <f>'Plant Inputs'!BB5</f>
        <v/>
      </c>
      <c r="BB5">
        <f>'Plant Inputs'!BC5</f>
        <v/>
      </c>
      <c r="BC5">
        <f>'Plant Inputs'!BD5</f>
        <v/>
      </c>
      <c r="BD5">
        <f>'Plant Inputs'!BE5</f>
        <v/>
      </c>
      <c r="BE5">
        <f>'Plant Inputs'!BF5</f>
        <v/>
      </c>
      <c r="BF5">
        <f>'Plant Inputs'!BG5</f>
        <v/>
      </c>
      <c r="BG5">
        <f>'Plant Inputs'!BH5</f>
        <v/>
      </c>
      <c r="BH5">
        <f>'Plant Inputs'!BI5</f>
        <v/>
      </c>
      <c r="BI5">
        <f>'Plant Inputs'!BJ5</f>
        <v/>
      </c>
      <c r="BJ5">
        <f>'Plant Inputs'!BK5</f>
        <v/>
      </c>
      <c r="BK5">
        <f>'Plant Inputs'!BL5</f>
        <v/>
      </c>
      <c r="BL5">
        <f>'Plant Inputs'!BM5</f>
        <v/>
      </c>
      <c r="BM5">
        <f>'Plant Inputs'!BN5</f>
        <v/>
      </c>
      <c r="BN5">
        <f>'Plant Inputs'!BO5</f>
        <v/>
      </c>
      <c r="BO5">
        <f>'Plant Inputs'!BP5</f>
        <v/>
      </c>
      <c r="BP5">
        <f>'Plant Inputs'!BQ5</f>
        <v/>
      </c>
      <c r="BQ5">
        <f>'Plant Inputs'!BR5</f>
        <v/>
      </c>
      <c r="BR5">
        <f>'Plant Inputs'!BS5</f>
        <v/>
      </c>
      <c r="BS5">
        <f>'Plant Inputs'!BT5</f>
        <v/>
      </c>
      <c r="BT5">
        <f>'Plant Inputs'!BU5</f>
        <v/>
      </c>
      <c r="BU5">
        <f>'Plant Inputs'!BV5</f>
        <v/>
      </c>
      <c r="BV5">
        <f>'Plant Inputs'!BW5</f>
        <v/>
      </c>
      <c r="BW5">
        <f>'Plant Inputs'!BX5</f>
        <v/>
      </c>
      <c r="BX5">
        <f>'Plant Inputs'!BY5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01</t>
        </is>
      </c>
      <c r="B6" t="inlineStr">
        <is>
          <t>2026-06</t>
        </is>
      </c>
      <c r="C6" t="n">
        <v>30</v>
      </c>
      <c r="D6" t="n">
        <v>3</v>
      </c>
      <c r="E6">
        <f>'Plant Inputs'!F6</f>
        <v/>
      </c>
      <c r="F6">
        <f>'Plant Inputs'!G6</f>
        <v/>
      </c>
      <c r="G6">
        <f>'Plant Inputs'!H6</f>
        <v/>
      </c>
      <c r="H6">
        <f>'Plant Inputs'!I6</f>
        <v/>
      </c>
      <c r="I6">
        <f>'Plant Inputs'!J6</f>
        <v/>
      </c>
      <c r="J6">
        <f>'Plant Inputs'!K6</f>
        <v/>
      </c>
      <c r="K6">
        <f>'Plant Inputs'!L6</f>
        <v/>
      </c>
      <c r="L6">
        <f>'Plant Inputs'!M6</f>
        <v/>
      </c>
      <c r="M6">
        <f>'Plant Inputs'!N6</f>
        <v/>
      </c>
      <c r="N6">
        <f>'Plant Inputs'!O6</f>
        <v/>
      </c>
      <c r="O6">
        <f>'Plant Inputs'!P6</f>
        <v/>
      </c>
      <c r="P6">
        <f>'Plant Inputs'!Q6</f>
        <v/>
      </c>
      <c r="Q6">
        <f>'Plant Inputs'!R6</f>
        <v/>
      </c>
      <c r="R6">
        <f>'Plant Inputs'!S6</f>
        <v/>
      </c>
      <c r="S6">
        <f>'Plant Inputs'!T6</f>
        <v/>
      </c>
      <c r="T6">
        <f>'Plant Inputs'!U6</f>
        <v/>
      </c>
      <c r="U6">
        <f>'Plant Inputs'!V6</f>
        <v/>
      </c>
      <c r="V6">
        <f>'Plant Inputs'!W6</f>
        <v/>
      </c>
      <c r="W6">
        <f>'Plant Inputs'!X6</f>
        <v/>
      </c>
      <c r="X6">
        <f>'Plant Inputs'!Y6</f>
        <v/>
      </c>
      <c r="Y6">
        <f>'Plant Inputs'!Z6</f>
        <v/>
      </c>
      <c r="Z6">
        <f>'Plant Inputs'!AA6</f>
        <v/>
      </c>
      <c r="AA6">
        <f>'Plant Inputs'!AB6</f>
        <v/>
      </c>
      <c r="AB6">
        <f>'Plant Inputs'!AC6</f>
        <v/>
      </c>
      <c r="AC6">
        <f>'Plant Inputs'!AD6</f>
        <v/>
      </c>
      <c r="AD6">
        <f>'Plant Inputs'!AE6</f>
        <v/>
      </c>
      <c r="AE6">
        <f>'Plant Inputs'!AF6</f>
        <v/>
      </c>
      <c r="AF6">
        <f>'Plant Inputs'!AG6</f>
        <v/>
      </c>
      <c r="AG6">
        <f>'Plant Inputs'!AH6</f>
        <v/>
      </c>
      <c r="AH6">
        <f>'Plant Inputs'!AI6</f>
        <v/>
      </c>
      <c r="AI6">
        <f>'Plant Inputs'!AJ6</f>
        <v/>
      </c>
      <c r="AJ6">
        <f>'Plant Inputs'!AK6</f>
        <v/>
      </c>
      <c r="AK6">
        <f>'Plant Inputs'!AL6</f>
        <v/>
      </c>
      <c r="AL6">
        <f>'Plant Inputs'!AM6</f>
        <v/>
      </c>
      <c r="AM6">
        <f>'Plant Inputs'!AN6</f>
        <v/>
      </c>
      <c r="AN6">
        <f>'Plant Inputs'!AO6</f>
        <v/>
      </c>
      <c r="AO6">
        <f>'Plant Inputs'!AP6</f>
        <v/>
      </c>
      <c r="AP6">
        <f>'Plant Inputs'!AQ6</f>
        <v/>
      </c>
      <c r="AQ6">
        <f>'Plant Inputs'!AR6</f>
        <v/>
      </c>
      <c r="AR6">
        <f>'Plant Inputs'!AS6</f>
        <v/>
      </c>
      <c r="AS6">
        <f>'Plant Inputs'!AT6</f>
        <v/>
      </c>
      <c r="AT6">
        <f>'Plant Inputs'!AU6</f>
        <v/>
      </c>
      <c r="AU6">
        <f>'Plant Inputs'!AV6</f>
        <v/>
      </c>
      <c r="AV6">
        <f>'Plant Inputs'!AW6</f>
        <v/>
      </c>
      <c r="AW6">
        <f>'Plant Inputs'!AX6</f>
        <v/>
      </c>
      <c r="AX6">
        <f>'Plant Inputs'!AY6</f>
        <v/>
      </c>
      <c r="AY6">
        <f>'Plant Inputs'!AZ6</f>
        <v/>
      </c>
      <c r="AZ6">
        <f>'Plant Inputs'!BA6</f>
        <v/>
      </c>
      <c r="BA6">
        <f>'Plant Inputs'!BB6</f>
        <v/>
      </c>
      <c r="BB6">
        <f>'Plant Inputs'!BC6</f>
        <v/>
      </c>
      <c r="BC6">
        <f>'Plant Inputs'!BD6</f>
        <v/>
      </c>
      <c r="BD6">
        <f>'Plant Inputs'!BE6</f>
        <v/>
      </c>
      <c r="BE6">
        <f>'Plant Inputs'!BF6</f>
        <v/>
      </c>
      <c r="BF6">
        <f>'Plant Inputs'!BG6</f>
        <v/>
      </c>
      <c r="BG6">
        <f>'Plant Inputs'!BH6</f>
        <v/>
      </c>
      <c r="BH6">
        <f>'Plant Inputs'!BI6</f>
        <v/>
      </c>
      <c r="BI6">
        <f>'Plant Inputs'!BJ6</f>
        <v/>
      </c>
      <c r="BJ6">
        <f>'Plant Inputs'!BK6</f>
        <v/>
      </c>
      <c r="BK6">
        <f>'Plant Inputs'!BL6</f>
        <v/>
      </c>
      <c r="BL6">
        <f>'Plant Inputs'!BM6</f>
        <v/>
      </c>
      <c r="BM6">
        <f>'Plant Inputs'!BN6</f>
        <v/>
      </c>
      <c r="BN6">
        <f>'Plant Inputs'!BO6</f>
        <v/>
      </c>
      <c r="BO6">
        <f>'Plant Inputs'!BP6</f>
        <v/>
      </c>
      <c r="BP6">
        <f>'Plant Inputs'!BQ6</f>
        <v/>
      </c>
      <c r="BQ6">
        <f>'Plant Inputs'!BR6</f>
        <v/>
      </c>
      <c r="BR6">
        <f>'Plant Inputs'!BS6</f>
        <v/>
      </c>
      <c r="BS6">
        <f>'Plant Inputs'!BT6</f>
        <v/>
      </c>
      <c r="BT6">
        <f>'Plant Inputs'!BU6</f>
        <v/>
      </c>
      <c r="BU6">
        <f>'Plant Inputs'!BV6</f>
        <v/>
      </c>
      <c r="BV6">
        <f>'Plant Inputs'!BW6</f>
        <v/>
      </c>
      <c r="BW6">
        <f>'Plant Inputs'!BX6</f>
        <v/>
      </c>
      <c r="BX6">
        <f>'Plant Inputs'!BY6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01</t>
        </is>
      </c>
      <c r="B7" t="inlineStr">
        <is>
          <t>2026-07</t>
        </is>
      </c>
      <c r="C7" t="n">
        <v>31</v>
      </c>
      <c r="D7" t="n">
        <v>4</v>
      </c>
      <c r="E7">
        <f>'Plant Inputs'!F7</f>
        <v/>
      </c>
      <c r="F7">
        <f>'Plant Inputs'!G7</f>
        <v/>
      </c>
      <c r="G7">
        <f>'Plant Inputs'!H7</f>
        <v/>
      </c>
      <c r="H7">
        <f>'Plant Inputs'!I7</f>
        <v/>
      </c>
      <c r="I7">
        <f>'Plant Inputs'!J7</f>
        <v/>
      </c>
      <c r="J7">
        <f>'Plant Inputs'!K7</f>
        <v/>
      </c>
      <c r="K7">
        <f>'Plant Inputs'!L7</f>
        <v/>
      </c>
      <c r="L7">
        <f>'Plant Inputs'!M7</f>
        <v/>
      </c>
      <c r="M7">
        <f>'Plant Inputs'!N7</f>
        <v/>
      </c>
      <c r="N7">
        <f>'Plant Inputs'!O7</f>
        <v/>
      </c>
      <c r="O7">
        <f>'Plant Inputs'!P7</f>
        <v/>
      </c>
      <c r="P7">
        <f>'Plant Inputs'!Q7</f>
        <v/>
      </c>
      <c r="Q7">
        <f>'Plant Inputs'!R7</f>
        <v/>
      </c>
      <c r="R7">
        <f>'Plant Inputs'!S7</f>
        <v/>
      </c>
      <c r="S7">
        <f>'Plant Inputs'!T7</f>
        <v/>
      </c>
      <c r="T7">
        <f>'Plant Inputs'!U7</f>
        <v/>
      </c>
      <c r="U7">
        <f>'Plant Inputs'!V7</f>
        <v/>
      </c>
      <c r="V7">
        <f>'Plant Inputs'!W7</f>
        <v/>
      </c>
      <c r="W7">
        <f>'Plant Inputs'!X7</f>
        <v/>
      </c>
      <c r="X7">
        <f>'Plant Inputs'!Y7</f>
        <v/>
      </c>
      <c r="Y7">
        <f>'Plant Inputs'!Z7</f>
        <v/>
      </c>
      <c r="Z7">
        <f>'Plant Inputs'!AA7</f>
        <v/>
      </c>
      <c r="AA7">
        <f>'Plant Inputs'!AB7</f>
        <v/>
      </c>
      <c r="AB7">
        <f>'Plant Inputs'!AC7</f>
        <v/>
      </c>
      <c r="AC7">
        <f>'Plant Inputs'!AD7</f>
        <v/>
      </c>
      <c r="AD7">
        <f>'Plant Inputs'!AE7</f>
        <v/>
      </c>
      <c r="AE7">
        <f>'Plant Inputs'!AF7</f>
        <v/>
      </c>
      <c r="AF7">
        <f>'Plant Inputs'!AG7</f>
        <v/>
      </c>
      <c r="AG7">
        <f>'Plant Inputs'!AH7</f>
        <v/>
      </c>
      <c r="AH7">
        <f>'Plant Inputs'!AI7</f>
        <v/>
      </c>
      <c r="AI7">
        <f>'Plant Inputs'!AJ7</f>
        <v/>
      </c>
      <c r="AJ7">
        <f>'Plant Inputs'!AK7</f>
        <v/>
      </c>
      <c r="AK7">
        <f>'Plant Inputs'!AL7</f>
        <v/>
      </c>
      <c r="AL7">
        <f>'Plant Inputs'!AM7</f>
        <v/>
      </c>
      <c r="AM7">
        <f>'Plant Inputs'!AN7</f>
        <v/>
      </c>
      <c r="AN7">
        <f>'Plant Inputs'!AO7</f>
        <v/>
      </c>
      <c r="AO7">
        <f>'Plant Inputs'!AP7</f>
        <v/>
      </c>
      <c r="AP7">
        <f>'Plant Inputs'!AQ7</f>
        <v/>
      </c>
      <c r="AQ7">
        <f>'Plant Inputs'!AR7</f>
        <v/>
      </c>
      <c r="AR7">
        <f>'Plant Inputs'!AS7</f>
        <v/>
      </c>
      <c r="AS7">
        <f>'Plant Inputs'!AT7</f>
        <v/>
      </c>
      <c r="AT7">
        <f>'Plant Inputs'!AU7</f>
        <v/>
      </c>
      <c r="AU7">
        <f>'Plant Inputs'!AV7</f>
        <v/>
      </c>
      <c r="AV7">
        <f>'Plant Inputs'!AW7</f>
        <v/>
      </c>
      <c r="AW7">
        <f>'Plant Inputs'!AX7</f>
        <v/>
      </c>
      <c r="AX7">
        <f>'Plant Inputs'!AY7</f>
        <v/>
      </c>
      <c r="AY7">
        <f>'Plant Inputs'!AZ7</f>
        <v/>
      </c>
      <c r="AZ7">
        <f>'Plant Inputs'!BA7</f>
        <v/>
      </c>
      <c r="BA7">
        <f>'Plant Inputs'!BB7</f>
        <v/>
      </c>
      <c r="BB7">
        <f>'Plant Inputs'!BC7</f>
        <v/>
      </c>
      <c r="BC7">
        <f>'Plant Inputs'!BD7</f>
        <v/>
      </c>
      <c r="BD7">
        <f>'Plant Inputs'!BE7</f>
        <v/>
      </c>
      <c r="BE7">
        <f>'Plant Inputs'!BF7</f>
        <v/>
      </c>
      <c r="BF7">
        <f>'Plant Inputs'!BG7</f>
        <v/>
      </c>
      <c r="BG7">
        <f>'Plant Inputs'!BH7</f>
        <v/>
      </c>
      <c r="BH7">
        <f>'Plant Inputs'!BI7</f>
        <v/>
      </c>
      <c r="BI7">
        <f>'Plant Inputs'!BJ7</f>
        <v/>
      </c>
      <c r="BJ7">
        <f>'Plant Inputs'!BK7</f>
        <v/>
      </c>
      <c r="BK7">
        <f>'Plant Inputs'!BL7</f>
        <v/>
      </c>
      <c r="BL7">
        <f>'Plant Inputs'!BM7</f>
        <v/>
      </c>
      <c r="BM7">
        <f>'Plant Inputs'!BN7</f>
        <v/>
      </c>
      <c r="BN7">
        <f>'Plant Inputs'!BO7</f>
        <v/>
      </c>
      <c r="BO7">
        <f>'Plant Inputs'!BP7</f>
        <v/>
      </c>
      <c r="BP7">
        <f>'Plant Inputs'!BQ7</f>
        <v/>
      </c>
      <c r="BQ7">
        <f>'Plant Inputs'!BR7</f>
        <v/>
      </c>
      <c r="BR7">
        <f>'Plant Inputs'!BS7</f>
        <v/>
      </c>
      <c r="BS7">
        <f>'Plant Inputs'!BT7</f>
        <v/>
      </c>
      <c r="BT7">
        <f>'Plant Inputs'!BU7</f>
        <v/>
      </c>
      <c r="BU7">
        <f>'Plant Inputs'!BV7</f>
        <v/>
      </c>
      <c r="BV7">
        <f>'Plant Inputs'!BW7</f>
        <v/>
      </c>
      <c r="BW7">
        <f>'Plant Inputs'!BX7</f>
        <v/>
      </c>
      <c r="BX7">
        <f>'Plant Inputs'!BY7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01</t>
        </is>
      </c>
      <c r="B8" t="inlineStr">
        <is>
          <t>2026-08</t>
        </is>
      </c>
      <c r="C8" t="n">
        <v>31</v>
      </c>
      <c r="D8" t="n">
        <v>5</v>
      </c>
      <c r="E8">
        <f>'Plant Inputs'!F8</f>
        <v/>
      </c>
      <c r="F8">
        <f>'Plant Inputs'!G8</f>
        <v/>
      </c>
      <c r="G8">
        <f>'Plant Inputs'!H8</f>
        <v/>
      </c>
      <c r="H8">
        <f>'Plant Inputs'!I8</f>
        <v/>
      </c>
      <c r="I8">
        <f>'Plant Inputs'!J8</f>
        <v/>
      </c>
      <c r="J8">
        <f>'Plant Inputs'!K8</f>
        <v/>
      </c>
      <c r="K8">
        <f>'Plant Inputs'!L8</f>
        <v/>
      </c>
      <c r="L8">
        <f>'Plant Inputs'!M8</f>
        <v/>
      </c>
      <c r="M8">
        <f>'Plant Inputs'!N8</f>
        <v/>
      </c>
      <c r="N8">
        <f>'Plant Inputs'!O8</f>
        <v/>
      </c>
      <c r="O8">
        <f>'Plant Inputs'!P8</f>
        <v/>
      </c>
      <c r="P8">
        <f>'Plant Inputs'!Q8</f>
        <v/>
      </c>
      <c r="Q8">
        <f>'Plant Inputs'!R8</f>
        <v/>
      </c>
      <c r="R8">
        <f>'Plant Inputs'!S8</f>
        <v/>
      </c>
      <c r="S8">
        <f>'Plant Inputs'!T8</f>
        <v/>
      </c>
      <c r="T8">
        <f>'Plant Inputs'!U8</f>
        <v/>
      </c>
      <c r="U8">
        <f>'Plant Inputs'!V8</f>
        <v/>
      </c>
      <c r="V8">
        <f>'Plant Inputs'!W8</f>
        <v/>
      </c>
      <c r="W8">
        <f>'Plant Inputs'!X8</f>
        <v/>
      </c>
      <c r="X8">
        <f>'Plant Inputs'!Y8</f>
        <v/>
      </c>
      <c r="Y8">
        <f>'Plant Inputs'!Z8</f>
        <v/>
      </c>
      <c r="Z8">
        <f>'Plant Inputs'!AA8</f>
        <v/>
      </c>
      <c r="AA8">
        <f>'Plant Inputs'!AB8</f>
        <v/>
      </c>
      <c r="AB8">
        <f>'Plant Inputs'!AC8</f>
        <v/>
      </c>
      <c r="AC8">
        <f>'Plant Inputs'!AD8</f>
        <v/>
      </c>
      <c r="AD8">
        <f>'Plant Inputs'!AE8</f>
        <v/>
      </c>
      <c r="AE8">
        <f>'Plant Inputs'!AF8</f>
        <v/>
      </c>
      <c r="AF8">
        <f>'Plant Inputs'!AG8</f>
        <v/>
      </c>
      <c r="AG8">
        <f>'Plant Inputs'!AH8</f>
        <v/>
      </c>
      <c r="AH8">
        <f>'Plant Inputs'!AI8</f>
        <v/>
      </c>
      <c r="AI8">
        <f>'Plant Inputs'!AJ8</f>
        <v/>
      </c>
      <c r="AJ8">
        <f>'Plant Inputs'!AK8</f>
        <v/>
      </c>
      <c r="AK8">
        <f>'Plant Inputs'!AL8</f>
        <v/>
      </c>
      <c r="AL8">
        <f>'Plant Inputs'!AM8</f>
        <v/>
      </c>
      <c r="AM8">
        <f>'Plant Inputs'!AN8</f>
        <v/>
      </c>
      <c r="AN8">
        <f>'Plant Inputs'!AO8</f>
        <v/>
      </c>
      <c r="AO8">
        <f>'Plant Inputs'!AP8</f>
        <v/>
      </c>
      <c r="AP8">
        <f>'Plant Inputs'!AQ8</f>
        <v/>
      </c>
      <c r="AQ8">
        <f>'Plant Inputs'!AR8</f>
        <v/>
      </c>
      <c r="AR8">
        <f>'Plant Inputs'!AS8</f>
        <v/>
      </c>
      <c r="AS8">
        <f>'Plant Inputs'!AT8</f>
        <v/>
      </c>
      <c r="AT8">
        <f>'Plant Inputs'!AU8</f>
        <v/>
      </c>
      <c r="AU8">
        <f>'Plant Inputs'!AV8</f>
        <v/>
      </c>
      <c r="AV8">
        <f>'Plant Inputs'!AW8</f>
        <v/>
      </c>
      <c r="AW8">
        <f>'Plant Inputs'!AX8</f>
        <v/>
      </c>
      <c r="AX8">
        <f>'Plant Inputs'!AY8</f>
        <v/>
      </c>
      <c r="AY8">
        <f>'Plant Inputs'!AZ8</f>
        <v/>
      </c>
      <c r="AZ8">
        <f>'Plant Inputs'!BA8</f>
        <v/>
      </c>
      <c r="BA8">
        <f>'Plant Inputs'!BB8</f>
        <v/>
      </c>
      <c r="BB8">
        <f>'Plant Inputs'!BC8</f>
        <v/>
      </c>
      <c r="BC8">
        <f>'Plant Inputs'!BD8</f>
        <v/>
      </c>
      <c r="BD8">
        <f>'Plant Inputs'!BE8</f>
        <v/>
      </c>
      <c r="BE8">
        <f>'Plant Inputs'!BF8</f>
        <v/>
      </c>
      <c r="BF8">
        <f>'Plant Inputs'!BG8</f>
        <v/>
      </c>
      <c r="BG8">
        <f>'Plant Inputs'!BH8</f>
        <v/>
      </c>
      <c r="BH8">
        <f>'Plant Inputs'!BI8</f>
        <v/>
      </c>
      <c r="BI8">
        <f>'Plant Inputs'!BJ8</f>
        <v/>
      </c>
      <c r="BJ8">
        <f>'Plant Inputs'!BK8</f>
        <v/>
      </c>
      <c r="BK8">
        <f>'Plant Inputs'!BL8</f>
        <v/>
      </c>
      <c r="BL8">
        <f>'Plant Inputs'!BM8</f>
        <v/>
      </c>
      <c r="BM8">
        <f>'Plant Inputs'!BN8</f>
        <v/>
      </c>
      <c r="BN8">
        <f>'Plant Inputs'!BO8</f>
        <v/>
      </c>
      <c r="BO8">
        <f>'Plant Inputs'!BP8</f>
        <v/>
      </c>
      <c r="BP8">
        <f>'Plant Inputs'!BQ8</f>
        <v/>
      </c>
      <c r="BQ8">
        <f>'Plant Inputs'!BR8</f>
        <v/>
      </c>
      <c r="BR8">
        <f>'Plant Inputs'!BS8</f>
        <v/>
      </c>
      <c r="BS8">
        <f>'Plant Inputs'!BT8</f>
        <v/>
      </c>
      <c r="BT8">
        <f>'Plant Inputs'!BU8</f>
        <v/>
      </c>
      <c r="BU8">
        <f>'Plant Inputs'!BV8</f>
        <v/>
      </c>
      <c r="BV8">
        <f>'Plant Inputs'!BW8</f>
        <v/>
      </c>
      <c r="BW8">
        <f>'Plant Inputs'!BX8</f>
        <v/>
      </c>
      <c r="BX8">
        <f>'Plant Inputs'!BY8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01</t>
        </is>
      </c>
      <c r="B9" t="inlineStr">
        <is>
          <t>2026-09</t>
        </is>
      </c>
      <c r="C9" t="n">
        <v>30</v>
      </c>
      <c r="D9" t="n">
        <v>6</v>
      </c>
      <c r="E9">
        <f>'Plant Inputs'!F9</f>
        <v/>
      </c>
      <c r="F9">
        <f>'Plant Inputs'!G9</f>
        <v/>
      </c>
      <c r="G9">
        <f>'Plant Inputs'!H9</f>
        <v/>
      </c>
      <c r="H9">
        <f>'Plant Inputs'!I9</f>
        <v/>
      </c>
      <c r="I9">
        <f>'Plant Inputs'!J9</f>
        <v/>
      </c>
      <c r="J9">
        <f>'Plant Inputs'!K9</f>
        <v/>
      </c>
      <c r="K9">
        <f>'Plant Inputs'!L9</f>
        <v/>
      </c>
      <c r="L9">
        <f>'Plant Inputs'!M9</f>
        <v/>
      </c>
      <c r="M9">
        <f>'Plant Inputs'!N9</f>
        <v/>
      </c>
      <c r="N9">
        <f>'Plant Inputs'!O9</f>
        <v/>
      </c>
      <c r="O9">
        <f>'Plant Inputs'!P9</f>
        <v/>
      </c>
      <c r="P9">
        <f>'Plant Inputs'!Q9</f>
        <v/>
      </c>
      <c r="Q9">
        <f>'Plant Inputs'!R9</f>
        <v/>
      </c>
      <c r="R9">
        <f>'Plant Inputs'!S9</f>
        <v/>
      </c>
      <c r="S9">
        <f>'Plant Inputs'!T9</f>
        <v/>
      </c>
      <c r="T9">
        <f>'Plant Inputs'!U9</f>
        <v/>
      </c>
      <c r="U9">
        <f>'Plant Inputs'!V9</f>
        <v/>
      </c>
      <c r="V9">
        <f>'Plant Inputs'!W9</f>
        <v/>
      </c>
      <c r="W9">
        <f>'Plant Inputs'!X9</f>
        <v/>
      </c>
      <c r="X9">
        <f>'Plant Inputs'!Y9</f>
        <v/>
      </c>
      <c r="Y9">
        <f>'Plant Inputs'!Z9</f>
        <v/>
      </c>
      <c r="Z9">
        <f>'Plant Inputs'!AA9</f>
        <v/>
      </c>
      <c r="AA9">
        <f>'Plant Inputs'!AB9</f>
        <v/>
      </c>
      <c r="AB9">
        <f>'Plant Inputs'!AC9</f>
        <v/>
      </c>
      <c r="AC9">
        <f>'Plant Inputs'!AD9</f>
        <v/>
      </c>
      <c r="AD9">
        <f>'Plant Inputs'!AE9</f>
        <v/>
      </c>
      <c r="AE9">
        <f>'Plant Inputs'!AF9</f>
        <v/>
      </c>
      <c r="AF9">
        <f>'Plant Inputs'!AG9</f>
        <v/>
      </c>
      <c r="AG9">
        <f>'Plant Inputs'!AH9</f>
        <v/>
      </c>
      <c r="AH9">
        <f>'Plant Inputs'!AI9</f>
        <v/>
      </c>
      <c r="AI9">
        <f>'Plant Inputs'!AJ9</f>
        <v/>
      </c>
      <c r="AJ9">
        <f>'Plant Inputs'!AK9</f>
        <v/>
      </c>
      <c r="AK9">
        <f>'Plant Inputs'!AL9</f>
        <v/>
      </c>
      <c r="AL9">
        <f>'Plant Inputs'!AM9</f>
        <v/>
      </c>
      <c r="AM9">
        <f>'Plant Inputs'!AN9</f>
        <v/>
      </c>
      <c r="AN9">
        <f>'Plant Inputs'!AO9</f>
        <v/>
      </c>
      <c r="AO9">
        <f>'Plant Inputs'!AP9</f>
        <v/>
      </c>
      <c r="AP9">
        <f>'Plant Inputs'!AQ9</f>
        <v/>
      </c>
      <c r="AQ9">
        <f>'Plant Inputs'!AR9</f>
        <v/>
      </c>
      <c r="AR9">
        <f>'Plant Inputs'!AS9</f>
        <v/>
      </c>
      <c r="AS9">
        <f>'Plant Inputs'!AT9</f>
        <v/>
      </c>
      <c r="AT9">
        <f>'Plant Inputs'!AU9</f>
        <v/>
      </c>
      <c r="AU9">
        <f>'Plant Inputs'!AV9</f>
        <v/>
      </c>
      <c r="AV9">
        <f>'Plant Inputs'!AW9</f>
        <v/>
      </c>
      <c r="AW9">
        <f>'Plant Inputs'!AX9</f>
        <v/>
      </c>
      <c r="AX9">
        <f>'Plant Inputs'!AY9</f>
        <v/>
      </c>
      <c r="AY9">
        <f>'Plant Inputs'!AZ9</f>
        <v/>
      </c>
      <c r="AZ9">
        <f>'Plant Inputs'!BA9</f>
        <v/>
      </c>
      <c r="BA9">
        <f>'Plant Inputs'!BB9</f>
        <v/>
      </c>
      <c r="BB9">
        <f>'Plant Inputs'!BC9</f>
        <v/>
      </c>
      <c r="BC9">
        <f>'Plant Inputs'!BD9</f>
        <v/>
      </c>
      <c r="BD9">
        <f>'Plant Inputs'!BE9</f>
        <v/>
      </c>
      <c r="BE9">
        <f>'Plant Inputs'!BF9</f>
        <v/>
      </c>
      <c r="BF9">
        <f>'Plant Inputs'!BG9</f>
        <v/>
      </c>
      <c r="BG9">
        <f>'Plant Inputs'!BH9</f>
        <v/>
      </c>
      <c r="BH9">
        <f>'Plant Inputs'!BI9</f>
        <v/>
      </c>
      <c r="BI9">
        <f>'Plant Inputs'!BJ9</f>
        <v/>
      </c>
      <c r="BJ9">
        <f>'Plant Inputs'!BK9</f>
        <v/>
      </c>
      <c r="BK9">
        <f>'Plant Inputs'!BL9</f>
        <v/>
      </c>
      <c r="BL9">
        <f>'Plant Inputs'!BM9</f>
        <v/>
      </c>
      <c r="BM9">
        <f>'Plant Inputs'!BN9</f>
        <v/>
      </c>
      <c r="BN9">
        <f>'Plant Inputs'!BO9</f>
        <v/>
      </c>
      <c r="BO9">
        <f>'Plant Inputs'!BP9</f>
        <v/>
      </c>
      <c r="BP9">
        <f>'Plant Inputs'!BQ9</f>
        <v/>
      </c>
      <c r="BQ9">
        <f>'Plant Inputs'!BR9</f>
        <v/>
      </c>
      <c r="BR9">
        <f>'Plant Inputs'!BS9</f>
        <v/>
      </c>
      <c r="BS9">
        <f>'Plant Inputs'!BT9</f>
        <v/>
      </c>
      <c r="BT9">
        <f>'Plant Inputs'!BU9</f>
        <v/>
      </c>
      <c r="BU9">
        <f>'Plant Inputs'!BV9</f>
        <v/>
      </c>
      <c r="BV9">
        <f>'Plant Inputs'!BW9</f>
        <v/>
      </c>
      <c r="BW9">
        <f>'Plant Inputs'!BX9</f>
        <v/>
      </c>
      <c r="BX9">
        <f>'Plant Inputs'!BY9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02).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02</t>
        </is>
      </c>
      <c r="B4" t="inlineStr">
        <is>
          <t>2026-04</t>
        </is>
      </c>
      <c r="C4" t="n">
        <v>30</v>
      </c>
      <c r="D4" t="n">
        <v>1</v>
      </c>
      <c r="E4">
        <f>'Plant Inputs'!F10</f>
        <v/>
      </c>
      <c r="F4">
        <f>'Plant Inputs'!G10</f>
        <v/>
      </c>
      <c r="G4">
        <f>'Plant Inputs'!H10</f>
        <v/>
      </c>
      <c r="H4">
        <f>'Plant Inputs'!I10</f>
        <v/>
      </c>
      <c r="I4">
        <f>'Plant Inputs'!J10</f>
        <v/>
      </c>
      <c r="J4">
        <f>'Plant Inputs'!K10</f>
        <v/>
      </c>
      <c r="K4">
        <f>'Plant Inputs'!L10</f>
        <v/>
      </c>
      <c r="L4">
        <f>'Plant Inputs'!M10</f>
        <v/>
      </c>
      <c r="M4">
        <f>'Plant Inputs'!N10</f>
        <v/>
      </c>
      <c r="N4">
        <f>'Plant Inputs'!O10</f>
        <v/>
      </c>
      <c r="O4">
        <f>'Plant Inputs'!P10</f>
        <v/>
      </c>
      <c r="P4">
        <f>'Plant Inputs'!Q10</f>
        <v/>
      </c>
      <c r="Q4">
        <f>'Plant Inputs'!R10</f>
        <v/>
      </c>
      <c r="R4">
        <f>'Plant Inputs'!S10</f>
        <v/>
      </c>
      <c r="S4">
        <f>'Plant Inputs'!T10</f>
        <v/>
      </c>
      <c r="T4">
        <f>'Plant Inputs'!U10</f>
        <v/>
      </c>
      <c r="U4">
        <f>'Plant Inputs'!V10</f>
        <v/>
      </c>
      <c r="V4">
        <f>'Plant Inputs'!W10</f>
        <v/>
      </c>
      <c r="W4">
        <f>'Plant Inputs'!X10</f>
        <v/>
      </c>
      <c r="X4">
        <f>'Plant Inputs'!Y10</f>
        <v/>
      </c>
      <c r="Y4">
        <f>'Plant Inputs'!Z10</f>
        <v/>
      </c>
      <c r="Z4">
        <f>'Plant Inputs'!AA10</f>
        <v/>
      </c>
      <c r="AA4">
        <f>'Plant Inputs'!AB10</f>
        <v/>
      </c>
      <c r="AB4">
        <f>'Plant Inputs'!AC10</f>
        <v/>
      </c>
      <c r="AC4">
        <f>'Plant Inputs'!AD10</f>
        <v/>
      </c>
      <c r="AD4">
        <f>'Plant Inputs'!AE10</f>
        <v/>
      </c>
      <c r="AE4">
        <f>'Plant Inputs'!AF10</f>
        <v/>
      </c>
      <c r="AF4">
        <f>'Plant Inputs'!AG10</f>
        <v/>
      </c>
      <c r="AG4">
        <f>'Plant Inputs'!AH10</f>
        <v/>
      </c>
      <c r="AH4">
        <f>'Plant Inputs'!AI10</f>
        <v/>
      </c>
      <c r="AI4">
        <f>'Plant Inputs'!AJ10</f>
        <v/>
      </c>
      <c r="AJ4">
        <f>'Plant Inputs'!AK10</f>
        <v/>
      </c>
      <c r="AK4">
        <f>'Plant Inputs'!AL10</f>
        <v/>
      </c>
      <c r="AL4">
        <f>'Plant Inputs'!AM10</f>
        <v/>
      </c>
      <c r="AM4">
        <f>'Plant Inputs'!AN10</f>
        <v/>
      </c>
      <c r="AN4">
        <f>'Plant Inputs'!AO10</f>
        <v/>
      </c>
      <c r="AO4">
        <f>'Plant Inputs'!AP10</f>
        <v/>
      </c>
      <c r="AP4">
        <f>'Plant Inputs'!AQ10</f>
        <v/>
      </c>
      <c r="AQ4">
        <f>'Plant Inputs'!AR10</f>
        <v/>
      </c>
      <c r="AR4">
        <f>'Plant Inputs'!AS10</f>
        <v/>
      </c>
      <c r="AS4">
        <f>'Plant Inputs'!AT10</f>
        <v/>
      </c>
      <c r="AT4">
        <f>'Plant Inputs'!AU10</f>
        <v/>
      </c>
      <c r="AU4">
        <f>'Plant Inputs'!AV10</f>
        <v/>
      </c>
      <c r="AV4">
        <f>'Plant Inputs'!AW10</f>
        <v/>
      </c>
      <c r="AW4">
        <f>'Plant Inputs'!AX10</f>
        <v/>
      </c>
      <c r="AX4">
        <f>'Plant Inputs'!AY10</f>
        <v/>
      </c>
      <c r="AY4">
        <f>'Plant Inputs'!AZ10</f>
        <v/>
      </c>
      <c r="AZ4">
        <f>'Plant Inputs'!BA10</f>
        <v/>
      </c>
      <c r="BA4">
        <f>'Plant Inputs'!BB10</f>
        <v/>
      </c>
      <c r="BB4">
        <f>'Plant Inputs'!BC10</f>
        <v/>
      </c>
      <c r="BC4">
        <f>'Plant Inputs'!BD10</f>
        <v/>
      </c>
      <c r="BD4">
        <f>'Plant Inputs'!BE10</f>
        <v/>
      </c>
      <c r="BE4">
        <f>'Plant Inputs'!BF10</f>
        <v/>
      </c>
      <c r="BF4">
        <f>'Plant Inputs'!BG10</f>
        <v/>
      </c>
      <c r="BG4">
        <f>'Plant Inputs'!BH10</f>
        <v/>
      </c>
      <c r="BH4">
        <f>'Plant Inputs'!BI10</f>
        <v/>
      </c>
      <c r="BI4">
        <f>'Plant Inputs'!BJ10</f>
        <v/>
      </c>
      <c r="BJ4">
        <f>'Plant Inputs'!BK10</f>
        <v/>
      </c>
      <c r="BK4">
        <f>'Plant Inputs'!BL10</f>
        <v/>
      </c>
      <c r="BL4">
        <f>'Plant Inputs'!BM10</f>
        <v/>
      </c>
      <c r="BM4">
        <f>'Plant Inputs'!BN10</f>
        <v/>
      </c>
      <c r="BN4">
        <f>'Plant Inputs'!BO10</f>
        <v/>
      </c>
      <c r="BO4">
        <f>'Plant Inputs'!BP10</f>
        <v/>
      </c>
      <c r="BP4">
        <f>'Plant Inputs'!BQ10</f>
        <v/>
      </c>
      <c r="BQ4">
        <f>'Plant Inputs'!BR10</f>
        <v/>
      </c>
      <c r="BR4">
        <f>'Plant Inputs'!BS10</f>
        <v/>
      </c>
      <c r="BS4">
        <f>'Plant Inputs'!BT10</f>
        <v/>
      </c>
      <c r="BT4">
        <f>'Plant Inputs'!BU10</f>
        <v/>
      </c>
      <c r="BU4">
        <f>'Plant Inputs'!BV10</f>
        <v/>
      </c>
      <c r="BV4">
        <f>'Plant Inputs'!BW10</f>
        <v/>
      </c>
      <c r="BW4">
        <f>'Plant Inputs'!BX10</f>
        <v/>
      </c>
      <c r="BX4">
        <f>'Plant Inputs'!BY10</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02</t>
        </is>
      </c>
      <c r="B5" t="inlineStr">
        <is>
          <t>2026-05</t>
        </is>
      </c>
      <c r="C5" t="n">
        <v>31</v>
      </c>
      <c r="D5" t="n">
        <v>2</v>
      </c>
      <c r="E5">
        <f>'Plant Inputs'!F11</f>
        <v/>
      </c>
      <c r="F5">
        <f>'Plant Inputs'!G11</f>
        <v/>
      </c>
      <c r="G5">
        <f>'Plant Inputs'!H11</f>
        <v/>
      </c>
      <c r="H5">
        <f>'Plant Inputs'!I11</f>
        <v/>
      </c>
      <c r="I5">
        <f>'Plant Inputs'!J11</f>
        <v/>
      </c>
      <c r="J5">
        <f>'Plant Inputs'!K11</f>
        <v/>
      </c>
      <c r="K5">
        <f>'Plant Inputs'!L11</f>
        <v/>
      </c>
      <c r="L5">
        <f>'Plant Inputs'!M11</f>
        <v/>
      </c>
      <c r="M5">
        <f>'Plant Inputs'!N11</f>
        <v/>
      </c>
      <c r="N5">
        <f>'Plant Inputs'!O11</f>
        <v/>
      </c>
      <c r="O5">
        <f>'Plant Inputs'!P11</f>
        <v/>
      </c>
      <c r="P5">
        <f>'Plant Inputs'!Q11</f>
        <v/>
      </c>
      <c r="Q5">
        <f>'Plant Inputs'!R11</f>
        <v/>
      </c>
      <c r="R5">
        <f>'Plant Inputs'!S11</f>
        <v/>
      </c>
      <c r="S5">
        <f>'Plant Inputs'!T11</f>
        <v/>
      </c>
      <c r="T5">
        <f>'Plant Inputs'!U11</f>
        <v/>
      </c>
      <c r="U5">
        <f>'Plant Inputs'!V11</f>
        <v/>
      </c>
      <c r="V5">
        <f>'Plant Inputs'!W11</f>
        <v/>
      </c>
      <c r="W5">
        <f>'Plant Inputs'!X11</f>
        <v/>
      </c>
      <c r="X5">
        <f>'Plant Inputs'!Y11</f>
        <v/>
      </c>
      <c r="Y5">
        <f>'Plant Inputs'!Z11</f>
        <v/>
      </c>
      <c r="Z5">
        <f>'Plant Inputs'!AA11</f>
        <v/>
      </c>
      <c r="AA5">
        <f>'Plant Inputs'!AB11</f>
        <v/>
      </c>
      <c r="AB5">
        <f>'Plant Inputs'!AC11</f>
        <v/>
      </c>
      <c r="AC5">
        <f>'Plant Inputs'!AD11</f>
        <v/>
      </c>
      <c r="AD5">
        <f>'Plant Inputs'!AE11</f>
        <v/>
      </c>
      <c r="AE5">
        <f>'Plant Inputs'!AF11</f>
        <v/>
      </c>
      <c r="AF5">
        <f>'Plant Inputs'!AG11</f>
        <v/>
      </c>
      <c r="AG5">
        <f>'Plant Inputs'!AH11</f>
        <v/>
      </c>
      <c r="AH5">
        <f>'Plant Inputs'!AI11</f>
        <v/>
      </c>
      <c r="AI5">
        <f>'Plant Inputs'!AJ11</f>
        <v/>
      </c>
      <c r="AJ5">
        <f>'Plant Inputs'!AK11</f>
        <v/>
      </c>
      <c r="AK5">
        <f>'Plant Inputs'!AL11</f>
        <v/>
      </c>
      <c r="AL5">
        <f>'Plant Inputs'!AM11</f>
        <v/>
      </c>
      <c r="AM5">
        <f>'Plant Inputs'!AN11</f>
        <v/>
      </c>
      <c r="AN5">
        <f>'Plant Inputs'!AO11</f>
        <v/>
      </c>
      <c r="AO5">
        <f>'Plant Inputs'!AP11</f>
        <v/>
      </c>
      <c r="AP5">
        <f>'Plant Inputs'!AQ11</f>
        <v/>
      </c>
      <c r="AQ5">
        <f>'Plant Inputs'!AR11</f>
        <v/>
      </c>
      <c r="AR5">
        <f>'Plant Inputs'!AS11</f>
        <v/>
      </c>
      <c r="AS5">
        <f>'Plant Inputs'!AT11</f>
        <v/>
      </c>
      <c r="AT5">
        <f>'Plant Inputs'!AU11</f>
        <v/>
      </c>
      <c r="AU5">
        <f>'Plant Inputs'!AV11</f>
        <v/>
      </c>
      <c r="AV5">
        <f>'Plant Inputs'!AW11</f>
        <v/>
      </c>
      <c r="AW5">
        <f>'Plant Inputs'!AX11</f>
        <v/>
      </c>
      <c r="AX5">
        <f>'Plant Inputs'!AY11</f>
        <v/>
      </c>
      <c r="AY5">
        <f>'Plant Inputs'!AZ11</f>
        <v/>
      </c>
      <c r="AZ5">
        <f>'Plant Inputs'!BA11</f>
        <v/>
      </c>
      <c r="BA5">
        <f>'Plant Inputs'!BB11</f>
        <v/>
      </c>
      <c r="BB5">
        <f>'Plant Inputs'!BC11</f>
        <v/>
      </c>
      <c r="BC5">
        <f>'Plant Inputs'!BD11</f>
        <v/>
      </c>
      <c r="BD5">
        <f>'Plant Inputs'!BE11</f>
        <v/>
      </c>
      <c r="BE5">
        <f>'Plant Inputs'!BF11</f>
        <v/>
      </c>
      <c r="BF5">
        <f>'Plant Inputs'!BG11</f>
        <v/>
      </c>
      <c r="BG5">
        <f>'Plant Inputs'!BH11</f>
        <v/>
      </c>
      <c r="BH5">
        <f>'Plant Inputs'!BI11</f>
        <v/>
      </c>
      <c r="BI5">
        <f>'Plant Inputs'!BJ11</f>
        <v/>
      </c>
      <c r="BJ5">
        <f>'Plant Inputs'!BK11</f>
        <v/>
      </c>
      <c r="BK5">
        <f>'Plant Inputs'!BL11</f>
        <v/>
      </c>
      <c r="BL5">
        <f>'Plant Inputs'!BM11</f>
        <v/>
      </c>
      <c r="BM5">
        <f>'Plant Inputs'!BN11</f>
        <v/>
      </c>
      <c r="BN5">
        <f>'Plant Inputs'!BO11</f>
        <v/>
      </c>
      <c r="BO5">
        <f>'Plant Inputs'!BP11</f>
        <v/>
      </c>
      <c r="BP5">
        <f>'Plant Inputs'!BQ11</f>
        <v/>
      </c>
      <c r="BQ5">
        <f>'Plant Inputs'!BR11</f>
        <v/>
      </c>
      <c r="BR5">
        <f>'Plant Inputs'!BS11</f>
        <v/>
      </c>
      <c r="BS5">
        <f>'Plant Inputs'!BT11</f>
        <v/>
      </c>
      <c r="BT5">
        <f>'Plant Inputs'!BU11</f>
        <v/>
      </c>
      <c r="BU5">
        <f>'Plant Inputs'!BV11</f>
        <v/>
      </c>
      <c r="BV5">
        <f>'Plant Inputs'!BW11</f>
        <v/>
      </c>
      <c r="BW5">
        <f>'Plant Inputs'!BX11</f>
        <v/>
      </c>
      <c r="BX5">
        <f>'Plant Inputs'!BY11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02</t>
        </is>
      </c>
      <c r="B6" t="inlineStr">
        <is>
          <t>2026-06</t>
        </is>
      </c>
      <c r="C6" t="n">
        <v>30</v>
      </c>
      <c r="D6" t="n">
        <v>3</v>
      </c>
      <c r="E6">
        <f>'Plant Inputs'!F12</f>
        <v/>
      </c>
      <c r="F6">
        <f>'Plant Inputs'!G12</f>
        <v/>
      </c>
      <c r="G6">
        <f>'Plant Inputs'!H12</f>
        <v/>
      </c>
      <c r="H6">
        <f>'Plant Inputs'!I12</f>
        <v/>
      </c>
      <c r="I6">
        <f>'Plant Inputs'!J12</f>
        <v/>
      </c>
      <c r="J6">
        <f>'Plant Inputs'!K12</f>
        <v/>
      </c>
      <c r="K6">
        <f>'Plant Inputs'!L12</f>
        <v/>
      </c>
      <c r="L6">
        <f>'Plant Inputs'!M12</f>
        <v/>
      </c>
      <c r="M6">
        <f>'Plant Inputs'!N12</f>
        <v/>
      </c>
      <c r="N6">
        <f>'Plant Inputs'!O12</f>
        <v/>
      </c>
      <c r="O6">
        <f>'Plant Inputs'!P12</f>
        <v/>
      </c>
      <c r="P6">
        <f>'Plant Inputs'!Q12</f>
        <v/>
      </c>
      <c r="Q6">
        <f>'Plant Inputs'!R12</f>
        <v/>
      </c>
      <c r="R6">
        <f>'Plant Inputs'!S12</f>
        <v/>
      </c>
      <c r="S6">
        <f>'Plant Inputs'!T12</f>
        <v/>
      </c>
      <c r="T6">
        <f>'Plant Inputs'!U12</f>
        <v/>
      </c>
      <c r="U6">
        <f>'Plant Inputs'!V12</f>
        <v/>
      </c>
      <c r="V6">
        <f>'Plant Inputs'!W12</f>
        <v/>
      </c>
      <c r="W6">
        <f>'Plant Inputs'!X12</f>
        <v/>
      </c>
      <c r="X6">
        <f>'Plant Inputs'!Y12</f>
        <v/>
      </c>
      <c r="Y6">
        <f>'Plant Inputs'!Z12</f>
        <v/>
      </c>
      <c r="Z6">
        <f>'Plant Inputs'!AA12</f>
        <v/>
      </c>
      <c r="AA6">
        <f>'Plant Inputs'!AB12</f>
        <v/>
      </c>
      <c r="AB6">
        <f>'Plant Inputs'!AC12</f>
        <v/>
      </c>
      <c r="AC6">
        <f>'Plant Inputs'!AD12</f>
        <v/>
      </c>
      <c r="AD6">
        <f>'Plant Inputs'!AE12</f>
        <v/>
      </c>
      <c r="AE6">
        <f>'Plant Inputs'!AF12</f>
        <v/>
      </c>
      <c r="AF6">
        <f>'Plant Inputs'!AG12</f>
        <v/>
      </c>
      <c r="AG6">
        <f>'Plant Inputs'!AH12</f>
        <v/>
      </c>
      <c r="AH6">
        <f>'Plant Inputs'!AI12</f>
        <v/>
      </c>
      <c r="AI6">
        <f>'Plant Inputs'!AJ12</f>
        <v/>
      </c>
      <c r="AJ6">
        <f>'Plant Inputs'!AK12</f>
        <v/>
      </c>
      <c r="AK6">
        <f>'Plant Inputs'!AL12</f>
        <v/>
      </c>
      <c r="AL6">
        <f>'Plant Inputs'!AM12</f>
        <v/>
      </c>
      <c r="AM6">
        <f>'Plant Inputs'!AN12</f>
        <v/>
      </c>
      <c r="AN6">
        <f>'Plant Inputs'!AO12</f>
        <v/>
      </c>
      <c r="AO6">
        <f>'Plant Inputs'!AP12</f>
        <v/>
      </c>
      <c r="AP6">
        <f>'Plant Inputs'!AQ12</f>
        <v/>
      </c>
      <c r="AQ6">
        <f>'Plant Inputs'!AR12</f>
        <v/>
      </c>
      <c r="AR6">
        <f>'Plant Inputs'!AS12</f>
        <v/>
      </c>
      <c r="AS6">
        <f>'Plant Inputs'!AT12</f>
        <v/>
      </c>
      <c r="AT6">
        <f>'Plant Inputs'!AU12</f>
        <v/>
      </c>
      <c r="AU6">
        <f>'Plant Inputs'!AV12</f>
        <v/>
      </c>
      <c r="AV6">
        <f>'Plant Inputs'!AW12</f>
        <v/>
      </c>
      <c r="AW6">
        <f>'Plant Inputs'!AX12</f>
        <v/>
      </c>
      <c r="AX6">
        <f>'Plant Inputs'!AY12</f>
        <v/>
      </c>
      <c r="AY6">
        <f>'Plant Inputs'!AZ12</f>
        <v/>
      </c>
      <c r="AZ6">
        <f>'Plant Inputs'!BA12</f>
        <v/>
      </c>
      <c r="BA6">
        <f>'Plant Inputs'!BB12</f>
        <v/>
      </c>
      <c r="BB6">
        <f>'Plant Inputs'!BC12</f>
        <v/>
      </c>
      <c r="BC6">
        <f>'Plant Inputs'!BD12</f>
        <v/>
      </c>
      <c r="BD6">
        <f>'Plant Inputs'!BE12</f>
        <v/>
      </c>
      <c r="BE6">
        <f>'Plant Inputs'!BF12</f>
        <v/>
      </c>
      <c r="BF6">
        <f>'Plant Inputs'!BG12</f>
        <v/>
      </c>
      <c r="BG6">
        <f>'Plant Inputs'!BH12</f>
        <v/>
      </c>
      <c r="BH6">
        <f>'Plant Inputs'!BI12</f>
        <v/>
      </c>
      <c r="BI6">
        <f>'Plant Inputs'!BJ12</f>
        <v/>
      </c>
      <c r="BJ6">
        <f>'Plant Inputs'!BK12</f>
        <v/>
      </c>
      <c r="BK6">
        <f>'Plant Inputs'!BL12</f>
        <v/>
      </c>
      <c r="BL6">
        <f>'Plant Inputs'!BM12</f>
        <v/>
      </c>
      <c r="BM6">
        <f>'Plant Inputs'!BN12</f>
        <v/>
      </c>
      <c r="BN6">
        <f>'Plant Inputs'!BO12</f>
        <v/>
      </c>
      <c r="BO6">
        <f>'Plant Inputs'!BP12</f>
        <v/>
      </c>
      <c r="BP6">
        <f>'Plant Inputs'!BQ12</f>
        <v/>
      </c>
      <c r="BQ6">
        <f>'Plant Inputs'!BR12</f>
        <v/>
      </c>
      <c r="BR6">
        <f>'Plant Inputs'!BS12</f>
        <v/>
      </c>
      <c r="BS6">
        <f>'Plant Inputs'!BT12</f>
        <v/>
      </c>
      <c r="BT6">
        <f>'Plant Inputs'!BU12</f>
        <v/>
      </c>
      <c r="BU6">
        <f>'Plant Inputs'!BV12</f>
        <v/>
      </c>
      <c r="BV6">
        <f>'Plant Inputs'!BW12</f>
        <v/>
      </c>
      <c r="BW6">
        <f>'Plant Inputs'!BX12</f>
        <v/>
      </c>
      <c r="BX6">
        <f>'Plant Inputs'!BY12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02</t>
        </is>
      </c>
      <c r="B7" t="inlineStr">
        <is>
          <t>2026-07</t>
        </is>
      </c>
      <c r="C7" t="n">
        <v>31</v>
      </c>
      <c r="D7" t="n">
        <v>4</v>
      </c>
      <c r="E7">
        <f>'Plant Inputs'!F13</f>
        <v/>
      </c>
      <c r="F7">
        <f>'Plant Inputs'!G13</f>
        <v/>
      </c>
      <c r="G7">
        <f>'Plant Inputs'!H13</f>
        <v/>
      </c>
      <c r="H7">
        <f>'Plant Inputs'!I13</f>
        <v/>
      </c>
      <c r="I7">
        <f>'Plant Inputs'!J13</f>
        <v/>
      </c>
      <c r="J7">
        <f>'Plant Inputs'!K13</f>
        <v/>
      </c>
      <c r="K7">
        <f>'Plant Inputs'!L13</f>
        <v/>
      </c>
      <c r="L7">
        <f>'Plant Inputs'!M13</f>
        <v/>
      </c>
      <c r="M7">
        <f>'Plant Inputs'!N13</f>
        <v/>
      </c>
      <c r="N7">
        <f>'Plant Inputs'!O13</f>
        <v/>
      </c>
      <c r="O7">
        <f>'Plant Inputs'!P13</f>
        <v/>
      </c>
      <c r="P7">
        <f>'Plant Inputs'!Q13</f>
        <v/>
      </c>
      <c r="Q7">
        <f>'Plant Inputs'!R13</f>
        <v/>
      </c>
      <c r="R7">
        <f>'Plant Inputs'!S13</f>
        <v/>
      </c>
      <c r="S7">
        <f>'Plant Inputs'!T13</f>
        <v/>
      </c>
      <c r="T7">
        <f>'Plant Inputs'!U13</f>
        <v/>
      </c>
      <c r="U7">
        <f>'Plant Inputs'!V13</f>
        <v/>
      </c>
      <c r="V7">
        <f>'Plant Inputs'!W13</f>
        <v/>
      </c>
      <c r="W7">
        <f>'Plant Inputs'!X13</f>
        <v/>
      </c>
      <c r="X7">
        <f>'Plant Inputs'!Y13</f>
        <v/>
      </c>
      <c r="Y7">
        <f>'Plant Inputs'!Z13</f>
        <v/>
      </c>
      <c r="Z7">
        <f>'Plant Inputs'!AA13</f>
        <v/>
      </c>
      <c r="AA7">
        <f>'Plant Inputs'!AB13</f>
        <v/>
      </c>
      <c r="AB7">
        <f>'Plant Inputs'!AC13</f>
        <v/>
      </c>
      <c r="AC7">
        <f>'Plant Inputs'!AD13</f>
        <v/>
      </c>
      <c r="AD7">
        <f>'Plant Inputs'!AE13</f>
        <v/>
      </c>
      <c r="AE7">
        <f>'Plant Inputs'!AF13</f>
        <v/>
      </c>
      <c r="AF7">
        <f>'Plant Inputs'!AG13</f>
        <v/>
      </c>
      <c r="AG7">
        <f>'Plant Inputs'!AH13</f>
        <v/>
      </c>
      <c r="AH7">
        <f>'Plant Inputs'!AI13</f>
        <v/>
      </c>
      <c r="AI7">
        <f>'Plant Inputs'!AJ13</f>
        <v/>
      </c>
      <c r="AJ7">
        <f>'Plant Inputs'!AK13</f>
        <v/>
      </c>
      <c r="AK7">
        <f>'Plant Inputs'!AL13</f>
        <v/>
      </c>
      <c r="AL7">
        <f>'Plant Inputs'!AM13</f>
        <v/>
      </c>
      <c r="AM7">
        <f>'Plant Inputs'!AN13</f>
        <v/>
      </c>
      <c r="AN7">
        <f>'Plant Inputs'!AO13</f>
        <v/>
      </c>
      <c r="AO7">
        <f>'Plant Inputs'!AP13</f>
        <v/>
      </c>
      <c r="AP7">
        <f>'Plant Inputs'!AQ13</f>
        <v/>
      </c>
      <c r="AQ7">
        <f>'Plant Inputs'!AR13</f>
        <v/>
      </c>
      <c r="AR7">
        <f>'Plant Inputs'!AS13</f>
        <v/>
      </c>
      <c r="AS7">
        <f>'Plant Inputs'!AT13</f>
        <v/>
      </c>
      <c r="AT7">
        <f>'Plant Inputs'!AU13</f>
        <v/>
      </c>
      <c r="AU7">
        <f>'Plant Inputs'!AV13</f>
        <v/>
      </c>
      <c r="AV7">
        <f>'Plant Inputs'!AW13</f>
        <v/>
      </c>
      <c r="AW7">
        <f>'Plant Inputs'!AX13</f>
        <v/>
      </c>
      <c r="AX7">
        <f>'Plant Inputs'!AY13</f>
        <v/>
      </c>
      <c r="AY7">
        <f>'Plant Inputs'!AZ13</f>
        <v/>
      </c>
      <c r="AZ7">
        <f>'Plant Inputs'!BA13</f>
        <v/>
      </c>
      <c r="BA7">
        <f>'Plant Inputs'!BB13</f>
        <v/>
      </c>
      <c r="BB7">
        <f>'Plant Inputs'!BC13</f>
        <v/>
      </c>
      <c r="BC7">
        <f>'Plant Inputs'!BD13</f>
        <v/>
      </c>
      <c r="BD7">
        <f>'Plant Inputs'!BE13</f>
        <v/>
      </c>
      <c r="BE7">
        <f>'Plant Inputs'!BF13</f>
        <v/>
      </c>
      <c r="BF7">
        <f>'Plant Inputs'!BG13</f>
        <v/>
      </c>
      <c r="BG7">
        <f>'Plant Inputs'!BH13</f>
        <v/>
      </c>
      <c r="BH7">
        <f>'Plant Inputs'!BI13</f>
        <v/>
      </c>
      <c r="BI7">
        <f>'Plant Inputs'!BJ13</f>
        <v/>
      </c>
      <c r="BJ7">
        <f>'Plant Inputs'!BK13</f>
        <v/>
      </c>
      <c r="BK7">
        <f>'Plant Inputs'!BL13</f>
        <v/>
      </c>
      <c r="BL7">
        <f>'Plant Inputs'!BM13</f>
        <v/>
      </c>
      <c r="BM7">
        <f>'Plant Inputs'!BN13</f>
        <v/>
      </c>
      <c r="BN7">
        <f>'Plant Inputs'!BO13</f>
        <v/>
      </c>
      <c r="BO7">
        <f>'Plant Inputs'!BP13</f>
        <v/>
      </c>
      <c r="BP7">
        <f>'Plant Inputs'!BQ13</f>
        <v/>
      </c>
      <c r="BQ7">
        <f>'Plant Inputs'!BR13</f>
        <v/>
      </c>
      <c r="BR7">
        <f>'Plant Inputs'!BS13</f>
        <v/>
      </c>
      <c r="BS7">
        <f>'Plant Inputs'!BT13</f>
        <v/>
      </c>
      <c r="BT7">
        <f>'Plant Inputs'!BU13</f>
        <v/>
      </c>
      <c r="BU7">
        <f>'Plant Inputs'!BV13</f>
        <v/>
      </c>
      <c r="BV7">
        <f>'Plant Inputs'!BW13</f>
        <v/>
      </c>
      <c r="BW7">
        <f>'Plant Inputs'!BX13</f>
        <v/>
      </c>
      <c r="BX7">
        <f>'Plant Inputs'!BY13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02</t>
        </is>
      </c>
      <c r="B8" t="inlineStr">
        <is>
          <t>2026-08</t>
        </is>
      </c>
      <c r="C8" t="n">
        <v>31</v>
      </c>
      <c r="D8" t="n">
        <v>5</v>
      </c>
      <c r="E8">
        <f>'Plant Inputs'!F14</f>
        <v/>
      </c>
      <c r="F8">
        <f>'Plant Inputs'!G14</f>
        <v/>
      </c>
      <c r="G8">
        <f>'Plant Inputs'!H14</f>
        <v/>
      </c>
      <c r="H8">
        <f>'Plant Inputs'!I14</f>
        <v/>
      </c>
      <c r="I8">
        <f>'Plant Inputs'!J14</f>
        <v/>
      </c>
      <c r="J8">
        <f>'Plant Inputs'!K14</f>
        <v/>
      </c>
      <c r="K8">
        <f>'Plant Inputs'!L14</f>
        <v/>
      </c>
      <c r="L8">
        <f>'Plant Inputs'!M14</f>
        <v/>
      </c>
      <c r="M8">
        <f>'Plant Inputs'!N14</f>
        <v/>
      </c>
      <c r="N8">
        <f>'Plant Inputs'!O14</f>
        <v/>
      </c>
      <c r="O8">
        <f>'Plant Inputs'!P14</f>
        <v/>
      </c>
      <c r="P8">
        <f>'Plant Inputs'!Q14</f>
        <v/>
      </c>
      <c r="Q8">
        <f>'Plant Inputs'!R14</f>
        <v/>
      </c>
      <c r="R8">
        <f>'Plant Inputs'!S14</f>
        <v/>
      </c>
      <c r="S8">
        <f>'Plant Inputs'!T14</f>
        <v/>
      </c>
      <c r="T8">
        <f>'Plant Inputs'!U14</f>
        <v/>
      </c>
      <c r="U8">
        <f>'Plant Inputs'!V14</f>
        <v/>
      </c>
      <c r="V8">
        <f>'Plant Inputs'!W14</f>
        <v/>
      </c>
      <c r="W8">
        <f>'Plant Inputs'!X14</f>
        <v/>
      </c>
      <c r="X8">
        <f>'Plant Inputs'!Y14</f>
        <v/>
      </c>
      <c r="Y8">
        <f>'Plant Inputs'!Z14</f>
        <v/>
      </c>
      <c r="Z8">
        <f>'Plant Inputs'!AA14</f>
        <v/>
      </c>
      <c r="AA8">
        <f>'Plant Inputs'!AB14</f>
        <v/>
      </c>
      <c r="AB8">
        <f>'Plant Inputs'!AC14</f>
        <v/>
      </c>
      <c r="AC8">
        <f>'Plant Inputs'!AD14</f>
        <v/>
      </c>
      <c r="AD8">
        <f>'Plant Inputs'!AE14</f>
        <v/>
      </c>
      <c r="AE8">
        <f>'Plant Inputs'!AF14</f>
        <v/>
      </c>
      <c r="AF8">
        <f>'Plant Inputs'!AG14</f>
        <v/>
      </c>
      <c r="AG8">
        <f>'Plant Inputs'!AH14</f>
        <v/>
      </c>
      <c r="AH8">
        <f>'Plant Inputs'!AI14</f>
        <v/>
      </c>
      <c r="AI8">
        <f>'Plant Inputs'!AJ14</f>
        <v/>
      </c>
      <c r="AJ8">
        <f>'Plant Inputs'!AK14</f>
        <v/>
      </c>
      <c r="AK8">
        <f>'Plant Inputs'!AL14</f>
        <v/>
      </c>
      <c r="AL8">
        <f>'Plant Inputs'!AM14</f>
        <v/>
      </c>
      <c r="AM8">
        <f>'Plant Inputs'!AN14</f>
        <v/>
      </c>
      <c r="AN8">
        <f>'Plant Inputs'!AO14</f>
        <v/>
      </c>
      <c r="AO8">
        <f>'Plant Inputs'!AP14</f>
        <v/>
      </c>
      <c r="AP8">
        <f>'Plant Inputs'!AQ14</f>
        <v/>
      </c>
      <c r="AQ8">
        <f>'Plant Inputs'!AR14</f>
        <v/>
      </c>
      <c r="AR8">
        <f>'Plant Inputs'!AS14</f>
        <v/>
      </c>
      <c r="AS8">
        <f>'Plant Inputs'!AT14</f>
        <v/>
      </c>
      <c r="AT8">
        <f>'Plant Inputs'!AU14</f>
        <v/>
      </c>
      <c r="AU8">
        <f>'Plant Inputs'!AV14</f>
        <v/>
      </c>
      <c r="AV8">
        <f>'Plant Inputs'!AW14</f>
        <v/>
      </c>
      <c r="AW8">
        <f>'Plant Inputs'!AX14</f>
        <v/>
      </c>
      <c r="AX8">
        <f>'Plant Inputs'!AY14</f>
        <v/>
      </c>
      <c r="AY8">
        <f>'Plant Inputs'!AZ14</f>
        <v/>
      </c>
      <c r="AZ8">
        <f>'Plant Inputs'!BA14</f>
        <v/>
      </c>
      <c r="BA8">
        <f>'Plant Inputs'!BB14</f>
        <v/>
      </c>
      <c r="BB8">
        <f>'Plant Inputs'!BC14</f>
        <v/>
      </c>
      <c r="BC8">
        <f>'Plant Inputs'!BD14</f>
        <v/>
      </c>
      <c r="BD8">
        <f>'Plant Inputs'!BE14</f>
        <v/>
      </c>
      <c r="BE8">
        <f>'Plant Inputs'!BF14</f>
        <v/>
      </c>
      <c r="BF8">
        <f>'Plant Inputs'!BG14</f>
        <v/>
      </c>
      <c r="BG8">
        <f>'Plant Inputs'!BH14</f>
        <v/>
      </c>
      <c r="BH8">
        <f>'Plant Inputs'!BI14</f>
        <v/>
      </c>
      <c r="BI8">
        <f>'Plant Inputs'!BJ14</f>
        <v/>
      </c>
      <c r="BJ8">
        <f>'Plant Inputs'!BK14</f>
        <v/>
      </c>
      <c r="BK8">
        <f>'Plant Inputs'!BL14</f>
        <v/>
      </c>
      <c r="BL8">
        <f>'Plant Inputs'!BM14</f>
        <v/>
      </c>
      <c r="BM8">
        <f>'Plant Inputs'!BN14</f>
        <v/>
      </c>
      <c r="BN8">
        <f>'Plant Inputs'!BO14</f>
        <v/>
      </c>
      <c r="BO8">
        <f>'Plant Inputs'!BP14</f>
        <v/>
      </c>
      <c r="BP8">
        <f>'Plant Inputs'!BQ14</f>
        <v/>
      </c>
      <c r="BQ8">
        <f>'Plant Inputs'!BR14</f>
        <v/>
      </c>
      <c r="BR8">
        <f>'Plant Inputs'!BS14</f>
        <v/>
      </c>
      <c r="BS8">
        <f>'Plant Inputs'!BT14</f>
        <v/>
      </c>
      <c r="BT8">
        <f>'Plant Inputs'!BU14</f>
        <v/>
      </c>
      <c r="BU8">
        <f>'Plant Inputs'!BV14</f>
        <v/>
      </c>
      <c r="BV8">
        <f>'Plant Inputs'!BW14</f>
        <v/>
      </c>
      <c r="BW8">
        <f>'Plant Inputs'!BX14</f>
        <v/>
      </c>
      <c r="BX8">
        <f>'Plant Inputs'!BY14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02</t>
        </is>
      </c>
      <c r="B9" t="inlineStr">
        <is>
          <t>2026-09</t>
        </is>
      </c>
      <c r="C9" t="n">
        <v>30</v>
      </c>
      <c r="D9" t="n">
        <v>6</v>
      </c>
      <c r="E9">
        <f>'Plant Inputs'!F15</f>
        <v/>
      </c>
      <c r="F9">
        <f>'Plant Inputs'!G15</f>
        <v/>
      </c>
      <c r="G9">
        <f>'Plant Inputs'!H15</f>
        <v/>
      </c>
      <c r="H9">
        <f>'Plant Inputs'!I15</f>
        <v/>
      </c>
      <c r="I9">
        <f>'Plant Inputs'!J15</f>
        <v/>
      </c>
      <c r="J9">
        <f>'Plant Inputs'!K15</f>
        <v/>
      </c>
      <c r="K9">
        <f>'Plant Inputs'!L15</f>
        <v/>
      </c>
      <c r="L9">
        <f>'Plant Inputs'!M15</f>
        <v/>
      </c>
      <c r="M9">
        <f>'Plant Inputs'!N15</f>
        <v/>
      </c>
      <c r="N9">
        <f>'Plant Inputs'!O15</f>
        <v/>
      </c>
      <c r="O9">
        <f>'Plant Inputs'!P15</f>
        <v/>
      </c>
      <c r="P9">
        <f>'Plant Inputs'!Q15</f>
        <v/>
      </c>
      <c r="Q9">
        <f>'Plant Inputs'!R15</f>
        <v/>
      </c>
      <c r="R9">
        <f>'Plant Inputs'!S15</f>
        <v/>
      </c>
      <c r="S9">
        <f>'Plant Inputs'!T15</f>
        <v/>
      </c>
      <c r="T9">
        <f>'Plant Inputs'!U15</f>
        <v/>
      </c>
      <c r="U9">
        <f>'Plant Inputs'!V15</f>
        <v/>
      </c>
      <c r="V9">
        <f>'Plant Inputs'!W15</f>
        <v/>
      </c>
      <c r="W9">
        <f>'Plant Inputs'!X15</f>
        <v/>
      </c>
      <c r="X9">
        <f>'Plant Inputs'!Y15</f>
        <v/>
      </c>
      <c r="Y9">
        <f>'Plant Inputs'!Z15</f>
        <v/>
      </c>
      <c r="Z9">
        <f>'Plant Inputs'!AA15</f>
        <v/>
      </c>
      <c r="AA9">
        <f>'Plant Inputs'!AB15</f>
        <v/>
      </c>
      <c r="AB9">
        <f>'Plant Inputs'!AC15</f>
        <v/>
      </c>
      <c r="AC9">
        <f>'Plant Inputs'!AD15</f>
        <v/>
      </c>
      <c r="AD9">
        <f>'Plant Inputs'!AE15</f>
        <v/>
      </c>
      <c r="AE9">
        <f>'Plant Inputs'!AF15</f>
        <v/>
      </c>
      <c r="AF9">
        <f>'Plant Inputs'!AG15</f>
        <v/>
      </c>
      <c r="AG9">
        <f>'Plant Inputs'!AH15</f>
        <v/>
      </c>
      <c r="AH9">
        <f>'Plant Inputs'!AI15</f>
        <v/>
      </c>
      <c r="AI9">
        <f>'Plant Inputs'!AJ15</f>
        <v/>
      </c>
      <c r="AJ9">
        <f>'Plant Inputs'!AK15</f>
        <v/>
      </c>
      <c r="AK9">
        <f>'Plant Inputs'!AL15</f>
        <v/>
      </c>
      <c r="AL9">
        <f>'Plant Inputs'!AM15</f>
        <v/>
      </c>
      <c r="AM9">
        <f>'Plant Inputs'!AN15</f>
        <v/>
      </c>
      <c r="AN9">
        <f>'Plant Inputs'!AO15</f>
        <v/>
      </c>
      <c r="AO9">
        <f>'Plant Inputs'!AP15</f>
        <v/>
      </c>
      <c r="AP9">
        <f>'Plant Inputs'!AQ15</f>
        <v/>
      </c>
      <c r="AQ9">
        <f>'Plant Inputs'!AR15</f>
        <v/>
      </c>
      <c r="AR9">
        <f>'Plant Inputs'!AS15</f>
        <v/>
      </c>
      <c r="AS9">
        <f>'Plant Inputs'!AT15</f>
        <v/>
      </c>
      <c r="AT9">
        <f>'Plant Inputs'!AU15</f>
        <v/>
      </c>
      <c r="AU9">
        <f>'Plant Inputs'!AV15</f>
        <v/>
      </c>
      <c r="AV9">
        <f>'Plant Inputs'!AW15</f>
        <v/>
      </c>
      <c r="AW9">
        <f>'Plant Inputs'!AX15</f>
        <v/>
      </c>
      <c r="AX9">
        <f>'Plant Inputs'!AY15</f>
        <v/>
      </c>
      <c r="AY9">
        <f>'Plant Inputs'!AZ15</f>
        <v/>
      </c>
      <c r="AZ9">
        <f>'Plant Inputs'!BA15</f>
        <v/>
      </c>
      <c r="BA9">
        <f>'Plant Inputs'!BB15</f>
        <v/>
      </c>
      <c r="BB9">
        <f>'Plant Inputs'!BC15</f>
        <v/>
      </c>
      <c r="BC9">
        <f>'Plant Inputs'!BD15</f>
        <v/>
      </c>
      <c r="BD9">
        <f>'Plant Inputs'!BE15</f>
        <v/>
      </c>
      <c r="BE9">
        <f>'Plant Inputs'!BF15</f>
        <v/>
      </c>
      <c r="BF9">
        <f>'Plant Inputs'!BG15</f>
        <v/>
      </c>
      <c r="BG9">
        <f>'Plant Inputs'!BH15</f>
        <v/>
      </c>
      <c r="BH9">
        <f>'Plant Inputs'!BI15</f>
        <v/>
      </c>
      <c r="BI9">
        <f>'Plant Inputs'!BJ15</f>
        <v/>
      </c>
      <c r="BJ9">
        <f>'Plant Inputs'!BK15</f>
        <v/>
      </c>
      <c r="BK9">
        <f>'Plant Inputs'!BL15</f>
        <v/>
      </c>
      <c r="BL9">
        <f>'Plant Inputs'!BM15</f>
        <v/>
      </c>
      <c r="BM9">
        <f>'Plant Inputs'!BN15</f>
        <v/>
      </c>
      <c r="BN9">
        <f>'Plant Inputs'!BO15</f>
        <v/>
      </c>
      <c r="BO9">
        <f>'Plant Inputs'!BP15</f>
        <v/>
      </c>
      <c r="BP9">
        <f>'Plant Inputs'!BQ15</f>
        <v/>
      </c>
      <c r="BQ9">
        <f>'Plant Inputs'!BR15</f>
        <v/>
      </c>
      <c r="BR9">
        <f>'Plant Inputs'!BS15</f>
        <v/>
      </c>
      <c r="BS9">
        <f>'Plant Inputs'!BT15</f>
        <v/>
      </c>
      <c r="BT9">
        <f>'Plant Inputs'!BU15</f>
        <v/>
      </c>
      <c r="BU9">
        <f>'Plant Inputs'!BV15</f>
        <v/>
      </c>
      <c r="BV9">
        <f>'Plant Inputs'!BW15</f>
        <v/>
      </c>
      <c r="BW9">
        <f>'Plant Inputs'!BX15</f>
        <v/>
      </c>
      <c r="BX9">
        <f>'Plant Inputs'!BY15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03).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03</t>
        </is>
      </c>
      <c r="B4" t="inlineStr">
        <is>
          <t>2026-04</t>
        </is>
      </c>
      <c r="C4" t="n">
        <v>30</v>
      </c>
      <c r="D4" t="n">
        <v>1</v>
      </c>
      <c r="E4">
        <f>'Plant Inputs'!F16</f>
        <v/>
      </c>
      <c r="F4">
        <f>'Plant Inputs'!G16</f>
        <v/>
      </c>
      <c r="G4">
        <f>'Plant Inputs'!H16</f>
        <v/>
      </c>
      <c r="H4">
        <f>'Plant Inputs'!I16</f>
        <v/>
      </c>
      <c r="I4">
        <f>'Plant Inputs'!J16</f>
        <v/>
      </c>
      <c r="J4">
        <f>'Plant Inputs'!K16</f>
        <v/>
      </c>
      <c r="K4">
        <f>'Plant Inputs'!L16</f>
        <v/>
      </c>
      <c r="L4">
        <f>'Plant Inputs'!M16</f>
        <v/>
      </c>
      <c r="M4">
        <f>'Plant Inputs'!N16</f>
        <v/>
      </c>
      <c r="N4">
        <f>'Plant Inputs'!O16</f>
        <v/>
      </c>
      <c r="O4">
        <f>'Plant Inputs'!P16</f>
        <v/>
      </c>
      <c r="P4">
        <f>'Plant Inputs'!Q16</f>
        <v/>
      </c>
      <c r="Q4">
        <f>'Plant Inputs'!R16</f>
        <v/>
      </c>
      <c r="R4">
        <f>'Plant Inputs'!S16</f>
        <v/>
      </c>
      <c r="S4">
        <f>'Plant Inputs'!T16</f>
        <v/>
      </c>
      <c r="T4">
        <f>'Plant Inputs'!U16</f>
        <v/>
      </c>
      <c r="U4">
        <f>'Plant Inputs'!V16</f>
        <v/>
      </c>
      <c r="V4">
        <f>'Plant Inputs'!W16</f>
        <v/>
      </c>
      <c r="W4">
        <f>'Plant Inputs'!X16</f>
        <v/>
      </c>
      <c r="X4">
        <f>'Plant Inputs'!Y16</f>
        <v/>
      </c>
      <c r="Y4">
        <f>'Plant Inputs'!Z16</f>
        <v/>
      </c>
      <c r="Z4">
        <f>'Plant Inputs'!AA16</f>
        <v/>
      </c>
      <c r="AA4">
        <f>'Plant Inputs'!AB16</f>
        <v/>
      </c>
      <c r="AB4">
        <f>'Plant Inputs'!AC16</f>
        <v/>
      </c>
      <c r="AC4">
        <f>'Plant Inputs'!AD16</f>
        <v/>
      </c>
      <c r="AD4">
        <f>'Plant Inputs'!AE16</f>
        <v/>
      </c>
      <c r="AE4">
        <f>'Plant Inputs'!AF16</f>
        <v/>
      </c>
      <c r="AF4">
        <f>'Plant Inputs'!AG16</f>
        <v/>
      </c>
      <c r="AG4">
        <f>'Plant Inputs'!AH16</f>
        <v/>
      </c>
      <c r="AH4">
        <f>'Plant Inputs'!AI16</f>
        <v/>
      </c>
      <c r="AI4">
        <f>'Plant Inputs'!AJ16</f>
        <v/>
      </c>
      <c r="AJ4">
        <f>'Plant Inputs'!AK16</f>
        <v/>
      </c>
      <c r="AK4">
        <f>'Plant Inputs'!AL16</f>
        <v/>
      </c>
      <c r="AL4">
        <f>'Plant Inputs'!AM16</f>
        <v/>
      </c>
      <c r="AM4">
        <f>'Plant Inputs'!AN16</f>
        <v/>
      </c>
      <c r="AN4">
        <f>'Plant Inputs'!AO16</f>
        <v/>
      </c>
      <c r="AO4">
        <f>'Plant Inputs'!AP16</f>
        <v/>
      </c>
      <c r="AP4">
        <f>'Plant Inputs'!AQ16</f>
        <v/>
      </c>
      <c r="AQ4">
        <f>'Plant Inputs'!AR16</f>
        <v/>
      </c>
      <c r="AR4">
        <f>'Plant Inputs'!AS16</f>
        <v/>
      </c>
      <c r="AS4">
        <f>'Plant Inputs'!AT16</f>
        <v/>
      </c>
      <c r="AT4">
        <f>'Plant Inputs'!AU16</f>
        <v/>
      </c>
      <c r="AU4">
        <f>'Plant Inputs'!AV16</f>
        <v/>
      </c>
      <c r="AV4">
        <f>'Plant Inputs'!AW16</f>
        <v/>
      </c>
      <c r="AW4">
        <f>'Plant Inputs'!AX16</f>
        <v/>
      </c>
      <c r="AX4">
        <f>'Plant Inputs'!AY16</f>
        <v/>
      </c>
      <c r="AY4">
        <f>'Plant Inputs'!AZ16</f>
        <v/>
      </c>
      <c r="AZ4">
        <f>'Plant Inputs'!BA16</f>
        <v/>
      </c>
      <c r="BA4">
        <f>'Plant Inputs'!BB16</f>
        <v/>
      </c>
      <c r="BB4">
        <f>'Plant Inputs'!BC16</f>
        <v/>
      </c>
      <c r="BC4">
        <f>'Plant Inputs'!BD16</f>
        <v/>
      </c>
      <c r="BD4">
        <f>'Plant Inputs'!BE16</f>
        <v/>
      </c>
      <c r="BE4">
        <f>'Plant Inputs'!BF16</f>
        <v/>
      </c>
      <c r="BF4">
        <f>'Plant Inputs'!BG16</f>
        <v/>
      </c>
      <c r="BG4">
        <f>'Plant Inputs'!BH16</f>
        <v/>
      </c>
      <c r="BH4">
        <f>'Plant Inputs'!BI16</f>
        <v/>
      </c>
      <c r="BI4">
        <f>'Plant Inputs'!BJ16</f>
        <v/>
      </c>
      <c r="BJ4">
        <f>'Plant Inputs'!BK16</f>
        <v/>
      </c>
      <c r="BK4">
        <f>'Plant Inputs'!BL16</f>
        <v/>
      </c>
      <c r="BL4">
        <f>'Plant Inputs'!BM16</f>
        <v/>
      </c>
      <c r="BM4">
        <f>'Plant Inputs'!BN16</f>
        <v/>
      </c>
      <c r="BN4">
        <f>'Plant Inputs'!BO16</f>
        <v/>
      </c>
      <c r="BO4">
        <f>'Plant Inputs'!BP16</f>
        <v/>
      </c>
      <c r="BP4">
        <f>'Plant Inputs'!BQ16</f>
        <v/>
      </c>
      <c r="BQ4">
        <f>'Plant Inputs'!BR16</f>
        <v/>
      </c>
      <c r="BR4">
        <f>'Plant Inputs'!BS16</f>
        <v/>
      </c>
      <c r="BS4">
        <f>'Plant Inputs'!BT16</f>
        <v/>
      </c>
      <c r="BT4">
        <f>'Plant Inputs'!BU16</f>
        <v/>
      </c>
      <c r="BU4">
        <f>'Plant Inputs'!BV16</f>
        <v/>
      </c>
      <c r="BV4">
        <f>'Plant Inputs'!BW16</f>
        <v/>
      </c>
      <c r="BW4">
        <f>'Plant Inputs'!BX16</f>
        <v/>
      </c>
      <c r="BX4">
        <f>'Plant Inputs'!BY16</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03</t>
        </is>
      </c>
      <c r="B5" t="inlineStr">
        <is>
          <t>2026-05</t>
        </is>
      </c>
      <c r="C5" t="n">
        <v>31</v>
      </c>
      <c r="D5" t="n">
        <v>2</v>
      </c>
      <c r="E5">
        <f>'Plant Inputs'!F17</f>
        <v/>
      </c>
      <c r="F5">
        <f>'Plant Inputs'!G17</f>
        <v/>
      </c>
      <c r="G5">
        <f>'Plant Inputs'!H17</f>
        <v/>
      </c>
      <c r="H5">
        <f>'Plant Inputs'!I17</f>
        <v/>
      </c>
      <c r="I5">
        <f>'Plant Inputs'!J17</f>
        <v/>
      </c>
      <c r="J5">
        <f>'Plant Inputs'!K17</f>
        <v/>
      </c>
      <c r="K5">
        <f>'Plant Inputs'!L17</f>
        <v/>
      </c>
      <c r="L5">
        <f>'Plant Inputs'!M17</f>
        <v/>
      </c>
      <c r="M5">
        <f>'Plant Inputs'!N17</f>
        <v/>
      </c>
      <c r="N5">
        <f>'Plant Inputs'!O17</f>
        <v/>
      </c>
      <c r="O5">
        <f>'Plant Inputs'!P17</f>
        <v/>
      </c>
      <c r="P5">
        <f>'Plant Inputs'!Q17</f>
        <v/>
      </c>
      <c r="Q5">
        <f>'Plant Inputs'!R17</f>
        <v/>
      </c>
      <c r="R5">
        <f>'Plant Inputs'!S17</f>
        <v/>
      </c>
      <c r="S5">
        <f>'Plant Inputs'!T17</f>
        <v/>
      </c>
      <c r="T5">
        <f>'Plant Inputs'!U17</f>
        <v/>
      </c>
      <c r="U5">
        <f>'Plant Inputs'!V17</f>
        <v/>
      </c>
      <c r="V5">
        <f>'Plant Inputs'!W17</f>
        <v/>
      </c>
      <c r="W5">
        <f>'Plant Inputs'!X17</f>
        <v/>
      </c>
      <c r="X5">
        <f>'Plant Inputs'!Y17</f>
        <v/>
      </c>
      <c r="Y5">
        <f>'Plant Inputs'!Z17</f>
        <v/>
      </c>
      <c r="Z5">
        <f>'Plant Inputs'!AA17</f>
        <v/>
      </c>
      <c r="AA5">
        <f>'Plant Inputs'!AB17</f>
        <v/>
      </c>
      <c r="AB5">
        <f>'Plant Inputs'!AC17</f>
        <v/>
      </c>
      <c r="AC5">
        <f>'Plant Inputs'!AD17</f>
        <v/>
      </c>
      <c r="AD5">
        <f>'Plant Inputs'!AE17</f>
        <v/>
      </c>
      <c r="AE5">
        <f>'Plant Inputs'!AF17</f>
        <v/>
      </c>
      <c r="AF5">
        <f>'Plant Inputs'!AG17</f>
        <v/>
      </c>
      <c r="AG5">
        <f>'Plant Inputs'!AH17</f>
        <v/>
      </c>
      <c r="AH5">
        <f>'Plant Inputs'!AI17</f>
        <v/>
      </c>
      <c r="AI5">
        <f>'Plant Inputs'!AJ17</f>
        <v/>
      </c>
      <c r="AJ5">
        <f>'Plant Inputs'!AK17</f>
        <v/>
      </c>
      <c r="AK5">
        <f>'Plant Inputs'!AL17</f>
        <v/>
      </c>
      <c r="AL5">
        <f>'Plant Inputs'!AM17</f>
        <v/>
      </c>
      <c r="AM5">
        <f>'Plant Inputs'!AN17</f>
        <v/>
      </c>
      <c r="AN5">
        <f>'Plant Inputs'!AO17</f>
        <v/>
      </c>
      <c r="AO5">
        <f>'Plant Inputs'!AP17</f>
        <v/>
      </c>
      <c r="AP5">
        <f>'Plant Inputs'!AQ17</f>
        <v/>
      </c>
      <c r="AQ5">
        <f>'Plant Inputs'!AR17</f>
        <v/>
      </c>
      <c r="AR5">
        <f>'Plant Inputs'!AS17</f>
        <v/>
      </c>
      <c r="AS5">
        <f>'Plant Inputs'!AT17</f>
        <v/>
      </c>
      <c r="AT5">
        <f>'Plant Inputs'!AU17</f>
        <v/>
      </c>
      <c r="AU5">
        <f>'Plant Inputs'!AV17</f>
        <v/>
      </c>
      <c r="AV5">
        <f>'Plant Inputs'!AW17</f>
        <v/>
      </c>
      <c r="AW5">
        <f>'Plant Inputs'!AX17</f>
        <v/>
      </c>
      <c r="AX5">
        <f>'Plant Inputs'!AY17</f>
        <v/>
      </c>
      <c r="AY5">
        <f>'Plant Inputs'!AZ17</f>
        <v/>
      </c>
      <c r="AZ5">
        <f>'Plant Inputs'!BA17</f>
        <v/>
      </c>
      <c r="BA5">
        <f>'Plant Inputs'!BB17</f>
        <v/>
      </c>
      <c r="BB5">
        <f>'Plant Inputs'!BC17</f>
        <v/>
      </c>
      <c r="BC5">
        <f>'Plant Inputs'!BD17</f>
        <v/>
      </c>
      <c r="BD5">
        <f>'Plant Inputs'!BE17</f>
        <v/>
      </c>
      <c r="BE5">
        <f>'Plant Inputs'!BF17</f>
        <v/>
      </c>
      <c r="BF5">
        <f>'Plant Inputs'!BG17</f>
        <v/>
      </c>
      <c r="BG5">
        <f>'Plant Inputs'!BH17</f>
        <v/>
      </c>
      <c r="BH5">
        <f>'Plant Inputs'!BI17</f>
        <v/>
      </c>
      <c r="BI5">
        <f>'Plant Inputs'!BJ17</f>
        <v/>
      </c>
      <c r="BJ5">
        <f>'Plant Inputs'!BK17</f>
        <v/>
      </c>
      <c r="BK5">
        <f>'Plant Inputs'!BL17</f>
        <v/>
      </c>
      <c r="BL5">
        <f>'Plant Inputs'!BM17</f>
        <v/>
      </c>
      <c r="BM5">
        <f>'Plant Inputs'!BN17</f>
        <v/>
      </c>
      <c r="BN5">
        <f>'Plant Inputs'!BO17</f>
        <v/>
      </c>
      <c r="BO5">
        <f>'Plant Inputs'!BP17</f>
        <v/>
      </c>
      <c r="BP5">
        <f>'Plant Inputs'!BQ17</f>
        <v/>
      </c>
      <c r="BQ5">
        <f>'Plant Inputs'!BR17</f>
        <v/>
      </c>
      <c r="BR5">
        <f>'Plant Inputs'!BS17</f>
        <v/>
      </c>
      <c r="BS5">
        <f>'Plant Inputs'!BT17</f>
        <v/>
      </c>
      <c r="BT5">
        <f>'Plant Inputs'!BU17</f>
        <v/>
      </c>
      <c r="BU5">
        <f>'Plant Inputs'!BV17</f>
        <v/>
      </c>
      <c r="BV5">
        <f>'Plant Inputs'!BW17</f>
        <v/>
      </c>
      <c r="BW5">
        <f>'Plant Inputs'!BX17</f>
        <v/>
      </c>
      <c r="BX5">
        <f>'Plant Inputs'!BY17</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03</t>
        </is>
      </c>
      <c r="B6" t="inlineStr">
        <is>
          <t>2026-06</t>
        </is>
      </c>
      <c r="C6" t="n">
        <v>30</v>
      </c>
      <c r="D6" t="n">
        <v>3</v>
      </c>
      <c r="E6">
        <f>'Plant Inputs'!F18</f>
        <v/>
      </c>
      <c r="F6">
        <f>'Plant Inputs'!G18</f>
        <v/>
      </c>
      <c r="G6">
        <f>'Plant Inputs'!H18</f>
        <v/>
      </c>
      <c r="H6">
        <f>'Plant Inputs'!I18</f>
        <v/>
      </c>
      <c r="I6">
        <f>'Plant Inputs'!J18</f>
        <v/>
      </c>
      <c r="J6">
        <f>'Plant Inputs'!K18</f>
        <v/>
      </c>
      <c r="K6">
        <f>'Plant Inputs'!L18</f>
        <v/>
      </c>
      <c r="L6">
        <f>'Plant Inputs'!M18</f>
        <v/>
      </c>
      <c r="M6">
        <f>'Plant Inputs'!N18</f>
        <v/>
      </c>
      <c r="N6">
        <f>'Plant Inputs'!O18</f>
        <v/>
      </c>
      <c r="O6">
        <f>'Plant Inputs'!P18</f>
        <v/>
      </c>
      <c r="P6">
        <f>'Plant Inputs'!Q18</f>
        <v/>
      </c>
      <c r="Q6">
        <f>'Plant Inputs'!R18</f>
        <v/>
      </c>
      <c r="R6">
        <f>'Plant Inputs'!S18</f>
        <v/>
      </c>
      <c r="S6">
        <f>'Plant Inputs'!T18</f>
        <v/>
      </c>
      <c r="T6">
        <f>'Plant Inputs'!U18</f>
        <v/>
      </c>
      <c r="U6">
        <f>'Plant Inputs'!V18</f>
        <v/>
      </c>
      <c r="V6">
        <f>'Plant Inputs'!W18</f>
        <v/>
      </c>
      <c r="W6">
        <f>'Plant Inputs'!X18</f>
        <v/>
      </c>
      <c r="X6">
        <f>'Plant Inputs'!Y18</f>
        <v/>
      </c>
      <c r="Y6">
        <f>'Plant Inputs'!Z18</f>
        <v/>
      </c>
      <c r="Z6">
        <f>'Plant Inputs'!AA18</f>
        <v/>
      </c>
      <c r="AA6">
        <f>'Plant Inputs'!AB18</f>
        <v/>
      </c>
      <c r="AB6">
        <f>'Plant Inputs'!AC18</f>
        <v/>
      </c>
      <c r="AC6">
        <f>'Plant Inputs'!AD18</f>
        <v/>
      </c>
      <c r="AD6">
        <f>'Plant Inputs'!AE18</f>
        <v/>
      </c>
      <c r="AE6">
        <f>'Plant Inputs'!AF18</f>
        <v/>
      </c>
      <c r="AF6">
        <f>'Plant Inputs'!AG18</f>
        <v/>
      </c>
      <c r="AG6">
        <f>'Plant Inputs'!AH18</f>
        <v/>
      </c>
      <c r="AH6">
        <f>'Plant Inputs'!AI18</f>
        <v/>
      </c>
      <c r="AI6">
        <f>'Plant Inputs'!AJ18</f>
        <v/>
      </c>
      <c r="AJ6">
        <f>'Plant Inputs'!AK18</f>
        <v/>
      </c>
      <c r="AK6">
        <f>'Plant Inputs'!AL18</f>
        <v/>
      </c>
      <c r="AL6">
        <f>'Plant Inputs'!AM18</f>
        <v/>
      </c>
      <c r="AM6">
        <f>'Plant Inputs'!AN18</f>
        <v/>
      </c>
      <c r="AN6">
        <f>'Plant Inputs'!AO18</f>
        <v/>
      </c>
      <c r="AO6">
        <f>'Plant Inputs'!AP18</f>
        <v/>
      </c>
      <c r="AP6">
        <f>'Plant Inputs'!AQ18</f>
        <v/>
      </c>
      <c r="AQ6">
        <f>'Plant Inputs'!AR18</f>
        <v/>
      </c>
      <c r="AR6">
        <f>'Plant Inputs'!AS18</f>
        <v/>
      </c>
      <c r="AS6">
        <f>'Plant Inputs'!AT18</f>
        <v/>
      </c>
      <c r="AT6">
        <f>'Plant Inputs'!AU18</f>
        <v/>
      </c>
      <c r="AU6">
        <f>'Plant Inputs'!AV18</f>
        <v/>
      </c>
      <c r="AV6">
        <f>'Plant Inputs'!AW18</f>
        <v/>
      </c>
      <c r="AW6">
        <f>'Plant Inputs'!AX18</f>
        <v/>
      </c>
      <c r="AX6">
        <f>'Plant Inputs'!AY18</f>
        <v/>
      </c>
      <c r="AY6">
        <f>'Plant Inputs'!AZ18</f>
        <v/>
      </c>
      <c r="AZ6">
        <f>'Plant Inputs'!BA18</f>
        <v/>
      </c>
      <c r="BA6">
        <f>'Plant Inputs'!BB18</f>
        <v/>
      </c>
      <c r="BB6">
        <f>'Plant Inputs'!BC18</f>
        <v/>
      </c>
      <c r="BC6">
        <f>'Plant Inputs'!BD18</f>
        <v/>
      </c>
      <c r="BD6">
        <f>'Plant Inputs'!BE18</f>
        <v/>
      </c>
      <c r="BE6">
        <f>'Plant Inputs'!BF18</f>
        <v/>
      </c>
      <c r="BF6">
        <f>'Plant Inputs'!BG18</f>
        <v/>
      </c>
      <c r="BG6">
        <f>'Plant Inputs'!BH18</f>
        <v/>
      </c>
      <c r="BH6">
        <f>'Plant Inputs'!BI18</f>
        <v/>
      </c>
      <c r="BI6">
        <f>'Plant Inputs'!BJ18</f>
        <v/>
      </c>
      <c r="BJ6">
        <f>'Plant Inputs'!BK18</f>
        <v/>
      </c>
      <c r="BK6">
        <f>'Plant Inputs'!BL18</f>
        <v/>
      </c>
      <c r="BL6">
        <f>'Plant Inputs'!BM18</f>
        <v/>
      </c>
      <c r="BM6">
        <f>'Plant Inputs'!BN18</f>
        <v/>
      </c>
      <c r="BN6">
        <f>'Plant Inputs'!BO18</f>
        <v/>
      </c>
      <c r="BO6">
        <f>'Plant Inputs'!BP18</f>
        <v/>
      </c>
      <c r="BP6">
        <f>'Plant Inputs'!BQ18</f>
        <v/>
      </c>
      <c r="BQ6">
        <f>'Plant Inputs'!BR18</f>
        <v/>
      </c>
      <c r="BR6">
        <f>'Plant Inputs'!BS18</f>
        <v/>
      </c>
      <c r="BS6">
        <f>'Plant Inputs'!BT18</f>
        <v/>
      </c>
      <c r="BT6">
        <f>'Plant Inputs'!BU18</f>
        <v/>
      </c>
      <c r="BU6">
        <f>'Plant Inputs'!BV18</f>
        <v/>
      </c>
      <c r="BV6">
        <f>'Plant Inputs'!BW18</f>
        <v/>
      </c>
      <c r="BW6">
        <f>'Plant Inputs'!BX18</f>
        <v/>
      </c>
      <c r="BX6">
        <f>'Plant Inputs'!BY18</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03</t>
        </is>
      </c>
      <c r="B7" t="inlineStr">
        <is>
          <t>2026-07</t>
        </is>
      </c>
      <c r="C7" t="n">
        <v>31</v>
      </c>
      <c r="D7" t="n">
        <v>4</v>
      </c>
      <c r="E7">
        <f>'Plant Inputs'!F19</f>
        <v/>
      </c>
      <c r="F7">
        <f>'Plant Inputs'!G19</f>
        <v/>
      </c>
      <c r="G7">
        <f>'Plant Inputs'!H19</f>
        <v/>
      </c>
      <c r="H7">
        <f>'Plant Inputs'!I19</f>
        <v/>
      </c>
      <c r="I7">
        <f>'Plant Inputs'!J19</f>
        <v/>
      </c>
      <c r="J7">
        <f>'Plant Inputs'!K19</f>
        <v/>
      </c>
      <c r="K7">
        <f>'Plant Inputs'!L19</f>
        <v/>
      </c>
      <c r="L7">
        <f>'Plant Inputs'!M19</f>
        <v/>
      </c>
      <c r="M7">
        <f>'Plant Inputs'!N19</f>
        <v/>
      </c>
      <c r="N7">
        <f>'Plant Inputs'!O19</f>
        <v/>
      </c>
      <c r="O7">
        <f>'Plant Inputs'!P19</f>
        <v/>
      </c>
      <c r="P7">
        <f>'Plant Inputs'!Q19</f>
        <v/>
      </c>
      <c r="Q7">
        <f>'Plant Inputs'!R19</f>
        <v/>
      </c>
      <c r="R7">
        <f>'Plant Inputs'!S19</f>
        <v/>
      </c>
      <c r="S7">
        <f>'Plant Inputs'!T19</f>
        <v/>
      </c>
      <c r="T7">
        <f>'Plant Inputs'!U19</f>
        <v/>
      </c>
      <c r="U7">
        <f>'Plant Inputs'!V19</f>
        <v/>
      </c>
      <c r="V7">
        <f>'Plant Inputs'!W19</f>
        <v/>
      </c>
      <c r="W7">
        <f>'Plant Inputs'!X19</f>
        <v/>
      </c>
      <c r="X7">
        <f>'Plant Inputs'!Y19</f>
        <v/>
      </c>
      <c r="Y7">
        <f>'Plant Inputs'!Z19</f>
        <v/>
      </c>
      <c r="Z7">
        <f>'Plant Inputs'!AA19</f>
        <v/>
      </c>
      <c r="AA7">
        <f>'Plant Inputs'!AB19</f>
        <v/>
      </c>
      <c r="AB7">
        <f>'Plant Inputs'!AC19</f>
        <v/>
      </c>
      <c r="AC7">
        <f>'Plant Inputs'!AD19</f>
        <v/>
      </c>
      <c r="AD7">
        <f>'Plant Inputs'!AE19</f>
        <v/>
      </c>
      <c r="AE7">
        <f>'Plant Inputs'!AF19</f>
        <v/>
      </c>
      <c r="AF7">
        <f>'Plant Inputs'!AG19</f>
        <v/>
      </c>
      <c r="AG7">
        <f>'Plant Inputs'!AH19</f>
        <v/>
      </c>
      <c r="AH7">
        <f>'Plant Inputs'!AI19</f>
        <v/>
      </c>
      <c r="AI7">
        <f>'Plant Inputs'!AJ19</f>
        <v/>
      </c>
      <c r="AJ7">
        <f>'Plant Inputs'!AK19</f>
        <v/>
      </c>
      <c r="AK7">
        <f>'Plant Inputs'!AL19</f>
        <v/>
      </c>
      <c r="AL7">
        <f>'Plant Inputs'!AM19</f>
        <v/>
      </c>
      <c r="AM7">
        <f>'Plant Inputs'!AN19</f>
        <v/>
      </c>
      <c r="AN7">
        <f>'Plant Inputs'!AO19</f>
        <v/>
      </c>
      <c r="AO7">
        <f>'Plant Inputs'!AP19</f>
        <v/>
      </c>
      <c r="AP7">
        <f>'Plant Inputs'!AQ19</f>
        <v/>
      </c>
      <c r="AQ7">
        <f>'Plant Inputs'!AR19</f>
        <v/>
      </c>
      <c r="AR7">
        <f>'Plant Inputs'!AS19</f>
        <v/>
      </c>
      <c r="AS7">
        <f>'Plant Inputs'!AT19</f>
        <v/>
      </c>
      <c r="AT7">
        <f>'Plant Inputs'!AU19</f>
        <v/>
      </c>
      <c r="AU7">
        <f>'Plant Inputs'!AV19</f>
        <v/>
      </c>
      <c r="AV7">
        <f>'Plant Inputs'!AW19</f>
        <v/>
      </c>
      <c r="AW7">
        <f>'Plant Inputs'!AX19</f>
        <v/>
      </c>
      <c r="AX7">
        <f>'Plant Inputs'!AY19</f>
        <v/>
      </c>
      <c r="AY7">
        <f>'Plant Inputs'!AZ19</f>
        <v/>
      </c>
      <c r="AZ7">
        <f>'Plant Inputs'!BA19</f>
        <v/>
      </c>
      <c r="BA7">
        <f>'Plant Inputs'!BB19</f>
        <v/>
      </c>
      <c r="BB7">
        <f>'Plant Inputs'!BC19</f>
        <v/>
      </c>
      <c r="BC7">
        <f>'Plant Inputs'!BD19</f>
        <v/>
      </c>
      <c r="BD7">
        <f>'Plant Inputs'!BE19</f>
        <v/>
      </c>
      <c r="BE7">
        <f>'Plant Inputs'!BF19</f>
        <v/>
      </c>
      <c r="BF7">
        <f>'Plant Inputs'!BG19</f>
        <v/>
      </c>
      <c r="BG7">
        <f>'Plant Inputs'!BH19</f>
        <v/>
      </c>
      <c r="BH7">
        <f>'Plant Inputs'!BI19</f>
        <v/>
      </c>
      <c r="BI7">
        <f>'Plant Inputs'!BJ19</f>
        <v/>
      </c>
      <c r="BJ7">
        <f>'Plant Inputs'!BK19</f>
        <v/>
      </c>
      <c r="BK7">
        <f>'Plant Inputs'!BL19</f>
        <v/>
      </c>
      <c r="BL7">
        <f>'Plant Inputs'!BM19</f>
        <v/>
      </c>
      <c r="BM7">
        <f>'Plant Inputs'!BN19</f>
        <v/>
      </c>
      <c r="BN7">
        <f>'Plant Inputs'!BO19</f>
        <v/>
      </c>
      <c r="BO7">
        <f>'Plant Inputs'!BP19</f>
        <v/>
      </c>
      <c r="BP7">
        <f>'Plant Inputs'!BQ19</f>
        <v/>
      </c>
      <c r="BQ7">
        <f>'Plant Inputs'!BR19</f>
        <v/>
      </c>
      <c r="BR7">
        <f>'Plant Inputs'!BS19</f>
        <v/>
      </c>
      <c r="BS7">
        <f>'Plant Inputs'!BT19</f>
        <v/>
      </c>
      <c r="BT7">
        <f>'Plant Inputs'!BU19</f>
        <v/>
      </c>
      <c r="BU7">
        <f>'Plant Inputs'!BV19</f>
        <v/>
      </c>
      <c r="BV7">
        <f>'Plant Inputs'!BW19</f>
        <v/>
      </c>
      <c r="BW7">
        <f>'Plant Inputs'!BX19</f>
        <v/>
      </c>
      <c r="BX7">
        <f>'Plant Inputs'!BY19</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03</t>
        </is>
      </c>
      <c r="B8" t="inlineStr">
        <is>
          <t>2026-08</t>
        </is>
      </c>
      <c r="C8" t="n">
        <v>31</v>
      </c>
      <c r="D8" t="n">
        <v>5</v>
      </c>
      <c r="E8">
        <f>'Plant Inputs'!F20</f>
        <v/>
      </c>
      <c r="F8">
        <f>'Plant Inputs'!G20</f>
        <v/>
      </c>
      <c r="G8">
        <f>'Plant Inputs'!H20</f>
        <v/>
      </c>
      <c r="H8">
        <f>'Plant Inputs'!I20</f>
        <v/>
      </c>
      <c r="I8">
        <f>'Plant Inputs'!J20</f>
        <v/>
      </c>
      <c r="J8">
        <f>'Plant Inputs'!K20</f>
        <v/>
      </c>
      <c r="K8">
        <f>'Plant Inputs'!L20</f>
        <v/>
      </c>
      <c r="L8">
        <f>'Plant Inputs'!M20</f>
        <v/>
      </c>
      <c r="M8">
        <f>'Plant Inputs'!N20</f>
        <v/>
      </c>
      <c r="N8">
        <f>'Plant Inputs'!O20</f>
        <v/>
      </c>
      <c r="O8">
        <f>'Plant Inputs'!P20</f>
        <v/>
      </c>
      <c r="P8">
        <f>'Plant Inputs'!Q20</f>
        <v/>
      </c>
      <c r="Q8">
        <f>'Plant Inputs'!R20</f>
        <v/>
      </c>
      <c r="R8">
        <f>'Plant Inputs'!S20</f>
        <v/>
      </c>
      <c r="S8">
        <f>'Plant Inputs'!T20</f>
        <v/>
      </c>
      <c r="T8">
        <f>'Plant Inputs'!U20</f>
        <v/>
      </c>
      <c r="U8">
        <f>'Plant Inputs'!V20</f>
        <v/>
      </c>
      <c r="V8">
        <f>'Plant Inputs'!W20</f>
        <v/>
      </c>
      <c r="W8">
        <f>'Plant Inputs'!X20</f>
        <v/>
      </c>
      <c r="X8">
        <f>'Plant Inputs'!Y20</f>
        <v/>
      </c>
      <c r="Y8">
        <f>'Plant Inputs'!Z20</f>
        <v/>
      </c>
      <c r="Z8">
        <f>'Plant Inputs'!AA20</f>
        <v/>
      </c>
      <c r="AA8">
        <f>'Plant Inputs'!AB20</f>
        <v/>
      </c>
      <c r="AB8">
        <f>'Plant Inputs'!AC20</f>
        <v/>
      </c>
      <c r="AC8">
        <f>'Plant Inputs'!AD20</f>
        <v/>
      </c>
      <c r="AD8">
        <f>'Plant Inputs'!AE20</f>
        <v/>
      </c>
      <c r="AE8">
        <f>'Plant Inputs'!AF20</f>
        <v/>
      </c>
      <c r="AF8">
        <f>'Plant Inputs'!AG20</f>
        <v/>
      </c>
      <c r="AG8">
        <f>'Plant Inputs'!AH20</f>
        <v/>
      </c>
      <c r="AH8">
        <f>'Plant Inputs'!AI20</f>
        <v/>
      </c>
      <c r="AI8">
        <f>'Plant Inputs'!AJ20</f>
        <v/>
      </c>
      <c r="AJ8">
        <f>'Plant Inputs'!AK20</f>
        <v/>
      </c>
      <c r="AK8">
        <f>'Plant Inputs'!AL20</f>
        <v/>
      </c>
      <c r="AL8">
        <f>'Plant Inputs'!AM20</f>
        <v/>
      </c>
      <c r="AM8">
        <f>'Plant Inputs'!AN20</f>
        <v/>
      </c>
      <c r="AN8">
        <f>'Plant Inputs'!AO20</f>
        <v/>
      </c>
      <c r="AO8">
        <f>'Plant Inputs'!AP20</f>
        <v/>
      </c>
      <c r="AP8">
        <f>'Plant Inputs'!AQ20</f>
        <v/>
      </c>
      <c r="AQ8">
        <f>'Plant Inputs'!AR20</f>
        <v/>
      </c>
      <c r="AR8">
        <f>'Plant Inputs'!AS20</f>
        <v/>
      </c>
      <c r="AS8">
        <f>'Plant Inputs'!AT20</f>
        <v/>
      </c>
      <c r="AT8">
        <f>'Plant Inputs'!AU20</f>
        <v/>
      </c>
      <c r="AU8">
        <f>'Plant Inputs'!AV20</f>
        <v/>
      </c>
      <c r="AV8">
        <f>'Plant Inputs'!AW20</f>
        <v/>
      </c>
      <c r="AW8">
        <f>'Plant Inputs'!AX20</f>
        <v/>
      </c>
      <c r="AX8">
        <f>'Plant Inputs'!AY20</f>
        <v/>
      </c>
      <c r="AY8">
        <f>'Plant Inputs'!AZ20</f>
        <v/>
      </c>
      <c r="AZ8">
        <f>'Plant Inputs'!BA20</f>
        <v/>
      </c>
      <c r="BA8">
        <f>'Plant Inputs'!BB20</f>
        <v/>
      </c>
      <c r="BB8">
        <f>'Plant Inputs'!BC20</f>
        <v/>
      </c>
      <c r="BC8">
        <f>'Plant Inputs'!BD20</f>
        <v/>
      </c>
      <c r="BD8">
        <f>'Plant Inputs'!BE20</f>
        <v/>
      </c>
      <c r="BE8">
        <f>'Plant Inputs'!BF20</f>
        <v/>
      </c>
      <c r="BF8">
        <f>'Plant Inputs'!BG20</f>
        <v/>
      </c>
      <c r="BG8">
        <f>'Plant Inputs'!BH20</f>
        <v/>
      </c>
      <c r="BH8">
        <f>'Plant Inputs'!BI20</f>
        <v/>
      </c>
      <c r="BI8">
        <f>'Plant Inputs'!BJ20</f>
        <v/>
      </c>
      <c r="BJ8">
        <f>'Plant Inputs'!BK20</f>
        <v/>
      </c>
      <c r="BK8">
        <f>'Plant Inputs'!BL20</f>
        <v/>
      </c>
      <c r="BL8">
        <f>'Plant Inputs'!BM20</f>
        <v/>
      </c>
      <c r="BM8">
        <f>'Plant Inputs'!BN20</f>
        <v/>
      </c>
      <c r="BN8">
        <f>'Plant Inputs'!BO20</f>
        <v/>
      </c>
      <c r="BO8">
        <f>'Plant Inputs'!BP20</f>
        <v/>
      </c>
      <c r="BP8">
        <f>'Plant Inputs'!BQ20</f>
        <v/>
      </c>
      <c r="BQ8">
        <f>'Plant Inputs'!BR20</f>
        <v/>
      </c>
      <c r="BR8">
        <f>'Plant Inputs'!BS20</f>
        <v/>
      </c>
      <c r="BS8">
        <f>'Plant Inputs'!BT20</f>
        <v/>
      </c>
      <c r="BT8">
        <f>'Plant Inputs'!BU20</f>
        <v/>
      </c>
      <c r="BU8">
        <f>'Plant Inputs'!BV20</f>
        <v/>
      </c>
      <c r="BV8">
        <f>'Plant Inputs'!BW20</f>
        <v/>
      </c>
      <c r="BW8">
        <f>'Plant Inputs'!BX20</f>
        <v/>
      </c>
      <c r="BX8">
        <f>'Plant Inputs'!BY20</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03</t>
        </is>
      </c>
      <c r="B9" t="inlineStr">
        <is>
          <t>2026-09</t>
        </is>
      </c>
      <c r="C9" t="n">
        <v>30</v>
      </c>
      <c r="D9" t="n">
        <v>6</v>
      </c>
      <c r="E9">
        <f>'Plant Inputs'!F21</f>
        <v/>
      </c>
      <c r="F9">
        <f>'Plant Inputs'!G21</f>
        <v/>
      </c>
      <c r="G9">
        <f>'Plant Inputs'!H21</f>
        <v/>
      </c>
      <c r="H9">
        <f>'Plant Inputs'!I21</f>
        <v/>
      </c>
      <c r="I9">
        <f>'Plant Inputs'!J21</f>
        <v/>
      </c>
      <c r="J9">
        <f>'Plant Inputs'!K21</f>
        <v/>
      </c>
      <c r="K9">
        <f>'Plant Inputs'!L21</f>
        <v/>
      </c>
      <c r="L9">
        <f>'Plant Inputs'!M21</f>
        <v/>
      </c>
      <c r="M9">
        <f>'Plant Inputs'!N21</f>
        <v/>
      </c>
      <c r="N9">
        <f>'Plant Inputs'!O21</f>
        <v/>
      </c>
      <c r="O9">
        <f>'Plant Inputs'!P21</f>
        <v/>
      </c>
      <c r="P9">
        <f>'Plant Inputs'!Q21</f>
        <v/>
      </c>
      <c r="Q9">
        <f>'Plant Inputs'!R21</f>
        <v/>
      </c>
      <c r="R9">
        <f>'Plant Inputs'!S21</f>
        <v/>
      </c>
      <c r="S9">
        <f>'Plant Inputs'!T21</f>
        <v/>
      </c>
      <c r="T9">
        <f>'Plant Inputs'!U21</f>
        <v/>
      </c>
      <c r="U9">
        <f>'Plant Inputs'!V21</f>
        <v/>
      </c>
      <c r="V9">
        <f>'Plant Inputs'!W21</f>
        <v/>
      </c>
      <c r="W9">
        <f>'Plant Inputs'!X21</f>
        <v/>
      </c>
      <c r="X9">
        <f>'Plant Inputs'!Y21</f>
        <v/>
      </c>
      <c r="Y9">
        <f>'Plant Inputs'!Z21</f>
        <v/>
      </c>
      <c r="Z9">
        <f>'Plant Inputs'!AA21</f>
        <v/>
      </c>
      <c r="AA9">
        <f>'Plant Inputs'!AB21</f>
        <v/>
      </c>
      <c r="AB9">
        <f>'Plant Inputs'!AC21</f>
        <v/>
      </c>
      <c r="AC9">
        <f>'Plant Inputs'!AD21</f>
        <v/>
      </c>
      <c r="AD9">
        <f>'Plant Inputs'!AE21</f>
        <v/>
      </c>
      <c r="AE9">
        <f>'Plant Inputs'!AF21</f>
        <v/>
      </c>
      <c r="AF9">
        <f>'Plant Inputs'!AG21</f>
        <v/>
      </c>
      <c r="AG9">
        <f>'Plant Inputs'!AH21</f>
        <v/>
      </c>
      <c r="AH9">
        <f>'Plant Inputs'!AI21</f>
        <v/>
      </c>
      <c r="AI9">
        <f>'Plant Inputs'!AJ21</f>
        <v/>
      </c>
      <c r="AJ9">
        <f>'Plant Inputs'!AK21</f>
        <v/>
      </c>
      <c r="AK9">
        <f>'Plant Inputs'!AL21</f>
        <v/>
      </c>
      <c r="AL9">
        <f>'Plant Inputs'!AM21</f>
        <v/>
      </c>
      <c r="AM9">
        <f>'Plant Inputs'!AN21</f>
        <v/>
      </c>
      <c r="AN9">
        <f>'Plant Inputs'!AO21</f>
        <v/>
      </c>
      <c r="AO9">
        <f>'Plant Inputs'!AP21</f>
        <v/>
      </c>
      <c r="AP9">
        <f>'Plant Inputs'!AQ21</f>
        <v/>
      </c>
      <c r="AQ9">
        <f>'Plant Inputs'!AR21</f>
        <v/>
      </c>
      <c r="AR9">
        <f>'Plant Inputs'!AS21</f>
        <v/>
      </c>
      <c r="AS9">
        <f>'Plant Inputs'!AT21</f>
        <v/>
      </c>
      <c r="AT9">
        <f>'Plant Inputs'!AU21</f>
        <v/>
      </c>
      <c r="AU9">
        <f>'Plant Inputs'!AV21</f>
        <v/>
      </c>
      <c r="AV9">
        <f>'Plant Inputs'!AW21</f>
        <v/>
      </c>
      <c r="AW9">
        <f>'Plant Inputs'!AX21</f>
        <v/>
      </c>
      <c r="AX9">
        <f>'Plant Inputs'!AY21</f>
        <v/>
      </c>
      <c r="AY9">
        <f>'Plant Inputs'!AZ21</f>
        <v/>
      </c>
      <c r="AZ9">
        <f>'Plant Inputs'!BA21</f>
        <v/>
      </c>
      <c r="BA9">
        <f>'Plant Inputs'!BB21</f>
        <v/>
      </c>
      <c r="BB9">
        <f>'Plant Inputs'!BC21</f>
        <v/>
      </c>
      <c r="BC9">
        <f>'Plant Inputs'!BD21</f>
        <v/>
      </c>
      <c r="BD9">
        <f>'Plant Inputs'!BE21</f>
        <v/>
      </c>
      <c r="BE9">
        <f>'Plant Inputs'!BF21</f>
        <v/>
      </c>
      <c r="BF9">
        <f>'Plant Inputs'!BG21</f>
        <v/>
      </c>
      <c r="BG9">
        <f>'Plant Inputs'!BH21</f>
        <v/>
      </c>
      <c r="BH9">
        <f>'Plant Inputs'!BI21</f>
        <v/>
      </c>
      <c r="BI9">
        <f>'Plant Inputs'!BJ21</f>
        <v/>
      </c>
      <c r="BJ9">
        <f>'Plant Inputs'!BK21</f>
        <v/>
      </c>
      <c r="BK9">
        <f>'Plant Inputs'!BL21</f>
        <v/>
      </c>
      <c r="BL9">
        <f>'Plant Inputs'!BM21</f>
        <v/>
      </c>
      <c r="BM9">
        <f>'Plant Inputs'!BN21</f>
        <v/>
      </c>
      <c r="BN9">
        <f>'Plant Inputs'!BO21</f>
        <v/>
      </c>
      <c r="BO9">
        <f>'Plant Inputs'!BP21</f>
        <v/>
      </c>
      <c r="BP9">
        <f>'Plant Inputs'!BQ21</f>
        <v/>
      </c>
      <c r="BQ9">
        <f>'Plant Inputs'!BR21</f>
        <v/>
      </c>
      <c r="BR9">
        <f>'Plant Inputs'!BS21</f>
        <v/>
      </c>
      <c r="BS9">
        <f>'Plant Inputs'!BT21</f>
        <v/>
      </c>
      <c r="BT9">
        <f>'Plant Inputs'!BU21</f>
        <v/>
      </c>
      <c r="BU9">
        <f>'Plant Inputs'!BV21</f>
        <v/>
      </c>
      <c r="BV9">
        <f>'Plant Inputs'!BW21</f>
        <v/>
      </c>
      <c r="BW9">
        <f>'Plant Inputs'!BX21</f>
        <v/>
      </c>
      <c r="BX9">
        <f>'Plant Inputs'!BY21</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04).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04</t>
        </is>
      </c>
      <c r="B4" t="inlineStr">
        <is>
          <t>2026-04</t>
        </is>
      </c>
      <c r="C4" t="n">
        <v>30</v>
      </c>
      <c r="D4" t="n">
        <v>1</v>
      </c>
      <c r="E4">
        <f>'Plant Inputs'!F22</f>
        <v/>
      </c>
      <c r="F4">
        <f>'Plant Inputs'!G22</f>
        <v/>
      </c>
      <c r="G4">
        <f>'Plant Inputs'!H22</f>
        <v/>
      </c>
      <c r="H4">
        <f>'Plant Inputs'!I22</f>
        <v/>
      </c>
      <c r="I4">
        <f>'Plant Inputs'!J22</f>
        <v/>
      </c>
      <c r="J4">
        <f>'Plant Inputs'!K22</f>
        <v/>
      </c>
      <c r="K4">
        <f>'Plant Inputs'!L22</f>
        <v/>
      </c>
      <c r="L4">
        <f>'Plant Inputs'!M22</f>
        <v/>
      </c>
      <c r="M4">
        <f>'Plant Inputs'!N22</f>
        <v/>
      </c>
      <c r="N4">
        <f>'Plant Inputs'!O22</f>
        <v/>
      </c>
      <c r="O4">
        <f>'Plant Inputs'!P22</f>
        <v/>
      </c>
      <c r="P4">
        <f>'Plant Inputs'!Q22</f>
        <v/>
      </c>
      <c r="Q4">
        <f>'Plant Inputs'!R22</f>
        <v/>
      </c>
      <c r="R4">
        <f>'Plant Inputs'!S22</f>
        <v/>
      </c>
      <c r="S4">
        <f>'Plant Inputs'!T22</f>
        <v/>
      </c>
      <c r="T4">
        <f>'Plant Inputs'!U22</f>
        <v/>
      </c>
      <c r="U4">
        <f>'Plant Inputs'!V22</f>
        <v/>
      </c>
      <c r="V4">
        <f>'Plant Inputs'!W22</f>
        <v/>
      </c>
      <c r="W4">
        <f>'Plant Inputs'!X22</f>
        <v/>
      </c>
      <c r="X4">
        <f>'Plant Inputs'!Y22</f>
        <v/>
      </c>
      <c r="Y4">
        <f>'Plant Inputs'!Z22</f>
        <v/>
      </c>
      <c r="Z4">
        <f>'Plant Inputs'!AA22</f>
        <v/>
      </c>
      <c r="AA4">
        <f>'Plant Inputs'!AB22</f>
        <v/>
      </c>
      <c r="AB4">
        <f>'Plant Inputs'!AC22</f>
        <v/>
      </c>
      <c r="AC4">
        <f>'Plant Inputs'!AD22</f>
        <v/>
      </c>
      <c r="AD4">
        <f>'Plant Inputs'!AE22</f>
        <v/>
      </c>
      <c r="AE4">
        <f>'Plant Inputs'!AF22</f>
        <v/>
      </c>
      <c r="AF4">
        <f>'Plant Inputs'!AG22</f>
        <v/>
      </c>
      <c r="AG4">
        <f>'Plant Inputs'!AH22</f>
        <v/>
      </c>
      <c r="AH4">
        <f>'Plant Inputs'!AI22</f>
        <v/>
      </c>
      <c r="AI4">
        <f>'Plant Inputs'!AJ22</f>
        <v/>
      </c>
      <c r="AJ4">
        <f>'Plant Inputs'!AK22</f>
        <v/>
      </c>
      <c r="AK4">
        <f>'Plant Inputs'!AL22</f>
        <v/>
      </c>
      <c r="AL4">
        <f>'Plant Inputs'!AM22</f>
        <v/>
      </c>
      <c r="AM4">
        <f>'Plant Inputs'!AN22</f>
        <v/>
      </c>
      <c r="AN4">
        <f>'Plant Inputs'!AO22</f>
        <v/>
      </c>
      <c r="AO4">
        <f>'Plant Inputs'!AP22</f>
        <v/>
      </c>
      <c r="AP4">
        <f>'Plant Inputs'!AQ22</f>
        <v/>
      </c>
      <c r="AQ4">
        <f>'Plant Inputs'!AR22</f>
        <v/>
      </c>
      <c r="AR4">
        <f>'Plant Inputs'!AS22</f>
        <v/>
      </c>
      <c r="AS4">
        <f>'Plant Inputs'!AT22</f>
        <v/>
      </c>
      <c r="AT4">
        <f>'Plant Inputs'!AU22</f>
        <v/>
      </c>
      <c r="AU4">
        <f>'Plant Inputs'!AV22</f>
        <v/>
      </c>
      <c r="AV4">
        <f>'Plant Inputs'!AW22</f>
        <v/>
      </c>
      <c r="AW4">
        <f>'Plant Inputs'!AX22</f>
        <v/>
      </c>
      <c r="AX4">
        <f>'Plant Inputs'!AY22</f>
        <v/>
      </c>
      <c r="AY4">
        <f>'Plant Inputs'!AZ22</f>
        <v/>
      </c>
      <c r="AZ4">
        <f>'Plant Inputs'!BA22</f>
        <v/>
      </c>
      <c r="BA4">
        <f>'Plant Inputs'!BB22</f>
        <v/>
      </c>
      <c r="BB4">
        <f>'Plant Inputs'!BC22</f>
        <v/>
      </c>
      <c r="BC4">
        <f>'Plant Inputs'!BD22</f>
        <v/>
      </c>
      <c r="BD4">
        <f>'Plant Inputs'!BE22</f>
        <v/>
      </c>
      <c r="BE4">
        <f>'Plant Inputs'!BF22</f>
        <v/>
      </c>
      <c r="BF4">
        <f>'Plant Inputs'!BG22</f>
        <v/>
      </c>
      <c r="BG4">
        <f>'Plant Inputs'!BH22</f>
        <v/>
      </c>
      <c r="BH4">
        <f>'Plant Inputs'!BI22</f>
        <v/>
      </c>
      <c r="BI4">
        <f>'Plant Inputs'!BJ22</f>
        <v/>
      </c>
      <c r="BJ4">
        <f>'Plant Inputs'!BK22</f>
        <v/>
      </c>
      <c r="BK4">
        <f>'Plant Inputs'!BL22</f>
        <v/>
      </c>
      <c r="BL4">
        <f>'Plant Inputs'!BM22</f>
        <v/>
      </c>
      <c r="BM4">
        <f>'Plant Inputs'!BN22</f>
        <v/>
      </c>
      <c r="BN4">
        <f>'Plant Inputs'!BO22</f>
        <v/>
      </c>
      <c r="BO4">
        <f>'Plant Inputs'!BP22</f>
        <v/>
      </c>
      <c r="BP4">
        <f>'Plant Inputs'!BQ22</f>
        <v/>
      </c>
      <c r="BQ4">
        <f>'Plant Inputs'!BR22</f>
        <v/>
      </c>
      <c r="BR4">
        <f>'Plant Inputs'!BS22</f>
        <v/>
      </c>
      <c r="BS4">
        <f>'Plant Inputs'!BT22</f>
        <v/>
      </c>
      <c r="BT4">
        <f>'Plant Inputs'!BU22</f>
        <v/>
      </c>
      <c r="BU4">
        <f>'Plant Inputs'!BV22</f>
        <v/>
      </c>
      <c r="BV4">
        <f>'Plant Inputs'!BW22</f>
        <v/>
      </c>
      <c r="BW4">
        <f>'Plant Inputs'!BX22</f>
        <v/>
      </c>
      <c r="BX4">
        <f>'Plant Inputs'!BY22</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04</t>
        </is>
      </c>
      <c r="B5" t="inlineStr">
        <is>
          <t>2026-05</t>
        </is>
      </c>
      <c r="C5" t="n">
        <v>31</v>
      </c>
      <c r="D5" t="n">
        <v>2</v>
      </c>
      <c r="E5">
        <f>'Plant Inputs'!F23</f>
        <v/>
      </c>
      <c r="F5">
        <f>'Plant Inputs'!G23</f>
        <v/>
      </c>
      <c r="G5">
        <f>'Plant Inputs'!H23</f>
        <v/>
      </c>
      <c r="H5">
        <f>'Plant Inputs'!I23</f>
        <v/>
      </c>
      <c r="I5">
        <f>'Plant Inputs'!J23</f>
        <v/>
      </c>
      <c r="J5">
        <f>'Plant Inputs'!K23</f>
        <v/>
      </c>
      <c r="K5">
        <f>'Plant Inputs'!L23</f>
        <v/>
      </c>
      <c r="L5">
        <f>'Plant Inputs'!M23</f>
        <v/>
      </c>
      <c r="M5">
        <f>'Plant Inputs'!N23</f>
        <v/>
      </c>
      <c r="N5">
        <f>'Plant Inputs'!O23</f>
        <v/>
      </c>
      <c r="O5">
        <f>'Plant Inputs'!P23</f>
        <v/>
      </c>
      <c r="P5">
        <f>'Plant Inputs'!Q23</f>
        <v/>
      </c>
      <c r="Q5">
        <f>'Plant Inputs'!R23</f>
        <v/>
      </c>
      <c r="R5">
        <f>'Plant Inputs'!S23</f>
        <v/>
      </c>
      <c r="S5">
        <f>'Plant Inputs'!T23</f>
        <v/>
      </c>
      <c r="T5">
        <f>'Plant Inputs'!U23</f>
        <v/>
      </c>
      <c r="U5">
        <f>'Plant Inputs'!V23</f>
        <v/>
      </c>
      <c r="V5">
        <f>'Plant Inputs'!W23</f>
        <v/>
      </c>
      <c r="W5">
        <f>'Plant Inputs'!X23</f>
        <v/>
      </c>
      <c r="X5">
        <f>'Plant Inputs'!Y23</f>
        <v/>
      </c>
      <c r="Y5">
        <f>'Plant Inputs'!Z23</f>
        <v/>
      </c>
      <c r="Z5">
        <f>'Plant Inputs'!AA23</f>
        <v/>
      </c>
      <c r="AA5">
        <f>'Plant Inputs'!AB23</f>
        <v/>
      </c>
      <c r="AB5">
        <f>'Plant Inputs'!AC23</f>
        <v/>
      </c>
      <c r="AC5">
        <f>'Plant Inputs'!AD23</f>
        <v/>
      </c>
      <c r="AD5">
        <f>'Plant Inputs'!AE23</f>
        <v/>
      </c>
      <c r="AE5">
        <f>'Plant Inputs'!AF23</f>
        <v/>
      </c>
      <c r="AF5">
        <f>'Plant Inputs'!AG23</f>
        <v/>
      </c>
      <c r="AG5">
        <f>'Plant Inputs'!AH23</f>
        <v/>
      </c>
      <c r="AH5">
        <f>'Plant Inputs'!AI23</f>
        <v/>
      </c>
      <c r="AI5">
        <f>'Plant Inputs'!AJ23</f>
        <v/>
      </c>
      <c r="AJ5">
        <f>'Plant Inputs'!AK23</f>
        <v/>
      </c>
      <c r="AK5">
        <f>'Plant Inputs'!AL23</f>
        <v/>
      </c>
      <c r="AL5">
        <f>'Plant Inputs'!AM23</f>
        <v/>
      </c>
      <c r="AM5">
        <f>'Plant Inputs'!AN23</f>
        <v/>
      </c>
      <c r="AN5">
        <f>'Plant Inputs'!AO23</f>
        <v/>
      </c>
      <c r="AO5">
        <f>'Plant Inputs'!AP23</f>
        <v/>
      </c>
      <c r="AP5">
        <f>'Plant Inputs'!AQ23</f>
        <v/>
      </c>
      <c r="AQ5">
        <f>'Plant Inputs'!AR23</f>
        <v/>
      </c>
      <c r="AR5">
        <f>'Plant Inputs'!AS23</f>
        <v/>
      </c>
      <c r="AS5">
        <f>'Plant Inputs'!AT23</f>
        <v/>
      </c>
      <c r="AT5">
        <f>'Plant Inputs'!AU23</f>
        <v/>
      </c>
      <c r="AU5">
        <f>'Plant Inputs'!AV23</f>
        <v/>
      </c>
      <c r="AV5">
        <f>'Plant Inputs'!AW23</f>
        <v/>
      </c>
      <c r="AW5">
        <f>'Plant Inputs'!AX23</f>
        <v/>
      </c>
      <c r="AX5">
        <f>'Plant Inputs'!AY23</f>
        <v/>
      </c>
      <c r="AY5">
        <f>'Plant Inputs'!AZ23</f>
        <v/>
      </c>
      <c r="AZ5">
        <f>'Plant Inputs'!BA23</f>
        <v/>
      </c>
      <c r="BA5">
        <f>'Plant Inputs'!BB23</f>
        <v/>
      </c>
      <c r="BB5">
        <f>'Plant Inputs'!BC23</f>
        <v/>
      </c>
      <c r="BC5">
        <f>'Plant Inputs'!BD23</f>
        <v/>
      </c>
      <c r="BD5">
        <f>'Plant Inputs'!BE23</f>
        <v/>
      </c>
      <c r="BE5">
        <f>'Plant Inputs'!BF23</f>
        <v/>
      </c>
      <c r="BF5">
        <f>'Plant Inputs'!BG23</f>
        <v/>
      </c>
      <c r="BG5">
        <f>'Plant Inputs'!BH23</f>
        <v/>
      </c>
      <c r="BH5">
        <f>'Plant Inputs'!BI23</f>
        <v/>
      </c>
      <c r="BI5">
        <f>'Plant Inputs'!BJ23</f>
        <v/>
      </c>
      <c r="BJ5">
        <f>'Plant Inputs'!BK23</f>
        <v/>
      </c>
      <c r="BK5">
        <f>'Plant Inputs'!BL23</f>
        <v/>
      </c>
      <c r="BL5">
        <f>'Plant Inputs'!BM23</f>
        <v/>
      </c>
      <c r="BM5">
        <f>'Plant Inputs'!BN23</f>
        <v/>
      </c>
      <c r="BN5">
        <f>'Plant Inputs'!BO23</f>
        <v/>
      </c>
      <c r="BO5">
        <f>'Plant Inputs'!BP23</f>
        <v/>
      </c>
      <c r="BP5">
        <f>'Plant Inputs'!BQ23</f>
        <v/>
      </c>
      <c r="BQ5">
        <f>'Plant Inputs'!BR23</f>
        <v/>
      </c>
      <c r="BR5">
        <f>'Plant Inputs'!BS23</f>
        <v/>
      </c>
      <c r="BS5">
        <f>'Plant Inputs'!BT23</f>
        <v/>
      </c>
      <c r="BT5">
        <f>'Plant Inputs'!BU23</f>
        <v/>
      </c>
      <c r="BU5">
        <f>'Plant Inputs'!BV23</f>
        <v/>
      </c>
      <c r="BV5">
        <f>'Plant Inputs'!BW23</f>
        <v/>
      </c>
      <c r="BW5">
        <f>'Plant Inputs'!BX23</f>
        <v/>
      </c>
      <c r="BX5">
        <f>'Plant Inputs'!BY23</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04</t>
        </is>
      </c>
      <c r="B6" t="inlineStr">
        <is>
          <t>2026-06</t>
        </is>
      </c>
      <c r="C6" t="n">
        <v>30</v>
      </c>
      <c r="D6" t="n">
        <v>3</v>
      </c>
      <c r="E6">
        <f>'Plant Inputs'!F24</f>
        <v/>
      </c>
      <c r="F6">
        <f>'Plant Inputs'!G24</f>
        <v/>
      </c>
      <c r="G6">
        <f>'Plant Inputs'!H24</f>
        <v/>
      </c>
      <c r="H6">
        <f>'Plant Inputs'!I24</f>
        <v/>
      </c>
      <c r="I6">
        <f>'Plant Inputs'!J24</f>
        <v/>
      </c>
      <c r="J6">
        <f>'Plant Inputs'!K24</f>
        <v/>
      </c>
      <c r="K6">
        <f>'Plant Inputs'!L24</f>
        <v/>
      </c>
      <c r="L6">
        <f>'Plant Inputs'!M24</f>
        <v/>
      </c>
      <c r="M6">
        <f>'Plant Inputs'!N24</f>
        <v/>
      </c>
      <c r="N6">
        <f>'Plant Inputs'!O24</f>
        <v/>
      </c>
      <c r="O6">
        <f>'Plant Inputs'!P24</f>
        <v/>
      </c>
      <c r="P6">
        <f>'Plant Inputs'!Q24</f>
        <v/>
      </c>
      <c r="Q6">
        <f>'Plant Inputs'!R24</f>
        <v/>
      </c>
      <c r="R6">
        <f>'Plant Inputs'!S24</f>
        <v/>
      </c>
      <c r="S6">
        <f>'Plant Inputs'!T24</f>
        <v/>
      </c>
      <c r="T6">
        <f>'Plant Inputs'!U24</f>
        <v/>
      </c>
      <c r="U6">
        <f>'Plant Inputs'!V24</f>
        <v/>
      </c>
      <c r="V6">
        <f>'Plant Inputs'!W24</f>
        <v/>
      </c>
      <c r="W6">
        <f>'Plant Inputs'!X24</f>
        <v/>
      </c>
      <c r="X6">
        <f>'Plant Inputs'!Y24</f>
        <v/>
      </c>
      <c r="Y6">
        <f>'Plant Inputs'!Z24</f>
        <v/>
      </c>
      <c r="Z6">
        <f>'Plant Inputs'!AA24</f>
        <v/>
      </c>
      <c r="AA6">
        <f>'Plant Inputs'!AB24</f>
        <v/>
      </c>
      <c r="AB6">
        <f>'Plant Inputs'!AC24</f>
        <v/>
      </c>
      <c r="AC6">
        <f>'Plant Inputs'!AD24</f>
        <v/>
      </c>
      <c r="AD6">
        <f>'Plant Inputs'!AE24</f>
        <v/>
      </c>
      <c r="AE6">
        <f>'Plant Inputs'!AF24</f>
        <v/>
      </c>
      <c r="AF6">
        <f>'Plant Inputs'!AG24</f>
        <v/>
      </c>
      <c r="AG6">
        <f>'Plant Inputs'!AH24</f>
        <v/>
      </c>
      <c r="AH6">
        <f>'Plant Inputs'!AI24</f>
        <v/>
      </c>
      <c r="AI6">
        <f>'Plant Inputs'!AJ24</f>
        <v/>
      </c>
      <c r="AJ6">
        <f>'Plant Inputs'!AK24</f>
        <v/>
      </c>
      <c r="AK6">
        <f>'Plant Inputs'!AL24</f>
        <v/>
      </c>
      <c r="AL6">
        <f>'Plant Inputs'!AM24</f>
        <v/>
      </c>
      <c r="AM6">
        <f>'Plant Inputs'!AN24</f>
        <v/>
      </c>
      <c r="AN6">
        <f>'Plant Inputs'!AO24</f>
        <v/>
      </c>
      <c r="AO6">
        <f>'Plant Inputs'!AP24</f>
        <v/>
      </c>
      <c r="AP6">
        <f>'Plant Inputs'!AQ24</f>
        <v/>
      </c>
      <c r="AQ6">
        <f>'Plant Inputs'!AR24</f>
        <v/>
      </c>
      <c r="AR6">
        <f>'Plant Inputs'!AS24</f>
        <v/>
      </c>
      <c r="AS6">
        <f>'Plant Inputs'!AT24</f>
        <v/>
      </c>
      <c r="AT6">
        <f>'Plant Inputs'!AU24</f>
        <v/>
      </c>
      <c r="AU6">
        <f>'Plant Inputs'!AV24</f>
        <v/>
      </c>
      <c r="AV6">
        <f>'Plant Inputs'!AW24</f>
        <v/>
      </c>
      <c r="AW6">
        <f>'Plant Inputs'!AX24</f>
        <v/>
      </c>
      <c r="AX6">
        <f>'Plant Inputs'!AY24</f>
        <v/>
      </c>
      <c r="AY6">
        <f>'Plant Inputs'!AZ24</f>
        <v/>
      </c>
      <c r="AZ6">
        <f>'Plant Inputs'!BA24</f>
        <v/>
      </c>
      <c r="BA6">
        <f>'Plant Inputs'!BB24</f>
        <v/>
      </c>
      <c r="BB6">
        <f>'Plant Inputs'!BC24</f>
        <v/>
      </c>
      <c r="BC6">
        <f>'Plant Inputs'!BD24</f>
        <v/>
      </c>
      <c r="BD6">
        <f>'Plant Inputs'!BE24</f>
        <v/>
      </c>
      <c r="BE6">
        <f>'Plant Inputs'!BF24</f>
        <v/>
      </c>
      <c r="BF6">
        <f>'Plant Inputs'!BG24</f>
        <v/>
      </c>
      <c r="BG6">
        <f>'Plant Inputs'!BH24</f>
        <v/>
      </c>
      <c r="BH6">
        <f>'Plant Inputs'!BI24</f>
        <v/>
      </c>
      <c r="BI6">
        <f>'Plant Inputs'!BJ24</f>
        <v/>
      </c>
      <c r="BJ6">
        <f>'Plant Inputs'!BK24</f>
        <v/>
      </c>
      <c r="BK6">
        <f>'Plant Inputs'!BL24</f>
        <v/>
      </c>
      <c r="BL6">
        <f>'Plant Inputs'!BM24</f>
        <v/>
      </c>
      <c r="BM6">
        <f>'Plant Inputs'!BN24</f>
        <v/>
      </c>
      <c r="BN6">
        <f>'Plant Inputs'!BO24</f>
        <v/>
      </c>
      <c r="BO6">
        <f>'Plant Inputs'!BP24</f>
        <v/>
      </c>
      <c r="BP6">
        <f>'Plant Inputs'!BQ24</f>
        <v/>
      </c>
      <c r="BQ6">
        <f>'Plant Inputs'!BR24</f>
        <v/>
      </c>
      <c r="BR6">
        <f>'Plant Inputs'!BS24</f>
        <v/>
      </c>
      <c r="BS6">
        <f>'Plant Inputs'!BT24</f>
        <v/>
      </c>
      <c r="BT6">
        <f>'Plant Inputs'!BU24</f>
        <v/>
      </c>
      <c r="BU6">
        <f>'Plant Inputs'!BV24</f>
        <v/>
      </c>
      <c r="BV6">
        <f>'Plant Inputs'!BW24</f>
        <v/>
      </c>
      <c r="BW6">
        <f>'Plant Inputs'!BX24</f>
        <v/>
      </c>
      <c r="BX6">
        <f>'Plant Inputs'!BY24</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04</t>
        </is>
      </c>
      <c r="B7" t="inlineStr">
        <is>
          <t>2026-07</t>
        </is>
      </c>
      <c r="C7" t="n">
        <v>31</v>
      </c>
      <c r="D7" t="n">
        <v>4</v>
      </c>
      <c r="E7">
        <f>'Plant Inputs'!F25</f>
        <v/>
      </c>
      <c r="F7">
        <f>'Plant Inputs'!G25</f>
        <v/>
      </c>
      <c r="G7">
        <f>'Plant Inputs'!H25</f>
        <v/>
      </c>
      <c r="H7">
        <f>'Plant Inputs'!I25</f>
        <v/>
      </c>
      <c r="I7">
        <f>'Plant Inputs'!J25</f>
        <v/>
      </c>
      <c r="J7">
        <f>'Plant Inputs'!K25</f>
        <v/>
      </c>
      <c r="K7">
        <f>'Plant Inputs'!L25</f>
        <v/>
      </c>
      <c r="L7">
        <f>'Plant Inputs'!M25</f>
        <v/>
      </c>
      <c r="M7">
        <f>'Plant Inputs'!N25</f>
        <v/>
      </c>
      <c r="N7">
        <f>'Plant Inputs'!O25</f>
        <v/>
      </c>
      <c r="O7">
        <f>'Plant Inputs'!P25</f>
        <v/>
      </c>
      <c r="P7">
        <f>'Plant Inputs'!Q25</f>
        <v/>
      </c>
      <c r="Q7">
        <f>'Plant Inputs'!R25</f>
        <v/>
      </c>
      <c r="R7">
        <f>'Plant Inputs'!S25</f>
        <v/>
      </c>
      <c r="S7">
        <f>'Plant Inputs'!T25</f>
        <v/>
      </c>
      <c r="T7">
        <f>'Plant Inputs'!U25</f>
        <v/>
      </c>
      <c r="U7">
        <f>'Plant Inputs'!V25</f>
        <v/>
      </c>
      <c r="V7">
        <f>'Plant Inputs'!W25</f>
        <v/>
      </c>
      <c r="W7">
        <f>'Plant Inputs'!X25</f>
        <v/>
      </c>
      <c r="X7">
        <f>'Plant Inputs'!Y25</f>
        <v/>
      </c>
      <c r="Y7">
        <f>'Plant Inputs'!Z25</f>
        <v/>
      </c>
      <c r="Z7">
        <f>'Plant Inputs'!AA25</f>
        <v/>
      </c>
      <c r="AA7">
        <f>'Plant Inputs'!AB25</f>
        <v/>
      </c>
      <c r="AB7">
        <f>'Plant Inputs'!AC25</f>
        <v/>
      </c>
      <c r="AC7">
        <f>'Plant Inputs'!AD25</f>
        <v/>
      </c>
      <c r="AD7">
        <f>'Plant Inputs'!AE25</f>
        <v/>
      </c>
      <c r="AE7">
        <f>'Plant Inputs'!AF25</f>
        <v/>
      </c>
      <c r="AF7">
        <f>'Plant Inputs'!AG25</f>
        <v/>
      </c>
      <c r="AG7">
        <f>'Plant Inputs'!AH25</f>
        <v/>
      </c>
      <c r="AH7">
        <f>'Plant Inputs'!AI25</f>
        <v/>
      </c>
      <c r="AI7">
        <f>'Plant Inputs'!AJ25</f>
        <v/>
      </c>
      <c r="AJ7">
        <f>'Plant Inputs'!AK25</f>
        <v/>
      </c>
      <c r="AK7">
        <f>'Plant Inputs'!AL25</f>
        <v/>
      </c>
      <c r="AL7">
        <f>'Plant Inputs'!AM25</f>
        <v/>
      </c>
      <c r="AM7">
        <f>'Plant Inputs'!AN25</f>
        <v/>
      </c>
      <c r="AN7">
        <f>'Plant Inputs'!AO25</f>
        <v/>
      </c>
      <c r="AO7">
        <f>'Plant Inputs'!AP25</f>
        <v/>
      </c>
      <c r="AP7">
        <f>'Plant Inputs'!AQ25</f>
        <v/>
      </c>
      <c r="AQ7">
        <f>'Plant Inputs'!AR25</f>
        <v/>
      </c>
      <c r="AR7">
        <f>'Plant Inputs'!AS25</f>
        <v/>
      </c>
      <c r="AS7">
        <f>'Plant Inputs'!AT25</f>
        <v/>
      </c>
      <c r="AT7">
        <f>'Plant Inputs'!AU25</f>
        <v/>
      </c>
      <c r="AU7">
        <f>'Plant Inputs'!AV25</f>
        <v/>
      </c>
      <c r="AV7">
        <f>'Plant Inputs'!AW25</f>
        <v/>
      </c>
      <c r="AW7">
        <f>'Plant Inputs'!AX25</f>
        <v/>
      </c>
      <c r="AX7">
        <f>'Plant Inputs'!AY25</f>
        <v/>
      </c>
      <c r="AY7">
        <f>'Plant Inputs'!AZ25</f>
        <v/>
      </c>
      <c r="AZ7">
        <f>'Plant Inputs'!BA25</f>
        <v/>
      </c>
      <c r="BA7">
        <f>'Plant Inputs'!BB25</f>
        <v/>
      </c>
      <c r="BB7">
        <f>'Plant Inputs'!BC25</f>
        <v/>
      </c>
      <c r="BC7">
        <f>'Plant Inputs'!BD25</f>
        <v/>
      </c>
      <c r="BD7">
        <f>'Plant Inputs'!BE25</f>
        <v/>
      </c>
      <c r="BE7">
        <f>'Plant Inputs'!BF25</f>
        <v/>
      </c>
      <c r="BF7">
        <f>'Plant Inputs'!BG25</f>
        <v/>
      </c>
      <c r="BG7">
        <f>'Plant Inputs'!BH25</f>
        <v/>
      </c>
      <c r="BH7">
        <f>'Plant Inputs'!BI25</f>
        <v/>
      </c>
      <c r="BI7">
        <f>'Plant Inputs'!BJ25</f>
        <v/>
      </c>
      <c r="BJ7">
        <f>'Plant Inputs'!BK25</f>
        <v/>
      </c>
      <c r="BK7">
        <f>'Plant Inputs'!BL25</f>
        <v/>
      </c>
      <c r="BL7">
        <f>'Plant Inputs'!BM25</f>
        <v/>
      </c>
      <c r="BM7">
        <f>'Plant Inputs'!BN25</f>
        <v/>
      </c>
      <c r="BN7">
        <f>'Plant Inputs'!BO25</f>
        <v/>
      </c>
      <c r="BO7">
        <f>'Plant Inputs'!BP25</f>
        <v/>
      </c>
      <c r="BP7">
        <f>'Plant Inputs'!BQ25</f>
        <v/>
      </c>
      <c r="BQ7">
        <f>'Plant Inputs'!BR25</f>
        <v/>
      </c>
      <c r="BR7">
        <f>'Plant Inputs'!BS25</f>
        <v/>
      </c>
      <c r="BS7">
        <f>'Plant Inputs'!BT25</f>
        <v/>
      </c>
      <c r="BT7">
        <f>'Plant Inputs'!BU25</f>
        <v/>
      </c>
      <c r="BU7">
        <f>'Plant Inputs'!BV25</f>
        <v/>
      </c>
      <c r="BV7">
        <f>'Plant Inputs'!BW25</f>
        <v/>
      </c>
      <c r="BW7">
        <f>'Plant Inputs'!BX25</f>
        <v/>
      </c>
      <c r="BX7">
        <f>'Plant Inputs'!BY25</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04</t>
        </is>
      </c>
      <c r="B8" t="inlineStr">
        <is>
          <t>2026-08</t>
        </is>
      </c>
      <c r="C8" t="n">
        <v>31</v>
      </c>
      <c r="D8" t="n">
        <v>5</v>
      </c>
      <c r="E8">
        <f>'Plant Inputs'!F26</f>
        <v/>
      </c>
      <c r="F8">
        <f>'Plant Inputs'!G26</f>
        <v/>
      </c>
      <c r="G8">
        <f>'Plant Inputs'!H26</f>
        <v/>
      </c>
      <c r="H8">
        <f>'Plant Inputs'!I26</f>
        <v/>
      </c>
      <c r="I8">
        <f>'Plant Inputs'!J26</f>
        <v/>
      </c>
      <c r="J8">
        <f>'Plant Inputs'!K26</f>
        <v/>
      </c>
      <c r="K8">
        <f>'Plant Inputs'!L26</f>
        <v/>
      </c>
      <c r="L8">
        <f>'Plant Inputs'!M26</f>
        <v/>
      </c>
      <c r="M8">
        <f>'Plant Inputs'!N26</f>
        <v/>
      </c>
      <c r="N8">
        <f>'Plant Inputs'!O26</f>
        <v/>
      </c>
      <c r="O8">
        <f>'Plant Inputs'!P26</f>
        <v/>
      </c>
      <c r="P8">
        <f>'Plant Inputs'!Q26</f>
        <v/>
      </c>
      <c r="Q8">
        <f>'Plant Inputs'!R26</f>
        <v/>
      </c>
      <c r="R8">
        <f>'Plant Inputs'!S26</f>
        <v/>
      </c>
      <c r="S8">
        <f>'Plant Inputs'!T26</f>
        <v/>
      </c>
      <c r="T8">
        <f>'Plant Inputs'!U26</f>
        <v/>
      </c>
      <c r="U8">
        <f>'Plant Inputs'!V26</f>
        <v/>
      </c>
      <c r="V8">
        <f>'Plant Inputs'!W26</f>
        <v/>
      </c>
      <c r="W8">
        <f>'Plant Inputs'!X26</f>
        <v/>
      </c>
      <c r="X8">
        <f>'Plant Inputs'!Y26</f>
        <v/>
      </c>
      <c r="Y8">
        <f>'Plant Inputs'!Z26</f>
        <v/>
      </c>
      <c r="Z8">
        <f>'Plant Inputs'!AA26</f>
        <v/>
      </c>
      <c r="AA8">
        <f>'Plant Inputs'!AB26</f>
        <v/>
      </c>
      <c r="AB8">
        <f>'Plant Inputs'!AC26</f>
        <v/>
      </c>
      <c r="AC8">
        <f>'Plant Inputs'!AD26</f>
        <v/>
      </c>
      <c r="AD8">
        <f>'Plant Inputs'!AE26</f>
        <v/>
      </c>
      <c r="AE8">
        <f>'Plant Inputs'!AF26</f>
        <v/>
      </c>
      <c r="AF8">
        <f>'Plant Inputs'!AG26</f>
        <v/>
      </c>
      <c r="AG8">
        <f>'Plant Inputs'!AH26</f>
        <v/>
      </c>
      <c r="AH8">
        <f>'Plant Inputs'!AI26</f>
        <v/>
      </c>
      <c r="AI8">
        <f>'Plant Inputs'!AJ26</f>
        <v/>
      </c>
      <c r="AJ8">
        <f>'Plant Inputs'!AK26</f>
        <v/>
      </c>
      <c r="AK8">
        <f>'Plant Inputs'!AL26</f>
        <v/>
      </c>
      <c r="AL8">
        <f>'Plant Inputs'!AM26</f>
        <v/>
      </c>
      <c r="AM8">
        <f>'Plant Inputs'!AN26</f>
        <v/>
      </c>
      <c r="AN8">
        <f>'Plant Inputs'!AO26</f>
        <v/>
      </c>
      <c r="AO8">
        <f>'Plant Inputs'!AP26</f>
        <v/>
      </c>
      <c r="AP8">
        <f>'Plant Inputs'!AQ26</f>
        <v/>
      </c>
      <c r="AQ8">
        <f>'Plant Inputs'!AR26</f>
        <v/>
      </c>
      <c r="AR8">
        <f>'Plant Inputs'!AS26</f>
        <v/>
      </c>
      <c r="AS8">
        <f>'Plant Inputs'!AT26</f>
        <v/>
      </c>
      <c r="AT8">
        <f>'Plant Inputs'!AU26</f>
        <v/>
      </c>
      <c r="AU8">
        <f>'Plant Inputs'!AV26</f>
        <v/>
      </c>
      <c r="AV8">
        <f>'Plant Inputs'!AW26</f>
        <v/>
      </c>
      <c r="AW8">
        <f>'Plant Inputs'!AX26</f>
        <v/>
      </c>
      <c r="AX8">
        <f>'Plant Inputs'!AY26</f>
        <v/>
      </c>
      <c r="AY8">
        <f>'Plant Inputs'!AZ26</f>
        <v/>
      </c>
      <c r="AZ8">
        <f>'Plant Inputs'!BA26</f>
        <v/>
      </c>
      <c r="BA8">
        <f>'Plant Inputs'!BB26</f>
        <v/>
      </c>
      <c r="BB8">
        <f>'Plant Inputs'!BC26</f>
        <v/>
      </c>
      <c r="BC8">
        <f>'Plant Inputs'!BD26</f>
        <v/>
      </c>
      <c r="BD8">
        <f>'Plant Inputs'!BE26</f>
        <v/>
      </c>
      <c r="BE8">
        <f>'Plant Inputs'!BF26</f>
        <v/>
      </c>
      <c r="BF8">
        <f>'Plant Inputs'!BG26</f>
        <v/>
      </c>
      <c r="BG8">
        <f>'Plant Inputs'!BH26</f>
        <v/>
      </c>
      <c r="BH8">
        <f>'Plant Inputs'!BI26</f>
        <v/>
      </c>
      <c r="BI8">
        <f>'Plant Inputs'!BJ26</f>
        <v/>
      </c>
      <c r="BJ8">
        <f>'Plant Inputs'!BK26</f>
        <v/>
      </c>
      <c r="BK8">
        <f>'Plant Inputs'!BL26</f>
        <v/>
      </c>
      <c r="BL8">
        <f>'Plant Inputs'!BM26</f>
        <v/>
      </c>
      <c r="BM8">
        <f>'Plant Inputs'!BN26</f>
        <v/>
      </c>
      <c r="BN8">
        <f>'Plant Inputs'!BO26</f>
        <v/>
      </c>
      <c r="BO8">
        <f>'Plant Inputs'!BP26</f>
        <v/>
      </c>
      <c r="BP8">
        <f>'Plant Inputs'!BQ26</f>
        <v/>
      </c>
      <c r="BQ8">
        <f>'Plant Inputs'!BR26</f>
        <v/>
      </c>
      <c r="BR8">
        <f>'Plant Inputs'!BS26</f>
        <v/>
      </c>
      <c r="BS8">
        <f>'Plant Inputs'!BT26</f>
        <v/>
      </c>
      <c r="BT8">
        <f>'Plant Inputs'!BU26</f>
        <v/>
      </c>
      <c r="BU8">
        <f>'Plant Inputs'!BV26</f>
        <v/>
      </c>
      <c r="BV8">
        <f>'Plant Inputs'!BW26</f>
        <v/>
      </c>
      <c r="BW8">
        <f>'Plant Inputs'!BX26</f>
        <v/>
      </c>
      <c r="BX8">
        <f>'Plant Inputs'!BY26</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04</t>
        </is>
      </c>
      <c r="B9" t="inlineStr">
        <is>
          <t>2026-09</t>
        </is>
      </c>
      <c r="C9" t="n">
        <v>30</v>
      </c>
      <c r="D9" t="n">
        <v>6</v>
      </c>
      <c r="E9">
        <f>'Plant Inputs'!F27</f>
        <v/>
      </c>
      <c r="F9">
        <f>'Plant Inputs'!G27</f>
        <v/>
      </c>
      <c r="G9">
        <f>'Plant Inputs'!H27</f>
        <v/>
      </c>
      <c r="H9">
        <f>'Plant Inputs'!I27</f>
        <v/>
      </c>
      <c r="I9">
        <f>'Plant Inputs'!J27</f>
        <v/>
      </c>
      <c r="J9">
        <f>'Plant Inputs'!K27</f>
        <v/>
      </c>
      <c r="K9">
        <f>'Plant Inputs'!L27</f>
        <v/>
      </c>
      <c r="L9">
        <f>'Plant Inputs'!M27</f>
        <v/>
      </c>
      <c r="M9">
        <f>'Plant Inputs'!N27</f>
        <v/>
      </c>
      <c r="N9">
        <f>'Plant Inputs'!O27</f>
        <v/>
      </c>
      <c r="O9">
        <f>'Plant Inputs'!P27</f>
        <v/>
      </c>
      <c r="P9">
        <f>'Plant Inputs'!Q27</f>
        <v/>
      </c>
      <c r="Q9">
        <f>'Plant Inputs'!R27</f>
        <v/>
      </c>
      <c r="R9">
        <f>'Plant Inputs'!S27</f>
        <v/>
      </c>
      <c r="S9">
        <f>'Plant Inputs'!T27</f>
        <v/>
      </c>
      <c r="T9">
        <f>'Plant Inputs'!U27</f>
        <v/>
      </c>
      <c r="U9">
        <f>'Plant Inputs'!V27</f>
        <v/>
      </c>
      <c r="V9">
        <f>'Plant Inputs'!W27</f>
        <v/>
      </c>
      <c r="W9">
        <f>'Plant Inputs'!X27</f>
        <v/>
      </c>
      <c r="X9">
        <f>'Plant Inputs'!Y27</f>
        <v/>
      </c>
      <c r="Y9">
        <f>'Plant Inputs'!Z27</f>
        <v/>
      </c>
      <c r="Z9">
        <f>'Plant Inputs'!AA27</f>
        <v/>
      </c>
      <c r="AA9">
        <f>'Plant Inputs'!AB27</f>
        <v/>
      </c>
      <c r="AB9">
        <f>'Plant Inputs'!AC27</f>
        <v/>
      </c>
      <c r="AC9">
        <f>'Plant Inputs'!AD27</f>
        <v/>
      </c>
      <c r="AD9">
        <f>'Plant Inputs'!AE27</f>
        <v/>
      </c>
      <c r="AE9">
        <f>'Plant Inputs'!AF27</f>
        <v/>
      </c>
      <c r="AF9">
        <f>'Plant Inputs'!AG27</f>
        <v/>
      </c>
      <c r="AG9">
        <f>'Plant Inputs'!AH27</f>
        <v/>
      </c>
      <c r="AH9">
        <f>'Plant Inputs'!AI27</f>
        <v/>
      </c>
      <c r="AI9">
        <f>'Plant Inputs'!AJ27</f>
        <v/>
      </c>
      <c r="AJ9">
        <f>'Plant Inputs'!AK27</f>
        <v/>
      </c>
      <c r="AK9">
        <f>'Plant Inputs'!AL27</f>
        <v/>
      </c>
      <c r="AL9">
        <f>'Plant Inputs'!AM27</f>
        <v/>
      </c>
      <c r="AM9">
        <f>'Plant Inputs'!AN27</f>
        <v/>
      </c>
      <c r="AN9">
        <f>'Plant Inputs'!AO27</f>
        <v/>
      </c>
      <c r="AO9">
        <f>'Plant Inputs'!AP27</f>
        <v/>
      </c>
      <c r="AP9">
        <f>'Plant Inputs'!AQ27</f>
        <v/>
      </c>
      <c r="AQ9">
        <f>'Plant Inputs'!AR27</f>
        <v/>
      </c>
      <c r="AR9">
        <f>'Plant Inputs'!AS27</f>
        <v/>
      </c>
      <c r="AS9">
        <f>'Plant Inputs'!AT27</f>
        <v/>
      </c>
      <c r="AT9">
        <f>'Plant Inputs'!AU27</f>
        <v/>
      </c>
      <c r="AU9">
        <f>'Plant Inputs'!AV27</f>
        <v/>
      </c>
      <c r="AV9">
        <f>'Plant Inputs'!AW27</f>
        <v/>
      </c>
      <c r="AW9">
        <f>'Plant Inputs'!AX27</f>
        <v/>
      </c>
      <c r="AX9">
        <f>'Plant Inputs'!AY27</f>
        <v/>
      </c>
      <c r="AY9">
        <f>'Plant Inputs'!AZ27</f>
        <v/>
      </c>
      <c r="AZ9">
        <f>'Plant Inputs'!BA27</f>
        <v/>
      </c>
      <c r="BA9">
        <f>'Plant Inputs'!BB27</f>
        <v/>
      </c>
      <c r="BB9">
        <f>'Plant Inputs'!BC27</f>
        <v/>
      </c>
      <c r="BC9">
        <f>'Plant Inputs'!BD27</f>
        <v/>
      </c>
      <c r="BD9">
        <f>'Plant Inputs'!BE27</f>
        <v/>
      </c>
      <c r="BE9">
        <f>'Plant Inputs'!BF27</f>
        <v/>
      </c>
      <c r="BF9">
        <f>'Plant Inputs'!BG27</f>
        <v/>
      </c>
      <c r="BG9">
        <f>'Plant Inputs'!BH27</f>
        <v/>
      </c>
      <c r="BH9">
        <f>'Plant Inputs'!BI27</f>
        <v/>
      </c>
      <c r="BI9">
        <f>'Plant Inputs'!BJ27</f>
        <v/>
      </c>
      <c r="BJ9">
        <f>'Plant Inputs'!BK27</f>
        <v/>
      </c>
      <c r="BK9">
        <f>'Plant Inputs'!BL27</f>
        <v/>
      </c>
      <c r="BL9">
        <f>'Plant Inputs'!BM27</f>
        <v/>
      </c>
      <c r="BM9">
        <f>'Plant Inputs'!BN27</f>
        <v/>
      </c>
      <c r="BN9">
        <f>'Plant Inputs'!BO27</f>
        <v/>
      </c>
      <c r="BO9">
        <f>'Plant Inputs'!BP27</f>
        <v/>
      </c>
      <c r="BP9">
        <f>'Plant Inputs'!BQ27</f>
        <v/>
      </c>
      <c r="BQ9">
        <f>'Plant Inputs'!BR27</f>
        <v/>
      </c>
      <c r="BR9">
        <f>'Plant Inputs'!BS27</f>
        <v/>
      </c>
      <c r="BS9">
        <f>'Plant Inputs'!BT27</f>
        <v/>
      </c>
      <c r="BT9">
        <f>'Plant Inputs'!BU27</f>
        <v/>
      </c>
      <c r="BU9">
        <f>'Plant Inputs'!BV27</f>
        <v/>
      </c>
      <c r="BV9">
        <f>'Plant Inputs'!BW27</f>
        <v/>
      </c>
      <c r="BW9">
        <f>'Plant Inputs'!BX27</f>
        <v/>
      </c>
      <c r="BX9">
        <f>'Plant Inputs'!BY27</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05).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05</t>
        </is>
      </c>
      <c r="B4" t="inlineStr">
        <is>
          <t>2026-04</t>
        </is>
      </c>
      <c r="C4" t="n">
        <v>30</v>
      </c>
      <c r="D4" t="n">
        <v>1</v>
      </c>
      <c r="E4">
        <f>'Plant Inputs'!F28</f>
        <v/>
      </c>
      <c r="F4">
        <f>'Plant Inputs'!G28</f>
        <v/>
      </c>
      <c r="G4">
        <f>'Plant Inputs'!H28</f>
        <v/>
      </c>
      <c r="H4">
        <f>'Plant Inputs'!I28</f>
        <v/>
      </c>
      <c r="I4">
        <f>'Plant Inputs'!J28</f>
        <v/>
      </c>
      <c r="J4">
        <f>'Plant Inputs'!K28</f>
        <v/>
      </c>
      <c r="K4">
        <f>'Plant Inputs'!L28</f>
        <v/>
      </c>
      <c r="L4">
        <f>'Plant Inputs'!M28</f>
        <v/>
      </c>
      <c r="M4">
        <f>'Plant Inputs'!N28</f>
        <v/>
      </c>
      <c r="N4">
        <f>'Plant Inputs'!O28</f>
        <v/>
      </c>
      <c r="O4">
        <f>'Plant Inputs'!P28</f>
        <v/>
      </c>
      <c r="P4">
        <f>'Plant Inputs'!Q28</f>
        <v/>
      </c>
      <c r="Q4">
        <f>'Plant Inputs'!R28</f>
        <v/>
      </c>
      <c r="R4">
        <f>'Plant Inputs'!S28</f>
        <v/>
      </c>
      <c r="S4">
        <f>'Plant Inputs'!T28</f>
        <v/>
      </c>
      <c r="T4">
        <f>'Plant Inputs'!U28</f>
        <v/>
      </c>
      <c r="U4">
        <f>'Plant Inputs'!V28</f>
        <v/>
      </c>
      <c r="V4">
        <f>'Plant Inputs'!W28</f>
        <v/>
      </c>
      <c r="W4">
        <f>'Plant Inputs'!X28</f>
        <v/>
      </c>
      <c r="X4">
        <f>'Plant Inputs'!Y28</f>
        <v/>
      </c>
      <c r="Y4">
        <f>'Plant Inputs'!Z28</f>
        <v/>
      </c>
      <c r="Z4">
        <f>'Plant Inputs'!AA28</f>
        <v/>
      </c>
      <c r="AA4">
        <f>'Plant Inputs'!AB28</f>
        <v/>
      </c>
      <c r="AB4">
        <f>'Plant Inputs'!AC28</f>
        <v/>
      </c>
      <c r="AC4">
        <f>'Plant Inputs'!AD28</f>
        <v/>
      </c>
      <c r="AD4">
        <f>'Plant Inputs'!AE28</f>
        <v/>
      </c>
      <c r="AE4">
        <f>'Plant Inputs'!AF28</f>
        <v/>
      </c>
      <c r="AF4">
        <f>'Plant Inputs'!AG28</f>
        <v/>
      </c>
      <c r="AG4">
        <f>'Plant Inputs'!AH28</f>
        <v/>
      </c>
      <c r="AH4">
        <f>'Plant Inputs'!AI28</f>
        <v/>
      </c>
      <c r="AI4">
        <f>'Plant Inputs'!AJ28</f>
        <v/>
      </c>
      <c r="AJ4">
        <f>'Plant Inputs'!AK28</f>
        <v/>
      </c>
      <c r="AK4">
        <f>'Plant Inputs'!AL28</f>
        <v/>
      </c>
      <c r="AL4">
        <f>'Plant Inputs'!AM28</f>
        <v/>
      </c>
      <c r="AM4">
        <f>'Plant Inputs'!AN28</f>
        <v/>
      </c>
      <c r="AN4">
        <f>'Plant Inputs'!AO28</f>
        <v/>
      </c>
      <c r="AO4">
        <f>'Plant Inputs'!AP28</f>
        <v/>
      </c>
      <c r="AP4">
        <f>'Plant Inputs'!AQ28</f>
        <v/>
      </c>
      <c r="AQ4">
        <f>'Plant Inputs'!AR28</f>
        <v/>
      </c>
      <c r="AR4">
        <f>'Plant Inputs'!AS28</f>
        <v/>
      </c>
      <c r="AS4">
        <f>'Plant Inputs'!AT28</f>
        <v/>
      </c>
      <c r="AT4">
        <f>'Plant Inputs'!AU28</f>
        <v/>
      </c>
      <c r="AU4">
        <f>'Plant Inputs'!AV28</f>
        <v/>
      </c>
      <c r="AV4">
        <f>'Plant Inputs'!AW28</f>
        <v/>
      </c>
      <c r="AW4">
        <f>'Plant Inputs'!AX28</f>
        <v/>
      </c>
      <c r="AX4">
        <f>'Plant Inputs'!AY28</f>
        <v/>
      </c>
      <c r="AY4">
        <f>'Plant Inputs'!AZ28</f>
        <v/>
      </c>
      <c r="AZ4">
        <f>'Plant Inputs'!BA28</f>
        <v/>
      </c>
      <c r="BA4">
        <f>'Plant Inputs'!BB28</f>
        <v/>
      </c>
      <c r="BB4">
        <f>'Plant Inputs'!BC28</f>
        <v/>
      </c>
      <c r="BC4">
        <f>'Plant Inputs'!BD28</f>
        <v/>
      </c>
      <c r="BD4">
        <f>'Plant Inputs'!BE28</f>
        <v/>
      </c>
      <c r="BE4">
        <f>'Plant Inputs'!BF28</f>
        <v/>
      </c>
      <c r="BF4">
        <f>'Plant Inputs'!BG28</f>
        <v/>
      </c>
      <c r="BG4">
        <f>'Plant Inputs'!BH28</f>
        <v/>
      </c>
      <c r="BH4">
        <f>'Plant Inputs'!BI28</f>
        <v/>
      </c>
      <c r="BI4">
        <f>'Plant Inputs'!BJ28</f>
        <v/>
      </c>
      <c r="BJ4">
        <f>'Plant Inputs'!BK28</f>
        <v/>
      </c>
      <c r="BK4">
        <f>'Plant Inputs'!BL28</f>
        <v/>
      </c>
      <c r="BL4">
        <f>'Plant Inputs'!BM28</f>
        <v/>
      </c>
      <c r="BM4">
        <f>'Plant Inputs'!BN28</f>
        <v/>
      </c>
      <c r="BN4">
        <f>'Plant Inputs'!BO28</f>
        <v/>
      </c>
      <c r="BO4">
        <f>'Plant Inputs'!BP28</f>
        <v/>
      </c>
      <c r="BP4">
        <f>'Plant Inputs'!BQ28</f>
        <v/>
      </c>
      <c r="BQ4">
        <f>'Plant Inputs'!BR28</f>
        <v/>
      </c>
      <c r="BR4">
        <f>'Plant Inputs'!BS28</f>
        <v/>
      </c>
      <c r="BS4">
        <f>'Plant Inputs'!BT28</f>
        <v/>
      </c>
      <c r="BT4">
        <f>'Plant Inputs'!BU28</f>
        <v/>
      </c>
      <c r="BU4">
        <f>'Plant Inputs'!BV28</f>
        <v/>
      </c>
      <c r="BV4">
        <f>'Plant Inputs'!BW28</f>
        <v/>
      </c>
      <c r="BW4">
        <f>'Plant Inputs'!BX28</f>
        <v/>
      </c>
      <c r="BX4">
        <f>'Plant Inputs'!BY28</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05</t>
        </is>
      </c>
      <c r="B5" t="inlineStr">
        <is>
          <t>2026-05</t>
        </is>
      </c>
      <c r="C5" t="n">
        <v>31</v>
      </c>
      <c r="D5" t="n">
        <v>2</v>
      </c>
      <c r="E5">
        <f>'Plant Inputs'!F29</f>
        <v/>
      </c>
      <c r="F5">
        <f>'Plant Inputs'!G29</f>
        <v/>
      </c>
      <c r="G5">
        <f>'Plant Inputs'!H29</f>
        <v/>
      </c>
      <c r="H5">
        <f>'Plant Inputs'!I29</f>
        <v/>
      </c>
      <c r="I5">
        <f>'Plant Inputs'!J29</f>
        <v/>
      </c>
      <c r="J5">
        <f>'Plant Inputs'!K29</f>
        <v/>
      </c>
      <c r="K5">
        <f>'Plant Inputs'!L29</f>
        <v/>
      </c>
      <c r="L5">
        <f>'Plant Inputs'!M29</f>
        <v/>
      </c>
      <c r="M5">
        <f>'Plant Inputs'!N29</f>
        <v/>
      </c>
      <c r="N5">
        <f>'Plant Inputs'!O29</f>
        <v/>
      </c>
      <c r="O5">
        <f>'Plant Inputs'!P29</f>
        <v/>
      </c>
      <c r="P5">
        <f>'Plant Inputs'!Q29</f>
        <v/>
      </c>
      <c r="Q5">
        <f>'Plant Inputs'!R29</f>
        <v/>
      </c>
      <c r="R5">
        <f>'Plant Inputs'!S29</f>
        <v/>
      </c>
      <c r="S5">
        <f>'Plant Inputs'!T29</f>
        <v/>
      </c>
      <c r="T5">
        <f>'Plant Inputs'!U29</f>
        <v/>
      </c>
      <c r="U5">
        <f>'Plant Inputs'!V29</f>
        <v/>
      </c>
      <c r="V5">
        <f>'Plant Inputs'!W29</f>
        <v/>
      </c>
      <c r="W5">
        <f>'Plant Inputs'!X29</f>
        <v/>
      </c>
      <c r="X5">
        <f>'Plant Inputs'!Y29</f>
        <v/>
      </c>
      <c r="Y5">
        <f>'Plant Inputs'!Z29</f>
        <v/>
      </c>
      <c r="Z5">
        <f>'Plant Inputs'!AA29</f>
        <v/>
      </c>
      <c r="AA5">
        <f>'Plant Inputs'!AB29</f>
        <v/>
      </c>
      <c r="AB5">
        <f>'Plant Inputs'!AC29</f>
        <v/>
      </c>
      <c r="AC5">
        <f>'Plant Inputs'!AD29</f>
        <v/>
      </c>
      <c r="AD5">
        <f>'Plant Inputs'!AE29</f>
        <v/>
      </c>
      <c r="AE5">
        <f>'Plant Inputs'!AF29</f>
        <v/>
      </c>
      <c r="AF5">
        <f>'Plant Inputs'!AG29</f>
        <v/>
      </c>
      <c r="AG5">
        <f>'Plant Inputs'!AH29</f>
        <v/>
      </c>
      <c r="AH5">
        <f>'Plant Inputs'!AI29</f>
        <v/>
      </c>
      <c r="AI5">
        <f>'Plant Inputs'!AJ29</f>
        <v/>
      </c>
      <c r="AJ5">
        <f>'Plant Inputs'!AK29</f>
        <v/>
      </c>
      <c r="AK5">
        <f>'Plant Inputs'!AL29</f>
        <v/>
      </c>
      <c r="AL5">
        <f>'Plant Inputs'!AM29</f>
        <v/>
      </c>
      <c r="AM5">
        <f>'Plant Inputs'!AN29</f>
        <v/>
      </c>
      <c r="AN5">
        <f>'Plant Inputs'!AO29</f>
        <v/>
      </c>
      <c r="AO5">
        <f>'Plant Inputs'!AP29</f>
        <v/>
      </c>
      <c r="AP5">
        <f>'Plant Inputs'!AQ29</f>
        <v/>
      </c>
      <c r="AQ5">
        <f>'Plant Inputs'!AR29</f>
        <v/>
      </c>
      <c r="AR5">
        <f>'Plant Inputs'!AS29</f>
        <v/>
      </c>
      <c r="AS5">
        <f>'Plant Inputs'!AT29</f>
        <v/>
      </c>
      <c r="AT5">
        <f>'Plant Inputs'!AU29</f>
        <v/>
      </c>
      <c r="AU5">
        <f>'Plant Inputs'!AV29</f>
        <v/>
      </c>
      <c r="AV5">
        <f>'Plant Inputs'!AW29</f>
        <v/>
      </c>
      <c r="AW5">
        <f>'Plant Inputs'!AX29</f>
        <v/>
      </c>
      <c r="AX5">
        <f>'Plant Inputs'!AY29</f>
        <v/>
      </c>
      <c r="AY5">
        <f>'Plant Inputs'!AZ29</f>
        <v/>
      </c>
      <c r="AZ5">
        <f>'Plant Inputs'!BA29</f>
        <v/>
      </c>
      <c r="BA5">
        <f>'Plant Inputs'!BB29</f>
        <v/>
      </c>
      <c r="BB5">
        <f>'Plant Inputs'!BC29</f>
        <v/>
      </c>
      <c r="BC5">
        <f>'Plant Inputs'!BD29</f>
        <v/>
      </c>
      <c r="BD5">
        <f>'Plant Inputs'!BE29</f>
        <v/>
      </c>
      <c r="BE5">
        <f>'Plant Inputs'!BF29</f>
        <v/>
      </c>
      <c r="BF5">
        <f>'Plant Inputs'!BG29</f>
        <v/>
      </c>
      <c r="BG5">
        <f>'Plant Inputs'!BH29</f>
        <v/>
      </c>
      <c r="BH5">
        <f>'Plant Inputs'!BI29</f>
        <v/>
      </c>
      <c r="BI5">
        <f>'Plant Inputs'!BJ29</f>
        <v/>
      </c>
      <c r="BJ5">
        <f>'Plant Inputs'!BK29</f>
        <v/>
      </c>
      <c r="BK5">
        <f>'Plant Inputs'!BL29</f>
        <v/>
      </c>
      <c r="BL5">
        <f>'Plant Inputs'!BM29</f>
        <v/>
      </c>
      <c r="BM5">
        <f>'Plant Inputs'!BN29</f>
        <v/>
      </c>
      <c r="BN5">
        <f>'Plant Inputs'!BO29</f>
        <v/>
      </c>
      <c r="BO5">
        <f>'Plant Inputs'!BP29</f>
        <v/>
      </c>
      <c r="BP5">
        <f>'Plant Inputs'!BQ29</f>
        <v/>
      </c>
      <c r="BQ5">
        <f>'Plant Inputs'!BR29</f>
        <v/>
      </c>
      <c r="BR5">
        <f>'Plant Inputs'!BS29</f>
        <v/>
      </c>
      <c r="BS5">
        <f>'Plant Inputs'!BT29</f>
        <v/>
      </c>
      <c r="BT5">
        <f>'Plant Inputs'!BU29</f>
        <v/>
      </c>
      <c r="BU5">
        <f>'Plant Inputs'!BV29</f>
        <v/>
      </c>
      <c r="BV5">
        <f>'Plant Inputs'!BW29</f>
        <v/>
      </c>
      <c r="BW5">
        <f>'Plant Inputs'!BX29</f>
        <v/>
      </c>
      <c r="BX5">
        <f>'Plant Inputs'!BY29</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05</t>
        </is>
      </c>
      <c r="B6" t="inlineStr">
        <is>
          <t>2026-06</t>
        </is>
      </c>
      <c r="C6" t="n">
        <v>30</v>
      </c>
      <c r="D6" t="n">
        <v>3</v>
      </c>
      <c r="E6">
        <f>'Plant Inputs'!F30</f>
        <v/>
      </c>
      <c r="F6">
        <f>'Plant Inputs'!G30</f>
        <v/>
      </c>
      <c r="G6">
        <f>'Plant Inputs'!H30</f>
        <v/>
      </c>
      <c r="H6">
        <f>'Plant Inputs'!I30</f>
        <v/>
      </c>
      <c r="I6">
        <f>'Plant Inputs'!J30</f>
        <v/>
      </c>
      <c r="J6">
        <f>'Plant Inputs'!K30</f>
        <v/>
      </c>
      <c r="K6">
        <f>'Plant Inputs'!L30</f>
        <v/>
      </c>
      <c r="L6">
        <f>'Plant Inputs'!M30</f>
        <v/>
      </c>
      <c r="M6">
        <f>'Plant Inputs'!N30</f>
        <v/>
      </c>
      <c r="N6">
        <f>'Plant Inputs'!O30</f>
        <v/>
      </c>
      <c r="O6">
        <f>'Plant Inputs'!P30</f>
        <v/>
      </c>
      <c r="P6">
        <f>'Plant Inputs'!Q30</f>
        <v/>
      </c>
      <c r="Q6">
        <f>'Plant Inputs'!R30</f>
        <v/>
      </c>
      <c r="R6">
        <f>'Plant Inputs'!S30</f>
        <v/>
      </c>
      <c r="S6">
        <f>'Plant Inputs'!T30</f>
        <v/>
      </c>
      <c r="T6">
        <f>'Plant Inputs'!U30</f>
        <v/>
      </c>
      <c r="U6">
        <f>'Plant Inputs'!V30</f>
        <v/>
      </c>
      <c r="V6">
        <f>'Plant Inputs'!W30</f>
        <v/>
      </c>
      <c r="W6">
        <f>'Plant Inputs'!X30</f>
        <v/>
      </c>
      <c r="X6">
        <f>'Plant Inputs'!Y30</f>
        <v/>
      </c>
      <c r="Y6">
        <f>'Plant Inputs'!Z30</f>
        <v/>
      </c>
      <c r="Z6">
        <f>'Plant Inputs'!AA30</f>
        <v/>
      </c>
      <c r="AA6">
        <f>'Plant Inputs'!AB30</f>
        <v/>
      </c>
      <c r="AB6">
        <f>'Plant Inputs'!AC30</f>
        <v/>
      </c>
      <c r="AC6">
        <f>'Plant Inputs'!AD30</f>
        <v/>
      </c>
      <c r="AD6">
        <f>'Plant Inputs'!AE30</f>
        <v/>
      </c>
      <c r="AE6">
        <f>'Plant Inputs'!AF30</f>
        <v/>
      </c>
      <c r="AF6">
        <f>'Plant Inputs'!AG30</f>
        <v/>
      </c>
      <c r="AG6">
        <f>'Plant Inputs'!AH30</f>
        <v/>
      </c>
      <c r="AH6">
        <f>'Plant Inputs'!AI30</f>
        <v/>
      </c>
      <c r="AI6">
        <f>'Plant Inputs'!AJ30</f>
        <v/>
      </c>
      <c r="AJ6">
        <f>'Plant Inputs'!AK30</f>
        <v/>
      </c>
      <c r="AK6">
        <f>'Plant Inputs'!AL30</f>
        <v/>
      </c>
      <c r="AL6">
        <f>'Plant Inputs'!AM30</f>
        <v/>
      </c>
      <c r="AM6">
        <f>'Plant Inputs'!AN30</f>
        <v/>
      </c>
      <c r="AN6">
        <f>'Plant Inputs'!AO30</f>
        <v/>
      </c>
      <c r="AO6">
        <f>'Plant Inputs'!AP30</f>
        <v/>
      </c>
      <c r="AP6">
        <f>'Plant Inputs'!AQ30</f>
        <v/>
      </c>
      <c r="AQ6">
        <f>'Plant Inputs'!AR30</f>
        <v/>
      </c>
      <c r="AR6">
        <f>'Plant Inputs'!AS30</f>
        <v/>
      </c>
      <c r="AS6">
        <f>'Plant Inputs'!AT30</f>
        <v/>
      </c>
      <c r="AT6">
        <f>'Plant Inputs'!AU30</f>
        <v/>
      </c>
      <c r="AU6">
        <f>'Plant Inputs'!AV30</f>
        <v/>
      </c>
      <c r="AV6">
        <f>'Plant Inputs'!AW30</f>
        <v/>
      </c>
      <c r="AW6">
        <f>'Plant Inputs'!AX30</f>
        <v/>
      </c>
      <c r="AX6">
        <f>'Plant Inputs'!AY30</f>
        <v/>
      </c>
      <c r="AY6">
        <f>'Plant Inputs'!AZ30</f>
        <v/>
      </c>
      <c r="AZ6">
        <f>'Plant Inputs'!BA30</f>
        <v/>
      </c>
      <c r="BA6">
        <f>'Plant Inputs'!BB30</f>
        <v/>
      </c>
      <c r="BB6">
        <f>'Plant Inputs'!BC30</f>
        <v/>
      </c>
      <c r="BC6">
        <f>'Plant Inputs'!BD30</f>
        <v/>
      </c>
      <c r="BD6">
        <f>'Plant Inputs'!BE30</f>
        <v/>
      </c>
      <c r="BE6">
        <f>'Plant Inputs'!BF30</f>
        <v/>
      </c>
      <c r="BF6">
        <f>'Plant Inputs'!BG30</f>
        <v/>
      </c>
      <c r="BG6">
        <f>'Plant Inputs'!BH30</f>
        <v/>
      </c>
      <c r="BH6">
        <f>'Plant Inputs'!BI30</f>
        <v/>
      </c>
      <c r="BI6">
        <f>'Plant Inputs'!BJ30</f>
        <v/>
      </c>
      <c r="BJ6">
        <f>'Plant Inputs'!BK30</f>
        <v/>
      </c>
      <c r="BK6">
        <f>'Plant Inputs'!BL30</f>
        <v/>
      </c>
      <c r="BL6">
        <f>'Plant Inputs'!BM30</f>
        <v/>
      </c>
      <c r="BM6">
        <f>'Plant Inputs'!BN30</f>
        <v/>
      </c>
      <c r="BN6">
        <f>'Plant Inputs'!BO30</f>
        <v/>
      </c>
      <c r="BO6">
        <f>'Plant Inputs'!BP30</f>
        <v/>
      </c>
      <c r="BP6">
        <f>'Plant Inputs'!BQ30</f>
        <v/>
      </c>
      <c r="BQ6">
        <f>'Plant Inputs'!BR30</f>
        <v/>
      </c>
      <c r="BR6">
        <f>'Plant Inputs'!BS30</f>
        <v/>
      </c>
      <c r="BS6">
        <f>'Plant Inputs'!BT30</f>
        <v/>
      </c>
      <c r="BT6">
        <f>'Plant Inputs'!BU30</f>
        <v/>
      </c>
      <c r="BU6">
        <f>'Plant Inputs'!BV30</f>
        <v/>
      </c>
      <c r="BV6">
        <f>'Plant Inputs'!BW30</f>
        <v/>
      </c>
      <c r="BW6">
        <f>'Plant Inputs'!BX30</f>
        <v/>
      </c>
      <c r="BX6">
        <f>'Plant Inputs'!BY30</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05</t>
        </is>
      </c>
      <c r="B7" t="inlineStr">
        <is>
          <t>2026-07</t>
        </is>
      </c>
      <c r="C7" t="n">
        <v>31</v>
      </c>
      <c r="D7" t="n">
        <v>4</v>
      </c>
      <c r="E7">
        <f>'Plant Inputs'!F31</f>
        <v/>
      </c>
      <c r="F7">
        <f>'Plant Inputs'!G31</f>
        <v/>
      </c>
      <c r="G7">
        <f>'Plant Inputs'!H31</f>
        <v/>
      </c>
      <c r="H7">
        <f>'Plant Inputs'!I31</f>
        <v/>
      </c>
      <c r="I7">
        <f>'Plant Inputs'!J31</f>
        <v/>
      </c>
      <c r="J7">
        <f>'Plant Inputs'!K31</f>
        <v/>
      </c>
      <c r="K7">
        <f>'Plant Inputs'!L31</f>
        <v/>
      </c>
      <c r="L7">
        <f>'Plant Inputs'!M31</f>
        <v/>
      </c>
      <c r="M7">
        <f>'Plant Inputs'!N31</f>
        <v/>
      </c>
      <c r="N7">
        <f>'Plant Inputs'!O31</f>
        <v/>
      </c>
      <c r="O7">
        <f>'Plant Inputs'!P31</f>
        <v/>
      </c>
      <c r="P7">
        <f>'Plant Inputs'!Q31</f>
        <v/>
      </c>
      <c r="Q7">
        <f>'Plant Inputs'!R31</f>
        <v/>
      </c>
      <c r="R7">
        <f>'Plant Inputs'!S31</f>
        <v/>
      </c>
      <c r="S7">
        <f>'Plant Inputs'!T31</f>
        <v/>
      </c>
      <c r="T7">
        <f>'Plant Inputs'!U31</f>
        <v/>
      </c>
      <c r="U7">
        <f>'Plant Inputs'!V31</f>
        <v/>
      </c>
      <c r="V7">
        <f>'Plant Inputs'!W31</f>
        <v/>
      </c>
      <c r="W7">
        <f>'Plant Inputs'!X31</f>
        <v/>
      </c>
      <c r="X7">
        <f>'Plant Inputs'!Y31</f>
        <v/>
      </c>
      <c r="Y7">
        <f>'Plant Inputs'!Z31</f>
        <v/>
      </c>
      <c r="Z7">
        <f>'Plant Inputs'!AA31</f>
        <v/>
      </c>
      <c r="AA7">
        <f>'Plant Inputs'!AB31</f>
        <v/>
      </c>
      <c r="AB7">
        <f>'Plant Inputs'!AC31</f>
        <v/>
      </c>
      <c r="AC7">
        <f>'Plant Inputs'!AD31</f>
        <v/>
      </c>
      <c r="AD7">
        <f>'Plant Inputs'!AE31</f>
        <v/>
      </c>
      <c r="AE7">
        <f>'Plant Inputs'!AF31</f>
        <v/>
      </c>
      <c r="AF7">
        <f>'Plant Inputs'!AG31</f>
        <v/>
      </c>
      <c r="AG7">
        <f>'Plant Inputs'!AH31</f>
        <v/>
      </c>
      <c r="AH7">
        <f>'Plant Inputs'!AI31</f>
        <v/>
      </c>
      <c r="AI7">
        <f>'Plant Inputs'!AJ31</f>
        <v/>
      </c>
      <c r="AJ7">
        <f>'Plant Inputs'!AK31</f>
        <v/>
      </c>
      <c r="AK7">
        <f>'Plant Inputs'!AL31</f>
        <v/>
      </c>
      <c r="AL7">
        <f>'Plant Inputs'!AM31</f>
        <v/>
      </c>
      <c r="AM7">
        <f>'Plant Inputs'!AN31</f>
        <v/>
      </c>
      <c r="AN7">
        <f>'Plant Inputs'!AO31</f>
        <v/>
      </c>
      <c r="AO7">
        <f>'Plant Inputs'!AP31</f>
        <v/>
      </c>
      <c r="AP7">
        <f>'Plant Inputs'!AQ31</f>
        <v/>
      </c>
      <c r="AQ7">
        <f>'Plant Inputs'!AR31</f>
        <v/>
      </c>
      <c r="AR7">
        <f>'Plant Inputs'!AS31</f>
        <v/>
      </c>
      <c r="AS7">
        <f>'Plant Inputs'!AT31</f>
        <v/>
      </c>
      <c r="AT7">
        <f>'Plant Inputs'!AU31</f>
        <v/>
      </c>
      <c r="AU7">
        <f>'Plant Inputs'!AV31</f>
        <v/>
      </c>
      <c r="AV7">
        <f>'Plant Inputs'!AW31</f>
        <v/>
      </c>
      <c r="AW7">
        <f>'Plant Inputs'!AX31</f>
        <v/>
      </c>
      <c r="AX7">
        <f>'Plant Inputs'!AY31</f>
        <v/>
      </c>
      <c r="AY7">
        <f>'Plant Inputs'!AZ31</f>
        <v/>
      </c>
      <c r="AZ7">
        <f>'Plant Inputs'!BA31</f>
        <v/>
      </c>
      <c r="BA7">
        <f>'Plant Inputs'!BB31</f>
        <v/>
      </c>
      <c r="BB7">
        <f>'Plant Inputs'!BC31</f>
        <v/>
      </c>
      <c r="BC7">
        <f>'Plant Inputs'!BD31</f>
        <v/>
      </c>
      <c r="BD7">
        <f>'Plant Inputs'!BE31</f>
        <v/>
      </c>
      <c r="BE7">
        <f>'Plant Inputs'!BF31</f>
        <v/>
      </c>
      <c r="BF7">
        <f>'Plant Inputs'!BG31</f>
        <v/>
      </c>
      <c r="BG7">
        <f>'Plant Inputs'!BH31</f>
        <v/>
      </c>
      <c r="BH7">
        <f>'Plant Inputs'!BI31</f>
        <v/>
      </c>
      <c r="BI7">
        <f>'Plant Inputs'!BJ31</f>
        <v/>
      </c>
      <c r="BJ7">
        <f>'Plant Inputs'!BK31</f>
        <v/>
      </c>
      <c r="BK7">
        <f>'Plant Inputs'!BL31</f>
        <v/>
      </c>
      <c r="BL7">
        <f>'Plant Inputs'!BM31</f>
        <v/>
      </c>
      <c r="BM7">
        <f>'Plant Inputs'!BN31</f>
        <v/>
      </c>
      <c r="BN7">
        <f>'Plant Inputs'!BO31</f>
        <v/>
      </c>
      <c r="BO7">
        <f>'Plant Inputs'!BP31</f>
        <v/>
      </c>
      <c r="BP7">
        <f>'Plant Inputs'!BQ31</f>
        <v/>
      </c>
      <c r="BQ7">
        <f>'Plant Inputs'!BR31</f>
        <v/>
      </c>
      <c r="BR7">
        <f>'Plant Inputs'!BS31</f>
        <v/>
      </c>
      <c r="BS7">
        <f>'Plant Inputs'!BT31</f>
        <v/>
      </c>
      <c r="BT7">
        <f>'Plant Inputs'!BU31</f>
        <v/>
      </c>
      <c r="BU7">
        <f>'Plant Inputs'!BV31</f>
        <v/>
      </c>
      <c r="BV7">
        <f>'Plant Inputs'!BW31</f>
        <v/>
      </c>
      <c r="BW7">
        <f>'Plant Inputs'!BX31</f>
        <v/>
      </c>
      <c r="BX7">
        <f>'Plant Inputs'!BY31</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05</t>
        </is>
      </c>
      <c r="B8" t="inlineStr">
        <is>
          <t>2026-08</t>
        </is>
      </c>
      <c r="C8" t="n">
        <v>31</v>
      </c>
      <c r="D8" t="n">
        <v>5</v>
      </c>
      <c r="E8">
        <f>'Plant Inputs'!F32</f>
        <v/>
      </c>
      <c r="F8">
        <f>'Plant Inputs'!G32</f>
        <v/>
      </c>
      <c r="G8">
        <f>'Plant Inputs'!H32</f>
        <v/>
      </c>
      <c r="H8">
        <f>'Plant Inputs'!I32</f>
        <v/>
      </c>
      <c r="I8">
        <f>'Plant Inputs'!J32</f>
        <v/>
      </c>
      <c r="J8">
        <f>'Plant Inputs'!K32</f>
        <v/>
      </c>
      <c r="K8">
        <f>'Plant Inputs'!L32</f>
        <v/>
      </c>
      <c r="L8">
        <f>'Plant Inputs'!M32</f>
        <v/>
      </c>
      <c r="M8">
        <f>'Plant Inputs'!N32</f>
        <v/>
      </c>
      <c r="N8">
        <f>'Plant Inputs'!O32</f>
        <v/>
      </c>
      <c r="O8">
        <f>'Plant Inputs'!P32</f>
        <v/>
      </c>
      <c r="P8">
        <f>'Plant Inputs'!Q32</f>
        <v/>
      </c>
      <c r="Q8">
        <f>'Plant Inputs'!R32</f>
        <v/>
      </c>
      <c r="R8">
        <f>'Plant Inputs'!S32</f>
        <v/>
      </c>
      <c r="S8">
        <f>'Plant Inputs'!T32</f>
        <v/>
      </c>
      <c r="T8">
        <f>'Plant Inputs'!U32</f>
        <v/>
      </c>
      <c r="U8">
        <f>'Plant Inputs'!V32</f>
        <v/>
      </c>
      <c r="V8">
        <f>'Plant Inputs'!W32</f>
        <v/>
      </c>
      <c r="W8">
        <f>'Plant Inputs'!X32</f>
        <v/>
      </c>
      <c r="X8">
        <f>'Plant Inputs'!Y32</f>
        <v/>
      </c>
      <c r="Y8">
        <f>'Plant Inputs'!Z32</f>
        <v/>
      </c>
      <c r="Z8">
        <f>'Plant Inputs'!AA32</f>
        <v/>
      </c>
      <c r="AA8">
        <f>'Plant Inputs'!AB32</f>
        <v/>
      </c>
      <c r="AB8">
        <f>'Plant Inputs'!AC32</f>
        <v/>
      </c>
      <c r="AC8">
        <f>'Plant Inputs'!AD32</f>
        <v/>
      </c>
      <c r="AD8">
        <f>'Plant Inputs'!AE32</f>
        <v/>
      </c>
      <c r="AE8">
        <f>'Plant Inputs'!AF32</f>
        <v/>
      </c>
      <c r="AF8">
        <f>'Plant Inputs'!AG32</f>
        <v/>
      </c>
      <c r="AG8">
        <f>'Plant Inputs'!AH32</f>
        <v/>
      </c>
      <c r="AH8">
        <f>'Plant Inputs'!AI32</f>
        <v/>
      </c>
      <c r="AI8">
        <f>'Plant Inputs'!AJ32</f>
        <v/>
      </c>
      <c r="AJ8">
        <f>'Plant Inputs'!AK32</f>
        <v/>
      </c>
      <c r="AK8">
        <f>'Plant Inputs'!AL32</f>
        <v/>
      </c>
      <c r="AL8">
        <f>'Plant Inputs'!AM32</f>
        <v/>
      </c>
      <c r="AM8">
        <f>'Plant Inputs'!AN32</f>
        <v/>
      </c>
      <c r="AN8">
        <f>'Plant Inputs'!AO32</f>
        <v/>
      </c>
      <c r="AO8">
        <f>'Plant Inputs'!AP32</f>
        <v/>
      </c>
      <c r="AP8">
        <f>'Plant Inputs'!AQ32</f>
        <v/>
      </c>
      <c r="AQ8">
        <f>'Plant Inputs'!AR32</f>
        <v/>
      </c>
      <c r="AR8">
        <f>'Plant Inputs'!AS32</f>
        <v/>
      </c>
      <c r="AS8">
        <f>'Plant Inputs'!AT32</f>
        <v/>
      </c>
      <c r="AT8">
        <f>'Plant Inputs'!AU32</f>
        <v/>
      </c>
      <c r="AU8">
        <f>'Plant Inputs'!AV32</f>
        <v/>
      </c>
      <c r="AV8">
        <f>'Plant Inputs'!AW32</f>
        <v/>
      </c>
      <c r="AW8">
        <f>'Plant Inputs'!AX32</f>
        <v/>
      </c>
      <c r="AX8">
        <f>'Plant Inputs'!AY32</f>
        <v/>
      </c>
      <c r="AY8">
        <f>'Plant Inputs'!AZ32</f>
        <v/>
      </c>
      <c r="AZ8">
        <f>'Plant Inputs'!BA32</f>
        <v/>
      </c>
      <c r="BA8">
        <f>'Plant Inputs'!BB32</f>
        <v/>
      </c>
      <c r="BB8">
        <f>'Plant Inputs'!BC32</f>
        <v/>
      </c>
      <c r="BC8">
        <f>'Plant Inputs'!BD32</f>
        <v/>
      </c>
      <c r="BD8">
        <f>'Plant Inputs'!BE32</f>
        <v/>
      </c>
      <c r="BE8">
        <f>'Plant Inputs'!BF32</f>
        <v/>
      </c>
      <c r="BF8">
        <f>'Plant Inputs'!BG32</f>
        <v/>
      </c>
      <c r="BG8">
        <f>'Plant Inputs'!BH32</f>
        <v/>
      </c>
      <c r="BH8">
        <f>'Plant Inputs'!BI32</f>
        <v/>
      </c>
      <c r="BI8">
        <f>'Plant Inputs'!BJ32</f>
        <v/>
      </c>
      <c r="BJ8">
        <f>'Plant Inputs'!BK32</f>
        <v/>
      </c>
      <c r="BK8">
        <f>'Plant Inputs'!BL32</f>
        <v/>
      </c>
      <c r="BL8">
        <f>'Plant Inputs'!BM32</f>
        <v/>
      </c>
      <c r="BM8">
        <f>'Plant Inputs'!BN32</f>
        <v/>
      </c>
      <c r="BN8">
        <f>'Plant Inputs'!BO32</f>
        <v/>
      </c>
      <c r="BO8">
        <f>'Plant Inputs'!BP32</f>
        <v/>
      </c>
      <c r="BP8">
        <f>'Plant Inputs'!BQ32</f>
        <v/>
      </c>
      <c r="BQ8">
        <f>'Plant Inputs'!BR32</f>
        <v/>
      </c>
      <c r="BR8">
        <f>'Plant Inputs'!BS32</f>
        <v/>
      </c>
      <c r="BS8">
        <f>'Plant Inputs'!BT32</f>
        <v/>
      </c>
      <c r="BT8">
        <f>'Plant Inputs'!BU32</f>
        <v/>
      </c>
      <c r="BU8">
        <f>'Plant Inputs'!BV32</f>
        <v/>
      </c>
      <c r="BV8">
        <f>'Plant Inputs'!BW32</f>
        <v/>
      </c>
      <c r="BW8">
        <f>'Plant Inputs'!BX32</f>
        <v/>
      </c>
      <c r="BX8">
        <f>'Plant Inputs'!BY32</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05</t>
        </is>
      </c>
      <c r="B9" t="inlineStr">
        <is>
          <t>2026-09</t>
        </is>
      </c>
      <c r="C9" t="n">
        <v>30</v>
      </c>
      <c r="D9" t="n">
        <v>6</v>
      </c>
      <c r="E9">
        <f>'Plant Inputs'!F33</f>
        <v/>
      </c>
      <c r="F9">
        <f>'Plant Inputs'!G33</f>
        <v/>
      </c>
      <c r="G9">
        <f>'Plant Inputs'!H33</f>
        <v/>
      </c>
      <c r="H9">
        <f>'Plant Inputs'!I33</f>
        <v/>
      </c>
      <c r="I9">
        <f>'Plant Inputs'!J33</f>
        <v/>
      </c>
      <c r="J9">
        <f>'Plant Inputs'!K33</f>
        <v/>
      </c>
      <c r="K9">
        <f>'Plant Inputs'!L33</f>
        <v/>
      </c>
      <c r="L9">
        <f>'Plant Inputs'!M33</f>
        <v/>
      </c>
      <c r="M9">
        <f>'Plant Inputs'!N33</f>
        <v/>
      </c>
      <c r="N9">
        <f>'Plant Inputs'!O33</f>
        <v/>
      </c>
      <c r="O9">
        <f>'Plant Inputs'!P33</f>
        <v/>
      </c>
      <c r="P9">
        <f>'Plant Inputs'!Q33</f>
        <v/>
      </c>
      <c r="Q9">
        <f>'Plant Inputs'!R33</f>
        <v/>
      </c>
      <c r="R9">
        <f>'Plant Inputs'!S33</f>
        <v/>
      </c>
      <c r="S9">
        <f>'Plant Inputs'!T33</f>
        <v/>
      </c>
      <c r="T9">
        <f>'Plant Inputs'!U33</f>
        <v/>
      </c>
      <c r="U9">
        <f>'Plant Inputs'!V33</f>
        <v/>
      </c>
      <c r="V9">
        <f>'Plant Inputs'!W33</f>
        <v/>
      </c>
      <c r="W9">
        <f>'Plant Inputs'!X33</f>
        <v/>
      </c>
      <c r="X9">
        <f>'Plant Inputs'!Y33</f>
        <v/>
      </c>
      <c r="Y9">
        <f>'Plant Inputs'!Z33</f>
        <v/>
      </c>
      <c r="Z9">
        <f>'Plant Inputs'!AA33</f>
        <v/>
      </c>
      <c r="AA9">
        <f>'Plant Inputs'!AB33</f>
        <v/>
      </c>
      <c r="AB9">
        <f>'Plant Inputs'!AC33</f>
        <v/>
      </c>
      <c r="AC9">
        <f>'Plant Inputs'!AD33</f>
        <v/>
      </c>
      <c r="AD9">
        <f>'Plant Inputs'!AE33</f>
        <v/>
      </c>
      <c r="AE9">
        <f>'Plant Inputs'!AF33</f>
        <v/>
      </c>
      <c r="AF9">
        <f>'Plant Inputs'!AG33</f>
        <v/>
      </c>
      <c r="AG9">
        <f>'Plant Inputs'!AH33</f>
        <v/>
      </c>
      <c r="AH9">
        <f>'Plant Inputs'!AI33</f>
        <v/>
      </c>
      <c r="AI9">
        <f>'Plant Inputs'!AJ33</f>
        <v/>
      </c>
      <c r="AJ9">
        <f>'Plant Inputs'!AK33</f>
        <v/>
      </c>
      <c r="AK9">
        <f>'Plant Inputs'!AL33</f>
        <v/>
      </c>
      <c r="AL9">
        <f>'Plant Inputs'!AM33</f>
        <v/>
      </c>
      <c r="AM9">
        <f>'Plant Inputs'!AN33</f>
        <v/>
      </c>
      <c r="AN9">
        <f>'Plant Inputs'!AO33</f>
        <v/>
      </c>
      <c r="AO9">
        <f>'Plant Inputs'!AP33</f>
        <v/>
      </c>
      <c r="AP9">
        <f>'Plant Inputs'!AQ33</f>
        <v/>
      </c>
      <c r="AQ9">
        <f>'Plant Inputs'!AR33</f>
        <v/>
      </c>
      <c r="AR9">
        <f>'Plant Inputs'!AS33</f>
        <v/>
      </c>
      <c r="AS9">
        <f>'Plant Inputs'!AT33</f>
        <v/>
      </c>
      <c r="AT9">
        <f>'Plant Inputs'!AU33</f>
        <v/>
      </c>
      <c r="AU9">
        <f>'Plant Inputs'!AV33</f>
        <v/>
      </c>
      <c r="AV9">
        <f>'Plant Inputs'!AW33</f>
        <v/>
      </c>
      <c r="AW9">
        <f>'Plant Inputs'!AX33</f>
        <v/>
      </c>
      <c r="AX9">
        <f>'Plant Inputs'!AY33</f>
        <v/>
      </c>
      <c r="AY9">
        <f>'Plant Inputs'!AZ33</f>
        <v/>
      </c>
      <c r="AZ9">
        <f>'Plant Inputs'!BA33</f>
        <v/>
      </c>
      <c r="BA9">
        <f>'Plant Inputs'!BB33</f>
        <v/>
      </c>
      <c r="BB9">
        <f>'Plant Inputs'!BC33</f>
        <v/>
      </c>
      <c r="BC9">
        <f>'Plant Inputs'!BD33</f>
        <v/>
      </c>
      <c r="BD9">
        <f>'Plant Inputs'!BE33</f>
        <v/>
      </c>
      <c r="BE9">
        <f>'Plant Inputs'!BF33</f>
        <v/>
      </c>
      <c r="BF9">
        <f>'Plant Inputs'!BG33</f>
        <v/>
      </c>
      <c r="BG9">
        <f>'Plant Inputs'!BH33</f>
        <v/>
      </c>
      <c r="BH9">
        <f>'Plant Inputs'!BI33</f>
        <v/>
      </c>
      <c r="BI9">
        <f>'Plant Inputs'!BJ33</f>
        <v/>
      </c>
      <c r="BJ9">
        <f>'Plant Inputs'!BK33</f>
        <v/>
      </c>
      <c r="BK9">
        <f>'Plant Inputs'!BL33</f>
        <v/>
      </c>
      <c r="BL9">
        <f>'Plant Inputs'!BM33</f>
        <v/>
      </c>
      <c r="BM9">
        <f>'Plant Inputs'!BN33</f>
        <v/>
      </c>
      <c r="BN9">
        <f>'Plant Inputs'!BO33</f>
        <v/>
      </c>
      <c r="BO9">
        <f>'Plant Inputs'!BP33</f>
        <v/>
      </c>
      <c r="BP9">
        <f>'Plant Inputs'!BQ33</f>
        <v/>
      </c>
      <c r="BQ9">
        <f>'Plant Inputs'!BR33</f>
        <v/>
      </c>
      <c r="BR9">
        <f>'Plant Inputs'!BS33</f>
        <v/>
      </c>
      <c r="BS9">
        <f>'Plant Inputs'!BT33</f>
        <v/>
      </c>
      <c r="BT9">
        <f>'Plant Inputs'!BU33</f>
        <v/>
      </c>
      <c r="BU9">
        <f>'Plant Inputs'!BV33</f>
        <v/>
      </c>
      <c r="BV9">
        <f>'Plant Inputs'!BW33</f>
        <v/>
      </c>
      <c r="BW9">
        <f>'Plant Inputs'!BX33</f>
        <v/>
      </c>
      <c r="BX9">
        <f>'Plant Inputs'!BY33</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06).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06</t>
        </is>
      </c>
      <c r="B4" t="inlineStr">
        <is>
          <t>2026-04</t>
        </is>
      </c>
      <c r="C4" t="n">
        <v>30</v>
      </c>
      <c r="D4" t="n">
        <v>1</v>
      </c>
      <c r="E4">
        <f>'Plant Inputs'!F34</f>
        <v/>
      </c>
      <c r="F4">
        <f>'Plant Inputs'!G34</f>
        <v/>
      </c>
      <c r="G4">
        <f>'Plant Inputs'!H34</f>
        <v/>
      </c>
      <c r="H4">
        <f>'Plant Inputs'!I34</f>
        <v/>
      </c>
      <c r="I4">
        <f>'Plant Inputs'!J34</f>
        <v/>
      </c>
      <c r="J4">
        <f>'Plant Inputs'!K34</f>
        <v/>
      </c>
      <c r="K4">
        <f>'Plant Inputs'!L34</f>
        <v/>
      </c>
      <c r="L4">
        <f>'Plant Inputs'!M34</f>
        <v/>
      </c>
      <c r="M4">
        <f>'Plant Inputs'!N34</f>
        <v/>
      </c>
      <c r="N4">
        <f>'Plant Inputs'!O34</f>
        <v/>
      </c>
      <c r="O4">
        <f>'Plant Inputs'!P34</f>
        <v/>
      </c>
      <c r="P4">
        <f>'Plant Inputs'!Q34</f>
        <v/>
      </c>
      <c r="Q4">
        <f>'Plant Inputs'!R34</f>
        <v/>
      </c>
      <c r="R4">
        <f>'Plant Inputs'!S34</f>
        <v/>
      </c>
      <c r="S4">
        <f>'Plant Inputs'!T34</f>
        <v/>
      </c>
      <c r="T4">
        <f>'Plant Inputs'!U34</f>
        <v/>
      </c>
      <c r="U4">
        <f>'Plant Inputs'!V34</f>
        <v/>
      </c>
      <c r="V4">
        <f>'Plant Inputs'!W34</f>
        <v/>
      </c>
      <c r="W4">
        <f>'Plant Inputs'!X34</f>
        <v/>
      </c>
      <c r="X4">
        <f>'Plant Inputs'!Y34</f>
        <v/>
      </c>
      <c r="Y4">
        <f>'Plant Inputs'!Z34</f>
        <v/>
      </c>
      <c r="Z4">
        <f>'Plant Inputs'!AA34</f>
        <v/>
      </c>
      <c r="AA4">
        <f>'Plant Inputs'!AB34</f>
        <v/>
      </c>
      <c r="AB4">
        <f>'Plant Inputs'!AC34</f>
        <v/>
      </c>
      <c r="AC4">
        <f>'Plant Inputs'!AD34</f>
        <v/>
      </c>
      <c r="AD4">
        <f>'Plant Inputs'!AE34</f>
        <v/>
      </c>
      <c r="AE4">
        <f>'Plant Inputs'!AF34</f>
        <v/>
      </c>
      <c r="AF4">
        <f>'Plant Inputs'!AG34</f>
        <v/>
      </c>
      <c r="AG4">
        <f>'Plant Inputs'!AH34</f>
        <v/>
      </c>
      <c r="AH4">
        <f>'Plant Inputs'!AI34</f>
        <v/>
      </c>
      <c r="AI4">
        <f>'Plant Inputs'!AJ34</f>
        <v/>
      </c>
      <c r="AJ4">
        <f>'Plant Inputs'!AK34</f>
        <v/>
      </c>
      <c r="AK4">
        <f>'Plant Inputs'!AL34</f>
        <v/>
      </c>
      <c r="AL4">
        <f>'Plant Inputs'!AM34</f>
        <v/>
      </c>
      <c r="AM4">
        <f>'Plant Inputs'!AN34</f>
        <v/>
      </c>
      <c r="AN4">
        <f>'Plant Inputs'!AO34</f>
        <v/>
      </c>
      <c r="AO4">
        <f>'Plant Inputs'!AP34</f>
        <v/>
      </c>
      <c r="AP4">
        <f>'Plant Inputs'!AQ34</f>
        <v/>
      </c>
      <c r="AQ4">
        <f>'Plant Inputs'!AR34</f>
        <v/>
      </c>
      <c r="AR4">
        <f>'Plant Inputs'!AS34</f>
        <v/>
      </c>
      <c r="AS4">
        <f>'Plant Inputs'!AT34</f>
        <v/>
      </c>
      <c r="AT4">
        <f>'Plant Inputs'!AU34</f>
        <v/>
      </c>
      <c r="AU4">
        <f>'Plant Inputs'!AV34</f>
        <v/>
      </c>
      <c r="AV4">
        <f>'Plant Inputs'!AW34</f>
        <v/>
      </c>
      <c r="AW4">
        <f>'Plant Inputs'!AX34</f>
        <v/>
      </c>
      <c r="AX4">
        <f>'Plant Inputs'!AY34</f>
        <v/>
      </c>
      <c r="AY4">
        <f>'Plant Inputs'!AZ34</f>
        <v/>
      </c>
      <c r="AZ4">
        <f>'Plant Inputs'!BA34</f>
        <v/>
      </c>
      <c r="BA4">
        <f>'Plant Inputs'!BB34</f>
        <v/>
      </c>
      <c r="BB4">
        <f>'Plant Inputs'!BC34</f>
        <v/>
      </c>
      <c r="BC4">
        <f>'Plant Inputs'!BD34</f>
        <v/>
      </c>
      <c r="BD4">
        <f>'Plant Inputs'!BE34</f>
        <v/>
      </c>
      <c r="BE4">
        <f>'Plant Inputs'!BF34</f>
        <v/>
      </c>
      <c r="BF4">
        <f>'Plant Inputs'!BG34</f>
        <v/>
      </c>
      <c r="BG4">
        <f>'Plant Inputs'!BH34</f>
        <v/>
      </c>
      <c r="BH4">
        <f>'Plant Inputs'!BI34</f>
        <v/>
      </c>
      <c r="BI4">
        <f>'Plant Inputs'!BJ34</f>
        <v/>
      </c>
      <c r="BJ4">
        <f>'Plant Inputs'!BK34</f>
        <v/>
      </c>
      <c r="BK4">
        <f>'Plant Inputs'!BL34</f>
        <v/>
      </c>
      <c r="BL4">
        <f>'Plant Inputs'!BM34</f>
        <v/>
      </c>
      <c r="BM4">
        <f>'Plant Inputs'!BN34</f>
        <v/>
      </c>
      <c r="BN4">
        <f>'Plant Inputs'!BO34</f>
        <v/>
      </c>
      <c r="BO4">
        <f>'Plant Inputs'!BP34</f>
        <v/>
      </c>
      <c r="BP4">
        <f>'Plant Inputs'!BQ34</f>
        <v/>
      </c>
      <c r="BQ4">
        <f>'Plant Inputs'!BR34</f>
        <v/>
      </c>
      <c r="BR4">
        <f>'Plant Inputs'!BS34</f>
        <v/>
      </c>
      <c r="BS4">
        <f>'Plant Inputs'!BT34</f>
        <v/>
      </c>
      <c r="BT4">
        <f>'Plant Inputs'!BU34</f>
        <v/>
      </c>
      <c r="BU4">
        <f>'Plant Inputs'!BV34</f>
        <v/>
      </c>
      <c r="BV4">
        <f>'Plant Inputs'!BW34</f>
        <v/>
      </c>
      <c r="BW4">
        <f>'Plant Inputs'!BX34</f>
        <v/>
      </c>
      <c r="BX4">
        <f>'Plant Inputs'!BY34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06</t>
        </is>
      </c>
      <c r="B5" t="inlineStr">
        <is>
          <t>2026-05</t>
        </is>
      </c>
      <c r="C5" t="n">
        <v>31</v>
      </c>
      <c r="D5" t="n">
        <v>2</v>
      </c>
      <c r="E5">
        <f>'Plant Inputs'!F35</f>
        <v/>
      </c>
      <c r="F5">
        <f>'Plant Inputs'!G35</f>
        <v/>
      </c>
      <c r="G5">
        <f>'Plant Inputs'!H35</f>
        <v/>
      </c>
      <c r="H5">
        <f>'Plant Inputs'!I35</f>
        <v/>
      </c>
      <c r="I5">
        <f>'Plant Inputs'!J35</f>
        <v/>
      </c>
      <c r="J5">
        <f>'Plant Inputs'!K35</f>
        <v/>
      </c>
      <c r="K5">
        <f>'Plant Inputs'!L35</f>
        <v/>
      </c>
      <c r="L5">
        <f>'Plant Inputs'!M35</f>
        <v/>
      </c>
      <c r="M5">
        <f>'Plant Inputs'!N35</f>
        <v/>
      </c>
      <c r="N5">
        <f>'Plant Inputs'!O35</f>
        <v/>
      </c>
      <c r="O5">
        <f>'Plant Inputs'!P35</f>
        <v/>
      </c>
      <c r="P5">
        <f>'Plant Inputs'!Q35</f>
        <v/>
      </c>
      <c r="Q5">
        <f>'Plant Inputs'!R35</f>
        <v/>
      </c>
      <c r="R5">
        <f>'Plant Inputs'!S35</f>
        <v/>
      </c>
      <c r="S5">
        <f>'Plant Inputs'!T35</f>
        <v/>
      </c>
      <c r="T5">
        <f>'Plant Inputs'!U35</f>
        <v/>
      </c>
      <c r="U5">
        <f>'Plant Inputs'!V35</f>
        <v/>
      </c>
      <c r="V5">
        <f>'Plant Inputs'!W35</f>
        <v/>
      </c>
      <c r="W5">
        <f>'Plant Inputs'!X35</f>
        <v/>
      </c>
      <c r="X5">
        <f>'Plant Inputs'!Y35</f>
        <v/>
      </c>
      <c r="Y5">
        <f>'Plant Inputs'!Z35</f>
        <v/>
      </c>
      <c r="Z5">
        <f>'Plant Inputs'!AA35</f>
        <v/>
      </c>
      <c r="AA5">
        <f>'Plant Inputs'!AB35</f>
        <v/>
      </c>
      <c r="AB5">
        <f>'Plant Inputs'!AC35</f>
        <v/>
      </c>
      <c r="AC5">
        <f>'Plant Inputs'!AD35</f>
        <v/>
      </c>
      <c r="AD5">
        <f>'Plant Inputs'!AE35</f>
        <v/>
      </c>
      <c r="AE5">
        <f>'Plant Inputs'!AF35</f>
        <v/>
      </c>
      <c r="AF5">
        <f>'Plant Inputs'!AG35</f>
        <v/>
      </c>
      <c r="AG5">
        <f>'Plant Inputs'!AH35</f>
        <v/>
      </c>
      <c r="AH5">
        <f>'Plant Inputs'!AI35</f>
        <v/>
      </c>
      <c r="AI5">
        <f>'Plant Inputs'!AJ35</f>
        <v/>
      </c>
      <c r="AJ5">
        <f>'Plant Inputs'!AK35</f>
        <v/>
      </c>
      <c r="AK5">
        <f>'Plant Inputs'!AL35</f>
        <v/>
      </c>
      <c r="AL5">
        <f>'Plant Inputs'!AM35</f>
        <v/>
      </c>
      <c r="AM5">
        <f>'Plant Inputs'!AN35</f>
        <v/>
      </c>
      <c r="AN5">
        <f>'Plant Inputs'!AO35</f>
        <v/>
      </c>
      <c r="AO5">
        <f>'Plant Inputs'!AP35</f>
        <v/>
      </c>
      <c r="AP5">
        <f>'Plant Inputs'!AQ35</f>
        <v/>
      </c>
      <c r="AQ5">
        <f>'Plant Inputs'!AR35</f>
        <v/>
      </c>
      <c r="AR5">
        <f>'Plant Inputs'!AS35</f>
        <v/>
      </c>
      <c r="AS5">
        <f>'Plant Inputs'!AT35</f>
        <v/>
      </c>
      <c r="AT5">
        <f>'Plant Inputs'!AU35</f>
        <v/>
      </c>
      <c r="AU5">
        <f>'Plant Inputs'!AV35</f>
        <v/>
      </c>
      <c r="AV5">
        <f>'Plant Inputs'!AW35</f>
        <v/>
      </c>
      <c r="AW5">
        <f>'Plant Inputs'!AX35</f>
        <v/>
      </c>
      <c r="AX5">
        <f>'Plant Inputs'!AY35</f>
        <v/>
      </c>
      <c r="AY5">
        <f>'Plant Inputs'!AZ35</f>
        <v/>
      </c>
      <c r="AZ5">
        <f>'Plant Inputs'!BA35</f>
        <v/>
      </c>
      <c r="BA5">
        <f>'Plant Inputs'!BB35</f>
        <v/>
      </c>
      <c r="BB5">
        <f>'Plant Inputs'!BC35</f>
        <v/>
      </c>
      <c r="BC5">
        <f>'Plant Inputs'!BD35</f>
        <v/>
      </c>
      <c r="BD5">
        <f>'Plant Inputs'!BE35</f>
        <v/>
      </c>
      <c r="BE5">
        <f>'Plant Inputs'!BF35</f>
        <v/>
      </c>
      <c r="BF5">
        <f>'Plant Inputs'!BG35</f>
        <v/>
      </c>
      <c r="BG5">
        <f>'Plant Inputs'!BH35</f>
        <v/>
      </c>
      <c r="BH5">
        <f>'Plant Inputs'!BI35</f>
        <v/>
      </c>
      <c r="BI5">
        <f>'Plant Inputs'!BJ35</f>
        <v/>
      </c>
      <c r="BJ5">
        <f>'Plant Inputs'!BK35</f>
        <v/>
      </c>
      <c r="BK5">
        <f>'Plant Inputs'!BL35</f>
        <v/>
      </c>
      <c r="BL5">
        <f>'Plant Inputs'!BM35</f>
        <v/>
      </c>
      <c r="BM5">
        <f>'Plant Inputs'!BN35</f>
        <v/>
      </c>
      <c r="BN5">
        <f>'Plant Inputs'!BO35</f>
        <v/>
      </c>
      <c r="BO5">
        <f>'Plant Inputs'!BP35</f>
        <v/>
      </c>
      <c r="BP5">
        <f>'Plant Inputs'!BQ35</f>
        <v/>
      </c>
      <c r="BQ5">
        <f>'Plant Inputs'!BR35</f>
        <v/>
      </c>
      <c r="BR5">
        <f>'Plant Inputs'!BS35</f>
        <v/>
      </c>
      <c r="BS5">
        <f>'Plant Inputs'!BT35</f>
        <v/>
      </c>
      <c r="BT5">
        <f>'Plant Inputs'!BU35</f>
        <v/>
      </c>
      <c r="BU5">
        <f>'Plant Inputs'!BV35</f>
        <v/>
      </c>
      <c r="BV5">
        <f>'Plant Inputs'!BW35</f>
        <v/>
      </c>
      <c r="BW5">
        <f>'Plant Inputs'!BX35</f>
        <v/>
      </c>
      <c r="BX5">
        <f>'Plant Inputs'!BY35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06</t>
        </is>
      </c>
      <c r="B6" t="inlineStr">
        <is>
          <t>2026-06</t>
        </is>
      </c>
      <c r="C6" t="n">
        <v>30</v>
      </c>
      <c r="D6" t="n">
        <v>3</v>
      </c>
      <c r="E6">
        <f>'Plant Inputs'!F36</f>
        <v/>
      </c>
      <c r="F6">
        <f>'Plant Inputs'!G36</f>
        <v/>
      </c>
      <c r="G6">
        <f>'Plant Inputs'!H36</f>
        <v/>
      </c>
      <c r="H6">
        <f>'Plant Inputs'!I36</f>
        <v/>
      </c>
      <c r="I6">
        <f>'Plant Inputs'!J36</f>
        <v/>
      </c>
      <c r="J6">
        <f>'Plant Inputs'!K36</f>
        <v/>
      </c>
      <c r="K6">
        <f>'Plant Inputs'!L36</f>
        <v/>
      </c>
      <c r="L6">
        <f>'Plant Inputs'!M36</f>
        <v/>
      </c>
      <c r="M6">
        <f>'Plant Inputs'!N36</f>
        <v/>
      </c>
      <c r="N6">
        <f>'Plant Inputs'!O36</f>
        <v/>
      </c>
      <c r="O6">
        <f>'Plant Inputs'!P36</f>
        <v/>
      </c>
      <c r="P6">
        <f>'Plant Inputs'!Q36</f>
        <v/>
      </c>
      <c r="Q6">
        <f>'Plant Inputs'!R36</f>
        <v/>
      </c>
      <c r="R6">
        <f>'Plant Inputs'!S36</f>
        <v/>
      </c>
      <c r="S6">
        <f>'Plant Inputs'!T36</f>
        <v/>
      </c>
      <c r="T6">
        <f>'Plant Inputs'!U36</f>
        <v/>
      </c>
      <c r="U6">
        <f>'Plant Inputs'!V36</f>
        <v/>
      </c>
      <c r="V6">
        <f>'Plant Inputs'!W36</f>
        <v/>
      </c>
      <c r="W6">
        <f>'Plant Inputs'!X36</f>
        <v/>
      </c>
      <c r="X6">
        <f>'Plant Inputs'!Y36</f>
        <v/>
      </c>
      <c r="Y6">
        <f>'Plant Inputs'!Z36</f>
        <v/>
      </c>
      <c r="Z6">
        <f>'Plant Inputs'!AA36</f>
        <v/>
      </c>
      <c r="AA6">
        <f>'Plant Inputs'!AB36</f>
        <v/>
      </c>
      <c r="AB6">
        <f>'Plant Inputs'!AC36</f>
        <v/>
      </c>
      <c r="AC6">
        <f>'Plant Inputs'!AD36</f>
        <v/>
      </c>
      <c r="AD6">
        <f>'Plant Inputs'!AE36</f>
        <v/>
      </c>
      <c r="AE6">
        <f>'Plant Inputs'!AF36</f>
        <v/>
      </c>
      <c r="AF6">
        <f>'Plant Inputs'!AG36</f>
        <v/>
      </c>
      <c r="AG6">
        <f>'Plant Inputs'!AH36</f>
        <v/>
      </c>
      <c r="AH6">
        <f>'Plant Inputs'!AI36</f>
        <v/>
      </c>
      <c r="AI6">
        <f>'Plant Inputs'!AJ36</f>
        <v/>
      </c>
      <c r="AJ6">
        <f>'Plant Inputs'!AK36</f>
        <v/>
      </c>
      <c r="AK6">
        <f>'Plant Inputs'!AL36</f>
        <v/>
      </c>
      <c r="AL6">
        <f>'Plant Inputs'!AM36</f>
        <v/>
      </c>
      <c r="AM6">
        <f>'Plant Inputs'!AN36</f>
        <v/>
      </c>
      <c r="AN6">
        <f>'Plant Inputs'!AO36</f>
        <v/>
      </c>
      <c r="AO6">
        <f>'Plant Inputs'!AP36</f>
        <v/>
      </c>
      <c r="AP6">
        <f>'Plant Inputs'!AQ36</f>
        <v/>
      </c>
      <c r="AQ6">
        <f>'Plant Inputs'!AR36</f>
        <v/>
      </c>
      <c r="AR6">
        <f>'Plant Inputs'!AS36</f>
        <v/>
      </c>
      <c r="AS6">
        <f>'Plant Inputs'!AT36</f>
        <v/>
      </c>
      <c r="AT6">
        <f>'Plant Inputs'!AU36</f>
        <v/>
      </c>
      <c r="AU6">
        <f>'Plant Inputs'!AV36</f>
        <v/>
      </c>
      <c r="AV6">
        <f>'Plant Inputs'!AW36</f>
        <v/>
      </c>
      <c r="AW6">
        <f>'Plant Inputs'!AX36</f>
        <v/>
      </c>
      <c r="AX6">
        <f>'Plant Inputs'!AY36</f>
        <v/>
      </c>
      <c r="AY6">
        <f>'Plant Inputs'!AZ36</f>
        <v/>
      </c>
      <c r="AZ6">
        <f>'Plant Inputs'!BA36</f>
        <v/>
      </c>
      <c r="BA6">
        <f>'Plant Inputs'!BB36</f>
        <v/>
      </c>
      <c r="BB6">
        <f>'Plant Inputs'!BC36</f>
        <v/>
      </c>
      <c r="BC6">
        <f>'Plant Inputs'!BD36</f>
        <v/>
      </c>
      <c r="BD6">
        <f>'Plant Inputs'!BE36</f>
        <v/>
      </c>
      <c r="BE6">
        <f>'Plant Inputs'!BF36</f>
        <v/>
      </c>
      <c r="BF6">
        <f>'Plant Inputs'!BG36</f>
        <v/>
      </c>
      <c r="BG6">
        <f>'Plant Inputs'!BH36</f>
        <v/>
      </c>
      <c r="BH6">
        <f>'Plant Inputs'!BI36</f>
        <v/>
      </c>
      <c r="BI6">
        <f>'Plant Inputs'!BJ36</f>
        <v/>
      </c>
      <c r="BJ6">
        <f>'Plant Inputs'!BK36</f>
        <v/>
      </c>
      <c r="BK6">
        <f>'Plant Inputs'!BL36</f>
        <v/>
      </c>
      <c r="BL6">
        <f>'Plant Inputs'!BM36</f>
        <v/>
      </c>
      <c r="BM6">
        <f>'Plant Inputs'!BN36</f>
        <v/>
      </c>
      <c r="BN6">
        <f>'Plant Inputs'!BO36</f>
        <v/>
      </c>
      <c r="BO6">
        <f>'Plant Inputs'!BP36</f>
        <v/>
      </c>
      <c r="BP6">
        <f>'Plant Inputs'!BQ36</f>
        <v/>
      </c>
      <c r="BQ6">
        <f>'Plant Inputs'!BR36</f>
        <v/>
      </c>
      <c r="BR6">
        <f>'Plant Inputs'!BS36</f>
        <v/>
      </c>
      <c r="BS6">
        <f>'Plant Inputs'!BT36</f>
        <v/>
      </c>
      <c r="BT6">
        <f>'Plant Inputs'!BU36</f>
        <v/>
      </c>
      <c r="BU6">
        <f>'Plant Inputs'!BV36</f>
        <v/>
      </c>
      <c r="BV6">
        <f>'Plant Inputs'!BW36</f>
        <v/>
      </c>
      <c r="BW6">
        <f>'Plant Inputs'!BX36</f>
        <v/>
      </c>
      <c r="BX6">
        <f>'Plant Inputs'!BY36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06</t>
        </is>
      </c>
      <c r="B7" t="inlineStr">
        <is>
          <t>2026-07</t>
        </is>
      </c>
      <c r="C7" t="n">
        <v>31</v>
      </c>
      <c r="D7" t="n">
        <v>4</v>
      </c>
      <c r="E7">
        <f>'Plant Inputs'!F37</f>
        <v/>
      </c>
      <c r="F7">
        <f>'Plant Inputs'!G37</f>
        <v/>
      </c>
      <c r="G7">
        <f>'Plant Inputs'!H37</f>
        <v/>
      </c>
      <c r="H7">
        <f>'Plant Inputs'!I37</f>
        <v/>
      </c>
      <c r="I7">
        <f>'Plant Inputs'!J37</f>
        <v/>
      </c>
      <c r="J7">
        <f>'Plant Inputs'!K37</f>
        <v/>
      </c>
      <c r="K7">
        <f>'Plant Inputs'!L37</f>
        <v/>
      </c>
      <c r="L7">
        <f>'Plant Inputs'!M37</f>
        <v/>
      </c>
      <c r="M7">
        <f>'Plant Inputs'!N37</f>
        <v/>
      </c>
      <c r="N7">
        <f>'Plant Inputs'!O37</f>
        <v/>
      </c>
      <c r="O7">
        <f>'Plant Inputs'!P37</f>
        <v/>
      </c>
      <c r="P7">
        <f>'Plant Inputs'!Q37</f>
        <v/>
      </c>
      <c r="Q7">
        <f>'Plant Inputs'!R37</f>
        <v/>
      </c>
      <c r="R7">
        <f>'Plant Inputs'!S37</f>
        <v/>
      </c>
      <c r="S7">
        <f>'Plant Inputs'!T37</f>
        <v/>
      </c>
      <c r="T7">
        <f>'Plant Inputs'!U37</f>
        <v/>
      </c>
      <c r="U7">
        <f>'Plant Inputs'!V37</f>
        <v/>
      </c>
      <c r="V7">
        <f>'Plant Inputs'!W37</f>
        <v/>
      </c>
      <c r="W7">
        <f>'Plant Inputs'!X37</f>
        <v/>
      </c>
      <c r="X7">
        <f>'Plant Inputs'!Y37</f>
        <v/>
      </c>
      <c r="Y7">
        <f>'Plant Inputs'!Z37</f>
        <v/>
      </c>
      <c r="Z7">
        <f>'Plant Inputs'!AA37</f>
        <v/>
      </c>
      <c r="AA7">
        <f>'Plant Inputs'!AB37</f>
        <v/>
      </c>
      <c r="AB7">
        <f>'Plant Inputs'!AC37</f>
        <v/>
      </c>
      <c r="AC7">
        <f>'Plant Inputs'!AD37</f>
        <v/>
      </c>
      <c r="AD7">
        <f>'Plant Inputs'!AE37</f>
        <v/>
      </c>
      <c r="AE7">
        <f>'Plant Inputs'!AF37</f>
        <v/>
      </c>
      <c r="AF7">
        <f>'Plant Inputs'!AG37</f>
        <v/>
      </c>
      <c r="AG7">
        <f>'Plant Inputs'!AH37</f>
        <v/>
      </c>
      <c r="AH7">
        <f>'Plant Inputs'!AI37</f>
        <v/>
      </c>
      <c r="AI7">
        <f>'Plant Inputs'!AJ37</f>
        <v/>
      </c>
      <c r="AJ7">
        <f>'Plant Inputs'!AK37</f>
        <v/>
      </c>
      <c r="AK7">
        <f>'Plant Inputs'!AL37</f>
        <v/>
      </c>
      <c r="AL7">
        <f>'Plant Inputs'!AM37</f>
        <v/>
      </c>
      <c r="AM7">
        <f>'Plant Inputs'!AN37</f>
        <v/>
      </c>
      <c r="AN7">
        <f>'Plant Inputs'!AO37</f>
        <v/>
      </c>
      <c r="AO7">
        <f>'Plant Inputs'!AP37</f>
        <v/>
      </c>
      <c r="AP7">
        <f>'Plant Inputs'!AQ37</f>
        <v/>
      </c>
      <c r="AQ7">
        <f>'Plant Inputs'!AR37</f>
        <v/>
      </c>
      <c r="AR7">
        <f>'Plant Inputs'!AS37</f>
        <v/>
      </c>
      <c r="AS7">
        <f>'Plant Inputs'!AT37</f>
        <v/>
      </c>
      <c r="AT7">
        <f>'Plant Inputs'!AU37</f>
        <v/>
      </c>
      <c r="AU7">
        <f>'Plant Inputs'!AV37</f>
        <v/>
      </c>
      <c r="AV7">
        <f>'Plant Inputs'!AW37</f>
        <v/>
      </c>
      <c r="AW7">
        <f>'Plant Inputs'!AX37</f>
        <v/>
      </c>
      <c r="AX7">
        <f>'Plant Inputs'!AY37</f>
        <v/>
      </c>
      <c r="AY7">
        <f>'Plant Inputs'!AZ37</f>
        <v/>
      </c>
      <c r="AZ7">
        <f>'Plant Inputs'!BA37</f>
        <v/>
      </c>
      <c r="BA7">
        <f>'Plant Inputs'!BB37</f>
        <v/>
      </c>
      <c r="BB7">
        <f>'Plant Inputs'!BC37</f>
        <v/>
      </c>
      <c r="BC7">
        <f>'Plant Inputs'!BD37</f>
        <v/>
      </c>
      <c r="BD7">
        <f>'Plant Inputs'!BE37</f>
        <v/>
      </c>
      <c r="BE7">
        <f>'Plant Inputs'!BF37</f>
        <v/>
      </c>
      <c r="BF7">
        <f>'Plant Inputs'!BG37</f>
        <v/>
      </c>
      <c r="BG7">
        <f>'Plant Inputs'!BH37</f>
        <v/>
      </c>
      <c r="BH7">
        <f>'Plant Inputs'!BI37</f>
        <v/>
      </c>
      <c r="BI7">
        <f>'Plant Inputs'!BJ37</f>
        <v/>
      </c>
      <c r="BJ7">
        <f>'Plant Inputs'!BK37</f>
        <v/>
      </c>
      <c r="BK7">
        <f>'Plant Inputs'!BL37</f>
        <v/>
      </c>
      <c r="BL7">
        <f>'Plant Inputs'!BM37</f>
        <v/>
      </c>
      <c r="BM7">
        <f>'Plant Inputs'!BN37</f>
        <v/>
      </c>
      <c r="BN7">
        <f>'Plant Inputs'!BO37</f>
        <v/>
      </c>
      <c r="BO7">
        <f>'Plant Inputs'!BP37</f>
        <v/>
      </c>
      <c r="BP7">
        <f>'Plant Inputs'!BQ37</f>
        <v/>
      </c>
      <c r="BQ7">
        <f>'Plant Inputs'!BR37</f>
        <v/>
      </c>
      <c r="BR7">
        <f>'Plant Inputs'!BS37</f>
        <v/>
      </c>
      <c r="BS7">
        <f>'Plant Inputs'!BT37</f>
        <v/>
      </c>
      <c r="BT7">
        <f>'Plant Inputs'!BU37</f>
        <v/>
      </c>
      <c r="BU7">
        <f>'Plant Inputs'!BV37</f>
        <v/>
      </c>
      <c r="BV7">
        <f>'Plant Inputs'!BW37</f>
        <v/>
      </c>
      <c r="BW7">
        <f>'Plant Inputs'!BX37</f>
        <v/>
      </c>
      <c r="BX7">
        <f>'Plant Inputs'!BY37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06</t>
        </is>
      </c>
      <c r="B8" t="inlineStr">
        <is>
          <t>2026-08</t>
        </is>
      </c>
      <c r="C8" t="n">
        <v>31</v>
      </c>
      <c r="D8" t="n">
        <v>5</v>
      </c>
      <c r="E8">
        <f>'Plant Inputs'!F38</f>
        <v/>
      </c>
      <c r="F8">
        <f>'Plant Inputs'!G38</f>
        <v/>
      </c>
      <c r="G8">
        <f>'Plant Inputs'!H38</f>
        <v/>
      </c>
      <c r="H8">
        <f>'Plant Inputs'!I38</f>
        <v/>
      </c>
      <c r="I8">
        <f>'Plant Inputs'!J38</f>
        <v/>
      </c>
      <c r="J8">
        <f>'Plant Inputs'!K38</f>
        <v/>
      </c>
      <c r="K8">
        <f>'Plant Inputs'!L38</f>
        <v/>
      </c>
      <c r="L8">
        <f>'Plant Inputs'!M38</f>
        <v/>
      </c>
      <c r="M8">
        <f>'Plant Inputs'!N38</f>
        <v/>
      </c>
      <c r="N8">
        <f>'Plant Inputs'!O38</f>
        <v/>
      </c>
      <c r="O8">
        <f>'Plant Inputs'!P38</f>
        <v/>
      </c>
      <c r="P8">
        <f>'Plant Inputs'!Q38</f>
        <v/>
      </c>
      <c r="Q8">
        <f>'Plant Inputs'!R38</f>
        <v/>
      </c>
      <c r="R8">
        <f>'Plant Inputs'!S38</f>
        <v/>
      </c>
      <c r="S8">
        <f>'Plant Inputs'!T38</f>
        <v/>
      </c>
      <c r="T8">
        <f>'Plant Inputs'!U38</f>
        <v/>
      </c>
      <c r="U8">
        <f>'Plant Inputs'!V38</f>
        <v/>
      </c>
      <c r="V8">
        <f>'Plant Inputs'!W38</f>
        <v/>
      </c>
      <c r="W8">
        <f>'Plant Inputs'!X38</f>
        <v/>
      </c>
      <c r="X8">
        <f>'Plant Inputs'!Y38</f>
        <v/>
      </c>
      <c r="Y8">
        <f>'Plant Inputs'!Z38</f>
        <v/>
      </c>
      <c r="Z8">
        <f>'Plant Inputs'!AA38</f>
        <v/>
      </c>
      <c r="AA8">
        <f>'Plant Inputs'!AB38</f>
        <v/>
      </c>
      <c r="AB8">
        <f>'Plant Inputs'!AC38</f>
        <v/>
      </c>
      <c r="AC8">
        <f>'Plant Inputs'!AD38</f>
        <v/>
      </c>
      <c r="AD8">
        <f>'Plant Inputs'!AE38</f>
        <v/>
      </c>
      <c r="AE8">
        <f>'Plant Inputs'!AF38</f>
        <v/>
      </c>
      <c r="AF8">
        <f>'Plant Inputs'!AG38</f>
        <v/>
      </c>
      <c r="AG8">
        <f>'Plant Inputs'!AH38</f>
        <v/>
      </c>
      <c r="AH8">
        <f>'Plant Inputs'!AI38</f>
        <v/>
      </c>
      <c r="AI8">
        <f>'Plant Inputs'!AJ38</f>
        <v/>
      </c>
      <c r="AJ8">
        <f>'Plant Inputs'!AK38</f>
        <v/>
      </c>
      <c r="AK8">
        <f>'Plant Inputs'!AL38</f>
        <v/>
      </c>
      <c r="AL8">
        <f>'Plant Inputs'!AM38</f>
        <v/>
      </c>
      <c r="AM8">
        <f>'Plant Inputs'!AN38</f>
        <v/>
      </c>
      <c r="AN8">
        <f>'Plant Inputs'!AO38</f>
        <v/>
      </c>
      <c r="AO8">
        <f>'Plant Inputs'!AP38</f>
        <v/>
      </c>
      <c r="AP8">
        <f>'Plant Inputs'!AQ38</f>
        <v/>
      </c>
      <c r="AQ8">
        <f>'Plant Inputs'!AR38</f>
        <v/>
      </c>
      <c r="AR8">
        <f>'Plant Inputs'!AS38</f>
        <v/>
      </c>
      <c r="AS8">
        <f>'Plant Inputs'!AT38</f>
        <v/>
      </c>
      <c r="AT8">
        <f>'Plant Inputs'!AU38</f>
        <v/>
      </c>
      <c r="AU8">
        <f>'Plant Inputs'!AV38</f>
        <v/>
      </c>
      <c r="AV8">
        <f>'Plant Inputs'!AW38</f>
        <v/>
      </c>
      <c r="AW8">
        <f>'Plant Inputs'!AX38</f>
        <v/>
      </c>
      <c r="AX8">
        <f>'Plant Inputs'!AY38</f>
        <v/>
      </c>
      <c r="AY8">
        <f>'Plant Inputs'!AZ38</f>
        <v/>
      </c>
      <c r="AZ8">
        <f>'Plant Inputs'!BA38</f>
        <v/>
      </c>
      <c r="BA8">
        <f>'Plant Inputs'!BB38</f>
        <v/>
      </c>
      <c r="BB8">
        <f>'Plant Inputs'!BC38</f>
        <v/>
      </c>
      <c r="BC8">
        <f>'Plant Inputs'!BD38</f>
        <v/>
      </c>
      <c r="BD8">
        <f>'Plant Inputs'!BE38</f>
        <v/>
      </c>
      <c r="BE8">
        <f>'Plant Inputs'!BF38</f>
        <v/>
      </c>
      <c r="BF8">
        <f>'Plant Inputs'!BG38</f>
        <v/>
      </c>
      <c r="BG8">
        <f>'Plant Inputs'!BH38</f>
        <v/>
      </c>
      <c r="BH8">
        <f>'Plant Inputs'!BI38</f>
        <v/>
      </c>
      <c r="BI8">
        <f>'Plant Inputs'!BJ38</f>
        <v/>
      </c>
      <c r="BJ8">
        <f>'Plant Inputs'!BK38</f>
        <v/>
      </c>
      <c r="BK8">
        <f>'Plant Inputs'!BL38</f>
        <v/>
      </c>
      <c r="BL8">
        <f>'Plant Inputs'!BM38</f>
        <v/>
      </c>
      <c r="BM8">
        <f>'Plant Inputs'!BN38</f>
        <v/>
      </c>
      <c r="BN8">
        <f>'Plant Inputs'!BO38</f>
        <v/>
      </c>
      <c r="BO8">
        <f>'Plant Inputs'!BP38</f>
        <v/>
      </c>
      <c r="BP8">
        <f>'Plant Inputs'!BQ38</f>
        <v/>
      </c>
      <c r="BQ8">
        <f>'Plant Inputs'!BR38</f>
        <v/>
      </c>
      <c r="BR8">
        <f>'Plant Inputs'!BS38</f>
        <v/>
      </c>
      <c r="BS8">
        <f>'Plant Inputs'!BT38</f>
        <v/>
      </c>
      <c r="BT8">
        <f>'Plant Inputs'!BU38</f>
        <v/>
      </c>
      <c r="BU8">
        <f>'Plant Inputs'!BV38</f>
        <v/>
      </c>
      <c r="BV8">
        <f>'Plant Inputs'!BW38</f>
        <v/>
      </c>
      <c r="BW8">
        <f>'Plant Inputs'!BX38</f>
        <v/>
      </c>
      <c r="BX8">
        <f>'Plant Inputs'!BY38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06</t>
        </is>
      </c>
      <c r="B9" t="inlineStr">
        <is>
          <t>2026-09</t>
        </is>
      </c>
      <c r="C9" t="n">
        <v>30</v>
      </c>
      <c r="D9" t="n">
        <v>6</v>
      </c>
      <c r="E9">
        <f>'Plant Inputs'!F39</f>
        <v/>
      </c>
      <c r="F9">
        <f>'Plant Inputs'!G39</f>
        <v/>
      </c>
      <c r="G9">
        <f>'Plant Inputs'!H39</f>
        <v/>
      </c>
      <c r="H9">
        <f>'Plant Inputs'!I39</f>
        <v/>
      </c>
      <c r="I9">
        <f>'Plant Inputs'!J39</f>
        <v/>
      </c>
      <c r="J9">
        <f>'Plant Inputs'!K39</f>
        <v/>
      </c>
      <c r="K9">
        <f>'Plant Inputs'!L39</f>
        <v/>
      </c>
      <c r="L9">
        <f>'Plant Inputs'!M39</f>
        <v/>
      </c>
      <c r="M9">
        <f>'Plant Inputs'!N39</f>
        <v/>
      </c>
      <c r="N9">
        <f>'Plant Inputs'!O39</f>
        <v/>
      </c>
      <c r="O9">
        <f>'Plant Inputs'!P39</f>
        <v/>
      </c>
      <c r="P9">
        <f>'Plant Inputs'!Q39</f>
        <v/>
      </c>
      <c r="Q9">
        <f>'Plant Inputs'!R39</f>
        <v/>
      </c>
      <c r="R9">
        <f>'Plant Inputs'!S39</f>
        <v/>
      </c>
      <c r="S9">
        <f>'Plant Inputs'!T39</f>
        <v/>
      </c>
      <c r="T9">
        <f>'Plant Inputs'!U39</f>
        <v/>
      </c>
      <c r="U9">
        <f>'Plant Inputs'!V39</f>
        <v/>
      </c>
      <c r="V9">
        <f>'Plant Inputs'!W39</f>
        <v/>
      </c>
      <c r="W9">
        <f>'Plant Inputs'!X39</f>
        <v/>
      </c>
      <c r="X9">
        <f>'Plant Inputs'!Y39</f>
        <v/>
      </c>
      <c r="Y9">
        <f>'Plant Inputs'!Z39</f>
        <v/>
      </c>
      <c r="Z9">
        <f>'Plant Inputs'!AA39</f>
        <v/>
      </c>
      <c r="AA9">
        <f>'Plant Inputs'!AB39</f>
        <v/>
      </c>
      <c r="AB9">
        <f>'Plant Inputs'!AC39</f>
        <v/>
      </c>
      <c r="AC9">
        <f>'Plant Inputs'!AD39</f>
        <v/>
      </c>
      <c r="AD9">
        <f>'Plant Inputs'!AE39</f>
        <v/>
      </c>
      <c r="AE9">
        <f>'Plant Inputs'!AF39</f>
        <v/>
      </c>
      <c r="AF9">
        <f>'Plant Inputs'!AG39</f>
        <v/>
      </c>
      <c r="AG9">
        <f>'Plant Inputs'!AH39</f>
        <v/>
      </c>
      <c r="AH9">
        <f>'Plant Inputs'!AI39</f>
        <v/>
      </c>
      <c r="AI9">
        <f>'Plant Inputs'!AJ39</f>
        <v/>
      </c>
      <c r="AJ9">
        <f>'Plant Inputs'!AK39</f>
        <v/>
      </c>
      <c r="AK9">
        <f>'Plant Inputs'!AL39</f>
        <v/>
      </c>
      <c r="AL9">
        <f>'Plant Inputs'!AM39</f>
        <v/>
      </c>
      <c r="AM9">
        <f>'Plant Inputs'!AN39</f>
        <v/>
      </c>
      <c r="AN9">
        <f>'Plant Inputs'!AO39</f>
        <v/>
      </c>
      <c r="AO9">
        <f>'Plant Inputs'!AP39</f>
        <v/>
      </c>
      <c r="AP9">
        <f>'Plant Inputs'!AQ39</f>
        <v/>
      </c>
      <c r="AQ9">
        <f>'Plant Inputs'!AR39</f>
        <v/>
      </c>
      <c r="AR9">
        <f>'Plant Inputs'!AS39</f>
        <v/>
      </c>
      <c r="AS9">
        <f>'Plant Inputs'!AT39</f>
        <v/>
      </c>
      <c r="AT9">
        <f>'Plant Inputs'!AU39</f>
        <v/>
      </c>
      <c r="AU9">
        <f>'Plant Inputs'!AV39</f>
        <v/>
      </c>
      <c r="AV9">
        <f>'Plant Inputs'!AW39</f>
        <v/>
      </c>
      <c r="AW9">
        <f>'Plant Inputs'!AX39</f>
        <v/>
      </c>
      <c r="AX9">
        <f>'Plant Inputs'!AY39</f>
        <v/>
      </c>
      <c r="AY9">
        <f>'Plant Inputs'!AZ39</f>
        <v/>
      </c>
      <c r="AZ9">
        <f>'Plant Inputs'!BA39</f>
        <v/>
      </c>
      <c r="BA9">
        <f>'Plant Inputs'!BB39</f>
        <v/>
      </c>
      <c r="BB9">
        <f>'Plant Inputs'!BC39</f>
        <v/>
      </c>
      <c r="BC9">
        <f>'Plant Inputs'!BD39</f>
        <v/>
      </c>
      <c r="BD9">
        <f>'Plant Inputs'!BE39</f>
        <v/>
      </c>
      <c r="BE9">
        <f>'Plant Inputs'!BF39</f>
        <v/>
      </c>
      <c r="BF9">
        <f>'Plant Inputs'!BG39</f>
        <v/>
      </c>
      <c r="BG9">
        <f>'Plant Inputs'!BH39</f>
        <v/>
      </c>
      <c r="BH9">
        <f>'Plant Inputs'!BI39</f>
        <v/>
      </c>
      <c r="BI9">
        <f>'Plant Inputs'!BJ39</f>
        <v/>
      </c>
      <c r="BJ9">
        <f>'Plant Inputs'!BK39</f>
        <v/>
      </c>
      <c r="BK9">
        <f>'Plant Inputs'!BL39</f>
        <v/>
      </c>
      <c r="BL9">
        <f>'Plant Inputs'!BM39</f>
        <v/>
      </c>
      <c r="BM9">
        <f>'Plant Inputs'!BN39</f>
        <v/>
      </c>
      <c r="BN9">
        <f>'Plant Inputs'!BO39</f>
        <v/>
      </c>
      <c r="BO9">
        <f>'Plant Inputs'!BP39</f>
        <v/>
      </c>
      <c r="BP9">
        <f>'Plant Inputs'!BQ39</f>
        <v/>
      </c>
      <c r="BQ9">
        <f>'Plant Inputs'!BR39</f>
        <v/>
      </c>
      <c r="BR9">
        <f>'Plant Inputs'!BS39</f>
        <v/>
      </c>
      <c r="BS9">
        <f>'Plant Inputs'!BT39</f>
        <v/>
      </c>
      <c r="BT9">
        <f>'Plant Inputs'!BU39</f>
        <v/>
      </c>
      <c r="BU9">
        <f>'Plant Inputs'!BV39</f>
        <v/>
      </c>
      <c r="BV9">
        <f>'Plant Inputs'!BW39</f>
        <v/>
      </c>
      <c r="BW9">
        <f>'Plant Inputs'!BX39</f>
        <v/>
      </c>
      <c r="BX9">
        <f>'Plant Inputs'!BY39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ROUND(IFERROR(100*'A1 Inputs'!M4/'A1 Inputs'!K4,0),2)</f>
        <v/>
      </c>
      <c r="G2">
        <f>ROUND(IFERROR(100*'A1 Inputs'!M5/'A1 Inputs'!K5,0),2)</f>
        <v/>
      </c>
      <c r="H2">
        <f>ROUND(IFERROR(100*'A1 Inputs'!M6/'A1 Inputs'!K6,0),2)</f>
        <v/>
      </c>
      <c r="I2">
        <f>ROUND(IFERROR(100*'A1 Inputs'!M7/'A1 Inputs'!K7,0),2)</f>
        <v/>
      </c>
      <c r="J2">
        <f>ROUND(IFERROR(100*'A1 Inputs'!M8/'A1 Inputs'!K8,0),2)</f>
        <v/>
      </c>
      <c r="K2">
        <f>ROUND(IFERROR(100*'A1 Inputs'!M9/'A1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ROUND(IFERROR(100*'A1 Inputs'!M4/'A1 Inputs'!J4,0),2)</f>
        <v/>
      </c>
      <c r="G3">
        <f>ROUND(IFERROR(100*'A1 Inputs'!M5/'A1 Inputs'!J5,0),2)</f>
        <v/>
      </c>
      <c r="H3">
        <f>ROUND(IFERROR(100*'A1 Inputs'!M6/'A1 Inputs'!J6,0),2)</f>
        <v/>
      </c>
      <c r="I3">
        <f>ROUND(IFERROR(100*'A1 Inputs'!M7/'A1 Inputs'!J7,0),2)</f>
        <v/>
      </c>
      <c r="J3">
        <f>ROUND(IFERROR(100*'A1 Inputs'!M8/'A1 Inputs'!J8,0),2)</f>
        <v/>
      </c>
      <c r="K3">
        <f>ROUND(IFERROR(100*'A1 Inputs'!M9/'A1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ROUND(IFERROR(100*'A1 Inputs'!G4/'A1 Inputs'!E4,0),2)</f>
        <v/>
      </c>
      <c r="G4">
        <f>ROUND(IFERROR(100*'A1 Inputs'!G5/'A1 Inputs'!E5,0),2)</f>
        <v/>
      </c>
      <c r="H4">
        <f>ROUND(IFERROR(100*'A1 Inputs'!G6/'A1 Inputs'!E6,0),2)</f>
        <v/>
      </c>
      <c r="I4">
        <f>ROUND(IFERROR(100*'A1 Inputs'!G7/'A1 Inputs'!E7,0),2)</f>
        <v/>
      </c>
      <c r="J4">
        <f>ROUND(IFERROR(100*'A1 Inputs'!G8/'A1 Inputs'!E8,0),2)</f>
        <v/>
      </c>
      <c r="K4">
        <f>ROUND(IFERROR(100*'A1 Inputs'!G9/'A1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ROUND(IFERROR(100*'A1 Inputs'!M4/'A1 Inputs'!I4,0),2)</f>
        <v/>
      </c>
      <c r="G5">
        <f>ROUND(IFERROR(100*'A1 Inputs'!M5/'A1 Inputs'!I5,0),2)</f>
        <v/>
      </c>
      <c r="H5">
        <f>ROUND(IFERROR(100*'A1 Inputs'!M6/'A1 Inputs'!I6,0),2)</f>
        <v/>
      </c>
      <c r="I5">
        <f>ROUND(IFERROR(100*'A1 Inputs'!M7/'A1 Inputs'!I7,0),2)</f>
        <v/>
      </c>
      <c r="J5">
        <f>ROUND(IFERROR(100*'A1 Inputs'!M8/'A1 Inputs'!I8,0),2)</f>
        <v/>
      </c>
      <c r="K5">
        <f>ROUND(IFERROR(100*'A1 Inputs'!M9/'A1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ROUND(IFERROR(100*'A1 Inputs'!P4/'A1 Inputs'!O4,0),2)</f>
        <v/>
      </c>
      <c r="G6">
        <f>ROUND(IFERROR(100*'A1 Inputs'!P5/'A1 Inputs'!O5,0),2)</f>
        <v/>
      </c>
      <c r="H6">
        <f>ROUND(IFERROR(100*'A1 Inputs'!P6/'A1 Inputs'!O6,0),2)</f>
        <v/>
      </c>
      <c r="I6">
        <f>ROUND(IFERROR(100*'A1 Inputs'!P7/'A1 Inputs'!O7,0),2)</f>
        <v/>
      </c>
      <c r="J6">
        <f>ROUND(IFERROR(100*'A1 Inputs'!P8/'A1 Inputs'!O8,0),2)</f>
        <v/>
      </c>
      <c r="K6">
        <f>ROUND(IFERROR(100*'A1 Inputs'!P9/'A1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ROUND(IFERROR(100*'A1 Inputs'!M4/'A1 Inputs'!N4,0),2)</f>
        <v/>
      </c>
      <c r="G7">
        <f>ROUND(IFERROR(100*'A1 Inputs'!M5/'A1 Inputs'!N5,0),2)</f>
        <v/>
      </c>
      <c r="H7">
        <f>ROUND(IFERROR(100*'A1 Inputs'!M6/'A1 Inputs'!N6,0),2)</f>
        <v/>
      </c>
      <c r="I7">
        <f>ROUND(IFERROR(100*'A1 Inputs'!M7/'A1 Inputs'!N7,0),2)</f>
        <v/>
      </c>
      <c r="J7">
        <f>ROUND(IFERROR(100*'A1 Inputs'!M8/'A1 Inputs'!N8,0),2)</f>
        <v/>
      </c>
      <c r="K7">
        <f>ROUND(IFERROR(100*'A1 Inputs'!M9/'A1 Inputs'!N9,0),2)</f>
        <v/>
      </c>
      <c r="L7" t="inlineStr">
        <is>
          <t>good_output_t, feed_input_t</t>
        </is>
      </c>
    </row>
    <row r="8">
      <c r="A8" t="inlineStr">
        <is>
          <t>REL-001</t>
        </is>
      </c>
      <c r="B8" t="inlineStr">
        <is>
          <t>MTBF</t>
        </is>
      </c>
      <c r="C8" t="inlineStr">
        <is>
          <t>h</t>
        </is>
      </c>
      <c r="D8" t="inlineStr">
        <is>
          <t>Month</t>
        </is>
      </c>
      <c r="E8" t="inlineStr">
        <is>
          <t>Run hours ÷ Breakdowns</t>
        </is>
      </c>
      <c r="F8">
        <f>ROUND(IFERROR('A1 Inputs'!G4/'A1 Inputs'!R4,0),2)</f>
        <v/>
      </c>
      <c r="G8">
        <f>ROUND(IFERROR('A1 Inputs'!G5/'A1 Inputs'!R5,0),2)</f>
        <v/>
      </c>
      <c r="H8">
        <f>ROUND(IFERROR('A1 Inputs'!G6/'A1 Inputs'!R6,0),2)</f>
        <v/>
      </c>
      <c r="I8">
        <f>ROUND(IFERROR('A1 Inputs'!G7/'A1 Inputs'!R7,0),2)</f>
        <v/>
      </c>
      <c r="J8">
        <f>ROUND(IFERROR('A1 Inputs'!G8/'A1 Inputs'!R8,0),2)</f>
        <v/>
      </c>
      <c r="K8">
        <f>ROUND(IFERROR('A1 Inputs'!G9/'A1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ROUND(IFERROR('A1 Inputs'!S4/'A1 Inputs'!R4,0),2)</f>
        <v/>
      </c>
      <c r="G9">
        <f>ROUND(IFERROR('A1 Inputs'!S5/'A1 Inputs'!R5,0),2)</f>
        <v/>
      </c>
      <c r="H9">
        <f>ROUND(IFERROR('A1 Inputs'!S6/'A1 Inputs'!R6,0),2)</f>
        <v/>
      </c>
      <c r="I9">
        <f>ROUND(IFERROR('A1 Inputs'!S7/'A1 Inputs'!R7,0),2)</f>
        <v/>
      </c>
      <c r="J9">
        <f>ROUND(IFERROR('A1 Inputs'!S8/'A1 Inputs'!R8,0),2)</f>
        <v/>
      </c>
      <c r="K9">
        <f>ROUND(IFERROR('A1 Inputs'!S9/'A1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ROUND('A1 Inputs'!H4,2)</f>
        <v/>
      </c>
      <c r="G10">
        <f>ROUND('A1 Inputs'!H5,2)</f>
        <v/>
      </c>
      <c r="H10">
        <f>ROUND('A1 Inputs'!H6,2)</f>
        <v/>
      </c>
      <c r="I10">
        <f>ROUND('A1 Inputs'!H7,2)</f>
        <v/>
      </c>
      <c r="J10">
        <f>ROUND('A1 Inputs'!H8,2)</f>
        <v/>
      </c>
      <c r="K10">
        <f>ROUND('A1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ROUND('A1 Inputs'!Q4,2)</f>
        <v/>
      </c>
      <c r="G11">
        <f>ROUND('A1 Inputs'!Q5,2)</f>
        <v/>
      </c>
      <c r="H11">
        <f>ROUND('A1 Inputs'!Q6,2)</f>
        <v/>
      </c>
      <c r="I11">
        <f>ROUND('A1 Inputs'!Q7,2)</f>
        <v/>
      </c>
      <c r="J11">
        <f>ROUND('A1 Inputs'!Q8,2)</f>
        <v/>
      </c>
      <c r="K11">
        <f>ROUND('A1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ROUND(IFERROR(100*'A1 Inputs'!U4/'A1 Inputs'!T4,0),2)</f>
        <v/>
      </c>
      <c r="G12">
        <f>ROUND(IFERROR(100*'A1 Inputs'!U5/'A1 Inputs'!T5,0),2)</f>
        <v/>
      </c>
      <c r="H12">
        <f>ROUND(IFERROR(100*'A1 Inputs'!U6/'A1 Inputs'!T6,0),2)</f>
        <v/>
      </c>
      <c r="I12">
        <f>ROUND(IFERROR(100*'A1 Inputs'!U7/'A1 Inputs'!T7,0),2)</f>
        <v/>
      </c>
      <c r="J12">
        <f>ROUND(IFERROR(100*'A1 Inputs'!U8/'A1 Inputs'!T8,0),2)</f>
        <v/>
      </c>
      <c r="K12">
        <f>ROUND(IFERROR(100*'A1 Inputs'!U9/'A1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ROUND(IFERROR(1000*('A1 Inputs'!V4+'A1 Inputs'!X4)/'A1 Inputs'!M4,0),2)</f>
        <v/>
      </c>
      <c r="G13">
        <f>ROUND(IFERROR(1000*('A1 Inputs'!V5+'A1 Inputs'!X5)/'A1 Inputs'!M5,0),2)</f>
        <v/>
      </c>
      <c r="H13">
        <f>ROUND(IFERROR(1000*('A1 Inputs'!V6+'A1 Inputs'!X6)/'A1 Inputs'!M6,0),2)</f>
        <v/>
      </c>
      <c r="I13">
        <f>ROUND(IFERROR(1000*('A1 Inputs'!V7+'A1 Inputs'!X7)/'A1 Inputs'!M7,0),2)</f>
        <v/>
      </c>
      <c r="J13">
        <f>ROUND(IFERROR(1000*('A1 Inputs'!V8+'A1 Inputs'!X8)/'A1 Inputs'!M8,0),2)</f>
        <v/>
      </c>
      <c r="K13">
        <f>ROUND(IFERROR(1000*('A1 Inputs'!V9+'A1 Inputs'!X9)/'A1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ROUND('A1 Inputs'!V4,2)</f>
        <v/>
      </c>
      <c r="G14">
        <f>ROUND('A1 Inputs'!V5,2)</f>
        <v/>
      </c>
      <c r="H14">
        <f>ROUND('A1 Inputs'!V6,2)</f>
        <v/>
      </c>
      <c r="I14">
        <f>ROUND('A1 Inputs'!V7,2)</f>
        <v/>
      </c>
      <c r="J14">
        <f>ROUND('A1 Inputs'!V8,2)</f>
        <v/>
      </c>
      <c r="K14">
        <f>ROUND('A1 Inputs'!V9,2)</f>
        <v/>
      </c>
      <c r="L14" t="inlineStr">
        <is>
          <t>variable_cost_k</t>
        </is>
      </c>
    </row>
    <row r="15">
      <c r="A15" t="inlineStr">
        <is>
          <t>CST-003</t>
        </is>
      </c>
      <c r="B15" t="inlineStr">
        <is>
          <t>Fuel cost</t>
        </is>
      </c>
      <c r="C15" t="inlineStr">
        <is>
          <t>₹ thousand</t>
        </is>
      </c>
      <c r="D15" t="inlineStr">
        <is>
          <t>Month</t>
        </is>
      </c>
      <c r="E15" t="inlineStr">
        <is>
          <t>Fuel cost</t>
        </is>
      </c>
      <c r="F15">
        <f>ROUND('A1 Inputs'!W4,2)</f>
        <v/>
      </c>
      <c r="G15">
        <f>ROUND('A1 Inputs'!W5,2)</f>
        <v/>
      </c>
      <c r="H15">
        <f>ROUND('A1 Inputs'!W6,2)</f>
        <v/>
      </c>
      <c r="I15">
        <f>ROUND('A1 Inputs'!W7,2)</f>
        <v/>
      </c>
      <c r="J15">
        <f>ROUND('A1 Inputs'!W8,2)</f>
        <v/>
      </c>
      <c r="K15">
        <f>ROUND('A1 Inputs'!W9,2)</f>
        <v/>
      </c>
      <c r="L15" t="inlineStr">
        <is>
          <t>fuel_cost_k</t>
        </is>
      </c>
    </row>
    <row r="16">
      <c r="A16" t="inlineStr">
        <is>
          <t>SUS-001</t>
        </is>
      </c>
      <c r="B16" t="inlineStr">
        <is>
          <t>Water usage</t>
        </is>
      </c>
      <c r="C16" t="inlineStr">
        <is>
          <t>m3</t>
        </is>
      </c>
      <c r="D16" t="inlineStr">
        <is>
          <t>Month</t>
        </is>
      </c>
      <c r="E16" t="inlineStr">
        <is>
          <t>Water used</t>
        </is>
      </c>
      <c r="F16">
        <f>ROUND('A1 Inputs'!Y4,2)</f>
        <v/>
      </c>
      <c r="G16">
        <f>ROUND('A1 Inputs'!Y5,2)</f>
        <v/>
      </c>
      <c r="H16">
        <f>ROUND('A1 Inputs'!Y6,2)</f>
        <v/>
      </c>
      <c r="I16">
        <f>ROUND('A1 Inputs'!Y7,2)</f>
        <v/>
      </c>
      <c r="J16">
        <f>ROUND('A1 Inputs'!Y8,2)</f>
        <v/>
      </c>
      <c r="K16">
        <f>ROUND('A1 Inputs'!Y9,2)</f>
        <v/>
      </c>
      <c r="L16" t="inlineStr">
        <is>
          <t>water_m3</t>
        </is>
      </c>
    </row>
    <row r="17">
      <c r="A17" t="inlineStr">
        <is>
          <t>SUS-002</t>
        </is>
      </c>
      <c r="B17" t="inlineStr">
        <is>
          <t>Emissions</t>
        </is>
      </c>
      <c r="C17" t="inlineStr">
        <is>
          <t>tCO2e</t>
        </is>
      </c>
      <c r="D17" t="inlineStr">
        <is>
          <t>Month</t>
        </is>
      </c>
      <c r="E17" t="inlineStr">
        <is>
          <t>Emissions</t>
        </is>
      </c>
      <c r="F17">
        <f>ROUND('A1 Inputs'!Z4,2)</f>
        <v/>
      </c>
      <c r="G17">
        <f>ROUND('A1 Inputs'!Z5,2)</f>
        <v/>
      </c>
      <c r="H17">
        <f>ROUND('A1 Inputs'!Z6,2)</f>
        <v/>
      </c>
      <c r="I17">
        <f>ROUND('A1 Inputs'!Z7,2)</f>
        <v/>
      </c>
      <c r="J17">
        <f>ROUND('A1 Inputs'!Z8,2)</f>
        <v/>
      </c>
      <c r="K17">
        <f>ROUND('A1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ROUND(IFERROR('A1 Inputs'!AA4/'A1 Inputs'!M4,0),2)</f>
        <v/>
      </c>
      <c r="G18">
        <f>ROUND(IFERROR('A1 Inputs'!AA5/'A1 Inputs'!M5,0),2)</f>
        <v/>
      </c>
      <c r="H18">
        <f>ROUND(IFERROR('A1 Inputs'!AA6/'A1 Inputs'!M6,0),2)</f>
        <v/>
      </c>
      <c r="I18">
        <f>ROUND(IFERROR('A1 Inputs'!AA7/'A1 Inputs'!M7,0),2)</f>
        <v/>
      </c>
      <c r="J18">
        <f>ROUND(IFERROR('A1 Inputs'!AA8/'A1 Inputs'!M8,0),2)</f>
        <v/>
      </c>
      <c r="K18">
        <f>ROUND(IFERROR('A1 Inputs'!AA9/'A1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ROUND('A1 Inputs'!AB4,2)</f>
        <v/>
      </c>
      <c r="G19">
        <f>ROUND('A1 Inputs'!AB5,2)</f>
        <v/>
      </c>
      <c r="H19">
        <f>ROUND('A1 Inputs'!AB6,2)</f>
        <v/>
      </c>
      <c r="I19">
        <f>ROUND('A1 Inputs'!AB7,2)</f>
        <v/>
      </c>
      <c r="J19">
        <f>ROUND('A1 Inputs'!AB8,2)</f>
        <v/>
      </c>
      <c r="K19">
        <f>ROUND('A1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ROUND('A1 Inputs'!AC4,2)</f>
        <v/>
      </c>
      <c r="G20">
        <f>ROUND('A1 Inputs'!AC5,2)</f>
        <v/>
      </c>
      <c r="H20">
        <f>ROUND('A1 Inputs'!AC6,2)</f>
        <v/>
      </c>
      <c r="I20">
        <f>ROUND('A1 Inputs'!AC7,2)</f>
        <v/>
      </c>
      <c r="J20">
        <f>ROUND('A1 Inputs'!AC8,2)</f>
        <v/>
      </c>
      <c r="K20">
        <f>ROUND('A1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ROUND('A1 Inputs'!AO4,2)</f>
        <v/>
      </c>
      <c r="G21">
        <f>ROUND('A1 Inputs'!AO5,2)</f>
        <v/>
      </c>
      <c r="H21">
        <f>ROUND('A1 Inputs'!AO6,2)</f>
        <v/>
      </c>
      <c r="I21">
        <f>ROUND('A1 Inputs'!AO7,2)</f>
        <v/>
      </c>
      <c r="J21">
        <f>ROUND('A1 Inputs'!AO8,2)</f>
        <v/>
      </c>
      <c r="K21">
        <f>ROUND('A1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ROUND(IFERROR(100*'A1 Inputs'!AQ4/'A1 Inputs'!AP4,0),2)</f>
        <v/>
      </c>
      <c r="G22">
        <f>ROUND(IFERROR(100*'A1 Inputs'!AQ5/'A1 Inputs'!AP5,0),2)</f>
        <v/>
      </c>
      <c r="H22">
        <f>ROUND(IFERROR(100*'A1 Inputs'!AQ6/'A1 Inputs'!AP6,0),2)</f>
        <v/>
      </c>
      <c r="I22">
        <f>ROUND(IFERROR(100*'A1 Inputs'!AQ7/'A1 Inputs'!AP7,0),2)</f>
        <v/>
      </c>
      <c r="J22">
        <f>ROUND(IFERROR(100*'A1 Inputs'!AQ8/'A1 Inputs'!AP8,0),2)</f>
        <v/>
      </c>
      <c r="K22">
        <f>ROUND(IFERROR(100*'A1 Inputs'!AQ9/'A1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ROUND('A1 Inputs'!AJ4,2)</f>
        <v/>
      </c>
      <c r="G23">
        <f>ROUND('A1 Inputs'!AJ5,2)</f>
        <v/>
      </c>
      <c r="H23">
        <f>ROUND('A1 Inputs'!AJ6,2)</f>
        <v/>
      </c>
      <c r="I23">
        <f>ROUND('A1 Inputs'!AJ7,2)</f>
        <v/>
      </c>
      <c r="J23">
        <f>ROUND('A1 Inputs'!AJ8,2)</f>
        <v/>
      </c>
      <c r="K23">
        <f>ROUND('A1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ROUND(IFERROR(200000*'A1 Inputs'!AE4/'A1 Inputs'!AD4,0),2)</f>
        <v/>
      </c>
      <c r="G24">
        <f>ROUND(IFERROR(200000*'A1 Inputs'!AE5/'A1 Inputs'!AD5,0),2)</f>
        <v/>
      </c>
      <c r="H24">
        <f>ROUND(IFERROR(200000*'A1 Inputs'!AE6/'A1 Inputs'!AD6,0),2)</f>
        <v/>
      </c>
      <c r="I24">
        <f>ROUND(IFERROR(200000*'A1 Inputs'!AE7/'A1 Inputs'!AD7,0),2)</f>
        <v/>
      </c>
      <c r="J24">
        <f>ROUND(IFERROR(200000*'A1 Inputs'!AE8/'A1 Inputs'!AD8,0),2)</f>
        <v/>
      </c>
      <c r="K24">
        <f>ROUND(IFERROR(200000*'A1 Inputs'!AE9/'A1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ROUND('A1 Inputs'!AF4,2)</f>
        <v/>
      </c>
      <c r="G25">
        <f>ROUND('A1 Inputs'!AF5,2)</f>
        <v/>
      </c>
      <c r="H25">
        <f>ROUND('A1 Inputs'!AF6,2)</f>
        <v/>
      </c>
      <c r="I25">
        <f>ROUND('A1 Inputs'!AF7,2)</f>
        <v/>
      </c>
      <c r="J25">
        <f>ROUND('A1 Inputs'!AF8,2)</f>
        <v/>
      </c>
      <c r="K25">
        <f>ROUND('A1 Inputs'!AF9,2)</f>
        <v/>
      </c>
      <c r="L25" t="inlineStr">
        <is>
          <t>severity_incidents</t>
        </is>
      </c>
    </row>
    <row r="26">
      <c r="A26" t="inlineStr">
        <is>
          <t>EHS-003</t>
        </is>
      </c>
      <c r="B26" t="inlineStr">
        <is>
          <t>Near misses</t>
        </is>
      </c>
      <c r="C26" t="inlineStr">
        <is>
          <t>count</t>
        </is>
      </c>
      <c r="D26" t="inlineStr">
        <is>
          <t>Month</t>
        </is>
      </c>
      <c r="E26" t="inlineStr">
        <is>
          <t>Near misses</t>
        </is>
      </c>
      <c r="F26">
        <f>ROUND('A1 Inputs'!AG4,2)</f>
        <v/>
      </c>
      <c r="G26">
        <f>ROUND('A1 Inputs'!AG5,2)</f>
        <v/>
      </c>
      <c r="H26">
        <f>ROUND('A1 Inputs'!AG6,2)</f>
        <v/>
      </c>
      <c r="I26">
        <f>ROUND('A1 Inputs'!AG7,2)</f>
        <v/>
      </c>
      <c r="J26">
        <f>ROUND('A1 Inputs'!AG8,2)</f>
        <v/>
      </c>
      <c r="K26">
        <f>ROUND('A1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ROUND('A1 Inputs'!AH4,2)</f>
        <v/>
      </c>
      <c r="G27">
        <f>ROUND('A1 Inputs'!AH5,2)</f>
        <v/>
      </c>
      <c r="H27">
        <f>ROUND('A1 Inputs'!AH6,2)</f>
        <v/>
      </c>
      <c r="I27">
        <f>ROUND('A1 Inputs'!AH7,2)</f>
        <v/>
      </c>
      <c r="J27">
        <f>ROUND('A1 Inputs'!AH8,2)</f>
        <v/>
      </c>
      <c r="K27">
        <f>ROUND('A1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ROUND('A1 Inputs'!AI4,2)</f>
        <v/>
      </c>
      <c r="G28">
        <f>ROUND('A1 Inputs'!AI5,2)</f>
        <v/>
      </c>
      <c r="H28">
        <f>ROUND('A1 Inputs'!AI6,2)</f>
        <v/>
      </c>
      <c r="I28">
        <f>ROUND('A1 Inputs'!AI7,2)</f>
        <v/>
      </c>
      <c r="J28">
        <f>ROUND('A1 Inputs'!AI8,2)</f>
        <v/>
      </c>
      <c r="K28">
        <f>ROUND('A1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ROUND('A1 Inputs'!AK4,2)</f>
        <v/>
      </c>
      <c r="G29">
        <f>ROUND('A1 Inputs'!AK5,2)</f>
        <v/>
      </c>
      <c r="H29">
        <f>ROUND('A1 Inputs'!AK6,2)</f>
        <v/>
      </c>
      <c r="I29">
        <f>ROUND('A1 Inputs'!AK7,2)</f>
        <v/>
      </c>
      <c r="J29">
        <f>ROUND('A1 Inputs'!AK8,2)</f>
        <v/>
      </c>
      <c r="K29">
        <f>ROUND('A1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ROUND('A1 Inputs'!AL4,2)</f>
        <v/>
      </c>
      <c r="G30">
        <f>ROUND('A1 Inputs'!AL5,2)</f>
        <v/>
      </c>
      <c r="H30">
        <f>ROUND('A1 Inputs'!AL6,2)</f>
        <v/>
      </c>
      <c r="I30">
        <f>ROUND('A1 Inputs'!AL7,2)</f>
        <v/>
      </c>
      <c r="J30">
        <f>ROUND('A1 Inputs'!AL8,2)</f>
        <v/>
      </c>
      <c r="K30">
        <f>ROUND('A1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ROUND(IF('A1 Inputs'!AM4=0,100,100*'A1 Inputs'!AN4/'A1 Inputs'!AM4),2)</f>
        <v/>
      </c>
      <c r="G31">
        <f>ROUND(IF('A1 Inputs'!AM5=0,100,100*'A1 Inputs'!AN5/'A1 Inputs'!AM5),2)</f>
        <v/>
      </c>
      <c r="H31">
        <f>ROUND(IF('A1 Inputs'!AM6=0,100,100*'A1 Inputs'!AN6/'A1 Inputs'!AM6),2)</f>
        <v/>
      </c>
      <c r="I31">
        <f>ROUND(IF('A1 Inputs'!AM7=0,100,100*'A1 Inputs'!AN7/'A1 Inputs'!AM7),2)</f>
        <v/>
      </c>
      <c r="J31">
        <f>ROUND(IF('A1 Inputs'!AM8=0,100,100*'A1 Inputs'!AN8/'A1 Inputs'!AM8),2)</f>
        <v/>
      </c>
      <c r="K31">
        <f>ROUND(IF('A1 Inputs'!AM9=0,100,100*'A1 Inputs'!AN9/'A1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ROUND('A1 Inputs'!AR4,2)</f>
        <v/>
      </c>
      <c r="G32">
        <f>ROUND('A1 Inputs'!AR5,2)</f>
        <v/>
      </c>
      <c r="H32">
        <f>ROUND('A1 Inputs'!AR6,2)</f>
        <v/>
      </c>
      <c r="I32">
        <f>ROUND('A1 Inputs'!AR7,2)</f>
        <v/>
      </c>
      <c r="J32">
        <f>ROUND('A1 Inputs'!AR8,2)</f>
        <v/>
      </c>
      <c r="K32">
        <f>ROUND('A1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ROUND(IFERROR(100*'A1 Inputs'!M4/'A1 Inputs'!J4,0),2)</f>
        <v/>
      </c>
      <c r="G33">
        <f>ROUND(IFERROR(100*'A1 Inputs'!M5/'A1 Inputs'!J5,0),2)</f>
        <v/>
      </c>
      <c r="H33">
        <f>ROUND(IFERROR(100*'A1 Inputs'!M6/'A1 Inputs'!J6,0),2)</f>
        <v/>
      </c>
      <c r="I33">
        <f>ROUND(IFERROR(100*'A1 Inputs'!M7/'A1 Inputs'!J7,0),2)</f>
        <v/>
      </c>
      <c r="J33">
        <f>ROUND(IFERROR(100*'A1 Inputs'!M8/'A1 Inputs'!J8,0),2)</f>
        <v/>
      </c>
      <c r="K33">
        <f>ROUND(IFERROR(100*'A1 Inputs'!M9/'A1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ROUND(IFERROR(100*'A1 Inputs'!M4/'A1 Inputs'!I4,0),2)</f>
        <v/>
      </c>
      <c r="G34">
        <f>ROUND(IFERROR(100*'A1 Inputs'!M5/'A1 Inputs'!I5,0),2)</f>
        <v/>
      </c>
      <c r="H34">
        <f>ROUND(IFERROR(100*'A1 Inputs'!M6/'A1 Inputs'!I6,0),2)</f>
        <v/>
      </c>
      <c r="I34">
        <f>ROUND(IFERROR(100*'A1 Inputs'!M7/'A1 Inputs'!I7,0),2)</f>
        <v/>
      </c>
      <c r="J34">
        <f>ROUND(IFERROR(100*'A1 Inputs'!M8/'A1 Inputs'!I8,0),2)</f>
        <v/>
      </c>
      <c r="K34">
        <f>ROUND(IFERROR(100*'A1 Inputs'!M9/'A1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ROUND(IF('A1 Inputs'!AT4=0,0,100*'A1 Inputs'!AS4/'A1 Inputs'!AT4),2)</f>
        <v/>
      </c>
      <c r="G35">
        <f>ROUND(IF('A1 Inputs'!AT5=0,0,100*'A1 Inputs'!AS5/'A1 Inputs'!AT5),2)</f>
        <v/>
      </c>
      <c r="H35">
        <f>ROUND(IF('A1 Inputs'!AT6=0,0,100*'A1 Inputs'!AS6/'A1 Inputs'!AT6),2)</f>
        <v/>
      </c>
      <c r="I35">
        <f>ROUND(IF('A1 Inputs'!AT7=0,0,100*'A1 Inputs'!AS7/'A1 Inputs'!AT7),2)</f>
        <v/>
      </c>
      <c r="J35">
        <f>ROUND(IF('A1 Inputs'!AT8=0,0,100*'A1 Inputs'!AS8/'A1 Inputs'!AT8),2)</f>
        <v/>
      </c>
      <c r="K35">
        <f>ROUND(IF('A1 Inputs'!AT9=0,0,100*'A1 Inputs'!AS9/'A1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ROUND(IF('A1 Inputs'!AT4=0,0,100*'A1 Inputs'!AS4/'A1 Inputs'!AT4),2)</f>
        <v/>
      </c>
      <c r="G36">
        <f>ROUND(IF('A1 Inputs'!AT5=0,0,100*'A1 Inputs'!AS5/'A1 Inputs'!AT5),2)</f>
        <v/>
      </c>
      <c r="H36">
        <f>ROUND(IF('A1 Inputs'!AT6=0,0,100*'A1 Inputs'!AS6/'A1 Inputs'!AT6),2)</f>
        <v/>
      </c>
      <c r="I36">
        <f>ROUND(IF('A1 Inputs'!AT7=0,0,100*'A1 Inputs'!AS7/'A1 Inputs'!AT7),2)</f>
        <v/>
      </c>
      <c r="J36">
        <f>ROUND(IF('A1 Inputs'!AT8=0,0,100*'A1 Inputs'!AS8/'A1 Inputs'!AT8),2)</f>
        <v/>
      </c>
      <c r="K36">
        <f>ROUND(IF('A1 Inputs'!AT9=0,0,100*'A1 Inputs'!AS9/'A1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ROUND(IF('A1 Inputs'!M4=0,0,1000*'A1 Inputs'!AW4/'A1 Inputs'!M4),2)</f>
        <v/>
      </c>
      <c r="G37">
        <f>ROUND(IF('A1 Inputs'!M5=0,0,1000*'A1 Inputs'!AW5/'A1 Inputs'!M5),2)</f>
        <v/>
      </c>
      <c r="H37">
        <f>ROUND(IF('A1 Inputs'!M6=0,0,1000*'A1 Inputs'!AW6/'A1 Inputs'!M6),2)</f>
        <v/>
      </c>
      <c r="I37">
        <f>ROUND(IF('A1 Inputs'!M7=0,0,1000*'A1 Inputs'!AW7/'A1 Inputs'!M7),2)</f>
        <v/>
      </c>
      <c r="J37">
        <f>ROUND(IF('A1 Inputs'!M8=0,0,1000*'A1 Inputs'!AW8/'A1 Inputs'!M8),2)</f>
        <v/>
      </c>
      <c r="K37">
        <f>ROUND(IF('A1 Inputs'!M9=0,0,1000*'A1 Inputs'!AW9/'A1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ROUND(SUM('A1 Inputs'!FV$4:FV4)/1000,2)</f>
        <v/>
      </c>
      <c r="G38">
        <f>ROUND(SUM('A1 Inputs'!FV$4:FV5)/1000,2)</f>
        <v/>
      </c>
      <c r="H38">
        <f>ROUND(SUM('A1 Inputs'!FV$4:FV6)/1000,2)</f>
        <v/>
      </c>
      <c r="I38">
        <f>ROUND(SUM('A1 Inputs'!FV$4:FV7)/1000,2)</f>
        <v/>
      </c>
      <c r="J38">
        <f>ROUND(SUM('A1 Inputs'!FV$4:FV8)/1000,2)</f>
        <v/>
      </c>
      <c r="K38">
        <f>ROUND(SUM('A1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ROUND(SUM('A1 Inputs'!FW$4:FW4)/1000,2)</f>
        <v/>
      </c>
      <c r="G39">
        <f>ROUND(SUM('A1 Inputs'!FW$4:FW5)/1000,2)</f>
        <v/>
      </c>
      <c r="H39">
        <f>ROUND(SUM('A1 Inputs'!FW$4:FW6)/1000,2)</f>
        <v/>
      </c>
      <c r="I39">
        <f>ROUND(SUM('A1 Inputs'!FW$4:FW7)/1000,2)</f>
        <v/>
      </c>
      <c r="J39">
        <f>ROUND(SUM('A1 Inputs'!FW$4:FW8)/1000,2)</f>
        <v/>
      </c>
      <c r="K39">
        <f>ROUND(SUM('A1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ROUND(SUM('A1 Inputs'!AU$4:AU4)/1000,2)</f>
        <v/>
      </c>
      <c r="G40">
        <f>ROUND(SUM('A1 Inputs'!AU$4:AU5)/1000,2)</f>
        <v/>
      </c>
      <c r="H40">
        <f>ROUND(SUM('A1 Inputs'!AU$4:AU6)/1000,2)</f>
        <v/>
      </c>
      <c r="I40">
        <f>ROUND(SUM('A1 Inputs'!AU$4:AU7)/1000,2)</f>
        <v/>
      </c>
      <c r="J40">
        <f>ROUND(SUM('A1 Inputs'!AU$4:AU8)/1000,2)</f>
        <v/>
      </c>
      <c r="K40">
        <f>ROUND(SUM('A1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ROUND(SUM('A1 Inputs'!GA$4:GA4)/1000,2)</f>
        <v/>
      </c>
      <c r="G41">
        <f>ROUND(SUM('A1 Inputs'!GA$4:GA5)/1000,2)</f>
        <v/>
      </c>
      <c r="H41">
        <f>ROUND(SUM('A1 Inputs'!GA$4:GA6)/1000,2)</f>
        <v/>
      </c>
      <c r="I41">
        <f>ROUND(SUM('A1 Inputs'!GA$4:GA7)/1000,2)</f>
        <v/>
      </c>
      <c r="J41">
        <f>ROUND(SUM('A1 Inputs'!GA$4:GA8)/1000,2)</f>
        <v/>
      </c>
      <c r="K41">
        <f>ROUND(SUM('A1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ROUND(IF('A1 Inputs'!CA4=0,0,100*SUM('A1 Inputs'!FW$4:FW4)*12/'A1 Inputs'!D4/'A1 Inputs'!CA4),2)</f>
        <v/>
      </c>
      <c r="G42">
        <f>ROUND(IF('A1 Inputs'!CA5=0,0,100*SUM('A1 Inputs'!FW$4:FW5)*12/'A1 Inputs'!D5/'A1 Inputs'!CA5),2)</f>
        <v/>
      </c>
      <c r="H42">
        <f>ROUND(IF('A1 Inputs'!CA6=0,0,100*SUM('A1 Inputs'!FW$4:FW6)*12/'A1 Inputs'!D6/'A1 Inputs'!CA6),2)</f>
        <v/>
      </c>
      <c r="I42">
        <f>ROUND(IF('A1 Inputs'!CA7=0,0,100*SUM('A1 Inputs'!FW$4:FW7)*12/'A1 Inputs'!D7/'A1 Inputs'!CA7),2)</f>
        <v/>
      </c>
      <c r="J42">
        <f>ROUND(IF('A1 Inputs'!CA8=0,0,100*SUM('A1 Inputs'!FW$4:FW8)*12/'A1 Inputs'!D8/'A1 Inputs'!CA8),2)</f>
        <v/>
      </c>
      <c r="K42">
        <f>ROUND(IF('A1 Inputs'!CA9=0,0,100*SUM('A1 Inputs'!FW$4:FW9)*12/'A1 Inputs'!D9/'A1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ROUND('A1 Inputs'!GB4/1000,2)</f>
        <v/>
      </c>
      <c r="G43">
        <f>ROUND('A1 Inputs'!GB5/1000,2)</f>
        <v/>
      </c>
      <c r="H43">
        <f>ROUND('A1 Inputs'!GB6/1000,2)</f>
        <v/>
      </c>
      <c r="I43">
        <f>ROUND('A1 Inputs'!GB7/1000,2)</f>
        <v/>
      </c>
      <c r="J43">
        <f>ROUND('A1 Inputs'!GB8/1000,2)</f>
        <v/>
      </c>
      <c r="K43">
        <f>ROUND('A1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ROUND((SUM('A1 Inputs'!FW$4:FW4)*(1-Parameters!$B$2)-'A1 Inputs'!CA4*Parameters!$B$3*'A1 Inputs'!D4/12)/1000,2)</f>
        <v/>
      </c>
      <c r="G44">
        <f>ROUND((SUM('A1 Inputs'!FW$4:FW5)*(1-Parameters!$B$2)-'A1 Inputs'!CA5*Parameters!$B$3*'A1 Inputs'!D5/12)/1000,2)</f>
        <v/>
      </c>
      <c r="H44">
        <f>ROUND((SUM('A1 Inputs'!FW$4:FW6)*(1-Parameters!$B$2)-'A1 Inputs'!CA6*Parameters!$B$3*'A1 Inputs'!D6/12)/1000,2)</f>
        <v/>
      </c>
      <c r="I44">
        <f>ROUND((SUM('A1 Inputs'!FW$4:FW7)*(1-Parameters!$B$2)-'A1 Inputs'!CA7*Parameters!$B$3*'A1 Inputs'!D7/12)/1000,2)</f>
        <v/>
      </c>
      <c r="J44">
        <f>ROUND((SUM('A1 Inputs'!FW$4:FW8)*(1-Parameters!$B$2)-'A1 Inputs'!CA8*Parameters!$B$3*'A1 Inputs'!D8/12)/1000,2)</f>
        <v/>
      </c>
      <c r="K44">
        <f>ROUND((SUM('A1 Inputs'!FW$4:FW9)*(1-Parameters!$B$2)-'A1 Inputs'!CA9*Parameters!$B$3*'A1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ROUND(IF(SUM('A1 Inputs'!FV$4:FV4)=0,0,100*SUM('A1 Inputs'!GA$4:GA4)/SUM('A1 Inputs'!FV$4:FV4)),2)</f>
        <v/>
      </c>
      <c r="G45">
        <f>ROUND(IF(SUM('A1 Inputs'!FV$4:FV5)=0,0,100*SUM('A1 Inputs'!GA$4:GA5)/SUM('A1 Inputs'!FV$4:FV5)),2)</f>
        <v/>
      </c>
      <c r="H45">
        <f>ROUND(IF(SUM('A1 Inputs'!FV$4:FV6)=0,0,100*SUM('A1 Inputs'!GA$4:GA6)/SUM('A1 Inputs'!FV$4:FV6)),2)</f>
        <v/>
      </c>
      <c r="I45">
        <f>ROUND(IF(SUM('A1 Inputs'!FV$4:FV7)=0,0,100*SUM('A1 Inputs'!GA$4:GA7)/SUM('A1 Inputs'!FV$4:FV7)),2)</f>
        <v/>
      </c>
      <c r="J45">
        <f>ROUND(IF(SUM('A1 Inputs'!FV$4:FV8)=0,0,100*SUM('A1 Inputs'!GA$4:GA8)/SUM('A1 Inputs'!FV$4:FV8)),2)</f>
        <v/>
      </c>
      <c r="K45">
        <f>ROUND(IF(SUM('A1 Inputs'!FV$4:FV9)=0,0,100*SUM('A1 Inputs'!GA$4:GA9)/SUM('A1 Inputs'!FV$4:FV9)),2)</f>
        <v/>
      </c>
      <c r="L45" t="inlineStr">
        <is>
          <t>ebitda_k, fcf_k</t>
        </is>
      </c>
    </row>
    <row r="46">
      <c r="A46" t="inlineStr">
        <is>
          <t>CSH-001</t>
        </is>
      </c>
      <c r="B46" t="inlineStr">
        <is>
          <t>Cash position</t>
        </is>
      </c>
      <c r="C46" t="inlineStr">
        <is>
          <t>₹ m</t>
        </is>
      </c>
      <c r="D46" t="inlineStr">
        <is>
          <t>Month end</t>
        </is>
      </c>
      <c r="E46" t="inlineStr">
        <is>
          <t>Cash ÷ 1000</t>
        </is>
      </c>
      <c r="F46">
        <f>ROUND('A1 Inputs'!CC4/1000,2)</f>
        <v/>
      </c>
      <c r="G46">
        <f>ROUND('A1 Inputs'!CC5/1000,2)</f>
        <v/>
      </c>
      <c r="H46">
        <f>ROUND('A1 Inputs'!CC6/1000,2)</f>
        <v/>
      </c>
      <c r="I46">
        <f>ROUND('A1 Inputs'!CC7/1000,2)</f>
        <v/>
      </c>
      <c r="J46">
        <f>ROUND('A1 Inputs'!CC8/1000,2)</f>
        <v/>
      </c>
      <c r="K46">
        <f>ROUND('A1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ROUND(SUM('A1 Inputs'!CN$4:CN4)/1000,2)</f>
        <v/>
      </c>
      <c r="G47">
        <f>ROUND(SUM('A1 Inputs'!CN$4:CN5)/1000,2)</f>
        <v/>
      </c>
      <c r="H47">
        <f>ROUND(SUM('A1 Inputs'!CN$4:CN6)/1000,2)</f>
        <v/>
      </c>
      <c r="I47">
        <f>ROUND(SUM('A1 Inputs'!CN$4:CN7)/1000,2)</f>
        <v/>
      </c>
      <c r="J47">
        <f>ROUND(SUM('A1 Inputs'!CN$4:CN8)/1000,2)</f>
        <v/>
      </c>
      <c r="K47">
        <f>ROUND(SUM('A1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ROUND('A1 Inputs'!CM4/'A1 Inputs'!C4/1000,2)</f>
        <v/>
      </c>
      <c r="G48">
        <f>ROUND('A1 Inputs'!CM5/'A1 Inputs'!C5/1000,2)</f>
        <v/>
      </c>
      <c r="H48">
        <f>ROUND('A1 Inputs'!CM6/'A1 Inputs'!C6/1000,2)</f>
        <v/>
      </c>
      <c r="I48">
        <f>ROUND('A1 Inputs'!CM7/'A1 Inputs'!C7/1000,2)</f>
        <v/>
      </c>
      <c r="J48">
        <f>ROUND('A1 Inputs'!CM8/'A1 Inputs'!C8/1000,2)</f>
        <v/>
      </c>
      <c r="K48">
        <f>ROUND('A1 Inputs'!CM9/'A1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ROUND('A1 Inputs'!GD4+'A1 Inputs'!GF4-'A1 Inputs'!GE4,2)</f>
        <v/>
      </c>
      <c r="G49">
        <f>ROUND('A1 Inputs'!GD5+'A1 Inputs'!GF5-'A1 Inputs'!GE5,2)</f>
        <v/>
      </c>
      <c r="H49">
        <f>ROUND('A1 Inputs'!GD6+'A1 Inputs'!GF6-'A1 Inputs'!GE6,2)</f>
        <v/>
      </c>
      <c r="I49">
        <f>ROUND('A1 Inputs'!GD7+'A1 Inputs'!GF7-'A1 Inputs'!GE7,2)</f>
        <v/>
      </c>
      <c r="J49">
        <f>ROUND('A1 Inputs'!GD8+'A1 Inputs'!GF8-'A1 Inputs'!GE8,2)</f>
        <v/>
      </c>
      <c r="K49">
        <f>ROUND('A1 Inputs'!GD9+'A1 Inputs'!GF9-'A1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ROUND(('A1 Inputs'!CO4-'A1 Inputs'!CP4)/1000,2)</f>
        <v/>
      </c>
      <c r="G50">
        <f>ROUND(('A1 Inputs'!CO5-'A1 Inputs'!CP5)/1000,2)</f>
        <v/>
      </c>
      <c r="H50">
        <f>ROUND(('A1 Inputs'!CO6-'A1 Inputs'!CP6)/1000,2)</f>
        <v/>
      </c>
      <c r="I50">
        <f>ROUND(('A1 Inputs'!CO7-'A1 Inputs'!CP7)/1000,2)</f>
        <v/>
      </c>
      <c r="J50">
        <f>ROUND(('A1 Inputs'!CO8-'A1 Inputs'!CP8)/1000,2)</f>
        <v/>
      </c>
      <c r="K50">
        <f>ROUND(('A1 Inputs'!CO9-'A1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ROUND('A1 Inputs'!GD4,2)</f>
        <v/>
      </c>
      <c r="G51">
        <f>ROUND('A1 Inputs'!GD5,2)</f>
        <v/>
      </c>
      <c r="H51">
        <f>ROUND('A1 Inputs'!GD6,2)</f>
        <v/>
      </c>
      <c r="I51">
        <f>ROUND('A1 Inputs'!GD7,2)</f>
        <v/>
      </c>
      <c r="J51">
        <f>ROUND('A1 Inputs'!GD8,2)</f>
        <v/>
      </c>
      <c r="K51">
        <f>ROUND('A1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ROUND('A1 Inputs'!GE4,2)</f>
        <v/>
      </c>
      <c r="G52">
        <f>ROUND('A1 Inputs'!GE5,2)</f>
        <v/>
      </c>
      <c r="H52">
        <f>ROUND('A1 Inputs'!GE6,2)</f>
        <v/>
      </c>
      <c r="I52">
        <f>ROUND('A1 Inputs'!GE7,2)</f>
        <v/>
      </c>
      <c r="J52">
        <f>ROUND('A1 Inputs'!GE8,2)</f>
        <v/>
      </c>
      <c r="K52">
        <f>ROUND('A1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ROUND('A1 Inputs'!GF4,2)</f>
        <v/>
      </c>
      <c r="G53">
        <f>ROUND('A1 Inputs'!GF5,2)</f>
        <v/>
      </c>
      <c r="H53">
        <f>ROUND('A1 Inputs'!GF6,2)</f>
        <v/>
      </c>
      <c r="I53">
        <f>ROUND('A1 Inputs'!GF7,2)</f>
        <v/>
      </c>
      <c r="J53">
        <f>ROUND('A1 Inputs'!GF8,2)</f>
        <v/>
      </c>
      <c r="K53">
        <f>ROUND('A1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ROUND('A1 Inputs'!FX4/1000,2)</f>
        <v/>
      </c>
      <c r="G54">
        <f>ROUND('A1 Inputs'!FX5/1000,2)</f>
        <v/>
      </c>
      <c r="H54">
        <f>ROUND('A1 Inputs'!FX6/1000,2)</f>
        <v/>
      </c>
      <c r="I54">
        <f>ROUND('A1 Inputs'!FX7/1000,2)</f>
        <v/>
      </c>
      <c r="J54">
        <f>ROUND('A1 Inputs'!FX8/1000,2)</f>
        <v/>
      </c>
      <c r="K54">
        <f>ROUND('A1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ROUND('A1 Inputs'!FY4/1000,2)</f>
        <v/>
      </c>
      <c r="G55">
        <f>ROUND('A1 Inputs'!FY5/1000,2)</f>
        <v/>
      </c>
      <c r="H55">
        <f>ROUND('A1 Inputs'!FY6/1000,2)</f>
        <v/>
      </c>
      <c r="I55">
        <f>ROUND('A1 Inputs'!FY7/1000,2)</f>
        <v/>
      </c>
      <c r="J55">
        <f>ROUND('A1 Inputs'!FY8/1000,2)</f>
        <v/>
      </c>
      <c r="K55">
        <f>ROUND('A1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ROUND(IF('A1 Inputs'!AU4=0,0,'A1 Inputs'!FX4/'A1 Inputs'!AU4*'A1 Inputs'!C4),2)</f>
        <v/>
      </c>
      <c r="G56">
        <f>ROUND(IF('A1 Inputs'!AU5=0,0,'A1 Inputs'!FX5/'A1 Inputs'!AU5*'A1 Inputs'!C5),2)</f>
        <v/>
      </c>
      <c r="H56">
        <f>ROUND(IF('A1 Inputs'!AU6=0,0,'A1 Inputs'!FX6/'A1 Inputs'!AU6*'A1 Inputs'!C6),2)</f>
        <v/>
      </c>
      <c r="I56">
        <f>ROUND(IF('A1 Inputs'!AU7=0,0,'A1 Inputs'!FX7/'A1 Inputs'!AU7*'A1 Inputs'!C7),2)</f>
        <v/>
      </c>
      <c r="J56">
        <f>ROUND(IF('A1 Inputs'!AU8=0,0,'A1 Inputs'!FX8/'A1 Inputs'!AU8*'A1 Inputs'!C8),2)</f>
        <v/>
      </c>
      <c r="K56">
        <f>ROUND(IF('A1 Inputs'!AU9=0,0,'A1 Inputs'!FX9/'A1 Inputs'!AU9*'A1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ROUND(IF(('A1 Inputs'!X4+'A1 Inputs'!BY4+'A1 Inputs'!CE4)=0,0,('A1 Inputs'!CC4+'A1 Inputs'!CD4)/('A1 Inputs'!X4+'A1 Inputs'!BY4+'A1 Inputs'!CE4)),2)</f>
        <v/>
      </c>
      <c r="G57">
        <f>ROUND(IF(('A1 Inputs'!X5+'A1 Inputs'!BY5+'A1 Inputs'!CE5)=0,0,('A1 Inputs'!CC5+'A1 Inputs'!CD5)/('A1 Inputs'!X5+'A1 Inputs'!BY5+'A1 Inputs'!CE5)),2)</f>
        <v/>
      </c>
      <c r="H57">
        <f>ROUND(IF(('A1 Inputs'!X6+'A1 Inputs'!BY6+'A1 Inputs'!CE6)=0,0,('A1 Inputs'!CC6+'A1 Inputs'!CD6)/('A1 Inputs'!X6+'A1 Inputs'!BY6+'A1 Inputs'!CE6)),2)</f>
        <v/>
      </c>
      <c r="I57">
        <f>ROUND(IF(('A1 Inputs'!X7+'A1 Inputs'!BY7+'A1 Inputs'!CE7)=0,0,('A1 Inputs'!CC7+'A1 Inputs'!CD7)/('A1 Inputs'!X7+'A1 Inputs'!BY7+'A1 Inputs'!CE7)),2)</f>
        <v/>
      </c>
      <c r="J57">
        <f>ROUND(IF(('A1 Inputs'!X8+'A1 Inputs'!BY8+'A1 Inputs'!CE8)=0,0,('A1 Inputs'!CC8+'A1 Inputs'!CD8)/('A1 Inputs'!X8+'A1 Inputs'!BY8+'A1 Inputs'!CE8)),2)</f>
        <v/>
      </c>
      <c r="K57">
        <f>ROUND(IF(('A1 Inputs'!X9+'A1 Inputs'!BY9+'A1 Inputs'!CE9)=0,0,('A1 Inputs'!CC9+'A1 Inputs'!CD9)/('A1 Inputs'!X9+'A1 Inputs'!BY9+'A1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ROUND(IF('A1 Inputs'!GC4=0,0,100*(Parameters!$B$4-'A1 Inputs'!GB4/'A1 Inputs'!GC4)/Parameters!$B$4),2)</f>
        <v/>
      </c>
      <c r="G58">
        <f>ROUND(IF('A1 Inputs'!GC5=0,0,100*(Parameters!$B$4-'A1 Inputs'!GB5/'A1 Inputs'!GC5)/Parameters!$B$4),2)</f>
        <v/>
      </c>
      <c r="H58">
        <f>ROUND(IF('A1 Inputs'!GC6=0,0,100*(Parameters!$B$4-'A1 Inputs'!GB6/'A1 Inputs'!GC6)/Parameters!$B$4),2)</f>
        <v/>
      </c>
      <c r="I58">
        <f>ROUND(IF('A1 Inputs'!GC7=0,0,100*(Parameters!$B$4-'A1 Inputs'!GB7/'A1 Inputs'!GC7)/Parameters!$B$4),2)</f>
        <v/>
      </c>
      <c r="J58">
        <f>ROUND(IF('A1 Inputs'!GC8=0,0,100*(Parameters!$B$4-'A1 Inputs'!GB8/'A1 Inputs'!GC8)/Parameters!$B$4),2)</f>
        <v/>
      </c>
      <c r="K58">
        <f>ROUND(IF('A1 Inputs'!GC9=0,0,100*(Parameters!$B$4-'A1 Inputs'!GB9/'A1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ROUND('A1 Inputs'!CF4/1000,2)</f>
        <v/>
      </c>
      <c r="G59">
        <f>ROUND('A1 Inputs'!CF5/1000,2)</f>
        <v/>
      </c>
      <c r="H59">
        <f>ROUND('A1 Inputs'!CF6/1000,2)</f>
        <v/>
      </c>
      <c r="I59">
        <f>ROUND('A1 Inputs'!CF7/1000,2)</f>
        <v/>
      </c>
      <c r="J59">
        <f>ROUND('A1 Inputs'!CF8/1000,2)</f>
        <v/>
      </c>
      <c r="K59">
        <f>ROUND('A1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ROUND('A1 Inputs'!CG4/1000,2)</f>
        <v/>
      </c>
      <c r="G60">
        <f>ROUND('A1 Inputs'!CG5/1000,2)</f>
        <v/>
      </c>
      <c r="H60">
        <f>ROUND('A1 Inputs'!CG6/1000,2)</f>
        <v/>
      </c>
      <c r="I60">
        <f>ROUND('A1 Inputs'!CG7/1000,2)</f>
        <v/>
      </c>
      <c r="J60">
        <f>ROUND('A1 Inputs'!CG8/1000,2)</f>
        <v/>
      </c>
      <c r="K60">
        <f>ROUND('A1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ROUND(('A1 Inputs'!CZ4-'A1 Inputs'!DA4)/1000,2)</f>
        <v/>
      </c>
      <c r="G61">
        <f>ROUND(('A1 Inputs'!CZ5-'A1 Inputs'!DA5)/1000,2)</f>
        <v/>
      </c>
      <c r="H61">
        <f>ROUND(('A1 Inputs'!CZ6-'A1 Inputs'!DA6)/1000,2)</f>
        <v/>
      </c>
      <c r="I61">
        <f>ROUND(('A1 Inputs'!CZ7-'A1 Inputs'!DA7)/1000,2)</f>
        <v/>
      </c>
      <c r="J61">
        <f>ROUND(('A1 Inputs'!CZ8-'A1 Inputs'!DA8)/1000,2)</f>
        <v/>
      </c>
      <c r="K61">
        <f>ROUND(('A1 Inputs'!CZ9-'A1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ROUND(IF('A1 Inputs'!DE4=0,0,100*'A1 Inputs'!DD4/'A1 Inputs'!DE4),2)</f>
        <v/>
      </c>
      <c r="G62">
        <f>ROUND(IF('A1 Inputs'!DE5=0,0,100*'A1 Inputs'!DD5/'A1 Inputs'!DE5),2)</f>
        <v/>
      </c>
      <c r="H62">
        <f>ROUND(IF('A1 Inputs'!DE6=0,0,100*'A1 Inputs'!DD6/'A1 Inputs'!DE6),2)</f>
        <v/>
      </c>
      <c r="I62">
        <f>ROUND(IF('A1 Inputs'!DE7=0,0,100*'A1 Inputs'!DD7/'A1 Inputs'!DE7),2)</f>
        <v/>
      </c>
      <c r="J62">
        <f>ROUND(IF('A1 Inputs'!DE8=0,0,100*'A1 Inputs'!DD8/'A1 Inputs'!DE8),2)</f>
        <v/>
      </c>
      <c r="K62">
        <f>ROUND(IF('A1 Inputs'!DE9=0,0,100*'A1 Inputs'!DD9/'A1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ROUND(IF(('A1 Inputs'!CZ4-'A1 Inputs'!DA4)=0,0,100*('A1 Inputs'!DB4-'A1 Inputs'!DC4)/('A1 Inputs'!CZ4-'A1 Inputs'!DA4)),2)</f>
        <v/>
      </c>
      <c r="G63">
        <f>ROUND(IF(('A1 Inputs'!CZ5-'A1 Inputs'!DA5)=0,0,100*('A1 Inputs'!DB5-'A1 Inputs'!DC5)/('A1 Inputs'!CZ5-'A1 Inputs'!DA5)),2)</f>
        <v/>
      </c>
      <c r="H63">
        <f>ROUND(IF(('A1 Inputs'!CZ6-'A1 Inputs'!DA6)=0,0,100*('A1 Inputs'!DB6-'A1 Inputs'!DC6)/('A1 Inputs'!CZ6-'A1 Inputs'!DA6)),2)</f>
        <v/>
      </c>
      <c r="I63">
        <f>ROUND(IF(('A1 Inputs'!CZ7-'A1 Inputs'!DA7)=0,0,100*('A1 Inputs'!DB7-'A1 Inputs'!DC7)/('A1 Inputs'!CZ7-'A1 Inputs'!DA7)),2)</f>
        <v/>
      </c>
      <c r="J63">
        <f>ROUND(IF(('A1 Inputs'!CZ8-'A1 Inputs'!DA8)=0,0,100*('A1 Inputs'!DB8-'A1 Inputs'!DC8)/('A1 Inputs'!CZ8-'A1 Inputs'!DA8)),2)</f>
        <v/>
      </c>
      <c r="K63">
        <f>ROUND(IF(('A1 Inputs'!CZ9-'A1 Inputs'!DA9)=0,0,100*('A1 Inputs'!DB9-'A1 Inputs'!DC9)/('A1 Inputs'!CZ9-'A1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ROUND(IF('A1 Inputs'!DF4=0,0,100*'A1 Inputs'!DG4/'A1 Inputs'!DF4),2)</f>
        <v/>
      </c>
      <c r="G64">
        <f>ROUND(IF('A1 Inputs'!DF5=0,0,100*'A1 Inputs'!DG5/'A1 Inputs'!DF5),2)</f>
        <v/>
      </c>
      <c r="H64">
        <f>ROUND(IF('A1 Inputs'!DF6=0,0,100*'A1 Inputs'!DG6/'A1 Inputs'!DF6),2)</f>
        <v/>
      </c>
      <c r="I64">
        <f>ROUND(IF('A1 Inputs'!DF7=0,0,100*'A1 Inputs'!DG7/'A1 Inputs'!DF7),2)</f>
        <v/>
      </c>
      <c r="J64">
        <f>ROUND(IF('A1 Inputs'!DF8=0,0,100*'A1 Inputs'!DG8/'A1 Inputs'!DF8),2)</f>
        <v/>
      </c>
      <c r="K64">
        <f>ROUND(IF('A1 Inputs'!DF9=0,0,100*'A1 Inputs'!DG9/'A1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ROUND(0.05*('A1 Inputs'!DB4-'A1 Inputs'!DC4)/1000,2)</f>
        <v/>
      </c>
      <c r="G65">
        <f>ROUND(0.05*('A1 Inputs'!DB5-'A1 Inputs'!DC5)/1000,2)</f>
        <v/>
      </c>
      <c r="H65">
        <f>ROUND(0.05*('A1 Inputs'!DB6-'A1 Inputs'!DC6)/1000,2)</f>
        <v/>
      </c>
      <c r="I65">
        <f>ROUND(0.05*('A1 Inputs'!DB7-'A1 Inputs'!DC7)/1000,2)</f>
        <v/>
      </c>
      <c r="J65">
        <f>ROUND(0.05*('A1 Inputs'!DB8-'A1 Inputs'!DC8)/1000,2)</f>
        <v/>
      </c>
      <c r="K65">
        <f>ROUND(0.05*('A1 Inputs'!DB9-'A1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ROUND('A1 Inputs'!DH4/1000,2)</f>
        <v/>
      </c>
      <c r="G66">
        <f>ROUND('A1 Inputs'!DH5/1000,2)</f>
        <v/>
      </c>
      <c r="H66">
        <f>ROUND('A1 Inputs'!DH6/1000,2)</f>
        <v/>
      </c>
      <c r="I66">
        <f>ROUND('A1 Inputs'!DH7/1000,2)</f>
        <v/>
      </c>
      <c r="J66">
        <f>ROUND('A1 Inputs'!DH8/1000,2)</f>
        <v/>
      </c>
      <c r="K66">
        <f>ROUND('A1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ROUND('A1 Inputs'!DI4/1000,2)</f>
        <v/>
      </c>
      <c r="G67">
        <f>ROUND('A1 Inputs'!DI5/1000,2)</f>
        <v/>
      </c>
      <c r="H67">
        <f>ROUND('A1 Inputs'!DI6/1000,2)</f>
        <v/>
      </c>
      <c r="I67">
        <f>ROUND('A1 Inputs'!DI7/1000,2)</f>
        <v/>
      </c>
      <c r="J67">
        <f>ROUND('A1 Inputs'!DI8/1000,2)</f>
        <v/>
      </c>
      <c r="K67">
        <f>ROUND('A1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ROUND(SUM('A1 Inputs'!DJ$4:DJ4)/1000,2)</f>
        <v/>
      </c>
      <c r="G68">
        <f>ROUND(SUM('A1 Inputs'!DJ$4:DJ5)/1000,2)</f>
        <v/>
      </c>
      <c r="H68">
        <f>ROUND(SUM('A1 Inputs'!DJ$4:DJ6)/1000,2)</f>
        <v/>
      </c>
      <c r="I68">
        <f>ROUND(SUM('A1 Inputs'!DJ$4:DJ7)/1000,2)</f>
        <v/>
      </c>
      <c r="J68">
        <f>ROUND(SUM('A1 Inputs'!DJ$4:DJ8)/1000,2)</f>
        <v/>
      </c>
      <c r="K68">
        <f>ROUND(SUM('A1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ROUND(IF('A1 Inputs'!DH4=0,0,100*'A1 Inputs'!DK4/'A1 Inputs'!DH4),2)</f>
        <v/>
      </c>
      <c r="G69">
        <f>ROUND(IF('A1 Inputs'!DH5=0,0,100*'A1 Inputs'!DK5/'A1 Inputs'!DH5),2)</f>
        <v/>
      </c>
      <c r="H69">
        <f>ROUND(IF('A1 Inputs'!DH6=0,0,100*'A1 Inputs'!DK6/'A1 Inputs'!DH6),2)</f>
        <v/>
      </c>
      <c r="I69">
        <f>ROUND(IF('A1 Inputs'!DH7=0,0,100*'A1 Inputs'!DK7/'A1 Inputs'!DH7),2)</f>
        <v/>
      </c>
      <c r="J69">
        <f>ROUND(IF('A1 Inputs'!DH8=0,0,100*'A1 Inputs'!DK8/'A1 Inputs'!DH8),2)</f>
        <v/>
      </c>
      <c r="K69">
        <f>ROUND(IF('A1 Inputs'!DH9=0,0,100*'A1 Inputs'!DK9/'A1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ROUND('A1 Inputs'!DL4/1000,2)</f>
        <v/>
      </c>
      <c r="G70">
        <f>ROUND('A1 Inputs'!DL5/1000,2)</f>
        <v/>
      </c>
      <c r="H70">
        <f>ROUND('A1 Inputs'!DL6/1000,2)</f>
        <v/>
      </c>
      <c r="I70">
        <f>ROUND('A1 Inputs'!DL7/1000,2)</f>
        <v/>
      </c>
      <c r="J70">
        <f>ROUND('A1 Inputs'!DL8/1000,2)</f>
        <v/>
      </c>
      <c r="K70">
        <f>ROUND('A1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'A1 Inputs'!DM4&amp;" on track · "&amp;'A1 Inputs'!DN4&amp;" at risk · "&amp;'A1 Inputs'!DO4&amp;" off track"</f>
        <v/>
      </c>
      <c r="G71">
        <f>'A1 Inputs'!DM5&amp;" on track · "&amp;'A1 Inputs'!DN5&amp;" at risk · "&amp;'A1 Inputs'!DO5&amp;" off track"</f>
        <v/>
      </c>
      <c r="H71">
        <f>'A1 Inputs'!DM6&amp;" on track · "&amp;'A1 Inputs'!DN6&amp;" at risk · "&amp;'A1 Inputs'!DO6&amp;" off track"</f>
        <v/>
      </c>
      <c r="I71">
        <f>'A1 Inputs'!DM7&amp;" on track · "&amp;'A1 Inputs'!DN7&amp;" at risk · "&amp;'A1 Inputs'!DO7&amp;" off track"</f>
        <v/>
      </c>
      <c r="J71">
        <f>'A1 Inputs'!DM8&amp;" on track · "&amp;'A1 Inputs'!DN8&amp;" at risk · "&amp;'A1 Inputs'!DO8&amp;" off track"</f>
        <v/>
      </c>
      <c r="K71">
        <f>'A1 Inputs'!DM9&amp;" on track · "&amp;'A1 Inputs'!DN9&amp;" at risk · "&amp;'A1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ROUND(IF(SUM('A1 Inputs'!DX$4:DX4)=0,0,100*SUM('A1 Inputs'!DY$4:DY4)/SUM('A1 Inputs'!DX$4:DX4)),2)</f>
        <v/>
      </c>
      <c r="G72">
        <f>ROUND(IF(SUM('A1 Inputs'!DX$4:DX5)=0,0,100*SUM('A1 Inputs'!DY$4:DY5)/SUM('A1 Inputs'!DX$4:DX5)),2)</f>
        <v/>
      </c>
      <c r="H72">
        <f>ROUND(IF(SUM('A1 Inputs'!DX$4:DX6)=0,0,100*SUM('A1 Inputs'!DY$4:DY6)/SUM('A1 Inputs'!DX$4:DX6)),2)</f>
        <v/>
      </c>
      <c r="I72">
        <f>ROUND(IF(SUM('A1 Inputs'!DX$4:DX7)=0,0,100*SUM('A1 Inputs'!DY$4:DY7)/SUM('A1 Inputs'!DX$4:DX7)),2)</f>
        <v/>
      </c>
      <c r="J72">
        <f>ROUND(IF(SUM('A1 Inputs'!DX$4:DX8)=0,0,100*SUM('A1 Inputs'!DY$4:DY8)/SUM('A1 Inputs'!DX$4:DX8)),2)</f>
        <v/>
      </c>
      <c r="K72">
        <f>ROUND(IF(SUM('A1 Inputs'!DX$4:DX9)=0,0,100*SUM('A1 Inputs'!DY$4:DY9)/SUM('A1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ROUND('A1 Inputs'!DP4,2)</f>
        <v/>
      </c>
      <c r="G73">
        <f>ROUND('A1 Inputs'!DP5,2)</f>
        <v/>
      </c>
      <c r="H73">
        <f>ROUND('A1 Inputs'!DP6,2)</f>
        <v/>
      </c>
      <c r="I73">
        <f>ROUND('A1 Inputs'!DP7,2)</f>
        <v/>
      </c>
      <c r="J73">
        <f>ROUND('A1 Inputs'!DP8,2)</f>
        <v/>
      </c>
      <c r="K73">
        <f>ROUND('A1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ROUND(IF('A1 Inputs'!DV4=0,0,100*'A1 Inputs'!DW4/'A1 Inputs'!DV4),2)</f>
        <v/>
      </c>
      <c r="G74">
        <f>ROUND(IF('A1 Inputs'!DV5=0,0,100*'A1 Inputs'!DW5/'A1 Inputs'!DV5),2)</f>
        <v/>
      </c>
      <c r="H74">
        <f>ROUND(IF('A1 Inputs'!DV6=0,0,100*'A1 Inputs'!DW6/'A1 Inputs'!DV6),2)</f>
        <v/>
      </c>
      <c r="I74">
        <f>ROUND(IF('A1 Inputs'!DV7=0,0,100*'A1 Inputs'!DW7/'A1 Inputs'!DV7),2)</f>
        <v/>
      </c>
      <c r="J74">
        <f>ROUND(IF('A1 Inputs'!DV8=0,0,100*'A1 Inputs'!DW8/'A1 Inputs'!DV8),2)</f>
        <v/>
      </c>
      <c r="K74">
        <f>ROUND(IF('A1 Inputs'!DV9=0,0,100*'A1 Inputs'!DW9/'A1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ROUND(IF('A1 Inputs'!DV4=0,0,100*'A1 Inputs'!DW4/'A1 Inputs'!DV4),2)</f>
        <v/>
      </c>
      <c r="G75">
        <f>ROUND(IF('A1 Inputs'!DV5=0,0,100*'A1 Inputs'!DW5/'A1 Inputs'!DV5),2)</f>
        <v/>
      </c>
      <c r="H75">
        <f>ROUND(IF('A1 Inputs'!DV6=0,0,100*'A1 Inputs'!DW6/'A1 Inputs'!DV6),2)</f>
        <v/>
      </c>
      <c r="I75">
        <f>ROUND(IF('A1 Inputs'!DV7=0,0,100*'A1 Inputs'!DW7/'A1 Inputs'!DV7),2)</f>
        <v/>
      </c>
      <c r="J75">
        <f>ROUND(IF('A1 Inputs'!DV8=0,0,100*'A1 Inputs'!DW8/'A1 Inputs'!DV8),2)</f>
        <v/>
      </c>
      <c r="K75">
        <f>ROUND(IF('A1 Inputs'!DV9=0,0,100*'A1 Inputs'!DW9/'A1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'A1 Inputs'!DS4&amp;" on track · "&amp;'A1 Inputs'!DT4&amp;" at risk · "&amp;'A1 Inputs'!DU4&amp;" delayed"</f>
        <v/>
      </c>
      <c r="G76">
        <f>'A1 Inputs'!DS5&amp;" on track · "&amp;'A1 Inputs'!DT5&amp;" at risk · "&amp;'A1 Inputs'!DU5&amp;" delayed"</f>
        <v/>
      </c>
      <c r="H76">
        <f>'A1 Inputs'!DS6&amp;" on track · "&amp;'A1 Inputs'!DT6&amp;" at risk · "&amp;'A1 Inputs'!DU6&amp;" delayed"</f>
        <v/>
      </c>
      <c r="I76">
        <f>'A1 Inputs'!DS7&amp;" on track · "&amp;'A1 Inputs'!DT7&amp;" at risk · "&amp;'A1 Inputs'!DU7&amp;" delayed"</f>
        <v/>
      </c>
      <c r="J76">
        <f>'A1 Inputs'!DS8&amp;" on track · "&amp;'A1 Inputs'!DT8&amp;" at risk · "&amp;'A1 Inputs'!DU8&amp;" delayed"</f>
        <v/>
      </c>
      <c r="K76">
        <f>'A1 Inputs'!DS9&amp;" on track · "&amp;'A1 Inputs'!DT9&amp;" at risk · "&amp;'A1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ROUND(IF('A1 Inputs'!DQ4=0,0,'A1 Inputs'!DR4/'A1 Inputs'!DQ4),2)</f>
        <v/>
      </c>
      <c r="G77">
        <f>ROUND(IF('A1 Inputs'!DQ5=0,0,'A1 Inputs'!DR5/'A1 Inputs'!DQ5),2)</f>
        <v/>
      </c>
      <c r="H77">
        <f>ROUND(IF('A1 Inputs'!DQ6=0,0,'A1 Inputs'!DR6/'A1 Inputs'!DQ6),2)</f>
        <v/>
      </c>
      <c r="I77">
        <f>ROUND(IF('A1 Inputs'!DQ7=0,0,'A1 Inputs'!DR7/'A1 Inputs'!DQ7),2)</f>
        <v/>
      </c>
      <c r="J77">
        <f>ROUND(IF('A1 Inputs'!DQ8=0,0,'A1 Inputs'!DR8/'A1 Inputs'!DQ8),2)</f>
        <v/>
      </c>
      <c r="K77">
        <f>ROUND(IF('A1 Inputs'!DQ9=0,0,'A1 Inputs'!DR9/'A1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ROUND(SUM('A1 Inputs'!DZ$4:DZ4)/1000,2)</f>
        <v/>
      </c>
      <c r="G78">
        <f>ROUND(SUM('A1 Inputs'!DZ$4:DZ5)/1000,2)</f>
        <v/>
      </c>
      <c r="H78">
        <f>ROUND(SUM('A1 Inputs'!DZ$4:DZ6)/1000,2)</f>
        <v/>
      </c>
      <c r="I78">
        <f>ROUND(SUM('A1 Inputs'!DZ$4:DZ7)/1000,2)</f>
        <v/>
      </c>
      <c r="J78">
        <f>ROUND(SUM('A1 Inputs'!DZ$4:DZ8)/1000,2)</f>
        <v/>
      </c>
      <c r="K78">
        <f>ROUND(SUM('A1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ROUND(SUM('A1 Inputs'!EA$4:EA4)/1000,2)</f>
        <v/>
      </c>
      <c r="G79">
        <f>ROUND(SUM('A1 Inputs'!EA$4:EA5)/1000,2)</f>
        <v/>
      </c>
      <c r="H79">
        <f>ROUND(SUM('A1 Inputs'!EA$4:EA6)/1000,2)</f>
        <v/>
      </c>
      <c r="I79">
        <f>ROUND(SUM('A1 Inputs'!EA$4:EA7)/1000,2)</f>
        <v/>
      </c>
      <c r="J79">
        <f>ROUND(SUM('A1 Inputs'!EA$4:EA8)/1000,2)</f>
        <v/>
      </c>
      <c r="K79">
        <f>ROUND(SUM('A1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ROUND(SUM('A1 Inputs'!EB$4:EB4)/1000,2)</f>
        <v/>
      </c>
      <c r="G80">
        <f>ROUND(SUM('A1 Inputs'!EB$4:EB5)/1000,2)</f>
        <v/>
      </c>
      <c r="H80">
        <f>ROUND(SUM('A1 Inputs'!EB$4:EB6)/1000,2)</f>
        <v/>
      </c>
      <c r="I80">
        <f>ROUND(SUM('A1 Inputs'!EB$4:EB7)/1000,2)</f>
        <v/>
      </c>
      <c r="J80">
        <f>ROUND(SUM('A1 Inputs'!EB$4:EB8)/1000,2)</f>
        <v/>
      </c>
      <c r="K80">
        <f>ROUND(SUM('A1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ROUND(IF('A1 Inputs'!AY4=0,0,100*'A1 Inputs'!AZ4/'A1 Inputs'!AY4),2)</f>
        <v/>
      </c>
      <c r="G81">
        <f>ROUND(IF('A1 Inputs'!AY5=0,0,100*'A1 Inputs'!AZ5/'A1 Inputs'!AY5),2)</f>
        <v/>
      </c>
      <c r="H81">
        <f>ROUND(IF('A1 Inputs'!AY6=0,0,100*'A1 Inputs'!AZ6/'A1 Inputs'!AY6),2)</f>
        <v/>
      </c>
      <c r="I81">
        <f>ROUND(IF('A1 Inputs'!AY7=0,0,100*'A1 Inputs'!AZ7/'A1 Inputs'!AY7),2)</f>
        <v/>
      </c>
      <c r="J81">
        <f>ROUND(IF('A1 Inputs'!AY8=0,0,100*'A1 Inputs'!AZ8/'A1 Inputs'!AY8),2)</f>
        <v/>
      </c>
      <c r="K81">
        <f>ROUND(IF('A1 Inputs'!AY9=0,0,100*'A1 Inputs'!AZ9/'A1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ROUND(IF('A1 Inputs'!BA4=0,0,100*'A1 Inputs'!BB4/'A1 Inputs'!BA4),2)</f>
        <v/>
      </c>
      <c r="G82">
        <f>ROUND(IF('A1 Inputs'!BA5=0,0,100*'A1 Inputs'!BB5/'A1 Inputs'!BA5),2)</f>
        <v/>
      </c>
      <c r="H82">
        <f>ROUND(IF('A1 Inputs'!BA6=0,0,100*'A1 Inputs'!BB6/'A1 Inputs'!BA6),2)</f>
        <v/>
      </c>
      <c r="I82">
        <f>ROUND(IF('A1 Inputs'!BA7=0,0,100*'A1 Inputs'!BB7/'A1 Inputs'!BA7),2)</f>
        <v/>
      </c>
      <c r="J82">
        <f>ROUND(IF('A1 Inputs'!BA8=0,0,100*'A1 Inputs'!BB8/'A1 Inputs'!BA8),2)</f>
        <v/>
      </c>
      <c r="K82">
        <f>ROUND(IF('A1 Inputs'!BA9=0,0,100*'A1 Inputs'!BB9/'A1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ROUND(IF('A1 Inputs'!BB4=0,0,100*'A1 Inputs'!BC4/'A1 Inputs'!BB4),2)</f>
        <v/>
      </c>
      <c r="G83">
        <f>ROUND(IF('A1 Inputs'!BB5=0,0,100*'A1 Inputs'!BC5/'A1 Inputs'!BB5),2)</f>
        <v/>
      </c>
      <c r="H83">
        <f>ROUND(IF('A1 Inputs'!BB6=0,0,100*'A1 Inputs'!BC6/'A1 Inputs'!BB6),2)</f>
        <v/>
      </c>
      <c r="I83">
        <f>ROUND(IF('A1 Inputs'!BB7=0,0,100*'A1 Inputs'!BC7/'A1 Inputs'!BB7),2)</f>
        <v/>
      </c>
      <c r="J83">
        <f>ROUND(IF('A1 Inputs'!BB8=0,0,100*'A1 Inputs'!BC8/'A1 Inputs'!BB8),2)</f>
        <v/>
      </c>
      <c r="K83">
        <f>ROUND(IF('A1 Inputs'!BB9=0,0,100*'A1 Inputs'!BC9/'A1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ROUND(IF('A1 Inputs'!BD4=0,0,100*('A1 Inputs'!BE4-'A1 Inputs'!BD4)/'A1 Inputs'!BD4),2)</f>
        <v/>
      </c>
      <c r="G84">
        <f>ROUND(IF('A1 Inputs'!BD5=0,0,100*('A1 Inputs'!BE5-'A1 Inputs'!BD5)/'A1 Inputs'!BD5),2)</f>
        <v/>
      </c>
      <c r="H84">
        <f>ROUND(IF('A1 Inputs'!BD6=0,0,100*('A1 Inputs'!BE6-'A1 Inputs'!BD6)/'A1 Inputs'!BD6),2)</f>
        <v/>
      </c>
      <c r="I84">
        <f>ROUND(IF('A1 Inputs'!BD7=0,0,100*('A1 Inputs'!BE7-'A1 Inputs'!BD7)/'A1 Inputs'!BD7),2)</f>
        <v/>
      </c>
      <c r="J84">
        <f>ROUND(IF('A1 Inputs'!BD8=0,0,100*('A1 Inputs'!BE8-'A1 Inputs'!BD8)/'A1 Inputs'!BD8),2)</f>
        <v/>
      </c>
      <c r="K84">
        <f>ROUND(IF('A1 Inputs'!BD9=0,0,100*('A1 Inputs'!BE9-'A1 Inputs'!BD9)/'A1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ROUND('A1 Inputs'!EG4,2)</f>
        <v/>
      </c>
      <c r="G85">
        <f>ROUND('A1 Inputs'!EG5,2)</f>
        <v/>
      </c>
      <c r="H85">
        <f>ROUND('A1 Inputs'!EG6,2)</f>
        <v/>
      </c>
      <c r="I85">
        <f>ROUND('A1 Inputs'!EG7,2)</f>
        <v/>
      </c>
      <c r="J85">
        <f>ROUND('A1 Inputs'!EG8,2)</f>
        <v/>
      </c>
      <c r="K85">
        <f>ROUND('A1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ROUND(IF('A1 Inputs'!BF4=0,0,100*'A1 Inputs'!BG4/'A1 Inputs'!BF4),2)</f>
        <v/>
      </c>
      <c r="G86">
        <f>ROUND(IF('A1 Inputs'!BF5=0,0,100*'A1 Inputs'!BG5/'A1 Inputs'!BF5),2)</f>
        <v/>
      </c>
      <c r="H86">
        <f>ROUND(IF('A1 Inputs'!BF6=0,0,100*'A1 Inputs'!BG6/'A1 Inputs'!BF6),2)</f>
        <v/>
      </c>
      <c r="I86">
        <f>ROUND(IF('A1 Inputs'!BF7=0,0,100*'A1 Inputs'!BG7/'A1 Inputs'!BF7),2)</f>
        <v/>
      </c>
      <c r="J86">
        <f>ROUND(IF('A1 Inputs'!BF8=0,0,100*'A1 Inputs'!BG8/'A1 Inputs'!BF8),2)</f>
        <v/>
      </c>
      <c r="K86">
        <f>ROUND(IF('A1 Inputs'!BF9=0,0,100*'A1 Inputs'!BG9/'A1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ROUND(SUM('A1 Inputs'!BH$4:BH4),2)</f>
        <v/>
      </c>
      <c r="G87">
        <f>ROUND(SUM('A1 Inputs'!BH$4:BH5),2)</f>
        <v/>
      </c>
      <c r="H87">
        <f>ROUND(SUM('A1 Inputs'!BH$4:BH6),2)</f>
        <v/>
      </c>
      <c r="I87">
        <f>ROUND(SUM('A1 Inputs'!BH$4:BH7),2)</f>
        <v/>
      </c>
      <c r="J87">
        <f>ROUND(SUM('A1 Inputs'!BH$4:BH8),2)</f>
        <v/>
      </c>
      <c r="K87">
        <f>ROUND(SUM('A1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ROUND('A1 Inputs'!EE4,2)</f>
        <v/>
      </c>
      <c r="G88">
        <f>ROUND('A1 Inputs'!EE5,2)</f>
        <v/>
      </c>
      <c r="H88">
        <f>ROUND('A1 Inputs'!EE6,2)</f>
        <v/>
      </c>
      <c r="I88">
        <f>ROUND('A1 Inputs'!EE7,2)</f>
        <v/>
      </c>
      <c r="J88">
        <f>ROUND('A1 Inputs'!EE8,2)</f>
        <v/>
      </c>
      <c r="K88">
        <f>ROUND('A1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ROUND(IF('A1 Inputs'!EC4=0,0,100*'A1 Inputs'!ED4/'A1 Inputs'!EC4),2)</f>
        <v/>
      </c>
      <c r="G89">
        <f>ROUND(IF('A1 Inputs'!EC5=0,0,100*'A1 Inputs'!ED5/'A1 Inputs'!EC5),2)</f>
        <v/>
      </c>
      <c r="H89">
        <f>ROUND(IF('A1 Inputs'!EC6=0,0,100*'A1 Inputs'!ED6/'A1 Inputs'!EC6),2)</f>
        <v/>
      </c>
      <c r="I89">
        <f>ROUND(IF('A1 Inputs'!EC7=0,0,100*'A1 Inputs'!ED7/'A1 Inputs'!EC7),2)</f>
        <v/>
      </c>
      <c r="J89">
        <f>ROUND(IF('A1 Inputs'!EC8=0,0,100*'A1 Inputs'!ED8/'A1 Inputs'!EC8),2)</f>
        <v/>
      </c>
      <c r="K89">
        <f>ROUND(IF('A1 Inputs'!EC9=0,0,100*'A1 Inputs'!ED9/'A1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ROUND('A1 Inputs'!EF4,2)</f>
        <v/>
      </c>
      <c r="G90">
        <f>ROUND('A1 Inputs'!EF5,2)</f>
        <v/>
      </c>
      <c r="H90">
        <f>ROUND('A1 Inputs'!EF6,2)</f>
        <v/>
      </c>
      <c r="I90">
        <f>ROUND('A1 Inputs'!EF7,2)</f>
        <v/>
      </c>
      <c r="J90">
        <f>ROUND('A1 Inputs'!EF8,2)</f>
        <v/>
      </c>
      <c r="K90">
        <f>ROUND('A1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ROUND('A1 Inputs'!BI4,2)</f>
        <v/>
      </c>
      <c r="G91">
        <f>ROUND('A1 Inputs'!BI5,2)</f>
        <v/>
      </c>
      <c r="H91">
        <f>ROUND('A1 Inputs'!BI6,2)</f>
        <v/>
      </c>
      <c r="I91">
        <f>ROUND('A1 Inputs'!BI7,2)</f>
        <v/>
      </c>
      <c r="J91">
        <f>ROUND('A1 Inputs'!BI8,2)</f>
        <v/>
      </c>
      <c r="K91">
        <f>ROUND('A1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ROUND('A1 Inputs'!BJ4,2)</f>
        <v/>
      </c>
      <c r="G92">
        <f>ROUND('A1 Inputs'!BJ5,2)</f>
        <v/>
      </c>
      <c r="H92">
        <f>ROUND('A1 Inputs'!BJ6,2)</f>
        <v/>
      </c>
      <c r="I92">
        <f>ROUND('A1 Inputs'!BJ7,2)</f>
        <v/>
      </c>
      <c r="J92">
        <f>ROUND('A1 Inputs'!BJ8,2)</f>
        <v/>
      </c>
      <c r="K92">
        <f>ROUND('A1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ROUND('A1 Inputs'!BK4,2)</f>
        <v/>
      </c>
      <c r="G93">
        <f>ROUND('A1 Inputs'!BK5,2)</f>
        <v/>
      </c>
      <c r="H93">
        <f>ROUND('A1 Inputs'!BK6,2)</f>
        <v/>
      </c>
      <c r="I93">
        <f>ROUND('A1 Inputs'!BK7,2)</f>
        <v/>
      </c>
      <c r="J93">
        <f>ROUND('A1 Inputs'!BK8,2)</f>
        <v/>
      </c>
      <c r="K93">
        <f>ROUND('A1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ROUND('A1 Inputs'!BL4,2)</f>
        <v/>
      </c>
      <c r="G94">
        <f>ROUND('A1 Inputs'!BL5,2)</f>
        <v/>
      </c>
      <c r="H94">
        <f>ROUND('A1 Inputs'!BL6,2)</f>
        <v/>
      </c>
      <c r="I94">
        <f>ROUND('A1 Inputs'!BL7,2)</f>
        <v/>
      </c>
      <c r="J94">
        <f>ROUND('A1 Inputs'!BL8,2)</f>
        <v/>
      </c>
      <c r="K94">
        <f>ROUND('A1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ROUND('A1 Inputs'!BM4,2)</f>
        <v/>
      </c>
      <c r="G95">
        <f>ROUND('A1 Inputs'!BM5,2)</f>
        <v/>
      </c>
      <c r="H95">
        <f>ROUND('A1 Inputs'!BM6,2)</f>
        <v/>
      </c>
      <c r="I95">
        <f>ROUND('A1 Inputs'!BM7,2)</f>
        <v/>
      </c>
      <c r="J95">
        <f>ROUND('A1 Inputs'!BM8,2)</f>
        <v/>
      </c>
      <c r="K95">
        <f>ROUND('A1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ROUND('A1 Inputs'!BN4,2)</f>
        <v/>
      </c>
      <c r="G96">
        <f>ROUND('A1 Inputs'!BN5,2)</f>
        <v/>
      </c>
      <c r="H96">
        <f>ROUND('A1 Inputs'!BN6,2)</f>
        <v/>
      </c>
      <c r="I96">
        <f>ROUND('A1 Inputs'!BN7,2)</f>
        <v/>
      </c>
      <c r="J96">
        <f>ROUND('A1 Inputs'!BN8,2)</f>
        <v/>
      </c>
      <c r="K96">
        <f>ROUND('A1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ROUND('A1 Inputs'!BO4,2)</f>
        <v/>
      </c>
      <c r="G97">
        <f>ROUND('A1 Inputs'!BO5,2)</f>
        <v/>
      </c>
      <c r="H97">
        <f>ROUND('A1 Inputs'!BO6,2)</f>
        <v/>
      </c>
      <c r="I97">
        <f>ROUND('A1 Inputs'!BO7,2)</f>
        <v/>
      </c>
      <c r="J97">
        <f>ROUND('A1 Inputs'!BO8,2)</f>
        <v/>
      </c>
      <c r="K97">
        <f>ROUND('A1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IF('A1 Inputs'!BQ4&gt;0,"Triggered","Not triggered")</f>
        <v/>
      </c>
      <c r="G98">
        <f>IF('A1 Inputs'!BQ5&gt;0,"Triggered","Not triggered")</f>
        <v/>
      </c>
      <c r="H98">
        <f>IF('A1 Inputs'!BQ6&gt;0,"Triggered","Not triggered")</f>
        <v/>
      </c>
      <c r="I98">
        <f>IF('A1 Inputs'!BQ7&gt;0,"Triggered","Not triggered")</f>
        <v/>
      </c>
      <c r="J98">
        <f>IF('A1 Inputs'!BQ8&gt;0,"Triggered","Not triggered")</f>
        <v/>
      </c>
      <c r="K98">
        <f>IF('A1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ROUND(SUM('A1 Inputs'!BP$4:BP4),2)</f>
        <v/>
      </c>
      <c r="G99">
        <f>ROUND(SUM('A1 Inputs'!BP$4:BP5),2)</f>
        <v/>
      </c>
      <c r="H99">
        <f>ROUND(SUM('A1 Inputs'!BP$4:BP6),2)</f>
        <v/>
      </c>
      <c r="I99">
        <f>ROUND(SUM('A1 Inputs'!BP$4:BP7),2)</f>
        <v/>
      </c>
      <c r="J99">
        <f>ROUND(SUM('A1 Inputs'!BP$4:BP8),2)</f>
        <v/>
      </c>
      <c r="K99">
        <f>ROUND(SUM('A1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ROUND(SUM('A1 Inputs'!BP$4:BP4),2)</f>
        <v/>
      </c>
      <c r="G100">
        <f>ROUND(SUM('A1 Inputs'!BP$4:BP5),2)</f>
        <v/>
      </c>
      <c r="H100">
        <f>ROUND(SUM('A1 Inputs'!BP$4:BP6),2)</f>
        <v/>
      </c>
      <c r="I100">
        <f>ROUND(SUM('A1 Inputs'!BP$4:BP7),2)</f>
        <v/>
      </c>
      <c r="J100">
        <f>ROUND(SUM('A1 Inputs'!BP$4:BP8),2)</f>
        <v/>
      </c>
      <c r="K100">
        <f>ROUND(SUM('A1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ROUND(SUM('A1 Inputs'!BP$4:BP4),2)</f>
        <v/>
      </c>
      <c r="G101">
        <f>ROUND(SUM('A1 Inputs'!BP$4:BP5),2)</f>
        <v/>
      </c>
      <c r="H101">
        <f>ROUND(SUM('A1 Inputs'!BP$4:BP6),2)</f>
        <v/>
      </c>
      <c r="I101">
        <f>ROUND(SUM('A1 Inputs'!BP$4:BP7),2)</f>
        <v/>
      </c>
      <c r="J101">
        <f>ROUND(SUM('A1 Inputs'!BP$4:BP8),2)</f>
        <v/>
      </c>
      <c r="K101">
        <f>ROUND(SUM('A1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ROUND('A1 Inputs'!BR4,2)</f>
        <v/>
      </c>
      <c r="G102">
        <f>ROUND('A1 Inputs'!BR5,2)</f>
        <v/>
      </c>
      <c r="H102">
        <f>ROUND('A1 Inputs'!BR6,2)</f>
        <v/>
      </c>
      <c r="I102">
        <f>ROUND('A1 Inputs'!BR7,2)</f>
        <v/>
      </c>
      <c r="J102">
        <f>ROUND('A1 Inputs'!BR8,2)</f>
        <v/>
      </c>
      <c r="K102">
        <f>ROUND('A1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ROUND(IF(SUM('A1 Inputs'!AM$4:AM4)=0,100,100*SUM('A1 Inputs'!AN$4:AN4)/SUM('A1 Inputs'!AM$4:AM4)),2)</f>
        <v/>
      </c>
      <c r="G103">
        <f>ROUND(IF(SUM('A1 Inputs'!AM$4:AM5)=0,100,100*SUM('A1 Inputs'!AN$4:AN5)/SUM('A1 Inputs'!AM$4:AM5)),2)</f>
        <v/>
      </c>
      <c r="H103">
        <f>ROUND(IF(SUM('A1 Inputs'!AM$4:AM6)=0,100,100*SUM('A1 Inputs'!AN$4:AN6)/SUM('A1 Inputs'!AM$4:AM6)),2)</f>
        <v/>
      </c>
      <c r="I103">
        <f>ROUND(IF(SUM('A1 Inputs'!AM$4:AM7)=0,100,100*SUM('A1 Inputs'!AN$4:AN7)/SUM('A1 Inputs'!AM$4:AM7)),2)</f>
        <v/>
      </c>
      <c r="J103">
        <f>ROUND(IF(SUM('A1 Inputs'!AM$4:AM8)=0,100,100*SUM('A1 Inputs'!AN$4:AN8)/SUM('A1 Inputs'!AM$4:AM8)),2)</f>
        <v/>
      </c>
      <c r="K103">
        <f>ROUND(IF(SUM('A1 Inputs'!AM$4:AM9)=0,100,100*SUM('A1 Inputs'!AN$4:AN9)/SUM('A1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ROUND(SUM('A1 Inputs'!EH$4:EH4),2)</f>
        <v/>
      </c>
      <c r="G104">
        <f>ROUND(SUM('A1 Inputs'!EH$4:EH5),2)</f>
        <v/>
      </c>
      <c r="H104">
        <f>ROUND(SUM('A1 Inputs'!EH$4:EH6),2)</f>
        <v/>
      </c>
      <c r="I104">
        <f>ROUND(SUM('A1 Inputs'!EH$4:EH7),2)</f>
        <v/>
      </c>
      <c r="J104">
        <f>ROUND(SUM('A1 Inputs'!EH$4:EH8),2)</f>
        <v/>
      </c>
      <c r="K104">
        <f>ROUND(SUM('A1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ROUND(SUM('A1 Inputs'!EI$4:EI4),2)</f>
        <v/>
      </c>
      <c r="G105">
        <f>ROUND(SUM('A1 Inputs'!EI$4:EI5),2)</f>
        <v/>
      </c>
      <c r="H105">
        <f>ROUND(SUM('A1 Inputs'!EI$4:EI6),2)</f>
        <v/>
      </c>
      <c r="I105">
        <f>ROUND(SUM('A1 Inputs'!EI$4:EI7),2)</f>
        <v/>
      </c>
      <c r="J105">
        <f>ROUND(SUM('A1 Inputs'!EI$4:EI8),2)</f>
        <v/>
      </c>
      <c r="K105">
        <f>ROUND(SUM('A1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ROUND(SUM('A1 Inputs'!EL$4:EL4),2)</f>
        <v/>
      </c>
      <c r="G106">
        <f>ROUND(SUM('A1 Inputs'!EL$4:EL5),2)</f>
        <v/>
      </c>
      <c r="H106">
        <f>ROUND(SUM('A1 Inputs'!EL$4:EL6),2)</f>
        <v/>
      </c>
      <c r="I106">
        <f>ROUND(SUM('A1 Inputs'!EL$4:EL7),2)</f>
        <v/>
      </c>
      <c r="J106">
        <f>ROUND(SUM('A1 Inputs'!EL$4:EL8),2)</f>
        <v/>
      </c>
      <c r="K106">
        <f>ROUND(SUM('A1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ROUND(SUM('A1 Inputs'!EM$4:EM4),2)</f>
        <v/>
      </c>
      <c r="G107">
        <f>ROUND(SUM('A1 Inputs'!EM$4:EM5),2)</f>
        <v/>
      </c>
      <c r="H107">
        <f>ROUND(SUM('A1 Inputs'!EM$4:EM6),2)</f>
        <v/>
      </c>
      <c r="I107">
        <f>ROUND(SUM('A1 Inputs'!EM$4:EM7),2)</f>
        <v/>
      </c>
      <c r="J107">
        <f>ROUND(SUM('A1 Inputs'!EM$4:EM8),2)</f>
        <v/>
      </c>
      <c r="K107">
        <f>ROUND(SUM('A1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ROUND(SUM('A1 Inputs'!EN$4:EN4),2)</f>
        <v/>
      </c>
      <c r="G108">
        <f>ROUND(SUM('A1 Inputs'!EN$4:EN5),2)</f>
        <v/>
      </c>
      <c r="H108">
        <f>ROUND(SUM('A1 Inputs'!EN$4:EN6),2)</f>
        <v/>
      </c>
      <c r="I108">
        <f>ROUND(SUM('A1 Inputs'!EN$4:EN7),2)</f>
        <v/>
      </c>
      <c r="J108">
        <f>ROUND(SUM('A1 Inputs'!EN$4:EN8),2)</f>
        <v/>
      </c>
      <c r="K108">
        <f>ROUND(SUM('A1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ROUND(SUM('A1 Inputs'!EO$4:EO4),2)</f>
        <v/>
      </c>
      <c r="G109">
        <f>ROUND(SUM('A1 Inputs'!EO$4:EO5),2)</f>
        <v/>
      </c>
      <c r="H109">
        <f>ROUND(SUM('A1 Inputs'!EO$4:EO6),2)</f>
        <v/>
      </c>
      <c r="I109">
        <f>ROUND(SUM('A1 Inputs'!EO$4:EO7),2)</f>
        <v/>
      </c>
      <c r="J109">
        <f>ROUND(SUM('A1 Inputs'!EO$4:EO8),2)</f>
        <v/>
      </c>
      <c r="K109">
        <f>ROUND(SUM('A1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ROUND(SUM('A1 Inputs'!EP$4:EP4),2)</f>
        <v/>
      </c>
      <c r="G110">
        <f>ROUND(SUM('A1 Inputs'!EP$4:EP5),2)</f>
        <v/>
      </c>
      <c r="H110">
        <f>ROUND(SUM('A1 Inputs'!EP$4:EP6),2)</f>
        <v/>
      </c>
      <c r="I110">
        <f>ROUND(SUM('A1 Inputs'!EP$4:EP7),2)</f>
        <v/>
      </c>
      <c r="J110">
        <f>ROUND(SUM('A1 Inputs'!EP$4:EP8),2)</f>
        <v/>
      </c>
      <c r="K110">
        <f>ROUND(SUM('A1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ROUND(SUM('A1 Inputs'!EQ$4:EQ4),2)</f>
        <v/>
      </c>
      <c r="G111">
        <f>ROUND(SUM('A1 Inputs'!EQ$4:EQ5),2)</f>
        <v/>
      </c>
      <c r="H111">
        <f>ROUND(SUM('A1 Inputs'!EQ$4:EQ6),2)</f>
        <v/>
      </c>
      <c r="I111">
        <f>ROUND(SUM('A1 Inputs'!EQ$4:EQ7),2)</f>
        <v/>
      </c>
      <c r="J111">
        <f>ROUND(SUM('A1 Inputs'!EQ$4:EQ8),2)</f>
        <v/>
      </c>
      <c r="K111">
        <f>ROUND(SUM('A1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SUM('A1 Inputs'!EK$4:EK4)&amp;" of "&amp;SUM('A1 Inputs'!EJ$4:EJ4)</f>
        <v/>
      </c>
      <c r="G112">
        <f>SUM('A1 Inputs'!EK$4:EK5)&amp;" of "&amp;SUM('A1 Inputs'!EJ$4:EJ5)</f>
        <v/>
      </c>
      <c r="H112">
        <f>SUM('A1 Inputs'!EK$4:EK6)&amp;" of "&amp;SUM('A1 Inputs'!EJ$4:EJ6)</f>
        <v/>
      </c>
      <c r="I112">
        <f>SUM('A1 Inputs'!EK$4:EK7)&amp;" of "&amp;SUM('A1 Inputs'!EJ$4:EJ7)</f>
        <v/>
      </c>
      <c r="J112">
        <f>SUM('A1 Inputs'!EK$4:EK8)&amp;" of "&amp;SUM('A1 Inputs'!EJ$4:EJ8)</f>
        <v/>
      </c>
      <c r="K112">
        <f>SUM('A1 Inputs'!EK$4:EK9)&amp;" of "&amp;SUM('A1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ROUND('A1 Inputs'!ER4,2)</f>
        <v/>
      </c>
      <c r="G113">
        <f>ROUND('A1 Inputs'!ER5,2)</f>
        <v/>
      </c>
      <c r="H113">
        <f>ROUND('A1 Inputs'!ER6,2)</f>
        <v/>
      </c>
      <c r="I113">
        <f>ROUND('A1 Inputs'!ER7,2)</f>
        <v/>
      </c>
      <c r="J113">
        <f>ROUND('A1 Inputs'!ER8,2)</f>
        <v/>
      </c>
      <c r="K113">
        <f>ROUND('A1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ROUND('A1 Inputs'!ES4,2)</f>
        <v/>
      </c>
      <c r="G114">
        <f>ROUND('A1 Inputs'!ES5,2)</f>
        <v/>
      </c>
      <c r="H114">
        <f>ROUND('A1 Inputs'!ES6,2)</f>
        <v/>
      </c>
      <c r="I114">
        <f>ROUND('A1 Inputs'!ES7,2)</f>
        <v/>
      </c>
      <c r="J114">
        <f>ROUND('A1 Inputs'!ES8,2)</f>
        <v/>
      </c>
      <c r="K114">
        <f>ROUND('A1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ROUND('A1 Inputs'!ET4,2)</f>
        <v/>
      </c>
      <c r="G115">
        <f>ROUND('A1 Inputs'!ET5,2)</f>
        <v/>
      </c>
      <c r="H115">
        <f>ROUND('A1 Inputs'!ET6,2)</f>
        <v/>
      </c>
      <c r="I115">
        <f>ROUND('A1 Inputs'!ET7,2)</f>
        <v/>
      </c>
      <c r="J115">
        <f>ROUND('A1 Inputs'!ET8,2)</f>
        <v/>
      </c>
      <c r="K115">
        <f>ROUND('A1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ROUND('A1 Inputs'!EU4,2)</f>
        <v/>
      </c>
      <c r="G116">
        <f>ROUND('A1 Inputs'!EU5,2)</f>
        <v/>
      </c>
      <c r="H116">
        <f>ROUND('A1 Inputs'!EU6,2)</f>
        <v/>
      </c>
      <c r="I116">
        <f>ROUND('A1 Inputs'!EU7,2)</f>
        <v/>
      </c>
      <c r="J116">
        <f>ROUND('A1 Inputs'!EU8,2)</f>
        <v/>
      </c>
      <c r="K116">
        <f>ROUND('A1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ROUND('A1 Inputs'!EV4,2)</f>
        <v/>
      </c>
      <c r="G117">
        <f>ROUND('A1 Inputs'!EV5,2)</f>
        <v/>
      </c>
      <c r="H117">
        <f>ROUND('A1 Inputs'!EV6,2)</f>
        <v/>
      </c>
      <c r="I117">
        <f>ROUND('A1 Inputs'!EV7,2)</f>
        <v/>
      </c>
      <c r="J117">
        <f>ROUND('A1 Inputs'!EV8,2)</f>
        <v/>
      </c>
      <c r="K117">
        <f>ROUND('A1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ROUND('A1 Inputs'!EW4,2)</f>
        <v/>
      </c>
      <c r="G118">
        <f>ROUND('A1 Inputs'!EW5,2)</f>
        <v/>
      </c>
      <c r="H118">
        <f>ROUND('A1 Inputs'!EW6,2)</f>
        <v/>
      </c>
      <c r="I118">
        <f>ROUND('A1 Inputs'!EW7,2)</f>
        <v/>
      </c>
      <c r="J118">
        <f>ROUND('A1 Inputs'!EW8,2)</f>
        <v/>
      </c>
      <c r="K118">
        <f>ROUND('A1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ROUND('A1 Inputs'!EX4,2)</f>
        <v/>
      </c>
      <c r="G119">
        <f>ROUND('A1 Inputs'!EX5,2)</f>
        <v/>
      </c>
      <c r="H119">
        <f>ROUND('A1 Inputs'!EX6,2)</f>
        <v/>
      </c>
      <c r="I119">
        <f>ROUND('A1 Inputs'!EX7,2)</f>
        <v/>
      </c>
      <c r="J119">
        <f>ROUND('A1 Inputs'!EX8,2)</f>
        <v/>
      </c>
      <c r="K119">
        <f>ROUND('A1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ROUND('A1 Inputs'!FG4,2)</f>
        <v/>
      </c>
      <c r="G120">
        <f>ROUND('A1 Inputs'!FG5,2)</f>
        <v/>
      </c>
      <c r="H120">
        <f>ROUND('A1 Inputs'!FG6,2)</f>
        <v/>
      </c>
      <c r="I120">
        <f>ROUND('A1 Inputs'!FG7,2)</f>
        <v/>
      </c>
      <c r="J120">
        <f>ROUND('A1 Inputs'!FG8,2)</f>
        <v/>
      </c>
      <c r="K120">
        <f>ROUND('A1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ROUND('A1 Inputs'!FF4,2)</f>
        <v/>
      </c>
      <c r="G121">
        <f>ROUND('A1 Inputs'!FF5,2)</f>
        <v/>
      </c>
      <c r="H121">
        <f>ROUND('A1 Inputs'!FF6,2)</f>
        <v/>
      </c>
      <c r="I121">
        <f>ROUND('A1 Inputs'!FF7,2)</f>
        <v/>
      </c>
      <c r="J121">
        <f>ROUND('A1 Inputs'!FF8,2)</f>
        <v/>
      </c>
      <c r="K121">
        <f>ROUND('A1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ROUND('A1 Inputs'!FH4,2)</f>
        <v/>
      </c>
      <c r="G122">
        <f>ROUND('A1 Inputs'!FH5,2)</f>
        <v/>
      </c>
      <c r="H122">
        <f>ROUND('A1 Inputs'!FH6,2)</f>
        <v/>
      </c>
      <c r="I122">
        <f>ROUND('A1 Inputs'!FH7,2)</f>
        <v/>
      </c>
      <c r="J122">
        <f>ROUND('A1 Inputs'!FH8,2)</f>
        <v/>
      </c>
      <c r="K122">
        <f>ROUND('A1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ROUND(IF('A1 Inputs'!EY4=0,0,100*'A1 Inputs'!EZ4/'A1 Inputs'!EY4),2)</f>
        <v/>
      </c>
      <c r="G123">
        <f>ROUND(IF('A1 Inputs'!EY5=0,0,100*'A1 Inputs'!EZ5/'A1 Inputs'!EY5),2)</f>
        <v/>
      </c>
      <c r="H123">
        <f>ROUND(IF('A1 Inputs'!EY6=0,0,100*'A1 Inputs'!EZ6/'A1 Inputs'!EY6),2)</f>
        <v/>
      </c>
      <c r="I123">
        <f>ROUND(IF('A1 Inputs'!EY7=0,0,100*'A1 Inputs'!EZ7/'A1 Inputs'!EY7),2)</f>
        <v/>
      </c>
      <c r="J123">
        <f>ROUND(IF('A1 Inputs'!EY8=0,0,100*'A1 Inputs'!EZ8/'A1 Inputs'!EY8),2)</f>
        <v/>
      </c>
      <c r="K123">
        <f>ROUND(IF('A1 Inputs'!EY9=0,0,100*'A1 Inputs'!EZ9/'A1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ROUND(IF(SUM('A1 Inputs'!FA$4:FA4)=0,0,SUM('A1 Inputs'!FB$4:FB4)/SUM('A1 Inputs'!FA$4:FA4)),2)</f>
        <v/>
      </c>
      <c r="G124">
        <f>ROUND(IF(SUM('A1 Inputs'!FA$4:FA5)=0,0,SUM('A1 Inputs'!FB$4:FB5)/SUM('A1 Inputs'!FA$4:FA5)),2)</f>
        <v/>
      </c>
      <c r="H124">
        <f>ROUND(IF(SUM('A1 Inputs'!FA$4:FA6)=0,0,SUM('A1 Inputs'!FB$4:FB6)/SUM('A1 Inputs'!FA$4:FA6)),2)</f>
        <v/>
      </c>
      <c r="I124">
        <f>ROUND(IF(SUM('A1 Inputs'!FA$4:FA7)=0,0,SUM('A1 Inputs'!FB$4:FB7)/SUM('A1 Inputs'!FA$4:FA7)),2)</f>
        <v/>
      </c>
      <c r="J124">
        <f>ROUND(IF(SUM('A1 Inputs'!FA$4:FA8)=0,0,SUM('A1 Inputs'!FB$4:FB8)/SUM('A1 Inputs'!FA$4:FA8)),2)</f>
        <v/>
      </c>
      <c r="K124">
        <f>ROUND(IF(SUM('A1 Inputs'!FA$4:FA9)=0,0,SUM('A1 Inputs'!FB$4:FB9)/SUM('A1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ROUND(IF('A1 Inputs'!FC4=0,0,100*'A1 Inputs'!FD4/'A1 Inputs'!FC4),2)</f>
        <v/>
      </c>
      <c r="G125">
        <f>ROUND(IF('A1 Inputs'!FC5=0,0,100*'A1 Inputs'!FD5/'A1 Inputs'!FC5),2)</f>
        <v/>
      </c>
      <c r="H125">
        <f>ROUND(IF('A1 Inputs'!FC6=0,0,100*'A1 Inputs'!FD6/'A1 Inputs'!FC6),2)</f>
        <v/>
      </c>
      <c r="I125">
        <f>ROUND(IF('A1 Inputs'!FC7=0,0,100*'A1 Inputs'!FD7/'A1 Inputs'!FC7),2)</f>
        <v/>
      </c>
      <c r="J125">
        <f>ROUND(IF('A1 Inputs'!FC8=0,0,100*'A1 Inputs'!FD8/'A1 Inputs'!FC8),2)</f>
        <v/>
      </c>
      <c r="K125">
        <f>ROUND(IF('A1 Inputs'!FC9=0,0,100*'A1 Inputs'!FD9/'A1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ROUND('A1 Inputs'!FC4-'A1 Inputs'!FD4,2)</f>
        <v/>
      </c>
      <c r="G126">
        <f>ROUND('A1 Inputs'!FC5-'A1 Inputs'!FD5,2)</f>
        <v/>
      </c>
      <c r="H126">
        <f>ROUND('A1 Inputs'!FC6-'A1 Inputs'!FD6,2)</f>
        <v/>
      </c>
      <c r="I126">
        <f>ROUND('A1 Inputs'!FC7-'A1 Inputs'!FD7,2)</f>
        <v/>
      </c>
      <c r="J126">
        <f>ROUND('A1 Inputs'!FC8-'A1 Inputs'!FD8,2)</f>
        <v/>
      </c>
      <c r="K126">
        <f>ROUND('A1 Inputs'!FC9-'A1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ROUND(IF('A1 Inputs'!FC4=0,0,100*'A1 Inputs'!FE4/'A1 Inputs'!FC4),2)</f>
        <v/>
      </c>
      <c r="G127">
        <f>ROUND(IF('A1 Inputs'!FC5=0,0,100*'A1 Inputs'!FE5/'A1 Inputs'!FC5),2)</f>
        <v/>
      </c>
      <c r="H127">
        <f>ROUND(IF('A1 Inputs'!FC6=0,0,100*'A1 Inputs'!FE6/'A1 Inputs'!FC6),2)</f>
        <v/>
      </c>
      <c r="I127">
        <f>ROUND(IF('A1 Inputs'!FC7=0,0,100*'A1 Inputs'!FE7/'A1 Inputs'!FC7),2)</f>
        <v/>
      </c>
      <c r="J127">
        <f>ROUND(IF('A1 Inputs'!FC8=0,0,100*'A1 Inputs'!FE8/'A1 Inputs'!FC8),2)</f>
        <v/>
      </c>
      <c r="K127">
        <f>ROUND(IF('A1 Inputs'!FC9=0,0,100*'A1 Inputs'!FE9/'A1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ROUND(IF('A1 Inputs'!FI4=0,0,100*'A1 Inputs'!FJ4/'A1 Inputs'!FI4),2)</f>
        <v/>
      </c>
      <c r="G128">
        <f>ROUND(IF('A1 Inputs'!FI5=0,0,100*'A1 Inputs'!FJ5/'A1 Inputs'!FI5),2)</f>
        <v/>
      </c>
      <c r="H128">
        <f>ROUND(IF('A1 Inputs'!FI6=0,0,100*'A1 Inputs'!FJ6/'A1 Inputs'!FI6),2)</f>
        <v/>
      </c>
      <c r="I128">
        <f>ROUND(IF('A1 Inputs'!FI7=0,0,100*'A1 Inputs'!FJ7/'A1 Inputs'!FI7),2)</f>
        <v/>
      </c>
      <c r="J128">
        <f>ROUND(IF('A1 Inputs'!FI8=0,0,100*'A1 Inputs'!FJ8/'A1 Inputs'!FI8),2)</f>
        <v/>
      </c>
      <c r="K128">
        <f>ROUND(IF('A1 Inputs'!FI9=0,0,100*'A1 Inputs'!FJ9/'A1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ROUND(IF('A1 Inputs'!FK4=0,0,100*'A1 Inputs'!FL4/'A1 Inputs'!FK4),2)</f>
        <v/>
      </c>
      <c r="G129">
        <f>ROUND(IF('A1 Inputs'!FK5=0,0,100*'A1 Inputs'!FL5/'A1 Inputs'!FK5),2)</f>
        <v/>
      </c>
      <c r="H129">
        <f>ROUND(IF('A1 Inputs'!FK6=0,0,100*'A1 Inputs'!FL6/'A1 Inputs'!FK6),2)</f>
        <v/>
      </c>
      <c r="I129">
        <f>ROUND(IF('A1 Inputs'!FK7=0,0,100*'A1 Inputs'!FL7/'A1 Inputs'!FK7),2)</f>
        <v/>
      </c>
      <c r="J129">
        <f>ROUND(IF('A1 Inputs'!FK8=0,0,100*'A1 Inputs'!FL8/'A1 Inputs'!FK8),2)</f>
        <v/>
      </c>
      <c r="K129">
        <f>ROUND(IF('A1 Inputs'!FK9=0,0,100*'A1 Inputs'!FL9/'A1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ROUND(IF('A1 Inputs'!AU4=0,0,100*ABS('A1 Inputs'!CI4-'A1 Inputs'!AU4)/'A1 Inputs'!AU4),2)</f>
        <v/>
      </c>
      <c r="G130">
        <f>ROUND(IF('A1 Inputs'!AU5=0,0,100*ABS('A1 Inputs'!CI5-'A1 Inputs'!AU5)/'A1 Inputs'!AU5),2)</f>
        <v/>
      </c>
      <c r="H130">
        <f>ROUND(IF('A1 Inputs'!AU6=0,0,100*ABS('A1 Inputs'!CI6-'A1 Inputs'!AU6)/'A1 Inputs'!AU6),2)</f>
        <v/>
      </c>
      <c r="I130">
        <f>ROUND(IF('A1 Inputs'!AU7=0,0,100*ABS('A1 Inputs'!CI7-'A1 Inputs'!AU7)/'A1 Inputs'!AU7),2)</f>
        <v/>
      </c>
      <c r="J130">
        <f>ROUND(IF('A1 Inputs'!AU8=0,0,100*ABS('A1 Inputs'!CI8-'A1 Inputs'!AU8)/'A1 Inputs'!AU8),2)</f>
        <v/>
      </c>
      <c r="K130">
        <f>ROUND(IF('A1 Inputs'!AU9=0,0,100*ABS('A1 Inputs'!CI9-'A1 Inputs'!AU9)/'A1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ROUND(IF('A1 Inputs'!FV4=0,0,100*('A1 Inputs'!CH4-'A1 Inputs'!FV4)/'A1 Inputs'!FV4),2)</f>
        <v/>
      </c>
      <c r="G131">
        <f>ROUND(IF('A1 Inputs'!FV5=0,0,100*('A1 Inputs'!CH5-'A1 Inputs'!FV5)/'A1 Inputs'!FV5),2)</f>
        <v/>
      </c>
      <c r="H131">
        <f>ROUND(IF('A1 Inputs'!FV6=0,0,100*('A1 Inputs'!CH6-'A1 Inputs'!FV6)/'A1 Inputs'!FV6),2)</f>
        <v/>
      </c>
      <c r="I131">
        <f>ROUND(IF('A1 Inputs'!FV7=0,0,100*('A1 Inputs'!CH7-'A1 Inputs'!FV7)/'A1 Inputs'!FV7),2)</f>
        <v/>
      </c>
      <c r="J131">
        <f>ROUND(IF('A1 Inputs'!FV8=0,0,100*('A1 Inputs'!CH8-'A1 Inputs'!FV8)/'A1 Inputs'!FV8),2)</f>
        <v/>
      </c>
      <c r="K131">
        <f>ROUND(IF('A1 Inputs'!FV9=0,0,100*('A1 Inputs'!CH9-'A1 Inputs'!FV9)/'A1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ROUND('A1 Inputs'!FM4,2)</f>
        <v/>
      </c>
      <c r="G133">
        <f>ROUND('A1 Inputs'!FM5,2)</f>
        <v/>
      </c>
      <c r="H133">
        <f>ROUND('A1 Inputs'!FM6,2)</f>
        <v/>
      </c>
      <c r="I133">
        <f>ROUND('A1 Inputs'!FM7,2)</f>
        <v/>
      </c>
      <c r="J133">
        <f>ROUND('A1 Inputs'!FM8,2)</f>
        <v/>
      </c>
      <c r="K133">
        <f>ROUND('A1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ROUND('A1 Inputs'!FN4,2)</f>
        <v/>
      </c>
      <c r="G134">
        <f>ROUND('A1 Inputs'!FN5,2)</f>
        <v/>
      </c>
      <c r="H134">
        <f>ROUND('A1 Inputs'!FN6,2)</f>
        <v/>
      </c>
      <c r="I134">
        <f>ROUND('A1 Inputs'!FN7,2)</f>
        <v/>
      </c>
      <c r="J134">
        <f>ROUND('A1 Inputs'!FN8,2)</f>
        <v/>
      </c>
      <c r="K134">
        <f>ROUND('A1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ROUND('A1 Inputs'!FO4,2)</f>
        <v/>
      </c>
      <c r="G135">
        <f>ROUND('A1 Inputs'!FO5,2)</f>
        <v/>
      </c>
      <c r="H135">
        <f>ROUND('A1 Inputs'!FO6,2)</f>
        <v/>
      </c>
      <c r="I135">
        <f>ROUND('A1 Inputs'!FO7,2)</f>
        <v/>
      </c>
      <c r="J135">
        <f>ROUND('A1 Inputs'!FO8,2)</f>
        <v/>
      </c>
      <c r="K135">
        <f>ROUND('A1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ROUND(IF('A1 Inputs'!FP4=0,0,'A1 Inputs'!FQ4/'A1 Inputs'!FP4),2)</f>
        <v/>
      </c>
      <c r="G136">
        <f>ROUND(IF('A1 Inputs'!FP5=0,0,'A1 Inputs'!FQ5/'A1 Inputs'!FP5),2)</f>
        <v/>
      </c>
      <c r="H136">
        <f>ROUND(IF('A1 Inputs'!FP6=0,0,'A1 Inputs'!FQ6/'A1 Inputs'!FP6),2)</f>
        <v/>
      </c>
      <c r="I136">
        <f>ROUND(IF('A1 Inputs'!FP7=0,0,'A1 Inputs'!FQ7/'A1 Inputs'!FP7),2)</f>
        <v/>
      </c>
      <c r="J136">
        <f>ROUND(IF('A1 Inputs'!FP8=0,0,'A1 Inputs'!FQ8/'A1 Inputs'!FP8),2)</f>
        <v/>
      </c>
      <c r="K136">
        <f>ROUND(IF('A1 Inputs'!FP9=0,0,'A1 Inputs'!FQ9/'A1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ROUND('A1 Inputs'!FR4,2)</f>
        <v/>
      </c>
      <c r="G137">
        <f>ROUND('A1 Inputs'!FR5,2)</f>
        <v/>
      </c>
      <c r="H137">
        <f>ROUND('A1 Inputs'!FR6,2)</f>
        <v/>
      </c>
      <c r="I137">
        <f>ROUND('A1 Inputs'!FR7,2)</f>
        <v/>
      </c>
      <c r="J137">
        <f>ROUND('A1 Inputs'!FR8,2)</f>
        <v/>
      </c>
      <c r="K137">
        <f>ROUND('A1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ROUND(SUM('A1 Inputs'!FS4:FS4),2)</f>
        <v/>
      </c>
      <c r="G138">
        <f>ROUND(SUM('A1 Inputs'!FS4:FS5),2)</f>
        <v/>
      </c>
      <c r="H138">
        <f>ROUND(SUM('A1 Inputs'!FS4:FS6),2)</f>
        <v/>
      </c>
      <c r="I138">
        <f>ROUND(SUM('A1 Inputs'!FS5:FS7),2)</f>
        <v/>
      </c>
      <c r="J138">
        <f>ROUND(SUM('A1 Inputs'!FS6:FS8),2)</f>
        <v/>
      </c>
      <c r="K138">
        <f>ROUND(SUM('A1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SUM('A1 Inputs'!FU$4:FU4)&amp;" of "&amp;SUM('A1 Inputs'!FT$4:FT4)</f>
        <v/>
      </c>
      <c r="G139">
        <f>SUM('A1 Inputs'!FU$4:FU5)&amp;" of "&amp;SUM('A1 Inputs'!FT$4:FT5)</f>
        <v/>
      </c>
      <c r="H139">
        <f>SUM('A1 Inputs'!FU$4:FU6)&amp;" of "&amp;SUM('A1 Inputs'!FT$4:FT6)</f>
        <v/>
      </c>
      <c r="I139">
        <f>SUM('A1 Inputs'!FU$4:FU7)&amp;" of "&amp;SUM('A1 Inputs'!FT$4:FT7)</f>
        <v/>
      </c>
      <c r="J139">
        <f>SUM('A1 Inputs'!FU$4:FU8)&amp;" of "&amp;SUM('A1 Inputs'!FT$4:FT8)</f>
        <v/>
      </c>
      <c r="K139">
        <f>SUM('A1 Inputs'!FU$4:FU9)&amp;" of "&amp;SUM('A1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ROUND(IF('A1 Inputs'!CQ4=0,0,('A1 Inputs'!CR4-'A1 Inputs'!CS4)/'A1 Inputs'!CQ4),2)</f>
        <v/>
      </c>
      <c r="G140">
        <f>ROUND(IF('A1 Inputs'!CQ5=0,0,('A1 Inputs'!CR5-'A1 Inputs'!CS5)/'A1 Inputs'!CQ5),2)</f>
        <v/>
      </c>
      <c r="H140">
        <f>ROUND(IF('A1 Inputs'!CQ6=0,0,('A1 Inputs'!CR6-'A1 Inputs'!CS6)/'A1 Inputs'!CQ6),2)</f>
        <v/>
      </c>
      <c r="I140">
        <f>ROUND(IF('A1 Inputs'!CQ7=0,0,('A1 Inputs'!CR7-'A1 Inputs'!CS7)/'A1 Inputs'!CQ7),2)</f>
        <v/>
      </c>
      <c r="J140">
        <f>ROUND(IF('A1 Inputs'!CQ8=0,0,('A1 Inputs'!CR8-'A1 Inputs'!CS8)/'A1 Inputs'!CQ8),2)</f>
        <v/>
      </c>
      <c r="K140">
        <f>ROUND(IF('A1 Inputs'!CQ9=0,0,('A1 Inputs'!CR9-'A1 Inputs'!CS9)/'A1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ROUND('A1 Inputs'!CT4,2)</f>
        <v/>
      </c>
      <c r="G141">
        <f>ROUND('A1 Inputs'!CT5,2)</f>
        <v/>
      </c>
      <c r="H141">
        <f>ROUND('A1 Inputs'!CT6,2)</f>
        <v/>
      </c>
      <c r="I141">
        <f>ROUND('A1 Inputs'!CT7,2)</f>
        <v/>
      </c>
      <c r="J141">
        <f>ROUND('A1 Inputs'!CT8,2)</f>
        <v/>
      </c>
      <c r="K141">
        <f>ROUND('A1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IF('A1 Inputs'!FZ4&lt;0,"Triggered","Not triggered")</f>
        <v/>
      </c>
      <c r="G142">
        <f>IF('A1 Inputs'!FZ5&lt;0,"Triggered","Not triggered")</f>
        <v/>
      </c>
      <c r="H142">
        <f>IF('A1 Inputs'!FZ6&lt;0,"Triggered","Not triggered")</f>
        <v/>
      </c>
      <c r="I142">
        <f>IF('A1 Inputs'!FZ7&lt;0,"Triggered","Not triggered")</f>
        <v/>
      </c>
      <c r="J142">
        <f>IF('A1 Inputs'!FZ8&lt;0,"Triggered","Not triggered")</f>
        <v/>
      </c>
      <c r="K142">
        <f>IF('A1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IF('A1 Inputs'!GG4&gt;=-1,"Low",IF('A1 Inputs'!GG4&gt;=-3,"Medium","High"))&amp;" ("&amp;ROUND('A1 Inputs'!GG4,1)&amp;"% vs plan price)"</f>
        <v/>
      </c>
      <c r="G143">
        <f>IF('A1 Inputs'!GG5&gt;=-1,"Low",IF('A1 Inputs'!GG5&gt;=-3,"Medium","High"))&amp;" ("&amp;ROUND('A1 Inputs'!GG5,1)&amp;"% vs plan price)"</f>
        <v/>
      </c>
      <c r="H143">
        <f>IF('A1 Inputs'!GG6&gt;=-1,"Low",IF('A1 Inputs'!GG6&gt;=-3,"Medium","High"))&amp;" ("&amp;ROUND('A1 Inputs'!GG6,1)&amp;"% vs plan price)"</f>
        <v/>
      </c>
      <c r="I143">
        <f>IF('A1 Inputs'!GG7&gt;=-1,"Low",IF('A1 Inputs'!GG7&gt;=-3,"Medium","High"))&amp;" ("&amp;ROUND('A1 Inputs'!GG7,1)&amp;"% vs plan price)"</f>
        <v/>
      </c>
      <c r="J143">
        <f>IF('A1 Inputs'!GG8&gt;=-1,"Low",IF('A1 Inputs'!GG8&gt;=-3,"Medium","High"))&amp;" ("&amp;ROUND('A1 Inputs'!GG8,1)&amp;"% vs plan price)"</f>
        <v/>
      </c>
      <c r="K143">
        <f>IF('A1 Inputs'!GG9&gt;=-1,"Low",IF('A1 Inputs'!GG9&gt;=-3,"Medium","High"))&amp;" ("&amp;ROUND('A1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ROUND('A1 Inputs'!BS4,2)</f>
        <v/>
      </c>
      <c r="G144">
        <f>ROUND('A1 Inputs'!BS5,2)</f>
        <v/>
      </c>
      <c r="H144">
        <f>ROUND('A1 Inputs'!BS6,2)</f>
        <v/>
      </c>
      <c r="I144">
        <f>ROUND('A1 Inputs'!BS7,2)</f>
        <v/>
      </c>
      <c r="J144">
        <f>ROUND('A1 Inputs'!BS8,2)</f>
        <v/>
      </c>
      <c r="K144">
        <f>ROUND('A1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ROUND(100*NORM.DIST('A1 Inputs'!BT4,'A1 Inputs'!BU4,SQRT('A1 Inputs'!BV4),TRUE),2)</f>
        <v/>
      </c>
      <c r="G145">
        <f>ROUND(100*NORM.DIST('A1 Inputs'!BT5,'A1 Inputs'!BU5,SQRT('A1 Inputs'!BV5),TRUE),2)</f>
        <v/>
      </c>
      <c r="H145">
        <f>ROUND(100*NORM.DIST('A1 Inputs'!BT6,'A1 Inputs'!BU6,SQRT('A1 Inputs'!BV6),TRUE),2)</f>
        <v/>
      </c>
      <c r="I145">
        <f>ROUND(100*NORM.DIST('A1 Inputs'!BT7,'A1 Inputs'!BU7,SQRT('A1 Inputs'!BV7),TRUE),2)</f>
        <v/>
      </c>
      <c r="J145">
        <f>ROUND(100*NORM.DIST('A1 Inputs'!BT8,'A1 Inputs'!BU8,SQRT('A1 Inputs'!BV8),TRUE),2)</f>
        <v/>
      </c>
      <c r="K145">
        <f>ROUND(100*NORM.DIST('A1 Inputs'!BT9,'A1 Inputs'!BU9,SQRT('A1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ROUND(('A1 Inputs'!CU4-'A1 Inputs'!CV4)/1000,2)</f>
        <v/>
      </c>
      <c r="G146">
        <f>ROUND(('A1 Inputs'!CU5-'A1 Inputs'!CV5)/1000,2)</f>
        <v/>
      </c>
      <c r="H146">
        <f>ROUND(('A1 Inputs'!CU6-'A1 Inputs'!CV6)/1000,2)</f>
        <v/>
      </c>
      <c r="I146">
        <f>ROUND(('A1 Inputs'!CU7-'A1 Inputs'!CV7)/1000,2)</f>
        <v/>
      </c>
      <c r="J146">
        <f>ROUND(('A1 Inputs'!CU8-'A1 Inputs'!CV8)/1000,2)</f>
        <v/>
      </c>
      <c r="K146">
        <f>ROUND(('A1 Inputs'!CU9-'A1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IF('A1 Inputs'!CC4+'A1 Inputs'!CD4+'A1 Inputs'!CW4&gt;=0,"None within 90 d",ROUND(('A1 Inputs'!CC4+'A1 Inputs'!CD4+'A1 Inputs'!CW4)/1000,1))</f>
        <v/>
      </c>
      <c r="G147">
        <f>IF('A1 Inputs'!CC5+'A1 Inputs'!CD5+'A1 Inputs'!CW5&gt;=0,"None within 90 d",ROUND(('A1 Inputs'!CC5+'A1 Inputs'!CD5+'A1 Inputs'!CW5)/1000,1))</f>
        <v/>
      </c>
      <c r="H147">
        <f>IF('A1 Inputs'!CC6+'A1 Inputs'!CD6+'A1 Inputs'!CW6&gt;=0,"None within 90 d",ROUND(('A1 Inputs'!CC6+'A1 Inputs'!CD6+'A1 Inputs'!CW6)/1000,1))</f>
        <v/>
      </c>
      <c r="I147">
        <f>IF('A1 Inputs'!CC7+'A1 Inputs'!CD7+'A1 Inputs'!CW7&gt;=0,"None within 90 d",ROUND(('A1 Inputs'!CC7+'A1 Inputs'!CD7+'A1 Inputs'!CW7)/1000,1))</f>
        <v/>
      </c>
      <c r="J147">
        <f>IF('A1 Inputs'!CC8+'A1 Inputs'!CD8+'A1 Inputs'!CW8&gt;=0,"None within 90 d",ROUND(('A1 Inputs'!CC8+'A1 Inputs'!CD8+'A1 Inputs'!CW8)/1000,1))</f>
        <v/>
      </c>
      <c r="K147">
        <f>IF('A1 Inputs'!CC9+'A1 Inputs'!CD9+'A1 Inputs'!CW9&gt;=0,"None within 90 d",ROUND(('A1 Inputs'!CC9+'A1 Inputs'!CD9+'A1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IF('A1 Inputs'!CY4=0,"No forecast",IF('A1 Inputs'!CX4/'A1 Inputs'!CY4&gt;Parameters!$B$4,"Breach forecast","Not forecast"))</f>
        <v/>
      </c>
      <c r="G148">
        <f>IF('A1 Inputs'!CY5=0,"No forecast",IF('A1 Inputs'!CX5/'A1 Inputs'!CY5&gt;Parameters!$B$4,"Breach forecast","Not forecast"))</f>
        <v/>
      </c>
      <c r="H148">
        <f>IF('A1 Inputs'!CY6=0,"No forecast",IF('A1 Inputs'!CX6/'A1 Inputs'!CY6&gt;Parameters!$B$4,"Breach forecast","Not forecast"))</f>
        <v/>
      </c>
      <c r="I148">
        <f>IF('A1 Inputs'!CY7=0,"No forecast",IF('A1 Inputs'!CX7/'A1 Inputs'!CY7&gt;Parameters!$B$4,"Breach forecast","Not forecast"))</f>
        <v/>
      </c>
      <c r="J148">
        <f>IF('A1 Inputs'!CY8=0,"No forecast",IF('A1 Inputs'!CX8/'A1 Inputs'!CY8&gt;Parameters!$B$4,"Breach forecast","Not forecast"))</f>
        <v/>
      </c>
      <c r="K148">
        <f>IF('A1 Inputs'!CY9=0,"No forecast",IF('A1 Inputs'!CX9/'A1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ROUND('A1 Inputs'!BX4/1000,2)</f>
        <v/>
      </c>
      <c r="G149">
        <f>ROUND('A1 Inputs'!BX5/1000,2)</f>
        <v/>
      </c>
      <c r="H149">
        <f>ROUND('A1 Inputs'!BX6/1000,2)</f>
        <v/>
      </c>
      <c r="I149">
        <f>ROUND('A1 Inputs'!BX7/1000,2)</f>
        <v/>
      </c>
      <c r="J149">
        <f>ROUND('A1 Inputs'!BX8/1000,2)</f>
        <v/>
      </c>
      <c r="K149">
        <f>ROUND('A1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ROUND(100*NORM.DIST(0.78*'A1 Inputs'!BW4,'A1 Inputs'!BU4,SQRT('A1 Inputs'!BV4),TRUE),2)</f>
        <v/>
      </c>
      <c r="G150">
        <f>ROUND(100*NORM.DIST(0.78*'A1 Inputs'!BW5,'A1 Inputs'!BU5,SQRT('A1 Inputs'!BV5),TRUE),2)</f>
        <v/>
      </c>
      <c r="H150">
        <f>ROUND(100*NORM.DIST(0.78*'A1 Inputs'!BW6,'A1 Inputs'!BU6,SQRT('A1 Inputs'!BV6),TRUE),2)</f>
        <v/>
      </c>
      <c r="I150">
        <f>ROUND(100*NORM.DIST(0.78*'A1 Inputs'!BW7,'A1 Inputs'!BU7,SQRT('A1 Inputs'!BV7),TRUE),2)</f>
        <v/>
      </c>
      <c r="J150">
        <f>ROUND(100*NORM.DIST(0.78*'A1 Inputs'!BW8,'A1 Inputs'!BU8,SQRT('A1 Inputs'!BV8),TRUE),2)</f>
        <v/>
      </c>
      <c r="K150">
        <f>ROUND(100*NORM.DIST(0.78*'A1 Inputs'!BW9,'A1 Inputs'!BU9,SQRT('A1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ROUND(SUM('A1 Inputs'!X$4:X4)/1000,2)</f>
        <v/>
      </c>
      <c r="G151">
        <f>ROUND(SUM('A1 Inputs'!X$4:X5)/1000,2)</f>
        <v/>
      </c>
      <c r="H151">
        <f>ROUND(SUM('A1 Inputs'!X$4:X6)/1000,2)</f>
        <v/>
      </c>
      <c r="I151">
        <f>ROUND(SUM('A1 Inputs'!X$4:X7)/1000,2)</f>
        <v/>
      </c>
      <c r="J151">
        <f>ROUND(SUM('A1 Inputs'!X$4:X8)/1000,2)</f>
        <v/>
      </c>
      <c r="K151">
        <f>ROUND(SUM('A1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ROUND((SUM('A1 Inputs'!GA$4:GA4)+'A1 Inputs'!GJ4-'A1 Inputs'!GI4)/1000,2)</f>
        <v/>
      </c>
      <c r="G152">
        <f>ROUND((SUM('A1 Inputs'!GA$4:GA5)+'A1 Inputs'!GJ5-'A1 Inputs'!GI5)/1000,2)</f>
        <v/>
      </c>
      <c r="H152">
        <f>ROUND((SUM('A1 Inputs'!GA$4:GA6)+'A1 Inputs'!GJ6-'A1 Inputs'!GI6)/1000,2)</f>
        <v/>
      </c>
      <c r="I152">
        <f>ROUND((SUM('A1 Inputs'!GA$4:GA7)+'A1 Inputs'!GJ7-'A1 Inputs'!GI7)/1000,2)</f>
        <v/>
      </c>
      <c r="J152">
        <f>ROUND((SUM('A1 Inputs'!GA$4:GA8)+'A1 Inputs'!GJ8-'A1 Inputs'!GI8)/1000,2)</f>
        <v/>
      </c>
      <c r="K152">
        <f>ROUND((SUM('A1 Inputs'!GA$4:GA9)+'A1 Inputs'!GJ9-'A1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ROUND(IF('A1 Inputs'!GL4=0,0,100*(SUM('A1 Inputs'!FW$4:FW4)+'A1 Inputs'!GK4)/'A1 Inputs'!GL4),2)</f>
        <v/>
      </c>
      <c r="G153">
        <f>ROUND(IF('A1 Inputs'!GL5=0,0,100*(SUM('A1 Inputs'!FW$4:FW5)+'A1 Inputs'!GK5)/'A1 Inputs'!GL5),2)</f>
        <v/>
      </c>
      <c r="H153">
        <f>ROUND(IF('A1 Inputs'!GL6=0,0,100*(SUM('A1 Inputs'!FW$4:FW6)+'A1 Inputs'!GK6)/'A1 Inputs'!GL6),2)</f>
        <v/>
      </c>
      <c r="I153">
        <f>ROUND(IF('A1 Inputs'!GL7=0,0,100*(SUM('A1 Inputs'!FW$4:FW7)+'A1 Inputs'!GK7)/'A1 Inputs'!GL7),2)</f>
        <v/>
      </c>
      <c r="J153">
        <f>ROUND(IF('A1 Inputs'!GL8=0,0,100*(SUM('A1 Inputs'!FW$4:FW8)+'A1 Inputs'!GK8)/'A1 Inputs'!GL8),2)</f>
        <v/>
      </c>
      <c r="K153">
        <f>ROUND(IF('A1 Inputs'!GL9=0,0,100*(SUM('A1 Inputs'!FW$4:FW9)+'A1 Inputs'!GK9)/'A1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ROUND(IF('A1 Inputs'!GH4=0,0,SUM('A1 Inputs'!AU$4:AU4)/'A1 Inputs'!GH4/1000),3)</f>
        <v/>
      </c>
      <c r="G154">
        <f>ROUND(IF('A1 Inputs'!GH5=0,0,SUM('A1 Inputs'!AU$4:AU5)/'A1 Inputs'!GH5/1000),3)</f>
        <v/>
      </c>
      <c r="H154">
        <f>ROUND(IF('A1 Inputs'!GH6=0,0,SUM('A1 Inputs'!AU$4:AU6)/'A1 Inputs'!GH6/1000),3)</f>
        <v/>
      </c>
      <c r="I154">
        <f>ROUND(IF('A1 Inputs'!GH7=0,0,SUM('A1 Inputs'!AU$4:AU7)/'A1 Inputs'!GH7/1000),3)</f>
        <v/>
      </c>
      <c r="J154">
        <f>ROUND(IF('A1 Inputs'!GH8=0,0,SUM('A1 Inputs'!AU$4:AU8)/'A1 Inputs'!GH8/1000),3)</f>
        <v/>
      </c>
      <c r="K154">
        <f>ROUND(IF('A1 Inputs'!GH9=0,0,SUM('A1 Inputs'!AU$4:AU9)/'A1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ROUND(IF('A1 Inputs'!GH4=0,0,'A1 Inputs'!M4/'A1 Inputs'!GH4),1)</f>
        <v/>
      </c>
      <c r="G155">
        <f>ROUND(IF('A1 Inputs'!GH5=0,0,'A1 Inputs'!M5/'A1 Inputs'!GH5),1)</f>
        <v/>
      </c>
      <c r="H155">
        <f>ROUND(IF('A1 Inputs'!GH6=0,0,'A1 Inputs'!M6/'A1 Inputs'!GH6),1)</f>
        <v/>
      </c>
      <c r="I155">
        <f>ROUND(IF('A1 Inputs'!GH7=0,0,'A1 Inputs'!M7/'A1 Inputs'!GH7),1)</f>
        <v/>
      </c>
      <c r="J155">
        <f>ROUND(IF('A1 Inputs'!GH8=0,0,'A1 Inputs'!M8/'A1 Inputs'!GH8),1)</f>
        <v/>
      </c>
      <c r="K155">
        <f>ROUND(IF('A1 Inputs'!GH9=0,0,'A1 Inputs'!M9/'A1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ROUND(100*NORM.DIST('A1 Inputs'!GM4,SUM('A1 Inputs'!FV$4:FV4)+'A1 Inputs'!CU4,'A1 Inputs'!GN4,TRUE),2)</f>
        <v/>
      </c>
      <c r="G156">
        <f>ROUND(100*NORM.DIST('A1 Inputs'!GM5,SUM('A1 Inputs'!FV$4:FV5)+'A1 Inputs'!CU5,'A1 Inputs'!GN5,TRUE),2)</f>
        <v/>
      </c>
      <c r="H156">
        <f>ROUND(100*NORM.DIST('A1 Inputs'!GM6,SUM('A1 Inputs'!FV$4:FV6)+'A1 Inputs'!CU6,'A1 Inputs'!GN6,TRUE),2)</f>
        <v/>
      </c>
      <c r="I156">
        <f>ROUND(100*NORM.DIST('A1 Inputs'!GM7,SUM('A1 Inputs'!FV$4:FV7)+'A1 Inputs'!CU7,'A1 Inputs'!GN7,TRUE),2)</f>
        <v/>
      </c>
      <c r="J156">
        <f>ROUND(100*NORM.DIST('A1 Inputs'!GM8,SUM('A1 Inputs'!FV$4:FV8)+'A1 Inputs'!CU8,'A1 Inputs'!GN8,TRUE),2)</f>
        <v/>
      </c>
      <c r="K156">
        <f>ROUND(100*NORM.DIST('A1 Inputs'!GM9,SUM('A1 Inputs'!FV$4:FV9)+'A1 Inputs'!CU9,'A1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ROUND('A1 Inputs'!GO4,0)</f>
        <v/>
      </c>
      <c r="G157">
        <f>ROUND('A1 Inputs'!GO5,0)</f>
        <v/>
      </c>
      <c r="H157">
        <f>ROUND('A1 Inputs'!GO6,0)</f>
        <v/>
      </c>
      <c r="I157">
        <f>ROUND('A1 Inputs'!GO7,0)</f>
        <v/>
      </c>
      <c r="J157">
        <f>ROUND('A1 Inputs'!GO8,0)</f>
        <v/>
      </c>
      <c r="K157">
        <f>ROUND('A1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ROUND('A1 Inputs'!GP4,0)</f>
        <v/>
      </c>
      <c r="G158">
        <f>ROUND('A1 Inputs'!GP5,0)</f>
        <v/>
      </c>
      <c r="H158">
        <f>ROUND('A1 Inputs'!GP6,0)</f>
        <v/>
      </c>
      <c r="I158">
        <f>ROUND('A1 Inputs'!GP7,0)</f>
        <v/>
      </c>
      <c r="J158">
        <f>ROUND('A1 Inputs'!GP8,0)</f>
        <v/>
      </c>
      <c r="K158">
        <f>ROUND('A1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ROUND(IF('A1 Inputs'!GQ4=0,0,100*('A1 Inputs'!GQ4/'A1 Inputs'!GQ4-1)),2)</f>
        <v/>
      </c>
      <c r="G159">
        <f>ROUND(IF('A1 Inputs'!GQ4=0,0,100*('A1 Inputs'!GQ5/'A1 Inputs'!GQ4-1)),2)</f>
        <v/>
      </c>
      <c r="H159">
        <f>ROUND(IF('A1 Inputs'!GQ5=0,0,100*('A1 Inputs'!GQ6/'A1 Inputs'!GQ5-1)),2)</f>
        <v/>
      </c>
      <c r="I159">
        <f>ROUND(IF('A1 Inputs'!GQ6=0,0,100*('A1 Inputs'!GQ7/'A1 Inputs'!GQ6-1)),2)</f>
        <v/>
      </c>
      <c r="J159">
        <f>ROUND(IF('A1 Inputs'!GQ7=0,0,100*('A1 Inputs'!GQ8/'A1 Inputs'!GQ7-1)),2)</f>
        <v/>
      </c>
      <c r="K159">
        <f>ROUND(IF('A1 Inputs'!GQ8=0,0,100*('A1 Inputs'!GQ9/'A1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ROUND('A1 Inputs'!GR4,0)</f>
        <v/>
      </c>
      <c r="G160">
        <f>ROUND('A1 Inputs'!GR5,0)</f>
        <v/>
      </c>
      <c r="H160">
        <f>ROUND('A1 Inputs'!GR6,0)</f>
        <v/>
      </c>
      <c r="I160">
        <f>ROUND('A1 Inputs'!GR7,0)</f>
        <v/>
      </c>
      <c r="J160">
        <f>ROUND('A1 Inputs'!GR8,0)</f>
        <v/>
      </c>
      <c r="K160">
        <f>ROUND('A1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ROUND(IF(OR('A1 Inputs'!M4=0,'A1 Inputs'!W4=0,'A1 Inputs'!M4=0),0,100*(('A1 Inputs'!W4/'A1 Inputs'!M4)/('A1 Inputs'!W4/'A1 Inputs'!M4)-1)),2)</f>
        <v/>
      </c>
      <c r="G161">
        <f>ROUND(IF(OR('A1 Inputs'!M4=0,'A1 Inputs'!W4=0,'A1 Inputs'!M5=0),0,100*(('A1 Inputs'!W5/'A1 Inputs'!M5)/('A1 Inputs'!W4/'A1 Inputs'!M4)-1)),2)</f>
        <v/>
      </c>
      <c r="H161">
        <f>ROUND(IF(OR('A1 Inputs'!M5=0,'A1 Inputs'!W5=0,'A1 Inputs'!M6=0),0,100*(('A1 Inputs'!W6/'A1 Inputs'!M6)/('A1 Inputs'!W5/'A1 Inputs'!M5)-1)),2)</f>
        <v/>
      </c>
      <c r="I161">
        <f>ROUND(IF(OR('A1 Inputs'!M6=0,'A1 Inputs'!W6=0,'A1 Inputs'!M7=0),0,100*(('A1 Inputs'!W7/'A1 Inputs'!M7)/('A1 Inputs'!W6/'A1 Inputs'!M6)-1)),2)</f>
        <v/>
      </c>
      <c r="J161">
        <f>ROUND(IF(OR('A1 Inputs'!M7=0,'A1 Inputs'!W7=0,'A1 Inputs'!M8=0),0,100*(('A1 Inputs'!W8/'A1 Inputs'!M8)/('A1 Inputs'!W7/'A1 Inputs'!M7)-1)),2)</f>
        <v/>
      </c>
      <c r="K161">
        <f>ROUND(IF(OR('A1 Inputs'!M8=0,'A1 Inputs'!W8=0,'A1 Inputs'!M9=0),0,100*(('A1 Inputs'!W9/'A1 Inputs'!M9)/('A1 Inputs'!W8/'A1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ROUND(IF(OR('A1 Inputs'!M4=0,'A1 Inputs'!AW4=0,'A1 Inputs'!M4=0),0,100*(('A1 Inputs'!AW4/'A1 Inputs'!M4)/('A1 Inputs'!AW4/'A1 Inputs'!M4)-1)),2)</f>
        <v/>
      </c>
      <c r="G162">
        <f>ROUND(IF(OR('A1 Inputs'!M4=0,'A1 Inputs'!AW4=0,'A1 Inputs'!M5=0),0,100*(('A1 Inputs'!AW5/'A1 Inputs'!M5)/('A1 Inputs'!AW4/'A1 Inputs'!M4)-1)),2)</f>
        <v/>
      </c>
      <c r="H162">
        <f>ROUND(IF(OR('A1 Inputs'!M5=0,'A1 Inputs'!AW5=0,'A1 Inputs'!M6=0),0,100*(('A1 Inputs'!AW6/'A1 Inputs'!M6)/('A1 Inputs'!AW5/'A1 Inputs'!M5)-1)),2)</f>
        <v/>
      </c>
      <c r="I162">
        <f>ROUND(IF(OR('A1 Inputs'!M6=0,'A1 Inputs'!AW6=0,'A1 Inputs'!M7=0),0,100*(('A1 Inputs'!AW7/'A1 Inputs'!M7)/('A1 Inputs'!AW6/'A1 Inputs'!M6)-1)),2)</f>
        <v/>
      </c>
      <c r="J162">
        <f>ROUND(IF(OR('A1 Inputs'!M7=0,'A1 Inputs'!AW7=0,'A1 Inputs'!M8=0),0,100*(('A1 Inputs'!AW8/'A1 Inputs'!M8)/('A1 Inputs'!AW7/'A1 Inputs'!M7)-1)),2)</f>
        <v/>
      </c>
      <c r="K162">
        <f>ROUND(IF(OR('A1 Inputs'!M8=0,'A1 Inputs'!AW8=0,'A1 Inputs'!M9=0),0,100*(('A1 Inputs'!AW9/'A1 Inputs'!M9)/('A1 Inputs'!AW8/'A1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ROUND(IFERROR(100*'A2 Inputs'!M4/'A2 Inputs'!K4,0),2)</f>
        <v/>
      </c>
      <c r="G2">
        <f>ROUND(IFERROR(100*'A2 Inputs'!M5/'A2 Inputs'!K5,0),2)</f>
        <v/>
      </c>
      <c r="H2">
        <f>ROUND(IFERROR(100*'A2 Inputs'!M6/'A2 Inputs'!K6,0),2)</f>
        <v/>
      </c>
      <c r="I2">
        <f>ROUND(IFERROR(100*'A2 Inputs'!M7/'A2 Inputs'!K7,0),2)</f>
        <v/>
      </c>
      <c r="J2">
        <f>ROUND(IFERROR(100*'A2 Inputs'!M8/'A2 Inputs'!K8,0),2)</f>
        <v/>
      </c>
      <c r="K2">
        <f>ROUND(IFERROR(100*'A2 Inputs'!M9/'A2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ROUND(IFERROR(100*'A2 Inputs'!M4/'A2 Inputs'!J4,0),2)</f>
        <v/>
      </c>
      <c r="G3">
        <f>ROUND(IFERROR(100*'A2 Inputs'!M5/'A2 Inputs'!J5,0),2)</f>
        <v/>
      </c>
      <c r="H3">
        <f>ROUND(IFERROR(100*'A2 Inputs'!M6/'A2 Inputs'!J6,0),2)</f>
        <v/>
      </c>
      <c r="I3">
        <f>ROUND(IFERROR(100*'A2 Inputs'!M7/'A2 Inputs'!J7,0),2)</f>
        <v/>
      </c>
      <c r="J3">
        <f>ROUND(IFERROR(100*'A2 Inputs'!M8/'A2 Inputs'!J8,0),2)</f>
        <v/>
      </c>
      <c r="K3">
        <f>ROUND(IFERROR(100*'A2 Inputs'!M9/'A2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ROUND(IFERROR(100*'A2 Inputs'!G4/'A2 Inputs'!E4,0),2)</f>
        <v/>
      </c>
      <c r="G4">
        <f>ROUND(IFERROR(100*'A2 Inputs'!G5/'A2 Inputs'!E5,0),2)</f>
        <v/>
      </c>
      <c r="H4">
        <f>ROUND(IFERROR(100*'A2 Inputs'!G6/'A2 Inputs'!E6,0),2)</f>
        <v/>
      </c>
      <c r="I4">
        <f>ROUND(IFERROR(100*'A2 Inputs'!G7/'A2 Inputs'!E7,0),2)</f>
        <v/>
      </c>
      <c r="J4">
        <f>ROUND(IFERROR(100*'A2 Inputs'!G8/'A2 Inputs'!E8,0),2)</f>
        <v/>
      </c>
      <c r="K4">
        <f>ROUND(IFERROR(100*'A2 Inputs'!G9/'A2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ROUND(IFERROR(100*'A2 Inputs'!M4/'A2 Inputs'!I4,0),2)</f>
        <v/>
      </c>
      <c r="G5">
        <f>ROUND(IFERROR(100*'A2 Inputs'!M5/'A2 Inputs'!I5,0),2)</f>
        <v/>
      </c>
      <c r="H5">
        <f>ROUND(IFERROR(100*'A2 Inputs'!M6/'A2 Inputs'!I6,0),2)</f>
        <v/>
      </c>
      <c r="I5">
        <f>ROUND(IFERROR(100*'A2 Inputs'!M7/'A2 Inputs'!I7,0),2)</f>
        <v/>
      </c>
      <c r="J5">
        <f>ROUND(IFERROR(100*'A2 Inputs'!M8/'A2 Inputs'!I8,0),2)</f>
        <v/>
      </c>
      <c r="K5">
        <f>ROUND(IFERROR(100*'A2 Inputs'!M9/'A2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ROUND(IFERROR(100*'A2 Inputs'!P4/'A2 Inputs'!O4,0),2)</f>
        <v/>
      </c>
      <c r="G6">
        <f>ROUND(IFERROR(100*'A2 Inputs'!P5/'A2 Inputs'!O5,0),2)</f>
        <v/>
      </c>
      <c r="H6">
        <f>ROUND(IFERROR(100*'A2 Inputs'!P6/'A2 Inputs'!O6,0),2)</f>
        <v/>
      </c>
      <c r="I6">
        <f>ROUND(IFERROR(100*'A2 Inputs'!P7/'A2 Inputs'!O7,0),2)</f>
        <v/>
      </c>
      <c r="J6">
        <f>ROUND(IFERROR(100*'A2 Inputs'!P8/'A2 Inputs'!O8,0),2)</f>
        <v/>
      </c>
      <c r="K6">
        <f>ROUND(IFERROR(100*'A2 Inputs'!P9/'A2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ROUND(IFERROR(100*'A2 Inputs'!M4/'A2 Inputs'!N4,0),2)</f>
        <v/>
      </c>
      <c r="G7">
        <f>ROUND(IFERROR(100*'A2 Inputs'!M5/'A2 Inputs'!N5,0),2)</f>
        <v/>
      </c>
      <c r="H7">
        <f>ROUND(IFERROR(100*'A2 Inputs'!M6/'A2 Inputs'!N6,0),2)</f>
        <v/>
      </c>
      <c r="I7">
        <f>ROUND(IFERROR(100*'A2 Inputs'!M7/'A2 Inputs'!N7,0),2)</f>
        <v/>
      </c>
      <c r="J7">
        <f>ROUND(IFERROR(100*'A2 Inputs'!M8/'A2 Inputs'!N8,0),2)</f>
        <v/>
      </c>
      <c r="K7">
        <f>ROUND(IFERROR(100*'A2 Inputs'!M9/'A2 Inputs'!N9,0),2)</f>
        <v/>
      </c>
      <c r="L7" t="inlineStr">
        <is>
          <t>good_output_t, feed_input_t</t>
        </is>
      </c>
    </row>
    <row r="8">
      <c r="A8" t="inlineStr">
        <is>
          <t>REL-001</t>
        </is>
      </c>
      <c r="B8" t="inlineStr">
        <is>
          <t>MTBF</t>
        </is>
      </c>
      <c r="C8" t="inlineStr">
        <is>
          <t>h</t>
        </is>
      </c>
      <c r="D8" t="inlineStr">
        <is>
          <t>Month</t>
        </is>
      </c>
      <c r="E8" t="inlineStr">
        <is>
          <t>Run hours ÷ Breakdowns</t>
        </is>
      </c>
      <c r="F8">
        <f>ROUND(IFERROR('A2 Inputs'!G4/'A2 Inputs'!R4,0),2)</f>
        <v/>
      </c>
      <c r="G8">
        <f>ROUND(IFERROR('A2 Inputs'!G5/'A2 Inputs'!R5,0),2)</f>
        <v/>
      </c>
      <c r="H8">
        <f>ROUND(IFERROR('A2 Inputs'!G6/'A2 Inputs'!R6,0),2)</f>
        <v/>
      </c>
      <c r="I8">
        <f>ROUND(IFERROR('A2 Inputs'!G7/'A2 Inputs'!R7,0),2)</f>
        <v/>
      </c>
      <c r="J8">
        <f>ROUND(IFERROR('A2 Inputs'!G8/'A2 Inputs'!R8,0),2)</f>
        <v/>
      </c>
      <c r="K8">
        <f>ROUND(IFERROR('A2 Inputs'!G9/'A2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ROUND(IFERROR('A2 Inputs'!S4/'A2 Inputs'!R4,0),2)</f>
        <v/>
      </c>
      <c r="G9">
        <f>ROUND(IFERROR('A2 Inputs'!S5/'A2 Inputs'!R5,0),2)</f>
        <v/>
      </c>
      <c r="H9">
        <f>ROUND(IFERROR('A2 Inputs'!S6/'A2 Inputs'!R6,0),2)</f>
        <v/>
      </c>
      <c r="I9">
        <f>ROUND(IFERROR('A2 Inputs'!S7/'A2 Inputs'!R7,0),2)</f>
        <v/>
      </c>
      <c r="J9">
        <f>ROUND(IFERROR('A2 Inputs'!S8/'A2 Inputs'!R8,0),2)</f>
        <v/>
      </c>
      <c r="K9">
        <f>ROUND(IFERROR('A2 Inputs'!S9/'A2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ROUND('A2 Inputs'!H4,2)</f>
        <v/>
      </c>
      <c r="G10">
        <f>ROUND('A2 Inputs'!H5,2)</f>
        <v/>
      </c>
      <c r="H10">
        <f>ROUND('A2 Inputs'!H6,2)</f>
        <v/>
      </c>
      <c r="I10">
        <f>ROUND('A2 Inputs'!H7,2)</f>
        <v/>
      </c>
      <c r="J10">
        <f>ROUND('A2 Inputs'!H8,2)</f>
        <v/>
      </c>
      <c r="K10">
        <f>ROUND('A2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ROUND('A2 Inputs'!Q4,2)</f>
        <v/>
      </c>
      <c r="G11">
        <f>ROUND('A2 Inputs'!Q5,2)</f>
        <v/>
      </c>
      <c r="H11">
        <f>ROUND('A2 Inputs'!Q6,2)</f>
        <v/>
      </c>
      <c r="I11">
        <f>ROUND('A2 Inputs'!Q7,2)</f>
        <v/>
      </c>
      <c r="J11">
        <f>ROUND('A2 Inputs'!Q8,2)</f>
        <v/>
      </c>
      <c r="K11">
        <f>ROUND('A2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ROUND(IFERROR(100*'A2 Inputs'!U4/'A2 Inputs'!T4,0),2)</f>
        <v/>
      </c>
      <c r="G12">
        <f>ROUND(IFERROR(100*'A2 Inputs'!U5/'A2 Inputs'!T5,0),2)</f>
        <v/>
      </c>
      <c r="H12">
        <f>ROUND(IFERROR(100*'A2 Inputs'!U6/'A2 Inputs'!T6,0),2)</f>
        <v/>
      </c>
      <c r="I12">
        <f>ROUND(IFERROR(100*'A2 Inputs'!U7/'A2 Inputs'!T7,0),2)</f>
        <v/>
      </c>
      <c r="J12">
        <f>ROUND(IFERROR(100*'A2 Inputs'!U8/'A2 Inputs'!T8,0),2)</f>
        <v/>
      </c>
      <c r="K12">
        <f>ROUND(IFERROR(100*'A2 Inputs'!U9/'A2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ROUND(IFERROR(1000*('A2 Inputs'!V4+'A2 Inputs'!X4)/'A2 Inputs'!M4,0),2)</f>
        <v/>
      </c>
      <c r="G13">
        <f>ROUND(IFERROR(1000*('A2 Inputs'!V5+'A2 Inputs'!X5)/'A2 Inputs'!M5,0),2)</f>
        <v/>
      </c>
      <c r="H13">
        <f>ROUND(IFERROR(1000*('A2 Inputs'!V6+'A2 Inputs'!X6)/'A2 Inputs'!M6,0),2)</f>
        <v/>
      </c>
      <c r="I13">
        <f>ROUND(IFERROR(1000*('A2 Inputs'!V7+'A2 Inputs'!X7)/'A2 Inputs'!M7,0),2)</f>
        <v/>
      </c>
      <c r="J13">
        <f>ROUND(IFERROR(1000*('A2 Inputs'!V8+'A2 Inputs'!X8)/'A2 Inputs'!M8,0),2)</f>
        <v/>
      </c>
      <c r="K13">
        <f>ROUND(IFERROR(1000*('A2 Inputs'!V9+'A2 Inputs'!X9)/'A2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ROUND('A2 Inputs'!V4,2)</f>
        <v/>
      </c>
      <c r="G14">
        <f>ROUND('A2 Inputs'!V5,2)</f>
        <v/>
      </c>
      <c r="H14">
        <f>ROUND('A2 Inputs'!V6,2)</f>
        <v/>
      </c>
      <c r="I14">
        <f>ROUND('A2 Inputs'!V7,2)</f>
        <v/>
      </c>
      <c r="J14">
        <f>ROUND('A2 Inputs'!V8,2)</f>
        <v/>
      </c>
      <c r="K14">
        <f>ROUND('A2 Inputs'!V9,2)</f>
        <v/>
      </c>
      <c r="L14" t="inlineStr">
        <is>
          <t>variable_cost_k</t>
        </is>
      </c>
    </row>
    <row r="15">
      <c r="A15" t="inlineStr">
        <is>
          <t>CST-003</t>
        </is>
      </c>
      <c r="B15" t="inlineStr">
        <is>
          <t>Fuel cost</t>
        </is>
      </c>
      <c r="C15" t="inlineStr">
        <is>
          <t>₹ thousand</t>
        </is>
      </c>
      <c r="D15" t="inlineStr">
        <is>
          <t>Month</t>
        </is>
      </c>
      <c r="E15" t="inlineStr">
        <is>
          <t>Fuel cost</t>
        </is>
      </c>
      <c r="F15">
        <f>ROUND('A2 Inputs'!W4,2)</f>
        <v/>
      </c>
      <c r="G15">
        <f>ROUND('A2 Inputs'!W5,2)</f>
        <v/>
      </c>
      <c r="H15">
        <f>ROUND('A2 Inputs'!W6,2)</f>
        <v/>
      </c>
      <c r="I15">
        <f>ROUND('A2 Inputs'!W7,2)</f>
        <v/>
      </c>
      <c r="J15">
        <f>ROUND('A2 Inputs'!W8,2)</f>
        <v/>
      </c>
      <c r="K15">
        <f>ROUND('A2 Inputs'!W9,2)</f>
        <v/>
      </c>
      <c r="L15" t="inlineStr">
        <is>
          <t>fuel_cost_k</t>
        </is>
      </c>
    </row>
    <row r="16">
      <c r="A16" t="inlineStr">
        <is>
          <t>SUS-001</t>
        </is>
      </c>
      <c r="B16" t="inlineStr">
        <is>
          <t>Water usage</t>
        </is>
      </c>
      <c r="C16" t="inlineStr">
        <is>
          <t>m3</t>
        </is>
      </c>
      <c r="D16" t="inlineStr">
        <is>
          <t>Month</t>
        </is>
      </c>
      <c r="E16" t="inlineStr">
        <is>
          <t>Water used</t>
        </is>
      </c>
      <c r="F16">
        <f>ROUND('A2 Inputs'!Y4,2)</f>
        <v/>
      </c>
      <c r="G16">
        <f>ROUND('A2 Inputs'!Y5,2)</f>
        <v/>
      </c>
      <c r="H16">
        <f>ROUND('A2 Inputs'!Y6,2)</f>
        <v/>
      </c>
      <c r="I16">
        <f>ROUND('A2 Inputs'!Y7,2)</f>
        <v/>
      </c>
      <c r="J16">
        <f>ROUND('A2 Inputs'!Y8,2)</f>
        <v/>
      </c>
      <c r="K16">
        <f>ROUND('A2 Inputs'!Y9,2)</f>
        <v/>
      </c>
      <c r="L16" t="inlineStr">
        <is>
          <t>water_m3</t>
        </is>
      </c>
    </row>
    <row r="17">
      <c r="A17" t="inlineStr">
        <is>
          <t>SUS-002</t>
        </is>
      </c>
      <c r="B17" t="inlineStr">
        <is>
          <t>Emissions</t>
        </is>
      </c>
      <c r="C17" t="inlineStr">
        <is>
          <t>tCO2e</t>
        </is>
      </c>
      <c r="D17" t="inlineStr">
        <is>
          <t>Month</t>
        </is>
      </c>
      <c r="E17" t="inlineStr">
        <is>
          <t>Emissions</t>
        </is>
      </c>
      <c r="F17">
        <f>ROUND('A2 Inputs'!Z4,2)</f>
        <v/>
      </c>
      <c r="G17">
        <f>ROUND('A2 Inputs'!Z5,2)</f>
        <v/>
      </c>
      <c r="H17">
        <f>ROUND('A2 Inputs'!Z6,2)</f>
        <v/>
      </c>
      <c r="I17">
        <f>ROUND('A2 Inputs'!Z7,2)</f>
        <v/>
      </c>
      <c r="J17">
        <f>ROUND('A2 Inputs'!Z8,2)</f>
        <v/>
      </c>
      <c r="K17">
        <f>ROUND('A2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ROUND(IFERROR('A2 Inputs'!AA4/'A2 Inputs'!M4,0),2)</f>
        <v/>
      </c>
      <c r="G18">
        <f>ROUND(IFERROR('A2 Inputs'!AA5/'A2 Inputs'!M5,0),2)</f>
        <v/>
      </c>
      <c r="H18">
        <f>ROUND(IFERROR('A2 Inputs'!AA6/'A2 Inputs'!M6,0),2)</f>
        <v/>
      </c>
      <c r="I18">
        <f>ROUND(IFERROR('A2 Inputs'!AA7/'A2 Inputs'!M7,0),2)</f>
        <v/>
      </c>
      <c r="J18">
        <f>ROUND(IFERROR('A2 Inputs'!AA8/'A2 Inputs'!M8,0),2)</f>
        <v/>
      </c>
      <c r="K18">
        <f>ROUND(IFERROR('A2 Inputs'!AA9/'A2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ROUND('A2 Inputs'!AB4,2)</f>
        <v/>
      </c>
      <c r="G19">
        <f>ROUND('A2 Inputs'!AB5,2)</f>
        <v/>
      </c>
      <c r="H19">
        <f>ROUND('A2 Inputs'!AB6,2)</f>
        <v/>
      </c>
      <c r="I19">
        <f>ROUND('A2 Inputs'!AB7,2)</f>
        <v/>
      </c>
      <c r="J19">
        <f>ROUND('A2 Inputs'!AB8,2)</f>
        <v/>
      </c>
      <c r="K19">
        <f>ROUND('A2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ROUND('A2 Inputs'!AC4,2)</f>
        <v/>
      </c>
      <c r="G20">
        <f>ROUND('A2 Inputs'!AC5,2)</f>
        <v/>
      </c>
      <c r="H20">
        <f>ROUND('A2 Inputs'!AC6,2)</f>
        <v/>
      </c>
      <c r="I20">
        <f>ROUND('A2 Inputs'!AC7,2)</f>
        <v/>
      </c>
      <c r="J20">
        <f>ROUND('A2 Inputs'!AC8,2)</f>
        <v/>
      </c>
      <c r="K20">
        <f>ROUND('A2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ROUND('A2 Inputs'!AO4,2)</f>
        <v/>
      </c>
      <c r="G21">
        <f>ROUND('A2 Inputs'!AO5,2)</f>
        <v/>
      </c>
      <c r="H21">
        <f>ROUND('A2 Inputs'!AO6,2)</f>
        <v/>
      </c>
      <c r="I21">
        <f>ROUND('A2 Inputs'!AO7,2)</f>
        <v/>
      </c>
      <c r="J21">
        <f>ROUND('A2 Inputs'!AO8,2)</f>
        <v/>
      </c>
      <c r="K21">
        <f>ROUND('A2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ROUND(IFERROR(100*'A2 Inputs'!AQ4/'A2 Inputs'!AP4,0),2)</f>
        <v/>
      </c>
      <c r="G22">
        <f>ROUND(IFERROR(100*'A2 Inputs'!AQ5/'A2 Inputs'!AP5,0),2)</f>
        <v/>
      </c>
      <c r="H22">
        <f>ROUND(IFERROR(100*'A2 Inputs'!AQ6/'A2 Inputs'!AP6,0),2)</f>
        <v/>
      </c>
      <c r="I22">
        <f>ROUND(IFERROR(100*'A2 Inputs'!AQ7/'A2 Inputs'!AP7,0),2)</f>
        <v/>
      </c>
      <c r="J22">
        <f>ROUND(IFERROR(100*'A2 Inputs'!AQ8/'A2 Inputs'!AP8,0),2)</f>
        <v/>
      </c>
      <c r="K22">
        <f>ROUND(IFERROR(100*'A2 Inputs'!AQ9/'A2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ROUND('A2 Inputs'!AJ4,2)</f>
        <v/>
      </c>
      <c r="G23">
        <f>ROUND('A2 Inputs'!AJ5,2)</f>
        <v/>
      </c>
      <c r="H23">
        <f>ROUND('A2 Inputs'!AJ6,2)</f>
        <v/>
      </c>
      <c r="I23">
        <f>ROUND('A2 Inputs'!AJ7,2)</f>
        <v/>
      </c>
      <c r="J23">
        <f>ROUND('A2 Inputs'!AJ8,2)</f>
        <v/>
      </c>
      <c r="K23">
        <f>ROUND('A2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ROUND(IFERROR(200000*'A2 Inputs'!AE4/'A2 Inputs'!AD4,0),2)</f>
        <v/>
      </c>
      <c r="G24">
        <f>ROUND(IFERROR(200000*'A2 Inputs'!AE5/'A2 Inputs'!AD5,0),2)</f>
        <v/>
      </c>
      <c r="H24">
        <f>ROUND(IFERROR(200000*'A2 Inputs'!AE6/'A2 Inputs'!AD6,0),2)</f>
        <v/>
      </c>
      <c r="I24">
        <f>ROUND(IFERROR(200000*'A2 Inputs'!AE7/'A2 Inputs'!AD7,0),2)</f>
        <v/>
      </c>
      <c r="J24">
        <f>ROUND(IFERROR(200000*'A2 Inputs'!AE8/'A2 Inputs'!AD8,0),2)</f>
        <v/>
      </c>
      <c r="K24">
        <f>ROUND(IFERROR(200000*'A2 Inputs'!AE9/'A2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ROUND('A2 Inputs'!AF4,2)</f>
        <v/>
      </c>
      <c r="G25">
        <f>ROUND('A2 Inputs'!AF5,2)</f>
        <v/>
      </c>
      <c r="H25">
        <f>ROUND('A2 Inputs'!AF6,2)</f>
        <v/>
      </c>
      <c r="I25">
        <f>ROUND('A2 Inputs'!AF7,2)</f>
        <v/>
      </c>
      <c r="J25">
        <f>ROUND('A2 Inputs'!AF8,2)</f>
        <v/>
      </c>
      <c r="K25">
        <f>ROUND('A2 Inputs'!AF9,2)</f>
        <v/>
      </c>
      <c r="L25" t="inlineStr">
        <is>
          <t>severity_incidents</t>
        </is>
      </c>
    </row>
    <row r="26">
      <c r="A26" t="inlineStr">
        <is>
          <t>EHS-003</t>
        </is>
      </c>
      <c r="B26" t="inlineStr">
        <is>
          <t>Near misses</t>
        </is>
      </c>
      <c r="C26" t="inlineStr">
        <is>
          <t>count</t>
        </is>
      </c>
      <c r="D26" t="inlineStr">
        <is>
          <t>Month</t>
        </is>
      </c>
      <c r="E26" t="inlineStr">
        <is>
          <t>Near misses</t>
        </is>
      </c>
      <c r="F26">
        <f>ROUND('A2 Inputs'!AG4,2)</f>
        <v/>
      </c>
      <c r="G26">
        <f>ROUND('A2 Inputs'!AG5,2)</f>
        <v/>
      </c>
      <c r="H26">
        <f>ROUND('A2 Inputs'!AG6,2)</f>
        <v/>
      </c>
      <c r="I26">
        <f>ROUND('A2 Inputs'!AG7,2)</f>
        <v/>
      </c>
      <c r="J26">
        <f>ROUND('A2 Inputs'!AG8,2)</f>
        <v/>
      </c>
      <c r="K26">
        <f>ROUND('A2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ROUND('A2 Inputs'!AH4,2)</f>
        <v/>
      </c>
      <c r="G27">
        <f>ROUND('A2 Inputs'!AH5,2)</f>
        <v/>
      </c>
      <c r="H27">
        <f>ROUND('A2 Inputs'!AH6,2)</f>
        <v/>
      </c>
      <c r="I27">
        <f>ROUND('A2 Inputs'!AH7,2)</f>
        <v/>
      </c>
      <c r="J27">
        <f>ROUND('A2 Inputs'!AH8,2)</f>
        <v/>
      </c>
      <c r="K27">
        <f>ROUND('A2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ROUND('A2 Inputs'!AI4,2)</f>
        <v/>
      </c>
      <c r="G28">
        <f>ROUND('A2 Inputs'!AI5,2)</f>
        <v/>
      </c>
      <c r="H28">
        <f>ROUND('A2 Inputs'!AI6,2)</f>
        <v/>
      </c>
      <c r="I28">
        <f>ROUND('A2 Inputs'!AI7,2)</f>
        <v/>
      </c>
      <c r="J28">
        <f>ROUND('A2 Inputs'!AI8,2)</f>
        <v/>
      </c>
      <c r="K28">
        <f>ROUND('A2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ROUND('A2 Inputs'!AK4,2)</f>
        <v/>
      </c>
      <c r="G29">
        <f>ROUND('A2 Inputs'!AK5,2)</f>
        <v/>
      </c>
      <c r="H29">
        <f>ROUND('A2 Inputs'!AK6,2)</f>
        <v/>
      </c>
      <c r="I29">
        <f>ROUND('A2 Inputs'!AK7,2)</f>
        <v/>
      </c>
      <c r="J29">
        <f>ROUND('A2 Inputs'!AK8,2)</f>
        <v/>
      </c>
      <c r="K29">
        <f>ROUND('A2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ROUND('A2 Inputs'!AL4,2)</f>
        <v/>
      </c>
      <c r="G30">
        <f>ROUND('A2 Inputs'!AL5,2)</f>
        <v/>
      </c>
      <c r="H30">
        <f>ROUND('A2 Inputs'!AL6,2)</f>
        <v/>
      </c>
      <c r="I30">
        <f>ROUND('A2 Inputs'!AL7,2)</f>
        <v/>
      </c>
      <c r="J30">
        <f>ROUND('A2 Inputs'!AL8,2)</f>
        <v/>
      </c>
      <c r="K30">
        <f>ROUND('A2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ROUND(IF('A2 Inputs'!AM4=0,100,100*'A2 Inputs'!AN4/'A2 Inputs'!AM4),2)</f>
        <v/>
      </c>
      <c r="G31">
        <f>ROUND(IF('A2 Inputs'!AM5=0,100,100*'A2 Inputs'!AN5/'A2 Inputs'!AM5),2)</f>
        <v/>
      </c>
      <c r="H31">
        <f>ROUND(IF('A2 Inputs'!AM6=0,100,100*'A2 Inputs'!AN6/'A2 Inputs'!AM6),2)</f>
        <v/>
      </c>
      <c r="I31">
        <f>ROUND(IF('A2 Inputs'!AM7=0,100,100*'A2 Inputs'!AN7/'A2 Inputs'!AM7),2)</f>
        <v/>
      </c>
      <c r="J31">
        <f>ROUND(IF('A2 Inputs'!AM8=0,100,100*'A2 Inputs'!AN8/'A2 Inputs'!AM8),2)</f>
        <v/>
      </c>
      <c r="K31">
        <f>ROUND(IF('A2 Inputs'!AM9=0,100,100*'A2 Inputs'!AN9/'A2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ROUND('A2 Inputs'!AR4,2)</f>
        <v/>
      </c>
      <c r="G32">
        <f>ROUND('A2 Inputs'!AR5,2)</f>
        <v/>
      </c>
      <c r="H32">
        <f>ROUND('A2 Inputs'!AR6,2)</f>
        <v/>
      </c>
      <c r="I32">
        <f>ROUND('A2 Inputs'!AR7,2)</f>
        <v/>
      </c>
      <c r="J32">
        <f>ROUND('A2 Inputs'!AR8,2)</f>
        <v/>
      </c>
      <c r="K32">
        <f>ROUND('A2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ROUND(IFERROR(100*'A2 Inputs'!M4/'A2 Inputs'!J4,0),2)</f>
        <v/>
      </c>
      <c r="G33">
        <f>ROUND(IFERROR(100*'A2 Inputs'!M5/'A2 Inputs'!J5,0),2)</f>
        <v/>
      </c>
      <c r="H33">
        <f>ROUND(IFERROR(100*'A2 Inputs'!M6/'A2 Inputs'!J6,0),2)</f>
        <v/>
      </c>
      <c r="I33">
        <f>ROUND(IFERROR(100*'A2 Inputs'!M7/'A2 Inputs'!J7,0),2)</f>
        <v/>
      </c>
      <c r="J33">
        <f>ROUND(IFERROR(100*'A2 Inputs'!M8/'A2 Inputs'!J8,0),2)</f>
        <v/>
      </c>
      <c r="K33">
        <f>ROUND(IFERROR(100*'A2 Inputs'!M9/'A2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ROUND(IFERROR(100*'A2 Inputs'!M4/'A2 Inputs'!I4,0),2)</f>
        <v/>
      </c>
      <c r="G34">
        <f>ROUND(IFERROR(100*'A2 Inputs'!M5/'A2 Inputs'!I5,0),2)</f>
        <v/>
      </c>
      <c r="H34">
        <f>ROUND(IFERROR(100*'A2 Inputs'!M6/'A2 Inputs'!I6,0),2)</f>
        <v/>
      </c>
      <c r="I34">
        <f>ROUND(IFERROR(100*'A2 Inputs'!M7/'A2 Inputs'!I7,0),2)</f>
        <v/>
      </c>
      <c r="J34">
        <f>ROUND(IFERROR(100*'A2 Inputs'!M8/'A2 Inputs'!I8,0),2)</f>
        <v/>
      </c>
      <c r="K34">
        <f>ROUND(IFERROR(100*'A2 Inputs'!M9/'A2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ROUND(IF('A2 Inputs'!AT4=0,0,100*'A2 Inputs'!AS4/'A2 Inputs'!AT4),2)</f>
        <v/>
      </c>
      <c r="G35">
        <f>ROUND(IF('A2 Inputs'!AT5=0,0,100*'A2 Inputs'!AS5/'A2 Inputs'!AT5),2)</f>
        <v/>
      </c>
      <c r="H35">
        <f>ROUND(IF('A2 Inputs'!AT6=0,0,100*'A2 Inputs'!AS6/'A2 Inputs'!AT6),2)</f>
        <v/>
      </c>
      <c r="I35">
        <f>ROUND(IF('A2 Inputs'!AT7=0,0,100*'A2 Inputs'!AS7/'A2 Inputs'!AT7),2)</f>
        <v/>
      </c>
      <c r="J35">
        <f>ROUND(IF('A2 Inputs'!AT8=0,0,100*'A2 Inputs'!AS8/'A2 Inputs'!AT8),2)</f>
        <v/>
      </c>
      <c r="K35">
        <f>ROUND(IF('A2 Inputs'!AT9=0,0,100*'A2 Inputs'!AS9/'A2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ROUND(IF('A2 Inputs'!AT4=0,0,100*'A2 Inputs'!AS4/'A2 Inputs'!AT4),2)</f>
        <v/>
      </c>
      <c r="G36">
        <f>ROUND(IF('A2 Inputs'!AT5=0,0,100*'A2 Inputs'!AS5/'A2 Inputs'!AT5),2)</f>
        <v/>
      </c>
      <c r="H36">
        <f>ROUND(IF('A2 Inputs'!AT6=0,0,100*'A2 Inputs'!AS6/'A2 Inputs'!AT6),2)</f>
        <v/>
      </c>
      <c r="I36">
        <f>ROUND(IF('A2 Inputs'!AT7=0,0,100*'A2 Inputs'!AS7/'A2 Inputs'!AT7),2)</f>
        <v/>
      </c>
      <c r="J36">
        <f>ROUND(IF('A2 Inputs'!AT8=0,0,100*'A2 Inputs'!AS8/'A2 Inputs'!AT8),2)</f>
        <v/>
      </c>
      <c r="K36">
        <f>ROUND(IF('A2 Inputs'!AT9=0,0,100*'A2 Inputs'!AS9/'A2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ROUND(IF('A2 Inputs'!M4=0,0,1000*'A2 Inputs'!AW4/'A2 Inputs'!M4),2)</f>
        <v/>
      </c>
      <c r="G37">
        <f>ROUND(IF('A2 Inputs'!M5=0,0,1000*'A2 Inputs'!AW5/'A2 Inputs'!M5),2)</f>
        <v/>
      </c>
      <c r="H37">
        <f>ROUND(IF('A2 Inputs'!M6=0,0,1000*'A2 Inputs'!AW6/'A2 Inputs'!M6),2)</f>
        <v/>
      </c>
      <c r="I37">
        <f>ROUND(IF('A2 Inputs'!M7=0,0,1000*'A2 Inputs'!AW7/'A2 Inputs'!M7),2)</f>
        <v/>
      </c>
      <c r="J37">
        <f>ROUND(IF('A2 Inputs'!M8=0,0,1000*'A2 Inputs'!AW8/'A2 Inputs'!M8),2)</f>
        <v/>
      </c>
      <c r="K37">
        <f>ROUND(IF('A2 Inputs'!M9=0,0,1000*'A2 Inputs'!AW9/'A2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ROUND(SUM('A2 Inputs'!FV$4:FV4)/1000,2)</f>
        <v/>
      </c>
      <c r="G38">
        <f>ROUND(SUM('A2 Inputs'!FV$4:FV5)/1000,2)</f>
        <v/>
      </c>
      <c r="H38">
        <f>ROUND(SUM('A2 Inputs'!FV$4:FV6)/1000,2)</f>
        <v/>
      </c>
      <c r="I38">
        <f>ROUND(SUM('A2 Inputs'!FV$4:FV7)/1000,2)</f>
        <v/>
      </c>
      <c r="J38">
        <f>ROUND(SUM('A2 Inputs'!FV$4:FV8)/1000,2)</f>
        <v/>
      </c>
      <c r="K38">
        <f>ROUND(SUM('A2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ROUND(SUM('A2 Inputs'!FW$4:FW4)/1000,2)</f>
        <v/>
      </c>
      <c r="G39">
        <f>ROUND(SUM('A2 Inputs'!FW$4:FW5)/1000,2)</f>
        <v/>
      </c>
      <c r="H39">
        <f>ROUND(SUM('A2 Inputs'!FW$4:FW6)/1000,2)</f>
        <v/>
      </c>
      <c r="I39">
        <f>ROUND(SUM('A2 Inputs'!FW$4:FW7)/1000,2)</f>
        <v/>
      </c>
      <c r="J39">
        <f>ROUND(SUM('A2 Inputs'!FW$4:FW8)/1000,2)</f>
        <v/>
      </c>
      <c r="K39">
        <f>ROUND(SUM('A2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ROUND(SUM('A2 Inputs'!AU$4:AU4)/1000,2)</f>
        <v/>
      </c>
      <c r="G40">
        <f>ROUND(SUM('A2 Inputs'!AU$4:AU5)/1000,2)</f>
        <v/>
      </c>
      <c r="H40">
        <f>ROUND(SUM('A2 Inputs'!AU$4:AU6)/1000,2)</f>
        <v/>
      </c>
      <c r="I40">
        <f>ROUND(SUM('A2 Inputs'!AU$4:AU7)/1000,2)</f>
        <v/>
      </c>
      <c r="J40">
        <f>ROUND(SUM('A2 Inputs'!AU$4:AU8)/1000,2)</f>
        <v/>
      </c>
      <c r="K40">
        <f>ROUND(SUM('A2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ROUND(SUM('A2 Inputs'!GA$4:GA4)/1000,2)</f>
        <v/>
      </c>
      <c r="G41">
        <f>ROUND(SUM('A2 Inputs'!GA$4:GA5)/1000,2)</f>
        <v/>
      </c>
      <c r="H41">
        <f>ROUND(SUM('A2 Inputs'!GA$4:GA6)/1000,2)</f>
        <v/>
      </c>
      <c r="I41">
        <f>ROUND(SUM('A2 Inputs'!GA$4:GA7)/1000,2)</f>
        <v/>
      </c>
      <c r="J41">
        <f>ROUND(SUM('A2 Inputs'!GA$4:GA8)/1000,2)</f>
        <v/>
      </c>
      <c r="K41">
        <f>ROUND(SUM('A2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ROUND(IF('A2 Inputs'!CA4=0,0,100*SUM('A2 Inputs'!FW$4:FW4)*12/'A2 Inputs'!D4/'A2 Inputs'!CA4),2)</f>
        <v/>
      </c>
      <c r="G42">
        <f>ROUND(IF('A2 Inputs'!CA5=0,0,100*SUM('A2 Inputs'!FW$4:FW5)*12/'A2 Inputs'!D5/'A2 Inputs'!CA5),2)</f>
        <v/>
      </c>
      <c r="H42">
        <f>ROUND(IF('A2 Inputs'!CA6=0,0,100*SUM('A2 Inputs'!FW$4:FW6)*12/'A2 Inputs'!D6/'A2 Inputs'!CA6),2)</f>
        <v/>
      </c>
      <c r="I42">
        <f>ROUND(IF('A2 Inputs'!CA7=0,0,100*SUM('A2 Inputs'!FW$4:FW7)*12/'A2 Inputs'!D7/'A2 Inputs'!CA7),2)</f>
        <v/>
      </c>
      <c r="J42">
        <f>ROUND(IF('A2 Inputs'!CA8=0,0,100*SUM('A2 Inputs'!FW$4:FW8)*12/'A2 Inputs'!D8/'A2 Inputs'!CA8),2)</f>
        <v/>
      </c>
      <c r="K42">
        <f>ROUND(IF('A2 Inputs'!CA9=0,0,100*SUM('A2 Inputs'!FW$4:FW9)*12/'A2 Inputs'!D9/'A2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ROUND('A2 Inputs'!GB4/1000,2)</f>
        <v/>
      </c>
      <c r="G43">
        <f>ROUND('A2 Inputs'!GB5/1000,2)</f>
        <v/>
      </c>
      <c r="H43">
        <f>ROUND('A2 Inputs'!GB6/1000,2)</f>
        <v/>
      </c>
      <c r="I43">
        <f>ROUND('A2 Inputs'!GB7/1000,2)</f>
        <v/>
      </c>
      <c r="J43">
        <f>ROUND('A2 Inputs'!GB8/1000,2)</f>
        <v/>
      </c>
      <c r="K43">
        <f>ROUND('A2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ROUND((SUM('A2 Inputs'!FW$4:FW4)*(1-Parameters!$B$2)-'A2 Inputs'!CA4*Parameters!$B$3*'A2 Inputs'!D4/12)/1000,2)</f>
        <v/>
      </c>
      <c r="G44">
        <f>ROUND((SUM('A2 Inputs'!FW$4:FW5)*(1-Parameters!$B$2)-'A2 Inputs'!CA5*Parameters!$B$3*'A2 Inputs'!D5/12)/1000,2)</f>
        <v/>
      </c>
      <c r="H44">
        <f>ROUND((SUM('A2 Inputs'!FW$4:FW6)*(1-Parameters!$B$2)-'A2 Inputs'!CA6*Parameters!$B$3*'A2 Inputs'!D6/12)/1000,2)</f>
        <v/>
      </c>
      <c r="I44">
        <f>ROUND((SUM('A2 Inputs'!FW$4:FW7)*(1-Parameters!$B$2)-'A2 Inputs'!CA7*Parameters!$B$3*'A2 Inputs'!D7/12)/1000,2)</f>
        <v/>
      </c>
      <c r="J44">
        <f>ROUND((SUM('A2 Inputs'!FW$4:FW8)*(1-Parameters!$B$2)-'A2 Inputs'!CA8*Parameters!$B$3*'A2 Inputs'!D8/12)/1000,2)</f>
        <v/>
      </c>
      <c r="K44">
        <f>ROUND((SUM('A2 Inputs'!FW$4:FW9)*(1-Parameters!$B$2)-'A2 Inputs'!CA9*Parameters!$B$3*'A2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ROUND(IF(SUM('A2 Inputs'!FV$4:FV4)=0,0,100*SUM('A2 Inputs'!GA$4:GA4)/SUM('A2 Inputs'!FV$4:FV4)),2)</f>
        <v/>
      </c>
      <c r="G45">
        <f>ROUND(IF(SUM('A2 Inputs'!FV$4:FV5)=0,0,100*SUM('A2 Inputs'!GA$4:GA5)/SUM('A2 Inputs'!FV$4:FV5)),2)</f>
        <v/>
      </c>
      <c r="H45">
        <f>ROUND(IF(SUM('A2 Inputs'!FV$4:FV6)=0,0,100*SUM('A2 Inputs'!GA$4:GA6)/SUM('A2 Inputs'!FV$4:FV6)),2)</f>
        <v/>
      </c>
      <c r="I45">
        <f>ROUND(IF(SUM('A2 Inputs'!FV$4:FV7)=0,0,100*SUM('A2 Inputs'!GA$4:GA7)/SUM('A2 Inputs'!FV$4:FV7)),2)</f>
        <v/>
      </c>
      <c r="J45">
        <f>ROUND(IF(SUM('A2 Inputs'!FV$4:FV8)=0,0,100*SUM('A2 Inputs'!GA$4:GA8)/SUM('A2 Inputs'!FV$4:FV8)),2)</f>
        <v/>
      </c>
      <c r="K45">
        <f>ROUND(IF(SUM('A2 Inputs'!FV$4:FV9)=0,0,100*SUM('A2 Inputs'!GA$4:GA9)/SUM('A2 Inputs'!FV$4:FV9)),2)</f>
        <v/>
      </c>
      <c r="L45" t="inlineStr">
        <is>
          <t>ebitda_k, fcf_k</t>
        </is>
      </c>
    </row>
    <row r="46">
      <c r="A46" t="inlineStr">
        <is>
          <t>CSH-001</t>
        </is>
      </c>
      <c r="B46" t="inlineStr">
        <is>
          <t>Cash position</t>
        </is>
      </c>
      <c r="C46" t="inlineStr">
        <is>
          <t>₹ m</t>
        </is>
      </c>
      <c r="D46" t="inlineStr">
        <is>
          <t>Month end</t>
        </is>
      </c>
      <c r="E46" t="inlineStr">
        <is>
          <t>Cash ÷ 1000</t>
        </is>
      </c>
      <c r="F46">
        <f>ROUND('A2 Inputs'!CC4/1000,2)</f>
        <v/>
      </c>
      <c r="G46">
        <f>ROUND('A2 Inputs'!CC5/1000,2)</f>
        <v/>
      </c>
      <c r="H46">
        <f>ROUND('A2 Inputs'!CC6/1000,2)</f>
        <v/>
      </c>
      <c r="I46">
        <f>ROUND('A2 Inputs'!CC7/1000,2)</f>
        <v/>
      </c>
      <c r="J46">
        <f>ROUND('A2 Inputs'!CC8/1000,2)</f>
        <v/>
      </c>
      <c r="K46">
        <f>ROUND('A2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ROUND(SUM('A2 Inputs'!CN$4:CN4)/1000,2)</f>
        <v/>
      </c>
      <c r="G47">
        <f>ROUND(SUM('A2 Inputs'!CN$4:CN5)/1000,2)</f>
        <v/>
      </c>
      <c r="H47">
        <f>ROUND(SUM('A2 Inputs'!CN$4:CN6)/1000,2)</f>
        <v/>
      </c>
      <c r="I47">
        <f>ROUND(SUM('A2 Inputs'!CN$4:CN7)/1000,2)</f>
        <v/>
      </c>
      <c r="J47">
        <f>ROUND(SUM('A2 Inputs'!CN$4:CN8)/1000,2)</f>
        <v/>
      </c>
      <c r="K47">
        <f>ROUND(SUM('A2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ROUND('A2 Inputs'!CM4/'A2 Inputs'!C4/1000,2)</f>
        <v/>
      </c>
      <c r="G48">
        <f>ROUND('A2 Inputs'!CM5/'A2 Inputs'!C5/1000,2)</f>
        <v/>
      </c>
      <c r="H48">
        <f>ROUND('A2 Inputs'!CM6/'A2 Inputs'!C6/1000,2)</f>
        <v/>
      </c>
      <c r="I48">
        <f>ROUND('A2 Inputs'!CM7/'A2 Inputs'!C7/1000,2)</f>
        <v/>
      </c>
      <c r="J48">
        <f>ROUND('A2 Inputs'!CM8/'A2 Inputs'!C8/1000,2)</f>
        <v/>
      </c>
      <c r="K48">
        <f>ROUND('A2 Inputs'!CM9/'A2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ROUND('A2 Inputs'!GD4+'A2 Inputs'!GF4-'A2 Inputs'!GE4,2)</f>
        <v/>
      </c>
      <c r="G49">
        <f>ROUND('A2 Inputs'!GD5+'A2 Inputs'!GF5-'A2 Inputs'!GE5,2)</f>
        <v/>
      </c>
      <c r="H49">
        <f>ROUND('A2 Inputs'!GD6+'A2 Inputs'!GF6-'A2 Inputs'!GE6,2)</f>
        <v/>
      </c>
      <c r="I49">
        <f>ROUND('A2 Inputs'!GD7+'A2 Inputs'!GF7-'A2 Inputs'!GE7,2)</f>
        <v/>
      </c>
      <c r="J49">
        <f>ROUND('A2 Inputs'!GD8+'A2 Inputs'!GF8-'A2 Inputs'!GE8,2)</f>
        <v/>
      </c>
      <c r="K49">
        <f>ROUND('A2 Inputs'!GD9+'A2 Inputs'!GF9-'A2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ROUND(('A2 Inputs'!CO4-'A2 Inputs'!CP4)/1000,2)</f>
        <v/>
      </c>
      <c r="G50">
        <f>ROUND(('A2 Inputs'!CO5-'A2 Inputs'!CP5)/1000,2)</f>
        <v/>
      </c>
      <c r="H50">
        <f>ROUND(('A2 Inputs'!CO6-'A2 Inputs'!CP6)/1000,2)</f>
        <v/>
      </c>
      <c r="I50">
        <f>ROUND(('A2 Inputs'!CO7-'A2 Inputs'!CP7)/1000,2)</f>
        <v/>
      </c>
      <c r="J50">
        <f>ROUND(('A2 Inputs'!CO8-'A2 Inputs'!CP8)/1000,2)</f>
        <v/>
      </c>
      <c r="K50">
        <f>ROUND(('A2 Inputs'!CO9-'A2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ROUND('A2 Inputs'!GD4,2)</f>
        <v/>
      </c>
      <c r="G51">
        <f>ROUND('A2 Inputs'!GD5,2)</f>
        <v/>
      </c>
      <c r="H51">
        <f>ROUND('A2 Inputs'!GD6,2)</f>
        <v/>
      </c>
      <c r="I51">
        <f>ROUND('A2 Inputs'!GD7,2)</f>
        <v/>
      </c>
      <c r="J51">
        <f>ROUND('A2 Inputs'!GD8,2)</f>
        <v/>
      </c>
      <c r="K51">
        <f>ROUND('A2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ROUND('A2 Inputs'!GE4,2)</f>
        <v/>
      </c>
      <c r="G52">
        <f>ROUND('A2 Inputs'!GE5,2)</f>
        <v/>
      </c>
      <c r="H52">
        <f>ROUND('A2 Inputs'!GE6,2)</f>
        <v/>
      </c>
      <c r="I52">
        <f>ROUND('A2 Inputs'!GE7,2)</f>
        <v/>
      </c>
      <c r="J52">
        <f>ROUND('A2 Inputs'!GE8,2)</f>
        <v/>
      </c>
      <c r="K52">
        <f>ROUND('A2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ROUND('A2 Inputs'!GF4,2)</f>
        <v/>
      </c>
      <c r="G53">
        <f>ROUND('A2 Inputs'!GF5,2)</f>
        <v/>
      </c>
      <c r="H53">
        <f>ROUND('A2 Inputs'!GF6,2)</f>
        <v/>
      </c>
      <c r="I53">
        <f>ROUND('A2 Inputs'!GF7,2)</f>
        <v/>
      </c>
      <c r="J53">
        <f>ROUND('A2 Inputs'!GF8,2)</f>
        <v/>
      </c>
      <c r="K53">
        <f>ROUND('A2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ROUND('A2 Inputs'!FX4/1000,2)</f>
        <v/>
      </c>
      <c r="G54">
        <f>ROUND('A2 Inputs'!FX5/1000,2)</f>
        <v/>
      </c>
      <c r="H54">
        <f>ROUND('A2 Inputs'!FX6/1000,2)</f>
        <v/>
      </c>
      <c r="I54">
        <f>ROUND('A2 Inputs'!FX7/1000,2)</f>
        <v/>
      </c>
      <c r="J54">
        <f>ROUND('A2 Inputs'!FX8/1000,2)</f>
        <v/>
      </c>
      <c r="K54">
        <f>ROUND('A2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ROUND('A2 Inputs'!FY4/1000,2)</f>
        <v/>
      </c>
      <c r="G55">
        <f>ROUND('A2 Inputs'!FY5/1000,2)</f>
        <v/>
      </c>
      <c r="H55">
        <f>ROUND('A2 Inputs'!FY6/1000,2)</f>
        <v/>
      </c>
      <c r="I55">
        <f>ROUND('A2 Inputs'!FY7/1000,2)</f>
        <v/>
      </c>
      <c r="J55">
        <f>ROUND('A2 Inputs'!FY8/1000,2)</f>
        <v/>
      </c>
      <c r="K55">
        <f>ROUND('A2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ROUND(IF('A2 Inputs'!AU4=0,0,'A2 Inputs'!FX4/'A2 Inputs'!AU4*'A2 Inputs'!C4),2)</f>
        <v/>
      </c>
      <c r="G56">
        <f>ROUND(IF('A2 Inputs'!AU5=0,0,'A2 Inputs'!FX5/'A2 Inputs'!AU5*'A2 Inputs'!C5),2)</f>
        <v/>
      </c>
      <c r="H56">
        <f>ROUND(IF('A2 Inputs'!AU6=0,0,'A2 Inputs'!FX6/'A2 Inputs'!AU6*'A2 Inputs'!C6),2)</f>
        <v/>
      </c>
      <c r="I56">
        <f>ROUND(IF('A2 Inputs'!AU7=0,0,'A2 Inputs'!FX7/'A2 Inputs'!AU7*'A2 Inputs'!C7),2)</f>
        <v/>
      </c>
      <c r="J56">
        <f>ROUND(IF('A2 Inputs'!AU8=0,0,'A2 Inputs'!FX8/'A2 Inputs'!AU8*'A2 Inputs'!C8),2)</f>
        <v/>
      </c>
      <c r="K56">
        <f>ROUND(IF('A2 Inputs'!AU9=0,0,'A2 Inputs'!FX9/'A2 Inputs'!AU9*'A2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ROUND(IF(('A2 Inputs'!X4+'A2 Inputs'!BY4+'A2 Inputs'!CE4)=0,0,('A2 Inputs'!CC4+'A2 Inputs'!CD4)/('A2 Inputs'!X4+'A2 Inputs'!BY4+'A2 Inputs'!CE4)),2)</f>
        <v/>
      </c>
      <c r="G57">
        <f>ROUND(IF(('A2 Inputs'!X5+'A2 Inputs'!BY5+'A2 Inputs'!CE5)=0,0,('A2 Inputs'!CC5+'A2 Inputs'!CD5)/('A2 Inputs'!X5+'A2 Inputs'!BY5+'A2 Inputs'!CE5)),2)</f>
        <v/>
      </c>
      <c r="H57">
        <f>ROUND(IF(('A2 Inputs'!X6+'A2 Inputs'!BY6+'A2 Inputs'!CE6)=0,0,('A2 Inputs'!CC6+'A2 Inputs'!CD6)/('A2 Inputs'!X6+'A2 Inputs'!BY6+'A2 Inputs'!CE6)),2)</f>
        <v/>
      </c>
      <c r="I57">
        <f>ROUND(IF(('A2 Inputs'!X7+'A2 Inputs'!BY7+'A2 Inputs'!CE7)=0,0,('A2 Inputs'!CC7+'A2 Inputs'!CD7)/('A2 Inputs'!X7+'A2 Inputs'!BY7+'A2 Inputs'!CE7)),2)</f>
        <v/>
      </c>
      <c r="J57">
        <f>ROUND(IF(('A2 Inputs'!X8+'A2 Inputs'!BY8+'A2 Inputs'!CE8)=0,0,('A2 Inputs'!CC8+'A2 Inputs'!CD8)/('A2 Inputs'!X8+'A2 Inputs'!BY8+'A2 Inputs'!CE8)),2)</f>
        <v/>
      </c>
      <c r="K57">
        <f>ROUND(IF(('A2 Inputs'!X9+'A2 Inputs'!BY9+'A2 Inputs'!CE9)=0,0,('A2 Inputs'!CC9+'A2 Inputs'!CD9)/('A2 Inputs'!X9+'A2 Inputs'!BY9+'A2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ROUND(IF('A2 Inputs'!GC4=0,0,100*(Parameters!$B$4-'A2 Inputs'!GB4/'A2 Inputs'!GC4)/Parameters!$B$4),2)</f>
        <v/>
      </c>
      <c r="G58">
        <f>ROUND(IF('A2 Inputs'!GC5=0,0,100*(Parameters!$B$4-'A2 Inputs'!GB5/'A2 Inputs'!GC5)/Parameters!$B$4),2)</f>
        <v/>
      </c>
      <c r="H58">
        <f>ROUND(IF('A2 Inputs'!GC6=0,0,100*(Parameters!$B$4-'A2 Inputs'!GB6/'A2 Inputs'!GC6)/Parameters!$B$4),2)</f>
        <v/>
      </c>
      <c r="I58">
        <f>ROUND(IF('A2 Inputs'!GC7=0,0,100*(Parameters!$B$4-'A2 Inputs'!GB7/'A2 Inputs'!GC7)/Parameters!$B$4),2)</f>
        <v/>
      </c>
      <c r="J58">
        <f>ROUND(IF('A2 Inputs'!GC8=0,0,100*(Parameters!$B$4-'A2 Inputs'!GB8/'A2 Inputs'!GC8)/Parameters!$B$4),2)</f>
        <v/>
      </c>
      <c r="K58">
        <f>ROUND(IF('A2 Inputs'!GC9=0,0,100*(Parameters!$B$4-'A2 Inputs'!GB9/'A2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ROUND('A2 Inputs'!CF4/1000,2)</f>
        <v/>
      </c>
      <c r="G59">
        <f>ROUND('A2 Inputs'!CF5/1000,2)</f>
        <v/>
      </c>
      <c r="H59">
        <f>ROUND('A2 Inputs'!CF6/1000,2)</f>
        <v/>
      </c>
      <c r="I59">
        <f>ROUND('A2 Inputs'!CF7/1000,2)</f>
        <v/>
      </c>
      <c r="J59">
        <f>ROUND('A2 Inputs'!CF8/1000,2)</f>
        <v/>
      </c>
      <c r="K59">
        <f>ROUND('A2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ROUND('A2 Inputs'!CG4/1000,2)</f>
        <v/>
      </c>
      <c r="G60">
        <f>ROUND('A2 Inputs'!CG5/1000,2)</f>
        <v/>
      </c>
      <c r="H60">
        <f>ROUND('A2 Inputs'!CG6/1000,2)</f>
        <v/>
      </c>
      <c r="I60">
        <f>ROUND('A2 Inputs'!CG7/1000,2)</f>
        <v/>
      </c>
      <c r="J60">
        <f>ROUND('A2 Inputs'!CG8/1000,2)</f>
        <v/>
      </c>
      <c r="K60">
        <f>ROUND('A2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ROUND(('A2 Inputs'!CZ4-'A2 Inputs'!DA4)/1000,2)</f>
        <v/>
      </c>
      <c r="G61">
        <f>ROUND(('A2 Inputs'!CZ5-'A2 Inputs'!DA5)/1000,2)</f>
        <v/>
      </c>
      <c r="H61">
        <f>ROUND(('A2 Inputs'!CZ6-'A2 Inputs'!DA6)/1000,2)</f>
        <v/>
      </c>
      <c r="I61">
        <f>ROUND(('A2 Inputs'!CZ7-'A2 Inputs'!DA7)/1000,2)</f>
        <v/>
      </c>
      <c r="J61">
        <f>ROUND(('A2 Inputs'!CZ8-'A2 Inputs'!DA8)/1000,2)</f>
        <v/>
      </c>
      <c r="K61">
        <f>ROUND(('A2 Inputs'!CZ9-'A2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ROUND(IF('A2 Inputs'!DE4=0,0,100*'A2 Inputs'!DD4/'A2 Inputs'!DE4),2)</f>
        <v/>
      </c>
      <c r="G62">
        <f>ROUND(IF('A2 Inputs'!DE5=0,0,100*'A2 Inputs'!DD5/'A2 Inputs'!DE5),2)</f>
        <v/>
      </c>
      <c r="H62">
        <f>ROUND(IF('A2 Inputs'!DE6=0,0,100*'A2 Inputs'!DD6/'A2 Inputs'!DE6),2)</f>
        <v/>
      </c>
      <c r="I62">
        <f>ROUND(IF('A2 Inputs'!DE7=0,0,100*'A2 Inputs'!DD7/'A2 Inputs'!DE7),2)</f>
        <v/>
      </c>
      <c r="J62">
        <f>ROUND(IF('A2 Inputs'!DE8=0,0,100*'A2 Inputs'!DD8/'A2 Inputs'!DE8),2)</f>
        <v/>
      </c>
      <c r="K62">
        <f>ROUND(IF('A2 Inputs'!DE9=0,0,100*'A2 Inputs'!DD9/'A2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ROUND(IF(('A2 Inputs'!CZ4-'A2 Inputs'!DA4)=0,0,100*('A2 Inputs'!DB4-'A2 Inputs'!DC4)/('A2 Inputs'!CZ4-'A2 Inputs'!DA4)),2)</f>
        <v/>
      </c>
      <c r="G63">
        <f>ROUND(IF(('A2 Inputs'!CZ5-'A2 Inputs'!DA5)=0,0,100*('A2 Inputs'!DB5-'A2 Inputs'!DC5)/('A2 Inputs'!CZ5-'A2 Inputs'!DA5)),2)</f>
        <v/>
      </c>
      <c r="H63">
        <f>ROUND(IF(('A2 Inputs'!CZ6-'A2 Inputs'!DA6)=0,0,100*('A2 Inputs'!DB6-'A2 Inputs'!DC6)/('A2 Inputs'!CZ6-'A2 Inputs'!DA6)),2)</f>
        <v/>
      </c>
      <c r="I63">
        <f>ROUND(IF(('A2 Inputs'!CZ7-'A2 Inputs'!DA7)=0,0,100*('A2 Inputs'!DB7-'A2 Inputs'!DC7)/('A2 Inputs'!CZ7-'A2 Inputs'!DA7)),2)</f>
        <v/>
      </c>
      <c r="J63">
        <f>ROUND(IF(('A2 Inputs'!CZ8-'A2 Inputs'!DA8)=0,0,100*('A2 Inputs'!DB8-'A2 Inputs'!DC8)/('A2 Inputs'!CZ8-'A2 Inputs'!DA8)),2)</f>
        <v/>
      </c>
      <c r="K63">
        <f>ROUND(IF(('A2 Inputs'!CZ9-'A2 Inputs'!DA9)=0,0,100*('A2 Inputs'!DB9-'A2 Inputs'!DC9)/('A2 Inputs'!CZ9-'A2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ROUND(IF('A2 Inputs'!DF4=0,0,100*'A2 Inputs'!DG4/'A2 Inputs'!DF4),2)</f>
        <v/>
      </c>
      <c r="G64">
        <f>ROUND(IF('A2 Inputs'!DF5=0,0,100*'A2 Inputs'!DG5/'A2 Inputs'!DF5),2)</f>
        <v/>
      </c>
      <c r="H64">
        <f>ROUND(IF('A2 Inputs'!DF6=0,0,100*'A2 Inputs'!DG6/'A2 Inputs'!DF6),2)</f>
        <v/>
      </c>
      <c r="I64">
        <f>ROUND(IF('A2 Inputs'!DF7=0,0,100*'A2 Inputs'!DG7/'A2 Inputs'!DF7),2)</f>
        <v/>
      </c>
      <c r="J64">
        <f>ROUND(IF('A2 Inputs'!DF8=0,0,100*'A2 Inputs'!DG8/'A2 Inputs'!DF8),2)</f>
        <v/>
      </c>
      <c r="K64">
        <f>ROUND(IF('A2 Inputs'!DF9=0,0,100*'A2 Inputs'!DG9/'A2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ROUND(0.05*('A2 Inputs'!DB4-'A2 Inputs'!DC4)/1000,2)</f>
        <v/>
      </c>
      <c r="G65">
        <f>ROUND(0.05*('A2 Inputs'!DB5-'A2 Inputs'!DC5)/1000,2)</f>
        <v/>
      </c>
      <c r="H65">
        <f>ROUND(0.05*('A2 Inputs'!DB6-'A2 Inputs'!DC6)/1000,2)</f>
        <v/>
      </c>
      <c r="I65">
        <f>ROUND(0.05*('A2 Inputs'!DB7-'A2 Inputs'!DC7)/1000,2)</f>
        <v/>
      </c>
      <c r="J65">
        <f>ROUND(0.05*('A2 Inputs'!DB8-'A2 Inputs'!DC8)/1000,2)</f>
        <v/>
      </c>
      <c r="K65">
        <f>ROUND(0.05*('A2 Inputs'!DB9-'A2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ROUND('A2 Inputs'!DH4/1000,2)</f>
        <v/>
      </c>
      <c r="G66">
        <f>ROUND('A2 Inputs'!DH5/1000,2)</f>
        <v/>
      </c>
      <c r="H66">
        <f>ROUND('A2 Inputs'!DH6/1000,2)</f>
        <v/>
      </c>
      <c r="I66">
        <f>ROUND('A2 Inputs'!DH7/1000,2)</f>
        <v/>
      </c>
      <c r="J66">
        <f>ROUND('A2 Inputs'!DH8/1000,2)</f>
        <v/>
      </c>
      <c r="K66">
        <f>ROUND('A2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ROUND('A2 Inputs'!DI4/1000,2)</f>
        <v/>
      </c>
      <c r="G67">
        <f>ROUND('A2 Inputs'!DI5/1000,2)</f>
        <v/>
      </c>
      <c r="H67">
        <f>ROUND('A2 Inputs'!DI6/1000,2)</f>
        <v/>
      </c>
      <c r="I67">
        <f>ROUND('A2 Inputs'!DI7/1000,2)</f>
        <v/>
      </c>
      <c r="J67">
        <f>ROUND('A2 Inputs'!DI8/1000,2)</f>
        <v/>
      </c>
      <c r="K67">
        <f>ROUND('A2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ROUND(SUM('A2 Inputs'!DJ$4:DJ4)/1000,2)</f>
        <v/>
      </c>
      <c r="G68">
        <f>ROUND(SUM('A2 Inputs'!DJ$4:DJ5)/1000,2)</f>
        <v/>
      </c>
      <c r="H68">
        <f>ROUND(SUM('A2 Inputs'!DJ$4:DJ6)/1000,2)</f>
        <v/>
      </c>
      <c r="I68">
        <f>ROUND(SUM('A2 Inputs'!DJ$4:DJ7)/1000,2)</f>
        <v/>
      </c>
      <c r="J68">
        <f>ROUND(SUM('A2 Inputs'!DJ$4:DJ8)/1000,2)</f>
        <v/>
      </c>
      <c r="K68">
        <f>ROUND(SUM('A2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ROUND(IF('A2 Inputs'!DH4=0,0,100*'A2 Inputs'!DK4/'A2 Inputs'!DH4),2)</f>
        <v/>
      </c>
      <c r="G69">
        <f>ROUND(IF('A2 Inputs'!DH5=0,0,100*'A2 Inputs'!DK5/'A2 Inputs'!DH5),2)</f>
        <v/>
      </c>
      <c r="H69">
        <f>ROUND(IF('A2 Inputs'!DH6=0,0,100*'A2 Inputs'!DK6/'A2 Inputs'!DH6),2)</f>
        <v/>
      </c>
      <c r="I69">
        <f>ROUND(IF('A2 Inputs'!DH7=0,0,100*'A2 Inputs'!DK7/'A2 Inputs'!DH7),2)</f>
        <v/>
      </c>
      <c r="J69">
        <f>ROUND(IF('A2 Inputs'!DH8=0,0,100*'A2 Inputs'!DK8/'A2 Inputs'!DH8),2)</f>
        <v/>
      </c>
      <c r="K69">
        <f>ROUND(IF('A2 Inputs'!DH9=0,0,100*'A2 Inputs'!DK9/'A2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ROUND('A2 Inputs'!DL4/1000,2)</f>
        <v/>
      </c>
      <c r="G70">
        <f>ROUND('A2 Inputs'!DL5/1000,2)</f>
        <v/>
      </c>
      <c r="H70">
        <f>ROUND('A2 Inputs'!DL6/1000,2)</f>
        <v/>
      </c>
      <c r="I70">
        <f>ROUND('A2 Inputs'!DL7/1000,2)</f>
        <v/>
      </c>
      <c r="J70">
        <f>ROUND('A2 Inputs'!DL8/1000,2)</f>
        <v/>
      </c>
      <c r="K70">
        <f>ROUND('A2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'A2 Inputs'!DM4&amp;" on track · "&amp;'A2 Inputs'!DN4&amp;" at risk · "&amp;'A2 Inputs'!DO4&amp;" off track"</f>
        <v/>
      </c>
      <c r="G71">
        <f>'A2 Inputs'!DM5&amp;" on track · "&amp;'A2 Inputs'!DN5&amp;" at risk · "&amp;'A2 Inputs'!DO5&amp;" off track"</f>
        <v/>
      </c>
      <c r="H71">
        <f>'A2 Inputs'!DM6&amp;" on track · "&amp;'A2 Inputs'!DN6&amp;" at risk · "&amp;'A2 Inputs'!DO6&amp;" off track"</f>
        <v/>
      </c>
      <c r="I71">
        <f>'A2 Inputs'!DM7&amp;" on track · "&amp;'A2 Inputs'!DN7&amp;" at risk · "&amp;'A2 Inputs'!DO7&amp;" off track"</f>
        <v/>
      </c>
      <c r="J71">
        <f>'A2 Inputs'!DM8&amp;" on track · "&amp;'A2 Inputs'!DN8&amp;" at risk · "&amp;'A2 Inputs'!DO8&amp;" off track"</f>
        <v/>
      </c>
      <c r="K71">
        <f>'A2 Inputs'!DM9&amp;" on track · "&amp;'A2 Inputs'!DN9&amp;" at risk · "&amp;'A2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ROUND(IF(SUM('A2 Inputs'!DX$4:DX4)=0,0,100*SUM('A2 Inputs'!DY$4:DY4)/SUM('A2 Inputs'!DX$4:DX4)),2)</f>
        <v/>
      </c>
      <c r="G72">
        <f>ROUND(IF(SUM('A2 Inputs'!DX$4:DX5)=0,0,100*SUM('A2 Inputs'!DY$4:DY5)/SUM('A2 Inputs'!DX$4:DX5)),2)</f>
        <v/>
      </c>
      <c r="H72">
        <f>ROUND(IF(SUM('A2 Inputs'!DX$4:DX6)=0,0,100*SUM('A2 Inputs'!DY$4:DY6)/SUM('A2 Inputs'!DX$4:DX6)),2)</f>
        <v/>
      </c>
      <c r="I72">
        <f>ROUND(IF(SUM('A2 Inputs'!DX$4:DX7)=0,0,100*SUM('A2 Inputs'!DY$4:DY7)/SUM('A2 Inputs'!DX$4:DX7)),2)</f>
        <v/>
      </c>
      <c r="J72">
        <f>ROUND(IF(SUM('A2 Inputs'!DX$4:DX8)=0,0,100*SUM('A2 Inputs'!DY$4:DY8)/SUM('A2 Inputs'!DX$4:DX8)),2)</f>
        <v/>
      </c>
      <c r="K72">
        <f>ROUND(IF(SUM('A2 Inputs'!DX$4:DX9)=0,0,100*SUM('A2 Inputs'!DY$4:DY9)/SUM('A2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ROUND('A2 Inputs'!DP4,2)</f>
        <v/>
      </c>
      <c r="G73">
        <f>ROUND('A2 Inputs'!DP5,2)</f>
        <v/>
      </c>
      <c r="H73">
        <f>ROUND('A2 Inputs'!DP6,2)</f>
        <v/>
      </c>
      <c r="I73">
        <f>ROUND('A2 Inputs'!DP7,2)</f>
        <v/>
      </c>
      <c r="J73">
        <f>ROUND('A2 Inputs'!DP8,2)</f>
        <v/>
      </c>
      <c r="K73">
        <f>ROUND('A2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ROUND(IF('A2 Inputs'!DV4=0,0,100*'A2 Inputs'!DW4/'A2 Inputs'!DV4),2)</f>
        <v/>
      </c>
      <c r="G74">
        <f>ROUND(IF('A2 Inputs'!DV5=0,0,100*'A2 Inputs'!DW5/'A2 Inputs'!DV5),2)</f>
        <v/>
      </c>
      <c r="H74">
        <f>ROUND(IF('A2 Inputs'!DV6=0,0,100*'A2 Inputs'!DW6/'A2 Inputs'!DV6),2)</f>
        <v/>
      </c>
      <c r="I74">
        <f>ROUND(IF('A2 Inputs'!DV7=0,0,100*'A2 Inputs'!DW7/'A2 Inputs'!DV7),2)</f>
        <v/>
      </c>
      <c r="J74">
        <f>ROUND(IF('A2 Inputs'!DV8=0,0,100*'A2 Inputs'!DW8/'A2 Inputs'!DV8),2)</f>
        <v/>
      </c>
      <c r="K74">
        <f>ROUND(IF('A2 Inputs'!DV9=0,0,100*'A2 Inputs'!DW9/'A2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ROUND(IF('A2 Inputs'!DV4=0,0,100*'A2 Inputs'!DW4/'A2 Inputs'!DV4),2)</f>
        <v/>
      </c>
      <c r="G75">
        <f>ROUND(IF('A2 Inputs'!DV5=0,0,100*'A2 Inputs'!DW5/'A2 Inputs'!DV5),2)</f>
        <v/>
      </c>
      <c r="H75">
        <f>ROUND(IF('A2 Inputs'!DV6=0,0,100*'A2 Inputs'!DW6/'A2 Inputs'!DV6),2)</f>
        <v/>
      </c>
      <c r="I75">
        <f>ROUND(IF('A2 Inputs'!DV7=0,0,100*'A2 Inputs'!DW7/'A2 Inputs'!DV7),2)</f>
        <v/>
      </c>
      <c r="J75">
        <f>ROUND(IF('A2 Inputs'!DV8=0,0,100*'A2 Inputs'!DW8/'A2 Inputs'!DV8),2)</f>
        <v/>
      </c>
      <c r="K75">
        <f>ROUND(IF('A2 Inputs'!DV9=0,0,100*'A2 Inputs'!DW9/'A2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'A2 Inputs'!DS4&amp;" on track · "&amp;'A2 Inputs'!DT4&amp;" at risk · "&amp;'A2 Inputs'!DU4&amp;" delayed"</f>
        <v/>
      </c>
      <c r="G76">
        <f>'A2 Inputs'!DS5&amp;" on track · "&amp;'A2 Inputs'!DT5&amp;" at risk · "&amp;'A2 Inputs'!DU5&amp;" delayed"</f>
        <v/>
      </c>
      <c r="H76">
        <f>'A2 Inputs'!DS6&amp;" on track · "&amp;'A2 Inputs'!DT6&amp;" at risk · "&amp;'A2 Inputs'!DU6&amp;" delayed"</f>
        <v/>
      </c>
      <c r="I76">
        <f>'A2 Inputs'!DS7&amp;" on track · "&amp;'A2 Inputs'!DT7&amp;" at risk · "&amp;'A2 Inputs'!DU7&amp;" delayed"</f>
        <v/>
      </c>
      <c r="J76">
        <f>'A2 Inputs'!DS8&amp;" on track · "&amp;'A2 Inputs'!DT8&amp;" at risk · "&amp;'A2 Inputs'!DU8&amp;" delayed"</f>
        <v/>
      </c>
      <c r="K76">
        <f>'A2 Inputs'!DS9&amp;" on track · "&amp;'A2 Inputs'!DT9&amp;" at risk · "&amp;'A2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ROUND(IF('A2 Inputs'!DQ4=0,0,'A2 Inputs'!DR4/'A2 Inputs'!DQ4),2)</f>
        <v/>
      </c>
      <c r="G77">
        <f>ROUND(IF('A2 Inputs'!DQ5=0,0,'A2 Inputs'!DR5/'A2 Inputs'!DQ5),2)</f>
        <v/>
      </c>
      <c r="H77">
        <f>ROUND(IF('A2 Inputs'!DQ6=0,0,'A2 Inputs'!DR6/'A2 Inputs'!DQ6),2)</f>
        <v/>
      </c>
      <c r="I77">
        <f>ROUND(IF('A2 Inputs'!DQ7=0,0,'A2 Inputs'!DR7/'A2 Inputs'!DQ7),2)</f>
        <v/>
      </c>
      <c r="J77">
        <f>ROUND(IF('A2 Inputs'!DQ8=0,0,'A2 Inputs'!DR8/'A2 Inputs'!DQ8),2)</f>
        <v/>
      </c>
      <c r="K77">
        <f>ROUND(IF('A2 Inputs'!DQ9=0,0,'A2 Inputs'!DR9/'A2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ROUND(SUM('A2 Inputs'!DZ$4:DZ4)/1000,2)</f>
        <v/>
      </c>
      <c r="G78">
        <f>ROUND(SUM('A2 Inputs'!DZ$4:DZ5)/1000,2)</f>
        <v/>
      </c>
      <c r="H78">
        <f>ROUND(SUM('A2 Inputs'!DZ$4:DZ6)/1000,2)</f>
        <v/>
      </c>
      <c r="I78">
        <f>ROUND(SUM('A2 Inputs'!DZ$4:DZ7)/1000,2)</f>
        <v/>
      </c>
      <c r="J78">
        <f>ROUND(SUM('A2 Inputs'!DZ$4:DZ8)/1000,2)</f>
        <v/>
      </c>
      <c r="K78">
        <f>ROUND(SUM('A2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ROUND(SUM('A2 Inputs'!EA$4:EA4)/1000,2)</f>
        <v/>
      </c>
      <c r="G79">
        <f>ROUND(SUM('A2 Inputs'!EA$4:EA5)/1000,2)</f>
        <v/>
      </c>
      <c r="H79">
        <f>ROUND(SUM('A2 Inputs'!EA$4:EA6)/1000,2)</f>
        <v/>
      </c>
      <c r="I79">
        <f>ROUND(SUM('A2 Inputs'!EA$4:EA7)/1000,2)</f>
        <v/>
      </c>
      <c r="J79">
        <f>ROUND(SUM('A2 Inputs'!EA$4:EA8)/1000,2)</f>
        <v/>
      </c>
      <c r="K79">
        <f>ROUND(SUM('A2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ROUND(SUM('A2 Inputs'!EB$4:EB4)/1000,2)</f>
        <v/>
      </c>
      <c r="G80">
        <f>ROUND(SUM('A2 Inputs'!EB$4:EB5)/1000,2)</f>
        <v/>
      </c>
      <c r="H80">
        <f>ROUND(SUM('A2 Inputs'!EB$4:EB6)/1000,2)</f>
        <v/>
      </c>
      <c r="I80">
        <f>ROUND(SUM('A2 Inputs'!EB$4:EB7)/1000,2)</f>
        <v/>
      </c>
      <c r="J80">
        <f>ROUND(SUM('A2 Inputs'!EB$4:EB8)/1000,2)</f>
        <v/>
      </c>
      <c r="K80">
        <f>ROUND(SUM('A2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ROUND(IF('A2 Inputs'!AY4=0,0,100*'A2 Inputs'!AZ4/'A2 Inputs'!AY4),2)</f>
        <v/>
      </c>
      <c r="G81">
        <f>ROUND(IF('A2 Inputs'!AY5=0,0,100*'A2 Inputs'!AZ5/'A2 Inputs'!AY5),2)</f>
        <v/>
      </c>
      <c r="H81">
        <f>ROUND(IF('A2 Inputs'!AY6=0,0,100*'A2 Inputs'!AZ6/'A2 Inputs'!AY6),2)</f>
        <v/>
      </c>
      <c r="I81">
        <f>ROUND(IF('A2 Inputs'!AY7=0,0,100*'A2 Inputs'!AZ7/'A2 Inputs'!AY7),2)</f>
        <v/>
      </c>
      <c r="J81">
        <f>ROUND(IF('A2 Inputs'!AY8=0,0,100*'A2 Inputs'!AZ8/'A2 Inputs'!AY8),2)</f>
        <v/>
      </c>
      <c r="K81">
        <f>ROUND(IF('A2 Inputs'!AY9=0,0,100*'A2 Inputs'!AZ9/'A2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ROUND(IF('A2 Inputs'!BA4=0,0,100*'A2 Inputs'!BB4/'A2 Inputs'!BA4),2)</f>
        <v/>
      </c>
      <c r="G82">
        <f>ROUND(IF('A2 Inputs'!BA5=0,0,100*'A2 Inputs'!BB5/'A2 Inputs'!BA5),2)</f>
        <v/>
      </c>
      <c r="H82">
        <f>ROUND(IF('A2 Inputs'!BA6=0,0,100*'A2 Inputs'!BB6/'A2 Inputs'!BA6),2)</f>
        <v/>
      </c>
      <c r="I82">
        <f>ROUND(IF('A2 Inputs'!BA7=0,0,100*'A2 Inputs'!BB7/'A2 Inputs'!BA7),2)</f>
        <v/>
      </c>
      <c r="J82">
        <f>ROUND(IF('A2 Inputs'!BA8=0,0,100*'A2 Inputs'!BB8/'A2 Inputs'!BA8),2)</f>
        <v/>
      </c>
      <c r="K82">
        <f>ROUND(IF('A2 Inputs'!BA9=0,0,100*'A2 Inputs'!BB9/'A2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ROUND(IF('A2 Inputs'!BB4=0,0,100*'A2 Inputs'!BC4/'A2 Inputs'!BB4),2)</f>
        <v/>
      </c>
      <c r="G83">
        <f>ROUND(IF('A2 Inputs'!BB5=0,0,100*'A2 Inputs'!BC5/'A2 Inputs'!BB5),2)</f>
        <v/>
      </c>
      <c r="H83">
        <f>ROUND(IF('A2 Inputs'!BB6=0,0,100*'A2 Inputs'!BC6/'A2 Inputs'!BB6),2)</f>
        <v/>
      </c>
      <c r="I83">
        <f>ROUND(IF('A2 Inputs'!BB7=0,0,100*'A2 Inputs'!BC7/'A2 Inputs'!BB7),2)</f>
        <v/>
      </c>
      <c r="J83">
        <f>ROUND(IF('A2 Inputs'!BB8=0,0,100*'A2 Inputs'!BC8/'A2 Inputs'!BB8),2)</f>
        <v/>
      </c>
      <c r="K83">
        <f>ROUND(IF('A2 Inputs'!BB9=0,0,100*'A2 Inputs'!BC9/'A2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ROUND(IF('A2 Inputs'!BD4=0,0,100*('A2 Inputs'!BE4-'A2 Inputs'!BD4)/'A2 Inputs'!BD4),2)</f>
        <v/>
      </c>
      <c r="G84">
        <f>ROUND(IF('A2 Inputs'!BD5=0,0,100*('A2 Inputs'!BE5-'A2 Inputs'!BD5)/'A2 Inputs'!BD5),2)</f>
        <v/>
      </c>
      <c r="H84">
        <f>ROUND(IF('A2 Inputs'!BD6=0,0,100*('A2 Inputs'!BE6-'A2 Inputs'!BD6)/'A2 Inputs'!BD6),2)</f>
        <v/>
      </c>
      <c r="I84">
        <f>ROUND(IF('A2 Inputs'!BD7=0,0,100*('A2 Inputs'!BE7-'A2 Inputs'!BD7)/'A2 Inputs'!BD7),2)</f>
        <v/>
      </c>
      <c r="J84">
        <f>ROUND(IF('A2 Inputs'!BD8=0,0,100*('A2 Inputs'!BE8-'A2 Inputs'!BD8)/'A2 Inputs'!BD8),2)</f>
        <v/>
      </c>
      <c r="K84">
        <f>ROUND(IF('A2 Inputs'!BD9=0,0,100*('A2 Inputs'!BE9-'A2 Inputs'!BD9)/'A2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ROUND('A2 Inputs'!EG4,2)</f>
        <v/>
      </c>
      <c r="G85">
        <f>ROUND('A2 Inputs'!EG5,2)</f>
        <v/>
      </c>
      <c r="H85">
        <f>ROUND('A2 Inputs'!EG6,2)</f>
        <v/>
      </c>
      <c r="I85">
        <f>ROUND('A2 Inputs'!EG7,2)</f>
        <v/>
      </c>
      <c r="J85">
        <f>ROUND('A2 Inputs'!EG8,2)</f>
        <v/>
      </c>
      <c r="K85">
        <f>ROUND('A2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ROUND(IF('A2 Inputs'!BF4=0,0,100*'A2 Inputs'!BG4/'A2 Inputs'!BF4),2)</f>
        <v/>
      </c>
      <c r="G86">
        <f>ROUND(IF('A2 Inputs'!BF5=0,0,100*'A2 Inputs'!BG5/'A2 Inputs'!BF5),2)</f>
        <v/>
      </c>
      <c r="H86">
        <f>ROUND(IF('A2 Inputs'!BF6=0,0,100*'A2 Inputs'!BG6/'A2 Inputs'!BF6),2)</f>
        <v/>
      </c>
      <c r="I86">
        <f>ROUND(IF('A2 Inputs'!BF7=0,0,100*'A2 Inputs'!BG7/'A2 Inputs'!BF7),2)</f>
        <v/>
      </c>
      <c r="J86">
        <f>ROUND(IF('A2 Inputs'!BF8=0,0,100*'A2 Inputs'!BG8/'A2 Inputs'!BF8),2)</f>
        <v/>
      </c>
      <c r="K86">
        <f>ROUND(IF('A2 Inputs'!BF9=0,0,100*'A2 Inputs'!BG9/'A2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ROUND(SUM('A2 Inputs'!BH$4:BH4),2)</f>
        <v/>
      </c>
      <c r="G87">
        <f>ROUND(SUM('A2 Inputs'!BH$4:BH5),2)</f>
        <v/>
      </c>
      <c r="H87">
        <f>ROUND(SUM('A2 Inputs'!BH$4:BH6),2)</f>
        <v/>
      </c>
      <c r="I87">
        <f>ROUND(SUM('A2 Inputs'!BH$4:BH7),2)</f>
        <v/>
      </c>
      <c r="J87">
        <f>ROUND(SUM('A2 Inputs'!BH$4:BH8),2)</f>
        <v/>
      </c>
      <c r="K87">
        <f>ROUND(SUM('A2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ROUND('A2 Inputs'!EE4,2)</f>
        <v/>
      </c>
      <c r="G88">
        <f>ROUND('A2 Inputs'!EE5,2)</f>
        <v/>
      </c>
      <c r="H88">
        <f>ROUND('A2 Inputs'!EE6,2)</f>
        <v/>
      </c>
      <c r="I88">
        <f>ROUND('A2 Inputs'!EE7,2)</f>
        <v/>
      </c>
      <c r="J88">
        <f>ROUND('A2 Inputs'!EE8,2)</f>
        <v/>
      </c>
      <c r="K88">
        <f>ROUND('A2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ROUND(IF('A2 Inputs'!EC4=0,0,100*'A2 Inputs'!ED4/'A2 Inputs'!EC4),2)</f>
        <v/>
      </c>
      <c r="G89">
        <f>ROUND(IF('A2 Inputs'!EC5=0,0,100*'A2 Inputs'!ED5/'A2 Inputs'!EC5),2)</f>
        <v/>
      </c>
      <c r="H89">
        <f>ROUND(IF('A2 Inputs'!EC6=0,0,100*'A2 Inputs'!ED6/'A2 Inputs'!EC6),2)</f>
        <v/>
      </c>
      <c r="I89">
        <f>ROUND(IF('A2 Inputs'!EC7=0,0,100*'A2 Inputs'!ED7/'A2 Inputs'!EC7),2)</f>
        <v/>
      </c>
      <c r="J89">
        <f>ROUND(IF('A2 Inputs'!EC8=0,0,100*'A2 Inputs'!ED8/'A2 Inputs'!EC8),2)</f>
        <v/>
      </c>
      <c r="K89">
        <f>ROUND(IF('A2 Inputs'!EC9=0,0,100*'A2 Inputs'!ED9/'A2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ROUND('A2 Inputs'!EF4,2)</f>
        <v/>
      </c>
      <c r="G90">
        <f>ROUND('A2 Inputs'!EF5,2)</f>
        <v/>
      </c>
      <c r="H90">
        <f>ROUND('A2 Inputs'!EF6,2)</f>
        <v/>
      </c>
      <c r="I90">
        <f>ROUND('A2 Inputs'!EF7,2)</f>
        <v/>
      </c>
      <c r="J90">
        <f>ROUND('A2 Inputs'!EF8,2)</f>
        <v/>
      </c>
      <c r="K90">
        <f>ROUND('A2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ROUND('A2 Inputs'!BI4,2)</f>
        <v/>
      </c>
      <c r="G91">
        <f>ROUND('A2 Inputs'!BI5,2)</f>
        <v/>
      </c>
      <c r="H91">
        <f>ROUND('A2 Inputs'!BI6,2)</f>
        <v/>
      </c>
      <c r="I91">
        <f>ROUND('A2 Inputs'!BI7,2)</f>
        <v/>
      </c>
      <c r="J91">
        <f>ROUND('A2 Inputs'!BI8,2)</f>
        <v/>
      </c>
      <c r="K91">
        <f>ROUND('A2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ROUND('A2 Inputs'!BJ4,2)</f>
        <v/>
      </c>
      <c r="G92">
        <f>ROUND('A2 Inputs'!BJ5,2)</f>
        <v/>
      </c>
      <c r="H92">
        <f>ROUND('A2 Inputs'!BJ6,2)</f>
        <v/>
      </c>
      <c r="I92">
        <f>ROUND('A2 Inputs'!BJ7,2)</f>
        <v/>
      </c>
      <c r="J92">
        <f>ROUND('A2 Inputs'!BJ8,2)</f>
        <v/>
      </c>
      <c r="K92">
        <f>ROUND('A2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ROUND('A2 Inputs'!BK4,2)</f>
        <v/>
      </c>
      <c r="G93">
        <f>ROUND('A2 Inputs'!BK5,2)</f>
        <v/>
      </c>
      <c r="H93">
        <f>ROUND('A2 Inputs'!BK6,2)</f>
        <v/>
      </c>
      <c r="I93">
        <f>ROUND('A2 Inputs'!BK7,2)</f>
        <v/>
      </c>
      <c r="J93">
        <f>ROUND('A2 Inputs'!BK8,2)</f>
        <v/>
      </c>
      <c r="K93">
        <f>ROUND('A2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ROUND('A2 Inputs'!BL4,2)</f>
        <v/>
      </c>
      <c r="G94">
        <f>ROUND('A2 Inputs'!BL5,2)</f>
        <v/>
      </c>
      <c r="H94">
        <f>ROUND('A2 Inputs'!BL6,2)</f>
        <v/>
      </c>
      <c r="I94">
        <f>ROUND('A2 Inputs'!BL7,2)</f>
        <v/>
      </c>
      <c r="J94">
        <f>ROUND('A2 Inputs'!BL8,2)</f>
        <v/>
      </c>
      <c r="K94">
        <f>ROUND('A2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ROUND('A2 Inputs'!BM4,2)</f>
        <v/>
      </c>
      <c r="G95">
        <f>ROUND('A2 Inputs'!BM5,2)</f>
        <v/>
      </c>
      <c r="H95">
        <f>ROUND('A2 Inputs'!BM6,2)</f>
        <v/>
      </c>
      <c r="I95">
        <f>ROUND('A2 Inputs'!BM7,2)</f>
        <v/>
      </c>
      <c r="J95">
        <f>ROUND('A2 Inputs'!BM8,2)</f>
        <v/>
      </c>
      <c r="K95">
        <f>ROUND('A2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ROUND('A2 Inputs'!BN4,2)</f>
        <v/>
      </c>
      <c r="G96">
        <f>ROUND('A2 Inputs'!BN5,2)</f>
        <v/>
      </c>
      <c r="H96">
        <f>ROUND('A2 Inputs'!BN6,2)</f>
        <v/>
      </c>
      <c r="I96">
        <f>ROUND('A2 Inputs'!BN7,2)</f>
        <v/>
      </c>
      <c r="J96">
        <f>ROUND('A2 Inputs'!BN8,2)</f>
        <v/>
      </c>
      <c r="K96">
        <f>ROUND('A2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ROUND('A2 Inputs'!BO4,2)</f>
        <v/>
      </c>
      <c r="G97">
        <f>ROUND('A2 Inputs'!BO5,2)</f>
        <v/>
      </c>
      <c r="H97">
        <f>ROUND('A2 Inputs'!BO6,2)</f>
        <v/>
      </c>
      <c r="I97">
        <f>ROUND('A2 Inputs'!BO7,2)</f>
        <v/>
      </c>
      <c r="J97">
        <f>ROUND('A2 Inputs'!BO8,2)</f>
        <v/>
      </c>
      <c r="K97">
        <f>ROUND('A2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IF('A2 Inputs'!BQ4&gt;0,"Triggered","Not triggered")</f>
        <v/>
      </c>
      <c r="G98">
        <f>IF('A2 Inputs'!BQ5&gt;0,"Triggered","Not triggered")</f>
        <v/>
      </c>
      <c r="H98">
        <f>IF('A2 Inputs'!BQ6&gt;0,"Triggered","Not triggered")</f>
        <v/>
      </c>
      <c r="I98">
        <f>IF('A2 Inputs'!BQ7&gt;0,"Triggered","Not triggered")</f>
        <v/>
      </c>
      <c r="J98">
        <f>IF('A2 Inputs'!BQ8&gt;0,"Triggered","Not triggered")</f>
        <v/>
      </c>
      <c r="K98">
        <f>IF('A2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ROUND(SUM('A2 Inputs'!BP$4:BP4),2)</f>
        <v/>
      </c>
      <c r="G99">
        <f>ROUND(SUM('A2 Inputs'!BP$4:BP5),2)</f>
        <v/>
      </c>
      <c r="H99">
        <f>ROUND(SUM('A2 Inputs'!BP$4:BP6),2)</f>
        <v/>
      </c>
      <c r="I99">
        <f>ROUND(SUM('A2 Inputs'!BP$4:BP7),2)</f>
        <v/>
      </c>
      <c r="J99">
        <f>ROUND(SUM('A2 Inputs'!BP$4:BP8),2)</f>
        <v/>
      </c>
      <c r="K99">
        <f>ROUND(SUM('A2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ROUND(SUM('A2 Inputs'!BP$4:BP4),2)</f>
        <v/>
      </c>
      <c r="G100">
        <f>ROUND(SUM('A2 Inputs'!BP$4:BP5),2)</f>
        <v/>
      </c>
      <c r="H100">
        <f>ROUND(SUM('A2 Inputs'!BP$4:BP6),2)</f>
        <v/>
      </c>
      <c r="I100">
        <f>ROUND(SUM('A2 Inputs'!BP$4:BP7),2)</f>
        <v/>
      </c>
      <c r="J100">
        <f>ROUND(SUM('A2 Inputs'!BP$4:BP8),2)</f>
        <v/>
      </c>
      <c r="K100">
        <f>ROUND(SUM('A2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ROUND(SUM('A2 Inputs'!BP$4:BP4),2)</f>
        <v/>
      </c>
      <c r="G101">
        <f>ROUND(SUM('A2 Inputs'!BP$4:BP5),2)</f>
        <v/>
      </c>
      <c r="H101">
        <f>ROUND(SUM('A2 Inputs'!BP$4:BP6),2)</f>
        <v/>
      </c>
      <c r="I101">
        <f>ROUND(SUM('A2 Inputs'!BP$4:BP7),2)</f>
        <v/>
      </c>
      <c r="J101">
        <f>ROUND(SUM('A2 Inputs'!BP$4:BP8),2)</f>
        <v/>
      </c>
      <c r="K101">
        <f>ROUND(SUM('A2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ROUND('A2 Inputs'!BR4,2)</f>
        <v/>
      </c>
      <c r="G102">
        <f>ROUND('A2 Inputs'!BR5,2)</f>
        <v/>
      </c>
      <c r="H102">
        <f>ROUND('A2 Inputs'!BR6,2)</f>
        <v/>
      </c>
      <c r="I102">
        <f>ROUND('A2 Inputs'!BR7,2)</f>
        <v/>
      </c>
      <c r="J102">
        <f>ROUND('A2 Inputs'!BR8,2)</f>
        <v/>
      </c>
      <c r="K102">
        <f>ROUND('A2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ROUND(IF(SUM('A2 Inputs'!AM$4:AM4)=0,100,100*SUM('A2 Inputs'!AN$4:AN4)/SUM('A2 Inputs'!AM$4:AM4)),2)</f>
        <v/>
      </c>
      <c r="G103">
        <f>ROUND(IF(SUM('A2 Inputs'!AM$4:AM5)=0,100,100*SUM('A2 Inputs'!AN$4:AN5)/SUM('A2 Inputs'!AM$4:AM5)),2)</f>
        <v/>
      </c>
      <c r="H103">
        <f>ROUND(IF(SUM('A2 Inputs'!AM$4:AM6)=0,100,100*SUM('A2 Inputs'!AN$4:AN6)/SUM('A2 Inputs'!AM$4:AM6)),2)</f>
        <v/>
      </c>
      <c r="I103">
        <f>ROUND(IF(SUM('A2 Inputs'!AM$4:AM7)=0,100,100*SUM('A2 Inputs'!AN$4:AN7)/SUM('A2 Inputs'!AM$4:AM7)),2)</f>
        <v/>
      </c>
      <c r="J103">
        <f>ROUND(IF(SUM('A2 Inputs'!AM$4:AM8)=0,100,100*SUM('A2 Inputs'!AN$4:AN8)/SUM('A2 Inputs'!AM$4:AM8)),2)</f>
        <v/>
      </c>
      <c r="K103">
        <f>ROUND(IF(SUM('A2 Inputs'!AM$4:AM9)=0,100,100*SUM('A2 Inputs'!AN$4:AN9)/SUM('A2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ROUND(SUM('A2 Inputs'!EH$4:EH4),2)</f>
        <v/>
      </c>
      <c r="G104">
        <f>ROUND(SUM('A2 Inputs'!EH$4:EH5),2)</f>
        <v/>
      </c>
      <c r="H104">
        <f>ROUND(SUM('A2 Inputs'!EH$4:EH6),2)</f>
        <v/>
      </c>
      <c r="I104">
        <f>ROUND(SUM('A2 Inputs'!EH$4:EH7),2)</f>
        <v/>
      </c>
      <c r="J104">
        <f>ROUND(SUM('A2 Inputs'!EH$4:EH8),2)</f>
        <v/>
      </c>
      <c r="K104">
        <f>ROUND(SUM('A2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ROUND(SUM('A2 Inputs'!EI$4:EI4),2)</f>
        <v/>
      </c>
      <c r="G105">
        <f>ROUND(SUM('A2 Inputs'!EI$4:EI5),2)</f>
        <v/>
      </c>
      <c r="H105">
        <f>ROUND(SUM('A2 Inputs'!EI$4:EI6),2)</f>
        <v/>
      </c>
      <c r="I105">
        <f>ROUND(SUM('A2 Inputs'!EI$4:EI7),2)</f>
        <v/>
      </c>
      <c r="J105">
        <f>ROUND(SUM('A2 Inputs'!EI$4:EI8),2)</f>
        <v/>
      </c>
      <c r="K105">
        <f>ROUND(SUM('A2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ROUND(SUM('A2 Inputs'!EL$4:EL4),2)</f>
        <v/>
      </c>
      <c r="G106">
        <f>ROUND(SUM('A2 Inputs'!EL$4:EL5),2)</f>
        <v/>
      </c>
      <c r="H106">
        <f>ROUND(SUM('A2 Inputs'!EL$4:EL6),2)</f>
        <v/>
      </c>
      <c r="I106">
        <f>ROUND(SUM('A2 Inputs'!EL$4:EL7),2)</f>
        <v/>
      </c>
      <c r="J106">
        <f>ROUND(SUM('A2 Inputs'!EL$4:EL8),2)</f>
        <v/>
      </c>
      <c r="K106">
        <f>ROUND(SUM('A2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ROUND(SUM('A2 Inputs'!EM$4:EM4),2)</f>
        <v/>
      </c>
      <c r="G107">
        <f>ROUND(SUM('A2 Inputs'!EM$4:EM5),2)</f>
        <v/>
      </c>
      <c r="H107">
        <f>ROUND(SUM('A2 Inputs'!EM$4:EM6),2)</f>
        <v/>
      </c>
      <c r="I107">
        <f>ROUND(SUM('A2 Inputs'!EM$4:EM7),2)</f>
        <v/>
      </c>
      <c r="J107">
        <f>ROUND(SUM('A2 Inputs'!EM$4:EM8),2)</f>
        <v/>
      </c>
      <c r="K107">
        <f>ROUND(SUM('A2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ROUND(SUM('A2 Inputs'!EN$4:EN4),2)</f>
        <v/>
      </c>
      <c r="G108">
        <f>ROUND(SUM('A2 Inputs'!EN$4:EN5),2)</f>
        <v/>
      </c>
      <c r="H108">
        <f>ROUND(SUM('A2 Inputs'!EN$4:EN6),2)</f>
        <v/>
      </c>
      <c r="I108">
        <f>ROUND(SUM('A2 Inputs'!EN$4:EN7),2)</f>
        <v/>
      </c>
      <c r="J108">
        <f>ROUND(SUM('A2 Inputs'!EN$4:EN8),2)</f>
        <v/>
      </c>
      <c r="K108">
        <f>ROUND(SUM('A2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ROUND(SUM('A2 Inputs'!EO$4:EO4),2)</f>
        <v/>
      </c>
      <c r="G109">
        <f>ROUND(SUM('A2 Inputs'!EO$4:EO5),2)</f>
        <v/>
      </c>
      <c r="H109">
        <f>ROUND(SUM('A2 Inputs'!EO$4:EO6),2)</f>
        <v/>
      </c>
      <c r="I109">
        <f>ROUND(SUM('A2 Inputs'!EO$4:EO7),2)</f>
        <v/>
      </c>
      <c r="J109">
        <f>ROUND(SUM('A2 Inputs'!EO$4:EO8),2)</f>
        <v/>
      </c>
      <c r="K109">
        <f>ROUND(SUM('A2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ROUND(SUM('A2 Inputs'!EP$4:EP4),2)</f>
        <v/>
      </c>
      <c r="G110">
        <f>ROUND(SUM('A2 Inputs'!EP$4:EP5),2)</f>
        <v/>
      </c>
      <c r="H110">
        <f>ROUND(SUM('A2 Inputs'!EP$4:EP6),2)</f>
        <v/>
      </c>
      <c r="I110">
        <f>ROUND(SUM('A2 Inputs'!EP$4:EP7),2)</f>
        <v/>
      </c>
      <c r="J110">
        <f>ROUND(SUM('A2 Inputs'!EP$4:EP8),2)</f>
        <v/>
      </c>
      <c r="K110">
        <f>ROUND(SUM('A2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ROUND(SUM('A2 Inputs'!EQ$4:EQ4),2)</f>
        <v/>
      </c>
      <c r="G111">
        <f>ROUND(SUM('A2 Inputs'!EQ$4:EQ5),2)</f>
        <v/>
      </c>
      <c r="H111">
        <f>ROUND(SUM('A2 Inputs'!EQ$4:EQ6),2)</f>
        <v/>
      </c>
      <c r="I111">
        <f>ROUND(SUM('A2 Inputs'!EQ$4:EQ7),2)</f>
        <v/>
      </c>
      <c r="J111">
        <f>ROUND(SUM('A2 Inputs'!EQ$4:EQ8),2)</f>
        <v/>
      </c>
      <c r="K111">
        <f>ROUND(SUM('A2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SUM('A2 Inputs'!EK$4:EK4)&amp;" of "&amp;SUM('A2 Inputs'!EJ$4:EJ4)</f>
        <v/>
      </c>
      <c r="G112">
        <f>SUM('A2 Inputs'!EK$4:EK5)&amp;" of "&amp;SUM('A2 Inputs'!EJ$4:EJ5)</f>
        <v/>
      </c>
      <c r="H112">
        <f>SUM('A2 Inputs'!EK$4:EK6)&amp;" of "&amp;SUM('A2 Inputs'!EJ$4:EJ6)</f>
        <v/>
      </c>
      <c r="I112">
        <f>SUM('A2 Inputs'!EK$4:EK7)&amp;" of "&amp;SUM('A2 Inputs'!EJ$4:EJ7)</f>
        <v/>
      </c>
      <c r="J112">
        <f>SUM('A2 Inputs'!EK$4:EK8)&amp;" of "&amp;SUM('A2 Inputs'!EJ$4:EJ8)</f>
        <v/>
      </c>
      <c r="K112">
        <f>SUM('A2 Inputs'!EK$4:EK9)&amp;" of "&amp;SUM('A2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ROUND('A2 Inputs'!ER4,2)</f>
        <v/>
      </c>
      <c r="G113">
        <f>ROUND('A2 Inputs'!ER5,2)</f>
        <v/>
      </c>
      <c r="H113">
        <f>ROUND('A2 Inputs'!ER6,2)</f>
        <v/>
      </c>
      <c r="I113">
        <f>ROUND('A2 Inputs'!ER7,2)</f>
        <v/>
      </c>
      <c r="J113">
        <f>ROUND('A2 Inputs'!ER8,2)</f>
        <v/>
      </c>
      <c r="K113">
        <f>ROUND('A2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ROUND('A2 Inputs'!ES4,2)</f>
        <v/>
      </c>
      <c r="G114">
        <f>ROUND('A2 Inputs'!ES5,2)</f>
        <v/>
      </c>
      <c r="H114">
        <f>ROUND('A2 Inputs'!ES6,2)</f>
        <v/>
      </c>
      <c r="I114">
        <f>ROUND('A2 Inputs'!ES7,2)</f>
        <v/>
      </c>
      <c r="J114">
        <f>ROUND('A2 Inputs'!ES8,2)</f>
        <v/>
      </c>
      <c r="K114">
        <f>ROUND('A2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ROUND('A2 Inputs'!ET4,2)</f>
        <v/>
      </c>
      <c r="G115">
        <f>ROUND('A2 Inputs'!ET5,2)</f>
        <v/>
      </c>
      <c r="H115">
        <f>ROUND('A2 Inputs'!ET6,2)</f>
        <v/>
      </c>
      <c r="I115">
        <f>ROUND('A2 Inputs'!ET7,2)</f>
        <v/>
      </c>
      <c r="J115">
        <f>ROUND('A2 Inputs'!ET8,2)</f>
        <v/>
      </c>
      <c r="K115">
        <f>ROUND('A2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ROUND('A2 Inputs'!EU4,2)</f>
        <v/>
      </c>
      <c r="G116">
        <f>ROUND('A2 Inputs'!EU5,2)</f>
        <v/>
      </c>
      <c r="H116">
        <f>ROUND('A2 Inputs'!EU6,2)</f>
        <v/>
      </c>
      <c r="I116">
        <f>ROUND('A2 Inputs'!EU7,2)</f>
        <v/>
      </c>
      <c r="J116">
        <f>ROUND('A2 Inputs'!EU8,2)</f>
        <v/>
      </c>
      <c r="K116">
        <f>ROUND('A2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ROUND('A2 Inputs'!EV4,2)</f>
        <v/>
      </c>
      <c r="G117">
        <f>ROUND('A2 Inputs'!EV5,2)</f>
        <v/>
      </c>
      <c r="H117">
        <f>ROUND('A2 Inputs'!EV6,2)</f>
        <v/>
      </c>
      <c r="I117">
        <f>ROUND('A2 Inputs'!EV7,2)</f>
        <v/>
      </c>
      <c r="J117">
        <f>ROUND('A2 Inputs'!EV8,2)</f>
        <v/>
      </c>
      <c r="K117">
        <f>ROUND('A2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ROUND('A2 Inputs'!EW4,2)</f>
        <v/>
      </c>
      <c r="G118">
        <f>ROUND('A2 Inputs'!EW5,2)</f>
        <v/>
      </c>
      <c r="H118">
        <f>ROUND('A2 Inputs'!EW6,2)</f>
        <v/>
      </c>
      <c r="I118">
        <f>ROUND('A2 Inputs'!EW7,2)</f>
        <v/>
      </c>
      <c r="J118">
        <f>ROUND('A2 Inputs'!EW8,2)</f>
        <v/>
      </c>
      <c r="K118">
        <f>ROUND('A2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ROUND('A2 Inputs'!EX4,2)</f>
        <v/>
      </c>
      <c r="G119">
        <f>ROUND('A2 Inputs'!EX5,2)</f>
        <v/>
      </c>
      <c r="H119">
        <f>ROUND('A2 Inputs'!EX6,2)</f>
        <v/>
      </c>
      <c r="I119">
        <f>ROUND('A2 Inputs'!EX7,2)</f>
        <v/>
      </c>
      <c r="J119">
        <f>ROUND('A2 Inputs'!EX8,2)</f>
        <v/>
      </c>
      <c r="K119">
        <f>ROUND('A2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ROUND('A2 Inputs'!FG4,2)</f>
        <v/>
      </c>
      <c r="G120">
        <f>ROUND('A2 Inputs'!FG5,2)</f>
        <v/>
      </c>
      <c r="H120">
        <f>ROUND('A2 Inputs'!FG6,2)</f>
        <v/>
      </c>
      <c r="I120">
        <f>ROUND('A2 Inputs'!FG7,2)</f>
        <v/>
      </c>
      <c r="J120">
        <f>ROUND('A2 Inputs'!FG8,2)</f>
        <v/>
      </c>
      <c r="K120">
        <f>ROUND('A2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ROUND('A2 Inputs'!FF4,2)</f>
        <v/>
      </c>
      <c r="G121">
        <f>ROUND('A2 Inputs'!FF5,2)</f>
        <v/>
      </c>
      <c r="H121">
        <f>ROUND('A2 Inputs'!FF6,2)</f>
        <v/>
      </c>
      <c r="I121">
        <f>ROUND('A2 Inputs'!FF7,2)</f>
        <v/>
      </c>
      <c r="J121">
        <f>ROUND('A2 Inputs'!FF8,2)</f>
        <v/>
      </c>
      <c r="K121">
        <f>ROUND('A2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ROUND('A2 Inputs'!FH4,2)</f>
        <v/>
      </c>
      <c r="G122">
        <f>ROUND('A2 Inputs'!FH5,2)</f>
        <v/>
      </c>
      <c r="H122">
        <f>ROUND('A2 Inputs'!FH6,2)</f>
        <v/>
      </c>
      <c r="I122">
        <f>ROUND('A2 Inputs'!FH7,2)</f>
        <v/>
      </c>
      <c r="J122">
        <f>ROUND('A2 Inputs'!FH8,2)</f>
        <v/>
      </c>
      <c r="K122">
        <f>ROUND('A2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ROUND(IF('A2 Inputs'!EY4=0,0,100*'A2 Inputs'!EZ4/'A2 Inputs'!EY4),2)</f>
        <v/>
      </c>
      <c r="G123">
        <f>ROUND(IF('A2 Inputs'!EY5=0,0,100*'A2 Inputs'!EZ5/'A2 Inputs'!EY5),2)</f>
        <v/>
      </c>
      <c r="H123">
        <f>ROUND(IF('A2 Inputs'!EY6=0,0,100*'A2 Inputs'!EZ6/'A2 Inputs'!EY6),2)</f>
        <v/>
      </c>
      <c r="I123">
        <f>ROUND(IF('A2 Inputs'!EY7=0,0,100*'A2 Inputs'!EZ7/'A2 Inputs'!EY7),2)</f>
        <v/>
      </c>
      <c r="J123">
        <f>ROUND(IF('A2 Inputs'!EY8=0,0,100*'A2 Inputs'!EZ8/'A2 Inputs'!EY8),2)</f>
        <v/>
      </c>
      <c r="K123">
        <f>ROUND(IF('A2 Inputs'!EY9=0,0,100*'A2 Inputs'!EZ9/'A2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ROUND(IF(SUM('A2 Inputs'!FA$4:FA4)=0,0,SUM('A2 Inputs'!FB$4:FB4)/SUM('A2 Inputs'!FA$4:FA4)),2)</f>
        <v/>
      </c>
      <c r="G124">
        <f>ROUND(IF(SUM('A2 Inputs'!FA$4:FA5)=0,0,SUM('A2 Inputs'!FB$4:FB5)/SUM('A2 Inputs'!FA$4:FA5)),2)</f>
        <v/>
      </c>
      <c r="H124">
        <f>ROUND(IF(SUM('A2 Inputs'!FA$4:FA6)=0,0,SUM('A2 Inputs'!FB$4:FB6)/SUM('A2 Inputs'!FA$4:FA6)),2)</f>
        <v/>
      </c>
      <c r="I124">
        <f>ROUND(IF(SUM('A2 Inputs'!FA$4:FA7)=0,0,SUM('A2 Inputs'!FB$4:FB7)/SUM('A2 Inputs'!FA$4:FA7)),2)</f>
        <v/>
      </c>
      <c r="J124">
        <f>ROUND(IF(SUM('A2 Inputs'!FA$4:FA8)=0,0,SUM('A2 Inputs'!FB$4:FB8)/SUM('A2 Inputs'!FA$4:FA8)),2)</f>
        <v/>
      </c>
      <c r="K124">
        <f>ROUND(IF(SUM('A2 Inputs'!FA$4:FA9)=0,0,SUM('A2 Inputs'!FB$4:FB9)/SUM('A2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ROUND(IF('A2 Inputs'!FC4=0,0,100*'A2 Inputs'!FD4/'A2 Inputs'!FC4),2)</f>
        <v/>
      </c>
      <c r="G125">
        <f>ROUND(IF('A2 Inputs'!FC5=0,0,100*'A2 Inputs'!FD5/'A2 Inputs'!FC5),2)</f>
        <v/>
      </c>
      <c r="H125">
        <f>ROUND(IF('A2 Inputs'!FC6=0,0,100*'A2 Inputs'!FD6/'A2 Inputs'!FC6),2)</f>
        <v/>
      </c>
      <c r="I125">
        <f>ROUND(IF('A2 Inputs'!FC7=0,0,100*'A2 Inputs'!FD7/'A2 Inputs'!FC7),2)</f>
        <v/>
      </c>
      <c r="J125">
        <f>ROUND(IF('A2 Inputs'!FC8=0,0,100*'A2 Inputs'!FD8/'A2 Inputs'!FC8),2)</f>
        <v/>
      </c>
      <c r="K125">
        <f>ROUND(IF('A2 Inputs'!FC9=0,0,100*'A2 Inputs'!FD9/'A2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ROUND('A2 Inputs'!FC4-'A2 Inputs'!FD4,2)</f>
        <v/>
      </c>
      <c r="G126">
        <f>ROUND('A2 Inputs'!FC5-'A2 Inputs'!FD5,2)</f>
        <v/>
      </c>
      <c r="H126">
        <f>ROUND('A2 Inputs'!FC6-'A2 Inputs'!FD6,2)</f>
        <v/>
      </c>
      <c r="I126">
        <f>ROUND('A2 Inputs'!FC7-'A2 Inputs'!FD7,2)</f>
        <v/>
      </c>
      <c r="J126">
        <f>ROUND('A2 Inputs'!FC8-'A2 Inputs'!FD8,2)</f>
        <v/>
      </c>
      <c r="K126">
        <f>ROUND('A2 Inputs'!FC9-'A2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ROUND(IF('A2 Inputs'!FC4=0,0,100*'A2 Inputs'!FE4/'A2 Inputs'!FC4),2)</f>
        <v/>
      </c>
      <c r="G127">
        <f>ROUND(IF('A2 Inputs'!FC5=0,0,100*'A2 Inputs'!FE5/'A2 Inputs'!FC5),2)</f>
        <v/>
      </c>
      <c r="H127">
        <f>ROUND(IF('A2 Inputs'!FC6=0,0,100*'A2 Inputs'!FE6/'A2 Inputs'!FC6),2)</f>
        <v/>
      </c>
      <c r="I127">
        <f>ROUND(IF('A2 Inputs'!FC7=0,0,100*'A2 Inputs'!FE7/'A2 Inputs'!FC7),2)</f>
        <v/>
      </c>
      <c r="J127">
        <f>ROUND(IF('A2 Inputs'!FC8=0,0,100*'A2 Inputs'!FE8/'A2 Inputs'!FC8),2)</f>
        <v/>
      </c>
      <c r="K127">
        <f>ROUND(IF('A2 Inputs'!FC9=0,0,100*'A2 Inputs'!FE9/'A2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ROUND(IF('A2 Inputs'!FI4=0,0,100*'A2 Inputs'!FJ4/'A2 Inputs'!FI4),2)</f>
        <v/>
      </c>
      <c r="G128">
        <f>ROUND(IF('A2 Inputs'!FI5=0,0,100*'A2 Inputs'!FJ5/'A2 Inputs'!FI5),2)</f>
        <v/>
      </c>
      <c r="H128">
        <f>ROUND(IF('A2 Inputs'!FI6=0,0,100*'A2 Inputs'!FJ6/'A2 Inputs'!FI6),2)</f>
        <v/>
      </c>
      <c r="I128">
        <f>ROUND(IF('A2 Inputs'!FI7=0,0,100*'A2 Inputs'!FJ7/'A2 Inputs'!FI7),2)</f>
        <v/>
      </c>
      <c r="J128">
        <f>ROUND(IF('A2 Inputs'!FI8=0,0,100*'A2 Inputs'!FJ8/'A2 Inputs'!FI8),2)</f>
        <v/>
      </c>
      <c r="K128">
        <f>ROUND(IF('A2 Inputs'!FI9=0,0,100*'A2 Inputs'!FJ9/'A2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ROUND(IF('A2 Inputs'!FK4=0,0,100*'A2 Inputs'!FL4/'A2 Inputs'!FK4),2)</f>
        <v/>
      </c>
      <c r="G129">
        <f>ROUND(IF('A2 Inputs'!FK5=0,0,100*'A2 Inputs'!FL5/'A2 Inputs'!FK5),2)</f>
        <v/>
      </c>
      <c r="H129">
        <f>ROUND(IF('A2 Inputs'!FK6=0,0,100*'A2 Inputs'!FL6/'A2 Inputs'!FK6),2)</f>
        <v/>
      </c>
      <c r="I129">
        <f>ROUND(IF('A2 Inputs'!FK7=0,0,100*'A2 Inputs'!FL7/'A2 Inputs'!FK7),2)</f>
        <v/>
      </c>
      <c r="J129">
        <f>ROUND(IF('A2 Inputs'!FK8=0,0,100*'A2 Inputs'!FL8/'A2 Inputs'!FK8),2)</f>
        <v/>
      </c>
      <c r="K129">
        <f>ROUND(IF('A2 Inputs'!FK9=0,0,100*'A2 Inputs'!FL9/'A2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ROUND(IF('A2 Inputs'!AU4=0,0,100*ABS('A2 Inputs'!CI4-'A2 Inputs'!AU4)/'A2 Inputs'!AU4),2)</f>
        <v/>
      </c>
      <c r="G130">
        <f>ROUND(IF('A2 Inputs'!AU5=0,0,100*ABS('A2 Inputs'!CI5-'A2 Inputs'!AU5)/'A2 Inputs'!AU5),2)</f>
        <v/>
      </c>
      <c r="H130">
        <f>ROUND(IF('A2 Inputs'!AU6=0,0,100*ABS('A2 Inputs'!CI6-'A2 Inputs'!AU6)/'A2 Inputs'!AU6),2)</f>
        <v/>
      </c>
      <c r="I130">
        <f>ROUND(IF('A2 Inputs'!AU7=0,0,100*ABS('A2 Inputs'!CI7-'A2 Inputs'!AU7)/'A2 Inputs'!AU7),2)</f>
        <v/>
      </c>
      <c r="J130">
        <f>ROUND(IF('A2 Inputs'!AU8=0,0,100*ABS('A2 Inputs'!CI8-'A2 Inputs'!AU8)/'A2 Inputs'!AU8),2)</f>
        <v/>
      </c>
      <c r="K130">
        <f>ROUND(IF('A2 Inputs'!AU9=0,0,100*ABS('A2 Inputs'!CI9-'A2 Inputs'!AU9)/'A2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ROUND(IF('A2 Inputs'!FV4=0,0,100*('A2 Inputs'!CH4-'A2 Inputs'!FV4)/'A2 Inputs'!FV4),2)</f>
        <v/>
      </c>
      <c r="G131">
        <f>ROUND(IF('A2 Inputs'!FV5=0,0,100*('A2 Inputs'!CH5-'A2 Inputs'!FV5)/'A2 Inputs'!FV5),2)</f>
        <v/>
      </c>
      <c r="H131">
        <f>ROUND(IF('A2 Inputs'!FV6=0,0,100*('A2 Inputs'!CH6-'A2 Inputs'!FV6)/'A2 Inputs'!FV6),2)</f>
        <v/>
      </c>
      <c r="I131">
        <f>ROUND(IF('A2 Inputs'!FV7=0,0,100*('A2 Inputs'!CH7-'A2 Inputs'!FV7)/'A2 Inputs'!FV7),2)</f>
        <v/>
      </c>
      <c r="J131">
        <f>ROUND(IF('A2 Inputs'!FV8=0,0,100*('A2 Inputs'!CH8-'A2 Inputs'!FV8)/'A2 Inputs'!FV8),2)</f>
        <v/>
      </c>
      <c r="K131">
        <f>ROUND(IF('A2 Inputs'!FV9=0,0,100*('A2 Inputs'!CH9-'A2 Inputs'!FV9)/'A2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ROUND('A2 Inputs'!FM4,2)</f>
        <v/>
      </c>
      <c r="G133">
        <f>ROUND('A2 Inputs'!FM5,2)</f>
        <v/>
      </c>
      <c r="H133">
        <f>ROUND('A2 Inputs'!FM6,2)</f>
        <v/>
      </c>
      <c r="I133">
        <f>ROUND('A2 Inputs'!FM7,2)</f>
        <v/>
      </c>
      <c r="J133">
        <f>ROUND('A2 Inputs'!FM8,2)</f>
        <v/>
      </c>
      <c r="K133">
        <f>ROUND('A2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ROUND('A2 Inputs'!FN4,2)</f>
        <v/>
      </c>
      <c r="G134">
        <f>ROUND('A2 Inputs'!FN5,2)</f>
        <v/>
      </c>
      <c r="H134">
        <f>ROUND('A2 Inputs'!FN6,2)</f>
        <v/>
      </c>
      <c r="I134">
        <f>ROUND('A2 Inputs'!FN7,2)</f>
        <v/>
      </c>
      <c r="J134">
        <f>ROUND('A2 Inputs'!FN8,2)</f>
        <v/>
      </c>
      <c r="K134">
        <f>ROUND('A2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ROUND('A2 Inputs'!FO4,2)</f>
        <v/>
      </c>
      <c r="G135">
        <f>ROUND('A2 Inputs'!FO5,2)</f>
        <v/>
      </c>
      <c r="H135">
        <f>ROUND('A2 Inputs'!FO6,2)</f>
        <v/>
      </c>
      <c r="I135">
        <f>ROUND('A2 Inputs'!FO7,2)</f>
        <v/>
      </c>
      <c r="J135">
        <f>ROUND('A2 Inputs'!FO8,2)</f>
        <v/>
      </c>
      <c r="K135">
        <f>ROUND('A2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ROUND(IF('A2 Inputs'!FP4=0,0,'A2 Inputs'!FQ4/'A2 Inputs'!FP4),2)</f>
        <v/>
      </c>
      <c r="G136">
        <f>ROUND(IF('A2 Inputs'!FP5=0,0,'A2 Inputs'!FQ5/'A2 Inputs'!FP5),2)</f>
        <v/>
      </c>
      <c r="H136">
        <f>ROUND(IF('A2 Inputs'!FP6=0,0,'A2 Inputs'!FQ6/'A2 Inputs'!FP6),2)</f>
        <v/>
      </c>
      <c r="I136">
        <f>ROUND(IF('A2 Inputs'!FP7=0,0,'A2 Inputs'!FQ7/'A2 Inputs'!FP7),2)</f>
        <v/>
      </c>
      <c r="J136">
        <f>ROUND(IF('A2 Inputs'!FP8=0,0,'A2 Inputs'!FQ8/'A2 Inputs'!FP8),2)</f>
        <v/>
      </c>
      <c r="K136">
        <f>ROUND(IF('A2 Inputs'!FP9=0,0,'A2 Inputs'!FQ9/'A2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ROUND('A2 Inputs'!FR4,2)</f>
        <v/>
      </c>
      <c r="G137">
        <f>ROUND('A2 Inputs'!FR5,2)</f>
        <v/>
      </c>
      <c r="H137">
        <f>ROUND('A2 Inputs'!FR6,2)</f>
        <v/>
      </c>
      <c r="I137">
        <f>ROUND('A2 Inputs'!FR7,2)</f>
        <v/>
      </c>
      <c r="J137">
        <f>ROUND('A2 Inputs'!FR8,2)</f>
        <v/>
      </c>
      <c r="K137">
        <f>ROUND('A2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ROUND(SUM('A2 Inputs'!FS4:FS4),2)</f>
        <v/>
      </c>
      <c r="G138">
        <f>ROUND(SUM('A2 Inputs'!FS4:FS5),2)</f>
        <v/>
      </c>
      <c r="H138">
        <f>ROUND(SUM('A2 Inputs'!FS4:FS6),2)</f>
        <v/>
      </c>
      <c r="I138">
        <f>ROUND(SUM('A2 Inputs'!FS5:FS7),2)</f>
        <v/>
      </c>
      <c r="J138">
        <f>ROUND(SUM('A2 Inputs'!FS6:FS8),2)</f>
        <v/>
      </c>
      <c r="K138">
        <f>ROUND(SUM('A2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SUM('A2 Inputs'!FU$4:FU4)&amp;" of "&amp;SUM('A2 Inputs'!FT$4:FT4)</f>
        <v/>
      </c>
      <c r="G139">
        <f>SUM('A2 Inputs'!FU$4:FU5)&amp;" of "&amp;SUM('A2 Inputs'!FT$4:FT5)</f>
        <v/>
      </c>
      <c r="H139">
        <f>SUM('A2 Inputs'!FU$4:FU6)&amp;" of "&amp;SUM('A2 Inputs'!FT$4:FT6)</f>
        <v/>
      </c>
      <c r="I139">
        <f>SUM('A2 Inputs'!FU$4:FU7)&amp;" of "&amp;SUM('A2 Inputs'!FT$4:FT7)</f>
        <v/>
      </c>
      <c r="J139">
        <f>SUM('A2 Inputs'!FU$4:FU8)&amp;" of "&amp;SUM('A2 Inputs'!FT$4:FT8)</f>
        <v/>
      </c>
      <c r="K139">
        <f>SUM('A2 Inputs'!FU$4:FU9)&amp;" of "&amp;SUM('A2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ROUND(IF('A2 Inputs'!CQ4=0,0,('A2 Inputs'!CR4-'A2 Inputs'!CS4)/'A2 Inputs'!CQ4),2)</f>
        <v/>
      </c>
      <c r="G140">
        <f>ROUND(IF('A2 Inputs'!CQ5=0,0,('A2 Inputs'!CR5-'A2 Inputs'!CS5)/'A2 Inputs'!CQ5),2)</f>
        <v/>
      </c>
      <c r="H140">
        <f>ROUND(IF('A2 Inputs'!CQ6=0,0,('A2 Inputs'!CR6-'A2 Inputs'!CS6)/'A2 Inputs'!CQ6),2)</f>
        <v/>
      </c>
      <c r="I140">
        <f>ROUND(IF('A2 Inputs'!CQ7=0,0,('A2 Inputs'!CR7-'A2 Inputs'!CS7)/'A2 Inputs'!CQ7),2)</f>
        <v/>
      </c>
      <c r="J140">
        <f>ROUND(IF('A2 Inputs'!CQ8=0,0,('A2 Inputs'!CR8-'A2 Inputs'!CS8)/'A2 Inputs'!CQ8),2)</f>
        <v/>
      </c>
      <c r="K140">
        <f>ROUND(IF('A2 Inputs'!CQ9=0,0,('A2 Inputs'!CR9-'A2 Inputs'!CS9)/'A2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ROUND('A2 Inputs'!CT4,2)</f>
        <v/>
      </c>
      <c r="G141">
        <f>ROUND('A2 Inputs'!CT5,2)</f>
        <v/>
      </c>
      <c r="H141">
        <f>ROUND('A2 Inputs'!CT6,2)</f>
        <v/>
      </c>
      <c r="I141">
        <f>ROUND('A2 Inputs'!CT7,2)</f>
        <v/>
      </c>
      <c r="J141">
        <f>ROUND('A2 Inputs'!CT8,2)</f>
        <v/>
      </c>
      <c r="K141">
        <f>ROUND('A2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IF('A2 Inputs'!FZ4&lt;0,"Triggered","Not triggered")</f>
        <v/>
      </c>
      <c r="G142">
        <f>IF('A2 Inputs'!FZ5&lt;0,"Triggered","Not triggered")</f>
        <v/>
      </c>
      <c r="H142">
        <f>IF('A2 Inputs'!FZ6&lt;0,"Triggered","Not triggered")</f>
        <v/>
      </c>
      <c r="I142">
        <f>IF('A2 Inputs'!FZ7&lt;0,"Triggered","Not triggered")</f>
        <v/>
      </c>
      <c r="J142">
        <f>IF('A2 Inputs'!FZ8&lt;0,"Triggered","Not triggered")</f>
        <v/>
      </c>
      <c r="K142">
        <f>IF('A2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IF('A2 Inputs'!GG4&gt;=-1,"Low",IF('A2 Inputs'!GG4&gt;=-3,"Medium","High"))&amp;" ("&amp;ROUND('A2 Inputs'!GG4,1)&amp;"% vs plan price)"</f>
        <v/>
      </c>
      <c r="G143">
        <f>IF('A2 Inputs'!GG5&gt;=-1,"Low",IF('A2 Inputs'!GG5&gt;=-3,"Medium","High"))&amp;" ("&amp;ROUND('A2 Inputs'!GG5,1)&amp;"% vs plan price)"</f>
        <v/>
      </c>
      <c r="H143">
        <f>IF('A2 Inputs'!GG6&gt;=-1,"Low",IF('A2 Inputs'!GG6&gt;=-3,"Medium","High"))&amp;" ("&amp;ROUND('A2 Inputs'!GG6,1)&amp;"% vs plan price)"</f>
        <v/>
      </c>
      <c r="I143">
        <f>IF('A2 Inputs'!GG7&gt;=-1,"Low",IF('A2 Inputs'!GG7&gt;=-3,"Medium","High"))&amp;" ("&amp;ROUND('A2 Inputs'!GG7,1)&amp;"% vs plan price)"</f>
        <v/>
      </c>
      <c r="J143">
        <f>IF('A2 Inputs'!GG8&gt;=-1,"Low",IF('A2 Inputs'!GG8&gt;=-3,"Medium","High"))&amp;" ("&amp;ROUND('A2 Inputs'!GG8,1)&amp;"% vs plan price)"</f>
        <v/>
      </c>
      <c r="K143">
        <f>IF('A2 Inputs'!GG9&gt;=-1,"Low",IF('A2 Inputs'!GG9&gt;=-3,"Medium","High"))&amp;" ("&amp;ROUND('A2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ROUND('A2 Inputs'!BS4,2)</f>
        <v/>
      </c>
      <c r="G144">
        <f>ROUND('A2 Inputs'!BS5,2)</f>
        <v/>
      </c>
      <c r="H144">
        <f>ROUND('A2 Inputs'!BS6,2)</f>
        <v/>
      </c>
      <c r="I144">
        <f>ROUND('A2 Inputs'!BS7,2)</f>
        <v/>
      </c>
      <c r="J144">
        <f>ROUND('A2 Inputs'!BS8,2)</f>
        <v/>
      </c>
      <c r="K144">
        <f>ROUND('A2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ROUND(100*NORM.DIST('A2 Inputs'!BT4,'A2 Inputs'!BU4,SQRT('A2 Inputs'!BV4),TRUE),2)</f>
        <v/>
      </c>
      <c r="G145">
        <f>ROUND(100*NORM.DIST('A2 Inputs'!BT5,'A2 Inputs'!BU5,SQRT('A2 Inputs'!BV5),TRUE),2)</f>
        <v/>
      </c>
      <c r="H145">
        <f>ROUND(100*NORM.DIST('A2 Inputs'!BT6,'A2 Inputs'!BU6,SQRT('A2 Inputs'!BV6),TRUE),2)</f>
        <v/>
      </c>
      <c r="I145">
        <f>ROUND(100*NORM.DIST('A2 Inputs'!BT7,'A2 Inputs'!BU7,SQRT('A2 Inputs'!BV7),TRUE),2)</f>
        <v/>
      </c>
      <c r="J145">
        <f>ROUND(100*NORM.DIST('A2 Inputs'!BT8,'A2 Inputs'!BU8,SQRT('A2 Inputs'!BV8),TRUE),2)</f>
        <v/>
      </c>
      <c r="K145">
        <f>ROUND(100*NORM.DIST('A2 Inputs'!BT9,'A2 Inputs'!BU9,SQRT('A2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ROUND(('A2 Inputs'!CU4-'A2 Inputs'!CV4)/1000,2)</f>
        <v/>
      </c>
      <c r="G146">
        <f>ROUND(('A2 Inputs'!CU5-'A2 Inputs'!CV5)/1000,2)</f>
        <v/>
      </c>
      <c r="H146">
        <f>ROUND(('A2 Inputs'!CU6-'A2 Inputs'!CV6)/1000,2)</f>
        <v/>
      </c>
      <c r="I146">
        <f>ROUND(('A2 Inputs'!CU7-'A2 Inputs'!CV7)/1000,2)</f>
        <v/>
      </c>
      <c r="J146">
        <f>ROUND(('A2 Inputs'!CU8-'A2 Inputs'!CV8)/1000,2)</f>
        <v/>
      </c>
      <c r="K146">
        <f>ROUND(('A2 Inputs'!CU9-'A2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IF('A2 Inputs'!CC4+'A2 Inputs'!CD4+'A2 Inputs'!CW4&gt;=0,"None within 90 d",ROUND(('A2 Inputs'!CC4+'A2 Inputs'!CD4+'A2 Inputs'!CW4)/1000,1))</f>
        <v/>
      </c>
      <c r="G147">
        <f>IF('A2 Inputs'!CC5+'A2 Inputs'!CD5+'A2 Inputs'!CW5&gt;=0,"None within 90 d",ROUND(('A2 Inputs'!CC5+'A2 Inputs'!CD5+'A2 Inputs'!CW5)/1000,1))</f>
        <v/>
      </c>
      <c r="H147">
        <f>IF('A2 Inputs'!CC6+'A2 Inputs'!CD6+'A2 Inputs'!CW6&gt;=0,"None within 90 d",ROUND(('A2 Inputs'!CC6+'A2 Inputs'!CD6+'A2 Inputs'!CW6)/1000,1))</f>
        <v/>
      </c>
      <c r="I147">
        <f>IF('A2 Inputs'!CC7+'A2 Inputs'!CD7+'A2 Inputs'!CW7&gt;=0,"None within 90 d",ROUND(('A2 Inputs'!CC7+'A2 Inputs'!CD7+'A2 Inputs'!CW7)/1000,1))</f>
        <v/>
      </c>
      <c r="J147">
        <f>IF('A2 Inputs'!CC8+'A2 Inputs'!CD8+'A2 Inputs'!CW8&gt;=0,"None within 90 d",ROUND(('A2 Inputs'!CC8+'A2 Inputs'!CD8+'A2 Inputs'!CW8)/1000,1))</f>
        <v/>
      </c>
      <c r="K147">
        <f>IF('A2 Inputs'!CC9+'A2 Inputs'!CD9+'A2 Inputs'!CW9&gt;=0,"None within 90 d",ROUND(('A2 Inputs'!CC9+'A2 Inputs'!CD9+'A2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IF('A2 Inputs'!CY4=0,"No forecast",IF('A2 Inputs'!CX4/'A2 Inputs'!CY4&gt;Parameters!$B$4,"Breach forecast","Not forecast"))</f>
        <v/>
      </c>
      <c r="G148">
        <f>IF('A2 Inputs'!CY5=0,"No forecast",IF('A2 Inputs'!CX5/'A2 Inputs'!CY5&gt;Parameters!$B$4,"Breach forecast","Not forecast"))</f>
        <v/>
      </c>
      <c r="H148">
        <f>IF('A2 Inputs'!CY6=0,"No forecast",IF('A2 Inputs'!CX6/'A2 Inputs'!CY6&gt;Parameters!$B$4,"Breach forecast","Not forecast"))</f>
        <v/>
      </c>
      <c r="I148">
        <f>IF('A2 Inputs'!CY7=0,"No forecast",IF('A2 Inputs'!CX7/'A2 Inputs'!CY7&gt;Parameters!$B$4,"Breach forecast","Not forecast"))</f>
        <v/>
      </c>
      <c r="J148">
        <f>IF('A2 Inputs'!CY8=0,"No forecast",IF('A2 Inputs'!CX8/'A2 Inputs'!CY8&gt;Parameters!$B$4,"Breach forecast","Not forecast"))</f>
        <v/>
      </c>
      <c r="K148">
        <f>IF('A2 Inputs'!CY9=0,"No forecast",IF('A2 Inputs'!CX9/'A2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ROUND('A2 Inputs'!BX4/1000,2)</f>
        <v/>
      </c>
      <c r="G149">
        <f>ROUND('A2 Inputs'!BX5/1000,2)</f>
        <v/>
      </c>
      <c r="H149">
        <f>ROUND('A2 Inputs'!BX6/1000,2)</f>
        <v/>
      </c>
      <c r="I149">
        <f>ROUND('A2 Inputs'!BX7/1000,2)</f>
        <v/>
      </c>
      <c r="J149">
        <f>ROUND('A2 Inputs'!BX8/1000,2)</f>
        <v/>
      </c>
      <c r="K149">
        <f>ROUND('A2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ROUND(100*NORM.DIST(0.78*'A2 Inputs'!BW4,'A2 Inputs'!BU4,SQRT('A2 Inputs'!BV4),TRUE),2)</f>
        <v/>
      </c>
      <c r="G150">
        <f>ROUND(100*NORM.DIST(0.78*'A2 Inputs'!BW5,'A2 Inputs'!BU5,SQRT('A2 Inputs'!BV5),TRUE),2)</f>
        <v/>
      </c>
      <c r="H150">
        <f>ROUND(100*NORM.DIST(0.78*'A2 Inputs'!BW6,'A2 Inputs'!BU6,SQRT('A2 Inputs'!BV6),TRUE),2)</f>
        <v/>
      </c>
      <c r="I150">
        <f>ROUND(100*NORM.DIST(0.78*'A2 Inputs'!BW7,'A2 Inputs'!BU7,SQRT('A2 Inputs'!BV7),TRUE),2)</f>
        <v/>
      </c>
      <c r="J150">
        <f>ROUND(100*NORM.DIST(0.78*'A2 Inputs'!BW8,'A2 Inputs'!BU8,SQRT('A2 Inputs'!BV8),TRUE),2)</f>
        <v/>
      </c>
      <c r="K150">
        <f>ROUND(100*NORM.DIST(0.78*'A2 Inputs'!BW9,'A2 Inputs'!BU9,SQRT('A2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ROUND(SUM('A2 Inputs'!X$4:X4)/1000,2)</f>
        <v/>
      </c>
      <c r="G151">
        <f>ROUND(SUM('A2 Inputs'!X$4:X5)/1000,2)</f>
        <v/>
      </c>
      <c r="H151">
        <f>ROUND(SUM('A2 Inputs'!X$4:X6)/1000,2)</f>
        <v/>
      </c>
      <c r="I151">
        <f>ROUND(SUM('A2 Inputs'!X$4:X7)/1000,2)</f>
        <v/>
      </c>
      <c r="J151">
        <f>ROUND(SUM('A2 Inputs'!X$4:X8)/1000,2)</f>
        <v/>
      </c>
      <c r="K151">
        <f>ROUND(SUM('A2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ROUND((SUM('A2 Inputs'!GA$4:GA4)+'A2 Inputs'!GJ4-'A2 Inputs'!GI4)/1000,2)</f>
        <v/>
      </c>
      <c r="G152">
        <f>ROUND((SUM('A2 Inputs'!GA$4:GA5)+'A2 Inputs'!GJ5-'A2 Inputs'!GI5)/1000,2)</f>
        <v/>
      </c>
      <c r="H152">
        <f>ROUND((SUM('A2 Inputs'!GA$4:GA6)+'A2 Inputs'!GJ6-'A2 Inputs'!GI6)/1000,2)</f>
        <v/>
      </c>
      <c r="I152">
        <f>ROUND((SUM('A2 Inputs'!GA$4:GA7)+'A2 Inputs'!GJ7-'A2 Inputs'!GI7)/1000,2)</f>
        <v/>
      </c>
      <c r="J152">
        <f>ROUND((SUM('A2 Inputs'!GA$4:GA8)+'A2 Inputs'!GJ8-'A2 Inputs'!GI8)/1000,2)</f>
        <v/>
      </c>
      <c r="K152">
        <f>ROUND((SUM('A2 Inputs'!GA$4:GA9)+'A2 Inputs'!GJ9-'A2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ROUND(IF('A2 Inputs'!GL4=0,0,100*(SUM('A2 Inputs'!FW$4:FW4)+'A2 Inputs'!GK4)/'A2 Inputs'!GL4),2)</f>
        <v/>
      </c>
      <c r="G153">
        <f>ROUND(IF('A2 Inputs'!GL5=0,0,100*(SUM('A2 Inputs'!FW$4:FW5)+'A2 Inputs'!GK5)/'A2 Inputs'!GL5),2)</f>
        <v/>
      </c>
      <c r="H153">
        <f>ROUND(IF('A2 Inputs'!GL6=0,0,100*(SUM('A2 Inputs'!FW$4:FW6)+'A2 Inputs'!GK6)/'A2 Inputs'!GL6),2)</f>
        <v/>
      </c>
      <c r="I153">
        <f>ROUND(IF('A2 Inputs'!GL7=0,0,100*(SUM('A2 Inputs'!FW$4:FW7)+'A2 Inputs'!GK7)/'A2 Inputs'!GL7),2)</f>
        <v/>
      </c>
      <c r="J153">
        <f>ROUND(IF('A2 Inputs'!GL8=0,0,100*(SUM('A2 Inputs'!FW$4:FW8)+'A2 Inputs'!GK8)/'A2 Inputs'!GL8),2)</f>
        <v/>
      </c>
      <c r="K153">
        <f>ROUND(IF('A2 Inputs'!GL9=0,0,100*(SUM('A2 Inputs'!FW$4:FW9)+'A2 Inputs'!GK9)/'A2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ROUND(IF('A2 Inputs'!GH4=0,0,SUM('A2 Inputs'!AU$4:AU4)/'A2 Inputs'!GH4/1000),3)</f>
        <v/>
      </c>
      <c r="G154">
        <f>ROUND(IF('A2 Inputs'!GH5=0,0,SUM('A2 Inputs'!AU$4:AU5)/'A2 Inputs'!GH5/1000),3)</f>
        <v/>
      </c>
      <c r="H154">
        <f>ROUND(IF('A2 Inputs'!GH6=0,0,SUM('A2 Inputs'!AU$4:AU6)/'A2 Inputs'!GH6/1000),3)</f>
        <v/>
      </c>
      <c r="I154">
        <f>ROUND(IF('A2 Inputs'!GH7=0,0,SUM('A2 Inputs'!AU$4:AU7)/'A2 Inputs'!GH7/1000),3)</f>
        <v/>
      </c>
      <c r="J154">
        <f>ROUND(IF('A2 Inputs'!GH8=0,0,SUM('A2 Inputs'!AU$4:AU8)/'A2 Inputs'!GH8/1000),3)</f>
        <v/>
      </c>
      <c r="K154">
        <f>ROUND(IF('A2 Inputs'!GH9=0,0,SUM('A2 Inputs'!AU$4:AU9)/'A2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ROUND(IF('A2 Inputs'!GH4=0,0,'A2 Inputs'!M4/'A2 Inputs'!GH4),1)</f>
        <v/>
      </c>
      <c r="G155">
        <f>ROUND(IF('A2 Inputs'!GH5=0,0,'A2 Inputs'!M5/'A2 Inputs'!GH5),1)</f>
        <v/>
      </c>
      <c r="H155">
        <f>ROUND(IF('A2 Inputs'!GH6=0,0,'A2 Inputs'!M6/'A2 Inputs'!GH6),1)</f>
        <v/>
      </c>
      <c r="I155">
        <f>ROUND(IF('A2 Inputs'!GH7=0,0,'A2 Inputs'!M7/'A2 Inputs'!GH7),1)</f>
        <v/>
      </c>
      <c r="J155">
        <f>ROUND(IF('A2 Inputs'!GH8=0,0,'A2 Inputs'!M8/'A2 Inputs'!GH8),1)</f>
        <v/>
      </c>
      <c r="K155">
        <f>ROUND(IF('A2 Inputs'!GH9=0,0,'A2 Inputs'!M9/'A2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ROUND(100*NORM.DIST('A2 Inputs'!GM4,SUM('A2 Inputs'!FV$4:FV4)+'A2 Inputs'!CU4,'A2 Inputs'!GN4,TRUE),2)</f>
        <v/>
      </c>
      <c r="G156">
        <f>ROUND(100*NORM.DIST('A2 Inputs'!GM5,SUM('A2 Inputs'!FV$4:FV5)+'A2 Inputs'!CU5,'A2 Inputs'!GN5,TRUE),2)</f>
        <v/>
      </c>
      <c r="H156">
        <f>ROUND(100*NORM.DIST('A2 Inputs'!GM6,SUM('A2 Inputs'!FV$4:FV6)+'A2 Inputs'!CU6,'A2 Inputs'!GN6,TRUE),2)</f>
        <v/>
      </c>
      <c r="I156">
        <f>ROUND(100*NORM.DIST('A2 Inputs'!GM7,SUM('A2 Inputs'!FV$4:FV7)+'A2 Inputs'!CU7,'A2 Inputs'!GN7,TRUE),2)</f>
        <v/>
      </c>
      <c r="J156">
        <f>ROUND(100*NORM.DIST('A2 Inputs'!GM8,SUM('A2 Inputs'!FV$4:FV8)+'A2 Inputs'!CU8,'A2 Inputs'!GN8,TRUE),2)</f>
        <v/>
      </c>
      <c r="K156">
        <f>ROUND(100*NORM.DIST('A2 Inputs'!GM9,SUM('A2 Inputs'!FV$4:FV9)+'A2 Inputs'!CU9,'A2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ROUND('A2 Inputs'!GO4,0)</f>
        <v/>
      </c>
      <c r="G157">
        <f>ROUND('A2 Inputs'!GO5,0)</f>
        <v/>
      </c>
      <c r="H157">
        <f>ROUND('A2 Inputs'!GO6,0)</f>
        <v/>
      </c>
      <c r="I157">
        <f>ROUND('A2 Inputs'!GO7,0)</f>
        <v/>
      </c>
      <c r="J157">
        <f>ROUND('A2 Inputs'!GO8,0)</f>
        <v/>
      </c>
      <c r="K157">
        <f>ROUND('A2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ROUND('A2 Inputs'!GP4,0)</f>
        <v/>
      </c>
      <c r="G158">
        <f>ROUND('A2 Inputs'!GP5,0)</f>
        <v/>
      </c>
      <c r="H158">
        <f>ROUND('A2 Inputs'!GP6,0)</f>
        <v/>
      </c>
      <c r="I158">
        <f>ROUND('A2 Inputs'!GP7,0)</f>
        <v/>
      </c>
      <c r="J158">
        <f>ROUND('A2 Inputs'!GP8,0)</f>
        <v/>
      </c>
      <c r="K158">
        <f>ROUND('A2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ROUND(IF('A2 Inputs'!GQ4=0,0,100*('A2 Inputs'!GQ4/'A2 Inputs'!GQ4-1)),2)</f>
        <v/>
      </c>
      <c r="G159">
        <f>ROUND(IF('A2 Inputs'!GQ4=0,0,100*('A2 Inputs'!GQ5/'A2 Inputs'!GQ4-1)),2)</f>
        <v/>
      </c>
      <c r="H159">
        <f>ROUND(IF('A2 Inputs'!GQ5=0,0,100*('A2 Inputs'!GQ6/'A2 Inputs'!GQ5-1)),2)</f>
        <v/>
      </c>
      <c r="I159">
        <f>ROUND(IF('A2 Inputs'!GQ6=0,0,100*('A2 Inputs'!GQ7/'A2 Inputs'!GQ6-1)),2)</f>
        <v/>
      </c>
      <c r="J159">
        <f>ROUND(IF('A2 Inputs'!GQ7=0,0,100*('A2 Inputs'!GQ8/'A2 Inputs'!GQ7-1)),2)</f>
        <v/>
      </c>
      <c r="K159">
        <f>ROUND(IF('A2 Inputs'!GQ8=0,0,100*('A2 Inputs'!GQ9/'A2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ROUND('A2 Inputs'!GR4,0)</f>
        <v/>
      </c>
      <c r="G160">
        <f>ROUND('A2 Inputs'!GR5,0)</f>
        <v/>
      </c>
      <c r="H160">
        <f>ROUND('A2 Inputs'!GR6,0)</f>
        <v/>
      </c>
      <c r="I160">
        <f>ROUND('A2 Inputs'!GR7,0)</f>
        <v/>
      </c>
      <c r="J160">
        <f>ROUND('A2 Inputs'!GR8,0)</f>
        <v/>
      </c>
      <c r="K160">
        <f>ROUND('A2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ROUND(IF(OR('A2 Inputs'!M4=0,'A2 Inputs'!W4=0,'A2 Inputs'!M4=0),0,100*(('A2 Inputs'!W4/'A2 Inputs'!M4)/('A2 Inputs'!W4/'A2 Inputs'!M4)-1)),2)</f>
        <v/>
      </c>
      <c r="G161">
        <f>ROUND(IF(OR('A2 Inputs'!M4=0,'A2 Inputs'!W4=0,'A2 Inputs'!M5=0),0,100*(('A2 Inputs'!W5/'A2 Inputs'!M5)/('A2 Inputs'!W4/'A2 Inputs'!M4)-1)),2)</f>
        <v/>
      </c>
      <c r="H161">
        <f>ROUND(IF(OR('A2 Inputs'!M5=0,'A2 Inputs'!W5=0,'A2 Inputs'!M6=0),0,100*(('A2 Inputs'!W6/'A2 Inputs'!M6)/('A2 Inputs'!W5/'A2 Inputs'!M5)-1)),2)</f>
        <v/>
      </c>
      <c r="I161">
        <f>ROUND(IF(OR('A2 Inputs'!M6=0,'A2 Inputs'!W6=0,'A2 Inputs'!M7=0),0,100*(('A2 Inputs'!W7/'A2 Inputs'!M7)/('A2 Inputs'!W6/'A2 Inputs'!M6)-1)),2)</f>
        <v/>
      </c>
      <c r="J161">
        <f>ROUND(IF(OR('A2 Inputs'!M7=0,'A2 Inputs'!W7=0,'A2 Inputs'!M8=0),0,100*(('A2 Inputs'!W8/'A2 Inputs'!M8)/('A2 Inputs'!W7/'A2 Inputs'!M7)-1)),2)</f>
        <v/>
      </c>
      <c r="K161">
        <f>ROUND(IF(OR('A2 Inputs'!M8=0,'A2 Inputs'!W8=0,'A2 Inputs'!M9=0),0,100*(('A2 Inputs'!W9/'A2 Inputs'!M9)/('A2 Inputs'!W8/'A2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ROUND(IF(OR('A2 Inputs'!M4=0,'A2 Inputs'!AW4=0,'A2 Inputs'!M4=0),0,100*(('A2 Inputs'!AW4/'A2 Inputs'!M4)/('A2 Inputs'!AW4/'A2 Inputs'!M4)-1)),2)</f>
        <v/>
      </c>
      <c r="G162">
        <f>ROUND(IF(OR('A2 Inputs'!M4=0,'A2 Inputs'!AW4=0,'A2 Inputs'!M5=0),0,100*(('A2 Inputs'!AW5/'A2 Inputs'!M5)/('A2 Inputs'!AW4/'A2 Inputs'!M4)-1)),2)</f>
        <v/>
      </c>
      <c r="H162">
        <f>ROUND(IF(OR('A2 Inputs'!M5=0,'A2 Inputs'!AW5=0,'A2 Inputs'!M6=0),0,100*(('A2 Inputs'!AW6/'A2 Inputs'!M6)/('A2 Inputs'!AW5/'A2 Inputs'!M5)-1)),2)</f>
        <v/>
      </c>
      <c r="I162">
        <f>ROUND(IF(OR('A2 Inputs'!M6=0,'A2 Inputs'!AW6=0,'A2 Inputs'!M7=0),0,100*(('A2 Inputs'!AW7/'A2 Inputs'!M7)/('A2 Inputs'!AW6/'A2 Inputs'!M6)-1)),2)</f>
        <v/>
      </c>
      <c r="J162">
        <f>ROUND(IF(OR('A2 Inputs'!M7=0,'A2 Inputs'!AW7=0,'A2 Inputs'!M8=0),0,100*(('A2 Inputs'!AW8/'A2 Inputs'!M8)/('A2 Inputs'!AW7/'A2 Inputs'!M7)-1)),2)</f>
        <v/>
      </c>
      <c r="K162">
        <f>ROUND(IF(OR('A2 Inputs'!M8=0,'A2 Inputs'!AW8=0,'A2 Inputs'!M9=0),0,100*(('A2 Inputs'!AW9/'A2 Inputs'!M9)/('A2 Inputs'!AW8/'A2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ROUND(IFERROR(100*'Plant01 Inputs'!M4/'Plant01 Inputs'!K4,0),2)</f>
        <v/>
      </c>
      <c r="G2">
        <f>ROUND(IFERROR(100*'Plant01 Inputs'!M5/'Plant01 Inputs'!K5,0),2)</f>
        <v/>
      </c>
      <c r="H2">
        <f>ROUND(IFERROR(100*'Plant01 Inputs'!M6/'Plant01 Inputs'!K6,0),2)</f>
        <v/>
      </c>
      <c r="I2">
        <f>ROUND(IFERROR(100*'Plant01 Inputs'!M7/'Plant01 Inputs'!K7,0),2)</f>
        <v/>
      </c>
      <c r="J2">
        <f>ROUND(IFERROR(100*'Plant01 Inputs'!M8/'Plant01 Inputs'!K8,0),2)</f>
        <v/>
      </c>
      <c r="K2">
        <f>ROUND(IFERROR(100*'Plant01 Inputs'!M9/'Plant01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ROUND(IFERROR(100*'Plant01 Inputs'!M4/'Plant01 Inputs'!J4,0),2)</f>
        <v/>
      </c>
      <c r="G3">
        <f>ROUND(IFERROR(100*'Plant01 Inputs'!M5/'Plant01 Inputs'!J5,0),2)</f>
        <v/>
      </c>
      <c r="H3">
        <f>ROUND(IFERROR(100*'Plant01 Inputs'!M6/'Plant01 Inputs'!J6,0),2)</f>
        <v/>
      </c>
      <c r="I3">
        <f>ROUND(IFERROR(100*'Plant01 Inputs'!M7/'Plant01 Inputs'!J7,0),2)</f>
        <v/>
      </c>
      <c r="J3">
        <f>ROUND(IFERROR(100*'Plant01 Inputs'!M8/'Plant01 Inputs'!J8,0),2)</f>
        <v/>
      </c>
      <c r="K3">
        <f>ROUND(IFERROR(100*'Plant01 Inputs'!M9/'Plant01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ROUND(IFERROR(100*'Plant01 Inputs'!G4/'Plant01 Inputs'!E4,0),2)</f>
        <v/>
      </c>
      <c r="G4">
        <f>ROUND(IFERROR(100*'Plant01 Inputs'!G5/'Plant01 Inputs'!E5,0),2)</f>
        <v/>
      </c>
      <c r="H4">
        <f>ROUND(IFERROR(100*'Plant01 Inputs'!G6/'Plant01 Inputs'!E6,0),2)</f>
        <v/>
      </c>
      <c r="I4">
        <f>ROUND(IFERROR(100*'Plant01 Inputs'!G7/'Plant01 Inputs'!E7,0),2)</f>
        <v/>
      </c>
      <c r="J4">
        <f>ROUND(IFERROR(100*'Plant01 Inputs'!G8/'Plant01 Inputs'!E8,0),2)</f>
        <v/>
      </c>
      <c r="K4">
        <f>ROUND(IFERROR(100*'Plant01 Inputs'!G9/'Plant01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ROUND(IFERROR(100*'Plant01 Inputs'!M4/'Plant01 Inputs'!I4,0),2)</f>
        <v/>
      </c>
      <c r="G5">
        <f>ROUND(IFERROR(100*'Plant01 Inputs'!M5/'Plant01 Inputs'!I5,0),2)</f>
        <v/>
      </c>
      <c r="H5">
        <f>ROUND(IFERROR(100*'Plant01 Inputs'!M6/'Plant01 Inputs'!I6,0),2)</f>
        <v/>
      </c>
      <c r="I5">
        <f>ROUND(IFERROR(100*'Plant01 Inputs'!M7/'Plant01 Inputs'!I7,0),2)</f>
        <v/>
      </c>
      <c r="J5">
        <f>ROUND(IFERROR(100*'Plant01 Inputs'!M8/'Plant01 Inputs'!I8,0),2)</f>
        <v/>
      </c>
      <c r="K5">
        <f>ROUND(IFERROR(100*'Plant01 Inputs'!M9/'Plant01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ROUND(IFERROR(100*'Plant01 Inputs'!P4/'Plant01 Inputs'!O4,0),2)</f>
        <v/>
      </c>
      <c r="G6">
        <f>ROUND(IFERROR(100*'Plant01 Inputs'!P5/'Plant01 Inputs'!O5,0),2)</f>
        <v/>
      </c>
      <c r="H6">
        <f>ROUND(IFERROR(100*'Plant01 Inputs'!P6/'Plant01 Inputs'!O6,0),2)</f>
        <v/>
      </c>
      <c r="I6">
        <f>ROUND(IFERROR(100*'Plant01 Inputs'!P7/'Plant01 Inputs'!O7,0),2)</f>
        <v/>
      </c>
      <c r="J6">
        <f>ROUND(IFERROR(100*'Plant01 Inputs'!P8/'Plant01 Inputs'!O8,0),2)</f>
        <v/>
      </c>
      <c r="K6">
        <f>ROUND(IFERROR(100*'Plant01 Inputs'!P9/'Plant01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ROUND(IFERROR(100*'Plant01 Inputs'!M4/'Plant01 Inputs'!N4,0),2)</f>
        <v/>
      </c>
      <c r="G7">
        <f>ROUND(IFERROR(100*'Plant01 Inputs'!M5/'Plant01 Inputs'!N5,0),2)</f>
        <v/>
      </c>
      <c r="H7">
        <f>ROUND(IFERROR(100*'Plant01 Inputs'!M6/'Plant01 Inputs'!N6,0),2)</f>
        <v/>
      </c>
      <c r="I7">
        <f>ROUND(IFERROR(100*'Plant01 Inputs'!M7/'Plant01 Inputs'!N7,0),2)</f>
        <v/>
      </c>
      <c r="J7">
        <f>ROUND(IFERROR(100*'Plant01 Inputs'!M8/'Plant01 Inputs'!N8,0),2)</f>
        <v/>
      </c>
      <c r="K7">
        <f>ROUND(IFERROR(100*'Plant01 Inputs'!M9/'Plant01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ROUND(IFERROR('Plant01 Inputs'!G4/'Plant01 Inputs'!R4,0),2)</f>
        <v/>
      </c>
      <c r="G8">
        <f>ROUND(IFERROR('Plant01 Inputs'!G5/'Plant01 Inputs'!R5,0),2)</f>
        <v/>
      </c>
      <c r="H8">
        <f>ROUND(IFERROR('Plant01 Inputs'!G6/'Plant01 Inputs'!R6,0),2)</f>
        <v/>
      </c>
      <c r="I8">
        <f>ROUND(IFERROR('Plant01 Inputs'!G7/'Plant01 Inputs'!R7,0),2)</f>
        <v/>
      </c>
      <c r="J8">
        <f>ROUND(IFERROR('Plant01 Inputs'!G8/'Plant01 Inputs'!R8,0),2)</f>
        <v/>
      </c>
      <c r="K8">
        <f>ROUND(IFERROR('Plant01 Inputs'!G9/'Plant01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ROUND(IFERROR('Plant01 Inputs'!S4/'Plant01 Inputs'!R4,0),2)</f>
        <v/>
      </c>
      <c r="G9">
        <f>ROUND(IFERROR('Plant01 Inputs'!S5/'Plant01 Inputs'!R5,0),2)</f>
        <v/>
      </c>
      <c r="H9">
        <f>ROUND(IFERROR('Plant01 Inputs'!S6/'Plant01 Inputs'!R6,0),2)</f>
        <v/>
      </c>
      <c r="I9">
        <f>ROUND(IFERROR('Plant01 Inputs'!S7/'Plant01 Inputs'!R7,0),2)</f>
        <v/>
      </c>
      <c r="J9">
        <f>ROUND(IFERROR('Plant01 Inputs'!S8/'Plant01 Inputs'!R8,0),2)</f>
        <v/>
      </c>
      <c r="K9">
        <f>ROUND(IFERROR('Plant01 Inputs'!S9/'Plant01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ROUND('Plant01 Inputs'!H4,2)</f>
        <v/>
      </c>
      <c r="G10">
        <f>ROUND('Plant01 Inputs'!H5,2)</f>
        <v/>
      </c>
      <c r="H10">
        <f>ROUND('Plant01 Inputs'!H6,2)</f>
        <v/>
      </c>
      <c r="I10">
        <f>ROUND('Plant01 Inputs'!H7,2)</f>
        <v/>
      </c>
      <c r="J10">
        <f>ROUND('Plant01 Inputs'!H8,2)</f>
        <v/>
      </c>
      <c r="K10">
        <f>ROUND('Plant01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ROUND('Plant01 Inputs'!Q4,2)</f>
        <v/>
      </c>
      <c r="G11">
        <f>ROUND('Plant01 Inputs'!Q5,2)</f>
        <v/>
      </c>
      <c r="H11">
        <f>ROUND('Plant01 Inputs'!Q6,2)</f>
        <v/>
      </c>
      <c r="I11">
        <f>ROUND('Plant01 Inputs'!Q7,2)</f>
        <v/>
      </c>
      <c r="J11">
        <f>ROUND('Plant01 Inputs'!Q8,2)</f>
        <v/>
      </c>
      <c r="K11">
        <f>ROUND('Plant01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ROUND(IFERROR(100*'Plant01 Inputs'!U4/'Plant01 Inputs'!T4,0),2)</f>
        <v/>
      </c>
      <c r="G12">
        <f>ROUND(IFERROR(100*'Plant01 Inputs'!U5/'Plant01 Inputs'!T5,0),2)</f>
        <v/>
      </c>
      <c r="H12">
        <f>ROUND(IFERROR(100*'Plant01 Inputs'!U6/'Plant01 Inputs'!T6,0),2)</f>
        <v/>
      </c>
      <c r="I12">
        <f>ROUND(IFERROR(100*'Plant01 Inputs'!U7/'Plant01 Inputs'!T7,0),2)</f>
        <v/>
      </c>
      <c r="J12">
        <f>ROUND(IFERROR(100*'Plant01 Inputs'!U8/'Plant01 Inputs'!T8,0),2)</f>
        <v/>
      </c>
      <c r="K12">
        <f>ROUND(IFERROR(100*'Plant01 Inputs'!U9/'Plant01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ROUND(IFERROR(1000*('Plant01 Inputs'!V4+'Plant01 Inputs'!X4)/'Plant01 Inputs'!M4,0),2)</f>
        <v/>
      </c>
      <c r="G13">
        <f>ROUND(IFERROR(1000*('Plant01 Inputs'!V5+'Plant01 Inputs'!X5)/'Plant01 Inputs'!M5,0),2)</f>
        <v/>
      </c>
      <c r="H13">
        <f>ROUND(IFERROR(1000*('Plant01 Inputs'!V6+'Plant01 Inputs'!X6)/'Plant01 Inputs'!M6,0),2)</f>
        <v/>
      </c>
      <c r="I13">
        <f>ROUND(IFERROR(1000*('Plant01 Inputs'!V7+'Plant01 Inputs'!X7)/'Plant01 Inputs'!M7,0),2)</f>
        <v/>
      </c>
      <c r="J13">
        <f>ROUND(IFERROR(1000*('Plant01 Inputs'!V8+'Plant01 Inputs'!X8)/'Plant01 Inputs'!M8,0),2)</f>
        <v/>
      </c>
      <c r="K13">
        <f>ROUND(IFERROR(1000*('Plant01 Inputs'!V9+'Plant01 Inputs'!X9)/'Plant01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ROUND('Plant01 Inputs'!V4,2)</f>
        <v/>
      </c>
      <c r="G14">
        <f>ROUND('Plant01 Inputs'!V5,2)</f>
        <v/>
      </c>
      <c r="H14">
        <f>ROUND('Plant01 Inputs'!V6,2)</f>
        <v/>
      </c>
      <c r="I14">
        <f>ROUND('Plant01 Inputs'!V7,2)</f>
        <v/>
      </c>
      <c r="J14">
        <f>ROUND('Plant01 Inputs'!V8,2)</f>
        <v/>
      </c>
      <c r="K14">
        <f>ROUND('Plant01 Inputs'!V9,2)</f>
        <v/>
      </c>
      <c r="L14" t="inlineStr">
        <is>
          <t>variable_cost_k</t>
        </is>
      </c>
    </row>
    <row r="15">
      <c r="A15" t="inlineStr">
        <is>
          <t>CST-003</t>
        </is>
      </c>
      <c r="B15" t="inlineStr">
        <is>
          <t>Fuel cost</t>
        </is>
      </c>
      <c r="C15" t="inlineStr">
        <is>
          <t>₹ thousand</t>
        </is>
      </c>
      <c r="D15" t="inlineStr">
        <is>
          <t>Month</t>
        </is>
      </c>
      <c r="E15" t="inlineStr">
        <is>
          <t>Fuel cost</t>
        </is>
      </c>
      <c r="F15">
        <f>ROUND('Plant01 Inputs'!W4,2)</f>
        <v/>
      </c>
      <c r="G15">
        <f>ROUND('Plant01 Inputs'!W5,2)</f>
        <v/>
      </c>
      <c r="H15">
        <f>ROUND('Plant01 Inputs'!W6,2)</f>
        <v/>
      </c>
      <c r="I15">
        <f>ROUND('Plant01 Inputs'!W7,2)</f>
        <v/>
      </c>
      <c r="J15">
        <f>ROUND('Plant01 Inputs'!W8,2)</f>
        <v/>
      </c>
      <c r="K15">
        <f>ROUND('Plant01 Inputs'!W9,2)</f>
        <v/>
      </c>
      <c r="L15" t="inlineStr">
        <is>
          <t>fuel_cost_k</t>
        </is>
      </c>
    </row>
    <row r="16">
      <c r="A16" t="inlineStr">
        <is>
          <t>SUS-001</t>
        </is>
      </c>
      <c r="B16" t="inlineStr">
        <is>
          <t>Water usage</t>
        </is>
      </c>
      <c r="C16" t="inlineStr">
        <is>
          <t>m3</t>
        </is>
      </c>
      <c r="D16" t="inlineStr">
        <is>
          <t>Month</t>
        </is>
      </c>
      <c r="E16" t="inlineStr">
        <is>
          <t>Water used</t>
        </is>
      </c>
      <c r="F16">
        <f>ROUND('Plant01 Inputs'!Y4,2)</f>
        <v/>
      </c>
      <c r="G16">
        <f>ROUND('Plant01 Inputs'!Y5,2)</f>
        <v/>
      </c>
      <c r="H16">
        <f>ROUND('Plant01 Inputs'!Y6,2)</f>
        <v/>
      </c>
      <c r="I16">
        <f>ROUND('Plant01 Inputs'!Y7,2)</f>
        <v/>
      </c>
      <c r="J16">
        <f>ROUND('Plant01 Inputs'!Y8,2)</f>
        <v/>
      </c>
      <c r="K16">
        <f>ROUND('Plant01 Inputs'!Y9,2)</f>
        <v/>
      </c>
      <c r="L16" t="inlineStr">
        <is>
          <t>water_m3</t>
        </is>
      </c>
    </row>
    <row r="17">
      <c r="A17" t="inlineStr">
        <is>
          <t>SUS-002</t>
        </is>
      </c>
      <c r="B17" t="inlineStr">
        <is>
          <t>Emissions</t>
        </is>
      </c>
      <c r="C17" t="inlineStr">
        <is>
          <t>tCO2e</t>
        </is>
      </c>
      <c r="D17" t="inlineStr">
        <is>
          <t>Month</t>
        </is>
      </c>
      <c r="E17" t="inlineStr">
        <is>
          <t>Emissions</t>
        </is>
      </c>
      <c r="F17">
        <f>ROUND('Plant01 Inputs'!Z4,2)</f>
        <v/>
      </c>
      <c r="G17">
        <f>ROUND('Plant01 Inputs'!Z5,2)</f>
        <v/>
      </c>
      <c r="H17">
        <f>ROUND('Plant01 Inputs'!Z6,2)</f>
        <v/>
      </c>
      <c r="I17">
        <f>ROUND('Plant01 Inputs'!Z7,2)</f>
        <v/>
      </c>
      <c r="J17">
        <f>ROUND('Plant01 Inputs'!Z8,2)</f>
        <v/>
      </c>
      <c r="K17">
        <f>ROUND('Plant01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ROUND(IFERROR('Plant01 Inputs'!AA4/'Plant01 Inputs'!M4,0),2)</f>
        <v/>
      </c>
      <c r="G18">
        <f>ROUND(IFERROR('Plant01 Inputs'!AA5/'Plant01 Inputs'!M5,0),2)</f>
        <v/>
      </c>
      <c r="H18">
        <f>ROUND(IFERROR('Plant01 Inputs'!AA6/'Plant01 Inputs'!M6,0),2)</f>
        <v/>
      </c>
      <c r="I18">
        <f>ROUND(IFERROR('Plant01 Inputs'!AA7/'Plant01 Inputs'!M7,0),2)</f>
        <v/>
      </c>
      <c r="J18">
        <f>ROUND(IFERROR('Plant01 Inputs'!AA8/'Plant01 Inputs'!M8,0),2)</f>
        <v/>
      </c>
      <c r="K18">
        <f>ROUND(IFERROR('Plant01 Inputs'!AA9/'Plant01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ROUND('Plant01 Inputs'!AB4,2)</f>
        <v/>
      </c>
      <c r="G19">
        <f>ROUND('Plant01 Inputs'!AB5,2)</f>
        <v/>
      </c>
      <c r="H19">
        <f>ROUND('Plant01 Inputs'!AB6,2)</f>
        <v/>
      </c>
      <c r="I19">
        <f>ROUND('Plant01 Inputs'!AB7,2)</f>
        <v/>
      </c>
      <c r="J19">
        <f>ROUND('Plant01 Inputs'!AB8,2)</f>
        <v/>
      </c>
      <c r="K19">
        <f>ROUND('Plant01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ROUND('Plant01 Inputs'!AC4,2)</f>
        <v/>
      </c>
      <c r="G20">
        <f>ROUND('Plant01 Inputs'!AC5,2)</f>
        <v/>
      </c>
      <c r="H20">
        <f>ROUND('Plant01 Inputs'!AC6,2)</f>
        <v/>
      </c>
      <c r="I20">
        <f>ROUND('Plant01 Inputs'!AC7,2)</f>
        <v/>
      </c>
      <c r="J20">
        <f>ROUND('Plant01 Inputs'!AC8,2)</f>
        <v/>
      </c>
      <c r="K20">
        <f>ROUND('Plant01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ROUND('Plant01 Inputs'!AO4,2)</f>
        <v/>
      </c>
      <c r="G21">
        <f>ROUND('Plant01 Inputs'!AO5,2)</f>
        <v/>
      </c>
      <c r="H21">
        <f>ROUND('Plant01 Inputs'!AO6,2)</f>
        <v/>
      </c>
      <c r="I21">
        <f>ROUND('Plant01 Inputs'!AO7,2)</f>
        <v/>
      </c>
      <c r="J21">
        <f>ROUND('Plant01 Inputs'!AO8,2)</f>
        <v/>
      </c>
      <c r="K21">
        <f>ROUND('Plant01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ROUND(IFERROR(100*'Plant01 Inputs'!AQ4/'Plant01 Inputs'!AP4,0),2)</f>
        <v/>
      </c>
      <c r="G22">
        <f>ROUND(IFERROR(100*'Plant01 Inputs'!AQ5/'Plant01 Inputs'!AP5,0),2)</f>
        <v/>
      </c>
      <c r="H22">
        <f>ROUND(IFERROR(100*'Plant01 Inputs'!AQ6/'Plant01 Inputs'!AP6,0),2)</f>
        <v/>
      </c>
      <c r="I22">
        <f>ROUND(IFERROR(100*'Plant01 Inputs'!AQ7/'Plant01 Inputs'!AP7,0),2)</f>
        <v/>
      </c>
      <c r="J22">
        <f>ROUND(IFERROR(100*'Plant01 Inputs'!AQ8/'Plant01 Inputs'!AP8,0),2)</f>
        <v/>
      </c>
      <c r="K22">
        <f>ROUND(IFERROR(100*'Plant01 Inputs'!AQ9/'Plant01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ROUND('Plant01 Inputs'!AJ4,2)</f>
        <v/>
      </c>
      <c r="G23">
        <f>ROUND('Plant01 Inputs'!AJ5,2)</f>
        <v/>
      </c>
      <c r="H23">
        <f>ROUND('Plant01 Inputs'!AJ6,2)</f>
        <v/>
      </c>
      <c r="I23">
        <f>ROUND('Plant01 Inputs'!AJ7,2)</f>
        <v/>
      </c>
      <c r="J23">
        <f>ROUND('Plant01 Inputs'!AJ8,2)</f>
        <v/>
      </c>
      <c r="K23">
        <f>ROUND('Plant01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ROUND(IFERROR(200000*'Plant01 Inputs'!AE4/'Plant01 Inputs'!AD4,0),2)</f>
        <v/>
      </c>
      <c r="G24">
        <f>ROUND(IFERROR(200000*'Plant01 Inputs'!AE5/'Plant01 Inputs'!AD5,0),2)</f>
        <v/>
      </c>
      <c r="H24">
        <f>ROUND(IFERROR(200000*'Plant01 Inputs'!AE6/'Plant01 Inputs'!AD6,0),2)</f>
        <v/>
      </c>
      <c r="I24">
        <f>ROUND(IFERROR(200000*'Plant01 Inputs'!AE7/'Plant01 Inputs'!AD7,0),2)</f>
        <v/>
      </c>
      <c r="J24">
        <f>ROUND(IFERROR(200000*'Plant01 Inputs'!AE8/'Plant01 Inputs'!AD8,0),2)</f>
        <v/>
      </c>
      <c r="K24">
        <f>ROUND(IFERROR(200000*'Plant01 Inputs'!AE9/'Plant01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ROUND('Plant01 Inputs'!AF4,2)</f>
        <v/>
      </c>
      <c r="G25">
        <f>ROUND('Plant01 Inputs'!AF5,2)</f>
        <v/>
      </c>
      <c r="H25">
        <f>ROUND('Plant01 Inputs'!AF6,2)</f>
        <v/>
      </c>
      <c r="I25">
        <f>ROUND('Plant01 Inputs'!AF7,2)</f>
        <v/>
      </c>
      <c r="J25">
        <f>ROUND('Plant01 Inputs'!AF8,2)</f>
        <v/>
      </c>
      <c r="K25">
        <f>ROUND('Plant01 Inputs'!AF9,2)</f>
        <v/>
      </c>
      <c r="L25" t="inlineStr">
        <is>
          <t>severity_incidents</t>
        </is>
      </c>
    </row>
    <row r="26">
      <c r="A26" t="inlineStr">
        <is>
          <t>EHS-003</t>
        </is>
      </c>
      <c r="B26" t="inlineStr">
        <is>
          <t>Near misses</t>
        </is>
      </c>
      <c r="C26" t="inlineStr">
        <is>
          <t>count</t>
        </is>
      </c>
      <c r="D26" t="inlineStr">
        <is>
          <t>Month</t>
        </is>
      </c>
      <c r="E26" t="inlineStr">
        <is>
          <t>Near misses</t>
        </is>
      </c>
      <c r="F26">
        <f>ROUND('Plant01 Inputs'!AG4,2)</f>
        <v/>
      </c>
      <c r="G26">
        <f>ROUND('Plant01 Inputs'!AG5,2)</f>
        <v/>
      </c>
      <c r="H26">
        <f>ROUND('Plant01 Inputs'!AG6,2)</f>
        <v/>
      </c>
      <c r="I26">
        <f>ROUND('Plant01 Inputs'!AG7,2)</f>
        <v/>
      </c>
      <c r="J26">
        <f>ROUND('Plant01 Inputs'!AG8,2)</f>
        <v/>
      </c>
      <c r="K26">
        <f>ROUND('Plant01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ROUND('Plant01 Inputs'!AH4,2)</f>
        <v/>
      </c>
      <c r="G27">
        <f>ROUND('Plant01 Inputs'!AH5,2)</f>
        <v/>
      </c>
      <c r="H27">
        <f>ROUND('Plant01 Inputs'!AH6,2)</f>
        <v/>
      </c>
      <c r="I27">
        <f>ROUND('Plant01 Inputs'!AH7,2)</f>
        <v/>
      </c>
      <c r="J27">
        <f>ROUND('Plant01 Inputs'!AH8,2)</f>
        <v/>
      </c>
      <c r="K27">
        <f>ROUND('Plant01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ROUND('Plant01 Inputs'!AI4,2)</f>
        <v/>
      </c>
      <c r="G28">
        <f>ROUND('Plant01 Inputs'!AI5,2)</f>
        <v/>
      </c>
      <c r="H28">
        <f>ROUND('Plant01 Inputs'!AI6,2)</f>
        <v/>
      </c>
      <c r="I28">
        <f>ROUND('Plant01 Inputs'!AI7,2)</f>
        <v/>
      </c>
      <c r="J28">
        <f>ROUND('Plant01 Inputs'!AI8,2)</f>
        <v/>
      </c>
      <c r="K28">
        <f>ROUND('Plant01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ROUND('Plant01 Inputs'!AK4,2)</f>
        <v/>
      </c>
      <c r="G29">
        <f>ROUND('Plant01 Inputs'!AK5,2)</f>
        <v/>
      </c>
      <c r="H29">
        <f>ROUND('Plant01 Inputs'!AK6,2)</f>
        <v/>
      </c>
      <c r="I29">
        <f>ROUND('Plant01 Inputs'!AK7,2)</f>
        <v/>
      </c>
      <c r="J29">
        <f>ROUND('Plant01 Inputs'!AK8,2)</f>
        <v/>
      </c>
      <c r="K29">
        <f>ROUND('Plant01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ROUND('Plant01 Inputs'!AL4,2)</f>
        <v/>
      </c>
      <c r="G30">
        <f>ROUND('Plant01 Inputs'!AL5,2)</f>
        <v/>
      </c>
      <c r="H30">
        <f>ROUND('Plant01 Inputs'!AL6,2)</f>
        <v/>
      </c>
      <c r="I30">
        <f>ROUND('Plant01 Inputs'!AL7,2)</f>
        <v/>
      </c>
      <c r="J30">
        <f>ROUND('Plant01 Inputs'!AL8,2)</f>
        <v/>
      </c>
      <c r="K30">
        <f>ROUND('Plant01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ROUND(IF('Plant01 Inputs'!AM4=0,100,100*'Plant01 Inputs'!AN4/'Plant01 Inputs'!AM4),2)</f>
        <v/>
      </c>
      <c r="G31">
        <f>ROUND(IF('Plant01 Inputs'!AM5=0,100,100*'Plant01 Inputs'!AN5/'Plant01 Inputs'!AM5),2)</f>
        <v/>
      </c>
      <c r="H31">
        <f>ROUND(IF('Plant01 Inputs'!AM6=0,100,100*'Plant01 Inputs'!AN6/'Plant01 Inputs'!AM6),2)</f>
        <v/>
      </c>
      <c r="I31">
        <f>ROUND(IF('Plant01 Inputs'!AM7=0,100,100*'Plant01 Inputs'!AN7/'Plant01 Inputs'!AM7),2)</f>
        <v/>
      </c>
      <c r="J31">
        <f>ROUND(IF('Plant01 Inputs'!AM8=0,100,100*'Plant01 Inputs'!AN8/'Plant01 Inputs'!AM8),2)</f>
        <v/>
      </c>
      <c r="K31">
        <f>ROUND(IF('Plant01 Inputs'!AM9=0,100,100*'Plant01 Inputs'!AN9/'Plant01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ROUND('Plant01 Inputs'!AR4,2)</f>
        <v/>
      </c>
      <c r="G32">
        <f>ROUND('Plant01 Inputs'!AR5,2)</f>
        <v/>
      </c>
      <c r="H32">
        <f>ROUND('Plant01 Inputs'!AR6,2)</f>
        <v/>
      </c>
      <c r="I32">
        <f>ROUND('Plant01 Inputs'!AR7,2)</f>
        <v/>
      </c>
      <c r="J32">
        <f>ROUND('Plant01 Inputs'!AR8,2)</f>
        <v/>
      </c>
      <c r="K32">
        <f>ROUND('Plant01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ROUND(IFERROR(100*'Plant01 Inputs'!M4/'Plant01 Inputs'!J4,0),2)</f>
        <v/>
      </c>
      <c r="G33">
        <f>ROUND(IFERROR(100*'Plant01 Inputs'!M5/'Plant01 Inputs'!J5,0),2)</f>
        <v/>
      </c>
      <c r="H33">
        <f>ROUND(IFERROR(100*'Plant01 Inputs'!M6/'Plant01 Inputs'!J6,0),2)</f>
        <v/>
      </c>
      <c r="I33">
        <f>ROUND(IFERROR(100*'Plant01 Inputs'!M7/'Plant01 Inputs'!J7,0),2)</f>
        <v/>
      </c>
      <c r="J33">
        <f>ROUND(IFERROR(100*'Plant01 Inputs'!M8/'Plant01 Inputs'!J8,0),2)</f>
        <v/>
      </c>
      <c r="K33">
        <f>ROUND(IFERROR(100*'Plant01 Inputs'!M9/'Plant01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ROUND(IFERROR(100*'Plant01 Inputs'!M4/'Plant01 Inputs'!I4,0),2)</f>
        <v/>
      </c>
      <c r="G34">
        <f>ROUND(IFERROR(100*'Plant01 Inputs'!M5/'Plant01 Inputs'!I5,0),2)</f>
        <v/>
      </c>
      <c r="H34">
        <f>ROUND(IFERROR(100*'Plant01 Inputs'!M6/'Plant01 Inputs'!I6,0),2)</f>
        <v/>
      </c>
      <c r="I34">
        <f>ROUND(IFERROR(100*'Plant01 Inputs'!M7/'Plant01 Inputs'!I7,0),2)</f>
        <v/>
      </c>
      <c r="J34">
        <f>ROUND(IFERROR(100*'Plant01 Inputs'!M8/'Plant01 Inputs'!I8,0),2)</f>
        <v/>
      </c>
      <c r="K34">
        <f>ROUND(IFERROR(100*'Plant01 Inputs'!M9/'Plant01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ROUND(IF('Plant01 Inputs'!AT4=0,0,100*'Plant01 Inputs'!AS4/'Plant01 Inputs'!AT4),2)</f>
        <v/>
      </c>
      <c r="G35">
        <f>ROUND(IF('Plant01 Inputs'!AT5=0,0,100*'Plant01 Inputs'!AS5/'Plant01 Inputs'!AT5),2)</f>
        <v/>
      </c>
      <c r="H35">
        <f>ROUND(IF('Plant01 Inputs'!AT6=0,0,100*'Plant01 Inputs'!AS6/'Plant01 Inputs'!AT6),2)</f>
        <v/>
      </c>
      <c r="I35">
        <f>ROUND(IF('Plant01 Inputs'!AT7=0,0,100*'Plant01 Inputs'!AS7/'Plant01 Inputs'!AT7),2)</f>
        <v/>
      </c>
      <c r="J35">
        <f>ROUND(IF('Plant01 Inputs'!AT8=0,0,100*'Plant01 Inputs'!AS8/'Plant01 Inputs'!AT8),2)</f>
        <v/>
      </c>
      <c r="K35">
        <f>ROUND(IF('Plant01 Inputs'!AT9=0,0,100*'Plant01 Inputs'!AS9/'Plant01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ROUND(IF('Plant01 Inputs'!AT4=0,0,100*'Plant01 Inputs'!AS4/'Plant01 Inputs'!AT4),2)</f>
        <v/>
      </c>
      <c r="G36">
        <f>ROUND(IF('Plant01 Inputs'!AT5=0,0,100*'Plant01 Inputs'!AS5/'Plant01 Inputs'!AT5),2)</f>
        <v/>
      </c>
      <c r="H36">
        <f>ROUND(IF('Plant01 Inputs'!AT6=0,0,100*'Plant01 Inputs'!AS6/'Plant01 Inputs'!AT6),2)</f>
        <v/>
      </c>
      <c r="I36">
        <f>ROUND(IF('Plant01 Inputs'!AT7=0,0,100*'Plant01 Inputs'!AS7/'Plant01 Inputs'!AT7),2)</f>
        <v/>
      </c>
      <c r="J36">
        <f>ROUND(IF('Plant01 Inputs'!AT8=0,0,100*'Plant01 Inputs'!AS8/'Plant01 Inputs'!AT8),2)</f>
        <v/>
      </c>
      <c r="K36">
        <f>ROUND(IF('Plant01 Inputs'!AT9=0,0,100*'Plant01 Inputs'!AS9/'Plant01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ROUND(IF('Plant01 Inputs'!M4=0,0,1000*'Plant01 Inputs'!AW4/'Plant01 Inputs'!M4),2)</f>
        <v/>
      </c>
      <c r="G37">
        <f>ROUND(IF('Plant01 Inputs'!M5=0,0,1000*'Plant01 Inputs'!AW5/'Plant01 Inputs'!M5),2)</f>
        <v/>
      </c>
      <c r="H37">
        <f>ROUND(IF('Plant01 Inputs'!M6=0,0,1000*'Plant01 Inputs'!AW6/'Plant01 Inputs'!M6),2)</f>
        <v/>
      </c>
      <c r="I37">
        <f>ROUND(IF('Plant01 Inputs'!M7=0,0,1000*'Plant01 Inputs'!AW7/'Plant01 Inputs'!M7),2)</f>
        <v/>
      </c>
      <c r="J37">
        <f>ROUND(IF('Plant01 Inputs'!M8=0,0,1000*'Plant01 Inputs'!AW8/'Plant01 Inputs'!M8),2)</f>
        <v/>
      </c>
      <c r="K37">
        <f>ROUND(IF('Plant01 Inputs'!M9=0,0,1000*'Plant01 Inputs'!AW9/'Plant01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ROUND(SUM('Plant01 Inputs'!AU$4:AU4)/1000,2)</f>
        <v/>
      </c>
      <c r="G38">
        <f>ROUND(SUM('Plant01 Inputs'!AU$4:AU5)/1000,2)</f>
        <v/>
      </c>
      <c r="H38">
        <f>ROUND(SUM('Plant01 Inputs'!AU$4:AU6)/1000,2)</f>
        <v/>
      </c>
      <c r="I38">
        <f>ROUND(SUM('Plant01 Inputs'!AU$4:AU7)/1000,2)</f>
        <v/>
      </c>
      <c r="J38">
        <f>ROUND(SUM('Plant01 Inputs'!AU$4:AU8)/1000,2)</f>
        <v/>
      </c>
      <c r="K38">
        <f>ROUND(SUM('Plant01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ROUND(IF('Plant01 Inputs'!AY4=0,0,100*'Plant01 Inputs'!AZ4/'Plant01 Inputs'!AY4),2)</f>
        <v/>
      </c>
      <c r="G39">
        <f>ROUND(IF('Plant01 Inputs'!AY5=0,0,100*'Plant01 Inputs'!AZ5/'Plant01 Inputs'!AY5),2)</f>
        <v/>
      </c>
      <c r="H39">
        <f>ROUND(IF('Plant01 Inputs'!AY6=0,0,100*'Plant01 Inputs'!AZ6/'Plant01 Inputs'!AY6),2)</f>
        <v/>
      </c>
      <c r="I39">
        <f>ROUND(IF('Plant01 Inputs'!AY7=0,0,100*'Plant01 Inputs'!AZ7/'Plant01 Inputs'!AY7),2)</f>
        <v/>
      </c>
      <c r="J39">
        <f>ROUND(IF('Plant01 Inputs'!AY8=0,0,100*'Plant01 Inputs'!AZ8/'Plant01 Inputs'!AY8),2)</f>
        <v/>
      </c>
      <c r="K39">
        <f>ROUND(IF('Plant01 Inputs'!AY9=0,0,100*'Plant01 Inputs'!AZ9/'Plant01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ROUND(IF('Plant01 Inputs'!BA4=0,0,100*'Plant01 Inputs'!BB4/'Plant01 Inputs'!BA4),2)</f>
        <v/>
      </c>
      <c r="G40">
        <f>ROUND(IF('Plant01 Inputs'!BA5=0,0,100*'Plant01 Inputs'!BB5/'Plant01 Inputs'!BA5),2)</f>
        <v/>
      </c>
      <c r="H40">
        <f>ROUND(IF('Plant01 Inputs'!BA6=0,0,100*'Plant01 Inputs'!BB6/'Plant01 Inputs'!BA6),2)</f>
        <v/>
      </c>
      <c r="I40">
        <f>ROUND(IF('Plant01 Inputs'!BA7=0,0,100*'Plant01 Inputs'!BB7/'Plant01 Inputs'!BA7),2)</f>
        <v/>
      </c>
      <c r="J40">
        <f>ROUND(IF('Plant01 Inputs'!BA8=0,0,100*'Plant01 Inputs'!BB8/'Plant01 Inputs'!BA8),2)</f>
        <v/>
      </c>
      <c r="K40">
        <f>ROUND(IF('Plant01 Inputs'!BA9=0,0,100*'Plant01 Inputs'!BB9/'Plant01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ROUND(IF('Plant01 Inputs'!BB4=0,0,100*'Plant01 Inputs'!BC4/'Plant01 Inputs'!BB4),2)</f>
        <v/>
      </c>
      <c r="G41">
        <f>ROUND(IF('Plant01 Inputs'!BB5=0,0,100*'Plant01 Inputs'!BC5/'Plant01 Inputs'!BB5),2)</f>
        <v/>
      </c>
      <c r="H41">
        <f>ROUND(IF('Plant01 Inputs'!BB6=0,0,100*'Plant01 Inputs'!BC6/'Plant01 Inputs'!BB6),2)</f>
        <v/>
      </c>
      <c r="I41">
        <f>ROUND(IF('Plant01 Inputs'!BB7=0,0,100*'Plant01 Inputs'!BC7/'Plant01 Inputs'!BB7),2)</f>
        <v/>
      </c>
      <c r="J41">
        <f>ROUND(IF('Plant01 Inputs'!BB8=0,0,100*'Plant01 Inputs'!BC8/'Plant01 Inputs'!BB8),2)</f>
        <v/>
      </c>
      <c r="K41">
        <f>ROUND(IF('Plant01 Inputs'!BB9=0,0,100*'Plant01 Inputs'!BC9/'Plant01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ROUND(IF('Plant01 Inputs'!BD4=0,0,100*('Plant01 Inputs'!BE4-'Plant01 Inputs'!BD4)/'Plant01 Inputs'!BD4),2)</f>
        <v/>
      </c>
      <c r="G42">
        <f>ROUND(IF('Plant01 Inputs'!BD5=0,0,100*('Plant01 Inputs'!BE5-'Plant01 Inputs'!BD5)/'Plant01 Inputs'!BD5),2)</f>
        <v/>
      </c>
      <c r="H42">
        <f>ROUND(IF('Plant01 Inputs'!BD6=0,0,100*('Plant01 Inputs'!BE6-'Plant01 Inputs'!BD6)/'Plant01 Inputs'!BD6),2)</f>
        <v/>
      </c>
      <c r="I42">
        <f>ROUND(IF('Plant01 Inputs'!BD7=0,0,100*('Plant01 Inputs'!BE7-'Plant01 Inputs'!BD7)/'Plant01 Inputs'!BD7),2)</f>
        <v/>
      </c>
      <c r="J42">
        <f>ROUND(IF('Plant01 Inputs'!BD8=0,0,100*('Plant01 Inputs'!BE8-'Plant01 Inputs'!BD8)/'Plant01 Inputs'!BD8),2)</f>
        <v/>
      </c>
      <c r="K42">
        <f>ROUND(IF('Plant01 Inputs'!BD9=0,0,100*('Plant01 Inputs'!BE9-'Plant01 Inputs'!BD9)/'Plant01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ROUND(IF('Plant01 Inputs'!BF4=0,0,100*'Plant01 Inputs'!BG4/'Plant01 Inputs'!BF4),2)</f>
        <v/>
      </c>
      <c r="G43">
        <f>ROUND(IF('Plant01 Inputs'!BF5=0,0,100*'Plant01 Inputs'!BG5/'Plant01 Inputs'!BF5),2)</f>
        <v/>
      </c>
      <c r="H43">
        <f>ROUND(IF('Plant01 Inputs'!BF6=0,0,100*'Plant01 Inputs'!BG6/'Plant01 Inputs'!BF6),2)</f>
        <v/>
      </c>
      <c r="I43">
        <f>ROUND(IF('Plant01 Inputs'!BF7=0,0,100*'Plant01 Inputs'!BG7/'Plant01 Inputs'!BF7),2)</f>
        <v/>
      </c>
      <c r="J43">
        <f>ROUND(IF('Plant01 Inputs'!BF8=0,0,100*'Plant01 Inputs'!BG8/'Plant01 Inputs'!BF8),2)</f>
        <v/>
      </c>
      <c r="K43">
        <f>ROUND(IF('Plant01 Inputs'!BF9=0,0,100*'Plant01 Inputs'!BG9/'Plant01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ROUND(SUM('Plant01 Inputs'!BH$4:BH4),2)</f>
        <v/>
      </c>
      <c r="G44">
        <f>ROUND(SUM('Plant01 Inputs'!BH$4:BH5),2)</f>
        <v/>
      </c>
      <c r="H44">
        <f>ROUND(SUM('Plant01 Inputs'!BH$4:BH6),2)</f>
        <v/>
      </c>
      <c r="I44">
        <f>ROUND(SUM('Plant01 Inputs'!BH$4:BH7),2)</f>
        <v/>
      </c>
      <c r="J44">
        <f>ROUND(SUM('Plant01 Inputs'!BH$4:BH8),2)</f>
        <v/>
      </c>
      <c r="K44">
        <f>ROUND(SUM('Plant01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ROUND('Plant01 Inputs'!BI4,2)</f>
        <v/>
      </c>
      <c r="G45">
        <f>ROUND('Plant01 Inputs'!BI5,2)</f>
        <v/>
      </c>
      <c r="H45">
        <f>ROUND('Plant01 Inputs'!BI6,2)</f>
        <v/>
      </c>
      <c r="I45">
        <f>ROUND('Plant01 Inputs'!BI7,2)</f>
        <v/>
      </c>
      <c r="J45">
        <f>ROUND('Plant01 Inputs'!BI8,2)</f>
        <v/>
      </c>
      <c r="K45">
        <f>ROUND('Plant01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ROUND('Plant01 Inputs'!BJ4,2)</f>
        <v/>
      </c>
      <c r="G46">
        <f>ROUND('Plant01 Inputs'!BJ5,2)</f>
        <v/>
      </c>
      <c r="H46">
        <f>ROUND('Plant01 Inputs'!BJ6,2)</f>
        <v/>
      </c>
      <c r="I46">
        <f>ROUND('Plant01 Inputs'!BJ7,2)</f>
        <v/>
      </c>
      <c r="J46">
        <f>ROUND('Plant01 Inputs'!BJ8,2)</f>
        <v/>
      </c>
      <c r="K46">
        <f>ROUND('Plant01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ROUND('Plant01 Inputs'!BK4,2)</f>
        <v/>
      </c>
      <c r="G47">
        <f>ROUND('Plant01 Inputs'!BK5,2)</f>
        <v/>
      </c>
      <c r="H47">
        <f>ROUND('Plant01 Inputs'!BK6,2)</f>
        <v/>
      </c>
      <c r="I47">
        <f>ROUND('Plant01 Inputs'!BK7,2)</f>
        <v/>
      </c>
      <c r="J47">
        <f>ROUND('Plant01 Inputs'!BK8,2)</f>
        <v/>
      </c>
      <c r="K47">
        <f>ROUND('Plant01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ROUND('Plant01 Inputs'!BL4,2)</f>
        <v/>
      </c>
      <c r="G48">
        <f>ROUND('Plant01 Inputs'!BL5,2)</f>
        <v/>
      </c>
      <c r="H48">
        <f>ROUND('Plant01 Inputs'!BL6,2)</f>
        <v/>
      </c>
      <c r="I48">
        <f>ROUND('Plant01 Inputs'!BL7,2)</f>
        <v/>
      </c>
      <c r="J48">
        <f>ROUND('Plant01 Inputs'!BL8,2)</f>
        <v/>
      </c>
      <c r="K48">
        <f>ROUND('Plant01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ROUND('Plant01 Inputs'!BM4,2)</f>
        <v/>
      </c>
      <c r="G49">
        <f>ROUND('Plant01 Inputs'!BM5,2)</f>
        <v/>
      </c>
      <c r="H49">
        <f>ROUND('Plant01 Inputs'!BM6,2)</f>
        <v/>
      </c>
      <c r="I49">
        <f>ROUND('Plant01 Inputs'!BM7,2)</f>
        <v/>
      </c>
      <c r="J49">
        <f>ROUND('Plant01 Inputs'!BM8,2)</f>
        <v/>
      </c>
      <c r="K49">
        <f>ROUND('Plant01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ROUND('Plant01 Inputs'!BN4,2)</f>
        <v/>
      </c>
      <c r="G50">
        <f>ROUND('Plant01 Inputs'!BN5,2)</f>
        <v/>
      </c>
      <c r="H50">
        <f>ROUND('Plant01 Inputs'!BN6,2)</f>
        <v/>
      </c>
      <c r="I50">
        <f>ROUND('Plant01 Inputs'!BN7,2)</f>
        <v/>
      </c>
      <c r="J50">
        <f>ROUND('Plant01 Inputs'!BN8,2)</f>
        <v/>
      </c>
      <c r="K50">
        <f>ROUND('Plant01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ROUND('Plant01 Inputs'!BO4,2)</f>
        <v/>
      </c>
      <c r="G51">
        <f>ROUND('Plant01 Inputs'!BO5,2)</f>
        <v/>
      </c>
      <c r="H51">
        <f>ROUND('Plant01 Inputs'!BO6,2)</f>
        <v/>
      </c>
      <c r="I51">
        <f>ROUND('Plant01 Inputs'!BO7,2)</f>
        <v/>
      </c>
      <c r="J51">
        <f>ROUND('Plant01 Inputs'!BO8,2)</f>
        <v/>
      </c>
      <c r="K51">
        <f>ROUND('Plant01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IF('Plant01 Inputs'!BQ4&gt;0,"Triggered","Not triggered")</f>
        <v/>
      </c>
      <c r="G52">
        <f>IF('Plant01 Inputs'!BQ5&gt;0,"Triggered","Not triggered")</f>
        <v/>
      </c>
      <c r="H52">
        <f>IF('Plant01 Inputs'!BQ6&gt;0,"Triggered","Not triggered")</f>
        <v/>
      </c>
      <c r="I52">
        <f>IF('Plant01 Inputs'!BQ7&gt;0,"Triggered","Not triggered")</f>
        <v/>
      </c>
      <c r="J52">
        <f>IF('Plant01 Inputs'!BQ8&gt;0,"Triggered","Not triggered")</f>
        <v/>
      </c>
      <c r="K52">
        <f>IF('Plant01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ROUND(SUM('Plant01 Inputs'!BP$4:BP4),2)</f>
        <v/>
      </c>
      <c r="G53">
        <f>ROUND(SUM('Plant01 Inputs'!BP$4:BP5),2)</f>
        <v/>
      </c>
      <c r="H53">
        <f>ROUND(SUM('Plant01 Inputs'!BP$4:BP6),2)</f>
        <v/>
      </c>
      <c r="I53">
        <f>ROUND(SUM('Plant01 Inputs'!BP$4:BP7),2)</f>
        <v/>
      </c>
      <c r="J53">
        <f>ROUND(SUM('Plant01 Inputs'!BP$4:BP8),2)</f>
        <v/>
      </c>
      <c r="K53">
        <f>ROUND(SUM('Plant01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ROUND(SUM('Plant01 Inputs'!BP$4:BP4),2)</f>
        <v/>
      </c>
      <c r="G54">
        <f>ROUND(SUM('Plant01 Inputs'!BP$4:BP5),2)</f>
        <v/>
      </c>
      <c r="H54">
        <f>ROUND(SUM('Plant01 Inputs'!BP$4:BP6),2)</f>
        <v/>
      </c>
      <c r="I54">
        <f>ROUND(SUM('Plant01 Inputs'!BP$4:BP7),2)</f>
        <v/>
      </c>
      <c r="J54">
        <f>ROUND(SUM('Plant01 Inputs'!BP$4:BP8),2)</f>
        <v/>
      </c>
      <c r="K54">
        <f>ROUND(SUM('Plant01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ROUND(SUM('Plant01 Inputs'!BP$4:BP4),2)</f>
        <v/>
      </c>
      <c r="G55">
        <f>ROUND(SUM('Plant01 Inputs'!BP$4:BP5),2)</f>
        <v/>
      </c>
      <c r="H55">
        <f>ROUND(SUM('Plant01 Inputs'!BP$4:BP6),2)</f>
        <v/>
      </c>
      <c r="I55">
        <f>ROUND(SUM('Plant01 Inputs'!BP$4:BP7),2)</f>
        <v/>
      </c>
      <c r="J55">
        <f>ROUND(SUM('Plant01 Inputs'!BP$4:BP8),2)</f>
        <v/>
      </c>
      <c r="K55">
        <f>ROUND(SUM('Plant01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ROUND('Plant01 Inputs'!BR4,2)</f>
        <v/>
      </c>
      <c r="G56">
        <f>ROUND('Plant01 Inputs'!BR5,2)</f>
        <v/>
      </c>
      <c r="H56">
        <f>ROUND('Plant01 Inputs'!BR6,2)</f>
        <v/>
      </c>
      <c r="I56">
        <f>ROUND('Plant01 Inputs'!BR7,2)</f>
        <v/>
      </c>
      <c r="J56">
        <f>ROUND('Plant01 Inputs'!BR8,2)</f>
        <v/>
      </c>
      <c r="K56">
        <f>ROUND('Plant01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ROUND(IF(SUM('Plant01 Inputs'!AM$4:AM4)=0,100,100*SUM('Plant01 Inputs'!AN$4:AN4)/SUM('Plant01 Inputs'!AM$4:AM4)),2)</f>
        <v/>
      </c>
      <c r="G57">
        <f>ROUND(IF(SUM('Plant01 Inputs'!AM$4:AM5)=0,100,100*SUM('Plant01 Inputs'!AN$4:AN5)/SUM('Plant01 Inputs'!AM$4:AM5)),2)</f>
        <v/>
      </c>
      <c r="H57">
        <f>ROUND(IF(SUM('Plant01 Inputs'!AM$4:AM6)=0,100,100*SUM('Plant01 Inputs'!AN$4:AN6)/SUM('Plant01 Inputs'!AM$4:AM6)),2)</f>
        <v/>
      </c>
      <c r="I57">
        <f>ROUND(IF(SUM('Plant01 Inputs'!AM$4:AM7)=0,100,100*SUM('Plant01 Inputs'!AN$4:AN7)/SUM('Plant01 Inputs'!AM$4:AM7)),2)</f>
        <v/>
      </c>
      <c r="J57">
        <f>ROUND(IF(SUM('Plant01 Inputs'!AM$4:AM8)=0,100,100*SUM('Plant01 Inputs'!AN$4:AN8)/SUM('Plant01 Inputs'!AM$4:AM8)),2)</f>
        <v/>
      </c>
      <c r="K57">
        <f>ROUND(IF(SUM('Plant01 Inputs'!AM$4:AM9)=0,100,100*SUM('Plant01 Inputs'!AN$4:AN9)/SUM('Plant01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IF('Plant01 Inputs'!GG4&gt;=-1,"Low",IF('Plant01 Inputs'!GG4&gt;=-3,"Medium","High"))&amp;" ("&amp;ROUND('Plant01 Inputs'!GG4,1)&amp;"% vs plan price)"</f>
        <v/>
      </c>
      <c r="G58">
        <f>IF('Plant01 Inputs'!GG5&gt;=-1,"Low",IF('Plant01 Inputs'!GG5&gt;=-3,"Medium","High"))&amp;" ("&amp;ROUND('Plant01 Inputs'!GG5,1)&amp;"% vs plan price)"</f>
        <v/>
      </c>
      <c r="H58">
        <f>IF('Plant01 Inputs'!GG6&gt;=-1,"Low",IF('Plant01 Inputs'!GG6&gt;=-3,"Medium","High"))&amp;" ("&amp;ROUND('Plant01 Inputs'!GG6,1)&amp;"% vs plan price)"</f>
        <v/>
      </c>
      <c r="I58">
        <f>IF('Plant01 Inputs'!GG7&gt;=-1,"Low",IF('Plant01 Inputs'!GG7&gt;=-3,"Medium","High"))&amp;" ("&amp;ROUND('Plant01 Inputs'!GG7,1)&amp;"% vs plan price)"</f>
        <v/>
      </c>
      <c r="J58">
        <f>IF('Plant01 Inputs'!GG8&gt;=-1,"Low",IF('Plant01 Inputs'!GG8&gt;=-3,"Medium","High"))&amp;" ("&amp;ROUND('Plant01 Inputs'!GG8,1)&amp;"% vs plan price)"</f>
        <v/>
      </c>
      <c r="K58">
        <f>IF('Plant01 Inputs'!GG9&gt;=-1,"Low",IF('Plant01 Inputs'!GG9&gt;=-3,"Medium","High"))&amp;" ("&amp;ROUND('Plant01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ROUND('Plant01 Inputs'!BS4,2)</f>
        <v/>
      </c>
      <c r="G59">
        <f>ROUND('Plant01 Inputs'!BS5,2)</f>
        <v/>
      </c>
      <c r="H59">
        <f>ROUND('Plant01 Inputs'!BS6,2)</f>
        <v/>
      </c>
      <c r="I59">
        <f>ROUND('Plant01 Inputs'!BS7,2)</f>
        <v/>
      </c>
      <c r="J59">
        <f>ROUND('Plant01 Inputs'!BS8,2)</f>
        <v/>
      </c>
      <c r="K59">
        <f>ROUND('Plant01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ROUND(100*NORM.DIST('Plant01 Inputs'!BT4,'Plant01 Inputs'!BU4,SQRT('Plant01 Inputs'!BV4),TRUE),2)</f>
        <v/>
      </c>
      <c r="G60">
        <f>ROUND(100*NORM.DIST('Plant01 Inputs'!BT5,'Plant01 Inputs'!BU5,SQRT('Plant01 Inputs'!BV5),TRUE),2)</f>
        <v/>
      </c>
      <c r="H60">
        <f>ROUND(100*NORM.DIST('Plant01 Inputs'!BT6,'Plant01 Inputs'!BU6,SQRT('Plant01 Inputs'!BV6),TRUE),2)</f>
        <v/>
      </c>
      <c r="I60">
        <f>ROUND(100*NORM.DIST('Plant01 Inputs'!BT7,'Plant01 Inputs'!BU7,SQRT('Plant01 Inputs'!BV7),TRUE),2)</f>
        <v/>
      </c>
      <c r="J60">
        <f>ROUND(100*NORM.DIST('Plant01 Inputs'!BT8,'Plant01 Inputs'!BU8,SQRT('Plant01 Inputs'!BV8),TRUE),2)</f>
        <v/>
      </c>
      <c r="K60">
        <f>ROUND(100*NORM.DIST('Plant01 Inputs'!BT9,'Plant01 Inputs'!BU9,SQRT('Plant01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ROUND('Plant01 Inputs'!BX4/1000,2)</f>
        <v/>
      </c>
      <c r="G61">
        <f>ROUND('Plant01 Inputs'!BX5/1000,2)</f>
        <v/>
      </c>
      <c r="H61">
        <f>ROUND('Plant01 Inputs'!BX6/1000,2)</f>
        <v/>
      </c>
      <c r="I61">
        <f>ROUND('Plant01 Inputs'!BX7/1000,2)</f>
        <v/>
      </c>
      <c r="J61">
        <f>ROUND('Plant01 Inputs'!BX8/1000,2)</f>
        <v/>
      </c>
      <c r="K61">
        <f>ROUND('Plant01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ROUND(100*NORM.DIST(0.78*'Plant01 Inputs'!BW4,'Plant01 Inputs'!BU4,SQRT('Plant01 Inputs'!BV4),TRUE),2)</f>
        <v/>
      </c>
      <c r="G62">
        <f>ROUND(100*NORM.DIST(0.78*'Plant01 Inputs'!BW5,'Plant01 Inputs'!BU5,SQRT('Plant01 Inputs'!BV5),TRUE),2)</f>
        <v/>
      </c>
      <c r="H62">
        <f>ROUND(100*NORM.DIST(0.78*'Plant01 Inputs'!BW6,'Plant01 Inputs'!BU6,SQRT('Plant01 Inputs'!BV6),TRUE),2)</f>
        <v/>
      </c>
      <c r="I62">
        <f>ROUND(100*NORM.DIST(0.78*'Plant01 Inputs'!BW7,'Plant01 Inputs'!BU7,SQRT('Plant01 Inputs'!BV7),TRUE),2)</f>
        <v/>
      </c>
      <c r="J62">
        <f>ROUND(100*NORM.DIST(0.78*'Plant01 Inputs'!BW8,'Plant01 Inputs'!BU8,SQRT('Plant01 Inputs'!BV8),TRUE),2)</f>
        <v/>
      </c>
      <c r="K62">
        <f>ROUND(100*NORM.DIST(0.78*'Plant01 Inputs'!BW9,'Plant01 Inputs'!BU9,SQRT('Plant01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ROUND(SUM('Plant01 Inputs'!X$4:X4)/1000,2)</f>
        <v/>
      </c>
      <c r="G63">
        <f>ROUND(SUM('Plant01 Inputs'!X$4:X5)/1000,2)</f>
        <v/>
      </c>
      <c r="H63">
        <f>ROUND(SUM('Plant01 Inputs'!X$4:X6)/1000,2)</f>
        <v/>
      </c>
      <c r="I63">
        <f>ROUND(SUM('Plant01 Inputs'!X$4:X7)/1000,2)</f>
        <v/>
      </c>
      <c r="J63">
        <f>ROUND(SUM('Plant01 Inputs'!X$4:X8)/1000,2)</f>
        <v/>
      </c>
      <c r="K63">
        <f>ROUND(SUM('Plant01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ROUND(IF(OR('Plant01 Inputs'!M4=0,'Plant01 Inputs'!W4=0,'Plant01 Inputs'!M4=0),0,100*(('Plant01 Inputs'!W4/'Plant01 Inputs'!M4)/('Plant01 Inputs'!W4/'Plant01 Inputs'!M4)-1)),2)</f>
        <v/>
      </c>
      <c r="G64">
        <f>ROUND(IF(OR('Plant01 Inputs'!M4=0,'Plant01 Inputs'!W4=0,'Plant01 Inputs'!M5=0),0,100*(('Plant01 Inputs'!W5/'Plant01 Inputs'!M5)/('Plant01 Inputs'!W4/'Plant01 Inputs'!M4)-1)),2)</f>
        <v/>
      </c>
      <c r="H64">
        <f>ROUND(IF(OR('Plant01 Inputs'!M5=0,'Plant01 Inputs'!W5=0,'Plant01 Inputs'!M6=0),0,100*(('Plant01 Inputs'!W6/'Plant01 Inputs'!M6)/('Plant01 Inputs'!W5/'Plant01 Inputs'!M5)-1)),2)</f>
        <v/>
      </c>
      <c r="I64">
        <f>ROUND(IF(OR('Plant01 Inputs'!M6=0,'Plant01 Inputs'!W6=0,'Plant01 Inputs'!M7=0),0,100*(('Plant01 Inputs'!W7/'Plant01 Inputs'!M7)/('Plant01 Inputs'!W6/'Plant01 Inputs'!M6)-1)),2)</f>
        <v/>
      </c>
      <c r="J64">
        <f>ROUND(IF(OR('Plant01 Inputs'!M7=0,'Plant01 Inputs'!W7=0,'Plant01 Inputs'!M8=0),0,100*(('Plant01 Inputs'!W8/'Plant01 Inputs'!M8)/('Plant01 Inputs'!W7/'Plant01 Inputs'!M7)-1)),2)</f>
        <v/>
      </c>
      <c r="K64">
        <f>ROUND(IF(OR('Plant01 Inputs'!M8=0,'Plant01 Inputs'!W8=0,'Plant01 Inputs'!M9=0),0,100*(('Plant01 Inputs'!W9/'Plant01 Inputs'!M9)/('Plant01 Inputs'!W8/'Plant01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ROUND(IF(OR('Plant01 Inputs'!M4=0,'Plant01 Inputs'!AW4=0,'Plant01 Inputs'!M4=0),0,100*(('Plant01 Inputs'!AW4/'Plant01 Inputs'!M4)/('Plant01 Inputs'!AW4/'Plant01 Inputs'!M4)-1)),2)</f>
        <v/>
      </c>
      <c r="G65">
        <f>ROUND(IF(OR('Plant01 Inputs'!M4=0,'Plant01 Inputs'!AW4=0,'Plant01 Inputs'!M5=0),0,100*(('Plant01 Inputs'!AW5/'Plant01 Inputs'!M5)/('Plant01 Inputs'!AW4/'Plant01 Inputs'!M4)-1)),2)</f>
        <v/>
      </c>
      <c r="H65">
        <f>ROUND(IF(OR('Plant01 Inputs'!M5=0,'Plant01 Inputs'!AW5=0,'Plant01 Inputs'!M6=0),0,100*(('Plant01 Inputs'!AW6/'Plant01 Inputs'!M6)/('Plant01 Inputs'!AW5/'Plant01 Inputs'!M5)-1)),2)</f>
        <v/>
      </c>
      <c r="I65">
        <f>ROUND(IF(OR('Plant01 Inputs'!M6=0,'Plant01 Inputs'!AW6=0,'Plant01 Inputs'!M7=0),0,100*(('Plant01 Inputs'!AW7/'Plant01 Inputs'!M7)/('Plant01 Inputs'!AW6/'Plant01 Inputs'!M6)-1)),2)</f>
        <v/>
      </c>
      <c r="J65">
        <f>ROUND(IF(OR('Plant01 Inputs'!M7=0,'Plant01 Inputs'!AW7=0,'Plant01 Inputs'!M8=0),0,100*(('Plant01 Inputs'!AW8/'Plant01 Inputs'!M8)/('Plant01 Inputs'!AW7/'Plant01 Inputs'!M7)-1)),2)</f>
        <v/>
      </c>
      <c r="K65">
        <f>ROUND(IF(OR('Plant01 Inputs'!M8=0,'Plant01 Inputs'!AW8=0,'Plant01 Inputs'!M9=0),0,100*(('Plant01 Inputs'!AW9/'Plant01 Inputs'!M9)/('Plant01 Inputs'!AW8/'Plant01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ROUND(IFERROR(100*'Plant02 Inputs'!M4/'Plant02 Inputs'!K4,0),2)</f>
        <v/>
      </c>
      <c r="G2">
        <f>ROUND(IFERROR(100*'Plant02 Inputs'!M5/'Plant02 Inputs'!K5,0),2)</f>
        <v/>
      </c>
      <c r="H2">
        <f>ROUND(IFERROR(100*'Plant02 Inputs'!M6/'Plant02 Inputs'!K6,0),2)</f>
        <v/>
      </c>
      <c r="I2">
        <f>ROUND(IFERROR(100*'Plant02 Inputs'!M7/'Plant02 Inputs'!K7,0),2)</f>
        <v/>
      </c>
      <c r="J2">
        <f>ROUND(IFERROR(100*'Plant02 Inputs'!M8/'Plant02 Inputs'!K8,0),2)</f>
        <v/>
      </c>
      <c r="K2">
        <f>ROUND(IFERROR(100*'Plant02 Inputs'!M9/'Plant02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ROUND(IFERROR(100*'Plant02 Inputs'!M4/'Plant02 Inputs'!J4,0),2)</f>
        <v/>
      </c>
      <c r="G3">
        <f>ROUND(IFERROR(100*'Plant02 Inputs'!M5/'Plant02 Inputs'!J5,0),2)</f>
        <v/>
      </c>
      <c r="H3">
        <f>ROUND(IFERROR(100*'Plant02 Inputs'!M6/'Plant02 Inputs'!J6,0),2)</f>
        <v/>
      </c>
      <c r="I3">
        <f>ROUND(IFERROR(100*'Plant02 Inputs'!M7/'Plant02 Inputs'!J7,0),2)</f>
        <v/>
      </c>
      <c r="J3">
        <f>ROUND(IFERROR(100*'Plant02 Inputs'!M8/'Plant02 Inputs'!J8,0),2)</f>
        <v/>
      </c>
      <c r="K3">
        <f>ROUND(IFERROR(100*'Plant02 Inputs'!M9/'Plant02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ROUND(IFERROR(100*'Plant02 Inputs'!G4/'Plant02 Inputs'!E4,0),2)</f>
        <v/>
      </c>
      <c r="G4">
        <f>ROUND(IFERROR(100*'Plant02 Inputs'!G5/'Plant02 Inputs'!E5,0),2)</f>
        <v/>
      </c>
      <c r="H4">
        <f>ROUND(IFERROR(100*'Plant02 Inputs'!G6/'Plant02 Inputs'!E6,0),2)</f>
        <v/>
      </c>
      <c r="I4">
        <f>ROUND(IFERROR(100*'Plant02 Inputs'!G7/'Plant02 Inputs'!E7,0),2)</f>
        <v/>
      </c>
      <c r="J4">
        <f>ROUND(IFERROR(100*'Plant02 Inputs'!G8/'Plant02 Inputs'!E8,0),2)</f>
        <v/>
      </c>
      <c r="K4">
        <f>ROUND(IFERROR(100*'Plant02 Inputs'!G9/'Plant02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ROUND(IFERROR(100*'Plant02 Inputs'!M4/'Plant02 Inputs'!I4,0),2)</f>
        <v/>
      </c>
      <c r="G5">
        <f>ROUND(IFERROR(100*'Plant02 Inputs'!M5/'Plant02 Inputs'!I5,0),2)</f>
        <v/>
      </c>
      <c r="H5">
        <f>ROUND(IFERROR(100*'Plant02 Inputs'!M6/'Plant02 Inputs'!I6,0),2)</f>
        <v/>
      </c>
      <c r="I5">
        <f>ROUND(IFERROR(100*'Plant02 Inputs'!M7/'Plant02 Inputs'!I7,0),2)</f>
        <v/>
      </c>
      <c r="J5">
        <f>ROUND(IFERROR(100*'Plant02 Inputs'!M8/'Plant02 Inputs'!I8,0),2)</f>
        <v/>
      </c>
      <c r="K5">
        <f>ROUND(IFERROR(100*'Plant02 Inputs'!M9/'Plant02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ROUND(IFERROR(100*'Plant02 Inputs'!P4/'Plant02 Inputs'!O4,0),2)</f>
        <v/>
      </c>
      <c r="G6">
        <f>ROUND(IFERROR(100*'Plant02 Inputs'!P5/'Plant02 Inputs'!O5,0),2)</f>
        <v/>
      </c>
      <c r="H6">
        <f>ROUND(IFERROR(100*'Plant02 Inputs'!P6/'Plant02 Inputs'!O6,0),2)</f>
        <v/>
      </c>
      <c r="I6">
        <f>ROUND(IFERROR(100*'Plant02 Inputs'!P7/'Plant02 Inputs'!O7,0),2)</f>
        <v/>
      </c>
      <c r="J6">
        <f>ROUND(IFERROR(100*'Plant02 Inputs'!P8/'Plant02 Inputs'!O8,0),2)</f>
        <v/>
      </c>
      <c r="K6">
        <f>ROUND(IFERROR(100*'Plant02 Inputs'!P9/'Plant02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ROUND(IFERROR(100*'Plant02 Inputs'!M4/'Plant02 Inputs'!N4,0),2)</f>
        <v/>
      </c>
      <c r="G7">
        <f>ROUND(IFERROR(100*'Plant02 Inputs'!M5/'Plant02 Inputs'!N5,0),2)</f>
        <v/>
      </c>
      <c r="H7">
        <f>ROUND(IFERROR(100*'Plant02 Inputs'!M6/'Plant02 Inputs'!N6,0),2)</f>
        <v/>
      </c>
      <c r="I7">
        <f>ROUND(IFERROR(100*'Plant02 Inputs'!M7/'Plant02 Inputs'!N7,0),2)</f>
        <v/>
      </c>
      <c r="J7">
        <f>ROUND(IFERROR(100*'Plant02 Inputs'!M8/'Plant02 Inputs'!N8,0),2)</f>
        <v/>
      </c>
      <c r="K7">
        <f>ROUND(IFERROR(100*'Plant02 Inputs'!M9/'Plant02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ROUND(IFERROR('Plant02 Inputs'!G4/'Plant02 Inputs'!R4,0),2)</f>
        <v/>
      </c>
      <c r="G8">
        <f>ROUND(IFERROR('Plant02 Inputs'!G5/'Plant02 Inputs'!R5,0),2)</f>
        <v/>
      </c>
      <c r="H8">
        <f>ROUND(IFERROR('Plant02 Inputs'!G6/'Plant02 Inputs'!R6,0),2)</f>
        <v/>
      </c>
      <c r="I8">
        <f>ROUND(IFERROR('Plant02 Inputs'!G7/'Plant02 Inputs'!R7,0),2)</f>
        <v/>
      </c>
      <c r="J8">
        <f>ROUND(IFERROR('Plant02 Inputs'!G8/'Plant02 Inputs'!R8,0),2)</f>
        <v/>
      </c>
      <c r="K8">
        <f>ROUND(IFERROR('Plant02 Inputs'!G9/'Plant02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ROUND(IFERROR('Plant02 Inputs'!S4/'Plant02 Inputs'!R4,0),2)</f>
        <v/>
      </c>
      <c r="G9">
        <f>ROUND(IFERROR('Plant02 Inputs'!S5/'Plant02 Inputs'!R5,0),2)</f>
        <v/>
      </c>
      <c r="H9">
        <f>ROUND(IFERROR('Plant02 Inputs'!S6/'Plant02 Inputs'!R6,0),2)</f>
        <v/>
      </c>
      <c r="I9">
        <f>ROUND(IFERROR('Plant02 Inputs'!S7/'Plant02 Inputs'!R7,0),2)</f>
        <v/>
      </c>
      <c r="J9">
        <f>ROUND(IFERROR('Plant02 Inputs'!S8/'Plant02 Inputs'!R8,0),2)</f>
        <v/>
      </c>
      <c r="K9">
        <f>ROUND(IFERROR('Plant02 Inputs'!S9/'Plant02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ROUND('Plant02 Inputs'!H4,2)</f>
        <v/>
      </c>
      <c r="G10">
        <f>ROUND('Plant02 Inputs'!H5,2)</f>
        <v/>
      </c>
      <c r="H10">
        <f>ROUND('Plant02 Inputs'!H6,2)</f>
        <v/>
      </c>
      <c r="I10">
        <f>ROUND('Plant02 Inputs'!H7,2)</f>
        <v/>
      </c>
      <c r="J10">
        <f>ROUND('Plant02 Inputs'!H8,2)</f>
        <v/>
      </c>
      <c r="K10">
        <f>ROUND('Plant02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ROUND('Plant02 Inputs'!Q4,2)</f>
        <v/>
      </c>
      <c r="G11">
        <f>ROUND('Plant02 Inputs'!Q5,2)</f>
        <v/>
      </c>
      <c r="H11">
        <f>ROUND('Plant02 Inputs'!Q6,2)</f>
        <v/>
      </c>
      <c r="I11">
        <f>ROUND('Plant02 Inputs'!Q7,2)</f>
        <v/>
      </c>
      <c r="J11">
        <f>ROUND('Plant02 Inputs'!Q8,2)</f>
        <v/>
      </c>
      <c r="K11">
        <f>ROUND('Plant02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ROUND(IFERROR(100*'Plant02 Inputs'!U4/'Plant02 Inputs'!T4,0),2)</f>
        <v/>
      </c>
      <c r="G12">
        <f>ROUND(IFERROR(100*'Plant02 Inputs'!U5/'Plant02 Inputs'!T5,0),2)</f>
        <v/>
      </c>
      <c r="H12">
        <f>ROUND(IFERROR(100*'Plant02 Inputs'!U6/'Plant02 Inputs'!T6,0),2)</f>
        <v/>
      </c>
      <c r="I12">
        <f>ROUND(IFERROR(100*'Plant02 Inputs'!U7/'Plant02 Inputs'!T7,0),2)</f>
        <v/>
      </c>
      <c r="J12">
        <f>ROUND(IFERROR(100*'Plant02 Inputs'!U8/'Plant02 Inputs'!T8,0),2)</f>
        <v/>
      </c>
      <c r="K12">
        <f>ROUND(IFERROR(100*'Plant02 Inputs'!U9/'Plant02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ROUND(IFERROR(1000*('Plant02 Inputs'!V4+'Plant02 Inputs'!X4)/'Plant02 Inputs'!M4,0),2)</f>
        <v/>
      </c>
      <c r="G13">
        <f>ROUND(IFERROR(1000*('Plant02 Inputs'!V5+'Plant02 Inputs'!X5)/'Plant02 Inputs'!M5,0),2)</f>
        <v/>
      </c>
      <c r="H13">
        <f>ROUND(IFERROR(1000*('Plant02 Inputs'!V6+'Plant02 Inputs'!X6)/'Plant02 Inputs'!M6,0),2)</f>
        <v/>
      </c>
      <c r="I13">
        <f>ROUND(IFERROR(1000*('Plant02 Inputs'!V7+'Plant02 Inputs'!X7)/'Plant02 Inputs'!M7,0),2)</f>
        <v/>
      </c>
      <c r="J13">
        <f>ROUND(IFERROR(1000*('Plant02 Inputs'!V8+'Plant02 Inputs'!X8)/'Plant02 Inputs'!M8,0),2)</f>
        <v/>
      </c>
      <c r="K13">
        <f>ROUND(IFERROR(1000*('Plant02 Inputs'!V9+'Plant02 Inputs'!X9)/'Plant02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ROUND('Plant02 Inputs'!V4,2)</f>
        <v/>
      </c>
      <c r="G14">
        <f>ROUND('Plant02 Inputs'!V5,2)</f>
        <v/>
      </c>
      <c r="H14">
        <f>ROUND('Plant02 Inputs'!V6,2)</f>
        <v/>
      </c>
      <c r="I14">
        <f>ROUND('Plant02 Inputs'!V7,2)</f>
        <v/>
      </c>
      <c r="J14">
        <f>ROUND('Plant02 Inputs'!V8,2)</f>
        <v/>
      </c>
      <c r="K14">
        <f>ROUND('Plant02 Inputs'!V9,2)</f>
        <v/>
      </c>
      <c r="L14" t="inlineStr">
        <is>
          <t>variable_cost_k</t>
        </is>
      </c>
    </row>
    <row r="15">
      <c r="A15" t="inlineStr">
        <is>
          <t>CST-003</t>
        </is>
      </c>
      <c r="B15" t="inlineStr">
        <is>
          <t>Fuel cost</t>
        </is>
      </c>
      <c r="C15" t="inlineStr">
        <is>
          <t>₹ thousand</t>
        </is>
      </c>
      <c r="D15" t="inlineStr">
        <is>
          <t>Month</t>
        </is>
      </c>
      <c r="E15" t="inlineStr">
        <is>
          <t>Fuel cost</t>
        </is>
      </c>
      <c r="F15">
        <f>ROUND('Plant02 Inputs'!W4,2)</f>
        <v/>
      </c>
      <c r="G15">
        <f>ROUND('Plant02 Inputs'!W5,2)</f>
        <v/>
      </c>
      <c r="H15">
        <f>ROUND('Plant02 Inputs'!W6,2)</f>
        <v/>
      </c>
      <c r="I15">
        <f>ROUND('Plant02 Inputs'!W7,2)</f>
        <v/>
      </c>
      <c r="J15">
        <f>ROUND('Plant02 Inputs'!W8,2)</f>
        <v/>
      </c>
      <c r="K15">
        <f>ROUND('Plant02 Inputs'!W9,2)</f>
        <v/>
      </c>
      <c r="L15" t="inlineStr">
        <is>
          <t>fuel_cost_k</t>
        </is>
      </c>
    </row>
    <row r="16">
      <c r="A16" t="inlineStr">
        <is>
          <t>SUS-001</t>
        </is>
      </c>
      <c r="B16" t="inlineStr">
        <is>
          <t>Water usage</t>
        </is>
      </c>
      <c r="C16" t="inlineStr">
        <is>
          <t>m3</t>
        </is>
      </c>
      <c r="D16" t="inlineStr">
        <is>
          <t>Month</t>
        </is>
      </c>
      <c r="E16" t="inlineStr">
        <is>
          <t>Water used</t>
        </is>
      </c>
      <c r="F16">
        <f>ROUND('Plant02 Inputs'!Y4,2)</f>
        <v/>
      </c>
      <c r="G16">
        <f>ROUND('Plant02 Inputs'!Y5,2)</f>
        <v/>
      </c>
      <c r="H16">
        <f>ROUND('Plant02 Inputs'!Y6,2)</f>
        <v/>
      </c>
      <c r="I16">
        <f>ROUND('Plant02 Inputs'!Y7,2)</f>
        <v/>
      </c>
      <c r="J16">
        <f>ROUND('Plant02 Inputs'!Y8,2)</f>
        <v/>
      </c>
      <c r="K16">
        <f>ROUND('Plant02 Inputs'!Y9,2)</f>
        <v/>
      </c>
      <c r="L16" t="inlineStr">
        <is>
          <t>water_m3</t>
        </is>
      </c>
    </row>
    <row r="17">
      <c r="A17" t="inlineStr">
        <is>
          <t>SUS-002</t>
        </is>
      </c>
      <c r="B17" t="inlineStr">
        <is>
          <t>Emissions</t>
        </is>
      </c>
      <c r="C17" t="inlineStr">
        <is>
          <t>tCO2e</t>
        </is>
      </c>
      <c r="D17" t="inlineStr">
        <is>
          <t>Month</t>
        </is>
      </c>
      <c r="E17" t="inlineStr">
        <is>
          <t>Emissions</t>
        </is>
      </c>
      <c r="F17">
        <f>ROUND('Plant02 Inputs'!Z4,2)</f>
        <v/>
      </c>
      <c r="G17">
        <f>ROUND('Plant02 Inputs'!Z5,2)</f>
        <v/>
      </c>
      <c r="H17">
        <f>ROUND('Plant02 Inputs'!Z6,2)</f>
        <v/>
      </c>
      <c r="I17">
        <f>ROUND('Plant02 Inputs'!Z7,2)</f>
        <v/>
      </c>
      <c r="J17">
        <f>ROUND('Plant02 Inputs'!Z8,2)</f>
        <v/>
      </c>
      <c r="K17">
        <f>ROUND('Plant02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ROUND(IFERROR('Plant02 Inputs'!AA4/'Plant02 Inputs'!M4,0),2)</f>
        <v/>
      </c>
      <c r="G18">
        <f>ROUND(IFERROR('Plant02 Inputs'!AA5/'Plant02 Inputs'!M5,0),2)</f>
        <v/>
      </c>
      <c r="H18">
        <f>ROUND(IFERROR('Plant02 Inputs'!AA6/'Plant02 Inputs'!M6,0),2)</f>
        <v/>
      </c>
      <c r="I18">
        <f>ROUND(IFERROR('Plant02 Inputs'!AA7/'Plant02 Inputs'!M7,0),2)</f>
        <v/>
      </c>
      <c r="J18">
        <f>ROUND(IFERROR('Plant02 Inputs'!AA8/'Plant02 Inputs'!M8,0),2)</f>
        <v/>
      </c>
      <c r="K18">
        <f>ROUND(IFERROR('Plant02 Inputs'!AA9/'Plant02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ROUND('Plant02 Inputs'!AB4,2)</f>
        <v/>
      </c>
      <c r="G19">
        <f>ROUND('Plant02 Inputs'!AB5,2)</f>
        <v/>
      </c>
      <c r="H19">
        <f>ROUND('Plant02 Inputs'!AB6,2)</f>
        <v/>
      </c>
      <c r="I19">
        <f>ROUND('Plant02 Inputs'!AB7,2)</f>
        <v/>
      </c>
      <c r="J19">
        <f>ROUND('Plant02 Inputs'!AB8,2)</f>
        <v/>
      </c>
      <c r="K19">
        <f>ROUND('Plant02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ROUND('Plant02 Inputs'!AC4,2)</f>
        <v/>
      </c>
      <c r="G20">
        <f>ROUND('Plant02 Inputs'!AC5,2)</f>
        <v/>
      </c>
      <c r="H20">
        <f>ROUND('Plant02 Inputs'!AC6,2)</f>
        <v/>
      </c>
      <c r="I20">
        <f>ROUND('Plant02 Inputs'!AC7,2)</f>
        <v/>
      </c>
      <c r="J20">
        <f>ROUND('Plant02 Inputs'!AC8,2)</f>
        <v/>
      </c>
      <c r="K20">
        <f>ROUND('Plant02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ROUND('Plant02 Inputs'!AO4,2)</f>
        <v/>
      </c>
      <c r="G21">
        <f>ROUND('Plant02 Inputs'!AO5,2)</f>
        <v/>
      </c>
      <c r="H21">
        <f>ROUND('Plant02 Inputs'!AO6,2)</f>
        <v/>
      </c>
      <c r="I21">
        <f>ROUND('Plant02 Inputs'!AO7,2)</f>
        <v/>
      </c>
      <c r="J21">
        <f>ROUND('Plant02 Inputs'!AO8,2)</f>
        <v/>
      </c>
      <c r="K21">
        <f>ROUND('Plant02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ROUND(IFERROR(100*'Plant02 Inputs'!AQ4/'Plant02 Inputs'!AP4,0),2)</f>
        <v/>
      </c>
      <c r="G22">
        <f>ROUND(IFERROR(100*'Plant02 Inputs'!AQ5/'Plant02 Inputs'!AP5,0),2)</f>
        <v/>
      </c>
      <c r="H22">
        <f>ROUND(IFERROR(100*'Plant02 Inputs'!AQ6/'Plant02 Inputs'!AP6,0),2)</f>
        <v/>
      </c>
      <c r="I22">
        <f>ROUND(IFERROR(100*'Plant02 Inputs'!AQ7/'Plant02 Inputs'!AP7,0),2)</f>
        <v/>
      </c>
      <c r="J22">
        <f>ROUND(IFERROR(100*'Plant02 Inputs'!AQ8/'Plant02 Inputs'!AP8,0),2)</f>
        <v/>
      </c>
      <c r="K22">
        <f>ROUND(IFERROR(100*'Plant02 Inputs'!AQ9/'Plant02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ROUND('Plant02 Inputs'!AJ4,2)</f>
        <v/>
      </c>
      <c r="G23">
        <f>ROUND('Plant02 Inputs'!AJ5,2)</f>
        <v/>
      </c>
      <c r="H23">
        <f>ROUND('Plant02 Inputs'!AJ6,2)</f>
        <v/>
      </c>
      <c r="I23">
        <f>ROUND('Plant02 Inputs'!AJ7,2)</f>
        <v/>
      </c>
      <c r="J23">
        <f>ROUND('Plant02 Inputs'!AJ8,2)</f>
        <v/>
      </c>
      <c r="K23">
        <f>ROUND('Plant02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ROUND(IFERROR(200000*'Plant02 Inputs'!AE4/'Plant02 Inputs'!AD4,0),2)</f>
        <v/>
      </c>
      <c r="G24">
        <f>ROUND(IFERROR(200000*'Plant02 Inputs'!AE5/'Plant02 Inputs'!AD5,0),2)</f>
        <v/>
      </c>
      <c r="H24">
        <f>ROUND(IFERROR(200000*'Plant02 Inputs'!AE6/'Plant02 Inputs'!AD6,0),2)</f>
        <v/>
      </c>
      <c r="I24">
        <f>ROUND(IFERROR(200000*'Plant02 Inputs'!AE7/'Plant02 Inputs'!AD7,0),2)</f>
        <v/>
      </c>
      <c r="J24">
        <f>ROUND(IFERROR(200000*'Plant02 Inputs'!AE8/'Plant02 Inputs'!AD8,0),2)</f>
        <v/>
      </c>
      <c r="K24">
        <f>ROUND(IFERROR(200000*'Plant02 Inputs'!AE9/'Plant02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ROUND('Plant02 Inputs'!AF4,2)</f>
        <v/>
      </c>
      <c r="G25">
        <f>ROUND('Plant02 Inputs'!AF5,2)</f>
        <v/>
      </c>
      <c r="H25">
        <f>ROUND('Plant02 Inputs'!AF6,2)</f>
        <v/>
      </c>
      <c r="I25">
        <f>ROUND('Plant02 Inputs'!AF7,2)</f>
        <v/>
      </c>
      <c r="J25">
        <f>ROUND('Plant02 Inputs'!AF8,2)</f>
        <v/>
      </c>
      <c r="K25">
        <f>ROUND('Plant02 Inputs'!AF9,2)</f>
        <v/>
      </c>
      <c r="L25" t="inlineStr">
        <is>
          <t>severity_incidents</t>
        </is>
      </c>
    </row>
    <row r="26">
      <c r="A26" t="inlineStr">
        <is>
          <t>EHS-003</t>
        </is>
      </c>
      <c r="B26" t="inlineStr">
        <is>
          <t>Near misses</t>
        </is>
      </c>
      <c r="C26" t="inlineStr">
        <is>
          <t>count</t>
        </is>
      </c>
      <c r="D26" t="inlineStr">
        <is>
          <t>Month</t>
        </is>
      </c>
      <c r="E26" t="inlineStr">
        <is>
          <t>Near misses</t>
        </is>
      </c>
      <c r="F26">
        <f>ROUND('Plant02 Inputs'!AG4,2)</f>
        <v/>
      </c>
      <c r="G26">
        <f>ROUND('Plant02 Inputs'!AG5,2)</f>
        <v/>
      </c>
      <c r="H26">
        <f>ROUND('Plant02 Inputs'!AG6,2)</f>
        <v/>
      </c>
      <c r="I26">
        <f>ROUND('Plant02 Inputs'!AG7,2)</f>
        <v/>
      </c>
      <c r="J26">
        <f>ROUND('Plant02 Inputs'!AG8,2)</f>
        <v/>
      </c>
      <c r="K26">
        <f>ROUND('Plant02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ROUND('Plant02 Inputs'!AH4,2)</f>
        <v/>
      </c>
      <c r="G27">
        <f>ROUND('Plant02 Inputs'!AH5,2)</f>
        <v/>
      </c>
      <c r="H27">
        <f>ROUND('Plant02 Inputs'!AH6,2)</f>
        <v/>
      </c>
      <c r="I27">
        <f>ROUND('Plant02 Inputs'!AH7,2)</f>
        <v/>
      </c>
      <c r="J27">
        <f>ROUND('Plant02 Inputs'!AH8,2)</f>
        <v/>
      </c>
      <c r="K27">
        <f>ROUND('Plant02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ROUND('Plant02 Inputs'!AI4,2)</f>
        <v/>
      </c>
      <c r="G28">
        <f>ROUND('Plant02 Inputs'!AI5,2)</f>
        <v/>
      </c>
      <c r="H28">
        <f>ROUND('Plant02 Inputs'!AI6,2)</f>
        <v/>
      </c>
      <c r="I28">
        <f>ROUND('Plant02 Inputs'!AI7,2)</f>
        <v/>
      </c>
      <c r="J28">
        <f>ROUND('Plant02 Inputs'!AI8,2)</f>
        <v/>
      </c>
      <c r="K28">
        <f>ROUND('Plant02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ROUND('Plant02 Inputs'!AK4,2)</f>
        <v/>
      </c>
      <c r="G29">
        <f>ROUND('Plant02 Inputs'!AK5,2)</f>
        <v/>
      </c>
      <c r="H29">
        <f>ROUND('Plant02 Inputs'!AK6,2)</f>
        <v/>
      </c>
      <c r="I29">
        <f>ROUND('Plant02 Inputs'!AK7,2)</f>
        <v/>
      </c>
      <c r="J29">
        <f>ROUND('Plant02 Inputs'!AK8,2)</f>
        <v/>
      </c>
      <c r="K29">
        <f>ROUND('Plant02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ROUND('Plant02 Inputs'!AL4,2)</f>
        <v/>
      </c>
      <c r="G30">
        <f>ROUND('Plant02 Inputs'!AL5,2)</f>
        <v/>
      </c>
      <c r="H30">
        <f>ROUND('Plant02 Inputs'!AL6,2)</f>
        <v/>
      </c>
      <c r="I30">
        <f>ROUND('Plant02 Inputs'!AL7,2)</f>
        <v/>
      </c>
      <c r="J30">
        <f>ROUND('Plant02 Inputs'!AL8,2)</f>
        <v/>
      </c>
      <c r="K30">
        <f>ROUND('Plant02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ROUND(IF('Plant02 Inputs'!AM4=0,100,100*'Plant02 Inputs'!AN4/'Plant02 Inputs'!AM4),2)</f>
        <v/>
      </c>
      <c r="G31">
        <f>ROUND(IF('Plant02 Inputs'!AM5=0,100,100*'Plant02 Inputs'!AN5/'Plant02 Inputs'!AM5),2)</f>
        <v/>
      </c>
      <c r="H31">
        <f>ROUND(IF('Plant02 Inputs'!AM6=0,100,100*'Plant02 Inputs'!AN6/'Plant02 Inputs'!AM6),2)</f>
        <v/>
      </c>
      <c r="I31">
        <f>ROUND(IF('Plant02 Inputs'!AM7=0,100,100*'Plant02 Inputs'!AN7/'Plant02 Inputs'!AM7),2)</f>
        <v/>
      </c>
      <c r="J31">
        <f>ROUND(IF('Plant02 Inputs'!AM8=0,100,100*'Plant02 Inputs'!AN8/'Plant02 Inputs'!AM8),2)</f>
        <v/>
      </c>
      <c r="K31">
        <f>ROUND(IF('Plant02 Inputs'!AM9=0,100,100*'Plant02 Inputs'!AN9/'Plant02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ROUND('Plant02 Inputs'!AR4,2)</f>
        <v/>
      </c>
      <c r="G32">
        <f>ROUND('Plant02 Inputs'!AR5,2)</f>
        <v/>
      </c>
      <c r="H32">
        <f>ROUND('Plant02 Inputs'!AR6,2)</f>
        <v/>
      </c>
      <c r="I32">
        <f>ROUND('Plant02 Inputs'!AR7,2)</f>
        <v/>
      </c>
      <c r="J32">
        <f>ROUND('Plant02 Inputs'!AR8,2)</f>
        <v/>
      </c>
      <c r="K32">
        <f>ROUND('Plant02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ROUND(IFERROR(100*'Plant02 Inputs'!M4/'Plant02 Inputs'!J4,0),2)</f>
        <v/>
      </c>
      <c r="G33">
        <f>ROUND(IFERROR(100*'Plant02 Inputs'!M5/'Plant02 Inputs'!J5,0),2)</f>
        <v/>
      </c>
      <c r="H33">
        <f>ROUND(IFERROR(100*'Plant02 Inputs'!M6/'Plant02 Inputs'!J6,0),2)</f>
        <v/>
      </c>
      <c r="I33">
        <f>ROUND(IFERROR(100*'Plant02 Inputs'!M7/'Plant02 Inputs'!J7,0),2)</f>
        <v/>
      </c>
      <c r="J33">
        <f>ROUND(IFERROR(100*'Plant02 Inputs'!M8/'Plant02 Inputs'!J8,0),2)</f>
        <v/>
      </c>
      <c r="K33">
        <f>ROUND(IFERROR(100*'Plant02 Inputs'!M9/'Plant02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ROUND(IFERROR(100*'Plant02 Inputs'!M4/'Plant02 Inputs'!I4,0),2)</f>
        <v/>
      </c>
      <c r="G34">
        <f>ROUND(IFERROR(100*'Plant02 Inputs'!M5/'Plant02 Inputs'!I5,0),2)</f>
        <v/>
      </c>
      <c r="H34">
        <f>ROUND(IFERROR(100*'Plant02 Inputs'!M6/'Plant02 Inputs'!I6,0),2)</f>
        <v/>
      </c>
      <c r="I34">
        <f>ROUND(IFERROR(100*'Plant02 Inputs'!M7/'Plant02 Inputs'!I7,0),2)</f>
        <v/>
      </c>
      <c r="J34">
        <f>ROUND(IFERROR(100*'Plant02 Inputs'!M8/'Plant02 Inputs'!I8,0),2)</f>
        <v/>
      </c>
      <c r="K34">
        <f>ROUND(IFERROR(100*'Plant02 Inputs'!M9/'Plant02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ROUND(IF('Plant02 Inputs'!AT4=0,0,100*'Plant02 Inputs'!AS4/'Plant02 Inputs'!AT4),2)</f>
        <v/>
      </c>
      <c r="G35">
        <f>ROUND(IF('Plant02 Inputs'!AT5=0,0,100*'Plant02 Inputs'!AS5/'Plant02 Inputs'!AT5),2)</f>
        <v/>
      </c>
      <c r="H35">
        <f>ROUND(IF('Plant02 Inputs'!AT6=0,0,100*'Plant02 Inputs'!AS6/'Plant02 Inputs'!AT6),2)</f>
        <v/>
      </c>
      <c r="I35">
        <f>ROUND(IF('Plant02 Inputs'!AT7=0,0,100*'Plant02 Inputs'!AS7/'Plant02 Inputs'!AT7),2)</f>
        <v/>
      </c>
      <c r="J35">
        <f>ROUND(IF('Plant02 Inputs'!AT8=0,0,100*'Plant02 Inputs'!AS8/'Plant02 Inputs'!AT8),2)</f>
        <v/>
      </c>
      <c r="K35">
        <f>ROUND(IF('Plant02 Inputs'!AT9=0,0,100*'Plant02 Inputs'!AS9/'Plant02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ROUND(IF('Plant02 Inputs'!AT4=0,0,100*'Plant02 Inputs'!AS4/'Plant02 Inputs'!AT4),2)</f>
        <v/>
      </c>
      <c r="G36">
        <f>ROUND(IF('Plant02 Inputs'!AT5=0,0,100*'Plant02 Inputs'!AS5/'Plant02 Inputs'!AT5),2)</f>
        <v/>
      </c>
      <c r="H36">
        <f>ROUND(IF('Plant02 Inputs'!AT6=0,0,100*'Plant02 Inputs'!AS6/'Plant02 Inputs'!AT6),2)</f>
        <v/>
      </c>
      <c r="I36">
        <f>ROUND(IF('Plant02 Inputs'!AT7=0,0,100*'Plant02 Inputs'!AS7/'Plant02 Inputs'!AT7),2)</f>
        <v/>
      </c>
      <c r="J36">
        <f>ROUND(IF('Plant02 Inputs'!AT8=0,0,100*'Plant02 Inputs'!AS8/'Plant02 Inputs'!AT8),2)</f>
        <v/>
      </c>
      <c r="K36">
        <f>ROUND(IF('Plant02 Inputs'!AT9=0,0,100*'Plant02 Inputs'!AS9/'Plant02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ROUND(IF('Plant02 Inputs'!M4=0,0,1000*'Plant02 Inputs'!AW4/'Plant02 Inputs'!M4),2)</f>
        <v/>
      </c>
      <c r="G37">
        <f>ROUND(IF('Plant02 Inputs'!M5=0,0,1000*'Plant02 Inputs'!AW5/'Plant02 Inputs'!M5),2)</f>
        <v/>
      </c>
      <c r="H37">
        <f>ROUND(IF('Plant02 Inputs'!M6=0,0,1000*'Plant02 Inputs'!AW6/'Plant02 Inputs'!M6),2)</f>
        <v/>
      </c>
      <c r="I37">
        <f>ROUND(IF('Plant02 Inputs'!M7=0,0,1000*'Plant02 Inputs'!AW7/'Plant02 Inputs'!M7),2)</f>
        <v/>
      </c>
      <c r="J37">
        <f>ROUND(IF('Plant02 Inputs'!M8=0,0,1000*'Plant02 Inputs'!AW8/'Plant02 Inputs'!M8),2)</f>
        <v/>
      </c>
      <c r="K37">
        <f>ROUND(IF('Plant02 Inputs'!M9=0,0,1000*'Plant02 Inputs'!AW9/'Plant02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ROUND(SUM('Plant02 Inputs'!AU$4:AU4)/1000,2)</f>
        <v/>
      </c>
      <c r="G38">
        <f>ROUND(SUM('Plant02 Inputs'!AU$4:AU5)/1000,2)</f>
        <v/>
      </c>
      <c r="H38">
        <f>ROUND(SUM('Plant02 Inputs'!AU$4:AU6)/1000,2)</f>
        <v/>
      </c>
      <c r="I38">
        <f>ROUND(SUM('Plant02 Inputs'!AU$4:AU7)/1000,2)</f>
        <v/>
      </c>
      <c r="J38">
        <f>ROUND(SUM('Plant02 Inputs'!AU$4:AU8)/1000,2)</f>
        <v/>
      </c>
      <c r="K38">
        <f>ROUND(SUM('Plant02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ROUND(IF('Plant02 Inputs'!AY4=0,0,100*'Plant02 Inputs'!AZ4/'Plant02 Inputs'!AY4),2)</f>
        <v/>
      </c>
      <c r="G39">
        <f>ROUND(IF('Plant02 Inputs'!AY5=0,0,100*'Plant02 Inputs'!AZ5/'Plant02 Inputs'!AY5),2)</f>
        <v/>
      </c>
      <c r="H39">
        <f>ROUND(IF('Plant02 Inputs'!AY6=0,0,100*'Plant02 Inputs'!AZ6/'Plant02 Inputs'!AY6),2)</f>
        <v/>
      </c>
      <c r="I39">
        <f>ROUND(IF('Plant02 Inputs'!AY7=0,0,100*'Plant02 Inputs'!AZ7/'Plant02 Inputs'!AY7),2)</f>
        <v/>
      </c>
      <c r="J39">
        <f>ROUND(IF('Plant02 Inputs'!AY8=0,0,100*'Plant02 Inputs'!AZ8/'Plant02 Inputs'!AY8),2)</f>
        <v/>
      </c>
      <c r="K39">
        <f>ROUND(IF('Plant02 Inputs'!AY9=0,0,100*'Plant02 Inputs'!AZ9/'Plant02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ROUND(IF('Plant02 Inputs'!BA4=0,0,100*'Plant02 Inputs'!BB4/'Plant02 Inputs'!BA4),2)</f>
        <v/>
      </c>
      <c r="G40">
        <f>ROUND(IF('Plant02 Inputs'!BA5=0,0,100*'Plant02 Inputs'!BB5/'Plant02 Inputs'!BA5),2)</f>
        <v/>
      </c>
      <c r="H40">
        <f>ROUND(IF('Plant02 Inputs'!BA6=0,0,100*'Plant02 Inputs'!BB6/'Plant02 Inputs'!BA6),2)</f>
        <v/>
      </c>
      <c r="I40">
        <f>ROUND(IF('Plant02 Inputs'!BA7=0,0,100*'Plant02 Inputs'!BB7/'Plant02 Inputs'!BA7),2)</f>
        <v/>
      </c>
      <c r="J40">
        <f>ROUND(IF('Plant02 Inputs'!BA8=0,0,100*'Plant02 Inputs'!BB8/'Plant02 Inputs'!BA8),2)</f>
        <v/>
      </c>
      <c r="K40">
        <f>ROUND(IF('Plant02 Inputs'!BA9=0,0,100*'Plant02 Inputs'!BB9/'Plant02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ROUND(IF('Plant02 Inputs'!BB4=0,0,100*'Plant02 Inputs'!BC4/'Plant02 Inputs'!BB4),2)</f>
        <v/>
      </c>
      <c r="G41">
        <f>ROUND(IF('Plant02 Inputs'!BB5=0,0,100*'Plant02 Inputs'!BC5/'Plant02 Inputs'!BB5),2)</f>
        <v/>
      </c>
      <c r="H41">
        <f>ROUND(IF('Plant02 Inputs'!BB6=0,0,100*'Plant02 Inputs'!BC6/'Plant02 Inputs'!BB6),2)</f>
        <v/>
      </c>
      <c r="I41">
        <f>ROUND(IF('Plant02 Inputs'!BB7=0,0,100*'Plant02 Inputs'!BC7/'Plant02 Inputs'!BB7),2)</f>
        <v/>
      </c>
      <c r="J41">
        <f>ROUND(IF('Plant02 Inputs'!BB8=0,0,100*'Plant02 Inputs'!BC8/'Plant02 Inputs'!BB8),2)</f>
        <v/>
      </c>
      <c r="K41">
        <f>ROUND(IF('Plant02 Inputs'!BB9=0,0,100*'Plant02 Inputs'!BC9/'Plant02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ROUND(IF('Plant02 Inputs'!BD4=0,0,100*('Plant02 Inputs'!BE4-'Plant02 Inputs'!BD4)/'Plant02 Inputs'!BD4),2)</f>
        <v/>
      </c>
      <c r="G42">
        <f>ROUND(IF('Plant02 Inputs'!BD5=0,0,100*('Plant02 Inputs'!BE5-'Plant02 Inputs'!BD5)/'Plant02 Inputs'!BD5),2)</f>
        <v/>
      </c>
      <c r="H42">
        <f>ROUND(IF('Plant02 Inputs'!BD6=0,0,100*('Plant02 Inputs'!BE6-'Plant02 Inputs'!BD6)/'Plant02 Inputs'!BD6),2)</f>
        <v/>
      </c>
      <c r="I42">
        <f>ROUND(IF('Plant02 Inputs'!BD7=0,0,100*('Plant02 Inputs'!BE7-'Plant02 Inputs'!BD7)/'Plant02 Inputs'!BD7),2)</f>
        <v/>
      </c>
      <c r="J42">
        <f>ROUND(IF('Plant02 Inputs'!BD8=0,0,100*('Plant02 Inputs'!BE8-'Plant02 Inputs'!BD8)/'Plant02 Inputs'!BD8),2)</f>
        <v/>
      </c>
      <c r="K42">
        <f>ROUND(IF('Plant02 Inputs'!BD9=0,0,100*('Plant02 Inputs'!BE9-'Plant02 Inputs'!BD9)/'Plant02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ROUND(IF('Plant02 Inputs'!BF4=0,0,100*'Plant02 Inputs'!BG4/'Plant02 Inputs'!BF4),2)</f>
        <v/>
      </c>
      <c r="G43">
        <f>ROUND(IF('Plant02 Inputs'!BF5=0,0,100*'Plant02 Inputs'!BG5/'Plant02 Inputs'!BF5),2)</f>
        <v/>
      </c>
      <c r="H43">
        <f>ROUND(IF('Plant02 Inputs'!BF6=0,0,100*'Plant02 Inputs'!BG6/'Plant02 Inputs'!BF6),2)</f>
        <v/>
      </c>
      <c r="I43">
        <f>ROUND(IF('Plant02 Inputs'!BF7=0,0,100*'Plant02 Inputs'!BG7/'Plant02 Inputs'!BF7),2)</f>
        <v/>
      </c>
      <c r="J43">
        <f>ROUND(IF('Plant02 Inputs'!BF8=0,0,100*'Plant02 Inputs'!BG8/'Plant02 Inputs'!BF8),2)</f>
        <v/>
      </c>
      <c r="K43">
        <f>ROUND(IF('Plant02 Inputs'!BF9=0,0,100*'Plant02 Inputs'!BG9/'Plant02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ROUND(SUM('Plant02 Inputs'!BH$4:BH4),2)</f>
        <v/>
      </c>
      <c r="G44">
        <f>ROUND(SUM('Plant02 Inputs'!BH$4:BH5),2)</f>
        <v/>
      </c>
      <c r="H44">
        <f>ROUND(SUM('Plant02 Inputs'!BH$4:BH6),2)</f>
        <v/>
      </c>
      <c r="I44">
        <f>ROUND(SUM('Plant02 Inputs'!BH$4:BH7),2)</f>
        <v/>
      </c>
      <c r="J44">
        <f>ROUND(SUM('Plant02 Inputs'!BH$4:BH8),2)</f>
        <v/>
      </c>
      <c r="K44">
        <f>ROUND(SUM('Plant02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ROUND('Plant02 Inputs'!BI4,2)</f>
        <v/>
      </c>
      <c r="G45">
        <f>ROUND('Plant02 Inputs'!BI5,2)</f>
        <v/>
      </c>
      <c r="H45">
        <f>ROUND('Plant02 Inputs'!BI6,2)</f>
        <v/>
      </c>
      <c r="I45">
        <f>ROUND('Plant02 Inputs'!BI7,2)</f>
        <v/>
      </c>
      <c r="J45">
        <f>ROUND('Plant02 Inputs'!BI8,2)</f>
        <v/>
      </c>
      <c r="K45">
        <f>ROUND('Plant02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ROUND('Plant02 Inputs'!BJ4,2)</f>
        <v/>
      </c>
      <c r="G46">
        <f>ROUND('Plant02 Inputs'!BJ5,2)</f>
        <v/>
      </c>
      <c r="H46">
        <f>ROUND('Plant02 Inputs'!BJ6,2)</f>
        <v/>
      </c>
      <c r="I46">
        <f>ROUND('Plant02 Inputs'!BJ7,2)</f>
        <v/>
      </c>
      <c r="J46">
        <f>ROUND('Plant02 Inputs'!BJ8,2)</f>
        <v/>
      </c>
      <c r="K46">
        <f>ROUND('Plant02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ROUND('Plant02 Inputs'!BK4,2)</f>
        <v/>
      </c>
      <c r="G47">
        <f>ROUND('Plant02 Inputs'!BK5,2)</f>
        <v/>
      </c>
      <c r="H47">
        <f>ROUND('Plant02 Inputs'!BK6,2)</f>
        <v/>
      </c>
      <c r="I47">
        <f>ROUND('Plant02 Inputs'!BK7,2)</f>
        <v/>
      </c>
      <c r="J47">
        <f>ROUND('Plant02 Inputs'!BK8,2)</f>
        <v/>
      </c>
      <c r="K47">
        <f>ROUND('Plant02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ROUND('Plant02 Inputs'!BL4,2)</f>
        <v/>
      </c>
      <c r="G48">
        <f>ROUND('Plant02 Inputs'!BL5,2)</f>
        <v/>
      </c>
      <c r="H48">
        <f>ROUND('Plant02 Inputs'!BL6,2)</f>
        <v/>
      </c>
      <c r="I48">
        <f>ROUND('Plant02 Inputs'!BL7,2)</f>
        <v/>
      </c>
      <c r="J48">
        <f>ROUND('Plant02 Inputs'!BL8,2)</f>
        <v/>
      </c>
      <c r="K48">
        <f>ROUND('Plant02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ROUND('Plant02 Inputs'!BM4,2)</f>
        <v/>
      </c>
      <c r="G49">
        <f>ROUND('Plant02 Inputs'!BM5,2)</f>
        <v/>
      </c>
      <c r="H49">
        <f>ROUND('Plant02 Inputs'!BM6,2)</f>
        <v/>
      </c>
      <c r="I49">
        <f>ROUND('Plant02 Inputs'!BM7,2)</f>
        <v/>
      </c>
      <c r="J49">
        <f>ROUND('Plant02 Inputs'!BM8,2)</f>
        <v/>
      </c>
      <c r="K49">
        <f>ROUND('Plant02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ROUND('Plant02 Inputs'!BN4,2)</f>
        <v/>
      </c>
      <c r="G50">
        <f>ROUND('Plant02 Inputs'!BN5,2)</f>
        <v/>
      </c>
      <c r="H50">
        <f>ROUND('Plant02 Inputs'!BN6,2)</f>
        <v/>
      </c>
      <c r="I50">
        <f>ROUND('Plant02 Inputs'!BN7,2)</f>
        <v/>
      </c>
      <c r="J50">
        <f>ROUND('Plant02 Inputs'!BN8,2)</f>
        <v/>
      </c>
      <c r="K50">
        <f>ROUND('Plant02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ROUND('Plant02 Inputs'!BO4,2)</f>
        <v/>
      </c>
      <c r="G51">
        <f>ROUND('Plant02 Inputs'!BO5,2)</f>
        <v/>
      </c>
      <c r="H51">
        <f>ROUND('Plant02 Inputs'!BO6,2)</f>
        <v/>
      </c>
      <c r="I51">
        <f>ROUND('Plant02 Inputs'!BO7,2)</f>
        <v/>
      </c>
      <c r="J51">
        <f>ROUND('Plant02 Inputs'!BO8,2)</f>
        <v/>
      </c>
      <c r="K51">
        <f>ROUND('Plant02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IF('Plant02 Inputs'!BQ4&gt;0,"Triggered","Not triggered")</f>
        <v/>
      </c>
      <c r="G52">
        <f>IF('Plant02 Inputs'!BQ5&gt;0,"Triggered","Not triggered")</f>
        <v/>
      </c>
      <c r="H52">
        <f>IF('Plant02 Inputs'!BQ6&gt;0,"Triggered","Not triggered")</f>
        <v/>
      </c>
      <c r="I52">
        <f>IF('Plant02 Inputs'!BQ7&gt;0,"Triggered","Not triggered")</f>
        <v/>
      </c>
      <c r="J52">
        <f>IF('Plant02 Inputs'!BQ8&gt;0,"Triggered","Not triggered")</f>
        <v/>
      </c>
      <c r="K52">
        <f>IF('Plant02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ROUND(SUM('Plant02 Inputs'!BP$4:BP4),2)</f>
        <v/>
      </c>
      <c r="G53">
        <f>ROUND(SUM('Plant02 Inputs'!BP$4:BP5),2)</f>
        <v/>
      </c>
      <c r="H53">
        <f>ROUND(SUM('Plant02 Inputs'!BP$4:BP6),2)</f>
        <v/>
      </c>
      <c r="I53">
        <f>ROUND(SUM('Plant02 Inputs'!BP$4:BP7),2)</f>
        <v/>
      </c>
      <c r="J53">
        <f>ROUND(SUM('Plant02 Inputs'!BP$4:BP8),2)</f>
        <v/>
      </c>
      <c r="K53">
        <f>ROUND(SUM('Plant02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ROUND(SUM('Plant02 Inputs'!BP$4:BP4),2)</f>
        <v/>
      </c>
      <c r="G54">
        <f>ROUND(SUM('Plant02 Inputs'!BP$4:BP5),2)</f>
        <v/>
      </c>
      <c r="H54">
        <f>ROUND(SUM('Plant02 Inputs'!BP$4:BP6),2)</f>
        <v/>
      </c>
      <c r="I54">
        <f>ROUND(SUM('Plant02 Inputs'!BP$4:BP7),2)</f>
        <v/>
      </c>
      <c r="J54">
        <f>ROUND(SUM('Plant02 Inputs'!BP$4:BP8),2)</f>
        <v/>
      </c>
      <c r="K54">
        <f>ROUND(SUM('Plant02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ROUND(SUM('Plant02 Inputs'!BP$4:BP4),2)</f>
        <v/>
      </c>
      <c r="G55">
        <f>ROUND(SUM('Plant02 Inputs'!BP$4:BP5),2)</f>
        <v/>
      </c>
      <c r="H55">
        <f>ROUND(SUM('Plant02 Inputs'!BP$4:BP6),2)</f>
        <v/>
      </c>
      <c r="I55">
        <f>ROUND(SUM('Plant02 Inputs'!BP$4:BP7),2)</f>
        <v/>
      </c>
      <c r="J55">
        <f>ROUND(SUM('Plant02 Inputs'!BP$4:BP8),2)</f>
        <v/>
      </c>
      <c r="K55">
        <f>ROUND(SUM('Plant02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ROUND('Plant02 Inputs'!BR4,2)</f>
        <v/>
      </c>
      <c r="G56">
        <f>ROUND('Plant02 Inputs'!BR5,2)</f>
        <v/>
      </c>
      <c r="H56">
        <f>ROUND('Plant02 Inputs'!BR6,2)</f>
        <v/>
      </c>
      <c r="I56">
        <f>ROUND('Plant02 Inputs'!BR7,2)</f>
        <v/>
      </c>
      <c r="J56">
        <f>ROUND('Plant02 Inputs'!BR8,2)</f>
        <v/>
      </c>
      <c r="K56">
        <f>ROUND('Plant02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ROUND(IF(SUM('Plant02 Inputs'!AM$4:AM4)=0,100,100*SUM('Plant02 Inputs'!AN$4:AN4)/SUM('Plant02 Inputs'!AM$4:AM4)),2)</f>
        <v/>
      </c>
      <c r="G57">
        <f>ROUND(IF(SUM('Plant02 Inputs'!AM$4:AM5)=0,100,100*SUM('Plant02 Inputs'!AN$4:AN5)/SUM('Plant02 Inputs'!AM$4:AM5)),2)</f>
        <v/>
      </c>
      <c r="H57">
        <f>ROUND(IF(SUM('Plant02 Inputs'!AM$4:AM6)=0,100,100*SUM('Plant02 Inputs'!AN$4:AN6)/SUM('Plant02 Inputs'!AM$4:AM6)),2)</f>
        <v/>
      </c>
      <c r="I57">
        <f>ROUND(IF(SUM('Plant02 Inputs'!AM$4:AM7)=0,100,100*SUM('Plant02 Inputs'!AN$4:AN7)/SUM('Plant02 Inputs'!AM$4:AM7)),2)</f>
        <v/>
      </c>
      <c r="J57">
        <f>ROUND(IF(SUM('Plant02 Inputs'!AM$4:AM8)=0,100,100*SUM('Plant02 Inputs'!AN$4:AN8)/SUM('Plant02 Inputs'!AM$4:AM8)),2)</f>
        <v/>
      </c>
      <c r="K57">
        <f>ROUND(IF(SUM('Plant02 Inputs'!AM$4:AM9)=0,100,100*SUM('Plant02 Inputs'!AN$4:AN9)/SUM('Plant02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IF('Plant02 Inputs'!GG4&gt;=-1,"Low",IF('Plant02 Inputs'!GG4&gt;=-3,"Medium","High"))&amp;" ("&amp;ROUND('Plant02 Inputs'!GG4,1)&amp;"% vs plan price)"</f>
        <v/>
      </c>
      <c r="G58">
        <f>IF('Plant02 Inputs'!GG5&gt;=-1,"Low",IF('Plant02 Inputs'!GG5&gt;=-3,"Medium","High"))&amp;" ("&amp;ROUND('Plant02 Inputs'!GG5,1)&amp;"% vs plan price)"</f>
        <v/>
      </c>
      <c r="H58">
        <f>IF('Plant02 Inputs'!GG6&gt;=-1,"Low",IF('Plant02 Inputs'!GG6&gt;=-3,"Medium","High"))&amp;" ("&amp;ROUND('Plant02 Inputs'!GG6,1)&amp;"% vs plan price)"</f>
        <v/>
      </c>
      <c r="I58">
        <f>IF('Plant02 Inputs'!GG7&gt;=-1,"Low",IF('Plant02 Inputs'!GG7&gt;=-3,"Medium","High"))&amp;" ("&amp;ROUND('Plant02 Inputs'!GG7,1)&amp;"% vs plan price)"</f>
        <v/>
      </c>
      <c r="J58">
        <f>IF('Plant02 Inputs'!GG8&gt;=-1,"Low",IF('Plant02 Inputs'!GG8&gt;=-3,"Medium","High"))&amp;" ("&amp;ROUND('Plant02 Inputs'!GG8,1)&amp;"% vs plan price)"</f>
        <v/>
      </c>
      <c r="K58">
        <f>IF('Plant02 Inputs'!GG9&gt;=-1,"Low",IF('Plant02 Inputs'!GG9&gt;=-3,"Medium","High"))&amp;" ("&amp;ROUND('Plant02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ROUND('Plant02 Inputs'!BS4,2)</f>
        <v/>
      </c>
      <c r="G59">
        <f>ROUND('Plant02 Inputs'!BS5,2)</f>
        <v/>
      </c>
      <c r="H59">
        <f>ROUND('Plant02 Inputs'!BS6,2)</f>
        <v/>
      </c>
      <c r="I59">
        <f>ROUND('Plant02 Inputs'!BS7,2)</f>
        <v/>
      </c>
      <c r="J59">
        <f>ROUND('Plant02 Inputs'!BS8,2)</f>
        <v/>
      </c>
      <c r="K59">
        <f>ROUND('Plant02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ROUND(100*NORM.DIST('Plant02 Inputs'!BT4,'Plant02 Inputs'!BU4,SQRT('Plant02 Inputs'!BV4),TRUE),2)</f>
        <v/>
      </c>
      <c r="G60">
        <f>ROUND(100*NORM.DIST('Plant02 Inputs'!BT5,'Plant02 Inputs'!BU5,SQRT('Plant02 Inputs'!BV5),TRUE),2)</f>
        <v/>
      </c>
      <c r="H60">
        <f>ROUND(100*NORM.DIST('Plant02 Inputs'!BT6,'Plant02 Inputs'!BU6,SQRT('Plant02 Inputs'!BV6),TRUE),2)</f>
        <v/>
      </c>
      <c r="I60">
        <f>ROUND(100*NORM.DIST('Plant02 Inputs'!BT7,'Plant02 Inputs'!BU7,SQRT('Plant02 Inputs'!BV7),TRUE),2)</f>
        <v/>
      </c>
      <c r="J60">
        <f>ROUND(100*NORM.DIST('Plant02 Inputs'!BT8,'Plant02 Inputs'!BU8,SQRT('Plant02 Inputs'!BV8),TRUE),2)</f>
        <v/>
      </c>
      <c r="K60">
        <f>ROUND(100*NORM.DIST('Plant02 Inputs'!BT9,'Plant02 Inputs'!BU9,SQRT('Plant02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ROUND('Plant02 Inputs'!BX4/1000,2)</f>
        <v/>
      </c>
      <c r="G61">
        <f>ROUND('Plant02 Inputs'!BX5/1000,2)</f>
        <v/>
      </c>
      <c r="H61">
        <f>ROUND('Plant02 Inputs'!BX6/1000,2)</f>
        <v/>
      </c>
      <c r="I61">
        <f>ROUND('Plant02 Inputs'!BX7/1000,2)</f>
        <v/>
      </c>
      <c r="J61">
        <f>ROUND('Plant02 Inputs'!BX8/1000,2)</f>
        <v/>
      </c>
      <c r="K61">
        <f>ROUND('Plant02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ROUND(100*NORM.DIST(0.78*'Plant02 Inputs'!BW4,'Plant02 Inputs'!BU4,SQRT('Plant02 Inputs'!BV4),TRUE),2)</f>
        <v/>
      </c>
      <c r="G62">
        <f>ROUND(100*NORM.DIST(0.78*'Plant02 Inputs'!BW5,'Plant02 Inputs'!BU5,SQRT('Plant02 Inputs'!BV5),TRUE),2)</f>
        <v/>
      </c>
      <c r="H62">
        <f>ROUND(100*NORM.DIST(0.78*'Plant02 Inputs'!BW6,'Plant02 Inputs'!BU6,SQRT('Plant02 Inputs'!BV6),TRUE),2)</f>
        <v/>
      </c>
      <c r="I62">
        <f>ROUND(100*NORM.DIST(0.78*'Plant02 Inputs'!BW7,'Plant02 Inputs'!BU7,SQRT('Plant02 Inputs'!BV7),TRUE),2)</f>
        <v/>
      </c>
      <c r="J62">
        <f>ROUND(100*NORM.DIST(0.78*'Plant02 Inputs'!BW8,'Plant02 Inputs'!BU8,SQRT('Plant02 Inputs'!BV8),TRUE),2)</f>
        <v/>
      </c>
      <c r="K62">
        <f>ROUND(100*NORM.DIST(0.78*'Plant02 Inputs'!BW9,'Plant02 Inputs'!BU9,SQRT('Plant02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ROUND(SUM('Plant02 Inputs'!X$4:X4)/1000,2)</f>
        <v/>
      </c>
      <c r="G63">
        <f>ROUND(SUM('Plant02 Inputs'!X$4:X5)/1000,2)</f>
        <v/>
      </c>
      <c r="H63">
        <f>ROUND(SUM('Plant02 Inputs'!X$4:X6)/1000,2)</f>
        <v/>
      </c>
      <c r="I63">
        <f>ROUND(SUM('Plant02 Inputs'!X$4:X7)/1000,2)</f>
        <v/>
      </c>
      <c r="J63">
        <f>ROUND(SUM('Plant02 Inputs'!X$4:X8)/1000,2)</f>
        <v/>
      </c>
      <c r="K63">
        <f>ROUND(SUM('Plant02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ROUND(IF(OR('Plant02 Inputs'!M4=0,'Plant02 Inputs'!W4=0,'Plant02 Inputs'!M4=0),0,100*(('Plant02 Inputs'!W4/'Plant02 Inputs'!M4)/('Plant02 Inputs'!W4/'Plant02 Inputs'!M4)-1)),2)</f>
        <v/>
      </c>
      <c r="G64">
        <f>ROUND(IF(OR('Plant02 Inputs'!M4=0,'Plant02 Inputs'!W4=0,'Plant02 Inputs'!M5=0),0,100*(('Plant02 Inputs'!W5/'Plant02 Inputs'!M5)/('Plant02 Inputs'!W4/'Plant02 Inputs'!M4)-1)),2)</f>
        <v/>
      </c>
      <c r="H64">
        <f>ROUND(IF(OR('Plant02 Inputs'!M5=0,'Plant02 Inputs'!W5=0,'Plant02 Inputs'!M6=0),0,100*(('Plant02 Inputs'!W6/'Plant02 Inputs'!M6)/('Plant02 Inputs'!W5/'Plant02 Inputs'!M5)-1)),2)</f>
        <v/>
      </c>
      <c r="I64">
        <f>ROUND(IF(OR('Plant02 Inputs'!M6=0,'Plant02 Inputs'!W6=0,'Plant02 Inputs'!M7=0),0,100*(('Plant02 Inputs'!W7/'Plant02 Inputs'!M7)/('Plant02 Inputs'!W6/'Plant02 Inputs'!M6)-1)),2)</f>
        <v/>
      </c>
      <c r="J64">
        <f>ROUND(IF(OR('Plant02 Inputs'!M7=0,'Plant02 Inputs'!W7=0,'Plant02 Inputs'!M8=0),0,100*(('Plant02 Inputs'!W8/'Plant02 Inputs'!M8)/('Plant02 Inputs'!W7/'Plant02 Inputs'!M7)-1)),2)</f>
        <v/>
      </c>
      <c r="K64">
        <f>ROUND(IF(OR('Plant02 Inputs'!M8=0,'Plant02 Inputs'!W8=0,'Plant02 Inputs'!M9=0),0,100*(('Plant02 Inputs'!W9/'Plant02 Inputs'!M9)/('Plant02 Inputs'!W8/'Plant02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ROUND(IF(OR('Plant02 Inputs'!M4=0,'Plant02 Inputs'!AW4=0,'Plant02 Inputs'!M4=0),0,100*(('Plant02 Inputs'!AW4/'Plant02 Inputs'!M4)/('Plant02 Inputs'!AW4/'Plant02 Inputs'!M4)-1)),2)</f>
        <v/>
      </c>
      <c r="G65">
        <f>ROUND(IF(OR('Plant02 Inputs'!M4=0,'Plant02 Inputs'!AW4=0,'Plant02 Inputs'!M5=0),0,100*(('Plant02 Inputs'!AW5/'Plant02 Inputs'!M5)/('Plant02 Inputs'!AW4/'Plant02 Inputs'!M4)-1)),2)</f>
        <v/>
      </c>
      <c r="H65">
        <f>ROUND(IF(OR('Plant02 Inputs'!M5=0,'Plant02 Inputs'!AW5=0,'Plant02 Inputs'!M6=0),0,100*(('Plant02 Inputs'!AW6/'Plant02 Inputs'!M6)/('Plant02 Inputs'!AW5/'Plant02 Inputs'!M5)-1)),2)</f>
        <v/>
      </c>
      <c r="I65">
        <f>ROUND(IF(OR('Plant02 Inputs'!M6=0,'Plant02 Inputs'!AW6=0,'Plant02 Inputs'!M7=0),0,100*(('Plant02 Inputs'!AW7/'Plant02 Inputs'!M7)/('Plant02 Inputs'!AW6/'Plant02 Inputs'!M6)-1)),2)</f>
        <v/>
      </c>
      <c r="J65">
        <f>ROUND(IF(OR('Plant02 Inputs'!M7=0,'Plant02 Inputs'!AW7=0,'Plant02 Inputs'!M8=0),0,100*(('Plant02 Inputs'!AW8/'Plant02 Inputs'!M8)/('Plant02 Inputs'!AW7/'Plant02 Inputs'!M7)-1)),2)</f>
        <v/>
      </c>
      <c r="K65">
        <f>ROUND(IF(OR('Plant02 Inputs'!M8=0,'Plant02 Inputs'!AW8=0,'Plant02 Inputs'!M9=0),0,100*(('Plant02 Inputs'!AW9/'Plant02 Inputs'!M9)/('Plant02 Inputs'!AW8/'Plant02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ROUND(IFERROR(100*'Plant03 Inputs'!M4/'Plant03 Inputs'!K4,0),2)</f>
        <v/>
      </c>
      <c r="G2">
        <f>ROUND(IFERROR(100*'Plant03 Inputs'!M5/'Plant03 Inputs'!K5,0),2)</f>
        <v/>
      </c>
      <c r="H2">
        <f>ROUND(IFERROR(100*'Plant03 Inputs'!M6/'Plant03 Inputs'!K6,0),2)</f>
        <v/>
      </c>
      <c r="I2">
        <f>ROUND(IFERROR(100*'Plant03 Inputs'!M7/'Plant03 Inputs'!K7,0),2)</f>
        <v/>
      </c>
      <c r="J2">
        <f>ROUND(IFERROR(100*'Plant03 Inputs'!M8/'Plant03 Inputs'!K8,0),2)</f>
        <v/>
      </c>
      <c r="K2">
        <f>ROUND(IFERROR(100*'Plant03 Inputs'!M9/'Plant03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ROUND(IFERROR(100*'Plant03 Inputs'!M4/'Plant03 Inputs'!J4,0),2)</f>
        <v/>
      </c>
      <c r="G3">
        <f>ROUND(IFERROR(100*'Plant03 Inputs'!M5/'Plant03 Inputs'!J5,0),2)</f>
        <v/>
      </c>
      <c r="H3">
        <f>ROUND(IFERROR(100*'Plant03 Inputs'!M6/'Plant03 Inputs'!J6,0),2)</f>
        <v/>
      </c>
      <c r="I3">
        <f>ROUND(IFERROR(100*'Plant03 Inputs'!M7/'Plant03 Inputs'!J7,0),2)</f>
        <v/>
      </c>
      <c r="J3">
        <f>ROUND(IFERROR(100*'Plant03 Inputs'!M8/'Plant03 Inputs'!J8,0),2)</f>
        <v/>
      </c>
      <c r="K3">
        <f>ROUND(IFERROR(100*'Plant03 Inputs'!M9/'Plant03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ROUND(IFERROR(100*'Plant03 Inputs'!G4/'Plant03 Inputs'!E4,0),2)</f>
        <v/>
      </c>
      <c r="G4">
        <f>ROUND(IFERROR(100*'Plant03 Inputs'!G5/'Plant03 Inputs'!E5,0),2)</f>
        <v/>
      </c>
      <c r="H4">
        <f>ROUND(IFERROR(100*'Plant03 Inputs'!G6/'Plant03 Inputs'!E6,0),2)</f>
        <v/>
      </c>
      <c r="I4">
        <f>ROUND(IFERROR(100*'Plant03 Inputs'!G7/'Plant03 Inputs'!E7,0),2)</f>
        <v/>
      </c>
      <c r="J4">
        <f>ROUND(IFERROR(100*'Plant03 Inputs'!G8/'Plant03 Inputs'!E8,0),2)</f>
        <v/>
      </c>
      <c r="K4">
        <f>ROUND(IFERROR(100*'Plant03 Inputs'!G9/'Plant03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ROUND(IFERROR(100*'Plant03 Inputs'!M4/'Plant03 Inputs'!I4,0),2)</f>
        <v/>
      </c>
      <c r="G5">
        <f>ROUND(IFERROR(100*'Plant03 Inputs'!M5/'Plant03 Inputs'!I5,0),2)</f>
        <v/>
      </c>
      <c r="H5">
        <f>ROUND(IFERROR(100*'Plant03 Inputs'!M6/'Plant03 Inputs'!I6,0),2)</f>
        <v/>
      </c>
      <c r="I5">
        <f>ROUND(IFERROR(100*'Plant03 Inputs'!M7/'Plant03 Inputs'!I7,0),2)</f>
        <v/>
      </c>
      <c r="J5">
        <f>ROUND(IFERROR(100*'Plant03 Inputs'!M8/'Plant03 Inputs'!I8,0),2)</f>
        <v/>
      </c>
      <c r="K5">
        <f>ROUND(IFERROR(100*'Plant03 Inputs'!M9/'Plant03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ROUND(IFERROR(100*'Plant03 Inputs'!P4/'Plant03 Inputs'!O4,0),2)</f>
        <v/>
      </c>
      <c r="G6">
        <f>ROUND(IFERROR(100*'Plant03 Inputs'!P5/'Plant03 Inputs'!O5,0),2)</f>
        <v/>
      </c>
      <c r="H6">
        <f>ROUND(IFERROR(100*'Plant03 Inputs'!P6/'Plant03 Inputs'!O6,0),2)</f>
        <v/>
      </c>
      <c r="I6">
        <f>ROUND(IFERROR(100*'Plant03 Inputs'!P7/'Plant03 Inputs'!O7,0),2)</f>
        <v/>
      </c>
      <c r="J6">
        <f>ROUND(IFERROR(100*'Plant03 Inputs'!P8/'Plant03 Inputs'!O8,0),2)</f>
        <v/>
      </c>
      <c r="K6">
        <f>ROUND(IFERROR(100*'Plant03 Inputs'!P9/'Plant03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ROUND(IFERROR(100*'Plant03 Inputs'!M4/'Plant03 Inputs'!N4,0),2)</f>
        <v/>
      </c>
      <c r="G7">
        <f>ROUND(IFERROR(100*'Plant03 Inputs'!M5/'Plant03 Inputs'!N5,0),2)</f>
        <v/>
      </c>
      <c r="H7">
        <f>ROUND(IFERROR(100*'Plant03 Inputs'!M6/'Plant03 Inputs'!N6,0),2)</f>
        <v/>
      </c>
      <c r="I7">
        <f>ROUND(IFERROR(100*'Plant03 Inputs'!M7/'Plant03 Inputs'!N7,0),2)</f>
        <v/>
      </c>
      <c r="J7">
        <f>ROUND(IFERROR(100*'Plant03 Inputs'!M8/'Plant03 Inputs'!N8,0),2)</f>
        <v/>
      </c>
      <c r="K7">
        <f>ROUND(IFERROR(100*'Plant03 Inputs'!M9/'Plant03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ROUND(IFERROR('Plant03 Inputs'!G4/'Plant03 Inputs'!R4,0),2)</f>
        <v/>
      </c>
      <c r="G8">
        <f>ROUND(IFERROR('Plant03 Inputs'!G5/'Plant03 Inputs'!R5,0),2)</f>
        <v/>
      </c>
      <c r="H8">
        <f>ROUND(IFERROR('Plant03 Inputs'!G6/'Plant03 Inputs'!R6,0),2)</f>
        <v/>
      </c>
      <c r="I8">
        <f>ROUND(IFERROR('Plant03 Inputs'!G7/'Plant03 Inputs'!R7,0),2)</f>
        <v/>
      </c>
      <c r="J8">
        <f>ROUND(IFERROR('Plant03 Inputs'!G8/'Plant03 Inputs'!R8,0),2)</f>
        <v/>
      </c>
      <c r="K8">
        <f>ROUND(IFERROR('Plant03 Inputs'!G9/'Plant03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ROUND(IFERROR('Plant03 Inputs'!S4/'Plant03 Inputs'!R4,0),2)</f>
        <v/>
      </c>
      <c r="G9">
        <f>ROUND(IFERROR('Plant03 Inputs'!S5/'Plant03 Inputs'!R5,0),2)</f>
        <v/>
      </c>
      <c r="H9">
        <f>ROUND(IFERROR('Plant03 Inputs'!S6/'Plant03 Inputs'!R6,0),2)</f>
        <v/>
      </c>
      <c r="I9">
        <f>ROUND(IFERROR('Plant03 Inputs'!S7/'Plant03 Inputs'!R7,0),2)</f>
        <v/>
      </c>
      <c r="J9">
        <f>ROUND(IFERROR('Plant03 Inputs'!S8/'Plant03 Inputs'!R8,0),2)</f>
        <v/>
      </c>
      <c r="K9">
        <f>ROUND(IFERROR('Plant03 Inputs'!S9/'Plant03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ROUND('Plant03 Inputs'!H4,2)</f>
        <v/>
      </c>
      <c r="G10">
        <f>ROUND('Plant03 Inputs'!H5,2)</f>
        <v/>
      </c>
      <c r="H10">
        <f>ROUND('Plant03 Inputs'!H6,2)</f>
        <v/>
      </c>
      <c r="I10">
        <f>ROUND('Plant03 Inputs'!H7,2)</f>
        <v/>
      </c>
      <c r="J10">
        <f>ROUND('Plant03 Inputs'!H8,2)</f>
        <v/>
      </c>
      <c r="K10">
        <f>ROUND('Plant03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ROUND('Plant03 Inputs'!Q4,2)</f>
        <v/>
      </c>
      <c r="G11">
        <f>ROUND('Plant03 Inputs'!Q5,2)</f>
        <v/>
      </c>
      <c r="H11">
        <f>ROUND('Plant03 Inputs'!Q6,2)</f>
        <v/>
      </c>
      <c r="I11">
        <f>ROUND('Plant03 Inputs'!Q7,2)</f>
        <v/>
      </c>
      <c r="J11">
        <f>ROUND('Plant03 Inputs'!Q8,2)</f>
        <v/>
      </c>
      <c r="K11">
        <f>ROUND('Plant03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ROUND(IFERROR(100*'Plant03 Inputs'!U4/'Plant03 Inputs'!T4,0),2)</f>
        <v/>
      </c>
      <c r="G12">
        <f>ROUND(IFERROR(100*'Plant03 Inputs'!U5/'Plant03 Inputs'!T5,0),2)</f>
        <v/>
      </c>
      <c r="H12">
        <f>ROUND(IFERROR(100*'Plant03 Inputs'!U6/'Plant03 Inputs'!T6,0),2)</f>
        <v/>
      </c>
      <c r="I12">
        <f>ROUND(IFERROR(100*'Plant03 Inputs'!U7/'Plant03 Inputs'!T7,0),2)</f>
        <v/>
      </c>
      <c r="J12">
        <f>ROUND(IFERROR(100*'Plant03 Inputs'!U8/'Plant03 Inputs'!T8,0),2)</f>
        <v/>
      </c>
      <c r="K12">
        <f>ROUND(IFERROR(100*'Plant03 Inputs'!U9/'Plant03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ROUND(IFERROR(1000*('Plant03 Inputs'!V4+'Plant03 Inputs'!X4)/'Plant03 Inputs'!M4,0),2)</f>
        <v/>
      </c>
      <c r="G13">
        <f>ROUND(IFERROR(1000*('Plant03 Inputs'!V5+'Plant03 Inputs'!X5)/'Plant03 Inputs'!M5,0),2)</f>
        <v/>
      </c>
      <c r="H13">
        <f>ROUND(IFERROR(1000*('Plant03 Inputs'!V6+'Plant03 Inputs'!X6)/'Plant03 Inputs'!M6,0),2)</f>
        <v/>
      </c>
      <c r="I13">
        <f>ROUND(IFERROR(1000*('Plant03 Inputs'!V7+'Plant03 Inputs'!X7)/'Plant03 Inputs'!M7,0),2)</f>
        <v/>
      </c>
      <c r="J13">
        <f>ROUND(IFERROR(1000*('Plant03 Inputs'!V8+'Plant03 Inputs'!X8)/'Plant03 Inputs'!M8,0),2)</f>
        <v/>
      </c>
      <c r="K13">
        <f>ROUND(IFERROR(1000*('Plant03 Inputs'!V9+'Plant03 Inputs'!X9)/'Plant03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ROUND('Plant03 Inputs'!V4,2)</f>
        <v/>
      </c>
      <c r="G14">
        <f>ROUND('Plant03 Inputs'!V5,2)</f>
        <v/>
      </c>
      <c r="H14">
        <f>ROUND('Plant03 Inputs'!V6,2)</f>
        <v/>
      </c>
      <c r="I14">
        <f>ROUND('Plant03 Inputs'!V7,2)</f>
        <v/>
      </c>
      <c r="J14">
        <f>ROUND('Plant03 Inputs'!V8,2)</f>
        <v/>
      </c>
      <c r="K14">
        <f>ROUND('Plant03 Inputs'!V9,2)</f>
        <v/>
      </c>
      <c r="L14" t="inlineStr">
        <is>
          <t>variable_cost_k</t>
        </is>
      </c>
    </row>
    <row r="15">
      <c r="A15" t="inlineStr">
        <is>
          <t>CST-003</t>
        </is>
      </c>
      <c r="B15" t="inlineStr">
        <is>
          <t>Fuel cost</t>
        </is>
      </c>
      <c r="C15" t="inlineStr">
        <is>
          <t>₹ thousand</t>
        </is>
      </c>
      <c r="D15" t="inlineStr">
        <is>
          <t>Month</t>
        </is>
      </c>
      <c r="E15" t="inlineStr">
        <is>
          <t>Fuel cost</t>
        </is>
      </c>
      <c r="F15">
        <f>ROUND('Plant03 Inputs'!W4,2)</f>
        <v/>
      </c>
      <c r="G15">
        <f>ROUND('Plant03 Inputs'!W5,2)</f>
        <v/>
      </c>
      <c r="H15">
        <f>ROUND('Plant03 Inputs'!W6,2)</f>
        <v/>
      </c>
      <c r="I15">
        <f>ROUND('Plant03 Inputs'!W7,2)</f>
        <v/>
      </c>
      <c r="J15">
        <f>ROUND('Plant03 Inputs'!W8,2)</f>
        <v/>
      </c>
      <c r="K15">
        <f>ROUND('Plant03 Inputs'!W9,2)</f>
        <v/>
      </c>
      <c r="L15" t="inlineStr">
        <is>
          <t>fuel_cost_k</t>
        </is>
      </c>
    </row>
    <row r="16">
      <c r="A16" t="inlineStr">
        <is>
          <t>SUS-001</t>
        </is>
      </c>
      <c r="B16" t="inlineStr">
        <is>
          <t>Water usage</t>
        </is>
      </c>
      <c r="C16" t="inlineStr">
        <is>
          <t>m3</t>
        </is>
      </c>
      <c r="D16" t="inlineStr">
        <is>
          <t>Month</t>
        </is>
      </c>
      <c r="E16" t="inlineStr">
        <is>
          <t>Water used</t>
        </is>
      </c>
      <c r="F16">
        <f>ROUND('Plant03 Inputs'!Y4,2)</f>
        <v/>
      </c>
      <c r="G16">
        <f>ROUND('Plant03 Inputs'!Y5,2)</f>
        <v/>
      </c>
      <c r="H16">
        <f>ROUND('Plant03 Inputs'!Y6,2)</f>
        <v/>
      </c>
      <c r="I16">
        <f>ROUND('Plant03 Inputs'!Y7,2)</f>
        <v/>
      </c>
      <c r="J16">
        <f>ROUND('Plant03 Inputs'!Y8,2)</f>
        <v/>
      </c>
      <c r="K16">
        <f>ROUND('Plant03 Inputs'!Y9,2)</f>
        <v/>
      </c>
      <c r="L16" t="inlineStr">
        <is>
          <t>water_m3</t>
        </is>
      </c>
    </row>
    <row r="17">
      <c r="A17" t="inlineStr">
        <is>
          <t>SUS-002</t>
        </is>
      </c>
      <c r="B17" t="inlineStr">
        <is>
          <t>Emissions</t>
        </is>
      </c>
      <c r="C17" t="inlineStr">
        <is>
          <t>tCO2e</t>
        </is>
      </c>
      <c r="D17" t="inlineStr">
        <is>
          <t>Month</t>
        </is>
      </c>
      <c r="E17" t="inlineStr">
        <is>
          <t>Emissions</t>
        </is>
      </c>
      <c r="F17">
        <f>ROUND('Plant03 Inputs'!Z4,2)</f>
        <v/>
      </c>
      <c r="G17">
        <f>ROUND('Plant03 Inputs'!Z5,2)</f>
        <v/>
      </c>
      <c r="H17">
        <f>ROUND('Plant03 Inputs'!Z6,2)</f>
        <v/>
      </c>
      <c r="I17">
        <f>ROUND('Plant03 Inputs'!Z7,2)</f>
        <v/>
      </c>
      <c r="J17">
        <f>ROUND('Plant03 Inputs'!Z8,2)</f>
        <v/>
      </c>
      <c r="K17">
        <f>ROUND('Plant03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ROUND(IFERROR('Plant03 Inputs'!AA4/'Plant03 Inputs'!M4,0),2)</f>
        <v/>
      </c>
      <c r="G18">
        <f>ROUND(IFERROR('Plant03 Inputs'!AA5/'Plant03 Inputs'!M5,0),2)</f>
        <v/>
      </c>
      <c r="H18">
        <f>ROUND(IFERROR('Plant03 Inputs'!AA6/'Plant03 Inputs'!M6,0),2)</f>
        <v/>
      </c>
      <c r="I18">
        <f>ROUND(IFERROR('Plant03 Inputs'!AA7/'Plant03 Inputs'!M7,0),2)</f>
        <v/>
      </c>
      <c r="J18">
        <f>ROUND(IFERROR('Plant03 Inputs'!AA8/'Plant03 Inputs'!M8,0),2)</f>
        <v/>
      </c>
      <c r="K18">
        <f>ROUND(IFERROR('Plant03 Inputs'!AA9/'Plant03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ROUND('Plant03 Inputs'!AB4,2)</f>
        <v/>
      </c>
      <c r="G19">
        <f>ROUND('Plant03 Inputs'!AB5,2)</f>
        <v/>
      </c>
      <c r="H19">
        <f>ROUND('Plant03 Inputs'!AB6,2)</f>
        <v/>
      </c>
      <c r="I19">
        <f>ROUND('Plant03 Inputs'!AB7,2)</f>
        <v/>
      </c>
      <c r="J19">
        <f>ROUND('Plant03 Inputs'!AB8,2)</f>
        <v/>
      </c>
      <c r="K19">
        <f>ROUND('Plant03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ROUND('Plant03 Inputs'!AC4,2)</f>
        <v/>
      </c>
      <c r="G20">
        <f>ROUND('Plant03 Inputs'!AC5,2)</f>
        <v/>
      </c>
      <c r="H20">
        <f>ROUND('Plant03 Inputs'!AC6,2)</f>
        <v/>
      </c>
      <c r="I20">
        <f>ROUND('Plant03 Inputs'!AC7,2)</f>
        <v/>
      </c>
      <c r="J20">
        <f>ROUND('Plant03 Inputs'!AC8,2)</f>
        <v/>
      </c>
      <c r="K20">
        <f>ROUND('Plant03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ROUND('Plant03 Inputs'!AO4,2)</f>
        <v/>
      </c>
      <c r="G21">
        <f>ROUND('Plant03 Inputs'!AO5,2)</f>
        <v/>
      </c>
      <c r="H21">
        <f>ROUND('Plant03 Inputs'!AO6,2)</f>
        <v/>
      </c>
      <c r="I21">
        <f>ROUND('Plant03 Inputs'!AO7,2)</f>
        <v/>
      </c>
      <c r="J21">
        <f>ROUND('Plant03 Inputs'!AO8,2)</f>
        <v/>
      </c>
      <c r="K21">
        <f>ROUND('Plant03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ROUND(IFERROR(100*'Plant03 Inputs'!AQ4/'Plant03 Inputs'!AP4,0),2)</f>
        <v/>
      </c>
      <c r="G22">
        <f>ROUND(IFERROR(100*'Plant03 Inputs'!AQ5/'Plant03 Inputs'!AP5,0),2)</f>
        <v/>
      </c>
      <c r="H22">
        <f>ROUND(IFERROR(100*'Plant03 Inputs'!AQ6/'Plant03 Inputs'!AP6,0),2)</f>
        <v/>
      </c>
      <c r="I22">
        <f>ROUND(IFERROR(100*'Plant03 Inputs'!AQ7/'Plant03 Inputs'!AP7,0),2)</f>
        <v/>
      </c>
      <c r="J22">
        <f>ROUND(IFERROR(100*'Plant03 Inputs'!AQ8/'Plant03 Inputs'!AP8,0),2)</f>
        <v/>
      </c>
      <c r="K22">
        <f>ROUND(IFERROR(100*'Plant03 Inputs'!AQ9/'Plant03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ROUND('Plant03 Inputs'!AJ4,2)</f>
        <v/>
      </c>
      <c r="G23">
        <f>ROUND('Plant03 Inputs'!AJ5,2)</f>
        <v/>
      </c>
      <c r="H23">
        <f>ROUND('Plant03 Inputs'!AJ6,2)</f>
        <v/>
      </c>
      <c r="I23">
        <f>ROUND('Plant03 Inputs'!AJ7,2)</f>
        <v/>
      </c>
      <c r="J23">
        <f>ROUND('Plant03 Inputs'!AJ8,2)</f>
        <v/>
      </c>
      <c r="K23">
        <f>ROUND('Plant03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ROUND(IFERROR(200000*'Plant03 Inputs'!AE4/'Plant03 Inputs'!AD4,0),2)</f>
        <v/>
      </c>
      <c r="G24">
        <f>ROUND(IFERROR(200000*'Plant03 Inputs'!AE5/'Plant03 Inputs'!AD5,0),2)</f>
        <v/>
      </c>
      <c r="H24">
        <f>ROUND(IFERROR(200000*'Plant03 Inputs'!AE6/'Plant03 Inputs'!AD6,0),2)</f>
        <v/>
      </c>
      <c r="I24">
        <f>ROUND(IFERROR(200000*'Plant03 Inputs'!AE7/'Plant03 Inputs'!AD7,0),2)</f>
        <v/>
      </c>
      <c r="J24">
        <f>ROUND(IFERROR(200000*'Plant03 Inputs'!AE8/'Plant03 Inputs'!AD8,0),2)</f>
        <v/>
      </c>
      <c r="K24">
        <f>ROUND(IFERROR(200000*'Plant03 Inputs'!AE9/'Plant03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ROUND('Plant03 Inputs'!AF4,2)</f>
        <v/>
      </c>
      <c r="G25">
        <f>ROUND('Plant03 Inputs'!AF5,2)</f>
        <v/>
      </c>
      <c r="H25">
        <f>ROUND('Plant03 Inputs'!AF6,2)</f>
        <v/>
      </c>
      <c r="I25">
        <f>ROUND('Plant03 Inputs'!AF7,2)</f>
        <v/>
      </c>
      <c r="J25">
        <f>ROUND('Plant03 Inputs'!AF8,2)</f>
        <v/>
      </c>
      <c r="K25">
        <f>ROUND('Plant03 Inputs'!AF9,2)</f>
        <v/>
      </c>
      <c r="L25" t="inlineStr">
        <is>
          <t>severity_incidents</t>
        </is>
      </c>
    </row>
    <row r="26">
      <c r="A26" t="inlineStr">
        <is>
          <t>EHS-003</t>
        </is>
      </c>
      <c r="B26" t="inlineStr">
        <is>
          <t>Near misses</t>
        </is>
      </c>
      <c r="C26" t="inlineStr">
        <is>
          <t>count</t>
        </is>
      </c>
      <c r="D26" t="inlineStr">
        <is>
          <t>Month</t>
        </is>
      </c>
      <c r="E26" t="inlineStr">
        <is>
          <t>Near misses</t>
        </is>
      </c>
      <c r="F26">
        <f>ROUND('Plant03 Inputs'!AG4,2)</f>
        <v/>
      </c>
      <c r="G26">
        <f>ROUND('Plant03 Inputs'!AG5,2)</f>
        <v/>
      </c>
      <c r="H26">
        <f>ROUND('Plant03 Inputs'!AG6,2)</f>
        <v/>
      </c>
      <c r="I26">
        <f>ROUND('Plant03 Inputs'!AG7,2)</f>
        <v/>
      </c>
      <c r="J26">
        <f>ROUND('Plant03 Inputs'!AG8,2)</f>
        <v/>
      </c>
      <c r="K26">
        <f>ROUND('Plant03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ROUND('Plant03 Inputs'!AH4,2)</f>
        <v/>
      </c>
      <c r="G27">
        <f>ROUND('Plant03 Inputs'!AH5,2)</f>
        <v/>
      </c>
      <c r="H27">
        <f>ROUND('Plant03 Inputs'!AH6,2)</f>
        <v/>
      </c>
      <c r="I27">
        <f>ROUND('Plant03 Inputs'!AH7,2)</f>
        <v/>
      </c>
      <c r="J27">
        <f>ROUND('Plant03 Inputs'!AH8,2)</f>
        <v/>
      </c>
      <c r="K27">
        <f>ROUND('Plant03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ROUND('Plant03 Inputs'!AI4,2)</f>
        <v/>
      </c>
      <c r="G28">
        <f>ROUND('Plant03 Inputs'!AI5,2)</f>
        <v/>
      </c>
      <c r="H28">
        <f>ROUND('Plant03 Inputs'!AI6,2)</f>
        <v/>
      </c>
      <c r="I28">
        <f>ROUND('Plant03 Inputs'!AI7,2)</f>
        <v/>
      </c>
      <c r="J28">
        <f>ROUND('Plant03 Inputs'!AI8,2)</f>
        <v/>
      </c>
      <c r="K28">
        <f>ROUND('Plant03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ROUND('Plant03 Inputs'!AK4,2)</f>
        <v/>
      </c>
      <c r="G29">
        <f>ROUND('Plant03 Inputs'!AK5,2)</f>
        <v/>
      </c>
      <c r="H29">
        <f>ROUND('Plant03 Inputs'!AK6,2)</f>
        <v/>
      </c>
      <c r="I29">
        <f>ROUND('Plant03 Inputs'!AK7,2)</f>
        <v/>
      </c>
      <c r="J29">
        <f>ROUND('Plant03 Inputs'!AK8,2)</f>
        <v/>
      </c>
      <c r="K29">
        <f>ROUND('Plant03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ROUND('Plant03 Inputs'!AL4,2)</f>
        <v/>
      </c>
      <c r="G30">
        <f>ROUND('Plant03 Inputs'!AL5,2)</f>
        <v/>
      </c>
      <c r="H30">
        <f>ROUND('Plant03 Inputs'!AL6,2)</f>
        <v/>
      </c>
      <c r="I30">
        <f>ROUND('Plant03 Inputs'!AL7,2)</f>
        <v/>
      </c>
      <c r="J30">
        <f>ROUND('Plant03 Inputs'!AL8,2)</f>
        <v/>
      </c>
      <c r="K30">
        <f>ROUND('Plant03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ROUND(IF('Plant03 Inputs'!AM4=0,100,100*'Plant03 Inputs'!AN4/'Plant03 Inputs'!AM4),2)</f>
        <v/>
      </c>
      <c r="G31">
        <f>ROUND(IF('Plant03 Inputs'!AM5=0,100,100*'Plant03 Inputs'!AN5/'Plant03 Inputs'!AM5),2)</f>
        <v/>
      </c>
      <c r="H31">
        <f>ROUND(IF('Plant03 Inputs'!AM6=0,100,100*'Plant03 Inputs'!AN6/'Plant03 Inputs'!AM6),2)</f>
        <v/>
      </c>
      <c r="I31">
        <f>ROUND(IF('Plant03 Inputs'!AM7=0,100,100*'Plant03 Inputs'!AN7/'Plant03 Inputs'!AM7),2)</f>
        <v/>
      </c>
      <c r="J31">
        <f>ROUND(IF('Plant03 Inputs'!AM8=0,100,100*'Plant03 Inputs'!AN8/'Plant03 Inputs'!AM8),2)</f>
        <v/>
      </c>
      <c r="K31">
        <f>ROUND(IF('Plant03 Inputs'!AM9=0,100,100*'Plant03 Inputs'!AN9/'Plant03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ROUND('Plant03 Inputs'!AR4,2)</f>
        <v/>
      </c>
      <c r="G32">
        <f>ROUND('Plant03 Inputs'!AR5,2)</f>
        <v/>
      </c>
      <c r="H32">
        <f>ROUND('Plant03 Inputs'!AR6,2)</f>
        <v/>
      </c>
      <c r="I32">
        <f>ROUND('Plant03 Inputs'!AR7,2)</f>
        <v/>
      </c>
      <c r="J32">
        <f>ROUND('Plant03 Inputs'!AR8,2)</f>
        <v/>
      </c>
      <c r="K32">
        <f>ROUND('Plant03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ROUND(IFERROR(100*'Plant03 Inputs'!M4/'Plant03 Inputs'!J4,0),2)</f>
        <v/>
      </c>
      <c r="G33">
        <f>ROUND(IFERROR(100*'Plant03 Inputs'!M5/'Plant03 Inputs'!J5,0),2)</f>
        <v/>
      </c>
      <c r="H33">
        <f>ROUND(IFERROR(100*'Plant03 Inputs'!M6/'Plant03 Inputs'!J6,0),2)</f>
        <v/>
      </c>
      <c r="I33">
        <f>ROUND(IFERROR(100*'Plant03 Inputs'!M7/'Plant03 Inputs'!J7,0),2)</f>
        <v/>
      </c>
      <c r="J33">
        <f>ROUND(IFERROR(100*'Plant03 Inputs'!M8/'Plant03 Inputs'!J8,0),2)</f>
        <v/>
      </c>
      <c r="K33">
        <f>ROUND(IFERROR(100*'Plant03 Inputs'!M9/'Plant03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ROUND(IFERROR(100*'Plant03 Inputs'!M4/'Plant03 Inputs'!I4,0),2)</f>
        <v/>
      </c>
      <c r="G34">
        <f>ROUND(IFERROR(100*'Plant03 Inputs'!M5/'Plant03 Inputs'!I5,0),2)</f>
        <v/>
      </c>
      <c r="H34">
        <f>ROUND(IFERROR(100*'Plant03 Inputs'!M6/'Plant03 Inputs'!I6,0),2)</f>
        <v/>
      </c>
      <c r="I34">
        <f>ROUND(IFERROR(100*'Plant03 Inputs'!M7/'Plant03 Inputs'!I7,0),2)</f>
        <v/>
      </c>
      <c r="J34">
        <f>ROUND(IFERROR(100*'Plant03 Inputs'!M8/'Plant03 Inputs'!I8,0),2)</f>
        <v/>
      </c>
      <c r="K34">
        <f>ROUND(IFERROR(100*'Plant03 Inputs'!M9/'Plant03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ROUND(IF('Plant03 Inputs'!AT4=0,0,100*'Plant03 Inputs'!AS4/'Plant03 Inputs'!AT4),2)</f>
        <v/>
      </c>
      <c r="G35">
        <f>ROUND(IF('Plant03 Inputs'!AT5=0,0,100*'Plant03 Inputs'!AS5/'Plant03 Inputs'!AT5),2)</f>
        <v/>
      </c>
      <c r="H35">
        <f>ROUND(IF('Plant03 Inputs'!AT6=0,0,100*'Plant03 Inputs'!AS6/'Plant03 Inputs'!AT6),2)</f>
        <v/>
      </c>
      <c r="I35">
        <f>ROUND(IF('Plant03 Inputs'!AT7=0,0,100*'Plant03 Inputs'!AS7/'Plant03 Inputs'!AT7),2)</f>
        <v/>
      </c>
      <c r="J35">
        <f>ROUND(IF('Plant03 Inputs'!AT8=0,0,100*'Plant03 Inputs'!AS8/'Plant03 Inputs'!AT8),2)</f>
        <v/>
      </c>
      <c r="K35">
        <f>ROUND(IF('Plant03 Inputs'!AT9=0,0,100*'Plant03 Inputs'!AS9/'Plant03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ROUND(IF('Plant03 Inputs'!AT4=0,0,100*'Plant03 Inputs'!AS4/'Plant03 Inputs'!AT4),2)</f>
        <v/>
      </c>
      <c r="G36">
        <f>ROUND(IF('Plant03 Inputs'!AT5=0,0,100*'Plant03 Inputs'!AS5/'Plant03 Inputs'!AT5),2)</f>
        <v/>
      </c>
      <c r="H36">
        <f>ROUND(IF('Plant03 Inputs'!AT6=0,0,100*'Plant03 Inputs'!AS6/'Plant03 Inputs'!AT6),2)</f>
        <v/>
      </c>
      <c r="I36">
        <f>ROUND(IF('Plant03 Inputs'!AT7=0,0,100*'Plant03 Inputs'!AS7/'Plant03 Inputs'!AT7),2)</f>
        <v/>
      </c>
      <c r="J36">
        <f>ROUND(IF('Plant03 Inputs'!AT8=0,0,100*'Plant03 Inputs'!AS8/'Plant03 Inputs'!AT8),2)</f>
        <v/>
      </c>
      <c r="K36">
        <f>ROUND(IF('Plant03 Inputs'!AT9=0,0,100*'Plant03 Inputs'!AS9/'Plant03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ROUND(IF('Plant03 Inputs'!M4=0,0,1000*'Plant03 Inputs'!AW4/'Plant03 Inputs'!M4),2)</f>
        <v/>
      </c>
      <c r="G37">
        <f>ROUND(IF('Plant03 Inputs'!M5=0,0,1000*'Plant03 Inputs'!AW5/'Plant03 Inputs'!M5),2)</f>
        <v/>
      </c>
      <c r="H37">
        <f>ROUND(IF('Plant03 Inputs'!M6=0,0,1000*'Plant03 Inputs'!AW6/'Plant03 Inputs'!M6),2)</f>
        <v/>
      </c>
      <c r="I37">
        <f>ROUND(IF('Plant03 Inputs'!M7=0,0,1000*'Plant03 Inputs'!AW7/'Plant03 Inputs'!M7),2)</f>
        <v/>
      </c>
      <c r="J37">
        <f>ROUND(IF('Plant03 Inputs'!M8=0,0,1000*'Plant03 Inputs'!AW8/'Plant03 Inputs'!M8),2)</f>
        <v/>
      </c>
      <c r="K37">
        <f>ROUND(IF('Plant03 Inputs'!M9=0,0,1000*'Plant03 Inputs'!AW9/'Plant03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ROUND(SUM('Plant03 Inputs'!AU$4:AU4)/1000,2)</f>
        <v/>
      </c>
      <c r="G38">
        <f>ROUND(SUM('Plant03 Inputs'!AU$4:AU5)/1000,2)</f>
        <v/>
      </c>
      <c r="H38">
        <f>ROUND(SUM('Plant03 Inputs'!AU$4:AU6)/1000,2)</f>
        <v/>
      </c>
      <c r="I38">
        <f>ROUND(SUM('Plant03 Inputs'!AU$4:AU7)/1000,2)</f>
        <v/>
      </c>
      <c r="J38">
        <f>ROUND(SUM('Plant03 Inputs'!AU$4:AU8)/1000,2)</f>
        <v/>
      </c>
      <c r="K38">
        <f>ROUND(SUM('Plant03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ROUND(IF('Plant03 Inputs'!AY4=0,0,100*'Plant03 Inputs'!AZ4/'Plant03 Inputs'!AY4),2)</f>
        <v/>
      </c>
      <c r="G39">
        <f>ROUND(IF('Plant03 Inputs'!AY5=0,0,100*'Plant03 Inputs'!AZ5/'Plant03 Inputs'!AY5),2)</f>
        <v/>
      </c>
      <c r="H39">
        <f>ROUND(IF('Plant03 Inputs'!AY6=0,0,100*'Plant03 Inputs'!AZ6/'Plant03 Inputs'!AY6),2)</f>
        <v/>
      </c>
      <c r="I39">
        <f>ROUND(IF('Plant03 Inputs'!AY7=0,0,100*'Plant03 Inputs'!AZ7/'Plant03 Inputs'!AY7),2)</f>
        <v/>
      </c>
      <c r="J39">
        <f>ROUND(IF('Plant03 Inputs'!AY8=0,0,100*'Plant03 Inputs'!AZ8/'Plant03 Inputs'!AY8),2)</f>
        <v/>
      </c>
      <c r="K39">
        <f>ROUND(IF('Plant03 Inputs'!AY9=0,0,100*'Plant03 Inputs'!AZ9/'Plant03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ROUND(IF('Plant03 Inputs'!BA4=0,0,100*'Plant03 Inputs'!BB4/'Plant03 Inputs'!BA4),2)</f>
        <v/>
      </c>
      <c r="G40">
        <f>ROUND(IF('Plant03 Inputs'!BA5=0,0,100*'Plant03 Inputs'!BB5/'Plant03 Inputs'!BA5),2)</f>
        <v/>
      </c>
      <c r="H40">
        <f>ROUND(IF('Plant03 Inputs'!BA6=0,0,100*'Plant03 Inputs'!BB6/'Plant03 Inputs'!BA6),2)</f>
        <v/>
      </c>
      <c r="I40">
        <f>ROUND(IF('Plant03 Inputs'!BA7=0,0,100*'Plant03 Inputs'!BB7/'Plant03 Inputs'!BA7),2)</f>
        <v/>
      </c>
      <c r="J40">
        <f>ROUND(IF('Plant03 Inputs'!BA8=0,0,100*'Plant03 Inputs'!BB8/'Plant03 Inputs'!BA8),2)</f>
        <v/>
      </c>
      <c r="K40">
        <f>ROUND(IF('Plant03 Inputs'!BA9=0,0,100*'Plant03 Inputs'!BB9/'Plant03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ROUND(IF('Plant03 Inputs'!BB4=0,0,100*'Plant03 Inputs'!BC4/'Plant03 Inputs'!BB4),2)</f>
        <v/>
      </c>
      <c r="G41">
        <f>ROUND(IF('Plant03 Inputs'!BB5=0,0,100*'Plant03 Inputs'!BC5/'Plant03 Inputs'!BB5),2)</f>
        <v/>
      </c>
      <c r="H41">
        <f>ROUND(IF('Plant03 Inputs'!BB6=0,0,100*'Plant03 Inputs'!BC6/'Plant03 Inputs'!BB6),2)</f>
        <v/>
      </c>
      <c r="I41">
        <f>ROUND(IF('Plant03 Inputs'!BB7=0,0,100*'Plant03 Inputs'!BC7/'Plant03 Inputs'!BB7),2)</f>
        <v/>
      </c>
      <c r="J41">
        <f>ROUND(IF('Plant03 Inputs'!BB8=0,0,100*'Plant03 Inputs'!BC8/'Plant03 Inputs'!BB8),2)</f>
        <v/>
      </c>
      <c r="K41">
        <f>ROUND(IF('Plant03 Inputs'!BB9=0,0,100*'Plant03 Inputs'!BC9/'Plant03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ROUND(IF('Plant03 Inputs'!BD4=0,0,100*('Plant03 Inputs'!BE4-'Plant03 Inputs'!BD4)/'Plant03 Inputs'!BD4),2)</f>
        <v/>
      </c>
      <c r="G42">
        <f>ROUND(IF('Plant03 Inputs'!BD5=0,0,100*('Plant03 Inputs'!BE5-'Plant03 Inputs'!BD5)/'Plant03 Inputs'!BD5),2)</f>
        <v/>
      </c>
      <c r="H42">
        <f>ROUND(IF('Plant03 Inputs'!BD6=0,0,100*('Plant03 Inputs'!BE6-'Plant03 Inputs'!BD6)/'Plant03 Inputs'!BD6),2)</f>
        <v/>
      </c>
      <c r="I42">
        <f>ROUND(IF('Plant03 Inputs'!BD7=0,0,100*('Plant03 Inputs'!BE7-'Plant03 Inputs'!BD7)/'Plant03 Inputs'!BD7),2)</f>
        <v/>
      </c>
      <c r="J42">
        <f>ROUND(IF('Plant03 Inputs'!BD8=0,0,100*('Plant03 Inputs'!BE8-'Plant03 Inputs'!BD8)/'Plant03 Inputs'!BD8),2)</f>
        <v/>
      </c>
      <c r="K42">
        <f>ROUND(IF('Plant03 Inputs'!BD9=0,0,100*('Plant03 Inputs'!BE9-'Plant03 Inputs'!BD9)/'Plant03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ROUND(IF('Plant03 Inputs'!BF4=0,0,100*'Plant03 Inputs'!BG4/'Plant03 Inputs'!BF4),2)</f>
        <v/>
      </c>
      <c r="G43">
        <f>ROUND(IF('Plant03 Inputs'!BF5=0,0,100*'Plant03 Inputs'!BG5/'Plant03 Inputs'!BF5),2)</f>
        <v/>
      </c>
      <c r="H43">
        <f>ROUND(IF('Plant03 Inputs'!BF6=0,0,100*'Plant03 Inputs'!BG6/'Plant03 Inputs'!BF6),2)</f>
        <v/>
      </c>
      <c r="I43">
        <f>ROUND(IF('Plant03 Inputs'!BF7=0,0,100*'Plant03 Inputs'!BG7/'Plant03 Inputs'!BF7),2)</f>
        <v/>
      </c>
      <c r="J43">
        <f>ROUND(IF('Plant03 Inputs'!BF8=0,0,100*'Plant03 Inputs'!BG8/'Plant03 Inputs'!BF8),2)</f>
        <v/>
      </c>
      <c r="K43">
        <f>ROUND(IF('Plant03 Inputs'!BF9=0,0,100*'Plant03 Inputs'!BG9/'Plant03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ROUND(SUM('Plant03 Inputs'!BH$4:BH4),2)</f>
        <v/>
      </c>
      <c r="G44">
        <f>ROUND(SUM('Plant03 Inputs'!BH$4:BH5),2)</f>
        <v/>
      </c>
      <c r="H44">
        <f>ROUND(SUM('Plant03 Inputs'!BH$4:BH6),2)</f>
        <v/>
      </c>
      <c r="I44">
        <f>ROUND(SUM('Plant03 Inputs'!BH$4:BH7),2)</f>
        <v/>
      </c>
      <c r="J44">
        <f>ROUND(SUM('Plant03 Inputs'!BH$4:BH8),2)</f>
        <v/>
      </c>
      <c r="K44">
        <f>ROUND(SUM('Plant03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ROUND('Plant03 Inputs'!BI4,2)</f>
        <v/>
      </c>
      <c r="G45">
        <f>ROUND('Plant03 Inputs'!BI5,2)</f>
        <v/>
      </c>
      <c r="H45">
        <f>ROUND('Plant03 Inputs'!BI6,2)</f>
        <v/>
      </c>
      <c r="I45">
        <f>ROUND('Plant03 Inputs'!BI7,2)</f>
        <v/>
      </c>
      <c r="J45">
        <f>ROUND('Plant03 Inputs'!BI8,2)</f>
        <v/>
      </c>
      <c r="K45">
        <f>ROUND('Plant03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ROUND('Plant03 Inputs'!BJ4,2)</f>
        <v/>
      </c>
      <c r="G46">
        <f>ROUND('Plant03 Inputs'!BJ5,2)</f>
        <v/>
      </c>
      <c r="H46">
        <f>ROUND('Plant03 Inputs'!BJ6,2)</f>
        <v/>
      </c>
      <c r="I46">
        <f>ROUND('Plant03 Inputs'!BJ7,2)</f>
        <v/>
      </c>
      <c r="J46">
        <f>ROUND('Plant03 Inputs'!BJ8,2)</f>
        <v/>
      </c>
      <c r="K46">
        <f>ROUND('Plant03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ROUND('Plant03 Inputs'!BK4,2)</f>
        <v/>
      </c>
      <c r="G47">
        <f>ROUND('Plant03 Inputs'!BK5,2)</f>
        <v/>
      </c>
      <c r="H47">
        <f>ROUND('Plant03 Inputs'!BK6,2)</f>
        <v/>
      </c>
      <c r="I47">
        <f>ROUND('Plant03 Inputs'!BK7,2)</f>
        <v/>
      </c>
      <c r="J47">
        <f>ROUND('Plant03 Inputs'!BK8,2)</f>
        <v/>
      </c>
      <c r="K47">
        <f>ROUND('Plant03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ROUND('Plant03 Inputs'!BL4,2)</f>
        <v/>
      </c>
      <c r="G48">
        <f>ROUND('Plant03 Inputs'!BL5,2)</f>
        <v/>
      </c>
      <c r="H48">
        <f>ROUND('Plant03 Inputs'!BL6,2)</f>
        <v/>
      </c>
      <c r="I48">
        <f>ROUND('Plant03 Inputs'!BL7,2)</f>
        <v/>
      </c>
      <c r="J48">
        <f>ROUND('Plant03 Inputs'!BL8,2)</f>
        <v/>
      </c>
      <c r="K48">
        <f>ROUND('Plant03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ROUND('Plant03 Inputs'!BM4,2)</f>
        <v/>
      </c>
      <c r="G49">
        <f>ROUND('Plant03 Inputs'!BM5,2)</f>
        <v/>
      </c>
      <c r="H49">
        <f>ROUND('Plant03 Inputs'!BM6,2)</f>
        <v/>
      </c>
      <c r="I49">
        <f>ROUND('Plant03 Inputs'!BM7,2)</f>
        <v/>
      </c>
      <c r="J49">
        <f>ROUND('Plant03 Inputs'!BM8,2)</f>
        <v/>
      </c>
      <c r="K49">
        <f>ROUND('Plant03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ROUND('Plant03 Inputs'!BN4,2)</f>
        <v/>
      </c>
      <c r="G50">
        <f>ROUND('Plant03 Inputs'!BN5,2)</f>
        <v/>
      </c>
      <c r="H50">
        <f>ROUND('Plant03 Inputs'!BN6,2)</f>
        <v/>
      </c>
      <c r="I50">
        <f>ROUND('Plant03 Inputs'!BN7,2)</f>
        <v/>
      </c>
      <c r="J50">
        <f>ROUND('Plant03 Inputs'!BN8,2)</f>
        <v/>
      </c>
      <c r="K50">
        <f>ROUND('Plant03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ROUND('Plant03 Inputs'!BO4,2)</f>
        <v/>
      </c>
      <c r="G51">
        <f>ROUND('Plant03 Inputs'!BO5,2)</f>
        <v/>
      </c>
      <c r="H51">
        <f>ROUND('Plant03 Inputs'!BO6,2)</f>
        <v/>
      </c>
      <c r="I51">
        <f>ROUND('Plant03 Inputs'!BO7,2)</f>
        <v/>
      </c>
      <c r="J51">
        <f>ROUND('Plant03 Inputs'!BO8,2)</f>
        <v/>
      </c>
      <c r="K51">
        <f>ROUND('Plant03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IF('Plant03 Inputs'!BQ4&gt;0,"Triggered","Not triggered")</f>
        <v/>
      </c>
      <c r="G52">
        <f>IF('Plant03 Inputs'!BQ5&gt;0,"Triggered","Not triggered")</f>
        <v/>
      </c>
      <c r="H52">
        <f>IF('Plant03 Inputs'!BQ6&gt;0,"Triggered","Not triggered")</f>
        <v/>
      </c>
      <c r="I52">
        <f>IF('Plant03 Inputs'!BQ7&gt;0,"Triggered","Not triggered")</f>
        <v/>
      </c>
      <c r="J52">
        <f>IF('Plant03 Inputs'!BQ8&gt;0,"Triggered","Not triggered")</f>
        <v/>
      </c>
      <c r="K52">
        <f>IF('Plant03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ROUND(SUM('Plant03 Inputs'!BP$4:BP4),2)</f>
        <v/>
      </c>
      <c r="G53">
        <f>ROUND(SUM('Plant03 Inputs'!BP$4:BP5),2)</f>
        <v/>
      </c>
      <c r="H53">
        <f>ROUND(SUM('Plant03 Inputs'!BP$4:BP6),2)</f>
        <v/>
      </c>
      <c r="I53">
        <f>ROUND(SUM('Plant03 Inputs'!BP$4:BP7),2)</f>
        <v/>
      </c>
      <c r="J53">
        <f>ROUND(SUM('Plant03 Inputs'!BP$4:BP8),2)</f>
        <v/>
      </c>
      <c r="K53">
        <f>ROUND(SUM('Plant03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ROUND(SUM('Plant03 Inputs'!BP$4:BP4),2)</f>
        <v/>
      </c>
      <c r="G54">
        <f>ROUND(SUM('Plant03 Inputs'!BP$4:BP5),2)</f>
        <v/>
      </c>
      <c r="H54">
        <f>ROUND(SUM('Plant03 Inputs'!BP$4:BP6),2)</f>
        <v/>
      </c>
      <c r="I54">
        <f>ROUND(SUM('Plant03 Inputs'!BP$4:BP7),2)</f>
        <v/>
      </c>
      <c r="J54">
        <f>ROUND(SUM('Plant03 Inputs'!BP$4:BP8),2)</f>
        <v/>
      </c>
      <c r="K54">
        <f>ROUND(SUM('Plant03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ROUND(SUM('Plant03 Inputs'!BP$4:BP4),2)</f>
        <v/>
      </c>
      <c r="G55">
        <f>ROUND(SUM('Plant03 Inputs'!BP$4:BP5),2)</f>
        <v/>
      </c>
      <c r="H55">
        <f>ROUND(SUM('Plant03 Inputs'!BP$4:BP6),2)</f>
        <v/>
      </c>
      <c r="I55">
        <f>ROUND(SUM('Plant03 Inputs'!BP$4:BP7),2)</f>
        <v/>
      </c>
      <c r="J55">
        <f>ROUND(SUM('Plant03 Inputs'!BP$4:BP8),2)</f>
        <v/>
      </c>
      <c r="K55">
        <f>ROUND(SUM('Plant03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ROUND('Plant03 Inputs'!BR4,2)</f>
        <v/>
      </c>
      <c r="G56">
        <f>ROUND('Plant03 Inputs'!BR5,2)</f>
        <v/>
      </c>
      <c r="H56">
        <f>ROUND('Plant03 Inputs'!BR6,2)</f>
        <v/>
      </c>
      <c r="I56">
        <f>ROUND('Plant03 Inputs'!BR7,2)</f>
        <v/>
      </c>
      <c r="J56">
        <f>ROUND('Plant03 Inputs'!BR8,2)</f>
        <v/>
      </c>
      <c r="K56">
        <f>ROUND('Plant03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ROUND(IF(SUM('Plant03 Inputs'!AM$4:AM4)=0,100,100*SUM('Plant03 Inputs'!AN$4:AN4)/SUM('Plant03 Inputs'!AM$4:AM4)),2)</f>
        <v/>
      </c>
      <c r="G57">
        <f>ROUND(IF(SUM('Plant03 Inputs'!AM$4:AM5)=0,100,100*SUM('Plant03 Inputs'!AN$4:AN5)/SUM('Plant03 Inputs'!AM$4:AM5)),2)</f>
        <v/>
      </c>
      <c r="H57">
        <f>ROUND(IF(SUM('Plant03 Inputs'!AM$4:AM6)=0,100,100*SUM('Plant03 Inputs'!AN$4:AN6)/SUM('Plant03 Inputs'!AM$4:AM6)),2)</f>
        <v/>
      </c>
      <c r="I57">
        <f>ROUND(IF(SUM('Plant03 Inputs'!AM$4:AM7)=0,100,100*SUM('Plant03 Inputs'!AN$4:AN7)/SUM('Plant03 Inputs'!AM$4:AM7)),2)</f>
        <v/>
      </c>
      <c r="J57">
        <f>ROUND(IF(SUM('Plant03 Inputs'!AM$4:AM8)=0,100,100*SUM('Plant03 Inputs'!AN$4:AN8)/SUM('Plant03 Inputs'!AM$4:AM8)),2)</f>
        <v/>
      </c>
      <c r="K57">
        <f>ROUND(IF(SUM('Plant03 Inputs'!AM$4:AM9)=0,100,100*SUM('Plant03 Inputs'!AN$4:AN9)/SUM('Plant03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IF('Plant03 Inputs'!GG4&gt;=-1,"Low",IF('Plant03 Inputs'!GG4&gt;=-3,"Medium","High"))&amp;" ("&amp;ROUND('Plant03 Inputs'!GG4,1)&amp;"% vs plan price)"</f>
        <v/>
      </c>
      <c r="G58">
        <f>IF('Plant03 Inputs'!GG5&gt;=-1,"Low",IF('Plant03 Inputs'!GG5&gt;=-3,"Medium","High"))&amp;" ("&amp;ROUND('Plant03 Inputs'!GG5,1)&amp;"% vs plan price)"</f>
        <v/>
      </c>
      <c r="H58">
        <f>IF('Plant03 Inputs'!GG6&gt;=-1,"Low",IF('Plant03 Inputs'!GG6&gt;=-3,"Medium","High"))&amp;" ("&amp;ROUND('Plant03 Inputs'!GG6,1)&amp;"% vs plan price)"</f>
        <v/>
      </c>
      <c r="I58">
        <f>IF('Plant03 Inputs'!GG7&gt;=-1,"Low",IF('Plant03 Inputs'!GG7&gt;=-3,"Medium","High"))&amp;" ("&amp;ROUND('Plant03 Inputs'!GG7,1)&amp;"% vs plan price)"</f>
        <v/>
      </c>
      <c r="J58">
        <f>IF('Plant03 Inputs'!GG8&gt;=-1,"Low",IF('Plant03 Inputs'!GG8&gt;=-3,"Medium","High"))&amp;" ("&amp;ROUND('Plant03 Inputs'!GG8,1)&amp;"% vs plan price)"</f>
        <v/>
      </c>
      <c r="K58">
        <f>IF('Plant03 Inputs'!GG9&gt;=-1,"Low",IF('Plant03 Inputs'!GG9&gt;=-3,"Medium","High"))&amp;" ("&amp;ROUND('Plant03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ROUND('Plant03 Inputs'!BS4,2)</f>
        <v/>
      </c>
      <c r="G59">
        <f>ROUND('Plant03 Inputs'!BS5,2)</f>
        <v/>
      </c>
      <c r="H59">
        <f>ROUND('Plant03 Inputs'!BS6,2)</f>
        <v/>
      </c>
      <c r="I59">
        <f>ROUND('Plant03 Inputs'!BS7,2)</f>
        <v/>
      </c>
      <c r="J59">
        <f>ROUND('Plant03 Inputs'!BS8,2)</f>
        <v/>
      </c>
      <c r="K59">
        <f>ROUND('Plant03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ROUND(100*NORM.DIST('Plant03 Inputs'!BT4,'Plant03 Inputs'!BU4,SQRT('Plant03 Inputs'!BV4),TRUE),2)</f>
        <v/>
      </c>
      <c r="G60">
        <f>ROUND(100*NORM.DIST('Plant03 Inputs'!BT5,'Plant03 Inputs'!BU5,SQRT('Plant03 Inputs'!BV5),TRUE),2)</f>
        <v/>
      </c>
      <c r="H60">
        <f>ROUND(100*NORM.DIST('Plant03 Inputs'!BT6,'Plant03 Inputs'!BU6,SQRT('Plant03 Inputs'!BV6),TRUE),2)</f>
        <v/>
      </c>
      <c r="I60">
        <f>ROUND(100*NORM.DIST('Plant03 Inputs'!BT7,'Plant03 Inputs'!BU7,SQRT('Plant03 Inputs'!BV7),TRUE),2)</f>
        <v/>
      </c>
      <c r="J60">
        <f>ROUND(100*NORM.DIST('Plant03 Inputs'!BT8,'Plant03 Inputs'!BU8,SQRT('Plant03 Inputs'!BV8),TRUE),2)</f>
        <v/>
      </c>
      <c r="K60">
        <f>ROUND(100*NORM.DIST('Plant03 Inputs'!BT9,'Plant03 Inputs'!BU9,SQRT('Plant03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ROUND('Plant03 Inputs'!BX4/1000,2)</f>
        <v/>
      </c>
      <c r="G61">
        <f>ROUND('Plant03 Inputs'!BX5/1000,2)</f>
        <v/>
      </c>
      <c r="H61">
        <f>ROUND('Plant03 Inputs'!BX6/1000,2)</f>
        <v/>
      </c>
      <c r="I61">
        <f>ROUND('Plant03 Inputs'!BX7/1000,2)</f>
        <v/>
      </c>
      <c r="J61">
        <f>ROUND('Plant03 Inputs'!BX8/1000,2)</f>
        <v/>
      </c>
      <c r="K61">
        <f>ROUND('Plant03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ROUND(100*NORM.DIST(0.78*'Plant03 Inputs'!BW4,'Plant03 Inputs'!BU4,SQRT('Plant03 Inputs'!BV4),TRUE),2)</f>
        <v/>
      </c>
      <c r="G62">
        <f>ROUND(100*NORM.DIST(0.78*'Plant03 Inputs'!BW5,'Plant03 Inputs'!BU5,SQRT('Plant03 Inputs'!BV5),TRUE),2)</f>
        <v/>
      </c>
      <c r="H62">
        <f>ROUND(100*NORM.DIST(0.78*'Plant03 Inputs'!BW6,'Plant03 Inputs'!BU6,SQRT('Plant03 Inputs'!BV6),TRUE),2)</f>
        <v/>
      </c>
      <c r="I62">
        <f>ROUND(100*NORM.DIST(0.78*'Plant03 Inputs'!BW7,'Plant03 Inputs'!BU7,SQRT('Plant03 Inputs'!BV7),TRUE),2)</f>
        <v/>
      </c>
      <c r="J62">
        <f>ROUND(100*NORM.DIST(0.78*'Plant03 Inputs'!BW8,'Plant03 Inputs'!BU8,SQRT('Plant03 Inputs'!BV8),TRUE),2)</f>
        <v/>
      </c>
      <c r="K62">
        <f>ROUND(100*NORM.DIST(0.78*'Plant03 Inputs'!BW9,'Plant03 Inputs'!BU9,SQRT('Plant03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ROUND(SUM('Plant03 Inputs'!X$4:X4)/1000,2)</f>
        <v/>
      </c>
      <c r="G63">
        <f>ROUND(SUM('Plant03 Inputs'!X$4:X5)/1000,2)</f>
        <v/>
      </c>
      <c r="H63">
        <f>ROUND(SUM('Plant03 Inputs'!X$4:X6)/1000,2)</f>
        <v/>
      </c>
      <c r="I63">
        <f>ROUND(SUM('Plant03 Inputs'!X$4:X7)/1000,2)</f>
        <v/>
      </c>
      <c r="J63">
        <f>ROUND(SUM('Plant03 Inputs'!X$4:X8)/1000,2)</f>
        <v/>
      </c>
      <c r="K63">
        <f>ROUND(SUM('Plant03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ROUND(IF(OR('Plant03 Inputs'!M4=0,'Plant03 Inputs'!W4=0,'Plant03 Inputs'!M4=0),0,100*(('Plant03 Inputs'!W4/'Plant03 Inputs'!M4)/('Plant03 Inputs'!W4/'Plant03 Inputs'!M4)-1)),2)</f>
        <v/>
      </c>
      <c r="G64">
        <f>ROUND(IF(OR('Plant03 Inputs'!M4=0,'Plant03 Inputs'!W4=0,'Plant03 Inputs'!M5=0),0,100*(('Plant03 Inputs'!W5/'Plant03 Inputs'!M5)/('Plant03 Inputs'!W4/'Plant03 Inputs'!M4)-1)),2)</f>
        <v/>
      </c>
      <c r="H64">
        <f>ROUND(IF(OR('Plant03 Inputs'!M5=0,'Plant03 Inputs'!W5=0,'Plant03 Inputs'!M6=0),0,100*(('Plant03 Inputs'!W6/'Plant03 Inputs'!M6)/('Plant03 Inputs'!W5/'Plant03 Inputs'!M5)-1)),2)</f>
        <v/>
      </c>
      <c r="I64">
        <f>ROUND(IF(OR('Plant03 Inputs'!M6=0,'Plant03 Inputs'!W6=0,'Plant03 Inputs'!M7=0),0,100*(('Plant03 Inputs'!W7/'Plant03 Inputs'!M7)/('Plant03 Inputs'!W6/'Plant03 Inputs'!M6)-1)),2)</f>
        <v/>
      </c>
      <c r="J64">
        <f>ROUND(IF(OR('Plant03 Inputs'!M7=0,'Plant03 Inputs'!W7=0,'Plant03 Inputs'!M8=0),0,100*(('Plant03 Inputs'!W8/'Plant03 Inputs'!M8)/('Plant03 Inputs'!W7/'Plant03 Inputs'!M7)-1)),2)</f>
        <v/>
      </c>
      <c r="K64">
        <f>ROUND(IF(OR('Plant03 Inputs'!M8=0,'Plant03 Inputs'!W8=0,'Plant03 Inputs'!M9=0),0,100*(('Plant03 Inputs'!W9/'Plant03 Inputs'!M9)/('Plant03 Inputs'!W8/'Plant03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ROUND(IF(OR('Plant03 Inputs'!M4=0,'Plant03 Inputs'!AW4=0,'Plant03 Inputs'!M4=0),0,100*(('Plant03 Inputs'!AW4/'Plant03 Inputs'!M4)/('Plant03 Inputs'!AW4/'Plant03 Inputs'!M4)-1)),2)</f>
        <v/>
      </c>
      <c r="G65">
        <f>ROUND(IF(OR('Plant03 Inputs'!M4=0,'Plant03 Inputs'!AW4=0,'Plant03 Inputs'!M5=0),0,100*(('Plant03 Inputs'!AW5/'Plant03 Inputs'!M5)/('Plant03 Inputs'!AW4/'Plant03 Inputs'!M4)-1)),2)</f>
        <v/>
      </c>
      <c r="H65">
        <f>ROUND(IF(OR('Plant03 Inputs'!M5=0,'Plant03 Inputs'!AW5=0,'Plant03 Inputs'!M6=0),0,100*(('Plant03 Inputs'!AW6/'Plant03 Inputs'!M6)/('Plant03 Inputs'!AW5/'Plant03 Inputs'!M5)-1)),2)</f>
        <v/>
      </c>
      <c r="I65">
        <f>ROUND(IF(OR('Plant03 Inputs'!M6=0,'Plant03 Inputs'!AW6=0,'Plant03 Inputs'!M7=0),0,100*(('Plant03 Inputs'!AW7/'Plant03 Inputs'!M7)/('Plant03 Inputs'!AW6/'Plant03 Inputs'!M6)-1)),2)</f>
        <v/>
      </c>
      <c r="J65">
        <f>ROUND(IF(OR('Plant03 Inputs'!M7=0,'Plant03 Inputs'!AW7=0,'Plant03 Inputs'!M8=0),0,100*(('Plant03 Inputs'!AW8/'Plant03 Inputs'!M8)/('Plant03 Inputs'!AW7/'Plant03 Inputs'!M7)-1)),2)</f>
        <v/>
      </c>
      <c r="K65">
        <f>ROUND(IF(OR('Plant03 Inputs'!M8=0,'Plant03 Inputs'!AW8=0,'Plant03 Inputs'!M9=0),0,100*(('Plant03 Inputs'!AW9/'Plant03 Inputs'!M9)/('Plant03 Inputs'!AW8/'Plant03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ROUND(IFERROR(100*'Plant04 Inputs'!M4/'Plant04 Inputs'!K4,0),2)</f>
        <v/>
      </c>
      <c r="G2">
        <f>ROUND(IFERROR(100*'Plant04 Inputs'!M5/'Plant04 Inputs'!K5,0),2)</f>
        <v/>
      </c>
      <c r="H2">
        <f>ROUND(IFERROR(100*'Plant04 Inputs'!M6/'Plant04 Inputs'!K6,0),2)</f>
        <v/>
      </c>
      <c r="I2">
        <f>ROUND(IFERROR(100*'Plant04 Inputs'!M7/'Plant04 Inputs'!K7,0),2)</f>
        <v/>
      </c>
      <c r="J2">
        <f>ROUND(IFERROR(100*'Plant04 Inputs'!M8/'Plant04 Inputs'!K8,0),2)</f>
        <v/>
      </c>
      <c r="K2">
        <f>ROUND(IFERROR(100*'Plant04 Inputs'!M9/'Plant04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ROUND(IFERROR(100*'Plant04 Inputs'!M4/'Plant04 Inputs'!J4,0),2)</f>
        <v/>
      </c>
      <c r="G3">
        <f>ROUND(IFERROR(100*'Plant04 Inputs'!M5/'Plant04 Inputs'!J5,0),2)</f>
        <v/>
      </c>
      <c r="H3">
        <f>ROUND(IFERROR(100*'Plant04 Inputs'!M6/'Plant04 Inputs'!J6,0),2)</f>
        <v/>
      </c>
      <c r="I3">
        <f>ROUND(IFERROR(100*'Plant04 Inputs'!M7/'Plant04 Inputs'!J7,0),2)</f>
        <v/>
      </c>
      <c r="J3">
        <f>ROUND(IFERROR(100*'Plant04 Inputs'!M8/'Plant04 Inputs'!J8,0),2)</f>
        <v/>
      </c>
      <c r="K3">
        <f>ROUND(IFERROR(100*'Plant04 Inputs'!M9/'Plant04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ROUND(IFERROR(100*'Plant04 Inputs'!G4/'Plant04 Inputs'!E4,0),2)</f>
        <v/>
      </c>
      <c r="G4">
        <f>ROUND(IFERROR(100*'Plant04 Inputs'!G5/'Plant04 Inputs'!E5,0),2)</f>
        <v/>
      </c>
      <c r="H4">
        <f>ROUND(IFERROR(100*'Plant04 Inputs'!G6/'Plant04 Inputs'!E6,0),2)</f>
        <v/>
      </c>
      <c r="I4">
        <f>ROUND(IFERROR(100*'Plant04 Inputs'!G7/'Plant04 Inputs'!E7,0),2)</f>
        <v/>
      </c>
      <c r="J4">
        <f>ROUND(IFERROR(100*'Plant04 Inputs'!G8/'Plant04 Inputs'!E8,0),2)</f>
        <v/>
      </c>
      <c r="K4">
        <f>ROUND(IFERROR(100*'Plant04 Inputs'!G9/'Plant04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ROUND(IFERROR(100*'Plant04 Inputs'!M4/'Plant04 Inputs'!I4,0),2)</f>
        <v/>
      </c>
      <c r="G5">
        <f>ROUND(IFERROR(100*'Plant04 Inputs'!M5/'Plant04 Inputs'!I5,0),2)</f>
        <v/>
      </c>
      <c r="H5">
        <f>ROUND(IFERROR(100*'Plant04 Inputs'!M6/'Plant04 Inputs'!I6,0),2)</f>
        <v/>
      </c>
      <c r="I5">
        <f>ROUND(IFERROR(100*'Plant04 Inputs'!M7/'Plant04 Inputs'!I7,0),2)</f>
        <v/>
      </c>
      <c r="J5">
        <f>ROUND(IFERROR(100*'Plant04 Inputs'!M8/'Plant04 Inputs'!I8,0),2)</f>
        <v/>
      </c>
      <c r="K5">
        <f>ROUND(IFERROR(100*'Plant04 Inputs'!M9/'Plant04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ROUND(IFERROR(100*'Plant04 Inputs'!P4/'Plant04 Inputs'!O4,0),2)</f>
        <v/>
      </c>
      <c r="G6">
        <f>ROUND(IFERROR(100*'Plant04 Inputs'!P5/'Plant04 Inputs'!O5,0),2)</f>
        <v/>
      </c>
      <c r="H6">
        <f>ROUND(IFERROR(100*'Plant04 Inputs'!P6/'Plant04 Inputs'!O6,0),2)</f>
        <v/>
      </c>
      <c r="I6">
        <f>ROUND(IFERROR(100*'Plant04 Inputs'!P7/'Plant04 Inputs'!O7,0),2)</f>
        <v/>
      </c>
      <c r="J6">
        <f>ROUND(IFERROR(100*'Plant04 Inputs'!P8/'Plant04 Inputs'!O8,0),2)</f>
        <v/>
      </c>
      <c r="K6">
        <f>ROUND(IFERROR(100*'Plant04 Inputs'!P9/'Plant04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ROUND(IFERROR(100*'Plant04 Inputs'!M4/'Plant04 Inputs'!N4,0),2)</f>
        <v/>
      </c>
      <c r="G7">
        <f>ROUND(IFERROR(100*'Plant04 Inputs'!M5/'Plant04 Inputs'!N5,0),2)</f>
        <v/>
      </c>
      <c r="H7">
        <f>ROUND(IFERROR(100*'Plant04 Inputs'!M6/'Plant04 Inputs'!N6,0),2)</f>
        <v/>
      </c>
      <c r="I7">
        <f>ROUND(IFERROR(100*'Plant04 Inputs'!M7/'Plant04 Inputs'!N7,0),2)</f>
        <v/>
      </c>
      <c r="J7">
        <f>ROUND(IFERROR(100*'Plant04 Inputs'!M8/'Plant04 Inputs'!N8,0),2)</f>
        <v/>
      </c>
      <c r="K7">
        <f>ROUND(IFERROR(100*'Plant04 Inputs'!M9/'Plant04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ROUND(IFERROR('Plant04 Inputs'!G4/'Plant04 Inputs'!R4,0),2)</f>
        <v/>
      </c>
      <c r="G8">
        <f>ROUND(IFERROR('Plant04 Inputs'!G5/'Plant04 Inputs'!R5,0),2)</f>
        <v/>
      </c>
      <c r="H8">
        <f>ROUND(IFERROR('Plant04 Inputs'!G6/'Plant04 Inputs'!R6,0),2)</f>
        <v/>
      </c>
      <c r="I8">
        <f>ROUND(IFERROR('Plant04 Inputs'!G7/'Plant04 Inputs'!R7,0),2)</f>
        <v/>
      </c>
      <c r="J8">
        <f>ROUND(IFERROR('Plant04 Inputs'!G8/'Plant04 Inputs'!R8,0),2)</f>
        <v/>
      </c>
      <c r="K8">
        <f>ROUND(IFERROR('Plant04 Inputs'!G9/'Plant04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ROUND(IFERROR('Plant04 Inputs'!S4/'Plant04 Inputs'!R4,0),2)</f>
        <v/>
      </c>
      <c r="G9">
        <f>ROUND(IFERROR('Plant04 Inputs'!S5/'Plant04 Inputs'!R5,0),2)</f>
        <v/>
      </c>
      <c r="H9">
        <f>ROUND(IFERROR('Plant04 Inputs'!S6/'Plant04 Inputs'!R6,0),2)</f>
        <v/>
      </c>
      <c r="I9">
        <f>ROUND(IFERROR('Plant04 Inputs'!S7/'Plant04 Inputs'!R7,0),2)</f>
        <v/>
      </c>
      <c r="J9">
        <f>ROUND(IFERROR('Plant04 Inputs'!S8/'Plant04 Inputs'!R8,0),2)</f>
        <v/>
      </c>
      <c r="K9">
        <f>ROUND(IFERROR('Plant04 Inputs'!S9/'Plant04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ROUND('Plant04 Inputs'!H4,2)</f>
        <v/>
      </c>
      <c r="G10">
        <f>ROUND('Plant04 Inputs'!H5,2)</f>
        <v/>
      </c>
      <c r="H10">
        <f>ROUND('Plant04 Inputs'!H6,2)</f>
        <v/>
      </c>
      <c r="I10">
        <f>ROUND('Plant04 Inputs'!H7,2)</f>
        <v/>
      </c>
      <c r="J10">
        <f>ROUND('Plant04 Inputs'!H8,2)</f>
        <v/>
      </c>
      <c r="K10">
        <f>ROUND('Plant04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ROUND('Plant04 Inputs'!Q4,2)</f>
        <v/>
      </c>
      <c r="G11">
        <f>ROUND('Plant04 Inputs'!Q5,2)</f>
        <v/>
      </c>
      <c r="H11">
        <f>ROUND('Plant04 Inputs'!Q6,2)</f>
        <v/>
      </c>
      <c r="I11">
        <f>ROUND('Plant04 Inputs'!Q7,2)</f>
        <v/>
      </c>
      <c r="J11">
        <f>ROUND('Plant04 Inputs'!Q8,2)</f>
        <v/>
      </c>
      <c r="K11">
        <f>ROUND('Plant04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ROUND(IFERROR(100*'Plant04 Inputs'!U4/'Plant04 Inputs'!T4,0),2)</f>
        <v/>
      </c>
      <c r="G12">
        <f>ROUND(IFERROR(100*'Plant04 Inputs'!U5/'Plant04 Inputs'!T5,0),2)</f>
        <v/>
      </c>
      <c r="H12">
        <f>ROUND(IFERROR(100*'Plant04 Inputs'!U6/'Plant04 Inputs'!T6,0),2)</f>
        <v/>
      </c>
      <c r="I12">
        <f>ROUND(IFERROR(100*'Plant04 Inputs'!U7/'Plant04 Inputs'!T7,0),2)</f>
        <v/>
      </c>
      <c r="J12">
        <f>ROUND(IFERROR(100*'Plant04 Inputs'!U8/'Plant04 Inputs'!T8,0),2)</f>
        <v/>
      </c>
      <c r="K12">
        <f>ROUND(IFERROR(100*'Plant04 Inputs'!U9/'Plant04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ROUND(IFERROR(1000*('Plant04 Inputs'!V4+'Plant04 Inputs'!X4)/'Plant04 Inputs'!M4,0),2)</f>
        <v/>
      </c>
      <c r="G13">
        <f>ROUND(IFERROR(1000*('Plant04 Inputs'!V5+'Plant04 Inputs'!X5)/'Plant04 Inputs'!M5,0),2)</f>
        <v/>
      </c>
      <c r="H13">
        <f>ROUND(IFERROR(1000*('Plant04 Inputs'!V6+'Plant04 Inputs'!X6)/'Plant04 Inputs'!M6,0),2)</f>
        <v/>
      </c>
      <c r="I13">
        <f>ROUND(IFERROR(1000*('Plant04 Inputs'!V7+'Plant04 Inputs'!X7)/'Plant04 Inputs'!M7,0),2)</f>
        <v/>
      </c>
      <c r="J13">
        <f>ROUND(IFERROR(1000*('Plant04 Inputs'!V8+'Plant04 Inputs'!X8)/'Plant04 Inputs'!M8,0),2)</f>
        <v/>
      </c>
      <c r="K13">
        <f>ROUND(IFERROR(1000*('Plant04 Inputs'!V9+'Plant04 Inputs'!X9)/'Plant04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ROUND('Plant04 Inputs'!V4,2)</f>
        <v/>
      </c>
      <c r="G14">
        <f>ROUND('Plant04 Inputs'!V5,2)</f>
        <v/>
      </c>
      <c r="H14">
        <f>ROUND('Plant04 Inputs'!V6,2)</f>
        <v/>
      </c>
      <c r="I14">
        <f>ROUND('Plant04 Inputs'!V7,2)</f>
        <v/>
      </c>
      <c r="J14">
        <f>ROUND('Plant04 Inputs'!V8,2)</f>
        <v/>
      </c>
      <c r="K14">
        <f>ROUND('Plant04 Inputs'!V9,2)</f>
        <v/>
      </c>
      <c r="L14" t="inlineStr">
        <is>
          <t>variable_cost_k</t>
        </is>
      </c>
    </row>
    <row r="15">
      <c r="A15" t="inlineStr">
        <is>
          <t>CST-003</t>
        </is>
      </c>
      <c r="B15" t="inlineStr">
        <is>
          <t>Fuel cost</t>
        </is>
      </c>
      <c r="C15" t="inlineStr">
        <is>
          <t>₹ thousand</t>
        </is>
      </c>
      <c r="D15" t="inlineStr">
        <is>
          <t>Month</t>
        </is>
      </c>
      <c r="E15" t="inlineStr">
        <is>
          <t>Fuel cost</t>
        </is>
      </c>
      <c r="F15">
        <f>ROUND('Plant04 Inputs'!W4,2)</f>
        <v/>
      </c>
      <c r="G15">
        <f>ROUND('Plant04 Inputs'!W5,2)</f>
        <v/>
      </c>
      <c r="H15">
        <f>ROUND('Plant04 Inputs'!W6,2)</f>
        <v/>
      </c>
      <c r="I15">
        <f>ROUND('Plant04 Inputs'!W7,2)</f>
        <v/>
      </c>
      <c r="J15">
        <f>ROUND('Plant04 Inputs'!W8,2)</f>
        <v/>
      </c>
      <c r="K15">
        <f>ROUND('Plant04 Inputs'!W9,2)</f>
        <v/>
      </c>
      <c r="L15" t="inlineStr">
        <is>
          <t>fuel_cost_k</t>
        </is>
      </c>
    </row>
    <row r="16">
      <c r="A16" t="inlineStr">
        <is>
          <t>SUS-001</t>
        </is>
      </c>
      <c r="B16" t="inlineStr">
        <is>
          <t>Water usage</t>
        </is>
      </c>
      <c r="C16" t="inlineStr">
        <is>
          <t>m3</t>
        </is>
      </c>
      <c r="D16" t="inlineStr">
        <is>
          <t>Month</t>
        </is>
      </c>
      <c r="E16" t="inlineStr">
        <is>
          <t>Water used</t>
        </is>
      </c>
      <c r="F16">
        <f>ROUND('Plant04 Inputs'!Y4,2)</f>
        <v/>
      </c>
      <c r="G16">
        <f>ROUND('Plant04 Inputs'!Y5,2)</f>
        <v/>
      </c>
      <c r="H16">
        <f>ROUND('Plant04 Inputs'!Y6,2)</f>
        <v/>
      </c>
      <c r="I16">
        <f>ROUND('Plant04 Inputs'!Y7,2)</f>
        <v/>
      </c>
      <c r="J16">
        <f>ROUND('Plant04 Inputs'!Y8,2)</f>
        <v/>
      </c>
      <c r="K16">
        <f>ROUND('Plant04 Inputs'!Y9,2)</f>
        <v/>
      </c>
      <c r="L16" t="inlineStr">
        <is>
          <t>water_m3</t>
        </is>
      </c>
    </row>
    <row r="17">
      <c r="A17" t="inlineStr">
        <is>
          <t>SUS-002</t>
        </is>
      </c>
      <c r="B17" t="inlineStr">
        <is>
          <t>Emissions</t>
        </is>
      </c>
      <c r="C17" t="inlineStr">
        <is>
          <t>tCO2e</t>
        </is>
      </c>
      <c r="D17" t="inlineStr">
        <is>
          <t>Month</t>
        </is>
      </c>
      <c r="E17" t="inlineStr">
        <is>
          <t>Emissions</t>
        </is>
      </c>
      <c r="F17">
        <f>ROUND('Plant04 Inputs'!Z4,2)</f>
        <v/>
      </c>
      <c r="G17">
        <f>ROUND('Plant04 Inputs'!Z5,2)</f>
        <v/>
      </c>
      <c r="H17">
        <f>ROUND('Plant04 Inputs'!Z6,2)</f>
        <v/>
      </c>
      <c r="I17">
        <f>ROUND('Plant04 Inputs'!Z7,2)</f>
        <v/>
      </c>
      <c r="J17">
        <f>ROUND('Plant04 Inputs'!Z8,2)</f>
        <v/>
      </c>
      <c r="K17">
        <f>ROUND('Plant04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ROUND(IFERROR('Plant04 Inputs'!AA4/'Plant04 Inputs'!M4,0),2)</f>
        <v/>
      </c>
      <c r="G18">
        <f>ROUND(IFERROR('Plant04 Inputs'!AA5/'Plant04 Inputs'!M5,0),2)</f>
        <v/>
      </c>
      <c r="H18">
        <f>ROUND(IFERROR('Plant04 Inputs'!AA6/'Plant04 Inputs'!M6,0),2)</f>
        <v/>
      </c>
      <c r="I18">
        <f>ROUND(IFERROR('Plant04 Inputs'!AA7/'Plant04 Inputs'!M7,0),2)</f>
        <v/>
      </c>
      <c r="J18">
        <f>ROUND(IFERROR('Plant04 Inputs'!AA8/'Plant04 Inputs'!M8,0),2)</f>
        <v/>
      </c>
      <c r="K18">
        <f>ROUND(IFERROR('Plant04 Inputs'!AA9/'Plant04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ROUND('Plant04 Inputs'!AB4,2)</f>
        <v/>
      </c>
      <c r="G19">
        <f>ROUND('Plant04 Inputs'!AB5,2)</f>
        <v/>
      </c>
      <c r="H19">
        <f>ROUND('Plant04 Inputs'!AB6,2)</f>
        <v/>
      </c>
      <c r="I19">
        <f>ROUND('Plant04 Inputs'!AB7,2)</f>
        <v/>
      </c>
      <c r="J19">
        <f>ROUND('Plant04 Inputs'!AB8,2)</f>
        <v/>
      </c>
      <c r="K19">
        <f>ROUND('Plant04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ROUND('Plant04 Inputs'!AC4,2)</f>
        <v/>
      </c>
      <c r="G20">
        <f>ROUND('Plant04 Inputs'!AC5,2)</f>
        <v/>
      </c>
      <c r="H20">
        <f>ROUND('Plant04 Inputs'!AC6,2)</f>
        <v/>
      </c>
      <c r="I20">
        <f>ROUND('Plant04 Inputs'!AC7,2)</f>
        <v/>
      </c>
      <c r="J20">
        <f>ROUND('Plant04 Inputs'!AC8,2)</f>
        <v/>
      </c>
      <c r="K20">
        <f>ROUND('Plant04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ROUND('Plant04 Inputs'!AO4,2)</f>
        <v/>
      </c>
      <c r="G21">
        <f>ROUND('Plant04 Inputs'!AO5,2)</f>
        <v/>
      </c>
      <c r="H21">
        <f>ROUND('Plant04 Inputs'!AO6,2)</f>
        <v/>
      </c>
      <c r="I21">
        <f>ROUND('Plant04 Inputs'!AO7,2)</f>
        <v/>
      </c>
      <c r="J21">
        <f>ROUND('Plant04 Inputs'!AO8,2)</f>
        <v/>
      </c>
      <c r="K21">
        <f>ROUND('Plant04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ROUND(IFERROR(100*'Plant04 Inputs'!AQ4/'Plant04 Inputs'!AP4,0),2)</f>
        <v/>
      </c>
      <c r="G22">
        <f>ROUND(IFERROR(100*'Plant04 Inputs'!AQ5/'Plant04 Inputs'!AP5,0),2)</f>
        <v/>
      </c>
      <c r="H22">
        <f>ROUND(IFERROR(100*'Plant04 Inputs'!AQ6/'Plant04 Inputs'!AP6,0),2)</f>
        <v/>
      </c>
      <c r="I22">
        <f>ROUND(IFERROR(100*'Plant04 Inputs'!AQ7/'Plant04 Inputs'!AP7,0),2)</f>
        <v/>
      </c>
      <c r="J22">
        <f>ROUND(IFERROR(100*'Plant04 Inputs'!AQ8/'Plant04 Inputs'!AP8,0),2)</f>
        <v/>
      </c>
      <c r="K22">
        <f>ROUND(IFERROR(100*'Plant04 Inputs'!AQ9/'Plant04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ROUND('Plant04 Inputs'!AJ4,2)</f>
        <v/>
      </c>
      <c r="G23">
        <f>ROUND('Plant04 Inputs'!AJ5,2)</f>
        <v/>
      </c>
      <c r="H23">
        <f>ROUND('Plant04 Inputs'!AJ6,2)</f>
        <v/>
      </c>
      <c r="I23">
        <f>ROUND('Plant04 Inputs'!AJ7,2)</f>
        <v/>
      </c>
      <c r="J23">
        <f>ROUND('Plant04 Inputs'!AJ8,2)</f>
        <v/>
      </c>
      <c r="K23">
        <f>ROUND('Plant04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ROUND(IFERROR(200000*'Plant04 Inputs'!AE4/'Plant04 Inputs'!AD4,0),2)</f>
        <v/>
      </c>
      <c r="G24">
        <f>ROUND(IFERROR(200000*'Plant04 Inputs'!AE5/'Plant04 Inputs'!AD5,0),2)</f>
        <v/>
      </c>
      <c r="H24">
        <f>ROUND(IFERROR(200000*'Plant04 Inputs'!AE6/'Plant04 Inputs'!AD6,0),2)</f>
        <v/>
      </c>
      <c r="I24">
        <f>ROUND(IFERROR(200000*'Plant04 Inputs'!AE7/'Plant04 Inputs'!AD7,0),2)</f>
        <v/>
      </c>
      <c r="J24">
        <f>ROUND(IFERROR(200000*'Plant04 Inputs'!AE8/'Plant04 Inputs'!AD8,0),2)</f>
        <v/>
      </c>
      <c r="K24">
        <f>ROUND(IFERROR(200000*'Plant04 Inputs'!AE9/'Plant04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ROUND('Plant04 Inputs'!AF4,2)</f>
        <v/>
      </c>
      <c r="G25">
        <f>ROUND('Plant04 Inputs'!AF5,2)</f>
        <v/>
      </c>
      <c r="H25">
        <f>ROUND('Plant04 Inputs'!AF6,2)</f>
        <v/>
      </c>
      <c r="I25">
        <f>ROUND('Plant04 Inputs'!AF7,2)</f>
        <v/>
      </c>
      <c r="J25">
        <f>ROUND('Plant04 Inputs'!AF8,2)</f>
        <v/>
      </c>
      <c r="K25">
        <f>ROUND('Plant04 Inputs'!AF9,2)</f>
        <v/>
      </c>
      <c r="L25" t="inlineStr">
        <is>
          <t>severity_incidents</t>
        </is>
      </c>
    </row>
    <row r="26">
      <c r="A26" t="inlineStr">
        <is>
          <t>EHS-003</t>
        </is>
      </c>
      <c r="B26" t="inlineStr">
        <is>
          <t>Near misses</t>
        </is>
      </c>
      <c r="C26" t="inlineStr">
        <is>
          <t>count</t>
        </is>
      </c>
      <c r="D26" t="inlineStr">
        <is>
          <t>Month</t>
        </is>
      </c>
      <c r="E26" t="inlineStr">
        <is>
          <t>Near misses</t>
        </is>
      </c>
      <c r="F26">
        <f>ROUND('Plant04 Inputs'!AG4,2)</f>
        <v/>
      </c>
      <c r="G26">
        <f>ROUND('Plant04 Inputs'!AG5,2)</f>
        <v/>
      </c>
      <c r="H26">
        <f>ROUND('Plant04 Inputs'!AG6,2)</f>
        <v/>
      </c>
      <c r="I26">
        <f>ROUND('Plant04 Inputs'!AG7,2)</f>
        <v/>
      </c>
      <c r="J26">
        <f>ROUND('Plant04 Inputs'!AG8,2)</f>
        <v/>
      </c>
      <c r="K26">
        <f>ROUND('Plant04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ROUND('Plant04 Inputs'!AH4,2)</f>
        <v/>
      </c>
      <c r="G27">
        <f>ROUND('Plant04 Inputs'!AH5,2)</f>
        <v/>
      </c>
      <c r="H27">
        <f>ROUND('Plant04 Inputs'!AH6,2)</f>
        <v/>
      </c>
      <c r="I27">
        <f>ROUND('Plant04 Inputs'!AH7,2)</f>
        <v/>
      </c>
      <c r="J27">
        <f>ROUND('Plant04 Inputs'!AH8,2)</f>
        <v/>
      </c>
      <c r="K27">
        <f>ROUND('Plant04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ROUND('Plant04 Inputs'!AI4,2)</f>
        <v/>
      </c>
      <c r="G28">
        <f>ROUND('Plant04 Inputs'!AI5,2)</f>
        <v/>
      </c>
      <c r="H28">
        <f>ROUND('Plant04 Inputs'!AI6,2)</f>
        <v/>
      </c>
      <c r="I28">
        <f>ROUND('Plant04 Inputs'!AI7,2)</f>
        <v/>
      </c>
      <c r="J28">
        <f>ROUND('Plant04 Inputs'!AI8,2)</f>
        <v/>
      </c>
      <c r="K28">
        <f>ROUND('Plant04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ROUND('Plant04 Inputs'!AK4,2)</f>
        <v/>
      </c>
      <c r="G29">
        <f>ROUND('Plant04 Inputs'!AK5,2)</f>
        <v/>
      </c>
      <c r="H29">
        <f>ROUND('Plant04 Inputs'!AK6,2)</f>
        <v/>
      </c>
      <c r="I29">
        <f>ROUND('Plant04 Inputs'!AK7,2)</f>
        <v/>
      </c>
      <c r="J29">
        <f>ROUND('Plant04 Inputs'!AK8,2)</f>
        <v/>
      </c>
      <c r="K29">
        <f>ROUND('Plant04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ROUND('Plant04 Inputs'!AL4,2)</f>
        <v/>
      </c>
      <c r="G30">
        <f>ROUND('Plant04 Inputs'!AL5,2)</f>
        <v/>
      </c>
      <c r="H30">
        <f>ROUND('Plant04 Inputs'!AL6,2)</f>
        <v/>
      </c>
      <c r="I30">
        <f>ROUND('Plant04 Inputs'!AL7,2)</f>
        <v/>
      </c>
      <c r="J30">
        <f>ROUND('Plant04 Inputs'!AL8,2)</f>
        <v/>
      </c>
      <c r="K30">
        <f>ROUND('Plant04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ROUND(IF('Plant04 Inputs'!AM4=0,100,100*'Plant04 Inputs'!AN4/'Plant04 Inputs'!AM4),2)</f>
        <v/>
      </c>
      <c r="G31">
        <f>ROUND(IF('Plant04 Inputs'!AM5=0,100,100*'Plant04 Inputs'!AN5/'Plant04 Inputs'!AM5),2)</f>
        <v/>
      </c>
      <c r="H31">
        <f>ROUND(IF('Plant04 Inputs'!AM6=0,100,100*'Plant04 Inputs'!AN6/'Plant04 Inputs'!AM6),2)</f>
        <v/>
      </c>
      <c r="I31">
        <f>ROUND(IF('Plant04 Inputs'!AM7=0,100,100*'Plant04 Inputs'!AN7/'Plant04 Inputs'!AM7),2)</f>
        <v/>
      </c>
      <c r="J31">
        <f>ROUND(IF('Plant04 Inputs'!AM8=0,100,100*'Plant04 Inputs'!AN8/'Plant04 Inputs'!AM8),2)</f>
        <v/>
      </c>
      <c r="K31">
        <f>ROUND(IF('Plant04 Inputs'!AM9=0,100,100*'Plant04 Inputs'!AN9/'Plant04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ROUND('Plant04 Inputs'!AR4,2)</f>
        <v/>
      </c>
      <c r="G32">
        <f>ROUND('Plant04 Inputs'!AR5,2)</f>
        <v/>
      </c>
      <c r="H32">
        <f>ROUND('Plant04 Inputs'!AR6,2)</f>
        <v/>
      </c>
      <c r="I32">
        <f>ROUND('Plant04 Inputs'!AR7,2)</f>
        <v/>
      </c>
      <c r="J32">
        <f>ROUND('Plant04 Inputs'!AR8,2)</f>
        <v/>
      </c>
      <c r="K32">
        <f>ROUND('Plant04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ROUND(IFERROR(100*'Plant04 Inputs'!M4/'Plant04 Inputs'!J4,0),2)</f>
        <v/>
      </c>
      <c r="G33">
        <f>ROUND(IFERROR(100*'Plant04 Inputs'!M5/'Plant04 Inputs'!J5,0),2)</f>
        <v/>
      </c>
      <c r="H33">
        <f>ROUND(IFERROR(100*'Plant04 Inputs'!M6/'Plant04 Inputs'!J6,0),2)</f>
        <v/>
      </c>
      <c r="I33">
        <f>ROUND(IFERROR(100*'Plant04 Inputs'!M7/'Plant04 Inputs'!J7,0),2)</f>
        <v/>
      </c>
      <c r="J33">
        <f>ROUND(IFERROR(100*'Plant04 Inputs'!M8/'Plant04 Inputs'!J8,0),2)</f>
        <v/>
      </c>
      <c r="K33">
        <f>ROUND(IFERROR(100*'Plant04 Inputs'!M9/'Plant04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ROUND(IFERROR(100*'Plant04 Inputs'!M4/'Plant04 Inputs'!I4,0),2)</f>
        <v/>
      </c>
      <c r="G34">
        <f>ROUND(IFERROR(100*'Plant04 Inputs'!M5/'Plant04 Inputs'!I5,0),2)</f>
        <v/>
      </c>
      <c r="H34">
        <f>ROUND(IFERROR(100*'Plant04 Inputs'!M6/'Plant04 Inputs'!I6,0),2)</f>
        <v/>
      </c>
      <c r="I34">
        <f>ROUND(IFERROR(100*'Plant04 Inputs'!M7/'Plant04 Inputs'!I7,0),2)</f>
        <v/>
      </c>
      <c r="J34">
        <f>ROUND(IFERROR(100*'Plant04 Inputs'!M8/'Plant04 Inputs'!I8,0),2)</f>
        <v/>
      </c>
      <c r="K34">
        <f>ROUND(IFERROR(100*'Plant04 Inputs'!M9/'Plant04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ROUND(IF('Plant04 Inputs'!AT4=0,0,100*'Plant04 Inputs'!AS4/'Plant04 Inputs'!AT4),2)</f>
        <v/>
      </c>
      <c r="G35">
        <f>ROUND(IF('Plant04 Inputs'!AT5=0,0,100*'Plant04 Inputs'!AS5/'Plant04 Inputs'!AT5),2)</f>
        <v/>
      </c>
      <c r="H35">
        <f>ROUND(IF('Plant04 Inputs'!AT6=0,0,100*'Plant04 Inputs'!AS6/'Plant04 Inputs'!AT6),2)</f>
        <v/>
      </c>
      <c r="I35">
        <f>ROUND(IF('Plant04 Inputs'!AT7=0,0,100*'Plant04 Inputs'!AS7/'Plant04 Inputs'!AT7),2)</f>
        <v/>
      </c>
      <c r="J35">
        <f>ROUND(IF('Plant04 Inputs'!AT8=0,0,100*'Plant04 Inputs'!AS8/'Plant04 Inputs'!AT8),2)</f>
        <v/>
      </c>
      <c r="K35">
        <f>ROUND(IF('Plant04 Inputs'!AT9=0,0,100*'Plant04 Inputs'!AS9/'Plant04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ROUND(IF('Plant04 Inputs'!AT4=0,0,100*'Plant04 Inputs'!AS4/'Plant04 Inputs'!AT4),2)</f>
        <v/>
      </c>
      <c r="G36">
        <f>ROUND(IF('Plant04 Inputs'!AT5=0,0,100*'Plant04 Inputs'!AS5/'Plant04 Inputs'!AT5),2)</f>
        <v/>
      </c>
      <c r="H36">
        <f>ROUND(IF('Plant04 Inputs'!AT6=0,0,100*'Plant04 Inputs'!AS6/'Plant04 Inputs'!AT6),2)</f>
        <v/>
      </c>
      <c r="I36">
        <f>ROUND(IF('Plant04 Inputs'!AT7=0,0,100*'Plant04 Inputs'!AS7/'Plant04 Inputs'!AT7),2)</f>
        <v/>
      </c>
      <c r="J36">
        <f>ROUND(IF('Plant04 Inputs'!AT8=0,0,100*'Plant04 Inputs'!AS8/'Plant04 Inputs'!AT8),2)</f>
        <v/>
      </c>
      <c r="K36">
        <f>ROUND(IF('Plant04 Inputs'!AT9=0,0,100*'Plant04 Inputs'!AS9/'Plant04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ROUND(IF('Plant04 Inputs'!M4=0,0,1000*'Plant04 Inputs'!AW4/'Plant04 Inputs'!M4),2)</f>
        <v/>
      </c>
      <c r="G37">
        <f>ROUND(IF('Plant04 Inputs'!M5=0,0,1000*'Plant04 Inputs'!AW5/'Plant04 Inputs'!M5),2)</f>
        <v/>
      </c>
      <c r="H37">
        <f>ROUND(IF('Plant04 Inputs'!M6=0,0,1000*'Plant04 Inputs'!AW6/'Plant04 Inputs'!M6),2)</f>
        <v/>
      </c>
      <c r="I37">
        <f>ROUND(IF('Plant04 Inputs'!M7=0,0,1000*'Plant04 Inputs'!AW7/'Plant04 Inputs'!M7),2)</f>
        <v/>
      </c>
      <c r="J37">
        <f>ROUND(IF('Plant04 Inputs'!M8=0,0,1000*'Plant04 Inputs'!AW8/'Plant04 Inputs'!M8),2)</f>
        <v/>
      </c>
      <c r="K37">
        <f>ROUND(IF('Plant04 Inputs'!M9=0,0,1000*'Plant04 Inputs'!AW9/'Plant04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ROUND(SUM('Plant04 Inputs'!AU$4:AU4)/1000,2)</f>
        <v/>
      </c>
      <c r="G38">
        <f>ROUND(SUM('Plant04 Inputs'!AU$4:AU5)/1000,2)</f>
        <v/>
      </c>
      <c r="H38">
        <f>ROUND(SUM('Plant04 Inputs'!AU$4:AU6)/1000,2)</f>
        <v/>
      </c>
      <c r="I38">
        <f>ROUND(SUM('Plant04 Inputs'!AU$4:AU7)/1000,2)</f>
        <v/>
      </c>
      <c r="J38">
        <f>ROUND(SUM('Plant04 Inputs'!AU$4:AU8)/1000,2)</f>
        <v/>
      </c>
      <c r="K38">
        <f>ROUND(SUM('Plant04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ROUND(IF('Plant04 Inputs'!AY4=0,0,100*'Plant04 Inputs'!AZ4/'Plant04 Inputs'!AY4),2)</f>
        <v/>
      </c>
      <c r="G39">
        <f>ROUND(IF('Plant04 Inputs'!AY5=0,0,100*'Plant04 Inputs'!AZ5/'Plant04 Inputs'!AY5),2)</f>
        <v/>
      </c>
      <c r="H39">
        <f>ROUND(IF('Plant04 Inputs'!AY6=0,0,100*'Plant04 Inputs'!AZ6/'Plant04 Inputs'!AY6),2)</f>
        <v/>
      </c>
      <c r="I39">
        <f>ROUND(IF('Plant04 Inputs'!AY7=0,0,100*'Plant04 Inputs'!AZ7/'Plant04 Inputs'!AY7),2)</f>
        <v/>
      </c>
      <c r="J39">
        <f>ROUND(IF('Plant04 Inputs'!AY8=0,0,100*'Plant04 Inputs'!AZ8/'Plant04 Inputs'!AY8),2)</f>
        <v/>
      </c>
      <c r="K39">
        <f>ROUND(IF('Plant04 Inputs'!AY9=0,0,100*'Plant04 Inputs'!AZ9/'Plant04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ROUND(IF('Plant04 Inputs'!BA4=0,0,100*'Plant04 Inputs'!BB4/'Plant04 Inputs'!BA4),2)</f>
        <v/>
      </c>
      <c r="G40">
        <f>ROUND(IF('Plant04 Inputs'!BA5=0,0,100*'Plant04 Inputs'!BB5/'Plant04 Inputs'!BA5),2)</f>
        <v/>
      </c>
      <c r="H40">
        <f>ROUND(IF('Plant04 Inputs'!BA6=0,0,100*'Plant04 Inputs'!BB6/'Plant04 Inputs'!BA6),2)</f>
        <v/>
      </c>
      <c r="I40">
        <f>ROUND(IF('Plant04 Inputs'!BA7=0,0,100*'Plant04 Inputs'!BB7/'Plant04 Inputs'!BA7),2)</f>
        <v/>
      </c>
      <c r="J40">
        <f>ROUND(IF('Plant04 Inputs'!BA8=0,0,100*'Plant04 Inputs'!BB8/'Plant04 Inputs'!BA8),2)</f>
        <v/>
      </c>
      <c r="K40">
        <f>ROUND(IF('Plant04 Inputs'!BA9=0,0,100*'Plant04 Inputs'!BB9/'Plant04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ROUND(IF('Plant04 Inputs'!BB4=0,0,100*'Plant04 Inputs'!BC4/'Plant04 Inputs'!BB4),2)</f>
        <v/>
      </c>
      <c r="G41">
        <f>ROUND(IF('Plant04 Inputs'!BB5=0,0,100*'Plant04 Inputs'!BC5/'Plant04 Inputs'!BB5),2)</f>
        <v/>
      </c>
      <c r="H41">
        <f>ROUND(IF('Plant04 Inputs'!BB6=0,0,100*'Plant04 Inputs'!BC6/'Plant04 Inputs'!BB6),2)</f>
        <v/>
      </c>
      <c r="I41">
        <f>ROUND(IF('Plant04 Inputs'!BB7=0,0,100*'Plant04 Inputs'!BC7/'Plant04 Inputs'!BB7),2)</f>
        <v/>
      </c>
      <c r="J41">
        <f>ROUND(IF('Plant04 Inputs'!BB8=0,0,100*'Plant04 Inputs'!BC8/'Plant04 Inputs'!BB8),2)</f>
        <v/>
      </c>
      <c r="K41">
        <f>ROUND(IF('Plant04 Inputs'!BB9=0,0,100*'Plant04 Inputs'!BC9/'Plant04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ROUND(IF('Plant04 Inputs'!BD4=0,0,100*('Plant04 Inputs'!BE4-'Plant04 Inputs'!BD4)/'Plant04 Inputs'!BD4),2)</f>
        <v/>
      </c>
      <c r="G42">
        <f>ROUND(IF('Plant04 Inputs'!BD5=0,0,100*('Plant04 Inputs'!BE5-'Plant04 Inputs'!BD5)/'Plant04 Inputs'!BD5),2)</f>
        <v/>
      </c>
      <c r="H42">
        <f>ROUND(IF('Plant04 Inputs'!BD6=0,0,100*('Plant04 Inputs'!BE6-'Plant04 Inputs'!BD6)/'Plant04 Inputs'!BD6),2)</f>
        <v/>
      </c>
      <c r="I42">
        <f>ROUND(IF('Plant04 Inputs'!BD7=0,0,100*('Plant04 Inputs'!BE7-'Plant04 Inputs'!BD7)/'Plant04 Inputs'!BD7),2)</f>
        <v/>
      </c>
      <c r="J42">
        <f>ROUND(IF('Plant04 Inputs'!BD8=0,0,100*('Plant04 Inputs'!BE8-'Plant04 Inputs'!BD8)/'Plant04 Inputs'!BD8),2)</f>
        <v/>
      </c>
      <c r="K42">
        <f>ROUND(IF('Plant04 Inputs'!BD9=0,0,100*('Plant04 Inputs'!BE9-'Plant04 Inputs'!BD9)/'Plant04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ROUND(IF('Plant04 Inputs'!BF4=0,0,100*'Plant04 Inputs'!BG4/'Plant04 Inputs'!BF4),2)</f>
        <v/>
      </c>
      <c r="G43">
        <f>ROUND(IF('Plant04 Inputs'!BF5=0,0,100*'Plant04 Inputs'!BG5/'Plant04 Inputs'!BF5),2)</f>
        <v/>
      </c>
      <c r="H43">
        <f>ROUND(IF('Plant04 Inputs'!BF6=0,0,100*'Plant04 Inputs'!BG6/'Plant04 Inputs'!BF6),2)</f>
        <v/>
      </c>
      <c r="I43">
        <f>ROUND(IF('Plant04 Inputs'!BF7=0,0,100*'Plant04 Inputs'!BG7/'Plant04 Inputs'!BF7),2)</f>
        <v/>
      </c>
      <c r="J43">
        <f>ROUND(IF('Plant04 Inputs'!BF8=0,0,100*'Plant04 Inputs'!BG8/'Plant04 Inputs'!BF8),2)</f>
        <v/>
      </c>
      <c r="K43">
        <f>ROUND(IF('Plant04 Inputs'!BF9=0,0,100*'Plant04 Inputs'!BG9/'Plant04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ROUND(SUM('Plant04 Inputs'!BH$4:BH4),2)</f>
        <v/>
      </c>
      <c r="G44">
        <f>ROUND(SUM('Plant04 Inputs'!BH$4:BH5),2)</f>
        <v/>
      </c>
      <c r="H44">
        <f>ROUND(SUM('Plant04 Inputs'!BH$4:BH6),2)</f>
        <v/>
      </c>
      <c r="I44">
        <f>ROUND(SUM('Plant04 Inputs'!BH$4:BH7),2)</f>
        <v/>
      </c>
      <c r="J44">
        <f>ROUND(SUM('Plant04 Inputs'!BH$4:BH8),2)</f>
        <v/>
      </c>
      <c r="K44">
        <f>ROUND(SUM('Plant04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ROUND('Plant04 Inputs'!BI4,2)</f>
        <v/>
      </c>
      <c r="G45">
        <f>ROUND('Plant04 Inputs'!BI5,2)</f>
        <v/>
      </c>
      <c r="H45">
        <f>ROUND('Plant04 Inputs'!BI6,2)</f>
        <v/>
      </c>
      <c r="I45">
        <f>ROUND('Plant04 Inputs'!BI7,2)</f>
        <v/>
      </c>
      <c r="J45">
        <f>ROUND('Plant04 Inputs'!BI8,2)</f>
        <v/>
      </c>
      <c r="K45">
        <f>ROUND('Plant04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ROUND('Plant04 Inputs'!BJ4,2)</f>
        <v/>
      </c>
      <c r="G46">
        <f>ROUND('Plant04 Inputs'!BJ5,2)</f>
        <v/>
      </c>
      <c r="H46">
        <f>ROUND('Plant04 Inputs'!BJ6,2)</f>
        <v/>
      </c>
      <c r="I46">
        <f>ROUND('Plant04 Inputs'!BJ7,2)</f>
        <v/>
      </c>
      <c r="J46">
        <f>ROUND('Plant04 Inputs'!BJ8,2)</f>
        <v/>
      </c>
      <c r="K46">
        <f>ROUND('Plant04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ROUND('Plant04 Inputs'!BK4,2)</f>
        <v/>
      </c>
      <c r="G47">
        <f>ROUND('Plant04 Inputs'!BK5,2)</f>
        <v/>
      </c>
      <c r="H47">
        <f>ROUND('Plant04 Inputs'!BK6,2)</f>
        <v/>
      </c>
      <c r="I47">
        <f>ROUND('Plant04 Inputs'!BK7,2)</f>
        <v/>
      </c>
      <c r="J47">
        <f>ROUND('Plant04 Inputs'!BK8,2)</f>
        <v/>
      </c>
      <c r="K47">
        <f>ROUND('Plant04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ROUND('Plant04 Inputs'!BL4,2)</f>
        <v/>
      </c>
      <c r="G48">
        <f>ROUND('Plant04 Inputs'!BL5,2)</f>
        <v/>
      </c>
      <c r="H48">
        <f>ROUND('Plant04 Inputs'!BL6,2)</f>
        <v/>
      </c>
      <c r="I48">
        <f>ROUND('Plant04 Inputs'!BL7,2)</f>
        <v/>
      </c>
      <c r="J48">
        <f>ROUND('Plant04 Inputs'!BL8,2)</f>
        <v/>
      </c>
      <c r="K48">
        <f>ROUND('Plant04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ROUND('Plant04 Inputs'!BM4,2)</f>
        <v/>
      </c>
      <c r="G49">
        <f>ROUND('Plant04 Inputs'!BM5,2)</f>
        <v/>
      </c>
      <c r="H49">
        <f>ROUND('Plant04 Inputs'!BM6,2)</f>
        <v/>
      </c>
      <c r="I49">
        <f>ROUND('Plant04 Inputs'!BM7,2)</f>
        <v/>
      </c>
      <c r="J49">
        <f>ROUND('Plant04 Inputs'!BM8,2)</f>
        <v/>
      </c>
      <c r="K49">
        <f>ROUND('Plant04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ROUND('Plant04 Inputs'!BN4,2)</f>
        <v/>
      </c>
      <c r="G50">
        <f>ROUND('Plant04 Inputs'!BN5,2)</f>
        <v/>
      </c>
      <c r="H50">
        <f>ROUND('Plant04 Inputs'!BN6,2)</f>
        <v/>
      </c>
      <c r="I50">
        <f>ROUND('Plant04 Inputs'!BN7,2)</f>
        <v/>
      </c>
      <c r="J50">
        <f>ROUND('Plant04 Inputs'!BN8,2)</f>
        <v/>
      </c>
      <c r="K50">
        <f>ROUND('Plant04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ROUND('Plant04 Inputs'!BO4,2)</f>
        <v/>
      </c>
      <c r="G51">
        <f>ROUND('Plant04 Inputs'!BO5,2)</f>
        <v/>
      </c>
      <c r="H51">
        <f>ROUND('Plant04 Inputs'!BO6,2)</f>
        <v/>
      </c>
      <c r="I51">
        <f>ROUND('Plant04 Inputs'!BO7,2)</f>
        <v/>
      </c>
      <c r="J51">
        <f>ROUND('Plant04 Inputs'!BO8,2)</f>
        <v/>
      </c>
      <c r="K51">
        <f>ROUND('Plant04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IF('Plant04 Inputs'!BQ4&gt;0,"Triggered","Not triggered")</f>
        <v/>
      </c>
      <c r="G52">
        <f>IF('Plant04 Inputs'!BQ5&gt;0,"Triggered","Not triggered")</f>
        <v/>
      </c>
      <c r="H52">
        <f>IF('Plant04 Inputs'!BQ6&gt;0,"Triggered","Not triggered")</f>
        <v/>
      </c>
      <c r="I52">
        <f>IF('Plant04 Inputs'!BQ7&gt;0,"Triggered","Not triggered")</f>
        <v/>
      </c>
      <c r="J52">
        <f>IF('Plant04 Inputs'!BQ8&gt;0,"Triggered","Not triggered")</f>
        <v/>
      </c>
      <c r="K52">
        <f>IF('Plant04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ROUND(SUM('Plant04 Inputs'!BP$4:BP4),2)</f>
        <v/>
      </c>
      <c r="G53">
        <f>ROUND(SUM('Plant04 Inputs'!BP$4:BP5),2)</f>
        <v/>
      </c>
      <c r="H53">
        <f>ROUND(SUM('Plant04 Inputs'!BP$4:BP6),2)</f>
        <v/>
      </c>
      <c r="I53">
        <f>ROUND(SUM('Plant04 Inputs'!BP$4:BP7),2)</f>
        <v/>
      </c>
      <c r="J53">
        <f>ROUND(SUM('Plant04 Inputs'!BP$4:BP8),2)</f>
        <v/>
      </c>
      <c r="K53">
        <f>ROUND(SUM('Plant04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ROUND(SUM('Plant04 Inputs'!BP$4:BP4),2)</f>
        <v/>
      </c>
      <c r="G54">
        <f>ROUND(SUM('Plant04 Inputs'!BP$4:BP5),2)</f>
        <v/>
      </c>
      <c r="H54">
        <f>ROUND(SUM('Plant04 Inputs'!BP$4:BP6),2)</f>
        <v/>
      </c>
      <c r="I54">
        <f>ROUND(SUM('Plant04 Inputs'!BP$4:BP7),2)</f>
        <v/>
      </c>
      <c r="J54">
        <f>ROUND(SUM('Plant04 Inputs'!BP$4:BP8),2)</f>
        <v/>
      </c>
      <c r="K54">
        <f>ROUND(SUM('Plant04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ROUND(SUM('Plant04 Inputs'!BP$4:BP4),2)</f>
        <v/>
      </c>
      <c r="G55">
        <f>ROUND(SUM('Plant04 Inputs'!BP$4:BP5),2)</f>
        <v/>
      </c>
      <c r="H55">
        <f>ROUND(SUM('Plant04 Inputs'!BP$4:BP6),2)</f>
        <v/>
      </c>
      <c r="I55">
        <f>ROUND(SUM('Plant04 Inputs'!BP$4:BP7),2)</f>
        <v/>
      </c>
      <c r="J55">
        <f>ROUND(SUM('Plant04 Inputs'!BP$4:BP8),2)</f>
        <v/>
      </c>
      <c r="K55">
        <f>ROUND(SUM('Plant04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ROUND('Plant04 Inputs'!BR4,2)</f>
        <v/>
      </c>
      <c r="G56">
        <f>ROUND('Plant04 Inputs'!BR5,2)</f>
        <v/>
      </c>
      <c r="H56">
        <f>ROUND('Plant04 Inputs'!BR6,2)</f>
        <v/>
      </c>
      <c r="I56">
        <f>ROUND('Plant04 Inputs'!BR7,2)</f>
        <v/>
      </c>
      <c r="J56">
        <f>ROUND('Plant04 Inputs'!BR8,2)</f>
        <v/>
      </c>
      <c r="K56">
        <f>ROUND('Plant04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ROUND(IF(SUM('Plant04 Inputs'!AM$4:AM4)=0,100,100*SUM('Plant04 Inputs'!AN$4:AN4)/SUM('Plant04 Inputs'!AM$4:AM4)),2)</f>
        <v/>
      </c>
      <c r="G57">
        <f>ROUND(IF(SUM('Plant04 Inputs'!AM$4:AM5)=0,100,100*SUM('Plant04 Inputs'!AN$4:AN5)/SUM('Plant04 Inputs'!AM$4:AM5)),2)</f>
        <v/>
      </c>
      <c r="H57">
        <f>ROUND(IF(SUM('Plant04 Inputs'!AM$4:AM6)=0,100,100*SUM('Plant04 Inputs'!AN$4:AN6)/SUM('Plant04 Inputs'!AM$4:AM6)),2)</f>
        <v/>
      </c>
      <c r="I57">
        <f>ROUND(IF(SUM('Plant04 Inputs'!AM$4:AM7)=0,100,100*SUM('Plant04 Inputs'!AN$4:AN7)/SUM('Plant04 Inputs'!AM$4:AM7)),2)</f>
        <v/>
      </c>
      <c r="J57">
        <f>ROUND(IF(SUM('Plant04 Inputs'!AM$4:AM8)=0,100,100*SUM('Plant04 Inputs'!AN$4:AN8)/SUM('Plant04 Inputs'!AM$4:AM8)),2)</f>
        <v/>
      </c>
      <c r="K57">
        <f>ROUND(IF(SUM('Plant04 Inputs'!AM$4:AM9)=0,100,100*SUM('Plant04 Inputs'!AN$4:AN9)/SUM('Plant04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IF('Plant04 Inputs'!GG4&gt;=-1,"Low",IF('Plant04 Inputs'!GG4&gt;=-3,"Medium","High"))&amp;" ("&amp;ROUND('Plant04 Inputs'!GG4,1)&amp;"% vs plan price)"</f>
        <v/>
      </c>
      <c r="G58">
        <f>IF('Plant04 Inputs'!GG5&gt;=-1,"Low",IF('Plant04 Inputs'!GG5&gt;=-3,"Medium","High"))&amp;" ("&amp;ROUND('Plant04 Inputs'!GG5,1)&amp;"% vs plan price)"</f>
        <v/>
      </c>
      <c r="H58">
        <f>IF('Plant04 Inputs'!GG6&gt;=-1,"Low",IF('Plant04 Inputs'!GG6&gt;=-3,"Medium","High"))&amp;" ("&amp;ROUND('Plant04 Inputs'!GG6,1)&amp;"% vs plan price)"</f>
        <v/>
      </c>
      <c r="I58">
        <f>IF('Plant04 Inputs'!GG7&gt;=-1,"Low",IF('Plant04 Inputs'!GG7&gt;=-3,"Medium","High"))&amp;" ("&amp;ROUND('Plant04 Inputs'!GG7,1)&amp;"% vs plan price)"</f>
        <v/>
      </c>
      <c r="J58">
        <f>IF('Plant04 Inputs'!GG8&gt;=-1,"Low",IF('Plant04 Inputs'!GG8&gt;=-3,"Medium","High"))&amp;" ("&amp;ROUND('Plant04 Inputs'!GG8,1)&amp;"% vs plan price)"</f>
        <v/>
      </c>
      <c r="K58">
        <f>IF('Plant04 Inputs'!GG9&gt;=-1,"Low",IF('Plant04 Inputs'!GG9&gt;=-3,"Medium","High"))&amp;" ("&amp;ROUND('Plant04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ROUND('Plant04 Inputs'!BS4,2)</f>
        <v/>
      </c>
      <c r="G59">
        <f>ROUND('Plant04 Inputs'!BS5,2)</f>
        <v/>
      </c>
      <c r="H59">
        <f>ROUND('Plant04 Inputs'!BS6,2)</f>
        <v/>
      </c>
      <c r="I59">
        <f>ROUND('Plant04 Inputs'!BS7,2)</f>
        <v/>
      </c>
      <c r="J59">
        <f>ROUND('Plant04 Inputs'!BS8,2)</f>
        <v/>
      </c>
      <c r="K59">
        <f>ROUND('Plant04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ROUND(100*NORM.DIST('Plant04 Inputs'!BT4,'Plant04 Inputs'!BU4,SQRT('Plant04 Inputs'!BV4),TRUE),2)</f>
        <v/>
      </c>
      <c r="G60">
        <f>ROUND(100*NORM.DIST('Plant04 Inputs'!BT5,'Plant04 Inputs'!BU5,SQRT('Plant04 Inputs'!BV5),TRUE),2)</f>
        <v/>
      </c>
      <c r="H60">
        <f>ROUND(100*NORM.DIST('Plant04 Inputs'!BT6,'Plant04 Inputs'!BU6,SQRT('Plant04 Inputs'!BV6),TRUE),2)</f>
        <v/>
      </c>
      <c r="I60">
        <f>ROUND(100*NORM.DIST('Plant04 Inputs'!BT7,'Plant04 Inputs'!BU7,SQRT('Plant04 Inputs'!BV7),TRUE),2)</f>
        <v/>
      </c>
      <c r="J60">
        <f>ROUND(100*NORM.DIST('Plant04 Inputs'!BT8,'Plant04 Inputs'!BU8,SQRT('Plant04 Inputs'!BV8),TRUE),2)</f>
        <v/>
      </c>
      <c r="K60">
        <f>ROUND(100*NORM.DIST('Plant04 Inputs'!BT9,'Plant04 Inputs'!BU9,SQRT('Plant04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ROUND('Plant04 Inputs'!BX4/1000,2)</f>
        <v/>
      </c>
      <c r="G61">
        <f>ROUND('Plant04 Inputs'!BX5/1000,2)</f>
        <v/>
      </c>
      <c r="H61">
        <f>ROUND('Plant04 Inputs'!BX6/1000,2)</f>
        <v/>
      </c>
      <c r="I61">
        <f>ROUND('Plant04 Inputs'!BX7/1000,2)</f>
        <v/>
      </c>
      <c r="J61">
        <f>ROUND('Plant04 Inputs'!BX8/1000,2)</f>
        <v/>
      </c>
      <c r="K61">
        <f>ROUND('Plant04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ROUND(100*NORM.DIST(0.78*'Plant04 Inputs'!BW4,'Plant04 Inputs'!BU4,SQRT('Plant04 Inputs'!BV4),TRUE),2)</f>
        <v/>
      </c>
      <c r="G62">
        <f>ROUND(100*NORM.DIST(0.78*'Plant04 Inputs'!BW5,'Plant04 Inputs'!BU5,SQRT('Plant04 Inputs'!BV5),TRUE),2)</f>
        <v/>
      </c>
      <c r="H62">
        <f>ROUND(100*NORM.DIST(0.78*'Plant04 Inputs'!BW6,'Plant04 Inputs'!BU6,SQRT('Plant04 Inputs'!BV6),TRUE),2)</f>
        <v/>
      </c>
      <c r="I62">
        <f>ROUND(100*NORM.DIST(0.78*'Plant04 Inputs'!BW7,'Plant04 Inputs'!BU7,SQRT('Plant04 Inputs'!BV7),TRUE),2)</f>
        <v/>
      </c>
      <c r="J62">
        <f>ROUND(100*NORM.DIST(0.78*'Plant04 Inputs'!BW8,'Plant04 Inputs'!BU8,SQRT('Plant04 Inputs'!BV8),TRUE),2)</f>
        <v/>
      </c>
      <c r="K62">
        <f>ROUND(100*NORM.DIST(0.78*'Plant04 Inputs'!BW9,'Plant04 Inputs'!BU9,SQRT('Plant04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ROUND(SUM('Plant04 Inputs'!X$4:X4)/1000,2)</f>
        <v/>
      </c>
      <c r="G63">
        <f>ROUND(SUM('Plant04 Inputs'!X$4:X5)/1000,2)</f>
        <v/>
      </c>
      <c r="H63">
        <f>ROUND(SUM('Plant04 Inputs'!X$4:X6)/1000,2)</f>
        <v/>
      </c>
      <c r="I63">
        <f>ROUND(SUM('Plant04 Inputs'!X$4:X7)/1000,2)</f>
        <v/>
      </c>
      <c r="J63">
        <f>ROUND(SUM('Plant04 Inputs'!X$4:X8)/1000,2)</f>
        <v/>
      </c>
      <c r="K63">
        <f>ROUND(SUM('Plant04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ROUND(IF(OR('Plant04 Inputs'!M4=0,'Plant04 Inputs'!W4=0,'Plant04 Inputs'!M4=0),0,100*(('Plant04 Inputs'!W4/'Plant04 Inputs'!M4)/('Plant04 Inputs'!W4/'Plant04 Inputs'!M4)-1)),2)</f>
        <v/>
      </c>
      <c r="G64">
        <f>ROUND(IF(OR('Plant04 Inputs'!M4=0,'Plant04 Inputs'!W4=0,'Plant04 Inputs'!M5=0),0,100*(('Plant04 Inputs'!W5/'Plant04 Inputs'!M5)/('Plant04 Inputs'!W4/'Plant04 Inputs'!M4)-1)),2)</f>
        <v/>
      </c>
      <c r="H64">
        <f>ROUND(IF(OR('Plant04 Inputs'!M5=0,'Plant04 Inputs'!W5=0,'Plant04 Inputs'!M6=0),0,100*(('Plant04 Inputs'!W6/'Plant04 Inputs'!M6)/('Plant04 Inputs'!W5/'Plant04 Inputs'!M5)-1)),2)</f>
        <v/>
      </c>
      <c r="I64">
        <f>ROUND(IF(OR('Plant04 Inputs'!M6=0,'Plant04 Inputs'!W6=0,'Plant04 Inputs'!M7=0),0,100*(('Plant04 Inputs'!W7/'Plant04 Inputs'!M7)/('Plant04 Inputs'!W6/'Plant04 Inputs'!M6)-1)),2)</f>
        <v/>
      </c>
      <c r="J64">
        <f>ROUND(IF(OR('Plant04 Inputs'!M7=0,'Plant04 Inputs'!W7=0,'Plant04 Inputs'!M8=0),0,100*(('Plant04 Inputs'!W8/'Plant04 Inputs'!M8)/('Plant04 Inputs'!W7/'Plant04 Inputs'!M7)-1)),2)</f>
        <v/>
      </c>
      <c r="K64">
        <f>ROUND(IF(OR('Plant04 Inputs'!M8=0,'Plant04 Inputs'!W8=0,'Plant04 Inputs'!M9=0),0,100*(('Plant04 Inputs'!W9/'Plant04 Inputs'!M9)/('Plant04 Inputs'!W8/'Plant04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ROUND(IF(OR('Plant04 Inputs'!M4=0,'Plant04 Inputs'!AW4=0,'Plant04 Inputs'!M4=0),0,100*(('Plant04 Inputs'!AW4/'Plant04 Inputs'!M4)/('Plant04 Inputs'!AW4/'Plant04 Inputs'!M4)-1)),2)</f>
        <v/>
      </c>
      <c r="G65">
        <f>ROUND(IF(OR('Plant04 Inputs'!M4=0,'Plant04 Inputs'!AW4=0,'Plant04 Inputs'!M5=0),0,100*(('Plant04 Inputs'!AW5/'Plant04 Inputs'!M5)/('Plant04 Inputs'!AW4/'Plant04 Inputs'!M4)-1)),2)</f>
        <v/>
      </c>
      <c r="H65">
        <f>ROUND(IF(OR('Plant04 Inputs'!M5=0,'Plant04 Inputs'!AW5=0,'Plant04 Inputs'!M6=0),0,100*(('Plant04 Inputs'!AW6/'Plant04 Inputs'!M6)/('Plant04 Inputs'!AW5/'Plant04 Inputs'!M5)-1)),2)</f>
        <v/>
      </c>
      <c r="I65">
        <f>ROUND(IF(OR('Plant04 Inputs'!M6=0,'Plant04 Inputs'!AW6=0,'Plant04 Inputs'!M7=0),0,100*(('Plant04 Inputs'!AW7/'Plant04 Inputs'!M7)/('Plant04 Inputs'!AW6/'Plant04 Inputs'!M6)-1)),2)</f>
        <v/>
      </c>
      <c r="J65">
        <f>ROUND(IF(OR('Plant04 Inputs'!M7=0,'Plant04 Inputs'!AW7=0,'Plant04 Inputs'!M8=0),0,100*(('Plant04 Inputs'!AW8/'Plant04 Inputs'!M8)/('Plant04 Inputs'!AW7/'Plant04 Inputs'!M7)-1)),2)</f>
        <v/>
      </c>
      <c r="K65">
        <f>ROUND(IF(OR('Plant04 Inputs'!M8=0,'Plant04 Inputs'!AW8=0,'Plant04 Inputs'!M9=0),0,100*(('Plant04 Inputs'!AW9/'Plant04 Inputs'!M9)/('Plant04 Inputs'!AW8/'Plant04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ROUND(IFERROR(100*'Plant05 Inputs'!M4/'Plant05 Inputs'!K4,0),2)</f>
        <v/>
      </c>
      <c r="G2">
        <f>ROUND(IFERROR(100*'Plant05 Inputs'!M5/'Plant05 Inputs'!K5,0),2)</f>
        <v/>
      </c>
      <c r="H2">
        <f>ROUND(IFERROR(100*'Plant05 Inputs'!M6/'Plant05 Inputs'!K6,0),2)</f>
        <v/>
      </c>
      <c r="I2">
        <f>ROUND(IFERROR(100*'Plant05 Inputs'!M7/'Plant05 Inputs'!K7,0),2)</f>
        <v/>
      </c>
      <c r="J2">
        <f>ROUND(IFERROR(100*'Plant05 Inputs'!M8/'Plant05 Inputs'!K8,0),2)</f>
        <v/>
      </c>
      <c r="K2">
        <f>ROUND(IFERROR(100*'Plant05 Inputs'!M9/'Plant05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ROUND(IFERROR(100*'Plant05 Inputs'!M4/'Plant05 Inputs'!J4,0),2)</f>
        <v/>
      </c>
      <c r="G3">
        <f>ROUND(IFERROR(100*'Plant05 Inputs'!M5/'Plant05 Inputs'!J5,0),2)</f>
        <v/>
      </c>
      <c r="H3">
        <f>ROUND(IFERROR(100*'Plant05 Inputs'!M6/'Plant05 Inputs'!J6,0),2)</f>
        <v/>
      </c>
      <c r="I3">
        <f>ROUND(IFERROR(100*'Plant05 Inputs'!M7/'Plant05 Inputs'!J7,0),2)</f>
        <v/>
      </c>
      <c r="J3">
        <f>ROUND(IFERROR(100*'Plant05 Inputs'!M8/'Plant05 Inputs'!J8,0),2)</f>
        <v/>
      </c>
      <c r="K3">
        <f>ROUND(IFERROR(100*'Plant05 Inputs'!M9/'Plant05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ROUND(IFERROR(100*'Plant05 Inputs'!G4/'Plant05 Inputs'!E4,0),2)</f>
        <v/>
      </c>
      <c r="G4">
        <f>ROUND(IFERROR(100*'Plant05 Inputs'!G5/'Plant05 Inputs'!E5,0),2)</f>
        <v/>
      </c>
      <c r="H4">
        <f>ROUND(IFERROR(100*'Plant05 Inputs'!G6/'Plant05 Inputs'!E6,0),2)</f>
        <v/>
      </c>
      <c r="I4">
        <f>ROUND(IFERROR(100*'Plant05 Inputs'!G7/'Plant05 Inputs'!E7,0),2)</f>
        <v/>
      </c>
      <c r="J4">
        <f>ROUND(IFERROR(100*'Plant05 Inputs'!G8/'Plant05 Inputs'!E8,0),2)</f>
        <v/>
      </c>
      <c r="K4">
        <f>ROUND(IFERROR(100*'Plant05 Inputs'!G9/'Plant05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ROUND(IFERROR(100*'Plant05 Inputs'!M4/'Plant05 Inputs'!I4,0),2)</f>
        <v/>
      </c>
      <c r="G5">
        <f>ROUND(IFERROR(100*'Plant05 Inputs'!M5/'Plant05 Inputs'!I5,0),2)</f>
        <v/>
      </c>
      <c r="H5">
        <f>ROUND(IFERROR(100*'Plant05 Inputs'!M6/'Plant05 Inputs'!I6,0),2)</f>
        <v/>
      </c>
      <c r="I5">
        <f>ROUND(IFERROR(100*'Plant05 Inputs'!M7/'Plant05 Inputs'!I7,0),2)</f>
        <v/>
      </c>
      <c r="J5">
        <f>ROUND(IFERROR(100*'Plant05 Inputs'!M8/'Plant05 Inputs'!I8,0),2)</f>
        <v/>
      </c>
      <c r="K5">
        <f>ROUND(IFERROR(100*'Plant05 Inputs'!M9/'Plant05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ROUND(IFERROR(100*'Plant05 Inputs'!P4/'Plant05 Inputs'!O4,0),2)</f>
        <v/>
      </c>
      <c r="G6">
        <f>ROUND(IFERROR(100*'Plant05 Inputs'!P5/'Plant05 Inputs'!O5,0),2)</f>
        <v/>
      </c>
      <c r="H6">
        <f>ROUND(IFERROR(100*'Plant05 Inputs'!P6/'Plant05 Inputs'!O6,0),2)</f>
        <v/>
      </c>
      <c r="I6">
        <f>ROUND(IFERROR(100*'Plant05 Inputs'!P7/'Plant05 Inputs'!O7,0),2)</f>
        <v/>
      </c>
      <c r="J6">
        <f>ROUND(IFERROR(100*'Plant05 Inputs'!P8/'Plant05 Inputs'!O8,0),2)</f>
        <v/>
      </c>
      <c r="K6">
        <f>ROUND(IFERROR(100*'Plant05 Inputs'!P9/'Plant05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ROUND(IFERROR(100*'Plant05 Inputs'!M4/'Plant05 Inputs'!N4,0),2)</f>
        <v/>
      </c>
      <c r="G7">
        <f>ROUND(IFERROR(100*'Plant05 Inputs'!M5/'Plant05 Inputs'!N5,0),2)</f>
        <v/>
      </c>
      <c r="H7">
        <f>ROUND(IFERROR(100*'Plant05 Inputs'!M6/'Plant05 Inputs'!N6,0),2)</f>
        <v/>
      </c>
      <c r="I7">
        <f>ROUND(IFERROR(100*'Plant05 Inputs'!M7/'Plant05 Inputs'!N7,0),2)</f>
        <v/>
      </c>
      <c r="J7">
        <f>ROUND(IFERROR(100*'Plant05 Inputs'!M8/'Plant05 Inputs'!N8,0),2)</f>
        <v/>
      </c>
      <c r="K7">
        <f>ROUND(IFERROR(100*'Plant05 Inputs'!M9/'Plant05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ROUND(IFERROR('Plant05 Inputs'!G4/'Plant05 Inputs'!R4,0),2)</f>
        <v/>
      </c>
      <c r="G8">
        <f>ROUND(IFERROR('Plant05 Inputs'!G5/'Plant05 Inputs'!R5,0),2)</f>
        <v/>
      </c>
      <c r="H8">
        <f>ROUND(IFERROR('Plant05 Inputs'!G6/'Plant05 Inputs'!R6,0),2)</f>
        <v/>
      </c>
      <c r="I8">
        <f>ROUND(IFERROR('Plant05 Inputs'!G7/'Plant05 Inputs'!R7,0),2)</f>
        <v/>
      </c>
      <c r="J8">
        <f>ROUND(IFERROR('Plant05 Inputs'!G8/'Plant05 Inputs'!R8,0),2)</f>
        <v/>
      </c>
      <c r="K8">
        <f>ROUND(IFERROR('Plant05 Inputs'!G9/'Plant05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ROUND(IFERROR('Plant05 Inputs'!S4/'Plant05 Inputs'!R4,0),2)</f>
        <v/>
      </c>
      <c r="G9">
        <f>ROUND(IFERROR('Plant05 Inputs'!S5/'Plant05 Inputs'!R5,0),2)</f>
        <v/>
      </c>
      <c r="H9">
        <f>ROUND(IFERROR('Plant05 Inputs'!S6/'Plant05 Inputs'!R6,0),2)</f>
        <v/>
      </c>
      <c r="I9">
        <f>ROUND(IFERROR('Plant05 Inputs'!S7/'Plant05 Inputs'!R7,0),2)</f>
        <v/>
      </c>
      <c r="J9">
        <f>ROUND(IFERROR('Plant05 Inputs'!S8/'Plant05 Inputs'!R8,0),2)</f>
        <v/>
      </c>
      <c r="K9">
        <f>ROUND(IFERROR('Plant05 Inputs'!S9/'Plant05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ROUND('Plant05 Inputs'!H4,2)</f>
        <v/>
      </c>
      <c r="G10">
        <f>ROUND('Plant05 Inputs'!H5,2)</f>
        <v/>
      </c>
      <c r="H10">
        <f>ROUND('Plant05 Inputs'!H6,2)</f>
        <v/>
      </c>
      <c r="I10">
        <f>ROUND('Plant05 Inputs'!H7,2)</f>
        <v/>
      </c>
      <c r="J10">
        <f>ROUND('Plant05 Inputs'!H8,2)</f>
        <v/>
      </c>
      <c r="K10">
        <f>ROUND('Plant05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ROUND('Plant05 Inputs'!Q4,2)</f>
        <v/>
      </c>
      <c r="G11">
        <f>ROUND('Plant05 Inputs'!Q5,2)</f>
        <v/>
      </c>
      <c r="H11">
        <f>ROUND('Plant05 Inputs'!Q6,2)</f>
        <v/>
      </c>
      <c r="I11">
        <f>ROUND('Plant05 Inputs'!Q7,2)</f>
        <v/>
      </c>
      <c r="J11">
        <f>ROUND('Plant05 Inputs'!Q8,2)</f>
        <v/>
      </c>
      <c r="K11">
        <f>ROUND('Plant05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ROUND(IFERROR(100*'Plant05 Inputs'!U4/'Plant05 Inputs'!T4,0),2)</f>
        <v/>
      </c>
      <c r="G12">
        <f>ROUND(IFERROR(100*'Plant05 Inputs'!U5/'Plant05 Inputs'!T5,0),2)</f>
        <v/>
      </c>
      <c r="H12">
        <f>ROUND(IFERROR(100*'Plant05 Inputs'!U6/'Plant05 Inputs'!T6,0),2)</f>
        <v/>
      </c>
      <c r="I12">
        <f>ROUND(IFERROR(100*'Plant05 Inputs'!U7/'Plant05 Inputs'!T7,0),2)</f>
        <v/>
      </c>
      <c r="J12">
        <f>ROUND(IFERROR(100*'Plant05 Inputs'!U8/'Plant05 Inputs'!T8,0),2)</f>
        <v/>
      </c>
      <c r="K12">
        <f>ROUND(IFERROR(100*'Plant05 Inputs'!U9/'Plant05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ROUND(IFERROR(1000*('Plant05 Inputs'!V4+'Plant05 Inputs'!X4)/'Plant05 Inputs'!M4,0),2)</f>
        <v/>
      </c>
      <c r="G13">
        <f>ROUND(IFERROR(1000*('Plant05 Inputs'!V5+'Plant05 Inputs'!X5)/'Plant05 Inputs'!M5,0),2)</f>
        <v/>
      </c>
      <c r="H13">
        <f>ROUND(IFERROR(1000*('Plant05 Inputs'!V6+'Plant05 Inputs'!X6)/'Plant05 Inputs'!M6,0),2)</f>
        <v/>
      </c>
      <c r="I13">
        <f>ROUND(IFERROR(1000*('Plant05 Inputs'!V7+'Plant05 Inputs'!X7)/'Plant05 Inputs'!M7,0),2)</f>
        <v/>
      </c>
      <c r="J13">
        <f>ROUND(IFERROR(1000*('Plant05 Inputs'!V8+'Plant05 Inputs'!X8)/'Plant05 Inputs'!M8,0),2)</f>
        <v/>
      </c>
      <c r="K13">
        <f>ROUND(IFERROR(1000*('Plant05 Inputs'!V9+'Plant05 Inputs'!X9)/'Plant05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ROUND('Plant05 Inputs'!V4,2)</f>
        <v/>
      </c>
      <c r="G14">
        <f>ROUND('Plant05 Inputs'!V5,2)</f>
        <v/>
      </c>
      <c r="H14">
        <f>ROUND('Plant05 Inputs'!V6,2)</f>
        <v/>
      </c>
      <c r="I14">
        <f>ROUND('Plant05 Inputs'!V7,2)</f>
        <v/>
      </c>
      <c r="J14">
        <f>ROUND('Plant05 Inputs'!V8,2)</f>
        <v/>
      </c>
      <c r="K14">
        <f>ROUND('Plant05 Inputs'!V9,2)</f>
        <v/>
      </c>
      <c r="L14" t="inlineStr">
        <is>
          <t>variable_cost_k</t>
        </is>
      </c>
    </row>
    <row r="15">
      <c r="A15" t="inlineStr">
        <is>
          <t>CST-003</t>
        </is>
      </c>
      <c r="B15" t="inlineStr">
        <is>
          <t>Fuel cost</t>
        </is>
      </c>
      <c r="C15" t="inlineStr">
        <is>
          <t>₹ thousand</t>
        </is>
      </c>
      <c r="D15" t="inlineStr">
        <is>
          <t>Month</t>
        </is>
      </c>
      <c r="E15" t="inlineStr">
        <is>
          <t>Fuel cost</t>
        </is>
      </c>
      <c r="F15">
        <f>ROUND('Plant05 Inputs'!W4,2)</f>
        <v/>
      </c>
      <c r="G15">
        <f>ROUND('Plant05 Inputs'!W5,2)</f>
        <v/>
      </c>
      <c r="H15">
        <f>ROUND('Plant05 Inputs'!W6,2)</f>
        <v/>
      </c>
      <c r="I15">
        <f>ROUND('Plant05 Inputs'!W7,2)</f>
        <v/>
      </c>
      <c r="J15">
        <f>ROUND('Plant05 Inputs'!W8,2)</f>
        <v/>
      </c>
      <c r="K15">
        <f>ROUND('Plant05 Inputs'!W9,2)</f>
        <v/>
      </c>
      <c r="L15" t="inlineStr">
        <is>
          <t>fuel_cost_k</t>
        </is>
      </c>
    </row>
    <row r="16">
      <c r="A16" t="inlineStr">
        <is>
          <t>SUS-001</t>
        </is>
      </c>
      <c r="B16" t="inlineStr">
        <is>
          <t>Water usage</t>
        </is>
      </c>
      <c r="C16" t="inlineStr">
        <is>
          <t>m3</t>
        </is>
      </c>
      <c r="D16" t="inlineStr">
        <is>
          <t>Month</t>
        </is>
      </c>
      <c r="E16" t="inlineStr">
        <is>
          <t>Water used</t>
        </is>
      </c>
      <c r="F16">
        <f>ROUND('Plant05 Inputs'!Y4,2)</f>
        <v/>
      </c>
      <c r="G16">
        <f>ROUND('Plant05 Inputs'!Y5,2)</f>
        <v/>
      </c>
      <c r="H16">
        <f>ROUND('Plant05 Inputs'!Y6,2)</f>
        <v/>
      </c>
      <c r="I16">
        <f>ROUND('Plant05 Inputs'!Y7,2)</f>
        <v/>
      </c>
      <c r="J16">
        <f>ROUND('Plant05 Inputs'!Y8,2)</f>
        <v/>
      </c>
      <c r="K16">
        <f>ROUND('Plant05 Inputs'!Y9,2)</f>
        <v/>
      </c>
      <c r="L16" t="inlineStr">
        <is>
          <t>water_m3</t>
        </is>
      </c>
    </row>
    <row r="17">
      <c r="A17" t="inlineStr">
        <is>
          <t>SUS-002</t>
        </is>
      </c>
      <c r="B17" t="inlineStr">
        <is>
          <t>Emissions</t>
        </is>
      </c>
      <c r="C17" t="inlineStr">
        <is>
          <t>tCO2e</t>
        </is>
      </c>
      <c r="D17" t="inlineStr">
        <is>
          <t>Month</t>
        </is>
      </c>
      <c r="E17" t="inlineStr">
        <is>
          <t>Emissions</t>
        </is>
      </c>
      <c r="F17">
        <f>ROUND('Plant05 Inputs'!Z4,2)</f>
        <v/>
      </c>
      <c r="G17">
        <f>ROUND('Plant05 Inputs'!Z5,2)</f>
        <v/>
      </c>
      <c r="H17">
        <f>ROUND('Plant05 Inputs'!Z6,2)</f>
        <v/>
      </c>
      <c r="I17">
        <f>ROUND('Plant05 Inputs'!Z7,2)</f>
        <v/>
      </c>
      <c r="J17">
        <f>ROUND('Plant05 Inputs'!Z8,2)</f>
        <v/>
      </c>
      <c r="K17">
        <f>ROUND('Plant05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ROUND(IFERROR('Plant05 Inputs'!AA4/'Plant05 Inputs'!M4,0),2)</f>
        <v/>
      </c>
      <c r="G18">
        <f>ROUND(IFERROR('Plant05 Inputs'!AA5/'Plant05 Inputs'!M5,0),2)</f>
        <v/>
      </c>
      <c r="H18">
        <f>ROUND(IFERROR('Plant05 Inputs'!AA6/'Plant05 Inputs'!M6,0),2)</f>
        <v/>
      </c>
      <c r="I18">
        <f>ROUND(IFERROR('Plant05 Inputs'!AA7/'Plant05 Inputs'!M7,0),2)</f>
        <v/>
      </c>
      <c r="J18">
        <f>ROUND(IFERROR('Plant05 Inputs'!AA8/'Plant05 Inputs'!M8,0),2)</f>
        <v/>
      </c>
      <c r="K18">
        <f>ROUND(IFERROR('Plant05 Inputs'!AA9/'Plant05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ROUND('Plant05 Inputs'!AB4,2)</f>
        <v/>
      </c>
      <c r="G19">
        <f>ROUND('Plant05 Inputs'!AB5,2)</f>
        <v/>
      </c>
      <c r="H19">
        <f>ROUND('Plant05 Inputs'!AB6,2)</f>
        <v/>
      </c>
      <c r="I19">
        <f>ROUND('Plant05 Inputs'!AB7,2)</f>
        <v/>
      </c>
      <c r="J19">
        <f>ROUND('Plant05 Inputs'!AB8,2)</f>
        <v/>
      </c>
      <c r="K19">
        <f>ROUND('Plant05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ROUND('Plant05 Inputs'!AC4,2)</f>
        <v/>
      </c>
      <c r="G20">
        <f>ROUND('Plant05 Inputs'!AC5,2)</f>
        <v/>
      </c>
      <c r="H20">
        <f>ROUND('Plant05 Inputs'!AC6,2)</f>
        <v/>
      </c>
      <c r="I20">
        <f>ROUND('Plant05 Inputs'!AC7,2)</f>
        <v/>
      </c>
      <c r="J20">
        <f>ROUND('Plant05 Inputs'!AC8,2)</f>
        <v/>
      </c>
      <c r="K20">
        <f>ROUND('Plant05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ROUND('Plant05 Inputs'!AO4,2)</f>
        <v/>
      </c>
      <c r="G21">
        <f>ROUND('Plant05 Inputs'!AO5,2)</f>
        <v/>
      </c>
      <c r="H21">
        <f>ROUND('Plant05 Inputs'!AO6,2)</f>
        <v/>
      </c>
      <c r="I21">
        <f>ROUND('Plant05 Inputs'!AO7,2)</f>
        <v/>
      </c>
      <c r="J21">
        <f>ROUND('Plant05 Inputs'!AO8,2)</f>
        <v/>
      </c>
      <c r="K21">
        <f>ROUND('Plant05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ROUND(IFERROR(100*'Plant05 Inputs'!AQ4/'Plant05 Inputs'!AP4,0),2)</f>
        <v/>
      </c>
      <c r="G22">
        <f>ROUND(IFERROR(100*'Plant05 Inputs'!AQ5/'Plant05 Inputs'!AP5,0),2)</f>
        <v/>
      </c>
      <c r="H22">
        <f>ROUND(IFERROR(100*'Plant05 Inputs'!AQ6/'Plant05 Inputs'!AP6,0),2)</f>
        <v/>
      </c>
      <c r="I22">
        <f>ROUND(IFERROR(100*'Plant05 Inputs'!AQ7/'Plant05 Inputs'!AP7,0),2)</f>
        <v/>
      </c>
      <c r="J22">
        <f>ROUND(IFERROR(100*'Plant05 Inputs'!AQ8/'Plant05 Inputs'!AP8,0),2)</f>
        <v/>
      </c>
      <c r="K22">
        <f>ROUND(IFERROR(100*'Plant05 Inputs'!AQ9/'Plant05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ROUND('Plant05 Inputs'!AJ4,2)</f>
        <v/>
      </c>
      <c r="G23">
        <f>ROUND('Plant05 Inputs'!AJ5,2)</f>
        <v/>
      </c>
      <c r="H23">
        <f>ROUND('Plant05 Inputs'!AJ6,2)</f>
        <v/>
      </c>
      <c r="I23">
        <f>ROUND('Plant05 Inputs'!AJ7,2)</f>
        <v/>
      </c>
      <c r="J23">
        <f>ROUND('Plant05 Inputs'!AJ8,2)</f>
        <v/>
      </c>
      <c r="K23">
        <f>ROUND('Plant05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ROUND(IFERROR(200000*'Plant05 Inputs'!AE4/'Plant05 Inputs'!AD4,0),2)</f>
        <v/>
      </c>
      <c r="G24">
        <f>ROUND(IFERROR(200000*'Plant05 Inputs'!AE5/'Plant05 Inputs'!AD5,0),2)</f>
        <v/>
      </c>
      <c r="H24">
        <f>ROUND(IFERROR(200000*'Plant05 Inputs'!AE6/'Plant05 Inputs'!AD6,0),2)</f>
        <v/>
      </c>
      <c r="I24">
        <f>ROUND(IFERROR(200000*'Plant05 Inputs'!AE7/'Plant05 Inputs'!AD7,0),2)</f>
        <v/>
      </c>
      <c r="J24">
        <f>ROUND(IFERROR(200000*'Plant05 Inputs'!AE8/'Plant05 Inputs'!AD8,0),2)</f>
        <v/>
      </c>
      <c r="K24">
        <f>ROUND(IFERROR(200000*'Plant05 Inputs'!AE9/'Plant05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ROUND('Plant05 Inputs'!AF4,2)</f>
        <v/>
      </c>
      <c r="G25">
        <f>ROUND('Plant05 Inputs'!AF5,2)</f>
        <v/>
      </c>
      <c r="H25">
        <f>ROUND('Plant05 Inputs'!AF6,2)</f>
        <v/>
      </c>
      <c r="I25">
        <f>ROUND('Plant05 Inputs'!AF7,2)</f>
        <v/>
      </c>
      <c r="J25">
        <f>ROUND('Plant05 Inputs'!AF8,2)</f>
        <v/>
      </c>
      <c r="K25">
        <f>ROUND('Plant05 Inputs'!AF9,2)</f>
        <v/>
      </c>
      <c r="L25" t="inlineStr">
        <is>
          <t>severity_incidents</t>
        </is>
      </c>
    </row>
    <row r="26">
      <c r="A26" t="inlineStr">
        <is>
          <t>EHS-003</t>
        </is>
      </c>
      <c r="B26" t="inlineStr">
        <is>
          <t>Near misses</t>
        </is>
      </c>
      <c r="C26" t="inlineStr">
        <is>
          <t>count</t>
        </is>
      </c>
      <c r="D26" t="inlineStr">
        <is>
          <t>Month</t>
        </is>
      </c>
      <c r="E26" t="inlineStr">
        <is>
          <t>Near misses</t>
        </is>
      </c>
      <c r="F26">
        <f>ROUND('Plant05 Inputs'!AG4,2)</f>
        <v/>
      </c>
      <c r="G26">
        <f>ROUND('Plant05 Inputs'!AG5,2)</f>
        <v/>
      </c>
      <c r="H26">
        <f>ROUND('Plant05 Inputs'!AG6,2)</f>
        <v/>
      </c>
      <c r="I26">
        <f>ROUND('Plant05 Inputs'!AG7,2)</f>
        <v/>
      </c>
      <c r="J26">
        <f>ROUND('Plant05 Inputs'!AG8,2)</f>
        <v/>
      </c>
      <c r="K26">
        <f>ROUND('Plant05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ROUND('Plant05 Inputs'!AH4,2)</f>
        <v/>
      </c>
      <c r="G27">
        <f>ROUND('Plant05 Inputs'!AH5,2)</f>
        <v/>
      </c>
      <c r="H27">
        <f>ROUND('Plant05 Inputs'!AH6,2)</f>
        <v/>
      </c>
      <c r="I27">
        <f>ROUND('Plant05 Inputs'!AH7,2)</f>
        <v/>
      </c>
      <c r="J27">
        <f>ROUND('Plant05 Inputs'!AH8,2)</f>
        <v/>
      </c>
      <c r="K27">
        <f>ROUND('Plant05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ROUND('Plant05 Inputs'!AI4,2)</f>
        <v/>
      </c>
      <c r="G28">
        <f>ROUND('Plant05 Inputs'!AI5,2)</f>
        <v/>
      </c>
      <c r="H28">
        <f>ROUND('Plant05 Inputs'!AI6,2)</f>
        <v/>
      </c>
      <c r="I28">
        <f>ROUND('Plant05 Inputs'!AI7,2)</f>
        <v/>
      </c>
      <c r="J28">
        <f>ROUND('Plant05 Inputs'!AI8,2)</f>
        <v/>
      </c>
      <c r="K28">
        <f>ROUND('Plant05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ROUND('Plant05 Inputs'!AK4,2)</f>
        <v/>
      </c>
      <c r="G29">
        <f>ROUND('Plant05 Inputs'!AK5,2)</f>
        <v/>
      </c>
      <c r="H29">
        <f>ROUND('Plant05 Inputs'!AK6,2)</f>
        <v/>
      </c>
      <c r="I29">
        <f>ROUND('Plant05 Inputs'!AK7,2)</f>
        <v/>
      </c>
      <c r="J29">
        <f>ROUND('Plant05 Inputs'!AK8,2)</f>
        <v/>
      </c>
      <c r="K29">
        <f>ROUND('Plant05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ROUND('Plant05 Inputs'!AL4,2)</f>
        <v/>
      </c>
      <c r="G30">
        <f>ROUND('Plant05 Inputs'!AL5,2)</f>
        <v/>
      </c>
      <c r="H30">
        <f>ROUND('Plant05 Inputs'!AL6,2)</f>
        <v/>
      </c>
      <c r="I30">
        <f>ROUND('Plant05 Inputs'!AL7,2)</f>
        <v/>
      </c>
      <c r="J30">
        <f>ROUND('Plant05 Inputs'!AL8,2)</f>
        <v/>
      </c>
      <c r="K30">
        <f>ROUND('Plant05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ROUND(IF('Plant05 Inputs'!AM4=0,100,100*'Plant05 Inputs'!AN4/'Plant05 Inputs'!AM4),2)</f>
        <v/>
      </c>
      <c r="G31">
        <f>ROUND(IF('Plant05 Inputs'!AM5=0,100,100*'Plant05 Inputs'!AN5/'Plant05 Inputs'!AM5),2)</f>
        <v/>
      </c>
      <c r="H31">
        <f>ROUND(IF('Plant05 Inputs'!AM6=0,100,100*'Plant05 Inputs'!AN6/'Plant05 Inputs'!AM6),2)</f>
        <v/>
      </c>
      <c r="I31">
        <f>ROUND(IF('Plant05 Inputs'!AM7=0,100,100*'Plant05 Inputs'!AN7/'Plant05 Inputs'!AM7),2)</f>
        <v/>
      </c>
      <c r="J31">
        <f>ROUND(IF('Plant05 Inputs'!AM8=0,100,100*'Plant05 Inputs'!AN8/'Plant05 Inputs'!AM8),2)</f>
        <v/>
      </c>
      <c r="K31">
        <f>ROUND(IF('Plant05 Inputs'!AM9=0,100,100*'Plant05 Inputs'!AN9/'Plant05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ROUND('Plant05 Inputs'!AR4,2)</f>
        <v/>
      </c>
      <c r="G32">
        <f>ROUND('Plant05 Inputs'!AR5,2)</f>
        <v/>
      </c>
      <c r="H32">
        <f>ROUND('Plant05 Inputs'!AR6,2)</f>
        <v/>
      </c>
      <c r="I32">
        <f>ROUND('Plant05 Inputs'!AR7,2)</f>
        <v/>
      </c>
      <c r="J32">
        <f>ROUND('Plant05 Inputs'!AR8,2)</f>
        <v/>
      </c>
      <c r="K32">
        <f>ROUND('Plant05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ROUND(IFERROR(100*'Plant05 Inputs'!M4/'Plant05 Inputs'!J4,0),2)</f>
        <v/>
      </c>
      <c r="G33">
        <f>ROUND(IFERROR(100*'Plant05 Inputs'!M5/'Plant05 Inputs'!J5,0),2)</f>
        <v/>
      </c>
      <c r="H33">
        <f>ROUND(IFERROR(100*'Plant05 Inputs'!M6/'Plant05 Inputs'!J6,0),2)</f>
        <v/>
      </c>
      <c r="I33">
        <f>ROUND(IFERROR(100*'Plant05 Inputs'!M7/'Plant05 Inputs'!J7,0),2)</f>
        <v/>
      </c>
      <c r="J33">
        <f>ROUND(IFERROR(100*'Plant05 Inputs'!M8/'Plant05 Inputs'!J8,0),2)</f>
        <v/>
      </c>
      <c r="K33">
        <f>ROUND(IFERROR(100*'Plant05 Inputs'!M9/'Plant05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ROUND(IFERROR(100*'Plant05 Inputs'!M4/'Plant05 Inputs'!I4,0),2)</f>
        <v/>
      </c>
      <c r="G34">
        <f>ROUND(IFERROR(100*'Plant05 Inputs'!M5/'Plant05 Inputs'!I5,0),2)</f>
        <v/>
      </c>
      <c r="H34">
        <f>ROUND(IFERROR(100*'Plant05 Inputs'!M6/'Plant05 Inputs'!I6,0),2)</f>
        <v/>
      </c>
      <c r="I34">
        <f>ROUND(IFERROR(100*'Plant05 Inputs'!M7/'Plant05 Inputs'!I7,0),2)</f>
        <v/>
      </c>
      <c r="J34">
        <f>ROUND(IFERROR(100*'Plant05 Inputs'!M8/'Plant05 Inputs'!I8,0),2)</f>
        <v/>
      </c>
      <c r="K34">
        <f>ROUND(IFERROR(100*'Plant05 Inputs'!M9/'Plant05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ROUND(IF('Plant05 Inputs'!AT4=0,0,100*'Plant05 Inputs'!AS4/'Plant05 Inputs'!AT4),2)</f>
        <v/>
      </c>
      <c r="G35">
        <f>ROUND(IF('Plant05 Inputs'!AT5=0,0,100*'Plant05 Inputs'!AS5/'Plant05 Inputs'!AT5),2)</f>
        <v/>
      </c>
      <c r="H35">
        <f>ROUND(IF('Plant05 Inputs'!AT6=0,0,100*'Plant05 Inputs'!AS6/'Plant05 Inputs'!AT6),2)</f>
        <v/>
      </c>
      <c r="I35">
        <f>ROUND(IF('Plant05 Inputs'!AT7=0,0,100*'Plant05 Inputs'!AS7/'Plant05 Inputs'!AT7),2)</f>
        <v/>
      </c>
      <c r="J35">
        <f>ROUND(IF('Plant05 Inputs'!AT8=0,0,100*'Plant05 Inputs'!AS8/'Plant05 Inputs'!AT8),2)</f>
        <v/>
      </c>
      <c r="K35">
        <f>ROUND(IF('Plant05 Inputs'!AT9=0,0,100*'Plant05 Inputs'!AS9/'Plant05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ROUND(IF('Plant05 Inputs'!AT4=0,0,100*'Plant05 Inputs'!AS4/'Plant05 Inputs'!AT4),2)</f>
        <v/>
      </c>
      <c r="G36">
        <f>ROUND(IF('Plant05 Inputs'!AT5=0,0,100*'Plant05 Inputs'!AS5/'Plant05 Inputs'!AT5),2)</f>
        <v/>
      </c>
      <c r="H36">
        <f>ROUND(IF('Plant05 Inputs'!AT6=0,0,100*'Plant05 Inputs'!AS6/'Plant05 Inputs'!AT6),2)</f>
        <v/>
      </c>
      <c r="I36">
        <f>ROUND(IF('Plant05 Inputs'!AT7=0,0,100*'Plant05 Inputs'!AS7/'Plant05 Inputs'!AT7),2)</f>
        <v/>
      </c>
      <c r="J36">
        <f>ROUND(IF('Plant05 Inputs'!AT8=0,0,100*'Plant05 Inputs'!AS8/'Plant05 Inputs'!AT8),2)</f>
        <v/>
      </c>
      <c r="K36">
        <f>ROUND(IF('Plant05 Inputs'!AT9=0,0,100*'Plant05 Inputs'!AS9/'Plant05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ROUND(IF('Plant05 Inputs'!M4=0,0,1000*'Plant05 Inputs'!AW4/'Plant05 Inputs'!M4),2)</f>
        <v/>
      </c>
      <c r="G37">
        <f>ROUND(IF('Plant05 Inputs'!M5=0,0,1000*'Plant05 Inputs'!AW5/'Plant05 Inputs'!M5),2)</f>
        <v/>
      </c>
      <c r="H37">
        <f>ROUND(IF('Plant05 Inputs'!M6=0,0,1000*'Plant05 Inputs'!AW6/'Plant05 Inputs'!M6),2)</f>
        <v/>
      </c>
      <c r="I37">
        <f>ROUND(IF('Plant05 Inputs'!M7=0,0,1000*'Plant05 Inputs'!AW7/'Plant05 Inputs'!M7),2)</f>
        <v/>
      </c>
      <c r="J37">
        <f>ROUND(IF('Plant05 Inputs'!M8=0,0,1000*'Plant05 Inputs'!AW8/'Plant05 Inputs'!M8),2)</f>
        <v/>
      </c>
      <c r="K37">
        <f>ROUND(IF('Plant05 Inputs'!M9=0,0,1000*'Plant05 Inputs'!AW9/'Plant05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ROUND(SUM('Plant05 Inputs'!AU$4:AU4)/1000,2)</f>
        <v/>
      </c>
      <c r="G38">
        <f>ROUND(SUM('Plant05 Inputs'!AU$4:AU5)/1000,2)</f>
        <v/>
      </c>
      <c r="H38">
        <f>ROUND(SUM('Plant05 Inputs'!AU$4:AU6)/1000,2)</f>
        <v/>
      </c>
      <c r="I38">
        <f>ROUND(SUM('Plant05 Inputs'!AU$4:AU7)/1000,2)</f>
        <v/>
      </c>
      <c r="J38">
        <f>ROUND(SUM('Plant05 Inputs'!AU$4:AU8)/1000,2)</f>
        <v/>
      </c>
      <c r="K38">
        <f>ROUND(SUM('Plant05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ROUND(IF('Plant05 Inputs'!AY4=0,0,100*'Plant05 Inputs'!AZ4/'Plant05 Inputs'!AY4),2)</f>
        <v/>
      </c>
      <c r="G39">
        <f>ROUND(IF('Plant05 Inputs'!AY5=0,0,100*'Plant05 Inputs'!AZ5/'Plant05 Inputs'!AY5),2)</f>
        <v/>
      </c>
      <c r="H39">
        <f>ROUND(IF('Plant05 Inputs'!AY6=0,0,100*'Plant05 Inputs'!AZ6/'Plant05 Inputs'!AY6),2)</f>
        <v/>
      </c>
      <c r="I39">
        <f>ROUND(IF('Plant05 Inputs'!AY7=0,0,100*'Plant05 Inputs'!AZ7/'Plant05 Inputs'!AY7),2)</f>
        <v/>
      </c>
      <c r="J39">
        <f>ROUND(IF('Plant05 Inputs'!AY8=0,0,100*'Plant05 Inputs'!AZ8/'Plant05 Inputs'!AY8),2)</f>
        <v/>
      </c>
      <c r="K39">
        <f>ROUND(IF('Plant05 Inputs'!AY9=0,0,100*'Plant05 Inputs'!AZ9/'Plant05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ROUND(IF('Plant05 Inputs'!BA4=0,0,100*'Plant05 Inputs'!BB4/'Plant05 Inputs'!BA4),2)</f>
        <v/>
      </c>
      <c r="G40">
        <f>ROUND(IF('Plant05 Inputs'!BA5=0,0,100*'Plant05 Inputs'!BB5/'Plant05 Inputs'!BA5),2)</f>
        <v/>
      </c>
      <c r="H40">
        <f>ROUND(IF('Plant05 Inputs'!BA6=0,0,100*'Plant05 Inputs'!BB6/'Plant05 Inputs'!BA6),2)</f>
        <v/>
      </c>
      <c r="I40">
        <f>ROUND(IF('Plant05 Inputs'!BA7=0,0,100*'Plant05 Inputs'!BB7/'Plant05 Inputs'!BA7),2)</f>
        <v/>
      </c>
      <c r="J40">
        <f>ROUND(IF('Plant05 Inputs'!BA8=0,0,100*'Plant05 Inputs'!BB8/'Plant05 Inputs'!BA8),2)</f>
        <v/>
      </c>
      <c r="K40">
        <f>ROUND(IF('Plant05 Inputs'!BA9=0,0,100*'Plant05 Inputs'!BB9/'Plant05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ROUND(IF('Plant05 Inputs'!BB4=0,0,100*'Plant05 Inputs'!BC4/'Plant05 Inputs'!BB4),2)</f>
        <v/>
      </c>
      <c r="G41">
        <f>ROUND(IF('Plant05 Inputs'!BB5=0,0,100*'Plant05 Inputs'!BC5/'Plant05 Inputs'!BB5),2)</f>
        <v/>
      </c>
      <c r="H41">
        <f>ROUND(IF('Plant05 Inputs'!BB6=0,0,100*'Plant05 Inputs'!BC6/'Plant05 Inputs'!BB6),2)</f>
        <v/>
      </c>
      <c r="I41">
        <f>ROUND(IF('Plant05 Inputs'!BB7=0,0,100*'Plant05 Inputs'!BC7/'Plant05 Inputs'!BB7),2)</f>
        <v/>
      </c>
      <c r="J41">
        <f>ROUND(IF('Plant05 Inputs'!BB8=0,0,100*'Plant05 Inputs'!BC8/'Plant05 Inputs'!BB8),2)</f>
        <v/>
      </c>
      <c r="K41">
        <f>ROUND(IF('Plant05 Inputs'!BB9=0,0,100*'Plant05 Inputs'!BC9/'Plant05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ROUND(IF('Plant05 Inputs'!BD4=0,0,100*('Plant05 Inputs'!BE4-'Plant05 Inputs'!BD4)/'Plant05 Inputs'!BD4),2)</f>
        <v/>
      </c>
      <c r="G42">
        <f>ROUND(IF('Plant05 Inputs'!BD5=0,0,100*('Plant05 Inputs'!BE5-'Plant05 Inputs'!BD5)/'Plant05 Inputs'!BD5),2)</f>
        <v/>
      </c>
      <c r="H42">
        <f>ROUND(IF('Plant05 Inputs'!BD6=0,0,100*('Plant05 Inputs'!BE6-'Plant05 Inputs'!BD6)/'Plant05 Inputs'!BD6),2)</f>
        <v/>
      </c>
      <c r="I42">
        <f>ROUND(IF('Plant05 Inputs'!BD7=0,0,100*('Plant05 Inputs'!BE7-'Plant05 Inputs'!BD7)/'Plant05 Inputs'!BD7),2)</f>
        <v/>
      </c>
      <c r="J42">
        <f>ROUND(IF('Plant05 Inputs'!BD8=0,0,100*('Plant05 Inputs'!BE8-'Plant05 Inputs'!BD8)/'Plant05 Inputs'!BD8),2)</f>
        <v/>
      </c>
      <c r="K42">
        <f>ROUND(IF('Plant05 Inputs'!BD9=0,0,100*('Plant05 Inputs'!BE9-'Plant05 Inputs'!BD9)/'Plant05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ROUND(IF('Plant05 Inputs'!BF4=0,0,100*'Plant05 Inputs'!BG4/'Plant05 Inputs'!BF4),2)</f>
        <v/>
      </c>
      <c r="G43">
        <f>ROUND(IF('Plant05 Inputs'!BF5=0,0,100*'Plant05 Inputs'!BG5/'Plant05 Inputs'!BF5),2)</f>
        <v/>
      </c>
      <c r="H43">
        <f>ROUND(IF('Plant05 Inputs'!BF6=0,0,100*'Plant05 Inputs'!BG6/'Plant05 Inputs'!BF6),2)</f>
        <v/>
      </c>
      <c r="I43">
        <f>ROUND(IF('Plant05 Inputs'!BF7=0,0,100*'Plant05 Inputs'!BG7/'Plant05 Inputs'!BF7),2)</f>
        <v/>
      </c>
      <c r="J43">
        <f>ROUND(IF('Plant05 Inputs'!BF8=0,0,100*'Plant05 Inputs'!BG8/'Plant05 Inputs'!BF8),2)</f>
        <v/>
      </c>
      <c r="K43">
        <f>ROUND(IF('Plant05 Inputs'!BF9=0,0,100*'Plant05 Inputs'!BG9/'Plant05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ROUND(SUM('Plant05 Inputs'!BH$4:BH4),2)</f>
        <v/>
      </c>
      <c r="G44">
        <f>ROUND(SUM('Plant05 Inputs'!BH$4:BH5),2)</f>
        <v/>
      </c>
      <c r="H44">
        <f>ROUND(SUM('Plant05 Inputs'!BH$4:BH6),2)</f>
        <v/>
      </c>
      <c r="I44">
        <f>ROUND(SUM('Plant05 Inputs'!BH$4:BH7),2)</f>
        <v/>
      </c>
      <c r="J44">
        <f>ROUND(SUM('Plant05 Inputs'!BH$4:BH8),2)</f>
        <v/>
      </c>
      <c r="K44">
        <f>ROUND(SUM('Plant05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ROUND('Plant05 Inputs'!BI4,2)</f>
        <v/>
      </c>
      <c r="G45">
        <f>ROUND('Plant05 Inputs'!BI5,2)</f>
        <v/>
      </c>
      <c r="H45">
        <f>ROUND('Plant05 Inputs'!BI6,2)</f>
        <v/>
      </c>
      <c r="I45">
        <f>ROUND('Plant05 Inputs'!BI7,2)</f>
        <v/>
      </c>
      <c r="J45">
        <f>ROUND('Plant05 Inputs'!BI8,2)</f>
        <v/>
      </c>
      <c r="K45">
        <f>ROUND('Plant05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ROUND('Plant05 Inputs'!BJ4,2)</f>
        <v/>
      </c>
      <c r="G46">
        <f>ROUND('Plant05 Inputs'!BJ5,2)</f>
        <v/>
      </c>
      <c r="H46">
        <f>ROUND('Plant05 Inputs'!BJ6,2)</f>
        <v/>
      </c>
      <c r="I46">
        <f>ROUND('Plant05 Inputs'!BJ7,2)</f>
        <v/>
      </c>
      <c r="J46">
        <f>ROUND('Plant05 Inputs'!BJ8,2)</f>
        <v/>
      </c>
      <c r="K46">
        <f>ROUND('Plant05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ROUND('Plant05 Inputs'!BK4,2)</f>
        <v/>
      </c>
      <c r="G47">
        <f>ROUND('Plant05 Inputs'!BK5,2)</f>
        <v/>
      </c>
      <c r="H47">
        <f>ROUND('Plant05 Inputs'!BK6,2)</f>
        <v/>
      </c>
      <c r="I47">
        <f>ROUND('Plant05 Inputs'!BK7,2)</f>
        <v/>
      </c>
      <c r="J47">
        <f>ROUND('Plant05 Inputs'!BK8,2)</f>
        <v/>
      </c>
      <c r="K47">
        <f>ROUND('Plant05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ROUND('Plant05 Inputs'!BL4,2)</f>
        <v/>
      </c>
      <c r="G48">
        <f>ROUND('Plant05 Inputs'!BL5,2)</f>
        <v/>
      </c>
      <c r="H48">
        <f>ROUND('Plant05 Inputs'!BL6,2)</f>
        <v/>
      </c>
      <c r="I48">
        <f>ROUND('Plant05 Inputs'!BL7,2)</f>
        <v/>
      </c>
      <c r="J48">
        <f>ROUND('Plant05 Inputs'!BL8,2)</f>
        <v/>
      </c>
      <c r="K48">
        <f>ROUND('Plant05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ROUND('Plant05 Inputs'!BM4,2)</f>
        <v/>
      </c>
      <c r="G49">
        <f>ROUND('Plant05 Inputs'!BM5,2)</f>
        <v/>
      </c>
      <c r="H49">
        <f>ROUND('Plant05 Inputs'!BM6,2)</f>
        <v/>
      </c>
      <c r="I49">
        <f>ROUND('Plant05 Inputs'!BM7,2)</f>
        <v/>
      </c>
      <c r="J49">
        <f>ROUND('Plant05 Inputs'!BM8,2)</f>
        <v/>
      </c>
      <c r="K49">
        <f>ROUND('Plant05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ROUND('Plant05 Inputs'!BN4,2)</f>
        <v/>
      </c>
      <c r="G50">
        <f>ROUND('Plant05 Inputs'!BN5,2)</f>
        <v/>
      </c>
      <c r="H50">
        <f>ROUND('Plant05 Inputs'!BN6,2)</f>
        <v/>
      </c>
      <c r="I50">
        <f>ROUND('Plant05 Inputs'!BN7,2)</f>
        <v/>
      </c>
      <c r="J50">
        <f>ROUND('Plant05 Inputs'!BN8,2)</f>
        <v/>
      </c>
      <c r="K50">
        <f>ROUND('Plant05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ROUND('Plant05 Inputs'!BO4,2)</f>
        <v/>
      </c>
      <c r="G51">
        <f>ROUND('Plant05 Inputs'!BO5,2)</f>
        <v/>
      </c>
      <c r="H51">
        <f>ROUND('Plant05 Inputs'!BO6,2)</f>
        <v/>
      </c>
      <c r="I51">
        <f>ROUND('Plant05 Inputs'!BO7,2)</f>
        <v/>
      </c>
      <c r="J51">
        <f>ROUND('Plant05 Inputs'!BO8,2)</f>
        <v/>
      </c>
      <c r="K51">
        <f>ROUND('Plant05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IF('Plant05 Inputs'!BQ4&gt;0,"Triggered","Not triggered")</f>
        <v/>
      </c>
      <c r="G52">
        <f>IF('Plant05 Inputs'!BQ5&gt;0,"Triggered","Not triggered")</f>
        <v/>
      </c>
      <c r="H52">
        <f>IF('Plant05 Inputs'!BQ6&gt;0,"Triggered","Not triggered")</f>
        <v/>
      </c>
      <c r="I52">
        <f>IF('Plant05 Inputs'!BQ7&gt;0,"Triggered","Not triggered")</f>
        <v/>
      </c>
      <c r="J52">
        <f>IF('Plant05 Inputs'!BQ8&gt;0,"Triggered","Not triggered")</f>
        <v/>
      </c>
      <c r="K52">
        <f>IF('Plant05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ROUND(SUM('Plant05 Inputs'!BP$4:BP4),2)</f>
        <v/>
      </c>
      <c r="G53">
        <f>ROUND(SUM('Plant05 Inputs'!BP$4:BP5),2)</f>
        <v/>
      </c>
      <c r="H53">
        <f>ROUND(SUM('Plant05 Inputs'!BP$4:BP6),2)</f>
        <v/>
      </c>
      <c r="I53">
        <f>ROUND(SUM('Plant05 Inputs'!BP$4:BP7),2)</f>
        <v/>
      </c>
      <c r="J53">
        <f>ROUND(SUM('Plant05 Inputs'!BP$4:BP8),2)</f>
        <v/>
      </c>
      <c r="K53">
        <f>ROUND(SUM('Plant05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ROUND(SUM('Plant05 Inputs'!BP$4:BP4),2)</f>
        <v/>
      </c>
      <c r="G54">
        <f>ROUND(SUM('Plant05 Inputs'!BP$4:BP5),2)</f>
        <v/>
      </c>
      <c r="H54">
        <f>ROUND(SUM('Plant05 Inputs'!BP$4:BP6),2)</f>
        <v/>
      </c>
      <c r="I54">
        <f>ROUND(SUM('Plant05 Inputs'!BP$4:BP7),2)</f>
        <v/>
      </c>
      <c r="J54">
        <f>ROUND(SUM('Plant05 Inputs'!BP$4:BP8),2)</f>
        <v/>
      </c>
      <c r="K54">
        <f>ROUND(SUM('Plant05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ROUND(SUM('Plant05 Inputs'!BP$4:BP4),2)</f>
        <v/>
      </c>
      <c r="G55">
        <f>ROUND(SUM('Plant05 Inputs'!BP$4:BP5),2)</f>
        <v/>
      </c>
      <c r="H55">
        <f>ROUND(SUM('Plant05 Inputs'!BP$4:BP6),2)</f>
        <v/>
      </c>
      <c r="I55">
        <f>ROUND(SUM('Plant05 Inputs'!BP$4:BP7),2)</f>
        <v/>
      </c>
      <c r="J55">
        <f>ROUND(SUM('Plant05 Inputs'!BP$4:BP8),2)</f>
        <v/>
      </c>
      <c r="K55">
        <f>ROUND(SUM('Plant05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ROUND('Plant05 Inputs'!BR4,2)</f>
        <v/>
      </c>
      <c r="G56">
        <f>ROUND('Plant05 Inputs'!BR5,2)</f>
        <v/>
      </c>
      <c r="H56">
        <f>ROUND('Plant05 Inputs'!BR6,2)</f>
        <v/>
      </c>
      <c r="I56">
        <f>ROUND('Plant05 Inputs'!BR7,2)</f>
        <v/>
      </c>
      <c r="J56">
        <f>ROUND('Plant05 Inputs'!BR8,2)</f>
        <v/>
      </c>
      <c r="K56">
        <f>ROUND('Plant05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ROUND(IF(SUM('Plant05 Inputs'!AM$4:AM4)=0,100,100*SUM('Plant05 Inputs'!AN$4:AN4)/SUM('Plant05 Inputs'!AM$4:AM4)),2)</f>
        <v/>
      </c>
      <c r="G57">
        <f>ROUND(IF(SUM('Plant05 Inputs'!AM$4:AM5)=0,100,100*SUM('Plant05 Inputs'!AN$4:AN5)/SUM('Plant05 Inputs'!AM$4:AM5)),2)</f>
        <v/>
      </c>
      <c r="H57">
        <f>ROUND(IF(SUM('Plant05 Inputs'!AM$4:AM6)=0,100,100*SUM('Plant05 Inputs'!AN$4:AN6)/SUM('Plant05 Inputs'!AM$4:AM6)),2)</f>
        <v/>
      </c>
      <c r="I57">
        <f>ROUND(IF(SUM('Plant05 Inputs'!AM$4:AM7)=0,100,100*SUM('Plant05 Inputs'!AN$4:AN7)/SUM('Plant05 Inputs'!AM$4:AM7)),2)</f>
        <v/>
      </c>
      <c r="J57">
        <f>ROUND(IF(SUM('Plant05 Inputs'!AM$4:AM8)=0,100,100*SUM('Plant05 Inputs'!AN$4:AN8)/SUM('Plant05 Inputs'!AM$4:AM8)),2)</f>
        <v/>
      </c>
      <c r="K57">
        <f>ROUND(IF(SUM('Plant05 Inputs'!AM$4:AM9)=0,100,100*SUM('Plant05 Inputs'!AN$4:AN9)/SUM('Plant05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IF('Plant05 Inputs'!GG4&gt;=-1,"Low",IF('Plant05 Inputs'!GG4&gt;=-3,"Medium","High"))&amp;" ("&amp;ROUND('Plant05 Inputs'!GG4,1)&amp;"% vs plan price)"</f>
        <v/>
      </c>
      <c r="G58">
        <f>IF('Plant05 Inputs'!GG5&gt;=-1,"Low",IF('Plant05 Inputs'!GG5&gt;=-3,"Medium","High"))&amp;" ("&amp;ROUND('Plant05 Inputs'!GG5,1)&amp;"% vs plan price)"</f>
        <v/>
      </c>
      <c r="H58">
        <f>IF('Plant05 Inputs'!GG6&gt;=-1,"Low",IF('Plant05 Inputs'!GG6&gt;=-3,"Medium","High"))&amp;" ("&amp;ROUND('Plant05 Inputs'!GG6,1)&amp;"% vs plan price)"</f>
        <v/>
      </c>
      <c r="I58">
        <f>IF('Plant05 Inputs'!GG7&gt;=-1,"Low",IF('Plant05 Inputs'!GG7&gt;=-3,"Medium","High"))&amp;" ("&amp;ROUND('Plant05 Inputs'!GG7,1)&amp;"% vs plan price)"</f>
        <v/>
      </c>
      <c r="J58">
        <f>IF('Plant05 Inputs'!GG8&gt;=-1,"Low",IF('Plant05 Inputs'!GG8&gt;=-3,"Medium","High"))&amp;" ("&amp;ROUND('Plant05 Inputs'!GG8,1)&amp;"% vs plan price)"</f>
        <v/>
      </c>
      <c r="K58">
        <f>IF('Plant05 Inputs'!GG9&gt;=-1,"Low",IF('Plant05 Inputs'!GG9&gt;=-3,"Medium","High"))&amp;" ("&amp;ROUND('Plant05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ROUND('Plant05 Inputs'!BS4,2)</f>
        <v/>
      </c>
      <c r="G59">
        <f>ROUND('Plant05 Inputs'!BS5,2)</f>
        <v/>
      </c>
      <c r="H59">
        <f>ROUND('Plant05 Inputs'!BS6,2)</f>
        <v/>
      </c>
      <c r="I59">
        <f>ROUND('Plant05 Inputs'!BS7,2)</f>
        <v/>
      </c>
      <c r="J59">
        <f>ROUND('Plant05 Inputs'!BS8,2)</f>
        <v/>
      </c>
      <c r="K59">
        <f>ROUND('Plant05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ROUND(100*NORM.DIST('Plant05 Inputs'!BT4,'Plant05 Inputs'!BU4,SQRT('Plant05 Inputs'!BV4),TRUE),2)</f>
        <v/>
      </c>
      <c r="G60">
        <f>ROUND(100*NORM.DIST('Plant05 Inputs'!BT5,'Plant05 Inputs'!BU5,SQRT('Plant05 Inputs'!BV5),TRUE),2)</f>
        <v/>
      </c>
      <c r="H60">
        <f>ROUND(100*NORM.DIST('Plant05 Inputs'!BT6,'Plant05 Inputs'!BU6,SQRT('Plant05 Inputs'!BV6),TRUE),2)</f>
        <v/>
      </c>
      <c r="I60">
        <f>ROUND(100*NORM.DIST('Plant05 Inputs'!BT7,'Plant05 Inputs'!BU7,SQRT('Plant05 Inputs'!BV7),TRUE),2)</f>
        <v/>
      </c>
      <c r="J60">
        <f>ROUND(100*NORM.DIST('Plant05 Inputs'!BT8,'Plant05 Inputs'!BU8,SQRT('Plant05 Inputs'!BV8),TRUE),2)</f>
        <v/>
      </c>
      <c r="K60">
        <f>ROUND(100*NORM.DIST('Plant05 Inputs'!BT9,'Plant05 Inputs'!BU9,SQRT('Plant05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ROUND('Plant05 Inputs'!BX4/1000,2)</f>
        <v/>
      </c>
      <c r="G61">
        <f>ROUND('Plant05 Inputs'!BX5/1000,2)</f>
        <v/>
      </c>
      <c r="H61">
        <f>ROUND('Plant05 Inputs'!BX6/1000,2)</f>
        <v/>
      </c>
      <c r="I61">
        <f>ROUND('Plant05 Inputs'!BX7/1000,2)</f>
        <v/>
      </c>
      <c r="J61">
        <f>ROUND('Plant05 Inputs'!BX8/1000,2)</f>
        <v/>
      </c>
      <c r="K61">
        <f>ROUND('Plant05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ROUND(100*NORM.DIST(0.78*'Plant05 Inputs'!BW4,'Plant05 Inputs'!BU4,SQRT('Plant05 Inputs'!BV4),TRUE),2)</f>
        <v/>
      </c>
      <c r="G62">
        <f>ROUND(100*NORM.DIST(0.78*'Plant05 Inputs'!BW5,'Plant05 Inputs'!BU5,SQRT('Plant05 Inputs'!BV5),TRUE),2)</f>
        <v/>
      </c>
      <c r="H62">
        <f>ROUND(100*NORM.DIST(0.78*'Plant05 Inputs'!BW6,'Plant05 Inputs'!BU6,SQRT('Plant05 Inputs'!BV6),TRUE),2)</f>
        <v/>
      </c>
      <c r="I62">
        <f>ROUND(100*NORM.DIST(0.78*'Plant05 Inputs'!BW7,'Plant05 Inputs'!BU7,SQRT('Plant05 Inputs'!BV7),TRUE),2)</f>
        <v/>
      </c>
      <c r="J62">
        <f>ROUND(100*NORM.DIST(0.78*'Plant05 Inputs'!BW8,'Plant05 Inputs'!BU8,SQRT('Plant05 Inputs'!BV8),TRUE),2)</f>
        <v/>
      </c>
      <c r="K62">
        <f>ROUND(100*NORM.DIST(0.78*'Plant05 Inputs'!BW9,'Plant05 Inputs'!BU9,SQRT('Plant05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ROUND(SUM('Plant05 Inputs'!X$4:X4)/1000,2)</f>
        <v/>
      </c>
      <c r="G63">
        <f>ROUND(SUM('Plant05 Inputs'!X$4:X5)/1000,2)</f>
        <v/>
      </c>
      <c r="H63">
        <f>ROUND(SUM('Plant05 Inputs'!X$4:X6)/1000,2)</f>
        <v/>
      </c>
      <c r="I63">
        <f>ROUND(SUM('Plant05 Inputs'!X$4:X7)/1000,2)</f>
        <v/>
      </c>
      <c r="J63">
        <f>ROUND(SUM('Plant05 Inputs'!X$4:X8)/1000,2)</f>
        <v/>
      </c>
      <c r="K63">
        <f>ROUND(SUM('Plant05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ROUND(IF(OR('Plant05 Inputs'!M4=0,'Plant05 Inputs'!W4=0,'Plant05 Inputs'!M4=0),0,100*(('Plant05 Inputs'!W4/'Plant05 Inputs'!M4)/('Plant05 Inputs'!W4/'Plant05 Inputs'!M4)-1)),2)</f>
        <v/>
      </c>
      <c r="G64">
        <f>ROUND(IF(OR('Plant05 Inputs'!M4=0,'Plant05 Inputs'!W4=0,'Plant05 Inputs'!M5=0),0,100*(('Plant05 Inputs'!W5/'Plant05 Inputs'!M5)/('Plant05 Inputs'!W4/'Plant05 Inputs'!M4)-1)),2)</f>
        <v/>
      </c>
      <c r="H64">
        <f>ROUND(IF(OR('Plant05 Inputs'!M5=0,'Plant05 Inputs'!W5=0,'Plant05 Inputs'!M6=0),0,100*(('Plant05 Inputs'!W6/'Plant05 Inputs'!M6)/('Plant05 Inputs'!W5/'Plant05 Inputs'!M5)-1)),2)</f>
        <v/>
      </c>
      <c r="I64">
        <f>ROUND(IF(OR('Plant05 Inputs'!M6=0,'Plant05 Inputs'!W6=0,'Plant05 Inputs'!M7=0),0,100*(('Plant05 Inputs'!W7/'Plant05 Inputs'!M7)/('Plant05 Inputs'!W6/'Plant05 Inputs'!M6)-1)),2)</f>
        <v/>
      </c>
      <c r="J64">
        <f>ROUND(IF(OR('Plant05 Inputs'!M7=0,'Plant05 Inputs'!W7=0,'Plant05 Inputs'!M8=0),0,100*(('Plant05 Inputs'!W8/'Plant05 Inputs'!M8)/('Plant05 Inputs'!W7/'Plant05 Inputs'!M7)-1)),2)</f>
        <v/>
      </c>
      <c r="K64">
        <f>ROUND(IF(OR('Plant05 Inputs'!M8=0,'Plant05 Inputs'!W8=0,'Plant05 Inputs'!M9=0),0,100*(('Plant05 Inputs'!W9/'Plant05 Inputs'!M9)/('Plant05 Inputs'!W8/'Plant05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ROUND(IF(OR('Plant05 Inputs'!M4=0,'Plant05 Inputs'!AW4=0,'Plant05 Inputs'!M4=0),0,100*(('Plant05 Inputs'!AW4/'Plant05 Inputs'!M4)/('Plant05 Inputs'!AW4/'Plant05 Inputs'!M4)-1)),2)</f>
        <v/>
      </c>
      <c r="G65">
        <f>ROUND(IF(OR('Plant05 Inputs'!M4=0,'Plant05 Inputs'!AW4=0,'Plant05 Inputs'!M5=0),0,100*(('Plant05 Inputs'!AW5/'Plant05 Inputs'!M5)/('Plant05 Inputs'!AW4/'Plant05 Inputs'!M4)-1)),2)</f>
        <v/>
      </c>
      <c r="H65">
        <f>ROUND(IF(OR('Plant05 Inputs'!M5=0,'Plant05 Inputs'!AW5=0,'Plant05 Inputs'!M6=0),0,100*(('Plant05 Inputs'!AW6/'Plant05 Inputs'!M6)/('Plant05 Inputs'!AW5/'Plant05 Inputs'!M5)-1)),2)</f>
        <v/>
      </c>
      <c r="I65">
        <f>ROUND(IF(OR('Plant05 Inputs'!M6=0,'Plant05 Inputs'!AW6=0,'Plant05 Inputs'!M7=0),0,100*(('Plant05 Inputs'!AW7/'Plant05 Inputs'!M7)/('Plant05 Inputs'!AW6/'Plant05 Inputs'!M6)-1)),2)</f>
        <v/>
      </c>
      <c r="J65">
        <f>ROUND(IF(OR('Plant05 Inputs'!M7=0,'Plant05 Inputs'!AW7=0,'Plant05 Inputs'!M8=0),0,100*(('Plant05 Inputs'!AW8/'Plant05 Inputs'!M8)/('Plant05 Inputs'!AW7/'Plant05 Inputs'!M7)-1)),2)</f>
        <v/>
      </c>
      <c r="K65">
        <f>ROUND(IF(OR('Plant05 Inputs'!M8=0,'Plant05 Inputs'!AW8=0,'Plant05 Inputs'!M9=0),0,100*(('Plant05 Inputs'!AW9/'Plant05 Inputs'!M9)/('Plant05 Inputs'!AW8/'Plant05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ROUND(IFERROR(100*'Plant06 Inputs'!M4/'Plant06 Inputs'!K4,0),2)</f>
        <v/>
      </c>
      <c r="G2">
        <f>ROUND(IFERROR(100*'Plant06 Inputs'!M5/'Plant06 Inputs'!K5,0),2)</f>
        <v/>
      </c>
      <c r="H2">
        <f>ROUND(IFERROR(100*'Plant06 Inputs'!M6/'Plant06 Inputs'!K6,0),2)</f>
        <v/>
      </c>
      <c r="I2">
        <f>ROUND(IFERROR(100*'Plant06 Inputs'!M7/'Plant06 Inputs'!K7,0),2)</f>
        <v/>
      </c>
      <c r="J2">
        <f>ROUND(IFERROR(100*'Plant06 Inputs'!M8/'Plant06 Inputs'!K8,0),2)</f>
        <v/>
      </c>
      <c r="K2">
        <f>ROUND(IFERROR(100*'Plant06 Inputs'!M9/'Plant06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ROUND(IFERROR(100*'Plant06 Inputs'!M4/'Plant06 Inputs'!J4,0),2)</f>
        <v/>
      </c>
      <c r="G3">
        <f>ROUND(IFERROR(100*'Plant06 Inputs'!M5/'Plant06 Inputs'!J5,0),2)</f>
        <v/>
      </c>
      <c r="H3">
        <f>ROUND(IFERROR(100*'Plant06 Inputs'!M6/'Plant06 Inputs'!J6,0),2)</f>
        <v/>
      </c>
      <c r="I3">
        <f>ROUND(IFERROR(100*'Plant06 Inputs'!M7/'Plant06 Inputs'!J7,0),2)</f>
        <v/>
      </c>
      <c r="J3">
        <f>ROUND(IFERROR(100*'Plant06 Inputs'!M8/'Plant06 Inputs'!J8,0),2)</f>
        <v/>
      </c>
      <c r="K3">
        <f>ROUND(IFERROR(100*'Plant06 Inputs'!M9/'Plant06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ROUND(IFERROR(100*'Plant06 Inputs'!G4/'Plant06 Inputs'!E4,0),2)</f>
        <v/>
      </c>
      <c r="G4">
        <f>ROUND(IFERROR(100*'Plant06 Inputs'!G5/'Plant06 Inputs'!E5,0),2)</f>
        <v/>
      </c>
      <c r="H4">
        <f>ROUND(IFERROR(100*'Plant06 Inputs'!G6/'Plant06 Inputs'!E6,0),2)</f>
        <v/>
      </c>
      <c r="I4">
        <f>ROUND(IFERROR(100*'Plant06 Inputs'!G7/'Plant06 Inputs'!E7,0),2)</f>
        <v/>
      </c>
      <c r="J4">
        <f>ROUND(IFERROR(100*'Plant06 Inputs'!G8/'Plant06 Inputs'!E8,0),2)</f>
        <v/>
      </c>
      <c r="K4">
        <f>ROUND(IFERROR(100*'Plant06 Inputs'!G9/'Plant06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ROUND(IFERROR(100*'Plant06 Inputs'!M4/'Plant06 Inputs'!I4,0),2)</f>
        <v/>
      </c>
      <c r="G5">
        <f>ROUND(IFERROR(100*'Plant06 Inputs'!M5/'Plant06 Inputs'!I5,0),2)</f>
        <v/>
      </c>
      <c r="H5">
        <f>ROUND(IFERROR(100*'Plant06 Inputs'!M6/'Plant06 Inputs'!I6,0),2)</f>
        <v/>
      </c>
      <c r="I5">
        <f>ROUND(IFERROR(100*'Plant06 Inputs'!M7/'Plant06 Inputs'!I7,0),2)</f>
        <v/>
      </c>
      <c r="J5">
        <f>ROUND(IFERROR(100*'Plant06 Inputs'!M8/'Plant06 Inputs'!I8,0),2)</f>
        <v/>
      </c>
      <c r="K5">
        <f>ROUND(IFERROR(100*'Plant06 Inputs'!M9/'Plant06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ROUND(IFERROR(100*'Plant06 Inputs'!P4/'Plant06 Inputs'!O4,0),2)</f>
        <v/>
      </c>
      <c r="G6">
        <f>ROUND(IFERROR(100*'Plant06 Inputs'!P5/'Plant06 Inputs'!O5,0),2)</f>
        <v/>
      </c>
      <c r="H6">
        <f>ROUND(IFERROR(100*'Plant06 Inputs'!P6/'Plant06 Inputs'!O6,0),2)</f>
        <v/>
      </c>
      <c r="I6">
        <f>ROUND(IFERROR(100*'Plant06 Inputs'!P7/'Plant06 Inputs'!O7,0),2)</f>
        <v/>
      </c>
      <c r="J6">
        <f>ROUND(IFERROR(100*'Plant06 Inputs'!P8/'Plant06 Inputs'!O8,0),2)</f>
        <v/>
      </c>
      <c r="K6">
        <f>ROUND(IFERROR(100*'Plant06 Inputs'!P9/'Plant06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ROUND(IFERROR(100*'Plant06 Inputs'!M4/'Plant06 Inputs'!N4,0),2)</f>
        <v/>
      </c>
      <c r="G7">
        <f>ROUND(IFERROR(100*'Plant06 Inputs'!M5/'Plant06 Inputs'!N5,0),2)</f>
        <v/>
      </c>
      <c r="H7">
        <f>ROUND(IFERROR(100*'Plant06 Inputs'!M6/'Plant06 Inputs'!N6,0),2)</f>
        <v/>
      </c>
      <c r="I7">
        <f>ROUND(IFERROR(100*'Plant06 Inputs'!M7/'Plant06 Inputs'!N7,0),2)</f>
        <v/>
      </c>
      <c r="J7">
        <f>ROUND(IFERROR(100*'Plant06 Inputs'!M8/'Plant06 Inputs'!N8,0),2)</f>
        <v/>
      </c>
      <c r="K7">
        <f>ROUND(IFERROR(100*'Plant06 Inputs'!M9/'Plant06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ROUND(IFERROR('Plant06 Inputs'!G4/'Plant06 Inputs'!R4,0),2)</f>
        <v/>
      </c>
      <c r="G8">
        <f>ROUND(IFERROR('Plant06 Inputs'!G5/'Plant06 Inputs'!R5,0),2)</f>
        <v/>
      </c>
      <c r="H8">
        <f>ROUND(IFERROR('Plant06 Inputs'!G6/'Plant06 Inputs'!R6,0),2)</f>
        <v/>
      </c>
      <c r="I8">
        <f>ROUND(IFERROR('Plant06 Inputs'!G7/'Plant06 Inputs'!R7,0),2)</f>
        <v/>
      </c>
      <c r="J8">
        <f>ROUND(IFERROR('Plant06 Inputs'!G8/'Plant06 Inputs'!R8,0),2)</f>
        <v/>
      </c>
      <c r="K8">
        <f>ROUND(IFERROR('Plant06 Inputs'!G9/'Plant06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ROUND(IFERROR('Plant06 Inputs'!S4/'Plant06 Inputs'!R4,0),2)</f>
        <v/>
      </c>
      <c r="G9">
        <f>ROUND(IFERROR('Plant06 Inputs'!S5/'Plant06 Inputs'!R5,0),2)</f>
        <v/>
      </c>
      <c r="H9">
        <f>ROUND(IFERROR('Plant06 Inputs'!S6/'Plant06 Inputs'!R6,0),2)</f>
        <v/>
      </c>
      <c r="I9">
        <f>ROUND(IFERROR('Plant06 Inputs'!S7/'Plant06 Inputs'!R7,0),2)</f>
        <v/>
      </c>
      <c r="J9">
        <f>ROUND(IFERROR('Plant06 Inputs'!S8/'Plant06 Inputs'!R8,0),2)</f>
        <v/>
      </c>
      <c r="K9">
        <f>ROUND(IFERROR('Plant06 Inputs'!S9/'Plant06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ROUND('Plant06 Inputs'!H4,2)</f>
        <v/>
      </c>
      <c r="G10">
        <f>ROUND('Plant06 Inputs'!H5,2)</f>
        <v/>
      </c>
      <c r="H10">
        <f>ROUND('Plant06 Inputs'!H6,2)</f>
        <v/>
      </c>
      <c r="I10">
        <f>ROUND('Plant06 Inputs'!H7,2)</f>
        <v/>
      </c>
      <c r="J10">
        <f>ROUND('Plant06 Inputs'!H8,2)</f>
        <v/>
      </c>
      <c r="K10">
        <f>ROUND('Plant06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ROUND('Plant06 Inputs'!Q4,2)</f>
        <v/>
      </c>
      <c r="G11">
        <f>ROUND('Plant06 Inputs'!Q5,2)</f>
        <v/>
      </c>
      <c r="H11">
        <f>ROUND('Plant06 Inputs'!Q6,2)</f>
        <v/>
      </c>
      <c r="I11">
        <f>ROUND('Plant06 Inputs'!Q7,2)</f>
        <v/>
      </c>
      <c r="J11">
        <f>ROUND('Plant06 Inputs'!Q8,2)</f>
        <v/>
      </c>
      <c r="K11">
        <f>ROUND('Plant06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ROUND(IFERROR(100*'Plant06 Inputs'!U4/'Plant06 Inputs'!T4,0),2)</f>
        <v/>
      </c>
      <c r="G12">
        <f>ROUND(IFERROR(100*'Plant06 Inputs'!U5/'Plant06 Inputs'!T5,0),2)</f>
        <v/>
      </c>
      <c r="H12">
        <f>ROUND(IFERROR(100*'Plant06 Inputs'!U6/'Plant06 Inputs'!T6,0),2)</f>
        <v/>
      </c>
      <c r="I12">
        <f>ROUND(IFERROR(100*'Plant06 Inputs'!U7/'Plant06 Inputs'!T7,0),2)</f>
        <v/>
      </c>
      <c r="J12">
        <f>ROUND(IFERROR(100*'Plant06 Inputs'!U8/'Plant06 Inputs'!T8,0),2)</f>
        <v/>
      </c>
      <c r="K12">
        <f>ROUND(IFERROR(100*'Plant06 Inputs'!U9/'Plant06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ROUND(IFERROR(1000*('Plant06 Inputs'!V4+'Plant06 Inputs'!X4)/'Plant06 Inputs'!M4,0),2)</f>
        <v/>
      </c>
      <c r="G13">
        <f>ROUND(IFERROR(1000*('Plant06 Inputs'!V5+'Plant06 Inputs'!X5)/'Plant06 Inputs'!M5,0),2)</f>
        <v/>
      </c>
      <c r="H13">
        <f>ROUND(IFERROR(1000*('Plant06 Inputs'!V6+'Plant06 Inputs'!X6)/'Plant06 Inputs'!M6,0),2)</f>
        <v/>
      </c>
      <c r="I13">
        <f>ROUND(IFERROR(1000*('Plant06 Inputs'!V7+'Plant06 Inputs'!X7)/'Plant06 Inputs'!M7,0),2)</f>
        <v/>
      </c>
      <c r="J13">
        <f>ROUND(IFERROR(1000*('Plant06 Inputs'!V8+'Plant06 Inputs'!X8)/'Plant06 Inputs'!M8,0),2)</f>
        <v/>
      </c>
      <c r="K13">
        <f>ROUND(IFERROR(1000*('Plant06 Inputs'!V9+'Plant06 Inputs'!X9)/'Plant06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ROUND('Plant06 Inputs'!V4,2)</f>
        <v/>
      </c>
      <c r="G14">
        <f>ROUND('Plant06 Inputs'!V5,2)</f>
        <v/>
      </c>
      <c r="H14">
        <f>ROUND('Plant06 Inputs'!V6,2)</f>
        <v/>
      </c>
      <c r="I14">
        <f>ROUND('Plant06 Inputs'!V7,2)</f>
        <v/>
      </c>
      <c r="J14">
        <f>ROUND('Plant06 Inputs'!V8,2)</f>
        <v/>
      </c>
      <c r="K14">
        <f>ROUND('Plant06 Inputs'!V9,2)</f>
        <v/>
      </c>
      <c r="L14" t="inlineStr">
        <is>
          <t>variable_cost_k</t>
        </is>
      </c>
    </row>
    <row r="15">
      <c r="A15" t="inlineStr">
        <is>
          <t>CST-003</t>
        </is>
      </c>
      <c r="B15" t="inlineStr">
        <is>
          <t>Fuel cost</t>
        </is>
      </c>
      <c r="C15" t="inlineStr">
        <is>
          <t>₹ thousand</t>
        </is>
      </c>
      <c r="D15" t="inlineStr">
        <is>
          <t>Month</t>
        </is>
      </c>
      <c r="E15" t="inlineStr">
        <is>
          <t>Fuel cost</t>
        </is>
      </c>
      <c r="F15">
        <f>ROUND('Plant06 Inputs'!W4,2)</f>
        <v/>
      </c>
      <c r="G15">
        <f>ROUND('Plant06 Inputs'!W5,2)</f>
        <v/>
      </c>
      <c r="H15">
        <f>ROUND('Plant06 Inputs'!W6,2)</f>
        <v/>
      </c>
      <c r="I15">
        <f>ROUND('Plant06 Inputs'!W7,2)</f>
        <v/>
      </c>
      <c r="J15">
        <f>ROUND('Plant06 Inputs'!W8,2)</f>
        <v/>
      </c>
      <c r="K15">
        <f>ROUND('Plant06 Inputs'!W9,2)</f>
        <v/>
      </c>
      <c r="L15" t="inlineStr">
        <is>
          <t>fuel_cost_k</t>
        </is>
      </c>
    </row>
    <row r="16">
      <c r="A16" t="inlineStr">
        <is>
          <t>SUS-001</t>
        </is>
      </c>
      <c r="B16" t="inlineStr">
        <is>
          <t>Water usage</t>
        </is>
      </c>
      <c r="C16" t="inlineStr">
        <is>
          <t>m3</t>
        </is>
      </c>
      <c r="D16" t="inlineStr">
        <is>
          <t>Month</t>
        </is>
      </c>
      <c r="E16" t="inlineStr">
        <is>
          <t>Water used</t>
        </is>
      </c>
      <c r="F16">
        <f>ROUND('Plant06 Inputs'!Y4,2)</f>
        <v/>
      </c>
      <c r="G16">
        <f>ROUND('Plant06 Inputs'!Y5,2)</f>
        <v/>
      </c>
      <c r="H16">
        <f>ROUND('Plant06 Inputs'!Y6,2)</f>
        <v/>
      </c>
      <c r="I16">
        <f>ROUND('Plant06 Inputs'!Y7,2)</f>
        <v/>
      </c>
      <c r="J16">
        <f>ROUND('Plant06 Inputs'!Y8,2)</f>
        <v/>
      </c>
      <c r="K16">
        <f>ROUND('Plant06 Inputs'!Y9,2)</f>
        <v/>
      </c>
      <c r="L16" t="inlineStr">
        <is>
          <t>water_m3</t>
        </is>
      </c>
    </row>
    <row r="17">
      <c r="A17" t="inlineStr">
        <is>
          <t>SUS-002</t>
        </is>
      </c>
      <c r="B17" t="inlineStr">
        <is>
          <t>Emissions</t>
        </is>
      </c>
      <c r="C17" t="inlineStr">
        <is>
          <t>tCO2e</t>
        </is>
      </c>
      <c r="D17" t="inlineStr">
        <is>
          <t>Month</t>
        </is>
      </c>
      <c r="E17" t="inlineStr">
        <is>
          <t>Emissions</t>
        </is>
      </c>
      <c r="F17">
        <f>ROUND('Plant06 Inputs'!Z4,2)</f>
        <v/>
      </c>
      <c r="G17">
        <f>ROUND('Plant06 Inputs'!Z5,2)</f>
        <v/>
      </c>
      <c r="H17">
        <f>ROUND('Plant06 Inputs'!Z6,2)</f>
        <v/>
      </c>
      <c r="I17">
        <f>ROUND('Plant06 Inputs'!Z7,2)</f>
        <v/>
      </c>
      <c r="J17">
        <f>ROUND('Plant06 Inputs'!Z8,2)</f>
        <v/>
      </c>
      <c r="K17">
        <f>ROUND('Plant06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ROUND(IFERROR('Plant06 Inputs'!AA4/'Plant06 Inputs'!M4,0),2)</f>
        <v/>
      </c>
      <c r="G18">
        <f>ROUND(IFERROR('Plant06 Inputs'!AA5/'Plant06 Inputs'!M5,0),2)</f>
        <v/>
      </c>
      <c r="H18">
        <f>ROUND(IFERROR('Plant06 Inputs'!AA6/'Plant06 Inputs'!M6,0),2)</f>
        <v/>
      </c>
      <c r="I18">
        <f>ROUND(IFERROR('Plant06 Inputs'!AA7/'Plant06 Inputs'!M7,0),2)</f>
        <v/>
      </c>
      <c r="J18">
        <f>ROUND(IFERROR('Plant06 Inputs'!AA8/'Plant06 Inputs'!M8,0),2)</f>
        <v/>
      </c>
      <c r="K18">
        <f>ROUND(IFERROR('Plant06 Inputs'!AA9/'Plant06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ROUND('Plant06 Inputs'!AB4,2)</f>
        <v/>
      </c>
      <c r="G19">
        <f>ROUND('Plant06 Inputs'!AB5,2)</f>
        <v/>
      </c>
      <c r="H19">
        <f>ROUND('Plant06 Inputs'!AB6,2)</f>
        <v/>
      </c>
      <c r="I19">
        <f>ROUND('Plant06 Inputs'!AB7,2)</f>
        <v/>
      </c>
      <c r="J19">
        <f>ROUND('Plant06 Inputs'!AB8,2)</f>
        <v/>
      </c>
      <c r="K19">
        <f>ROUND('Plant06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ROUND('Plant06 Inputs'!AC4,2)</f>
        <v/>
      </c>
      <c r="G20">
        <f>ROUND('Plant06 Inputs'!AC5,2)</f>
        <v/>
      </c>
      <c r="H20">
        <f>ROUND('Plant06 Inputs'!AC6,2)</f>
        <v/>
      </c>
      <c r="I20">
        <f>ROUND('Plant06 Inputs'!AC7,2)</f>
        <v/>
      </c>
      <c r="J20">
        <f>ROUND('Plant06 Inputs'!AC8,2)</f>
        <v/>
      </c>
      <c r="K20">
        <f>ROUND('Plant06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ROUND('Plant06 Inputs'!AO4,2)</f>
        <v/>
      </c>
      <c r="G21">
        <f>ROUND('Plant06 Inputs'!AO5,2)</f>
        <v/>
      </c>
      <c r="H21">
        <f>ROUND('Plant06 Inputs'!AO6,2)</f>
        <v/>
      </c>
      <c r="I21">
        <f>ROUND('Plant06 Inputs'!AO7,2)</f>
        <v/>
      </c>
      <c r="J21">
        <f>ROUND('Plant06 Inputs'!AO8,2)</f>
        <v/>
      </c>
      <c r="K21">
        <f>ROUND('Plant06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ROUND(IFERROR(100*'Plant06 Inputs'!AQ4/'Plant06 Inputs'!AP4,0),2)</f>
        <v/>
      </c>
      <c r="G22">
        <f>ROUND(IFERROR(100*'Plant06 Inputs'!AQ5/'Plant06 Inputs'!AP5,0),2)</f>
        <v/>
      </c>
      <c r="H22">
        <f>ROUND(IFERROR(100*'Plant06 Inputs'!AQ6/'Plant06 Inputs'!AP6,0),2)</f>
        <v/>
      </c>
      <c r="I22">
        <f>ROUND(IFERROR(100*'Plant06 Inputs'!AQ7/'Plant06 Inputs'!AP7,0),2)</f>
        <v/>
      </c>
      <c r="J22">
        <f>ROUND(IFERROR(100*'Plant06 Inputs'!AQ8/'Plant06 Inputs'!AP8,0),2)</f>
        <v/>
      </c>
      <c r="K22">
        <f>ROUND(IFERROR(100*'Plant06 Inputs'!AQ9/'Plant06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ROUND('Plant06 Inputs'!AJ4,2)</f>
        <v/>
      </c>
      <c r="G23">
        <f>ROUND('Plant06 Inputs'!AJ5,2)</f>
        <v/>
      </c>
      <c r="H23">
        <f>ROUND('Plant06 Inputs'!AJ6,2)</f>
        <v/>
      </c>
      <c r="I23">
        <f>ROUND('Plant06 Inputs'!AJ7,2)</f>
        <v/>
      </c>
      <c r="J23">
        <f>ROUND('Plant06 Inputs'!AJ8,2)</f>
        <v/>
      </c>
      <c r="K23">
        <f>ROUND('Plant06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ROUND(IFERROR(200000*'Plant06 Inputs'!AE4/'Plant06 Inputs'!AD4,0),2)</f>
        <v/>
      </c>
      <c r="G24">
        <f>ROUND(IFERROR(200000*'Plant06 Inputs'!AE5/'Plant06 Inputs'!AD5,0),2)</f>
        <v/>
      </c>
      <c r="H24">
        <f>ROUND(IFERROR(200000*'Plant06 Inputs'!AE6/'Plant06 Inputs'!AD6,0),2)</f>
        <v/>
      </c>
      <c r="I24">
        <f>ROUND(IFERROR(200000*'Plant06 Inputs'!AE7/'Plant06 Inputs'!AD7,0),2)</f>
        <v/>
      </c>
      <c r="J24">
        <f>ROUND(IFERROR(200000*'Plant06 Inputs'!AE8/'Plant06 Inputs'!AD8,0),2)</f>
        <v/>
      </c>
      <c r="K24">
        <f>ROUND(IFERROR(200000*'Plant06 Inputs'!AE9/'Plant06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ROUND('Plant06 Inputs'!AF4,2)</f>
        <v/>
      </c>
      <c r="G25">
        <f>ROUND('Plant06 Inputs'!AF5,2)</f>
        <v/>
      </c>
      <c r="H25">
        <f>ROUND('Plant06 Inputs'!AF6,2)</f>
        <v/>
      </c>
      <c r="I25">
        <f>ROUND('Plant06 Inputs'!AF7,2)</f>
        <v/>
      </c>
      <c r="J25">
        <f>ROUND('Plant06 Inputs'!AF8,2)</f>
        <v/>
      </c>
      <c r="K25">
        <f>ROUND('Plant06 Inputs'!AF9,2)</f>
        <v/>
      </c>
      <c r="L25" t="inlineStr">
        <is>
          <t>severity_incidents</t>
        </is>
      </c>
    </row>
    <row r="26">
      <c r="A26" t="inlineStr">
        <is>
          <t>EHS-003</t>
        </is>
      </c>
      <c r="B26" t="inlineStr">
        <is>
          <t>Near misses</t>
        </is>
      </c>
      <c r="C26" t="inlineStr">
        <is>
          <t>count</t>
        </is>
      </c>
      <c r="D26" t="inlineStr">
        <is>
          <t>Month</t>
        </is>
      </c>
      <c r="E26" t="inlineStr">
        <is>
          <t>Near misses</t>
        </is>
      </c>
      <c r="F26">
        <f>ROUND('Plant06 Inputs'!AG4,2)</f>
        <v/>
      </c>
      <c r="G26">
        <f>ROUND('Plant06 Inputs'!AG5,2)</f>
        <v/>
      </c>
      <c r="H26">
        <f>ROUND('Plant06 Inputs'!AG6,2)</f>
        <v/>
      </c>
      <c r="I26">
        <f>ROUND('Plant06 Inputs'!AG7,2)</f>
        <v/>
      </c>
      <c r="J26">
        <f>ROUND('Plant06 Inputs'!AG8,2)</f>
        <v/>
      </c>
      <c r="K26">
        <f>ROUND('Plant06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ROUND('Plant06 Inputs'!AH4,2)</f>
        <v/>
      </c>
      <c r="G27">
        <f>ROUND('Plant06 Inputs'!AH5,2)</f>
        <v/>
      </c>
      <c r="H27">
        <f>ROUND('Plant06 Inputs'!AH6,2)</f>
        <v/>
      </c>
      <c r="I27">
        <f>ROUND('Plant06 Inputs'!AH7,2)</f>
        <v/>
      </c>
      <c r="J27">
        <f>ROUND('Plant06 Inputs'!AH8,2)</f>
        <v/>
      </c>
      <c r="K27">
        <f>ROUND('Plant06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ROUND('Plant06 Inputs'!AI4,2)</f>
        <v/>
      </c>
      <c r="G28">
        <f>ROUND('Plant06 Inputs'!AI5,2)</f>
        <v/>
      </c>
      <c r="H28">
        <f>ROUND('Plant06 Inputs'!AI6,2)</f>
        <v/>
      </c>
      <c r="I28">
        <f>ROUND('Plant06 Inputs'!AI7,2)</f>
        <v/>
      </c>
      <c r="J28">
        <f>ROUND('Plant06 Inputs'!AI8,2)</f>
        <v/>
      </c>
      <c r="K28">
        <f>ROUND('Plant06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ROUND('Plant06 Inputs'!AK4,2)</f>
        <v/>
      </c>
      <c r="G29">
        <f>ROUND('Plant06 Inputs'!AK5,2)</f>
        <v/>
      </c>
      <c r="H29">
        <f>ROUND('Plant06 Inputs'!AK6,2)</f>
        <v/>
      </c>
      <c r="I29">
        <f>ROUND('Plant06 Inputs'!AK7,2)</f>
        <v/>
      </c>
      <c r="J29">
        <f>ROUND('Plant06 Inputs'!AK8,2)</f>
        <v/>
      </c>
      <c r="K29">
        <f>ROUND('Plant06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ROUND('Plant06 Inputs'!AL4,2)</f>
        <v/>
      </c>
      <c r="G30">
        <f>ROUND('Plant06 Inputs'!AL5,2)</f>
        <v/>
      </c>
      <c r="H30">
        <f>ROUND('Plant06 Inputs'!AL6,2)</f>
        <v/>
      </c>
      <c r="I30">
        <f>ROUND('Plant06 Inputs'!AL7,2)</f>
        <v/>
      </c>
      <c r="J30">
        <f>ROUND('Plant06 Inputs'!AL8,2)</f>
        <v/>
      </c>
      <c r="K30">
        <f>ROUND('Plant06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ROUND(IF('Plant06 Inputs'!AM4=0,100,100*'Plant06 Inputs'!AN4/'Plant06 Inputs'!AM4),2)</f>
        <v/>
      </c>
      <c r="G31">
        <f>ROUND(IF('Plant06 Inputs'!AM5=0,100,100*'Plant06 Inputs'!AN5/'Plant06 Inputs'!AM5),2)</f>
        <v/>
      </c>
      <c r="H31">
        <f>ROUND(IF('Plant06 Inputs'!AM6=0,100,100*'Plant06 Inputs'!AN6/'Plant06 Inputs'!AM6),2)</f>
        <v/>
      </c>
      <c r="I31">
        <f>ROUND(IF('Plant06 Inputs'!AM7=0,100,100*'Plant06 Inputs'!AN7/'Plant06 Inputs'!AM7),2)</f>
        <v/>
      </c>
      <c r="J31">
        <f>ROUND(IF('Plant06 Inputs'!AM8=0,100,100*'Plant06 Inputs'!AN8/'Plant06 Inputs'!AM8),2)</f>
        <v/>
      </c>
      <c r="K31">
        <f>ROUND(IF('Plant06 Inputs'!AM9=0,100,100*'Plant06 Inputs'!AN9/'Plant06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ROUND('Plant06 Inputs'!AR4,2)</f>
        <v/>
      </c>
      <c r="G32">
        <f>ROUND('Plant06 Inputs'!AR5,2)</f>
        <v/>
      </c>
      <c r="H32">
        <f>ROUND('Plant06 Inputs'!AR6,2)</f>
        <v/>
      </c>
      <c r="I32">
        <f>ROUND('Plant06 Inputs'!AR7,2)</f>
        <v/>
      </c>
      <c r="J32">
        <f>ROUND('Plant06 Inputs'!AR8,2)</f>
        <v/>
      </c>
      <c r="K32">
        <f>ROUND('Plant06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ROUND(IFERROR(100*'Plant06 Inputs'!M4/'Plant06 Inputs'!J4,0),2)</f>
        <v/>
      </c>
      <c r="G33">
        <f>ROUND(IFERROR(100*'Plant06 Inputs'!M5/'Plant06 Inputs'!J5,0),2)</f>
        <v/>
      </c>
      <c r="H33">
        <f>ROUND(IFERROR(100*'Plant06 Inputs'!M6/'Plant06 Inputs'!J6,0),2)</f>
        <v/>
      </c>
      <c r="I33">
        <f>ROUND(IFERROR(100*'Plant06 Inputs'!M7/'Plant06 Inputs'!J7,0),2)</f>
        <v/>
      </c>
      <c r="J33">
        <f>ROUND(IFERROR(100*'Plant06 Inputs'!M8/'Plant06 Inputs'!J8,0),2)</f>
        <v/>
      </c>
      <c r="K33">
        <f>ROUND(IFERROR(100*'Plant06 Inputs'!M9/'Plant06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ROUND(IFERROR(100*'Plant06 Inputs'!M4/'Plant06 Inputs'!I4,0),2)</f>
        <v/>
      </c>
      <c r="G34">
        <f>ROUND(IFERROR(100*'Plant06 Inputs'!M5/'Plant06 Inputs'!I5,0),2)</f>
        <v/>
      </c>
      <c r="H34">
        <f>ROUND(IFERROR(100*'Plant06 Inputs'!M6/'Plant06 Inputs'!I6,0),2)</f>
        <v/>
      </c>
      <c r="I34">
        <f>ROUND(IFERROR(100*'Plant06 Inputs'!M7/'Plant06 Inputs'!I7,0),2)</f>
        <v/>
      </c>
      <c r="J34">
        <f>ROUND(IFERROR(100*'Plant06 Inputs'!M8/'Plant06 Inputs'!I8,0),2)</f>
        <v/>
      </c>
      <c r="K34">
        <f>ROUND(IFERROR(100*'Plant06 Inputs'!M9/'Plant06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ROUND(IF('Plant06 Inputs'!AT4=0,0,100*'Plant06 Inputs'!AS4/'Plant06 Inputs'!AT4),2)</f>
        <v/>
      </c>
      <c r="G35">
        <f>ROUND(IF('Plant06 Inputs'!AT5=0,0,100*'Plant06 Inputs'!AS5/'Plant06 Inputs'!AT5),2)</f>
        <v/>
      </c>
      <c r="H35">
        <f>ROUND(IF('Plant06 Inputs'!AT6=0,0,100*'Plant06 Inputs'!AS6/'Plant06 Inputs'!AT6),2)</f>
        <v/>
      </c>
      <c r="I35">
        <f>ROUND(IF('Plant06 Inputs'!AT7=0,0,100*'Plant06 Inputs'!AS7/'Plant06 Inputs'!AT7),2)</f>
        <v/>
      </c>
      <c r="J35">
        <f>ROUND(IF('Plant06 Inputs'!AT8=0,0,100*'Plant06 Inputs'!AS8/'Plant06 Inputs'!AT8),2)</f>
        <v/>
      </c>
      <c r="K35">
        <f>ROUND(IF('Plant06 Inputs'!AT9=0,0,100*'Plant06 Inputs'!AS9/'Plant06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ROUND(IF('Plant06 Inputs'!AT4=0,0,100*'Plant06 Inputs'!AS4/'Plant06 Inputs'!AT4),2)</f>
        <v/>
      </c>
      <c r="G36">
        <f>ROUND(IF('Plant06 Inputs'!AT5=0,0,100*'Plant06 Inputs'!AS5/'Plant06 Inputs'!AT5),2)</f>
        <v/>
      </c>
      <c r="H36">
        <f>ROUND(IF('Plant06 Inputs'!AT6=0,0,100*'Plant06 Inputs'!AS6/'Plant06 Inputs'!AT6),2)</f>
        <v/>
      </c>
      <c r="I36">
        <f>ROUND(IF('Plant06 Inputs'!AT7=0,0,100*'Plant06 Inputs'!AS7/'Plant06 Inputs'!AT7),2)</f>
        <v/>
      </c>
      <c r="J36">
        <f>ROUND(IF('Plant06 Inputs'!AT8=0,0,100*'Plant06 Inputs'!AS8/'Plant06 Inputs'!AT8),2)</f>
        <v/>
      </c>
      <c r="K36">
        <f>ROUND(IF('Plant06 Inputs'!AT9=0,0,100*'Plant06 Inputs'!AS9/'Plant06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ROUND(IF('Plant06 Inputs'!M4=0,0,1000*'Plant06 Inputs'!AW4/'Plant06 Inputs'!M4),2)</f>
        <v/>
      </c>
      <c r="G37">
        <f>ROUND(IF('Plant06 Inputs'!M5=0,0,1000*'Plant06 Inputs'!AW5/'Plant06 Inputs'!M5),2)</f>
        <v/>
      </c>
      <c r="H37">
        <f>ROUND(IF('Plant06 Inputs'!M6=0,0,1000*'Plant06 Inputs'!AW6/'Plant06 Inputs'!M6),2)</f>
        <v/>
      </c>
      <c r="I37">
        <f>ROUND(IF('Plant06 Inputs'!M7=0,0,1000*'Plant06 Inputs'!AW7/'Plant06 Inputs'!M7),2)</f>
        <v/>
      </c>
      <c r="J37">
        <f>ROUND(IF('Plant06 Inputs'!M8=0,0,1000*'Plant06 Inputs'!AW8/'Plant06 Inputs'!M8),2)</f>
        <v/>
      </c>
      <c r="K37">
        <f>ROUND(IF('Plant06 Inputs'!M9=0,0,1000*'Plant06 Inputs'!AW9/'Plant06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ROUND(SUM('Plant06 Inputs'!AU$4:AU4)/1000,2)</f>
        <v/>
      </c>
      <c r="G38">
        <f>ROUND(SUM('Plant06 Inputs'!AU$4:AU5)/1000,2)</f>
        <v/>
      </c>
      <c r="H38">
        <f>ROUND(SUM('Plant06 Inputs'!AU$4:AU6)/1000,2)</f>
        <v/>
      </c>
      <c r="I38">
        <f>ROUND(SUM('Plant06 Inputs'!AU$4:AU7)/1000,2)</f>
        <v/>
      </c>
      <c r="J38">
        <f>ROUND(SUM('Plant06 Inputs'!AU$4:AU8)/1000,2)</f>
        <v/>
      </c>
      <c r="K38">
        <f>ROUND(SUM('Plant06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ROUND(IF('Plant06 Inputs'!AY4=0,0,100*'Plant06 Inputs'!AZ4/'Plant06 Inputs'!AY4),2)</f>
        <v/>
      </c>
      <c r="G39">
        <f>ROUND(IF('Plant06 Inputs'!AY5=0,0,100*'Plant06 Inputs'!AZ5/'Plant06 Inputs'!AY5),2)</f>
        <v/>
      </c>
      <c r="H39">
        <f>ROUND(IF('Plant06 Inputs'!AY6=0,0,100*'Plant06 Inputs'!AZ6/'Plant06 Inputs'!AY6),2)</f>
        <v/>
      </c>
      <c r="I39">
        <f>ROUND(IF('Plant06 Inputs'!AY7=0,0,100*'Plant06 Inputs'!AZ7/'Plant06 Inputs'!AY7),2)</f>
        <v/>
      </c>
      <c r="J39">
        <f>ROUND(IF('Plant06 Inputs'!AY8=0,0,100*'Plant06 Inputs'!AZ8/'Plant06 Inputs'!AY8),2)</f>
        <v/>
      </c>
      <c r="K39">
        <f>ROUND(IF('Plant06 Inputs'!AY9=0,0,100*'Plant06 Inputs'!AZ9/'Plant06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ROUND(IF('Plant06 Inputs'!BA4=0,0,100*'Plant06 Inputs'!BB4/'Plant06 Inputs'!BA4),2)</f>
        <v/>
      </c>
      <c r="G40">
        <f>ROUND(IF('Plant06 Inputs'!BA5=0,0,100*'Plant06 Inputs'!BB5/'Plant06 Inputs'!BA5),2)</f>
        <v/>
      </c>
      <c r="H40">
        <f>ROUND(IF('Plant06 Inputs'!BA6=0,0,100*'Plant06 Inputs'!BB6/'Plant06 Inputs'!BA6),2)</f>
        <v/>
      </c>
      <c r="I40">
        <f>ROUND(IF('Plant06 Inputs'!BA7=0,0,100*'Plant06 Inputs'!BB7/'Plant06 Inputs'!BA7),2)</f>
        <v/>
      </c>
      <c r="J40">
        <f>ROUND(IF('Plant06 Inputs'!BA8=0,0,100*'Plant06 Inputs'!BB8/'Plant06 Inputs'!BA8),2)</f>
        <v/>
      </c>
      <c r="K40">
        <f>ROUND(IF('Plant06 Inputs'!BA9=0,0,100*'Plant06 Inputs'!BB9/'Plant06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ROUND(IF('Plant06 Inputs'!BB4=0,0,100*'Plant06 Inputs'!BC4/'Plant06 Inputs'!BB4),2)</f>
        <v/>
      </c>
      <c r="G41">
        <f>ROUND(IF('Plant06 Inputs'!BB5=0,0,100*'Plant06 Inputs'!BC5/'Plant06 Inputs'!BB5),2)</f>
        <v/>
      </c>
      <c r="H41">
        <f>ROUND(IF('Plant06 Inputs'!BB6=0,0,100*'Plant06 Inputs'!BC6/'Plant06 Inputs'!BB6),2)</f>
        <v/>
      </c>
      <c r="I41">
        <f>ROUND(IF('Plant06 Inputs'!BB7=0,0,100*'Plant06 Inputs'!BC7/'Plant06 Inputs'!BB7),2)</f>
        <v/>
      </c>
      <c r="J41">
        <f>ROUND(IF('Plant06 Inputs'!BB8=0,0,100*'Plant06 Inputs'!BC8/'Plant06 Inputs'!BB8),2)</f>
        <v/>
      </c>
      <c r="K41">
        <f>ROUND(IF('Plant06 Inputs'!BB9=0,0,100*'Plant06 Inputs'!BC9/'Plant06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ROUND(IF('Plant06 Inputs'!BD4=0,0,100*('Plant06 Inputs'!BE4-'Plant06 Inputs'!BD4)/'Plant06 Inputs'!BD4),2)</f>
        <v/>
      </c>
      <c r="G42">
        <f>ROUND(IF('Plant06 Inputs'!BD5=0,0,100*('Plant06 Inputs'!BE5-'Plant06 Inputs'!BD5)/'Plant06 Inputs'!BD5),2)</f>
        <v/>
      </c>
      <c r="H42">
        <f>ROUND(IF('Plant06 Inputs'!BD6=0,0,100*('Plant06 Inputs'!BE6-'Plant06 Inputs'!BD6)/'Plant06 Inputs'!BD6),2)</f>
        <v/>
      </c>
      <c r="I42">
        <f>ROUND(IF('Plant06 Inputs'!BD7=0,0,100*('Plant06 Inputs'!BE7-'Plant06 Inputs'!BD7)/'Plant06 Inputs'!BD7),2)</f>
        <v/>
      </c>
      <c r="J42">
        <f>ROUND(IF('Plant06 Inputs'!BD8=0,0,100*('Plant06 Inputs'!BE8-'Plant06 Inputs'!BD8)/'Plant06 Inputs'!BD8),2)</f>
        <v/>
      </c>
      <c r="K42">
        <f>ROUND(IF('Plant06 Inputs'!BD9=0,0,100*('Plant06 Inputs'!BE9-'Plant06 Inputs'!BD9)/'Plant06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ROUND(IF('Plant06 Inputs'!BF4=0,0,100*'Plant06 Inputs'!BG4/'Plant06 Inputs'!BF4),2)</f>
        <v/>
      </c>
      <c r="G43">
        <f>ROUND(IF('Plant06 Inputs'!BF5=0,0,100*'Plant06 Inputs'!BG5/'Plant06 Inputs'!BF5),2)</f>
        <v/>
      </c>
      <c r="H43">
        <f>ROUND(IF('Plant06 Inputs'!BF6=0,0,100*'Plant06 Inputs'!BG6/'Plant06 Inputs'!BF6),2)</f>
        <v/>
      </c>
      <c r="I43">
        <f>ROUND(IF('Plant06 Inputs'!BF7=0,0,100*'Plant06 Inputs'!BG7/'Plant06 Inputs'!BF7),2)</f>
        <v/>
      </c>
      <c r="J43">
        <f>ROUND(IF('Plant06 Inputs'!BF8=0,0,100*'Plant06 Inputs'!BG8/'Plant06 Inputs'!BF8),2)</f>
        <v/>
      </c>
      <c r="K43">
        <f>ROUND(IF('Plant06 Inputs'!BF9=0,0,100*'Plant06 Inputs'!BG9/'Plant06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ROUND(SUM('Plant06 Inputs'!BH$4:BH4),2)</f>
        <v/>
      </c>
      <c r="G44">
        <f>ROUND(SUM('Plant06 Inputs'!BH$4:BH5),2)</f>
        <v/>
      </c>
      <c r="H44">
        <f>ROUND(SUM('Plant06 Inputs'!BH$4:BH6),2)</f>
        <v/>
      </c>
      <c r="I44">
        <f>ROUND(SUM('Plant06 Inputs'!BH$4:BH7),2)</f>
        <v/>
      </c>
      <c r="J44">
        <f>ROUND(SUM('Plant06 Inputs'!BH$4:BH8),2)</f>
        <v/>
      </c>
      <c r="K44">
        <f>ROUND(SUM('Plant06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ROUND('Plant06 Inputs'!BI4,2)</f>
        <v/>
      </c>
      <c r="G45">
        <f>ROUND('Plant06 Inputs'!BI5,2)</f>
        <v/>
      </c>
      <c r="H45">
        <f>ROUND('Plant06 Inputs'!BI6,2)</f>
        <v/>
      </c>
      <c r="I45">
        <f>ROUND('Plant06 Inputs'!BI7,2)</f>
        <v/>
      </c>
      <c r="J45">
        <f>ROUND('Plant06 Inputs'!BI8,2)</f>
        <v/>
      </c>
      <c r="K45">
        <f>ROUND('Plant06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ROUND('Plant06 Inputs'!BJ4,2)</f>
        <v/>
      </c>
      <c r="G46">
        <f>ROUND('Plant06 Inputs'!BJ5,2)</f>
        <v/>
      </c>
      <c r="H46">
        <f>ROUND('Plant06 Inputs'!BJ6,2)</f>
        <v/>
      </c>
      <c r="I46">
        <f>ROUND('Plant06 Inputs'!BJ7,2)</f>
        <v/>
      </c>
      <c r="J46">
        <f>ROUND('Plant06 Inputs'!BJ8,2)</f>
        <v/>
      </c>
      <c r="K46">
        <f>ROUND('Plant06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ROUND('Plant06 Inputs'!BK4,2)</f>
        <v/>
      </c>
      <c r="G47">
        <f>ROUND('Plant06 Inputs'!BK5,2)</f>
        <v/>
      </c>
      <c r="H47">
        <f>ROUND('Plant06 Inputs'!BK6,2)</f>
        <v/>
      </c>
      <c r="I47">
        <f>ROUND('Plant06 Inputs'!BK7,2)</f>
        <v/>
      </c>
      <c r="J47">
        <f>ROUND('Plant06 Inputs'!BK8,2)</f>
        <v/>
      </c>
      <c r="K47">
        <f>ROUND('Plant06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ROUND('Plant06 Inputs'!BL4,2)</f>
        <v/>
      </c>
      <c r="G48">
        <f>ROUND('Plant06 Inputs'!BL5,2)</f>
        <v/>
      </c>
      <c r="H48">
        <f>ROUND('Plant06 Inputs'!BL6,2)</f>
        <v/>
      </c>
      <c r="I48">
        <f>ROUND('Plant06 Inputs'!BL7,2)</f>
        <v/>
      </c>
      <c r="J48">
        <f>ROUND('Plant06 Inputs'!BL8,2)</f>
        <v/>
      </c>
      <c r="K48">
        <f>ROUND('Plant06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ROUND('Plant06 Inputs'!BM4,2)</f>
        <v/>
      </c>
      <c r="G49">
        <f>ROUND('Plant06 Inputs'!BM5,2)</f>
        <v/>
      </c>
      <c r="H49">
        <f>ROUND('Plant06 Inputs'!BM6,2)</f>
        <v/>
      </c>
      <c r="I49">
        <f>ROUND('Plant06 Inputs'!BM7,2)</f>
        <v/>
      </c>
      <c r="J49">
        <f>ROUND('Plant06 Inputs'!BM8,2)</f>
        <v/>
      </c>
      <c r="K49">
        <f>ROUND('Plant06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ROUND('Plant06 Inputs'!BN4,2)</f>
        <v/>
      </c>
      <c r="G50">
        <f>ROUND('Plant06 Inputs'!BN5,2)</f>
        <v/>
      </c>
      <c r="H50">
        <f>ROUND('Plant06 Inputs'!BN6,2)</f>
        <v/>
      </c>
      <c r="I50">
        <f>ROUND('Plant06 Inputs'!BN7,2)</f>
        <v/>
      </c>
      <c r="J50">
        <f>ROUND('Plant06 Inputs'!BN8,2)</f>
        <v/>
      </c>
      <c r="K50">
        <f>ROUND('Plant06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ROUND('Plant06 Inputs'!BO4,2)</f>
        <v/>
      </c>
      <c r="G51">
        <f>ROUND('Plant06 Inputs'!BO5,2)</f>
        <v/>
      </c>
      <c r="H51">
        <f>ROUND('Plant06 Inputs'!BO6,2)</f>
        <v/>
      </c>
      <c r="I51">
        <f>ROUND('Plant06 Inputs'!BO7,2)</f>
        <v/>
      </c>
      <c r="J51">
        <f>ROUND('Plant06 Inputs'!BO8,2)</f>
        <v/>
      </c>
      <c r="K51">
        <f>ROUND('Plant06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IF('Plant06 Inputs'!BQ4&gt;0,"Triggered","Not triggered")</f>
        <v/>
      </c>
      <c r="G52">
        <f>IF('Plant06 Inputs'!BQ5&gt;0,"Triggered","Not triggered")</f>
        <v/>
      </c>
      <c r="H52">
        <f>IF('Plant06 Inputs'!BQ6&gt;0,"Triggered","Not triggered")</f>
        <v/>
      </c>
      <c r="I52">
        <f>IF('Plant06 Inputs'!BQ7&gt;0,"Triggered","Not triggered")</f>
        <v/>
      </c>
      <c r="J52">
        <f>IF('Plant06 Inputs'!BQ8&gt;0,"Triggered","Not triggered")</f>
        <v/>
      </c>
      <c r="K52">
        <f>IF('Plant06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ROUND(SUM('Plant06 Inputs'!BP$4:BP4),2)</f>
        <v/>
      </c>
      <c r="G53">
        <f>ROUND(SUM('Plant06 Inputs'!BP$4:BP5),2)</f>
        <v/>
      </c>
      <c r="H53">
        <f>ROUND(SUM('Plant06 Inputs'!BP$4:BP6),2)</f>
        <v/>
      </c>
      <c r="I53">
        <f>ROUND(SUM('Plant06 Inputs'!BP$4:BP7),2)</f>
        <v/>
      </c>
      <c r="J53">
        <f>ROUND(SUM('Plant06 Inputs'!BP$4:BP8),2)</f>
        <v/>
      </c>
      <c r="K53">
        <f>ROUND(SUM('Plant06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ROUND(SUM('Plant06 Inputs'!BP$4:BP4),2)</f>
        <v/>
      </c>
      <c r="G54">
        <f>ROUND(SUM('Plant06 Inputs'!BP$4:BP5),2)</f>
        <v/>
      </c>
      <c r="H54">
        <f>ROUND(SUM('Plant06 Inputs'!BP$4:BP6),2)</f>
        <v/>
      </c>
      <c r="I54">
        <f>ROUND(SUM('Plant06 Inputs'!BP$4:BP7),2)</f>
        <v/>
      </c>
      <c r="J54">
        <f>ROUND(SUM('Plant06 Inputs'!BP$4:BP8),2)</f>
        <v/>
      </c>
      <c r="K54">
        <f>ROUND(SUM('Plant06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ROUND(SUM('Plant06 Inputs'!BP$4:BP4),2)</f>
        <v/>
      </c>
      <c r="G55">
        <f>ROUND(SUM('Plant06 Inputs'!BP$4:BP5),2)</f>
        <v/>
      </c>
      <c r="H55">
        <f>ROUND(SUM('Plant06 Inputs'!BP$4:BP6),2)</f>
        <v/>
      </c>
      <c r="I55">
        <f>ROUND(SUM('Plant06 Inputs'!BP$4:BP7),2)</f>
        <v/>
      </c>
      <c r="J55">
        <f>ROUND(SUM('Plant06 Inputs'!BP$4:BP8),2)</f>
        <v/>
      </c>
      <c r="K55">
        <f>ROUND(SUM('Plant06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ROUND('Plant06 Inputs'!BR4,2)</f>
        <v/>
      </c>
      <c r="G56">
        <f>ROUND('Plant06 Inputs'!BR5,2)</f>
        <v/>
      </c>
      <c r="H56">
        <f>ROUND('Plant06 Inputs'!BR6,2)</f>
        <v/>
      </c>
      <c r="I56">
        <f>ROUND('Plant06 Inputs'!BR7,2)</f>
        <v/>
      </c>
      <c r="J56">
        <f>ROUND('Plant06 Inputs'!BR8,2)</f>
        <v/>
      </c>
      <c r="K56">
        <f>ROUND('Plant06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ROUND(IF(SUM('Plant06 Inputs'!AM$4:AM4)=0,100,100*SUM('Plant06 Inputs'!AN$4:AN4)/SUM('Plant06 Inputs'!AM$4:AM4)),2)</f>
        <v/>
      </c>
      <c r="G57">
        <f>ROUND(IF(SUM('Plant06 Inputs'!AM$4:AM5)=0,100,100*SUM('Plant06 Inputs'!AN$4:AN5)/SUM('Plant06 Inputs'!AM$4:AM5)),2)</f>
        <v/>
      </c>
      <c r="H57">
        <f>ROUND(IF(SUM('Plant06 Inputs'!AM$4:AM6)=0,100,100*SUM('Plant06 Inputs'!AN$4:AN6)/SUM('Plant06 Inputs'!AM$4:AM6)),2)</f>
        <v/>
      </c>
      <c r="I57">
        <f>ROUND(IF(SUM('Plant06 Inputs'!AM$4:AM7)=0,100,100*SUM('Plant06 Inputs'!AN$4:AN7)/SUM('Plant06 Inputs'!AM$4:AM7)),2)</f>
        <v/>
      </c>
      <c r="J57">
        <f>ROUND(IF(SUM('Plant06 Inputs'!AM$4:AM8)=0,100,100*SUM('Plant06 Inputs'!AN$4:AN8)/SUM('Plant06 Inputs'!AM$4:AM8)),2)</f>
        <v/>
      </c>
      <c r="K57">
        <f>ROUND(IF(SUM('Plant06 Inputs'!AM$4:AM9)=0,100,100*SUM('Plant06 Inputs'!AN$4:AN9)/SUM('Plant06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IF('Plant06 Inputs'!GG4&gt;=-1,"Low",IF('Plant06 Inputs'!GG4&gt;=-3,"Medium","High"))&amp;" ("&amp;ROUND('Plant06 Inputs'!GG4,1)&amp;"% vs plan price)"</f>
        <v/>
      </c>
      <c r="G58">
        <f>IF('Plant06 Inputs'!GG5&gt;=-1,"Low",IF('Plant06 Inputs'!GG5&gt;=-3,"Medium","High"))&amp;" ("&amp;ROUND('Plant06 Inputs'!GG5,1)&amp;"% vs plan price)"</f>
        <v/>
      </c>
      <c r="H58">
        <f>IF('Plant06 Inputs'!GG6&gt;=-1,"Low",IF('Plant06 Inputs'!GG6&gt;=-3,"Medium","High"))&amp;" ("&amp;ROUND('Plant06 Inputs'!GG6,1)&amp;"% vs plan price)"</f>
        <v/>
      </c>
      <c r="I58">
        <f>IF('Plant06 Inputs'!GG7&gt;=-1,"Low",IF('Plant06 Inputs'!GG7&gt;=-3,"Medium","High"))&amp;" ("&amp;ROUND('Plant06 Inputs'!GG7,1)&amp;"% vs plan price)"</f>
        <v/>
      </c>
      <c r="J58">
        <f>IF('Plant06 Inputs'!GG8&gt;=-1,"Low",IF('Plant06 Inputs'!GG8&gt;=-3,"Medium","High"))&amp;" ("&amp;ROUND('Plant06 Inputs'!GG8,1)&amp;"% vs plan price)"</f>
        <v/>
      </c>
      <c r="K58">
        <f>IF('Plant06 Inputs'!GG9&gt;=-1,"Low",IF('Plant06 Inputs'!GG9&gt;=-3,"Medium","High"))&amp;" ("&amp;ROUND('Plant06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ROUND('Plant06 Inputs'!BS4,2)</f>
        <v/>
      </c>
      <c r="G59">
        <f>ROUND('Plant06 Inputs'!BS5,2)</f>
        <v/>
      </c>
      <c r="H59">
        <f>ROUND('Plant06 Inputs'!BS6,2)</f>
        <v/>
      </c>
      <c r="I59">
        <f>ROUND('Plant06 Inputs'!BS7,2)</f>
        <v/>
      </c>
      <c r="J59">
        <f>ROUND('Plant06 Inputs'!BS8,2)</f>
        <v/>
      </c>
      <c r="K59">
        <f>ROUND('Plant06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ROUND(100*NORM.DIST('Plant06 Inputs'!BT4,'Plant06 Inputs'!BU4,SQRT('Plant06 Inputs'!BV4),TRUE),2)</f>
        <v/>
      </c>
      <c r="G60">
        <f>ROUND(100*NORM.DIST('Plant06 Inputs'!BT5,'Plant06 Inputs'!BU5,SQRT('Plant06 Inputs'!BV5),TRUE),2)</f>
        <v/>
      </c>
      <c r="H60">
        <f>ROUND(100*NORM.DIST('Plant06 Inputs'!BT6,'Plant06 Inputs'!BU6,SQRT('Plant06 Inputs'!BV6),TRUE),2)</f>
        <v/>
      </c>
      <c r="I60">
        <f>ROUND(100*NORM.DIST('Plant06 Inputs'!BT7,'Plant06 Inputs'!BU7,SQRT('Plant06 Inputs'!BV7),TRUE),2)</f>
        <v/>
      </c>
      <c r="J60">
        <f>ROUND(100*NORM.DIST('Plant06 Inputs'!BT8,'Plant06 Inputs'!BU8,SQRT('Plant06 Inputs'!BV8),TRUE),2)</f>
        <v/>
      </c>
      <c r="K60">
        <f>ROUND(100*NORM.DIST('Plant06 Inputs'!BT9,'Plant06 Inputs'!BU9,SQRT('Plant06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ROUND('Plant06 Inputs'!BX4/1000,2)</f>
        <v/>
      </c>
      <c r="G61">
        <f>ROUND('Plant06 Inputs'!BX5/1000,2)</f>
        <v/>
      </c>
      <c r="H61">
        <f>ROUND('Plant06 Inputs'!BX6/1000,2)</f>
        <v/>
      </c>
      <c r="I61">
        <f>ROUND('Plant06 Inputs'!BX7/1000,2)</f>
        <v/>
      </c>
      <c r="J61">
        <f>ROUND('Plant06 Inputs'!BX8/1000,2)</f>
        <v/>
      </c>
      <c r="K61">
        <f>ROUND('Plant06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ROUND(100*NORM.DIST(0.78*'Plant06 Inputs'!BW4,'Plant06 Inputs'!BU4,SQRT('Plant06 Inputs'!BV4),TRUE),2)</f>
        <v/>
      </c>
      <c r="G62">
        <f>ROUND(100*NORM.DIST(0.78*'Plant06 Inputs'!BW5,'Plant06 Inputs'!BU5,SQRT('Plant06 Inputs'!BV5),TRUE),2)</f>
        <v/>
      </c>
      <c r="H62">
        <f>ROUND(100*NORM.DIST(0.78*'Plant06 Inputs'!BW6,'Plant06 Inputs'!BU6,SQRT('Plant06 Inputs'!BV6),TRUE),2)</f>
        <v/>
      </c>
      <c r="I62">
        <f>ROUND(100*NORM.DIST(0.78*'Plant06 Inputs'!BW7,'Plant06 Inputs'!BU7,SQRT('Plant06 Inputs'!BV7),TRUE),2)</f>
        <v/>
      </c>
      <c r="J62">
        <f>ROUND(100*NORM.DIST(0.78*'Plant06 Inputs'!BW8,'Plant06 Inputs'!BU8,SQRT('Plant06 Inputs'!BV8),TRUE),2)</f>
        <v/>
      </c>
      <c r="K62">
        <f>ROUND(100*NORM.DIST(0.78*'Plant06 Inputs'!BW9,'Plant06 Inputs'!BU9,SQRT('Plant06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ROUND(SUM('Plant06 Inputs'!X$4:X4)/1000,2)</f>
        <v/>
      </c>
      <c r="G63">
        <f>ROUND(SUM('Plant06 Inputs'!X$4:X5)/1000,2)</f>
        <v/>
      </c>
      <c r="H63">
        <f>ROUND(SUM('Plant06 Inputs'!X$4:X6)/1000,2)</f>
        <v/>
      </c>
      <c r="I63">
        <f>ROUND(SUM('Plant06 Inputs'!X$4:X7)/1000,2)</f>
        <v/>
      </c>
      <c r="J63">
        <f>ROUND(SUM('Plant06 Inputs'!X$4:X8)/1000,2)</f>
        <v/>
      </c>
      <c r="K63">
        <f>ROUND(SUM('Plant06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ROUND(IF(OR('Plant06 Inputs'!M4=0,'Plant06 Inputs'!W4=0,'Plant06 Inputs'!M4=0),0,100*(('Plant06 Inputs'!W4/'Plant06 Inputs'!M4)/('Plant06 Inputs'!W4/'Plant06 Inputs'!M4)-1)),2)</f>
        <v/>
      </c>
      <c r="G64">
        <f>ROUND(IF(OR('Plant06 Inputs'!M4=0,'Plant06 Inputs'!W4=0,'Plant06 Inputs'!M5=0),0,100*(('Plant06 Inputs'!W5/'Plant06 Inputs'!M5)/('Plant06 Inputs'!W4/'Plant06 Inputs'!M4)-1)),2)</f>
        <v/>
      </c>
      <c r="H64">
        <f>ROUND(IF(OR('Plant06 Inputs'!M5=0,'Plant06 Inputs'!W5=0,'Plant06 Inputs'!M6=0),0,100*(('Plant06 Inputs'!W6/'Plant06 Inputs'!M6)/('Plant06 Inputs'!W5/'Plant06 Inputs'!M5)-1)),2)</f>
        <v/>
      </c>
      <c r="I64">
        <f>ROUND(IF(OR('Plant06 Inputs'!M6=0,'Plant06 Inputs'!W6=0,'Plant06 Inputs'!M7=0),0,100*(('Plant06 Inputs'!W7/'Plant06 Inputs'!M7)/('Plant06 Inputs'!W6/'Plant06 Inputs'!M6)-1)),2)</f>
        <v/>
      </c>
      <c r="J64">
        <f>ROUND(IF(OR('Plant06 Inputs'!M7=0,'Plant06 Inputs'!W7=0,'Plant06 Inputs'!M8=0),0,100*(('Plant06 Inputs'!W8/'Plant06 Inputs'!M8)/('Plant06 Inputs'!W7/'Plant06 Inputs'!M7)-1)),2)</f>
        <v/>
      </c>
      <c r="K64">
        <f>ROUND(IF(OR('Plant06 Inputs'!M8=0,'Plant06 Inputs'!W8=0,'Plant06 Inputs'!M9=0),0,100*(('Plant06 Inputs'!W9/'Plant06 Inputs'!M9)/('Plant06 Inputs'!W8/'Plant06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ROUND(IF(OR('Plant06 Inputs'!M4=0,'Plant06 Inputs'!AW4=0,'Plant06 Inputs'!M4=0),0,100*(('Plant06 Inputs'!AW4/'Plant06 Inputs'!M4)/('Plant06 Inputs'!AW4/'Plant06 Inputs'!M4)-1)),2)</f>
        <v/>
      </c>
      <c r="G65">
        <f>ROUND(IF(OR('Plant06 Inputs'!M4=0,'Plant06 Inputs'!AW4=0,'Plant06 Inputs'!M5=0),0,100*(('Plant06 Inputs'!AW5/'Plant06 Inputs'!M5)/('Plant06 Inputs'!AW4/'Plant06 Inputs'!M4)-1)),2)</f>
        <v/>
      </c>
      <c r="H65">
        <f>ROUND(IF(OR('Plant06 Inputs'!M5=0,'Plant06 Inputs'!AW5=0,'Plant06 Inputs'!M6=0),0,100*(('Plant06 Inputs'!AW6/'Plant06 Inputs'!M6)/('Plant06 Inputs'!AW5/'Plant06 Inputs'!M5)-1)),2)</f>
        <v/>
      </c>
      <c r="I65">
        <f>ROUND(IF(OR('Plant06 Inputs'!M6=0,'Plant06 Inputs'!AW6=0,'Plant06 Inputs'!M7=0),0,100*(('Plant06 Inputs'!AW7/'Plant06 Inputs'!M7)/('Plant06 Inputs'!AW6/'Plant06 Inputs'!M6)-1)),2)</f>
        <v/>
      </c>
      <c r="J65">
        <f>ROUND(IF(OR('Plant06 Inputs'!M7=0,'Plant06 Inputs'!AW7=0,'Plant06 Inputs'!M8=0),0,100*(('Plant06 Inputs'!AW8/'Plant06 Inputs'!M8)/('Plant06 Inputs'!AW7/'Plant06 Inputs'!M7)-1)),2)</f>
        <v/>
      </c>
      <c r="K65">
        <f>ROUND(IF(OR('Plant06 Inputs'!M8=0,'Plant06 Inputs'!AW8=0,'Plant06 Inputs'!M9=0),0,100*(('Plant06 Inputs'!AW9/'Plant06 Inputs'!M9)/('Plant06 Inputs'!AW8/'Plant06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2026-10-05T18:41:15Z</dcterms:created>
  <dcterms:modified xmlns:dcterms="http://purl.org/dc/terms/" xmlns:xsi="http://www.w3.org/2001/XMLSchema-instance" xsi:type="dcterms:W3CDTF">2026-10-05T21:59:27Z</dcterms:modified>
</cp:coreProperties>
</file>