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1" autoFilterDateGrouping="1"/>
  </bookViews>
  <sheets>
    <sheet xmlns:r="http://schemas.openxmlformats.org/officeDocument/2006/relationships" name="UI KPI Map" sheetId="1" state="visible" r:id="rId1"/>
    <sheet xmlns:r="http://schemas.openxmlformats.org/officeDocument/2006/relationships" name="Calculated vs Shown" sheetId="2" state="visible" r:id="rId2"/>
    <sheet xmlns:r="http://schemas.openxmlformats.org/officeDocument/2006/relationships" name="Group KPIs" sheetId="3" state="visible" r:id="rId3"/>
    <sheet xmlns:r="http://schemas.openxmlformats.org/officeDocument/2006/relationships" name="Group Inputs" sheetId="4" state="visible" r:id="rId4"/>
    <sheet xmlns:r="http://schemas.openxmlformats.org/officeDocument/2006/relationships" name="Entity Inputs" sheetId="5" state="visible" r:id="rId5"/>
    <sheet xmlns:r="http://schemas.openxmlformats.org/officeDocument/2006/relationships" name="Plant Inputs" sheetId="6" state="visible" r:id="rId6"/>
    <sheet xmlns:r="http://schemas.openxmlformats.org/officeDocument/2006/relationships" name="Parameters" sheetId="7" state="visible" r:id="rId7"/>
    <sheet xmlns:r="http://schemas.openxmlformats.org/officeDocument/2006/relationships" name="About" sheetId="8" state="visible" r:id="rId8"/>
    <sheet xmlns:r="http://schemas.openxmlformats.org/officeDocument/2006/relationships" name="A1 Inputs" sheetId="9" state="visible" r:id="rId9"/>
    <sheet xmlns:r="http://schemas.openxmlformats.org/officeDocument/2006/relationships" name="A2 Inputs" sheetId="10" state="visible" r:id="rId10"/>
    <sheet xmlns:r="http://schemas.openxmlformats.org/officeDocument/2006/relationships" name="Plant01 Inputs" sheetId="11" state="visible" r:id="rId11"/>
    <sheet xmlns:r="http://schemas.openxmlformats.org/officeDocument/2006/relationships" name="Plant02 Inputs" sheetId="12" state="visible" r:id="rId12"/>
    <sheet xmlns:r="http://schemas.openxmlformats.org/officeDocument/2006/relationships" name="Plant03 Inputs" sheetId="13" state="visible" r:id="rId13"/>
    <sheet xmlns:r="http://schemas.openxmlformats.org/officeDocument/2006/relationships" name="Plant04 Inputs" sheetId="14" state="visible" r:id="rId14"/>
    <sheet xmlns:r="http://schemas.openxmlformats.org/officeDocument/2006/relationships" name="Plant05 Inputs" sheetId="15" state="visible" r:id="rId15"/>
    <sheet xmlns:r="http://schemas.openxmlformats.org/officeDocument/2006/relationships" name="Plant06 Inputs" sheetId="16" state="visible" r:id="rId16"/>
    <sheet xmlns:r="http://schemas.openxmlformats.org/officeDocument/2006/relationships" name="A1 KPIs" sheetId="17" state="visible" r:id="rId17"/>
    <sheet xmlns:r="http://schemas.openxmlformats.org/officeDocument/2006/relationships" name="A2 KPIs" sheetId="18" state="visible" r:id="rId18"/>
    <sheet xmlns:r="http://schemas.openxmlformats.org/officeDocument/2006/relationships" name="Plant01 KPIs" sheetId="19" state="visible" r:id="rId19"/>
    <sheet xmlns:r="http://schemas.openxmlformats.org/officeDocument/2006/relationships" name="Plant02 KPIs" sheetId="20" state="visible" r:id="rId20"/>
    <sheet xmlns:r="http://schemas.openxmlformats.org/officeDocument/2006/relationships" name="Plant03 KPIs" sheetId="21" state="visible" r:id="rId21"/>
    <sheet xmlns:r="http://schemas.openxmlformats.org/officeDocument/2006/relationships" name="Plant04 KPIs" sheetId="22" state="visible" r:id="rId22"/>
    <sheet xmlns:r="http://schemas.openxmlformats.org/officeDocument/2006/relationships" name="Plant05 KPIs" sheetId="23" state="visible" r:id="rId23"/>
    <sheet xmlns:r="http://schemas.openxmlformats.org/officeDocument/2006/relationships" name="Plant06 KPIs" sheetId="24" state="visible" r:id="rId24"/>
  </sheets>
  <definedNames>
    <definedName name="_xlnm._FilterDatabase" localSheetId="1" hidden="1">'Calculated vs Shown'!$A$1:$I$150</definedName>
    <definedName name="_xlnm._FilterDatabase" localSheetId="2" hidden="1">'Group KPIs'!$A$1:$N$150</definedName>
    <definedName name="_xlnm._FilterDatabase" localSheetId="4" hidden="1">'Entity Inputs'!$A$3:$FU$15</definedName>
    <definedName name="_xlnm._FilterDatabase" localSheetId="5" hidden="1">'Plant Inputs'!$A$3:$BY$39</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Calibri"/>
      <family val="2"/>
      <b val="1"/>
      <color rgb="FFFFFFFF"/>
      <sz val="11"/>
      <scheme val="minor"/>
    </font>
    <font>
      <name val="Calibri"/>
      <family val="2"/>
      <b val="1"/>
      <color theme="1"/>
      <sz val="11"/>
      <scheme val="minor"/>
    </font>
    <font>
      <name val="Calibri"/>
      <family val="2"/>
      <i val="1"/>
      <color rgb="FF555555"/>
      <sz val="9"/>
      <scheme val="minor"/>
    </font>
    <font>
      <name val="Calibri"/>
      <family val="2"/>
      <i val="1"/>
      <color theme="1"/>
      <sz val="9"/>
      <scheme val="minor"/>
    </font>
    <font>
      <b val="1"/>
    </font>
  </fonts>
  <fills count="16">
    <fill>
      <patternFill/>
    </fill>
    <fill>
      <patternFill patternType="gray125"/>
    </fill>
    <fill>
      <patternFill patternType="solid">
        <fgColor rgb="FF1F3A5F"/>
        <bgColor indexed="64"/>
      </patternFill>
    </fill>
    <fill>
      <patternFill patternType="solid">
        <fgColor rgb="FFF4F7FB"/>
        <bgColor indexed="64"/>
      </patternFill>
    </fill>
    <fill>
      <patternFill patternType="solid">
        <fgColor rgb="FFF9D6D5"/>
        <bgColor indexed="64"/>
      </patternFill>
    </fill>
    <fill>
      <patternFill patternType="solid">
        <fgColor rgb="FFEEEEEE"/>
        <bgColor indexed="64"/>
      </patternFill>
    </fill>
    <fill>
      <patternFill patternType="solid">
        <fgColor rgb="FFD9F2E3"/>
        <bgColor indexed="64"/>
      </patternFill>
    </fill>
    <fill>
      <patternFill patternType="solid">
        <fgColor rgb="FFD9DEE5"/>
        <bgColor indexed="64"/>
      </patternFill>
    </fill>
    <fill>
      <patternFill patternType="solid">
        <fgColor rgb="FF5B7DB1"/>
        <bgColor indexed="64"/>
      </patternFill>
    </fill>
    <fill>
      <patternFill patternType="solid">
        <fgColor rgb="FFEEF1F5"/>
        <bgColor indexed="64"/>
      </patternFill>
    </fill>
    <fill>
      <patternFill patternType="solid">
        <fgColor rgb="FFE3EAF5"/>
        <bgColor indexed="64"/>
      </patternFill>
    </fill>
    <fill>
      <patternFill patternType="solid">
        <fgColor rgb="FFF7F8FA"/>
        <bgColor indexed="64"/>
      </patternFill>
    </fill>
    <fill>
      <patternFill patternType="solid">
        <fgColor rgb="FFEEF3FA"/>
        <bgColor indexed="64"/>
      </patternFill>
    </fill>
    <fill>
      <patternFill patternType="solid">
        <fgColor rgb="FFFFF8E5"/>
        <bgColor indexed="64"/>
      </patternFill>
    </fill>
    <fill>
      <patternFill patternType="solid">
        <fgColor rgb="FFFFFFFF"/>
        <bgColor indexed="64"/>
      </patternFill>
    </fill>
    <fill>
      <patternFill patternType="solid">
        <fgColor rgb="00E8F5E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7">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xf>
    <xf numFmtId="0" fontId="0" fillId="0" borderId="1" applyAlignment="1" pivotButton="0" quotePrefix="0" xfId="0">
      <alignment vertical="top" wrapText="1"/>
    </xf>
    <xf numFmtId="4" fontId="0" fillId="3" borderId="1" pivotButton="0" quotePrefix="0" xfId="0"/>
    <xf numFmtId="0" fontId="2" fillId="4" borderId="1" pivotButton="0" quotePrefix="0" xfId="0"/>
    <xf numFmtId="0" fontId="0" fillId="5" borderId="1" pivotButton="0" quotePrefix="0" xfId="0"/>
    <xf numFmtId="0" fontId="2" fillId="6" borderId="1" pivotButton="0" quotePrefix="0" xfId="0"/>
    <xf numFmtId="0" fontId="0" fillId="3" borderId="1" applyAlignment="1" pivotButton="0" quotePrefix="0" xfId="0">
      <alignment wrapText="1"/>
    </xf>
    <xf numFmtId="0" fontId="2" fillId="7" borderId="1" applyAlignment="1" pivotButton="0" quotePrefix="0" xfId="0">
      <alignment vertical="top" wrapText="1"/>
    </xf>
    <xf numFmtId="0" fontId="1" fillId="8" borderId="1" applyAlignment="1" pivotButton="0" quotePrefix="0" xfId="0">
      <alignment vertical="top" wrapText="1"/>
    </xf>
    <xf numFmtId="0" fontId="3" fillId="9" borderId="1" pivotButton="0" quotePrefix="0" xfId="0"/>
    <xf numFmtId="0" fontId="4" fillId="9" borderId="1" applyAlignment="1" pivotButton="0" quotePrefix="0" xfId="0">
      <alignment vertical="top" wrapText="1"/>
    </xf>
    <xf numFmtId="0" fontId="4" fillId="10" borderId="1" applyAlignment="1" pivotButton="0" quotePrefix="0" xfId="0">
      <alignment vertical="top" wrapText="1"/>
    </xf>
    <xf numFmtId="0" fontId="0" fillId="11" borderId="0" pivotButton="0" quotePrefix="0" xfId="0"/>
    <xf numFmtId="4" fontId="0" fillId="12" borderId="0" pivotButton="0" quotePrefix="0" xfId="0"/>
    <xf numFmtId="0" fontId="0" fillId="13" borderId="0" pivotButton="0" quotePrefix="0" xfId="0"/>
    <xf numFmtId="0" fontId="0" fillId="14" borderId="0" pivotButton="0" quotePrefix="0" xfId="0"/>
    <xf numFmtId="4" fontId="0" fillId="0" borderId="1" pivotButton="0" quotePrefix="0" xfId="0"/>
    <xf numFmtId="164" fontId="0" fillId="0" borderId="1" pivotButton="0" quotePrefix="0" xfId="0"/>
    <xf numFmtId="0" fontId="0" fillId="0" borderId="0" applyAlignment="1" pivotButton="0" quotePrefix="0" xfId="0">
      <alignment wrapText="1"/>
    </xf>
    <xf numFmtId="4" fontId="0" fillId="3" borderId="1" pivotButton="0" quotePrefix="0" xfId="0"/>
    <xf numFmtId="4" fontId="0" fillId="12" borderId="0" pivotButton="0" quotePrefix="0" xfId="0"/>
    <xf numFmtId="4" fontId="0" fillId="0" borderId="1" pivotButton="0" quotePrefix="0" xfId="0"/>
    <xf numFmtId="164" fontId="0" fillId="0" borderId="1" pivotButton="0" quotePrefix="0" xfId="0"/>
    <xf numFmtId="0" fontId="0" fillId="15" borderId="0" pivotButton="0" quotePrefix="0" xfId="0"/>
    <xf numFmtId="0" fontId="5"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5"/>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22" customWidth="1" min="3" max="3"/>
    <col width="40" customWidth="1" min="4" max="4"/>
    <col width="14" customWidth="1" min="5" max="5"/>
    <col width="14" customWidth="1" min="6" max="6"/>
    <col width="14" customWidth="1" min="7" max="7"/>
    <col width="12" customWidth="1" min="8" max="8"/>
    <col width="26" customWidth="1" min="9" max="9"/>
  </cols>
  <sheetData>
    <row r="1">
      <c r="A1" t="inlineStr">
        <is>
          <t>KPI ID</t>
        </is>
      </c>
      <c r="B1" t="inlineStr">
        <is>
          <t>Measure</t>
        </is>
      </c>
      <c r="C1" t="inlineStr">
        <is>
          <t>Scopes shown in UI</t>
        </is>
      </c>
      <c r="D1" t="inlineStr">
        <is>
          <t>Screens</t>
        </is>
      </c>
      <c r="E1" t="inlineStr">
        <is>
          <t>Group P06</t>
        </is>
      </c>
      <c r="F1" t="inlineStr">
        <is>
          <t>A1 P06</t>
        </is>
      </c>
      <c r="G1" t="inlineStr">
        <is>
          <t>A2 P06</t>
        </is>
      </c>
      <c r="H1" t="inlineStr">
        <is>
          <t>Plant-level?</t>
        </is>
      </c>
      <c r="I1" t="inlineStr">
        <is>
          <t>Source</t>
        </is>
      </c>
    </row>
    <row r="2">
      <c r="A2" t="inlineStr">
        <is>
          <t>CMP-005</t>
        </is>
      </c>
      <c r="B2" t="inlineStr">
        <is>
          <t>Regulatory breaches YTD (same measure as REG-010)</t>
        </is>
      </c>
      <c r="C2" t="inlineStr">
        <is>
          <t>A1,Group</t>
        </is>
      </c>
      <c r="D2" t="inlineStr">
        <is>
          <t>E01 O01</t>
        </is>
      </c>
      <c r="E2" t="n">
        <v>0</v>
      </c>
      <c r="F2" t="n">
        <v>0</v>
      </c>
      <c r="G2" t="n">
        <v>0</v>
      </c>
      <c r="H2" t="inlineStr">
        <is>
          <t>yes</t>
        </is>
      </c>
      <c r="I2" t="inlineStr">
        <is>
          <t>alias of REG-010</t>
        </is>
      </c>
    </row>
    <row r="3">
      <c r="A3" t="inlineStr">
        <is>
          <t>CON-001</t>
        </is>
      </c>
      <c r="B3" t="inlineStr">
        <is>
          <t>Contracts expiring, next 90 days</t>
        </is>
      </c>
      <c r="C3" t="inlineStr">
        <is>
          <t>A1,Group</t>
        </is>
      </c>
      <c r="D3" t="inlineStr">
        <is>
          <t>E04 E07 G07 O05</t>
        </is>
      </c>
      <c r="E3" t="n">
        <v>4</v>
      </c>
      <c r="F3" t="n">
        <v>2</v>
      </c>
      <c r="G3" t="n">
        <v>2</v>
      </c>
      <c r="H3" t="inlineStr">
        <is>
          <t>no</t>
        </is>
      </c>
      <c r="I3" t="inlineStr">
        <is>
          <t>source model</t>
        </is>
      </c>
    </row>
    <row r="4">
      <c r="A4" t="inlineStr">
        <is>
          <t>CON-002</t>
        </is>
      </c>
      <c r="B4" t="inlineStr">
        <is>
          <t>Contract-compliance rate</t>
        </is>
      </c>
      <c r="C4" t="inlineStr">
        <is>
          <t>A1,Group</t>
        </is>
      </c>
      <c r="D4" t="inlineStr">
        <is>
          <t>E04 E07 G07 O05</t>
        </is>
      </c>
      <c r="E4" t="n">
        <v>95.70999999999999</v>
      </c>
      <c r="F4" t="n">
        <v>95.83</v>
      </c>
      <c r="G4" t="n">
        <v>95.59</v>
      </c>
      <c r="H4" t="inlineStr">
        <is>
          <t>no</t>
        </is>
      </c>
      <c r="I4" t="inlineStr">
        <is>
          <t>source model</t>
        </is>
      </c>
    </row>
    <row r="5">
      <c r="A5" t="inlineStr">
        <is>
          <t>CON-003</t>
        </is>
      </c>
      <c r="B5" t="inlineStr">
        <is>
          <t>Supplier EHS non-compliance</t>
        </is>
      </c>
      <c r="C5" t="inlineStr">
        <is>
          <t>A1,Group</t>
        </is>
      </c>
      <c r="D5" t="inlineStr">
        <is>
          <t>E04 E07 G05 G07 O05</t>
        </is>
      </c>
      <c r="E5" t="n">
        <v>0</v>
      </c>
      <c r="F5" t="n">
        <v>0</v>
      </c>
      <c r="G5" t="n">
        <v>0</v>
      </c>
      <c r="H5" t="inlineStr">
        <is>
          <t>no</t>
        </is>
      </c>
      <c r="I5" t="inlineStr">
        <is>
          <t>source model</t>
        </is>
      </c>
    </row>
    <row r="6">
      <c r="A6" t="inlineStr">
        <is>
          <t>CPX-001</t>
        </is>
      </c>
      <c r="B6" t="inlineStr">
        <is>
          <t>Approved capex budget</t>
        </is>
      </c>
      <c r="C6" t="inlineStr">
        <is>
          <t>A1,Group</t>
        </is>
      </c>
      <c r="D6" t="inlineStr">
        <is>
          <t>E06 G06 O04</t>
        </is>
      </c>
      <c r="E6" t="n">
        <v>1860</v>
      </c>
      <c r="F6" t="n">
        <v>1000</v>
      </c>
      <c r="G6" t="n">
        <v>860</v>
      </c>
      <c r="H6" t="inlineStr">
        <is>
          <t>no</t>
        </is>
      </c>
      <c r="I6" t="inlineStr">
        <is>
          <t>source model</t>
        </is>
      </c>
    </row>
    <row r="7">
      <c r="A7" t="inlineStr">
        <is>
          <t>CPX-002</t>
        </is>
      </c>
      <c r="B7" t="inlineStr">
        <is>
          <t>Committed capex</t>
        </is>
      </c>
      <c r="C7" t="inlineStr">
        <is>
          <t>A1,Group</t>
        </is>
      </c>
      <c r="D7" t="inlineStr">
        <is>
          <t>E06 G06 O04</t>
        </is>
      </c>
      <c r="E7" t="n">
        <v>1347.73</v>
      </c>
      <c r="F7" t="n">
        <v>722.63</v>
      </c>
      <c r="G7" t="n">
        <v>625.1</v>
      </c>
      <c r="H7" t="inlineStr">
        <is>
          <t>no</t>
        </is>
      </c>
      <c r="I7" t="inlineStr">
        <is>
          <t>source model</t>
        </is>
      </c>
    </row>
    <row r="8">
      <c r="A8" t="inlineStr">
        <is>
          <t>CPX-003</t>
        </is>
      </c>
      <c r="B8" t="inlineStr">
        <is>
          <t>Capex actual spend YTD</t>
        </is>
      </c>
      <c r="C8" t="inlineStr">
        <is>
          <t>A1,Group</t>
        </is>
      </c>
      <c r="D8" t="inlineStr">
        <is>
          <t>E06 G06 O04</t>
        </is>
      </c>
      <c r="E8" t="n">
        <v>879.71</v>
      </c>
      <c r="F8" t="n">
        <v>468.11</v>
      </c>
      <c r="G8" t="n">
        <v>411.6</v>
      </c>
      <c r="H8" t="inlineStr">
        <is>
          <t>no</t>
        </is>
      </c>
      <c r="I8" t="inlineStr">
        <is>
          <t>source model</t>
        </is>
      </c>
    </row>
    <row r="9">
      <c r="A9" t="inlineStr">
        <is>
          <t>CPX-004</t>
        </is>
      </c>
      <c r="B9" t="inlineStr">
        <is>
          <t>Capex physical progress, weighted</t>
        </is>
      </c>
      <c r="C9" t="inlineStr">
        <is>
          <t>A1,Group</t>
        </is>
      </c>
      <c r="D9" t="inlineStr">
        <is>
          <t>E06 G01 G01b G06 O01 O04 X L</t>
        </is>
      </c>
      <c r="E9" t="n">
        <v>60.85</v>
      </c>
      <c r="F9" t="n">
        <v>59</v>
      </c>
      <c r="G9" t="n">
        <v>63</v>
      </c>
      <c r="H9" t="inlineStr">
        <is>
          <t>no</t>
        </is>
      </c>
      <c r="I9" t="inlineStr">
        <is>
          <t>source model</t>
        </is>
      </c>
    </row>
    <row r="10">
      <c r="A10" t="inlineStr">
        <is>
          <t>CSH-001</t>
        </is>
      </c>
      <c r="B10" t="inlineStr">
        <is>
          <t>Cash position</t>
        </is>
      </c>
      <c r="C10" t="inlineStr">
        <is>
          <t>A1,Group</t>
        </is>
      </c>
      <c r="D10" t="inlineStr">
        <is>
          <t>E05 G04 G08 G08o O03</t>
        </is>
      </c>
      <c r="E10" t="n">
        <v>2141.82</v>
      </c>
      <c r="F10" t="n">
        <v>967.08</v>
      </c>
      <c r="G10" t="n">
        <v>1174.74</v>
      </c>
      <c r="H10" t="inlineStr">
        <is>
          <t>no</t>
        </is>
      </c>
      <c r="I10" t="inlineStr">
        <is>
          <t>source model</t>
        </is>
      </c>
    </row>
    <row r="11">
      <c r="A11" t="inlineStr">
        <is>
          <t>CSH-002</t>
        </is>
      </c>
      <c r="B11" t="inlineStr">
        <is>
          <t>Cash released YTD</t>
        </is>
      </c>
      <c r="C11" t="inlineStr">
        <is>
          <t>A1,Group</t>
        </is>
      </c>
      <c r="D11" t="inlineStr">
        <is>
          <t>E05 G04</t>
        </is>
      </c>
      <c r="E11" t="n">
        <v>22.03</v>
      </c>
      <c r="F11" t="n">
        <v>4.2</v>
      </c>
      <c r="G11" t="n">
        <v>17.83</v>
      </c>
      <c r="H11" t="inlineStr">
        <is>
          <t>no</t>
        </is>
      </c>
      <c r="I11" t="inlineStr">
        <is>
          <t>source model</t>
        </is>
      </c>
    </row>
    <row r="12">
      <c r="A12" t="inlineStr">
        <is>
          <t>CSH-003</t>
        </is>
      </c>
      <c r="B12" t="inlineStr">
        <is>
          <t>Daily collections</t>
        </is>
      </c>
      <c r="C12" t="inlineStr">
        <is>
          <t>A1,Group</t>
        </is>
      </c>
      <c r="D12" t="inlineStr">
        <is>
          <t>E01 E05 E08 G04 S11</t>
        </is>
      </c>
      <c r="E12" t="n">
        <v>76.77</v>
      </c>
      <c r="F12" t="n">
        <v>38.6</v>
      </c>
      <c r="G12" t="n">
        <v>38.17</v>
      </c>
      <c r="H12" t="inlineStr">
        <is>
          <t>no</t>
        </is>
      </c>
      <c r="I12" t="inlineStr">
        <is>
          <t>source model</t>
        </is>
      </c>
    </row>
    <row r="13">
      <c r="A13" t="inlineStr">
        <is>
          <t>CSH-004</t>
        </is>
      </c>
      <c r="B13" t="inlineStr">
        <is>
          <t>Cash-conversion cycle</t>
        </is>
      </c>
      <c r="C13" t="inlineStr">
        <is>
          <t>A1,Group</t>
        </is>
      </c>
      <c r="D13" t="inlineStr">
        <is>
          <t>E05 G04</t>
        </is>
      </c>
      <c r="E13" t="n">
        <v>32.59</v>
      </c>
      <c r="F13" t="n">
        <v>52.3</v>
      </c>
      <c r="G13" t="n">
        <v>13.42</v>
      </c>
      <c r="H13" t="inlineStr">
        <is>
          <t>no</t>
        </is>
      </c>
      <c r="I13" t="inlineStr">
        <is>
          <t>source model</t>
        </is>
      </c>
    </row>
    <row r="14">
      <c r="A14" t="inlineStr">
        <is>
          <t>CSH-006</t>
        </is>
      </c>
      <c r="B14" t="inlineStr">
        <is>
          <t>Cash-upstream exposure</t>
        </is>
      </c>
      <c r="C14" t="inlineStr">
        <is>
          <t>A1,Group</t>
        </is>
      </c>
      <c r="D14" t="inlineStr">
        <is>
          <t>E01 E05 G04 G08o O02 O03 S11</t>
        </is>
      </c>
      <c r="E14" t="n">
        <v>27.21</v>
      </c>
      <c r="F14" t="n">
        <v>27.21</v>
      </c>
      <c r="G14" t="n">
        <v>0</v>
      </c>
      <c r="H14" t="inlineStr">
        <is>
          <t>no</t>
        </is>
      </c>
      <c r="I14" t="inlineStr">
        <is>
          <t>source model</t>
        </is>
      </c>
    </row>
    <row r="15">
      <c r="A15" t="inlineStr">
        <is>
          <t>CST-001</t>
        </is>
      </c>
      <c r="B15" t="inlineStr">
        <is>
          <t>Cost per tonne</t>
        </is>
      </c>
      <c r="C15" t="inlineStr">
        <is>
          <t>A1,A2,Group</t>
        </is>
      </c>
      <c r="D15" t="inlineStr">
        <is>
          <t>E02 E11 G03 G05 O09</t>
        </is>
      </c>
      <c r="E15" t="n">
        <v>2933.74</v>
      </c>
      <c r="F15" t="n">
        <v>2853.05</v>
      </c>
      <c r="G15" t="n">
        <v>3016.5</v>
      </c>
      <c r="H15" t="inlineStr">
        <is>
          <t>yes</t>
        </is>
      </c>
      <c r="I15" t="inlineStr">
        <is>
          <t>source model</t>
        </is>
      </c>
    </row>
    <row r="16">
      <c r="A16" t="inlineStr">
        <is>
          <t>CST-002</t>
        </is>
      </c>
      <c r="B16" t="inlineStr">
        <is>
          <t>Variable cost</t>
        </is>
      </c>
      <c r="C16" t="inlineStr">
        <is>
          <t>A1,Group</t>
        </is>
      </c>
      <c r="D16" t="inlineStr">
        <is>
          <t>E02 E11 G03</t>
        </is>
      </c>
      <c r="E16" t="n">
        <v>1827824.8</v>
      </c>
      <c r="F16" t="n">
        <v>900069.4</v>
      </c>
      <c r="G16" t="n">
        <v>927755.4</v>
      </c>
      <c r="H16" t="inlineStr">
        <is>
          <t>yes</t>
        </is>
      </c>
      <c r="I16" t="inlineStr">
        <is>
          <t>source model</t>
        </is>
      </c>
    </row>
    <row r="17">
      <c r="A17" t="inlineStr">
        <is>
          <t>CST-003</t>
        </is>
      </c>
      <c r="B17" t="inlineStr">
        <is>
          <t>Fuel cost</t>
        </is>
      </c>
      <c r="C17" t="inlineStr">
        <is>
          <t>A1</t>
        </is>
      </c>
      <c r="D17" t="inlineStr">
        <is>
          <t>E02</t>
        </is>
      </c>
      <c r="E17" t="n">
        <v>459369.3</v>
      </c>
      <c r="F17" t="n">
        <v>218672.4</v>
      </c>
      <c r="G17" t="n">
        <v>240696.9</v>
      </c>
      <c r="H17" t="inlineStr">
        <is>
          <t>yes</t>
        </is>
      </c>
      <c r="I17" t="inlineStr">
        <is>
          <t>source model</t>
        </is>
      </c>
    </row>
    <row r="18">
      <c r="A18" t="inlineStr">
        <is>
          <t>CST-004</t>
        </is>
      </c>
      <c r="B18" t="inlineStr">
        <is>
          <t>Power cost per tonne</t>
        </is>
      </c>
      <c r="C18" t="inlineStr">
        <is>
          <t>A1,A2,Group</t>
        </is>
      </c>
      <c r="D18" t="inlineStr">
        <is>
          <t>O09</t>
        </is>
      </c>
      <c r="E18" t="n">
        <v>174.29</v>
      </c>
      <c r="F18" t="n">
        <v>176.41</v>
      </c>
      <c r="G18" t="n">
        <v>172.12</v>
      </c>
      <c r="H18" t="inlineStr">
        <is>
          <t>yes</t>
        </is>
      </c>
      <c r="I18" t="inlineStr">
        <is>
          <t>source model</t>
        </is>
      </c>
    </row>
    <row r="19">
      <c r="A19" t="inlineStr">
        <is>
          <t>CST-005</t>
        </is>
      </c>
      <c r="B19" t="inlineStr">
        <is>
          <t>Fixed cost YTD</t>
        </is>
      </c>
      <c r="C19" t="inlineStr">
        <is>
          <t>A1</t>
        </is>
      </c>
      <c r="D19" t="inlineStr">
        <is>
          <t>E11</t>
        </is>
      </c>
      <c r="E19" t="n">
        <v>44.58</v>
      </c>
      <c r="F19" t="n">
        <v>21.44</v>
      </c>
      <c r="G19" t="n">
        <v>23.14</v>
      </c>
      <c r="H19" t="inlineStr">
        <is>
          <t>yes</t>
        </is>
      </c>
      <c r="I19" t="inlineStr">
        <is>
          <t>added (synthetic inputs)</t>
        </is>
      </c>
    </row>
    <row r="20">
      <c r="A20" t="inlineStr">
        <is>
          <t>CTL-002</t>
        </is>
      </c>
      <c r="B20" t="inlineStr">
        <is>
          <t>Control failures YTD</t>
        </is>
      </c>
      <c r="C20" t="inlineStr">
        <is>
          <t>A1,Group</t>
        </is>
      </c>
      <c r="D20" t="inlineStr">
        <is>
          <t>E07 G07 O05</t>
        </is>
      </c>
      <c r="E20" t="n">
        <v>4</v>
      </c>
      <c r="F20" t="n">
        <v>2</v>
      </c>
      <c r="G20" t="n">
        <v>2</v>
      </c>
      <c r="H20" t="inlineStr">
        <is>
          <t>no</t>
        </is>
      </c>
      <c r="I20" t="inlineStr">
        <is>
          <t>source model</t>
        </is>
      </c>
    </row>
    <row r="21">
      <c r="A21" t="inlineStr">
        <is>
          <t>CTL-003</t>
        </is>
      </c>
      <c r="B21" t="inlineStr">
        <is>
          <t>Assurance reviews completed</t>
        </is>
      </c>
      <c r="C21" t="inlineStr">
        <is>
          <t>Group</t>
        </is>
      </c>
      <c r="D21" t="inlineStr">
        <is>
          <t>G07</t>
        </is>
      </c>
      <c r="E21" t="inlineStr">
        <is>
          <t>6 of 8</t>
        </is>
      </c>
      <c r="F21" t="inlineStr">
        <is>
          <t>2 of 4</t>
        </is>
      </c>
      <c r="G21" t="inlineStr">
        <is>
          <t>4 of 4</t>
        </is>
      </c>
      <c r="H21" t="inlineStr">
        <is>
          <t>no</t>
        </is>
      </c>
      <c r="I21" t="inlineStr">
        <is>
          <t>source model</t>
        </is>
      </c>
    </row>
    <row r="22">
      <c r="A22" t="inlineStr">
        <is>
          <t>CTL-004</t>
        </is>
      </c>
      <c r="B22" t="inlineStr">
        <is>
          <t>High-severity control failures YTD</t>
        </is>
      </c>
      <c r="C22" t="inlineStr">
        <is>
          <t>Group</t>
        </is>
      </c>
      <c r="D22" t="inlineStr">
        <is>
          <t>G07 O05</t>
        </is>
      </c>
      <c r="E22" t="n">
        <v>0</v>
      </c>
      <c r="F22" t="n">
        <v>0</v>
      </c>
      <c r="G22" t="n">
        <v>0</v>
      </c>
      <c r="H22" t="inlineStr">
        <is>
          <t>no</t>
        </is>
      </c>
      <c r="I22" t="inlineStr">
        <is>
          <t>source model</t>
        </is>
      </c>
    </row>
    <row r="23">
      <c r="A23" t="inlineStr">
        <is>
          <t>CTL-005</t>
        </is>
      </c>
      <c r="B23" t="inlineStr">
        <is>
          <t>Policy exceptions YTD</t>
        </is>
      </c>
      <c r="C23" t="inlineStr">
        <is>
          <t>A1,Group</t>
        </is>
      </c>
      <c r="D23" t="inlineStr">
        <is>
          <t>E07 G07 O05</t>
        </is>
      </c>
      <c r="E23" t="n">
        <v>4</v>
      </c>
      <c r="F23" t="n">
        <v>2</v>
      </c>
      <c r="G23" t="n">
        <v>2</v>
      </c>
      <c r="H23" t="inlineStr">
        <is>
          <t>no</t>
        </is>
      </c>
      <c r="I23" t="inlineStr">
        <is>
          <t>source model</t>
        </is>
      </c>
    </row>
    <row r="24">
      <c r="A24" t="inlineStr">
        <is>
          <t>CTL-006</t>
        </is>
      </c>
      <c r="B24" t="inlineStr">
        <is>
          <t>Unauthorised-vendor usage YTD</t>
        </is>
      </c>
      <c r="C24" t="inlineStr">
        <is>
          <t>A1,Group</t>
        </is>
      </c>
      <c r="D24" t="inlineStr">
        <is>
          <t>E07 G07 O05</t>
        </is>
      </c>
      <c r="E24" t="n">
        <v>0</v>
      </c>
      <c r="F24" t="n">
        <v>0</v>
      </c>
      <c r="G24" t="n">
        <v>0</v>
      </c>
      <c r="H24" t="inlineStr">
        <is>
          <t>no</t>
        </is>
      </c>
      <c r="I24" t="inlineStr">
        <is>
          <t>source model</t>
        </is>
      </c>
    </row>
    <row r="25">
      <c r="A25" t="inlineStr">
        <is>
          <t>CTL-007</t>
        </is>
      </c>
      <c r="B25" t="inlineStr">
        <is>
          <t>Segregation-of-duties exceptions YTD</t>
        </is>
      </c>
      <c r="C25" t="inlineStr">
        <is>
          <t>A1,Group</t>
        </is>
      </c>
      <c r="D25" t="inlineStr">
        <is>
          <t>E07 G07 O05</t>
        </is>
      </c>
      <c r="E25" t="n">
        <v>1</v>
      </c>
      <c r="F25" t="n">
        <v>0</v>
      </c>
      <c r="G25" t="n">
        <v>1</v>
      </c>
      <c r="H25" t="inlineStr">
        <is>
          <t>no</t>
        </is>
      </c>
      <c r="I25" t="inlineStr">
        <is>
          <t>source model</t>
        </is>
      </c>
    </row>
    <row r="26">
      <c r="A26" t="inlineStr">
        <is>
          <t>CTL-008</t>
        </is>
      </c>
      <c r="B26" t="inlineStr">
        <is>
          <t>Unauthorised-access events YTD</t>
        </is>
      </c>
      <c r="C26" t="inlineStr">
        <is>
          <t>A1,Group</t>
        </is>
      </c>
      <c r="D26" t="inlineStr">
        <is>
          <t>E07 G07 O05</t>
        </is>
      </c>
      <c r="E26" t="n">
        <v>0</v>
      </c>
      <c r="F26" t="n">
        <v>0</v>
      </c>
      <c r="G26" t="n">
        <v>0</v>
      </c>
      <c r="H26" t="inlineStr">
        <is>
          <t>no</t>
        </is>
      </c>
      <c r="I26" t="inlineStr">
        <is>
          <t>source model</t>
        </is>
      </c>
    </row>
    <row r="27">
      <c r="A27" t="inlineStr">
        <is>
          <t>CTL-009</t>
        </is>
      </c>
      <c r="B27" t="inlineStr">
        <is>
          <t>Data-sharing exceptions YTD</t>
        </is>
      </c>
      <c r="C27" t="inlineStr">
        <is>
          <t>A1,Group</t>
        </is>
      </c>
      <c r="D27" t="inlineStr">
        <is>
          <t>E07 G07 O05</t>
        </is>
      </c>
      <c r="E27" t="n">
        <v>0</v>
      </c>
      <c r="F27" t="n">
        <v>0</v>
      </c>
      <c r="G27" t="n">
        <v>0</v>
      </c>
      <c r="H27" t="inlineStr">
        <is>
          <t>no</t>
        </is>
      </c>
      <c r="I27" t="inlineStr">
        <is>
          <t>source model</t>
        </is>
      </c>
    </row>
    <row r="28">
      <c r="A28" t="inlineStr">
        <is>
          <t>CTL-010</t>
        </is>
      </c>
      <c r="B28" t="inlineStr">
        <is>
          <t>Manual overrides YTD</t>
        </is>
      </c>
      <c r="C28" t="inlineStr">
        <is>
          <t>A1,Group</t>
        </is>
      </c>
      <c r="D28" t="inlineStr">
        <is>
          <t>E07 G07 O05</t>
        </is>
      </c>
      <c r="E28" t="n">
        <v>14</v>
      </c>
      <c r="F28" t="n">
        <v>7</v>
      </c>
      <c r="G28" t="n">
        <v>7</v>
      </c>
      <c r="H28" t="inlineStr">
        <is>
          <t>no</t>
        </is>
      </c>
      <c r="I28" t="inlineStr">
        <is>
          <t>source model</t>
        </is>
      </c>
    </row>
    <row r="29">
      <c r="A29" t="inlineStr">
        <is>
          <t>EFF-002</t>
        </is>
      </c>
      <c r="B29" t="inlineStr">
        <is>
          <t>Open critical alerts</t>
        </is>
      </c>
      <c r="C29" t="inlineStr">
        <is>
          <t>A1,Group</t>
        </is>
      </c>
      <c r="D29" t="inlineStr">
        <is>
          <t>E01 E09 G01 G01b G02 G07 G09 O01 X L</t>
        </is>
      </c>
      <c r="E29" t="n">
        <v>1</v>
      </c>
      <c r="F29" t="n">
        <v>1</v>
      </c>
      <c r="G29" t="n">
        <v>0</v>
      </c>
      <c r="H29" t="inlineStr">
        <is>
          <t>no</t>
        </is>
      </c>
      <c r="I29" t="inlineStr">
        <is>
          <t>source model</t>
        </is>
      </c>
    </row>
    <row r="30">
      <c r="A30" t="inlineStr">
        <is>
          <t>EFF-006</t>
        </is>
      </c>
      <c r="B30" t="inlineStr">
        <is>
          <t>Alerts without accepted owners</t>
        </is>
      </c>
      <c r="C30" t="inlineStr">
        <is>
          <t>Group</t>
        </is>
      </c>
      <c r="D30" t="inlineStr">
        <is>
          <t>G09</t>
        </is>
      </c>
      <c r="E30" t="n">
        <v>1</v>
      </c>
      <c r="F30" t="n">
        <v>0</v>
      </c>
      <c r="G30" t="n">
        <v>1</v>
      </c>
      <c r="H30" t="inlineStr">
        <is>
          <t>no</t>
        </is>
      </c>
      <c r="I30" t="inlineStr">
        <is>
          <t>source model</t>
        </is>
      </c>
    </row>
    <row r="31">
      <c r="A31" t="inlineStr">
        <is>
          <t>EFF-007</t>
        </is>
      </c>
      <c r="B31" t="inlineStr">
        <is>
          <t>Overdue actions</t>
        </is>
      </c>
      <c r="C31" t="inlineStr">
        <is>
          <t>A1,Group</t>
        </is>
      </c>
      <c r="D31" t="inlineStr">
        <is>
          <t>E01 E09 G09</t>
        </is>
      </c>
      <c r="E31" t="n">
        <v>0</v>
      </c>
      <c r="F31" t="n">
        <v>0</v>
      </c>
      <c r="G31" t="n">
        <v>0</v>
      </c>
      <c r="H31" t="inlineStr">
        <is>
          <t>no</t>
        </is>
      </c>
      <c r="I31" t="inlineStr">
        <is>
          <t>source model</t>
        </is>
      </c>
    </row>
    <row r="32">
      <c r="A32" t="inlineStr">
        <is>
          <t>EFF-008</t>
        </is>
      </c>
      <c r="B32" t="inlineStr">
        <is>
          <t>Average resolution time</t>
        </is>
      </c>
      <c r="C32" t="inlineStr">
        <is>
          <t>A1,Group</t>
        </is>
      </c>
      <c r="D32" t="inlineStr">
        <is>
          <t>E09 G09 O06</t>
        </is>
      </c>
      <c r="E32" t="n">
        <v>2.45</v>
      </c>
      <c r="F32" t="n">
        <v>2.78</v>
      </c>
      <c r="G32" t="n">
        <v>2.06</v>
      </c>
      <c r="H32" t="inlineStr">
        <is>
          <t>no</t>
        </is>
      </c>
      <c r="I32" t="inlineStr">
        <is>
          <t>source model</t>
        </is>
      </c>
    </row>
    <row r="33">
      <c r="A33" t="inlineStr">
        <is>
          <t>EFF-009</t>
        </is>
      </c>
      <c r="B33" t="inlineStr">
        <is>
          <t>Closed escalations, last 30 days</t>
        </is>
      </c>
      <c r="C33" t="inlineStr">
        <is>
          <t>A1,Group</t>
        </is>
      </c>
      <c r="D33" t="inlineStr">
        <is>
          <t>E09 G09 O06</t>
        </is>
      </c>
      <c r="E33" t="n">
        <v>11</v>
      </c>
      <c r="F33" t="n">
        <v>3</v>
      </c>
      <c r="G33" t="n">
        <v>8</v>
      </c>
      <c r="H33" t="inlineStr">
        <is>
          <t>no</t>
        </is>
      </c>
      <c r="I33" t="inlineStr">
        <is>
          <t>source model</t>
        </is>
      </c>
    </row>
    <row r="34">
      <c r="A34" t="inlineStr">
        <is>
          <t>EFF-010</t>
        </is>
      </c>
      <c r="B34" t="inlineStr">
        <is>
          <t>Repeat issues, last 90 days</t>
        </is>
      </c>
      <c r="C34" t="inlineStr">
        <is>
          <t>A1,Group</t>
        </is>
      </c>
      <c r="D34" t="inlineStr">
        <is>
          <t>E09 G09 O06</t>
        </is>
      </c>
      <c r="E34" t="n">
        <v>4</v>
      </c>
      <c r="F34" t="n">
        <v>3</v>
      </c>
      <c r="G34" t="n">
        <v>1</v>
      </c>
      <c r="H34" t="inlineStr">
        <is>
          <t>no</t>
        </is>
      </c>
      <c r="I34" t="inlineStr">
        <is>
          <t>source model</t>
        </is>
      </c>
    </row>
    <row r="35">
      <c r="A35" t="inlineStr">
        <is>
          <t>EFF-011</t>
        </is>
      </c>
      <c r="B35" t="inlineStr">
        <is>
          <t>Root causes eliminated YTD</t>
        </is>
      </c>
      <c r="C35" t="inlineStr">
        <is>
          <t>A1,Group</t>
        </is>
      </c>
      <c r="D35" t="inlineStr">
        <is>
          <t>E09 G09 O06</t>
        </is>
      </c>
      <c r="E35" t="inlineStr">
        <is>
          <t>8 of 9</t>
        </is>
      </c>
      <c r="F35" t="inlineStr">
        <is>
          <t>4 of 4</t>
        </is>
      </c>
      <c r="G35" t="inlineStr">
        <is>
          <t>4 of 5</t>
        </is>
      </c>
      <c r="H35" t="inlineStr">
        <is>
          <t>no</t>
        </is>
      </c>
      <c r="I35" t="inlineStr">
        <is>
          <t>source model</t>
        </is>
      </c>
    </row>
    <row r="36">
      <c r="A36" t="inlineStr">
        <is>
          <t>EHS-001</t>
        </is>
      </c>
      <c r="B36" t="inlineStr">
        <is>
          <t>TRIR</t>
        </is>
      </c>
      <c r="C36" t="inlineStr">
        <is>
          <t>A1,Group</t>
        </is>
      </c>
      <c r="D36" t="inlineStr">
        <is>
          <t>E07 G07 G08 O05</t>
        </is>
      </c>
      <c r="E36" t="n">
        <v>0.47</v>
      </c>
      <c r="F36" t="n">
        <v>0.91</v>
      </c>
      <c r="G36" t="n">
        <v>0</v>
      </c>
      <c r="H36" t="inlineStr">
        <is>
          <t>yes</t>
        </is>
      </c>
      <c r="I36" t="inlineStr">
        <is>
          <t>source model</t>
        </is>
      </c>
    </row>
    <row r="37">
      <c r="A37" t="inlineStr">
        <is>
          <t>EHS-002</t>
        </is>
      </c>
      <c r="B37" t="inlineStr">
        <is>
          <t>Severity incidents</t>
        </is>
      </c>
      <c r="C37" t="inlineStr">
        <is>
          <t>A1,Group</t>
        </is>
      </c>
      <c r="D37" t="inlineStr">
        <is>
          <t>E07 G01 G01b G07 O01 O05</t>
        </is>
      </c>
      <c r="E37" t="n">
        <v>3</v>
      </c>
      <c r="F37" t="n">
        <v>1</v>
      </c>
      <c r="G37" t="n">
        <v>2</v>
      </c>
      <c r="H37" t="inlineStr">
        <is>
          <t>yes</t>
        </is>
      </c>
      <c r="I37" t="inlineStr">
        <is>
          <t>source model</t>
        </is>
      </c>
    </row>
    <row r="38">
      <c r="A38" t="inlineStr">
        <is>
          <t>EHS-003</t>
        </is>
      </c>
      <c r="B38" t="inlineStr">
        <is>
          <t>Near misses</t>
        </is>
      </c>
      <c r="C38" t="inlineStr">
        <is>
          <t>A1,Group</t>
        </is>
      </c>
      <c r="D38" t="inlineStr">
        <is>
          <t>E07 G07 O05</t>
        </is>
      </c>
      <c r="E38" t="n">
        <v>41</v>
      </c>
      <c r="F38" t="n">
        <v>20</v>
      </c>
      <c r="G38" t="n">
        <v>21</v>
      </c>
      <c r="H38" t="inlineStr">
        <is>
          <t>yes</t>
        </is>
      </c>
      <c r="I38" t="inlineStr">
        <is>
          <t>source model</t>
        </is>
      </c>
    </row>
    <row r="39">
      <c r="A39" t="inlineStr">
        <is>
          <t>EHS-004</t>
        </is>
      </c>
      <c r="B39" t="inlineStr">
        <is>
          <t>Critical safety incidents</t>
        </is>
      </c>
      <c r="C39" t="inlineStr">
        <is>
          <t>A1,Group</t>
        </is>
      </c>
      <c r="D39" t="inlineStr">
        <is>
          <t>E07 G07 O05</t>
        </is>
      </c>
      <c r="E39" t="n">
        <v>0</v>
      </c>
      <c r="F39" t="n">
        <v>0</v>
      </c>
      <c r="G39" t="n">
        <v>0</v>
      </c>
      <c r="H39" t="inlineStr">
        <is>
          <t>yes</t>
        </is>
      </c>
      <c r="I39" t="inlineStr">
        <is>
          <t>source model</t>
        </is>
      </c>
    </row>
    <row r="40">
      <c r="A40" t="inlineStr">
        <is>
          <t>EHS-005</t>
        </is>
      </c>
      <c r="B40" t="inlineStr">
        <is>
          <t>Environmental excursions</t>
        </is>
      </c>
      <c r="C40" t="inlineStr">
        <is>
          <t>A1,Group</t>
        </is>
      </c>
      <c r="D40" t="inlineStr">
        <is>
          <t>E07 G07 O05</t>
        </is>
      </c>
      <c r="E40" t="n">
        <v>2</v>
      </c>
      <c r="F40" t="n">
        <v>1</v>
      </c>
      <c r="G40" t="n">
        <v>1</v>
      </c>
      <c r="H40" t="inlineStr">
        <is>
          <t>yes</t>
        </is>
      </c>
      <c r="I40" t="inlineStr">
        <is>
          <t>source model</t>
        </is>
      </c>
    </row>
    <row r="41">
      <c r="A41" t="inlineStr">
        <is>
          <t>EHS-006</t>
        </is>
      </c>
      <c r="B41" t="inlineStr">
        <is>
          <t>Open EHS corrective actions</t>
        </is>
      </c>
      <c r="C41" t="inlineStr">
        <is>
          <t>A1,Group</t>
        </is>
      </c>
      <c r="D41" t="inlineStr">
        <is>
          <t>E07 G07</t>
        </is>
      </c>
      <c r="E41" t="n">
        <v>45</v>
      </c>
      <c r="F41" t="n">
        <v>28</v>
      </c>
      <c r="G41" t="n">
        <v>17</v>
      </c>
      <c r="H41" t="inlineStr">
        <is>
          <t>yes</t>
        </is>
      </c>
      <c r="I41" t="inlineStr">
        <is>
          <t>source model</t>
        </is>
      </c>
    </row>
    <row r="42">
      <c r="A42" t="inlineStr">
        <is>
          <t>EHS-007</t>
        </is>
      </c>
      <c r="B42" t="inlineStr">
        <is>
          <t>Overdue EHS actions</t>
        </is>
      </c>
      <c r="C42" t="inlineStr">
        <is>
          <t>A1,Group</t>
        </is>
      </c>
      <c r="D42" t="inlineStr">
        <is>
          <t>E07 G07 O05</t>
        </is>
      </c>
      <c r="E42" t="n">
        <v>9</v>
      </c>
      <c r="F42" t="n">
        <v>7</v>
      </c>
      <c r="G42" t="n">
        <v>2</v>
      </c>
      <c r="H42" t="inlineStr">
        <is>
          <t>yes</t>
        </is>
      </c>
      <c r="I42" t="inlineStr">
        <is>
          <t>source model</t>
        </is>
      </c>
    </row>
    <row r="43">
      <c r="A43" t="inlineStr">
        <is>
          <t>EHS-008</t>
        </is>
      </c>
      <c r="B43" t="inlineStr">
        <is>
          <t>EHS escalation clocks running</t>
        </is>
      </c>
      <c r="C43" t="inlineStr">
        <is>
          <t>A1,Group</t>
        </is>
      </c>
      <c r="D43" t="inlineStr">
        <is>
          <t>E07 G07 O05</t>
        </is>
      </c>
      <c r="E43" t="n">
        <v>0</v>
      </c>
      <c r="F43" t="n">
        <v>0</v>
      </c>
      <c r="G43" t="n">
        <v>0</v>
      </c>
      <c r="H43" t="inlineStr">
        <is>
          <t>yes</t>
        </is>
      </c>
      <c r="I43" t="inlineStr">
        <is>
          <t>source model</t>
        </is>
      </c>
    </row>
    <row r="44">
      <c r="A44" t="inlineStr">
        <is>
          <t>EHS-009</t>
        </is>
      </c>
      <c r="B44" t="inlineStr">
        <is>
          <t>EHS investigation completion</t>
        </is>
      </c>
      <c r="C44" t="inlineStr">
        <is>
          <t>A1,Group</t>
        </is>
      </c>
      <c r="D44" t="inlineStr">
        <is>
          <t>E07 G07</t>
        </is>
      </c>
      <c r="E44" t="n">
        <v>75</v>
      </c>
      <c r="F44" t="n">
        <v>75</v>
      </c>
      <c r="G44" t="n">
        <v>100</v>
      </c>
      <c r="H44" t="inlineStr">
        <is>
          <t>yes</t>
        </is>
      </c>
      <c r="I44" t="inlineStr">
        <is>
          <t>source model</t>
        </is>
      </c>
    </row>
    <row r="45">
      <c r="A45" t="inlineStr">
        <is>
          <t>EHS-010</t>
        </is>
      </c>
      <c r="B45" t="inlineStr">
        <is>
          <t>EHS investigation completion rate YTD</t>
        </is>
      </c>
      <c r="C45" t="inlineStr">
        <is>
          <t>Group</t>
        </is>
      </c>
      <c r="D45" t="inlineStr">
        <is>
          <t>G07</t>
        </is>
      </c>
      <c r="E45" t="n">
        <v>85.42</v>
      </c>
      <c r="F45" t="n">
        <v>81.81999999999999</v>
      </c>
      <c r="G45" t="n">
        <v>88.45999999999999</v>
      </c>
      <c r="H45" t="inlineStr">
        <is>
          <t>yes</t>
        </is>
      </c>
      <c r="I45" t="inlineStr">
        <is>
          <t>source model</t>
        </is>
      </c>
    </row>
    <row r="46">
      <c r="A46" t="inlineStr">
        <is>
          <t>FIN-001</t>
        </is>
      </c>
      <c r="B46" t="inlineStr">
        <is>
          <t>EBITDA YTD</t>
        </is>
      </c>
      <c r="C46" t="inlineStr">
        <is>
          <t>A1,Group</t>
        </is>
      </c>
      <c r="D46" t="inlineStr">
        <is>
          <t>E01 E11 G01 G01b G02 G03 G08 G08o O01 X L</t>
        </is>
      </c>
      <c r="E46" t="n">
        <v>1760.09</v>
      </c>
      <c r="F46" t="n">
        <v>890.55</v>
      </c>
      <c r="G46" t="n">
        <v>869.54</v>
      </c>
      <c r="H46" t="inlineStr">
        <is>
          <t>no</t>
        </is>
      </c>
      <c r="I46" t="inlineStr">
        <is>
          <t>source model</t>
        </is>
      </c>
    </row>
    <row r="47">
      <c r="A47" t="inlineStr">
        <is>
          <t>FIN-002</t>
        </is>
      </c>
      <c r="B47" t="inlineStr">
        <is>
          <t>EBIT YTD</t>
        </is>
      </c>
      <c r="C47" t="inlineStr">
        <is>
          <t>A1,Group</t>
        </is>
      </c>
      <c r="D47" t="inlineStr">
        <is>
          <t>E01 E11 G01 G01b G03 O01 X L</t>
        </is>
      </c>
      <c r="E47" t="n">
        <v>1228.14</v>
      </c>
      <c r="F47" t="n">
        <v>610.05</v>
      </c>
      <c r="G47" t="n">
        <v>618.1</v>
      </c>
      <c r="H47" t="inlineStr">
        <is>
          <t>no</t>
        </is>
      </c>
      <c r="I47" t="inlineStr">
        <is>
          <t>source model</t>
        </is>
      </c>
    </row>
    <row r="48">
      <c r="A48" t="inlineStr">
        <is>
          <t>FIN-003</t>
        </is>
      </c>
      <c r="B48" t="inlineStr">
        <is>
          <t>Revenue YTD</t>
        </is>
      </c>
      <c r="C48" t="inlineStr">
        <is>
          <t>A1,Group</t>
        </is>
      </c>
      <c r="D48" t="inlineStr">
        <is>
          <t>E01 E11 G01 G01b G02 G03 G08 X L</t>
        </is>
      </c>
      <c r="E48" t="n">
        <v>13811.3</v>
      </c>
      <c r="F48" t="n">
        <v>6972.32</v>
      </c>
      <c r="G48" t="n">
        <v>6838.98</v>
      </c>
      <c r="H48" t="inlineStr">
        <is>
          <t>yes</t>
        </is>
      </c>
      <c r="I48" t="inlineStr">
        <is>
          <t>source model</t>
        </is>
      </c>
    </row>
    <row r="49">
      <c r="A49" t="inlineStr">
        <is>
          <t>FIN-004</t>
        </is>
      </c>
      <c r="B49" t="inlineStr">
        <is>
          <t>Free cash flow YTD</t>
        </is>
      </c>
      <c r="C49" t="inlineStr">
        <is>
          <t>A1,Group</t>
        </is>
      </c>
      <c r="D49" t="inlineStr">
        <is>
          <t>E01 E11 G01 G01b G03 O01 X L</t>
        </is>
      </c>
      <c r="E49" t="n">
        <v>606.1799999999999</v>
      </c>
      <c r="F49" t="n">
        <v>337.63</v>
      </c>
      <c r="G49" t="n">
        <v>268.55</v>
      </c>
      <c r="H49" t="inlineStr">
        <is>
          <t>no</t>
        </is>
      </c>
      <c r="I49" t="inlineStr">
        <is>
          <t>source model</t>
        </is>
      </c>
    </row>
    <row r="50">
      <c r="A50" t="inlineStr">
        <is>
          <t>FIN-005</t>
        </is>
      </c>
      <c r="B50" t="inlineStr">
        <is>
          <t>ROCE, annualised</t>
        </is>
      </c>
      <c r="C50" t="inlineStr">
        <is>
          <t>A1,Group</t>
        </is>
      </c>
      <c r="D50" t="inlineStr">
        <is>
          <t>E01 E11 G01 G01b G03 O01 X L</t>
        </is>
      </c>
      <c r="E50" t="n">
        <v>11.58</v>
      </c>
      <c r="F50" t="n">
        <v>11.08</v>
      </c>
      <c r="G50" t="n">
        <v>12.12</v>
      </c>
      <c r="H50" t="inlineStr">
        <is>
          <t>no</t>
        </is>
      </c>
      <c r="I50" t="inlineStr">
        <is>
          <t>source model</t>
        </is>
      </c>
    </row>
    <row r="51">
      <c r="A51" t="inlineStr">
        <is>
          <t>FIN-006</t>
        </is>
      </c>
      <c r="B51" t="inlineStr">
        <is>
          <t>Net debt</t>
        </is>
      </c>
      <c r="C51" t="inlineStr">
        <is>
          <t>Group</t>
        </is>
      </c>
      <c r="D51" t="inlineStr">
        <is>
          <t>G01 G01b G03 O01 O03 X L</t>
        </is>
      </c>
      <c r="E51" t="n">
        <v>6650</v>
      </c>
      <c r="F51" t="n">
        <v>3610</v>
      </c>
      <c r="G51" t="n">
        <v>3040</v>
      </c>
      <c r="H51" t="inlineStr">
        <is>
          <t>no</t>
        </is>
      </c>
      <c r="I51" t="inlineStr">
        <is>
          <t>source model</t>
        </is>
      </c>
    </row>
    <row r="52">
      <c r="A52" t="inlineStr">
        <is>
          <t>FIN-007</t>
        </is>
      </c>
      <c r="B52" t="inlineStr">
        <is>
          <t>Shareholder-value indicator (economic profit YTD)</t>
        </is>
      </c>
      <c r="C52" t="inlineStr">
        <is>
          <t>Group</t>
        </is>
      </c>
      <c r="D52" t="inlineStr">
        <is>
          <t>G03 G08 X L</t>
        </is>
      </c>
      <c r="E52" t="n">
        <v>-86.65000000000001</v>
      </c>
      <c r="F52" t="n">
        <v>-65.72</v>
      </c>
      <c r="G52" t="n">
        <v>-20.93</v>
      </c>
      <c r="H52" t="inlineStr">
        <is>
          <t>no</t>
        </is>
      </c>
      <c r="I52" t="inlineStr">
        <is>
          <t>source model</t>
        </is>
      </c>
    </row>
    <row r="53">
      <c r="A53" t="inlineStr">
        <is>
          <t>FIN-008</t>
        </is>
      </c>
      <c r="B53" t="inlineStr">
        <is>
          <t>FCF conversion (FCF ÷ EBITDA)</t>
        </is>
      </c>
      <c r="C53" t="inlineStr">
        <is>
          <t>Group</t>
        </is>
      </c>
      <c r="D53" t="inlineStr">
        <is>
          <t>G03</t>
        </is>
      </c>
      <c r="E53" t="n">
        <v>34.44</v>
      </c>
      <c r="F53" t="n">
        <v>37.91</v>
      </c>
      <c r="G53" t="n">
        <v>30.88</v>
      </c>
      <c r="H53" t="inlineStr">
        <is>
          <t>no</t>
        </is>
      </c>
      <c r="I53" t="inlineStr">
        <is>
          <t>source model</t>
        </is>
      </c>
    </row>
    <row r="54">
      <c r="A54" t="inlineStr">
        <is>
          <t>GOV-001</t>
        </is>
      </c>
      <c r="B54" t="inlineStr">
        <is>
          <t>Ageing certification approvals</t>
        </is>
      </c>
      <c r="C54" t="inlineStr">
        <is>
          <t>A1,Group</t>
        </is>
      </c>
      <c r="D54" t="inlineStr">
        <is>
          <t>E08 G08 G08o</t>
        </is>
      </c>
      <c r="E54" t="n">
        <v>2</v>
      </c>
      <c r="F54" t="n">
        <v>1</v>
      </c>
      <c r="G54" t="n">
        <v>1</v>
      </c>
      <c r="H54" t="inlineStr">
        <is>
          <t>no</t>
        </is>
      </c>
      <c r="I54" t="inlineStr">
        <is>
          <t>source model</t>
        </is>
      </c>
    </row>
    <row r="55">
      <c r="A55" t="inlineStr">
        <is>
          <t>GOV-002</t>
        </is>
      </c>
      <c r="B55" t="inlineStr">
        <is>
          <t>KPI overrides</t>
        </is>
      </c>
      <c r="C55" t="inlineStr">
        <is>
          <t>A1,Group</t>
        </is>
      </c>
      <c r="D55" t="inlineStr">
        <is>
          <t>E08 G08 G08o</t>
        </is>
      </c>
      <c r="E55" t="n">
        <v>0</v>
      </c>
      <c r="F55" t="n">
        <v>0</v>
      </c>
      <c r="G55" t="n">
        <v>0</v>
      </c>
      <c r="H55" t="inlineStr">
        <is>
          <t>no</t>
        </is>
      </c>
      <c r="I55" t="inlineStr">
        <is>
          <t>source model</t>
        </is>
      </c>
    </row>
    <row r="56">
      <c r="A56" t="inlineStr">
        <is>
          <t>GOV-003</t>
        </is>
      </c>
      <c r="B56" t="inlineStr">
        <is>
          <t>Recurring data-quality issues</t>
        </is>
      </c>
      <c r="C56" t="inlineStr">
        <is>
          <t>A1,Group</t>
        </is>
      </c>
      <c r="D56" t="inlineStr">
        <is>
          <t>E08 G08 G08o</t>
        </is>
      </c>
      <c r="E56" t="n">
        <v>1</v>
      </c>
      <c r="F56" t="n">
        <v>1</v>
      </c>
      <c r="G56" t="n">
        <v>0</v>
      </c>
      <c r="H56" t="inlineStr">
        <is>
          <t>no</t>
        </is>
      </c>
      <c r="I56" t="inlineStr">
        <is>
          <t>source model</t>
        </is>
      </c>
    </row>
    <row r="57">
      <c r="A57" t="inlineStr">
        <is>
          <t>GOV-004</t>
        </is>
      </c>
      <c r="B57" t="inlineStr">
        <is>
          <t>Open audit findings</t>
        </is>
      </c>
      <c r="C57" t="inlineStr">
        <is>
          <t>A1,Group</t>
        </is>
      </c>
      <c r="D57" t="inlineStr">
        <is>
          <t>E07 E08 G07 G08 G08o O05</t>
        </is>
      </c>
      <c r="E57" t="n">
        <v>7</v>
      </c>
      <c r="F57" t="n">
        <v>2</v>
      </c>
      <c r="G57" t="n">
        <v>5</v>
      </c>
      <c r="H57" t="inlineStr">
        <is>
          <t>no</t>
        </is>
      </c>
      <c r="I57" t="inlineStr">
        <is>
          <t>source model</t>
        </is>
      </c>
    </row>
    <row r="58">
      <c r="A58" t="inlineStr">
        <is>
          <t>GOV-005</t>
        </is>
      </c>
      <c r="B58" t="inlineStr">
        <is>
          <t>Overdue assurance actions</t>
        </is>
      </c>
      <c r="C58" t="inlineStr">
        <is>
          <t>A1,Group</t>
        </is>
      </c>
      <c r="D58" t="inlineStr">
        <is>
          <t>E08 G08 G08o</t>
        </is>
      </c>
      <c r="E58" t="n">
        <v>0</v>
      </c>
      <c r="F58" t="n">
        <v>0</v>
      </c>
      <c r="G58" t="n">
        <v>0</v>
      </c>
      <c r="H58" t="inlineStr">
        <is>
          <t>no</t>
        </is>
      </c>
      <c r="I58" t="inlineStr">
        <is>
          <t>source model</t>
        </is>
      </c>
    </row>
    <row r="59">
      <c r="A59" t="inlineStr">
        <is>
          <t>GOV-006</t>
        </is>
      </c>
      <c r="B59" t="inlineStr">
        <is>
          <t>Repeat findings</t>
        </is>
      </c>
      <c r="C59" t="inlineStr">
        <is>
          <t>A1,Group</t>
        </is>
      </c>
      <c r="D59" t="inlineStr">
        <is>
          <t>E08 G08 G08o</t>
        </is>
      </c>
      <c r="E59" t="n">
        <v>1</v>
      </c>
      <c r="F59" t="n">
        <v>0</v>
      </c>
      <c r="G59" t="n">
        <v>1</v>
      </c>
      <c r="H59" t="inlineStr">
        <is>
          <t>no</t>
        </is>
      </c>
      <c r="I59" t="inlineStr">
        <is>
          <t>source model</t>
        </is>
      </c>
    </row>
    <row r="60">
      <c r="A60" t="inlineStr">
        <is>
          <t>GOV-007</t>
        </is>
      </c>
      <c r="B60" t="inlineStr">
        <is>
          <t>Leadership KPIs affected by findings</t>
        </is>
      </c>
      <c r="C60" t="inlineStr">
        <is>
          <t>Group</t>
        </is>
      </c>
      <c r="D60" t="inlineStr">
        <is>
          <t>G08 G08o</t>
        </is>
      </c>
      <c r="E60" t="n">
        <v>1</v>
      </c>
      <c r="F60" t="n">
        <v>0</v>
      </c>
      <c r="G60" t="n">
        <v>1</v>
      </c>
      <c r="H60" t="inlineStr">
        <is>
          <t>no</t>
        </is>
      </c>
      <c r="I60" t="inlineStr">
        <is>
          <t>source model</t>
        </is>
      </c>
    </row>
    <row r="61">
      <c r="A61" t="inlineStr">
        <is>
          <t>GOV-008</t>
        </is>
      </c>
      <c r="B61" t="inlineStr">
        <is>
          <t>Evidence completeness rate</t>
        </is>
      </c>
      <c r="C61" t="inlineStr">
        <is>
          <t>A1,Group</t>
        </is>
      </c>
      <c r="D61" t="inlineStr">
        <is>
          <t>E08 G08 G08o</t>
        </is>
      </c>
      <c r="E61" t="n">
        <v>87.95999999999999</v>
      </c>
      <c r="F61" t="n">
        <v>86</v>
      </c>
      <c r="G61" t="n">
        <v>89.66</v>
      </c>
      <c r="H61" t="inlineStr">
        <is>
          <t>no</t>
        </is>
      </c>
      <c r="I61" t="inlineStr">
        <is>
          <t>source model</t>
        </is>
      </c>
    </row>
    <row r="62">
      <c r="A62" t="inlineStr">
        <is>
          <t>GOV-009</t>
        </is>
      </c>
      <c r="B62" t="inlineStr">
        <is>
          <t>Average finding-closure time</t>
        </is>
      </c>
      <c r="C62" t="inlineStr">
        <is>
          <t>A1,Group</t>
        </is>
      </c>
      <c r="D62" t="inlineStr">
        <is>
          <t>E08 G08 G08o</t>
        </is>
      </c>
      <c r="E62" t="n">
        <v>32.81</v>
      </c>
      <c r="F62" t="n">
        <v>28.57</v>
      </c>
      <c r="G62" t="n">
        <v>37.75</v>
      </c>
      <c r="H62" t="inlineStr">
        <is>
          <t>no</t>
        </is>
      </c>
      <c r="I62" t="inlineStr">
        <is>
          <t>source model</t>
        </is>
      </c>
    </row>
    <row r="63">
      <c r="A63" t="inlineStr">
        <is>
          <t>LIQ-001</t>
        </is>
      </c>
      <c r="B63" t="inlineStr">
        <is>
          <t>Liquidity runway</t>
        </is>
      </c>
      <c r="C63" t="inlineStr">
        <is>
          <t>A1,Group</t>
        </is>
      </c>
      <c r="D63" t="inlineStr">
        <is>
          <t>E05 G04 O03</t>
        </is>
      </c>
      <c r="E63" t="n">
        <v>16.71</v>
      </c>
      <c r="F63" t="n">
        <v>15.37</v>
      </c>
      <c r="G63" t="n">
        <v>18.11</v>
      </c>
      <c r="H63" t="inlineStr">
        <is>
          <t>no</t>
        </is>
      </c>
      <c r="I63" t="inlineStr">
        <is>
          <t>source model</t>
        </is>
      </c>
    </row>
    <row r="64">
      <c r="A64" t="inlineStr">
        <is>
          <t>LIQ-002</t>
        </is>
      </c>
      <c r="B64" t="inlineStr">
        <is>
          <t>Covenant headroom</t>
        </is>
      </c>
      <c r="C64" t="inlineStr">
        <is>
          <t>A1,Group</t>
        </is>
      </c>
      <c r="D64" t="inlineStr">
        <is>
          <t>E05 G04</t>
        </is>
      </c>
      <c r="E64" t="n">
        <v>24.44</v>
      </c>
      <c r="F64" t="n">
        <v>18.93</v>
      </c>
      <c r="G64" t="n">
        <v>30.08</v>
      </c>
      <c r="H64" t="inlineStr">
        <is>
          <t>no</t>
        </is>
      </c>
      <c r="I64" t="inlineStr">
        <is>
          <t>source model</t>
        </is>
      </c>
    </row>
    <row r="65">
      <c r="A65" t="inlineStr">
        <is>
          <t>LIQ-003</t>
        </is>
      </c>
      <c r="B65" t="inlineStr">
        <is>
          <t>Debt-maturity exposure, next 12 months</t>
        </is>
      </c>
      <c r="C65" t="inlineStr">
        <is>
          <t>A1,Group</t>
        </is>
      </c>
      <c r="D65" t="inlineStr">
        <is>
          <t>E05 G04 O03</t>
        </is>
      </c>
      <c r="E65" t="n">
        <v>891.41</v>
      </c>
      <c r="F65" t="n">
        <v>486.34</v>
      </c>
      <c r="G65" t="n">
        <v>405.07</v>
      </c>
      <c r="H65" t="inlineStr">
        <is>
          <t>no</t>
        </is>
      </c>
      <c r="I65" t="inlineStr">
        <is>
          <t>source model</t>
        </is>
      </c>
    </row>
    <row r="66">
      <c r="A66" t="inlineStr">
        <is>
          <t>LIQ-004</t>
        </is>
      </c>
      <c r="B66" t="inlineStr">
        <is>
          <t>Financing exposure (floating-rate debt)</t>
        </is>
      </c>
      <c r="C66" t="inlineStr">
        <is>
          <t>Group</t>
        </is>
      </c>
      <c r="D66" t="inlineStr">
        <is>
          <t>G04 O03</t>
        </is>
      </c>
      <c r="E66" t="n">
        <v>2720.83</v>
      </c>
      <c r="F66" t="n">
        <v>1440.7</v>
      </c>
      <c r="G66" t="n">
        <v>1280.13</v>
      </c>
      <c r="H66" t="inlineStr">
        <is>
          <t>no</t>
        </is>
      </c>
      <c r="I66" t="inlineStr">
        <is>
          <t>source model</t>
        </is>
      </c>
    </row>
    <row r="67">
      <c r="A67" t="inlineStr">
        <is>
          <t>OPS-001</t>
        </is>
      </c>
      <c r="B67" t="inlineStr">
        <is>
          <t>Production vs plan</t>
        </is>
      </c>
      <c r="C67" t="inlineStr">
        <is>
          <t>A1,A2,Group</t>
        </is>
      </c>
      <c r="D67" t="inlineStr">
        <is>
          <t>E01 E02 E05 E08 G01 G01b G02 G03 G05 G08 G08o O01 O09 S03 S03e S03o S10 S12e X L</t>
        </is>
      </c>
      <c r="E67" t="n">
        <v>95.51000000000001</v>
      </c>
      <c r="F67" t="n">
        <v>91.27</v>
      </c>
      <c r="G67" t="n">
        <v>100.29</v>
      </c>
      <c r="H67" t="inlineStr">
        <is>
          <t>yes</t>
        </is>
      </c>
      <c r="I67" t="inlineStr">
        <is>
          <t>source model</t>
        </is>
      </c>
    </row>
    <row r="68">
      <c r="A68" t="inlineStr">
        <is>
          <t>OPS-002</t>
        </is>
      </c>
      <c r="B68" t="inlineStr">
        <is>
          <t>Sales vs plan</t>
        </is>
      </c>
      <c r="C68" t="inlineStr">
        <is>
          <t>A1,A2,Group</t>
        </is>
      </c>
      <c r="D68" t="inlineStr">
        <is>
          <t>E01 E08 G01 G01b G03 O01 O09 X L</t>
        </is>
      </c>
      <c r="E68" t="n">
        <v>95.23</v>
      </c>
      <c r="F68" t="n">
        <v>89.20999999999999</v>
      </c>
      <c r="G68" t="n">
        <v>102.04</v>
      </c>
      <c r="H68" t="inlineStr">
        <is>
          <t>yes</t>
        </is>
      </c>
      <c r="I68" t="inlineStr">
        <is>
          <t>source model</t>
        </is>
      </c>
    </row>
    <row r="69">
      <c r="A69" t="inlineStr">
        <is>
          <t>OPS-003</t>
        </is>
      </c>
      <c r="B69" t="inlineStr">
        <is>
          <t>Capacity utilization</t>
        </is>
      </c>
      <c r="C69" t="inlineStr">
        <is>
          <t>A1,A2,Group</t>
        </is>
      </c>
      <c r="D69" t="inlineStr">
        <is>
          <t>E02 G05 O01 O09 X L</t>
        </is>
      </c>
      <c r="E69" t="n">
        <v>83.44</v>
      </c>
      <c r="F69" t="n">
        <v>79.8</v>
      </c>
      <c r="G69" t="n">
        <v>87.55</v>
      </c>
      <c r="H69" t="inlineStr">
        <is>
          <t>yes</t>
        </is>
      </c>
      <c r="I69" t="inlineStr">
        <is>
          <t>source model</t>
        </is>
      </c>
    </row>
    <row r="70">
      <c r="A70" t="inlineStr">
        <is>
          <t>OPS-004</t>
        </is>
      </c>
      <c r="B70" t="inlineStr">
        <is>
          <t>Sales vs plan · Group (same measure as OPS-002)</t>
        </is>
      </c>
      <c r="C70" t="inlineStr">
        <is>
          <t>Group</t>
        </is>
      </c>
      <c r="D70" t="inlineStr">
        <is>
          <t>O01</t>
        </is>
      </c>
      <c r="E70" t="n">
        <v>95.23</v>
      </c>
      <c r="F70" t="n">
        <v>89.20999999999999</v>
      </c>
      <c r="G70" t="n">
        <v>102.04</v>
      </c>
      <c r="H70" t="inlineStr">
        <is>
          <t>yes</t>
        </is>
      </c>
      <c r="I70" t="inlineStr">
        <is>
          <t>alias of OPS-002</t>
        </is>
      </c>
    </row>
    <row r="71">
      <c r="A71" t="inlineStr">
        <is>
          <t>OPS-005</t>
        </is>
      </c>
      <c r="B71" t="inlineStr">
        <is>
          <t>Capacity utilisation (same measure as OPS-003)</t>
        </is>
      </c>
      <c r="C71" t="inlineStr">
        <is>
          <t>A1,Group</t>
        </is>
      </c>
      <c r="D71" t="inlineStr">
        <is>
          <t>E01 G01 G01b O01</t>
        </is>
      </c>
      <c r="E71" t="n">
        <v>83.44</v>
      </c>
      <c r="F71" t="n">
        <v>79.8</v>
      </c>
      <c r="G71" t="n">
        <v>87.55</v>
      </c>
      <c r="H71" t="inlineStr">
        <is>
          <t>yes</t>
        </is>
      </c>
      <c r="I71" t="inlineStr">
        <is>
          <t>alias of OPS-003</t>
        </is>
      </c>
    </row>
    <row r="72">
      <c r="A72" t="inlineStr">
        <is>
          <t>PLT-001</t>
        </is>
      </c>
      <c r="B72" t="inlineStr">
        <is>
          <t>Asset utilization</t>
        </is>
      </c>
      <c r="C72" t="inlineStr">
        <is>
          <t>A1</t>
        </is>
      </c>
      <c r="D72" t="inlineStr">
        <is>
          <t>E02</t>
        </is>
      </c>
      <c r="E72" t="n">
        <v>93.64</v>
      </c>
      <c r="F72" t="n">
        <v>91.86</v>
      </c>
      <c r="G72" t="n">
        <v>95.43000000000001</v>
      </c>
      <c r="H72" t="inlineStr">
        <is>
          <t>yes</t>
        </is>
      </c>
      <c r="I72" t="inlineStr">
        <is>
          <t>source model</t>
        </is>
      </c>
    </row>
    <row r="73">
      <c r="A73" t="inlineStr">
        <is>
          <t>PLT-002</t>
        </is>
      </c>
      <c r="B73" t="inlineStr">
        <is>
          <t>OEE</t>
        </is>
      </c>
      <c r="C73" t="inlineStr">
        <is>
          <t>A1,A2,Group,Plant02</t>
        </is>
      </c>
      <c r="D73" t="inlineStr">
        <is>
          <t>E02 G05 O09</t>
        </is>
      </c>
      <c r="E73" t="n">
        <v>84.06999999999999</v>
      </c>
      <c r="F73" t="n">
        <v>80.20999999999999</v>
      </c>
      <c r="G73" t="n">
        <v>88.44</v>
      </c>
      <c r="H73" t="inlineStr">
        <is>
          <t>yes</t>
        </is>
      </c>
      <c r="I73" t="inlineStr">
        <is>
          <t>source model</t>
        </is>
      </c>
    </row>
    <row r="74">
      <c r="A74" t="inlineStr">
        <is>
          <t>PLT-004</t>
        </is>
      </c>
      <c r="B74" t="inlineStr">
        <is>
          <t>Recovery percentage</t>
        </is>
      </c>
      <c r="C74" t="inlineStr">
        <is>
          <t>A1</t>
        </is>
      </c>
      <c r="D74" t="inlineStr">
        <is>
          <t>E02</t>
        </is>
      </c>
      <c r="E74" t="n">
        <v>87.34999999999999</v>
      </c>
      <c r="F74" t="n">
        <v>87.47</v>
      </c>
      <c r="G74" t="n">
        <v>87.23</v>
      </c>
      <c r="H74" t="inlineStr">
        <is>
          <t>yes</t>
        </is>
      </c>
      <c r="I74" t="inlineStr">
        <is>
          <t>source model</t>
        </is>
      </c>
    </row>
    <row r="75">
      <c r="A75" t="inlineStr">
        <is>
          <t>PLT-005</t>
        </is>
      </c>
      <c r="B75" t="inlineStr">
        <is>
          <t>Yield</t>
        </is>
      </c>
      <c r="C75" t="inlineStr">
        <is>
          <t>A1</t>
        </is>
      </c>
      <c r="D75" t="inlineStr">
        <is>
          <t>E02</t>
        </is>
      </c>
      <c r="E75" t="n">
        <v>91.93000000000001</v>
      </c>
      <c r="F75" t="n">
        <v>91.45999999999999</v>
      </c>
      <c r="G75" t="n">
        <v>92.42</v>
      </c>
      <c r="H75" t="inlineStr">
        <is>
          <t>yes</t>
        </is>
      </c>
      <c r="I75" t="inlineStr">
        <is>
          <t>source model</t>
        </is>
      </c>
    </row>
    <row r="76">
      <c r="A76" t="inlineStr">
        <is>
          <t>PRD-001</t>
        </is>
      </c>
      <c r="B76" t="inlineStr">
        <is>
          <t>Days to breach (earliest plant)</t>
        </is>
      </c>
      <c r="C76" t="inlineStr">
        <is>
          <t>A1,Plant02</t>
        </is>
      </c>
      <c r="D76" t="inlineStr">
        <is>
          <t>E01 E04 O01 O02 S10 S12 S12e X L</t>
        </is>
      </c>
      <c r="E76" t="n">
        <v>4</v>
      </c>
      <c r="F76" t="n">
        <v>4</v>
      </c>
      <c r="G76" t="n">
        <v>99</v>
      </c>
      <c r="H76" t="inlineStr">
        <is>
          <t>yes</t>
        </is>
      </c>
      <c r="I76" t="inlineStr">
        <is>
          <t>source model</t>
        </is>
      </c>
    </row>
    <row r="77">
      <c r="A77" t="inlineStr">
        <is>
          <t>PRD-002</t>
        </is>
      </c>
      <c r="B77" t="inlineStr">
        <is>
          <t>Probability of production plan miss, next month</t>
        </is>
      </c>
      <c r="C77" t="inlineStr">
        <is>
          <t>A1,Group</t>
        </is>
      </c>
      <c r="D77" t="inlineStr">
        <is>
          <t>G01 G01b G10 O01 O02 S12 S12e X L</t>
        </is>
      </c>
      <c r="E77" t="n">
        <v>69.69</v>
      </c>
      <c r="F77" t="n">
        <v>79.36</v>
      </c>
      <c r="G77" t="n">
        <v>45.13</v>
      </c>
      <c r="H77" t="inlineStr">
        <is>
          <t>yes</t>
        </is>
      </c>
      <c r="I77" t="inlineStr">
        <is>
          <t>source model</t>
        </is>
      </c>
    </row>
    <row r="78">
      <c r="A78" t="inlineStr">
        <is>
          <t>PRD-003</t>
        </is>
      </c>
      <c r="B78" t="inlineStr">
        <is>
          <t>Projected EBITDA gap, rest of year</t>
        </is>
      </c>
      <c r="C78" t="inlineStr">
        <is>
          <t>A1,Group</t>
        </is>
      </c>
      <c r="D78" t="inlineStr">
        <is>
          <t>G01 G01b G03 G10 O01 O02 S09 S12 S12e X L</t>
        </is>
      </c>
      <c r="E78" t="n">
        <v>-56.18</v>
      </c>
      <c r="F78" t="n">
        <v>-48.53</v>
      </c>
      <c r="G78" t="n">
        <v>-7.65</v>
      </c>
      <c r="H78" t="inlineStr">
        <is>
          <t>no</t>
        </is>
      </c>
      <c r="I78" t="inlineStr">
        <is>
          <t>source model</t>
        </is>
      </c>
    </row>
    <row r="79">
      <c r="A79" t="inlineStr">
        <is>
          <t>PRD-004</t>
        </is>
      </c>
      <c r="B79" t="inlineStr">
        <is>
          <t>Projected liquidity gap, next 90 days</t>
        </is>
      </c>
      <c r="C79" t="inlineStr">
        <is>
          <t>A1,Group</t>
        </is>
      </c>
      <c r="D79" t="inlineStr">
        <is>
          <t>G01 G01b G04 O02 S12 S12e</t>
        </is>
      </c>
      <c r="E79" t="inlineStr">
        <is>
          <t>None within 90 d</t>
        </is>
      </c>
      <c r="F79" t="inlineStr">
        <is>
          <t>None within 90 d</t>
        </is>
      </c>
      <c r="G79" t="inlineStr">
        <is>
          <t>None within 90 d</t>
        </is>
      </c>
      <c r="H79" t="inlineStr">
        <is>
          <t>no</t>
        </is>
      </c>
      <c r="I79" t="inlineStr">
        <is>
          <t>source model</t>
        </is>
      </c>
    </row>
    <row r="80">
      <c r="A80" t="inlineStr">
        <is>
          <t>PRD-005</t>
        </is>
      </c>
      <c r="B80" t="inlineStr">
        <is>
          <t>Forecast covenant breach</t>
        </is>
      </c>
      <c r="C80" t="inlineStr">
        <is>
          <t>A1,Group</t>
        </is>
      </c>
      <c r="D80" t="inlineStr">
        <is>
          <t>G04 G10 O02 S12 S12e</t>
        </is>
      </c>
      <c r="E80" t="inlineStr">
        <is>
          <t>Not forecast</t>
        </is>
      </c>
      <c r="F80" t="inlineStr">
        <is>
          <t>Not forecast</t>
        </is>
      </c>
      <c r="G80" t="inlineStr">
        <is>
          <t>Not forecast</t>
        </is>
      </c>
      <c r="H80" t="inlineStr">
        <is>
          <t>no</t>
        </is>
      </c>
      <c r="I80" t="inlineStr">
        <is>
          <t>source model</t>
        </is>
      </c>
    </row>
    <row r="81">
      <c r="A81" t="inlineStr">
        <is>
          <t>PRD-006</t>
        </is>
      </c>
      <c r="B81" t="inlineStr">
        <is>
          <t>Production loss from downtime, next month</t>
        </is>
      </c>
      <c r="C81" t="inlineStr">
        <is>
          <t>Group</t>
        </is>
      </c>
      <c r="D81" t="inlineStr">
        <is>
          <t>G05 G10</t>
        </is>
      </c>
      <c r="E81" t="n">
        <v>28.01</v>
      </c>
      <c r="F81" t="n">
        <v>22.3</v>
      </c>
      <c r="G81" t="n">
        <v>5.71</v>
      </c>
      <c r="H81" t="inlineStr">
        <is>
          <t>yes</t>
        </is>
      </c>
      <c r="I81" t="inlineStr">
        <is>
          <t>source model</t>
        </is>
      </c>
    </row>
    <row r="82">
      <c r="A82" t="inlineStr">
        <is>
          <t>PRD-008</t>
        </is>
      </c>
      <c r="B82" t="inlineStr">
        <is>
          <t>Projected FCF gap, full year</t>
        </is>
      </c>
      <c r="C82" t="inlineStr">
        <is>
          <t>A1</t>
        </is>
      </c>
      <c r="D82" t="inlineStr">
        <is>
          <t>E11</t>
        </is>
      </c>
      <c r="E82" t="n">
        <v>-120.09</v>
      </c>
      <c r="F82" t="n">
        <v>-101.29</v>
      </c>
      <c r="G82" t="n">
        <v>-18.8</v>
      </c>
      <c r="H82" t="inlineStr">
        <is>
          <t>no</t>
        </is>
      </c>
      <c r="I82" t="inlineStr">
        <is>
          <t>added (synthetic inputs)</t>
        </is>
      </c>
    </row>
    <row r="83">
      <c r="A83" t="inlineStr">
        <is>
          <t>PRD-009</t>
        </is>
      </c>
      <c r="B83" t="inlineStr">
        <is>
          <t>ROCE at P12 (forecast)</t>
        </is>
      </c>
      <c r="C83" t="inlineStr">
        <is>
          <t>A1</t>
        </is>
      </c>
      <c r="D83" t="inlineStr">
        <is>
          <t>E11</t>
        </is>
      </c>
      <c r="E83" t="n">
        <v>11.26</v>
      </c>
      <c r="F83" t="n">
        <v>10.48</v>
      </c>
      <c r="G83" t="n">
        <v>12.12</v>
      </c>
      <c r="H83" t="inlineStr">
        <is>
          <t>no</t>
        </is>
      </c>
      <c r="I83" t="inlineStr">
        <is>
          <t>added (synthetic inputs)</t>
        </is>
      </c>
    </row>
    <row r="84">
      <c r="A84" t="inlineStr">
        <is>
          <t>PRD-010</t>
        </is>
      </c>
      <c r="B84" t="inlineStr">
        <is>
          <t>Revenue per FTE YTD</t>
        </is>
      </c>
      <c r="C84" t="inlineStr">
        <is>
          <t>A1</t>
        </is>
      </c>
      <c r="D84" t="inlineStr">
        <is>
          <t>E11</t>
        </is>
      </c>
      <c r="E84" t="n">
        <v>5.247</v>
      </c>
      <c r="F84" t="n">
        <v>5.172</v>
      </c>
      <c r="G84" t="n">
        <v>5.326</v>
      </c>
      <c r="H84" t="inlineStr">
        <is>
          <t>no</t>
        </is>
      </c>
      <c r="I84" t="inlineStr">
        <is>
          <t>added (synthetic inputs)</t>
        </is>
      </c>
    </row>
    <row r="85">
      <c r="A85" t="inlineStr">
        <is>
          <t>PRD-011</t>
        </is>
      </c>
      <c r="B85" t="inlineStr">
        <is>
          <t>Tonnes per FTE</t>
        </is>
      </c>
      <c r="C85" t="inlineStr">
        <is>
          <t>A1</t>
        </is>
      </c>
      <c r="D85" t="inlineStr">
        <is>
          <t>E11</t>
        </is>
      </c>
      <c r="E85" t="n">
        <v>237.7</v>
      </c>
      <c r="F85" t="n">
        <v>235</v>
      </c>
      <c r="G85" t="n">
        <v>240.6</v>
      </c>
      <c r="H85" t="inlineStr">
        <is>
          <t>no</t>
        </is>
      </c>
      <c r="I85" t="inlineStr">
        <is>
          <t>added (synthetic inputs)</t>
        </is>
      </c>
    </row>
    <row r="86">
      <c r="A86" t="inlineStr">
        <is>
          <t>PRD-012</t>
        </is>
      </c>
      <c r="B86" t="inlineStr">
        <is>
          <t>Probability of EBITDA plan miss, full year</t>
        </is>
      </c>
      <c r="C86" t="inlineStr">
        <is>
          <t>A1</t>
        </is>
      </c>
      <c r="D86" t="inlineStr">
        <is>
          <t>E11</t>
        </is>
      </c>
      <c r="E86" t="n">
        <v>69.39</v>
      </c>
      <c r="F86" t="n">
        <v>80.43000000000001</v>
      </c>
      <c r="G86" t="n">
        <v>44.32</v>
      </c>
      <c r="H86" t="inlineStr">
        <is>
          <t>no</t>
        </is>
      </c>
      <c r="I86" t="inlineStr">
        <is>
          <t>added (synthetic inputs)</t>
        </is>
      </c>
    </row>
    <row r="87">
      <c r="A87" t="inlineStr">
        <is>
          <t>PRG-001</t>
        </is>
      </c>
      <c r="B87" t="inlineStr">
        <is>
          <t>Capex project status</t>
        </is>
      </c>
      <c r="C87" t="inlineStr">
        <is>
          <t>Group</t>
        </is>
      </c>
      <c r="D87" t="inlineStr">
        <is>
          <t>G06</t>
        </is>
      </c>
      <c r="E87" t="inlineStr">
        <is>
          <t>9 on track · 2 at risk · 0 off track</t>
        </is>
      </c>
      <c r="F87" t="inlineStr">
        <is>
          <t>5 on track · 1 at risk · 0 off track</t>
        </is>
      </c>
      <c r="G87" t="inlineStr">
        <is>
          <t>4 on track · 1 at risk · 0 off track</t>
        </is>
      </c>
      <c r="H87" t="inlineStr">
        <is>
          <t>no</t>
        </is>
      </c>
      <c r="I87" t="inlineStr">
        <is>
          <t>source model</t>
        </is>
      </c>
    </row>
    <row r="88">
      <c r="A88" t="inlineStr">
        <is>
          <t>PRG-002</t>
        </is>
      </c>
      <c r="B88" t="inlineStr">
        <is>
          <t>Benefits realisation</t>
        </is>
      </c>
      <c r="C88" t="inlineStr">
        <is>
          <t>A1,Group</t>
        </is>
      </c>
      <c r="D88" t="inlineStr">
        <is>
          <t>E06 G06 O04</t>
        </is>
      </c>
      <c r="E88" t="n">
        <v>47.96</v>
      </c>
      <c r="F88" t="n">
        <v>69.34</v>
      </c>
      <c r="G88" t="n">
        <v>36.27</v>
      </c>
      <c r="H88" t="inlineStr">
        <is>
          <t>no</t>
        </is>
      </c>
      <c r="I88" t="inlineStr">
        <is>
          <t>source model</t>
        </is>
      </c>
    </row>
    <row r="89">
      <c r="A89" t="inlineStr">
        <is>
          <t>PRG-003</t>
        </is>
      </c>
      <c r="B89" t="inlineStr">
        <is>
          <t>Delayed projects</t>
        </is>
      </c>
      <c r="C89" t="inlineStr">
        <is>
          <t>A1,Group</t>
        </is>
      </c>
      <c r="D89" t="inlineStr">
        <is>
          <t>E06 G06</t>
        </is>
      </c>
      <c r="E89" t="n">
        <v>1</v>
      </c>
      <c r="F89" t="n">
        <v>0</v>
      </c>
      <c r="G89" t="n">
        <v>1</v>
      </c>
      <c r="H89" t="inlineStr">
        <is>
          <t>no</t>
        </is>
      </c>
      <c r="I89" t="inlineStr">
        <is>
          <t>source model</t>
        </is>
      </c>
    </row>
    <row r="90">
      <c r="A90" t="inlineStr">
        <is>
          <t>PRG-004</t>
        </is>
      </c>
      <c r="B90" t="inlineStr">
        <is>
          <t>Capex / transformation progress (same measure as STR-002)</t>
        </is>
      </c>
      <c r="C90" t="inlineStr">
        <is>
          <t>A1,Group</t>
        </is>
      </c>
      <c r="D90" t="inlineStr">
        <is>
          <t>E01 G01 G01b O01</t>
        </is>
      </c>
      <c r="E90" t="n">
        <v>54.03</v>
      </c>
      <c r="F90" t="n">
        <v>53.33</v>
      </c>
      <c r="G90" t="n">
        <v>54.69</v>
      </c>
      <c r="H90" t="inlineStr">
        <is>
          <t>no</t>
        </is>
      </c>
      <c r="I90" t="inlineStr">
        <is>
          <t>alias of STR-002</t>
        </is>
      </c>
    </row>
    <row r="91">
      <c r="A91" t="inlineStr">
        <is>
          <t>PRG-005</t>
        </is>
      </c>
      <c r="B91" t="inlineStr">
        <is>
          <t>Transformation initiative status</t>
        </is>
      </c>
      <c r="C91" t="inlineStr">
        <is>
          <t>A1</t>
        </is>
      </c>
      <c r="D91" t="inlineStr">
        <is>
          <t>E06</t>
        </is>
      </c>
      <c r="E91" t="inlineStr">
        <is>
          <t>15 on track · 6 at risk · 3 delayed</t>
        </is>
      </c>
      <c r="F91" t="inlineStr">
        <is>
          <t>5 on track · 2 at risk · 1 delayed</t>
        </is>
      </c>
      <c r="G91" t="inlineStr">
        <is>
          <t>10 on track · 4 at risk · 2 delayed</t>
        </is>
      </c>
      <c r="H91" t="inlineStr">
        <is>
          <t>no</t>
        </is>
      </c>
      <c r="I91" t="inlineStr">
        <is>
          <t>source model</t>
        </is>
      </c>
    </row>
    <row r="92">
      <c r="A92" t="inlineStr">
        <is>
          <t>REG-001</t>
        </is>
      </c>
      <c r="B92" t="inlineStr">
        <is>
          <t>Pending filings</t>
        </is>
      </c>
      <c r="C92" t="inlineStr">
        <is>
          <t>A1,Group</t>
        </is>
      </c>
      <c r="D92" t="inlineStr">
        <is>
          <t>E07 G07</t>
        </is>
      </c>
      <c r="E92" t="n">
        <v>0</v>
      </c>
      <c r="F92" t="n">
        <v>0</v>
      </c>
      <c r="G92" t="n">
        <v>0</v>
      </c>
      <c r="H92" t="inlineStr">
        <is>
          <t>yes</t>
        </is>
      </c>
      <c r="I92" t="inlineStr">
        <is>
          <t>source model</t>
        </is>
      </c>
    </row>
    <row r="93">
      <c r="A93" t="inlineStr">
        <is>
          <t>REG-002</t>
        </is>
      </c>
      <c r="B93" t="inlineStr">
        <is>
          <t>Regulatory deadlines, next 30 days</t>
        </is>
      </c>
      <c r="C93" t="inlineStr">
        <is>
          <t>A1,Group</t>
        </is>
      </c>
      <c r="D93" t="inlineStr">
        <is>
          <t>E07 G07</t>
        </is>
      </c>
      <c r="E93" t="n">
        <v>3</v>
      </c>
      <c r="F93" t="n">
        <v>2</v>
      </c>
      <c r="G93" t="n">
        <v>1</v>
      </c>
      <c r="H93" t="inlineStr">
        <is>
          <t>yes</t>
        </is>
      </c>
      <c r="I93" t="inlineStr">
        <is>
          <t>source model</t>
        </is>
      </c>
    </row>
    <row r="94">
      <c r="A94" t="inlineStr">
        <is>
          <t>REG-003</t>
        </is>
      </c>
      <c r="B94" t="inlineStr">
        <is>
          <t>Licence expirations, next 12 months</t>
        </is>
      </c>
      <c r="C94" t="inlineStr">
        <is>
          <t>A1,Group</t>
        </is>
      </c>
      <c r="D94" t="inlineStr">
        <is>
          <t>E07 G07</t>
        </is>
      </c>
      <c r="E94" t="n">
        <v>1</v>
      </c>
      <c r="F94" t="n">
        <v>1</v>
      </c>
      <c r="G94" t="n">
        <v>0</v>
      </c>
      <c r="H94" t="inlineStr">
        <is>
          <t>yes</t>
        </is>
      </c>
      <c r="I94" t="inlineStr">
        <is>
          <t>source model</t>
        </is>
      </c>
    </row>
    <row r="95">
      <c r="A95" t="inlineStr">
        <is>
          <t>REG-004</t>
        </is>
      </c>
      <c r="B95" t="inlineStr">
        <is>
          <t>Regulatory obligations due, next 30 days</t>
        </is>
      </c>
      <c r="C95" t="inlineStr">
        <is>
          <t>A1,Group</t>
        </is>
      </c>
      <c r="D95" t="inlineStr">
        <is>
          <t>E07 G07</t>
        </is>
      </c>
      <c r="E95" t="n">
        <v>2</v>
      </c>
      <c r="F95" t="n">
        <v>1</v>
      </c>
      <c r="G95" t="n">
        <v>1</v>
      </c>
      <c r="H95" t="inlineStr">
        <is>
          <t>yes</t>
        </is>
      </c>
      <c r="I95" t="inlineStr">
        <is>
          <t>source model</t>
        </is>
      </c>
    </row>
    <row r="96">
      <c r="A96" t="inlineStr">
        <is>
          <t>REG-005</t>
        </is>
      </c>
      <c r="B96" t="inlineStr">
        <is>
          <t>Overdue regulatory obligations</t>
        </is>
      </c>
      <c r="C96" t="inlineStr">
        <is>
          <t>A1,Group</t>
        </is>
      </c>
      <c r="D96" t="inlineStr">
        <is>
          <t>E07 G07 O05</t>
        </is>
      </c>
      <c r="E96" t="n">
        <v>0</v>
      </c>
      <c r="F96" t="n">
        <v>0</v>
      </c>
      <c r="G96" t="n">
        <v>0</v>
      </c>
      <c r="H96" t="inlineStr">
        <is>
          <t>yes</t>
        </is>
      </c>
      <c r="I96" t="inlineStr">
        <is>
          <t>source model</t>
        </is>
      </c>
    </row>
    <row r="97">
      <c r="A97" t="inlineStr">
        <is>
          <t>REG-006</t>
        </is>
      </c>
      <c r="B97" t="inlineStr">
        <is>
          <t>Licence or permit expiry clock</t>
        </is>
      </c>
      <c r="C97" t="inlineStr">
        <is>
          <t>A1,Group</t>
        </is>
      </c>
      <c r="D97" t="inlineStr">
        <is>
          <t>E07 O05</t>
        </is>
      </c>
      <c r="E97" t="n">
        <v>65</v>
      </c>
      <c r="F97" t="n">
        <v>65</v>
      </c>
      <c r="G97" t="n">
        <v>102</v>
      </c>
      <c r="H97" t="inlineStr">
        <is>
          <t>yes</t>
        </is>
      </c>
      <c r="I97" t="inlineStr">
        <is>
          <t>source model</t>
        </is>
      </c>
    </row>
    <row r="98">
      <c r="A98" t="inlineStr">
        <is>
          <t>REG-007</t>
        </is>
      </c>
      <c r="B98" t="inlineStr">
        <is>
          <t>Open regulatory actions</t>
        </is>
      </c>
      <c r="C98" t="inlineStr">
        <is>
          <t>A1,Group</t>
        </is>
      </c>
      <c r="D98" t="inlineStr">
        <is>
          <t>E07 G07</t>
        </is>
      </c>
      <c r="E98" t="n">
        <v>0</v>
      </c>
      <c r="F98" t="n">
        <v>0</v>
      </c>
      <c r="G98" t="n">
        <v>0</v>
      </c>
      <c r="H98" t="inlineStr">
        <is>
          <t>yes</t>
        </is>
      </c>
      <c r="I98" t="inlineStr">
        <is>
          <t>source model</t>
        </is>
      </c>
    </row>
    <row r="99">
      <c r="A99" t="inlineStr">
        <is>
          <t>REG-008</t>
        </is>
      </c>
      <c r="B99" t="inlineStr">
        <is>
          <t>Overdue compliance actions</t>
        </is>
      </c>
      <c r="C99" t="inlineStr">
        <is>
          <t>A1,Group</t>
        </is>
      </c>
      <c r="D99" t="inlineStr">
        <is>
          <t>E07 G07</t>
        </is>
      </c>
      <c r="E99" t="n">
        <v>0</v>
      </c>
      <c r="F99" t="n">
        <v>0</v>
      </c>
      <c r="G99" t="n">
        <v>0</v>
      </c>
      <c r="H99" t="inlineStr">
        <is>
          <t>yes</t>
        </is>
      </c>
      <c r="I99" t="inlineStr">
        <is>
          <t>source model</t>
        </is>
      </c>
    </row>
    <row r="100">
      <c r="A100" t="inlineStr">
        <is>
          <t>REG-009</t>
        </is>
      </c>
      <c r="B100" t="inlineStr">
        <is>
          <t>Disclosure-clock status</t>
        </is>
      </c>
      <c r="C100" t="inlineStr">
        <is>
          <t>Group</t>
        </is>
      </c>
      <c r="D100" t="inlineStr">
        <is>
          <t>O05</t>
        </is>
      </c>
      <c r="E100" t="inlineStr">
        <is>
          <t>Not triggered</t>
        </is>
      </c>
      <c r="F100" t="inlineStr">
        <is>
          <t>Not triggered</t>
        </is>
      </c>
      <c r="G100" t="inlineStr">
        <is>
          <t>Not triggered</t>
        </is>
      </c>
      <c r="H100" t="inlineStr">
        <is>
          <t>yes</t>
        </is>
      </c>
      <c r="I100" t="inlineStr">
        <is>
          <t>source model</t>
        </is>
      </c>
    </row>
    <row r="101">
      <c r="A101" t="inlineStr">
        <is>
          <t>REG-010</t>
        </is>
      </c>
      <c r="B101" t="inlineStr">
        <is>
          <t>Regulatory breaches YTD</t>
        </is>
      </c>
      <c r="C101" t="inlineStr">
        <is>
          <t>A1,Group</t>
        </is>
      </c>
      <c r="D101" t="inlineStr">
        <is>
          <t>E07 G01 G01b O05</t>
        </is>
      </c>
      <c r="E101" t="n">
        <v>0</v>
      </c>
      <c r="F101" t="n">
        <v>0</v>
      </c>
      <c r="G101" t="n">
        <v>0</v>
      </c>
      <c r="H101" t="inlineStr">
        <is>
          <t>yes</t>
        </is>
      </c>
      <c r="I101" t="inlineStr">
        <is>
          <t>source model</t>
        </is>
      </c>
    </row>
    <row r="102">
      <c r="A102" t="inlineStr">
        <is>
          <t>REG-011</t>
        </is>
      </c>
      <c r="B102" t="inlineStr">
        <is>
          <t>Disclosure clock, hours remaining</t>
        </is>
      </c>
      <c r="C102" t="inlineStr">
        <is>
          <t>A1</t>
        </is>
      </c>
      <c r="D102" t="inlineStr">
        <is>
          <t>E07</t>
        </is>
      </c>
      <c r="E102" t="n">
        <v>38</v>
      </c>
      <c r="F102" t="n">
        <v>38</v>
      </c>
      <c r="G102" t="n">
        <v>999</v>
      </c>
      <c r="H102" t="inlineStr">
        <is>
          <t>no</t>
        </is>
      </c>
      <c r="I102" t="inlineStr">
        <is>
          <t>added (synthetic inputs)</t>
        </is>
      </c>
    </row>
    <row r="103">
      <c r="A103" t="inlineStr">
        <is>
          <t>REL-001</t>
        </is>
      </c>
      <c r="B103" t="inlineStr">
        <is>
          <t>MTBF</t>
        </is>
      </c>
      <c r="C103" t="inlineStr">
        <is>
          <t>A1,A2,Group</t>
        </is>
      </c>
      <c r="D103" t="inlineStr">
        <is>
          <t>E03 G05 O09</t>
        </is>
      </c>
      <c r="E103" t="n">
        <v>269.69</v>
      </c>
      <c r="F103" t="n">
        <v>165.35</v>
      </c>
      <c r="G103" t="n">
        <v>687.0700000000001</v>
      </c>
      <c r="H103" t="inlineStr">
        <is>
          <t>yes</t>
        </is>
      </c>
      <c r="I103" t="inlineStr">
        <is>
          <t>source model</t>
        </is>
      </c>
    </row>
    <row r="104">
      <c r="A104" t="inlineStr">
        <is>
          <t>REL-002</t>
        </is>
      </c>
      <c r="B104" t="inlineStr">
        <is>
          <t>Mean Time to Repair</t>
        </is>
      </c>
      <c r="C104" t="inlineStr">
        <is>
          <t>A1,A2,Group</t>
        </is>
      </c>
      <c r="D104" t="inlineStr">
        <is>
          <t>E03 G05 O09</t>
        </is>
      </c>
      <c r="E104" t="n">
        <v>7.83</v>
      </c>
      <c r="F104" t="n">
        <v>8.24</v>
      </c>
      <c r="G104" t="n">
        <v>6.17</v>
      </c>
      <c r="H104" t="inlineStr">
        <is>
          <t>yes</t>
        </is>
      </c>
      <c r="I104" t="inlineStr">
        <is>
          <t>source model</t>
        </is>
      </c>
    </row>
    <row r="105">
      <c r="A105" t="inlineStr">
        <is>
          <t>REL-003</t>
        </is>
      </c>
      <c r="B105" t="inlineStr">
        <is>
          <t>Unplanned downtime</t>
        </is>
      </c>
      <c r="C105" t="inlineStr">
        <is>
          <t>A1,A2,Group</t>
        </is>
      </c>
      <c r="D105" t="inlineStr">
        <is>
          <t>E03 G05 O09</t>
        </is>
      </c>
      <c r="E105" t="n">
        <v>154.4</v>
      </c>
      <c r="F105" t="n">
        <v>120.7</v>
      </c>
      <c r="G105" t="n">
        <v>33.7</v>
      </c>
      <c r="H105" t="inlineStr">
        <is>
          <t>yes</t>
        </is>
      </c>
      <c r="I105" t="inlineStr">
        <is>
          <t>source model</t>
        </is>
      </c>
    </row>
    <row r="106">
      <c r="A106" t="inlineStr">
        <is>
          <t>REL-004</t>
        </is>
      </c>
      <c r="B106" t="inlineStr">
        <is>
          <t>Production loss from downtime</t>
        </is>
      </c>
      <c r="C106" t="inlineStr">
        <is>
          <t>A1,Group</t>
        </is>
      </c>
      <c r="D106" t="inlineStr">
        <is>
          <t>E03 G05</t>
        </is>
      </c>
      <c r="E106" t="n">
        <v>27176</v>
      </c>
      <c r="F106" t="n">
        <v>21684</v>
      </c>
      <c r="G106" t="n">
        <v>5492</v>
      </c>
      <c r="H106" t="inlineStr">
        <is>
          <t>yes</t>
        </is>
      </c>
      <c r="I106" t="inlineStr">
        <is>
          <t>source model</t>
        </is>
      </c>
    </row>
    <row r="107">
      <c r="A107" t="inlineStr">
        <is>
          <t>REL-005</t>
        </is>
      </c>
      <c r="B107" t="inlineStr">
        <is>
          <t>Preventive-maintenance compliance</t>
        </is>
      </c>
      <c r="C107" t="inlineStr">
        <is>
          <t>A1,A2</t>
        </is>
      </c>
      <c r="D107" t="inlineStr">
        <is>
          <t>E03 O09</t>
        </is>
      </c>
      <c r="E107" t="n">
        <v>95.62</v>
      </c>
      <c r="F107" t="n">
        <v>93.43000000000001</v>
      </c>
      <c r="G107" t="n">
        <v>97.81</v>
      </c>
      <c r="H107" t="inlineStr">
        <is>
          <t>yes</t>
        </is>
      </c>
      <c r="I107" t="inlineStr">
        <is>
          <t>source model</t>
        </is>
      </c>
    </row>
    <row r="108">
      <c r="A108" t="inlineStr">
        <is>
          <t>RSK-001</t>
        </is>
      </c>
      <c r="B108" t="inlineStr">
        <is>
          <t>Open critical alerts (same measure as EFF-002)</t>
        </is>
      </c>
      <c r="C108" t="inlineStr">
        <is>
          <t>Group</t>
        </is>
      </c>
      <c r="D108" t="inlineStr">
        <is>
          <t>X L</t>
        </is>
      </c>
      <c r="E108" t="n">
        <v>1</v>
      </c>
      <c r="F108" t="n">
        <v>1</v>
      </c>
      <c r="G108" t="n">
        <v>0</v>
      </c>
      <c r="H108" t="inlineStr">
        <is>
          <t>no</t>
        </is>
      </c>
      <c r="I108" t="inlineStr">
        <is>
          <t>alias of EFF-002</t>
        </is>
      </c>
    </row>
    <row r="109">
      <c r="A109" t="inlineStr">
        <is>
          <t>RSK-002</t>
        </is>
      </c>
      <c r="B109" t="inlineStr">
        <is>
          <t>Severity incidents (same measure as EHS-002)</t>
        </is>
      </c>
      <c r="C109" t="inlineStr">
        <is>
          <t>Group</t>
        </is>
      </c>
      <c r="D109" t="inlineStr">
        <is>
          <t>X L</t>
        </is>
      </c>
      <c r="E109" t="n">
        <v>3</v>
      </c>
      <c r="F109" t="n">
        <v>1</v>
      </c>
      <c r="G109" t="n">
        <v>2</v>
      </c>
      <c r="H109" t="inlineStr">
        <is>
          <t>yes</t>
        </is>
      </c>
      <c r="I109" t="inlineStr">
        <is>
          <t>alias of EHS-002</t>
        </is>
      </c>
    </row>
    <row r="110">
      <c r="A110" t="inlineStr">
        <is>
          <t>RSK-003</t>
        </is>
      </c>
      <c r="B110" t="inlineStr">
        <is>
          <t>Regulatory breaches YTD (same measure as REG-010)</t>
        </is>
      </c>
      <c r="C110" t="inlineStr">
        <is>
          <t>Group</t>
        </is>
      </c>
      <c r="D110" t="inlineStr">
        <is>
          <t>O01 X L</t>
        </is>
      </c>
      <c r="E110" t="n">
        <v>0</v>
      </c>
      <c r="F110" t="n">
        <v>0</v>
      </c>
      <c r="G110" t="n">
        <v>0</v>
      </c>
      <c r="H110" t="inlineStr">
        <is>
          <t>yes</t>
        </is>
      </c>
      <c r="I110" t="inlineStr">
        <is>
          <t>alias of REG-010</t>
        </is>
      </c>
    </row>
    <row r="111">
      <c r="A111" t="inlineStr">
        <is>
          <t>SIG-001</t>
        </is>
      </c>
      <c r="B111" t="inlineStr">
        <is>
          <t>Unplanned downtime (same measure as REL-003)</t>
        </is>
      </c>
      <c r="C111" t="inlineStr">
        <is>
          <t>A1,Group</t>
        </is>
      </c>
      <c r="D111" t="inlineStr">
        <is>
          <t>O02 S12 S12e</t>
        </is>
      </c>
      <c r="E111" t="n">
        <v>154.4</v>
      </c>
      <c r="F111" t="n">
        <v>120.7</v>
      </c>
      <c r="G111" t="n">
        <v>33.7</v>
      </c>
      <c r="H111" t="inlineStr">
        <is>
          <t>yes</t>
        </is>
      </c>
      <c r="I111" t="inlineStr">
        <is>
          <t>alias of REL-003</t>
        </is>
      </c>
    </row>
    <row r="112">
      <c r="A112" t="inlineStr">
        <is>
          <t>SIG-002</t>
        </is>
      </c>
      <c r="B112" t="inlineStr">
        <is>
          <t>Yield (same measure as PLT-005)</t>
        </is>
      </c>
      <c r="C112" t="inlineStr">
        <is>
          <t>A1,Group</t>
        </is>
      </c>
      <c r="D112" t="inlineStr">
        <is>
          <t>E02 S12 S12e</t>
        </is>
      </c>
      <c r="E112" t="n">
        <v>91.93000000000001</v>
      </c>
      <c r="F112" t="n">
        <v>91.45999999999999</v>
      </c>
      <c r="G112" t="n">
        <v>92.42</v>
      </c>
      <c r="H112" t="inlineStr">
        <is>
          <t>yes</t>
        </is>
      </c>
      <c r="I112" t="inlineStr">
        <is>
          <t>alias of PLT-005</t>
        </is>
      </c>
    </row>
    <row r="113">
      <c r="A113" t="inlineStr">
        <is>
          <t>SIG-003</t>
        </is>
      </c>
      <c r="B113" t="inlineStr">
        <is>
          <t>Recovery percentage (same measure as PLT-004)</t>
        </is>
      </c>
      <c r="C113" t="inlineStr">
        <is>
          <t>A1,Group</t>
        </is>
      </c>
      <c r="D113" t="inlineStr">
        <is>
          <t>E02 S12</t>
        </is>
      </c>
      <c r="E113" t="n">
        <v>87.34999999999999</v>
      </c>
      <c r="F113" t="n">
        <v>87.47</v>
      </c>
      <c r="G113" t="n">
        <v>87.23</v>
      </c>
      <c r="H113" t="inlineStr">
        <is>
          <t>yes</t>
        </is>
      </c>
      <c r="I113" t="inlineStr">
        <is>
          <t>alias of PLT-004</t>
        </is>
      </c>
    </row>
    <row r="114">
      <c r="A114" t="inlineStr">
        <is>
          <t>SIG-004</t>
        </is>
      </c>
      <c r="B114" t="inlineStr">
        <is>
          <t>Collections slippage</t>
        </is>
      </c>
      <c r="C114" t="inlineStr">
        <is>
          <t>A1,Group</t>
        </is>
      </c>
      <c r="D114" t="inlineStr">
        <is>
          <t>E05 G04 O02 S12 S12e</t>
        </is>
      </c>
      <c r="E114" t="n">
        <v>1.12</v>
      </c>
      <c r="F114" t="n">
        <v>1.94</v>
      </c>
      <c r="G114" t="n">
        <v>0.21</v>
      </c>
      <c r="H114" t="inlineStr">
        <is>
          <t>no</t>
        </is>
      </c>
      <c r="I114" t="inlineStr">
        <is>
          <t>source model</t>
        </is>
      </c>
    </row>
    <row r="115">
      <c r="A115" t="inlineStr">
        <is>
          <t>SIG-005</t>
        </is>
      </c>
      <c r="B115" t="inlineStr">
        <is>
          <t>Payment delays</t>
        </is>
      </c>
      <c r="C115" t="inlineStr">
        <is>
          <t>A1,Group</t>
        </is>
      </c>
      <c r="D115" t="inlineStr">
        <is>
          <t>E05 G04 S12 S12e</t>
        </is>
      </c>
      <c r="E115" t="n">
        <v>3</v>
      </c>
      <c r="F115" t="n">
        <v>2</v>
      </c>
      <c r="G115" t="n">
        <v>1</v>
      </c>
      <c r="H115" t="inlineStr">
        <is>
          <t>no</t>
        </is>
      </c>
      <c r="I115" t="inlineStr">
        <is>
          <t>source model</t>
        </is>
      </c>
    </row>
    <row r="116">
      <c r="A116" t="inlineStr">
        <is>
          <t>SIG-006</t>
        </is>
      </c>
      <c r="B116" t="inlineStr">
        <is>
          <t>Cash burn signal</t>
        </is>
      </c>
      <c r="C116" t="inlineStr">
        <is>
          <t>Group</t>
        </is>
      </c>
      <c r="D116" t="inlineStr">
        <is>
          <t>S12</t>
        </is>
      </c>
      <c r="E116" t="inlineStr">
        <is>
          <t>Not triggered</t>
        </is>
      </c>
      <c r="F116" t="inlineStr">
        <is>
          <t>Not triggered</t>
        </is>
      </c>
      <c r="G116" t="inlineStr">
        <is>
          <t>Not triggered</t>
        </is>
      </c>
      <c r="H116" t="inlineStr">
        <is>
          <t>no</t>
        </is>
      </c>
      <c r="I116" t="inlineStr">
        <is>
          <t>source model</t>
        </is>
      </c>
    </row>
    <row r="117">
      <c r="A117" t="inlineStr">
        <is>
          <t>SIG-007</t>
        </is>
      </c>
      <c r="B117" t="inlineStr">
        <is>
          <t>Production at risk</t>
        </is>
      </c>
      <c r="C117" t="inlineStr">
        <is>
          <t>A1,Group,Plant02</t>
        </is>
      </c>
      <c r="D117" t="inlineStr">
        <is>
          <t>E01 E02 E05 O02 S10 S12 S12e</t>
        </is>
      </c>
      <c r="E117" t="n">
        <v>36810</v>
      </c>
      <c r="F117" t="n">
        <v>30930</v>
      </c>
      <c r="G117" t="n">
        <v>5880</v>
      </c>
      <c r="H117" t="inlineStr">
        <is>
          <t>yes</t>
        </is>
      </c>
      <c r="I117" t="inlineStr">
        <is>
          <t>source model</t>
        </is>
      </c>
    </row>
    <row r="118">
      <c r="A118" t="inlineStr">
        <is>
          <t>SIG-008</t>
        </is>
      </c>
      <c r="B118" t="inlineStr">
        <is>
          <t>Critical plant-state alerts</t>
        </is>
      </c>
      <c r="C118" t="inlineStr">
        <is>
          <t>A1,Group</t>
        </is>
      </c>
      <c r="D118" t="inlineStr">
        <is>
          <t>E03 S12 S12e</t>
        </is>
      </c>
      <c r="E118" t="n">
        <v>7</v>
      </c>
      <c r="F118" t="n">
        <v>5</v>
      </c>
      <c r="G118" t="n">
        <v>2</v>
      </c>
      <c r="H118" t="inlineStr">
        <is>
          <t>yes</t>
        </is>
      </c>
      <c r="I118" t="inlineStr">
        <is>
          <t>source model</t>
        </is>
      </c>
    </row>
    <row r="119">
      <c r="A119" t="inlineStr">
        <is>
          <t>SIG-009</t>
        </is>
      </c>
      <c r="B119" t="inlineStr">
        <is>
          <t>Critical-material shortage risk</t>
        </is>
      </c>
      <c r="C119" t="inlineStr">
        <is>
          <t>A1,Group</t>
        </is>
      </c>
      <c r="D119" t="inlineStr">
        <is>
          <t>E01 E04 O02 S10 S12 S12e</t>
        </is>
      </c>
      <c r="E119" t="n">
        <v>5</v>
      </c>
      <c r="F119" t="n">
        <v>4</v>
      </c>
      <c r="G119" t="n">
        <v>1</v>
      </c>
      <c r="H119" t="inlineStr">
        <is>
          <t>yes</t>
        </is>
      </c>
      <c r="I119" t="inlineStr">
        <is>
          <t>source model</t>
        </is>
      </c>
    </row>
    <row r="120">
      <c r="A120" t="inlineStr">
        <is>
          <t>SIG-010</t>
        </is>
      </c>
      <c r="B120" t="inlineStr">
        <is>
          <t>Single-source supply risk</t>
        </is>
      </c>
      <c r="C120" t="inlineStr">
        <is>
          <t>A1,Group</t>
        </is>
      </c>
      <c r="D120" t="inlineStr">
        <is>
          <t>E01 E04 S12 S12e</t>
        </is>
      </c>
      <c r="E120" t="n">
        <v>1</v>
      </c>
      <c r="F120" t="n">
        <v>1</v>
      </c>
      <c r="G120" t="n">
        <v>0</v>
      </c>
      <c r="H120" t="inlineStr">
        <is>
          <t>no</t>
        </is>
      </c>
      <c r="I120" t="inlineStr">
        <is>
          <t>added (synthetic inputs)</t>
        </is>
      </c>
    </row>
    <row r="121">
      <c r="A121" t="inlineStr">
        <is>
          <t>SIG-011</t>
        </is>
      </c>
      <c r="B121" t="inlineStr">
        <is>
          <t>Capex value at risk</t>
        </is>
      </c>
      <c r="C121" t="inlineStr">
        <is>
          <t>A1,Group</t>
        </is>
      </c>
      <c r="D121" t="inlineStr">
        <is>
          <t>E06 G06 O04 S12 S12e</t>
        </is>
      </c>
      <c r="E121" t="n">
        <v>148.03</v>
      </c>
      <c r="F121" t="n">
        <v>20.8</v>
      </c>
      <c r="G121" t="n">
        <v>127.23</v>
      </c>
      <c r="H121" t="inlineStr">
        <is>
          <t>no</t>
        </is>
      </c>
      <c r="I121" t="inlineStr">
        <is>
          <t>source model</t>
        </is>
      </c>
    </row>
    <row r="122">
      <c r="A122" t="inlineStr">
        <is>
          <t>SIG-012</t>
        </is>
      </c>
      <c r="B122" t="inlineStr">
        <is>
          <t>Dispatch delays</t>
        </is>
      </c>
      <c r="C122" t="inlineStr">
        <is>
          <t>A1,Group</t>
        </is>
      </c>
      <c r="D122" t="inlineStr">
        <is>
          <t>E05 O02 S11 S12 S12e</t>
        </is>
      </c>
      <c r="E122" t="n">
        <v>8.66</v>
      </c>
      <c r="F122" t="n">
        <v>10.91</v>
      </c>
      <c r="G122" t="n">
        <v>6.1</v>
      </c>
      <c r="H122" t="inlineStr">
        <is>
          <t>yes</t>
        </is>
      </c>
      <c r="I122" t="inlineStr">
        <is>
          <t>source model</t>
        </is>
      </c>
    </row>
    <row r="123">
      <c r="A123" t="inlineStr">
        <is>
          <t>SIG-013</t>
        </is>
      </c>
      <c r="B123" t="inlineStr">
        <is>
          <t>Pricing pressure</t>
        </is>
      </c>
      <c r="C123" t="inlineStr">
        <is>
          <t>Group</t>
        </is>
      </c>
      <c r="D123" t="inlineStr">
        <is>
          <t>G03 S12</t>
        </is>
      </c>
      <c r="E123" t="inlineStr">
        <is>
          <t>Low (-0.4% vs plan price)</t>
        </is>
      </c>
      <c r="F123" t="inlineStr">
        <is>
          <t>Low (-0.9% vs plan price)</t>
        </is>
      </c>
      <c r="G123" t="inlineStr">
        <is>
          <t>Low (0% vs plan price)</t>
        </is>
      </c>
      <c r="H123" t="inlineStr">
        <is>
          <t>yes</t>
        </is>
      </c>
      <c r="I123" t="inlineStr">
        <is>
          <t>source model</t>
        </is>
      </c>
    </row>
    <row r="124">
      <c r="A124" t="inlineStr">
        <is>
          <t>SIG-014</t>
        </is>
      </c>
      <c r="B124" t="inlineStr">
        <is>
          <t>Commodity-price movement (RM-1 index)</t>
        </is>
      </c>
      <c r="C124" t="inlineStr">
        <is>
          <t>Group</t>
        </is>
      </c>
      <c r="D124" t="inlineStr">
        <is>
          <t>G03 O02 S12</t>
        </is>
      </c>
      <c r="E124" t="n">
        <v>2.13</v>
      </c>
      <c r="F124" t="n">
        <v>2.13</v>
      </c>
      <c r="G124" t="n">
        <v>2.13</v>
      </c>
      <c r="H124" t="inlineStr">
        <is>
          <t>no</t>
        </is>
      </c>
      <c r="I124" t="inlineStr">
        <is>
          <t>added (synthetic inputs)</t>
        </is>
      </c>
    </row>
    <row r="125">
      <c r="A125" t="inlineStr">
        <is>
          <t>SIG-015</t>
        </is>
      </c>
      <c r="B125" t="inlineStr">
        <is>
          <t>FX exposure, unhedged (same measure as TRS-001)</t>
        </is>
      </c>
      <c r="C125" t="inlineStr">
        <is>
          <t>Group</t>
        </is>
      </c>
      <c r="D125" t="inlineStr">
        <is>
          <t>G03 O02 S12</t>
        </is>
      </c>
      <c r="E125" t="n">
        <v>221.72</v>
      </c>
      <c r="F125" t="n">
        <v>123.27</v>
      </c>
      <c r="G125" t="n">
        <v>98.45999999999999</v>
      </c>
      <c r="H125" t="inlineStr">
        <is>
          <t>no</t>
        </is>
      </c>
      <c r="I125" t="inlineStr">
        <is>
          <t>alias of TRS-001</t>
        </is>
      </c>
    </row>
    <row r="126">
      <c r="A126" t="inlineStr">
        <is>
          <t>SIG-016</t>
        </is>
      </c>
      <c r="B126" t="inlineStr">
        <is>
          <t>Freight exposure (lanes disrupted)</t>
        </is>
      </c>
      <c r="C126" t="inlineStr">
        <is>
          <t>A1,Group</t>
        </is>
      </c>
      <c r="D126" t="inlineStr">
        <is>
          <t>G03 O02 S12 S12e</t>
        </is>
      </c>
      <c r="E126" t="n">
        <v>1</v>
      </c>
      <c r="F126" t="n">
        <v>1</v>
      </c>
      <c r="G126" t="n">
        <v>0</v>
      </c>
      <c r="H126" t="inlineStr">
        <is>
          <t>no</t>
        </is>
      </c>
      <c r="I126" t="inlineStr">
        <is>
          <t>added (synthetic inputs)</t>
        </is>
      </c>
    </row>
    <row r="127">
      <c r="A127" t="inlineStr">
        <is>
          <t>SIG-017</t>
        </is>
      </c>
      <c r="B127" t="inlineStr">
        <is>
          <t>Fuel exposure (fuel cost per tonne, MoM)</t>
        </is>
      </c>
      <c r="C127" t="inlineStr">
        <is>
          <t>A1,Group</t>
        </is>
      </c>
      <c r="D127" t="inlineStr">
        <is>
          <t>G03 O02 S12 S12e</t>
        </is>
      </c>
      <c r="E127" t="n">
        <v>-17.66</v>
      </c>
      <c r="F127" t="n">
        <v>-27.67</v>
      </c>
      <c r="G127" t="n">
        <v>-5.67</v>
      </c>
      <c r="H127" t="inlineStr">
        <is>
          <t>yes</t>
        </is>
      </c>
      <c r="I127" t="inlineStr">
        <is>
          <t>added (synthetic inputs)</t>
        </is>
      </c>
    </row>
    <row r="128">
      <c r="A128" t="inlineStr">
        <is>
          <t>SIG-018</t>
        </is>
      </c>
      <c r="B128" t="inlineStr">
        <is>
          <t>Power-cost exposure (power cost per tonne, MoM)</t>
        </is>
      </c>
      <c r="C128" t="inlineStr">
        <is>
          <t>Group</t>
        </is>
      </c>
      <c r="D128" t="inlineStr">
        <is>
          <t>G03 O02 S12</t>
        </is>
      </c>
      <c r="E128" t="n">
        <v>-7.14</v>
      </c>
      <c r="F128" t="n">
        <v>-10.59</v>
      </c>
      <c r="G128" t="n">
        <v>-3.1</v>
      </c>
      <c r="H128" t="inlineStr">
        <is>
          <t>yes</t>
        </is>
      </c>
      <c r="I128" t="inlineStr">
        <is>
          <t>added (synthetic inputs)</t>
        </is>
      </c>
    </row>
    <row r="129">
      <c r="A129" t="inlineStr">
        <is>
          <t>SIG-019</t>
        </is>
      </c>
      <c r="B129" t="inlineStr">
        <is>
          <t>Regulatory deadlines, next 30 days (same measure as REG-002)</t>
        </is>
      </c>
      <c r="C129" t="inlineStr">
        <is>
          <t>A1,Group</t>
        </is>
      </c>
      <c r="D129" t="inlineStr">
        <is>
          <t>O02 S12 S12e</t>
        </is>
      </c>
      <c r="E129" t="n">
        <v>3</v>
      </c>
      <c r="F129" t="n">
        <v>2</v>
      </c>
      <c r="G129" t="n">
        <v>1</v>
      </c>
      <c r="H129" t="inlineStr">
        <is>
          <t>yes</t>
        </is>
      </c>
      <c r="I129" t="inlineStr">
        <is>
          <t>alias of REG-002</t>
        </is>
      </c>
    </row>
    <row r="130">
      <c r="A130" t="inlineStr">
        <is>
          <t>SIG-020</t>
        </is>
      </c>
      <c r="B130" t="inlineStr">
        <is>
          <t>Licence expirations, next 12 months (same measure as REG-003)</t>
        </is>
      </c>
      <c r="C130" t="inlineStr">
        <is>
          <t>A1,Group</t>
        </is>
      </c>
      <c r="D130" t="inlineStr">
        <is>
          <t>O02 S12 S12e</t>
        </is>
      </c>
      <c r="E130" t="n">
        <v>1</v>
      </c>
      <c r="F130" t="n">
        <v>1</v>
      </c>
      <c r="G130" t="n">
        <v>0</v>
      </c>
      <c r="H130" t="inlineStr">
        <is>
          <t>yes</t>
        </is>
      </c>
      <c r="I130" t="inlineStr">
        <is>
          <t>alias of REG-003</t>
        </is>
      </c>
    </row>
    <row r="131">
      <c r="A131" t="inlineStr">
        <is>
          <t>SIG-021</t>
        </is>
      </c>
      <c r="B131" t="inlineStr">
        <is>
          <t>Environmental violations</t>
        </is>
      </c>
      <c r="C131" t="inlineStr">
        <is>
          <t>A1,Group</t>
        </is>
      </c>
      <c r="D131" t="inlineStr">
        <is>
          <t>E07 O02 S12 S12e</t>
        </is>
      </c>
      <c r="E131" t="n">
        <v>0</v>
      </c>
      <c r="F131" t="n">
        <v>0</v>
      </c>
      <c r="G131" t="n">
        <v>0</v>
      </c>
      <c r="H131" t="inlineStr">
        <is>
          <t>yes</t>
        </is>
      </c>
      <c r="I131" t="inlineStr">
        <is>
          <t>source model</t>
        </is>
      </c>
    </row>
    <row r="132">
      <c r="A132" t="inlineStr">
        <is>
          <t>STR-001</t>
        </is>
      </c>
      <c r="B132" t="inlineStr">
        <is>
          <t>Capex physical progress, weighted (same measure as CPX-004)</t>
        </is>
      </c>
      <c r="C132" t="inlineStr">
        <is>
          <t>Group</t>
        </is>
      </c>
      <c r="D132" t="inlineStr">
        <is>
          <t>X L</t>
        </is>
      </c>
      <c r="E132" t="n">
        <v>60.85</v>
      </c>
      <c r="F132" t="n">
        <v>59</v>
      </c>
      <c r="G132" t="n">
        <v>63</v>
      </c>
      <c r="H132" t="inlineStr">
        <is>
          <t>no</t>
        </is>
      </c>
      <c r="I132" t="inlineStr">
        <is>
          <t>alias of CPX-004</t>
        </is>
      </c>
    </row>
    <row r="133">
      <c r="A133" t="inlineStr">
        <is>
          <t>STR-002</t>
        </is>
      </c>
      <c r="B133" t="inlineStr">
        <is>
          <t>Transformation progress</t>
        </is>
      </c>
      <c r="C133" t="inlineStr">
        <is>
          <t>Group</t>
        </is>
      </c>
      <c r="D133" t="inlineStr">
        <is>
          <t>G06 O01 X L</t>
        </is>
      </c>
      <c r="E133" t="n">
        <v>54.03</v>
      </c>
      <c r="F133" t="n">
        <v>53.33</v>
      </c>
      <c r="G133" t="n">
        <v>54.69</v>
      </c>
      <c r="H133" t="inlineStr">
        <is>
          <t>no</t>
        </is>
      </c>
      <c r="I133" t="inlineStr">
        <is>
          <t>source model</t>
        </is>
      </c>
    </row>
    <row r="134">
      <c r="A134" t="inlineStr">
        <is>
          <t>SUP-001</t>
        </is>
      </c>
      <c r="B134" t="inlineStr">
        <is>
          <t>Supplier on-time delivery</t>
        </is>
      </c>
      <c r="C134" t="inlineStr">
        <is>
          <t>A1,A2,Group</t>
        </is>
      </c>
      <c r="D134" t="inlineStr">
        <is>
          <t>E04 G05 O09</t>
        </is>
      </c>
      <c r="E134" t="n">
        <v>91.41</v>
      </c>
      <c r="F134" t="n">
        <v>90.39</v>
      </c>
      <c r="G134" t="n">
        <v>92.28</v>
      </c>
      <c r="H134" t="inlineStr">
        <is>
          <t>yes</t>
        </is>
      </c>
      <c r="I134" t="inlineStr">
        <is>
          <t>source model</t>
        </is>
      </c>
    </row>
    <row r="135">
      <c r="A135" t="inlineStr">
        <is>
          <t>SUP-002</t>
        </is>
      </c>
      <c r="B135" t="inlineStr">
        <is>
          <t>Supplier fill rate</t>
        </is>
      </c>
      <c r="C135" t="inlineStr">
        <is>
          <t>A1,A2</t>
        </is>
      </c>
      <c r="D135" t="inlineStr">
        <is>
          <t>E04 O09</t>
        </is>
      </c>
      <c r="E135" t="n">
        <v>96.81999999999999</v>
      </c>
      <c r="F135" t="n">
        <v>97.01000000000001</v>
      </c>
      <c r="G135" t="n">
        <v>96.61</v>
      </c>
      <c r="H135" t="inlineStr">
        <is>
          <t>yes</t>
        </is>
      </c>
      <c r="I135" t="inlineStr">
        <is>
          <t>source model</t>
        </is>
      </c>
    </row>
    <row r="136">
      <c r="A136" t="inlineStr">
        <is>
          <t>SUP-003</t>
        </is>
      </c>
      <c r="B136" t="inlineStr">
        <is>
          <t>Supplier quality-rejection rate</t>
        </is>
      </c>
      <c r="C136" t="inlineStr">
        <is>
          <t>A1</t>
        </is>
      </c>
      <c r="D136" t="inlineStr">
        <is>
          <t>E04</t>
        </is>
      </c>
      <c r="E136" t="n">
        <v>1.12</v>
      </c>
      <c r="F136" t="n">
        <v>0.97</v>
      </c>
      <c r="G136" t="n">
        <v>1.28</v>
      </c>
      <c r="H136" t="inlineStr">
        <is>
          <t>yes</t>
        </is>
      </c>
      <c r="I136" t="inlineStr">
        <is>
          <t>source model</t>
        </is>
      </c>
    </row>
    <row r="137">
      <c r="A137" t="inlineStr">
        <is>
          <t>SUP-004</t>
        </is>
      </c>
      <c r="B137" t="inlineStr">
        <is>
          <t>Supplier lead-time variance</t>
        </is>
      </c>
      <c r="C137" t="inlineStr">
        <is>
          <t>A1,Group</t>
        </is>
      </c>
      <c r="D137" t="inlineStr">
        <is>
          <t>E04 G05</t>
        </is>
      </c>
      <c r="E137" t="n">
        <v>5.25</v>
      </c>
      <c r="F137" t="n">
        <v>6.91</v>
      </c>
      <c r="G137" t="n">
        <v>3.65</v>
      </c>
      <c r="H137" t="inlineStr">
        <is>
          <t>yes</t>
        </is>
      </c>
      <c r="I137" t="inlineStr">
        <is>
          <t>source model</t>
        </is>
      </c>
    </row>
    <row r="138">
      <c r="A138" t="inlineStr">
        <is>
          <t>SUP-005</t>
        </is>
      </c>
      <c r="B138" t="inlineStr">
        <is>
          <t>Critical supplier exposure</t>
        </is>
      </c>
      <c r="C138" t="inlineStr">
        <is>
          <t>A1,Group</t>
        </is>
      </c>
      <c r="D138" t="inlineStr">
        <is>
          <t>E04 G05</t>
        </is>
      </c>
      <c r="E138" t="n">
        <v>3</v>
      </c>
      <c r="F138" t="n">
        <v>2</v>
      </c>
      <c r="G138" t="n">
        <v>1</v>
      </c>
      <c r="H138" t="inlineStr">
        <is>
          <t>no</t>
        </is>
      </c>
      <c r="I138" t="inlineStr">
        <is>
          <t>source model</t>
        </is>
      </c>
    </row>
    <row r="139">
      <c r="A139" t="inlineStr">
        <is>
          <t>SUP-006</t>
        </is>
      </c>
      <c r="B139" t="inlineStr">
        <is>
          <t>Contractor slippage</t>
        </is>
      </c>
      <c r="C139" t="inlineStr">
        <is>
          <t>A1,Group</t>
        </is>
      </c>
      <c r="D139" t="inlineStr">
        <is>
          <t>E04 E06 G06</t>
        </is>
      </c>
      <c r="E139" t="n">
        <v>1.73</v>
      </c>
      <c r="F139" t="n">
        <v>2.5</v>
      </c>
      <c r="G139" t="n">
        <v>1.29</v>
      </c>
      <c r="H139" t="inlineStr">
        <is>
          <t>no</t>
        </is>
      </c>
      <c r="I139" t="inlineStr">
        <is>
          <t>source model</t>
        </is>
      </c>
    </row>
    <row r="140">
      <c r="A140" t="inlineStr">
        <is>
          <t>SUS-001</t>
        </is>
      </c>
      <c r="B140" t="inlineStr">
        <is>
          <t>Water usage</t>
        </is>
      </c>
      <c r="C140" t="inlineStr">
        <is>
          <t>A1,Group</t>
        </is>
      </c>
      <c r="D140" t="inlineStr">
        <is>
          <t>E02 E07 G05 G07 O05</t>
        </is>
      </c>
      <c r="E140" t="n">
        <v>1450141</v>
      </c>
      <c r="F140" t="n">
        <v>741310</v>
      </c>
      <c r="G140" t="n">
        <v>708831</v>
      </c>
      <c r="H140" t="inlineStr">
        <is>
          <t>yes</t>
        </is>
      </c>
      <c r="I140" t="inlineStr">
        <is>
          <t>source model</t>
        </is>
      </c>
    </row>
    <row r="141">
      <c r="A141" t="inlineStr">
        <is>
          <t>SUS-002</t>
        </is>
      </c>
      <c r="B141" t="inlineStr">
        <is>
          <t>Emissions</t>
        </is>
      </c>
      <c r="C141" t="inlineStr">
        <is>
          <t>A1,Group</t>
        </is>
      </c>
      <c r="D141" t="inlineStr">
        <is>
          <t>E02 E07 G05 G07 O05</t>
        </is>
      </c>
      <c r="E141" t="n">
        <v>427664</v>
      </c>
      <c r="F141" t="n">
        <v>219505</v>
      </c>
      <c r="G141" t="n">
        <v>208159</v>
      </c>
      <c r="H141" t="inlineStr">
        <is>
          <t>yes</t>
        </is>
      </c>
      <c r="I141" t="inlineStr">
        <is>
          <t>source model</t>
        </is>
      </c>
    </row>
    <row r="142">
      <c r="A142" t="inlineStr">
        <is>
          <t>SUS-003</t>
        </is>
      </c>
      <c r="B142" t="inlineStr">
        <is>
          <t>Energy intensity</t>
        </is>
      </c>
      <c r="C142" t="inlineStr">
        <is>
          <t>A1,Group</t>
        </is>
      </c>
      <c r="D142" t="inlineStr">
        <is>
          <t>E02 E07 G05 G07 O05</t>
        </is>
      </c>
      <c r="E142" t="n">
        <v>3.42</v>
      </c>
      <c r="F142" t="n">
        <v>3.61</v>
      </c>
      <c r="G142" t="n">
        <v>3.23</v>
      </c>
      <c r="H142" t="inlineStr">
        <is>
          <t>yes</t>
        </is>
      </c>
      <c r="I142" t="inlineStr">
        <is>
          <t>source model</t>
        </is>
      </c>
    </row>
    <row r="143">
      <c r="A143" t="inlineStr">
        <is>
          <t>TRS-001</t>
        </is>
      </c>
      <c r="B143" t="inlineStr">
        <is>
          <t>FX exposure, unhedged</t>
        </is>
      </c>
      <c r="C143" t="inlineStr">
        <is>
          <t>A1,Group</t>
        </is>
      </c>
      <c r="D143" t="inlineStr">
        <is>
          <t>E05 G04</t>
        </is>
      </c>
      <c r="E143" t="n">
        <v>221.72</v>
      </c>
      <c r="F143" t="n">
        <v>123.27</v>
      </c>
      <c r="G143" t="n">
        <v>98.45999999999999</v>
      </c>
      <c r="H143" t="inlineStr">
        <is>
          <t>no</t>
        </is>
      </c>
      <c r="I143" t="inlineStr">
        <is>
          <t>source model</t>
        </is>
      </c>
    </row>
    <row r="144">
      <c r="A144" t="inlineStr">
        <is>
          <t>TRS-002</t>
        </is>
      </c>
      <c r="B144" t="inlineStr">
        <is>
          <t>Hedging effectiveness</t>
        </is>
      </c>
      <c r="C144" t="inlineStr">
        <is>
          <t>A1,Group</t>
        </is>
      </c>
      <c r="D144" t="inlineStr">
        <is>
          <t>E05 G04</t>
        </is>
      </c>
      <c r="E144" t="n">
        <v>91.7</v>
      </c>
      <c r="F144" t="n">
        <v>91.55</v>
      </c>
      <c r="G144" t="n">
        <v>91.95999999999999</v>
      </c>
      <c r="H144" t="inlineStr">
        <is>
          <t>no</t>
        </is>
      </c>
      <c r="I144" t="inlineStr">
        <is>
          <t>source model</t>
        </is>
      </c>
    </row>
    <row r="145">
      <c r="A145" t="inlineStr">
        <is>
          <t>TRS-004</t>
        </is>
      </c>
      <c r="B145" t="inlineStr">
        <is>
          <t>Hedge cover, next 6 months</t>
        </is>
      </c>
      <c r="C145" t="inlineStr">
        <is>
          <t>A1,Group</t>
        </is>
      </c>
      <c r="D145" t="inlineStr">
        <is>
          <t>E05 G04 O03</t>
        </is>
      </c>
      <c r="E145" t="n">
        <v>70.65000000000001</v>
      </c>
      <c r="F145" t="n">
        <v>77.90000000000001</v>
      </c>
      <c r="G145" t="n">
        <v>61.09</v>
      </c>
      <c r="H145" t="inlineStr">
        <is>
          <t>no</t>
        </is>
      </c>
      <c r="I145" t="inlineStr">
        <is>
          <t>source model</t>
        </is>
      </c>
    </row>
    <row r="146">
      <c r="A146" t="inlineStr">
        <is>
          <t>TRU-001</t>
        </is>
      </c>
      <c r="B146" t="inlineStr">
        <is>
          <t>Certified KPI percentage</t>
        </is>
      </c>
      <c r="C146" t="inlineStr">
        <is>
          <t>A1,Group</t>
        </is>
      </c>
      <c r="D146" t="inlineStr">
        <is>
          <t>E08 G01 G01b G02 G08 G08o</t>
        </is>
      </c>
      <c r="E146" t="n">
        <v>83.93000000000001</v>
      </c>
      <c r="F146" t="n">
        <v>82.14</v>
      </c>
      <c r="G146" t="n">
        <v>85.70999999999999</v>
      </c>
      <c r="H146" t="inlineStr">
        <is>
          <t>no</t>
        </is>
      </c>
      <c r="I146" t="inlineStr">
        <is>
          <t>source model</t>
        </is>
      </c>
    </row>
    <row r="147">
      <c r="A147" t="inlineStr">
        <is>
          <t>TRU-002</t>
        </is>
      </c>
      <c r="B147" t="inlineStr">
        <is>
          <t>Uncertified KPI count</t>
        </is>
      </c>
      <c r="C147" t="inlineStr">
        <is>
          <t>Group</t>
        </is>
      </c>
      <c r="D147" t="inlineStr">
        <is>
          <t>G08 G08o</t>
        </is>
      </c>
      <c r="E147" t="n">
        <v>9</v>
      </c>
      <c r="F147" t="n">
        <v>5</v>
      </c>
      <c r="G147" t="n">
        <v>4</v>
      </c>
      <c r="H147" t="inlineStr">
        <is>
          <t>no</t>
        </is>
      </c>
      <c r="I147" t="inlineStr">
        <is>
          <t>source model</t>
        </is>
      </c>
    </row>
    <row r="148">
      <c r="A148" t="inlineStr">
        <is>
          <t>TRU-003</t>
        </is>
      </c>
      <c r="B148" t="inlineStr">
        <is>
          <t>Variance against Board number (EBITDA)</t>
        </is>
      </c>
      <c r="C148" t="inlineStr">
        <is>
          <t>Group</t>
        </is>
      </c>
      <c r="D148" t="inlineStr">
        <is>
          <t>G08</t>
        </is>
      </c>
      <c r="E148" t="n">
        <v>-0.22</v>
      </c>
      <c r="F148" t="n">
        <v>-0.17</v>
      </c>
      <c r="G148" t="n">
        <v>-0.27</v>
      </c>
      <c r="H148" t="inlineStr">
        <is>
          <t>no</t>
        </is>
      </c>
      <c r="I148" t="inlineStr">
        <is>
          <t>source model</t>
        </is>
      </c>
    </row>
    <row r="149">
      <c r="A149" t="inlineStr">
        <is>
          <t>TRU-004</t>
        </is>
      </c>
      <c r="B149" t="inlineStr">
        <is>
          <t>Open reconciliation breaks</t>
        </is>
      </c>
      <c r="C149" t="inlineStr">
        <is>
          <t>A1,Group</t>
        </is>
      </c>
      <c r="D149" t="inlineStr">
        <is>
          <t>E08 G08</t>
        </is>
      </c>
      <c r="E149" t="n">
        <v>1</v>
      </c>
      <c r="F149" t="n">
        <v>1</v>
      </c>
      <c r="G149" t="n">
        <v>0</v>
      </c>
      <c r="H149" t="inlineStr">
        <is>
          <t>no</t>
        </is>
      </c>
      <c r="I149" t="inlineStr">
        <is>
          <t>source model</t>
        </is>
      </c>
    </row>
    <row r="150">
      <c r="A150" t="inlineStr">
        <is>
          <t>TRU-005</t>
        </is>
      </c>
      <c r="B150" t="inlineStr">
        <is>
          <t>KPI certification coverage</t>
        </is>
      </c>
      <c r="C150" t="inlineStr">
        <is>
          <t>Group</t>
        </is>
      </c>
      <c r="D150" t="inlineStr">
        <is>
          <t>G08</t>
        </is>
      </c>
      <c r="E150" t="n">
        <v>92.86</v>
      </c>
      <c r="F150" t="n">
        <v>92.86</v>
      </c>
      <c r="G150" t="n">
        <v>92.86</v>
      </c>
      <c r="H150" t="inlineStr">
        <is>
          <t>no</t>
        </is>
      </c>
      <c r="I150" t="inlineStr">
        <is>
          <t>source model</t>
        </is>
      </c>
    </row>
    <row r="151">
      <c r="A151" t="inlineStr">
        <is>
          <t>TRU-006</t>
        </is>
      </c>
      <c r="B151" t="inlineStr">
        <is>
          <t>Overdue certifications</t>
        </is>
      </c>
      <c r="C151" t="inlineStr">
        <is>
          <t>A1,Group</t>
        </is>
      </c>
      <c r="D151" t="inlineStr">
        <is>
          <t>E08 G08</t>
        </is>
      </c>
      <c r="E151" t="n">
        <v>2</v>
      </c>
      <c r="F151" t="n">
        <v>0</v>
      </c>
      <c r="G151" t="n">
        <v>2</v>
      </c>
      <c r="H151" t="inlineStr">
        <is>
          <t>no</t>
        </is>
      </c>
      <c r="I151" t="inlineStr">
        <is>
          <t>source model</t>
        </is>
      </c>
    </row>
    <row r="152">
      <c r="A152" t="inlineStr">
        <is>
          <t>TRU-007</t>
        </is>
      </c>
      <c r="B152" t="inlineStr">
        <is>
          <t>Material reconciliation breaks</t>
        </is>
      </c>
      <c r="C152" t="inlineStr">
        <is>
          <t>Group</t>
        </is>
      </c>
      <c r="D152" t="inlineStr">
        <is>
          <t>G08 G08o</t>
        </is>
      </c>
      <c r="E152" t="n">
        <v>1</v>
      </c>
      <c r="F152" t="n">
        <v>1</v>
      </c>
      <c r="G152" t="n">
        <v>0</v>
      </c>
      <c r="H152" t="inlineStr">
        <is>
          <t>no</t>
        </is>
      </c>
      <c r="I152" t="inlineStr">
        <is>
          <t>source model</t>
        </is>
      </c>
    </row>
    <row r="153">
      <c r="A153" t="inlineStr">
        <is>
          <t>TRU-008</t>
        </is>
      </c>
      <c r="B153" t="inlineStr">
        <is>
          <t>Source-to-Lake reconciliation rate</t>
        </is>
      </c>
      <c r="C153" t="inlineStr">
        <is>
          <t>A1,Group</t>
        </is>
      </c>
      <c r="D153" t="inlineStr">
        <is>
          <t>E08 G08 G08o</t>
        </is>
      </c>
      <c r="E153" t="n">
        <v>99.02</v>
      </c>
      <c r="F153" t="n">
        <v>98.93000000000001</v>
      </c>
      <c r="G153" t="n">
        <v>99.11</v>
      </c>
      <c r="H153" t="inlineStr">
        <is>
          <t>no</t>
        </is>
      </c>
      <c r="I153" t="inlineStr">
        <is>
          <t>source model</t>
        </is>
      </c>
    </row>
    <row r="154">
      <c r="A154" t="inlineStr">
        <is>
          <t>TRU-009</t>
        </is>
      </c>
      <c r="B154" t="inlineStr">
        <is>
          <t>Flash-to-MIS reconciliation rate</t>
        </is>
      </c>
      <c r="C154" t="inlineStr">
        <is>
          <t>A1,Group</t>
        </is>
      </c>
      <c r="D154" t="inlineStr">
        <is>
          <t>E08 G08 G08o</t>
        </is>
      </c>
      <c r="E154" t="n">
        <v>95.98</v>
      </c>
      <c r="F154" t="n">
        <v>94.25</v>
      </c>
      <c r="G154" t="n">
        <v>97.62</v>
      </c>
      <c r="H154" t="inlineStr">
        <is>
          <t>no</t>
        </is>
      </c>
      <c r="I154" t="inlineStr">
        <is>
          <t>source model</t>
        </is>
      </c>
    </row>
    <row r="155">
      <c r="A155" t="inlineStr">
        <is>
          <t>TRU-010</t>
        </is>
      </c>
      <c r="B155" t="inlineStr">
        <is>
          <t>Flash-to-close variance</t>
        </is>
      </c>
      <c r="C155" t="inlineStr">
        <is>
          <t>A1,Group</t>
        </is>
      </c>
      <c r="D155" t="inlineStr">
        <is>
          <t>E08 G08 G08o</t>
        </is>
      </c>
      <c r="E155" t="n">
        <v>0.38</v>
      </c>
      <c r="F155" t="n">
        <v>0.23</v>
      </c>
      <c r="G155" t="n">
        <v>0.52</v>
      </c>
      <c r="H155" t="inlineStr">
        <is>
          <t>no</t>
        </is>
      </c>
      <c r="I155" t="inlineStr">
        <is>
          <t>source model</t>
        </is>
      </c>
    </row>
    <row r="156">
      <c r="A156" t="inlineStr">
        <is>
          <t>TRU-011</t>
        </is>
      </c>
      <c r="B156" t="inlineStr">
        <is>
          <t>Largest entity variance against Board numbers</t>
        </is>
      </c>
      <c r="C156" t="inlineStr">
        <is>
          <t>A1,Group</t>
        </is>
      </c>
      <c r="D156" t="inlineStr">
        <is>
          <t>E08 G08 G08o</t>
        </is>
      </c>
      <c r="E156" t="n">
        <v>0.27</v>
      </c>
      <c r="F156" t="n">
        <v>0.27</v>
      </c>
      <c r="G156" t="n">
        <v>0.27</v>
      </c>
      <c r="H156" t="inlineStr">
        <is>
          <t>no</t>
        </is>
      </c>
      <c r="I156" t="inlineStr">
        <is>
          <t>source model</t>
        </is>
      </c>
    </row>
    <row r="157">
      <c r="A157" t="inlineStr">
        <is>
          <t>VAL-001</t>
        </is>
      </c>
      <c r="B157" t="inlineStr">
        <is>
          <t>EBITDA benefit YTD</t>
        </is>
      </c>
      <c r="C157" t="inlineStr">
        <is>
          <t>A1,Group</t>
        </is>
      </c>
      <c r="D157" t="inlineStr">
        <is>
          <t>E06 G06 O04</t>
        </is>
      </c>
      <c r="E157" t="n">
        <v>14.21</v>
      </c>
      <c r="F157" t="n">
        <v>6.2</v>
      </c>
      <c r="G157" t="n">
        <v>8</v>
      </c>
      <c r="H157" t="inlineStr">
        <is>
          <t>no</t>
        </is>
      </c>
      <c r="I157" t="inlineStr">
        <is>
          <t>source model</t>
        </is>
      </c>
    </row>
    <row r="158">
      <c r="A158" t="inlineStr">
        <is>
          <t>VAL-002</t>
        </is>
      </c>
      <c r="B158" t="inlineStr">
        <is>
          <t>Cash benefit YTD</t>
        </is>
      </c>
      <c r="C158" t="inlineStr">
        <is>
          <t>A1,Group</t>
        </is>
      </c>
      <c r="D158" t="inlineStr">
        <is>
          <t>E06 G06 O04</t>
        </is>
      </c>
      <c r="E158" t="n">
        <v>8.710000000000001</v>
      </c>
      <c r="F158" t="n">
        <v>2.37</v>
      </c>
      <c r="G158" t="n">
        <v>6.34</v>
      </c>
      <c r="H158" t="inlineStr">
        <is>
          <t>no</t>
        </is>
      </c>
      <c r="I158" t="inlineStr">
        <is>
          <t>source model</t>
        </is>
      </c>
    </row>
    <row r="159">
      <c r="A159" t="inlineStr">
        <is>
          <t>VAL-003</t>
        </is>
      </c>
      <c r="B159" t="inlineStr">
        <is>
          <t>Cost savings delivered YTD</t>
        </is>
      </c>
      <c r="C159" t="inlineStr">
        <is>
          <t>A1,Group</t>
        </is>
      </c>
      <c r="D159" t="inlineStr">
        <is>
          <t>E06 G06 O04</t>
        </is>
      </c>
      <c r="E159" t="n">
        <v>11.25</v>
      </c>
      <c r="F159" t="n">
        <v>3.89</v>
      </c>
      <c r="G159" t="n">
        <v>7.35</v>
      </c>
      <c r="H159" t="inlineStr">
        <is>
          <t>no</t>
        </is>
      </c>
      <c r="I159" t="inlineStr">
        <is>
          <t>source model</t>
        </is>
      </c>
    </row>
    <row r="160">
      <c r="A160" t="inlineStr">
        <is>
          <t>WCP-001</t>
        </is>
      </c>
      <c r="B160" t="inlineStr">
        <is>
          <t>DSO</t>
        </is>
      </c>
      <c r="C160" t="inlineStr">
        <is>
          <t>A1,Group</t>
        </is>
      </c>
      <c r="D160" t="inlineStr">
        <is>
          <t>E01 E05 G02 G04 G08 O03 S11</t>
        </is>
      </c>
      <c r="E160" t="n">
        <v>46.97</v>
      </c>
      <c r="F160" t="n">
        <v>52</v>
      </c>
      <c r="G160" t="n">
        <v>42.05</v>
      </c>
      <c r="H160" t="inlineStr">
        <is>
          <t>no</t>
        </is>
      </c>
      <c r="I160" t="inlineStr">
        <is>
          <t>source model</t>
        </is>
      </c>
    </row>
    <row r="161">
      <c r="A161" t="inlineStr">
        <is>
          <t>WCP-002</t>
        </is>
      </c>
      <c r="B161" t="inlineStr">
        <is>
          <t>DPO</t>
        </is>
      </c>
      <c r="C161" t="inlineStr">
        <is>
          <t>A1,Group</t>
        </is>
      </c>
      <c r="D161" t="inlineStr">
        <is>
          <t>E05 G04</t>
        </is>
      </c>
      <c r="E161" t="n">
        <v>52.15</v>
      </c>
      <c r="F161" t="n">
        <v>40.2</v>
      </c>
      <c r="G161" t="n">
        <v>63.74</v>
      </c>
      <c r="H161" t="inlineStr">
        <is>
          <t>no</t>
        </is>
      </c>
      <c r="I161" t="inlineStr">
        <is>
          <t>source model</t>
        </is>
      </c>
    </row>
    <row r="162">
      <c r="A162" t="inlineStr">
        <is>
          <t>WCP-003</t>
        </is>
      </c>
      <c r="B162" t="inlineStr">
        <is>
          <t>Inventory days</t>
        </is>
      </c>
      <c r="C162" t="inlineStr">
        <is>
          <t>A1,Group</t>
        </is>
      </c>
      <c r="D162" t="inlineStr">
        <is>
          <t>E05 G04</t>
        </is>
      </c>
      <c r="E162" t="n">
        <v>37.76</v>
      </c>
      <c r="F162" t="n">
        <v>40.49</v>
      </c>
      <c r="G162" t="n">
        <v>35.11</v>
      </c>
      <c r="H162" t="inlineStr">
        <is>
          <t>no</t>
        </is>
      </c>
      <c r="I162" t="inlineStr">
        <is>
          <t>source model</t>
        </is>
      </c>
    </row>
    <row r="163">
      <c r="A163" t="inlineStr">
        <is>
          <t>WCP-004</t>
        </is>
      </c>
      <c r="B163" t="inlineStr">
        <is>
          <t>Net working capital</t>
        </is>
      </c>
      <c r="C163" t="inlineStr">
        <is>
          <t>A1,Group</t>
        </is>
      </c>
      <c r="D163" t="inlineStr">
        <is>
          <t>E05 G04 O03</t>
        </is>
      </c>
      <c r="E163" t="n">
        <v>2780.99</v>
      </c>
      <c r="F163" t="n">
        <v>2012.17</v>
      </c>
      <c r="G163" t="n">
        <v>768.8099999999999</v>
      </c>
      <c r="H163" t="inlineStr">
        <is>
          <t>no</t>
        </is>
      </c>
      <c r="I163" t="inlineStr">
        <is>
          <t>source model</t>
        </is>
      </c>
    </row>
    <row r="164">
      <c r="A164" t="inlineStr">
        <is>
          <t>WCP-005</t>
        </is>
      </c>
      <c r="B164" t="inlineStr">
        <is>
          <t>Working-capital movement</t>
        </is>
      </c>
      <c r="C164" t="inlineStr">
        <is>
          <t>A1,Group</t>
        </is>
      </c>
      <c r="D164" t="inlineStr">
        <is>
          <t>E05 G04</t>
        </is>
      </c>
      <c r="E164" t="n">
        <v>17.26</v>
      </c>
      <c r="F164" t="n">
        <v>-9.23</v>
      </c>
      <c r="G164" t="n">
        <v>26.49</v>
      </c>
      <c r="H164" t="inlineStr">
        <is>
          <t>no</t>
        </is>
      </c>
      <c r="I164" t="inlineStr">
        <is>
          <t>source model</t>
        </is>
      </c>
    </row>
    <row r="165">
      <c r="A165" t="inlineStr">
        <is>
          <t>WCP-006</t>
        </is>
      </c>
      <c r="B165" t="inlineStr">
        <is>
          <t>Working-capital days</t>
        </is>
      </c>
      <c r="C165" t="inlineStr">
        <is>
          <t>A1,Group</t>
        </is>
      </c>
      <c r="D165" t="inlineStr">
        <is>
          <t>E05 G04</t>
        </is>
      </c>
      <c r="E165" t="n">
        <v>35.72</v>
      </c>
      <c r="F165" t="n">
        <v>52.23</v>
      </c>
      <c r="G165" t="n">
        <v>19.54</v>
      </c>
      <c r="H165" t="inlineStr">
        <is>
          <t>no</t>
        </is>
      </c>
      <c r="I165" t="inlineStr">
        <is>
          <t>source model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0"/>
  <sheetViews>
    <sheetView workbookViewId="0">
      <pane xSplit="2" ySplit="1" topLeftCell="C2" activePane="bottomRight" state="frozen"/>
      <selection pane="topRight" activeCell="C1" sqref="C1"/>
      <selection pane="bottomLeft" activeCell="A2" sqref="A2"/>
      <selection pane="bottomRight" activeCell="A1" sqref="A1"/>
    </sheetView>
  </sheetViews>
  <sheetFormatPr baseColWidth="8" defaultRowHeight="15"/>
  <cols>
    <col width="10.7109375" customWidth="1" min="1" max="1"/>
    <col width="34.7109375" customWidth="1" min="2" max="2"/>
    <col width="11.7109375" customWidth="1" min="3" max="3"/>
    <col width="60.7109375" customWidth="1" min="4" max="4"/>
    <col width="15.7109375" customWidth="1" min="5" max="5"/>
    <col width="30.7109375" customWidth="1" min="6" max="6"/>
    <col width="12.7109375" customWidth="1" min="7" max="7"/>
    <col width="30.7109375" customWidth="1" min="8" max="8"/>
    <col width="36.7109375" customWidth="1" min="9" max="9"/>
  </cols>
  <sheetData>
    <row r="1">
      <c r="A1" s="1" t="inlineStr">
        <is>
          <t>KPI ID</t>
        </is>
      </c>
      <c r="B1" s="1" t="inlineStr">
        <is>
          <t>Measure</t>
        </is>
      </c>
      <c r="C1" s="1" t="inlineStr">
        <is>
          <t>Unit</t>
        </is>
      </c>
      <c r="D1" s="1" t="inlineStr">
        <is>
          <t>Formula</t>
        </is>
      </c>
      <c r="E1" s="1" t="inlineStr">
        <is>
          <t>Calculated value, Sep 2026 (P06)</t>
        </is>
      </c>
      <c r="F1" s="1" t="inlineStr">
        <is>
          <t>Shown on the mockups (Group)</t>
        </is>
      </c>
      <c r="G1" s="1" t="inlineStr">
        <is>
          <t>Same or different</t>
        </is>
      </c>
      <c r="H1" s="1" t="inlineStr">
        <is>
          <t>Screens</t>
        </is>
      </c>
      <c r="I1" s="1" t="inlineStr">
        <is>
          <t>Where the inputs come from</t>
        </is>
      </c>
    </row>
    <row r="2">
      <c r="A2" s="2" t="inlineStr">
        <is>
          <t>OPS-001</t>
        </is>
      </c>
      <c r="B2" s="3" t="inlineStr">
        <is>
          <t>Production vs plan</t>
        </is>
      </c>
      <c r="C2" s="3" t="inlineStr">
        <is>
          <t>%</t>
        </is>
      </c>
      <c r="D2" s="3" t="inlineStr">
        <is>
          <t>Good output ÷ Planned production × 100</t>
        </is>
      </c>
      <c r="E2" s="21">
        <f>'Group KPIs'!K2</f>
        <v/>
      </c>
      <c r="F2" s="3" t="inlineStr">
        <is>
          <t>95.5 % of plan</t>
        </is>
      </c>
      <c r="G2" s="5" t="inlineStr">
        <is>
          <t>Different</t>
        </is>
      </c>
      <c r="H2" s="3" t="inlineStr">
        <is>
          <t>O-01, O-09, E-01, E-02, E-05, G-01, G-02, G-03, G-05, S-03, S-10, STATE GALLERY</t>
        </is>
      </c>
      <c r="I2" s="3" t="inlineStr">
        <is>
          <t>Original plant data (plant_base.csv, synthetic)</t>
        </is>
      </c>
    </row>
    <row r="3">
      <c r="A3" s="2" t="inlineStr">
        <is>
          <t>OPS-003</t>
        </is>
      </c>
      <c r="B3" s="3" t="inlineStr">
        <is>
          <t>Capacity utilization</t>
        </is>
      </c>
      <c r="C3" s="3" t="inlineStr">
        <is>
          <t>%</t>
        </is>
      </c>
      <c r="D3" s="3" t="inlineStr">
        <is>
          <t>Good output ÷ Installed capacity × 100</t>
        </is>
      </c>
      <c r="E3" s="21">
        <f>'Group KPIs'!K3</f>
        <v/>
      </c>
      <c r="F3" s="3" t="inlineStr">
        <is>
          <t>83.4 %</t>
        </is>
      </c>
      <c r="G3" s="5" t="inlineStr">
        <is>
          <t>Different</t>
        </is>
      </c>
      <c r="H3" s="3" t="inlineStr">
        <is>
          <t>O-01, E-02, G-05, STATE GALLERY</t>
        </is>
      </c>
      <c r="I3" s="3" t="inlineStr">
        <is>
          <t>Original plant data (plant_base.csv, synthetic)</t>
        </is>
      </c>
    </row>
    <row r="4">
      <c r="A4" s="2" t="inlineStr">
        <is>
          <t>PLT-001</t>
        </is>
      </c>
      <c r="B4" s="3" t="inlineStr">
        <is>
          <t>Asset utilization</t>
        </is>
      </c>
      <c r="C4" s="3" t="inlineStr">
        <is>
          <t>%</t>
        </is>
      </c>
      <c r="D4" s="3" t="inlineStr">
        <is>
          <t>Run hours ÷ Calendar hours × 100</t>
        </is>
      </c>
      <c r="E4" s="21">
        <f>'Group KPIs'!K4</f>
        <v/>
      </c>
      <c r="F4" s="3" t="inlineStr">
        <is>
          <t>Not shown</t>
        </is>
      </c>
      <c r="G4" s="6" t="inlineStr">
        <is>
          <t>Not shown</t>
        </is>
      </c>
      <c r="H4" s="3" t="n"/>
      <c r="I4" s="3" t="inlineStr">
        <is>
          <t>Original plant data (plant_base.csv, synthetic)</t>
        </is>
      </c>
    </row>
    <row r="5">
      <c r="A5" s="2" t="inlineStr">
        <is>
          <t>PLT-002</t>
        </is>
      </c>
      <c r="B5" s="3" t="inlineStr">
        <is>
          <t>OEE</t>
        </is>
      </c>
      <c r="C5" s="3" t="inlineStr">
        <is>
          <t>%</t>
        </is>
      </c>
      <c r="D5" s="3" t="inlineStr">
        <is>
          <t>Availability × Performance × Quality = Good output ÷ Ideal output × 100</t>
        </is>
      </c>
      <c r="E5" s="21">
        <f>'Group KPIs'!K5</f>
        <v/>
      </c>
      <c r="F5" s="3" t="inlineStr">
        <is>
          <t>84.1 %</t>
        </is>
      </c>
      <c r="G5" s="5" t="inlineStr">
        <is>
          <t>Different</t>
        </is>
      </c>
      <c r="H5" s="3" t="inlineStr">
        <is>
          <t>E-02, G-05</t>
        </is>
      </c>
      <c r="I5" s="3" t="inlineStr">
        <is>
          <t>Original plant data (plant_base.csv, synthetic)</t>
        </is>
      </c>
    </row>
    <row r="6">
      <c r="A6" s="2" t="inlineStr">
        <is>
          <t>PLT-004</t>
        </is>
      </c>
      <c r="B6" s="3" t="inlineStr">
        <is>
          <t>Recovery percentage</t>
        </is>
      </c>
      <c r="C6" s="3" t="inlineStr">
        <is>
          <t>%</t>
        </is>
      </c>
      <c r="D6" s="3" t="inlineStr">
        <is>
          <t>Valuable content recovered ÷ Valuable content in feed × 100</t>
        </is>
      </c>
      <c r="E6" s="21">
        <f>'Group KPIs'!K6</f>
        <v/>
      </c>
      <c r="F6" s="3" t="inlineStr">
        <is>
          <t>Not shown</t>
        </is>
      </c>
      <c r="G6" s="6" t="inlineStr">
        <is>
          <t>Not shown</t>
        </is>
      </c>
      <c r="H6" s="3" t="n"/>
      <c r="I6" s="3" t="inlineStr">
        <is>
          <t>Original plant data (plant_base.csv, synthetic)</t>
        </is>
      </c>
    </row>
    <row r="7">
      <c r="A7" s="2" t="inlineStr">
        <is>
          <t>PLT-005</t>
        </is>
      </c>
      <c r="B7" s="3" t="inlineStr">
        <is>
          <t>Yield</t>
        </is>
      </c>
      <c r="C7" s="3" t="inlineStr">
        <is>
          <t>%</t>
        </is>
      </c>
      <c r="D7" s="3" t="inlineStr">
        <is>
          <t>Good output ÷ Feed input × 100</t>
        </is>
      </c>
      <c r="E7" s="21">
        <f>'Group KPIs'!K7</f>
        <v/>
      </c>
      <c r="F7" s="3" t="inlineStr">
        <is>
          <t>Not shown</t>
        </is>
      </c>
      <c r="G7" s="6" t="inlineStr">
        <is>
          <t>Not shown</t>
        </is>
      </c>
      <c r="H7" s="3" t="n"/>
      <c r="I7" s="3" t="inlineStr">
        <is>
          <t>Original plant data (plant_base.csv, synthetic)</t>
        </is>
      </c>
    </row>
    <row r="8">
      <c r="A8" s="2" t="inlineStr">
        <is>
          <t>REL-001</t>
        </is>
      </c>
      <c r="B8" s="3" t="inlineStr">
        <is>
          <t>MTBF</t>
        </is>
      </c>
      <c r="C8" s="3" t="inlineStr">
        <is>
          <t>h</t>
        </is>
      </c>
      <c r="D8" s="3" t="inlineStr">
        <is>
          <t>Run hours ÷ Breakdowns</t>
        </is>
      </c>
      <c r="E8" s="21">
        <f>'Group KPIs'!K8</f>
        <v/>
      </c>
      <c r="F8" s="3" t="inlineStr">
        <is>
          <t>270 h</t>
        </is>
      </c>
      <c r="G8" s="5" t="inlineStr">
        <is>
          <t>Different</t>
        </is>
      </c>
      <c r="H8" s="3" t="inlineStr">
        <is>
          <t>O-09, E-03, G-05</t>
        </is>
      </c>
      <c r="I8" s="3" t="inlineStr">
        <is>
          <t>Original plant data (plant_base.csv, synthetic)</t>
        </is>
      </c>
    </row>
    <row r="9">
      <c r="A9" s="2" t="inlineStr">
        <is>
          <t>REL-002</t>
        </is>
      </c>
      <c r="B9" s="3" t="inlineStr">
        <is>
          <t>Mean Time to Repair</t>
        </is>
      </c>
      <c r="C9" s="3" t="inlineStr">
        <is>
          <t>h</t>
        </is>
      </c>
      <c r="D9" s="3" t="inlineStr">
        <is>
          <t>Repair hours ÷ Breakdowns</t>
        </is>
      </c>
      <c r="E9" s="21">
        <f>'Group KPIs'!K9</f>
        <v/>
      </c>
      <c r="F9" s="3" t="inlineStr">
        <is>
          <t>7.8 h</t>
        </is>
      </c>
      <c r="G9" s="5" t="inlineStr">
        <is>
          <t>Different</t>
        </is>
      </c>
      <c r="H9" s="3" t="inlineStr">
        <is>
          <t>E-03, G-05</t>
        </is>
      </c>
      <c r="I9" s="3" t="inlineStr">
        <is>
          <t>Original plant data (plant_base.csv, synthetic)</t>
        </is>
      </c>
    </row>
    <row r="10">
      <c r="A10" s="2" t="inlineStr">
        <is>
          <t>REL-003</t>
        </is>
      </c>
      <c r="B10" s="3" t="inlineStr">
        <is>
          <t>Unplanned downtime</t>
        </is>
      </c>
      <c r="C10" s="3" t="inlineStr">
        <is>
          <t>h</t>
        </is>
      </c>
      <c r="D10" s="3" t="inlineStr">
        <is>
          <t>Unplanned downtime</t>
        </is>
      </c>
      <c r="E10" s="21">
        <f>'Group KPIs'!K10</f>
        <v/>
      </c>
      <c r="F10" s="3" t="inlineStr">
        <is>
          <t>3.1 % of hours</t>
        </is>
      </c>
      <c r="G10" s="5" t="inlineStr">
        <is>
          <t>Different</t>
        </is>
      </c>
      <c r="H10" s="3" t="inlineStr">
        <is>
          <t>E-03, G-05</t>
        </is>
      </c>
      <c r="I10" s="3" t="inlineStr">
        <is>
          <t>Original plant data (plant_base.csv, synthetic)</t>
        </is>
      </c>
    </row>
    <row r="11">
      <c r="A11" s="2" t="inlineStr">
        <is>
          <t>REL-004</t>
        </is>
      </c>
      <c r="B11" s="3" t="inlineStr">
        <is>
          <t>Production loss from downtime</t>
        </is>
      </c>
      <c r="C11" s="3" t="inlineStr">
        <is>
          <t>t</t>
        </is>
      </c>
      <c r="D11" s="3" t="inlineStr">
        <is>
          <t>Production lost to downtime</t>
        </is>
      </c>
      <c r="E11" s="21">
        <f>'Group KPIs'!K11</f>
        <v/>
      </c>
      <c r="F11" s="3" t="inlineStr">
        <is>
          <t>93%</t>
        </is>
      </c>
      <c r="G11" s="5" t="inlineStr">
        <is>
          <t>Different</t>
        </is>
      </c>
      <c r="H11" s="3" t="inlineStr">
        <is>
          <t>E-03,G-05</t>
        </is>
      </c>
      <c r="I11" s="3" t="inlineStr">
        <is>
          <t>Original plant data (plant_base.csv, synthetic)</t>
        </is>
      </c>
    </row>
    <row r="12">
      <c r="A12" s="2" t="inlineStr">
        <is>
          <t>REL-005</t>
        </is>
      </c>
      <c r="B12" s="3" t="inlineStr">
        <is>
          <t>Preventive-maintenance compliance</t>
        </is>
      </c>
      <c r="C12" s="3" t="inlineStr">
        <is>
          <t>%</t>
        </is>
      </c>
      <c r="D12" s="3" t="inlineStr">
        <is>
          <t>Preventive maintenance completed ÷ Preventive maintenance scheduled × 100</t>
        </is>
      </c>
      <c r="E12" s="21">
        <f>'Group KPIs'!K12</f>
        <v/>
      </c>
      <c r="F12" s="3" t="inlineStr">
        <is>
          <t>95.6 %</t>
        </is>
      </c>
      <c r="G12" s="5" t="inlineStr">
        <is>
          <t>Different</t>
        </is>
      </c>
      <c r="H12" s="3" t="inlineStr">
        <is>
          <t>E-03</t>
        </is>
      </c>
      <c r="I12" s="3" t="inlineStr">
        <is>
          <t>Original plant data (plant_base.csv, synthetic)</t>
        </is>
      </c>
    </row>
    <row r="13">
      <c r="A13" s="2" t="inlineStr">
        <is>
          <t>CST-001</t>
        </is>
      </c>
      <c r="B13" s="3" t="inlineStr">
        <is>
          <t>Cost per tonne</t>
        </is>
      </c>
      <c r="C13" s="3" t="inlineStr">
        <is>
          <t>₹/t</t>
        </is>
      </c>
      <c r="D13" s="3" t="inlineStr">
        <is>
          <t>(Variable cost + Fixed cost) × 1000 ÷ Good output</t>
        </is>
      </c>
      <c r="E13" s="21">
        <f>'Group KPIs'!K13</f>
        <v/>
      </c>
      <c r="F13" s="3" t="inlineStr">
        <is>
          <t>2,934 ₹/t</t>
        </is>
      </c>
      <c r="G13" s="5" t="inlineStr">
        <is>
          <t>Different</t>
        </is>
      </c>
      <c r="H13" s="3" t="inlineStr">
        <is>
          <t>O-09, E-02, E-11, G-03, G-05</t>
        </is>
      </c>
      <c r="I13" s="3" t="inlineStr">
        <is>
          <t>Original plant data (plant_base.csv, synthetic)</t>
        </is>
      </c>
    </row>
    <row r="14">
      <c r="A14" s="2" t="inlineStr">
        <is>
          <t>CST-002</t>
        </is>
      </c>
      <c r="B14" s="3" t="inlineStr">
        <is>
          <t>Variable cost</t>
        </is>
      </c>
      <c r="C14" s="3" t="inlineStr">
        <is>
          <t>₹ thousand</t>
        </is>
      </c>
      <c r="D14" s="3" t="inlineStr">
        <is>
          <t>Variable cost</t>
        </is>
      </c>
      <c r="E14" s="21">
        <f>'Group KPIs'!K14</f>
        <v/>
      </c>
      <c r="F14" s="3" t="inlineStr">
        <is>
          <t>₹214 /t</t>
        </is>
      </c>
      <c r="G14" s="5" t="inlineStr">
        <is>
          <t>Different</t>
        </is>
      </c>
      <c r="H14" s="3" t="inlineStr">
        <is>
          <t>E-02, E-11, G-03</t>
        </is>
      </c>
      <c r="I14" s="3" t="inlineStr">
        <is>
          <t>Original plant data (plant_base.csv, synthetic)</t>
        </is>
      </c>
    </row>
    <row r="15">
      <c r="A15" s="2" t="inlineStr">
        <is>
          <t>CST-003</t>
        </is>
      </c>
      <c r="B15" s="3" t="inlineStr">
        <is>
          <t>Fuel cost</t>
        </is>
      </c>
      <c r="C15" s="3" t="inlineStr">
        <is>
          <t>₹ thousand</t>
        </is>
      </c>
      <c r="D15" s="3" t="inlineStr">
        <is>
          <t>Fuel cost</t>
        </is>
      </c>
      <c r="E15" s="21">
        <f>'Group KPIs'!K15</f>
        <v/>
      </c>
      <c r="F15" s="3" t="inlineStr">
        <is>
          <t>9.8 ₹/t</t>
        </is>
      </c>
      <c r="G15" s="5" t="inlineStr">
        <is>
          <t>Different</t>
        </is>
      </c>
      <c r="H15" s="3" t="inlineStr">
        <is>
          <t>E-02</t>
        </is>
      </c>
      <c r="I15" s="3" t="inlineStr">
        <is>
          <t>Original plant data (plant_base.csv, synthetic)</t>
        </is>
      </c>
    </row>
    <row r="16">
      <c r="A16" s="2" t="inlineStr">
        <is>
          <t>SUS-001</t>
        </is>
      </c>
      <c r="B16" s="3" t="inlineStr">
        <is>
          <t>Water usage</t>
        </is>
      </c>
      <c r="C16" s="3" t="inlineStr">
        <is>
          <t>m3</t>
        </is>
      </c>
      <c r="D16" s="3" t="inlineStr">
        <is>
          <t>Water used</t>
        </is>
      </c>
      <c r="E16" s="21">
        <f>'Group KPIs'!K16</f>
        <v/>
      </c>
      <c r="F16" s="3" t="inlineStr">
        <is>
          <t>3.1 m³/t</t>
        </is>
      </c>
      <c r="G16" s="5" t="inlineStr">
        <is>
          <t>Different</t>
        </is>
      </c>
      <c r="H16" s="3" t="inlineStr">
        <is>
          <t>O-05, E-02, E-07, G-05, G-07</t>
        </is>
      </c>
      <c r="I16" s="3" t="inlineStr">
        <is>
          <t>Original plant data (plant_base.csv, synthetic)</t>
        </is>
      </c>
    </row>
    <row r="17">
      <c r="A17" s="2" t="inlineStr">
        <is>
          <t>SUS-002</t>
        </is>
      </c>
      <c r="B17" s="3" t="inlineStr">
        <is>
          <t>Emissions</t>
        </is>
      </c>
      <c r="C17" s="3" t="inlineStr">
        <is>
          <t>tCO2e</t>
        </is>
      </c>
      <c r="D17" s="3" t="inlineStr">
        <is>
          <t>Emissions</t>
        </is>
      </c>
      <c r="E17" s="21">
        <f>'Group KPIs'!K17</f>
        <v/>
      </c>
      <c r="F17" s="3" t="inlineStr">
        <is>
          <t>427.7 kt CO2e</t>
        </is>
      </c>
      <c r="G17" s="5" t="inlineStr">
        <is>
          <t>Different</t>
        </is>
      </c>
      <c r="H17" s="3" t="inlineStr">
        <is>
          <t>O-05, E-02, E-07, G-05, G-07</t>
        </is>
      </c>
      <c r="I17" s="3" t="inlineStr">
        <is>
          <t>Original plant data (plant_base.csv, synthetic)</t>
        </is>
      </c>
    </row>
    <row r="18">
      <c r="A18" s="2" t="inlineStr">
        <is>
          <t>SUS-003</t>
        </is>
      </c>
      <c r="B18" s="3" t="inlineStr">
        <is>
          <t>Energy intensity</t>
        </is>
      </c>
      <c r="C18" s="3" t="inlineStr">
        <is>
          <t>GJ/t</t>
        </is>
      </c>
      <c r="D18" s="3" t="inlineStr">
        <is>
          <t>Energy used ÷ Good output</t>
        </is>
      </c>
      <c r="E18" s="21">
        <f>'Group KPIs'!K18</f>
        <v/>
      </c>
      <c r="F18" s="3" t="inlineStr">
        <is>
          <t>5.2 GJ/t</t>
        </is>
      </c>
      <c r="G18" s="5" t="inlineStr">
        <is>
          <t>Different</t>
        </is>
      </c>
      <c r="H18" s="3" t="inlineStr">
        <is>
          <t>O-05, E-02, E-07, G-05, G-07</t>
        </is>
      </c>
      <c r="I18" s="3" t="inlineStr">
        <is>
          <t>Original plant data (plant_base.csv, synthetic)</t>
        </is>
      </c>
    </row>
    <row r="19">
      <c r="A19" s="2" t="inlineStr">
        <is>
          <t>SIG-007</t>
        </is>
      </c>
      <c r="B19" s="3" t="inlineStr">
        <is>
          <t>Production at risk</t>
        </is>
      </c>
      <c r="C19" s="3" t="inlineStr">
        <is>
          <t>t</t>
        </is>
      </c>
      <c r="D19" s="3" t="inlineStr">
        <is>
          <t>Production at risk</t>
        </is>
      </c>
      <c r="E19" s="21">
        <f>'Group KPIs'!K19</f>
        <v/>
      </c>
      <c r="F19" s="3" t="inlineStr">
        <is>
          <t>Not shown</t>
        </is>
      </c>
      <c r="G19" s="6" t="inlineStr">
        <is>
          <t>Not shown</t>
        </is>
      </c>
      <c r="H19" s="3" t="n"/>
      <c r="I19" s="3" t="inlineStr">
        <is>
          <t>Original plant data (plant_base.csv, synthetic)</t>
        </is>
      </c>
    </row>
    <row r="20">
      <c r="A20" s="2" t="inlineStr">
        <is>
          <t>SIG-008</t>
        </is>
      </c>
      <c r="B20" s="3" t="inlineStr">
        <is>
          <t>Critical plant-state alerts</t>
        </is>
      </c>
      <c r="C20" s="3" t="inlineStr">
        <is>
          <t>count</t>
        </is>
      </c>
      <c r="D20" s="3" t="inlineStr">
        <is>
          <t>Critical plant alerts</t>
        </is>
      </c>
      <c r="E20" s="21">
        <f>'Group KPIs'!K20</f>
        <v/>
      </c>
      <c r="F20" s="3" t="inlineStr">
        <is>
          <t>Not shown</t>
        </is>
      </c>
      <c r="G20" s="6" t="inlineStr">
        <is>
          <t>Not shown</t>
        </is>
      </c>
      <c r="H20" s="3" t="n"/>
      <c r="I20" s="3" t="inlineStr">
        <is>
          <t>Original plant data (plant_base.csv, synthetic)</t>
        </is>
      </c>
    </row>
    <row r="21">
      <c r="A21" s="2" t="inlineStr">
        <is>
          <t>SIG-009</t>
        </is>
      </c>
      <c r="B21" s="3" t="inlineStr">
        <is>
          <t>Critical-material shortage risk</t>
        </is>
      </c>
      <c r="C21" s="3" t="inlineStr">
        <is>
          <t>count</t>
        </is>
      </c>
      <c r="D21" s="3" t="inlineStr">
        <is>
          <t>Critical materials at risk</t>
        </is>
      </c>
      <c r="E21" s="21">
        <f>'Group KPIs'!K21</f>
        <v/>
      </c>
      <c r="F21" s="3" t="inlineStr">
        <is>
          <t>3.5 days of cover</t>
        </is>
      </c>
      <c r="G21" s="5" t="inlineStr">
        <is>
          <t>Different</t>
        </is>
      </c>
      <c r="H21" s="3" t="inlineStr">
        <is>
          <t>E-01, E-04, S-10, S-12</t>
        </is>
      </c>
      <c r="I21" s="3" t="inlineStr">
        <is>
          <t>Original plant data (plant_base.csv, synthetic)</t>
        </is>
      </c>
    </row>
    <row r="22">
      <c r="A22" s="2" t="inlineStr">
        <is>
          <t>SIG-012</t>
        </is>
      </c>
      <c r="B22" s="3" t="inlineStr">
        <is>
          <t>Dispatch delays</t>
        </is>
      </c>
      <c r="C22" s="3" t="inlineStr">
        <is>
          <t>%</t>
        </is>
      </c>
      <c r="D22" s="3" t="inlineStr">
        <is>
          <t>Delayed dispatches ÷ Dispatches × 100</t>
        </is>
      </c>
      <c r="E22" s="21">
        <f>'Group KPIs'!K22</f>
        <v/>
      </c>
      <c r="F22" s="3" t="inlineStr">
        <is>
          <t>2–4 days</t>
        </is>
      </c>
      <c r="G22" s="5" t="inlineStr">
        <is>
          <t>Different</t>
        </is>
      </c>
      <c r="H22" s="3" t="inlineStr">
        <is>
          <t>E-05,S-11,S-12</t>
        </is>
      </c>
      <c r="I22" s="3" t="inlineStr">
        <is>
          <t>Original plant data (plant_base.csv, synthetic)</t>
        </is>
      </c>
    </row>
    <row r="23">
      <c r="A23" s="2" t="inlineStr">
        <is>
          <t>SIG-021</t>
        </is>
      </c>
      <c r="B23" s="3" t="inlineStr">
        <is>
          <t>Environmental violations</t>
        </is>
      </c>
      <c r="C23" s="3" t="inlineStr">
        <is>
          <t>count</t>
        </is>
      </c>
      <c r="D23" s="3" t="inlineStr">
        <is>
          <t>Environmental violations</t>
        </is>
      </c>
      <c r="E23" s="21">
        <f>'Group KPIs'!K23</f>
        <v/>
      </c>
      <c r="F23" s="3" t="inlineStr">
        <is>
          <t>Not shown</t>
        </is>
      </c>
      <c r="G23" s="6" t="inlineStr">
        <is>
          <t>Not shown</t>
        </is>
      </c>
      <c r="H23" s="3" t="n"/>
      <c r="I23" s="3" t="inlineStr">
        <is>
          <t>Original plant data (plant_base.csv, synthetic)</t>
        </is>
      </c>
    </row>
    <row r="24">
      <c r="A24" s="2" t="inlineStr">
        <is>
          <t>EHS-001</t>
        </is>
      </c>
      <c r="B24" s="3" t="inlineStr">
        <is>
          <t>TRIR</t>
        </is>
      </c>
      <c r="C24" s="3" t="inlineStr">
        <is>
          <t>per 200,000 h</t>
        </is>
      </c>
      <c r="D24" s="3" t="inlineStr">
        <is>
          <t>Recordable injuries × 200,000 ÷ Hours worked</t>
        </is>
      </c>
      <c r="E24" s="21">
        <f>'Group KPIs'!K24</f>
        <v/>
      </c>
      <c r="F24" s="3" t="inlineStr">
        <is>
          <t>0.42</t>
        </is>
      </c>
      <c r="G24" s="5" t="inlineStr">
        <is>
          <t>Different</t>
        </is>
      </c>
      <c r="H24" s="3" t="inlineStr">
        <is>
          <t>E-07,G-07,O-05</t>
        </is>
      </c>
      <c r="I24" s="3" t="inlineStr">
        <is>
          <t>Original plant data (plant_base.csv, synthetic)</t>
        </is>
      </c>
    </row>
    <row r="25">
      <c r="A25" s="2" t="inlineStr">
        <is>
          <t>EHS-002</t>
        </is>
      </c>
      <c r="B25" s="3" t="inlineStr">
        <is>
          <t>Severity incidents</t>
        </is>
      </c>
      <c r="C25" s="3" t="inlineStr">
        <is>
          <t>count</t>
        </is>
      </c>
      <c r="D25" s="3" t="inlineStr">
        <is>
          <t>Severity incidents</t>
        </is>
      </c>
      <c r="E25" s="21">
        <f>'Group KPIs'!K25</f>
        <v/>
      </c>
      <c r="F25" s="3" t="inlineStr">
        <is>
          <t>0</t>
        </is>
      </c>
      <c r="G25" s="5" t="inlineStr">
        <is>
          <t>Different</t>
        </is>
      </c>
      <c r="H25" s="3" t="inlineStr">
        <is>
          <t>E-07,G-01,G-07,O-05</t>
        </is>
      </c>
      <c r="I25" s="3" t="inlineStr">
        <is>
          <t>Original plant data (plant_base.csv, synthetic)</t>
        </is>
      </c>
    </row>
    <row r="26">
      <c r="A26" s="2" t="inlineStr">
        <is>
          <t>EHS-003</t>
        </is>
      </c>
      <c r="B26" s="3" t="inlineStr">
        <is>
          <t>Near misses</t>
        </is>
      </c>
      <c r="C26" s="3" t="inlineStr">
        <is>
          <t>count</t>
        </is>
      </c>
      <c r="D26" s="3" t="inlineStr">
        <is>
          <t>Near misses</t>
        </is>
      </c>
      <c r="E26" s="21">
        <f>'Group KPIs'!K26</f>
        <v/>
      </c>
      <c r="F26" s="3" t="inlineStr">
        <is>
          <t>14</t>
        </is>
      </c>
      <c r="G26" s="5" t="inlineStr">
        <is>
          <t>Different</t>
        </is>
      </c>
      <c r="H26" s="3" t="inlineStr">
        <is>
          <t>E-07,G-07,O-05</t>
        </is>
      </c>
      <c r="I26" s="3" t="inlineStr">
        <is>
          <t>Original plant data (plant_base.csv, synthetic)</t>
        </is>
      </c>
    </row>
    <row r="27">
      <c r="A27" s="2" t="inlineStr">
        <is>
          <t>EHS-004</t>
        </is>
      </c>
      <c r="B27" s="3" t="inlineStr">
        <is>
          <t>Critical safety incidents</t>
        </is>
      </c>
      <c r="C27" s="3" t="inlineStr">
        <is>
          <t>count</t>
        </is>
      </c>
      <c r="D27" s="3" t="inlineStr">
        <is>
          <t>Critical safety incidents</t>
        </is>
      </c>
      <c r="E27" s="21">
        <f>'Group KPIs'!K27</f>
        <v/>
      </c>
      <c r="F27" s="3" t="inlineStr">
        <is>
          <t>0</t>
        </is>
      </c>
      <c r="G27" s="7" t="inlineStr">
        <is>
          <t>Same</t>
        </is>
      </c>
      <c r="H27" s="3" t="inlineStr">
        <is>
          <t>E-07,G-07,O-05</t>
        </is>
      </c>
      <c r="I27" s="3" t="inlineStr">
        <is>
          <t>Original plant data (plant_base.csv, synthetic)</t>
        </is>
      </c>
    </row>
    <row r="28">
      <c r="A28" s="2" t="inlineStr">
        <is>
          <t>EHS-005</t>
        </is>
      </c>
      <c r="B28" s="3" t="inlineStr">
        <is>
          <t>Environmental excursions</t>
        </is>
      </c>
      <c r="C28" s="3" t="inlineStr">
        <is>
          <t>count</t>
        </is>
      </c>
      <c r="D28" s="3" t="inlineStr">
        <is>
          <t>Environmental excursions</t>
        </is>
      </c>
      <c r="E28" s="21">
        <f>'Group KPIs'!K28</f>
        <v/>
      </c>
      <c r="F28" s="3" t="inlineStr">
        <is>
          <t>1 (minor, closed)</t>
        </is>
      </c>
      <c r="G28" s="5" t="inlineStr">
        <is>
          <t>Different</t>
        </is>
      </c>
      <c r="H28" s="3" t="inlineStr">
        <is>
          <t>E-07,G-07,O-05</t>
        </is>
      </c>
      <c r="I28" s="3" t="inlineStr">
        <is>
          <t>Original plant data (plant_base.csv, synthetic)</t>
        </is>
      </c>
    </row>
    <row r="29">
      <c r="A29" s="2" t="inlineStr">
        <is>
          <t>EHS-006</t>
        </is>
      </c>
      <c r="B29" s="3" t="inlineStr">
        <is>
          <t>Open EHS corrective actions</t>
        </is>
      </c>
      <c r="C29" s="3" t="inlineStr">
        <is>
          <t>count</t>
        </is>
      </c>
      <c r="D29" s="3" t="inlineStr">
        <is>
          <t>Open EHS corrective actions</t>
        </is>
      </c>
      <c r="E29" s="21">
        <f>'Group KPIs'!K29</f>
        <v/>
      </c>
      <c r="F29" s="3" t="inlineStr">
        <is>
          <t>9</t>
        </is>
      </c>
      <c r="G29" s="5" t="inlineStr">
        <is>
          <t>Different</t>
        </is>
      </c>
      <c r="H29" s="3" t="inlineStr">
        <is>
          <t>E-07,G-07</t>
        </is>
      </c>
      <c r="I29" s="3" t="inlineStr">
        <is>
          <t>Original plant data (plant_base.csv, synthetic)</t>
        </is>
      </c>
    </row>
    <row r="30">
      <c r="A30" s="2" t="inlineStr">
        <is>
          <t>EHS-007</t>
        </is>
      </c>
      <c r="B30" s="3" t="inlineStr">
        <is>
          <t>Overdue EHS actions</t>
        </is>
      </c>
      <c r="C30" s="3" t="inlineStr">
        <is>
          <t>count</t>
        </is>
      </c>
      <c r="D30" s="3" t="inlineStr">
        <is>
          <t>Overdue EHS corrective actions</t>
        </is>
      </c>
      <c r="E30" s="21">
        <f>'Group KPIs'!K30</f>
        <v/>
      </c>
      <c r="F30" s="3" t="inlineStr">
        <is>
          <t>0</t>
        </is>
      </c>
      <c r="G30" s="5" t="inlineStr">
        <is>
          <t>Different</t>
        </is>
      </c>
      <c r="H30" s="3" t="inlineStr">
        <is>
          <t>E-07,G-07,O-05</t>
        </is>
      </c>
      <c r="I30" s="3" t="inlineStr">
        <is>
          <t>Original plant data (plant_base.csv, synthetic)</t>
        </is>
      </c>
    </row>
    <row r="31">
      <c r="A31" s="2" t="inlineStr">
        <is>
          <t>EHS-009</t>
        </is>
      </c>
      <c r="B31" s="3" t="inlineStr">
        <is>
          <t>EHS investigation completion</t>
        </is>
      </c>
      <c r="C31" s="3" t="inlineStr">
        <is>
          <t>%</t>
        </is>
      </c>
      <c r="D31" s="3" t="inlineStr">
        <is>
          <t>EHS investigations completed ÷ EHS investigations due × 100 (100 if none due)</t>
        </is>
      </c>
      <c r="E31" s="21">
        <f>'Group KPIs'!K31</f>
        <v/>
      </c>
      <c r="F31" s="3" t="inlineStr">
        <is>
          <t>100%</t>
        </is>
      </c>
      <c r="G31" s="5" t="inlineStr">
        <is>
          <t>Different</t>
        </is>
      </c>
      <c r="H31" s="3" t="inlineStr">
        <is>
          <t>E-07,G-07</t>
        </is>
      </c>
      <c r="I31" s="3" t="inlineStr">
        <is>
          <t>Original plant data (plant_base.csv, synthetic)</t>
        </is>
      </c>
    </row>
    <row r="32">
      <c r="A32" s="2" t="inlineStr">
        <is>
          <t>REG-006</t>
        </is>
      </c>
      <c r="B32" s="3" t="inlineStr">
        <is>
          <t>Licence or permit expiry clock</t>
        </is>
      </c>
      <c r="C32" s="3" t="inlineStr">
        <is>
          <t>days</t>
        </is>
      </c>
      <c r="D32" s="3" t="inlineStr">
        <is>
          <t>Days to permit expiry (lowest plant)</t>
        </is>
      </c>
      <c r="E32" s="21">
        <f>'Group KPIs'!K32</f>
        <v/>
      </c>
      <c r="F32" s="3" t="inlineStr">
        <is>
          <t>74 days · Entity C1</t>
        </is>
      </c>
      <c r="G32" s="5" t="inlineStr">
        <is>
          <t>Different</t>
        </is>
      </c>
      <c r="H32" s="3" t="inlineStr">
        <is>
          <t>E-07,O-05</t>
        </is>
      </c>
      <c r="I32" s="3" t="inlineStr">
        <is>
          <t>Original plant data (plant_base.csv, synthetic)</t>
        </is>
      </c>
    </row>
    <row r="33">
      <c r="A33" s="2" t="inlineStr">
        <is>
          <t>OPS-005</t>
        </is>
      </c>
      <c r="B33" s="3" t="inlineStr">
        <is>
          <t>Capacity utilisation (same measure as OPS-003)</t>
        </is>
      </c>
      <c r="C33" s="3" t="inlineStr">
        <is>
          <t>%</t>
        </is>
      </c>
      <c r="D33" s="3" t="inlineStr">
        <is>
          <t>Good output ÷ Installed capacity × 100</t>
        </is>
      </c>
      <c r="E33" s="21">
        <f>'Group KPIs'!K33</f>
        <v/>
      </c>
      <c r="F33" s="3" t="inlineStr">
        <is>
          <t>86%</t>
        </is>
      </c>
      <c r="G33" s="5" t="inlineStr">
        <is>
          <t>Different</t>
        </is>
      </c>
      <c r="H33" s="3" t="inlineStr">
        <is>
          <t>O-01, E-01, G-01</t>
        </is>
      </c>
      <c r="I33" s="3" t="inlineStr">
        <is>
          <t>Original plant data (plant_base.csv, synthetic)</t>
        </is>
      </c>
    </row>
    <row r="34">
      <c r="A34" s="2" t="inlineStr">
        <is>
          <t>OPS-006</t>
        </is>
      </c>
      <c r="B34" s="3" t="inlineStr">
        <is>
          <t>OEE · Group weighted (same measure as PLT-002)</t>
        </is>
      </c>
      <c r="C34" s="3" t="inlineStr">
        <is>
          <t>%</t>
        </is>
      </c>
      <c r="D34" s="3" t="inlineStr">
        <is>
          <t>Good output ÷ Ideal output × 100 (weighted by output, not an average of plants)</t>
        </is>
      </c>
      <c r="E34" s="21">
        <f>'Group KPIs'!K34</f>
        <v/>
      </c>
      <c r="F34" s="3" t="inlineStr">
        <is>
          <t>Not on a screen</t>
        </is>
      </c>
      <c r="G34" s="5" t="inlineStr">
        <is>
          <t>—</t>
        </is>
      </c>
      <c r="H34" s="3" t="inlineStr">
        <is>
          <t>—</t>
        </is>
      </c>
      <c r="I34" s="3" t="inlineStr">
        <is>
          <t>Original plant data (plant_base.csv, synthetic)</t>
        </is>
      </c>
    </row>
    <row r="35">
      <c r="A35" s="2" t="inlineStr">
        <is>
          <t>OPS-002</t>
        </is>
      </c>
      <c r="B35" s="3" t="inlineStr">
        <is>
          <t>Sales vs plan</t>
        </is>
      </c>
      <c r="C35" s="3" t="inlineStr">
        <is>
          <t>%</t>
        </is>
      </c>
      <c r="D35" s="3" t="inlineStr">
        <is>
          <t>Sales volume ÷ Planned sales volume × 100</t>
        </is>
      </c>
      <c r="E35" s="21">
        <f>'Group KPIs'!K35</f>
        <v/>
      </c>
      <c r="F35" s="3" t="inlineStr">
        <is>
          <t>97.6%</t>
        </is>
      </c>
      <c r="G35" s="5" t="inlineStr">
        <is>
          <t>Different</t>
        </is>
      </c>
      <c r="H35" s="3" t="inlineStr">
        <is>
          <t>E-01,G-01,G-03,O-01,STATE GALLERY</t>
        </is>
      </c>
      <c r="I35" s="3" t="inlineStr">
        <is>
          <t>Synthetic inputs added for this model</t>
        </is>
      </c>
    </row>
    <row r="36">
      <c r="A36" s="2" t="inlineStr">
        <is>
          <t>OPS-004</t>
        </is>
      </c>
      <c r="B36" s="3" t="inlineStr">
        <is>
          <t>Sales vs plan · Group (same measure as OPS-002)</t>
        </is>
      </c>
      <c r="C36" s="3" t="inlineStr">
        <is>
          <t>%</t>
        </is>
      </c>
      <c r="D36" s="3" t="inlineStr">
        <is>
          <t>Sales volume ÷ Planned sales volume × 100</t>
        </is>
      </c>
      <c r="E36" s="21">
        <f>'Group KPIs'!K36</f>
        <v/>
      </c>
      <c r="F36" s="3" t="inlineStr">
        <is>
          <t>97.6%</t>
        </is>
      </c>
      <c r="G36" s="5" t="inlineStr">
        <is>
          <t>Different</t>
        </is>
      </c>
      <c r="H36" s="3" t="inlineStr">
        <is>
          <t>O-01</t>
        </is>
      </c>
      <c r="I36" s="3" t="inlineStr">
        <is>
          <t>Synthetic inputs added for this model</t>
        </is>
      </c>
    </row>
    <row r="37">
      <c r="A37" s="2" t="inlineStr">
        <is>
          <t>CST-004</t>
        </is>
      </c>
      <c r="B37" s="3" t="inlineStr">
        <is>
          <t>Power cost per tonne</t>
        </is>
      </c>
      <c r="C37" s="3" t="inlineStr">
        <is>
          <t>₹/t</t>
        </is>
      </c>
      <c r="D37" s="3" t="inlineStr">
        <is>
          <t>Power cost × 1000 ÷ Good output</t>
        </is>
      </c>
      <c r="E37" s="21">
        <f>'Group KPIs'!K37</f>
        <v/>
      </c>
      <c r="F37" s="3" t="inlineStr">
        <is>
          <t>174 ₹/t</t>
        </is>
      </c>
      <c r="G37" s="5" t="inlineStr">
        <is>
          <t>Different</t>
        </is>
      </c>
      <c r="H37" s="3" t="inlineStr">
        <is>
          <t>O-09</t>
        </is>
      </c>
      <c r="I37" s="3" t="inlineStr">
        <is>
          <t>Original plant data + synthetic inputs added for this model</t>
        </is>
      </c>
    </row>
    <row r="38">
      <c r="A38" s="2" t="inlineStr">
        <is>
          <t>FIN-001</t>
        </is>
      </c>
      <c r="B38" s="3" t="inlineStr">
        <is>
          <t>EBITDA YTD</t>
        </is>
      </c>
      <c r="C38" s="3" t="inlineStr">
        <is>
          <t>₹ m</t>
        </is>
      </c>
      <c r="D38" s="3" t="inlineStr">
        <is>
          <t>Sum of monthly EBITDA since April ÷ 1000  [Year to date]</t>
        </is>
      </c>
      <c r="E38" s="21">
        <f>'Group KPIs'!K38</f>
        <v/>
      </c>
      <c r="F38" s="3" t="inlineStr">
        <is>
          <t>361.3 ₹ m</t>
        </is>
      </c>
      <c r="G38" s="5" t="inlineStr">
        <is>
          <t>Different</t>
        </is>
      </c>
      <c r="H38" s="3" t="inlineStr">
        <is>
          <t>E-01,E-11,G-01,G-02,G-03,O-01,STATE GALLERY</t>
        </is>
      </c>
      <c r="I38" s="3" t="inlineStr">
        <is>
          <t>Original plant data + synthetic inputs added for this model</t>
        </is>
      </c>
    </row>
    <row r="39">
      <c r="A39" s="2" t="inlineStr">
        <is>
          <t>FIN-002</t>
        </is>
      </c>
      <c r="B39" s="3" t="inlineStr">
        <is>
          <t>EBIT YTD</t>
        </is>
      </c>
      <c r="C39" s="3" t="inlineStr">
        <is>
          <t>₹ m</t>
        </is>
      </c>
      <c r="D39" s="3" t="inlineStr">
        <is>
          <t>Sum of monthly EBIT since April ÷ 1000  [Year to date]</t>
        </is>
      </c>
      <c r="E39" s="21">
        <f>'Group KPIs'!K39</f>
        <v/>
      </c>
      <c r="F39" s="3" t="inlineStr">
        <is>
          <t>238.4 ₹ m</t>
        </is>
      </c>
      <c r="G39" s="5" t="inlineStr">
        <is>
          <t>Different</t>
        </is>
      </c>
      <c r="H39" s="3" t="inlineStr">
        <is>
          <t>E-01,E-11,G-01,G-03,O-01,STATE GALLERY</t>
        </is>
      </c>
      <c r="I39" s="3" t="inlineStr">
        <is>
          <t>Original plant data + synthetic inputs added for this model</t>
        </is>
      </c>
    </row>
    <row r="40">
      <c r="A40" s="2" t="inlineStr">
        <is>
          <t>FIN-003</t>
        </is>
      </c>
      <c r="B40" s="3" t="inlineStr">
        <is>
          <t>Revenue YTD</t>
        </is>
      </c>
      <c r="C40" s="3" t="inlineStr">
        <is>
          <t>₹ m</t>
        </is>
      </c>
      <c r="D40" s="3" t="inlineStr">
        <is>
          <t>Sum of monthly Revenue since April ÷ 1000  [Year to date]</t>
        </is>
      </c>
      <c r="E40" s="21">
        <f>'Group KPIs'!K40</f>
        <v/>
      </c>
      <c r="F40" s="3" t="inlineStr">
        <is>
          <t>2,410 ₹ m</t>
        </is>
      </c>
      <c r="G40" s="5" t="inlineStr">
        <is>
          <t>Different</t>
        </is>
      </c>
      <c r="H40" s="3" t="inlineStr">
        <is>
          <t>E-01,E-11,G-01,G-02,G-03,O-01,STATE GALLERY</t>
        </is>
      </c>
      <c r="I40" s="3" t="inlineStr">
        <is>
          <t>Synthetic inputs added for this model</t>
        </is>
      </c>
    </row>
    <row r="41">
      <c r="A41" s="2" t="inlineStr">
        <is>
          <t>FIN-004</t>
        </is>
      </c>
      <c r="B41" s="3" t="inlineStr">
        <is>
          <t>Free cash flow YTD</t>
        </is>
      </c>
      <c r="C41" s="3" t="inlineStr">
        <is>
          <t>₹ m</t>
        </is>
      </c>
      <c r="D41" s="3" t="inlineStr">
        <is>
          <t>Sum of monthly Free cash flow since April ÷ 1000  [Year to date]</t>
        </is>
      </c>
      <c r="E41" s="21">
        <f>'Group KPIs'!K41</f>
        <v/>
      </c>
      <c r="F41" s="3" t="inlineStr">
        <is>
          <t>96.4 ₹ m</t>
        </is>
      </c>
      <c r="G41" s="5" t="inlineStr">
        <is>
          <t>Different</t>
        </is>
      </c>
      <c r="H41" s="3" t="inlineStr">
        <is>
          <t>O-01, E-01, E-11, G-01, G-03, STATE GALLERY</t>
        </is>
      </c>
      <c r="I41" s="3" t="inlineStr">
        <is>
          <t>Original plant data + synthetic inputs added for this model</t>
        </is>
      </c>
    </row>
    <row r="42">
      <c r="A42" s="2" t="inlineStr">
        <is>
          <t>FIN-005</t>
        </is>
      </c>
      <c r="B42" s="3" t="inlineStr">
        <is>
          <t>ROCE, annualised</t>
        </is>
      </c>
      <c r="C42" s="3" t="inlineStr">
        <is>
          <t>%</t>
        </is>
      </c>
      <c r="D42" s="3" t="inlineStr">
        <is>
          <t>EBIT since April × 12 ÷ months elapsed ÷ Capital employed × 100  [Year to date]</t>
        </is>
      </c>
      <c r="E42" s="21">
        <f>'Group KPIs'!K42</f>
        <v/>
      </c>
      <c r="F42" s="3" t="inlineStr">
        <is>
          <t>11.8%</t>
        </is>
      </c>
      <c r="G42" s="5" t="inlineStr">
        <is>
          <t>Different</t>
        </is>
      </c>
      <c r="H42" s="3" t="inlineStr">
        <is>
          <t>E-01,E-11,G-01,G-03,O-01,STATE GALLERY</t>
        </is>
      </c>
      <c r="I42" s="3" t="inlineStr">
        <is>
          <t>Original plant data + synthetic inputs added for this model</t>
        </is>
      </c>
    </row>
    <row r="43">
      <c r="A43" s="2" t="inlineStr">
        <is>
          <t>FIN-006</t>
        </is>
      </c>
      <c r="B43" s="3" t="inlineStr">
        <is>
          <t>Net debt</t>
        </is>
      </c>
      <c r="C43" s="3" t="inlineStr">
        <is>
          <t>₹ m</t>
        </is>
      </c>
      <c r="D43" s="3" t="inlineStr">
        <is>
          <t>(Gross debt − Cash) ÷ 1000  [Month end]</t>
        </is>
      </c>
      <c r="E43" s="21">
        <f>'Group KPIs'!K43</f>
        <v/>
      </c>
      <c r="F43" s="3" t="inlineStr">
        <is>
          <t>6,650.0 ₹ m</t>
        </is>
      </c>
      <c r="G43" s="5" t="inlineStr">
        <is>
          <t>Same</t>
        </is>
      </c>
      <c r="H43" s="3" t="inlineStr">
        <is>
          <t>O-01, O-03, G-01, G-03, STATE GALLERY</t>
        </is>
      </c>
      <c r="I43" s="3" t="inlineStr">
        <is>
          <t>Synthetic inputs added for this model</t>
        </is>
      </c>
    </row>
    <row r="44">
      <c r="A44" s="2" t="inlineStr">
        <is>
          <t>FIN-007</t>
        </is>
      </c>
      <c r="B44" s="3" t="inlineStr">
        <is>
          <t>Shareholder-value indicator (economic profit YTD)</t>
        </is>
      </c>
      <c r="C44" s="3" t="inlineStr">
        <is>
          <t>₹ m</t>
        </is>
      </c>
      <c r="D44" s="3" t="inlineStr">
        <is>
          <t>(EBIT since April × (1 − Tax rate) − Capital employed × Cost of capital × months elapsed ÷ 12) ÷ 1000  [Year to date]</t>
        </is>
      </c>
      <c r="E44" s="21">
        <f>'Group KPIs'!K44</f>
        <v/>
      </c>
      <c r="F44" s="3" t="inlineStr">
        <is>
          <t>[PLACEHOLDER]</t>
        </is>
      </c>
      <c r="G44" s="5" t="inlineStr">
        <is>
          <t>Different</t>
        </is>
      </c>
      <c r="H44" s="3" t="inlineStr">
        <is>
          <t>G-03,O-01,STATE GALLERY</t>
        </is>
      </c>
      <c r="I44" s="3" t="inlineStr">
        <is>
          <t>Original plant data + synthetic inputs added for this model</t>
        </is>
      </c>
    </row>
    <row r="45">
      <c r="A45" s="2" t="inlineStr">
        <is>
          <t>FIN-008</t>
        </is>
      </c>
      <c r="B45" s="3" t="inlineStr">
        <is>
          <t>FCF conversion (FCF ÷ EBITDA)</t>
        </is>
      </c>
      <c r="C45" s="3" t="inlineStr">
        <is>
          <t>%</t>
        </is>
      </c>
      <c r="D45" s="3" t="inlineStr">
        <is>
          <t>Free cash flow since April ÷ EBITDA since April × 100  [Year to date]</t>
        </is>
      </c>
      <c r="E45" s="21">
        <f>'Group KPIs'!K45</f>
        <v/>
      </c>
      <c r="F45" s="3" t="inlineStr">
        <is>
          <t>27%</t>
        </is>
      </c>
      <c r="G45" s="5" t="inlineStr">
        <is>
          <t>Different</t>
        </is>
      </c>
      <c r="H45" s="3" t="inlineStr">
        <is>
          <t>G-03</t>
        </is>
      </c>
      <c r="I45" s="3" t="inlineStr">
        <is>
          <t>Original plant data + synthetic inputs added for this model</t>
        </is>
      </c>
    </row>
    <row r="46">
      <c r="A46" s="2" t="inlineStr">
        <is>
          <t>CSH-001</t>
        </is>
      </c>
      <c r="B46" s="3" t="inlineStr">
        <is>
          <t>Cash position</t>
        </is>
      </c>
      <c r="C46" s="3" t="inlineStr">
        <is>
          <t>₹ m</t>
        </is>
      </c>
      <c r="D46" s="3" t="inlineStr">
        <is>
          <t>Cash ÷ 1000  [Month end]</t>
        </is>
      </c>
      <c r="E46" s="21">
        <f>'Group KPIs'!K46</f>
        <v/>
      </c>
      <c r="F46" s="3" t="inlineStr">
        <is>
          <t>2,141.8 ₹ m</t>
        </is>
      </c>
      <c r="G46" s="5" t="inlineStr">
        <is>
          <t>Same</t>
        </is>
      </c>
      <c r="H46" s="3" t="inlineStr">
        <is>
          <t>O-03, E-05, G-04</t>
        </is>
      </c>
      <c r="I46" s="3" t="inlineStr">
        <is>
          <t>Synthetic inputs added for this model</t>
        </is>
      </c>
    </row>
    <row r="47">
      <c r="A47" s="2" t="inlineStr">
        <is>
          <t>CSH-002</t>
        </is>
      </c>
      <c r="B47" s="3" t="inlineStr">
        <is>
          <t>Cash released YTD</t>
        </is>
      </c>
      <c r="C47" s="3" t="inlineStr">
        <is>
          <t>₹ m</t>
        </is>
      </c>
      <c r="D47" s="3" t="inlineStr">
        <is>
          <t>Sum of cash released since April ÷ 1000  [Year to date]</t>
        </is>
      </c>
      <c r="E47" s="21">
        <f>'Group KPIs'!K47</f>
        <v/>
      </c>
      <c r="F47" s="3" t="inlineStr">
        <is>
          <t>₹21 m</t>
        </is>
      </c>
      <c r="G47" s="5" t="inlineStr">
        <is>
          <t>Different</t>
        </is>
      </c>
      <c r="H47" s="3" t="inlineStr">
        <is>
          <t>E-05, G-04</t>
        </is>
      </c>
      <c r="I47" s="3" t="inlineStr">
        <is>
          <t>Synthetic inputs added for this model</t>
        </is>
      </c>
    </row>
    <row r="48">
      <c r="A48" s="2" t="inlineStr">
        <is>
          <t>CSH-003</t>
        </is>
      </c>
      <c r="B48" s="3" t="inlineStr">
        <is>
          <t>Daily collections</t>
        </is>
      </c>
      <c r="C48" s="3" t="inlineStr">
        <is>
          <t>₹ m per day</t>
        </is>
      </c>
      <c r="D48" s="3" t="inlineStr">
        <is>
          <t>Cash collected ÷ Days in month ÷ 1000</t>
        </is>
      </c>
      <c r="E48" s="21">
        <f>'Group KPIs'!K48</f>
        <v/>
      </c>
      <c r="F48" s="3" t="inlineStr">
        <is>
          <t>₹18.6 m</t>
        </is>
      </c>
      <c r="G48" s="5" t="inlineStr">
        <is>
          <t>Different</t>
        </is>
      </c>
      <c r="H48" s="3" t="inlineStr">
        <is>
          <t>E-01, E-05, G-04, S-11</t>
        </is>
      </c>
      <c r="I48" s="3" t="inlineStr">
        <is>
          <t>Synthetic inputs added for this model</t>
        </is>
      </c>
    </row>
    <row r="49">
      <c r="A49" s="2" t="inlineStr">
        <is>
          <t>CSH-004</t>
        </is>
      </c>
      <c r="B49" s="3" t="inlineStr">
        <is>
          <t>Cash-conversion cycle</t>
        </is>
      </c>
      <c r="C49" s="3" t="inlineStr">
        <is>
          <t>days</t>
        </is>
      </c>
      <c r="D49" s="3" t="inlineStr">
        <is>
          <t>DSO + Inventory days − DPO  [Month end]</t>
        </is>
      </c>
      <c r="E49" s="21">
        <f>'Group KPIs'!K49</f>
        <v/>
      </c>
      <c r="F49" s="3" t="inlineStr">
        <is>
          <t>33 d</t>
        </is>
      </c>
      <c r="G49" s="7" t="inlineStr">
        <is>
          <t>Same</t>
        </is>
      </c>
      <c r="H49" s="3" t="inlineStr">
        <is>
          <t>E-05, G-04</t>
        </is>
      </c>
      <c r="I49" s="3" t="inlineStr">
        <is>
          <t>Original plant data + synthetic inputs added for this model</t>
        </is>
      </c>
    </row>
    <row r="50">
      <c r="A50" s="2" t="inlineStr">
        <is>
          <t>CSH-006</t>
        </is>
      </c>
      <c r="B50" s="3" t="inlineStr">
        <is>
          <t>Cash-upstream exposure</t>
        </is>
      </c>
      <c r="C50" s="3" t="inlineStr">
        <is>
          <t>₹ m</t>
        </is>
      </c>
      <c r="D50" s="3" t="inlineStr">
        <is>
          <t>(Cash due to be upstreamed − Amount covered by available cash) ÷ 1000  [Next 30 days]</t>
        </is>
      </c>
      <c r="E50" s="21">
        <f>'Group KPIs'!K50</f>
        <v/>
      </c>
      <c r="F50" s="3" t="inlineStr">
        <is>
          <t>27.2 ₹ m</t>
        </is>
      </c>
      <c r="G50" s="5" t="inlineStr">
        <is>
          <t>Same</t>
        </is>
      </c>
      <c r="H50" s="3" t="inlineStr">
        <is>
          <t>O-03, E-01, E-05, G-04, S-11</t>
        </is>
      </c>
      <c r="I50" s="3" t="inlineStr">
        <is>
          <t>Synthetic inputs added for this model</t>
        </is>
      </c>
    </row>
    <row r="51">
      <c r="A51" s="2" t="inlineStr">
        <is>
          <t>WCP-001</t>
        </is>
      </c>
      <c r="B51" s="3" t="inlineStr">
        <is>
          <t>DSO</t>
        </is>
      </c>
      <c r="C51" s="3" t="inlineStr">
        <is>
          <t>days</t>
        </is>
      </c>
      <c r="D51" s="3" t="inlineStr">
        <is>
          <t>Trade receivables ÷ Revenue × Days in month  [Month end]</t>
        </is>
      </c>
      <c r="E51" s="21">
        <f>'Group KPIs'!K51</f>
        <v/>
      </c>
      <c r="F51" s="3" t="inlineStr">
        <is>
          <t>47.0 days</t>
        </is>
      </c>
      <c r="G51" s="7" t="inlineStr">
        <is>
          <t>Same</t>
        </is>
      </c>
      <c r="H51" s="3" t="inlineStr">
        <is>
          <t>O-03, E-01, E-05, G-02, G-04, S-11</t>
        </is>
      </c>
      <c r="I51" s="3" t="inlineStr">
        <is>
          <t>Synthetic inputs added for this model</t>
        </is>
      </c>
    </row>
    <row r="52">
      <c r="A52" s="2" t="inlineStr">
        <is>
          <t>WCP-002</t>
        </is>
      </c>
      <c r="B52" s="3" t="inlineStr">
        <is>
          <t>DPO</t>
        </is>
      </c>
      <c r="C52" s="3" t="inlineStr">
        <is>
          <t>days</t>
        </is>
      </c>
      <c r="D52" s="3" t="inlineStr">
        <is>
          <t>Trade payables ÷ Variable cost × Days in month  [Month end]</t>
        </is>
      </c>
      <c r="E52" s="21">
        <f>'Group KPIs'!K52</f>
        <v/>
      </c>
      <c r="F52" s="3" t="inlineStr">
        <is>
          <t>52 d</t>
        </is>
      </c>
      <c r="G52" s="7" t="inlineStr">
        <is>
          <t>Same</t>
        </is>
      </c>
      <c r="H52" s="3" t="inlineStr">
        <is>
          <t>E-05, G-04</t>
        </is>
      </c>
      <c r="I52" s="3" t="inlineStr">
        <is>
          <t>Original plant data + synthetic inputs added for this model</t>
        </is>
      </c>
    </row>
    <row r="53">
      <c r="A53" s="2" t="inlineStr">
        <is>
          <t>WCP-003</t>
        </is>
      </c>
      <c r="B53" s="3" t="inlineStr">
        <is>
          <t>Inventory days</t>
        </is>
      </c>
      <c r="C53" s="3" t="inlineStr">
        <is>
          <t>days</t>
        </is>
      </c>
      <c r="D53" s="3" t="inlineStr">
        <is>
          <t>Inventory ÷ Variable cost × Days in month  [Month end]</t>
        </is>
      </c>
      <c r="E53" s="21">
        <f>'Group KPIs'!K53</f>
        <v/>
      </c>
      <c r="F53" s="3" t="inlineStr">
        <is>
          <t>38 d</t>
        </is>
      </c>
      <c r="G53" s="7" t="inlineStr">
        <is>
          <t>Same</t>
        </is>
      </c>
      <c r="H53" s="3" t="inlineStr">
        <is>
          <t>E-05, G-04</t>
        </is>
      </c>
      <c r="I53" s="3" t="inlineStr">
        <is>
          <t>Original plant data + synthetic inputs added for this model</t>
        </is>
      </c>
    </row>
    <row r="54">
      <c r="A54" s="2" t="inlineStr">
        <is>
          <t>WCP-004</t>
        </is>
      </c>
      <c r="B54" s="3" t="inlineStr">
        <is>
          <t>Net working capital</t>
        </is>
      </c>
      <c r="C54" s="3" t="inlineStr">
        <is>
          <t>₹ m</t>
        </is>
      </c>
      <c r="D54" s="3" t="inlineStr">
        <is>
          <t>(Trade receivables + Inventory − Trade payables) ÷ 1000  [Month end]</t>
        </is>
      </c>
      <c r="E54" s="21">
        <f>'Group KPIs'!K54</f>
        <v/>
      </c>
      <c r="F54" s="3" t="inlineStr">
        <is>
          <t>2,781.0 ₹ m</t>
        </is>
      </c>
      <c r="G54" s="5" t="inlineStr">
        <is>
          <t>Same</t>
        </is>
      </c>
      <c r="H54" s="3" t="inlineStr">
        <is>
          <t>O-03, E-05, G-04</t>
        </is>
      </c>
      <c r="I54" s="3" t="inlineStr">
        <is>
          <t>Synthetic inputs added for this model</t>
        </is>
      </c>
    </row>
    <row r="55">
      <c r="A55" s="2" t="inlineStr">
        <is>
          <t>WCP-005</t>
        </is>
      </c>
      <c r="B55" s="3" t="inlineStr">
        <is>
          <t>Working-capital movement</t>
        </is>
      </c>
      <c r="C55" s="3" t="inlineStr">
        <is>
          <t>₹ m</t>
        </is>
      </c>
      <c r="D55" s="3" t="inlineStr">
        <is>
          <t>(Net working capital − last month's net working capital) ÷ 1000; positive = cash tied up</t>
        </is>
      </c>
      <c r="E55" s="21">
        <f>'Group KPIs'!K55</f>
        <v/>
      </c>
      <c r="F55" s="3" t="inlineStr">
        <is>
          <t>+₹14 m</t>
        </is>
      </c>
      <c r="G55" s="5" t="inlineStr">
        <is>
          <t>Different</t>
        </is>
      </c>
      <c r="H55" s="3" t="inlineStr">
        <is>
          <t>E-05, G-04</t>
        </is>
      </c>
      <c r="I55" s="3" t="inlineStr">
        <is>
          <t>Synthetic inputs added for this model</t>
        </is>
      </c>
    </row>
    <row r="56">
      <c r="A56" s="2" t="inlineStr">
        <is>
          <t>WCP-006</t>
        </is>
      </c>
      <c r="B56" s="3" t="inlineStr">
        <is>
          <t>Working-capital days</t>
        </is>
      </c>
      <c r="C56" s="3" t="inlineStr">
        <is>
          <t>days</t>
        </is>
      </c>
      <c r="D56" s="3" t="inlineStr">
        <is>
          <t>Net working capital ÷ Revenue × Days in month  [Month end]</t>
        </is>
      </c>
      <c r="E56" s="21">
        <f>'Group KPIs'!K56</f>
        <v/>
      </c>
      <c r="F56" s="3" t="inlineStr">
        <is>
          <t>33</t>
        </is>
      </c>
      <c r="G56" s="5" t="inlineStr">
        <is>
          <t>Different</t>
        </is>
      </c>
      <c r="H56" s="3" t="inlineStr">
        <is>
          <t>E-05, G-04</t>
        </is>
      </c>
      <c r="I56" s="3" t="inlineStr">
        <is>
          <t>Synthetic inputs added for this model</t>
        </is>
      </c>
    </row>
    <row r="57">
      <c r="A57" s="2" t="inlineStr">
        <is>
          <t>LIQ-001</t>
        </is>
      </c>
      <c r="B57" s="3" t="inlineStr">
        <is>
          <t>Liquidity runway</t>
        </is>
      </c>
      <c r="C57" s="3" t="inlineStr">
        <is>
          <t>months</t>
        </is>
      </c>
      <c r="D57" s="3" t="inlineStr">
        <is>
          <t>(Cash + Undrawn facilities) ÷ (Fixed cost + Overheads + Debt service) per month  [Month end]</t>
        </is>
      </c>
      <c r="E57" s="21">
        <f>'Group KPIs'!K57</f>
        <v/>
      </c>
      <c r="F57" s="3" t="inlineStr">
        <is>
          <t>16.7 months</t>
        </is>
      </c>
      <c r="G57" s="5" t="inlineStr">
        <is>
          <t>Same</t>
        </is>
      </c>
      <c r="H57" s="3" t="inlineStr">
        <is>
          <t>O-03, E-05, G-04</t>
        </is>
      </c>
      <c r="I57" s="3" t="inlineStr">
        <is>
          <t>Original plant data + synthetic inputs added for this model</t>
        </is>
      </c>
    </row>
    <row r="58">
      <c r="A58" s="2" t="inlineStr">
        <is>
          <t>LIQ-002</t>
        </is>
      </c>
      <c r="B58" s="3" t="inlineStr">
        <is>
          <t>Covenant headroom</t>
        </is>
      </c>
      <c r="C58" s="3" t="inlineStr">
        <is>
          <t>%</t>
        </is>
      </c>
      <c r="D58" s="3" t="inlineStr">
        <is>
          <t>(Covenant limit − Net debt ÷ Annualised EBITDA) ÷ Covenant limit × 100  [Month end]</t>
        </is>
      </c>
      <c r="E58" s="21">
        <f>'Group KPIs'!K58</f>
        <v/>
      </c>
      <c r="F58" s="3" t="inlineStr">
        <is>
          <t>22 % [TERMS — PH]</t>
        </is>
      </c>
      <c r="G58" s="5" t="inlineStr">
        <is>
          <t>Different</t>
        </is>
      </c>
      <c r="H58" s="3" t="inlineStr">
        <is>
          <t>E-05, G-04</t>
        </is>
      </c>
      <c r="I58" s="3" t="inlineStr">
        <is>
          <t>Original plant data + synthetic inputs added for this model</t>
        </is>
      </c>
    </row>
    <row r="59">
      <c r="A59" s="2" t="inlineStr">
        <is>
          <t>LIQ-003</t>
        </is>
      </c>
      <c r="B59" s="3" t="inlineStr">
        <is>
          <t>Debt-maturity exposure, next 12 months</t>
        </is>
      </c>
      <c r="C59" s="3" t="inlineStr">
        <is>
          <t>₹ m</t>
        </is>
      </c>
      <c r="D59" s="3" t="inlineStr">
        <is>
          <t>Debt maturing in next 12 months ÷ 1000  [Month end]</t>
        </is>
      </c>
      <c r="E59" s="21">
        <f>'Group KPIs'!K59</f>
        <v/>
      </c>
      <c r="F59" s="3" t="inlineStr">
        <is>
          <t>891.4 ₹ m</t>
        </is>
      </c>
      <c r="G59" s="5" t="inlineStr">
        <is>
          <t>Same</t>
        </is>
      </c>
      <c r="H59" s="3" t="inlineStr">
        <is>
          <t>O-03, E-05, G-04</t>
        </is>
      </c>
      <c r="I59" s="3" t="inlineStr">
        <is>
          <t>Synthetic inputs added for this model</t>
        </is>
      </c>
    </row>
    <row r="60">
      <c r="A60" s="2" t="inlineStr">
        <is>
          <t>LIQ-004</t>
        </is>
      </c>
      <c r="B60" s="3" t="inlineStr">
        <is>
          <t>Financing exposure (floating-rate debt)</t>
        </is>
      </c>
      <c r="C60" s="3" t="inlineStr">
        <is>
          <t>₹ m</t>
        </is>
      </c>
      <c r="D60" s="3" t="inlineStr">
        <is>
          <t>Floating-rate debt ÷ 1000  [Month end]</t>
        </is>
      </c>
      <c r="E60" s="21">
        <f>'Group KPIs'!K60</f>
        <v/>
      </c>
      <c r="F60" s="3" t="inlineStr">
        <is>
          <t>2,720.8 ₹ m</t>
        </is>
      </c>
      <c r="G60" s="5" t="inlineStr">
        <is>
          <t>Same</t>
        </is>
      </c>
      <c r="H60" s="3" t="inlineStr">
        <is>
          <t>O-03, G-04</t>
        </is>
      </c>
      <c r="I60" s="3" t="inlineStr">
        <is>
          <t>Synthetic inputs added for this model</t>
        </is>
      </c>
    </row>
    <row r="61">
      <c r="A61" s="2" t="inlineStr">
        <is>
          <t>TRS-001</t>
        </is>
      </c>
      <c r="B61" s="3" t="inlineStr">
        <is>
          <t>FX exposure, unhedged</t>
        </is>
      </c>
      <c r="C61" s="3" t="inlineStr">
        <is>
          <t>₹ m</t>
        </is>
      </c>
      <c r="D61" s="3" t="inlineStr">
        <is>
          <t>(Foreign-currency exposure − Amount hedged) ÷ 1000  [Month end]</t>
        </is>
      </c>
      <c r="E61" s="21">
        <f>'Group KPIs'!K61</f>
        <v/>
      </c>
      <c r="F61" s="3" t="inlineStr">
        <is>
          <t>₹64 m</t>
        </is>
      </c>
      <c r="G61" s="5" t="inlineStr">
        <is>
          <t>Different</t>
        </is>
      </c>
      <c r="H61" s="3" t="inlineStr">
        <is>
          <t>E-05, G-04</t>
        </is>
      </c>
      <c r="I61" s="3" t="inlineStr">
        <is>
          <t>Synthetic inputs added for this model</t>
        </is>
      </c>
    </row>
    <row r="62">
      <c r="A62" s="2" t="inlineStr">
        <is>
          <t>TRS-002</t>
        </is>
      </c>
      <c r="B62" s="3" t="inlineStr">
        <is>
          <t>Hedging effectiveness</t>
        </is>
      </c>
      <c r="C62" s="3" t="inlineStr">
        <is>
          <t>%</t>
        </is>
      </c>
      <c r="D62" s="3" t="inlineStr">
        <is>
          <t>Change in value of hedges ÷ Change in value of hedged items × 100</t>
        </is>
      </c>
      <c r="E62" s="21">
        <f>'Group KPIs'!K62</f>
        <v/>
      </c>
      <c r="F62" s="3" t="inlineStr">
        <is>
          <t>91%</t>
        </is>
      </c>
      <c r="G62" s="5" t="inlineStr">
        <is>
          <t>Different</t>
        </is>
      </c>
      <c r="H62" s="3" t="inlineStr">
        <is>
          <t>E-05, G-04</t>
        </is>
      </c>
      <c r="I62" s="3" t="inlineStr">
        <is>
          <t>Synthetic inputs added for this model</t>
        </is>
      </c>
    </row>
    <row r="63">
      <c r="A63" s="2" t="inlineStr">
        <is>
          <t>TRS-003</t>
        </is>
      </c>
      <c r="B63" s="3" t="inlineStr">
        <is>
          <t>USD share of unhedged FX exposure</t>
        </is>
      </c>
      <c r="C63" s="3" t="inlineStr">
        <is>
          <t>%</t>
        </is>
      </c>
      <c r="D63" s="3" t="inlineStr">
        <is>
          <t>(USD exposure − USD hedged) ÷ (FX exposure − FX hedged) × 100  [Month end]</t>
        </is>
      </c>
      <c r="E63" s="21">
        <f>'Group KPIs'!K63</f>
        <v/>
      </c>
      <c r="F63" s="3" t="inlineStr">
        <is>
          <t>Not on a screen</t>
        </is>
      </c>
      <c r="G63" s="5" t="inlineStr">
        <is>
          <t>—</t>
        </is>
      </c>
      <c r="H63" s="3" t="inlineStr">
        <is>
          <t>—</t>
        </is>
      </c>
      <c r="I63" s="3" t="inlineStr">
        <is>
          <t>Synthetic inputs added for this model</t>
        </is>
      </c>
    </row>
    <row r="64">
      <c r="A64" s="2" t="inlineStr">
        <is>
          <t>TRS-004</t>
        </is>
      </c>
      <c r="B64" s="3" t="inlineStr">
        <is>
          <t>Hedge cover, next 6 months</t>
        </is>
      </c>
      <c r="C64" s="3" t="inlineStr">
        <is>
          <t>%</t>
        </is>
      </c>
      <c r="D64" s="3" t="inlineStr">
        <is>
          <t>Foreign-currency flows hedged ÷ Forecast foreign-currency flows, next 6 months × 100  [Next 6 months]</t>
        </is>
      </c>
      <c r="E64" s="21">
        <f>'Group KPIs'!K64</f>
        <v/>
      </c>
      <c r="F64" s="3" t="inlineStr">
        <is>
          <t>70.7 %</t>
        </is>
      </c>
      <c r="G64" s="5" t="inlineStr">
        <is>
          <t>Same</t>
        </is>
      </c>
      <c r="H64" s="3" t="inlineStr">
        <is>
          <t>O-03, E-05, G-04</t>
        </is>
      </c>
      <c r="I64" s="3" t="inlineStr">
        <is>
          <t>Synthetic inputs added for this model</t>
        </is>
      </c>
    </row>
    <row r="65">
      <c r="A65" s="2" t="inlineStr">
        <is>
          <t>TRS-005</t>
        </is>
      </c>
      <c r="B65" s="3" t="inlineStr">
        <is>
          <t>FX sensitivity, 5% USD move</t>
        </is>
      </c>
      <c r="C65" s="3" t="inlineStr">
        <is>
          <t>₹ m</t>
        </is>
      </c>
      <c r="D65" s="3" t="inlineStr">
        <is>
          <t>5% × (USD exposure − USD hedged) ÷ 1000  [Month end]</t>
        </is>
      </c>
      <c r="E65" s="21">
        <f>'Group KPIs'!K65</f>
        <v/>
      </c>
      <c r="F65" s="3" t="inlineStr">
        <is>
          <t>Not on a screen</t>
        </is>
      </c>
      <c r="G65" s="5" t="inlineStr">
        <is>
          <t>—</t>
        </is>
      </c>
      <c r="H65" s="3" t="inlineStr">
        <is>
          <t>—</t>
        </is>
      </c>
      <c r="I65" s="3" t="inlineStr">
        <is>
          <t>Synthetic inputs added for this model</t>
        </is>
      </c>
    </row>
    <row r="66">
      <c r="A66" s="2" t="inlineStr">
        <is>
          <t>CPX-001</t>
        </is>
      </c>
      <c r="B66" s="3" t="inlineStr">
        <is>
          <t>Approved capex budget</t>
        </is>
      </c>
      <c r="C66" s="3" t="inlineStr">
        <is>
          <t>₹ m</t>
        </is>
      </c>
      <c r="D66" s="3" t="inlineStr">
        <is>
          <t>Approved capex budget ÷ 1000  [Full year]</t>
        </is>
      </c>
      <c r="E66" s="21">
        <f>'Group KPIs'!K66</f>
        <v/>
      </c>
      <c r="F66" s="3" t="inlineStr">
        <is>
          <t>850 ₹ m</t>
        </is>
      </c>
      <c r="G66" s="5" t="inlineStr">
        <is>
          <t>Different</t>
        </is>
      </c>
      <c r="H66" s="3" t="inlineStr">
        <is>
          <t>E-06,G-06,O-04</t>
        </is>
      </c>
      <c r="I66" s="3" t="inlineStr">
        <is>
          <t>Synthetic inputs added for this model</t>
        </is>
      </c>
    </row>
    <row r="67">
      <c r="A67" s="2" t="inlineStr">
        <is>
          <t>CPX-002</t>
        </is>
      </c>
      <c r="B67" s="3" t="inlineStr">
        <is>
          <t>Committed capex</t>
        </is>
      </c>
      <c r="C67" s="3" t="inlineStr">
        <is>
          <t>₹ m</t>
        </is>
      </c>
      <c r="D67" s="3" t="inlineStr">
        <is>
          <t>Capex committed to date ÷ 1000  [To date]</t>
        </is>
      </c>
      <c r="E67" s="21">
        <f>'Group KPIs'!K67</f>
        <v/>
      </c>
      <c r="F67" s="3" t="inlineStr">
        <is>
          <t>610 ₹ m · 72%</t>
        </is>
      </c>
      <c r="G67" s="5" t="inlineStr">
        <is>
          <t>Different</t>
        </is>
      </c>
      <c r="H67" s="3" t="inlineStr">
        <is>
          <t>E-06,G-06,O-04</t>
        </is>
      </c>
      <c r="I67" s="3" t="inlineStr">
        <is>
          <t>Synthetic inputs added for this model</t>
        </is>
      </c>
    </row>
    <row r="68">
      <c r="A68" s="2" t="inlineStr">
        <is>
          <t>CPX-003</t>
        </is>
      </c>
      <c r="B68" s="3" t="inlineStr">
        <is>
          <t>Capex actual spend YTD</t>
        </is>
      </c>
      <c r="C68" s="3" t="inlineStr">
        <is>
          <t>₹ m</t>
        </is>
      </c>
      <c r="D68" s="3" t="inlineStr">
        <is>
          <t>Sum of capex spent since April ÷ 1000  [Year to date]</t>
        </is>
      </c>
      <c r="E68" s="21">
        <f>'Group KPIs'!K68</f>
        <v/>
      </c>
      <c r="F68" s="3" t="inlineStr">
        <is>
          <t>402 ₹ m · 47%</t>
        </is>
      </c>
      <c r="G68" s="5" t="inlineStr">
        <is>
          <t>Different</t>
        </is>
      </c>
      <c r="H68" s="3" t="inlineStr">
        <is>
          <t>E-06,G-06,O-04</t>
        </is>
      </c>
      <c r="I68" s="3" t="inlineStr">
        <is>
          <t>Synthetic inputs added for this model</t>
        </is>
      </c>
    </row>
    <row r="69">
      <c r="A69" s="2" t="inlineStr">
        <is>
          <t>CPX-004</t>
        </is>
      </c>
      <c r="B69" s="3" t="inlineStr">
        <is>
          <t>Capex physical progress, weighted</t>
        </is>
      </c>
      <c r="C69" s="3" t="inlineStr">
        <is>
          <t>%</t>
        </is>
      </c>
      <c r="D69" s="3" t="inlineStr">
        <is>
          <t>Work completed valued at budget ÷ Approved budget × 100 (weights each project by its budget)  [To date]</t>
        </is>
      </c>
      <c r="E69" s="21">
        <f>'Group KPIs'!K69</f>
        <v/>
      </c>
      <c r="F69" s="3" t="inlineStr">
        <is>
          <t>61 % weighted</t>
        </is>
      </c>
      <c r="G69" s="7" t="inlineStr">
        <is>
          <t>Same</t>
        </is>
      </c>
      <c r="H69" s="3" t="inlineStr">
        <is>
          <t>E-06,G-01,G-06,O-01,O-04,STATE GALLERY</t>
        </is>
      </c>
      <c r="I69" s="3" t="inlineStr">
        <is>
          <t>Synthetic inputs added for this model</t>
        </is>
      </c>
    </row>
    <row r="70">
      <c r="A70" s="2" t="inlineStr">
        <is>
          <t>SIG-011</t>
        </is>
      </c>
      <c r="B70" s="3" t="inlineStr">
        <is>
          <t>Capex value at risk</t>
        </is>
      </c>
      <c r="C70" s="3" t="inlineStr">
        <is>
          <t>₹ m</t>
        </is>
      </c>
      <c r="D70" s="3" t="inlineStr">
        <is>
          <t>Budget of projects at risk ÷ 1000  [Month end]</t>
        </is>
      </c>
      <c r="E70" s="21">
        <f>'Group KPIs'!K70</f>
        <v/>
      </c>
      <c r="F70" s="3" t="inlineStr">
        <is>
          <t>₹34 m</t>
        </is>
      </c>
      <c r="G70" s="5" t="inlineStr">
        <is>
          <t>Different</t>
        </is>
      </c>
      <c r="H70" s="3" t="inlineStr">
        <is>
          <t>E-06,G-06,O-04</t>
        </is>
      </c>
      <c r="I70" s="3" t="inlineStr">
        <is>
          <t>Synthetic inputs added for this model</t>
        </is>
      </c>
    </row>
    <row r="71">
      <c r="A71" s="2" t="inlineStr">
        <is>
          <t>PRG-001</t>
        </is>
      </c>
      <c r="B71" s="3" t="inlineStr">
        <is>
          <t>Capex project status</t>
        </is>
      </c>
      <c r="C71" s="3" t="inlineStr">
        <is>
          <t>text</t>
        </is>
      </c>
      <c r="D71" s="3" t="inlineStr">
        <is>
          <t>Count of projects by status  [Month end]</t>
        </is>
      </c>
      <c r="E71" s="8">
        <f>'Group KPIs'!K71</f>
        <v/>
      </c>
      <c r="F71" s="3" t="inlineStr">
        <is>
          <t>9 on track · 2 at risk · 0 off track</t>
        </is>
      </c>
      <c r="G71" s="7" t="inlineStr">
        <is>
          <t>Same</t>
        </is>
      </c>
      <c r="H71" s="3" t="inlineStr">
        <is>
          <t>G-06,O-04</t>
        </is>
      </c>
      <c r="I71" s="3" t="inlineStr">
        <is>
          <t>Synthetic inputs added for this model</t>
        </is>
      </c>
    </row>
    <row r="72">
      <c r="A72" s="2" t="inlineStr">
        <is>
          <t>PRG-002</t>
        </is>
      </c>
      <c r="B72" s="3" t="inlineStr">
        <is>
          <t>Benefits realisation</t>
        </is>
      </c>
      <c r="C72" s="3" t="inlineStr">
        <is>
          <t>%</t>
        </is>
      </c>
      <c r="D72" s="3" t="inlineStr">
        <is>
          <t>Benefits delivered since April ÷ Benefits planned since April × 100  [Year to date]</t>
        </is>
      </c>
      <c r="E72" s="21">
        <f>'Group KPIs'!K72</f>
        <v/>
      </c>
      <c r="F72" s="3" t="inlineStr">
        <is>
          <t>48 % of plan</t>
        </is>
      </c>
      <c r="G72" s="7" t="inlineStr">
        <is>
          <t>Same</t>
        </is>
      </c>
      <c r="H72" s="3" t="inlineStr">
        <is>
          <t>E-06,G-06,O-04</t>
        </is>
      </c>
      <c r="I72" s="3" t="inlineStr">
        <is>
          <t>Synthetic inputs added for this model</t>
        </is>
      </c>
    </row>
    <row r="73">
      <c r="A73" s="2" t="inlineStr">
        <is>
          <t>PRG-003</t>
        </is>
      </c>
      <c r="B73" s="3" t="inlineStr">
        <is>
          <t>Delayed projects</t>
        </is>
      </c>
      <c r="C73" s="3" t="inlineStr">
        <is>
          <t>count</t>
        </is>
      </c>
      <c r="D73" s="3" t="inlineStr">
        <is>
          <t>Capex projects delayed  [Month end]</t>
        </is>
      </c>
      <c r="E73" s="21">
        <f>'Group KPIs'!K73</f>
        <v/>
      </c>
      <c r="F73" s="3" t="inlineStr">
        <is>
          <t>1</t>
        </is>
      </c>
      <c r="G73" s="7" t="inlineStr">
        <is>
          <t>Same</t>
        </is>
      </c>
      <c r="H73" s="3" t="inlineStr">
        <is>
          <t>E-06,G-06,O-04</t>
        </is>
      </c>
      <c r="I73" s="3" t="inlineStr">
        <is>
          <t>Synthetic inputs added for this model</t>
        </is>
      </c>
    </row>
    <row r="74">
      <c r="A74" s="2" t="inlineStr">
        <is>
          <t>PRG-004</t>
        </is>
      </c>
      <c r="B74" s="3" t="inlineStr">
        <is>
          <t>Capex / transformation progress (same measure as STR-002)</t>
        </is>
      </c>
      <c r="C74" s="3" t="inlineStr">
        <is>
          <t>%</t>
        </is>
      </c>
      <c r="D74" s="3" t="inlineStr">
        <is>
          <t>Transformation milestones completed ÷ Milestones in plan × 100  [To date]</t>
        </is>
      </c>
      <c r="E74" s="21">
        <f>'Group KPIs'!K74</f>
        <v/>
      </c>
      <c r="F74" s="3" t="inlineStr">
        <is>
          <t>54%</t>
        </is>
      </c>
      <c r="G74" s="7" t="inlineStr">
        <is>
          <t>Same</t>
        </is>
      </c>
      <c r="H74" s="3" t="inlineStr">
        <is>
          <t>E-01,G-01,O-01,O-04</t>
        </is>
      </c>
      <c r="I74" s="3" t="inlineStr">
        <is>
          <t>Synthetic inputs added for this model</t>
        </is>
      </c>
    </row>
    <row r="75">
      <c r="A75" s="2" t="inlineStr">
        <is>
          <t>STR-002</t>
        </is>
      </c>
      <c r="B75" s="3" t="inlineStr">
        <is>
          <t>Transformation progress</t>
        </is>
      </c>
      <c r="C75" s="3" t="inlineStr">
        <is>
          <t>%</t>
        </is>
      </c>
      <c r="D75" s="3" t="inlineStr">
        <is>
          <t>Transformation milestones completed ÷ Milestones in plan × 100  [To date]</t>
        </is>
      </c>
      <c r="E75" s="21">
        <f>'Group KPIs'!K75</f>
        <v/>
      </c>
      <c r="F75" s="3" t="inlineStr">
        <is>
          <t>54%</t>
        </is>
      </c>
      <c r="G75" s="7" t="inlineStr">
        <is>
          <t>Same</t>
        </is>
      </c>
      <c r="H75" s="3" t="inlineStr">
        <is>
          <t>G-06,O-01,O-04,STATE GALLERY</t>
        </is>
      </c>
      <c r="I75" s="3" t="inlineStr">
        <is>
          <t>Synthetic inputs added for this model</t>
        </is>
      </c>
    </row>
    <row r="76">
      <c r="A76" s="2" t="inlineStr">
        <is>
          <t>PRG-005</t>
        </is>
      </c>
      <c r="B76" s="3" t="inlineStr">
        <is>
          <t>Transformation initiative status</t>
        </is>
      </c>
      <c r="C76" s="3" t="inlineStr">
        <is>
          <t>text</t>
        </is>
      </c>
      <c r="D76" s="3" t="inlineStr">
        <is>
          <t>Count of transformation initiatives by status  [Month end]</t>
        </is>
      </c>
      <c r="E76" s="8">
        <f>'Group KPIs'!K76</f>
        <v/>
      </c>
      <c r="F76" s="3" t="inlineStr">
        <is>
          <t>15 on track · 6 at risk · 3 delayed</t>
        </is>
      </c>
      <c r="G76" s="7" t="inlineStr">
        <is>
          <t>Same</t>
        </is>
      </c>
      <c r="H76" s="3" t="inlineStr">
        <is>
          <t>E-06,O-04</t>
        </is>
      </c>
      <c r="I76" s="3" t="inlineStr">
        <is>
          <t>Synthetic inputs added for this model</t>
        </is>
      </c>
    </row>
    <row r="77">
      <c r="A77" s="2" t="inlineStr">
        <is>
          <t>SUP-006</t>
        </is>
      </c>
      <c r="B77" s="3" t="inlineStr">
        <is>
          <t>Contractor slippage</t>
        </is>
      </c>
      <c r="C77" s="3" t="inlineStr">
        <is>
          <t>days</t>
        </is>
      </c>
      <c r="D77" s="3" t="inlineStr">
        <is>
          <t>Contractor days late ÷ Contractor milestones due (average days late per milestone)</t>
        </is>
      </c>
      <c r="E77" s="21">
        <f>'Group KPIs'!K77</f>
        <v/>
      </c>
      <c r="F77" s="3" t="inlineStr">
        <is>
          <t>Not shown</t>
        </is>
      </c>
      <c r="G77" s="6" t="inlineStr">
        <is>
          <t>Not shown</t>
        </is>
      </c>
      <c r="H77" s="3" t="inlineStr">
        <is>
          <t>E-04,E-06,G-06</t>
        </is>
      </c>
      <c r="I77" s="3" t="inlineStr">
        <is>
          <t>Synthetic inputs added for this model</t>
        </is>
      </c>
    </row>
    <row r="78">
      <c r="A78" s="2" t="inlineStr">
        <is>
          <t>VAL-001</t>
        </is>
      </c>
      <c r="B78" s="3" t="inlineStr">
        <is>
          <t>EBITDA benefit YTD</t>
        </is>
      </c>
      <c r="C78" s="3" t="inlineStr">
        <is>
          <t>₹ m</t>
        </is>
      </c>
      <c r="D78" s="3" t="inlineStr">
        <is>
          <t>Sum of EBITDA benefit since April ÷ 1000  [Year to date]</t>
        </is>
      </c>
      <c r="E78" s="21">
        <f>'Group KPIs'!K78</f>
        <v/>
      </c>
      <c r="F78" s="3" t="inlineStr">
        <is>
          <t>₹14 m</t>
        </is>
      </c>
      <c r="G78" s="7" t="inlineStr">
        <is>
          <t>Same</t>
        </is>
      </c>
      <c r="H78" s="3" t="inlineStr">
        <is>
          <t>E-06,G-06,O-04</t>
        </is>
      </c>
      <c r="I78" s="3" t="inlineStr">
        <is>
          <t>Synthetic inputs added for this model</t>
        </is>
      </c>
    </row>
    <row r="79">
      <c r="A79" s="2" t="inlineStr">
        <is>
          <t>VAL-002</t>
        </is>
      </c>
      <c r="B79" s="3" t="inlineStr">
        <is>
          <t>Cash benefit YTD</t>
        </is>
      </c>
      <c r="C79" s="3" t="inlineStr">
        <is>
          <t>₹ m</t>
        </is>
      </c>
      <c r="D79" s="3" t="inlineStr">
        <is>
          <t>Sum of cash benefit since April ÷ 1000  [Year to date]</t>
        </is>
      </c>
      <c r="E79" s="21">
        <f>'Group KPIs'!K79</f>
        <v/>
      </c>
      <c r="F79" s="3" t="inlineStr">
        <is>
          <t>₹9 m</t>
        </is>
      </c>
      <c r="G79" s="7" t="inlineStr">
        <is>
          <t>Same</t>
        </is>
      </c>
      <c r="H79" s="3" t="inlineStr">
        <is>
          <t>E-06,G-06,O-04</t>
        </is>
      </c>
      <c r="I79" s="3" t="inlineStr">
        <is>
          <t>Synthetic inputs added for this model</t>
        </is>
      </c>
    </row>
    <row r="80">
      <c r="A80" s="2" t="inlineStr">
        <is>
          <t>VAL-003</t>
        </is>
      </c>
      <c r="B80" s="3" t="inlineStr">
        <is>
          <t>Cost savings delivered YTD</t>
        </is>
      </c>
      <c r="C80" s="3" t="inlineStr">
        <is>
          <t>₹ m</t>
        </is>
      </c>
      <c r="D80" s="3" t="inlineStr">
        <is>
          <t>Sum of cost savings since April ÷ 1000  [Year to date]</t>
        </is>
      </c>
      <c r="E80" s="21">
        <f>'Group KPIs'!K80</f>
        <v/>
      </c>
      <c r="F80" s="3" t="inlineStr">
        <is>
          <t>₹11 m</t>
        </is>
      </c>
      <c r="G80" s="7" t="inlineStr">
        <is>
          <t>Same</t>
        </is>
      </c>
      <c r="H80" s="3" t="inlineStr">
        <is>
          <t>E-06,G-06,O-04</t>
        </is>
      </c>
      <c r="I80" s="3" t="inlineStr">
        <is>
          <t>Synthetic inputs added for this model</t>
        </is>
      </c>
    </row>
    <row r="81">
      <c r="A81" s="2" t="inlineStr">
        <is>
          <t>SUP-001</t>
        </is>
      </c>
      <c r="B81" s="3" t="inlineStr">
        <is>
          <t>Supplier on-time delivery</t>
        </is>
      </c>
      <c r="C81" s="3" t="inlineStr">
        <is>
          <t>%</t>
        </is>
      </c>
      <c r="D81" s="3" t="inlineStr">
        <is>
          <t>Purchase-order lines on time ÷ Lines due × 100</t>
        </is>
      </c>
      <c r="E81" s="21">
        <f>'Group KPIs'!K81</f>
        <v/>
      </c>
      <c r="F81" s="3" t="inlineStr">
        <is>
          <t>91.4 %</t>
        </is>
      </c>
      <c r="G81" s="7" t="inlineStr">
        <is>
          <t>Different</t>
        </is>
      </c>
      <c r="H81" s="3" t="inlineStr">
        <is>
          <t>E-04, G-05</t>
        </is>
      </c>
      <c r="I81" s="3" t="inlineStr">
        <is>
          <t>Synthetic inputs added for this model</t>
        </is>
      </c>
    </row>
    <row r="82">
      <c r="A82" s="2" t="inlineStr">
        <is>
          <t>SUP-002</t>
        </is>
      </c>
      <c r="B82" s="3" t="inlineStr">
        <is>
          <t>Supplier fill rate</t>
        </is>
      </c>
      <c r="C82" s="3" t="inlineStr">
        <is>
          <t>%</t>
        </is>
      </c>
      <c r="D82" s="3" t="inlineStr">
        <is>
          <t>Quantity received ÷ Quantity ordered × 100</t>
        </is>
      </c>
      <c r="E82" s="21">
        <f>'Group KPIs'!K82</f>
        <v/>
      </c>
      <c r="F82" s="3" t="inlineStr">
        <is>
          <t>Not on a screen</t>
        </is>
      </c>
      <c r="G82" s="6" t="inlineStr">
        <is>
          <t>—</t>
        </is>
      </c>
      <c r="H82" s="3" t="inlineStr">
        <is>
          <t>—</t>
        </is>
      </c>
      <c r="I82" s="3" t="inlineStr">
        <is>
          <t>Synthetic inputs added for this model</t>
        </is>
      </c>
    </row>
    <row r="83">
      <c r="A83" s="2" t="inlineStr">
        <is>
          <t>SUP-003</t>
        </is>
      </c>
      <c r="B83" s="3" t="inlineStr">
        <is>
          <t>Supplier quality-rejection rate</t>
        </is>
      </c>
      <c r="C83" s="3" t="inlineStr">
        <is>
          <t>%</t>
        </is>
      </c>
      <c r="D83" s="3" t="inlineStr">
        <is>
          <t>Quantity rejected ÷ Quantity received × 100</t>
        </is>
      </c>
      <c r="E83" s="21">
        <f>'Group KPIs'!K83</f>
        <v/>
      </c>
      <c r="F83" s="3" t="inlineStr">
        <is>
          <t>Not shown</t>
        </is>
      </c>
      <c r="G83" s="6" t="inlineStr">
        <is>
          <t>Not shown</t>
        </is>
      </c>
      <c r="H83" s="3" t="n"/>
      <c r="I83" s="3" t="inlineStr">
        <is>
          <t>Synthetic inputs added for this model</t>
        </is>
      </c>
    </row>
    <row r="84">
      <c r="A84" s="2" t="inlineStr">
        <is>
          <t>SUP-004</t>
        </is>
      </c>
      <c r="B84" s="3" t="inlineStr">
        <is>
          <t>Supplier lead-time variance</t>
        </is>
      </c>
      <c r="C84" s="3" t="inlineStr">
        <is>
          <t>%</t>
        </is>
      </c>
      <c r="D84" s="3" t="inlineStr">
        <is>
          <t>(Actual lead time − Planned lead time) ÷ Planned lead time × 100</t>
        </is>
      </c>
      <c r="E84" s="21">
        <f>'Group KPIs'!K84</f>
        <v/>
      </c>
      <c r="F84" s="3" t="inlineStr">
        <is>
          <t>38%</t>
        </is>
      </c>
      <c r="G84" s="5" t="inlineStr">
        <is>
          <t>Different</t>
        </is>
      </c>
      <c r="H84" s="3" t="inlineStr">
        <is>
          <t>E-04,G-05</t>
        </is>
      </c>
      <c r="I84" s="3" t="inlineStr">
        <is>
          <t>Synthetic inputs added for this model</t>
        </is>
      </c>
    </row>
    <row r="85">
      <c r="A85" s="2" t="inlineStr">
        <is>
          <t>SUP-005</t>
        </is>
      </c>
      <c r="B85" s="3" t="inlineStr">
        <is>
          <t>Critical supplier exposure</t>
        </is>
      </c>
      <c r="C85" s="3" t="inlineStr">
        <is>
          <t>count</t>
        </is>
      </c>
      <c r="D85" s="3" t="inlineStr">
        <is>
          <t>Critical single-source suppliers  [Month end]</t>
        </is>
      </c>
      <c r="E85" s="21">
        <f>'Group KPIs'!K85</f>
        <v/>
      </c>
      <c r="F85" s="3" t="inlineStr">
        <is>
          <t>3 single-source (1 elevated: S-07)</t>
        </is>
      </c>
      <c r="G85" s="7" t="inlineStr">
        <is>
          <t>Same</t>
        </is>
      </c>
      <c r="H85" s="3" t="inlineStr">
        <is>
          <t>E-04,G-05</t>
        </is>
      </c>
      <c r="I85" s="3" t="inlineStr">
        <is>
          <t>Synthetic inputs added for this model</t>
        </is>
      </c>
    </row>
    <row r="86">
      <c r="A86" s="2" t="inlineStr">
        <is>
          <t>SUP-007</t>
        </is>
      </c>
      <c r="B86" s="3" t="inlineStr">
        <is>
          <t>Single-source spend share</t>
        </is>
      </c>
      <c r="C86" s="3" t="inlineStr">
        <is>
          <t>%</t>
        </is>
      </c>
      <c r="D86" s="3" t="inlineStr">
        <is>
          <t>Spend with single-source suppliers ÷ Supplier spend × 100</t>
        </is>
      </c>
      <c r="E86" s="21">
        <f>'Group KPIs'!K86</f>
        <v/>
      </c>
      <c r="F86" s="3" t="inlineStr">
        <is>
          <t>Not on a screen</t>
        </is>
      </c>
      <c r="G86" s="5" t="inlineStr">
        <is>
          <t>—</t>
        </is>
      </c>
      <c r="H86" s="3" t="inlineStr">
        <is>
          <t>—</t>
        </is>
      </c>
      <c r="I86" s="3" t="inlineStr">
        <is>
          <t>Synthetic inputs added for this model</t>
        </is>
      </c>
    </row>
    <row r="87">
      <c r="A87" s="2" t="inlineStr">
        <is>
          <t>SUP-008</t>
        </is>
      </c>
      <c r="B87" s="3" t="inlineStr">
        <is>
          <t>Supplier EHS incidents YTD</t>
        </is>
      </c>
      <c r="C87" s="3" t="inlineStr">
        <is>
          <t>count</t>
        </is>
      </c>
      <c r="D87" s="3" t="inlineStr">
        <is>
          <t>Sum of supplier EHS incidents since April  [Year to date]</t>
        </is>
      </c>
      <c r="E87" s="21">
        <f>'Group KPIs'!K87</f>
        <v/>
      </c>
      <c r="F87" s="3" t="inlineStr">
        <is>
          <t>Not on a screen</t>
        </is>
      </c>
      <c r="G87" s="5" t="inlineStr">
        <is>
          <t>—</t>
        </is>
      </c>
      <c r="H87" s="3" t="inlineStr">
        <is>
          <t>—</t>
        </is>
      </c>
      <c r="I87" s="3" t="inlineStr">
        <is>
          <t>Synthetic inputs added for this model</t>
        </is>
      </c>
    </row>
    <row r="88">
      <c r="A88" s="2" t="inlineStr">
        <is>
          <t>CON-001</t>
        </is>
      </c>
      <c r="B88" s="3" t="inlineStr">
        <is>
          <t>Contracts expiring, next 90 days</t>
        </is>
      </c>
      <c r="C88" s="3" t="inlineStr">
        <is>
          <t>count</t>
        </is>
      </c>
      <c r="D88" s="3" t="inlineStr">
        <is>
          <t>Contracts expiring in next 90 days  [Month end]</t>
        </is>
      </c>
      <c r="E88" s="21">
        <f>'Group KPIs'!K88</f>
        <v/>
      </c>
      <c r="F88" s="3" t="inlineStr">
        <is>
          <t>4</t>
        </is>
      </c>
      <c r="G88" s="7" t="inlineStr">
        <is>
          <t>Same</t>
        </is>
      </c>
      <c r="H88" s="3" t="inlineStr">
        <is>
          <t>E-04,E-07,G-07,O-05</t>
        </is>
      </c>
      <c r="I88" s="3" t="inlineStr">
        <is>
          <t>Synthetic inputs added for this model</t>
        </is>
      </c>
    </row>
    <row r="89">
      <c r="A89" s="2" t="inlineStr">
        <is>
          <t>CON-002</t>
        </is>
      </c>
      <c r="B89" s="3" t="inlineStr">
        <is>
          <t>Contract-compliance rate</t>
        </is>
      </c>
      <c r="C89" s="3" t="inlineStr">
        <is>
          <t>%</t>
        </is>
      </c>
      <c r="D89" s="3" t="inlineStr">
        <is>
          <t>Contracts fully compliant ÷ Active contracts × 100  [Month end]</t>
        </is>
      </c>
      <c r="E89" s="21">
        <f>'Group KPIs'!K89</f>
        <v/>
      </c>
      <c r="F89" s="3" t="inlineStr">
        <is>
          <t>96%</t>
        </is>
      </c>
      <c r="G89" s="7" t="inlineStr">
        <is>
          <t>Same</t>
        </is>
      </c>
      <c r="H89" s="3" t="inlineStr">
        <is>
          <t>E-04,E-07,G-07,O-05</t>
        </is>
      </c>
      <c r="I89" s="3" t="inlineStr">
        <is>
          <t>Synthetic inputs added for this model</t>
        </is>
      </c>
    </row>
    <row r="90">
      <c r="A90" s="2" t="inlineStr">
        <is>
          <t>CON-003</t>
        </is>
      </c>
      <c r="B90" s="3" t="inlineStr">
        <is>
          <t>Supplier EHS non-compliance</t>
        </is>
      </c>
      <c r="C90" s="3" t="inlineStr">
        <is>
          <t>count</t>
        </is>
      </c>
      <c r="D90" s="3" t="inlineStr">
        <is>
          <t>Suppliers not meeting EHS requirements  [Month end]</t>
        </is>
      </c>
      <c r="E90" s="21">
        <f>'Group KPIs'!K90</f>
        <v/>
      </c>
      <c r="F90" s="3" t="inlineStr">
        <is>
          <t>1</t>
        </is>
      </c>
      <c r="G90" s="5" t="inlineStr">
        <is>
          <t>Different</t>
        </is>
      </c>
      <c r="H90" s="3" t="inlineStr">
        <is>
          <t>E-04,E-07,G-05,G-07,O-05</t>
        </is>
      </c>
      <c r="I90" s="3" t="inlineStr">
        <is>
          <t>Synthetic inputs added for this model</t>
        </is>
      </c>
    </row>
    <row r="91">
      <c r="A91" s="2" t="inlineStr">
        <is>
          <t>REG-001</t>
        </is>
      </c>
      <c r="B91" s="3" t="inlineStr">
        <is>
          <t>Pending filings</t>
        </is>
      </c>
      <c r="C91" s="3" t="inlineStr">
        <is>
          <t>count</t>
        </is>
      </c>
      <c r="D91" s="3" t="inlineStr">
        <is>
          <t>Regulatory filings pending  [Month end]</t>
        </is>
      </c>
      <c r="E91" s="21">
        <f>'Group KPIs'!K91</f>
        <v/>
      </c>
      <c r="F91" s="3" t="inlineStr">
        <is>
          <t>3</t>
        </is>
      </c>
      <c r="G91" s="5" t="inlineStr">
        <is>
          <t>Different</t>
        </is>
      </c>
      <c r="H91" s="3" t="inlineStr">
        <is>
          <t>E-07,G-07</t>
        </is>
      </c>
      <c r="I91" s="3" t="inlineStr">
        <is>
          <t>Synthetic inputs added for this model</t>
        </is>
      </c>
    </row>
    <row r="92">
      <c r="A92" s="2" t="inlineStr">
        <is>
          <t>REG-002</t>
        </is>
      </c>
      <c r="B92" s="3" t="inlineStr">
        <is>
          <t>Regulatory deadlines, next 30 days</t>
        </is>
      </c>
      <c r="C92" s="3" t="inlineStr">
        <is>
          <t>count</t>
        </is>
      </c>
      <c r="D92" s="3" t="inlineStr">
        <is>
          <t>Regulatory deadlines in next 30 days  [Month end]</t>
        </is>
      </c>
      <c r="E92" s="21">
        <f>'Group KPIs'!K92</f>
        <v/>
      </c>
      <c r="F92" s="3" t="inlineStr">
        <is>
          <t>3</t>
        </is>
      </c>
      <c r="G92" s="7" t="inlineStr">
        <is>
          <t>Same</t>
        </is>
      </c>
      <c r="H92" s="3" t="inlineStr">
        <is>
          <t>E-07,G-07</t>
        </is>
      </c>
      <c r="I92" s="3" t="inlineStr">
        <is>
          <t>Synthetic inputs added for this model</t>
        </is>
      </c>
    </row>
    <row r="93">
      <c r="A93" s="2" t="inlineStr">
        <is>
          <t>REG-003</t>
        </is>
      </c>
      <c r="B93" s="3" t="inlineStr">
        <is>
          <t>Licence expirations, next 12 months</t>
        </is>
      </c>
      <c r="C93" s="3" t="inlineStr">
        <is>
          <t>count</t>
        </is>
      </c>
      <c r="D93" s="3" t="inlineStr">
        <is>
          <t>Licences expiring in next 12 months  [Month end]</t>
        </is>
      </c>
      <c r="E93" s="21">
        <f>'Group KPIs'!K93</f>
        <v/>
      </c>
      <c r="F93" s="3" t="inlineStr">
        <is>
          <t>2</t>
        </is>
      </c>
      <c r="G93" s="5" t="inlineStr">
        <is>
          <t>Different</t>
        </is>
      </c>
      <c r="H93" s="3" t="inlineStr">
        <is>
          <t>E-07,G-07</t>
        </is>
      </c>
      <c r="I93" s="3" t="inlineStr">
        <is>
          <t>Synthetic inputs added for this model</t>
        </is>
      </c>
    </row>
    <row r="94">
      <c r="A94" s="2" t="inlineStr">
        <is>
          <t>REG-004</t>
        </is>
      </c>
      <c r="B94" s="3" t="inlineStr">
        <is>
          <t>Regulatory obligations due, next 30 days</t>
        </is>
      </c>
      <c r="C94" s="3" t="inlineStr">
        <is>
          <t>count</t>
        </is>
      </c>
      <c r="D94" s="3" t="inlineStr">
        <is>
          <t>Regulatory obligations due in next 30 days  [Month end]</t>
        </is>
      </c>
      <c r="E94" s="21">
        <f>'Group KPIs'!K94</f>
        <v/>
      </c>
      <c r="F94" s="3" t="inlineStr">
        <is>
          <t>5</t>
        </is>
      </c>
      <c r="G94" s="5" t="inlineStr">
        <is>
          <t>Different</t>
        </is>
      </c>
      <c r="H94" s="3" t="inlineStr">
        <is>
          <t>E-07,G-07</t>
        </is>
      </c>
      <c r="I94" s="3" t="inlineStr">
        <is>
          <t>Synthetic inputs added for this model</t>
        </is>
      </c>
    </row>
    <row r="95">
      <c r="A95" s="2" t="inlineStr">
        <is>
          <t>REG-005</t>
        </is>
      </c>
      <c r="B95" s="3" t="inlineStr">
        <is>
          <t>Overdue regulatory obligations</t>
        </is>
      </c>
      <c r="C95" s="3" t="inlineStr">
        <is>
          <t>count</t>
        </is>
      </c>
      <c r="D95" s="3" t="inlineStr">
        <is>
          <t>Regulatory obligations overdue  [Month end]</t>
        </is>
      </c>
      <c r="E95" s="21">
        <f>'Group KPIs'!K95</f>
        <v/>
      </c>
      <c r="F95" s="3" t="inlineStr">
        <is>
          <t>0</t>
        </is>
      </c>
      <c r="G95" s="7" t="inlineStr">
        <is>
          <t>Same</t>
        </is>
      </c>
      <c r="H95" s="3" t="inlineStr">
        <is>
          <t>E-07,G-07,O-05</t>
        </is>
      </c>
      <c r="I95" s="3" t="inlineStr">
        <is>
          <t>Synthetic inputs added for this model</t>
        </is>
      </c>
    </row>
    <row r="96">
      <c r="A96" s="2" t="inlineStr">
        <is>
          <t>REG-007</t>
        </is>
      </c>
      <c r="B96" s="3" t="inlineStr">
        <is>
          <t>Open regulatory actions</t>
        </is>
      </c>
      <c r="C96" s="3" t="inlineStr">
        <is>
          <t>count</t>
        </is>
      </c>
      <c r="D96" s="3" t="inlineStr">
        <is>
          <t>Open regulatory actions  [Month end]</t>
        </is>
      </c>
      <c r="E96" s="21">
        <f>'Group KPIs'!K96</f>
        <v/>
      </c>
      <c r="F96" s="3" t="inlineStr">
        <is>
          <t>2</t>
        </is>
      </c>
      <c r="G96" s="5" t="inlineStr">
        <is>
          <t>Different</t>
        </is>
      </c>
      <c r="H96" s="3" t="inlineStr">
        <is>
          <t>E-07,G-07</t>
        </is>
      </c>
      <c r="I96" s="3" t="inlineStr">
        <is>
          <t>Synthetic inputs added for this model</t>
        </is>
      </c>
    </row>
    <row r="97">
      <c r="A97" s="2" t="inlineStr">
        <is>
          <t>REG-008</t>
        </is>
      </c>
      <c r="B97" s="3" t="inlineStr">
        <is>
          <t>Overdue compliance actions</t>
        </is>
      </c>
      <c r="C97" s="3" t="inlineStr">
        <is>
          <t>count</t>
        </is>
      </c>
      <c r="D97" s="3" t="inlineStr">
        <is>
          <t>Overdue compliance actions  [Month end]</t>
        </is>
      </c>
      <c r="E97" s="21">
        <f>'Group KPIs'!K97</f>
        <v/>
      </c>
      <c r="F97" s="3" t="inlineStr">
        <is>
          <t>0</t>
        </is>
      </c>
      <c r="G97" s="7" t="inlineStr">
        <is>
          <t>Same</t>
        </is>
      </c>
      <c r="H97" s="3" t="inlineStr">
        <is>
          <t>E-07,G-07</t>
        </is>
      </c>
      <c r="I97" s="3" t="inlineStr">
        <is>
          <t>Synthetic inputs added for this model</t>
        </is>
      </c>
    </row>
    <row r="98">
      <c r="A98" s="2" t="inlineStr">
        <is>
          <t>REG-009</t>
        </is>
      </c>
      <c r="B98" s="3" t="inlineStr">
        <is>
          <t>Disclosure-clock status</t>
        </is>
      </c>
      <c r="C98" s="3" t="inlineStr">
        <is>
          <t>text</t>
        </is>
      </c>
      <c r="D98" s="3" t="inlineStr">
        <is>
          <t>Triggered if any event that needs disclosure is open, otherwise Not triggered  [Month end]</t>
        </is>
      </c>
      <c r="E98" s="8">
        <f>'Group KPIs'!K98</f>
        <v/>
      </c>
      <c r="F98" s="3" t="inlineStr">
        <is>
          <t>Not triggered</t>
        </is>
      </c>
      <c r="G98" s="7" t="inlineStr">
        <is>
          <t>Same</t>
        </is>
      </c>
      <c r="H98" s="3" t="inlineStr">
        <is>
          <t>O-05</t>
        </is>
      </c>
      <c r="I98" s="3" t="inlineStr">
        <is>
          <t>Synthetic inputs added for this model</t>
        </is>
      </c>
    </row>
    <row r="99">
      <c r="A99" s="2" t="inlineStr">
        <is>
          <t>REG-010</t>
        </is>
      </c>
      <c r="B99" s="3" t="inlineStr">
        <is>
          <t>Regulatory breaches YTD</t>
        </is>
      </c>
      <c r="C99" s="3" t="inlineStr">
        <is>
          <t>count</t>
        </is>
      </c>
      <c r="D99" s="3" t="inlineStr">
        <is>
          <t>Sum of regulatory breaches since April  [Year to date]</t>
        </is>
      </c>
      <c r="E99" s="21">
        <f>'Group KPIs'!K99</f>
        <v/>
      </c>
      <c r="F99" s="3" t="inlineStr">
        <is>
          <t>0</t>
        </is>
      </c>
      <c r="G99" s="7" t="inlineStr">
        <is>
          <t>Same</t>
        </is>
      </c>
      <c r="H99" s="3" t="inlineStr">
        <is>
          <t>E-07,G-01,O-05</t>
        </is>
      </c>
      <c r="I99" s="3" t="inlineStr">
        <is>
          <t>Synthetic inputs added for this model</t>
        </is>
      </c>
    </row>
    <row r="100">
      <c r="A100" s="2" t="inlineStr">
        <is>
          <t>RSK-003</t>
        </is>
      </c>
      <c r="B100" s="3" t="inlineStr">
        <is>
          <t>Regulatory breaches YTD (same measure as REG-010)</t>
        </is>
      </c>
      <c r="C100" s="3" t="inlineStr">
        <is>
          <t>count</t>
        </is>
      </c>
      <c r="D100" s="3" t="inlineStr">
        <is>
          <t>Sum of regulatory breaches since April  [Year to date]</t>
        </is>
      </c>
      <c r="E100" s="21">
        <f>'Group KPIs'!K100</f>
        <v/>
      </c>
      <c r="F100" s="3" t="inlineStr">
        <is>
          <t>0</t>
        </is>
      </c>
      <c r="G100" s="7" t="inlineStr">
        <is>
          <t>Same</t>
        </is>
      </c>
      <c r="H100" s="3" t="inlineStr">
        <is>
          <t>O-01,STATE GALLERY</t>
        </is>
      </c>
      <c r="I100" s="3" t="inlineStr">
        <is>
          <t>Synthetic inputs added for this model</t>
        </is>
      </c>
    </row>
    <row r="101">
      <c r="A101" s="2" t="inlineStr">
        <is>
          <t>CMP-005</t>
        </is>
      </c>
      <c r="B101" s="3" t="inlineStr">
        <is>
          <t>Regulatory breaches YTD (same measure as REG-010)</t>
        </is>
      </c>
      <c r="C101" s="3" t="inlineStr">
        <is>
          <t>count</t>
        </is>
      </c>
      <c r="D101" s="3" t="inlineStr">
        <is>
          <t>Sum of regulatory breaches since April  [Year to date]</t>
        </is>
      </c>
      <c r="E101" s="21">
        <f>'Group KPIs'!K101</f>
        <v/>
      </c>
      <c r="F101" s="3" t="inlineStr">
        <is>
          <t>0</t>
        </is>
      </c>
      <c r="G101" s="7" t="inlineStr">
        <is>
          <t>Same</t>
        </is>
      </c>
      <c r="H101" s="3" t="inlineStr">
        <is>
          <t>E-01,O-01</t>
        </is>
      </c>
      <c r="I101" s="3" t="inlineStr">
        <is>
          <t>Synthetic inputs added for this model</t>
        </is>
      </c>
    </row>
    <row r="102">
      <c r="A102" s="2" t="inlineStr">
        <is>
          <t>EHS-008</t>
        </is>
      </c>
      <c r="B102" s="3" t="inlineStr">
        <is>
          <t>EHS escalation clocks running</t>
        </is>
      </c>
      <c r="C102" s="3" t="inlineStr">
        <is>
          <t>count</t>
        </is>
      </c>
      <c r="D102" s="3" t="inlineStr">
        <is>
          <t>EHS escalation clocks running  [Month end]</t>
        </is>
      </c>
      <c r="E102" s="21">
        <f>'Group KPIs'!K102</f>
        <v/>
      </c>
      <c r="F102" s="3" t="inlineStr">
        <is>
          <t>0 running</t>
        </is>
      </c>
      <c r="G102" s="7" t="inlineStr">
        <is>
          <t>Same</t>
        </is>
      </c>
      <c r="H102" s="3" t="inlineStr">
        <is>
          <t>E-07,G-07,O-05</t>
        </is>
      </c>
      <c r="I102" s="3" t="inlineStr">
        <is>
          <t>Synthetic inputs added for this model</t>
        </is>
      </c>
    </row>
    <row r="103">
      <c r="A103" s="2" t="inlineStr">
        <is>
          <t>EHS-010</t>
        </is>
      </c>
      <c r="B103" s="3" t="inlineStr">
        <is>
          <t>EHS investigation completion rate YTD</t>
        </is>
      </c>
      <c r="C103" s="3" t="inlineStr">
        <is>
          <t>%</t>
        </is>
      </c>
      <c r="D103" s="3" t="inlineStr">
        <is>
          <t>EHS investigations completed since April ÷ Investigations due since April × 100 (100 if none due)  [Year to date]</t>
        </is>
      </c>
      <c r="E103" s="21">
        <f>'Group KPIs'!K103</f>
        <v/>
      </c>
      <c r="F103" s="3" t="inlineStr">
        <is>
          <t>83%</t>
        </is>
      </c>
      <c r="G103" s="5" t="inlineStr">
        <is>
          <t>Different</t>
        </is>
      </c>
      <c r="H103" s="3" t="inlineStr">
        <is>
          <t>G-07</t>
        </is>
      </c>
      <c r="I103" s="3" t="inlineStr">
        <is>
          <t>Original plant data (plant_base.csv, synthetic)</t>
        </is>
      </c>
    </row>
    <row r="104">
      <c r="A104" s="2" t="inlineStr">
        <is>
          <t>CTL-002</t>
        </is>
      </c>
      <c r="B104" s="3" t="inlineStr">
        <is>
          <t>Control failures YTD</t>
        </is>
      </c>
      <c r="C104" s="3" t="inlineStr">
        <is>
          <t>count</t>
        </is>
      </c>
      <c r="D104" s="3" t="inlineStr">
        <is>
          <t>Sum of control failures since April  [Year to date]</t>
        </is>
      </c>
      <c r="E104" s="21">
        <f>'Group KPIs'!K104</f>
        <v/>
      </c>
      <c r="F104" s="3" t="inlineStr">
        <is>
          <t>4</t>
        </is>
      </c>
      <c r="G104" s="7" t="inlineStr">
        <is>
          <t>Same</t>
        </is>
      </c>
      <c r="H104" s="3" t="inlineStr">
        <is>
          <t>E-07,G-07,O-05</t>
        </is>
      </c>
      <c r="I104" s="3" t="inlineStr">
        <is>
          <t>Synthetic inputs added for this model</t>
        </is>
      </c>
    </row>
    <row r="105">
      <c r="A105" s="2" t="inlineStr">
        <is>
          <t>CTL-004</t>
        </is>
      </c>
      <c r="B105" s="3" t="inlineStr">
        <is>
          <t>High-severity control failures YTD</t>
        </is>
      </c>
      <c r="C105" s="3" t="inlineStr">
        <is>
          <t>count</t>
        </is>
      </c>
      <c r="D105" s="3" t="inlineStr">
        <is>
          <t>Sum of high-severity control failures since April  [Year to date]</t>
        </is>
      </c>
      <c r="E105" s="21">
        <f>'Group KPIs'!K105</f>
        <v/>
      </c>
      <c r="F105" s="3" t="inlineStr">
        <is>
          <t>0</t>
        </is>
      </c>
      <c r="G105" s="7" t="inlineStr">
        <is>
          <t>Same</t>
        </is>
      </c>
      <c r="H105" s="3" t="inlineStr">
        <is>
          <t>G-07,O-05</t>
        </is>
      </c>
      <c r="I105" s="3" t="inlineStr">
        <is>
          <t>Synthetic inputs added for this model</t>
        </is>
      </c>
    </row>
    <row r="106">
      <c r="A106" s="2" t="inlineStr">
        <is>
          <t>CTL-005</t>
        </is>
      </c>
      <c r="B106" s="3" t="inlineStr">
        <is>
          <t>Policy exceptions YTD</t>
        </is>
      </c>
      <c r="C106" s="3" t="inlineStr">
        <is>
          <t>count</t>
        </is>
      </c>
      <c r="D106" s="3" t="inlineStr">
        <is>
          <t>Sum of policy exceptions since April  [Year to date]</t>
        </is>
      </c>
      <c r="E106" s="21">
        <f>'Group KPIs'!K106</f>
        <v/>
      </c>
      <c r="F106" s="3" t="inlineStr">
        <is>
          <t>3</t>
        </is>
      </c>
      <c r="G106" s="5" t="inlineStr">
        <is>
          <t>Different</t>
        </is>
      </c>
      <c r="H106" s="3" t="inlineStr">
        <is>
          <t>E-07,G-07,O-05</t>
        </is>
      </c>
      <c r="I106" s="3" t="inlineStr">
        <is>
          <t>Synthetic inputs added for this model</t>
        </is>
      </c>
    </row>
    <row r="107">
      <c r="A107" s="2" t="inlineStr">
        <is>
          <t>CTL-006</t>
        </is>
      </c>
      <c r="B107" s="3" t="inlineStr">
        <is>
          <t>Unauthorised-vendor usage YTD</t>
        </is>
      </c>
      <c r="C107" s="3" t="inlineStr">
        <is>
          <t>count</t>
        </is>
      </c>
      <c r="D107" s="3" t="inlineStr">
        <is>
          <t>Sum of unauthorised vendor uses since April  [Year to date]</t>
        </is>
      </c>
      <c r="E107" s="21">
        <f>'Group KPIs'!K107</f>
        <v/>
      </c>
      <c r="F107" s="3" t="inlineStr">
        <is>
          <t>0</t>
        </is>
      </c>
      <c r="G107" s="7" t="inlineStr">
        <is>
          <t>Same</t>
        </is>
      </c>
      <c r="H107" s="3" t="inlineStr">
        <is>
          <t>E-04,E-07,G-07,O-05</t>
        </is>
      </c>
      <c r="I107" s="3" t="inlineStr">
        <is>
          <t>Synthetic inputs added for this model</t>
        </is>
      </c>
    </row>
    <row r="108">
      <c r="A108" s="2" t="inlineStr">
        <is>
          <t>CTL-007</t>
        </is>
      </c>
      <c r="B108" s="3" t="inlineStr">
        <is>
          <t>Segregation-of-duties exceptions YTD</t>
        </is>
      </c>
      <c r="C108" s="3" t="inlineStr">
        <is>
          <t>count</t>
        </is>
      </c>
      <c r="D108" s="3" t="inlineStr">
        <is>
          <t>Sum of segregation-of-duties exceptions since April  [Year to date]</t>
        </is>
      </c>
      <c r="E108" s="21">
        <f>'Group KPIs'!K108</f>
        <v/>
      </c>
      <c r="F108" s="3" t="inlineStr">
        <is>
          <t>1</t>
        </is>
      </c>
      <c r="G108" s="7" t="inlineStr">
        <is>
          <t>Same</t>
        </is>
      </c>
      <c r="H108" s="3" t="inlineStr">
        <is>
          <t>E-07,G-07,O-05</t>
        </is>
      </c>
      <c r="I108" s="3" t="inlineStr">
        <is>
          <t>Synthetic inputs added for this model</t>
        </is>
      </c>
    </row>
    <row r="109">
      <c r="A109" s="2" t="inlineStr">
        <is>
          <t>CTL-008</t>
        </is>
      </c>
      <c r="B109" s="3" t="inlineStr">
        <is>
          <t>Unauthorised-access events YTD</t>
        </is>
      </c>
      <c r="C109" s="3" t="inlineStr">
        <is>
          <t>count</t>
        </is>
      </c>
      <c r="D109" s="3" t="inlineStr">
        <is>
          <t>Sum of unauthorised access events since April  [Year to date]</t>
        </is>
      </c>
      <c r="E109" s="21">
        <f>'Group KPIs'!K109</f>
        <v/>
      </c>
      <c r="F109" s="3" t="inlineStr">
        <is>
          <t>0</t>
        </is>
      </c>
      <c r="G109" s="7" t="inlineStr">
        <is>
          <t>Same</t>
        </is>
      </c>
      <c r="H109" s="3" t="inlineStr">
        <is>
          <t>E-07,G-07,O-05</t>
        </is>
      </c>
      <c r="I109" s="3" t="inlineStr">
        <is>
          <t>Synthetic inputs added for this model</t>
        </is>
      </c>
    </row>
    <row r="110">
      <c r="A110" s="2" t="inlineStr">
        <is>
          <t>CTL-009</t>
        </is>
      </c>
      <c r="B110" s="3" t="inlineStr">
        <is>
          <t>Data-sharing exceptions YTD</t>
        </is>
      </c>
      <c r="C110" s="3" t="inlineStr">
        <is>
          <t>count</t>
        </is>
      </c>
      <c r="D110" s="3" t="inlineStr">
        <is>
          <t>Sum of data-sharing exceptions since April  [Year to date]</t>
        </is>
      </c>
      <c r="E110" s="21">
        <f>'Group KPIs'!K110</f>
        <v/>
      </c>
      <c r="F110" s="3" t="inlineStr">
        <is>
          <t>0</t>
        </is>
      </c>
      <c r="G110" s="7" t="inlineStr">
        <is>
          <t>Same</t>
        </is>
      </c>
      <c r="H110" s="3" t="inlineStr">
        <is>
          <t>E-07,G-07,O-05</t>
        </is>
      </c>
      <c r="I110" s="3" t="inlineStr">
        <is>
          <t>Synthetic inputs added for this model</t>
        </is>
      </c>
    </row>
    <row r="111">
      <c r="A111" s="2" t="inlineStr">
        <is>
          <t>CTL-010</t>
        </is>
      </c>
      <c r="B111" s="3" t="inlineStr">
        <is>
          <t>Manual overrides YTD</t>
        </is>
      </c>
      <c r="C111" s="3" t="inlineStr">
        <is>
          <t>count</t>
        </is>
      </c>
      <c r="D111" s="3" t="inlineStr">
        <is>
          <t>Sum of manual operational or system overrides since April  [Year to date]</t>
        </is>
      </c>
      <c r="E111" s="21">
        <f>'Group KPIs'!K111</f>
        <v/>
      </c>
      <c r="F111" s="3" t="inlineStr">
        <is>
          <t>12</t>
        </is>
      </c>
      <c r="G111" s="5" t="inlineStr">
        <is>
          <t>Different</t>
        </is>
      </c>
      <c r="H111" s="3" t="inlineStr">
        <is>
          <t>E-07,G-07,O-05</t>
        </is>
      </c>
      <c r="I111" s="3" t="inlineStr">
        <is>
          <t>Synthetic inputs added for this model</t>
        </is>
      </c>
    </row>
    <row r="112">
      <c r="A112" s="2" t="inlineStr">
        <is>
          <t>CTL-003</t>
        </is>
      </c>
      <c r="B112" s="3" t="inlineStr">
        <is>
          <t>Assurance reviews completed</t>
        </is>
      </c>
      <c r="C112" s="3" t="inlineStr">
        <is>
          <t>text</t>
        </is>
      </c>
      <c r="D112" s="3" t="inlineStr">
        <is>
          <t>Assurance reviews completed since April, of those planned since April  [Year to date]</t>
        </is>
      </c>
      <c r="E112" s="8">
        <f>'Group KPIs'!K112</f>
        <v/>
      </c>
      <c r="F112" s="3" t="inlineStr">
        <is>
          <t>6 of 8</t>
        </is>
      </c>
      <c r="G112" s="7" t="inlineStr">
        <is>
          <t>Same</t>
        </is>
      </c>
      <c r="H112" s="3" t="inlineStr">
        <is>
          <t>G-07</t>
        </is>
      </c>
      <c r="I112" s="3" t="inlineStr">
        <is>
          <t>Synthetic inputs added for this model</t>
        </is>
      </c>
    </row>
    <row r="113">
      <c r="A113" s="2" t="inlineStr">
        <is>
          <t>GOV-001</t>
        </is>
      </c>
      <c r="B113" s="3" t="inlineStr">
        <is>
          <t>Ageing certification approvals</t>
        </is>
      </c>
      <c r="C113" s="3" t="inlineStr">
        <is>
          <t>count</t>
        </is>
      </c>
      <c r="D113" s="3" t="inlineStr">
        <is>
          <t>Certification approvals past due date  [Month end]</t>
        </is>
      </c>
      <c r="E113" s="21">
        <f>'Group KPIs'!K113</f>
        <v/>
      </c>
      <c r="F113" s="3" t="inlineStr">
        <is>
          <t>2 &gt; [PH] d</t>
        </is>
      </c>
      <c r="G113" s="7" t="inlineStr">
        <is>
          <t>Same</t>
        </is>
      </c>
      <c r="H113" s="3" t="inlineStr">
        <is>
          <t>E-08,G-08</t>
        </is>
      </c>
      <c r="I113" s="3" t="inlineStr">
        <is>
          <t>Synthetic inputs added for this model</t>
        </is>
      </c>
    </row>
    <row r="114">
      <c r="A114" s="2" t="inlineStr">
        <is>
          <t>GOV-002</t>
        </is>
      </c>
      <c r="B114" s="3" t="inlineStr">
        <is>
          <t>KPI overrides</t>
        </is>
      </c>
      <c r="C114" s="3" t="inlineStr">
        <is>
          <t>count</t>
        </is>
      </c>
      <c r="D114" s="3" t="inlineStr">
        <is>
          <t>KPI values overridden  [Month end]</t>
        </is>
      </c>
      <c r="E114" s="21">
        <f>'Group KPIs'!K114</f>
        <v/>
      </c>
      <c r="F114" s="3" t="inlineStr">
        <is>
          <t>0</t>
        </is>
      </c>
      <c r="G114" s="7" t="inlineStr">
        <is>
          <t>Same</t>
        </is>
      </c>
      <c r="H114" s="3" t="inlineStr">
        <is>
          <t>E-08,G-08</t>
        </is>
      </c>
      <c r="I114" s="3" t="inlineStr">
        <is>
          <t>Synthetic inputs added for this model</t>
        </is>
      </c>
    </row>
    <row r="115">
      <c r="A115" s="2" t="inlineStr">
        <is>
          <t>GOV-003</t>
        </is>
      </c>
      <c r="B115" s="3" t="inlineStr">
        <is>
          <t>Recurring data-quality issues</t>
        </is>
      </c>
      <c r="C115" s="3" t="inlineStr">
        <is>
          <t>count</t>
        </is>
      </c>
      <c r="D115" s="3" t="inlineStr">
        <is>
          <t>Recurring data-quality issues  [Month end]</t>
        </is>
      </c>
      <c r="E115" s="21">
        <f>'Group KPIs'!K115</f>
        <v/>
      </c>
      <c r="F115" s="3" t="inlineStr">
        <is>
          <t>1</t>
        </is>
      </c>
      <c r="G115" s="7" t="inlineStr">
        <is>
          <t>Same</t>
        </is>
      </c>
      <c r="H115" s="3" t="inlineStr">
        <is>
          <t>E-08,G-08</t>
        </is>
      </c>
      <c r="I115" s="3" t="inlineStr">
        <is>
          <t>Synthetic inputs added for this model</t>
        </is>
      </c>
    </row>
    <row r="116">
      <c r="A116" s="2" t="inlineStr">
        <is>
          <t>GOV-004</t>
        </is>
      </c>
      <c r="B116" s="3" t="inlineStr">
        <is>
          <t>Open audit findings</t>
        </is>
      </c>
      <c r="C116" s="3" t="inlineStr">
        <is>
          <t>count</t>
        </is>
      </c>
      <c r="D116" s="3" t="inlineStr">
        <is>
          <t>Open audit findings  [Month end]</t>
        </is>
      </c>
      <c r="E116" s="21">
        <f>'Group KPIs'!K116</f>
        <v/>
      </c>
      <c r="F116" s="3" t="inlineStr">
        <is>
          <t>7</t>
        </is>
      </c>
      <c r="G116" s="7" t="inlineStr">
        <is>
          <t>Same</t>
        </is>
      </c>
      <c r="H116" s="3" t="inlineStr">
        <is>
          <t>E-07,E-08,G-07,G-08,O-05</t>
        </is>
      </c>
      <c r="I116" s="3" t="inlineStr">
        <is>
          <t>Synthetic inputs added for this model</t>
        </is>
      </c>
    </row>
    <row r="117">
      <c r="A117" s="2" t="inlineStr">
        <is>
          <t>GOV-005</t>
        </is>
      </c>
      <c r="B117" s="3" t="inlineStr">
        <is>
          <t>Overdue assurance actions</t>
        </is>
      </c>
      <c r="C117" s="3" t="inlineStr">
        <is>
          <t>count</t>
        </is>
      </c>
      <c r="D117" s="3" t="inlineStr">
        <is>
          <t>Overdue assurance actions  [Month end]</t>
        </is>
      </c>
      <c r="E117" s="21">
        <f>'Group KPIs'!K117</f>
        <v/>
      </c>
      <c r="F117" s="3" t="inlineStr">
        <is>
          <t>0</t>
        </is>
      </c>
      <c r="G117" s="7" t="inlineStr">
        <is>
          <t>Same</t>
        </is>
      </c>
      <c r="H117" s="3" t="inlineStr">
        <is>
          <t>E-08,G-08</t>
        </is>
      </c>
      <c r="I117" s="3" t="inlineStr">
        <is>
          <t>Synthetic inputs added for this model</t>
        </is>
      </c>
    </row>
    <row r="118">
      <c r="A118" s="2" t="inlineStr">
        <is>
          <t>GOV-006</t>
        </is>
      </c>
      <c r="B118" s="3" t="inlineStr">
        <is>
          <t>Repeat findings</t>
        </is>
      </c>
      <c r="C118" s="3" t="inlineStr">
        <is>
          <t>count</t>
        </is>
      </c>
      <c r="D118" s="3" t="inlineStr">
        <is>
          <t>Repeat audit findings  [Month end]</t>
        </is>
      </c>
      <c r="E118" s="21">
        <f>'Group KPIs'!K118</f>
        <v/>
      </c>
      <c r="F118" s="3" t="inlineStr">
        <is>
          <t>1</t>
        </is>
      </c>
      <c r="G118" s="7" t="inlineStr">
        <is>
          <t>Same</t>
        </is>
      </c>
      <c r="H118" s="3" t="inlineStr">
        <is>
          <t>E-08,G-08</t>
        </is>
      </c>
      <c r="I118" s="3" t="inlineStr">
        <is>
          <t>Synthetic inputs added for this model</t>
        </is>
      </c>
    </row>
    <row r="119">
      <c r="A119" s="2" t="inlineStr">
        <is>
          <t>GOV-007</t>
        </is>
      </c>
      <c r="B119" s="3" t="inlineStr">
        <is>
          <t>Leadership KPIs affected by findings</t>
        </is>
      </c>
      <c r="C119" s="3" t="inlineStr">
        <is>
          <t>count</t>
        </is>
      </c>
      <c r="D119" s="3" t="inlineStr">
        <is>
          <t>Leadership KPIs affected by open findings  [Month end]</t>
        </is>
      </c>
      <c r="E119" s="21">
        <f>'Group KPIs'!K119</f>
        <v/>
      </c>
      <c r="F119" s="3" t="inlineStr">
        <is>
          <t>1</t>
        </is>
      </c>
      <c r="G119" s="7" t="inlineStr">
        <is>
          <t>Same</t>
        </is>
      </c>
      <c r="H119" s="3" t="inlineStr">
        <is>
          <t>G-08</t>
        </is>
      </c>
      <c r="I119" s="3" t="inlineStr">
        <is>
          <t>Synthetic inputs added for this model</t>
        </is>
      </c>
    </row>
    <row r="120">
      <c r="A120" s="2" t="inlineStr">
        <is>
          <t>TRU-004</t>
        </is>
      </c>
      <c r="B120" s="3" t="inlineStr">
        <is>
          <t>Open reconciliation breaks</t>
        </is>
      </c>
      <c r="C120" s="3" t="inlineStr">
        <is>
          <t>count</t>
        </is>
      </c>
      <c r="D120" s="3" t="inlineStr">
        <is>
          <t>Open reconciliation breaks  [Month end]</t>
        </is>
      </c>
      <c r="E120" s="21">
        <f>'Group KPIs'!K120</f>
        <v/>
      </c>
      <c r="F120" s="3" t="inlineStr">
        <is>
          <t>1</t>
        </is>
      </c>
      <c r="G120" s="7" t="inlineStr">
        <is>
          <t>Same</t>
        </is>
      </c>
      <c r="H120" s="3" t="inlineStr">
        <is>
          <t>E-08,G-08</t>
        </is>
      </c>
      <c r="I120" s="3" t="inlineStr">
        <is>
          <t>Synthetic inputs added for this model</t>
        </is>
      </c>
    </row>
    <row r="121">
      <c r="A121" s="2" t="inlineStr">
        <is>
          <t>TRU-006</t>
        </is>
      </c>
      <c r="B121" s="3" t="inlineStr">
        <is>
          <t>Overdue certifications</t>
        </is>
      </c>
      <c r="C121" s="3" t="inlineStr">
        <is>
          <t>count</t>
        </is>
      </c>
      <c r="D121" s="3" t="inlineStr">
        <is>
          <t>Certifications overdue  [Month end]</t>
        </is>
      </c>
      <c r="E121" s="21">
        <f>'Group KPIs'!K121</f>
        <v/>
      </c>
      <c r="F121" s="3" t="inlineStr">
        <is>
          <t>2</t>
        </is>
      </c>
      <c r="G121" s="7" t="inlineStr">
        <is>
          <t>Same</t>
        </is>
      </c>
      <c r="H121" s="3" t="inlineStr">
        <is>
          <t>E-08,G-08</t>
        </is>
      </c>
      <c r="I121" s="3" t="inlineStr">
        <is>
          <t>Synthetic inputs added for this model</t>
        </is>
      </c>
    </row>
    <row r="122">
      <c r="A122" s="2" t="inlineStr">
        <is>
          <t>TRU-007</t>
        </is>
      </c>
      <c r="B122" s="3" t="inlineStr">
        <is>
          <t>Material reconciliation breaks</t>
        </is>
      </c>
      <c r="C122" s="3" t="inlineStr">
        <is>
          <t>count</t>
        </is>
      </c>
      <c r="D122" s="3" t="inlineStr">
        <is>
          <t>Material reconciliation breaks  [Month end]</t>
        </is>
      </c>
      <c r="E122" s="21">
        <f>'Group KPIs'!K122</f>
        <v/>
      </c>
      <c r="F122" s="3" t="inlineStr">
        <is>
          <t>1</t>
        </is>
      </c>
      <c r="G122" s="7" t="inlineStr">
        <is>
          <t>Same</t>
        </is>
      </c>
      <c r="H122" s="3" t="inlineStr">
        <is>
          <t>G-08</t>
        </is>
      </c>
      <c r="I122" s="3" t="inlineStr">
        <is>
          <t>Synthetic inputs added for this model</t>
        </is>
      </c>
    </row>
    <row r="123">
      <c r="A123" s="2" t="inlineStr">
        <is>
          <t>GOV-008</t>
        </is>
      </c>
      <c r="B123" s="3" t="inlineStr">
        <is>
          <t>Evidence completeness rate</t>
        </is>
      </c>
      <c r="C123" s="3" t="inlineStr">
        <is>
          <t>%</t>
        </is>
      </c>
      <c r="D123" s="3" t="inlineStr">
        <is>
          <t>Evidence items complete ÷ Evidence items required × 100  [Month end]</t>
        </is>
      </c>
      <c r="E123" s="21">
        <f>'Group KPIs'!K123</f>
        <v/>
      </c>
      <c r="F123" s="3" t="inlineStr">
        <is>
          <t>88%</t>
        </is>
      </c>
      <c r="G123" s="7" t="inlineStr">
        <is>
          <t>Same</t>
        </is>
      </c>
      <c r="H123" s="3" t="inlineStr">
        <is>
          <t>E-08,G-08</t>
        </is>
      </c>
      <c r="I123" s="3" t="inlineStr">
        <is>
          <t>Synthetic inputs added for this model</t>
        </is>
      </c>
    </row>
    <row r="124">
      <c r="A124" s="2" t="inlineStr">
        <is>
          <t>GOV-009</t>
        </is>
      </c>
      <c r="B124" s="3" t="inlineStr">
        <is>
          <t>Average finding-closure time</t>
        </is>
      </c>
      <c r="C124" s="3" t="inlineStr">
        <is>
          <t>days</t>
        </is>
      </c>
      <c r="D124" s="3" t="inlineStr">
        <is>
          <t>Days taken to close findings since April ÷ Findings closed since April  [Year to date]</t>
        </is>
      </c>
      <c r="E124" s="21">
        <f>'Group KPIs'!K124</f>
        <v/>
      </c>
      <c r="F124" s="3" t="inlineStr">
        <is>
          <t>34 d</t>
        </is>
      </c>
      <c r="G124" s="5" t="inlineStr">
        <is>
          <t>Different</t>
        </is>
      </c>
      <c r="H124" s="3" t="inlineStr">
        <is>
          <t>E-08,G-08</t>
        </is>
      </c>
      <c r="I124" s="3" t="inlineStr">
        <is>
          <t>Synthetic inputs added for this model</t>
        </is>
      </c>
    </row>
    <row r="125">
      <c r="A125" s="2" t="inlineStr">
        <is>
          <t>TRU-001</t>
        </is>
      </c>
      <c r="B125" s="3" t="inlineStr">
        <is>
          <t>Certified KPI percentage</t>
        </is>
      </c>
      <c r="C125" s="3" t="inlineStr">
        <is>
          <t>%</t>
        </is>
      </c>
      <c r="D125" s="3" t="inlineStr">
        <is>
          <t>Leadership KPI values certified ÷ Leadership KPI values reported × 100  [Month end]</t>
        </is>
      </c>
      <c r="E125" s="21">
        <f>'Group KPIs'!K125</f>
        <v/>
      </c>
      <c r="F125" s="3" t="inlineStr">
        <is>
          <t>84 % of leadership KPIs</t>
        </is>
      </c>
      <c r="G125" s="7" t="inlineStr">
        <is>
          <t>Same</t>
        </is>
      </c>
      <c r="H125" s="3" t="inlineStr">
        <is>
          <t>E-08,G-01,G-02,G-08</t>
        </is>
      </c>
      <c r="I125" s="3" t="inlineStr">
        <is>
          <t>Synthetic inputs added for this model</t>
        </is>
      </c>
    </row>
    <row r="126">
      <c r="A126" s="2" t="inlineStr">
        <is>
          <t>TRU-002</t>
        </is>
      </c>
      <c r="B126" s="3" t="inlineStr">
        <is>
          <t>Uncertified KPI count</t>
        </is>
      </c>
      <c r="C126" s="3" t="inlineStr">
        <is>
          <t>count</t>
        </is>
      </c>
      <c r="D126" s="3" t="inlineStr">
        <is>
          <t>Leadership KPI values reported − Values certified  [Month end]</t>
        </is>
      </c>
      <c r="E126" s="21">
        <f>'Group KPIs'!K126</f>
        <v/>
      </c>
      <c r="F126" s="3" t="inlineStr">
        <is>
          <t>9</t>
        </is>
      </c>
      <c r="G126" s="7" t="inlineStr">
        <is>
          <t>Same</t>
        </is>
      </c>
      <c r="H126" s="3" t="inlineStr">
        <is>
          <t>G-08</t>
        </is>
      </c>
      <c r="I126" s="3" t="inlineStr">
        <is>
          <t>Synthetic inputs added for this model</t>
        </is>
      </c>
    </row>
    <row r="127">
      <c r="A127" s="2" t="inlineStr">
        <is>
          <t>TRU-005</t>
        </is>
      </c>
      <c r="B127" s="3" t="inlineStr">
        <is>
          <t>KPI certification coverage</t>
        </is>
      </c>
      <c r="C127" s="3" t="inlineStr">
        <is>
          <t>%</t>
        </is>
      </c>
      <c r="D127" s="3" t="inlineStr">
        <is>
          <t>Leadership KPI values inside the certification process ÷ Values reported × 100  [Month end]</t>
        </is>
      </c>
      <c r="E127" s="21">
        <f>'Group KPIs'!K127</f>
        <v/>
      </c>
      <c r="F127" s="3" t="inlineStr">
        <is>
          <t>92%</t>
        </is>
      </c>
      <c r="G127" s="5" t="inlineStr">
        <is>
          <t>Different</t>
        </is>
      </c>
      <c r="H127" s="3" t="inlineStr">
        <is>
          <t>G-08</t>
        </is>
      </c>
      <c r="I127" s="3" t="inlineStr">
        <is>
          <t>Synthetic inputs added for this model</t>
        </is>
      </c>
    </row>
    <row r="128">
      <c r="A128" s="2" t="inlineStr">
        <is>
          <t>TRU-008</t>
        </is>
      </c>
      <c r="B128" s="3" t="inlineStr">
        <is>
          <t>Source-to-Lake reconciliation rate</t>
        </is>
      </c>
      <c r="C128" s="3" t="inlineStr">
        <is>
          <t>%</t>
        </is>
      </c>
      <c r="D128" s="3" t="inlineStr">
        <is>
          <t>Records reconciled to source ÷ Records loaded × 100</t>
        </is>
      </c>
      <c r="E128" s="21">
        <f>'Group KPIs'!K128</f>
        <v/>
      </c>
      <c r="F128" s="3" t="inlineStr">
        <is>
          <t>99.2%</t>
        </is>
      </c>
      <c r="G128" s="5" t="inlineStr">
        <is>
          <t>Different</t>
        </is>
      </c>
      <c r="H128" s="3" t="inlineStr">
        <is>
          <t>E-08,G-08</t>
        </is>
      </c>
      <c r="I128" s="3" t="inlineStr">
        <is>
          <t>Synthetic inputs added for this model</t>
        </is>
      </c>
    </row>
    <row r="129">
      <c r="A129" s="2" t="inlineStr">
        <is>
          <t>TRU-009</t>
        </is>
      </c>
      <c r="B129" s="3" t="inlineStr">
        <is>
          <t>Flash-to-MIS reconciliation rate</t>
        </is>
      </c>
      <c r="C129" s="3" t="inlineStr">
        <is>
          <t>%</t>
        </is>
      </c>
      <c r="D129" s="3" t="inlineStr">
        <is>
          <t>Flash lines matching MIS ÷ Flash report lines × 100</t>
        </is>
      </c>
      <c r="E129" s="21">
        <f>'Group KPIs'!K129</f>
        <v/>
      </c>
      <c r="F129" s="3" t="inlineStr">
        <is>
          <t>96.8%</t>
        </is>
      </c>
      <c r="G129" s="5" t="inlineStr">
        <is>
          <t>Different</t>
        </is>
      </c>
      <c r="H129" s="3" t="inlineStr">
        <is>
          <t>E-08,G-08</t>
        </is>
      </c>
      <c r="I129" s="3" t="inlineStr">
        <is>
          <t>Synthetic inputs added for this model</t>
        </is>
      </c>
    </row>
    <row r="130">
      <c r="A130" s="2" t="inlineStr">
        <is>
          <t>TRU-010</t>
        </is>
      </c>
      <c r="B130" s="3" t="inlineStr">
        <is>
          <t>Flash-to-close variance</t>
        </is>
      </c>
      <c r="C130" s="3" t="inlineStr">
        <is>
          <t>%</t>
        </is>
      </c>
      <c r="D130" s="3" t="inlineStr">
        <is>
          <t>|Flash revenue − Closed revenue| ÷ Closed revenue × 100</t>
        </is>
      </c>
      <c r="E130" s="21">
        <f>'Group KPIs'!K130</f>
        <v/>
      </c>
      <c r="F130" s="3" t="inlineStr">
        <is>
          <t>0.6 %</t>
        </is>
      </c>
      <c r="G130" s="5" t="inlineStr">
        <is>
          <t>Different</t>
        </is>
      </c>
      <c r="H130" s="3" t="inlineStr">
        <is>
          <t>E-08,G-08</t>
        </is>
      </c>
      <c r="I130" s="3" t="inlineStr">
        <is>
          <t>Synthetic inputs added for this model</t>
        </is>
      </c>
    </row>
    <row r="131">
      <c r="A131" s="2" t="inlineStr">
        <is>
          <t>TRU-003</t>
        </is>
      </c>
      <c r="B131" s="3" t="inlineStr">
        <is>
          <t>Variance against Board number (EBITDA)</t>
        </is>
      </c>
      <c r="C131" s="3" t="inlineStr">
        <is>
          <t>%</t>
        </is>
      </c>
      <c r="D131" s="3" t="inlineStr">
        <is>
          <t>(Board-pack EBITDA − Certified EBITDA) ÷ Certified EBITDA × 100</t>
        </is>
      </c>
      <c r="E131" s="21">
        <f>'Group KPIs'!K131</f>
        <v/>
      </c>
      <c r="F131" s="3" t="inlineStr">
        <is>
          <t>[BOARD FIGURE — PH]</t>
        </is>
      </c>
      <c r="G131" s="5" t="inlineStr">
        <is>
          <t>Different</t>
        </is>
      </c>
      <c r="H131" s="3" t="inlineStr">
        <is>
          <t>G-08</t>
        </is>
      </c>
      <c r="I131" s="3" t="inlineStr">
        <is>
          <t>Original plant data + synthetic inputs added for this model</t>
        </is>
      </c>
    </row>
    <row r="132">
      <c r="A132" s="2" t="inlineStr">
        <is>
          <t>TRU-011</t>
        </is>
      </c>
      <c r="B132" s="3" t="inlineStr">
        <is>
          <t>Largest entity variance against Board numbers</t>
        </is>
      </c>
      <c r="C132" s="3" t="inlineStr">
        <is>
          <t>%</t>
        </is>
      </c>
      <c r="D132" s="3" t="inlineStr">
        <is>
          <t>Highest of the entities' |Board-pack EBITDA − Certified EBITDA| ÷ Certified EBITDA × 100</t>
        </is>
      </c>
      <c r="E132" s="21">
        <f>'Group KPIs'!K132</f>
        <v/>
      </c>
      <c r="F132" s="3" t="inlineStr">
        <is>
          <t>0.3% max abs · Entity B2</t>
        </is>
      </c>
      <c r="G132" s="7" t="inlineStr">
        <is>
          <t>Same</t>
        </is>
      </c>
      <c r="H132" s="3" t="inlineStr">
        <is>
          <t>E-08,G-08</t>
        </is>
      </c>
      <c r="I132" s="3" t="inlineStr">
        <is>
          <t>Original plant data + synthetic inputs added for this model</t>
        </is>
      </c>
    </row>
    <row r="133">
      <c r="A133" s="2" t="inlineStr">
        <is>
          <t>EFF-002</t>
        </is>
      </c>
      <c r="B133" s="3" t="inlineStr">
        <is>
          <t>Open critical alerts</t>
        </is>
      </c>
      <c r="C133" s="3" t="inlineStr">
        <is>
          <t>count</t>
        </is>
      </c>
      <c r="D133" s="3" t="inlineStr">
        <is>
          <t>Open critical alerts  [Month end]</t>
        </is>
      </c>
      <c r="E133" s="21">
        <f>'Group KPIs'!K133</f>
        <v/>
      </c>
      <c r="F133" s="3" t="inlineStr">
        <is>
          <t>1</t>
        </is>
      </c>
      <c r="G133" s="7" t="inlineStr">
        <is>
          <t>Same</t>
        </is>
      </c>
      <c r="H133" s="3" t="inlineStr">
        <is>
          <t>E-01,E-09,G-01,G-02,G-07,G-09,O-01,STATE GALLERY</t>
        </is>
      </c>
      <c r="I133" s="3" t="inlineStr">
        <is>
          <t>Synthetic inputs added for this model</t>
        </is>
      </c>
    </row>
    <row r="134">
      <c r="A134" s="2" t="inlineStr">
        <is>
          <t>EFF-006</t>
        </is>
      </c>
      <c r="B134" s="3" t="inlineStr">
        <is>
          <t>Alerts without accepted owners</t>
        </is>
      </c>
      <c r="C134" s="3" t="inlineStr">
        <is>
          <t>count</t>
        </is>
      </c>
      <c r="D134" s="3" t="inlineStr">
        <is>
          <t>Alerts with no accepted owner  [Month end]</t>
        </is>
      </c>
      <c r="E134" s="21">
        <f>'Group KPIs'!K134</f>
        <v/>
      </c>
      <c r="F134" s="3" t="inlineStr">
        <is>
          <t>1</t>
        </is>
      </c>
      <c r="G134" s="7" t="inlineStr">
        <is>
          <t>Same</t>
        </is>
      </c>
      <c r="H134" s="3" t="inlineStr">
        <is>
          <t>G-09</t>
        </is>
      </c>
      <c r="I134" s="3" t="inlineStr">
        <is>
          <t>Synthetic inputs added for this model</t>
        </is>
      </c>
    </row>
    <row r="135">
      <c r="A135" s="2" t="inlineStr">
        <is>
          <t>EFF-007</t>
        </is>
      </c>
      <c r="B135" s="3" t="inlineStr">
        <is>
          <t>Overdue actions</t>
        </is>
      </c>
      <c r="C135" s="3" t="inlineStr">
        <is>
          <t>count</t>
        </is>
      </c>
      <c r="D135" s="3" t="inlineStr">
        <is>
          <t>Overdue actions  [Month end]</t>
        </is>
      </c>
      <c r="E135" s="21">
        <f>'Group KPIs'!K135</f>
        <v/>
      </c>
      <c r="F135" s="3" t="inlineStr">
        <is>
          <t>0</t>
        </is>
      </c>
      <c r="G135" s="7" t="inlineStr">
        <is>
          <t>Same</t>
        </is>
      </c>
      <c r="H135" s="3" t="inlineStr">
        <is>
          <t>E-01,E-09,G-09</t>
        </is>
      </c>
      <c r="I135" s="3" t="inlineStr">
        <is>
          <t>Synthetic inputs added for this model</t>
        </is>
      </c>
    </row>
    <row r="136">
      <c r="A136" s="2" t="inlineStr">
        <is>
          <t>EFF-008</t>
        </is>
      </c>
      <c r="B136" s="3" t="inlineStr">
        <is>
          <t>Average resolution time</t>
        </is>
      </c>
      <c r="C136" s="3" t="inlineStr">
        <is>
          <t>days</t>
        </is>
      </c>
      <c r="D136" s="3" t="inlineStr">
        <is>
          <t>Days taken to resolve alerts ÷ Alerts resolved</t>
        </is>
      </c>
      <c r="E136" s="21">
        <f>'Group KPIs'!K136</f>
        <v/>
      </c>
      <c r="F136" s="3" t="inlineStr">
        <is>
          <t>2.4 d</t>
        </is>
      </c>
      <c r="G136" s="7" t="inlineStr">
        <is>
          <t>Same</t>
        </is>
      </c>
      <c r="H136" s="3" t="inlineStr">
        <is>
          <t>E-09,G-09,O-06</t>
        </is>
      </c>
      <c r="I136" s="3" t="inlineStr">
        <is>
          <t>Synthetic inputs added for this model</t>
        </is>
      </c>
    </row>
    <row r="137">
      <c r="A137" s="2" t="inlineStr">
        <is>
          <t>EFF-009</t>
        </is>
      </c>
      <c r="B137" s="3" t="inlineStr">
        <is>
          <t>Closed escalations, last 30 days</t>
        </is>
      </c>
      <c r="C137" s="3" t="inlineStr">
        <is>
          <t>count</t>
        </is>
      </c>
      <c r="D137" s="3" t="inlineStr">
        <is>
          <t>Escalations closed in the month</t>
        </is>
      </c>
      <c r="E137" s="21">
        <f>'Group KPIs'!K137</f>
        <v/>
      </c>
      <c r="F137" s="3" t="inlineStr">
        <is>
          <t>11</t>
        </is>
      </c>
      <c r="G137" s="7" t="inlineStr">
        <is>
          <t>Same</t>
        </is>
      </c>
      <c r="H137" s="3" t="inlineStr">
        <is>
          <t>E-09,G-09,O-06</t>
        </is>
      </c>
      <c r="I137" s="3" t="inlineStr">
        <is>
          <t>Synthetic inputs added for this model</t>
        </is>
      </c>
    </row>
    <row r="138">
      <c r="A138" s="2" t="inlineStr">
        <is>
          <t>EFF-010</t>
        </is>
      </c>
      <c r="B138" s="3" t="inlineStr">
        <is>
          <t>Repeat issues, last 90 days</t>
        </is>
      </c>
      <c r="C138" s="3" t="inlineStr">
        <is>
          <t>count</t>
        </is>
      </c>
      <c r="D138" s="3" t="inlineStr">
        <is>
          <t>Sum of repeat issues over the last 3 months  [Last 3 months]</t>
        </is>
      </c>
      <c r="E138" s="21">
        <f>'Group KPIs'!K138</f>
        <v/>
      </c>
      <c r="F138" s="3" t="inlineStr">
        <is>
          <t>2</t>
        </is>
      </c>
      <c r="G138" s="5" t="inlineStr">
        <is>
          <t>Different</t>
        </is>
      </c>
      <c r="H138" s="3" t="inlineStr">
        <is>
          <t>E-09,G-09,O-06</t>
        </is>
      </c>
      <c r="I138" s="3" t="inlineStr">
        <is>
          <t>Synthetic inputs added for this model</t>
        </is>
      </c>
    </row>
    <row r="139">
      <c r="A139" s="2" t="inlineStr">
        <is>
          <t>EFF-011</t>
        </is>
      </c>
      <c r="B139" s="3" t="inlineStr">
        <is>
          <t>Root causes eliminated YTD</t>
        </is>
      </c>
      <c r="C139" s="3" t="inlineStr">
        <is>
          <t>text</t>
        </is>
      </c>
      <c r="D139" s="3" t="inlineStr">
        <is>
          <t>Root causes eliminated since April, of those identified since April  [Year to date]</t>
        </is>
      </c>
      <c r="E139" s="8">
        <f>'Group KPIs'!K139</f>
        <v/>
      </c>
      <c r="F139" s="3" t="inlineStr">
        <is>
          <t>7 of 9</t>
        </is>
      </c>
      <c r="G139" s="5" t="inlineStr">
        <is>
          <t>Different</t>
        </is>
      </c>
      <c r="H139" s="3" t="inlineStr">
        <is>
          <t>E-09,G-09,O-06</t>
        </is>
      </c>
      <c r="I139" s="3" t="inlineStr">
        <is>
          <t>Synthetic inputs added for this model</t>
        </is>
      </c>
    </row>
    <row r="140">
      <c r="A140" s="2" t="inlineStr">
        <is>
          <t>SIG-004</t>
        </is>
      </c>
      <c r="B140" s="3" t="inlineStr">
        <is>
          <t>Collections slippage</t>
        </is>
      </c>
      <c r="C140" s="3" t="inlineStr">
        <is>
          <t>days</t>
        </is>
      </c>
      <c r="D140" s="3" t="inlineStr">
        <is>
          <t>(Days taken to collect − Agreed payment terms) ÷ Invoices collected (average days late)</t>
        </is>
      </c>
      <c r="E140" s="21">
        <f>'Group KPIs'!K140</f>
        <v/>
      </c>
      <c r="F140" s="3" t="inlineStr">
        <is>
          <t>+2 d (A1)</t>
        </is>
      </c>
      <c r="G140" s="5" t="inlineStr">
        <is>
          <t>Different</t>
        </is>
      </c>
      <c r="H140" s="3" t="inlineStr">
        <is>
          <t>E-05, G-04, S-12</t>
        </is>
      </c>
      <c r="I140" s="3" t="inlineStr">
        <is>
          <t>Synthetic inputs added for this model</t>
        </is>
      </c>
    </row>
    <row r="141">
      <c r="A141" s="2" t="inlineStr">
        <is>
          <t>SIG-005</t>
        </is>
      </c>
      <c r="B141" s="3" t="inlineStr">
        <is>
          <t>Payment delays</t>
        </is>
      </c>
      <c r="C141" s="3" t="inlineStr">
        <is>
          <t>customers</t>
        </is>
      </c>
      <c r="D141" s="3" t="inlineStr">
        <is>
          <t>Customers more than 30 days overdue  [Month end]</t>
        </is>
      </c>
      <c r="E141" s="21">
        <f>'Group KPIs'!K141</f>
        <v/>
      </c>
      <c r="F141" s="3" t="inlineStr">
        <is>
          <t>2 customers (A1)</t>
        </is>
      </c>
      <c r="G141" s="5" t="inlineStr">
        <is>
          <t>Different</t>
        </is>
      </c>
      <c r="H141" s="3" t="inlineStr">
        <is>
          <t>E-05,G-04</t>
        </is>
      </c>
      <c r="I141" s="3" t="inlineStr">
        <is>
          <t>Synthetic inputs added for this model</t>
        </is>
      </c>
    </row>
    <row r="142">
      <c r="A142" s="2" t="inlineStr">
        <is>
          <t>SIG-006</t>
        </is>
      </c>
      <c r="B142" s="3" t="inlineStr">
        <is>
          <t>Cash burn signal</t>
        </is>
      </c>
      <c r="C142" s="3" t="inlineStr">
        <is>
          <t>text</t>
        </is>
      </c>
      <c r="D142" s="3" t="inlineStr">
        <is>
          <t>Triggered if operating cash flow in the month is negative</t>
        </is>
      </c>
      <c r="E142" s="8">
        <f>'Group KPIs'!K142</f>
        <v/>
      </c>
      <c r="F142" s="3" t="inlineStr">
        <is>
          <t>Not on a screen</t>
        </is>
      </c>
      <c r="G142" s="7" t="inlineStr">
        <is>
          <t>—</t>
        </is>
      </c>
      <c r="H142" s="3" t="inlineStr">
        <is>
          <t>—</t>
        </is>
      </c>
      <c r="I142" s="3" t="inlineStr">
        <is>
          <t>Original plant data + synthetic inputs added for this model</t>
        </is>
      </c>
    </row>
    <row r="143">
      <c r="A143" s="2" t="inlineStr">
        <is>
          <t>SIG-013</t>
        </is>
      </c>
      <c r="B143" s="3" t="inlineStr">
        <is>
          <t>Pricing pressure</t>
        </is>
      </c>
      <c r="C143" s="3" t="inlineStr">
        <is>
          <t>text</t>
        </is>
      </c>
      <c r="D143" s="3" t="inlineStr">
        <is>
          <t>Realised price vs plan: Low if above −1%, Medium down to −3%, High below −3%</t>
        </is>
      </c>
      <c r="E143" s="8">
        <f>'Group KPIs'!K143</f>
        <v/>
      </c>
      <c r="F143" s="3" t="inlineStr">
        <is>
          <t>Low</t>
        </is>
      </c>
      <c r="G143" s="5" t="inlineStr">
        <is>
          <t>Different</t>
        </is>
      </c>
      <c r="H143" s="3" t="inlineStr">
        <is>
          <t>G-03</t>
        </is>
      </c>
      <c r="I143" s="3" t="inlineStr">
        <is>
          <t>Synthetic inputs added for this model</t>
        </is>
      </c>
    </row>
    <row r="144">
      <c r="A144" s="2" t="inlineStr">
        <is>
          <t>PRD-001</t>
        </is>
      </c>
      <c r="B144" s="3" t="inlineStr">
        <is>
          <t>Days to breach (earliest plant)</t>
        </is>
      </c>
      <c r="C144" s="3" t="inlineStr">
        <is>
          <t>days</t>
        </is>
      </c>
      <c r="D144" s="3" t="inlineStr">
        <is>
          <t>Lowest plant forecast of days until its production plan is breached (99 = not expected)  [Forecast]</t>
        </is>
      </c>
      <c r="E144" s="21">
        <f>'Group KPIs'!K144</f>
        <v/>
      </c>
      <c r="F144" s="3" t="inlineStr">
        <is>
          <t>Not shown</t>
        </is>
      </c>
      <c r="G144" s="6" t="inlineStr">
        <is>
          <t>Not shown</t>
        </is>
      </c>
      <c r="H144" s="3" t="inlineStr">
        <is>
          <t>O-01, O-02, E-01, E-04, S-10, S-12, STATE GALLERY</t>
        </is>
      </c>
      <c r="I144" s="3" t="inlineStr">
        <is>
          <t>Synthetic inputs added for this model</t>
        </is>
      </c>
    </row>
    <row r="145">
      <c r="A145" s="2" t="inlineStr">
        <is>
          <t>PRD-002</t>
        </is>
      </c>
      <c r="B145" s="3" t="inlineStr">
        <is>
          <t>Probability of production plan miss, next month</t>
        </is>
      </c>
      <c r="C145" s="3" t="inlineStr">
        <is>
          <t>%</t>
        </is>
      </c>
      <c r="D145" s="3" t="inlineStr">
        <is>
          <t>Chance that output falls below plan: normal distribution with mean = Forecast good output, spread = √(sum of plant forecast variances)  [Next month]</t>
        </is>
      </c>
      <c r="E145" s="21">
        <f>'Group KPIs'!K145</f>
        <v/>
      </c>
      <c r="F145" s="3" t="inlineStr">
        <is>
          <t>64%</t>
        </is>
      </c>
      <c r="G145" s="5" t="inlineStr">
        <is>
          <t>Different</t>
        </is>
      </c>
      <c r="H145" s="3" t="inlineStr">
        <is>
          <t>G-01,G-10,O-01,O-02,S-12,STATE GALLERY</t>
        </is>
      </c>
      <c r="I145" s="3" t="inlineStr">
        <is>
          <t>Synthetic inputs added for this model</t>
        </is>
      </c>
    </row>
    <row r="146">
      <c r="A146" s="2" t="inlineStr">
        <is>
          <t>PRD-003</t>
        </is>
      </c>
      <c r="B146" s="3" t="inlineStr">
        <is>
          <t>Projected EBITDA gap, rest of year</t>
        </is>
      </c>
      <c r="C146" s="3" t="inlineStr">
        <is>
          <t>₹ m</t>
        </is>
      </c>
      <c r="D146" s="3" t="inlineStr">
        <is>
          <t>(Forecast EBITDA − Planned EBITDA, rest of year) ÷ 1000  [Forecast]</t>
        </is>
      </c>
      <c r="E146" s="21">
        <f>'Group KPIs'!K146</f>
        <v/>
      </c>
      <c r="F146" s="3" t="inlineStr">
        <is>
          <t>−₹9.2 m</t>
        </is>
      </c>
      <c r="G146" s="5" t="inlineStr">
        <is>
          <t>Different</t>
        </is>
      </c>
      <c r="H146" s="3" t="inlineStr">
        <is>
          <t>G-01,G-03,G-10,O-01,O-02,S-09,S-12,STATE GALLERY</t>
        </is>
      </c>
      <c r="I146" s="3" t="inlineStr">
        <is>
          <t>Synthetic inputs added for this model</t>
        </is>
      </c>
    </row>
    <row r="147">
      <c r="A147" s="2" t="inlineStr">
        <is>
          <t>PRD-004</t>
        </is>
      </c>
      <c r="B147" s="3" t="inlineStr">
        <is>
          <t>Projected liquidity gap, next 90 days</t>
        </is>
      </c>
      <c r="C147" s="3" t="inlineStr">
        <is>
          <t>₹ m or text</t>
        </is>
      </c>
      <c r="D147" s="3" t="inlineStr">
        <is>
          <t>Cash + Undrawn facilities + Forecast net cash flow (90 days); 'None' if not negative  [Next 90 days]</t>
        </is>
      </c>
      <c r="E147" s="8">
        <f>'Group KPIs'!K147</f>
        <v/>
      </c>
      <c r="F147" s="3" t="inlineStr">
        <is>
          <t>None within 90 d</t>
        </is>
      </c>
      <c r="G147" s="7" t="inlineStr">
        <is>
          <t>Same</t>
        </is>
      </c>
      <c r="H147" s="3" t="inlineStr">
        <is>
          <t>O-02, G-01, G-04, S-12</t>
        </is>
      </c>
      <c r="I147" s="3" t="inlineStr">
        <is>
          <t>Synthetic inputs added for this model</t>
        </is>
      </c>
    </row>
    <row r="148">
      <c r="A148" s="2" t="inlineStr">
        <is>
          <t>PRD-005</t>
        </is>
      </c>
      <c r="B148" s="3" t="inlineStr">
        <is>
          <t>Forecast covenant breach</t>
        </is>
      </c>
      <c r="C148" s="3" t="inlineStr">
        <is>
          <t>text</t>
        </is>
      </c>
      <c r="D148" s="3" t="inlineStr">
        <is>
          <t>Breach forecast if Forecast net debt ÷ Forecast 12-month EBITDA exceeds the covenant limit  [Quarter end]</t>
        </is>
      </c>
      <c r="E148" s="8">
        <f>'Group KPIs'!K148</f>
        <v/>
      </c>
      <c r="F148" s="3" t="inlineStr">
        <is>
          <t>Not forecast</t>
        </is>
      </c>
      <c r="G148" s="7" t="inlineStr">
        <is>
          <t>Same</t>
        </is>
      </c>
      <c r="H148" s="3" t="inlineStr">
        <is>
          <t>O-02, G-04, G-10, S-12</t>
        </is>
      </c>
      <c r="I148" s="3" t="inlineStr">
        <is>
          <t>Synthetic inputs added for this model</t>
        </is>
      </c>
    </row>
    <row r="149">
      <c r="A149" s="2" t="inlineStr">
        <is>
          <t>PRD-006</t>
        </is>
      </c>
      <c r="B149" s="3" t="inlineStr">
        <is>
          <t>Production loss from downtime, next month</t>
        </is>
      </c>
      <c r="C149" s="3" t="inlineStr">
        <is>
          <t>kt</t>
        </is>
      </c>
      <c r="D149" s="3" t="inlineStr">
        <is>
          <t>Forecast production lost to downtime next month ÷ 1000  [Next month]</t>
        </is>
      </c>
      <c r="E149" s="21">
        <f>'Group KPIs'!K149</f>
        <v/>
      </c>
      <c r="F149" s="3" t="inlineStr">
        <is>
          <t>11.2 kt</t>
        </is>
      </c>
      <c r="G149" s="5" t="inlineStr">
        <is>
          <t>Different</t>
        </is>
      </c>
      <c r="H149" s="3" t="inlineStr">
        <is>
          <t>G-05, G-10</t>
        </is>
      </c>
      <c r="I149" s="3" t="inlineStr">
        <is>
          <t>Synthetic inputs added for this model</t>
        </is>
      </c>
    </row>
    <row r="150">
      <c r="A150" s="2" t="inlineStr">
        <is>
          <t>PRD-007</t>
        </is>
      </c>
      <c r="B150" s="3" t="inlineStr">
        <is>
          <t>Probability OEE below 78%, next month</t>
        </is>
      </c>
      <c r="C150" s="3" t="inlineStr">
        <is>
          <t>%</t>
        </is>
      </c>
      <c r="D150" s="3" t="inlineStr">
        <is>
          <t>Chance that Forecast good output &lt; 78% × Ideal output next month (same distribution as PRD-002)  [Next month]</t>
        </is>
      </c>
      <c r="E150" s="21">
        <f>'Group KPIs'!K150</f>
        <v/>
      </c>
      <c r="F150" s="3" t="inlineStr">
        <is>
          <t>Not on a screen</t>
        </is>
      </c>
      <c r="G150" s="5" t="inlineStr">
        <is>
          <t>—</t>
        </is>
      </c>
      <c r="H150" s="3" t="inlineStr">
        <is>
          <t>—</t>
        </is>
      </c>
      <c r="I150" s="3" t="inlineStr">
        <is>
          <t>Synthetic inputs added for this model</t>
        </is>
      </c>
    </row>
  </sheetData>
  <autoFilter ref="A1:I150"/>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171"/>
  <sheetViews>
    <sheetView tabSelected="1" workbookViewId="0">
      <pane xSplit="2" ySplit="1" topLeftCell="C2" activePane="bottomRight" state="frozen"/>
      <selection pane="topRight" activeCell="C1" sqref="C1"/>
      <selection pane="bottomLeft" activeCell="A2" sqref="A2"/>
      <selection pane="bottomRight" activeCell="A1" sqref="A1"/>
    </sheetView>
  </sheetViews>
  <sheetFormatPr baseColWidth="8" defaultRowHeight="15"/>
  <cols>
    <col width="10.7109375" customWidth="1" min="1" max="1"/>
    <col width="32.7109375" customWidth="1" min="2" max="2"/>
    <col width="11.7109375" customWidth="1" min="3" max="3"/>
    <col width="13.7109375" customWidth="1" min="4" max="4"/>
    <col width="52.7109375" customWidth="1" min="5" max="5"/>
    <col width="13.7109375" customWidth="1" min="6" max="11"/>
    <col width="24.7109375" customWidth="1" min="12" max="12"/>
    <col width="26.7109375" customWidth="1" min="13" max="13"/>
    <col width="40.7109375" customWidth="1" min="14" max="14"/>
  </cols>
  <sheetData>
    <row r="1">
      <c r="A1" s="1" t="inlineStr">
        <is>
          <t>KPI ID</t>
        </is>
      </c>
      <c r="B1" s="1" t="inlineStr">
        <is>
          <t>Measure</t>
        </is>
      </c>
      <c r="C1" s="1" t="inlineStr">
        <is>
          <t>Unit</t>
        </is>
      </c>
      <c r="D1" s="1" t="inlineStr">
        <is>
          <t>Time basis</t>
        </is>
      </c>
      <c r="E1" s="1" t="inlineStr">
        <is>
          <t>How it is calculated</t>
        </is>
      </c>
      <c r="F1" s="1" t="inlineStr">
        <is>
          <t>2026-04 (P01)</t>
        </is>
      </c>
      <c r="G1" s="1" t="inlineStr">
        <is>
          <t>2026-05 (P02)</t>
        </is>
      </c>
      <c r="H1" s="1" t="inlineStr">
        <is>
          <t>2026-06 (P03)</t>
        </is>
      </c>
      <c r="I1" s="1" t="inlineStr">
        <is>
          <t>2026-07 (P04)</t>
        </is>
      </c>
      <c r="J1" s="1" t="inlineStr">
        <is>
          <t>2026-08 (P05)</t>
        </is>
      </c>
      <c r="K1" s="1" t="inlineStr">
        <is>
          <t>2026-09 (P06)</t>
        </is>
      </c>
      <c r="L1" s="1" t="inlineStr">
        <is>
          <t>Shown on the mockups today (Group)</t>
        </is>
      </c>
      <c r="M1" s="1" t="inlineStr">
        <is>
          <t>Screens</t>
        </is>
      </c>
      <c r="N1" s="1" t="inlineStr">
        <is>
          <t>Inputs used (Group Inputs columns)</t>
        </is>
      </c>
    </row>
    <row r="2">
      <c r="A2" s="2" t="inlineStr">
        <is>
          <t>OPS-001</t>
        </is>
      </c>
      <c r="B2" s="3" t="inlineStr">
        <is>
          <t>Production vs plan</t>
        </is>
      </c>
      <c r="C2" s="3" t="inlineStr">
        <is>
          <t>%</t>
        </is>
      </c>
      <c r="D2" s="3" t="inlineStr">
        <is>
          <t>Month</t>
        </is>
      </c>
      <c r="E2" s="3" t="inlineStr">
        <is>
          <t>Good output ÷ Planned production × 100</t>
        </is>
      </c>
      <c r="F2" s="21">
        <f>ROUND(IFERROR(100*'Group Inputs'!M4/'Group Inputs'!K4,0),2)</f>
        <v/>
      </c>
      <c r="G2" s="21">
        <f>ROUND(IFERROR(100*'Group Inputs'!M5/'Group Inputs'!K5,0),2)</f>
        <v/>
      </c>
      <c r="H2" s="21">
        <f>ROUND(IFERROR(100*'Group Inputs'!M6/'Group Inputs'!K6,0),2)</f>
        <v/>
      </c>
      <c r="I2" s="21">
        <f>ROUND(IFERROR(100*'Group Inputs'!M7/'Group Inputs'!K7,0),2)</f>
        <v/>
      </c>
      <c r="J2" s="21">
        <f>ROUND(IFERROR(100*'Group Inputs'!M8/'Group Inputs'!K8,0),2)</f>
        <v/>
      </c>
      <c r="K2" s="21">
        <f>ROUND(IFERROR(100*'Group Inputs'!M9/'Group Inputs'!K9,0),2)</f>
        <v/>
      </c>
      <c r="L2" s="3" t="inlineStr">
        <is>
          <t>98.1%; 95.5 % of plan (O-09)</t>
        </is>
      </c>
      <c r="M2" s="3" t="inlineStr">
        <is>
          <t>O-01, O-09, E-01, E-02, E-05, G-01, G-02, G-03, G-05, S-03, S-10, STATE GALLERY</t>
        </is>
      </c>
      <c r="N2" s="3" t="inlineStr">
        <is>
          <t>planned_production_t, good_output_t</t>
        </is>
      </c>
    </row>
    <row r="3">
      <c r="A3" s="2" t="inlineStr">
        <is>
          <t>OPS-003</t>
        </is>
      </c>
      <c r="B3" s="3" t="inlineStr">
        <is>
          <t>Capacity utilization</t>
        </is>
      </c>
      <c r="C3" s="3" t="inlineStr">
        <is>
          <t>%</t>
        </is>
      </c>
      <c r="D3" s="3" t="inlineStr">
        <is>
          <t>Month</t>
        </is>
      </c>
      <c r="E3" s="3" t="inlineStr">
        <is>
          <t>Good output ÷ Installed capacity × 100</t>
        </is>
      </c>
      <c r="F3" s="21">
        <f>ROUND(IFERROR(100*'Group Inputs'!M4/'Group Inputs'!J4,0),2)</f>
        <v/>
      </c>
      <c r="G3" s="21">
        <f>ROUND(IFERROR(100*'Group Inputs'!M5/'Group Inputs'!J5,0),2)</f>
        <v/>
      </c>
      <c r="H3" s="21">
        <f>ROUND(IFERROR(100*'Group Inputs'!M6/'Group Inputs'!J6,0),2)</f>
        <v/>
      </c>
      <c r="I3" s="21">
        <f>ROUND(IFERROR(100*'Group Inputs'!M7/'Group Inputs'!J7,0),2)</f>
        <v/>
      </c>
      <c r="J3" s="21">
        <f>ROUND(IFERROR(100*'Group Inputs'!M8/'Group Inputs'!J8,0),2)</f>
        <v/>
      </c>
      <c r="K3" s="21">
        <f>ROUND(IFERROR(100*'Group Inputs'!M9/'Group Inputs'!J9,0),2)</f>
        <v/>
      </c>
      <c r="L3" s="3" t="inlineStr">
        <is>
          <t>86%</t>
        </is>
      </c>
      <c r="M3" s="3" t="inlineStr">
        <is>
          <t>O-01, E-02, G-05, STATE GALLERY</t>
        </is>
      </c>
      <c r="N3" s="3" t="inlineStr">
        <is>
          <t>installed_capacity_t, good_output_t</t>
        </is>
      </c>
    </row>
    <row r="4">
      <c r="A4" s="2" t="inlineStr">
        <is>
          <t>PLT-001</t>
        </is>
      </c>
      <c r="B4" s="3" t="inlineStr">
        <is>
          <t>Asset utilization</t>
        </is>
      </c>
      <c r="C4" s="3" t="inlineStr">
        <is>
          <t>%</t>
        </is>
      </c>
      <c r="D4" s="3" t="inlineStr">
        <is>
          <t>Month</t>
        </is>
      </c>
      <c r="E4" s="3" t="inlineStr">
        <is>
          <t>Run hours ÷ Calendar hours × 100</t>
        </is>
      </c>
      <c r="F4" s="21">
        <f>ROUND(IFERROR(100*'Group Inputs'!G4/'Group Inputs'!E4,0),2)</f>
        <v/>
      </c>
      <c r="G4" s="21">
        <f>ROUND(IFERROR(100*'Group Inputs'!G5/'Group Inputs'!E5,0),2)</f>
        <v/>
      </c>
      <c r="H4" s="21">
        <f>ROUND(IFERROR(100*'Group Inputs'!G6/'Group Inputs'!E6,0),2)</f>
        <v/>
      </c>
      <c r="I4" s="21">
        <f>ROUND(IFERROR(100*'Group Inputs'!G7/'Group Inputs'!E7,0),2)</f>
        <v/>
      </c>
      <c r="J4" s="21">
        <f>ROUND(IFERROR(100*'Group Inputs'!G8/'Group Inputs'!E8,0),2)</f>
        <v/>
      </c>
      <c r="K4" s="21">
        <f>ROUND(IFERROR(100*'Group Inputs'!G9/'Group Inputs'!E9,0),2)</f>
        <v/>
      </c>
      <c r="L4" s="3" t="inlineStr">
        <is>
          <t>Not shown</t>
        </is>
      </c>
      <c r="M4" s="3" t="n"/>
      <c r="N4" s="3" t="inlineStr">
        <is>
          <t>calendar_hours, run_hours</t>
        </is>
      </c>
    </row>
    <row r="5">
      <c r="A5" s="2" t="inlineStr">
        <is>
          <t>PLT-002</t>
        </is>
      </c>
      <c r="B5" s="3" t="inlineStr">
        <is>
          <t>OEE</t>
        </is>
      </c>
      <c r="C5" s="3" t="inlineStr">
        <is>
          <t>%</t>
        </is>
      </c>
      <c r="D5" s="3" t="inlineStr">
        <is>
          <t>Month</t>
        </is>
      </c>
      <c r="E5" s="3" t="inlineStr">
        <is>
          <t>Availability × Performance × Quality = Good output ÷ Ideal output × 100</t>
        </is>
      </c>
      <c r="F5" s="21">
        <f>ROUND(IFERROR(100*'Group Inputs'!M4/'Group Inputs'!I4,0),2)</f>
        <v/>
      </c>
      <c r="G5" s="21">
        <f>ROUND(IFERROR(100*'Group Inputs'!M5/'Group Inputs'!I5,0),2)</f>
        <v/>
      </c>
      <c r="H5" s="21">
        <f>ROUND(IFERROR(100*'Group Inputs'!M6/'Group Inputs'!I6,0),2)</f>
        <v/>
      </c>
      <c r="I5" s="21">
        <f>ROUND(IFERROR(100*'Group Inputs'!M7/'Group Inputs'!I7,0),2)</f>
        <v/>
      </c>
      <c r="J5" s="21">
        <f>ROUND(IFERROR(100*'Group Inputs'!M8/'Group Inputs'!I8,0),2)</f>
        <v/>
      </c>
      <c r="K5" s="21">
        <f>ROUND(IFERROR(100*'Group Inputs'!M9/'Group Inputs'!I9,0),2)</f>
        <v/>
      </c>
      <c r="L5" s="3" t="inlineStr">
        <is>
          <t>78 %</t>
        </is>
      </c>
      <c r="M5" s="3" t="inlineStr">
        <is>
          <t>E-02, G-05</t>
        </is>
      </c>
      <c r="N5" s="3" t="inlineStr">
        <is>
          <t>ideal_output_t, good_output_t</t>
        </is>
      </c>
    </row>
    <row r="6">
      <c r="A6" s="2" t="inlineStr">
        <is>
          <t>PLT-004</t>
        </is>
      </c>
      <c r="B6" s="3" t="inlineStr">
        <is>
          <t>Recovery percentage</t>
        </is>
      </c>
      <c r="C6" s="3" t="inlineStr">
        <is>
          <t>%</t>
        </is>
      </c>
      <c r="D6" s="3" t="inlineStr">
        <is>
          <t>Month</t>
        </is>
      </c>
      <c r="E6" s="3" t="inlineStr">
        <is>
          <t>Valuable content recovered ÷ Valuable content in feed × 100</t>
        </is>
      </c>
      <c r="F6" s="21">
        <f>ROUND(IFERROR(100*'Group Inputs'!P4/'Group Inputs'!O4,0),2)</f>
        <v/>
      </c>
      <c r="G6" s="21">
        <f>ROUND(IFERROR(100*'Group Inputs'!P5/'Group Inputs'!O5,0),2)</f>
        <v/>
      </c>
      <c r="H6" s="21">
        <f>ROUND(IFERROR(100*'Group Inputs'!P6/'Group Inputs'!O6,0),2)</f>
        <v/>
      </c>
      <c r="I6" s="21">
        <f>ROUND(IFERROR(100*'Group Inputs'!P7/'Group Inputs'!O7,0),2)</f>
        <v/>
      </c>
      <c r="J6" s="21">
        <f>ROUND(IFERROR(100*'Group Inputs'!P8/'Group Inputs'!O8,0),2)</f>
        <v/>
      </c>
      <c r="K6" s="21">
        <f>ROUND(IFERROR(100*'Group Inputs'!P9/'Group Inputs'!O9,0),2)</f>
        <v/>
      </c>
      <c r="L6" s="3" t="inlineStr">
        <is>
          <t>Not shown</t>
        </is>
      </c>
      <c r="M6" s="3" t="n"/>
      <c r="N6" s="3" t="inlineStr">
        <is>
          <t>feed_contained_t, recovered_contained_t</t>
        </is>
      </c>
    </row>
    <row r="7">
      <c r="A7" s="2" t="inlineStr">
        <is>
          <t>PLT-005</t>
        </is>
      </c>
      <c r="B7" s="3" t="inlineStr">
        <is>
          <t>Yield</t>
        </is>
      </c>
      <c r="C7" s="3" t="inlineStr">
        <is>
          <t>%</t>
        </is>
      </c>
      <c r="D7" s="3" t="inlineStr">
        <is>
          <t>Month</t>
        </is>
      </c>
      <c r="E7" s="3" t="inlineStr">
        <is>
          <t>Good output ÷ Feed input × 100</t>
        </is>
      </c>
      <c r="F7" s="21">
        <f>ROUND(IFERROR(100*'Group Inputs'!M4/'Group Inputs'!N4,0),2)</f>
        <v/>
      </c>
      <c r="G7" s="21">
        <f>ROUND(IFERROR(100*'Group Inputs'!M5/'Group Inputs'!N5,0),2)</f>
        <v/>
      </c>
      <c r="H7" s="21">
        <f>ROUND(IFERROR(100*'Group Inputs'!M6/'Group Inputs'!N6,0),2)</f>
        <v/>
      </c>
      <c r="I7" s="21">
        <f>ROUND(IFERROR(100*'Group Inputs'!M7/'Group Inputs'!N7,0),2)</f>
        <v/>
      </c>
      <c r="J7" s="21">
        <f>ROUND(IFERROR(100*'Group Inputs'!M8/'Group Inputs'!N8,0),2)</f>
        <v/>
      </c>
      <c r="K7" s="21">
        <f>ROUND(IFERROR(100*'Group Inputs'!M9/'Group Inputs'!N9,0),2)</f>
        <v/>
      </c>
      <c r="L7" s="3" t="inlineStr">
        <is>
          <t>Not shown</t>
        </is>
      </c>
      <c r="M7" s="3" t="n"/>
      <c r="N7" s="3" t="inlineStr">
        <is>
          <t>good_output_t, feed_input_t</t>
        </is>
      </c>
    </row>
    <row r="8">
      <c r="A8" s="2" t="inlineStr">
        <is>
          <t>REL-001</t>
        </is>
      </c>
      <c r="B8" s="3" t="inlineStr">
        <is>
          <t>MTBF</t>
        </is>
      </c>
      <c r="C8" s="3" t="inlineStr">
        <is>
          <t>h</t>
        </is>
      </c>
      <c r="D8" s="3" t="inlineStr">
        <is>
          <t>Month</t>
        </is>
      </c>
      <c r="E8" s="3" t="inlineStr">
        <is>
          <t>Run hours ÷ Breakdowns</t>
        </is>
      </c>
      <c r="F8" s="21">
        <f>ROUND(IFERROR('Group Inputs'!G4/'Group Inputs'!R4,0),2)</f>
        <v/>
      </c>
      <c r="G8" s="21">
        <f>ROUND(IFERROR('Group Inputs'!G5/'Group Inputs'!R5,0),2)</f>
        <v/>
      </c>
      <c r="H8" s="21">
        <f>ROUND(IFERROR('Group Inputs'!G6/'Group Inputs'!R6,0),2)</f>
        <v/>
      </c>
      <c r="I8" s="21">
        <f>ROUND(IFERROR('Group Inputs'!G7/'Group Inputs'!R7,0),2)</f>
        <v/>
      </c>
      <c r="J8" s="21">
        <f>ROUND(IFERROR('Group Inputs'!G8/'Group Inputs'!R8,0),2)</f>
        <v/>
      </c>
      <c r="K8" s="21">
        <f>ROUND(IFERROR('Group Inputs'!G9/'Group Inputs'!R9,0),2)</f>
        <v/>
      </c>
      <c r="L8" s="3" t="inlineStr">
        <is>
          <t>205 h; 270 h (O-09)</t>
        </is>
      </c>
      <c r="M8" s="3" t="inlineStr">
        <is>
          <t>O-09, E-03, G-05</t>
        </is>
      </c>
      <c r="N8" s="3" t="inlineStr">
        <is>
          <t>run_hours, failures</t>
        </is>
      </c>
    </row>
    <row r="9">
      <c r="A9" s="2" t="inlineStr">
        <is>
          <t>REL-002</t>
        </is>
      </c>
      <c r="B9" s="3" t="inlineStr">
        <is>
          <t>Mean Time to Repair</t>
        </is>
      </c>
      <c r="C9" s="3" t="inlineStr">
        <is>
          <t>h</t>
        </is>
      </c>
      <c r="D9" s="3" t="inlineStr">
        <is>
          <t>Month</t>
        </is>
      </c>
      <c r="E9" s="3" t="inlineStr">
        <is>
          <t>Repair hours ÷ Breakdowns</t>
        </is>
      </c>
      <c r="F9" s="21">
        <f>ROUND(IFERROR('Group Inputs'!S4/'Group Inputs'!R4,0),2)</f>
        <v/>
      </c>
      <c r="G9" s="21">
        <f>ROUND(IFERROR('Group Inputs'!S5/'Group Inputs'!R5,0),2)</f>
        <v/>
      </c>
      <c r="H9" s="21">
        <f>ROUND(IFERROR('Group Inputs'!S6/'Group Inputs'!R6,0),2)</f>
        <v/>
      </c>
      <c r="I9" s="21">
        <f>ROUND(IFERROR('Group Inputs'!S7/'Group Inputs'!R7,0),2)</f>
        <v/>
      </c>
      <c r="J9" s="21">
        <f>ROUND(IFERROR('Group Inputs'!S8/'Group Inputs'!R8,0),2)</f>
        <v/>
      </c>
      <c r="K9" s="21">
        <f>ROUND(IFERROR('Group Inputs'!S9/'Group Inputs'!R9,0),2)</f>
        <v/>
      </c>
      <c r="L9" s="3" t="inlineStr">
        <is>
          <t>3.6 h</t>
        </is>
      </c>
      <c r="M9" s="3" t="inlineStr">
        <is>
          <t>E-03, G-05</t>
        </is>
      </c>
      <c r="N9" s="3" t="inlineStr">
        <is>
          <t>failures, repair_hours</t>
        </is>
      </c>
    </row>
    <row r="10">
      <c r="A10" s="2" t="inlineStr">
        <is>
          <t>REL-003</t>
        </is>
      </c>
      <c r="B10" s="3" t="inlineStr">
        <is>
          <t>Unplanned downtime</t>
        </is>
      </c>
      <c r="C10" s="3" t="inlineStr">
        <is>
          <t>h</t>
        </is>
      </c>
      <c r="D10" s="3" t="inlineStr">
        <is>
          <t>Month</t>
        </is>
      </c>
      <c r="E10" s="3" t="inlineStr">
        <is>
          <t>Unplanned downtime</t>
        </is>
      </c>
      <c r="F10" s="21">
        <f>ROUND('Group Inputs'!H4,2)</f>
        <v/>
      </c>
      <c r="G10" s="21">
        <f>ROUND('Group Inputs'!H5,2)</f>
        <v/>
      </c>
      <c r="H10" s="21">
        <f>ROUND('Group Inputs'!H6,2)</f>
        <v/>
      </c>
      <c r="I10" s="21">
        <f>ROUND('Group Inputs'!H7,2)</f>
        <v/>
      </c>
      <c r="J10" s="21">
        <f>ROUND('Group Inputs'!H8,2)</f>
        <v/>
      </c>
      <c r="K10" s="21">
        <f>ROUND('Group Inputs'!H9,2)</f>
        <v/>
      </c>
      <c r="L10" s="3" t="inlineStr">
        <is>
          <t>3.1 % of hours</t>
        </is>
      </c>
      <c r="M10" s="3" t="inlineStr">
        <is>
          <t>E-03, G-05</t>
        </is>
      </c>
      <c r="N10" s="3" t="inlineStr">
        <is>
          <t>unplanned_downtime_hours</t>
        </is>
      </c>
    </row>
    <row r="11">
      <c r="A11" s="2" t="inlineStr">
        <is>
          <t>REL-004</t>
        </is>
      </c>
      <c r="B11" s="3" t="inlineStr">
        <is>
          <t>Production loss from downtime</t>
        </is>
      </c>
      <c r="C11" s="3" t="inlineStr">
        <is>
          <t>t</t>
        </is>
      </c>
      <c r="D11" s="3" t="inlineStr">
        <is>
          <t>Month</t>
        </is>
      </c>
      <c r="E11" s="3" t="inlineStr">
        <is>
          <t>Production lost to downtime</t>
        </is>
      </c>
      <c r="F11" s="21">
        <f>ROUND('Group Inputs'!Q4,2)</f>
        <v/>
      </c>
      <c r="G11" s="21">
        <f>ROUND('Group Inputs'!Q5,2)</f>
        <v/>
      </c>
      <c r="H11" s="21">
        <f>ROUND('Group Inputs'!Q6,2)</f>
        <v/>
      </c>
      <c r="I11" s="21">
        <f>ROUND('Group Inputs'!Q7,2)</f>
        <v/>
      </c>
      <c r="J11" s="21">
        <f>ROUND('Group Inputs'!Q8,2)</f>
        <v/>
      </c>
      <c r="K11" s="21">
        <f>ROUND('Group Inputs'!Q9,2)</f>
        <v/>
      </c>
      <c r="L11" s="3" t="inlineStr">
        <is>
          <t>93%</t>
        </is>
      </c>
      <c r="M11" s="3" t="inlineStr">
        <is>
          <t>E-03,G-05</t>
        </is>
      </c>
      <c r="N11" s="3" t="inlineStr">
        <is>
          <t>prod_loss_downtime_t</t>
        </is>
      </c>
    </row>
    <row r="12">
      <c r="A12" s="2" t="inlineStr">
        <is>
          <t>REL-005</t>
        </is>
      </c>
      <c r="B12" s="3" t="inlineStr">
        <is>
          <t>Preventive-maintenance compliance</t>
        </is>
      </c>
      <c r="C12" s="3" t="inlineStr">
        <is>
          <t>%</t>
        </is>
      </c>
      <c r="D12" s="3" t="inlineStr">
        <is>
          <t>Month</t>
        </is>
      </c>
      <c r="E12" s="3" t="inlineStr">
        <is>
          <t>Preventive maintenance completed ÷ Preventive maintenance scheduled × 100</t>
        </is>
      </c>
      <c r="F12" s="21">
        <f>ROUND(IFERROR(100*'Group Inputs'!U4/'Group Inputs'!T4,0),2)</f>
        <v/>
      </c>
      <c r="G12" s="21">
        <f>ROUND(IFERROR(100*'Group Inputs'!U5/'Group Inputs'!T5,0),2)</f>
        <v/>
      </c>
      <c r="H12" s="21">
        <f>ROUND(IFERROR(100*'Group Inputs'!U6/'Group Inputs'!T6,0),2)</f>
        <v/>
      </c>
      <c r="I12" s="21">
        <f>ROUND(IFERROR(100*'Group Inputs'!U7/'Group Inputs'!T7,0),2)</f>
        <v/>
      </c>
      <c r="J12" s="21">
        <f>ROUND(IFERROR(100*'Group Inputs'!U8/'Group Inputs'!T8,0),2)</f>
        <v/>
      </c>
      <c r="K12" s="21">
        <f>ROUND(IFERROR(100*'Group Inputs'!U9/'Group Inputs'!T9,0),2)</f>
        <v/>
      </c>
      <c r="L12" s="3" t="inlineStr">
        <is>
          <t>93%</t>
        </is>
      </c>
      <c r="M12" s="3" t="inlineStr">
        <is>
          <t>E-03</t>
        </is>
      </c>
      <c r="N12" s="3" t="inlineStr">
        <is>
          <t>pm_scheduled, pm_completed</t>
        </is>
      </c>
    </row>
    <row r="13">
      <c r="A13" s="2" t="inlineStr">
        <is>
          <t>CST-001</t>
        </is>
      </c>
      <c r="B13" s="3" t="inlineStr">
        <is>
          <t>Cost per tonne</t>
        </is>
      </c>
      <c r="C13" s="3" t="inlineStr">
        <is>
          <t>₹/t</t>
        </is>
      </c>
      <c r="D13" s="3" t="inlineStr">
        <is>
          <t>Month</t>
        </is>
      </c>
      <c r="E13" s="3" t="inlineStr">
        <is>
          <t>(Variable cost + Fixed cost) × 1000 ÷ Good output</t>
        </is>
      </c>
      <c r="F13" s="21">
        <f>ROUND(IFERROR(1000*('Group Inputs'!V4+'Group Inputs'!X4)/'Group Inputs'!M4,0),2)</f>
        <v/>
      </c>
      <c r="G13" s="21">
        <f>ROUND(IFERROR(1000*('Group Inputs'!V5+'Group Inputs'!X5)/'Group Inputs'!M5,0),2)</f>
        <v/>
      </c>
      <c r="H13" s="21">
        <f>ROUND(IFERROR(1000*('Group Inputs'!V6+'Group Inputs'!X6)/'Group Inputs'!M6,0),2)</f>
        <v/>
      </c>
      <c r="I13" s="21">
        <f>ROUND(IFERROR(1000*('Group Inputs'!V7+'Group Inputs'!X7)/'Group Inputs'!M7,0),2)</f>
        <v/>
      </c>
      <c r="J13" s="21">
        <f>ROUND(IFERROR(1000*('Group Inputs'!V8+'Group Inputs'!X8)/'Group Inputs'!M8,0),2)</f>
        <v/>
      </c>
      <c r="K13" s="21">
        <f>ROUND(IFERROR(1000*('Group Inputs'!V9+'Group Inputs'!X9)/'Group Inputs'!M9,0),2)</f>
        <v/>
      </c>
      <c r="L13" s="3" t="inlineStr">
        <is>
          <t>₹412 /t; 2,934 ₹/t (O-09)</t>
        </is>
      </c>
      <c r="M13" s="3" t="inlineStr">
        <is>
          <t>O-09, E-02, E-11, G-03, G-05</t>
        </is>
      </c>
      <c r="N13" s="3" t="inlineStr">
        <is>
          <t>good_output_t, variable_cost_k, fixed_cost_k</t>
        </is>
      </c>
    </row>
    <row r="14">
      <c r="A14" s="2" t="inlineStr">
        <is>
          <t>CST-002</t>
        </is>
      </c>
      <c r="B14" s="3" t="inlineStr">
        <is>
          <t>Variable cost</t>
        </is>
      </c>
      <c r="C14" s="3" t="inlineStr">
        <is>
          <t>₹ thousand</t>
        </is>
      </c>
      <c r="D14" s="3" t="inlineStr">
        <is>
          <t>Month</t>
        </is>
      </c>
      <c r="E14" s="3" t="inlineStr">
        <is>
          <t>Variable cost</t>
        </is>
      </c>
      <c r="F14" s="21">
        <f>ROUND('Group Inputs'!V4,2)</f>
        <v/>
      </c>
      <c r="G14" s="21">
        <f>ROUND('Group Inputs'!V5,2)</f>
        <v/>
      </c>
      <c r="H14" s="21">
        <f>ROUND('Group Inputs'!V6,2)</f>
        <v/>
      </c>
      <c r="I14" s="21">
        <f>ROUND('Group Inputs'!V7,2)</f>
        <v/>
      </c>
      <c r="J14" s="21">
        <f>ROUND('Group Inputs'!V8,2)</f>
        <v/>
      </c>
      <c r="K14" s="21">
        <f>ROUND('Group Inputs'!V9,2)</f>
        <v/>
      </c>
      <c r="L14" s="3" t="inlineStr">
        <is>
          <t>₹214 /t</t>
        </is>
      </c>
      <c r="M14" s="3" t="inlineStr">
        <is>
          <t>E-02, E-11, G-03</t>
        </is>
      </c>
      <c r="N14" s="3" t="inlineStr">
        <is>
          <t>variable_cost_k</t>
        </is>
      </c>
    </row>
    <row r="15">
      <c r="A15" s="2" t="inlineStr">
        <is>
          <t>CST-003</t>
        </is>
      </c>
      <c r="B15" s="3" t="inlineStr">
        <is>
          <t>Fuel cost</t>
        </is>
      </c>
      <c r="C15" s="3" t="inlineStr">
        <is>
          <t>₹ thousand</t>
        </is>
      </c>
      <c r="D15" s="3" t="inlineStr">
        <is>
          <t>Month</t>
        </is>
      </c>
      <c r="E15" s="3" t="inlineStr">
        <is>
          <t>Fuel cost</t>
        </is>
      </c>
      <c r="F15" s="21">
        <f>ROUND('Group Inputs'!W4,2)</f>
        <v/>
      </c>
      <c r="G15" s="21">
        <f>ROUND('Group Inputs'!W5,2)</f>
        <v/>
      </c>
      <c r="H15" s="21">
        <f>ROUND('Group Inputs'!W6,2)</f>
        <v/>
      </c>
      <c r="I15" s="21">
        <f>ROUND('Group Inputs'!W7,2)</f>
        <v/>
      </c>
      <c r="J15" s="21">
        <f>ROUND('Group Inputs'!W8,2)</f>
        <v/>
      </c>
      <c r="K15" s="21">
        <f>ROUND('Group Inputs'!W9,2)</f>
        <v/>
      </c>
      <c r="L15" s="3" t="inlineStr">
        <is>
          <t>9.8 ₹/t</t>
        </is>
      </c>
      <c r="M15" s="3" t="inlineStr">
        <is>
          <t>E-02</t>
        </is>
      </c>
      <c r="N15" s="3" t="inlineStr">
        <is>
          <t>fuel_cost_k</t>
        </is>
      </c>
    </row>
    <row r="16">
      <c r="A16" s="2" t="inlineStr">
        <is>
          <t>SUS-001</t>
        </is>
      </c>
      <c r="B16" s="3" t="inlineStr">
        <is>
          <t>Water usage</t>
        </is>
      </c>
      <c r="C16" s="3" t="inlineStr">
        <is>
          <t>m3</t>
        </is>
      </c>
      <c r="D16" s="3" t="inlineStr">
        <is>
          <t>Month</t>
        </is>
      </c>
      <c r="E16" s="3" t="inlineStr">
        <is>
          <t>Water used</t>
        </is>
      </c>
      <c r="F16" s="21">
        <f>ROUND('Group Inputs'!Y4,2)</f>
        <v/>
      </c>
      <c r="G16" s="21">
        <f>ROUND('Group Inputs'!Y5,2)</f>
        <v/>
      </c>
      <c r="H16" s="21">
        <f>ROUND('Group Inputs'!Y6,2)</f>
        <v/>
      </c>
      <c r="I16" s="21">
        <f>ROUND('Group Inputs'!Y7,2)</f>
        <v/>
      </c>
      <c r="J16" s="21">
        <f>ROUND('Group Inputs'!Y8,2)</f>
        <v/>
      </c>
      <c r="K16" s="21">
        <f>ROUND('Group Inputs'!Y9,2)</f>
        <v/>
      </c>
      <c r="L16" s="3" t="inlineStr">
        <is>
          <t>3.1 m³/t</t>
        </is>
      </c>
      <c r="M16" s="3" t="inlineStr">
        <is>
          <t>O-05, E-02, E-07, G-05, G-07</t>
        </is>
      </c>
      <c r="N16" s="3" t="inlineStr">
        <is>
          <t>water_m3</t>
        </is>
      </c>
    </row>
    <row r="17">
      <c r="A17" s="2" t="inlineStr">
        <is>
          <t>SUS-002</t>
        </is>
      </c>
      <c r="B17" s="3" t="inlineStr">
        <is>
          <t>Emissions</t>
        </is>
      </c>
      <c r="C17" s="3" t="inlineStr">
        <is>
          <t>tCO2e</t>
        </is>
      </c>
      <c r="D17" s="3" t="inlineStr">
        <is>
          <t>Month</t>
        </is>
      </c>
      <c r="E17" s="3" t="inlineStr">
        <is>
          <t>Emissions</t>
        </is>
      </c>
      <c r="F17" s="21">
        <f>ROUND('Group Inputs'!Z4,2)</f>
        <v/>
      </c>
      <c r="G17" s="21">
        <f>ROUND('Group Inputs'!Z5,2)</f>
        <v/>
      </c>
      <c r="H17" s="21">
        <f>ROUND('Group Inputs'!Z6,2)</f>
        <v/>
      </c>
      <c r="I17" s="21">
        <f>ROUND('Group Inputs'!Z7,2)</f>
        <v/>
      </c>
      <c r="J17" s="21">
        <f>ROUND('Group Inputs'!Z8,2)</f>
        <v/>
      </c>
      <c r="K17" s="21">
        <f>ROUND('Group Inputs'!Z9,2)</f>
        <v/>
      </c>
      <c r="L17" s="3" t="inlineStr">
        <is>
          <t>0.82 tCO2e/t</t>
        </is>
      </c>
      <c r="M17" s="3" t="inlineStr">
        <is>
          <t>O-05, E-02, E-07, G-05, G-07</t>
        </is>
      </c>
      <c r="N17" s="3" t="inlineStr">
        <is>
          <t>emissions_tco2e</t>
        </is>
      </c>
    </row>
    <row r="18">
      <c r="A18" s="2" t="inlineStr">
        <is>
          <t>SUS-003</t>
        </is>
      </c>
      <c r="B18" s="3" t="inlineStr">
        <is>
          <t>Energy intensity</t>
        </is>
      </c>
      <c r="C18" s="3" t="inlineStr">
        <is>
          <t>GJ/t</t>
        </is>
      </c>
      <c r="D18" s="3" t="inlineStr">
        <is>
          <t>Month</t>
        </is>
      </c>
      <c r="E18" s="3" t="inlineStr">
        <is>
          <t>Energy used ÷ Good output</t>
        </is>
      </c>
      <c r="F18" s="21">
        <f>ROUND(IFERROR('Group Inputs'!AA4/'Group Inputs'!M4,0),2)</f>
        <v/>
      </c>
      <c r="G18" s="21">
        <f>ROUND(IFERROR('Group Inputs'!AA5/'Group Inputs'!M5,0),2)</f>
        <v/>
      </c>
      <c r="H18" s="21">
        <f>ROUND(IFERROR('Group Inputs'!AA6/'Group Inputs'!M6,0),2)</f>
        <v/>
      </c>
      <c r="I18" s="21">
        <f>ROUND(IFERROR('Group Inputs'!AA7/'Group Inputs'!M7,0),2)</f>
        <v/>
      </c>
      <c r="J18" s="21">
        <f>ROUND(IFERROR('Group Inputs'!AA8/'Group Inputs'!M8,0),2)</f>
        <v/>
      </c>
      <c r="K18" s="21">
        <f>ROUND(IFERROR('Group Inputs'!AA9/'Group Inputs'!M9,0),2)</f>
        <v/>
      </c>
      <c r="L18" s="3" t="inlineStr">
        <is>
          <t>5.2 GJ/t</t>
        </is>
      </c>
      <c r="M18" s="3" t="inlineStr">
        <is>
          <t>O-05, E-02, E-07, G-05, G-07</t>
        </is>
      </c>
      <c r="N18" s="3" t="inlineStr">
        <is>
          <t>good_output_t, energy_gj</t>
        </is>
      </c>
    </row>
    <row r="19">
      <c r="A19" s="2" t="inlineStr">
        <is>
          <t>SIG-007</t>
        </is>
      </c>
      <c r="B19" s="3" t="inlineStr">
        <is>
          <t>Production at risk</t>
        </is>
      </c>
      <c r="C19" s="3" t="inlineStr">
        <is>
          <t>t</t>
        </is>
      </c>
      <c r="D19" s="3" t="inlineStr">
        <is>
          <t>Month</t>
        </is>
      </c>
      <c r="E19" s="3" t="inlineStr">
        <is>
          <t>Production at risk</t>
        </is>
      </c>
      <c r="F19" s="21">
        <f>ROUND('Group Inputs'!AB4,2)</f>
        <v/>
      </c>
      <c r="G19" s="21">
        <f>ROUND('Group Inputs'!AB5,2)</f>
        <v/>
      </c>
      <c r="H19" s="21">
        <f>ROUND('Group Inputs'!AB6,2)</f>
        <v/>
      </c>
      <c r="I19" s="21">
        <f>ROUND('Group Inputs'!AB7,2)</f>
        <v/>
      </c>
      <c r="J19" s="21">
        <f>ROUND('Group Inputs'!AB8,2)</f>
        <v/>
      </c>
      <c r="K19" s="21">
        <f>ROUND('Group Inputs'!AB9,2)</f>
        <v/>
      </c>
      <c r="L19" s="3" t="inlineStr">
        <is>
          <t>Not shown</t>
        </is>
      </c>
      <c r="M19" s="3" t="n"/>
      <c r="N19" s="3" t="inlineStr">
        <is>
          <t>production_at_risk_t</t>
        </is>
      </c>
    </row>
    <row r="20">
      <c r="A20" s="2" t="inlineStr">
        <is>
          <t>SIG-008</t>
        </is>
      </c>
      <c r="B20" s="3" t="inlineStr">
        <is>
          <t>Critical plant-state alerts</t>
        </is>
      </c>
      <c r="C20" s="3" t="inlineStr">
        <is>
          <t>count</t>
        </is>
      </c>
      <c r="D20" s="3" t="inlineStr">
        <is>
          <t>Month</t>
        </is>
      </c>
      <c r="E20" s="3" t="inlineStr">
        <is>
          <t>Critical plant alerts</t>
        </is>
      </c>
      <c r="F20" s="21">
        <f>ROUND('Group Inputs'!AC4,2)</f>
        <v/>
      </c>
      <c r="G20" s="21">
        <f>ROUND('Group Inputs'!AC5,2)</f>
        <v/>
      </c>
      <c r="H20" s="21">
        <f>ROUND('Group Inputs'!AC6,2)</f>
        <v/>
      </c>
      <c r="I20" s="21">
        <f>ROUND('Group Inputs'!AC7,2)</f>
        <v/>
      </c>
      <c r="J20" s="21">
        <f>ROUND('Group Inputs'!AC8,2)</f>
        <v/>
      </c>
      <c r="K20" s="21">
        <f>ROUND('Group Inputs'!AC9,2)</f>
        <v/>
      </c>
      <c r="L20" s="3" t="inlineStr">
        <is>
          <t>Not shown</t>
        </is>
      </c>
      <c r="M20" s="3" t="n"/>
      <c r="N20" s="3" t="inlineStr">
        <is>
          <t>critical_plant_alerts</t>
        </is>
      </c>
    </row>
    <row r="21">
      <c r="A21" s="2" t="inlineStr">
        <is>
          <t>SIG-009</t>
        </is>
      </c>
      <c r="B21" s="3" t="inlineStr">
        <is>
          <t>Critical-material shortage risk</t>
        </is>
      </c>
      <c r="C21" s="3" t="inlineStr">
        <is>
          <t>count</t>
        </is>
      </c>
      <c r="D21" s="3" t="inlineStr">
        <is>
          <t>Month</t>
        </is>
      </c>
      <c r="E21" s="3" t="inlineStr">
        <is>
          <t>Critical materials at risk</t>
        </is>
      </c>
      <c r="F21" s="21">
        <f>ROUND('Group Inputs'!AO4,2)</f>
        <v/>
      </c>
      <c r="G21" s="21">
        <f>ROUND('Group Inputs'!AO5,2)</f>
        <v/>
      </c>
      <c r="H21" s="21">
        <f>ROUND('Group Inputs'!AO6,2)</f>
        <v/>
      </c>
      <c r="I21" s="21">
        <f>ROUND('Group Inputs'!AO7,2)</f>
        <v/>
      </c>
      <c r="J21" s="21">
        <f>ROUND('Group Inputs'!AO8,2)</f>
        <v/>
      </c>
      <c r="K21" s="21">
        <f>ROUND('Group Inputs'!AO9,2)</f>
        <v/>
      </c>
      <c r="L21" s="3" t="inlineStr">
        <is>
          <t>3.5 days of cover</t>
        </is>
      </c>
      <c r="M21" s="3" t="inlineStr">
        <is>
          <t>E-01, E-04, S-10, S-12</t>
        </is>
      </c>
      <c r="N21" s="3" t="inlineStr">
        <is>
          <t>critical_material_risks</t>
        </is>
      </c>
    </row>
    <row r="22">
      <c r="A22" s="2" t="inlineStr">
        <is>
          <t>SIG-012</t>
        </is>
      </c>
      <c r="B22" s="3" t="inlineStr">
        <is>
          <t>Dispatch delays</t>
        </is>
      </c>
      <c r="C22" s="3" t="inlineStr">
        <is>
          <t>%</t>
        </is>
      </c>
      <c r="D22" s="3" t="inlineStr">
        <is>
          <t>Month</t>
        </is>
      </c>
      <c r="E22" s="3" t="inlineStr">
        <is>
          <t>Delayed dispatches ÷ Dispatches × 100</t>
        </is>
      </c>
      <c r="F22" s="21">
        <f>ROUND(IFERROR(100*'Group Inputs'!AQ4/'Group Inputs'!AP4,0),2)</f>
        <v/>
      </c>
      <c r="G22" s="21">
        <f>ROUND(IFERROR(100*'Group Inputs'!AQ5/'Group Inputs'!AP5,0),2)</f>
        <v/>
      </c>
      <c r="H22" s="21">
        <f>ROUND(IFERROR(100*'Group Inputs'!AQ6/'Group Inputs'!AP6,0),2)</f>
        <v/>
      </c>
      <c r="I22" s="21">
        <f>ROUND(IFERROR(100*'Group Inputs'!AQ7/'Group Inputs'!AP7,0),2)</f>
        <v/>
      </c>
      <c r="J22" s="21">
        <f>ROUND(IFERROR(100*'Group Inputs'!AQ8/'Group Inputs'!AP8,0),2)</f>
        <v/>
      </c>
      <c r="K22" s="21">
        <f>ROUND(IFERROR(100*'Group Inputs'!AQ9/'Group Inputs'!AP9,0),2)</f>
        <v/>
      </c>
      <c r="L22" s="3" t="inlineStr">
        <is>
          <t>2–4 days</t>
        </is>
      </c>
      <c r="M22" s="3" t="inlineStr">
        <is>
          <t>E-05,S-11,S-12</t>
        </is>
      </c>
      <c r="N22" s="3" t="inlineStr">
        <is>
          <t>dispatches_total, dispatches_delayed</t>
        </is>
      </c>
    </row>
    <row r="23">
      <c r="A23" s="2" t="inlineStr">
        <is>
          <t>SIG-021</t>
        </is>
      </c>
      <c r="B23" s="3" t="inlineStr">
        <is>
          <t>Environmental violations</t>
        </is>
      </c>
      <c r="C23" s="3" t="inlineStr">
        <is>
          <t>count</t>
        </is>
      </c>
      <c r="D23" s="3" t="inlineStr">
        <is>
          <t>Month</t>
        </is>
      </c>
      <c r="E23" s="3" t="inlineStr">
        <is>
          <t>Environmental violations</t>
        </is>
      </c>
      <c r="F23" s="21">
        <f>ROUND('Group Inputs'!AJ4,2)</f>
        <v/>
      </c>
      <c r="G23" s="21">
        <f>ROUND('Group Inputs'!AJ5,2)</f>
        <v/>
      </c>
      <c r="H23" s="21">
        <f>ROUND('Group Inputs'!AJ6,2)</f>
        <v/>
      </c>
      <c r="I23" s="21">
        <f>ROUND('Group Inputs'!AJ7,2)</f>
        <v/>
      </c>
      <c r="J23" s="21">
        <f>ROUND('Group Inputs'!AJ8,2)</f>
        <v/>
      </c>
      <c r="K23" s="21">
        <f>ROUND('Group Inputs'!AJ9,2)</f>
        <v/>
      </c>
      <c r="L23" s="3" t="inlineStr">
        <is>
          <t>Not shown</t>
        </is>
      </c>
      <c r="M23" s="3" t="n"/>
      <c r="N23" s="3" t="inlineStr">
        <is>
          <t>env_violations</t>
        </is>
      </c>
    </row>
    <row r="24">
      <c r="A24" s="2" t="inlineStr">
        <is>
          <t>EHS-001</t>
        </is>
      </c>
      <c r="B24" s="3" t="inlineStr">
        <is>
          <t>TRIR</t>
        </is>
      </c>
      <c r="C24" s="3" t="inlineStr">
        <is>
          <t>per 200,000 h</t>
        </is>
      </c>
      <c r="D24" s="3" t="inlineStr">
        <is>
          <t>Month</t>
        </is>
      </c>
      <c r="E24" s="3" t="inlineStr">
        <is>
          <t>Recordable injuries × 200,000 ÷ Hours worked</t>
        </is>
      </c>
      <c r="F24" s="21">
        <f>ROUND(IFERROR(200000*'Group Inputs'!AE4/'Group Inputs'!AD4,0),2)</f>
        <v/>
      </c>
      <c r="G24" s="21">
        <f>ROUND(IFERROR(200000*'Group Inputs'!AE5/'Group Inputs'!AD5,0),2)</f>
        <v/>
      </c>
      <c r="H24" s="21">
        <f>ROUND(IFERROR(200000*'Group Inputs'!AE6/'Group Inputs'!AD6,0),2)</f>
        <v/>
      </c>
      <c r="I24" s="21">
        <f>ROUND(IFERROR(200000*'Group Inputs'!AE7/'Group Inputs'!AD7,0),2)</f>
        <v/>
      </c>
      <c r="J24" s="21">
        <f>ROUND(IFERROR(200000*'Group Inputs'!AE8/'Group Inputs'!AD8,0),2)</f>
        <v/>
      </c>
      <c r="K24" s="21">
        <f>ROUND(IFERROR(200000*'Group Inputs'!AE9/'Group Inputs'!AD9,0),2)</f>
        <v/>
      </c>
      <c r="L24" s="3" t="inlineStr">
        <is>
          <t>0.42</t>
        </is>
      </c>
      <c r="M24" s="3" t="inlineStr">
        <is>
          <t>E-07,G-07,O-05</t>
        </is>
      </c>
      <c r="N24" s="3" t="inlineStr">
        <is>
          <t>hours_worked, recordable_injuries</t>
        </is>
      </c>
    </row>
    <row r="25">
      <c r="A25" s="2" t="inlineStr">
        <is>
          <t>EHS-002</t>
        </is>
      </c>
      <c r="B25" s="3" t="inlineStr">
        <is>
          <t>Severity incidents</t>
        </is>
      </c>
      <c r="C25" s="3" t="inlineStr">
        <is>
          <t>count</t>
        </is>
      </c>
      <c r="D25" s="3" t="inlineStr">
        <is>
          <t>Month</t>
        </is>
      </c>
      <c r="E25" s="3" t="inlineStr">
        <is>
          <t>Severity incidents</t>
        </is>
      </c>
      <c r="F25" s="21">
        <f>ROUND('Group Inputs'!AF4,2)</f>
        <v/>
      </c>
      <c r="G25" s="21">
        <f>ROUND('Group Inputs'!AF5,2)</f>
        <v/>
      </c>
      <c r="H25" s="21">
        <f>ROUND('Group Inputs'!AF6,2)</f>
        <v/>
      </c>
      <c r="I25" s="21">
        <f>ROUND('Group Inputs'!AF7,2)</f>
        <v/>
      </c>
      <c r="J25" s="21">
        <f>ROUND('Group Inputs'!AF8,2)</f>
        <v/>
      </c>
      <c r="K25" s="21">
        <f>ROUND('Group Inputs'!AF9,2)</f>
        <v/>
      </c>
      <c r="L25" s="3" t="inlineStr">
        <is>
          <t>0</t>
        </is>
      </c>
      <c r="M25" s="3" t="inlineStr">
        <is>
          <t>E-07,G-01,G-07,O-05</t>
        </is>
      </c>
      <c r="N25" s="3" t="inlineStr">
        <is>
          <t>severity_incidents</t>
        </is>
      </c>
    </row>
    <row r="26">
      <c r="A26" s="2" t="inlineStr">
        <is>
          <t>EHS-003</t>
        </is>
      </c>
      <c r="B26" s="3" t="inlineStr">
        <is>
          <t>Near misses</t>
        </is>
      </c>
      <c r="C26" s="3" t="inlineStr">
        <is>
          <t>count</t>
        </is>
      </c>
      <c r="D26" s="3" t="inlineStr">
        <is>
          <t>Month</t>
        </is>
      </c>
      <c r="E26" s="3" t="inlineStr">
        <is>
          <t>Near misses</t>
        </is>
      </c>
      <c r="F26" s="21">
        <f>ROUND('Group Inputs'!AG4,2)</f>
        <v/>
      </c>
      <c r="G26" s="21">
        <f>ROUND('Group Inputs'!AG5,2)</f>
        <v/>
      </c>
      <c r="H26" s="21">
        <f>ROUND('Group Inputs'!AG6,2)</f>
        <v/>
      </c>
      <c r="I26" s="21">
        <f>ROUND('Group Inputs'!AG7,2)</f>
        <v/>
      </c>
      <c r="J26" s="21">
        <f>ROUND('Group Inputs'!AG8,2)</f>
        <v/>
      </c>
      <c r="K26" s="21">
        <f>ROUND('Group Inputs'!AG9,2)</f>
        <v/>
      </c>
      <c r="L26" s="3" t="inlineStr">
        <is>
          <t>14</t>
        </is>
      </c>
      <c r="M26" s="3" t="inlineStr">
        <is>
          <t>E-07,G-07,O-05</t>
        </is>
      </c>
      <c r="N26" s="3" t="inlineStr">
        <is>
          <t>near_misses</t>
        </is>
      </c>
    </row>
    <row r="27">
      <c r="A27" s="2" t="inlineStr">
        <is>
          <t>EHS-004</t>
        </is>
      </c>
      <c r="B27" s="3" t="inlineStr">
        <is>
          <t>Critical safety incidents</t>
        </is>
      </c>
      <c r="C27" s="3" t="inlineStr">
        <is>
          <t>count</t>
        </is>
      </c>
      <c r="D27" s="3" t="inlineStr">
        <is>
          <t>Month</t>
        </is>
      </c>
      <c r="E27" s="3" t="inlineStr">
        <is>
          <t>Critical safety incidents</t>
        </is>
      </c>
      <c r="F27" s="21">
        <f>ROUND('Group Inputs'!AH4,2)</f>
        <v/>
      </c>
      <c r="G27" s="21">
        <f>ROUND('Group Inputs'!AH5,2)</f>
        <v/>
      </c>
      <c r="H27" s="21">
        <f>ROUND('Group Inputs'!AH6,2)</f>
        <v/>
      </c>
      <c r="I27" s="21">
        <f>ROUND('Group Inputs'!AH7,2)</f>
        <v/>
      </c>
      <c r="J27" s="21">
        <f>ROUND('Group Inputs'!AH8,2)</f>
        <v/>
      </c>
      <c r="K27" s="21">
        <f>ROUND('Group Inputs'!AH9,2)</f>
        <v/>
      </c>
      <c r="L27" s="3" t="inlineStr">
        <is>
          <t>0</t>
        </is>
      </c>
      <c r="M27" s="3" t="inlineStr">
        <is>
          <t>E-07,G-07,O-05</t>
        </is>
      </c>
      <c r="N27" s="3" t="inlineStr">
        <is>
          <t>critical_safety_incidents</t>
        </is>
      </c>
    </row>
    <row r="28">
      <c r="A28" s="2" t="inlineStr">
        <is>
          <t>EHS-005</t>
        </is>
      </c>
      <c r="B28" s="3" t="inlineStr">
        <is>
          <t>Environmental excursions</t>
        </is>
      </c>
      <c r="C28" s="3" t="inlineStr">
        <is>
          <t>count</t>
        </is>
      </c>
      <c r="D28" s="3" t="inlineStr">
        <is>
          <t>Month</t>
        </is>
      </c>
      <c r="E28" s="3" t="inlineStr">
        <is>
          <t>Environmental excursions</t>
        </is>
      </c>
      <c r="F28" s="21">
        <f>ROUND('Group Inputs'!AI4,2)</f>
        <v/>
      </c>
      <c r="G28" s="21">
        <f>ROUND('Group Inputs'!AI5,2)</f>
        <v/>
      </c>
      <c r="H28" s="21">
        <f>ROUND('Group Inputs'!AI6,2)</f>
        <v/>
      </c>
      <c r="I28" s="21">
        <f>ROUND('Group Inputs'!AI7,2)</f>
        <v/>
      </c>
      <c r="J28" s="21">
        <f>ROUND('Group Inputs'!AI8,2)</f>
        <v/>
      </c>
      <c r="K28" s="21">
        <f>ROUND('Group Inputs'!AI9,2)</f>
        <v/>
      </c>
      <c r="L28" s="3" t="inlineStr">
        <is>
          <t>1 (minor, closed)</t>
        </is>
      </c>
      <c r="M28" s="3" t="inlineStr">
        <is>
          <t>E-07,G-07,O-05</t>
        </is>
      </c>
      <c r="N28" s="3" t="inlineStr">
        <is>
          <t>env_excursions</t>
        </is>
      </c>
    </row>
    <row r="29">
      <c r="A29" s="2" t="inlineStr">
        <is>
          <t>EHS-006</t>
        </is>
      </c>
      <c r="B29" s="3" t="inlineStr">
        <is>
          <t>Open EHS corrective actions</t>
        </is>
      </c>
      <c r="C29" s="3" t="inlineStr">
        <is>
          <t>count</t>
        </is>
      </c>
      <c r="D29" s="3" t="inlineStr">
        <is>
          <t>Month</t>
        </is>
      </c>
      <c r="E29" s="3" t="inlineStr">
        <is>
          <t>Open EHS corrective actions</t>
        </is>
      </c>
      <c r="F29" s="21">
        <f>ROUND('Group Inputs'!AK4,2)</f>
        <v/>
      </c>
      <c r="G29" s="21">
        <f>ROUND('Group Inputs'!AK5,2)</f>
        <v/>
      </c>
      <c r="H29" s="21">
        <f>ROUND('Group Inputs'!AK6,2)</f>
        <v/>
      </c>
      <c r="I29" s="21">
        <f>ROUND('Group Inputs'!AK7,2)</f>
        <v/>
      </c>
      <c r="J29" s="21">
        <f>ROUND('Group Inputs'!AK8,2)</f>
        <v/>
      </c>
      <c r="K29" s="21">
        <f>ROUND('Group Inputs'!AK9,2)</f>
        <v/>
      </c>
      <c r="L29" s="3" t="inlineStr">
        <is>
          <t>9</t>
        </is>
      </c>
      <c r="M29" s="3" t="inlineStr">
        <is>
          <t>E-07,G-07</t>
        </is>
      </c>
      <c r="N29" s="3" t="inlineStr">
        <is>
          <t>ehs_ca_open</t>
        </is>
      </c>
    </row>
    <row r="30">
      <c r="A30" s="2" t="inlineStr">
        <is>
          <t>EHS-007</t>
        </is>
      </c>
      <c r="B30" s="3" t="inlineStr">
        <is>
          <t>Overdue EHS actions</t>
        </is>
      </c>
      <c r="C30" s="3" t="inlineStr">
        <is>
          <t>count</t>
        </is>
      </c>
      <c r="D30" s="3" t="inlineStr">
        <is>
          <t>Month</t>
        </is>
      </c>
      <c r="E30" s="3" t="inlineStr">
        <is>
          <t>Overdue EHS corrective actions</t>
        </is>
      </c>
      <c r="F30" s="21">
        <f>ROUND('Group Inputs'!AL4,2)</f>
        <v/>
      </c>
      <c r="G30" s="21">
        <f>ROUND('Group Inputs'!AL5,2)</f>
        <v/>
      </c>
      <c r="H30" s="21">
        <f>ROUND('Group Inputs'!AL6,2)</f>
        <v/>
      </c>
      <c r="I30" s="21">
        <f>ROUND('Group Inputs'!AL7,2)</f>
        <v/>
      </c>
      <c r="J30" s="21">
        <f>ROUND('Group Inputs'!AL8,2)</f>
        <v/>
      </c>
      <c r="K30" s="21">
        <f>ROUND('Group Inputs'!AL9,2)</f>
        <v/>
      </c>
      <c r="L30" s="3" t="inlineStr">
        <is>
          <t>0</t>
        </is>
      </c>
      <c r="M30" s="3" t="inlineStr">
        <is>
          <t>E-07,G-07,O-05</t>
        </is>
      </c>
      <c r="N30" s="3" t="inlineStr">
        <is>
          <t>ehs_ca_overdue</t>
        </is>
      </c>
    </row>
    <row r="31">
      <c r="A31" s="2" t="inlineStr">
        <is>
          <t>EHS-009</t>
        </is>
      </c>
      <c r="B31" s="3" t="inlineStr">
        <is>
          <t>EHS investigation completion</t>
        </is>
      </c>
      <c r="C31" s="3" t="inlineStr">
        <is>
          <t>%</t>
        </is>
      </c>
      <c r="D31" s="3" t="inlineStr">
        <is>
          <t>Month</t>
        </is>
      </c>
      <c r="E31" s="3" t="inlineStr">
        <is>
          <t>EHS investigations completed ÷ EHS investigations due × 100 (100 if none due)</t>
        </is>
      </c>
      <c r="F31" s="21">
        <f>ROUND(IF('Group Inputs'!AM4=0,100,100*'Group Inputs'!AN4/'Group Inputs'!AM4),2)</f>
        <v/>
      </c>
      <c r="G31" s="21">
        <f>ROUND(IF('Group Inputs'!AM5=0,100,100*'Group Inputs'!AN5/'Group Inputs'!AM5),2)</f>
        <v/>
      </c>
      <c r="H31" s="21">
        <f>ROUND(IF('Group Inputs'!AM6=0,100,100*'Group Inputs'!AN6/'Group Inputs'!AM6),2)</f>
        <v/>
      </c>
      <c r="I31" s="21">
        <f>ROUND(IF('Group Inputs'!AM7=0,100,100*'Group Inputs'!AN7/'Group Inputs'!AM7),2)</f>
        <v/>
      </c>
      <c r="J31" s="21">
        <f>ROUND(IF('Group Inputs'!AM8=0,100,100*'Group Inputs'!AN8/'Group Inputs'!AM8),2)</f>
        <v/>
      </c>
      <c r="K31" s="21">
        <f>ROUND(IF('Group Inputs'!AM9=0,100,100*'Group Inputs'!AN9/'Group Inputs'!AM9),2)</f>
        <v/>
      </c>
      <c r="L31" s="3" t="inlineStr">
        <is>
          <t>100%</t>
        </is>
      </c>
      <c r="M31" s="3" t="inlineStr">
        <is>
          <t>E-07,G-07</t>
        </is>
      </c>
      <c r="N31" s="3" t="inlineStr">
        <is>
          <t>investigations_due, investigations_completed</t>
        </is>
      </c>
    </row>
    <row r="32">
      <c r="A32" s="2" t="inlineStr">
        <is>
          <t>REG-006</t>
        </is>
      </c>
      <c r="B32" s="3" t="inlineStr">
        <is>
          <t>Licence or permit expiry clock</t>
        </is>
      </c>
      <c r="C32" s="3" t="inlineStr">
        <is>
          <t>days</t>
        </is>
      </c>
      <c r="D32" s="3" t="inlineStr">
        <is>
          <t>Month</t>
        </is>
      </c>
      <c r="E32" s="3" t="inlineStr">
        <is>
          <t>Days to permit expiry (lowest plant)</t>
        </is>
      </c>
      <c r="F32" s="21">
        <f>ROUND('Group Inputs'!AR4,2)</f>
        <v/>
      </c>
      <c r="G32" s="21">
        <f>ROUND('Group Inputs'!AR5,2)</f>
        <v/>
      </c>
      <c r="H32" s="21">
        <f>ROUND('Group Inputs'!AR6,2)</f>
        <v/>
      </c>
      <c r="I32" s="21">
        <f>ROUND('Group Inputs'!AR7,2)</f>
        <v/>
      </c>
      <c r="J32" s="21">
        <f>ROUND('Group Inputs'!AR8,2)</f>
        <v/>
      </c>
      <c r="K32" s="21">
        <f>ROUND('Group Inputs'!AR9,2)</f>
        <v/>
      </c>
      <c r="L32" s="3" t="inlineStr">
        <is>
          <t>74 days · Entity C1</t>
        </is>
      </c>
      <c r="M32" s="3" t="inlineStr">
        <is>
          <t>E-07,O-05</t>
        </is>
      </c>
      <c r="N32" s="3" t="inlineStr">
        <is>
          <t>permit_days_to_expiry</t>
        </is>
      </c>
    </row>
    <row r="33">
      <c r="A33" s="2" t="inlineStr">
        <is>
          <t>OPS-005</t>
        </is>
      </c>
      <c r="B33" s="3" t="inlineStr">
        <is>
          <t>Capacity utilisation (same measure as OPS-003)</t>
        </is>
      </c>
      <c r="C33" s="3" t="inlineStr">
        <is>
          <t>%</t>
        </is>
      </c>
      <c r="D33" s="3" t="inlineStr">
        <is>
          <t>Month</t>
        </is>
      </c>
      <c r="E33" s="3" t="inlineStr">
        <is>
          <t>Good output ÷ Installed capacity × 100</t>
        </is>
      </c>
      <c r="F33" s="21">
        <f>ROUND(IFERROR(100*'Group Inputs'!M4/'Group Inputs'!J4,0),2)</f>
        <v/>
      </c>
      <c r="G33" s="21">
        <f>ROUND(IFERROR(100*'Group Inputs'!M5/'Group Inputs'!J5,0),2)</f>
        <v/>
      </c>
      <c r="H33" s="21">
        <f>ROUND(IFERROR(100*'Group Inputs'!M6/'Group Inputs'!J6,0),2)</f>
        <v/>
      </c>
      <c r="I33" s="21">
        <f>ROUND(IFERROR(100*'Group Inputs'!M7/'Group Inputs'!J7,0),2)</f>
        <v/>
      </c>
      <c r="J33" s="21">
        <f>ROUND(IFERROR(100*'Group Inputs'!M8/'Group Inputs'!J8,0),2)</f>
        <v/>
      </c>
      <c r="K33" s="21">
        <f>ROUND(IFERROR(100*'Group Inputs'!M9/'Group Inputs'!J9,0),2)</f>
        <v/>
      </c>
      <c r="L33" s="3" t="inlineStr">
        <is>
          <t>86%</t>
        </is>
      </c>
      <c r="M33" s="3" t="inlineStr">
        <is>
          <t>O-01, E-01, G-01</t>
        </is>
      </c>
      <c r="N33" s="3" t="inlineStr">
        <is>
          <t>installed_capacity_t, good_output_t</t>
        </is>
      </c>
    </row>
    <row r="34">
      <c r="A34" s="2" t="inlineStr">
        <is>
          <t>OPS-006</t>
        </is>
      </c>
      <c r="B34" s="3" t="inlineStr">
        <is>
          <t>OEE · Group weighted (same measure as PLT-002)</t>
        </is>
      </c>
      <c r="C34" s="3" t="inlineStr">
        <is>
          <t>%</t>
        </is>
      </c>
      <c r="D34" s="3" t="inlineStr">
        <is>
          <t>Month</t>
        </is>
      </c>
      <c r="E34" s="3" t="inlineStr">
        <is>
          <t>Good output ÷ Ideal output × 100 (weighted by output, not an average of plants)</t>
        </is>
      </c>
      <c r="F34" s="21">
        <f>ROUND(IFERROR(100*'Group Inputs'!M4/'Group Inputs'!I4,0),2)</f>
        <v/>
      </c>
      <c r="G34" s="21">
        <f>ROUND(IFERROR(100*'Group Inputs'!M5/'Group Inputs'!I5,0),2)</f>
        <v/>
      </c>
      <c r="H34" s="21">
        <f>ROUND(IFERROR(100*'Group Inputs'!M6/'Group Inputs'!I6,0),2)</f>
        <v/>
      </c>
      <c r="I34" s="21">
        <f>ROUND(IFERROR(100*'Group Inputs'!M7/'Group Inputs'!I7,0),2)</f>
        <v/>
      </c>
      <c r="J34" s="21">
        <f>ROUND(IFERROR(100*'Group Inputs'!M8/'Group Inputs'!I8,0),2)</f>
        <v/>
      </c>
      <c r="K34" s="21">
        <f>ROUND(IFERROR(100*'Group Inputs'!M9/'Group Inputs'!I9,0),2)</f>
        <v/>
      </c>
      <c r="L34" s="3" t="inlineStr">
        <is>
          <t>78.4 %</t>
        </is>
      </c>
      <c r="M34" s="3" t="inlineStr">
        <is>
          <t>—</t>
        </is>
      </c>
      <c r="N34" s="3" t="inlineStr">
        <is>
          <t>ideal_output_t, good_output_t</t>
        </is>
      </c>
    </row>
    <row r="35">
      <c r="A35" s="2" t="inlineStr">
        <is>
          <t>OPS-002</t>
        </is>
      </c>
      <c r="B35" s="3" t="inlineStr">
        <is>
          <t>Sales vs plan</t>
        </is>
      </c>
      <c r="C35" s="3" t="inlineStr">
        <is>
          <t>%</t>
        </is>
      </c>
      <c r="D35" s="3" t="inlineStr">
        <is>
          <t>Month</t>
        </is>
      </c>
      <c r="E35" s="3" t="inlineStr">
        <is>
          <t>Sales volume ÷ Planned sales volume × 100</t>
        </is>
      </c>
      <c r="F35" s="21">
        <f>ROUND(IF('Group Inputs'!AT4=0,0,100*'Group Inputs'!AS4/'Group Inputs'!AT4),2)</f>
        <v/>
      </c>
      <c r="G35" s="21">
        <f>ROUND(IF('Group Inputs'!AT5=0,0,100*'Group Inputs'!AS5/'Group Inputs'!AT5),2)</f>
        <v/>
      </c>
      <c r="H35" s="21">
        <f>ROUND(IF('Group Inputs'!AT6=0,0,100*'Group Inputs'!AS6/'Group Inputs'!AT6),2)</f>
        <v/>
      </c>
      <c r="I35" s="21">
        <f>ROUND(IF('Group Inputs'!AT7=0,0,100*'Group Inputs'!AS7/'Group Inputs'!AT7),2)</f>
        <v/>
      </c>
      <c r="J35" s="21">
        <f>ROUND(IF('Group Inputs'!AT8=0,0,100*'Group Inputs'!AS8/'Group Inputs'!AT8),2)</f>
        <v/>
      </c>
      <c r="K35" s="21">
        <f>ROUND(IF('Group Inputs'!AT9=0,0,100*'Group Inputs'!AS9/'Group Inputs'!AT9),2)</f>
        <v/>
      </c>
      <c r="L35" s="3" t="inlineStr">
        <is>
          <t>97.6%</t>
        </is>
      </c>
      <c r="M35" s="3" t="inlineStr">
        <is>
          <t>E-01,G-01,G-03,O-01,STATE GALLERY</t>
        </is>
      </c>
      <c r="N35" s="3" t="inlineStr">
        <is>
          <t>sales_t, planned_sales_t</t>
        </is>
      </c>
    </row>
    <row r="36">
      <c r="A36" s="2" t="inlineStr">
        <is>
          <t>OPS-004</t>
        </is>
      </c>
      <c r="B36" s="3" t="inlineStr">
        <is>
          <t>Sales vs plan · Group (same measure as OPS-002)</t>
        </is>
      </c>
      <c r="C36" s="3" t="inlineStr">
        <is>
          <t>%</t>
        </is>
      </c>
      <c r="D36" s="3" t="inlineStr">
        <is>
          <t>Month</t>
        </is>
      </c>
      <c r="E36" s="3" t="inlineStr">
        <is>
          <t>Sales volume ÷ Planned sales volume × 100</t>
        </is>
      </c>
      <c r="F36" s="21">
        <f>ROUND(IF('Group Inputs'!AT4=0,0,100*'Group Inputs'!AS4/'Group Inputs'!AT4),2)</f>
        <v/>
      </c>
      <c r="G36" s="21">
        <f>ROUND(IF('Group Inputs'!AT5=0,0,100*'Group Inputs'!AS5/'Group Inputs'!AT5),2)</f>
        <v/>
      </c>
      <c r="H36" s="21">
        <f>ROUND(IF('Group Inputs'!AT6=0,0,100*'Group Inputs'!AS6/'Group Inputs'!AT6),2)</f>
        <v/>
      </c>
      <c r="I36" s="21">
        <f>ROUND(IF('Group Inputs'!AT7=0,0,100*'Group Inputs'!AS7/'Group Inputs'!AT7),2)</f>
        <v/>
      </c>
      <c r="J36" s="21">
        <f>ROUND(IF('Group Inputs'!AT8=0,0,100*'Group Inputs'!AS8/'Group Inputs'!AT8),2)</f>
        <v/>
      </c>
      <c r="K36" s="21">
        <f>ROUND(IF('Group Inputs'!AT9=0,0,100*'Group Inputs'!AS9/'Group Inputs'!AT9),2)</f>
        <v/>
      </c>
      <c r="L36" s="3" t="inlineStr">
        <is>
          <t>97.6%</t>
        </is>
      </c>
      <c r="M36" s="3" t="inlineStr">
        <is>
          <t>O-01</t>
        </is>
      </c>
      <c r="N36" s="3" t="inlineStr">
        <is>
          <t>sales_t, planned_sales_t</t>
        </is>
      </c>
    </row>
    <row r="37">
      <c r="A37" s="2" t="inlineStr">
        <is>
          <t>CST-004</t>
        </is>
      </c>
      <c r="B37" s="3" t="inlineStr">
        <is>
          <t>Power cost per tonne</t>
        </is>
      </c>
      <c r="C37" s="3" t="inlineStr">
        <is>
          <t>₹/t</t>
        </is>
      </c>
      <c r="D37" s="3" t="inlineStr">
        <is>
          <t>Month</t>
        </is>
      </c>
      <c r="E37" s="3" t="inlineStr">
        <is>
          <t>Power cost × 1000 ÷ Good output</t>
        </is>
      </c>
      <c r="F37" s="21">
        <f>ROUND(IF('Group Inputs'!M4=0,0,1000*'Group Inputs'!AW4/'Group Inputs'!M4),2)</f>
        <v/>
      </c>
      <c r="G37" s="21">
        <f>ROUND(IF('Group Inputs'!M5=0,0,1000*'Group Inputs'!AW5/'Group Inputs'!M5),2)</f>
        <v/>
      </c>
      <c r="H37" s="21">
        <f>ROUND(IF('Group Inputs'!M6=0,0,1000*'Group Inputs'!AW6/'Group Inputs'!M6),2)</f>
        <v/>
      </c>
      <c r="I37" s="21">
        <f>ROUND(IF('Group Inputs'!M7=0,0,1000*'Group Inputs'!AW7/'Group Inputs'!M7),2)</f>
        <v/>
      </c>
      <c r="J37" s="21">
        <f>ROUND(IF('Group Inputs'!M8=0,0,1000*'Group Inputs'!AW8/'Group Inputs'!M8),2)</f>
        <v/>
      </c>
      <c r="K37" s="21">
        <f>ROUND(IF('Group Inputs'!M9=0,0,1000*'Group Inputs'!AW9/'Group Inputs'!M9),2)</f>
        <v/>
      </c>
      <c r="L37" s="3" t="inlineStr">
        <is>
          <t>6.1 ₹/t; 174 ₹/t (O-09)</t>
        </is>
      </c>
      <c r="M37" s="3" t="inlineStr">
        <is>
          <t>O-09</t>
        </is>
      </c>
      <c r="N37" s="3" t="inlineStr">
        <is>
          <t>good_output_t, power_cost_k</t>
        </is>
      </c>
    </row>
    <row r="38">
      <c r="A38" s="2" t="inlineStr">
        <is>
          <t>FIN-001</t>
        </is>
      </c>
      <c r="B38" s="3" t="inlineStr">
        <is>
          <t>EBITDA YTD</t>
        </is>
      </c>
      <c r="C38" s="3" t="inlineStr">
        <is>
          <t>₹ m</t>
        </is>
      </c>
      <c r="D38" s="3" t="inlineStr">
        <is>
          <t>Year to date</t>
        </is>
      </c>
      <c r="E38" s="3" t="inlineStr">
        <is>
          <t>Sum of monthly EBITDA since April ÷ 1000</t>
        </is>
      </c>
      <c r="F38" s="21">
        <f>ROUND(SUM('Group Inputs'!FV$4:FV4)/1000,2)</f>
        <v/>
      </c>
      <c r="G38" s="21">
        <f>ROUND(SUM('Group Inputs'!FV$4:FV5)/1000,2)</f>
        <v/>
      </c>
      <c r="H38" s="21">
        <f>ROUND(SUM('Group Inputs'!FV$4:FV6)/1000,2)</f>
        <v/>
      </c>
      <c r="I38" s="21">
        <f>ROUND(SUM('Group Inputs'!FV$4:FV7)/1000,2)</f>
        <v/>
      </c>
      <c r="J38" s="21">
        <f>ROUND(SUM('Group Inputs'!FV$4:FV8)/1000,2)</f>
        <v/>
      </c>
      <c r="K38" s="21">
        <f>ROUND(SUM('Group Inputs'!FV$4:FV9)/1000,2)</f>
        <v/>
      </c>
      <c r="L38" s="3" t="inlineStr">
        <is>
          <t>361.3 ₹ m</t>
        </is>
      </c>
      <c r="M38" s="3" t="inlineStr">
        <is>
          <t>E-01,E-11,G-01,G-02,G-03,O-01,STATE GALLERY</t>
        </is>
      </c>
      <c r="N38" s="3" t="inlineStr">
        <is>
          <t>ebitda_k</t>
        </is>
      </c>
    </row>
    <row r="39">
      <c r="A39" s="2" t="inlineStr">
        <is>
          <t>FIN-002</t>
        </is>
      </c>
      <c r="B39" s="3" t="inlineStr">
        <is>
          <t>EBIT YTD</t>
        </is>
      </c>
      <c r="C39" s="3" t="inlineStr">
        <is>
          <t>₹ m</t>
        </is>
      </c>
      <c r="D39" s="3" t="inlineStr">
        <is>
          <t>Year to date</t>
        </is>
      </c>
      <c r="E39" s="3" t="inlineStr">
        <is>
          <t>Sum of monthly EBIT since April ÷ 1000</t>
        </is>
      </c>
      <c r="F39" s="21">
        <f>ROUND(SUM('Group Inputs'!FW$4:FW4)/1000,2)</f>
        <v/>
      </c>
      <c r="G39" s="21">
        <f>ROUND(SUM('Group Inputs'!FW$4:FW5)/1000,2)</f>
        <v/>
      </c>
      <c r="H39" s="21">
        <f>ROUND(SUM('Group Inputs'!FW$4:FW6)/1000,2)</f>
        <v/>
      </c>
      <c r="I39" s="21">
        <f>ROUND(SUM('Group Inputs'!FW$4:FW7)/1000,2)</f>
        <v/>
      </c>
      <c r="J39" s="21">
        <f>ROUND(SUM('Group Inputs'!FW$4:FW8)/1000,2)</f>
        <v/>
      </c>
      <c r="K39" s="21">
        <f>ROUND(SUM('Group Inputs'!FW$4:FW9)/1000,2)</f>
        <v/>
      </c>
      <c r="L39" s="3" t="inlineStr">
        <is>
          <t>238.4 ₹ m</t>
        </is>
      </c>
      <c r="M39" s="3" t="inlineStr">
        <is>
          <t>E-01,E-11,G-01,G-03,O-01,STATE GALLERY</t>
        </is>
      </c>
      <c r="N39" s="3" t="inlineStr">
        <is>
          <t>ebit_k</t>
        </is>
      </c>
    </row>
    <row r="40">
      <c r="A40" s="2" t="inlineStr">
        <is>
          <t>FIN-003</t>
        </is>
      </c>
      <c r="B40" s="3" t="inlineStr">
        <is>
          <t>Revenue YTD</t>
        </is>
      </c>
      <c r="C40" s="3" t="inlineStr">
        <is>
          <t>₹ m</t>
        </is>
      </c>
      <c r="D40" s="3" t="inlineStr">
        <is>
          <t>Year to date</t>
        </is>
      </c>
      <c r="E40" s="3" t="inlineStr">
        <is>
          <t>Sum of monthly Revenue since April ÷ 1000</t>
        </is>
      </c>
      <c r="F40" s="21">
        <f>ROUND(SUM('Group Inputs'!AU$4:AU4)/1000,2)</f>
        <v/>
      </c>
      <c r="G40" s="21">
        <f>ROUND(SUM('Group Inputs'!AU$4:AU5)/1000,2)</f>
        <v/>
      </c>
      <c r="H40" s="21">
        <f>ROUND(SUM('Group Inputs'!AU$4:AU6)/1000,2)</f>
        <v/>
      </c>
      <c r="I40" s="21">
        <f>ROUND(SUM('Group Inputs'!AU$4:AU7)/1000,2)</f>
        <v/>
      </c>
      <c r="J40" s="21">
        <f>ROUND(SUM('Group Inputs'!AU$4:AU8)/1000,2)</f>
        <v/>
      </c>
      <c r="K40" s="21">
        <f>ROUND(SUM('Group Inputs'!AU$4:AU9)/1000,2)</f>
        <v/>
      </c>
      <c r="L40" s="3" t="inlineStr">
        <is>
          <t>2,410 ₹ m</t>
        </is>
      </c>
      <c r="M40" s="3" t="inlineStr">
        <is>
          <t>E-01,E-11,G-01,G-02,G-03,O-01,STATE GALLERY</t>
        </is>
      </c>
      <c r="N40" s="3" t="inlineStr">
        <is>
          <t>revenue_k</t>
        </is>
      </c>
    </row>
    <row r="41">
      <c r="A41" s="2" t="inlineStr">
        <is>
          <t>FIN-004</t>
        </is>
      </c>
      <c r="B41" s="3" t="inlineStr">
        <is>
          <t>Free cash flow YTD</t>
        </is>
      </c>
      <c r="C41" s="3" t="inlineStr">
        <is>
          <t>₹ m</t>
        </is>
      </c>
      <c r="D41" s="3" t="inlineStr">
        <is>
          <t>Year to date</t>
        </is>
      </c>
      <c r="E41" s="3" t="inlineStr">
        <is>
          <t>Sum of monthly Free cash flow since April ÷ 1000</t>
        </is>
      </c>
      <c r="F41" s="21">
        <f>ROUND(SUM('Group Inputs'!GA$4:GA4)/1000,2)</f>
        <v/>
      </c>
      <c r="G41" s="21">
        <f>ROUND(SUM('Group Inputs'!GA$4:GA5)/1000,2)</f>
        <v/>
      </c>
      <c r="H41" s="21">
        <f>ROUND(SUM('Group Inputs'!GA$4:GA6)/1000,2)</f>
        <v/>
      </c>
      <c r="I41" s="21">
        <f>ROUND(SUM('Group Inputs'!GA$4:GA7)/1000,2)</f>
        <v/>
      </c>
      <c r="J41" s="21">
        <f>ROUND(SUM('Group Inputs'!GA$4:GA8)/1000,2)</f>
        <v/>
      </c>
      <c r="K41" s="21">
        <f>ROUND(SUM('Group Inputs'!GA$4:GA9)/1000,2)</f>
        <v/>
      </c>
      <c r="L41" s="3" t="inlineStr">
        <is>
          <t>96.4 ₹ m</t>
        </is>
      </c>
      <c r="M41" s="3" t="inlineStr">
        <is>
          <t>O-01, E-01, E-11, G-01, G-03, STATE GALLERY</t>
        </is>
      </c>
      <c r="N41" s="3" t="inlineStr">
        <is>
          <t>fcf_k</t>
        </is>
      </c>
    </row>
    <row r="42">
      <c r="A42" s="2" t="inlineStr">
        <is>
          <t>FIN-005</t>
        </is>
      </c>
      <c r="B42" s="3" t="inlineStr">
        <is>
          <t>ROCE, annualised</t>
        </is>
      </c>
      <c r="C42" s="3" t="inlineStr">
        <is>
          <t>%</t>
        </is>
      </c>
      <c r="D42" s="3" t="inlineStr">
        <is>
          <t>Year to date</t>
        </is>
      </c>
      <c r="E42" s="3" t="inlineStr">
        <is>
          <t>EBIT since April × 12 ÷ months elapsed ÷ Capital employed × 100</t>
        </is>
      </c>
      <c r="F42" s="21">
        <f>ROUND(IF('Group Inputs'!CA4=0,0,100*SUM('Group Inputs'!FW$4:FW4)*12/'Group Inputs'!D4/'Group Inputs'!CA4),2)</f>
        <v/>
      </c>
      <c r="G42" s="21">
        <f>ROUND(IF('Group Inputs'!CA5=0,0,100*SUM('Group Inputs'!FW$4:FW5)*12/'Group Inputs'!D5/'Group Inputs'!CA5),2)</f>
        <v/>
      </c>
      <c r="H42" s="21">
        <f>ROUND(IF('Group Inputs'!CA6=0,0,100*SUM('Group Inputs'!FW$4:FW6)*12/'Group Inputs'!D6/'Group Inputs'!CA6),2)</f>
        <v/>
      </c>
      <c r="I42" s="21">
        <f>ROUND(IF('Group Inputs'!CA7=0,0,100*SUM('Group Inputs'!FW$4:FW7)*12/'Group Inputs'!D7/'Group Inputs'!CA7),2)</f>
        <v/>
      </c>
      <c r="J42" s="21">
        <f>ROUND(IF('Group Inputs'!CA8=0,0,100*SUM('Group Inputs'!FW$4:FW8)*12/'Group Inputs'!D8/'Group Inputs'!CA8),2)</f>
        <v/>
      </c>
      <c r="K42" s="21">
        <f>ROUND(IF('Group Inputs'!CA9=0,0,100*SUM('Group Inputs'!FW$4:FW9)*12/'Group Inputs'!D9/'Group Inputs'!CA9),2)</f>
        <v/>
      </c>
      <c r="L42" s="3" t="inlineStr">
        <is>
          <t>11.8%</t>
        </is>
      </c>
      <c r="M42" s="3" t="inlineStr">
        <is>
          <t>E-01,E-11,G-01,G-03,O-01,STATE GALLERY</t>
        </is>
      </c>
      <c r="N42" s="3" t="inlineStr">
        <is>
          <t>ytd_months, capital_employed_k, ebit_k</t>
        </is>
      </c>
    </row>
    <row r="43">
      <c r="A43" s="2" t="inlineStr">
        <is>
          <t>FIN-006</t>
        </is>
      </c>
      <c r="B43" s="3" t="inlineStr">
        <is>
          <t>Net debt</t>
        </is>
      </c>
      <c r="C43" s="3" t="inlineStr">
        <is>
          <t>₹ m</t>
        </is>
      </c>
      <c r="D43" s="3" t="inlineStr">
        <is>
          <t>Month end</t>
        </is>
      </c>
      <c r="E43" s="3" t="inlineStr">
        <is>
          <t>(Gross debt − Cash) ÷ 1000</t>
        </is>
      </c>
      <c r="F43" s="21">
        <f>ROUND('Group Inputs'!GB4/1000,2)</f>
        <v/>
      </c>
      <c r="G43" s="21">
        <f>ROUND('Group Inputs'!GB5/1000,2)</f>
        <v/>
      </c>
      <c r="H43" s="21">
        <f>ROUND('Group Inputs'!GB6/1000,2)</f>
        <v/>
      </c>
      <c r="I43" s="21">
        <f>ROUND('Group Inputs'!GB7/1000,2)</f>
        <v/>
      </c>
      <c r="J43" s="21">
        <f>ROUND('Group Inputs'!GB8/1000,2)</f>
        <v/>
      </c>
      <c r="K43" s="21">
        <f>ROUND('Group Inputs'!GB9/1000,2)</f>
        <v/>
      </c>
      <c r="L43" s="3" t="inlineStr">
        <is>
          <t>1,140 ₹ m; 6,650.0 ₹ m (O-03)</t>
        </is>
      </c>
      <c r="M43" s="3" t="inlineStr">
        <is>
          <t>O-01, O-03, G-01, G-03, STATE GALLERY</t>
        </is>
      </c>
      <c r="N43" s="3" t="inlineStr">
        <is>
          <t>net_debt_k</t>
        </is>
      </c>
    </row>
    <row r="44">
      <c r="A44" s="2" t="inlineStr">
        <is>
          <t>FIN-007</t>
        </is>
      </c>
      <c r="B44" s="3" t="inlineStr">
        <is>
          <t>Shareholder-value indicator (economic profit YTD)</t>
        </is>
      </c>
      <c r="C44" s="3" t="inlineStr">
        <is>
          <t>₹ m</t>
        </is>
      </c>
      <c r="D44" s="3" t="inlineStr">
        <is>
          <t>Year to date</t>
        </is>
      </c>
      <c r="E44" s="3" t="inlineStr">
        <is>
          <t>(EBIT since April × (1 − Tax rate) − Capital employed × Cost of capital × months elapsed ÷ 12) ÷ 1000</t>
        </is>
      </c>
      <c r="F44" s="21">
        <f>ROUND((SUM('Group Inputs'!FW$4:FW4)*(1-Parameters!$B$2)-'Group Inputs'!CA4*Parameters!$B$3*'Group Inputs'!D4/12)/1000,2)</f>
        <v/>
      </c>
      <c r="G44" s="21">
        <f>ROUND((SUM('Group Inputs'!FW$4:FW5)*(1-Parameters!$B$2)-'Group Inputs'!CA5*Parameters!$B$3*'Group Inputs'!D5/12)/1000,2)</f>
        <v/>
      </c>
      <c r="H44" s="21">
        <f>ROUND((SUM('Group Inputs'!FW$4:FW6)*(1-Parameters!$B$2)-'Group Inputs'!CA6*Parameters!$B$3*'Group Inputs'!D6/12)/1000,2)</f>
        <v/>
      </c>
      <c r="I44" s="21">
        <f>ROUND((SUM('Group Inputs'!FW$4:FW7)*(1-Parameters!$B$2)-'Group Inputs'!CA7*Parameters!$B$3*'Group Inputs'!D7/12)/1000,2)</f>
        <v/>
      </c>
      <c r="J44" s="21">
        <f>ROUND((SUM('Group Inputs'!FW$4:FW8)*(1-Parameters!$B$2)-'Group Inputs'!CA8*Parameters!$B$3*'Group Inputs'!D8/12)/1000,2)</f>
        <v/>
      </c>
      <c r="K44" s="21">
        <f>ROUND((SUM('Group Inputs'!FW$4:FW9)*(1-Parameters!$B$2)-'Group Inputs'!CA9*Parameters!$B$3*'Group Inputs'!D9/12)/1000,2)</f>
        <v/>
      </c>
      <c r="L44" s="3" t="inlineStr">
        <is>
          <t>[PLACEHOLDER]</t>
        </is>
      </c>
      <c r="M44" s="3" t="inlineStr">
        <is>
          <t>G-03,O-01,STATE GALLERY</t>
        </is>
      </c>
      <c r="N44" s="3" t="inlineStr">
        <is>
          <t>ytd_months, capital_employed_k, ebit_k</t>
        </is>
      </c>
    </row>
    <row r="45">
      <c r="A45" s="2" t="inlineStr">
        <is>
          <t>FIN-008</t>
        </is>
      </c>
      <c r="B45" s="3" t="inlineStr">
        <is>
          <t>FCF conversion (FCF ÷ EBITDA)</t>
        </is>
      </c>
      <c r="C45" s="3" t="inlineStr">
        <is>
          <t>%</t>
        </is>
      </c>
      <c r="D45" s="3" t="inlineStr">
        <is>
          <t>Year to date</t>
        </is>
      </c>
      <c r="E45" s="3" t="inlineStr">
        <is>
          <t>Free cash flow since April ÷ EBITDA since April × 100</t>
        </is>
      </c>
      <c r="F45" s="21">
        <f>ROUND(IF(SUM('Group Inputs'!FV$4:FV4)=0,0,100*SUM('Group Inputs'!GA$4:GA4)/SUM('Group Inputs'!FV$4:FV4)),2)</f>
        <v/>
      </c>
      <c r="G45" s="21">
        <f>ROUND(IF(SUM('Group Inputs'!FV$4:FV5)=0,0,100*SUM('Group Inputs'!GA$4:GA5)/SUM('Group Inputs'!FV$4:FV5)),2)</f>
        <v/>
      </c>
      <c r="H45" s="21">
        <f>ROUND(IF(SUM('Group Inputs'!FV$4:FV6)=0,0,100*SUM('Group Inputs'!GA$4:GA6)/SUM('Group Inputs'!FV$4:FV6)),2)</f>
        <v/>
      </c>
      <c r="I45" s="21">
        <f>ROUND(IF(SUM('Group Inputs'!FV$4:FV7)=0,0,100*SUM('Group Inputs'!GA$4:GA7)/SUM('Group Inputs'!FV$4:FV7)),2)</f>
        <v/>
      </c>
      <c r="J45" s="21">
        <f>ROUND(IF(SUM('Group Inputs'!FV$4:FV8)=0,0,100*SUM('Group Inputs'!GA$4:GA8)/SUM('Group Inputs'!FV$4:FV8)),2)</f>
        <v/>
      </c>
      <c r="K45" s="21">
        <f>ROUND(IF(SUM('Group Inputs'!FV$4:FV9)=0,0,100*SUM('Group Inputs'!GA$4:GA9)/SUM('Group Inputs'!FV$4:FV9)),2)</f>
        <v/>
      </c>
      <c r="L45" s="3" t="inlineStr">
        <is>
          <t>27%</t>
        </is>
      </c>
      <c r="M45" s="3" t="inlineStr">
        <is>
          <t>G-03</t>
        </is>
      </c>
      <c r="N45" s="3" t="inlineStr">
        <is>
          <t>ebitda_k, fcf_k</t>
        </is>
      </c>
    </row>
    <row r="46">
      <c r="A46" s="2" t="inlineStr">
        <is>
          <t>CSH-001</t>
        </is>
      </c>
      <c r="B46" s="3" t="inlineStr">
        <is>
          <t>Cash position</t>
        </is>
      </c>
      <c r="C46" s="3" t="inlineStr">
        <is>
          <t>₹ m</t>
        </is>
      </c>
      <c r="D46" s="3" t="inlineStr">
        <is>
          <t>Month end</t>
        </is>
      </c>
      <c r="E46" s="3" t="inlineStr">
        <is>
          <t>Cash ÷ 1000</t>
        </is>
      </c>
      <c r="F46" s="21">
        <f>ROUND('Group Inputs'!CC4/1000,2)</f>
        <v/>
      </c>
      <c r="G46" s="21">
        <f>ROUND('Group Inputs'!CC5/1000,2)</f>
        <v/>
      </c>
      <c r="H46" s="21">
        <f>ROUND('Group Inputs'!CC6/1000,2)</f>
        <v/>
      </c>
      <c r="I46" s="21">
        <f>ROUND('Group Inputs'!CC7/1000,2)</f>
        <v/>
      </c>
      <c r="J46" s="21">
        <f>ROUND('Group Inputs'!CC8/1000,2)</f>
        <v/>
      </c>
      <c r="K46" s="21">
        <f>ROUND('Group Inputs'!CC9/1000,2)</f>
        <v/>
      </c>
      <c r="L46" s="3" t="inlineStr">
        <is>
          <t>384 ₹ m; 2,141.8 ₹ m (O-03)</t>
        </is>
      </c>
      <c r="M46" s="3" t="inlineStr">
        <is>
          <t>O-03, E-05, G-04</t>
        </is>
      </c>
      <c r="N46" s="3" t="inlineStr">
        <is>
          <t>cash_k</t>
        </is>
      </c>
    </row>
    <row r="47">
      <c r="A47" s="2" t="inlineStr">
        <is>
          <t>CSH-002</t>
        </is>
      </c>
      <c r="B47" s="3" t="inlineStr">
        <is>
          <t>Cash released YTD</t>
        </is>
      </c>
      <c r="C47" s="3" t="inlineStr">
        <is>
          <t>₹ m</t>
        </is>
      </c>
      <c r="D47" s="3" t="inlineStr">
        <is>
          <t>Year to date</t>
        </is>
      </c>
      <c r="E47" s="3" t="inlineStr">
        <is>
          <t>Sum of cash released since April ÷ 1000</t>
        </is>
      </c>
      <c r="F47" s="21">
        <f>ROUND(SUM('Group Inputs'!CN$4:CN4)/1000,2)</f>
        <v/>
      </c>
      <c r="G47" s="21">
        <f>ROUND(SUM('Group Inputs'!CN$4:CN5)/1000,2)</f>
        <v/>
      </c>
      <c r="H47" s="21">
        <f>ROUND(SUM('Group Inputs'!CN$4:CN6)/1000,2)</f>
        <v/>
      </c>
      <c r="I47" s="21">
        <f>ROUND(SUM('Group Inputs'!CN$4:CN7)/1000,2)</f>
        <v/>
      </c>
      <c r="J47" s="21">
        <f>ROUND(SUM('Group Inputs'!CN$4:CN8)/1000,2)</f>
        <v/>
      </c>
      <c r="K47" s="21">
        <f>ROUND(SUM('Group Inputs'!CN$4:CN9)/1000,2)</f>
        <v/>
      </c>
      <c r="L47" s="3" t="inlineStr">
        <is>
          <t>₹21 m</t>
        </is>
      </c>
      <c r="M47" s="3" t="inlineStr">
        <is>
          <t>E-05, G-04</t>
        </is>
      </c>
      <c r="N47" s="3" t="inlineStr">
        <is>
          <t>cash_released_k</t>
        </is>
      </c>
    </row>
    <row r="48">
      <c r="A48" s="2" t="inlineStr">
        <is>
          <t>CSH-003</t>
        </is>
      </c>
      <c r="B48" s="3" t="inlineStr">
        <is>
          <t>Daily collections</t>
        </is>
      </c>
      <c r="C48" s="3" t="inlineStr">
        <is>
          <t>₹ m per day</t>
        </is>
      </c>
      <c r="D48" s="3" t="inlineStr">
        <is>
          <t>Month</t>
        </is>
      </c>
      <c r="E48" s="3" t="inlineStr">
        <is>
          <t>Cash collected ÷ Days in month ÷ 1000</t>
        </is>
      </c>
      <c r="F48" s="21">
        <f>ROUND('Group Inputs'!CM4/'Group Inputs'!C4/1000,2)</f>
        <v/>
      </c>
      <c r="G48" s="21">
        <f>ROUND('Group Inputs'!CM5/'Group Inputs'!C5/1000,2)</f>
        <v/>
      </c>
      <c r="H48" s="21">
        <f>ROUND('Group Inputs'!CM6/'Group Inputs'!C6/1000,2)</f>
        <v/>
      </c>
      <c r="I48" s="21">
        <f>ROUND('Group Inputs'!CM7/'Group Inputs'!C7/1000,2)</f>
        <v/>
      </c>
      <c r="J48" s="21">
        <f>ROUND('Group Inputs'!CM8/'Group Inputs'!C8/1000,2)</f>
        <v/>
      </c>
      <c r="K48" s="21">
        <f>ROUND('Group Inputs'!CM9/'Group Inputs'!C9/1000,2)</f>
        <v/>
      </c>
      <c r="L48" s="3" t="inlineStr">
        <is>
          <t>₹18.6 m</t>
        </is>
      </c>
      <c r="M48" s="3" t="inlineStr">
        <is>
          <t>E-01, E-05, G-04, S-11</t>
        </is>
      </c>
      <c r="N48" s="3" t="inlineStr">
        <is>
          <t>days, collections_k</t>
        </is>
      </c>
    </row>
    <row r="49">
      <c r="A49" s="2" t="inlineStr">
        <is>
          <t>CSH-004</t>
        </is>
      </c>
      <c r="B49" s="3" t="inlineStr">
        <is>
          <t>Cash-conversion cycle</t>
        </is>
      </c>
      <c r="C49" s="3" t="inlineStr">
        <is>
          <t>days</t>
        </is>
      </c>
      <c r="D49" s="3" t="inlineStr">
        <is>
          <t>Month end</t>
        </is>
      </c>
      <c r="E49" s="3" t="inlineStr">
        <is>
          <t>DSO + Inventory days − DPO</t>
        </is>
      </c>
      <c r="F49" s="21">
        <f>ROUND('Group Inputs'!GD4+'Group Inputs'!GF4-'Group Inputs'!GE4,2)</f>
        <v/>
      </c>
      <c r="G49" s="21">
        <f>ROUND('Group Inputs'!GD5+'Group Inputs'!GF5-'Group Inputs'!GE5,2)</f>
        <v/>
      </c>
      <c r="H49" s="21">
        <f>ROUND('Group Inputs'!GD6+'Group Inputs'!GF6-'Group Inputs'!GE6,2)</f>
        <v/>
      </c>
      <c r="I49" s="21">
        <f>ROUND('Group Inputs'!GD7+'Group Inputs'!GF7-'Group Inputs'!GE7,2)</f>
        <v/>
      </c>
      <c r="J49" s="21">
        <f>ROUND('Group Inputs'!GD8+'Group Inputs'!GF8-'Group Inputs'!GE8,2)</f>
        <v/>
      </c>
      <c r="K49" s="21">
        <f>ROUND('Group Inputs'!GD9+'Group Inputs'!GF9-'Group Inputs'!GE9,2)</f>
        <v/>
      </c>
      <c r="L49" s="3" t="inlineStr">
        <is>
          <t>33 d</t>
        </is>
      </c>
      <c r="M49" s="3" t="inlineStr">
        <is>
          <t>E-05, G-04</t>
        </is>
      </c>
      <c r="N49" s="3" t="inlineStr">
        <is>
          <t>dso_d, dpo_d, dio_d</t>
        </is>
      </c>
    </row>
    <row r="50">
      <c r="A50" s="2" t="inlineStr">
        <is>
          <t>CSH-006</t>
        </is>
      </c>
      <c r="B50" s="3" t="inlineStr">
        <is>
          <t>Cash-upstream exposure</t>
        </is>
      </c>
      <c r="C50" s="3" t="inlineStr">
        <is>
          <t>₹ m</t>
        </is>
      </c>
      <c r="D50" s="3" t="inlineStr">
        <is>
          <t>Next 30 days</t>
        </is>
      </c>
      <c r="E50" s="3" t="inlineStr">
        <is>
          <t>(Cash due to be upstreamed − Amount covered by available cash) ÷ 1000</t>
        </is>
      </c>
      <c r="F50" s="21">
        <f>ROUND(('Group Inputs'!CO4-'Group Inputs'!CP4)/1000,2)</f>
        <v/>
      </c>
      <c r="G50" s="21">
        <f>ROUND(('Group Inputs'!CO5-'Group Inputs'!CP5)/1000,2)</f>
        <v/>
      </c>
      <c r="H50" s="21">
        <f>ROUND(('Group Inputs'!CO6-'Group Inputs'!CP6)/1000,2)</f>
        <v/>
      </c>
      <c r="I50" s="21">
        <f>ROUND(('Group Inputs'!CO7-'Group Inputs'!CP7)/1000,2)</f>
        <v/>
      </c>
      <c r="J50" s="21">
        <f>ROUND(('Group Inputs'!CO8-'Group Inputs'!CP8)/1000,2)</f>
        <v/>
      </c>
      <c r="K50" s="21">
        <f>ROUND(('Group Inputs'!CO9-'Group Inputs'!CP9)/1000,2)</f>
        <v/>
      </c>
      <c r="L50" s="3" t="inlineStr">
        <is>
          <t>26 ₹ m; 27.2 ₹ m (O-03)</t>
        </is>
      </c>
      <c r="M50" s="3" t="inlineStr">
        <is>
          <t>O-03, E-01, E-05, G-04, S-11</t>
        </is>
      </c>
      <c r="N50" s="3" t="inlineStr">
        <is>
          <t>upstream_due_k, upstream_covered_k</t>
        </is>
      </c>
    </row>
    <row r="51">
      <c r="A51" s="2" t="inlineStr">
        <is>
          <t>WCP-001</t>
        </is>
      </c>
      <c r="B51" s="3" t="inlineStr">
        <is>
          <t>DSO</t>
        </is>
      </c>
      <c r="C51" s="3" t="inlineStr">
        <is>
          <t>days</t>
        </is>
      </c>
      <c r="D51" s="3" t="inlineStr">
        <is>
          <t>Month end</t>
        </is>
      </c>
      <c r="E51" s="3" t="inlineStr">
        <is>
          <t>Trade receivables ÷ Revenue × Days in month</t>
        </is>
      </c>
      <c r="F51" s="21">
        <f>ROUND('Group Inputs'!GD4,2)</f>
        <v/>
      </c>
      <c r="G51" s="21">
        <f>ROUND('Group Inputs'!GD5,2)</f>
        <v/>
      </c>
      <c r="H51" s="21">
        <f>ROUND('Group Inputs'!GD6,2)</f>
        <v/>
      </c>
      <c r="I51" s="21">
        <f>ROUND('Group Inputs'!GD7,2)</f>
        <v/>
      </c>
      <c r="J51" s="21">
        <f>ROUND('Group Inputs'!GD8,2)</f>
        <v/>
      </c>
      <c r="K51" s="21">
        <f>ROUND('Group Inputs'!GD9,2)</f>
        <v/>
      </c>
      <c r="L51" s="3" t="inlineStr">
        <is>
          <t>47 d; 47.0 days (O-03)</t>
        </is>
      </c>
      <c r="M51" s="3" t="inlineStr">
        <is>
          <t>O-03, E-01, E-05, G-02, G-04, S-11</t>
        </is>
      </c>
      <c r="N51" s="3" t="inlineStr">
        <is>
          <t>dso_d</t>
        </is>
      </c>
    </row>
    <row r="52">
      <c r="A52" s="2" t="inlineStr">
        <is>
          <t>WCP-002</t>
        </is>
      </c>
      <c r="B52" s="3" t="inlineStr">
        <is>
          <t>DPO</t>
        </is>
      </c>
      <c r="C52" s="3" t="inlineStr">
        <is>
          <t>days</t>
        </is>
      </c>
      <c r="D52" s="3" t="inlineStr">
        <is>
          <t>Month end</t>
        </is>
      </c>
      <c r="E52" s="3" t="inlineStr">
        <is>
          <t>Trade payables ÷ Variable cost × Days in month</t>
        </is>
      </c>
      <c r="F52" s="21">
        <f>ROUND('Group Inputs'!GE4,2)</f>
        <v/>
      </c>
      <c r="G52" s="21">
        <f>ROUND('Group Inputs'!GE5,2)</f>
        <v/>
      </c>
      <c r="H52" s="21">
        <f>ROUND('Group Inputs'!GE6,2)</f>
        <v/>
      </c>
      <c r="I52" s="21">
        <f>ROUND('Group Inputs'!GE7,2)</f>
        <v/>
      </c>
      <c r="J52" s="21">
        <f>ROUND('Group Inputs'!GE8,2)</f>
        <v/>
      </c>
      <c r="K52" s="21">
        <f>ROUND('Group Inputs'!GE9,2)</f>
        <v/>
      </c>
      <c r="L52" s="3" t="inlineStr">
        <is>
          <t>52 d</t>
        </is>
      </c>
      <c r="M52" s="3" t="inlineStr">
        <is>
          <t>E-05, G-04</t>
        </is>
      </c>
      <c r="N52" s="3" t="inlineStr">
        <is>
          <t>dpo_d</t>
        </is>
      </c>
    </row>
    <row r="53">
      <c r="A53" s="2" t="inlineStr">
        <is>
          <t>WCP-003</t>
        </is>
      </c>
      <c r="B53" s="3" t="inlineStr">
        <is>
          <t>Inventory days</t>
        </is>
      </c>
      <c r="C53" s="3" t="inlineStr">
        <is>
          <t>days</t>
        </is>
      </c>
      <c r="D53" s="3" t="inlineStr">
        <is>
          <t>Month end</t>
        </is>
      </c>
      <c r="E53" s="3" t="inlineStr">
        <is>
          <t>Inventory ÷ Variable cost × Days in month</t>
        </is>
      </c>
      <c r="F53" s="21">
        <f>ROUND('Group Inputs'!GF4,2)</f>
        <v/>
      </c>
      <c r="G53" s="21">
        <f>ROUND('Group Inputs'!GF5,2)</f>
        <v/>
      </c>
      <c r="H53" s="21">
        <f>ROUND('Group Inputs'!GF6,2)</f>
        <v/>
      </c>
      <c r="I53" s="21">
        <f>ROUND('Group Inputs'!GF7,2)</f>
        <v/>
      </c>
      <c r="J53" s="21">
        <f>ROUND('Group Inputs'!GF8,2)</f>
        <v/>
      </c>
      <c r="K53" s="21">
        <f>ROUND('Group Inputs'!GF9,2)</f>
        <v/>
      </c>
      <c r="L53" s="3" t="inlineStr">
        <is>
          <t>38 d</t>
        </is>
      </c>
      <c r="M53" s="3" t="inlineStr">
        <is>
          <t>E-05, G-04</t>
        </is>
      </c>
      <c r="N53" s="3" t="inlineStr">
        <is>
          <t>dio_d</t>
        </is>
      </c>
    </row>
    <row r="54">
      <c r="A54" s="2" t="inlineStr">
        <is>
          <t>WCP-004</t>
        </is>
      </c>
      <c r="B54" s="3" t="inlineStr">
        <is>
          <t>Net working capital</t>
        </is>
      </c>
      <c r="C54" s="3" t="inlineStr">
        <is>
          <t>₹ m</t>
        </is>
      </c>
      <c r="D54" s="3" t="inlineStr">
        <is>
          <t>Month end</t>
        </is>
      </c>
      <c r="E54" s="3" t="inlineStr">
        <is>
          <t>(Trade receivables + Inventory − Trade payables) ÷ 1000</t>
        </is>
      </c>
      <c r="F54" s="21">
        <f>ROUND('Group Inputs'!FX4/1000,2)</f>
        <v/>
      </c>
      <c r="G54" s="21">
        <f>ROUND('Group Inputs'!FX5/1000,2)</f>
        <v/>
      </c>
      <c r="H54" s="21">
        <f>ROUND('Group Inputs'!FX6/1000,2)</f>
        <v/>
      </c>
      <c r="I54" s="21">
        <f>ROUND('Group Inputs'!FX7/1000,2)</f>
        <v/>
      </c>
      <c r="J54" s="21">
        <f>ROUND('Group Inputs'!FX8/1000,2)</f>
        <v/>
      </c>
      <c r="K54" s="21">
        <f>ROUND('Group Inputs'!FX9/1000,2)</f>
        <v/>
      </c>
      <c r="L54" s="3" t="inlineStr">
        <is>
          <t>512 ₹ m; 2,781.0 ₹ m (O-03)</t>
        </is>
      </c>
      <c r="M54" s="3" t="inlineStr">
        <is>
          <t>O-03, E-05, G-04</t>
        </is>
      </c>
      <c r="N54" s="3" t="inlineStr">
        <is>
          <t>nwc_k</t>
        </is>
      </c>
    </row>
    <row r="55">
      <c r="A55" s="2" t="inlineStr">
        <is>
          <t>WCP-005</t>
        </is>
      </c>
      <c r="B55" s="3" t="inlineStr">
        <is>
          <t>Working-capital movement</t>
        </is>
      </c>
      <c r="C55" s="3" t="inlineStr">
        <is>
          <t>₹ m</t>
        </is>
      </c>
      <c r="D55" s="3" t="inlineStr">
        <is>
          <t>Month</t>
        </is>
      </c>
      <c r="E55" s="3" t="inlineStr">
        <is>
          <t>(Net working capital − last month's net working capital) ÷ 1000; positive = cash tied up</t>
        </is>
      </c>
      <c r="F55" s="21">
        <f>ROUND('Group Inputs'!FY4/1000,2)</f>
        <v/>
      </c>
      <c r="G55" s="21">
        <f>ROUND('Group Inputs'!FY5/1000,2)</f>
        <v/>
      </c>
      <c r="H55" s="21">
        <f>ROUND('Group Inputs'!FY6/1000,2)</f>
        <v/>
      </c>
      <c r="I55" s="21">
        <f>ROUND('Group Inputs'!FY7/1000,2)</f>
        <v/>
      </c>
      <c r="J55" s="21">
        <f>ROUND('Group Inputs'!FY8/1000,2)</f>
        <v/>
      </c>
      <c r="K55" s="21">
        <f>ROUND('Group Inputs'!FY9/1000,2)</f>
        <v/>
      </c>
      <c r="L55" s="3" t="inlineStr">
        <is>
          <t>+₹14 m</t>
        </is>
      </c>
      <c r="M55" s="3" t="inlineStr">
        <is>
          <t>E-05, G-04</t>
        </is>
      </c>
      <c r="N55" s="3" t="inlineStr">
        <is>
          <t>nwc_change_k</t>
        </is>
      </c>
    </row>
    <row r="56">
      <c r="A56" s="2" t="inlineStr">
        <is>
          <t>WCP-006</t>
        </is>
      </c>
      <c r="B56" s="3" t="inlineStr">
        <is>
          <t>Working-capital days</t>
        </is>
      </c>
      <c r="C56" s="3" t="inlineStr">
        <is>
          <t>days</t>
        </is>
      </c>
      <c r="D56" s="3" t="inlineStr">
        <is>
          <t>Month end</t>
        </is>
      </c>
      <c r="E56" s="3" t="inlineStr">
        <is>
          <t>Net working capital ÷ Revenue × Days in month</t>
        </is>
      </c>
      <c r="F56" s="21">
        <f>ROUND(IF('Group Inputs'!AU4=0,0,'Group Inputs'!FX4/'Group Inputs'!AU4*'Group Inputs'!C4),2)</f>
        <v/>
      </c>
      <c r="G56" s="21">
        <f>ROUND(IF('Group Inputs'!AU5=0,0,'Group Inputs'!FX5/'Group Inputs'!AU5*'Group Inputs'!C5),2)</f>
        <v/>
      </c>
      <c r="H56" s="21">
        <f>ROUND(IF('Group Inputs'!AU6=0,0,'Group Inputs'!FX6/'Group Inputs'!AU6*'Group Inputs'!C6),2)</f>
        <v/>
      </c>
      <c r="I56" s="21">
        <f>ROUND(IF('Group Inputs'!AU7=0,0,'Group Inputs'!FX7/'Group Inputs'!AU7*'Group Inputs'!C7),2)</f>
        <v/>
      </c>
      <c r="J56" s="21">
        <f>ROUND(IF('Group Inputs'!AU8=0,0,'Group Inputs'!FX8/'Group Inputs'!AU8*'Group Inputs'!C8),2)</f>
        <v/>
      </c>
      <c r="K56" s="21">
        <f>ROUND(IF('Group Inputs'!AU9=0,0,'Group Inputs'!FX9/'Group Inputs'!AU9*'Group Inputs'!C9),2)</f>
        <v/>
      </c>
      <c r="L56" s="3" t="inlineStr">
        <is>
          <t>33</t>
        </is>
      </c>
      <c r="M56" s="3" t="inlineStr">
        <is>
          <t>E-05, G-04</t>
        </is>
      </c>
      <c r="N56" s="3" t="inlineStr">
        <is>
          <t>days, revenue_k, nwc_k</t>
        </is>
      </c>
    </row>
    <row r="57">
      <c r="A57" s="2" t="inlineStr">
        <is>
          <t>LIQ-001</t>
        </is>
      </c>
      <c r="B57" s="3" t="inlineStr">
        <is>
          <t>Liquidity runway</t>
        </is>
      </c>
      <c r="C57" s="3" t="inlineStr">
        <is>
          <t>months</t>
        </is>
      </c>
      <c r="D57" s="3" t="inlineStr">
        <is>
          <t>Month end</t>
        </is>
      </c>
      <c r="E57" s="3" t="inlineStr">
        <is>
          <t>(Cash + Undrawn facilities) ÷ (Fixed cost + Overheads + Debt service) per month</t>
        </is>
      </c>
      <c r="F57" s="21">
        <f>ROUND(IF(('Group Inputs'!X4+'Group Inputs'!BY4+'Group Inputs'!CE4)=0,0,('Group Inputs'!CC4+'Group Inputs'!CD4)/('Group Inputs'!X4+'Group Inputs'!BY4+'Group Inputs'!CE4)),2)</f>
        <v/>
      </c>
      <c r="G57" s="21">
        <f>ROUND(IF(('Group Inputs'!X5+'Group Inputs'!BY5+'Group Inputs'!CE5)=0,0,('Group Inputs'!CC5+'Group Inputs'!CD5)/('Group Inputs'!X5+'Group Inputs'!BY5+'Group Inputs'!CE5)),2)</f>
        <v/>
      </c>
      <c r="H57" s="21">
        <f>ROUND(IF(('Group Inputs'!X6+'Group Inputs'!BY6+'Group Inputs'!CE6)=0,0,('Group Inputs'!CC6+'Group Inputs'!CD6)/('Group Inputs'!X6+'Group Inputs'!BY6+'Group Inputs'!CE6)),2)</f>
        <v/>
      </c>
      <c r="I57" s="21">
        <f>ROUND(IF(('Group Inputs'!X7+'Group Inputs'!BY7+'Group Inputs'!CE7)=0,0,('Group Inputs'!CC7+'Group Inputs'!CD7)/('Group Inputs'!X7+'Group Inputs'!BY7+'Group Inputs'!CE7)),2)</f>
        <v/>
      </c>
      <c r="J57" s="21">
        <f>ROUND(IF(('Group Inputs'!X8+'Group Inputs'!BY8+'Group Inputs'!CE8)=0,0,('Group Inputs'!CC8+'Group Inputs'!CD8)/('Group Inputs'!X8+'Group Inputs'!BY8+'Group Inputs'!CE8)),2)</f>
        <v/>
      </c>
      <c r="K57" s="21">
        <f>ROUND(IF(('Group Inputs'!X9+'Group Inputs'!BY9+'Group Inputs'!CE9)=0,0,('Group Inputs'!CC9+'Group Inputs'!CD9)/('Group Inputs'!X9+'Group Inputs'!BY9+'Group Inputs'!CE9)),2)</f>
        <v/>
      </c>
      <c r="L57" s="3" t="inlineStr">
        <is>
          <t>14.2 months; 16.7 months (O-03)</t>
        </is>
      </c>
      <c r="M57" s="3" t="inlineStr">
        <is>
          <t>O-03, E-05, G-04</t>
        </is>
      </c>
      <c r="N57" s="3" t="inlineStr">
        <is>
          <t>fixed_cost_k, overhead_k, cash_k, undrawn_facilities_k, debt_service_k</t>
        </is>
      </c>
    </row>
    <row r="58">
      <c r="A58" s="2" t="inlineStr">
        <is>
          <t>LIQ-002</t>
        </is>
      </c>
      <c r="B58" s="3" t="inlineStr">
        <is>
          <t>Covenant headroom</t>
        </is>
      </c>
      <c r="C58" s="3" t="inlineStr">
        <is>
          <t>%</t>
        </is>
      </c>
      <c r="D58" s="3" t="inlineStr">
        <is>
          <t>Month end</t>
        </is>
      </c>
      <c r="E58" s="3" t="inlineStr">
        <is>
          <t>(Covenant limit − Net debt ÷ Annualised EBITDA) ÷ Covenant limit × 100</t>
        </is>
      </c>
      <c r="F58" s="21">
        <f>ROUND(IF('Group Inputs'!GC4=0,0,100*(Parameters!$B$4-'Group Inputs'!GB4/'Group Inputs'!GC4)/Parameters!$B$4),2)</f>
        <v/>
      </c>
      <c r="G58" s="21">
        <f>ROUND(IF('Group Inputs'!GC5=0,0,100*(Parameters!$B$4-'Group Inputs'!GB5/'Group Inputs'!GC5)/Parameters!$B$4),2)</f>
        <v/>
      </c>
      <c r="H58" s="21">
        <f>ROUND(IF('Group Inputs'!GC6=0,0,100*(Parameters!$B$4-'Group Inputs'!GB6/'Group Inputs'!GC6)/Parameters!$B$4),2)</f>
        <v/>
      </c>
      <c r="I58" s="21">
        <f>ROUND(IF('Group Inputs'!GC7=0,0,100*(Parameters!$B$4-'Group Inputs'!GB7/'Group Inputs'!GC7)/Parameters!$B$4),2)</f>
        <v/>
      </c>
      <c r="J58" s="21">
        <f>ROUND(IF('Group Inputs'!GC8=0,0,100*(Parameters!$B$4-'Group Inputs'!GB8/'Group Inputs'!GC8)/Parameters!$B$4),2)</f>
        <v/>
      </c>
      <c r="K58" s="21">
        <f>ROUND(IF('Group Inputs'!GC9=0,0,100*(Parameters!$B$4-'Group Inputs'!GB9/'Group Inputs'!GC9)/Parameters!$B$4),2)</f>
        <v/>
      </c>
      <c r="L58" s="3" t="inlineStr">
        <is>
          <t>22 % [TERMS — PH]</t>
        </is>
      </c>
      <c r="M58" s="3" t="inlineStr">
        <is>
          <t>E-05, G-04</t>
        </is>
      </c>
      <c r="N58" s="3" t="inlineStr">
        <is>
          <t>net_debt_k, ebitda_annualised_k</t>
        </is>
      </c>
    </row>
    <row r="59">
      <c r="A59" s="2" t="inlineStr">
        <is>
          <t>LIQ-003</t>
        </is>
      </c>
      <c r="B59" s="3" t="inlineStr">
        <is>
          <t>Debt-maturity exposure, next 12 months</t>
        </is>
      </c>
      <c r="C59" s="3" t="inlineStr">
        <is>
          <t>₹ m</t>
        </is>
      </c>
      <c r="D59" s="3" t="inlineStr">
        <is>
          <t>Month end</t>
        </is>
      </c>
      <c r="E59" s="3" t="inlineStr">
        <is>
          <t>Debt maturing in next 12 months ÷ 1000</t>
        </is>
      </c>
      <c r="F59" s="21">
        <f>ROUND('Group Inputs'!CF4/1000,2)</f>
        <v/>
      </c>
      <c r="G59" s="21">
        <f>ROUND('Group Inputs'!CF5/1000,2)</f>
        <v/>
      </c>
      <c r="H59" s="21">
        <f>ROUND('Group Inputs'!CF6/1000,2)</f>
        <v/>
      </c>
      <c r="I59" s="21">
        <f>ROUND('Group Inputs'!CF7/1000,2)</f>
        <v/>
      </c>
      <c r="J59" s="21">
        <f>ROUND('Group Inputs'!CF8/1000,2)</f>
        <v/>
      </c>
      <c r="K59" s="21">
        <f>ROUND('Group Inputs'!CF9/1000,2)</f>
        <v/>
      </c>
      <c r="L59" s="3" t="inlineStr">
        <is>
          <t>₹120 m; 891.4 ₹ m (O-03)</t>
        </is>
      </c>
      <c r="M59" s="3" t="inlineStr">
        <is>
          <t>O-03, E-05, G-04</t>
        </is>
      </c>
      <c r="N59" s="3" t="inlineStr">
        <is>
          <t>debt_maturing_12m_k</t>
        </is>
      </c>
    </row>
    <row r="60">
      <c r="A60" s="2" t="inlineStr">
        <is>
          <t>LIQ-004</t>
        </is>
      </c>
      <c r="B60" s="3" t="inlineStr">
        <is>
          <t>Financing exposure (floating-rate debt)</t>
        </is>
      </c>
      <c r="C60" s="3" t="inlineStr">
        <is>
          <t>₹ m</t>
        </is>
      </c>
      <c r="D60" s="3" t="inlineStr">
        <is>
          <t>Month end</t>
        </is>
      </c>
      <c r="E60" s="3" t="inlineStr">
        <is>
          <t>Floating-rate debt ÷ 1000</t>
        </is>
      </c>
      <c r="F60" s="21">
        <f>ROUND('Group Inputs'!CG4/1000,2)</f>
        <v/>
      </c>
      <c r="G60" s="21">
        <f>ROUND('Group Inputs'!CG5/1000,2)</f>
        <v/>
      </c>
      <c r="H60" s="21">
        <f>ROUND('Group Inputs'!CG6/1000,2)</f>
        <v/>
      </c>
      <c r="I60" s="21">
        <f>ROUND('Group Inputs'!CG7/1000,2)</f>
        <v/>
      </c>
      <c r="J60" s="21">
        <f>ROUND('Group Inputs'!CG8/1000,2)</f>
        <v/>
      </c>
      <c r="K60" s="21">
        <f>ROUND('Group Inputs'!CG9/1000,2)</f>
        <v/>
      </c>
      <c r="L60" s="3" t="inlineStr">
        <is>
          <t>₹310 m; 2,720.8 ₹ m (O-03)</t>
        </is>
      </c>
      <c r="M60" s="3" t="inlineStr">
        <is>
          <t>O-03, G-04</t>
        </is>
      </c>
      <c r="N60" s="3" t="inlineStr">
        <is>
          <t>floating_rate_debt_k</t>
        </is>
      </c>
    </row>
    <row r="61">
      <c r="A61" s="2" t="inlineStr">
        <is>
          <t>TRS-001</t>
        </is>
      </c>
      <c r="B61" s="3" t="inlineStr">
        <is>
          <t>FX exposure, unhedged</t>
        </is>
      </c>
      <c r="C61" s="3" t="inlineStr">
        <is>
          <t>₹ m</t>
        </is>
      </c>
      <c r="D61" s="3" t="inlineStr">
        <is>
          <t>Month end</t>
        </is>
      </c>
      <c r="E61" s="3" t="inlineStr">
        <is>
          <t>(Foreign-currency exposure − Amount hedged) ÷ 1000</t>
        </is>
      </c>
      <c r="F61" s="21">
        <f>ROUND(('Group Inputs'!CZ4-'Group Inputs'!DA4)/1000,2)</f>
        <v/>
      </c>
      <c r="G61" s="21">
        <f>ROUND(('Group Inputs'!CZ5-'Group Inputs'!DA5)/1000,2)</f>
        <v/>
      </c>
      <c r="H61" s="21">
        <f>ROUND(('Group Inputs'!CZ6-'Group Inputs'!DA6)/1000,2)</f>
        <v/>
      </c>
      <c r="I61" s="21">
        <f>ROUND(('Group Inputs'!CZ7-'Group Inputs'!DA7)/1000,2)</f>
        <v/>
      </c>
      <c r="J61" s="21">
        <f>ROUND(('Group Inputs'!CZ8-'Group Inputs'!DA8)/1000,2)</f>
        <v/>
      </c>
      <c r="K61" s="21">
        <f>ROUND(('Group Inputs'!CZ9-'Group Inputs'!DA9)/1000,2)</f>
        <v/>
      </c>
      <c r="L61" s="3" t="inlineStr">
        <is>
          <t>₹64 m</t>
        </is>
      </c>
      <c r="M61" s="3" t="inlineStr">
        <is>
          <t>E-05, G-04</t>
        </is>
      </c>
      <c r="N61" s="3" t="inlineStr">
        <is>
          <t>fx_exposure_k, fx_hedged_k</t>
        </is>
      </c>
    </row>
    <row r="62">
      <c r="A62" s="2" t="inlineStr">
        <is>
          <t>TRS-002</t>
        </is>
      </c>
      <c r="B62" s="3" t="inlineStr">
        <is>
          <t>Hedging effectiveness</t>
        </is>
      </c>
      <c r="C62" s="3" t="inlineStr">
        <is>
          <t>%</t>
        </is>
      </c>
      <c r="D62" s="3" t="inlineStr">
        <is>
          <t>Month</t>
        </is>
      </c>
      <c r="E62" s="3" t="inlineStr">
        <is>
          <t>Change in value of hedges ÷ Change in value of hedged items × 100</t>
        </is>
      </c>
      <c r="F62" s="21">
        <f>ROUND(IF('Group Inputs'!DE4=0,0,100*'Group Inputs'!DD4/'Group Inputs'!DE4),2)</f>
        <v/>
      </c>
      <c r="G62" s="21">
        <f>ROUND(IF('Group Inputs'!DE5=0,0,100*'Group Inputs'!DD5/'Group Inputs'!DE5),2)</f>
        <v/>
      </c>
      <c r="H62" s="21">
        <f>ROUND(IF('Group Inputs'!DE6=0,0,100*'Group Inputs'!DD6/'Group Inputs'!DE6),2)</f>
        <v/>
      </c>
      <c r="I62" s="21">
        <f>ROUND(IF('Group Inputs'!DE7=0,0,100*'Group Inputs'!DD7/'Group Inputs'!DE7),2)</f>
        <v/>
      </c>
      <c r="J62" s="21">
        <f>ROUND(IF('Group Inputs'!DE8=0,0,100*'Group Inputs'!DD8/'Group Inputs'!DE8),2)</f>
        <v/>
      </c>
      <c r="K62" s="21">
        <f>ROUND(IF('Group Inputs'!DE9=0,0,100*'Group Inputs'!DD9/'Group Inputs'!DE9),2)</f>
        <v/>
      </c>
      <c r="L62" s="3" t="inlineStr">
        <is>
          <t>91%</t>
        </is>
      </c>
      <c r="M62" s="3" t="inlineStr">
        <is>
          <t>E-05, G-04</t>
        </is>
      </c>
      <c r="N62" s="3" t="inlineStr">
        <is>
          <t>hedge_value_change_k, hedged_item_value_change_k</t>
        </is>
      </c>
    </row>
    <row r="63">
      <c r="A63" s="2" t="inlineStr">
        <is>
          <t>TRS-003</t>
        </is>
      </c>
      <c r="B63" s="3" t="inlineStr">
        <is>
          <t>USD share of unhedged FX exposure</t>
        </is>
      </c>
      <c r="C63" s="3" t="inlineStr">
        <is>
          <t>%</t>
        </is>
      </c>
      <c r="D63" s="3" t="inlineStr">
        <is>
          <t>Month end</t>
        </is>
      </c>
      <c r="E63" s="3" t="inlineStr">
        <is>
          <t>(USD exposure − USD hedged) ÷ (FX exposure − FX hedged) × 100</t>
        </is>
      </c>
      <c r="F63" s="21">
        <f>ROUND(IF(('Group Inputs'!CZ4-'Group Inputs'!DA4)=0,0,100*('Group Inputs'!DB4-'Group Inputs'!DC4)/('Group Inputs'!CZ4-'Group Inputs'!DA4)),2)</f>
        <v/>
      </c>
      <c r="G63" s="21">
        <f>ROUND(IF(('Group Inputs'!CZ5-'Group Inputs'!DA5)=0,0,100*('Group Inputs'!DB5-'Group Inputs'!DC5)/('Group Inputs'!CZ5-'Group Inputs'!DA5)),2)</f>
        <v/>
      </c>
      <c r="H63" s="21">
        <f>ROUND(IF(('Group Inputs'!CZ6-'Group Inputs'!DA6)=0,0,100*('Group Inputs'!DB6-'Group Inputs'!DC6)/('Group Inputs'!CZ6-'Group Inputs'!DA6)),2)</f>
        <v/>
      </c>
      <c r="I63" s="21">
        <f>ROUND(IF(('Group Inputs'!CZ7-'Group Inputs'!DA7)=0,0,100*('Group Inputs'!DB7-'Group Inputs'!DC7)/('Group Inputs'!CZ7-'Group Inputs'!DA7)),2)</f>
        <v/>
      </c>
      <c r="J63" s="21">
        <f>ROUND(IF(('Group Inputs'!CZ8-'Group Inputs'!DA8)=0,0,100*('Group Inputs'!DB8-'Group Inputs'!DC8)/('Group Inputs'!CZ8-'Group Inputs'!DA8)),2)</f>
        <v/>
      </c>
      <c r="K63" s="21">
        <f>ROUND(IF(('Group Inputs'!CZ9-'Group Inputs'!DA9)=0,0,100*('Group Inputs'!DB9-'Group Inputs'!DC9)/('Group Inputs'!CZ9-'Group Inputs'!DA9)),2)</f>
        <v/>
      </c>
      <c r="L63" s="3" t="inlineStr">
        <is>
          <t>72% of unhedged</t>
        </is>
      </c>
      <c r="M63" s="3" t="inlineStr">
        <is>
          <t>—</t>
        </is>
      </c>
      <c r="N63" s="3" t="inlineStr">
        <is>
          <t>fx_exposure_k, fx_hedged_k, usd_exposure_k, usd_hedged_k</t>
        </is>
      </c>
    </row>
    <row r="64">
      <c r="A64" s="2" t="inlineStr">
        <is>
          <t>TRS-004</t>
        </is>
      </c>
      <c r="B64" s="3" t="inlineStr">
        <is>
          <t>Hedge cover, next 6 months</t>
        </is>
      </c>
      <c r="C64" s="3" t="inlineStr">
        <is>
          <t>%</t>
        </is>
      </c>
      <c r="D64" s="3" t="inlineStr">
        <is>
          <t>Next 6 months</t>
        </is>
      </c>
      <c r="E64" s="3" t="inlineStr">
        <is>
          <t>Foreign-currency flows hedged ÷ Forecast foreign-currency flows, next 6 months × 100</t>
        </is>
      </c>
      <c r="F64" s="21">
        <f>ROUND(IF('Group Inputs'!DF4=0,0,100*'Group Inputs'!DG4/'Group Inputs'!DF4),2)</f>
        <v/>
      </c>
      <c r="G64" s="21">
        <f>ROUND(IF('Group Inputs'!DF5=0,0,100*'Group Inputs'!DG5/'Group Inputs'!DF5),2)</f>
        <v/>
      </c>
      <c r="H64" s="21">
        <f>ROUND(IF('Group Inputs'!DF6=0,0,100*'Group Inputs'!DG6/'Group Inputs'!DF6),2)</f>
        <v/>
      </c>
      <c r="I64" s="21">
        <f>ROUND(IF('Group Inputs'!DF7=0,0,100*'Group Inputs'!DG7/'Group Inputs'!DF7),2)</f>
        <v/>
      </c>
      <c r="J64" s="21">
        <f>ROUND(IF('Group Inputs'!DF8=0,0,100*'Group Inputs'!DG8/'Group Inputs'!DF8),2)</f>
        <v/>
      </c>
      <c r="K64" s="21">
        <f>ROUND(IF('Group Inputs'!DF9=0,0,100*'Group Inputs'!DG9/'Group Inputs'!DF9),2)</f>
        <v/>
      </c>
      <c r="L64" s="3" t="inlineStr">
        <is>
          <t>68%; 70.7 % (O-03)</t>
        </is>
      </c>
      <c r="M64" s="3" t="inlineStr">
        <is>
          <t>O-03, E-05, G-04</t>
        </is>
      </c>
      <c r="N64" s="3" t="inlineStr">
        <is>
          <t>fx_flows_6m_k, fx_hedged_6m_k</t>
        </is>
      </c>
    </row>
    <row r="65">
      <c r="A65" s="2" t="inlineStr">
        <is>
          <t>TRS-005</t>
        </is>
      </c>
      <c r="B65" s="3" t="inlineStr">
        <is>
          <t>FX sensitivity, 5% USD move</t>
        </is>
      </c>
      <c r="C65" s="3" t="inlineStr">
        <is>
          <t>₹ m</t>
        </is>
      </c>
      <c r="D65" s="3" t="inlineStr">
        <is>
          <t>Month end</t>
        </is>
      </c>
      <c r="E65" s="3" t="inlineStr">
        <is>
          <t>5% × (USD exposure − USD hedged) ÷ 1000</t>
        </is>
      </c>
      <c r="F65" s="21">
        <f>ROUND(0.05*('Group Inputs'!DB4-'Group Inputs'!DC4)/1000,2)</f>
        <v/>
      </c>
      <c r="G65" s="21">
        <f>ROUND(0.05*('Group Inputs'!DB5-'Group Inputs'!DC5)/1000,2)</f>
        <v/>
      </c>
      <c r="H65" s="21">
        <f>ROUND(0.05*('Group Inputs'!DB6-'Group Inputs'!DC6)/1000,2)</f>
        <v/>
      </c>
      <c r="I65" s="21">
        <f>ROUND(0.05*('Group Inputs'!DB7-'Group Inputs'!DC7)/1000,2)</f>
        <v/>
      </c>
      <c r="J65" s="21">
        <f>ROUND(0.05*('Group Inputs'!DB8-'Group Inputs'!DC8)/1000,2)</f>
        <v/>
      </c>
      <c r="K65" s="21">
        <f>ROUND(0.05*('Group Inputs'!DB9-'Group Inputs'!DC9)/1000,2)</f>
        <v/>
      </c>
      <c r="L65" s="3" t="inlineStr">
        <is>
          <t>₹3.2 m EBITDA</t>
        </is>
      </c>
      <c r="M65" s="3" t="inlineStr">
        <is>
          <t>—</t>
        </is>
      </c>
      <c r="N65" s="3" t="inlineStr">
        <is>
          <t>usd_exposure_k, usd_hedged_k</t>
        </is>
      </c>
    </row>
    <row r="66">
      <c r="A66" s="2" t="inlineStr">
        <is>
          <t>CPX-001</t>
        </is>
      </c>
      <c r="B66" s="3" t="inlineStr">
        <is>
          <t>Approved capex budget</t>
        </is>
      </c>
      <c r="C66" s="3" t="inlineStr">
        <is>
          <t>₹ m</t>
        </is>
      </c>
      <c r="D66" s="3" t="inlineStr">
        <is>
          <t>Full year</t>
        </is>
      </c>
      <c r="E66" s="3" t="inlineStr">
        <is>
          <t>Approved capex budget ÷ 1000</t>
        </is>
      </c>
      <c r="F66" s="21">
        <f>ROUND('Group Inputs'!DH4/1000,2)</f>
        <v/>
      </c>
      <c r="G66" s="21">
        <f>ROUND('Group Inputs'!DH5/1000,2)</f>
        <v/>
      </c>
      <c r="H66" s="21">
        <f>ROUND('Group Inputs'!DH6/1000,2)</f>
        <v/>
      </c>
      <c r="I66" s="21">
        <f>ROUND('Group Inputs'!DH7/1000,2)</f>
        <v/>
      </c>
      <c r="J66" s="21">
        <f>ROUND('Group Inputs'!DH8/1000,2)</f>
        <v/>
      </c>
      <c r="K66" s="21">
        <f>ROUND('Group Inputs'!DH9/1000,2)</f>
        <v/>
      </c>
      <c r="L66" s="3" t="inlineStr">
        <is>
          <t>850 ₹ m</t>
        </is>
      </c>
      <c r="M66" s="3" t="inlineStr">
        <is>
          <t>E-06,G-06,O-04</t>
        </is>
      </c>
      <c r="N66" s="3" t="inlineStr">
        <is>
          <t>capex_budget_k</t>
        </is>
      </c>
    </row>
    <row r="67">
      <c r="A67" s="2" t="inlineStr">
        <is>
          <t>CPX-002</t>
        </is>
      </c>
      <c r="B67" s="3" t="inlineStr">
        <is>
          <t>Committed capex</t>
        </is>
      </c>
      <c r="C67" s="3" t="inlineStr">
        <is>
          <t>₹ m</t>
        </is>
      </c>
      <c r="D67" s="3" t="inlineStr">
        <is>
          <t>To date</t>
        </is>
      </c>
      <c r="E67" s="3" t="inlineStr">
        <is>
          <t>Capex committed to date ÷ 1000</t>
        </is>
      </c>
      <c r="F67" s="21">
        <f>ROUND('Group Inputs'!DI4/1000,2)</f>
        <v/>
      </c>
      <c r="G67" s="21">
        <f>ROUND('Group Inputs'!DI5/1000,2)</f>
        <v/>
      </c>
      <c r="H67" s="21">
        <f>ROUND('Group Inputs'!DI6/1000,2)</f>
        <v/>
      </c>
      <c r="I67" s="21">
        <f>ROUND('Group Inputs'!DI7/1000,2)</f>
        <v/>
      </c>
      <c r="J67" s="21">
        <f>ROUND('Group Inputs'!DI8/1000,2)</f>
        <v/>
      </c>
      <c r="K67" s="21">
        <f>ROUND('Group Inputs'!DI9/1000,2)</f>
        <v/>
      </c>
      <c r="L67" s="3" t="inlineStr">
        <is>
          <t>610 ₹ m · 72%</t>
        </is>
      </c>
      <c r="M67" s="3" t="inlineStr">
        <is>
          <t>E-06,G-06,O-04</t>
        </is>
      </c>
      <c r="N67" s="3" t="inlineStr">
        <is>
          <t>capex_committed_k</t>
        </is>
      </c>
    </row>
    <row r="68">
      <c r="A68" s="2" t="inlineStr">
        <is>
          <t>CPX-003</t>
        </is>
      </c>
      <c r="B68" s="3" t="inlineStr">
        <is>
          <t>Capex actual spend YTD</t>
        </is>
      </c>
      <c r="C68" s="3" t="inlineStr">
        <is>
          <t>₹ m</t>
        </is>
      </c>
      <c r="D68" s="3" t="inlineStr">
        <is>
          <t>Year to date</t>
        </is>
      </c>
      <c r="E68" s="3" t="inlineStr">
        <is>
          <t>Sum of capex spent since April ÷ 1000</t>
        </is>
      </c>
      <c r="F68" s="21">
        <f>ROUND(SUM('Group Inputs'!DJ$4:DJ4)/1000,2)</f>
        <v/>
      </c>
      <c r="G68" s="21">
        <f>ROUND(SUM('Group Inputs'!DJ$4:DJ5)/1000,2)</f>
        <v/>
      </c>
      <c r="H68" s="21">
        <f>ROUND(SUM('Group Inputs'!DJ$4:DJ6)/1000,2)</f>
        <v/>
      </c>
      <c r="I68" s="21">
        <f>ROUND(SUM('Group Inputs'!DJ$4:DJ7)/1000,2)</f>
        <v/>
      </c>
      <c r="J68" s="21">
        <f>ROUND(SUM('Group Inputs'!DJ$4:DJ8)/1000,2)</f>
        <v/>
      </c>
      <c r="K68" s="21">
        <f>ROUND(SUM('Group Inputs'!DJ$4:DJ9)/1000,2)</f>
        <v/>
      </c>
      <c r="L68" s="3" t="inlineStr">
        <is>
          <t>402 ₹ m · 47%</t>
        </is>
      </c>
      <c r="M68" s="3" t="inlineStr">
        <is>
          <t>E-06,G-06,O-04</t>
        </is>
      </c>
      <c r="N68" s="3" t="inlineStr">
        <is>
          <t>capex_spend_k</t>
        </is>
      </c>
    </row>
    <row r="69">
      <c r="A69" s="2" t="inlineStr">
        <is>
          <t>CPX-004</t>
        </is>
      </c>
      <c r="B69" s="3" t="inlineStr">
        <is>
          <t>Capex physical progress, weighted</t>
        </is>
      </c>
      <c r="C69" s="3" t="inlineStr">
        <is>
          <t>%</t>
        </is>
      </c>
      <c r="D69" s="3" t="inlineStr">
        <is>
          <t>To date</t>
        </is>
      </c>
      <c r="E69" s="3" t="inlineStr">
        <is>
          <t>Work completed valued at budget ÷ Approved budget × 100 (weights each project by its budget)</t>
        </is>
      </c>
      <c r="F69" s="21">
        <f>ROUND(IF('Group Inputs'!DH4=0,0,100*'Group Inputs'!DK4/'Group Inputs'!DH4),2)</f>
        <v/>
      </c>
      <c r="G69" s="21">
        <f>ROUND(IF('Group Inputs'!DH5=0,0,100*'Group Inputs'!DK5/'Group Inputs'!DH5),2)</f>
        <v/>
      </c>
      <c r="H69" s="21">
        <f>ROUND(IF('Group Inputs'!DH6=0,0,100*'Group Inputs'!DK6/'Group Inputs'!DH6),2)</f>
        <v/>
      </c>
      <c r="I69" s="21">
        <f>ROUND(IF('Group Inputs'!DH7=0,0,100*'Group Inputs'!DK7/'Group Inputs'!DH7),2)</f>
        <v/>
      </c>
      <c r="J69" s="21">
        <f>ROUND(IF('Group Inputs'!DH8=0,0,100*'Group Inputs'!DK8/'Group Inputs'!DH8),2)</f>
        <v/>
      </c>
      <c r="K69" s="21">
        <f>ROUND(IF('Group Inputs'!DH9=0,0,100*'Group Inputs'!DK9/'Group Inputs'!DH9),2)</f>
        <v/>
      </c>
      <c r="L69" s="3" t="inlineStr">
        <is>
          <t>61 % weighted</t>
        </is>
      </c>
      <c r="M69" s="3" t="inlineStr">
        <is>
          <t>E-06,G-01,G-06,O-01,O-04,STATE GALLERY</t>
        </is>
      </c>
      <c r="N69" s="3" t="inlineStr">
        <is>
          <t>capex_budget_k, capex_earned_value_k</t>
        </is>
      </c>
    </row>
    <row r="70">
      <c r="A70" s="2" t="inlineStr">
        <is>
          <t>SIG-011</t>
        </is>
      </c>
      <c r="B70" s="3" t="inlineStr">
        <is>
          <t>Capex value at risk</t>
        </is>
      </c>
      <c r="C70" s="3" t="inlineStr">
        <is>
          <t>₹ m</t>
        </is>
      </c>
      <c r="D70" s="3" t="inlineStr">
        <is>
          <t>Month end</t>
        </is>
      </c>
      <c r="E70" s="3" t="inlineStr">
        <is>
          <t>Budget of projects at risk ÷ 1000</t>
        </is>
      </c>
      <c r="F70" s="21">
        <f>ROUND('Group Inputs'!DL4/1000,2)</f>
        <v/>
      </c>
      <c r="G70" s="21">
        <f>ROUND('Group Inputs'!DL5/1000,2)</f>
        <v/>
      </c>
      <c r="H70" s="21">
        <f>ROUND('Group Inputs'!DL6/1000,2)</f>
        <v/>
      </c>
      <c r="I70" s="21">
        <f>ROUND('Group Inputs'!DL7/1000,2)</f>
        <v/>
      </c>
      <c r="J70" s="21">
        <f>ROUND('Group Inputs'!DL8/1000,2)</f>
        <v/>
      </c>
      <c r="K70" s="21">
        <f>ROUND('Group Inputs'!DL9/1000,2)</f>
        <v/>
      </c>
      <c r="L70" s="3" t="inlineStr">
        <is>
          <t>₹34 m</t>
        </is>
      </c>
      <c r="M70" s="3" t="inlineStr">
        <is>
          <t>E-06,G-06,O-04</t>
        </is>
      </c>
      <c r="N70" s="3" t="inlineStr">
        <is>
          <t>capex_at_risk_k</t>
        </is>
      </c>
    </row>
    <row r="71">
      <c r="A71" s="2" t="inlineStr">
        <is>
          <t>PRG-001</t>
        </is>
      </c>
      <c r="B71" s="3" t="inlineStr">
        <is>
          <t>Capex project status</t>
        </is>
      </c>
      <c r="C71" s="3" t="inlineStr">
        <is>
          <t>text</t>
        </is>
      </c>
      <c r="D71" s="3" t="inlineStr">
        <is>
          <t>Month end</t>
        </is>
      </c>
      <c r="E71" s="3" t="inlineStr">
        <is>
          <t>Count of projects by status</t>
        </is>
      </c>
      <c r="F71" s="8">
        <f>'Group Inputs'!DM4&amp;" on track · "&amp;'Group Inputs'!DN4&amp;" at risk · "&amp;'Group Inputs'!DO4&amp;" off track"</f>
        <v/>
      </c>
      <c r="G71" s="8">
        <f>'Group Inputs'!DM5&amp;" on track · "&amp;'Group Inputs'!DN5&amp;" at risk · "&amp;'Group Inputs'!DO5&amp;" off track"</f>
        <v/>
      </c>
      <c r="H71" s="8">
        <f>'Group Inputs'!DM6&amp;" on track · "&amp;'Group Inputs'!DN6&amp;" at risk · "&amp;'Group Inputs'!DO6&amp;" off track"</f>
        <v/>
      </c>
      <c r="I71" s="8">
        <f>'Group Inputs'!DM7&amp;" on track · "&amp;'Group Inputs'!DN7&amp;" at risk · "&amp;'Group Inputs'!DO7&amp;" off track"</f>
        <v/>
      </c>
      <c r="J71" s="8">
        <f>'Group Inputs'!DM8&amp;" on track · "&amp;'Group Inputs'!DN8&amp;" at risk · "&amp;'Group Inputs'!DO8&amp;" off track"</f>
        <v/>
      </c>
      <c r="K71" s="8">
        <f>'Group Inputs'!DM9&amp;" on track · "&amp;'Group Inputs'!DN9&amp;" at risk · "&amp;'Group Inputs'!DO9&amp;" off track"</f>
        <v/>
      </c>
      <c r="L71" s="3" t="inlineStr">
        <is>
          <t>9 on track · 2 at risk · 0 off track</t>
        </is>
      </c>
      <c r="M71" s="3" t="inlineStr">
        <is>
          <t>G-06,O-04</t>
        </is>
      </c>
      <c r="N71" s="3" t="inlineStr">
        <is>
          <t>projects_on_track, projects_at_risk, projects_off_track</t>
        </is>
      </c>
    </row>
    <row r="72">
      <c r="A72" s="2" t="inlineStr">
        <is>
          <t>PRG-002</t>
        </is>
      </c>
      <c r="B72" s="3" t="inlineStr">
        <is>
          <t>Benefits realisation</t>
        </is>
      </c>
      <c r="C72" s="3" t="inlineStr">
        <is>
          <t>%</t>
        </is>
      </c>
      <c r="D72" s="3" t="inlineStr">
        <is>
          <t>Year to date</t>
        </is>
      </c>
      <c r="E72" s="3" t="inlineStr">
        <is>
          <t>Benefits delivered since April ÷ Benefits planned since April × 100</t>
        </is>
      </c>
      <c r="F72" s="21">
        <f>ROUND(IF(SUM('Group Inputs'!DX$4:DX4)=0,0,100*SUM('Group Inputs'!DY$4:DY4)/SUM('Group Inputs'!DX$4:DX4)),2)</f>
        <v/>
      </c>
      <c r="G72" s="21">
        <f>ROUND(IF(SUM('Group Inputs'!DX$4:DX5)=0,0,100*SUM('Group Inputs'!DY$4:DY5)/SUM('Group Inputs'!DX$4:DX5)),2)</f>
        <v/>
      </c>
      <c r="H72" s="21">
        <f>ROUND(IF(SUM('Group Inputs'!DX$4:DX6)=0,0,100*SUM('Group Inputs'!DY$4:DY6)/SUM('Group Inputs'!DX$4:DX6)),2)</f>
        <v/>
      </c>
      <c r="I72" s="21">
        <f>ROUND(IF(SUM('Group Inputs'!DX$4:DX7)=0,0,100*SUM('Group Inputs'!DY$4:DY7)/SUM('Group Inputs'!DX$4:DX7)),2)</f>
        <v/>
      </c>
      <c r="J72" s="21">
        <f>ROUND(IF(SUM('Group Inputs'!DX$4:DX8)=0,0,100*SUM('Group Inputs'!DY$4:DY8)/SUM('Group Inputs'!DX$4:DX8)),2)</f>
        <v/>
      </c>
      <c r="K72" s="21">
        <f>ROUND(IF(SUM('Group Inputs'!DX$4:DX9)=0,0,100*SUM('Group Inputs'!DY$4:DY9)/SUM('Group Inputs'!DX$4:DX9)),2)</f>
        <v/>
      </c>
      <c r="L72" s="3" t="inlineStr">
        <is>
          <t>48 % of plan</t>
        </is>
      </c>
      <c r="M72" s="3" t="inlineStr">
        <is>
          <t>E-06,G-06,O-04</t>
        </is>
      </c>
      <c r="N72" s="3" t="inlineStr">
        <is>
          <t>benefits_planned_k, benefits_delivered_k</t>
        </is>
      </c>
    </row>
    <row r="73">
      <c r="A73" s="2" t="inlineStr">
        <is>
          <t>PRG-003</t>
        </is>
      </c>
      <c r="B73" s="3" t="inlineStr">
        <is>
          <t>Delayed projects</t>
        </is>
      </c>
      <c r="C73" s="3" t="inlineStr">
        <is>
          <t>count</t>
        </is>
      </c>
      <c r="D73" s="3" t="inlineStr">
        <is>
          <t>Month end</t>
        </is>
      </c>
      <c r="E73" s="3" t="inlineStr">
        <is>
          <t>Capex projects delayed</t>
        </is>
      </c>
      <c r="F73" s="21">
        <f>ROUND('Group Inputs'!DP4,2)</f>
        <v/>
      </c>
      <c r="G73" s="21">
        <f>ROUND('Group Inputs'!DP5,2)</f>
        <v/>
      </c>
      <c r="H73" s="21">
        <f>ROUND('Group Inputs'!DP6,2)</f>
        <v/>
      </c>
      <c r="I73" s="21">
        <f>ROUND('Group Inputs'!DP7,2)</f>
        <v/>
      </c>
      <c r="J73" s="21">
        <f>ROUND('Group Inputs'!DP8,2)</f>
        <v/>
      </c>
      <c r="K73" s="21">
        <f>ROUND('Group Inputs'!DP9,2)</f>
        <v/>
      </c>
      <c r="L73" s="3" t="inlineStr">
        <is>
          <t>1</t>
        </is>
      </c>
      <c r="M73" s="3" t="inlineStr">
        <is>
          <t>E-06,G-06,O-04</t>
        </is>
      </c>
      <c r="N73" s="3" t="inlineStr">
        <is>
          <t>projects_delayed</t>
        </is>
      </c>
    </row>
    <row r="74">
      <c r="A74" s="2" t="inlineStr">
        <is>
          <t>PRG-004</t>
        </is>
      </c>
      <c r="B74" s="3" t="inlineStr">
        <is>
          <t>Capex / transformation progress (same measure as STR-002)</t>
        </is>
      </c>
      <c r="C74" s="3" t="inlineStr">
        <is>
          <t>%</t>
        </is>
      </c>
      <c r="D74" s="3" t="inlineStr">
        <is>
          <t>To date</t>
        </is>
      </c>
      <c r="E74" s="3" t="inlineStr">
        <is>
          <t>Transformation milestones completed ÷ Milestones in plan × 100</t>
        </is>
      </c>
      <c r="F74" s="21">
        <f>ROUND(IF('Group Inputs'!DV4=0,0,100*'Group Inputs'!DW4/'Group Inputs'!DV4),2)</f>
        <v/>
      </c>
      <c r="G74" s="21">
        <f>ROUND(IF('Group Inputs'!DV5=0,0,100*'Group Inputs'!DW5/'Group Inputs'!DV5),2)</f>
        <v/>
      </c>
      <c r="H74" s="21">
        <f>ROUND(IF('Group Inputs'!DV6=0,0,100*'Group Inputs'!DW6/'Group Inputs'!DV6),2)</f>
        <v/>
      </c>
      <c r="I74" s="21">
        <f>ROUND(IF('Group Inputs'!DV7=0,0,100*'Group Inputs'!DW7/'Group Inputs'!DV7),2)</f>
        <v/>
      </c>
      <c r="J74" s="21">
        <f>ROUND(IF('Group Inputs'!DV8=0,0,100*'Group Inputs'!DW8/'Group Inputs'!DV8),2)</f>
        <v/>
      </c>
      <c r="K74" s="21">
        <f>ROUND(IF('Group Inputs'!DV9=0,0,100*'Group Inputs'!DW9/'Group Inputs'!DV9),2)</f>
        <v/>
      </c>
      <c r="L74" s="3" t="inlineStr">
        <is>
          <t>54%</t>
        </is>
      </c>
      <c r="M74" s="3" t="inlineStr">
        <is>
          <t>E-01,G-01,O-01,O-04</t>
        </is>
      </c>
      <c r="N74" s="3" t="inlineStr">
        <is>
          <t>milestones_total, milestones_done</t>
        </is>
      </c>
    </row>
    <row r="75">
      <c r="A75" s="2" t="inlineStr">
        <is>
          <t>STR-002</t>
        </is>
      </c>
      <c r="B75" s="3" t="inlineStr">
        <is>
          <t>Transformation progress</t>
        </is>
      </c>
      <c r="C75" s="3" t="inlineStr">
        <is>
          <t>%</t>
        </is>
      </c>
      <c r="D75" s="3" t="inlineStr">
        <is>
          <t>To date</t>
        </is>
      </c>
      <c r="E75" s="3" t="inlineStr">
        <is>
          <t>Transformation milestones completed ÷ Milestones in plan × 100</t>
        </is>
      </c>
      <c r="F75" s="21">
        <f>ROUND(IF('Group Inputs'!DV4=0,0,100*'Group Inputs'!DW4/'Group Inputs'!DV4),2)</f>
        <v/>
      </c>
      <c r="G75" s="21">
        <f>ROUND(IF('Group Inputs'!DV5=0,0,100*'Group Inputs'!DW5/'Group Inputs'!DV5),2)</f>
        <v/>
      </c>
      <c r="H75" s="21">
        <f>ROUND(IF('Group Inputs'!DV6=0,0,100*'Group Inputs'!DW6/'Group Inputs'!DV6),2)</f>
        <v/>
      </c>
      <c r="I75" s="21">
        <f>ROUND(IF('Group Inputs'!DV7=0,0,100*'Group Inputs'!DW7/'Group Inputs'!DV7),2)</f>
        <v/>
      </c>
      <c r="J75" s="21">
        <f>ROUND(IF('Group Inputs'!DV8=0,0,100*'Group Inputs'!DW8/'Group Inputs'!DV8),2)</f>
        <v/>
      </c>
      <c r="K75" s="21">
        <f>ROUND(IF('Group Inputs'!DV9=0,0,100*'Group Inputs'!DW9/'Group Inputs'!DV9),2)</f>
        <v/>
      </c>
      <c r="L75" s="3" t="inlineStr">
        <is>
          <t>54%</t>
        </is>
      </c>
      <c r="M75" s="3" t="inlineStr">
        <is>
          <t>G-06,O-01,O-04,STATE GALLERY</t>
        </is>
      </c>
      <c r="N75" s="3" t="inlineStr">
        <is>
          <t>milestones_total, milestones_done</t>
        </is>
      </c>
    </row>
    <row r="76">
      <c r="A76" s="2" t="inlineStr">
        <is>
          <t>PRG-005</t>
        </is>
      </c>
      <c r="B76" s="3" t="inlineStr">
        <is>
          <t>Transformation initiative status</t>
        </is>
      </c>
      <c r="C76" s="3" t="inlineStr">
        <is>
          <t>text</t>
        </is>
      </c>
      <c r="D76" s="3" t="inlineStr">
        <is>
          <t>Month end</t>
        </is>
      </c>
      <c r="E76" s="3" t="inlineStr">
        <is>
          <t>Count of transformation initiatives by status</t>
        </is>
      </c>
      <c r="F76" s="8">
        <f>'Group Inputs'!DS4&amp;" on track · "&amp;'Group Inputs'!DT4&amp;" at risk · "&amp;'Group Inputs'!DU4&amp;" delayed"</f>
        <v/>
      </c>
      <c r="G76" s="8">
        <f>'Group Inputs'!DS5&amp;" on track · "&amp;'Group Inputs'!DT5&amp;" at risk · "&amp;'Group Inputs'!DU5&amp;" delayed"</f>
        <v/>
      </c>
      <c r="H76" s="8">
        <f>'Group Inputs'!DS6&amp;" on track · "&amp;'Group Inputs'!DT6&amp;" at risk · "&amp;'Group Inputs'!DU6&amp;" delayed"</f>
        <v/>
      </c>
      <c r="I76" s="8">
        <f>'Group Inputs'!DS7&amp;" on track · "&amp;'Group Inputs'!DT7&amp;" at risk · "&amp;'Group Inputs'!DU7&amp;" delayed"</f>
        <v/>
      </c>
      <c r="J76" s="8">
        <f>'Group Inputs'!DS8&amp;" on track · "&amp;'Group Inputs'!DT8&amp;" at risk · "&amp;'Group Inputs'!DU8&amp;" delayed"</f>
        <v/>
      </c>
      <c r="K76" s="8">
        <f>'Group Inputs'!DS9&amp;" on track · "&amp;'Group Inputs'!DT9&amp;" at risk · "&amp;'Group Inputs'!DU9&amp;" delayed"</f>
        <v/>
      </c>
      <c r="L76" s="3" t="inlineStr">
        <is>
          <t>15 on track · 6 at risk · 3 delayed</t>
        </is>
      </c>
      <c r="M76" s="3" t="inlineStr">
        <is>
          <t>E-06,O-04</t>
        </is>
      </c>
      <c r="N76" s="3" t="inlineStr">
        <is>
          <t>initiatives_on_track, initiatives_at_risk, initiatives_delayed</t>
        </is>
      </c>
    </row>
    <row r="77">
      <c r="A77" s="2" t="inlineStr">
        <is>
          <t>SUP-006</t>
        </is>
      </c>
      <c r="B77" s="3" t="inlineStr">
        <is>
          <t>Contractor slippage</t>
        </is>
      </c>
      <c r="C77" s="3" t="inlineStr">
        <is>
          <t>days</t>
        </is>
      </c>
      <c r="D77" s="3" t="inlineStr">
        <is>
          <t>Month</t>
        </is>
      </c>
      <c r="E77" s="3" t="inlineStr">
        <is>
          <t>Contractor days late ÷ Contractor milestones due (average days late per milestone)</t>
        </is>
      </c>
      <c r="F77" s="21">
        <f>ROUND(IF('Group Inputs'!DQ4=0,0,'Group Inputs'!DR4/'Group Inputs'!DQ4),2)</f>
        <v/>
      </c>
      <c r="G77" s="21">
        <f>ROUND(IF('Group Inputs'!DQ5=0,0,'Group Inputs'!DR5/'Group Inputs'!DQ5),2)</f>
        <v/>
      </c>
      <c r="H77" s="21">
        <f>ROUND(IF('Group Inputs'!DQ6=0,0,'Group Inputs'!DR6/'Group Inputs'!DQ6),2)</f>
        <v/>
      </c>
      <c r="I77" s="21">
        <f>ROUND(IF('Group Inputs'!DQ7=0,0,'Group Inputs'!DR7/'Group Inputs'!DQ7),2)</f>
        <v/>
      </c>
      <c r="J77" s="21">
        <f>ROUND(IF('Group Inputs'!DQ8=0,0,'Group Inputs'!DR8/'Group Inputs'!DQ8),2)</f>
        <v/>
      </c>
      <c r="K77" s="21">
        <f>ROUND(IF('Group Inputs'!DQ9=0,0,'Group Inputs'!DR9/'Group Inputs'!DQ9),2)</f>
        <v/>
      </c>
      <c r="L77" s="3" t="inlineStr">
        <is>
          <t>Not shown</t>
        </is>
      </c>
      <c r="M77" s="3" t="inlineStr">
        <is>
          <t>E-04,E-06,G-06</t>
        </is>
      </c>
      <c r="N77" s="3" t="inlineStr">
        <is>
          <t>contractor_milestones_due, contractor_days_late</t>
        </is>
      </c>
    </row>
    <row r="78">
      <c r="A78" s="2" t="inlineStr">
        <is>
          <t>VAL-001</t>
        </is>
      </c>
      <c r="B78" s="3" t="inlineStr">
        <is>
          <t>EBITDA benefit YTD</t>
        </is>
      </c>
      <c r="C78" s="3" t="inlineStr">
        <is>
          <t>₹ m</t>
        </is>
      </c>
      <c r="D78" s="3" t="inlineStr">
        <is>
          <t>Year to date</t>
        </is>
      </c>
      <c r="E78" s="3" t="inlineStr">
        <is>
          <t>Sum of EBITDA benefit since April ÷ 1000</t>
        </is>
      </c>
      <c r="F78" s="21">
        <f>ROUND(SUM('Group Inputs'!DZ$4:DZ4)/1000,2)</f>
        <v/>
      </c>
      <c r="G78" s="21">
        <f>ROUND(SUM('Group Inputs'!DZ$4:DZ5)/1000,2)</f>
        <v/>
      </c>
      <c r="H78" s="21">
        <f>ROUND(SUM('Group Inputs'!DZ$4:DZ6)/1000,2)</f>
        <v/>
      </c>
      <c r="I78" s="21">
        <f>ROUND(SUM('Group Inputs'!DZ$4:DZ7)/1000,2)</f>
        <v/>
      </c>
      <c r="J78" s="21">
        <f>ROUND(SUM('Group Inputs'!DZ$4:DZ8)/1000,2)</f>
        <v/>
      </c>
      <c r="K78" s="21">
        <f>ROUND(SUM('Group Inputs'!DZ$4:DZ9)/1000,2)</f>
        <v/>
      </c>
      <c r="L78" s="3" t="inlineStr">
        <is>
          <t>₹14 m</t>
        </is>
      </c>
      <c r="M78" s="3" t="inlineStr">
        <is>
          <t>E-06,G-06,O-04</t>
        </is>
      </c>
      <c r="N78" s="3" t="inlineStr">
        <is>
          <t>ebitda_benefit_k</t>
        </is>
      </c>
    </row>
    <row r="79">
      <c r="A79" s="2" t="inlineStr">
        <is>
          <t>VAL-002</t>
        </is>
      </c>
      <c r="B79" s="3" t="inlineStr">
        <is>
          <t>Cash benefit YTD</t>
        </is>
      </c>
      <c r="C79" s="3" t="inlineStr">
        <is>
          <t>₹ m</t>
        </is>
      </c>
      <c r="D79" s="3" t="inlineStr">
        <is>
          <t>Year to date</t>
        </is>
      </c>
      <c r="E79" s="3" t="inlineStr">
        <is>
          <t>Sum of cash benefit since April ÷ 1000</t>
        </is>
      </c>
      <c r="F79" s="21">
        <f>ROUND(SUM('Group Inputs'!EA$4:EA4)/1000,2)</f>
        <v/>
      </c>
      <c r="G79" s="21">
        <f>ROUND(SUM('Group Inputs'!EA$4:EA5)/1000,2)</f>
        <v/>
      </c>
      <c r="H79" s="21">
        <f>ROUND(SUM('Group Inputs'!EA$4:EA6)/1000,2)</f>
        <v/>
      </c>
      <c r="I79" s="21">
        <f>ROUND(SUM('Group Inputs'!EA$4:EA7)/1000,2)</f>
        <v/>
      </c>
      <c r="J79" s="21">
        <f>ROUND(SUM('Group Inputs'!EA$4:EA8)/1000,2)</f>
        <v/>
      </c>
      <c r="K79" s="21">
        <f>ROUND(SUM('Group Inputs'!EA$4:EA9)/1000,2)</f>
        <v/>
      </c>
      <c r="L79" s="3" t="inlineStr">
        <is>
          <t>₹9 m</t>
        </is>
      </c>
      <c r="M79" s="3" t="inlineStr">
        <is>
          <t>E-06,G-06,O-04</t>
        </is>
      </c>
      <c r="N79" s="3" t="inlineStr">
        <is>
          <t>cash_benefit_k</t>
        </is>
      </c>
    </row>
    <row r="80">
      <c r="A80" s="2" t="inlineStr">
        <is>
          <t>VAL-003</t>
        </is>
      </c>
      <c r="B80" s="3" t="inlineStr">
        <is>
          <t>Cost savings delivered YTD</t>
        </is>
      </c>
      <c r="C80" s="3" t="inlineStr">
        <is>
          <t>₹ m</t>
        </is>
      </c>
      <c r="D80" s="3" t="inlineStr">
        <is>
          <t>Year to date</t>
        </is>
      </c>
      <c r="E80" s="3" t="inlineStr">
        <is>
          <t>Sum of cost savings since April ÷ 1000</t>
        </is>
      </c>
      <c r="F80" s="21">
        <f>ROUND(SUM('Group Inputs'!EB$4:EB4)/1000,2)</f>
        <v/>
      </c>
      <c r="G80" s="21">
        <f>ROUND(SUM('Group Inputs'!EB$4:EB5)/1000,2)</f>
        <v/>
      </c>
      <c r="H80" s="21">
        <f>ROUND(SUM('Group Inputs'!EB$4:EB6)/1000,2)</f>
        <v/>
      </c>
      <c r="I80" s="21">
        <f>ROUND(SUM('Group Inputs'!EB$4:EB7)/1000,2)</f>
        <v/>
      </c>
      <c r="J80" s="21">
        <f>ROUND(SUM('Group Inputs'!EB$4:EB8)/1000,2)</f>
        <v/>
      </c>
      <c r="K80" s="21">
        <f>ROUND(SUM('Group Inputs'!EB$4:EB9)/1000,2)</f>
        <v/>
      </c>
      <c r="L80" s="3" t="inlineStr">
        <is>
          <t>₹11 m</t>
        </is>
      </c>
      <c r="M80" s="3" t="inlineStr">
        <is>
          <t>E-06,G-06,O-04</t>
        </is>
      </c>
      <c r="N80" s="3" t="inlineStr">
        <is>
          <t>cost_savings_k</t>
        </is>
      </c>
    </row>
    <row r="81">
      <c r="A81" s="2" t="inlineStr">
        <is>
          <t>SUP-001</t>
        </is>
      </c>
      <c r="B81" s="3" t="inlineStr">
        <is>
          <t>Supplier on-time delivery</t>
        </is>
      </c>
      <c r="C81" s="3" t="inlineStr">
        <is>
          <t>%</t>
        </is>
      </c>
      <c r="D81" s="3" t="inlineStr">
        <is>
          <t>Month</t>
        </is>
      </c>
      <c r="E81" s="3" t="inlineStr">
        <is>
          <t>Purchase-order lines on time ÷ Lines due × 100</t>
        </is>
      </c>
      <c r="F81" s="21">
        <f>ROUND(IF('Group Inputs'!AY4=0,0,100*'Group Inputs'!AZ4/'Group Inputs'!AY4),2)</f>
        <v/>
      </c>
      <c r="G81" s="21">
        <f>ROUND(IF('Group Inputs'!AY5=0,0,100*'Group Inputs'!AZ5/'Group Inputs'!AY5),2)</f>
        <v/>
      </c>
      <c r="H81" s="21">
        <f>ROUND(IF('Group Inputs'!AY6=0,0,100*'Group Inputs'!AZ6/'Group Inputs'!AY6),2)</f>
        <v/>
      </c>
      <c r="I81" s="21">
        <f>ROUND(IF('Group Inputs'!AY7=0,0,100*'Group Inputs'!AZ7/'Group Inputs'!AY7),2)</f>
        <v/>
      </c>
      <c r="J81" s="21">
        <f>ROUND(IF('Group Inputs'!AY8=0,0,100*'Group Inputs'!AZ8/'Group Inputs'!AY8),2)</f>
        <v/>
      </c>
      <c r="K81" s="21">
        <f>ROUND(IF('Group Inputs'!AY9=0,0,100*'Group Inputs'!AZ9/'Group Inputs'!AY9),2)</f>
        <v/>
      </c>
      <c r="L81" s="3" t="inlineStr">
        <is>
          <t>91%</t>
        </is>
      </c>
      <c r="M81" s="3" t="inlineStr">
        <is>
          <t>E-04, G-05</t>
        </is>
      </c>
      <c r="N81" s="3" t="inlineStr">
        <is>
          <t>po_lines_due, po_lines_on_time</t>
        </is>
      </c>
    </row>
    <row r="82">
      <c r="A82" s="2" t="inlineStr">
        <is>
          <t>SUP-002</t>
        </is>
      </c>
      <c r="B82" s="3" t="inlineStr">
        <is>
          <t>Supplier fill rate</t>
        </is>
      </c>
      <c r="C82" s="3" t="inlineStr">
        <is>
          <t>%</t>
        </is>
      </c>
      <c r="D82" s="3" t="inlineStr">
        <is>
          <t>Month</t>
        </is>
      </c>
      <c r="E82" s="3" t="inlineStr">
        <is>
          <t>Quantity received ÷ Quantity ordered × 100</t>
        </is>
      </c>
      <c r="F82" s="21">
        <f>ROUND(IF('Group Inputs'!BA4=0,0,100*'Group Inputs'!BB4/'Group Inputs'!BA4),2)</f>
        <v/>
      </c>
      <c r="G82" s="21">
        <f>ROUND(IF('Group Inputs'!BA5=0,0,100*'Group Inputs'!BB5/'Group Inputs'!BA5),2)</f>
        <v/>
      </c>
      <c r="H82" s="21">
        <f>ROUND(IF('Group Inputs'!BA6=0,0,100*'Group Inputs'!BB6/'Group Inputs'!BA6),2)</f>
        <v/>
      </c>
      <c r="I82" s="21">
        <f>ROUND(IF('Group Inputs'!BA7=0,0,100*'Group Inputs'!BB7/'Group Inputs'!BA7),2)</f>
        <v/>
      </c>
      <c r="J82" s="21">
        <f>ROUND(IF('Group Inputs'!BA8=0,0,100*'Group Inputs'!BB8/'Group Inputs'!BA8),2)</f>
        <v/>
      </c>
      <c r="K82" s="21">
        <f>ROUND(IF('Group Inputs'!BA9=0,0,100*'Group Inputs'!BB9/'Group Inputs'!BA9),2)</f>
        <v/>
      </c>
      <c r="L82" s="3" t="inlineStr">
        <is>
          <t>Not shown</t>
        </is>
      </c>
      <c r="M82" s="3" t="inlineStr">
        <is>
          <t>—</t>
        </is>
      </c>
      <c r="N82" s="3" t="inlineStr">
        <is>
          <t>qty_ordered_t, qty_received_t</t>
        </is>
      </c>
    </row>
    <row r="83">
      <c r="A83" s="2" t="inlineStr">
        <is>
          <t>SUP-003</t>
        </is>
      </c>
      <c r="B83" s="3" t="inlineStr">
        <is>
          <t>Supplier quality-rejection rate</t>
        </is>
      </c>
      <c r="C83" s="3" t="inlineStr">
        <is>
          <t>%</t>
        </is>
      </c>
      <c r="D83" s="3" t="inlineStr">
        <is>
          <t>Month</t>
        </is>
      </c>
      <c r="E83" s="3" t="inlineStr">
        <is>
          <t>Quantity rejected ÷ Quantity received × 100</t>
        </is>
      </c>
      <c r="F83" s="21">
        <f>ROUND(IF('Group Inputs'!BB4=0,0,100*'Group Inputs'!BC4/'Group Inputs'!BB4),2)</f>
        <v/>
      </c>
      <c r="G83" s="21">
        <f>ROUND(IF('Group Inputs'!BB5=0,0,100*'Group Inputs'!BC5/'Group Inputs'!BB5),2)</f>
        <v/>
      </c>
      <c r="H83" s="21">
        <f>ROUND(IF('Group Inputs'!BB6=0,0,100*'Group Inputs'!BC6/'Group Inputs'!BB6),2)</f>
        <v/>
      </c>
      <c r="I83" s="21">
        <f>ROUND(IF('Group Inputs'!BB7=0,0,100*'Group Inputs'!BC7/'Group Inputs'!BB7),2)</f>
        <v/>
      </c>
      <c r="J83" s="21">
        <f>ROUND(IF('Group Inputs'!BB8=0,0,100*'Group Inputs'!BC8/'Group Inputs'!BB8),2)</f>
        <v/>
      </c>
      <c r="K83" s="21">
        <f>ROUND(IF('Group Inputs'!BB9=0,0,100*'Group Inputs'!BC9/'Group Inputs'!BB9),2)</f>
        <v/>
      </c>
      <c r="L83" s="3" t="inlineStr">
        <is>
          <t>Not shown</t>
        </is>
      </c>
      <c r="M83" s="3" t="n"/>
      <c r="N83" s="3" t="inlineStr">
        <is>
          <t>qty_received_t, qty_rejected_t</t>
        </is>
      </c>
    </row>
    <row r="84">
      <c r="A84" s="2" t="inlineStr">
        <is>
          <t>SUP-004</t>
        </is>
      </c>
      <c r="B84" s="3" t="inlineStr">
        <is>
          <t>Supplier lead-time variance</t>
        </is>
      </c>
      <c r="C84" s="3" t="inlineStr">
        <is>
          <t>%</t>
        </is>
      </c>
      <c r="D84" s="3" t="inlineStr">
        <is>
          <t>Month</t>
        </is>
      </c>
      <c r="E84" s="3" t="inlineStr">
        <is>
          <t>(Actual lead time − Planned lead time) ÷ Planned lead time × 100</t>
        </is>
      </c>
      <c r="F84" s="21">
        <f>ROUND(IF('Group Inputs'!BD4=0,0,100*('Group Inputs'!BE4-'Group Inputs'!BD4)/'Group Inputs'!BD4),2)</f>
        <v/>
      </c>
      <c r="G84" s="21">
        <f>ROUND(IF('Group Inputs'!BD5=0,0,100*('Group Inputs'!BE5-'Group Inputs'!BD5)/'Group Inputs'!BD5),2)</f>
        <v/>
      </c>
      <c r="H84" s="21">
        <f>ROUND(IF('Group Inputs'!BD6=0,0,100*('Group Inputs'!BE6-'Group Inputs'!BD6)/'Group Inputs'!BD6),2)</f>
        <v/>
      </c>
      <c r="I84" s="21">
        <f>ROUND(IF('Group Inputs'!BD7=0,0,100*('Group Inputs'!BE7-'Group Inputs'!BD7)/'Group Inputs'!BD7),2)</f>
        <v/>
      </c>
      <c r="J84" s="21">
        <f>ROUND(IF('Group Inputs'!BD8=0,0,100*('Group Inputs'!BE8-'Group Inputs'!BD8)/'Group Inputs'!BD8),2)</f>
        <v/>
      </c>
      <c r="K84" s="21">
        <f>ROUND(IF('Group Inputs'!BD9=0,0,100*('Group Inputs'!BE9-'Group Inputs'!BD9)/'Group Inputs'!BD9),2)</f>
        <v/>
      </c>
      <c r="L84" s="3" t="inlineStr">
        <is>
          <t>38%</t>
        </is>
      </c>
      <c r="M84" s="3" t="inlineStr">
        <is>
          <t>E-04,G-05</t>
        </is>
      </c>
      <c r="N84" s="3" t="inlineStr">
        <is>
          <t>lead_time_planned_days, lead_time_actual_days</t>
        </is>
      </c>
    </row>
    <row r="85">
      <c r="A85" s="2" t="inlineStr">
        <is>
          <t>SUP-005</t>
        </is>
      </c>
      <c r="B85" s="3" t="inlineStr">
        <is>
          <t>Critical supplier exposure</t>
        </is>
      </c>
      <c r="C85" s="3" t="inlineStr">
        <is>
          <t>count</t>
        </is>
      </c>
      <c r="D85" s="3" t="inlineStr">
        <is>
          <t>Month end</t>
        </is>
      </c>
      <c r="E85" s="3" t="inlineStr">
        <is>
          <t>Critical single-source suppliers</t>
        </is>
      </c>
      <c r="F85" s="21">
        <f>ROUND('Group Inputs'!EG4,2)</f>
        <v/>
      </c>
      <c r="G85" s="21">
        <f>ROUND('Group Inputs'!EG5,2)</f>
        <v/>
      </c>
      <c r="H85" s="21">
        <f>ROUND('Group Inputs'!EG6,2)</f>
        <v/>
      </c>
      <c r="I85" s="21">
        <f>ROUND('Group Inputs'!EG7,2)</f>
        <v/>
      </c>
      <c r="J85" s="21">
        <f>ROUND('Group Inputs'!EG8,2)</f>
        <v/>
      </c>
      <c r="K85" s="21">
        <f>ROUND('Group Inputs'!EG9,2)</f>
        <v/>
      </c>
      <c r="L85" s="3" t="inlineStr">
        <is>
          <t>3 single-source (1 elevated: S-07)</t>
        </is>
      </c>
      <c r="M85" s="3" t="inlineStr">
        <is>
          <t>E-04,G-05</t>
        </is>
      </c>
      <c r="N85" s="3" t="inlineStr">
        <is>
          <t>single_source_suppliers</t>
        </is>
      </c>
    </row>
    <row r="86">
      <c r="A86" s="2" t="inlineStr">
        <is>
          <t>SUP-007</t>
        </is>
      </c>
      <c r="B86" s="3" t="inlineStr">
        <is>
          <t>Single-source spend share</t>
        </is>
      </c>
      <c r="C86" s="3" t="inlineStr">
        <is>
          <t>%</t>
        </is>
      </c>
      <c r="D86" s="3" t="inlineStr">
        <is>
          <t>Month</t>
        </is>
      </c>
      <c r="E86" s="3" t="inlineStr">
        <is>
          <t>Spend with single-source suppliers ÷ Supplier spend × 100</t>
        </is>
      </c>
      <c r="F86" s="21">
        <f>ROUND(IF('Group Inputs'!BF4=0,0,100*'Group Inputs'!BG4/'Group Inputs'!BF4),2)</f>
        <v/>
      </c>
      <c r="G86" s="21">
        <f>ROUND(IF('Group Inputs'!BF5=0,0,100*'Group Inputs'!BG5/'Group Inputs'!BF5),2)</f>
        <v/>
      </c>
      <c r="H86" s="21">
        <f>ROUND(IF('Group Inputs'!BF6=0,0,100*'Group Inputs'!BG6/'Group Inputs'!BF6),2)</f>
        <v/>
      </c>
      <c r="I86" s="21">
        <f>ROUND(IF('Group Inputs'!BF7=0,0,100*'Group Inputs'!BG7/'Group Inputs'!BF7),2)</f>
        <v/>
      </c>
      <c r="J86" s="21">
        <f>ROUND(IF('Group Inputs'!BF8=0,0,100*'Group Inputs'!BG8/'Group Inputs'!BF8),2)</f>
        <v/>
      </c>
      <c r="K86" s="21">
        <f>ROUND(IF('Group Inputs'!BF9=0,0,100*'Group Inputs'!BG9/'Group Inputs'!BF9),2)</f>
        <v/>
      </c>
      <c r="L86" s="3" t="inlineStr">
        <is>
          <t>38%</t>
        </is>
      </c>
      <c r="M86" s="3" t="inlineStr">
        <is>
          <t>—</t>
        </is>
      </c>
      <c r="N86" s="3" t="inlineStr">
        <is>
          <t>supplier_spend_k, single_source_spend_k</t>
        </is>
      </c>
    </row>
    <row r="87">
      <c r="A87" s="2" t="inlineStr">
        <is>
          <t>SUP-008</t>
        </is>
      </c>
      <c r="B87" s="3" t="inlineStr">
        <is>
          <t>Supplier EHS incidents YTD</t>
        </is>
      </c>
      <c r="C87" s="3" t="inlineStr">
        <is>
          <t>count</t>
        </is>
      </c>
      <c r="D87" s="3" t="inlineStr">
        <is>
          <t>Year to date</t>
        </is>
      </c>
      <c r="E87" s="3" t="inlineStr">
        <is>
          <t>Sum of supplier EHS incidents since April</t>
        </is>
      </c>
      <c r="F87" s="21">
        <f>ROUND(SUM('Group Inputs'!BH$4:BH4),2)</f>
        <v/>
      </c>
      <c r="G87" s="21">
        <f>ROUND(SUM('Group Inputs'!BH$4:BH5),2)</f>
        <v/>
      </c>
      <c r="H87" s="21">
        <f>ROUND(SUM('Group Inputs'!BH$4:BH6),2)</f>
        <v/>
      </c>
      <c r="I87" s="21">
        <f>ROUND(SUM('Group Inputs'!BH$4:BH7),2)</f>
        <v/>
      </c>
      <c r="J87" s="21">
        <f>ROUND(SUM('Group Inputs'!BH$4:BH8),2)</f>
        <v/>
      </c>
      <c r="K87" s="21">
        <f>ROUND(SUM('Group Inputs'!BH$4:BH9),2)</f>
        <v/>
      </c>
      <c r="L87" s="3" t="inlineStr">
        <is>
          <t>0</t>
        </is>
      </c>
      <c r="M87" s="3" t="inlineStr">
        <is>
          <t>—</t>
        </is>
      </c>
      <c r="N87" s="3" t="inlineStr">
        <is>
          <t>supplier_ehs_incidents</t>
        </is>
      </c>
    </row>
    <row r="88">
      <c r="A88" s="2" t="inlineStr">
        <is>
          <t>CON-001</t>
        </is>
      </c>
      <c r="B88" s="3" t="inlineStr">
        <is>
          <t>Contracts expiring, next 90 days</t>
        </is>
      </c>
      <c r="C88" s="3" t="inlineStr">
        <is>
          <t>count</t>
        </is>
      </c>
      <c r="D88" s="3" t="inlineStr">
        <is>
          <t>Month end</t>
        </is>
      </c>
      <c r="E88" s="3" t="inlineStr">
        <is>
          <t>Contracts expiring in next 90 days</t>
        </is>
      </c>
      <c r="F88" s="21">
        <f>ROUND('Group Inputs'!EE4,2)</f>
        <v/>
      </c>
      <c r="G88" s="21">
        <f>ROUND('Group Inputs'!EE5,2)</f>
        <v/>
      </c>
      <c r="H88" s="21">
        <f>ROUND('Group Inputs'!EE6,2)</f>
        <v/>
      </c>
      <c r="I88" s="21">
        <f>ROUND('Group Inputs'!EE7,2)</f>
        <v/>
      </c>
      <c r="J88" s="21">
        <f>ROUND('Group Inputs'!EE8,2)</f>
        <v/>
      </c>
      <c r="K88" s="21">
        <f>ROUND('Group Inputs'!EE9,2)</f>
        <v/>
      </c>
      <c r="L88" s="3" t="inlineStr">
        <is>
          <t>4</t>
        </is>
      </c>
      <c r="M88" s="3" t="inlineStr">
        <is>
          <t>E-04,E-07,G-07,O-05</t>
        </is>
      </c>
      <c r="N88" s="3" t="inlineStr">
        <is>
          <t>contracts_expiring_90d</t>
        </is>
      </c>
    </row>
    <row r="89">
      <c r="A89" s="2" t="inlineStr">
        <is>
          <t>CON-002</t>
        </is>
      </c>
      <c r="B89" s="3" t="inlineStr">
        <is>
          <t>Contract-compliance rate</t>
        </is>
      </c>
      <c r="C89" s="3" t="inlineStr">
        <is>
          <t>%</t>
        </is>
      </c>
      <c r="D89" s="3" t="inlineStr">
        <is>
          <t>Month end</t>
        </is>
      </c>
      <c r="E89" s="3" t="inlineStr">
        <is>
          <t>Contracts fully compliant ÷ Active contracts × 100</t>
        </is>
      </c>
      <c r="F89" s="21">
        <f>ROUND(IF('Group Inputs'!EC4=0,0,100*'Group Inputs'!ED4/'Group Inputs'!EC4),2)</f>
        <v/>
      </c>
      <c r="G89" s="21">
        <f>ROUND(IF('Group Inputs'!EC5=0,0,100*'Group Inputs'!ED5/'Group Inputs'!EC5),2)</f>
        <v/>
      </c>
      <c r="H89" s="21">
        <f>ROUND(IF('Group Inputs'!EC6=0,0,100*'Group Inputs'!ED6/'Group Inputs'!EC6),2)</f>
        <v/>
      </c>
      <c r="I89" s="21">
        <f>ROUND(IF('Group Inputs'!EC7=0,0,100*'Group Inputs'!ED7/'Group Inputs'!EC7),2)</f>
        <v/>
      </c>
      <c r="J89" s="21">
        <f>ROUND(IF('Group Inputs'!EC8=0,0,100*'Group Inputs'!ED8/'Group Inputs'!EC8),2)</f>
        <v/>
      </c>
      <c r="K89" s="21">
        <f>ROUND(IF('Group Inputs'!EC9=0,0,100*'Group Inputs'!ED9/'Group Inputs'!EC9),2)</f>
        <v/>
      </c>
      <c r="L89" s="3" t="inlineStr">
        <is>
          <t>96%</t>
        </is>
      </c>
      <c r="M89" s="3" t="inlineStr">
        <is>
          <t>E-04,E-07,G-07,O-05</t>
        </is>
      </c>
      <c r="N89" s="3" t="inlineStr">
        <is>
          <t>contracts_total, contracts_compliant</t>
        </is>
      </c>
    </row>
    <row r="90">
      <c r="A90" s="2" t="inlineStr">
        <is>
          <t>CON-003</t>
        </is>
      </c>
      <c r="B90" s="3" t="inlineStr">
        <is>
          <t>Supplier EHS non-compliance</t>
        </is>
      </c>
      <c r="C90" s="3" t="inlineStr">
        <is>
          <t>count</t>
        </is>
      </c>
      <c r="D90" s="3" t="inlineStr">
        <is>
          <t>Month end</t>
        </is>
      </c>
      <c r="E90" s="3" t="inlineStr">
        <is>
          <t>Suppliers not meeting EHS requirements</t>
        </is>
      </c>
      <c r="F90" s="21">
        <f>ROUND('Group Inputs'!EF4,2)</f>
        <v/>
      </c>
      <c r="G90" s="21">
        <f>ROUND('Group Inputs'!EF5,2)</f>
        <v/>
      </c>
      <c r="H90" s="21">
        <f>ROUND('Group Inputs'!EF6,2)</f>
        <v/>
      </c>
      <c r="I90" s="21">
        <f>ROUND('Group Inputs'!EF7,2)</f>
        <v/>
      </c>
      <c r="J90" s="21">
        <f>ROUND('Group Inputs'!EF8,2)</f>
        <v/>
      </c>
      <c r="K90" s="21">
        <f>ROUND('Group Inputs'!EF9,2)</f>
        <v/>
      </c>
      <c r="L90" s="3" t="inlineStr">
        <is>
          <t>1</t>
        </is>
      </c>
      <c r="M90" s="3" t="inlineStr">
        <is>
          <t>E-04,E-07,G-05,G-07,O-05</t>
        </is>
      </c>
      <c r="N90" s="3" t="inlineStr">
        <is>
          <t>supplier_ehs_noncompliance</t>
        </is>
      </c>
    </row>
    <row r="91">
      <c r="A91" s="2" t="inlineStr">
        <is>
          <t>REG-001</t>
        </is>
      </c>
      <c r="B91" s="3" t="inlineStr">
        <is>
          <t>Pending filings</t>
        </is>
      </c>
      <c r="C91" s="3" t="inlineStr">
        <is>
          <t>count</t>
        </is>
      </c>
      <c r="D91" s="3" t="inlineStr">
        <is>
          <t>Month end</t>
        </is>
      </c>
      <c r="E91" s="3" t="inlineStr">
        <is>
          <t>Regulatory filings pending</t>
        </is>
      </c>
      <c r="F91" s="21">
        <f>ROUND('Group Inputs'!BI4,2)</f>
        <v/>
      </c>
      <c r="G91" s="21">
        <f>ROUND('Group Inputs'!BI5,2)</f>
        <v/>
      </c>
      <c r="H91" s="21">
        <f>ROUND('Group Inputs'!BI6,2)</f>
        <v/>
      </c>
      <c r="I91" s="21">
        <f>ROUND('Group Inputs'!BI7,2)</f>
        <v/>
      </c>
      <c r="J91" s="21">
        <f>ROUND('Group Inputs'!BI8,2)</f>
        <v/>
      </c>
      <c r="K91" s="21">
        <f>ROUND('Group Inputs'!BI9,2)</f>
        <v/>
      </c>
      <c r="L91" s="3" t="inlineStr">
        <is>
          <t>3</t>
        </is>
      </c>
      <c r="M91" s="3" t="inlineStr">
        <is>
          <t>E-07,G-07</t>
        </is>
      </c>
      <c r="N91" s="3" t="inlineStr">
        <is>
          <t>pending_filings</t>
        </is>
      </c>
    </row>
    <row r="92">
      <c r="A92" s="2" t="inlineStr">
        <is>
          <t>REG-002</t>
        </is>
      </c>
      <c r="B92" s="3" t="inlineStr">
        <is>
          <t>Regulatory deadlines, next 30 days</t>
        </is>
      </c>
      <c r="C92" s="3" t="inlineStr">
        <is>
          <t>count</t>
        </is>
      </c>
      <c r="D92" s="3" t="inlineStr">
        <is>
          <t>Month end</t>
        </is>
      </c>
      <c r="E92" s="3" t="inlineStr">
        <is>
          <t>Regulatory deadlines in next 30 days</t>
        </is>
      </c>
      <c r="F92" s="21">
        <f>ROUND('Group Inputs'!BJ4,2)</f>
        <v/>
      </c>
      <c r="G92" s="21">
        <f>ROUND('Group Inputs'!BJ5,2)</f>
        <v/>
      </c>
      <c r="H92" s="21">
        <f>ROUND('Group Inputs'!BJ6,2)</f>
        <v/>
      </c>
      <c r="I92" s="21">
        <f>ROUND('Group Inputs'!BJ7,2)</f>
        <v/>
      </c>
      <c r="J92" s="21">
        <f>ROUND('Group Inputs'!BJ8,2)</f>
        <v/>
      </c>
      <c r="K92" s="21">
        <f>ROUND('Group Inputs'!BJ9,2)</f>
        <v/>
      </c>
      <c r="L92" s="3" t="inlineStr">
        <is>
          <t>3</t>
        </is>
      </c>
      <c r="M92" s="3" t="inlineStr">
        <is>
          <t>E-07,G-07</t>
        </is>
      </c>
      <c r="N92" s="3" t="inlineStr">
        <is>
          <t>reg_deadlines_30d</t>
        </is>
      </c>
    </row>
    <row r="93">
      <c r="A93" s="2" t="inlineStr">
        <is>
          <t>REG-003</t>
        </is>
      </c>
      <c r="B93" s="3" t="inlineStr">
        <is>
          <t>Licence expirations, next 12 months</t>
        </is>
      </c>
      <c r="C93" s="3" t="inlineStr">
        <is>
          <t>count</t>
        </is>
      </c>
      <c r="D93" s="3" t="inlineStr">
        <is>
          <t>Month end</t>
        </is>
      </c>
      <c r="E93" s="3" t="inlineStr">
        <is>
          <t>Licences expiring in next 12 months</t>
        </is>
      </c>
      <c r="F93" s="21">
        <f>ROUND('Group Inputs'!BK4,2)</f>
        <v/>
      </c>
      <c r="G93" s="21">
        <f>ROUND('Group Inputs'!BK5,2)</f>
        <v/>
      </c>
      <c r="H93" s="21">
        <f>ROUND('Group Inputs'!BK6,2)</f>
        <v/>
      </c>
      <c r="I93" s="21">
        <f>ROUND('Group Inputs'!BK7,2)</f>
        <v/>
      </c>
      <c r="J93" s="21">
        <f>ROUND('Group Inputs'!BK8,2)</f>
        <v/>
      </c>
      <c r="K93" s="21">
        <f>ROUND('Group Inputs'!BK9,2)</f>
        <v/>
      </c>
      <c r="L93" s="3" t="inlineStr">
        <is>
          <t>2</t>
        </is>
      </c>
      <c r="M93" s="3" t="inlineStr">
        <is>
          <t>E-07,G-07</t>
        </is>
      </c>
      <c r="N93" s="3" t="inlineStr">
        <is>
          <t>licences_expiring_12m</t>
        </is>
      </c>
    </row>
    <row r="94">
      <c r="A94" s="2" t="inlineStr">
        <is>
          <t>REG-004</t>
        </is>
      </c>
      <c r="B94" s="3" t="inlineStr">
        <is>
          <t>Regulatory obligations due, next 30 days</t>
        </is>
      </c>
      <c r="C94" s="3" t="inlineStr">
        <is>
          <t>count</t>
        </is>
      </c>
      <c r="D94" s="3" t="inlineStr">
        <is>
          <t>Month end</t>
        </is>
      </c>
      <c r="E94" s="3" t="inlineStr">
        <is>
          <t>Regulatory obligations due in next 30 days</t>
        </is>
      </c>
      <c r="F94" s="21">
        <f>ROUND('Group Inputs'!BL4,2)</f>
        <v/>
      </c>
      <c r="G94" s="21">
        <f>ROUND('Group Inputs'!BL5,2)</f>
        <v/>
      </c>
      <c r="H94" s="21">
        <f>ROUND('Group Inputs'!BL6,2)</f>
        <v/>
      </c>
      <c r="I94" s="21">
        <f>ROUND('Group Inputs'!BL7,2)</f>
        <v/>
      </c>
      <c r="J94" s="21">
        <f>ROUND('Group Inputs'!BL8,2)</f>
        <v/>
      </c>
      <c r="K94" s="21">
        <f>ROUND('Group Inputs'!BL9,2)</f>
        <v/>
      </c>
      <c r="L94" s="3" t="inlineStr">
        <is>
          <t>5</t>
        </is>
      </c>
      <c r="M94" s="3" t="inlineStr">
        <is>
          <t>E-07,G-07</t>
        </is>
      </c>
      <c r="N94" s="3" t="inlineStr">
        <is>
          <t>reg_obligations_due_30d</t>
        </is>
      </c>
    </row>
    <row r="95">
      <c r="A95" s="2" t="inlineStr">
        <is>
          <t>REG-005</t>
        </is>
      </c>
      <c r="B95" s="3" t="inlineStr">
        <is>
          <t>Overdue regulatory obligations</t>
        </is>
      </c>
      <c r="C95" s="3" t="inlineStr">
        <is>
          <t>count</t>
        </is>
      </c>
      <c r="D95" s="3" t="inlineStr">
        <is>
          <t>Month end</t>
        </is>
      </c>
      <c r="E95" s="3" t="inlineStr">
        <is>
          <t>Regulatory obligations overdue</t>
        </is>
      </c>
      <c r="F95" s="21">
        <f>ROUND('Group Inputs'!BM4,2)</f>
        <v/>
      </c>
      <c r="G95" s="21">
        <f>ROUND('Group Inputs'!BM5,2)</f>
        <v/>
      </c>
      <c r="H95" s="21">
        <f>ROUND('Group Inputs'!BM6,2)</f>
        <v/>
      </c>
      <c r="I95" s="21">
        <f>ROUND('Group Inputs'!BM7,2)</f>
        <v/>
      </c>
      <c r="J95" s="21">
        <f>ROUND('Group Inputs'!BM8,2)</f>
        <v/>
      </c>
      <c r="K95" s="21">
        <f>ROUND('Group Inputs'!BM9,2)</f>
        <v/>
      </c>
      <c r="L95" s="3" t="inlineStr">
        <is>
          <t>0</t>
        </is>
      </c>
      <c r="M95" s="3" t="inlineStr">
        <is>
          <t>E-07,G-07,O-05</t>
        </is>
      </c>
      <c r="N95" s="3" t="inlineStr">
        <is>
          <t>reg_obligations_overdue</t>
        </is>
      </c>
    </row>
    <row r="96">
      <c r="A96" s="2" t="inlineStr">
        <is>
          <t>REG-007</t>
        </is>
      </c>
      <c r="B96" s="3" t="inlineStr">
        <is>
          <t>Open regulatory actions</t>
        </is>
      </c>
      <c r="C96" s="3" t="inlineStr">
        <is>
          <t>count</t>
        </is>
      </c>
      <c r="D96" s="3" t="inlineStr">
        <is>
          <t>Month end</t>
        </is>
      </c>
      <c r="E96" s="3" t="inlineStr">
        <is>
          <t>Open regulatory actions</t>
        </is>
      </c>
      <c r="F96" s="21">
        <f>ROUND('Group Inputs'!BN4,2)</f>
        <v/>
      </c>
      <c r="G96" s="21">
        <f>ROUND('Group Inputs'!BN5,2)</f>
        <v/>
      </c>
      <c r="H96" s="21">
        <f>ROUND('Group Inputs'!BN6,2)</f>
        <v/>
      </c>
      <c r="I96" s="21">
        <f>ROUND('Group Inputs'!BN7,2)</f>
        <v/>
      </c>
      <c r="J96" s="21">
        <f>ROUND('Group Inputs'!BN8,2)</f>
        <v/>
      </c>
      <c r="K96" s="21">
        <f>ROUND('Group Inputs'!BN9,2)</f>
        <v/>
      </c>
      <c r="L96" s="3" t="inlineStr">
        <is>
          <t>2</t>
        </is>
      </c>
      <c r="M96" s="3" t="inlineStr">
        <is>
          <t>E-07,G-07</t>
        </is>
      </c>
      <c r="N96" s="3" t="inlineStr">
        <is>
          <t>reg_actions_open</t>
        </is>
      </c>
    </row>
    <row r="97">
      <c r="A97" s="2" t="inlineStr">
        <is>
          <t>REG-008</t>
        </is>
      </c>
      <c r="B97" s="3" t="inlineStr">
        <is>
          <t>Overdue compliance actions</t>
        </is>
      </c>
      <c r="C97" s="3" t="inlineStr">
        <is>
          <t>count</t>
        </is>
      </c>
      <c r="D97" s="3" t="inlineStr">
        <is>
          <t>Month end</t>
        </is>
      </c>
      <c r="E97" s="3" t="inlineStr">
        <is>
          <t>Overdue compliance actions</t>
        </is>
      </c>
      <c r="F97" s="21">
        <f>ROUND('Group Inputs'!BO4,2)</f>
        <v/>
      </c>
      <c r="G97" s="21">
        <f>ROUND('Group Inputs'!BO5,2)</f>
        <v/>
      </c>
      <c r="H97" s="21">
        <f>ROUND('Group Inputs'!BO6,2)</f>
        <v/>
      </c>
      <c r="I97" s="21">
        <f>ROUND('Group Inputs'!BO7,2)</f>
        <v/>
      </c>
      <c r="J97" s="21">
        <f>ROUND('Group Inputs'!BO8,2)</f>
        <v/>
      </c>
      <c r="K97" s="21">
        <f>ROUND('Group Inputs'!BO9,2)</f>
        <v/>
      </c>
      <c r="L97" s="3" t="inlineStr">
        <is>
          <t>0</t>
        </is>
      </c>
      <c r="M97" s="3" t="inlineStr">
        <is>
          <t>E-07,G-07</t>
        </is>
      </c>
      <c r="N97" s="3" t="inlineStr">
        <is>
          <t>compliance_actions_overdue</t>
        </is>
      </c>
    </row>
    <row r="98">
      <c r="A98" s="2" t="inlineStr">
        <is>
          <t>REG-009</t>
        </is>
      </c>
      <c r="B98" s="3" t="inlineStr">
        <is>
          <t>Disclosure-clock status</t>
        </is>
      </c>
      <c r="C98" s="3" t="inlineStr">
        <is>
          <t>text</t>
        </is>
      </c>
      <c r="D98" s="3" t="inlineStr">
        <is>
          <t>Month end</t>
        </is>
      </c>
      <c r="E98" s="3" t="inlineStr">
        <is>
          <t>Triggered if any event that needs disclosure is open, otherwise Not triggered</t>
        </is>
      </c>
      <c r="F98" s="8">
        <f>IF('Group Inputs'!BQ4&gt;0,"Triggered","Not triggered")</f>
        <v/>
      </c>
      <c r="G98" s="8">
        <f>IF('Group Inputs'!BQ5&gt;0,"Triggered","Not triggered")</f>
        <v/>
      </c>
      <c r="H98" s="8">
        <f>IF('Group Inputs'!BQ6&gt;0,"Triggered","Not triggered")</f>
        <v/>
      </c>
      <c r="I98" s="8">
        <f>IF('Group Inputs'!BQ7&gt;0,"Triggered","Not triggered")</f>
        <v/>
      </c>
      <c r="J98" s="8">
        <f>IF('Group Inputs'!BQ8&gt;0,"Triggered","Not triggered")</f>
        <v/>
      </c>
      <c r="K98" s="8">
        <f>IF('Group Inputs'!BQ9&gt;0,"Triggered","Not triggered")</f>
        <v/>
      </c>
      <c r="L98" s="3" t="inlineStr">
        <is>
          <t>Not triggered</t>
        </is>
      </c>
      <c r="M98" s="3" t="inlineStr">
        <is>
          <t>O-05</t>
        </is>
      </c>
      <c r="N98" s="3" t="inlineStr">
        <is>
          <t>disclosure_events_open</t>
        </is>
      </c>
    </row>
    <row r="99">
      <c r="A99" s="2" t="inlineStr">
        <is>
          <t>REG-010</t>
        </is>
      </c>
      <c r="B99" s="3" t="inlineStr">
        <is>
          <t>Regulatory breaches YTD</t>
        </is>
      </c>
      <c r="C99" s="3" t="inlineStr">
        <is>
          <t>count</t>
        </is>
      </c>
      <c r="D99" s="3" t="inlineStr">
        <is>
          <t>Year to date</t>
        </is>
      </c>
      <c r="E99" s="3" t="inlineStr">
        <is>
          <t>Sum of regulatory breaches since April</t>
        </is>
      </c>
      <c r="F99" s="21">
        <f>ROUND(SUM('Group Inputs'!BP$4:BP4),2)</f>
        <v/>
      </c>
      <c r="G99" s="21">
        <f>ROUND(SUM('Group Inputs'!BP$4:BP5),2)</f>
        <v/>
      </c>
      <c r="H99" s="21">
        <f>ROUND(SUM('Group Inputs'!BP$4:BP6),2)</f>
        <v/>
      </c>
      <c r="I99" s="21">
        <f>ROUND(SUM('Group Inputs'!BP$4:BP7),2)</f>
        <v/>
      </c>
      <c r="J99" s="21">
        <f>ROUND(SUM('Group Inputs'!BP$4:BP8),2)</f>
        <v/>
      </c>
      <c r="K99" s="21">
        <f>ROUND(SUM('Group Inputs'!BP$4:BP9),2)</f>
        <v/>
      </c>
      <c r="L99" s="3" t="inlineStr">
        <is>
          <t>0</t>
        </is>
      </c>
      <c r="M99" s="3" t="inlineStr">
        <is>
          <t>E-07,G-01,O-05</t>
        </is>
      </c>
      <c r="N99" s="3" t="inlineStr">
        <is>
          <t>reg_breaches</t>
        </is>
      </c>
    </row>
    <row r="100">
      <c r="A100" s="2" t="inlineStr">
        <is>
          <t>RSK-003</t>
        </is>
      </c>
      <c r="B100" s="3" t="inlineStr">
        <is>
          <t>Regulatory breaches YTD (same measure as REG-010)</t>
        </is>
      </c>
      <c r="C100" s="3" t="inlineStr">
        <is>
          <t>count</t>
        </is>
      </c>
      <c r="D100" s="3" t="inlineStr">
        <is>
          <t>Year to date</t>
        </is>
      </c>
      <c r="E100" s="3" t="inlineStr">
        <is>
          <t>Sum of regulatory breaches since April</t>
        </is>
      </c>
      <c r="F100" s="21">
        <f>ROUND(SUM('Group Inputs'!BP$4:BP4),2)</f>
        <v/>
      </c>
      <c r="G100" s="21">
        <f>ROUND(SUM('Group Inputs'!BP$4:BP5),2)</f>
        <v/>
      </c>
      <c r="H100" s="21">
        <f>ROUND(SUM('Group Inputs'!BP$4:BP6),2)</f>
        <v/>
      </c>
      <c r="I100" s="21">
        <f>ROUND(SUM('Group Inputs'!BP$4:BP7),2)</f>
        <v/>
      </c>
      <c r="J100" s="21">
        <f>ROUND(SUM('Group Inputs'!BP$4:BP8),2)</f>
        <v/>
      </c>
      <c r="K100" s="21">
        <f>ROUND(SUM('Group Inputs'!BP$4:BP9),2)</f>
        <v/>
      </c>
      <c r="L100" s="3" t="inlineStr">
        <is>
          <t>0</t>
        </is>
      </c>
      <c r="M100" s="3" t="inlineStr">
        <is>
          <t>O-01,STATE GALLERY</t>
        </is>
      </c>
      <c r="N100" s="3" t="inlineStr">
        <is>
          <t>reg_breaches</t>
        </is>
      </c>
    </row>
    <row r="101">
      <c r="A101" s="2" t="inlineStr">
        <is>
          <t>CMP-005</t>
        </is>
      </c>
      <c r="B101" s="3" t="inlineStr">
        <is>
          <t>Regulatory breaches YTD (same measure as REG-010)</t>
        </is>
      </c>
      <c r="C101" s="3" t="inlineStr">
        <is>
          <t>count</t>
        </is>
      </c>
      <c r="D101" s="3" t="inlineStr">
        <is>
          <t>Year to date</t>
        </is>
      </c>
      <c r="E101" s="3" t="inlineStr">
        <is>
          <t>Sum of regulatory breaches since April</t>
        </is>
      </c>
      <c r="F101" s="21">
        <f>ROUND(SUM('Group Inputs'!BP$4:BP4),2)</f>
        <v/>
      </c>
      <c r="G101" s="21">
        <f>ROUND(SUM('Group Inputs'!BP$4:BP5),2)</f>
        <v/>
      </c>
      <c r="H101" s="21">
        <f>ROUND(SUM('Group Inputs'!BP$4:BP6),2)</f>
        <v/>
      </c>
      <c r="I101" s="21">
        <f>ROUND(SUM('Group Inputs'!BP$4:BP7),2)</f>
        <v/>
      </c>
      <c r="J101" s="21">
        <f>ROUND(SUM('Group Inputs'!BP$4:BP8),2)</f>
        <v/>
      </c>
      <c r="K101" s="21">
        <f>ROUND(SUM('Group Inputs'!BP$4:BP9),2)</f>
        <v/>
      </c>
      <c r="L101" s="3" t="inlineStr">
        <is>
          <t>0</t>
        </is>
      </c>
      <c r="M101" s="3" t="inlineStr">
        <is>
          <t>E-01,O-01</t>
        </is>
      </c>
      <c r="N101" s="3" t="inlineStr">
        <is>
          <t>reg_breaches</t>
        </is>
      </c>
    </row>
    <row r="102">
      <c r="A102" s="2" t="inlineStr">
        <is>
          <t>EHS-008</t>
        </is>
      </c>
      <c r="B102" s="3" t="inlineStr">
        <is>
          <t>EHS escalation clocks running</t>
        </is>
      </c>
      <c r="C102" s="3" t="inlineStr">
        <is>
          <t>count</t>
        </is>
      </c>
      <c r="D102" s="3" t="inlineStr">
        <is>
          <t>Month end</t>
        </is>
      </c>
      <c r="E102" s="3" t="inlineStr">
        <is>
          <t>EHS escalation clocks running</t>
        </is>
      </c>
      <c r="F102" s="21">
        <f>ROUND('Group Inputs'!BR4,2)</f>
        <v/>
      </c>
      <c r="G102" s="21">
        <f>ROUND('Group Inputs'!BR5,2)</f>
        <v/>
      </c>
      <c r="H102" s="21">
        <f>ROUND('Group Inputs'!BR6,2)</f>
        <v/>
      </c>
      <c r="I102" s="21">
        <f>ROUND('Group Inputs'!BR7,2)</f>
        <v/>
      </c>
      <c r="J102" s="21">
        <f>ROUND('Group Inputs'!BR8,2)</f>
        <v/>
      </c>
      <c r="K102" s="21">
        <f>ROUND('Group Inputs'!BR9,2)</f>
        <v/>
      </c>
      <c r="L102" s="3" t="inlineStr">
        <is>
          <t>0 running</t>
        </is>
      </c>
      <c r="M102" s="3" t="inlineStr">
        <is>
          <t>E-07,G-07,O-05</t>
        </is>
      </c>
      <c r="N102" s="3" t="inlineStr">
        <is>
          <t>ehs_escalation_clocks</t>
        </is>
      </c>
    </row>
    <row r="103">
      <c r="A103" s="2" t="inlineStr">
        <is>
          <t>EHS-010</t>
        </is>
      </c>
      <c r="B103" s="3" t="inlineStr">
        <is>
          <t>EHS investigation completion rate YTD</t>
        </is>
      </c>
      <c r="C103" s="3" t="inlineStr">
        <is>
          <t>%</t>
        </is>
      </c>
      <c r="D103" s="3" t="inlineStr">
        <is>
          <t>Year to date</t>
        </is>
      </c>
      <c r="E103" s="3" t="inlineStr">
        <is>
          <t>EHS investigations completed since April ÷ Investigations due since April × 100 (100 if none due)</t>
        </is>
      </c>
      <c r="F103" s="21">
        <f>ROUND(IF(SUM('Group Inputs'!AM$4:AM4)=0,100,100*SUM('Group Inputs'!AN$4:AN4)/SUM('Group Inputs'!AM$4:AM4)),2)</f>
        <v/>
      </c>
      <c r="G103" s="21">
        <f>ROUND(IF(SUM('Group Inputs'!AM$4:AM5)=0,100,100*SUM('Group Inputs'!AN$4:AN5)/SUM('Group Inputs'!AM$4:AM5)),2)</f>
        <v/>
      </c>
      <c r="H103" s="21">
        <f>ROUND(IF(SUM('Group Inputs'!AM$4:AM6)=0,100,100*SUM('Group Inputs'!AN$4:AN6)/SUM('Group Inputs'!AM$4:AM6)),2)</f>
        <v/>
      </c>
      <c r="I103" s="21">
        <f>ROUND(IF(SUM('Group Inputs'!AM$4:AM7)=0,100,100*SUM('Group Inputs'!AN$4:AN7)/SUM('Group Inputs'!AM$4:AM7)),2)</f>
        <v/>
      </c>
      <c r="J103" s="21">
        <f>ROUND(IF(SUM('Group Inputs'!AM$4:AM8)=0,100,100*SUM('Group Inputs'!AN$4:AN8)/SUM('Group Inputs'!AM$4:AM8)),2)</f>
        <v/>
      </c>
      <c r="K103" s="21">
        <f>ROUND(IF(SUM('Group Inputs'!AM$4:AM9)=0,100,100*SUM('Group Inputs'!AN$4:AN9)/SUM('Group Inputs'!AM$4:AM9)),2)</f>
        <v/>
      </c>
      <c r="L103" s="3" t="inlineStr">
        <is>
          <t>83%</t>
        </is>
      </c>
      <c r="M103" s="3" t="inlineStr">
        <is>
          <t>G-07</t>
        </is>
      </c>
      <c r="N103" s="3" t="inlineStr">
        <is>
          <t>investigations_due, investigations_completed</t>
        </is>
      </c>
    </row>
    <row r="104">
      <c r="A104" s="2" t="inlineStr">
        <is>
          <t>CTL-002</t>
        </is>
      </c>
      <c r="B104" s="3" t="inlineStr">
        <is>
          <t>Control failures YTD</t>
        </is>
      </c>
      <c r="C104" s="3" t="inlineStr">
        <is>
          <t>count</t>
        </is>
      </c>
      <c r="D104" s="3" t="inlineStr">
        <is>
          <t>Year to date</t>
        </is>
      </c>
      <c r="E104" s="3" t="inlineStr">
        <is>
          <t>Sum of control failures since April</t>
        </is>
      </c>
      <c r="F104" s="21">
        <f>ROUND(SUM('Group Inputs'!EH$4:EH4),2)</f>
        <v/>
      </c>
      <c r="G104" s="21">
        <f>ROUND(SUM('Group Inputs'!EH$4:EH5),2)</f>
        <v/>
      </c>
      <c r="H104" s="21">
        <f>ROUND(SUM('Group Inputs'!EH$4:EH6),2)</f>
        <v/>
      </c>
      <c r="I104" s="21">
        <f>ROUND(SUM('Group Inputs'!EH$4:EH7),2)</f>
        <v/>
      </c>
      <c r="J104" s="21">
        <f>ROUND(SUM('Group Inputs'!EH$4:EH8),2)</f>
        <v/>
      </c>
      <c r="K104" s="21">
        <f>ROUND(SUM('Group Inputs'!EH$4:EH9),2)</f>
        <v/>
      </c>
      <c r="L104" s="3" t="inlineStr">
        <is>
          <t>4</t>
        </is>
      </c>
      <c r="M104" s="3" t="inlineStr">
        <is>
          <t>E-07,G-07,O-05</t>
        </is>
      </c>
      <c r="N104" s="3" t="inlineStr">
        <is>
          <t>control_failures</t>
        </is>
      </c>
    </row>
    <row r="105">
      <c r="A105" s="2" t="inlineStr">
        <is>
          <t>CTL-004</t>
        </is>
      </c>
      <c r="B105" s="3" t="inlineStr">
        <is>
          <t>High-severity control failures YTD</t>
        </is>
      </c>
      <c r="C105" s="3" t="inlineStr">
        <is>
          <t>count</t>
        </is>
      </c>
      <c r="D105" s="3" t="inlineStr">
        <is>
          <t>Year to date</t>
        </is>
      </c>
      <c r="E105" s="3" t="inlineStr">
        <is>
          <t>Sum of high-severity control failures since April</t>
        </is>
      </c>
      <c r="F105" s="21">
        <f>ROUND(SUM('Group Inputs'!EI$4:EI4),2)</f>
        <v/>
      </c>
      <c r="G105" s="21">
        <f>ROUND(SUM('Group Inputs'!EI$4:EI5),2)</f>
        <v/>
      </c>
      <c r="H105" s="21">
        <f>ROUND(SUM('Group Inputs'!EI$4:EI6),2)</f>
        <v/>
      </c>
      <c r="I105" s="21">
        <f>ROUND(SUM('Group Inputs'!EI$4:EI7),2)</f>
        <v/>
      </c>
      <c r="J105" s="21">
        <f>ROUND(SUM('Group Inputs'!EI$4:EI8),2)</f>
        <v/>
      </c>
      <c r="K105" s="21">
        <f>ROUND(SUM('Group Inputs'!EI$4:EI9),2)</f>
        <v/>
      </c>
      <c r="L105" s="3" t="inlineStr">
        <is>
          <t>0</t>
        </is>
      </c>
      <c r="M105" s="3" t="inlineStr">
        <is>
          <t>G-07,O-05</t>
        </is>
      </c>
      <c r="N105" s="3" t="inlineStr">
        <is>
          <t>control_failures_high</t>
        </is>
      </c>
    </row>
    <row r="106">
      <c r="A106" s="2" t="inlineStr">
        <is>
          <t>CTL-005</t>
        </is>
      </c>
      <c r="B106" s="3" t="inlineStr">
        <is>
          <t>Policy exceptions YTD</t>
        </is>
      </c>
      <c r="C106" s="3" t="inlineStr">
        <is>
          <t>count</t>
        </is>
      </c>
      <c r="D106" s="3" t="inlineStr">
        <is>
          <t>Year to date</t>
        </is>
      </c>
      <c r="E106" s="3" t="inlineStr">
        <is>
          <t>Sum of policy exceptions since April</t>
        </is>
      </c>
      <c r="F106" s="21">
        <f>ROUND(SUM('Group Inputs'!EL$4:EL4),2)</f>
        <v/>
      </c>
      <c r="G106" s="21">
        <f>ROUND(SUM('Group Inputs'!EL$4:EL5),2)</f>
        <v/>
      </c>
      <c r="H106" s="21">
        <f>ROUND(SUM('Group Inputs'!EL$4:EL6),2)</f>
        <v/>
      </c>
      <c r="I106" s="21">
        <f>ROUND(SUM('Group Inputs'!EL$4:EL7),2)</f>
        <v/>
      </c>
      <c r="J106" s="21">
        <f>ROUND(SUM('Group Inputs'!EL$4:EL8),2)</f>
        <v/>
      </c>
      <c r="K106" s="21">
        <f>ROUND(SUM('Group Inputs'!EL$4:EL9),2)</f>
        <v/>
      </c>
      <c r="L106" s="3" t="inlineStr">
        <is>
          <t>3</t>
        </is>
      </c>
      <c r="M106" s="3" t="inlineStr">
        <is>
          <t>E-07,G-07,O-05</t>
        </is>
      </c>
      <c r="N106" s="3" t="inlineStr">
        <is>
          <t>policy_exceptions</t>
        </is>
      </c>
    </row>
    <row r="107">
      <c r="A107" s="2" t="inlineStr">
        <is>
          <t>CTL-006</t>
        </is>
      </c>
      <c r="B107" s="3" t="inlineStr">
        <is>
          <t>Unauthorised-vendor usage YTD</t>
        </is>
      </c>
      <c r="C107" s="3" t="inlineStr">
        <is>
          <t>count</t>
        </is>
      </c>
      <c r="D107" s="3" t="inlineStr">
        <is>
          <t>Year to date</t>
        </is>
      </c>
      <c r="E107" s="3" t="inlineStr">
        <is>
          <t>Sum of unauthorised vendor uses since April</t>
        </is>
      </c>
      <c r="F107" s="21">
        <f>ROUND(SUM('Group Inputs'!EM$4:EM4),2)</f>
        <v/>
      </c>
      <c r="G107" s="21">
        <f>ROUND(SUM('Group Inputs'!EM$4:EM5),2)</f>
        <v/>
      </c>
      <c r="H107" s="21">
        <f>ROUND(SUM('Group Inputs'!EM$4:EM6),2)</f>
        <v/>
      </c>
      <c r="I107" s="21">
        <f>ROUND(SUM('Group Inputs'!EM$4:EM7),2)</f>
        <v/>
      </c>
      <c r="J107" s="21">
        <f>ROUND(SUM('Group Inputs'!EM$4:EM8),2)</f>
        <v/>
      </c>
      <c r="K107" s="21">
        <f>ROUND(SUM('Group Inputs'!EM$4:EM9),2)</f>
        <v/>
      </c>
      <c r="L107" s="3" t="inlineStr">
        <is>
          <t>0</t>
        </is>
      </c>
      <c r="M107" s="3" t="inlineStr">
        <is>
          <t>E-04,E-07,G-07,O-05</t>
        </is>
      </c>
      <c r="N107" s="3" t="inlineStr">
        <is>
          <t>unauthorized_vendor_uses</t>
        </is>
      </c>
    </row>
    <row r="108">
      <c r="A108" s="2" t="inlineStr">
        <is>
          <t>CTL-007</t>
        </is>
      </c>
      <c r="B108" s="3" t="inlineStr">
        <is>
          <t>Segregation-of-duties exceptions YTD</t>
        </is>
      </c>
      <c r="C108" s="3" t="inlineStr">
        <is>
          <t>count</t>
        </is>
      </c>
      <c r="D108" s="3" t="inlineStr">
        <is>
          <t>Year to date</t>
        </is>
      </c>
      <c r="E108" s="3" t="inlineStr">
        <is>
          <t>Sum of segregation-of-duties exceptions since April</t>
        </is>
      </c>
      <c r="F108" s="21">
        <f>ROUND(SUM('Group Inputs'!EN$4:EN4),2)</f>
        <v/>
      </c>
      <c r="G108" s="21">
        <f>ROUND(SUM('Group Inputs'!EN$4:EN5),2)</f>
        <v/>
      </c>
      <c r="H108" s="21">
        <f>ROUND(SUM('Group Inputs'!EN$4:EN6),2)</f>
        <v/>
      </c>
      <c r="I108" s="21">
        <f>ROUND(SUM('Group Inputs'!EN$4:EN7),2)</f>
        <v/>
      </c>
      <c r="J108" s="21">
        <f>ROUND(SUM('Group Inputs'!EN$4:EN8),2)</f>
        <v/>
      </c>
      <c r="K108" s="21">
        <f>ROUND(SUM('Group Inputs'!EN$4:EN9),2)</f>
        <v/>
      </c>
      <c r="L108" s="3" t="inlineStr">
        <is>
          <t>1</t>
        </is>
      </c>
      <c r="M108" s="3" t="inlineStr">
        <is>
          <t>E-07,G-07,O-05</t>
        </is>
      </c>
      <c r="N108" s="3" t="inlineStr">
        <is>
          <t>sod_exceptions</t>
        </is>
      </c>
    </row>
    <row r="109">
      <c r="A109" s="2" t="inlineStr">
        <is>
          <t>CTL-008</t>
        </is>
      </c>
      <c r="B109" s="3" t="inlineStr">
        <is>
          <t>Unauthorised-access events YTD</t>
        </is>
      </c>
      <c r="C109" s="3" t="inlineStr">
        <is>
          <t>count</t>
        </is>
      </c>
      <c r="D109" s="3" t="inlineStr">
        <is>
          <t>Year to date</t>
        </is>
      </c>
      <c r="E109" s="3" t="inlineStr">
        <is>
          <t>Sum of unauthorised access events since April</t>
        </is>
      </c>
      <c r="F109" s="21">
        <f>ROUND(SUM('Group Inputs'!EO$4:EO4),2)</f>
        <v/>
      </c>
      <c r="G109" s="21">
        <f>ROUND(SUM('Group Inputs'!EO$4:EO5),2)</f>
        <v/>
      </c>
      <c r="H109" s="21">
        <f>ROUND(SUM('Group Inputs'!EO$4:EO6),2)</f>
        <v/>
      </c>
      <c r="I109" s="21">
        <f>ROUND(SUM('Group Inputs'!EO$4:EO7),2)</f>
        <v/>
      </c>
      <c r="J109" s="21">
        <f>ROUND(SUM('Group Inputs'!EO$4:EO8),2)</f>
        <v/>
      </c>
      <c r="K109" s="21">
        <f>ROUND(SUM('Group Inputs'!EO$4:EO9),2)</f>
        <v/>
      </c>
      <c r="L109" s="3" t="inlineStr">
        <is>
          <t>0</t>
        </is>
      </c>
      <c r="M109" s="3" t="inlineStr">
        <is>
          <t>E-07,G-07,O-05</t>
        </is>
      </c>
      <c r="N109" s="3" t="inlineStr">
        <is>
          <t>unauthorized_access_events</t>
        </is>
      </c>
    </row>
    <row r="110">
      <c r="A110" s="2" t="inlineStr">
        <is>
          <t>CTL-009</t>
        </is>
      </c>
      <c r="B110" s="3" t="inlineStr">
        <is>
          <t>Data-sharing exceptions YTD</t>
        </is>
      </c>
      <c r="C110" s="3" t="inlineStr">
        <is>
          <t>count</t>
        </is>
      </c>
      <c r="D110" s="3" t="inlineStr">
        <is>
          <t>Year to date</t>
        </is>
      </c>
      <c r="E110" s="3" t="inlineStr">
        <is>
          <t>Sum of data-sharing exceptions since April</t>
        </is>
      </c>
      <c r="F110" s="21">
        <f>ROUND(SUM('Group Inputs'!EP$4:EP4),2)</f>
        <v/>
      </c>
      <c r="G110" s="21">
        <f>ROUND(SUM('Group Inputs'!EP$4:EP5),2)</f>
        <v/>
      </c>
      <c r="H110" s="21">
        <f>ROUND(SUM('Group Inputs'!EP$4:EP6),2)</f>
        <v/>
      </c>
      <c r="I110" s="21">
        <f>ROUND(SUM('Group Inputs'!EP$4:EP7),2)</f>
        <v/>
      </c>
      <c r="J110" s="21">
        <f>ROUND(SUM('Group Inputs'!EP$4:EP8),2)</f>
        <v/>
      </c>
      <c r="K110" s="21">
        <f>ROUND(SUM('Group Inputs'!EP$4:EP9),2)</f>
        <v/>
      </c>
      <c r="L110" s="3" t="inlineStr">
        <is>
          <t>0</t>
        </is>
      </c>
      <c r="M110" s="3" t="inlineStr">
        <is>
          <t>E-07,G-07,O-05</t>
        </is>
      </c>
      <c r="N110" s="3" t="inlineStr">
        <is>
          <t>data_sharing_exceptions</t>
        </is>
      </c>
    </row>
    <row r="111">
      <c r="A111" s="2" t="inlineStr">
        <is>
          <t>CTL-010</t>
        </is>
      </c>
      <c r="B111" s="3" t="inlineStr">
        <is>
          <t>Manual overrides YTD</t>
        </is>
      </c>
      <c r="C111" s="3" t="inlineStr">
        <is>
          <t>count</t>
        </is>
      </c>
      <c r="D111" s="3" t="inlineStr">
        <is>
          <t>Year to date</t>
        </is>
      </c>
      <c r="E111" s="3" t="inlineStr">
        <is>
          <t>Sum of manual operational or system overrides since April</t>
        </is>
      </c>
      <c r="F111" s="21">
        <f>ROUND(SUM('Group Inputs'!EQ$4:EQ4),2)</f>
        <v/>
      </c>
      <c r="G111" s="21">
        <f>ROUND(SUM('Group Inputs'!EQ$4:EQ5),2)</f>
        <v/>
      </c>
      <c r="H111" s="21">
        <f>ROUND(SUM('Group Inputs'!EQ$4:EQ6),2)</f>
        <v/>
      </c>
      <c r="I111" s="21">
        <f>ROUND(SUM('Group Inputs'!EQ$4:EQ7),2)</f>
        <v/>
      </c>
      <c r="J111" s="21">
        <f>ROUND(SUM('Group Inputs'!EQ$4:EQ8),2)</f>
        <v/>
      </c>
      <c r="K111" s="21">
        <f>ROUND(SUM('Group Inputs'!EQ$4:EQ9),2)</f>
        <v/>
      </c>
      <c r="L111" s="3" t="inlineStr">
        <is>
          <t>12</t>
        </is>
      </c>
      <c r="M111" s="3" t="inlineStr">
        <is>
          <t>E-07,G-07,O-05</t>
        </is>
      </c>
      <c r="N111" s="3" t="inlineStr">
        <is>
          <t>manual_overrides</t>
        </is>
      </c>
    </row>
    <row r="112">
      <c r="A112" s="2" t="inlineStr">
        <is>
          <t>CTL-003</t>
        </is>
      </c>
      <c r="B112" s="3" t="inlineStr">
        <is>
          <t>Assurance reviews completed</t>
        </is>
      </c>
      <c r="C112" s="3" t="inlineStr">
        <is>
          <t>text</t>
        </is>
      </c>
      <c r="D112" s="3" t="inlineStr">
        <is>
          <t>Year to date</t>
        </is>
      </c>
      <c r="E112" s="3" t="inlineStr">
        <is>
          <t>Assurance reviews completed since April, of those planned since April</t>
        </is>
      </c>
      <c r="F112" s="8">
        <f>SUM('Group Inputs'!EK$4:EK4)&amp;" of "&amp;SUM('Group Inputs'!EJ$4:EJ4)</f>
        <v/>
      </c>
      <c r="G112" s="8">
        <f>SUM('Group Inputs'!EK$4:EK5)&amp;" of "&amp;SUM('Group Inputs'!EJ$4:EJ5)</f>
        <v/>
      </c>
      <c r="H112" s="8">
        <f>SUM('Group Inputs'!EK$4:EK6)&amp;" of "&amp;SUM('Group Inputs'!EJ$4:EJ6)</f>
        <v/>
      </c>
      <c r="I112" s="8">
        <f>SUM('Group Inputs'!EK$4:EK7)&amp;" of "&amp;SUM('Group Inputs'!EJ$4:EJ7)</f>
        <v/>
      </c>
      <c r="J112" s="8">
        <f>SUM('Group Inputs'!EK$4:EK8)&amp;" of "&amp;SUM('Group Inputs'!EJ$4:EJ8)</f>
        <v/>
      </c>
      <c r="K112" s="8">
        <f>SUM('Group Inputs'!EK$4:EK9)&amp;" of "&amp;SUM('Group Inputs'!EJ$4:EJ9)</f>
        <v/>
      </c>
      <c r="L112" s="3" t="inlineStr">
        <is>
          <t>6 of 8</t>
        </is>
      </c>
      <c r="M112" s="3" t="inlineStr">
        <is>
          <t>G-07</t>
        </is>
      </c>
      <c r="N112" s="3" t="inlineStr">
        <is>
          <t>assurance_reviews_planned, assurance_reviews_done</t>
        </is>
      </c>
    </row>
    <row r="113">
      <c r="A113" s="2" t="inlineStr">
        <is>
          <t>GOV-001</t>
        </is>
      </c>
      <c r="B113" s="3" t="inlineStr">
        <is>
          <t>Ageing certification approvals</t>
        </is>
      </c>
      <c r="C113" s="3" t="inlineStr">
        <is>
          <t>count</t>
        </is>
      </c>
      <c r="D113" s="3" t="inlineStr">
        <is>
          <t>Month end</t>
        </is>
      </c>
      <c r="E113" s="3" t="inlineStr">
        <is>
          <t>Certification approvals past due date</t>
        </is>
      </c>
      <c r="F113" s="21">
        <f>ROUND('Group Inputs'!ER4,2)</f>
        <v/>
      </c>
      <c r="G113" s="21">
        <f>ROUND('Group Inputs'!ER5,2)</f>
        <v/>
      </c>
      <c r="H113" s="21">
        <f>ROUND('Group Inputs'!ER6,2)</f>
        <v/>
      </c>
      <c r="I113" s="21">
        <f>ROUND('Group Inputs'!ER7,2)</f>
        <v/>
      </c>
      <c r="J113" s="21">
        <f>ROUND('Group Inputs'!ER8,2)</f>
        <v/>
      </c>
      <c r="K113" s="21">
        <f>ROUND('Group Inputs'!ER9,2)</f>
        <v/>
      </c>
      <c r="L113" s="3" t="inlineStr">
        <is>
          <t>2 &gt; [PH] d</t>
        </is>
      </c>
      <c r="M113" s="3" t="inlineStr">
        <is>
          <t>E-08,G-08</t>
        </is>
      </c>
      <c r="N113" s="3" t="inlineStr">
        <is>
          <t>cert_approvals_ageing</t>
        </is>
      </c>
    </row>
    <row r="114">
      <c r="A114" s="2" t="inlineStr">
        <is>
          <t>GOV-002</t>
        </is>
      </c>
      <c r="B114" s="3" t="inlineStr">
        <is>
          <t>KPI overrides</t>
        </is>
      </c>
      <c r="C114" s="3" t="inlineStr">
        <is>
          <t>count</t>
        </is>
      </c>
      <c r="D114" s="3" t="inlineStr">
        <is>
          <t>Month end</t>
        </is>
      </c>
      <c r="E114" s="3" t="inlineStr">
        <is>
          <t>KPI values overridden</t>
        </is>
      </c>
      <c r="F114" s="21">
        <f>ROUND('Group Inputs'!ES4,2)</f>
        <v/>
      </c>
      <c r="G114" s="21">
        <f>ROUND('Group Inputs'!ES5,2)</f>
        <v/>
      </c>
      <c r="H114" s="21">
        <f>ROUND('Group Inputs'!ES6,2)</f>
        <v/>
      </c>
      <c r="I114" s="21">
        <f>ROUND('Group Inputs'!ES7,2)</f>
        <v/>
      </c>
      <c r="J114" s="21">
        <f>ROUND('Group Inputs'!ES8,2)</f>
        <v/>
      </c>
      <c r="K114" s="21">
        <f>ROUND('Group Inputs'!ES9,2)</f>
        <v/>
      </c>
      <c r="L114" s="3" t="inlineStr">
        <is>
          <t>0</t>
        </is>
      </c>
      <c r="M114" s="3" t="inlineStr">
        <is>
          <t>E-08,G-08</t>
        </is>
      </c>
      <c r="N114" s="3" t="inlineStr">
        <is>
          <t>kpi_overrides</t>
        </is>
      </c>
    </row>
    <row r="115">
      <c r="A115" s="2" t="inlineStr">
        <is>
          <t>GOV-003</t>
        </is>
      </c>
      <c r="B115" s="3" t="inlineStr">
        <is>
          <t>Recurring data-quality issues</t>
        </is>
      </c>
      <c r="C115" s="3" t="inlineStr">
        <is>
          <t>count</t>
        </is>
      </c>
      <c r="D115" s="3" t="inlineStr">
        <is>
          <t>Month end</t>
        </is>
      </c>
      <c r="E115" s="3" t="inlineStr">
        <is>
          <t>Recurring data-quality issues</t>
        </is>
      </c>
      <c r="F115" s="21">
        <f>ROUND('Group Inputs'!ET4,2)</f>
        <v/>
      </c>
      <c r="G115" s="21">
        <f>ROUND('Group Inputs'!ET5,2)</f>
        <v/>
      </c>
      <c r="H115" s="21">
        <f>ROUND('Group Inputs'!ET6,2)</f>
        <v/>
      </c>
      <c r="I115" s="21">
        <f>ROUND('Group Inputs'!ET7,2)</f>
        <v/>
      </c>
      <c r="J115" s="21">
        <f>ROUND('Group Inputs'!ET8,2)</f>
        <v/>
      </c>
      <c r="K115" s="21">
        <f>ROUND('Group Inputs'!ET9,2)</f>
        <v/>
      </c>
      <c r="L115" s="3" t="inlineStr">
        <is>
          <t>1</t>
        </is>
      </c>
      <c r="M115" s="3" t="inlineStr">
        <is>
          <t>E-08,G-08</t>
        </is>
      </c>
      <c r="N115" s="3" t="inlineStr">
        <is>
          <t>dq_issues_recurring</t>
        </is>
      </c>
    </row>
    <row r="116">
      <c r="A116" s="2" t="inlineStr">
        <is>
          <t>GOV-004</t>
        </is>
      </c>
      <c r="B116" s="3" t="inlineStr">
        <is>
          <t>Open audit findings</t>
        </is>
      </c>
      <c r="C116" s="3" t="inlineStr">
        <is>
          <t>count</t>
        </is>
      </c>
      <c r="D116" s="3" t="inlineStr">
        <is>
          <t>Month end</t>
        </is>
      </c>
      <c r="E116" s="3" t="inlineStr">
        <is>
          <t>Open audit findings</t>
        </is>
      </c>
      <c r="F116" s="21">
        <f>ROUND('Group Inputs'!EU4,2)</f>
        <v/>
      </c>
      <c r="G116" s="21">
        <f>ROUND('Group Inputs'!EU5,2)</f>
        <v/>
      </c>
      <c r="H116" s="21">
        <f>ROUND('Group Inputs'!EU6,2)</f>
        <v/>
      </c>
      <c r="I116" s="21">
        <f>ROUND('Group Inputs'!EU7,2)</f>
        <v/>
      </c>
      <c r="J116" s="21">
        <f>ROUND('Group Inputs'!EU8,2)</f>
        <v/>
      </c>
      <c r="K116" s="21">
        <f>ROUND('Group Inputs'!EU9,2)</f>
        <v/>
      </c>
      <c r="L116" s="3" t="inlineStr">
        <is>
          <t>7</t>
        </is>
      </c>
      <c r="M116" s="3" t="inlineStr">
        <is>
          <t>E-07,E-08,G-07,G-08,O-05</t>
        </is>
      </c>
      <c r="N116" s="3" t="inlineStr">
        <is>
          <t>audit_findings_open</t>
        </is>
      </c>
    </row>
    <row r="117">
      <c r="A117" s="2" t="inlineStr">
        <is>
          <t>GOV-005</t>
        </is>
      </c>
      <c r="B117" s="3" t="inlineStr">
        <is>
          <t>Overdue assurance actions</t>
        </is>
      </c>
      <c r="C117" s="3" t="inlineStr">
        <is>
          <t>count</t>
        </is>
      </c>
      <c r="D117" s="3" t="inlineStr">
        <is>
          <t>Month end</t>
        </is>
      </c>
      <c r="E117" s="3" t="inlineStr">
        <is>
          <t>Overdue assurance actions</t>
        </is>
      </c>
      <c r="F117" s="21">
        <f>ROUND('Group Inputs'!EV4,2)</f>
        <v/>
      </c>
      <c r="G117" s="21">
        <f>ROUND('Group Inputs'!EV5,2)</f>
        <v/>
      </c>
      <c r="H117" s="21">
        <f>ROUND('Group Inputs'!EV6,2)</f>
        <v/>
      </c>
      <c r="I117" s="21">
        <f>ROUND('Group Inputs'!EV7,2)</f>
        <v/>
      </c>
      <c r="J117" s="21">
        <f>ROUND('Group Inputs'!EV8,2)</f>
        <v/>
      </c>
      <c r="K117" s="21">
        <f>ROUND('Group Inputs'!EV9,2)</f>
        <v/>
      </c>
      <c r="L117" s="3" t="inlineStr">
        <is>
          <t>0</t>
        </is>
      </c>
      <c r="M117" s="3" t="inlineStr">
        <is>
          <t>E-08,G-08</t>
        </is>
      </c>
      <c r="N117" s="3" t="inlineStr">
        <is>
          <t>assurance_actions_overdue</t>
        </is>
      </c>
    </row>
    <row r="118">
      <c r="A118" s="2" t="inlineStr">
        <is>
          <t>GOV-006</t>
        </is>
      </c>
      <c r="B118" s="3" t="inlineStr">
        <is>
          <t>Repeat findings</t>
        </is>
      </c>
      <c r="C118" s="3" t="inlineStr">
        <is>
          <t>count</t>
        </is>
      </c>
      <c r="D118" s="3" t="inlineStr">
        <is>
          <t>Month end</t>
        </is>
      </c>
      <c r="E118" s="3" t="inlineStr">
        <is>
          <t>Repeat audit findings</t>
        </is>
      </c>
      <c r="F118" s="21">
        <f>ROUND('Group Inputs'!EW4,2)</f>
        <v/>
      </c>
      <c r="G118" s="21">
        <f>ROUND('Group Inputs'!EW5,2)</f>
        <v/>
      </c>
      <c r="H118" s="21">
        <f>ROUND('Group Inputs'!EW6,2)</f>
        <v/>
      </c>
      <c r="I118" s="21">
        <f>ROUND('Group Inputs'!EW7,2)</f>
        <v/>
      </c>
      <c r="J118" s="21">
        <f>ROUND('Group Inputs'!EW8,2)</f>
        <v/>
      </c>
      <c r="K118" s="21">
        <f>ROUND('Group Inputs'!EW9,2)</f>
        <v/>
      </c>
      <c r="L118" s="3" t="inlineStr">
        <is>
          <t>1</t>
        </is>
      </c>
      <c r="M118" s="3" t="inlineStr">
        <is>
          <t>E-08,G-08</t>
        </is>
      </c>
      <c r="N118" s="3" t="inlineStr">
        <is>
          <t>repeat_findings</t>
        </is>
      </c>
    </row>
    <row r="119">
      <c r="A119" s="2" t="inlineStr">
        <is>
          <t>GOV-007</t>
        </is>
      </c>
      <c r="B119" s="3" t="inlineStr">
        <is>
          <t>Leadership KPIs affected by findings</t>
        </is>
      </c>
      <c r="C119" s="3" t="inlineStr">
        <is>
          <t>count</t>
        </is>
      </c>
      <c r="D119" s="3" t="inlineStr">
        <is>
          <t>Month end</t>
        </is>
      </c>
      <c r="E119" s="3" t="inlineStr">
        <is>
          <t>Leadership KPIs affected by open findings</t>
        </is>
      </c>
      <c r="F119" s="21">
        <f>ROUND('Group Inputs'!EX4,2)</f>
        <v/>
      </c>
      <c r="G119" s="21">
        <f>ROUND('Group Inputs'!EX5,2)</f>
        <v/>
      </c>
      <c r="H119" s="21">
        <f>ROUND('Group Inputs'!EX6,2)</f>
        <v/>
      </c>
      <c r="I119" s="21">
        <f>ROUND('Group Inputs'!EX7,2)</f>
        <v/>
      </c>
      <c r="J119" s="21">
        <f>ROUND('Group Inputs'!EX8,2)</f>
        <v/>
      </c>
      <c r="K119" s="21">
        <f>ROUND('Group Inputs'!EX9,2)</f>
        <v/>
      </c>
      <c r="L119" s="3" t="inlineStr">
        <is>
          <t>1</t>
        </is>
      </c>
      <c r="M119" s="3" t="inlineStr">
        <is>
          <t>G-08</t>
        </is>
      </c>
      <c r="N119" s="3" t="inlineStr">
        <is>
          <t>leadership_kpis_affected</t>
        </is>
      </c>
    </row>
    <row r="120">
      <c r="A120" s="2" t="inlineStr">
        <is>
          <t>TRU-004</t>
        </is>
      </c>
      <c r="B120" s="3" t="inlineStr">
        <is>
          <t>Open reconciliation breaks</t>
        </is>
      </c>
      <c r="C120" s="3" t="inlineStr">
        <is>
          <t>count</t>
        </is>
      </c>
      <c r="D120" s="3" t="inlineStr">
        <is>
          <t>Month end</t>
        </is>
      </c>
      <c r="E120" s="3" t="inlineStr">
        <is>
          <t>Open reconciliation breaks</t>
        </is>
      </c>
      <c r="F120" s="21">
        <f>ROUND('Group Inputs'!FG4,2)</f>
        <v/>
      </c>
      <c r="G120" s="21">
        <f>ROUND('Group Inputs'!FG5,2)</f>
        <v/>
      </c>
      <c r="H120" s="21">
        <f>ROUND('Group Inputs'!FG6,2)</f>
        <v/>
      </c>
      <c r="I120" s="21">
        <f>ROUND('Group Inputs'!FG7,2)</f>
        <v/>
      </c>
      <c r="J120" s="21">
        <f>ROUND('Group Inputs'!FG8,2)</f>
        <v/>
      </c>
      <c r="K120" s="21">
        <f>ROUND('Group Inputs'!FG9,2)</f>
        <v/>
      </c>
      <c r="L120" s="3" t="inlineStr">
        <is>
          <t>1</t>
        </is>
      </c>
      <c r="M120" s="3" t="inlineStr">
        <is>
          <t>E-08,G-08</t>
        </is>
      </c>
      <c r="N120" s="3" t="inlineStr">
        <is>
          <t>recon_breaks_open</t>
        </is>
      </c>
    </row>
    <row r="121">
      <c r="A121" s="2" t="inlineStr">
        <is>
          <t>TRU-006</t>
        </is>
      </c>
      <c r="B121" s="3" t="inlineStr">
        <is>
          <t>Overdue certifications</t>
        </is>
      </c>
      <c r="C121" s="3" t="inlineStr">
        <is>
          <t>count</t>
        </is>
      </c>
      <c r="D121" s="3" t="inlineStr">
        <is>
          <t>Month end</t>
        </is>
      </c>
      <c r="E121" s="3" t="inlineStr">
        <is>
          <t>Certifications overdue</t>
        </is>
      </c>
      <c r="F121" s="21">
        <f>ROUND('Group Inputs'!FF4,2)</f>
        <v/>
      </c>
      <c r="G121" s="21">
        <f>ROUND('Group Inputs'!FF5,2)</f>
        <v/>
      </c>
      <c r="H121" s="21">
        <f>ROUND('Group Inputs'!FF6,2)</f>
        <v/>
      </c>
      <c r="I121" s="21">
        <f>ROUND('Group Inputs'!FF7,2)</f>
        <v/>
      </c>
      <c r="J121" s="21">
        <f>ROUND('Group Inputs'!FF8,2)</f>
        <v/>
      </c>
      <c r="K121" s="21">
        <f>ROUND('Group Inputs'!FF9,2)</f>
        <v/>
      </c>
      <c r="L121" s="3" t="inlineStr">
        <is>
          <t>2</t>
        </is>
      </c>
      <c r="M121" s="3" t="inlineStr">
        <is>
          <t>E-08,G-08</t>
        </is>
      </c>
      <c r="N121" s="3" t="inlineStr">
        <is>
          <t>certifications_overdue</t>
        </is>
      </c>
    </row>
    <row r="122">
      <c r="A122" s="2" t="inlineStr">
        <is>
          <t>TRU-007</t>
        </is>
      </c>
      <c r="B122" s="3" t="inlineStr">
        <is>
          <t>Material reconciliation breaks</t>
        </is>
      </c>
      <c r="C122" s="3" t="inlineStr">
        <is>
          <t>count</t>
        </is>
      </c>
      <c r="D122" s="3" t="inlineStr">
        <is>
          <t>Month end</t>
        </is>
      </c>
      <c r="E122" s="3" t="inlineStr">
        <is>
          <t>Material reconciliation breaks</t>
        </is>
      </c>
      <c r="F122" s="21">
        <f>ROUND('Group Inputs'!FH4,2)</f>
        <v/>
      </c>
      <c r="G122" s="21">
        <f>ROUND('Group Inputs'!FH5,2)</f>
        <v/>
      </c>
      <c r="H122" s="21">
        <f>ROUND('Group Inputs'!FH6,2)</f>
        <v/>
      </c>
      <c r="I122" s="21">
        <f>ROUND('Group Inputs'!FH7,2)</f>
        <v/>
      </c>
      <c r="J122" s="21">
        <f>ROUND('Group Inputs'!FH8,2)</f>
        <v/>
      </c>
      <c r="K122" s="21">
        <f>ROUND('Group Inputs'!FH9,2)</f>
        <v/>
      </c>
      <c r="L122" s="3" t="inlineStr">
        <is>
          <t>1</t>
        </is>
      </c>
      <c r="M122" s="3" t="inlineStr">
        <is>
          <t>G-08</t>
        </is>
      </c>
      <c r="N122" s="3" t="inlineStr">
        <is>
          <t>recon_breaks_material</t>
        </is>
      </c>
    </row>
    <row r="123">
      <c r="A123" s="2" t="inlineStr">
        <is>
          <t>GOV-008</t>
        </is>
      </c>
      <c r="B123" s="3" t="inlineStr">
        <is>
          <t>Evidence completeness rate</t>
        </is>
      </c>
      <c r="C123" s="3" t="inlineStr">
        <is>
          <t>%</t>
        </is>
      </c>
      <c r="D123" s="3" t="inlineStr">
        <is>
          <t>Month end</t>
        </is>
      </c>
      <c r="E123" s="3" t="inlineStr">
        <is>
          <t>Evidence items complete ÷ Evidence items required × 100</t>
        </is>
      </c>
      <c r="F123" s="21">
        <f>ROUND(IF('Group Inputs'!EY4=0,0,100*'Group Inputs'!EZ4/'Group Inputs'!EY4),2)</f>
        <v/>
      </c>
      <c r="G123" s="21">
        <f>ROUND(IF('Group Inputs'!EY5=0,0,100*'Group Inputs'!EZ5/'Group Inputs'!EY5),2)</f>
        <v/>
      </c>
      <c r="H123" s="21">
        <f>ROUND(IF('Group Inputs'!EY6=0,0,100*'Group Inputs'!EZ6/'Group Inputs'!EY6),2)</f>
        <v/>
      </c>
      <c r="I123" s="21">
        <f>ROUND(IF('Group Inputs'!EY7=0,0,100*'Group Inputs'!EZ7/'Group Inputs'!EY7),2)</f>
        <v/>
      </c>
      <c r="J123" s="21">
        <f>ROUND(IF('Group Inputs'!EY8=0,0,100*'Group Inputs'!EZ8/'Group Inputs'!EY8),2)</f>
        <v/>
      </c>
      <c r="K123" s="21">
        <f>ROUND(IF('Group Inputs'!EY9=0,0,100*'Group Inputs'!EZ9/'Group Inputs'!EY9),2)</f>
        <v/>
      </c>
      <c r="L123" s="3" t="inlineStr">
        <is>
          <t>88%</t>
        </is>
      </c>
      <c r="M123" s="3" t="inlineStr">
        <is>
          <t>E-08,G-08</t>
        </is>
      </c>
      <c r="N123" s="3" t="inlineStr">
        <is>
          <t>evidence_required, evidence_complete</t>
        </is>
      </c>
    </row>
    <row r="124">
      <c r="A124" s="2" t="inlineStr">
        <is>
          <t>GOV-009</t>
        </is>
      </c>
      <c r="B124" s="3" t="inlineStr">
        <is>
          <t>Average finding-closure time</t>
        </is>
      </c>
      <c r="C124" s="3" t="inlineStr">
        <is>
          <t>days</t>
        </is>
      </c>
      <c r="D124" s="3" t="inlineStr">
        <is>
          <t>Year to date</t>
        </is>
      </c>
      <c r="E124" s="3" t="inlineStr">
        <is>
          <t>Days taken to close findings since April ÷ Findings closed since April</t>
        </is>
      </c>
      <c r="F124" s="21">
        <f>ROUND(IF(SUM('Group Inputs'!FA$4:FA4)=0,0,SUM('Group Inputs'!FB$4:FB4)/SUM('Group Inputs'!FA$4:FA4)),2)</f>
        <v/>
      </c>
      <c r="G124" s="21">
        <f>ROUND(IF(SUM('Group Inputs'!FA$4:FA5)=0,0,SUM('Group Inputs'!FB$4:FB5)/SUM('Group Inputs'!FA$4:FA5)),2)</f>
        <v/>
      </c>
      <c r="H124" s="21">
        <f>ROUND(IF(SUM('Group Inputs'!FA$4:FA6)=0,0,SUM('Group Inputs'!FB$4:FB6)/SUM('Group Inputs'!FA$4:FA6)),2)</f>
        <v/>
      </c>
      <c r="I124" s="21">
        <f>ROUND(IF(SUM('Group Inputs'!FA$4:FA7)=0,0,SUM('Group Inputs'!FB$4:FB7)/SUM('Group Inputs'!FA$4:FA7)),2)</f>
        <v/>
      </c>
      <c r="J124" s="21">
        <f>ROUND(IF(SUM('Group Inputs'!FA$4:FA8)=0,0,SUM('Group Inputs'!FB$4:FB8)/SUM('Group Inputs'!FA$4:FA8)),2)</f>
        <v/>
      </c>
      <c r="K124" s="21">
        <f>ROUND(IF(SUM('Group Inputs'!FA$4:FA9)=0,0,SUM('Group Inputs'!FB$4:FB9)/SUM('Group Inputs'!FA$4:FA9)),2)</f>
        <v/>
      </c>
      <c r="L124" s="3" t="inlineStr">
        <is>
          <t>34 d</t>
        </is>
      </c>
      <c r="M124" s="3" t="inlineStr">
        <is>
          <t>E-08,G-08</t>
        </is>
      </c>
      <c r="N124" s="3" t="inlineStr">
        <is>
          <t>findings_closed, finding_closure_days</t>
        </is>
      </c>
    </row>
    <row r="125">
      <c r="A125" s="2" t="inlineStr">
        <is>
          <t>TRU-001</t>
        </is>
      </c>
      <c r="B125" s="3" t="inlineStr">
        <is>
          <t>Certified KPI percentage</t>
        </is>
      </c>
      <c r="C125" s="3" t="inlineStr">
        <is>
          <t>%</t>
        </is>
      </c>
      <c r="D125" s="3" t="inlineStr">
        <is>
          <t>Month end</t>
        </is>
      </c>
      <c r="E125" s="3" t="inlineStr">
        <is>
          <t>Leadership KPI values certified ÷ Leadership KPI values reported × 100</t>
        </is>
      </c>
      <c r="F125" s="21">
        <f>ROUND(IF('Group Inputs'!FC4=0,0,100*'Group Inputs'!FD4/'Group Inputs'!FC4),2)</f>
        <v/>
      </c>
      <c r="G125" s="21">
        <f>ROUND(IF('Group Inputs'!FC5=0,0,100*'Group Inputs'!FD5/'Group Inputs'!FC5),2)</f>
        <v/>
      </c>
      <c r="H125" s="21">
        <f>ROUND(IF('Group Inputs'!FC6=0,0,100*'Group Inputs'!FD6/'Group Inputs'!FC6),2)</f>
        <v/>
      </c>
      <c r="I125" s="21">
        <f>ROUND(IF('Group Inputs'!FC7=0,0,100*'Group Inputs'!FD7/'Group Inputs'!FC7),2)</f>
        <v/>
      </c>
      <c r="J125" s="21">
        <f>ROUND(IF('Group Inputs'!FC8=0,0,100*'Group Inputs'!FD8/'Group Inputs'!FC8),2)</f>
        <v/>
      </c>
      <c r="K125" s="21">
        <f>ROUND(IF('Group Inputs'!FC9=0,0,100*'Group Inputs'!FD9/'Group Inputs'!FC9),2)</f>
        <v/>
      </c>
      <c r="L125" s="3" t="inlineStr">
        <is>
          <t>84 % of leadership KPIs</t>
        </is>
      </c>
      <c r="M125" s="3" t="inlineStr">
        <is>
          <t>E-08,G-01,G-02,G-08</t>
        </is>
      </c>
      <c r="N125" s="3" t="inlineStr">
        <is>
          <t>kpis_leadership, kpis_certified</t>
        </is>
      </c>
    </row>
    <row r="126">
      <c r="A126" s="2" t="inlineStr">
        <is>
          <t>TRU-002</t>
        </is>
      </c>
      <c r="B126" s="3" t="inlineStr">
        <is>
          <t>Uncertified KPI count</t>
        </is>
      </c>
      <c r="C126" s="3" t="inlineStr">
        <is>
          <t>count</t>
        </is>
      </c>
      <c r="D126" s="3" t="inlineStr">
        <is>
          <t>Month end</t>
        </is>
      </c>
      <c r="E126" s="3" t="inlineStr">
        <is>
          <t>Leadership KPI values reported − Values certified</t>
        </is>
      </c>
      <c r="F126" s="21">
        <f>ROUND('Group Inputs'!FC4-'Group Inputs'!FD4,2)</f>
        <v/>
      </c>
      <c r="G126" s="21">
        <f>ROUND('Group Inputs'!FC5-'Group Inputs'!FD5,2)</f>
        <v/>
      </c>
      <c r="H126" s="21">
        <f>ROUND('Group Inputs'!FC6-'Group Inputs'!FD6,2)</f>
        <v/>
      </c>
      <c r="I126" s="21">
        <f>ROUND('Group Inputs'!FC7-'Group Inputs'!FD7,2)</f>
        <v/>
      </c>
      <c r="J126" s="21">
        <f>ROUND('Group Inputs'!FC8-'Group Inputs'!FD8,2)</f>
        <v/>
      </c>
      <c r="K126" s="21">
        <f>ROUND('Group Inputs'!FC9-'Group Inputs'!FD9,2)</f>
        <v/>
      </c>
      <c r="L126" s="3" t="inlineStr">
        <is>
          <t>9</t>
        </is>
      </c>
      <c r="M126" s="3" t="inlineStr">
        <is>
          <t>G-08</t>
        </is>
      </c>
      <c r="N126" s="3" t="inlineStr">
        <is>
          <t>kpis_leadership, kpis_certified</t>
        </is>
      </c>
    </row>
    <row r="127">
      <c r="A127" s="2" t="inlineStr">
        <is>
          <t>TRU-005</t>
        </is>
      </c>
      <c r="B127" s="3" t="inlineStr">
        <is>
          <t>KPI certification coverage</t>
        </is>
      </c>
      <c r="C127" s="3" t="inlineStr">
        <is>
          <t>%</t>
        </is>
      </c>
      <c r="D127" s="3" t="inlineStr">
        <is>
          <t>Month end</t>
        </is>
      </c>
      <c r="E127" s="3" t="inlineStr">
        <is>
          <t>Leadership KPI values inside the certification process ÷ Values reported × 100</t>
        </is>
      </c>
      <c r="F127" s="21">
        <f>ROUND(IF('Group Inputs'!FC4=0,0,100*'Group Inputs'!FE4/'Group Inputs'!FC4),2)</f>
        <v/>
      </c>
      <c r="G127" s="21">
        <f>ROUND(IF('Group Inputs'!FC5=0,0,100*'Group Inputs'!FE5/'Group Inputs'!FC5),2)</f>
        <v/>
      </c>
      <c r="H127" s="21">
        <f>ROUND(IF('Group Inputs'!FC6=0,0,100*'Group Inputs'!FE6/'Group Inputs'!FC6),2)</f>
        <v/>
      </c>
      <c r="I127" s="21">
        <f>ROUND(IF('Group Inputs'!FC7=0,0,100*'Group Inputs'!FE7/'Group Inputs'!FC7),2)</f>
        <v/>
      </c>
      <c r="J127" s="21">
        <f>ROUND(IF('Group Inputs'!FC8=0,0,100*'Group Inputs'!FE8/'Group Inputs'!FC8),2)</f>
        <v/>
      </c>
      <c r="K127" s="21">
        <f>ROUND(IF('Group Inputs'!FC9=0,0,100*'Group Inputs'!FE9/'Group Inputs'!FC9),2)</f>
        <v/>
      </c>
      <c r="L127" s="3" t="inlineStr">
        <is>
          <t>92%</t>
        </is>
      </c>
      <c r="M127" s="3" t="inlineStr">
        <is>
          <t>G-08</t>
        </is>
      </c>
      <c r="N127" s="3" t="inlineStr">
        <is>
          <t>kpis_leadership, kpis_in_scope</t>
        </is>
      </c>
    </row>
    <row r="128">
      <c r="A128" s="2" t="inlineStr">
        <is>
          <t>TRU-008</t>
        </is>
      </c>
      <c r="B128" s="3" t="inlineStr">
        <is>
          <t>Source-to-Lake reconciliation rate</t>
        </is>
      </c>
      <c r="C128" s="3" t="inlineStr">
        <is>
          <t>%</t>
        </is>
      </c>
      <c r="D128" s="3" t="inlineStr">
        <is>
          <t>Month</t>
        </is>
      </c>
      <c r="E128" s="3" t="inlineStr">
        <is>
          <t>Records reconciled to source ÷ Records loaded × 100</t>
        </is>
      </c>
      <c r="F128" s="21">
        <f>ROUND(IF('Group Inputs'!FI4=0,0,100*'Group Inputs'!FJ4/'Group Inputs'!FI4),2)</f>
        <v/>
      </c>
      <c r="G128" s="21">
        <f>ROUND(IF('Group Inputs'!FI5=0,0,100*'Group Inputs'!FJ5/'Group Inputs'!FI5),2)</f>
        <v/>
      </c>
      <c r="H128" s="21">
        <f>ROUND(IF('Group Inputs'!FI6=0,0,100*'Group Inputs'!FJ6/'Group Inputs'!FI6),2)</f>
        <v/>
      </c>
      <c r="I128" s="21">
        <f>ROUND(IF('Group Inputs'!FI7=0,0,100*'Group Inputs'!FJ7/'Group Inputs'!FI7),2)</f>
        <v/>
      </c>
      <c r="J128" s="21">
        <f>ROUND(IF('Group Inputs'!FI8=0,0,100*'Group Inputs'!FJ8/'Group Inputs'!FI8),2)</f>
        <v/>
      </c>
      <c r="K128" s="21">
        <f>ROUND(IF('Group Inputs'!FI9=0,0,100*'Group Inputs'!FJ9/'Group Inputs'!FI9),2)</f>
        <v/>
      </c>
      <c r="L128" s="3" t="inlineStr">
        <is>
          <t>99.2%</t>
        </is>
      </c>
      <c r="M128" s="3" t="inlineStr">
        <is>
          <t>E-08,G-08</t>
        </is>
      </c>
      <c r="N128" s="3" t="inlineStr">
        <is>
          <t>lake_records_loaded, lake_records_reconciled</t>
        </is>
      </c>
    </row>
    <row r="129">
      <c r="A129" s="2" t="inlineStr">
        <is>
          <t>TRU-009</t>
        </is>
      </c>
      <c r="B129" s="3" t="inlineStr">
        <is>
          <t>Flash-to-MIS reconciliation rate</t>
        </is>
      </c>
      <c r="C129" s="3" t="inlineStr">
        <is>
          <t>%</t>
        </is>
      </c>
      <c r="D129" s="3" t="inlineStr">
        <is>
          <t>Month</t>
        </is>
      </c>
      <c r="E129" s="3" t="inlineStr">
        <is>
          <t>Flash lines matching MIS ÷ Flash report lines × 100</t>
        </is>
      </c>
      <c r="F129" s="21">
        <f>ROUND(IF('Group Inputs'!FK4=0,0,100*'Group Inputs'!FL4/'Group Inputs'!FK4),2)</f>
        <v/>
      </c>
      <c r="G129" s="21">
        <f>ROUND(IF('Group Inputs'!FK5=0,0,100*'Group Inputs'!FL5/'Group Inputs'!FK5),2)</f>
        <v/>
      </c>
      <c r="H129" s="21">
        <f>ROUND(IF('Group Inputs'!FK6=0,0,100*'Group Inputs'!FL6/'Group Inputs'!FK6),2)</f>
        <v/>
      </c>
      <c r="I129" s="21">
        <f>ROUND(IF('Group Inputs'!FK7=0,0,100*'Group Inputs'!FL7/'Group Inputs'!FK7),2)</f>
        <v/>
      </c>
      <c r="J129" s="21">
        <f>ROUND(IF('Group Inputs'!FK8=0,0,100*'Group Inputs'!FL8/'Group Inputs'!FK8),2)</f>
        <v/>
      </c>
      <c r="K129" s="21">
        <f>ROUND(IF('Group Inputs'!FK9=0,0,100*'Group Inputs'!FL9/'Group Inputs'!FK9),2)</f>
        <v/>
      </c>
      <c r="L129" s="3" t="inlineStr">
        <is>
          <t>96.8%</t>
        </is>
      </c>
      <c r="M129" s="3" t="inlineStr">
        <is>
          <t>E-08,G-08</t>
        </is>
      </c>
      <c r="N129" s="3" t="inlineStr">
        <is>
          <t>mis_lines_total, mis_lines_matched</t>
        </is>
      </c>
    </row>
    <row r="130">
      <c r="A130" s="2" t="inlineStr">
        <is>
          <t>TRU-010</t>
        </is>
      </c>
      <c r="B130" s="3" t="inlineStr">
        <is>
          <t>Flash-to-close variance</t>
        </is>
      </c>
      <c r="C130" s="3" t="inlineStr">
        <is>
          <t>%</t>
        </is>
      </c>
      <c r="D130" s="3" t="inlineStr">
        <is>
          <t>Month</t>
        </is>
      </c>
      <c r="E130" s="3" t="inlineStr">
        <is>
          <t>|Flash revenue − Closed revenue| ÷ Closed revenue × 100</t>
        </is>
      </c>
      <c r="F130" s="21">
        <f>ROUND(IF('Group Inputs'!AU4=0,0,100*ABS('Group Inputs'!CI4-'Group Inputs'!AU4)/'Group Inputs'!AU4),2)</f>
        <v/>
      </c>
      <c r="G130" s="21">
        <f>ROUND(IF('Group Inputs'!AU5=0,0,100*ABS('Group Inputs'!CI5-'Group Inputs'!AU5)/'Group Inputs'!AU5),2)</f>
        <v/>
      </c>
      <c r="H130" s="21">
        <f>ROUND(IF('Group Inputs'!AU6=0,0,100*ABS('Group Inputs'!CI6-'Group Inputs'!AU6)/'Group Inputs'!AU6),2)</f>
        <v/>
      </c>
      <c r="I130" s="21">
        <f>ROUND(IF('Group Inputs'!AU7=0,0,100*ABS('Group Inputs'!CI7-'Group Inputs'!AU7)/'Group Inputs'!AU7),2)</f>
        <v/>
      </c>
      <c r="J130" s="21">
        <f>ROUND(IF('Group Inputs'!AU8=0,0,100*ABS('Group Inputs'!CI8-'Group Inputs'!AU8)/'Group Inputs'!AU8),2)</f>
        <v/>
      </c>
      <c r="K130" s="21">
        <f>ROUND(IF('Group Inputs'!AU9=0,0,100*ABS('Group Inputs'!CI9-'Group Inputs'!AU9)/'Group Inputs'!AU9),2)</f>
        <v/>
      </c>
      <c r="L130" s="3" t="inlineStr">
        <is>
          <t>0.6 %</t>
        </is>
      </c>
      <c r="M130" s="3" t="inlineStr">
        <is>
          <t>E-08,G-08</t>
        </is>
      </c>
      <c r="N130" s="3" t="inlineStr">
        <is>
          <t>revenue_k, flash_revenue_k</t>
        </is>
      </c>
    </row>
    <row r="131">
      <c r="A131" s="2" t="inlineStr">
        <is>
          <t>TRU-003</t>
        </is>
      </c>
      <c r="B131" s="3" t="inlineStr">
        <is>
          <t>Variance against Board number (EBITDA)</t>
        </is>
      </c>
      <c r="C131" s="3" t="inlineStr">
        <is>
          <t>%</t>
        </is>
      </c>
      <c r="D131" s="3" t="inlineStr">
        <is>
          <t>Month</t>
        </is>
      </c>
      <c r="E131" s="3" t="inlineStr">
        <is>
          <t>(Board-pack EBITDA − Certified EBITDA) ÷ Certified EBITDA × 100</t>
        </is>
      </c>
      <c r="F131" s="21">
        <f>ROUND(IF('Group Inputs'!FV4=0,0,100*('Group Inputs'!CH4-'Group Inputs'!FV4)/'Group Inputs'!FV4),2)</f>
        <v/>
      </c>
      <c r="G131" s="21">
        <f>ROUND(IF('Group Inputs'!FV5=0,0,100*('Group Inputs'!CH5-'Group Inputs'!FV5)/'Group Inputs'!FV5),2)</f>
        <v/>
      </c>
      <c r="H131" s="21">
        <f>ROUND(IF('Group Inputs'!FV6=0,0,100*('Group Inputs'!CH6-'Group Inputs'!FV6)/'Group Inputs'!FV6),2)</f>
        <v/>
      </c>
      <c r="I131" s="21">
        <f>ROUND(IF('Group Inputs'!FV7=0,0,100*('Group Inputs'!CH7-'Group Inputs'!FV7)/'Group Inputs'!FV7),2)</f>
        <v/>
      </c>
      <c r="J131" s="21">
        <f>ROUND(IF('Group Inputs'!FV8=0,0,100*('Group Inputs'!CH8-'Group Inputs'!FV8)/'Group Inputs'!FV8),2)</f>
        <v/>
      </c>
      <c r="K131" s="21">
        <f>ROUND(IF('Group Inputs'!FV9=0,0,100*('Group Inputs'!CH9-'Group Inputs'!FV9)/'Group Inputs'!FV9),2)</f>
        <v/>
      </c>
      <c r="L131" s="3" t="inlineStr">
        <is>
          <t>[BOARD FIGURE — PH]</t>
        </is>
      </c>
      <c r="M131" s="3" t="inlineStr">
        <is>
          <t>G-08</t>
        </is>
      </c>
      <c r="N131" s="3" t="inlineStr">
        <is>
          <t>board_ebitda_k, ebitda_k</t>
        </is>
      </c>
    </row>
    <row r="132">
      <c r="A132" s="2" t="inlineStr">
        <is>
          <t>TRU-011</t>
        </is>
      </c>
      <c r="B132" s="3" t="inlineStr">
        <is>
          <t>Largest entity variance against Board numbers</t>
        </is>
      </c>
      <c r="C132" s="3" t="inlineStr">
        <is>
          <t>%</t>
        </is>
      </c>
      <c r="D132" s="3" t="inlineStr">
        <is>
          <t>Month</t>
        </is>
      </c>
      <c r="E132" s="3" t="inlineStr">
        <is>
          <t>Highest of the entities' |Board-pack EBITDA − Certified EBITDA| ÷ Certified EBITDA × 100</t>
        </is>
      </c>
      <c r="F132" s="21">
        <f>ROUND(MAX(IF(('Entity Inputs'!AU4-'Entity Inputs'!V4-'Entity Inputs'!X4-'Entity Inputs'!BY4)=0,0,100*ABS('Entity Inputs'!CH4-('Entity Inputs'!AU4-'Entity Inputs'!V4-'Entity Inputs'!X4-'Entity Inputs'!BY4))/('Entity Inputs'!AU4-'Entity Inputs'!V4-'Entity Inputs'!X4-'Entity Inputs'!BY4)),IF(('Entity Inputs'!AU10-'Entity Inputs'!V10-'Entity Inputs'!X10-'Entity Inputs'!BY10)=0,0,100*ABS('Entity Inputs'!CH10-('Entity Inputs'!AU10-'Entity Inputs'!V10-'Entity Inputs'!X10-'Entity Inputs'!BY10))/('Entity Inputs'!AU10-'Entity Inputs'!V10-'Entity Inputs'!X10-'Entity Inputs'!BY10))),2)</f>
        <v/>
      </c>
      <c r="G132" s="21">
        <f>ROUND(MAX(IF(('Entity Inputs'!AU5-'Entity Inputs'!V5-'Entity Inputs'!X5-'Entity Inputs'!BY5)=0,0,100*ABS('Entity Inputs'!CH5-('Entity Inputs'!AU5-'Entity Inputs'!V5-'Entity Inputs'!X5-'Entity Inputs'!BY5))/('Entity Inputs'!AU5-'Entity Inputs'!V5-'Entity Inputs'!X5-'Entity Inputs'!BY5)),IF(('Entity Inputs'!AU11-'Entity Inputs'!V11-'Entity Inputs'!X11-'Entity Inputs'!BY11)=0,0,100*ABS('Entity Inputs'!CH11-('Entity Inputs'!AU11-'Entity Inputs'!V11-'Entity Inputs'!X11-'Entity Inputs'!BY11))/('Entity Inputs'!AU11-'Entity Inputs'!V11-'Entity Inputs'!X11-'Entity Inputs'!BY11))),2)</f>
        <v/>
      </c>
      <c r="H132" s="21">
        <f>ROUND(MAX(IF(('Entity Inputs'!AU6-'Entity Inputs'!V6-'Entity Inputs'!X6-'Entity Inputs'!BY6)=0,0,100*ABS('Entity Inputs'!CH6-('Entity Inputs'!AU6-'Entity Inputs'!V6-'Entity Inputs'!X6-'Entity Inputs'!BY6))/('Entity Inputs'!AU6-'Entity Inputs'!V6-'Entity Inputs'!X6-'Entity Inputs'!BY6)),IF(('Entity Inputs'!AU12-'Entity Inputs'!V12-'Entity Inputs'!X12-'Entity Inputs'!BY12)=0,0,100*ABS('Entity Inputs'!CH12-('Entity Inputs'!AU12-'Entity Inputs'!V12-'Entity Inputs'!X12-'Entity Inputs'!BY12))/('Entity Inputs'!AU12-'Entity Inputs'!V12-'Entity Inputs'!X12-'Entity Inputs'!BY12))),2)</f>
        <v/>
      </c>
      <c r="I132" s="21">
        <f>ROUND(MAX(IF(('Entity Inputs'!AU7-'Entity Inputs'!V7-'Entity Inputs'!X7-'Entity Inputs'!BY7)=0,0,100*ABS('Entity Inputs'!CH7-('Entity Inputs'!AU7-'Entity Inputs'!V7-'Entity Inputs'!X7-'Entity Inputs'!BY7))/('Entity Inputs'!AU7-'Entity Inputs'!V7-'Entity Inputs'!X7-'Entity Inputs'!BY7)),IF(('Entity Inputs'!AU13-'Entity Inputs'!V13-'Entity Inputs'!X13-'Entity Inputs'!BY13)=0,0,100*ABS('Entity Inputs'!CH13-('Entity Inputs'!AU13-'Entity Inputs'!V13-'Entity Inputs'!X13-'Entity Inputs'!BY13))/('Entity Inputs'!AU13-'Entity Inputs'!V13-'Entity Inputs'!X13-'Entity Inputs'!BY13))),2)</f>
        <v/>
      </c>
      <c r="J132" s="21">
        <f>ROUND(MAX(IF(('Entity Inputs'!AU8-'Entity Inputs'!V8-'Entity Inputs'!X8-'Entity Inputs'!BY8)=0,0,100*ABS('Entity Inputs'!CH8-('Entity Inputs'!AU8-'Entity Inputs'!V8-'Entity Inputs'!X8-'Entity Inputs'!BY8))/('Entity Inputs'!AU8-'Entity Inputs'!V8-'Entity Inputs'!X8-'Entity Inputs'!BY8)),IF(('Entity Inputs'!AU14-'Entity Inputs'!V14-'Entity Inputs'!X14-'Entity Inputs'!BY14)=0,0,100*ABS('Entity Inputs'!CH14-('Entity Inputs'!AU14-'Entity Inputs'!V14-'Entity Inputs'!X14-'Entity Inputs'!BY14))/('Entity Inputs'!AU14-'Entity Inputs'!V14-'Entity Inputs'!X14-'Entity Inputs'!BY14))),2)</f>
        <v/>
      </c>
      <c r="K132" s="21">
        <f>ROUND(MAX(IF(('Entity Inputs'!AU9-'Entity Inputs'!V9-'Entity Inputs'!X9-'Entity Inputs'!BY9)=0,0,100*ABS('Entity Inputs'!CH9-('Entity Inputs'!AU9-'Entity Inputs'!V9-'Entity Inputs'!X9-'Entity Inputs'!BY9))/('Entity Inputs'!AU9-'Entity Inputs'!V9-'Entity Inputs'!X9-'Entity Inputs'!BY9)),IF(('Entity Inputs'!AU15-'Entity Inputs'!V15-'Entity Inputs'!X15-'Entity Inputs'!BY15)=0,0,100*ABS('Entity Inputs'!CH15-('Entity Inputs'!AU15-'Entity Inputs'!V15-'Entity Inputs'!X15-'Entity Inputs'!BY15))/('Entity Inputs'!AU15-'Entity Inputs'!V15-'Entity Inputs'!X15-'Entity Inputs'!BY15))),2)</f>
        <v/>
      </c>
      <c r="L132" s="3" t="inlineStr">
        <is>
          <t>0.3% max abs · Entity B2</t>
        </is>
      </c>
      <c r="M132" s="3" t="inlineStr">
        <is>
          <t>E-08,G-08</t>
        </is>
      </c>
      <c r="N132" s="3" t="inlineStr">
        <is>
          <t>variable_cost_k, fixed_cost_k, revenue_k, overhead_k, board_ebitda_k</t>
        </is>
      </c>
    </row>
    <row r="133">
      <c r="A133" s="2" t="inlineStr">
        <is>
          <t>EFF-002</t>
        </is>
      </c>
      <c r="B133" s="3" t="inlineStr">
        <is>
          <t>Open critical alerts</t>
        </is>
      </c>
      <c r="C133" s="3" t="inlineStr">
        <is>
          <t>count</t>
        </is>
      </c>
      <c r="D133" s="3" t="inlineStr">
        <is>
          <t>Month end</t>
        </is>
      </c>
      <c r="E133" s="3" t="inlineStr">
        <is>
          <t>Open critical alerts</t>
        </is>
      </c>
      <c r="F133" s="21">
        <f>ROUND('Group Inputs'!FM4,2)</f>
        <v/>
      </c>
      <c r="G133" s="21">
        <f>ROUND('Group Inputs'!FM5,2)</f>
        <v/>
      </c>
      <c r="H133" s="21">
        <f>ROUND('Group Inputs'!FM6,2)</f>
        <v/>
      </c>
      <c r="I133" s="21">
        <f>ROUND('Group Inputs'!FM7,2)</f>
        <v/>
      </c>
      <c r="J133" s="21">
        <f>ROUND('Group Inputs'!FM8,2)</f>
        <v/>
      </c>
      <c r="K133" s="21">
        <f>ROUND('Group Inputs'!FM9,2)</f>
        <v/>
      </c>
      <c r="L133" s="3" t="inlineStr">
        <is>
          <t>1</t>
        </is>
      </c>
      <c r="M133" s="3" t="inlineStr">
        <is>
          <t>E-01,E-09,G-01,G-02,G-07,G-09,O-01,STATE GALLERY</t>
        </is>
      </c>
      <c r="N133" s="3" t="inlineStr">
        <is>
          <t>critical_alerts_open</t>
        </is>
      </c>
    </row>
    <row r="134">
      <c r="A134" s="2" t="inlineStr">
        <is>
          <t>EFF-006</t>
        </is>
      </c>
      <c r="B134" s="3" t="inlineStr">
        <is>
          <t>Alerts without accepted owners</t>
        </is>
      </c>
      <c r="C134" s="3" t="inlineStr">
        <is>
          <t>count</t>
        </is>
      </c>
      <c r="D134" s="3" t="inlineStr">
        <is>
          <t>Month end</t>
        </is>
      </c>
      <c r="E134" s="3" t="inlineStr">
        <is>
          <t>Alerts with no accepted owner</t>
        </is>
      </c>
      <c r="F134" s="21">
        <f>ROUND('Group Inputs'!FN4,2)</f>
        <v/>
      </c>
      <c r="G134" s="21">
        <f>ROUND('Group Inputs'!FN5,2)</f>
        <v/>
      </c>
      <c r="H134" s="21">
        <f>ROUND('Group Inputs'!FN6,2)</f>
        <v/>
      </c>
      <c r="I134" s="21">
        <f>ROUND('Group Inputs'!FN7,2)</f>
        <v/>
      </c>
      <c r="J134" s="21">
        <f>ROUND('Group Inputs'!FN8,2)</f>
        <v/>
      </c>
      <c r="K134" s="21">
        <f>ROUND('Group Inputs'!FN9,2)</f>
        <v/>
      </c>
      <c r="L134" s="3" t="inlineStr">
        <is>
          <t>1</t>
        </is>
      </c>
      <c r="M134" s="3" t="inlineStr">
        <is>
          <t>G-09</t>
        </is>
      </c>
      <c r="N134" s="3" t="inlineStr">
        <is>
          <t>alerts_unowned</t>
        </is>
      </c>
    </row>
    <row r="135">
      <c r="A135" s="2" t="inlineStr">
        <is>
          <t>EFF-007</t>
        </is>
      </c>
      <c r="B135" s="3" t="inlineStr">
        <is>
          <t>Overdue actions</t>
        </is>
      </c>
      <c r="C135" s="3" t="inlineStr">
        <is>
          <t>count</t>
        </is>
      </c>
      <c r="D135" s="3" t="inlineStr">
        <is>
          <t>Month end</t>
        </is>
      </c>
      <c r="E135" s="3" t="inlineStr">
        <is>
          <t>Overdue actions</t>
        </is>
      </c>
      <c r="F135" s="21">
        <f>ROUND('Group Inputs'!FO4,2)</f>
        <v/>
      </c>
      <c r="G135" s="21">
        <f>ROUND('Group Inputs'!FO5,2)</f>
        <v/>
      </c>
      <c r="H135" s="21">
        <f>ROUND('Group Inputs'!FO6,2)</f>
        <v/>
      </c>
      <c r="I135" s="21">
        <f>ROUND('Group Inputs'!FO7,2)</f>
        <v/>
      </c>
      <c r="J135" s="21">
        <f>ROUND('Group Inputs'!FO8,2)</f>
        <v/>
      </c>
      <c r="K135" s="21">
        <f>ROUND('Group Inputs'!FO9,2)</f>
        <v/>
      </c>
      <c r="L135" s="3" t="inlineStr">
        <is>
          <t>0</t>
        </is>
      </c>
      <c r="M135" s="3" t="inlineStr">
        <is>
          <t>E-01,E-09,G-09</t>
        </is>
      </c>
      <c r="N135" s="3" t="inlineStr">
        <is>
          <t>actions_overdue</t>
        </is>
      </c>
    </row>
    <row r="136">
      <c r="A136" s="2" t="inlineStr">
        <is>
          <t>EFF-008</t>
        </is>
      </c>
      <c r="B136" s="3" t="inlineStr">
        <is>
          <t>Average resolution time</t>
        </is>
      </c>
      <c r="C136" s="3" t="inlineStr">
        <is>
          <t>days</t>
        </is>
      </c>
      <c r="D136" s="3" t="inlineStr">
        <is>
          <t>Month</t>
        </is>
      </c>
      <c r="E136" s="3" t="inlineStr">
        <is>
          <t>Days taken to resolve alerts ÷ Alerts resolved</t>
        </is>
      </c>
      <c r="F136" s="21">
        <f>ROUND(IF('Group Inputs'!FP4=0,0,'Group Inputs'!FQ4/'Group Inputs'!FP4),2)</f>
        <v/>
      </c>
      <c r="G136" s="21">
        <f>ROUND(IF('Group Inputs'!FP5=0,0,'Group Inputs'!FQ5/'Group Inputs'!FP5),2)</f>
        <v/>
      </c>
      <c r="H136" s="21">
        <f>ROUND(IF('Group Inputs'!FP6=0,0,'Group Inputs'!FQ6/'Group Inputs'!FP6),2)</f>
        <v/>
      </c>
      <c r="I136" s="21">
        <f>ROUND(IF('Group Inputs'!FP7=0,0,'Group Inputs'!FQ7/'Group Inputs'!FP7),2)</f>
        <v/>
      </c>
      <c r="J136" s="21">
        <f>ROUND(IF('Group Inputs'!FP8=0,0,'Group Inputs'!FQ8/'Group Inputs'!FP8),2)</f>
        <v/>
      </c>
      <c r="K136" s="21">
        <f>ROUND(IF('Group Inputs'!FP9=0,0,'Group Inputs'!FQ9/'Group Inputs'!FP9),2)</f>
        <v/>
      </c>
      <c r="L136" s="3" t="inlineStr">
        <is>
          <t>2.4 d</t>
        </is>
      </c>
      <c r="M136" s="3" t="inlineStr">
        <is>
          <t>E-09,G-09,O-06</t>
        </is>
      </c>
      <c r="N136" s="3" t="inlineStr">
        <is>
          <t>alerts_resolved, alert_resolution_days</t>
        </is>
      </c>
    </row>
    <row r="137">
      <c r="A137" s="2" t="inlineStr">
        <is>
          <t>EFF-009</t>
        </is>
      </c>
      <c r="B137" s="3" t="inlineStr">
        <is>
          <t>Closed escalations, last 30 days</t>
        </is>
      </c>
      <c r="C137" s="3" t="inlineStr">
        <is>
          <t>count</t>
        </is>
      </c>
      <c r="D137" s="3" t="inlineStr">
        <is>
          <t>Month</t>
        </is>
      </c>
      <c r="E137" s="3" t="inlineStr">
        <is>
          <t>Escalations closed in the month</t>
        </is>
      </c>
      <c r="F137" s="21">
        <f>ROUND('Group Inputs'!FR4,2)</f>
        <v/>
      </c>
      <c r="G137" s="21">
        <f>ROUND('Group Inputs'!FR5,2)</f>
        <v/>
      </c>
      <c r="H137" s="21">
        <f>ROUND('Group Inputs'!FR6,2)</f>
        <v/>
      </c>
      <c r="I137" s="21">
        <f>ROUND('Group Inputs'!FR7,2)</f>
        <v/>
      </c>
      <c r="J137" s="21">
        <f>ROUND('Group Inputs'!FR8,2)</f>
        <v/>
      </c>
      <c r="K137" s="21">
        <f>ROUND('Group Inputs'!FR9,2)</f>
        <v/>
      </c>
      <c r="L137" s="3" t="inlineStr">
        <is>
          <t>11</t>
        </is>
      </c>
      <c r="M137" s="3" t="inlineStr">
        <is>
          <t>E-09,G-09,O-06</t>
        </is>
      </c>
      <c r="N137" s="3" t="inlineStr">
        <is>
          <t>escalations_closed</t>
        </is>
      </c>
    </row>
    <row r="138">
      <c r="A138" s="2" t="inlineStr">
        <is>
          <t>EFF-010</t>
        </is>
      </c>
      <c r="B138" s="3" t="inlineStr">
        <is>
          <t>Repeat issues, last 90 days</t>
        </is>
      </c>
      <c r="C138" s="3" t="inlineStr">
        <is>
          <t>count</t>
        </is>
      </c>
      <c r="D138" s="3" t="inlineStr">
        <is>
          <t>Last 3 months</t>
        </is>
      </c>
      <c r="E138" s="3" t="inlineStr">
        <is>
          <t>Sum of repeat issues over the last 3 months</t>
        </is>
      </c>
      <c r="F138" s="21">
        <f>ROUND(SUM('Group Inputs'!FS4:FS4),2)</f>
        <v/>
      </c>
      <c r="G138" s="21">
        <f>ROUND(SUM('Group Inputs'!FS4:FS5),2)</f>
        <v/>
      </c>
      <c r="H138" s="21">
        <f>ROUND(SUM('Group Inputs'!FS4:FS6),2)</f>
        <v/>
      </c>
      <c r="I138" s="21">
        <f>ROUND(SUM('Group Inputs'!FS5:FS7),2)</f>
        <v/>
      </c>
      <c r="J138" s="21">
        <f>ROUND(SUM('Group Inputs'!FS6:FS8),2)</f>
        <v/>
      </c>
      <c r="K138" s="21">
        <f>ROUND(SUM('Group Inputs'!FS7:FS9),2)</f>
        <v/>
      </c>
      <c r="L138" s="3" t="inlineStr">
        <is>
          <t>2</t>
        </is>
      </c>
      <c r="M138" s="3" t="inlineStr">
        <is>
          <t>E-09,G-09,O-06</t>
        </is>
      </c>
      <c r="N138" s="3" t="inlineStr">
        <is>
          <t>repeat_issues</t>
        </is>
      </c>
    </row>
    <row r="139">
      <c r="A139" s="2" t="inlineStr">
        <is>
          <t>EFF-011</t>
        </is>
      </c>
      <c r="B139" s="3" t="inlineStr">
        <is>
          <t>Root causes eliminated YTD</t>
        </is>
      </c>
      <c r="C139" s="3" t="inlineStr">
        <is>
          <t>text</t>
        </is>
      </c>
      <c r="D139" s="3" t="inlineStr">
        <is>
          <t>Year to date</t>
        </is>
      </c>
      <c r="E139" s="3" t="inlineStr">
        <is>
          <t>Root causes eliminated since April, of those identified since April</t>
        </is>
      </c>
      <c r="F139" s="8">
        <f>SUM('Group Inputs'!FU$4:FU4)&amp;" of "&amp;SUM('Group Inputs'!FT$4:FT4)</f>
        <v/>
      </c>
      <c r="G139" s="8">
        <f>SUM('Group Inputs'!FU$4:FU5)&amp;" of "&amp;SUM('Group Inputs'!FT$4:FT5)</f>
        <v/>
      </c>
      <c r="H139" s="8">
        <f>SUM('Group Inputs'!FU$4:FU6)&amp;" of "&amp;SUM('Group Inputs'!FT$4:FT6)</f>
        <v/>
      </c>
      <c r="I139" s="8">
        <f>SUM('Group Inputs'!FU$4:FU7)&amp;" of "&amp;SUM('Group Inputs'!FT$4:FT7)</f>
        <v/>
      </c>
      <c r="J139" s="8">
        <f>SUM('Group Inputs'!FU$4:FU8)&amp;" of "&amp;SUM('Group Inputs'!FT$4:FT8)</f>
        <v/>
      </c>
      <c r="K139" s="8">
        <f>SUM('Group Inputs'!FU$4:FU9)&amp;" of "&amp;SUM('Group Inputs'!FT$4:FT9)</f>
        <v/>
      </c>
      <c r="L139" s="3" t="inlineStr">
        <is>
          <t>7 of 9</t>
        </is>
      </c>
      <c r="M139" s="3" t="inlineStr">
        <is>
          <t>E-09,G-09,O-06</t>
        </is>
      </c>
      <c r="N139" s="3" t="inlineStr">
        <is>
          <t>root_causes_identified, root_causes_eliminated</t>
        </is>
      </c>
    </row>
    <row r="140">
      <c r="A140" s="2" t="inlineStr">
        <is>
          <t>SIG-004</t>
        </is>
      </c>
      <c r="B140" s="3" t="inlineStr">
        <is>
          <t>Collections slippage</t>
        </is>
      </c>
      <c r="C140" s="3" t="inlineStr">
        <is>
          <t>days</t>
        </is>
      </c>
      <c r="D140" s="3" t="inlineStr">
        <is>
          <t>Month</t>
        </is>
      </c>
      <c r="E140" s="3" t="inlineStr">
        <is>
          <t>(Days taken to collect − Agreed payment terms) ÷ Invoices collected (average days late)</t>
        </is>
      </c>
      <c r="F140" s="21">
        <f>ROUND(IF('Group Inputs'!CQ4=0,0,('Group Inputs'!CR4-'Group Inputs'!CS4)/'Group Inputs'!CQ4),2)</f>
        <v/>
      </c>
      <c r="G140" s="21">
        <f>ROUND(IF('Group Inputs'!CQ5=0,0,('Group Inputs'!CR5-'Group Inputs'!CS5)/'Group Inputs'!CQ5),2)</f>
        <v/>
      </c>
      <c r="H140" s="21">
        <f>ROUND(IF('Group Inputs'!CQ6=0,0,('Group Inputs'!CR6-'Group Inputs'!CS6)/'Group Inputs'!CQ6),2)</f>
        <v/>
      </c>
      <c r="I140" s="21">
        <f>ROUND(IF('Group Inputs'!CQ7=0,0,('Group Inputs'!CR7-'Group Inputs'!CS7)/'Group Inputs'!CQ7),2)</f>
        <v/>
      </c>
      <c r="J140" s="21">
        <f>ROUND(IF('Group Inputs'!CQ8=0,0,('Group Inputs'!CR8-'Group Inputs'!CS8)/'Group Inputs'!CQ8),2)</f>
        <v/>
      </c>
      <c r="K140" s="21">
        <f>ROUND(IF('Group Inputs'!CQ9=0,0,('Group Inputs'!CR9-'Group Inputs'!CS9)/'Group Inputs'!CQ9),2)</f>
        <v/>
      </c>
      <c r="L140" s="3" t="inlineStr">
        <is>
          <t>+2 d (A1)</t>
        </is>
      </c>
      <c r="M140" s="3" t="inlineStr">
        <is>
          <t>E-05, G-04, S-12</t>
        </is>
      </c>
      <c r="N140" s="3" t="inlineStr">
        <is>
          <t>invoices_collected, collection_days, terms_days</t>
        </is>
      </c>
    </row>
    <row r="141">
      <c r="A141" s="2" t="inlineStr">
        <is>
          <t>SIG-005</t>
        </is>
      </c>
      <c r="B141" s="3" t="inlineStr">
        <is>
          <t>Payment delays</t>
        </is>
      </c>
      <c r="C141" s="3" t="inlineStr">
        <is>
          <t>customers</t>
        </is>
      </c>
      <c r="D141" s="3" t="inlineStr">
        <is>
          <t>Month end</t>
        </is>
      </c>
      <c r="E141" s="3" t="inlineStr">
        <is>
          <t>Customers more than 30 days overdue</t>
        </is>
      </c>
      <c r="F141" s="21">
        <f>ROUND('Group Inputs'!CT4,2)</f>
        <v/>
      </c>
      <c r="G141" s="21">
        <f>ROUND('Group Inputs'!CT5,2)</f>
        <v/>
      </c>
      <c r="H141" s="21">
        <f>ROUND('Group Inputs'!CT6,2)</f>
        <v/>
      </c>
      <c r="I141" s="21">
        <f>ROUND('Group Inputs'!CT7,2)</f>
        <v/>
      </c>
      <c r="J141" s="21">
        <f>ROUND('Group Inputs'!CT8,2)</f>
        <v/>
      </c>
      <c r="K141" s="21">
        <f>ROUND('Group Inputs'!CT9,2)</f>
        <v/>
      </c>
      <c r="L141" s="3" t="inlineStr">
        <is>
          <t>2 customers (A1)</t>
        </is>
      </c>
      <c r="M141" s="3" t="inlineStr">
        <is>
          <t>E-05,G-04</t>
        </is>
      </c>
      <c r="N141" s="3" t="inlineStr">
        <is>
          <t>customers_overdue</t>
        </is>
      </c>
    </row>
    <row r="142">
      <c r="A142" s="2" t="inlineStr">
        <is>
          <t>SIG-006</t>
        </is>
      </c>
      <c r="B142" s="3" t="inlineStr">
        <is>
          <t>Cash burn signal</t>
        </is>
      </c>
      <c r="C142" s="3" t="inlineStr">
        <is>
          <t>text</t>
        </is>
      </c>
      <c r="D142" s="3" t="inlineStr">
        <is>
          <t>Month</t>
        </is>
      </c>
      <c r="E142" s="3" t="inlineStr">
        <is>
          <t>Triggered if operating cash flow in the month is negative</t>
        </is>
      </c>
      <c r="F142" s="8">
        <f>IF('Group Inputs'!FZ4&lt;0,"Triggered","Not triggered")</f>
        <v/>
      </c>
      <c r="G142" s="8">
        <f>IF('Group Inputs'!FZ5&lt;0,"Triggered","Not triggered")</f>
        <v/>
      </c>
      <c r="H142" s="8">
        <f>IF('Group Inputs'!FZ6&lt;0,"Triggered","Not triggered")</f>
        <v/>
      </c>
      <c r="I142" s="8">
        <f>IF('Group Inputs'!FZ7&lt;0,"Triggered","Not triggered")</f>
        <v/>
      </c>
      <c r="J142" s="8">
        <f>IF('Group Inputs'!FZ8&lt;0,"Triggered","Not triggered")</f>
        <v/>
      </c>
      <c r="K142" s="8">
        <f>IF('Group Inputs'!FZ9&lt;0,"Triggered","Not triggered")</f>
        <v/>
      </c>
      <c r="L142" s="3" t="inlineStr">
        <is>
          <t>Not triggered</t>
        </is>
      </c>
      <c r="M142" s="3" t="inlineStr">
        <is>
          <t>—</t>
        </is>
      </c>
      <c r="N142" s="3" t="inlineStr">
        <is>
          <t>op_cash_flow_k</t>
        </is>
      </c>
    </row>
    <row r="143">
      <c r="A143" s="2" t="inlineStr">
        <is>
          <t>SIG-013</t>
        </is>
      </c>
      <c r="B143" s="3" t="inlineStr">
        <is>
          <t>Pricing pressure</t>
        </is>
      </c>
      <c r="C143" s="3" t="inlineStr">
        <is>
          <t>text</t>
        </is>
      </c>
      <c r="D143" s="3" t="inlineStr">
        <is>
          <t>Month</t>
        </is>
      </c>
      <c r="E143" s="3" t="inlineStr">
        <is>
          <t>Realised price vs plan: Low if above −1%, Medium down to −3%, High below −3%</t>
        </is>
      </c>
      <c r="F143" s="8">
        <f>IF('Group Inputs'!GG4&gt;=-1,"Low",IF('Group Inputs'!GG4&gt;=-3,"Medium","High"))&amp;" ("&amp;ROUND('Group Inputs'!GG4,1)&amp;"% vs plan price)"</f>
        <v/>
      </c>
      <c r="G143" s="8">
        <f>IF('Group Inputs'!GG5&gt;=-1,"Low",IF('Group Inputs'!GG5&gt;=-3,"Medium","High"))&amp;" ("&amp;ROUND('Group Inputs'!GG5,1)&amp;"% vs plan price)"</f>
        <v/>
      </c>
      <c r="H143" s="8">
        <f>IF('Group Inputs'!GG6&gt;=-1,"Low",IF('Group Inputs'!GG6&gt;=-3,"Medium","High"))&amp;" ("&amp;ROUND('Group Inputs'!GG6,1)&amp;"% vs plan price)"</f>
        <v/>
      </c>
      <c r="I143" s="8">
        <f>IF('Group Inputs'!GG7&gt;=-1,"Low",IF('Group Inputs'!GG7&gt;=-3,"Medium","High"))&amp;" ("&amp;ROUND('Group Inputs'!GG7,1)&amp;"% vs plan price)"</f>
        <v/>
      </c>
      <c r="J143" s="8">
        <f>IF('Group Inputs'!GG8&gt;=-1,"Low",IF('Group Inputs'!GG8&gt;=-3,"Medium","High"))&amp;" ("&amp;ROUND('Group Inputs'!GG8,1)&amp;"% vs plan price)"</f>
        <v/>
      </c>
      <c r="K143" s="8">
        <f>IF('Group Inputs'!GG9&gt;=-1,"Low",IF('Group Inputs'!GG9&gt;=-3,"Medium","High"))&amp;" ("&amp;ROUND('Group Inputs'!GG9,1)&amp;"% vs plan price)"</f>
        <v/>
      </c>
      <c r="L143" s="3" t="inlineStr">
        <is>
          <t>Low</t>
        </is>
      </c>
      <c r="M143" s="3" t="inlineStr">
        <is>
          <t>G-03</t>
        </is>
      </c>
      <c r="N143" s="3" t="inlineStr">
        <is>
          <t>price_vs_plan_pct</t>
        </is>
      </c>
    </row>
    <row r="144">
      <c r="A144" s="2" t="inlineStr">
        <is>
          <t>PRD-001</t>
        </is>
      </c>
      <c r="B144" s="3" t="inlineStr">
        <is>
          <t>Days to breach (earliest plant)</t>
        </is>
      </c>
      <c r="C144" s="3" t="inlineStr">
        <is>
          <t>days</t>
        </is>
      </c>
      <c r="D144" s="3" t="inlineStr">
        <is>
          <t>Forecast</t>
        </is>
      </c>
      <c r="E144" s="3" t="inlineStr">
        <is>
          <t>Lowest plant forecast of days until its production plan is breached (99 = not expected)</t>
        </is>
      </c>
      <c r="F144" s="21">
        <f>ROUND('Group Inputs'!BS4,2)</f>
        <v/>
      </c>
      <c r="G144" s="21">
        <f>ROUND('Group Inputs'!BS5,2)</f>
        <v/>
      </c>
      <c r="H144" s="21">
        <f>ROUND('Group Inputs'!BS6,2)</f>
        <v/>
      </c>
      <c r="I144" s="21">
        <f>ROUND('Group Inputs'!BS7,2)</f>
        <v/>
      </c>
      <c r="J144" s="21">
        <f>ROUND('Group Inputs'!BS8,2)</f>
        <v/>
      </c>
      <c r="K144" s="21">
        <f>ROUND('Group Inputs'!BS9,2)</f>
        <v/>
      </c>
      <c r="L144" s="3" t="inlineStr">
        <is>
          <t>Not shown</t>
        </is>
      </c>
      <c r="M144" s="3" t="inlineStr">
        <is>
          <t>O-01, O-02, E-01, E-04, S-10, S-12, STATE GALLERY</t>
        </is>
      </c>
      <c r="N144" s="3" t="inlineStr">
        <is>
          <t>days_to_breach</t>
        </is>
      </c>
    </row>
    <row r="145">
      <c r="A145" s="2" t="inlineStr">
        <is>
          <t>PRD-002</t>
        </is>
      </c>
      <c r="B145" s="3" t="inlineStr">
        <is>
          <t>Probability of production plan miss, next month</t>
        </is>
      </c>
      <c r="C145" s="3" t="inlineStr">
        <is>
          <t>%</t>
        </is>
      </c>
      <c r="D145" s="3" t="inlineStr">
        <is>
          <t>Next month</t>
        </is>
      </c>
      <c r="E145" s="3" t="inlineStr">
        <is>
          <t>Chance that output falls below plan: normal distribution with mean = Forecast good output, spread = √(sum of plant forecast variances)</t>
        </is>
      </c>
      <c r="F145" s="21">
        <f>ROUND(100*NORM.DIST('Group Inputs'!BT4,'Group Inputs'!BU4,SQRT('Group Inputs'!BV4),TRUE),2)</f>
        <v/>
      </c>
      <c r="G145" s="21">
        <f>ROUND(100*NORM.DIST('Group Inputs'!BT5,'Group Inputs'!BU5,SQRT('Group Inputs'!BV5),TRUE),2)</f>
        <v/>
      </c>
      <c r="H145" s="21">
        <f>ROUND(100*NORM.DIST('Group Inputs'!BT6,'Group Inputs'!BU6,SQRT('Group Inputs'!BV6),TRUE),2)</f>
        <v/>
      </c>
      <c r="I145" s="21">
        <f>ROUND(100*NORM.DIST('Group Inputs'!BT7,'Group Inputs'!BU7,SQRT('Group Inputs'!BV7),TRUE),2)</f>
        <v/>
      </c>
      <c r="J145" s="21">
        <f>ROUND(100*NORM.DIST('Group Inputs'!BT8,'Group Inputs'!BU8,SQRT('Group Inputs'!BV8),TRUE),2)</f>
        <v/>
      </c>
      <c r="K145" s="21">
        <f>ROUND(100*NORM.DIST('Group Inputs'!BT9,'Group Inputs'!BU9,SQRT('Group Inputs'!BV9),TRUE),2)</f>
        <v/>
      </c>
      <c r="L145" s="3" t="inlineStr">
        <is>
          <t>64%</t>
        </is>
      </c>
      <c r="M145" s="3" t="inlineStr">
        <is>
          <t>G-01,G-10,O-01,O-02,S-12,STATE GALLERY</t>
        </is>
      </c>
      <c r="N145" s="3" t="inlineStr">
        <is>
          <t>planned_production_next_t, forecast_good_next_t, forecast_good_var_next</t>
        </is>
      </c>
    </row>
    <row r="146">
      <c r="A146" s="2" t="inlineStr">
        <is>
          <t>PRD-003</t>
        </is>
      </c>
      <c r="B146" s="3" t="inlineStr">
        <is>
          <t>Projected EBITDA gap, rest of year</t>
        </is>
      </c>
      <c r="C146" s="3" t="inlineStr">
        <is>
          <t>₹ m</t>
        </is>
      </c>
      <c r="D146" s="3" t="inlineStr">
        <is>
          <t>Forecast</t>
        </is>
      </c>
      <c r="E146" s="3" t="inlineStr">
        <is>
          <t>(Forecast EBITDA − Planned EBITDA, rest of year) ÷ 1000</t>
        </is>
      </c>
      <c r="F146" s="21">
        <f>ROUND(('Group Inputs'!CU4-'Group Inputs'!CV4)/1000,2)</f>
        <v/>
      </c>
      <c r="G146" s="21">
        <f>ROUND(('Group Inputs'!CU5-'Group Inputs'!CV5)/1000,2)</f>
        <v/>
      </c>
      <c r="H146" s="21">
        <f>ROUND(('Group Inputs'!CU6-'Group Inputs'!CV6)/1000,2)</f>
        <v/>
      </c>
      <c r="I146" s="21">
        <f>ROUND(('Group Inputs'!CU7-'Group Inputs'!CV7)/1000,2)</f>
        <v/>
      </c>
      <c r="J146" s="21">
        <f>ROUND(('Group Inputs'!CU8-'Group Inputs'!CV8)/1000,2)</f>
        <v/>
      </c>
      <c r="K146" s="21">
        <f>ROUND(('Group Inputs'!CU9-'Group Inputs'!CV9)/1000,2)</f>
        <v/>
      </c>
      <c r="L146" s="3" t="inlineStr">
        <is>
          <t>−₹9.2 m</t>
        </is>
      </c>
      <c r="M146" s="3" t="inlineStr">
        <is>
          <t>G-01,G-03,G-10,O-01,O-02,S-09,S-12,STATE GALLERY</t>
        </is>
      </c>
      <c r="N146" s="3" t="inlineStr">
        <is>
          <t>forecast_ebitda_rest_k, planned_ebitda_rest_k</t>
        </is>
      </c>
    </row>
    <row r="147">
      <c r="A147" s="2" t="inlineStr">
        <is>
          <t>PRD-004</t>
        </is>
      </c>
      <c r="B147" s="3" t="inlineStr">
        <is>
          <t>Projected liquidity gap, next 90 days</t>
        </is>
      </c>
      <c r="C147" s="3" t="inlineStr">
        <is>
          <t>₹ m or text</t>
        </is>
      </c>
      <c r="D147" s="3" t="inlineStr">
        <is>
          <t>Next 90 days</t>
        </is>
      </c>
      <c r="E147" s="3" t="inlineStr">
        <is>
          <t>Cash + Undrawn facilities + Forecast net cash flow (90 days); 'None' if not negative</t>
        </is>
      </c>
      <c r="F147" s="8">
        <f>IF('Group Inputs'!CC4+'Group Inputs'!CD4+'Group Inputs'!CW4&gt;=0,"None within 90 d",ROUND(('Group Inputs'!CC4+'Group Inputs'!CD4+'Group Inputs'!CW4)/1000,1))</f>
        <v/>
      </c>
      <c r="G147" s="8">
        <f>IF('Group Inputs'!CC5+'Group Inputs'!CD5+'Group Inputs'!CW5&gt;=0,"None within 90 d",ROUND(('Group Inputs'!CC5+'Group Inputs'!CD5+'Group Inputs'!CW5)/1000,1))</f>
        <v/>
      </c>
      <c r="H147" s="8">
        <f>IF('Group Inputs'!CC6+'Group Inputs'!CD6+'Group Inputs'!CW6&gt;=0,"None within 90 d",ROUND(('Group Inputs'!CC6+'Group Inputs'!CD6+'Group Inputs'!CW6)/1000,1))</f>
        <v/>
      </c>
      <c r="I147" s="8">
        <f>IF('Group Inputs'!CC7+'Group Inputs'!CD7+'Group Inputs'!CW7&gt;=0,"None within 90 d",ROUND(('Group Inputs'!CC7+'Group Inputs'!CD7+'Group Inputs'!CW7)/1000,1))</f>
        <v/>
      </c>
      <c r="J147" s="8">
        <f>IF('Group Inputs'!CC8+'Group Inputs'!CD8+'Group Inputs'!CW8&gt;=0,"None within 90 d",ROUND(('Group Inputs'!CC8+'Group Inputs'!CD8+'Group Inputs'!CW8)/1000,1))</f>
        <v/>
      </c>
      <c r="K147" s="8">
        <f>IF('Group Inputs'!CC9+'Group Inputs'!CD9+'Group Inputs'!CW9&gt;=0,"None within 90 d",ROUND(('Group Inputs'!CC9+'Group Inputs'!CD9+'Group Inputs'!CW9)/1000,1))</f>
        <v/>
      </c>
      <c r="L147" s="3" t="inlineStr">
        <is>
          <t>None within 90 d</t>
        </is>
      </c>
      <c r="M147" s="3" t="inlineStr">
        <is>
          <t>O-02, G-01, G-04, S-12</t>
        </is>
      </c>
      <c r="N147" s="3" t="inlineStr">
        <is>
          <t>cash_k, undrawn_facilities_k, forecast_net_cash_flow_90d_k</t>
        </is>
      </c>
    </row>
    <row r="148">
      <c r="A148" s="2" t="inlineStr">
        <is>
          <t>PRD-005</t>
        </is>
      </c>
      <c r="B148" s="3" t="inlineStr">
        <is>
          <t>Forecast covenant breach</t>
        </is>
      </c>
      <c r="C148" s="3" t="inlineStr">
        <is>
          <t>text</t>
        </is>
      </c>
      <c r="D148" s="3" t="inlineStr">
        <is>
          <t>Quarter end</t>
        </is>
      </c>
      <c r="E148" s="3" t="inlineStr">
        <is>
          <t>Breach forecast if Forecast net debt ÷ Forecast 12-month EBITDA exceeds the covenant limit</t>
        </is>
      </c>
      <c r="F148" s="8">
        <f>IF('Group Inputs'!CY4=0,"No forecast",IF('Group Inputs'!CX4/'Group Inputs'!CY4&gt;Parameters!$B$4,"Breach forecast","Not forecast"))</f>
        <v/>
      </c>
      <c r="G148" s="8">
        <f>IF('Group Inputs'!CY5=0,"No forecast",IF('Group Inputs'!CX5/'Group Inputs'!CY5&gt;Parameters!$B$4,"Breach forecast","Not forecast"))</f>
        <v/>
      </c>
      <c r="H148" s="8">
        <f>IF('Group Inputs'!CY6=0,"No forecast",IF('Group Inputs'!CX6/'Group Inputs'!CY6&gt;Parameters!$B$4,"Breach forecast","Not forecast"))</f>
        <v/>
      </c>
      <c r="I148" s="8">
        <f>IF('Group Inputs'!CY7=0,"No forecast",IF('Group Inputs'!CX7/'Group Inputs'!CY7&gt;Parameters!$B$4,"Breach forecast","Not forecast"))</f>
        <v/>
      </c>
      <c r="J148" s="8">
        <f>IF('Group Inputs'!CY8=0,"No forecast",IF('Group Inputs'!CX8/'Group Inputs'!CY8&gt;Parameters!$B$4,"Breach forecast","Not forecast"))</f>
        <v/>
      </c>
      <c r="K148" s="8">
        <f>IF('Group Inputs'!CY9=0,"No forecast",IF('Group Inputs'!CX9/'Group Inputs'!CY9&gt;Parameters!$B$4,"Breach forecast","Not forecast"))</f>
        <v/>
      </c>
      <c r="L148" s="3" t="inlineStr">
        <is>
          <t>Not forecast</t>
        </is>
      </c>
      <c r="M148" s="3" t="inlineStr">
        <is>
          <t>O-02, G-04, G-10, S-12</t>
        </is>
      </c>
      <c r="N148" s="3" t="inlineStr">
        <is>
          <t>forecast_net_debt_k, forecast_ebitda_ltm_k</t>
        </is>
      </c>
    </row>
    <row r="149">
      <c r="A149" s="2" t="inlineStr">
        <is>
          <t>PRD-006</t>
        </is>
      </c>
      <c r="B149" s="3" t="inlineStr">
        <is>
          <t>Production loss from downtime, next month</t>
        </is>
      </c>
      <c r="C149" s="3" t="inlineStr">
        <is>
          <t>kt</t>
        </is>
      </c>
      <c r="D149" s="3" t="inlineStr">
        <is>
          <t>Next month</t>
        </is>
      </c>
      <c r="E149" s="3" t="inlineStr">
        <is>
          <t>Forecast production lost to downtime next month ÷ 1000</t>
        </is>
      </c>
      <c r="F149" s="21">
        <f>ROUND('Group Inputs'!BX4/1000,2)</f>
        <v/>
      </c>
      <c r="G149" s="21">
        <f>ROUND('Group Inputs'!BX5/1000,2)</f>
        <v/>
      </c>
      <c r="H149" s="21">
        <f>ROUND('Group Inputs'!BX6/1000,2)</f>
        <v/>
      </c>
      <c r="I149" s="21">
        <f>ROUND('Group Inputs'!BX7/1000,2)</f>
        <v/>
      </c>
      <c r="J149" s="21">
        <f>ROUND('Group Inputs'!BX8/1000,2)</f>
        <v/>
      </c>
      <c r="K149" s="21">
        <f>ROUND('Group Inputs'!BX9/1000,2)</f>
        <v/>
      </c>
      <c r="L149" s="3" t="inlineStr">
        <is>
          <t>11.2 kt</t>
        </is>
      </c>
      <c r="M149" s="3" t="inlineStr">
        <is>
          <t>G-05, G-10</t>
        </is>
      </c>
      <c r="N149" s="3" t="inlineStr">
        <is>
          <t>forecast_downtime_loss_next_t</t>
        </is>
      </c>
    </row>
    <row r="150">
      <c r="A150" s="2" t="inlineStr">
        <is>
          <t>PRD-007</t>
        </is>
      </c>
      <c r="B150" s="3" t="inlineStr">
        <is>
          <t>Probability OEE below 78%, next month</t>
        </is>
      </c>
      <c r="C150" s="3" t="inlineStr">
        <is>
          <t>%</t>
        </is>
      </c>
      <c r="D150" s="3" t="inlineStr">
        <is>
          <t>Next month</t>
        </is>
      </c>
      <c r="E150" s="3" t="inlineStr">
        <is>
          <t>Chance that Forecast good output &lt; 78% × Ideal output next month (same distribution as PRD-002)</t>
        </is>
      </c>
      <c r="F150" s="21">
        <f>ROUND(100*NORM.DIST(0.78*'Group Inputs'!BW4,'Group Inputs'!BU4,SQRT('Group Inputs'!BV4),TRUE),2)</f>
        <v/>
      </c>
      <c r="G150" s="21">
        <f>ROUND(100*NORM.DIST(0.78*'Group Inputs'!BW5,'Group Inputs'!BU5,SQRT('Group Inputs'!BV5),TRUE),2)</f>
        <v/>
      </c>
      <c r="H150" s="21">
        <f>ROUND(100*NORM.DIST(0.78*'Group Inputs'!BW6,'Group Inputs'!BU6,SQRT('Group Inputs'!BV6),TRUE),2)</f>
        <v/>
      </c>
      <c r="I150" s="21">
        <f>ROUND(100*NORM.DIST(0.78*'Group Inputs'!BW7,'Group Inputs'!BU7,SQRT('Group Inputs'!BV7),TRUE),2)</f>
        <v/>
      </c>
      <c r="J150" s="21">
        <f>ROUND(100*NORM.DIST(0.78*'Group Inputs'!BW8,'Group Inputs'!BU8,SQRT('Group Inputs'!BV8),TRUE),2)</f>
        <v/>
      </c>
      <c r="K150" s="21">
        <f>ROUND(100*NORM.DIST(0.78*'Group Inputs'!BW9,'Group Inputs'!BU9,SQRT('Group Inputs'!BV9),TRUE),2)</f>
        <v/>
      </c>
      <c r="L150" s="3" t="inlineStr">
        <is>
          <t>41%</t>
        </is>
      </c>
      <c r="M150" s="3" t="inlineStr">
        <is>
          <t>—</t>
        </is>
      </c>
      <c r="N150" s="3" t="inlineStr">
        <is>
          <t>forecast_good_next_t, forecast_good_var_next, ideal_output_next_t</t>
        </is>
      </c>
    </row>
    <row r="151">
      <c r="A151" s="25" t="inlineStr">
        <is>
          <t>CST-005</t>
        </is>
      </c>
      <c r="B151" s="25" t="inlineStr">
        <is>
          <t>Fixed cost YTD</t>
        </is>
      </c>
      <c r="C151" s="25" t="inlineStr">
        <is>
          <t>₹ m</t>
        </is>
      </c>
      <c r="D151" s="25" t="inlineStr">
        <is>
          <t>Year to date</t>
        </is>
      </c>
      <c r="E151" s="25" t="inlineStr">
        <is>
          <t>Sum of monthly fixed cost since April ÷ 1000</t>
        </is>
      </c>
      <c r="F151" s="25">
        <f>ROUND(SUM('Group Inputs'!X$4:X4)/1000,2)</f>
        <v/>
      </c>
      <c r="G151" s="25">
        <f>ROUND(SUM('Group Inputs'!X$4:X5)/1000,2)</f>
        <v/>
      </c>
      <c r="H151" s="25">
        <f>ROUND(SUM('Group Inputs'!X$4:X6)/1000,2)</f>
        <v/>
      </c>
      <c r="I151" s="25">
        <f>ROUND(SUM('Group Inputs'!X$4:X7)/1000,2)</f>
        <v/>
      </c>
      <c r="J151" s="25">
        <f>ROUND(SUM('Group Inputs'!X$4:X8)/1000,2)</f>
        <v/>
      </c>
      <c r="K151" s="25">
        <f>ROUND(SUM('Group Inputs'!X$4:X9)/1000,2)</f>
        <v/>
      </c>
      <c r="L151" s="25" t="inlineStr">
        <is>
          <t>(added: UI KPI not in source model)</t>
        </is>
      </c>
      <c r="M151" s="25" t="n"/>
      <c r="N151" s="25" t="inlineStr">
        <is>
          <t>fixed_cost_k</t>
        </is>
      </c>
    </row>
    <row r="152">
      <c r="A152" s="25" t="inlineStr">
        <is>
          <t>PRD-008</t>
        </is>
      </c>
      <c r="B152" s="25" t="inlineStr">
        <is>
          <t>Projected FCF gap, full year</t>
        </is>
      </c>
      <c r="C152" s="25" t="inlineStr">
        <is>
          <t>₹ m</t>
        </is>
      </c>
      <c r="D152" s="25" t="inlineStr">
        <is>
          <t>Forecast</t>
        </is>
      </c>
      <c r="E152" s="25" t="inlineStr">
        <is>
          <t>(FCF YTD + forecast FCF rest of year − FY FCF plan) ÷ 1000</t>
        </is>
      </c>
      <c r="F152" s="25">
        <f>ROUND((SUM('Group Inputs'!GA$4:GA4)+'Group Inputs'!GJ4-'Group Inputs'!GI4)/1000,2)</f>
        <v/>
      </c>
      <c r="G152" s="25">
        <f>ROUND((SUM('Group Inputs'!GA$4:GA5)+'Group Inputs'!GJ5-'Group Inputs'!GI5)/1000,2)</f>
        <v/>
      </c>
      <c r="H152" s="25">
        <f>ROUND((SUM('Group Inputs'!GA$4:GA6)+'Group Inputs'!GJ6-'Group Inputs'!GI6)/1000,2)</f>
        <v/>
      </c>
      <c r="I152" s="25">
        <f>ROUND((SUM('Group Inputs'!GA$4:GA7)+'Group Inputs'!GJ7-'Group Inputs'!GI7)/1000,2)</f>
        <v/>
      </c>
      <c r="J152" s="25">
        <f>ROUND((SUM('Group Inputs'!GA$4:GA8)+'Group Inputs'!GJ8-'Group Inputs'!GI8)/1000,2)</f>
        <v/>
      </c>
      <c r="K152" s="25">
        <f>ROUND((SUM('Group Inputs'!GA$4:GA9)+'Group Inputs'!GJ9-'Group Inputs'!GI9)/1000,2)</f>
        <v/>
      </c>
      <c r="L152" s="25" t="inlineStr">
        <is>
          <t>(added: UI KPI not in source model)</t>
        </is>
      </c>
      <c r="M152" s="25" t="n"/>
      <c r="N152" s="25" t="inlineStr">
        <is>
          <t>fcf_k, fcf_plan_fy_k, forecast_fcf_rest_k</t>
        </is>
      </c>
    </row>
    <row r="153">
      <c r="A153" s="25" t="inlineStr">
        <is>
          <t>PRD-009</t>
        </is>
      </c>
      <c r="B153" s="25" t="inlineStr">
        <is>
          <t>ROCE at P12 (forecast)</t>
        </is>
      </c>
      <c r="C153" s="25" t="inlineStr">
        <is>
          <t>%</t>
        </is>
      </c>
      <c r="D153" s="25" t="inlineStr">
        <is>
          <t>Forecast</t>
        </is>
      </c>
      <c r="E153" s="25" t="inlineStr">
        <is>
          <t>(EBIT YTD + forecast EBIT rest of year) ÷ forecast capital employed at P12 × 100</t>
        </is>
      </c>
      <c r="F153" s="25">
        <f>ROUND(IF('Group Inputs'!GL4=0,0,100*(SUM('Group Inputs'!FW$4:FW4)+'Group Inputs'!GK4)/'Group Inputs'!GL4),2)</f>
        <v/>
      </c>
      <c r="G153" s="25">
        <f>ROUND(IF('Group Inputs'!GL5=0,0,100*(SUM('Group Inputs'!FW$4:FW5)+'Group Inputs'!GK5)/'Group Inputs'!GL5),2)</f>
        <v/>
      </c>
      <c r="H153" s="25">
        <f>ROUND(IF('Group Inputs'!GL6=0,0,100*(SUM('Group Inputs'!FW$4:FW6)+'Group Inputs'!GK6)/'Group Inputs'!GL6),2)</f>
        <v/>
      </c>
      <c r="I153" s="25">
        <f>ROUND(IF('Group Inputs'!GL7=0,0,100*(SUM('Group Inputs'!FW$4:FW7)+'Group Inputs'!GK7)/'Group Inputs'!GL7),2)</f>
        <v/>
      </c>
      <c r="J153" s="25">
        <f>ROUND(IF('Group Inputs'!GL8=0,0,100*(SUM('Group Inputs'!FW$4:FW8)+'Group Inputs'!GK8)/'Group Inputs'!GL8),2)</f>
        <v/>
      </c>
      <c r="K153" s="25">
        <f>ROUND(IF('Group Inputs'!GL9=0,0,100*(SUM('Group Inputs'!FW$4:FW9)+'Group Inputs'!GK9)/'Group Inputs'!GL9),2)</f>
        <v/>
      </c>
      <c r="L153" s="25" t="inlineStr">
        <is>
          <t>(added: UI KPI not in source model)</t>
        </is>
      </c>
      <c r="M153" s="25" t="n"/>
      <c r="N153" s="25" t="inlineStr">
        <is>
          <t>capital_employed_p12_k, ebit_fcst_rest_k, ebit_k</t>
        </is>
      </c>
    </row>
    <row r="154">
      <c r="A154" s="25" t="inlineStr">
        <is>
          <t>PRD-010</t>
        </is>
      </c>
      <c r="B154" s="25" t="inlineStr">
        <is>
          <t>Revenue per FTE YTD</t>
        </is>
      </c>
      <c r="C154" s="25" t="inlineStr">
        <is>
          <t>₹ m</t>
        </is>
      </c>
      <c r="D154" s="25" t="inlineStr">
        <is>
          <t>Year to date</t>
        </is>
      </c>
      <c r="E154" s="25" t="inlineStr">
        <is>
          <t>Revenue since April ÷ FTE ÷ 1000</t>
        </is>
      </c>
      <c r="F154" s="25">
        <f>ROUND(IF('Group Inputs'!GH4=0,0,SUM('Group Inputs'!AU$4:AU4)/'Group Inputs'!GH4/1000),3)</f>
        <v/>
      </c>
      <c r="G154" s="25">
        <f>ROUND(IF('Group Inputs'!GH5=0,0,SUM('Group Inputs'!AU$4:AU5)/'Group Inputs'!GH5/1000),3)</f>
        <v/>
      </c>
      <c r="H154" s="25">
        <f>ROUND(IF('Group Inputs'!GH6=0,0,SUM('Group Inputs'!AU$4:AU6)/'Group Inputs'!GH6/1000),3)</f>
        <v/>
      </c>
      <c r="I154" s="25">
        <f>ROUND(IF('Group Inputs'!GH7=0,0,SUM('Group Inputs'!AU$4:AU7)/'Group Inputs'!GH7/1000),3)</f>
        <v/>
      </c>
      <c r="J154" s="25">
        <f>ROUND(IF('Group Inputs'!GH8=0,0,SUM('Group Inputs'!AU$4:AU8)/'Group Inputs'!GH8/1000),3)</f>
        <v/>
      </c>
      <c r="K154" s="25">
        <f>ROUND(IF('Group Inputs'!GH9=0,0,SUM('Group Inputs'!AU$4:AU9)/'Group Inputs'!GH9/1000),3)</f>
        <v/>
      </c>
      <c r="L154" s="25" t="inlineStr">
        <is>
          <t>(added: UI KPI not in source model)</t>
        </is>
      </c>
      <c r="M154" s="25" t="n"/>
      <c r="N154" s="25" t="inlineStr">
        <is>
          <t>fte, revenue_k</t>
        </is>
      </c>
    </row>
    <row r="155">
      <c r="A155" s="25" t="inlineStr">
        <is>
          <t>PRD-011</t>
        </is>
      </c>
      <c r="B155" s="25" t="inlineStr">
        <is>
          <t>Tonnes per FTE</t>
        </is>
      </c>
      <c r="C155" s="25" t="inlineStr">
        <is>
          <t>t</t>
        </is>
      </c>
      <c r="D155" s="25" t="inlineStr">
        <is>
          <t>Month</t>
        </is>
      </c>
      <c r="E155" s="25" t="inlineStr">
        <is>
          <t>Good output ÷ FTE</t>
        </is>
      </c>
      <c r="F155" s="25">
        <f>ROUND(IF('Group Inputs'!GH4=0,0,'Group Inputs'!M4/'Group Inputs'!GH4),1)</f>
        <v/>
      </c>
      <c r="G155" s="25">
        <f>ROUND(IF('Group Inputs'!GH5=0,0,'Group Inputs'!M5/'Group Inputs'!GH5),1)</f>
        <v/>
      </c>
      <c r="H155" s="25">
        <f>ROUND(IF('Group Inputs'!GH6=0,0,'Group Inputs'!M6/'Group Inputs'!GH6),1)</f>
        <v/>
      </c>
      <c r="I155" s="25">
        <f>ROUND(IF('Group Inputs'!GH7=0,0,'Group Inputs'!M7/'Group Inputs'!GH7),1)</f>
        <v/>
      </c>
      <c r="J155" s="25">
        <f>ROUND(IF('Group Inputs'!GH8=0,0,'Group Inputs'!M8/'Group Inputs'!GH8),1)</f>
        <v/>
      </c>
      <c r="K155" s="25">
        <f>ROUND(IF('Group Inputs'!GH9=0,0,'Group Inputs'!M9/'Group Inputs'!GH9),1)</f>
        <v/>
      </c>
      <c r="L155" s="25" t="inlineStr">
        <is>
          <t>(added: UI KPI not in source model)</t>
        </is>
      </c>
      <c r="M155" s="25" t="n"/>
      <c r="N155" s="25" t="inlineStr">
        <is>
          <t>fte, good_output_t</t>
        </is>
      </c>
    </row>
    <row r="156">
      <c r="A156" s="25" t="inlineStr">
        <is>
          <t>PRD-012</t>
        </is>
      </c>
      <c r="B156" s="25" t="inlineStr">
        <is>
          <t>Probability of EBITDA plan miss, full year</t>
        </is>
      </c>
      <c r="C156" s="25" t="inlineStr">
        <is>
          <t>%</t>
        </is>
      </c>
      <c r="D156" s="25" t="inlineStr">
        <is>
          <t>Forecast</t>
        </is>
      </c>
      <c r="E156" s="25" t="inlineStr">
        <is>
          <t>P(FY EBITDA &lt; FY plan), FY EBITDA ~ Normal(EBITDA YTD + forecast rest of year, σ)</t>
        </is>
      </c>
      <c r="F156" s="25">
        <f>ROUND(100*NORM.DIST('Group Inputs'!GM4,SUM('Group Inputs'!FV$4:FV4)+'Group Inputs'!CU4,'Group Inputs'!GN4,TRUE),2)</f>
        <v/>
      </c>
      <c r="G156" s="25">
        <f>ROUND(100*NORM.DIST('Group Inputs'!GM5,SUM('Group Inputs'!FV$4:FV5)+'Group Inputs'!CU5,'Group Inputs'!GN5,TRUE),2)</f>
        <v/>
      </c>
      <c r="H156" s="25">
        <f>ROUND(100*NORM.DIST('Group Inputs'!GM6,SUM('Group Inputs'!FV$4:FV6)+'Group Inputs'!CU6,'Group Inputs'!GN6,TRUE),2)</f>
        <v/>
      </c>
      <c r="I156" s="25">
        <f>ROUND(100*NORM.DIST('Group Inputs'!GM7,SUM('Group Inputs'!FV$4:FV7)+'Group Inputs'!CU7,'Group Inputs'!GN7,TRUE),2)</f>
        <v/>
      </c>
      <c r="J156" s="25">
        <f>ROUND(100*NORM.DIST('Group Inputs'!GM8,SUM('Group Inputs'!FV$4:FV8)+'Group Inputs'!CU8,'Group Inputs'!GN8,TRUE),2)</f>
        <v/>
      </c>
      <c r="K156" s="25">
        <f>ROUND(100*NORM.DIST('Group Inputs'!GM9,SUM('Group Inputs'!FV$4:FV9)+'Group Inputs'!CU9,'Group Inputs'!GN9,TRUE),2)</f>
        <v/>
      </c>
      <c r="L156" s="25" t="inlineStr">
        <is>
          <t>(added: UI KPI not in source model)</t>
        </is>
      </c>
      <c r="M156" s="25" t="n"/>
      <c r="N156" s="25" t="inlineStr">
        <is>
          <t>ebitda_fy_sigma_k, ebitda_k, ebitda_plan_fy_k, forecast_ebitda_rest_k</t>
        </is>
      </c>
    </row>
    <row r="157">
      <c r="A157" s="25" t="inlineStr">
        <is>
          <t>REG-011</t>
        </is>
      </c>
      <c r="B157" s="25" t="inlineStr">
        <is>
          <t>Disclosure clock, hours remaining</t>
        </is>
      </c>
      <c r="C157" s="25" t="inlineStr">
        <is>
          <t>h</t>
        </is>
      </c>
      <c r="D157" s="25" t="inlineStr">
        <is>
          <t>Month end</t>
        </is>
      </c>
      <c r="E157" s="25" t="inlineStr">
        <is>
          <t>Hours to the nearest open disclosure deadline (999 = none running)</t>
        </is>
      </c>
      <c r="F157" s="25">
        <f>ROUND('Group Inputs'!GO4,0)</f>
        <v/>
      </c>
      <c r="G157" s="25">
        <f>ROUND('Group Inputs'!GO5,0)</f>
        <v/>
      </c>
      <c r="H157" s="25">
        <f>ROUND('Group Inputs'!GO6,0)</f>
        <v/>
      </c>
      <c r="I157" s="25">
        <f>ROUND('Group Inputs'!GO7,0)</f>
        <v/>
      </c>
      <c r="J157" s="25">
        <f>ROUND('Group Inputs'!GO8,0)</f>
        <v/>
      </c>
      <c r="K157" s="25">
        <f>ROUND('Group Inputs'!GO9,0)</f>
        <v/>
      </c>
      <c r="L157" s="25" t="inlineStr">
        <is>
          <t>(added: UI KPI not in source model)</t>
        </is>
      </c>
      <c r="M157" s="25" t="n"/>
      <c r="N157" s="25" t="inlineStr">
        <is>
          <t>disclosure_deadline_h</t>
        </is>
      </c>
    </row>
    <row r="158">
      <c r="A158" s="25" t="inlineStr">
        <is>
          <t>SIG-010</t>
        </is>
      </c>
      <c r="B158" s="25" t="inlineStr">
        <is>
          <t>Single-source supply risk</t>
        </is>
      </c>
      <c r="C158" s="25" t="inlineStr">
        <is>
          <t>count</t>
        </is>
      </c>
      <c r="D158" s="25" t="inlineStr">
        <is>
          <t>Month end</t>
        </is>
      </c>
      <c r="E158" s="25" t="inlineStr">
        <is>
          <t>Single-source suppliers with cover below lead time</t>
        </is>
      </c>
      <c r="F158" s="25">
        <f>ROUND('Group Inputs'!GP4,0)</f>
        <v/>
      </c>
      <c r="G158" s="25">
        <f>ROUND('Group Inputs'!GP5,0)</f>
        <v/>
      </c>
      <c r="H158" s="25">
        <f>ROUND('Group Inputs'!GP6,0)</f>
        <v/>
      </c>
      <c r="I158" s="25">
        <f>ROUND('Group Inputs'!GP7,0)</f>
        <v/>
      </c>
      <c r="J158" s="25">
        <f>ROUND('Group Inputs'!GP8,0)</f>
        <v/>
      </c>
      <c r="K158" s="25">
        <f>ROUND('Group Inputs'!GP9,0)</f>
        <v/>
      </c>
      <c r="L158" s="25" t="inlineStr">
        <is>
          <t>(added: UI KPI not in source model)</t>
        </is>
      </c>
      <c r="M158" s="25" t="n"/>
      <c r="N158" s="25" t="inlineStr">
        <is>
          <t>single_source_elevated</t>
        </is>
      </c>
    </row>
    <row r="159">
      <c r="A159" s="25" t="inlineStr">
        <is>
          <t>SIG-014</t>
        </is>
      </c>
      <c r="B159" s="25" t="inlineStr">
        <is>
          <t>Commodity-price movement (RM-1 index)</t>
        </is>
      </c>
      <c r="C159" s="25" t="inlineStr">
        <is>
          <t>%</t>
        </is>
      </c>
      <c r="D159" s="25" t="inlineStr">
        <is>
          <t>Month</t>
        </is>
      </c>
      <c r="E159" s="25" t="inlineStr">
        <is>
          <t>RM-1 price index ÷ last month's index − 1, as %</t>
        </is>
      </c>
      <c r="F159" s="25">
        <f>ROUND(IF('Group Inputs'!GQ4=0,0,100*('Group Inputs'!GQ4/'Group Inputs'!GQ4-1)),2)</f>
        <v/>
      </c>
      <c r="G159" s="25">
        <f>ROUND(IF('Group Inputs'!GQ4=0,0,100*('Group Inputs'!GQ5/'Group Inputs'!GQ4-1)),2)</f>
        <v/>
      </c>
      <c r="H159" s="25">
        <f>ROUND(IF('Group Inputs'!GQ5=0,0,100*('Group Inputs'!GQ6/'Group Inputs'!GQ5-1)),2)</f>
        <v/>
      </c>
      <c r="I159" s="25">
        <f>ROUND(IF('Group Inputs'!GQ6=0,0,100*('Group Inputs'!GQ7/'Group Inputs'!GQ6-1)),2)</f>
        <v/>
      </c>
      <c r="J159" s="25">
        <f>ROUND(IF('Group Inputs'!GQ7=0,0,100*('Group Inputs'!GQ8/'Group Inputs'!GQ7-1)),2)</f>
        <v/>
      </c>
      <c r="K159" s="25">
        <f>ROUND(IF('Group Inputs'!GQ8=0,0,100*('Group Inputs'!GQ9/'Group Inputs'!GQ8-1)),2)</f>
        <v/>
      </c>
      <c r="L159" s="25" t="inlineStr">
        <is>
          <t>(added: UI KPI not in source model)</t>
        </is>
      </c>
      <c r="M159" s="25" t="n"/>
      <c r="N159" s="25" t="inlineStr">
        <is>
          <t>rm1_price_index</t>
        </is>
      </c>
    </row>
    <row r="160">
      <c r="A160" s="25" t="inlineStr">
        <is>
          <t>SIG-016</t>
        </is>
      </c>
      <c r="B160" s="25" t="inlineStr">
        <is>
          <t>Freight exposure (lanes disrupted)</t>
        </is>
      </c>
      <c r="C160" s="25" t="inlineStr">
        <is>
          <t>count</t>
        </is>
      </c>
      <c r="D160" s="25" t="inlineStr">
        <is>
          <t>Month end</t>
        </is>
      </c>
      <c r="E160" s="25" t="inlineStr">
        <is>
          <t>Supply lanes with a disruption flag</t>
        </is>
      </c>
      <c r="F160" s="25">
        <f>ROUND('Group Inputs'!GR4,0)</f>
        <v/>
      </c>
      <c r="G160" s="25">
        <f>ROUND('Group Inputs'!GR5,0)</f>
        <v/>
      </c>
      <c r="H160" s="25">
        <f>ROUND('Group Inputs'!GR6,0)</f>
        <v/>
      </c>
      <c r="I160" s="25">
        <f>ROUND('Group Inputs'!GR7,0)</f>
        <v/>
      </c>
      <c r="J160" s="25">
        <f>ROUND('Group Inputs'!GR8,0)</f>
        <v/>
      </c>
      <c r="K160" s="25">
        <f>ROUND('Group Inputs'!GR9,0)</f>
        <v/>
      </c>
      <c r="L160" s="25" t="inlineStr">
        <is>
          <t>(added: UI KPI not in source model)</t>
        </is>
      </c>
      <c r="M160" s="25" t="n"/>
      <c r="N160" s="25" t="inlineStr">
        <is>
          <t>freight_lanes_disrupted</t>
        </is>
      </c>
    </row>
    <row r="161">
      <c r="A161" s="25" t="inlineStr">
        <is>
          <t>SIG-017</t>
        </is>
      </c>
      <c r="B161" s="25" t="inlineStr">
        <is>
          <t>Fuel exposure (fuel cost per tonne, MoM)</t>
        </is>
      </c>
      <c r="C161" s="25" t="inlineStr">
        <is>
          <t>%</t>
        </is>
      </c>
      <c r="D161" s="25" t="inlineStr">
        <is>
          <t>Month</t>
        </is>
      </c>
      <c r="E161" s="25" t="inlineStr">
        <is>
          <t>(Fuel cost ÷ good output) ÷ last month's − 1, as %</t>
        </is>
      </c>
      <c r="F161" s="25">
        <f>ROUND(IF(OR('Group Inputs'!M4=0,'Group Inputs'!W4=0,'Group Inputs'!M4=0),0,100*(('Group Inputs'!W4/'Group Inputs'!M4)/('Group Inputs'!W4/'Group Inputs'!M4)-1)),2)</f>
        <v/>
      </c>
      <c r="G161" s="25">
        <f>ROUND(IF(OR('Group Inputs'!M4=0,'Group Inputs'!W4=0,'Group Inputs'!M5=0),0,100*(('Group Inputs'!W5/'Group Inputs'!M5)/('Group Inputs'!W4/'Group Inputs'!M4)-1)),2)</f>
        <v/>
      </c>
      <c r="H161" s="25">
        <f>ROUND(IF(OR('Group Inputs'!M5=0,'Group Inputs'!W5=0,'Group Inputs'!M6=0),0,100*(('Group Inputs'!W6/'Group Inputs'!M6)/('Group Inputs'!W5/'Group Inputs'!M5)-1)),2)</f>
        <v/>
      </c>
      <c r="I161" s="25">
        <f>ROUND(IF(OR('Group Inputs'!M6=0,'Group Inputs'!W6=0,'Group Inputs'!M7=0),0,100*(('Group Inputs'!W7/'Group Inputs'!M7)/('Group Inputs'!W6/'Group Inputs'!M6)-1)),2)</f>
        <v/>
      </c>
      <c r="J161" s="25">
        <f>ROUND(IF(OR('Group Inputs'!M7=0,'Group Inputs'!W7=0,'Group Inputs'!M8=0),0,100*(('Group Inputs'!W8/'Group Inputs'!M8)/('Group Inputs'!W7/'Group Inputs'!M7)-1)),2)</f>
        <v/>
      </c>
      <c r="K161" s="25">
        <f>ROUND(IF(OR('Group Inputs'!M8=0,'Group Inputs'!W8=0,'Group Inputs'!M9=0),0,100*(('Group Inputs'!W9/'Group Inputs'!M9)/('Group Inputs'!W8/'Group Inputs'!M8)-1)),2)</f>
        <v/>
      </c>
      <c r="L161" s="25" t="inlineStr">
        <is>
          <t>(added: UI KPI not in source model)</t>
        </is>
      </c>
      <c r="M161" s="25" t="n"/>
      <c r="N161" s="25" t="inlineStr">
        <is>
          <t>fuel_cost_k, good_output_t</t>
        </is>
      </c>
    </row>
    <row r="162">
      <c r="A162" s="25" t="inlineStr">
        <is>
          <t>SIG-018</t>
        </is>
      </c>
      <c r="B162" s="25" t="inlineStr">
        <is>
          <t>Power-cost exposure (power cost per tonne, MoM)</t>
        </is>
      </c>
      <c r="C162" s="25" t="inlineStr">
        <is>
          <t>%</t>
        </is>
      </c>
      <c r="D162" s="25" t="inlineStr">
        <is>
          <t>Month</t>
        </is>
      </c>
      <c r="E162" s="25" t="inlineStr">
        <is>
          <t>(Power cost ÷ good output) ÷ last month's − 1, as %</t>
        </is>
      </c>
      <c r="F162" s="25">
        <f>ROUND(IF(OR('Group Inputs'!M4=0,'Group Inputs'!AW4=0,'Group Inputs'!M4=0),0,100*(('Group Inputs'!AW4/'Group Inputs'!M4)/('Group Inputs'!AW4/'Group Inputs'!M4)-1)),2)</f>
        <v/>
      </c>
      <c r="G162" s="25">
        <f>ROUND(IF(OR('Group Inputs'!M4=0,'Group Inputs'!AW4=0,'Group Inputs'!M5=0),0,100*(('Group Inputs'!AW5/'Group Inputs'!M5)/('Group Inputs'!AW4/'Group Inputs'!M4)-1)),2)</f>
        <v/>
      </c>
      <c r="H162" s="25">
        <f>ROUND(IF(OR('Group Inputs'!M5=0,'Group Inputs'!AW5=0,'Group Inputs'!M6=0),0,100*(('Group Inputs'!AW6/'Group Inputs'!M6)/('Group Inputs'!AW5/'Group Inputs'!M5)-1)),2)</f>
        <v/>
      </c>
      <c r="I162" s="25">
        <f>ROUND(IF(OR('Group Inputs'!M6=0,'Group Inputs'!AW6=0,'Group Inputs'!M7=0),0,100*(('Group Inputs'!AW7/'Group Inputs'!M7)/('Group Inputs'!AW6/'Group Inputs'!M6)-1)),2)</f>
        <v/>
      </c>
      <c r="J162" s="25">
        <f>ROUND(IF(OR('Group Inputs'!M7=0,'Group Inputs'!AW7=0,'Group Inputs'!M8=0),0,100*(('Group Inputs'!AW8/'Group Inputs'!M8)/('Group Inputs'!AW7/'Group Inputs'!M7)-1)),2)</f>
        <v/>
      </c>
      <c r="K162" s="25">
        <f>ROUND(IF(OR('Group Inputs'!M8=0,'Group Inputs'!AW8=0,'Group Inputs'!M9=0),0,100*(('Group Inputs'!AW9/'Group Inputs'!M9)/('Group Inputs'!AW8/'Group Inputs'!M8)-1)),2)</f>
        <v/>
      </c>
      <c r="L162" s="25" t="inlineStr">
        <is>
          <t>(added: UI KPI not in source model)</t>
        </is>
      </c>
      <c r="M162" s="25" t="n"/>
      <c r="N162" s="25" t="inlineStr">
        <is>
          <t>good_output_t, power_cost_k</t>
        </is>
      </c>
    </row>
    <row r="163">
      <c r="A163" s="25" t="inlineStr">
        <is>
          <t>SIG-001</t>
        </is>
      </c>
      <c r="B163" s="25" t="inlineStr">
        <is>
          <t>Unplanned downtime (same measure as REL-003)</t>
        </is>
      </c>
      <c r="C163" s="25" t="inlineStr">
        <is>
          <t>h</t>
        </is>
      </c>
      <c r="D163" s="25" t="inlineStr">
        <is>
          <t>Month</t>
        </is>
      </c>
      <c r="E163" s="25" t="inlineStr">
        <is>
          <t>Alias of REL-003: same value</t>
        </is>
      </c>
      <c r="F163" s="25">
        <f>F10</f>
        <v/>
      </c>
      <c r="G163" s="25">
        <f>G10</f>
        <v/>
      </c>
      <c r="H163" s="25">
        <f>H10</f>
        <v/>
      </c>
      <c r="I163" s="25">
        <f>I10</f>
        <v/>
      </c>
      <c r="J163" s="25">
        <f>J10</f>
        <v/>
      </c>
      <c r="K163" s="25">
        <f>K10</f>
        <v/>
      </c>
      <c r="L163" s="25" t="inlineStr">
        <is>
          <t>(added alias)</t>
        </is>
      </c>
      <c r="M163" s="25" t="n"/>
      <c r="N163" s="25" t="inlineStr">
        <is>
          <t>unplanned_downtime_hours</t>
        </is>
      </c>
    </row>
    <row r="164">
      <c r="A164" s="25" t="inlineStr">
        <is>
          <t>SIG-002</t>
        </is>
      </c>
      <c r="B164" s="25" t="inlineStr">
        <is>
          <t>Yield (same measure as PLT-005)</t>
        </is>
      </c>
      <c r="C164" s="25" t="inlineStr">
        <is>
          <t>%</t>
        </is>
      </c>
      <c r="D164" s="25" t="inlineStr">
        <is>
          <t>Month</t>
        </is>
      </c>
      <c r="E164" s="25" t="inlineStr">
        <is>
          <t>Alias of PLT-005: same value</t>
        </is>
      </c>
      <c r="F164" s="25">
        <f>F7</f>
        <v/>
      </c>
      <c r="G164" s="25">
        <f>G7</f>
        <v/>
      </c>
      <c r="H164" s="25">
        <f>H7</f>
        <v/>
      </c>
      <c r="I164" s="25">
        <f>I7</f>
        <v/>
      </c>
      <c r="J164" s="25">
        <f>J7</f>
        <v/>
      </c>
      <c r="K164" s="25">
        <f>K7</f>
        <v/>
      </c>
      <c r="L164" s="25" t="inlineStr">
        <is>
          <t>(added alias)</t>
        </is>
      </c>
      <c r="M164" s="25" t="n"/>
      <c r="N164" s="25" t="inlineStr">
        <is>
          <t>good_output_t, feed_input_t</t>
        </is>
      </c>
    </row>
    <row r="165">
      <c r="A165" s="25" t="inlineStr">
        <is>
          <t>SIG-003</t>
        </is>
      </c>
      <c r="B165" s="25" t="inlineStr">
        <is>
          <t>Recovery percentage (same measure as PLT-004)</t>
        </is>
      </c>
      <c r="C165" s="25" t="inlineStr">
        <is>
          <t>%</t>
        </is>
      </c>
      <c r="D165" s="25" t="inlineStr">
        <is>
          <t>Month</t>
        </is>
      </c>
      <c r="E165" s="25" t="inlineStr">
        <is>
          <t>Alias of PLT-004: same value</t>
        </is>
      </c>
      <c r="F165" s="25">
        <f>F6</f>
        <v/>
      </c>
      <c r="G165" s="25">
        <f>G6</f>
        <v/>
      </c>
      <c r="H165" s="25">
        <f>H6</f>
        <v/>
      </c>
      <c r="I165" s="25">
        <f>I6</f>
        <v/>
      </c>
      <c r="J165" s="25">
        <f>J6</f>
        <v/>
      </c>
      <c r="K165" s="25">
        <f>K6</f>
        <v/>
      </c>
      <c r="L165" s="25" t="inlineStr">
        <is>
          <t>(added alias)</t>
        </is>
      </c>
      <c r="M165" s="25" t="n"/>
      <c r="N165" s="25" t="inlineStr">
        <is>
          <t>feed_contained_t, recovered_contained_t</t>
        </is>
      </c>
    </row>
    <row r="166">
      <c r="A166" s="25" t="inlineStr">
        <is>
          <t>SIG-015</t>
        </is>
      </c>
      <c r="B166" s="25" t="inlineStr">
        <is>
          <t>FX exposure, unhedged (same measure as TRS-001)</t>
        </is>
      </c>
      <c r="C166" s="25" t="inlineStr">
        <is>
          <t>₹ m</t>
        </is>
      </c>
      <c r="D166" s="25" t="inlineStr">
        <is>
          <t>Month end</t>
        </is>
      </c>
      <c r="E166" s="25" t="inlineStr">
        <is>
          <t>Alias of TRS-001: same value</t>
        </is>
      </c>
      <c r="F166" s="25">
        <f>F61</f>
        <v/>
      </c>
      <c r="G166" s="25">
        <f>G61</f>
        <v/>
      </c>
      <c r="H166" s="25">
        <f>H61</f>
        <v/>
      </c>
      <c r="I166" s="25">
        <f>I61</f>
        <v/>
      </c>
      <c r="J166" s="25">
        <f>J61</f>
        <v/>
      </c>
      <c r="K166" s="25">
        <f>K61</f>
        <v/>
      </c>
      <c r="L166" s="25" t="inlineStr">
        <is>
          <t>(added alias)</t>
        </is>
      </c>
      <c r="M166" s="25" t="n"/>
      <c r="N166" s="25" t="inlineStr">
        <is>
          <t>fx_exposure_k, fx_hedged_k</t>
        </is>
      </c>
    </row>
    <row r="167">
      <c r="A167" s="25" t="inlineStr">
        <is>
          <t>SIG-019</t>
        </is>
      </c>
      <c r="B167" s="25" t="inlineStr">
        <is>
          <t>Regulatory deadlines, next 30 days (same measure as REG-002)</t>
        </is>
      </c>
      <c r="C167" s="25" t="inlineStr">
        <is>
          <t>count</t>
        </is>
      </c>
      <c r="D167" s="25" t="inlineStr">
        <is>
          <t>Month end</t>
        </is>
      </c>
      <c r="E167" s="25" t="inlineStr">
        <is>
          <t>Alias of REG-002: same value</t>
        </is>
      </c>
      <c r="F167" s="25">
        <f>F92</f>
        <v/>
      </c>
      <c r="G167" s="25">
        <f>G92</f>
        <v/>
      </c>
      <c r="H167" s="25">
        <f>H92</f>
        <v/>
      </c>
      <c r="I167" s="25">
        <f>I92</f>
        <v/>
      </c>
      <c r="J167" s="25">
        <f>J92</f>
        <v/>
      </c>
      <c r="K167" s="25">
        <f>K92</f>
        <v/>
      </c>
      <c r="L167" s="25" t="inlineStr">
        <is>
          <t>(added alias)</t>
        </is>
      </c>
      <c r="M167" s="25" t="n"/>
      <c r="N167" s="25" t="inlineStr">
        <is>
          <t>reg_deadlines_30d</t>
        </is>
      </c>
    </row>
    <row r="168">
      <c r="A168" s="25" t="inlineStr">
        <is>
          <t>SIG-020</t>
        </is>
      </c>
      <c r="B168" s="25" t="inlineStr">
        <is>
          <t>Licence expirations, next 12 months (same measure as REG-003)</t>
        </is>
      </c>
      <c r="C168" s="25" t="inlineStr">
        <is>
          <t>count</t>
        </is>
      </c>
      <c r="D168" s="25" t="inlineStr">
        <is>
          <t>Month end</t>
        </is>
      </c>
      <c r="E168" s="25" t="inlineStr">
        <is>
          <t>Alias of REG-003: same value</t>
        </is>
      </c>
      <c r="F168" s="25">
        <f>F93</f>
        <v/>
      </c>
      <c r="G168" s="25">
        <f>G93</f>
        <v/>
      </c>
      <c r="H168" s="25">
        <f>H93</f>
        <v/>
      </c>
      <c r="I168" s="25">
        <f>I93</f>
        <v/>
      </c>
      <c r="J168" s="25">
        <f>J93</f>
        <v/>
      </c>
      <c r="K168" s="25">
        <f>K93</f>
        <v/>
      </c>
      <c r="L168" s="25" t="inlineStr">
        <is>
          <t>(added alias)</t>
        </is>
      </c>
      <c r="M168" s="25" t="n"/>
      <c r="N168" s="25" t="inlineStr">
        <is>
          <t>licences_expiring_12m</t>
        </is>
      </c>
    </row>
    <row r="169">
      <c r="A169" s="25" t="inlineStr">
        <is>
          <t>RSK-001</t>
        </is>
      </c>
      <c r="B169" s="25" t="inlineStr">
        <is>
          <t>Open critical alerts (same measure as EFF-002)</t>
        </is>
      </c>
      <c r="C169" s="25" t="inlineStr">
        <is>
          <t>count</t>
        </is>
      </c>
      <c r="D169" s="25" t="inlineStr">
        <is>
          <t>Month end</t>
        </is>
      </c>
      <c r="E169" s="25" t="inlineStr">
        <is>
          <t>Alias of EFF-002: same value</t>
        </is>
      </c>
      <c r="F169" s="25">
        <f>F133</f>
        <v/>
      </c>
      <c r="G169" s="25">
        <f>G133</f>
        <v/>
      </c>
      <c r="H169" s="25">
        <f>H133</f>
        <v/>
      </c>
      <c r="I169" s="25">
        <f>I133</f>
        <v/>
      </c>
      <c r="J169" s="25">
        <f>J133</f>
        <v/>
      </c>
      <c r="K169" s="25">
        <f>K133</f>
        <v/>
      </c>
      <c r="L169" s="25" t="inlineStr">
        <is>
          <t>(added alias)</t>
        </is>
      </c>
      <c r="M169" s="25" t="n"/>
      <c r="N169" s="25" t="inlineStr">
        <is>
          <t>critical_alerts_open</t>
        </is>
      </c>
    </row>
    <row r="170">
      <c r="A170" s="25" t="inlineStr">
        <is>
          <t>RSK-002</t>
        </is>
      </c>
      <c r="B170" s="25" t="inlineStr">
        <is>
          <t>Severity incidents (same measure as EHS-002)</t>
        </is>
      </c>
      <c r="C170" s="25" t="inlineStr">
        <is>
          <t>count</t>
        </is>
      </c>
      <c r="D170" s="25" t="inlineStr">
        <is>
          <t>Month</t>
        </is>
      </c>
      <c r="E170" s="25" t="inlineStr">
        <is>
          <t>Alias of EHS-002: same value</t>
        </is>
      </c>
      <c r="F170" s="25">
        <f>F25</f>
        <v/>
      </c>
      <c r="G170" s="25">
        <f>G25</f>
        <v/>
      </c>
      <c r="H170" s="25">
        <f>H25</f>
        <v/>
      </c>
      <c r="I170" s="25">
        <f>I25</f>
        <v/>
      </c>
      <c r="J170" s="25">
        <f>J25</f>
        <v/>
      </c>
      <c r="K170" s="25">
        <f>K25</f>
        <v/>
      </c>
      <c r="L170" s="25" t="inlineStr">
        <is>
          <t>(added alias)</t>
        </is>
      </c>
      <c r="M170" s="25" t="n"/>
      <c r="N170" s="25" t="inlineStr">
        <is>
          <t>severity_incidents</t>
        </is>
      </c>
    </row>
    <row r="171">
      <c r="A171" s="25" t="inlineStr">
        <is>
          <t>STR-001</t>
        </is>
      </c>
      <c r="B171" s="25" t="inlineStr">
        <is>
          <t>Capex physical progress, weighted (same measure as CPX-004)</t>
        </is>
      </c>
      <c r="C171" s="25" t="inlineStr">
        <is>
          <t>%</t>
        </is>
      </c>
      <c r="D171" s="25" t="inlineStr">
        <is>
          <t>To date</t>
        </is>
      </c>
      <c r="E171" s="25" t="inlineStr">
        <is>
          <t>Alias of CPX-004: same value</t>
        </is>
      </c>
      <c r="F171" s="25">
        <f>F69</f>
        <v/>
      </c>
      <c r="G171" s="25">
        <f>G69</f>
        <v/>
      </c>
      <c r="H171" s="25">
        <f>H69</f>
        <v/>
      </c>
      <c r="I171" s="25">
        <f>I69</f>
        <v/>
      </c>
      <c r="J171" s="25">
        <f>J69</f>
        <v/>
      </c>
      <c r="K171" s="25">
        <f>K69</f>
        <v/>
      </c>
      <c r="L171" s="25" t="inlineStr">
        <is>
          <t>(added alias)</t>
        </is>
      </c>
      <c r="M171" s="25" t="n"/>
      <c r="N171" s="25" t="inlineStr">
        <is>
          <t>capex_budget_k, capex_earned_value_k</t>
        </is>
      </c>
    </row>
  </sheetData>
  <autoFilter ref="A1:N150"/>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R9"/>
  <sheetViews>
    <sheetView workbookViewId="0">
      <pane xSplit="2" ySplit="3" topLeftCell="C4" activePane="bottomRight" state="frozen"/>
      <selection pane="topRight" activeCell="C1" sqref="C1"/>
      <selection pane="bottomLeft" activeCell="A4" sqref="A4"/>
      <selection pane="bottomRight" activeCell="A1" sqref="A1"/>
    </sheetView>
  </sheetViews>
  <sheetFormatPr baseColWidth="8" defaultRowHeight="15"/>
  <cols>
    <col width="10.7109375" customWidth="1" min="1" max="2"/>
    <col width="15.7109375" customWidth="1" min="3" max="189"/>
  </cols>
  <sheetData>
    <row r="1" ht="48" customHeight="1">
      <c r="A1" s="9" t="inlineStr">
        <is>
          <t>Group</t>
        </is>
      </c>
      <c r="B1" s="9" t="inlineStr">
        <is>
          <t>Month</t>
        </is>
      </c>
      <c r="C1" s="9" t="inlineStr">
        <is>
          <t>Days in month</t>
        </is>
      </c>
      <c r="D1" s="9" t="inlineStr">
        <is>
          <t>Months since April (YTD)</t>
        </is>
      </c>
      <c r="E1" s="9" t="inlineStr">
        <is>
          <t>Calendar hours (h)</t>
        </is>
      </c>
      <c r="F1" s="9" t="inlineStr">
        <is>
          <t>Planned operating hours (h)</t>
        </is>
      </c>
      <c r="G1" s="9" t="inlineStr">
        <is>
          <t>Run hours (h)</t>
        </is>
      </c>
      <c r="H1" s="9" t="inlineStr">
        <is>
          <t>Unplanned downtime (h)</t>
        </is>
      </c>
      <c r="I1" s="9" t="inlineStr">
        <is>
          <t>Ideal output (t)</t>
        </is>
      </c>
      <c r="J1" s="9" t="inlineStr">
        <is>
          <t>Installed capacity (t)</t>
        </is>
      </c>
      <c r="K1" s="9" t="inlineStr">
        <is>
          <t>Planned production (t)</t>
        </is>
      </c>
      <c r="L1" s="9" t="inlineStr">
        <is>
          <t>Gross output (t)</t>
        </is>
      </c>
      <c r="M1" s="9" t="inlineStr">
        <is>
          <t>Good output (t)</t>
        </is>
      </c>
      <c r="N1" s="9" t="inlineStr">
        <is>
          <t>Feed input (t)</t>
        </is>
      </c>
      <c r="O1" s="9" t="inlineStr">
        <is>
          <t>Valuable content in feed (t)</t>
        </is>
      </c>
      <c r="P1" s="9" t="inlineStr">
        <is>
          <t>Valuable content recovered (t)</t>
        </is>
      </c>
      <c r="Q1" s="9" t="inlineStr">
        <is>
          <t>Production lost to downtime (t)</t>
        </is>
      </c>
      <c r="R1" s="9" t="inlineStr">
        <is>
          <t>Breakdowns (count)</t>
        </is>
      </c>
      <c r="S1" s="9" t="inlineStr">
        <is>
          <t>Repair hours (h)</t>
        </is>
      </c>
      <c r="T1" s="9" t="inlineStr">
        <is>
          <t>Preventive maintenance scheduled (count)</t>
        </is>
      </c>
      <c r="U1" s="9" t="inlineStr">
        <is>
          <t>Preventive maintenance completed (count)</t>
        </is>
      </c>
      <c r="V1" s="9" t="inlineStr">
        <is>
          <t>Variable cost (₹ thousand)</t>
        </is>
      </c>
      <c r="W1" s="9" t="inlineStr">
        <is>
          <t>Fuel cost (₹ thousand)</t>
        </is>
      </c>
      <c r="X1" s="9" t="inlineStr">
        <is>
          <t>Fixed cost (₹ thousand)</t>
        </is>
      </c>
      <c r="Y1" s="9" t="inlineStr">
        <is>
          <t>Water used (m³)</t>
        </is>
      </c>
      <c r="Z1" s="9" t="inlineStr">
        <is>
          <t>Emissions (t CO2e)</t>
        </is>
      </c>
      <c r="AA1" s="9" t="inlineStr">
        <is>
          <t>Energy used (GJ)</t>
        </is>
      </c>
      <c r="AB1" s="9" t="inlineStr">
        <is>
          <t>Production at risk (t)</t>
        </is>
      </c>
      <c r="AC1" s="9" t="inlineStr">
        <is>
          <t>Critical plant alerts (count)</t>
        </is>
      </c>
      <c r="AD1" s="9" t="inlineStr">
        <is>
          <t>Hours worked (h)</t>
        </is>
      </c>
      <c r="AE1" s="9" t="inlineStr">
        <is>
          <t>Recordable injuries (count)</t>
        </is>
      </c>
      <c r="AF1" s="9" t="inlineStr">
        <is>
          <t>Severity incidents (count)</t>
        </is>
      </c>
      <c r="AG1" s="9" t="inlineStr">
        <is>
          <t>Near misses (count)</t>
        </is>
      </c>
      <c r="AH1" s="9" t="inlineStr">
        <is>
          <t>Critical safety incidents (count)</t>
        </is>
      </c>
      <c r="AI1" s="9" t="inlineStr">
        <is>
          <t>Environmental excursions (count)</t>
        </is>
      </c>
      <c r="AJ1" s="9" t="inlineStr">
        <is>
          <t>Environmental violations (count)</t>
        </is>
      </c>
      <c r="AK1" s="9" t="inlineStr">
        <is>
          <t>Open EHS corrective actions (count)</t>
        </is>
      </c>
      <c r="AL1" s="9" t="inlineStr">
        <is>
          <t>Overdue EHS corrective actions (count)</t>
        </is>
      </c>
      <c r="AM1" s="9" t="inlineStr">
        <is>
          <t>EHS investigations due (count)</t>
        </is>
      </c>
      <c r="AN1" s="9" t="inlineStr">
        <is>
          <t>EHS investigations completed (count)</t>
        </is>
      </c>
      <c r="AO1" s="9" t="inlineStr">
        <is>
          <t>Critical materials at risk (count)</t>
        </is>
      </c>
      <c r="AP1" s="9" t="inlineStr">
        <is>
          <t>Dispatches (count)</t>
        </is>
      </c>
      <c r="AQ1" s="9" t="inlineStr">
        <is>
          <t>Delayed dispatches (count)</t>
        </is>
      </c>
      <c r="AR1" s="9" t="inlineStr">
        <is>
          <t>Days to permit expiry (days)</t>
        </is>
      </c>
      <c r="AS1" s="9" t="inlineStr">
        <is>
          <t>Sales volume (t)</t>
        </is>
      </c>
      <c r="AT1" s="9" t="inlineStr">
        <is>
          <t>Planned sales volume (t)</t>
        </is>
      </c>
      <c r="AU1" s="9" t="inlineStr">
        <is>
          <t>Revenue (₹ thousand)</t>
        </is>
      </c>
      <c r="AV1" s="9" t="inlineStr">
        <is>
          <t>Planned revenue (₹ thousand)</t>
        </is>
      </c>
      <c r="AW1" s="9" t="inlineStr">
        <is>
          <t>Power cost, part of variable cost (₹ thousand)</t>
        </is>
      </c>
      <c r="AX1" s="9" t="inlineStr">
        <is>
          <t>Depreciation and amortisation (₹ thousand)</t>
        </is>
      </c>
      <c r="AY1" s="9" t="inlineStr">
        <is>
          <t>Purchase-order lines due (count)</t>
        </is>
      </c>
      <c r="AZ1" s="9" t="inlineStr">
        <is>
          <t>Purchase-order lines delivered on time (count)</t>
        </is>
      </c>
      <c r="BA1" s="9" t="inlineStr">
        <is>
          <t>Quantity ordered from suppliers (t)</t>
        </is>
      </c>
      <c r="BB1" s="9" t="inlineStr">
        <is>
          <t>Quantity received (t)</t>
        </is>
      </c>
      <c r="BC1" s="9" t="inlineStr">
        <is>
          <t>Quantity rejected on quality (t)</t>
        </is>
      </c>
      <c r="BD1" s="9" t="inlineStr">
        <is>
          <t>Planned lead time, all deliveries (days)</t>
        </is>
      </c>
      <c r="BE1" s="9" t="inlineStr">
        <is>
          <t>Actual lead time, all deliveries (days)</t>
        </is>
      </c>
      <c r="BF1" s="9" t="inlineStr">
        <is>
          <t>Supplier spend (₹ thousand)</t>
        </is>
      </c>
      <c r="BG1" s="9" t="inlineStr">
        <is>
          <t>Spend with single-source suppliers (₹ thousand)</t>
        </is>
      </c>
      <c r="BH1" s="9" t="inlineStr">
        <is>
          <t>Supplier EHS incidents (count)</t>
        </is>
      </c>
      <c r="BI1" s="9" t="inlineStr">
        <is>
          <t>Regulatory filings pending (count)</t>
        </is>
      </c>
      <c r="BJ1" s="9" t="inlineStr">
        <is>
          <t>Regulatory deadlines in next 30 days (count)</t>
        </is>
      </c>
      <c r="BK1" s="9" t="inlineStr">
        <is>
          <t>Licences expiring in next 12 months (count)</t>
        </is>
      </c>
      <c r="BL1" s="9" t="inlineStr">
        <is>
          <t>Regulatory obligations due in next 30 days (count)</t>
        </is>
      </c>
      <c r="BM1" s="9" t="inlineStr">
        <is>
          <t>Regulatory obligations overdue (count)</t>
        </is>
      </c>
      <c r="BN1" s="9" t="inlineStr">
        <is>
          <t>Open regulatory actions (count)</t>
        </is>
      </c>
      <c r="BO1" s="9" t="inlineStr">
        <is>
          <t>Overdue compliance actions (count)</t>
        </is>
      </c>
      <c r="BP1" s="9" t="inlineStr">
        <is>
          <t>Regulatory breaches in the month (count)</t>
        </is>
      </c>
      <c r="BQ1" s="9" t="inlineStr">
        <is>
          <t>Events that trigger a disclosure clock (count)</t>
        </is>
      </c>
      <c r="BR1" s="9" t="inlineStr">
        <is>
          <t>EHS escalation clocks running (count)</t>
        </is>
      </c>
      <c r="BS1" s="9" t="inlineStr">
        <is>
          <t>Days until production plan is breached, forecast (days; 99 = not expected)</t>
        </is>
      </c>
      <c r="BT1" s="9" t="inlineStr">
        <is>
          <t>Planned production next month (t)</t>
        </is>
      </c>
      <c r="BU1" s="9" t="inlineStr">
        <is>
          <t>Forecast good output next month (t)</t>
        </is>
      </c>
      <c r="BV1" s="9" t="inlineStr">
        <is>
          <t>Forecast uncertainty next month (variance, t²)</t>
        </is>
      </c>
      <c r="BW1" s="9" t="inlineStr">
        <is>
          <t>Ideal output next month (t)</t>
        </is>
      </c>
      <c r="BX1" s="9" t="inlineStr">
        <is>
          <t>Forecast production lost to downtime next month (t)</t>
        </is>
      </c>
      <c r="BY1" s="9" t="inlineStr">
        <is>
          <t>Overheads, SG&amp;A (₹ thousand)</t>
        </is>
      </c>
      <c r="BZ1" s="9" t="inlineStr">
        <is>
          <t>Tax paid (₹ thousand)</t>
        </is>
      </c>
      <c r="CA1" s="9" t="inlineStr">
        <is>
          <t>Capital employed, month end (₹ thousand)</t>
        </is>
      </c>
      <c r="CB1" s="9" t="inlineStr">
        <is>
          <t>Gross debt, month end (₹ thousand)</t>
        </is>
      </c>
      <c r="CC1" s="9" t="inlineStr">
        <is>
          <t>Cash, month end (₹ thousand)</t>
        </is>
      </c>
      <c r="CD1" s="9" t="inlineStr">
        <is>
          <t>Undrawn committed facilities (₹ thousand)</t>
        </is>
      </c>
      <c r="CE1" s="9" t="inlineStr">
        <is>
          <t>Debt service in the month (₹ thousand)</t>
        </is>
      </c>
      <c r="CF1" s="9" t="inlineStr">
        <is>
          <t>Debt maturing in next 12 months (₹ thousand)</t>
        </is>
      </c>
      <c r="CG1" s="9" t="inlineStr">
        <is>
          <t>Floating-rate debt (₹ thousand)</t>
        </is>
      </c>
      <c r="CH1" s="9" t="inlineStr">
        <is>
          <t>EBITDA as reported in the Board pack (₹ thousand)</t>
        </is>
      </c>
      <c r="CI1" s="9" t="inlineStr">
        <is>
          <t>Revenue in the flash report (₹ thousand)</t>
        </is>
      </c>
      <c r="CJ1" s="9" t="inlineStr">
        <is>
          <t>Trade receivables, month end (₹ thousand)</t>
        </is>
      </c>
      <c r="CK1" s="9" t="inlineStr">
        <is>
          <t>Trade payables, month end (₹ thousand)</t>
        </is>
      </c>
      <c r="CL1" s="9" t="inlineStr">
        <is>
          <t>Inventory, month end (₹ thousand)</t>
        </is>
      </c>
      <c r="CM1" s="9" t="inlineStr">
        <is>
          <t>Cash collected from customers (₹ thousand)</t>
        </is>
      </c>
      <c r="CN1" s="9" t="inlineStr">
        <is>
          <t>Cash released by working-capital actions (₹ thousand)</t>
        </is>
      </c>
      <c r="CO1" s="9" t="inlineStr">
        <is>
          <t>Cash due to be upstreamed to Group, next 30 days (₹ thousand)</t>
        </is>
      </c>
      <c r="CP1" s="9" t="inlineStr">
        <is>
          <t>Of which covered by available cash (₹ thousand)</t>
        </is>
      </c>
      <c r="CQ1" s="9" t="inlineStr">
        <is>
          <t>Invoices collected (count)</t>
        </is>
      </c>
      <c r="CR1" s="9" t="inlineStr">
        <is>
          <t>Days taken to collect, all invoices (days)</t>
        </is>
      </c>
      <c r="CS1" s="9" t="inlineStr">
        <is>
          <t>Agreed payment terms, all invoices (days)</t>
        </is>
      </c>
      <c r="CT1" s="9" t="inlineStr">
        <is>
          <t>Customers more than 30 days overdue (count)</t>
        </is>
      </c>
      <c r="CU1" s="9" t="inlineStr">
        <is>
          <t>Forecast EBITDA, rest of year (₹ thousand)</t>
        </is>
      </c>
      <c r="CV1" s="9" t="inlineStr">
        <is>
          <t>Planned EBITDA, rest of year (₹ thousand)</t>
        </is>
      </c>
      <c r="CW1" s="9" t="inlineStr">
        <is>
          <t>Forecast net cash flow, next 90 days (₹ thousand)</t>
        </is>
      </c>
      <c r="CX1" s="9" t="inlineStr">
        <is>
          <t>Forecast net debt at quarter end (₹ thousand)</t>
        </is>
      </c>
      <c r="CY1" s="9" t="inlineStr">
        <is>
          <t>Forecast EBITDA, 12 months to quarter end (₹ thousand)</t>
        </is>
      </c>
      <c r="CZ1" s="9" t="inlineStr">
        <is>
          <t>Foreign-currency exposure, gross (₹ thousand)</t>
        </is>
      </c>
      <c r="DA1" s="9" t="inlineStr">
        <is>
          <t>Foreign-currency exposure hedged (₹ thousand)</t>
        </is>
      </c>
      <c r="DB1" s="9" t="inlineStr">
        <is>
          <t>USD exposure, gross (₹ thousand)</t>
        </is>
      </c>
      <c r="DC1" s="9" t="inlineStr">
        <is>
          <t>USD exposure hedged (₹ thousand)</t>
        </is>
      </c>
      <c r="DD1" s="9" t="inlineStr">
        <is>
          <t>Change in value of hedges (₹ thousand)</t>
        </is>
      </c>
      <c r="DE1" s="9" t="inlineStr">
        <is>
          <t>Change in value of hedged items (₹ thousand)</t>
        </is>
      </c>
      <c r="DF1" s="9" t="inlineStr">
        <is>
          <t>Forecast foreign-currency flows, next 6 months (₹ thousand)</t>
        </is>
      </c>
      <c r="DG1" s="9" t="inlineStr">
        <is>
          <t>Of which hedged (₹ thousand)</t>
        </is>
      </c>
      <c r="DH1" s="9" t="inlineStr">
        <is>
          <t>Approved capex budget, full year (₹ thousand)</t>
        </is>
      </c>
      <c r="DI1" s="9" t="inlineStr">
        <is>
          <t>Capex committed to date (₹ thousand)</t>
        </is>
      </c>
      <c r="DJ1" s="9" t="inlineStr">
        <is>
          <t>Capex spent in the month (₹ thousand)</t>
        </is>
      </c>
      <c r="DK1" s="9" t="inlineStr">
        <is>
          <t>Capex work completed, valued at budget (₹ thousand)</t>
        </is>
      </c>
      <c r="DL1" s="9" t="inlineStr">
        <is>
          <t>Budget of capex projects at risk (₹ thousand)</t>
        </is>
      </c>
      <c r="DM1" s="9" t="inlineStr">
        <is>
          <t>Capex projects on track (count)</t>
        </is>
      </c>
      <c r="DN1" s="9" t="inlineStr">
        <is>
          <t>Capex projects at risk (count)</t>
        </is>
      </c>
      <c r="DO1" s="9" t="inlineStr">
        <is>
          <t>Capex projects off track (count)</t>
        </is>
      </c>
      <c r="DP1" s="9" t="inlineStr">
        <is>
          <t>Capex projects delayed (count)</t>
        </is>
      </c>
      <c r="DQ1" s="9" t="inlineStr">
        <is>
          <t>Contractor milestones due (count)</t>
        </is>
      </c>
      <c r="DR1" s="9" t="inlineStr">
        <is>
          <t>Contractor days late, all milestones (days)</t>
        </is>
      </c>
      <c r="DS1" s="9" t="inlineStr">
        <is>
          <t>Transformation initiatives on track (count)</t>
        </is>
      </c>
      <c r="DT1" s="9" t="inlineStr">
        <is>
          <t>Transformation initiatives at risk (count)</t>
        </is>
      </c>
      <c r="DU1" s="9" t="inlineStr">
        <is>
          <t>Transformation initiatives delayed (count)</t>
        </is>
      </c>
      <c r="DV1" s="9" t="inlineStr">
        <is>
          <t>Transformation milestones in plan (count)</t>
        </is>
      </c>
      <c r="DW1" s="9" t="inlineStr">
        <is>
          <t>Transformation milestones completed (count)</t>
        </is>
      </c>
      <c r="DX1" s="9" t="inlineStr">
        <is>
          <t>Programme benefits planned in the month (₹ thousand)</t>
        </is>
      </c>
      <c r="DY1" s="9" t="inlineStr">
        <is>
          <t>Programme benefits delivered in the month (₹ thousand)</t>
        </is>
      </c>
      <c r="DZ1" s="9" t="inlineStr">
        <is>
          <t>EBITDA benefit delivered (₹ thousand)</t>
        </is>
      </c>
      <c r="EA1" s="9" t="inlineStr">
        <is>
          <t>Cash benefit delivered (₹ thousand)</t>
        </is>
      </c>
      <c r="EB1" s="9" t="inlineStr">
        <is>
          <t>Cost savings delivered (₹ thousand)</t>
        </is>
      </c>
      <c r="EC1" s="9" t="inlineStr">
        <is>
          <t>Active supply contracts (count)</t>
        </is>
      </c>
      <c r="ED1" s="9" t="inlineStr">
        <is>
          <t>Contracts fully compliant (count)</t>
        </is>
      </c>
      <c r="EE1" s="9" t="inlineStr">
        <is>
          <t>Contracts expiring in next 90 days (count)</t>
        </is>
      </c>
      <c r="EF1" s="9" t="inlineStr">
        <is>
          <t>Suppliers not meeting EHS requirements (count)</t>
        </is>
      </c>
      <c r="EG1" s="9" t="inlineStr">
        <is>
          <t>Critical single-source suppliers (count)</t>
        </is>
      </c>
      <c r="EH1" s="9" t="inlineStr">
        <is>
          <t>Control failures (count)</t>
        </is>
      </c>
      <c r="EI1" s="9" t="inlineStr">
        <is>
          <t>High-severity control failures (count)</t>
        </is>
      </c>
      <c r="EJ1" s="9" t="inlineStr">
        <is>
          <t>Assurance reviews planned (count)</t>
        </is>
      </c>
      <c r="EK1" s="9" t="inlineStr">
        <is>
          <t>Assurance reviews completed (count)</t>
        </is>
      </c>
      <c r="EL1" s="9" t="inlineStr">
        <is>
          <t>Policy exceptions (count)</t>
        </is>
      </c>
      <c r="EM1" s="9" t="inlineStr">
        <is>
          <t>Unauthorised vendor uses (count)</t>
        </is>
      </c>
      <c r="EN1" s="9" t="inlineStr">
        <is>
          <t>Segregation-of-duties exceptions (count)</t>
        </is>
      </c>
      <c r="EO1" s="9" t="inlineStr">
        <is>
          <t>Unauthorised access events (count)</t>
        </is>
      </c>
      <c r="EP1" s="9" t="inlineStr">
        <is>
          <t>Data-sharing exceptions (count)</t>
        </is>
      </c>
      <c r="EQ1" s="9" t="inlineStr">
        <is>
          <t>Manual operational or system overrides (count)</t>
        </is>
      </c>
      <c r="ER1" s="9" t="inlineStr">
        <is>
          <t>Certification approvals past due date (count)</t>
        </is>
      </c>
      <c r="ES1" s="9" t="inlineStr">
        <is>
          <t>KPI values overridden (count)</t>
        </is>
      </c>
      <c r="ET1" s="9" t="inlineStr">
        <is>
          <t>Recurring data-quality issues (count)</t>
        </is>
      </c>
      <c r="EU1" s="9" t="inlineStr">
        <is>
          <t>Open audit findings (count)</t>
        </is>
      </c>
      <c r="EV1" s="9" t="inlineStr">
        <is>
          <t>Overdue assurance actions (count)</t>
        </is>
      </c>
      <c r="EW1" s="9" t="inlineStr">
        <is>
          <t>Repeat audit findings (count)</t>
        </is>
      </c>
      <c r="EX1" s="9" t="inlineStr">
        <is>
          <t>Leadership KPIs affected by open findings (count)</t>
        </is>
      </c>
      <c r="EY1" s="9" t="inlineStr">
        <is>
          <t>Evidence items required (count)</t>
        </is>
      </c>
      <c r="EZ1" s="9" t="inlineStr">
        <is>
          <t>Evidence items complete (count)</t>
        </is>
      </c>
      <c r="FA1" s="9" t="inlineStr">
        <is>
          <t>Audit findings closed in the month (count)</t>
        </is>
      </c>
      <c r="FB1" s="9" t="inlineStr">
        <is>
          <t>Days taken to close those findings (days)</t>
        </is>
      </c>
      <c r="FC1" s="9" t="inlineStr">
        <is>
          <t>Leadership KPI values reported (count)</t>
        </is>
      </c>
      <c r="FD1" s="9" t="inlineStr">
        <is>
          <t>Of which certified (count)</t>
        </is>
      </c>
      <c r="FE1" s="9" t="inlineStr">
        <is>
          <t>Of which inside the certification process (count)</t>
        </is>
      </c>
      <c r="FF1" s="9" t="inlineStr">
        <is>
          <t>Certifications overdue (count)</t>
        </is>
      </c>
      <c r="FG1" s="9" t="inlineStr">
        <is>
          <t>Open reconciliation breaks (count)</t>
        </is>
      </c>
      <c r="FH1" s="9" t="inlineStr">
        <is>
          <t>Material reconciliation breaks (count)</t>
        </is>
      </c>
      <c r="FI1" s="9" t="inlineStr">
        <is>
          <t>Records loaded to the data lake (count)</t>
        </is>
      </c>
      <c r="FJ1" s="9" t="inlineStr">
        <is>
          <t>Records reconciled to source (count)</t>
        </is>
      </c>
      <c r="FK1" s="9" t="inlineStr">
        <is>
          <t>Flash report lines (count)</t>
        </is>
      </c>
      <c r="FL1" s="9" t="inlineStr">
        <is>
          <t>Flash lines matching MIS (count)</t>
        </is>
      </c>
      <c r="FM1" s="9" t="inlineStr">
        <is>
          <t>Open critical alerts (count)</t>
        </is>
      </c>
      <c r="FN1" s="9" t="inlineStr">
        <is>
          <t>Alerts with no accepted owner (count)</t>
        </is>
      </c>
      <c r="FO1" s="9" t="inlineStr">
        <is>
          <t>Overdue actions (count)</t>
        </is>
      </c>
      <c r="FP1" s="9" t="inlineStr">
        <is>
          <t>Alerts resolved in the month (count)</t>
        </is>
      </c>
      <c r="FQ1" s="9" t="inlineStr">
        <is>
          <t>Days taken to resolve those alerts (days)</t>
        </is>
      </c>
      <c r="FR1" s="9" t="inlineStr">
        <is>
          <t>Escalations closed in the month (count)</t>
        </is>
      </c>
      <c r="FS1" s="9" t="inlineStr">
        <is>
          <t>Repeat issues raised in the month (count)</t>
        </is>
      </c>
      <c r="FT1" s="9" t="inlineStr">
        <is>
          <t>Root causes identified (count)</t>
        </is>
      </c>
      <c r="FU1" s="9" t="inlineStr">
        <is>
          <t>Root causes eliminated (count)</t>
        </is>
      </c>
      <c r="FV1" s="10" t="inlineStr">
        <is>
          <t>EBITDA (₹ thousand)</t>
        </is>
      </c>
      <c r="FW1" s="10" t="inlineStr">
        <is>
          <t>EBIT (₹ thousand)</t>
        </is>
      </c>
      <c r="FX1" s="10" t="inlineStr">
        <is>
          <t>Net working capital (₹ thousand)</t>
        </is>
      </c>
      <c r="FY1" s="10" t="inlineStr">
        <is>
          <t>Change in net working capital (₹ thousand)</t>
        </is>
      </c>
      <c r="FZ1" s="10" t="inlineStr">
        <is>
          <t>Operating cash flow (₹ thousand)</t>
        </is>
      </c>
      <c r="GA1" s="10" t="inlineStr">
        <is>
          <t>Free cash flow (₹ thousand)</t>
        </is>
      </c>
      <c r="GB1" s="10" t="inlineStr">
        <is>
          <t>Net debt (₹ thousand)</t>
        </is>
      </c>
      <c r="GC1" s="10" t="inlineStr">
        <is>
          <t>EBITDA, annualised (₹ thousand)</t>
        </is>
      </c>
      <c r="GD1" s="10" t="inlineStr">
        <is>
          <t>DSO (days)</t>
        </is>
      </c>
      <c r="GE1" s="10" t="inlineStr">
        <is>
          <t>DPO (days)</t>
        </is>
      </c>
      <c r="GF1" s="10" t="inlineStr">
        <is>
          <t>Inventory days (days)</t>
        </is>
      </c>
      <c r="GG1" s="10" t="inlineStr">
        <is>
          <t>Realised price vs plan (%)</t>
        </is>
      </c>
      <c r="GH1" s="26" t="inlineStr">
        <is>
          <t>Full-time employees (FTE, count)</t>
        </is>
      </c>
      <c r="GI1" s="26" t="inlineStr">
        <is>
          <t>FCF plan, full year (₹ thousand)</t>
        </is>
      </c>
      <c r="GJ1" s="26" t="inlineStr">
        <is>
          <t>Forecast FCF, rest of year (₹ thousand)</t>
        </is>
      </c>
      <c r="GK1" s="26" t="inlineStr">
        <is>
          <t>Forecast EBIT, rest of year (₹ thousand)</t>
        </is>
      </c>
      <c r="GL1" s="26" t="inlineStr">
        <is>
          <t>Forecast capital employed at P12 (₹ thousand)</t>
        </is>
      </c>
      <c r="GM1" s="26" t="inlineStr">
        <is>
          <t>EBITDA plan, full year (₹ thousand)</t>
        </is>
      </c>
      <c r="GN1" s="26" t="inlineStr">
        <is>
          <t>EBITDA full-year forecast uncertainty, 1σ (₹ thousand)</t>
        </is>
      </c>
      <c r="GO1" s="26" t="inlineStr">
        <is>
          <t>Hours to nearest open disclosure deadline (999 = none)</t>
        </is>
      </c>
      <c r="GP1" s="26" t="inlineStr">
        <is>
          <t>Single-source suppliers with cover below lead time (count)</t>
        </is>
      </c>
      <c r="GQ1" s="26" t="inlineStr">
        <is>
          <t>RM-1 price index (external, same for every entity)</t>
        </is>
      </c>
      <c r="GR1" s="26" t="inlineStr">
        <is>
          <t>Supply lanes with a disruption flag (count)</t>
        </is>
      </c>
    </row>
    <row r="2">
      <c r="A2" s="11" t="inlineStr">
        <is>
          <t>group</t>
        </is>
      </c>
      <c r="B2" s="11" t="inlineStr">
        <is>
          <t>period</t>
        </is>
      </c>
      <c r="C2" s="11" t="inlineStr">
        <is>
          <t>days</t>
        </is>
      </c>
      <c r="D2" s="11" t="inlineStr">
        <is>
          <t>ytd_months</t>
        </is>
      </c>
      <c r="E2" s="11" t="inlineStr">
        <is>
          <t>calendar_hours</t>
        </is>
      </c>
      <c r="F2" s="11" t="inlineStr">
        <is>
          <t>planned_op_hours</t>
        </is>
      </c>
      <c r="G2" s="11" t="inlineStr">
        <is>
          <t>run_hours</t>
        </is>
      </c>
      <c r="H2" s="11" t="inlineStr">
        <is>
          <t>unplanned_downtime_hours</t>
        </is>
      </c>
      <c r="I2" s="11" t="inlineStr">
        <is>
          <t>ideal_output_t</t>
        </is>
      </c>
      <c r="J2" s="11" t="inlineStr">
        <is>
          <t>installed_capacity_t</t>
        </is>
      </c>
      <c r="K2" s="11" t="inlineStr">
        <is>
          <t>planned_production_t</t>
        </is>
      </c>
      <c r="L2" s="11" t="inlineStr">
        <is>
          <t>gross_output_t</t>
        </is>
      </c>
      <c r="M2" s="11" t="inlineStr">
        <is>
          <t>good_output_t</t>
        </is>
      </c>
      <c r="N2" s="11" t="inlineStr">
        <is>
          <t>feed_input_t</t>
        </is>
      </c>
      <c r="O2" s="11" t="inlineStr">
        <is>
          <t>feed_contained_t</t>
        </is>
      </c>
      <c r="P2" s="11" t="inlineStr">
        <is>
          <t>recovered_contained_t</t>
        </is>
      </c>
      <c r="Q2" s="11" t="inlineStr">
        <is>
          <t>prod_loss_downtime_t</t>
        </is>
      </c>
      <c r="R2" s="11" t="inlineStr">
        <is>
          <t>failures</t>
        </is>
      </c>
      <c r="S2" s="11" t="inlineStr">
        <is>
          <t>repair_hours</t>
        </is>
      </c>
      <c r="T2" s="11" t="inlineStr">
        <is>
          <t>pm_scheduled</t>
        </is>
      </c>
      <c r="U2" s="11" t="inlineStr">
        <is>
          <t>pm_completed</t>
        </is>
      </c>
      <c r="V2" s="11" t="inlineStr">
        <is>
          <t>variable_cost_k</t>
        </is>
      </c>
      <c r="W2" s="11" t="inlineStr">
        <is>
          <t>fuel_cost_k</t>
        </is>
      </c>
      <c r="X2" s="11" t="inlineStr">
        <is>
          <t>fixed_cost_k</t>
        </is>
      </c>
      <c r="Y2" s="11" t="inlineStr">
        <is>
          <t>water_m3</t>
        </is>
      </c>
      <c r="Z2" s="11" t="inlineStr">
        <is>
          <t>emissions_tco2e</t>
        </is>
      </c>
      <c r="AA2" s="11" t="inlineStr">
        <is>
          <t>energy_gj</t>
        </is>
      </c>
      <c r="AB2" s="11" t="inlineStr">
        <is>
          <t>production_at_risk_t</t>
        </is>
      </c>
      <c r="AC2" s="11" t="inlineStr">
        <is>
          <t>critical_plant_alerts</t>
        </is>
      </c>
      <c r="AD2" s="11" t="inlineStr">
        <is>
          <t>hours_worked</t>
        </is>
      </c>
      <c r="AE2" s="11" t="inlineStr">
        <is>
          <t>recordable_injuries</t>
        </is>
      </c>
      <c r="AF2" s="11" t="inlineStr">
        <is>
          <t>severity_incidents</t>
        </is>
      </c>
      <c r="AG2" s="11" t="inlineStr">
        <is>
          <t>near_misses</t>
        </is>
      </c>
      <c r="AH2" s="11" t="inlineStr">
        <is>
          <t>critical_safety_incidents</t>
        </is>
      </c>
      <c r="AI2" s="11" t="inlineStr">
        <is>
          <t>env_excursions</t>
        </is>
      </c>
      <c r="AJ2" s="11" t="inlineStr">
        <is>
          <t>env_violations</t>
        </is>
      </c>
      <c r="AK2" s="11" t="inlineStr">
        <is>
          <t>ehs_ca_open</t>
        </is>
      </c>
      <c r="AL2" s="11" t="inlineStr">
        <is>
          <t>ehs_ca_overdue</t>
        </is>
      </c>
      <c r="AM2" s="11" t="inlineStr">
        <is>
          <t>investigations_due</t>
        </is>
      </c>
      <c r="AN2" s="11" t="inlineStr">
        <is>
          <t>investigations_completed</t>
        </is>
      </c>
      <c r="AO2" s="11" t="inlineStr">
        <is>
          <t>critical_material_risks</t>
        </is>
      </c>
      <c r="AP2" s="11" t="inlineStr">
        <is>
          <t>dispatches_total</t>
        </is>
      </c>
      <c r="AQ2" s="11" t="inlineStr">
        <is>
          <t>dispatches_delayed</t>
        </is>
      </c>
      <c r="AR2" s="11" t="inlineStr">
        <is>
          <t>permit_days_to_expiry</t>
        </is>
      </c>
      <c r="AS2" s="11" t="inlineStr">
        <is>
          <t>sales_t</t>
        </is>
      </c>
      <c r="AT2" s="11" t="inlineStr">
        <is>
          <t>planned_sales_t</t>
        </is>
      </c>
      <c r="AU2" s="11" t="inlineStr">
        <is>
          <t>revenue_k</t>
        </is>
      </c>
      <c r="AV2" s="11" t="inlineStr">
        <is>
          <t>planned_revenue_k</t>
        </is>
      </c>
      <c r="AW2" s="11" t="inlineStr">
        <is>
          <t>power_cost_k</t>
        </is>
      </c>
      <c r="AX2" s="11" t="inlineStr">
        <is>
          <t>depreciation_k</t>
        </is>
      </c>
      <c r="AY2" s="11" t="inlineStr">
        <is>
          <t>po_lines_due</t>
        </is>
      </c>
      <c r="AZ2" s="11" t="inlineStr">
        <is>
          <t>po_lines_on_time</t>
        </is>
      </c>
      <c r="BA2" s="11" t="inlineStr">
        <is>
          <t>qty_ordered_t</t>
        </is>
      </c>
      <c r="BB2" s="11" t="inlineStr">
        <is>
          <t>qty_received_t</t>
        </is>
      </c>
      <c r="BC2" s="11" t="inlineStr">
        <is>
          <t>qty_rejected_t</t>
        </is>
      </c>
      <c r="BD2" s="11" t="inlineStr">
        <is>
          <t>lead_time_planned_days</t>
        </is>
      </c>
      <c r="BE2" s="11" t="inlineStr">
        <is>
          <t>lead_time_actual_days</t>
        </is>
      </c>
      <c r="BF2" s="11" t="inlineStr">
        <is>
          <t>supplier_spend_k</t>
        </is>
      </c>
      <c r="BG2" s="11" t="inlineStr">
        <is>
          <t>single_source_spend_k</t>
        </is>
      </c>
      <c r="BH2" s="11" t="inlineStr">
        <is>
          <t>supplier_ehs_incidents</t>
        </is>
      </c>
      <c r="BI2" s="11" t="inlineStr">
        <is>
          <t>pending_filings</t>
        </is>
      </c>
      <c r="BJ2" s="11" t="inlineStr">
        <is>
          <t>reg_deadlines_30d</t>
        </is>
      </c>
      <c r="BK2" s="11" t="inlineStr">
        <is>
          <t>licences_expiring_12m</t>
        </is>
      </c>
      <c r="BL2" s="11" t="inlineStr">
        <is>
          <t>reg_obligations_due_30d</t>
        </is>
      </c>
      <c r="BM2" s="11" t="inlineStr">
        <is>
          <t>reg_obligations_overdue</t>
        </is>
      </c>
      <c r="BN2" s="11" t="inlineStr">
        <is>
          <t>reg_actions_open</t>
        </is>
      </c>
      <c r="BO2" s="11" t="inlineStr">
        <is>
          <t>compliance_actions_overdue</t>
        </is>
      </c>
      <c r="BP2" s="11" t="inlineStr">
        <is>
          <t>reg_breaches</t>
        </is>
      </c>
      <c r="BQ2" s="11" t="inlineStr">
        <is>
          <t>disclosure_events_open</t>
        </is>
      </c>
      <c r="BR2" s="11" t="inlineStr">
        <is>
          <t>ehs_escalation_clocks</t>
        </is>
      </c>
      <c r="BS2" s="11" t="inlineStr">
        <is>
          <t>days_to_breach</t>
        </is>
      </c>
      <c r="BT2" s="11" t="inlineStr">
        <is>
          <t>planned_production_next_t</t>
        </is>
      </c>
      <c r="BU2" s="11" t="inlineStr">
        <is>
          <t>forecast_good_next_t</t>
        </is>
      </c>
      <c r="BV2" s="11" t="inlineStr">
        <is>
          <t>forecast_good_var_next</t>
        </is>
      </c>
      <c r="BW2" s="11" t="inlineStr">
        <is>
          <t>ideal_output_next_t</t>
        </is>
      </c>
      <c r="BX2" s="11" t="inlineStr">
        <is>
          <t>forecast_downtime_loss_next_t</t>
        </is>
      </c>
      <c r="BY2" s="11" t="inlineStr">
        <is>
          <t>overhead_k</t>
        </is>
      </c>
      <c r="BZ2" s="11" t="inlineStr">
        <is>
          <t>tax_paid_k</t>
        </is>
      </c>
      <c r="CA2" s="11" t="inlineStr">
        <is>
          <t>capital_employed_k</t>
        </is>
      </c>
      <c r="CB2" s="11" t="inlineStr">
        <is>
          <t>gross_debt_k</t>
        </is>
      </c>
      <c r="CC2" s="11" t="inlineStr">
        <is>
          <t>cash_k</t>
        </is>
      </c>
      <c r="CD2" s="11" t="inlineStr">
        <is>
          <t>undrawn_facilities_k</t>
        </is>
      </c>
      <c r="CE2" s="11" t="inlineStr">
        <is>
          <t>debt_service_k</t>
        </is>
      </c>
      <c r="CF2" s="11" t="inlineStr">
        <is>
          <t>debt_maturing_12m_k</t>
        </is>
      </c>
      <c r="CG2" s="11" t="inlineStr">
        <is>
          <t>floating_rate_debt_k</t>
        </is>
      </c>
      <c r="CH2" s="11" t="inlineStr">
        <is>
          <t>board_ebitda_k</t>
        </is>
      </c>
      <c r="CI2" s="11" t="inlineStr">
        <is>
          <t>flash_revenue_k</t>
        </is>
      </c>
      <c r="CJ2" s="11" t="inlineStr">
        <is>
          <t>receivables_k</t>
        </is>
      </c>
      <c r="CK2" s="11" t="inlineStr">
        <is>
          <t>payables_k</t>
        </is>
      </c>
      <c r="CL2" s="11" t="inlineStr">
        <is>
          <t>inventory_k</t>
        </is>
      </c>
      <c r="CM2" s="11" t="inlineStr">
        <is>
          <t>collections_k</t>
        </is>
      </c>
      <c r="CN2" s="11" t="inlineStr">
        <is>
          <t>cash_released_k</t>
        </is>
      </c>
      <c r="CO2" s="11" t="inlineStr">
        <is>
          <t>upstream_due_k</t>
        </is>
      </c>
      <c r="CP2" s="11" t="inlineStr">
        <is>
          <t>upstream_covered_k</t>
        </is>
      </c>
      <c r="CQ2" s="11" t="inlineStr">
        <is>
          <t>invoices_collected</t>
        </is>
      </c>
      <c r="CR2" s="11" t="inlineStr">
        <is>
          <t>collection_days</t>
        </is>
      </c>
      <c r="CS2" s="11" t="inlineStr">
        <is>
          <t>terms_days</t>
        </is>
      </c>
      <c r="CT2" s="11" t="inlineStr">
        <is>
          <t>customers_overdue</t>
        </is>
      </c>
      <c r="CU2" s="11" t="inlineStr">
        <is>
          <t>forecast_ebitda_rest_k</t>
        </is>
      </c>
      <c r="CV2" s="11" t="inlineStr">
        <is>
          <t>planned_ebitda_rest_k</t>
        </is>
      </c>
      <c r="CW2" s="11" t="inlineStr">
        <is>
          <t>forecast_net_cash_flow_90d_k</t>
        </is>
      </c>
      <c r="CX2" s="11" t="inlineStr">
        <is>
          <t>forecast_net_debt_k</t>
        </is>
      </c>
      <c r="CY2" s="11" t="inlineStr">
        <is>
          <t>forecast_ebitda_ltm_k</t>
        </is>
      </c>
      <c r="CZ2" s="11" t="inlineStr">
        <is>
          <t>fx_exposure_k</t>
        </is>
      </c>
      <c r="DA2" s="11" t="inlineStr">
        <is>
          <t>fx_hedged_k</t>
        </is>
      </c>
      <c r="DB2" s="11" t="inlineStr">
        <is>
          <t>usd_exposure_k</t>
        </is>
      </c>
      <c r="DC2" s="11" t="inlineStr">
        <is>
          <t>usd_hedged_k</t>
        </is>
      </c>
      <c r="DD2" s="11" t="inlineStr">
        <is>
          <t>hedge_value_change_k</t>
        </is>
      </c>
      <c r="DE2" s="11" t="inlineStr">
        <is>
          <t>hedged_item_value_change_k</t>
        </is>
      </c>
      <c r="DF2" s="11" t="inlineStr">
        <is>
          <t>fx_flows_6m_k</t>
        </is>
      </c>
      <c r="DG2" s="11" t="inlineStr">
        <is>
          <t>fx_hedged_6m_k</t>
        </is>
      </c>
      <c r="DH2" s="11" t="inlineStr">
        <is>
          <t>capex_budget_k</t>
        </is>
      </c>
      <c r="DI2" s="11" t="inlineStr">
        <is>
          <t>capex_committed_k</t>
        </is>
      </c>
      <c r="DJ2" s="11" t="inlineStr">
        <is>
          <t>capex_spend_k</t>
        </is>
      </c>
      <c r="DK2" s="11" t="inlineStr">
        <is>
          <t>capex_earned_value_k</t>
        </is>
      </c>
      <c r="DL2" s="11" t="inlineStr">
        <is>
          <t>capex_at_risk_k</t>
        </is>
      </c>
      <c r="DM2" s="11" t="inlineStr">
        <is>
          <t>projects_on_track</t>
        </is>
      </c>
      <c r="DN2" s="11" t="inlineStr">
        <is>
          <t>projects_at_risk</t>
        </is>
      </c>
      <c r="DO2" s="11" t="inlineStr">
        <is>
          <t>projects_off_track</t>
        </is>
      </c>
      <c r="DP2" s="11" t="inlineStr">
        <is>
          <t>projects_delayed</t>
        </is>
      </c>
      <c r="DQ2" s="11" t="inlineStr">
        <is>
          <t>contractor_milestones_due</t>
        </is>
      </c>
      <c r="DR2" s="11" t="inlineStr">
        <is>
          <t>contractor_days_late</t>
        </is>
      </c>
      <c r="DS2" s="11" t="inlineStr">
        <is>
          <t>initiatives_on_track</t>
        </is>
      </c>
      <c r="DT2" s="11" t="inlineStr">
        <is>
          <t>initiatives_at_risk</t>
        </is>
      </c>
      <c r="DU2" s="11" t="inlineStr">
        <is>
          <t>initiatives_delayed</t>
        </is>
      </c>
      <c r="DV2" s="11" t="inlineStr">
        <is>
          <t>milestones_total</t>
        </is>
      </c>
      <c r="DW2" s="11" t="inlineStr">
        <is>
          <t>milestones_done</t>
        </is>
      </c>
      <c r="DX2" s="11" t="inlineStr">
        <is>
          <t>benefits_planned_k</t>
        </is>
      </c>
      <c r="DY2" s="11" t="inlineStr">
        <is>
          <t>benefits_delivered_k</t>
        </is>
      </c>
      <c r="DZ2" s="11" t="inlineStr">
        <is>
          <t>ebitda_benefit_k</t>
        </is>
      </c>
      <c r="EA2" s="11" t="inlineStr">
        <is>
          <t>cash_benefit_k</t>
        </is>
      </c>
      <c r="EB2" s="11" t="inlineStr">
        <is>
          <t>cost_savings_k</t>
        </is>
      </c>
      <c r="EC2" s="11" t="inlineStr">
        <is>
          <t>contracts_total</t>
        </is>
      </c>
      <c r="ED2" s="11" t="inlineStr">
        <is>
          <t>contracts_compliant</t>
        </is>
      </c>
      <c r="EE2" s="11" t="inlineStr">
        <is>
          <t>contracts_expiring_90d</t>
        </is>
      </c>
      <c r="EF2" s="11" t="inlineStr">
        <is>
          <t>supplier_ehs_noncompliance</t>
        </is>
      </c>
      <c r="EG2" s="11" t="inlineStr">
        <is>
          <t>single_source_suppliers</t>
        </is>
      </c>
      <c r="EH2" s="11" t="inlineStr">
        <is>
          <t>control_failures</t>
        </is>
      </c>
      <c r="EI2" s="11" t="inlineStr">
        <is>
          <t>control_failures_high</t>
        </is>
      </c>
      <c r="EJ2" s="11" t="inlineStr">
        <is>
          <t>assurance_reviews_planned</t>
        </is>
      </c>
      <c r="EK2" s="11" t="inlineStr">
        <is>
          <t>assurance_reviews_done</t>
        </is>
      </c>
      <c r="EL2" s="11" t="inlineStr">
        <is>
          <t>policy_exceptions</t>
        </is>
      </c>
      <c r="EM2" s="11" t="inlineStr">
        <is>
          <t>unauthorized_vendor_uses</t>
        </is>
      </c>
      <c r="EN2" s="11" t="inlineStr">
        <is>
          <t>sod_exceptions</t>
        </is>
      </c>
      <c r="EO2" s="11" t="inlineStr">
        <is>
          <t>unauthorized_access_events</t>
        </is>
      </c>
      <c r="EP2" s="11" t="inlineStr">
        <is>
          <t>data_sharing_exceptions</t>
        </is>
      </c>
      <c r="EQ2" s="11" t="inlineStr">
        <is>
          <t>manual_overrides</t>
        </is>
      </c>
      <c r="ER2" s="11" t="inlineStr">
        <is>
          <t>cert_approvals_ageing</t>
        </is>
      </c>
      <c r="ES2" s="11" t="inlineStr">
        <is>
          <t>kpi_overrides</t>
        </is>
      </c>
      <c r="ET2" s="11" t="inlineStr">
        <is>
          <t>dq_issues_recurring</t>
        </is>
      </c>
      <c r="EU2" s="11" t="inlineStr">
        <is>
          <t>audit_findings_open</t>
        </is>
      </c>
      <c r="EV2" s="11" t="inlineStr">
        <is>
          <t>assurance_actions_overdue</t>
        </is>
      </c>
      <c r="EW2" s="11" t="inlineStr">
        <is>
          <t>repeat_findings</t>
        </is>
      </c>
      <c r="EX2" s="11" t="inlineStr">
        <is>
          <t>leadership_kpis_affected</t>
        </is>
      </c>
      <c r="EY2" s="11" t="inlineStr">
        <is>
          <t>evidence_required</t>
        </is>
      </c>
      <c r="EZ2" s="11" t="inlineStr">
        <is>
          <t>evidence_complete</t>
        </is>
      </c>
      <c r="FA2" s="11" t="inlineStr">
        <is>
          <t>findings_closed</t>
        </is>
      </c>
      <c r="FB2" s="11" t="inlineStr">
        <is>
          <t>finding_closure_days</t>
        </is>
      </c>
      <c r="FC2" s="11" t="inlineStr">
        <is>
          <t>kpis_leadership</t>
        </is>
      </c>
      <c r="FD2" s="11" t="inlineStr">
        <is>
          <t>kpis_certified</t>
        </is>
      </c>
      <c r="FE2" s="11" t="inlineStr">
        <is>
          <t>kpis_in_scope</t>
        </is>
      </c>
      <c r="FF2" s="11" t="inlineStr">
        <is>
          <t>certifications_overdue</t>
        </is>
      </c>
      <c r="FG2" s="11" t="inlineStr">
        <is>
          <t>recon_breaks_open</t>
        </is>
      </c>
      <c r="FH2" s="11" t="inlineStr">
        <is>
          <t>recon_breaks_material</t>
        </is>
      </c>
      <c r="FI2" s="11" t="inlineStr">
        <is>
          <t>lake_records_loaded</t>
        </is>
      </c>
      <c r="FJ2" s="11" t="inlineStr">
        <is>
          <t>lake_records_reconciled</t>
        </is>
      </c>
      <c r="FK2" s="11" t="inlineStr">
        <is>
          <t>mis_lines_total</t>
        </is>
      </c>
      <c r="FL2" s="11" t="inlineStr">
        <is>
          <t>mis_lines_matched</t>
        </is>
      </c>
      <c r="FM2" s="11" t="inlineStr">
        <is>
          <t>critical_alerts_open</t>
        </is>
      </c>
      <c r="FN2" s="11" t="inlineStr">
        <is>
          <t>alerts_unowned</t>
        </is>
      </c>
      <c r="FO2" s="11" t="inlineStr">
        <is>
          <t>actions_overdue</t>
        </is>
      </c>
      <c r="FP2" s="11" t="inlineStr">
        <is>
          <t>alerts_resolved</t>
        </is>
      </c>
      <c r="FQ2" s="11" t="inlineStr">
        <is>
          <t>alert_resolution_days</t>
        </is>
      </c>
      <c r="FR2" s="11" t="inlineStr">
        <is>
          <t>escalations_closed</t>
        </is>
      </c>
      <c r="FS2" s="11" t="inlineStr">
        <is>
          <t>repeat_issues</t>
        </is>
      </c>
      <c r="FT2" s="11" t="inlineStr">
        <is>
          <t>root_causes_identified</t>
        </is>
      </c>
      <c r="FU2" s="11" t="inlineStr">
        <is>
          <t>root_causes_eliminated</t>
        </is>
      </c>
      <c r="FV2" s="11" t="inlineStr">
        <is>
          <t>ebitda_k</t>
        </is>
      </c>
      <c r="FW2" s="11" t="inlineStr">
        <is>
          <t>ebit_k</t>
        </is>
      </c>
      <c r="FX2" s="11" t="inlineStr">
        <is>
          <t>nwc_k</t>
        </is>
      </c>
      <c r="FY2" s="11" t="inlineStr">
        <is>
          <t>nwc_change_k</t>
        </is>
      </c>
      <c r="FZ2" s="11" t="inlineStr">
        <is>
          <t>op_cash_flow_k</t>
        </is>
      </c>
      <c r="GA2" s="11" t="inlineStr">
        <is>
          <t>fcf_k</t>
        </is>
      </c>
      <c r="GB2" s="11" t="inlineStr">
        <is>
          <t>net_debt_k</t>
        </is>
      </c>
      <c r="GC2" s="11" t="inlineStr">
        <is>
          <t>ebitda_annualised_k</t>
        </is>
      </c>
      <c r="GD2" s="11" t="inlineStr">
        <is>
          <t>dso_d</t>
        </is>
      </c>
      <c r="GE2" s="11" t="inlineStr">
        <is>
          <t>dpo_d</t>
        </is>
      </c>
      <c r="GF2" s="11" t="inlineStr">
        <is>
          <t>dio_d</t>
        </is>
      </c>
      <c r="GG2" s="11" t="inlineStr">
        <is>
          <t>price_vs_plan_pct</t>
        </is>
      </c>
      <c r="GH2" t="inlineStr">
        <is>
          <t>fte</t>
        </is>
      </c>
      <c r="GI2" t="inlineStr">
        <is>
          <t>fcf_plan_fy_k</t>
        </is>
      </c>
      <c r="GJ2" t="inlineStr">
        <is>
          <t>forecast_fcf_rest_k</t>
        </is>
      </c>
      <c r="GK2" t="inlineStr">
        <is>
          <t>ebit_fcst_rest_k</t>
        </is>
      </c>
      <c r="GL2" t="inlineStr">
        <is>
          <t>capital_employed_p12_k</t>
        </is>
      </c>
      <c r="GM2" t="inlineStr">
        <is>
          <t>ebitda_plan_fy_k</t>
        </is>
      </c>
      <c r="GN2" t="inlineStr">
        <is>
          <t>ebitda_fy_sigma_k</t>
        </is>
      </c>
      <c r="GO2" t="inlineStr">
        <is>
          <t>disclosure_deadline_h</t>
        </is>
      </c>
      <c r="GP2" t="inlineStr">
        <is>
          <t>single_source_elevated</t>
        </is>
      </c>
      <c r="GQ2" t="inlineStr">
        <is>
          <t>rm1_price_index</t>
        </is>
      </c>
      <c r="GR2" t="inlineStr">
        <is>
          <t>freight_lanes_disrupted</t>
        </is>
      </c>
    </row>
    <row r="3" ht="60" customHeight="1">
      <c r="A3" s="9" t="n"/>
      <c r="B3" s="9" t="n"/>
      <c r="C3" s="9" t="n"/>
      <c r="D3" s="9" t="n"/>
      <c r="E3" s="12" t="inlineStr">
        <is>
          <t>Sum of Entity A1 and Entity A2 (Entity Inputs sheet)</t>
        </is>
      </c>
      <c r="F3" s="12" t="inlineStr">
        <is>
          <t>Sum of Entity A1 and Entity A2 (Entity Inputs sheet)</t>
        </is>
      </c>
      <c r="G3" s="12" t="inlineStr">
        <is>
          <t>Sum of Entity A1 and Entity A2 (Entity Inputs sheet)</t>
        </is>
      </c>
      <c r="H3" s="12" t="inlineStr">
        <is>
          <t>Sum of Entity A1 and Entity A2 (Entity Inputs sheet)</t>
        </is>
      </c>
      <c r="I3" s="12" t="inlineStr">
        <is>
          <t>Sum of Entity A1 and Entity A2 (Entity Inputs sheet)</t>
        </is>
      </c>
      <c r="J3" s="12" t="inlineStr">
        <is>
          <t>Sum of Entity A1 and Entity A2 (Entity Inputs sheet)</t>
        </is>
      </c>
      <c r="K3" s="12" t="inlineStr">
        <is>
          <t>Sum of Entity A1 and Entity A2 (Entity Inputs sheet)</t>
        </is>
      </c>
      <c r="L3" s="12" t="inlineStr">
        <is>
          <t>Sum of Entity A1 and Entity A2 (Entity Inputs sheet)</t>
        </is>
      </c>
      <c r="M3" s="12" t="inlineStr">
        <is>
          <t>Sum of Entity A1 and Entity A2 (Entity Inputs sheet)</t>
        </is>
      </c>
      <c r="N3" s="12" t="inlineStr">
        <is>
          <t>Sum of Entity A1 and Entity A2 (Entity Inputs sheet)</t>
        </is>
      </c>
      <c r="O3" s="12" t="inlineStr">
        <is>
          <t>Sum of Entity A1 and Entity A2 (Entity Inputs sheet)</t>
        </is>
      </c>
      <c r="P3" s="12" t="inlineStr">
        <is>
          <t>Sum of Entity A1 and Entity A2 (Entity Inputs sheet)</t>
        </is>
      </c>
      <c r="Q3" s="12" t="inlineStr">
        <is>
          <t>Sum of Entity A1 and Entity A2 (Entity Inputs sheet)</t>
        </is>
      </c>
      <c r="R3" s="12" t="inlineStr">
        <is>
          <t>Sum of Entity A1 and Entity A2 (Entity Inputs sheet)</t>
        </is>
      </c>
      <c r="S3" s="12" t="inlineStr">
        <is>
          <t>Sum of Entity A1 and Entity A2 (Entity Inputs sheet)</t>
        </is>
      </c>
      <c r="T3" s="12" t="inlineStr">
        <is>
          <t>Sum of Entity A1 and Entity A2 (Entity Inputs sheet)</t>
        </is>
      </c>
      <c r="U3" s="12" t="inlineStr">
        <is>
          <t>Sum of Entity A1 and Entity A2 (Entity Inputs sheet)</t>
        </is>
      </c>
      <c r="V3" s="12" t="inlineStr">
        <is>
          <t>Sum of Entity A1 and Entity A2 (Entity Inputs sheet)</t>
        </is>
      </c>
      <c r="W3" s="12" t="inlineStr">
        <is>
          <t>Sum of Entity A1 and Entity A2 (Entity Inputs sheet)</t>
        </is>
      </c>
      <c r="X3" s="12" t="inlineStr">
        <is>
          <t>Sum of Entity A1 and Entity A2 (Entity Inputs sheet)</t>
        </is>
      </c>
      <c r="Y3" s="12" t="inlineStr">
        <is>
          <t>Sum of Entity A1 and Entity A2 (Entity Inputs sheet)</t>
        </is>
      </c>
      <c r="Z3" s="12" t="inlineStr">
        <is>
          <t>Sum of Entity A1 and Entity A2 (Entity Inputs sheet)</t>
        </is>
      </c>
      <c r="AA3" s="12" t="inlineStr">
        <is>
          <t>Sum of Entity A1 and Entity A2 (Entity Inputs sheet)</t>
        </is>
      </c>
      <c r="AB3" s="12" t="inlineStr">
        <is>
          <t>Sum of Entity A1 and Entity A2 (Entity Inputs sheet)</t>
        </is>
      </c>
      <c r="AC3" s="12" t="inlineStr">
        <is>
          <t>Sum of Entity A1 and Entity A2 (Entity Inputs sheet)</t>
        </is>
      </c>
      <c r="AD3" s="12" t="inlineStr">
        <is>
          <t>Sum of Entity A1 and Entity A2 (Entity Inputs sheet)</t>
        </is>
      </c>
      <c r="AE3" s="12" t="inlineStr">
        <is>
          <t>Sum of Entity A1 and Entity A2 (Entity Inputs sheet)</t>
        </is>
      </c>
      <c r="AF3" s="12" t="inlineStr">
        <is>
          <t>Sum of Entity A1 and Entity A2 (Entity Inputs sheet)</t>
        </is>
      </c>
      <c r="AG3" s="12" t="inlineStr">
        <is>
          <t>Sum of Entity A1 and Entity A2 (Entity Inputs sheet)</t>
        </is>
      </c>
      <c r="AH3" s="12" t="inlineStr">
        <is>
          <t>Sum of Entity A1 and Entity A2 (Entity Inputs sheet)</t>
        </is>
      </c>
      <c r="AI3" s="12" t="inlineStr">
        <is>
          <t>Sum of Entity A1 and Entity A2 (Entity Inputs sheet)</t>
        </is>
      </c>
      <c r="AJ3" s="12" t="inlineStr">
        <is>
          <t>Sum of Entity A1 and Entity A2 (Entity Inputs sheet)</t>
        </is>
      </c>
      <c r="AK3" s="12" t="inlineStr">
        <is>
          <t>Sum of Entity A1 and Entity A2 (Entity Inputs sheet)</t>
        </is>
      </c>
      <c r="AL3" s="12" t="inlineStr">
        <is>
          <t>Sum of Entity A1 and Entity A2 (Entity Inputs sheet)</t>
        </is>
      </c>
      <c r="AM3" s="12" t="inlineStr">
        <is>
          <t>Sum of Entity A1 and Entity A2 (Entity Inputs sheet)</t>
        </is>
      </c>
      <c r="AN3" s="12" t="inlineStr">
        <is>
          <t>Sum of Entity A1 and Entity A2 (Entity Inputs sheet)</t>
        </is>
      </c>
      <c r="AO3" s="12" t="inlineStr">
        <is>
          <t>Sum of Entity A1 and Entity A2 (Entity Inputs sheet)</t>
        </is>
      </c>
      <c r="AP3" s="12" t="inlineStr">
        <is>
          <t>Sum of Entity A1 and Entity A2 (Entity Inputs sheet)</t>
        </is>
      </c>
      <c r="AQ3" s="12" t="inlineStr">
        <is>
          <t>Sum of Entity A1 and Entity A2 (Entity Inputs sheet)</t>
        </is>
      </c>
      <c r="AR3" s="12" t="inlineStr">
        <is>
          <t>Lowest of Entity A1 and Entity A2 (Entity Inputs sheet)</t>
        </is>
      </c>
      <c r="AS3" s="12" t="inlineStr">
        <is>
          <t>Sum of Entity A1 and Entity A2 (Entity Inputs sheet)</t>
        </is>
      </c>
      <c r="AT3" s="12" t="inlineStr">
        <is>
          <t>Sum of Entity A1 and Entity A2 (Entity Inputs sheet)</t>
        </is>
      </c>
      <c r="AU3" s="12" t="inlineStr">
        <is>
          <t>Sum of Entity A1 and Entity A2 (Entity Inputs sheet)</t>
        </is>
      </c>
      <c r="AV3" s="12" t="inlineStr">
        <is>
          <t>Sum of Entity A1 and Entity A2 (Entity Inputs sheet)</t>
        </is>
      </c>
      <c r="AW3" s="12" t="inlineStr">
        <is>
          <t>Sum of Entity A1 and Entity A2 (Entity Inputs sheet)</t>
        </is>
      </c>
      <c r="AX3" s="12" t="inlineStr">
        <is>
          <t>Sum of Entity A1 and Entity A2 (Entity Inputs sheet)</t>
        </is>
      </c>
      <c r="AY3" s="12" t="inlineStr">
        <is>
          <t>Sum of Entity A1 and Entity A2 (Entity Inputs sheet)</t>
        </is>
      </c>
      <c r="AZ3" s="12" t="inlineStr">
        <is>
          <t>Sum of Entity A1 and Entity A2 (Entity Inputs sheet)</t>
        </is>
      </c>
      <c r="BA3" s="12" t="inlineStr">
        <is>
          <t>Sum of Entity A1 and Entity A2 (Entity Inputs sheet)</t>
        </is>
      </c>
      <c r="BB3" s="12" t="inlineStr">
        <is>
          <t>Sum of Entity A1 and Entity A2 (Entity Inputs sheet)</t>
        </is>
      </c>
      <c r="BC3" s="12" t="inlineStr">
        <is>
          <t>Sum of Entity A1 and Entity A2 (Entity Inputs sheet)</t>
        </is>
      </c>
      <c r="BD3" s="12" t="inlineStr">
        <is>
          <t>Sum of Entity A1 and Entity A2 (Entity Inputs sheet)</t>
        </is>
      </c>
      <c r="BE3" s="12" t="inlineStr">
        <is>
          <t>Sum of Entity A1 and Entity A2 (Entity Inputs sheet)</t>
        </is>
      </c>
      <c r="BF3" s="12" t="inlineStr">
        <is>
          <t>Sum of Entity A1 and Entity A2 (Entity Inputs sheet)</t>
        </is>
      </c>
      <c r="BG3" s="12" t="inlineStr">
        <is>
          <t>Sum of Entity A1 and Entity A2 (Entity Inputs sheet)</t>
        </is>
      </c>
      <c r="BH3" s="12" t="inlineStr">
        <is>
          <t>Sum of Entity A1 and Entity A2 (Entity Inputs sheet)</t>
        </is>
      </c>
      <c r="BI3" s="12" t="inlineStr">
        <is>
          <t>Sum of Entity A1 and Entity A2 (Entity Inputs sheet)</t>
        </is>
      </c>
      <c r="BJ3" s="12" t="inlineStr">
        <is>
          <t>Sum of Entity A1 and Entity A2 (Entity Inputs sheet)</t>
        </is>
      </c>
      <c r="BK3" s="12" t="inlineStr">
        <is>
          <t>Sum of Entity A1 and Entity A2 (Entity Inputs sheet)</t>
        </is>
      </c>
      <c r="BL3" s="12" t="inlineStr">
        <is>
          <t>Sum of Entity A1 and Entity A2 (Entity Inputs sheet)</t>
        </is>
      </c>
      <c r="BM3" s="12" t="inlineStr">
        <is>
          <t>Sum of Entity A1 and Entity A2 (Entity Inputs sheet)</t>
        </is>
      </c>
      <c r="BN3" s="12" t="inlineStr">
        <is>
          <t>Sum of Entity A1 and Entity A2 (Entity Inputs sheet)</t>
        </is>
      </c>
      <c r="BO3" s="12" t="inlineStr">
        <is>
          <t>Sum of Entity A1 and Entity A2 (Entity Inputs sheet)</t>
        </is>
      </c>
      <c r="BP3" s="12" t="inlineStr">
        <is>
          <t>Sum of Entity A1 and Entity A2 (Entity Inputs sheet)</t>
        </is>
      </c>
      <c r="BQ3" s="12" t="inlineStr">
        <is>
          <t>Sum of Entity A1 and Entity A2 (Entity Inputs sheet)</t>
        </is>
      </c>
      <c r="BR3" s="12" t="inlineStr">
        <is>
          <t>Sum of Entity A1 and Entity A2 (Entity Inputs sheet)</t>
        </is>
      </c>
      <c r="BS3" s="12" t="inlineStr">
        <is>
          <t>Lowest of Entity A1 and Entity A2 (Entity Inputs sheet)</t>
        </is>
      </c>
      <c r="BT3" s="12" t="inlineStr">
        <is>
          <t>Sum of Entity A1 and Entity A2 (Entity Inputs sheet)</t>
        </is>
      </c>
      <c r="BU3" s="12" t="inlineStr">
        <is>
          <t>Sum of Entity A1 and Entity A2 (Entity Inputs sheet)</t>
        </is>
      </c>
      <c r="BV3" s="12" t="inlineStr">
        <is>
          <t>Sum of Entity A1 and Entity A2 (Entity Inputs sheet)</t>
        </is>
      </c>
      <c r="BW3" s="12" t="inlineStr">
        <is>
          <t>Sum of Entity A1 and Entity A2 (Entity Inputs sheet)</t>
        </is>
      </c>
      <c r="BX3" s="12" t="inlineStr">
        <is>
          <t>Sum of Entity A1 and Entity A2 (Entity Inputs sheet)</t>
        </is>
      </c>
      <c r="BY3" s="12" t="inlineStr">
        <is>
          <t>Sum of Entity A1 and Entity A2 (Entity Inputs sheet)</t>
        </is>
      </c>
      <c r="BZ3" s="12" t="inlineStr">
        <is>
          <t>Sum of Entity A1 and Entity A2 (Entity Inputs sheet)</t>
        </is>
      </c>
      <c r="CA3" s="12" t="inlineStr">
        <is>
          <t>Sum of Entity A1 and Entity A2 (Entity Inputs sheet)</t>
        </is>
      </c>
      <c r="CB3" s="12" t="inlineStr">
        <is>
          <t>Sum of Entity A1 and Entity A2 (Entity Inputs sheet)</t>
        </is>
      </c>
      <c r="CC3" s="12" t="inlineStr">
        <is>
          <t>Sum of Entity A1 and Entity A2 (Entity Inputs sheet)</t>
        </is>
      </c>
      <c r="CD3" s="12" t="inlineStr">
        <is>
          <t>Sum of Entity A1 and Entity A2 (Entity Inputs sheet)</t>
        </is>
      </c>
      <c r="CE3" s="12" t="inlineStr">
        <is>
          <t>Sum of Entity A1 and Entity A2 (Entity Inputs sheet)</t>
        </is>
      </c>
      <c r="CF3" s="12" t="inlineStr">
        <is>
          <t>Sum of Entity A1 and Entity A2 (Entity Inputs sheet)</t>
        </is>
      </c>
      <c r="CG3" s="12" t="inlineStr">
        <is>
          <t>Sum of Entity A1 and Entity A2 (Entity Inputs sheet)</t>
        </is>
      </c>
      <c r="CH3" s="12" t="inlineStr">
        <is>
          <t>Sum of Entity A1 and Entity A2 (Entity Inputs sheet)</t>
        </is>
      </c>
      <c r="CI3" s="12" t="inlineStr">
        <is>
          <t>Sum of Entity A1 and Entity A2 (Entity Inputs sheet)</t>
        </is>
      </c>
      <c r="CJ3" s="12" t="inlineStr">
        <is>
          <t>Sum of Entity A1 and Entity A2 (Entity Inputs sheet)</t>
        </is>
      </c>
      <c r="CK3" s="12" t="inlineStr">
        <is>
          <t>Sum of Entity A1 and Entity A2 (Entity Inputs sheet)</t>
        </is>
      </c>
      <c r="CL3" s="12" t="inlineStr">
        <is>
          <t>Sum of Entity A1 and Entity A2 (Entity Inputs sheet)</t>
        </is>
      </c>
      <c r="CM3" s="12" t="inlineStr">
        <is>
          <t>Sum of Entity A1 and Entity A2 (Entity Inputs sheet)</t>
        </is>
      </c>
      <c r="CN3" s="12" t="inlineStr">
        <is>
          <t>Sum of Entity A1 and Entity A2 (Entity Inputs sheet)</t>
        </is>
      </c>
      <c r="CO3" s="12" t="inlineStr">
        <is>
          <t>Sum of Entity A1 and Entity A2 (Entity Inputs sheet)</t>
        </is>
      </c>
      <c r="CP3" s="12" t="inlineStr">
        <is>
          <t>Sum of Entity A1 and Entity A2 (Entity Inputs sheet)</t>
        </is>
      </c>
      <c r="CQ3" s="12" t="inlineStr">
        <is>
          <t>Sum of Entity A1 and Entity A2 (Entity Inputs sheet)</t>
        </is>
      </c>
      <c r="CR3" s="12" t="inlineStr">
        <is>
          <t>Sum of Entity A1 and Entity A2 (Entity Inputs sheet)</t>
        </is>
      </c>
      <c r="CS3" s="12" t="inlineStr">
        <is>
          <t>Sum of Entity A1 and Entity A2 (Entity Inputs sheet)</t>
        </is>
      </c>
      <c r="CT3" s="12" t="inlineStr">
        <is>
          <t>Sum of Entity A1 and Entity A2 (Entity Inputs sheet)</t>
        </is>
      </c>
      <c r="CU3" s="12" t="inlineStr">
        <is>
          <t>Sum of Entity A1 and Entity A2 (Entity Inputs sheet)</t>
        </is>
      </c>
      <c r="CV3" s="12" t="inlineStr">
        <is>
          <t>Sum of Entity A1 and Entity A2 (Entity Inputs sheet)</t>
        </is>
      </c>
      <c r="CW3" s="12" t="inlineStr">
        <is>
          <t>Sum of Entity A1 and Entity A2 (Entity Inputs sheet)</t>
        </is>
      </c>
      <c r="CX3" s="12" t="inlineStr">
        <is>
          <t>Sum of Entity A1 and Entity A2 (Entity Inputs sheet)</t>
        </is>
      </c>
      <c r="CY3" s="12" t="inlineStr">
        <is>
          <t>Sum of Entity A1 and Entity A2 (Entity Inputs sheet)</t>
        </is>
      </c>
      <c r="CZ3" s="12" t="inlineStr">
        <is>
          <t>Sum of Entity A1 and Entity A2 (Entity Inputs sheet)</t>
        </is>
      </c>
      <c r="DA3" s="12" t="inlineStr">
        <is>
          <t>Sum of Entity A1 and Entity A2 (Entity Inputs sheet)</t>
        </is>
      </c>
      <c r="DB3" s="12" t="inlineStr">
        <is>
          <t>Sum of Entity A1 and Entity A2 (Entity Inputs sheet)</t>
        </is>
      </c>
      <c r="DC3" s="12" t="inlineStr">
        <is>
          <t>Sum of Entity A1 and Entity A2 (Entity Inputs sheet)</t>
        </is>
      </c>
      <c r="DD3" s="12" t="inlineStr">
        <is>
          <t>Sum of Entity A1 and Entity A2 (Entity Inputs sheet)</t>
        </is>
      </c>
      <c r="DE3" s="12" t="inlineStr">
        <is>
          <t>Sum of Entity A1 and Entity A2 (Entity Inputs sheet)</t>
        </is>
      </c>
      <c r="DF3" s="12" t="inlineStr">
        <is>
          <t>Sum of Entity A1 and Entity A2 (Entity Inputs sheet)</t>
        </is>
      </c>
      <c r="DG3" s="12" t="inlineStr">
        <is>
          <t>Sum of Entity A1 and Entity A2 (Entity Inputs sheet)</t>
        </is>
      </c>
      <c r="DH3" s="12" t="inlineStr">
        <is>
          <t>Sum of Entity A1 and Entity A2 (Entity Inputs sheet)</t>
        </is>
      </c>
      <c r="DI3" s="12" t="inlineStr">
        <is>
          <t>Sum of Entity A1 and Entity A2 (Entity Inputs sheet)</t>
        </is>
      </c>
      <c r="DJ3" s="12" t="inlineStr">
        <is>
          <t>Sum of Entity A1 and Entity A2 (Entity Inputs sheet)</t>
        </is>
      </c>
      <c r="DK3" s="12" t="inlineStr">
        <is>
          <t>Sum of Entity A1 and Entity A2 (Entity Inputs sheet)</t>
        </is>
      </c>
      <c r="DL3" s="12" t="inlineStr">
        <is>
          <t>Sum of Entity A1 and Entity A2 (Entity Inputs sheet)</t>
        </is>
      </c>
      <c r="DM3" s="12" t="inlineStr">
        <is>
          <t>Sum of Entity A1 and Entity A2 (Entity Inputs sheet)</t>
        </is>
      </c>
      <c r="DN3" s="12" t="inlineStr">
        <is>
          <t>Sum of Entity A1 and Entity A2 (Entity Inputs sheet)</t>
        </is>
      </c>
      <c r="DO3" s="12" t="inlineStr">
        <is>
          <t>Sum of Entity A1 and Entity A2 (Entity Inputs sheet)</t>
        </is>
      </c>
      <c r="DP3" s="12" t="inlineStr">
        <is>
          <t>Sum of Entity A1 and Entity A2 (Entity Inputs sheet)</t>
        </is>
      </c>
      <c r="DQ3" s="12" t="inlineStr">
        <is>
          <t>Sum of Entity A1 and Entity A2 (Entity Inputs sheet)</t>
        </is>
      </c>
      <c r="DR3" s="12" t="inlineStr">
        <is>
          <t>Sum of Entity A1 and Entity A2 (Entity Inputs sheet)</t>
        </is>
      </c>
      <c r="DS3" s="12" t="inlineStr">
        <is>
          <t>Sum of Entity A1 and Entity A2 (Entity Inputs sheet)</t>
        </is>
      </c>
      <c r="DT3" s="12" t="inlineStr">
        <is>
          <t>Sum of Entity A1 and Entity A2 (Entity Inputs sheet)</t>
        </is>
      </c>
      <c r="DU3" s="12" t="inlineStr">
        <is>
          <t>Sum of Entity A1 and Entity A2 (Entity Inputs sheet)</t>
        </is>
      </c>
      <c r="DV3" s="12" t="inlineStr">
        <is>
          <t>Sum of Entity A1 and Entity A2 (Entity Inputs sheet)</t>
        </is>
      </c>
      <c r="DW3" s="12" t="inlineStr">
        <is>
          <t>Sum of Entity A1 and Entity A2 (Entity Inputs sheet)</t>
        </is>
      </c>
      <c r="DX3" s="12" t="inlineStr">
        <is>
          <t>Sum of Entity A1 and Entity A2 (Entity Inputs sheet)</t>
        </is>
      </c>
      <c r="DY3" s="12" t="inlineStr">
        <is>
          <t>Sum of Entity A1 and Entity A2 (Entity Inputs sheet)</t>
        </is>
      </c>
      <c r="DZ3" s="12" t="inlineStr">
        <is>
          <t>Sum of Entity A1 and Entity A2 (Entity Inputs sheet)</t>
        </is>
      </c>
      <c r="EA3" s="12" t="inlineStr">
        <is>
          <t>Sum of Entity A1 and Entity A2 (Entity Inputs sheet)</t>
        </is>
      </c>
      <c r="EB3" s="12" t="inlineStr">
        <is>
          <t>Sum of Entity A1 and Entity A2 (Entity Inputs sheet)</t>
        </is>
      </c>
      <c r="EC3" s="12" t="inlineStr">
        <is>
          <t>Sum of Entity A1 and Entity A2 (Entity Inputs sheet)</t>
        </is>
      </c>
      <c r="ED3" s="12" t="inlineStr">
        <is>
          <t>Sum of Entity A1 and Entity A2 (Entity Inputs sheet)</t>
        </is>
      </c>
      <c r="EE3" s="12" t="inlineStr">
        <is>
          <t>Sum of Entity A1 and Entity A2 (Entity Inputs sheet)</t>
        </is>
      </c>
      <c r="EF3" s="12" t="inlineStr">
        <is>
          <t>Sum of Entity A1 and Entity A2 (Entity Inputs sheet)</t>
        </is>
      </c>
      <c r="EG3" s="12" t="inlineStr">
        <is>
          <t>Sum of Entity A1 and Entity A2 (Entity Inputs sheet)</t>
        </is>
      </c>
      <c r="EH3" s="12" t="inlineStr">
        <is>
          <t>Sum of Entity A1 and Entity A2 (Entity Inputs sheet)</t>
        </is>
      </c>
      <c r="EI3" s="12" t="inlineStr">
        <is>
          <t>Sum of Entity A1 and Entity A2 (Entity Inputs sheet)</t>
        </is>
      </c>
      <c r="EJ3" s="12" t="inlineStr">
        <is>
          <t>Sum of Entity A1 and Entity A2 (Entity Inputs sheet)</t>
        </is>
      </c>
      <c r="EK3" s="12" t="inlineStr">
        <is>
          <t>Sum of Entity A1 and Entity A2 (Entity Inputs sheet)</t>
        </is>
      </c>
      <c r="EL3" s="12" t="inlineStr">
        <is>
          <t>Sum of Entity A1 and Entity A2 (Entity Inputs sheet)</t>
        </is>
      </c>
      <c r="EM3" s="12" t="inlineStr">
        <is>
          <t>Sum of Entity A1 and Entity A2 (Entity Inputs sheet)</t>
        </is>
      </c>
      <c r="EN3" s="12" t="inlineStr">
        <is>
          <t>Sum of Entity A1 and Entity A2 (Entity Inputs sheet)</t>
        </is>
      </c>
      <c r="EO3" s="12" t="inlineStr">
        <is>
          <t>Sum of Entity A1 and Entity A2 (Entity Inputs sheet)</t>
        </is>
      </c>
      <c r="EP3" s="12" t="inlineStr">
        <is>
          <t>Sum of Entity A1 and Entity A2 (Entity Inputs sheet)</t>
        </is>
      </c>
      <c r="EQ3" s="12" t="inlineStr">
        <is>
          <t>Sum of Entity A1 and Entity A2 (Entity Inputs sheet)</t>
        </is>
      </c>
      <c r="ER3" s="12" t="inlineStr">
        <is>
          <t>Sum of Entity A1 and Entity A2 (Entity Inputs sheet)</t>
        </is>
      </c>
      <c r="ES3" s="12" t="inlineStr">
        <is>
          <t>Sum of Entity A1 and Entity A2 (Entity Inputs sheet)</t>
        </is>
      </c>
      <c r="ET3" s="12" t="inlineStr">
        <is>
          <t>Sum of Entity A1 and Entity A2 (Entity Inputs sheet)</t>
        </is>
      </c>
      <c r="EU3" s="12" t="inlineStr">
        <is>
          <t>Sum of Entity A1 and Entity A2 (Entity Inputs sheet)</t>
        </is>
      </c>
      <c r="EV3" s="12" t="inlineStr">
        <is>
          <t>Sum of Entity A1 and Entity A2 (Entity Inputs sheet)</t>
        </is>
      </c>
      <c r="EW3" s="12" t="inlineStr">
        <is>
          <t>Sum of Entity A1 and Entity A2 (Entity Inputs sheet)</t>
        </is>
      </c>
      <c r="EX3" s="12" t="inlineStr">
        <is>
          <t>Sum of Entity A1 and Entity A2 (Entity Inputs sheet)</t>
        </is>
      </c>
      <c r="EY3" s="12" t="inlineStr">
        <is>
          <t>Sum of Entity A1 and Entity A2 (Entity Inputs sheet)</t>
        </is>
      </c>
      <c r="EZ3" s="12" t="inlineStr">
        <is>
          <t>Sum of Entity A1 and Entity A2 (Entity Inputs sheet)</t>
        </is>
      </c>
      <c r="FA3" s="12" t="inlineStr">
        <is>
          <t>Sum of Entity A1 and Entity A2 (Entity Inputs sheet)</t>
        </is>
      </c>
      <c r="FB3" s="12" t="inlineStr">
        <is>
          <t>Sum of Entity A1 and Entity A2 (Entity Inputs sheet)</t>
        </is>
      </c>
      <c r="FC3" s="12" t="inlineStr">
        <is>
          <t>Sum of Entity A1 and Entity A2 (Entity Inputs sheet)</t>
        </is>
      </c>
      <c r="FD3" s="12" t="inlineStr">
        <is>
          <t>Sum of Entity A1 and Entity A2 (Entity Inputs sheet)</t>
        </is>
      </c>
      <c r="FE3" s="12" t="inlineStr">
        <is>
          <t>Sum of Entity A1 and Entity A2 (Entity Inputs sheet)</t>
        </is>
      </c>
      <c r="FF3" s="12" t="inlineStr">
        <is>
          <t>Sum of Entity A1 and Entity A2 (Entity Inputs sheet)</t>
        </is>
      </c>
      <c r="FG3" s="12" t="inlineStr">
        <is>
          <t>Sum of Entity A1 and Entity A2 (Entity Inputs sheet)</t>
        </is>
      </c>
      <c r="FH3" s="12" t="inlineStr">
        <is>
          <t>Sum of Entity A1 and Entity A2 (Entity Inputs sheet)</t>
        </is>
      </c>
      <c r="FI3" s="12" t="inlineStr">
        <is>
          <t>Sum of Entity A1 and Entity A2 (Entity Inputs sheet)</t>
        </is>
      </c>
      <c r="FJ3" s="12" t="inlineStr">
        <is>
          <t>Sum of Entity A1 and Entity A2 (Entity Inputs sheet)</t>
        </is>
      </c>
      <c r="FK3" s="12" t="inlineStr">
        <is>
          <t>Sum of Entity A1 and Entity A2 (Entity Inputs sheet)</t>
        </is>
      </c>
      <c r="FL3" s="12" t="inlineStr">
        <is>
          <t>Sum of Entity A1 and Entity A2 (Entity Inputs sheet)</t>
        </is>
      </c>
      <c r="FM3" s="12" t="inlineStr">
        <is>
          <t>Sum of Entity A1 and Entity A2 (Entity Inputs sheet)</t>
        </is>
      </c>
      <c r="FN3" s="12" t="inlineStr">
        <is>
          <t>Sum of Entity A1 and Entity A2 (Entity Inputs sheet)</t>
        </is>
      </c>
      <c r="FO3" s="12" t="inlineStr">
        <is>
          <t>Sum of Entity A1 and Entity A2 (Entity Inputs sheet)</t>
        </is>
      </c>
      <c r="FP3" s="12" t="inlineStr">
        <is>
          <t>Sum of Entity A1 and Entity A2 (Entity Inputs sheet)</t>
        </is>
      </c>
      <c r="FQ3" s="12" t="inlineStr">
        <is>
          <t>Sum of Entity A1 and Entity A2 (Entity Inputs sheet)</t>
        </is>
      </c>
      <c r="FR3" s="12" t="inlineStr">
        <is>
          <t>Sum of Entity A1 and Entity A2 (Entity Inputs sheet)</t>
        </is>
      </c>
      <c r="FS3" s="12" t="inlineStr">
        <is>
          <t>Sum of Entity A1 and Entity A2 (Entity Inputs sheet)</t>
        </is>
      </c>
      <c r="FT3" s="12" t="inlineStr">
        <is>
          <t>Sum of Entity A1 and Entity A2 (Entity Inputs sheet)</t>
        </is>
      </c>
      <c r="FU3" s="12" t="inlineStr">
        <is>
          <t>Sum of Entity A1 and Entity A2 (Entity Inputs sheet)</t>
        </is>
      </c>
      <c r="FV3" s="13" t="inlineStr">
        <is>
          <t>Calculated: Revenue − Variable cost − Fixed cost − Overheads</t>
        </is>
      </c>
      <c r="FW3" s="13" t="inlineStr">
        <is>
          <t>Calculated: EBITDA − Depreciation and amortisation</t>
        </is>
      </c>
      <c r="FX3" s="13" t="inlineStr">
        <is>
          <t>Calculated: Trade receivables + Inventory − Trade payables</t>
        </is>
      </c>
      <c r="FY3" s="13" t="inlineStr">
        <is>
          <t>Calculated: Net working capital − last month's net working capital (April uses the 31 March balance on Parameters)</t>
        </is>
      </c>
      <c r="FZ3" s="13" t="inlineStr">
        <is>
          <t>Calculated: EBITDA − Tax paid − Change in net working capital</t>
        </is>
      </c>
      <c r="GA3" s="13" t="inlineStr">
        <is>
          <t>Calculated: Operating cash flow − Capex spent</t>
        </is>
      </c>
      <c r="GB3" s="13" t="inlineStr">
        <is>
          <t>Calculated: Gross debt − Cash</t>
        </is>
      </c>
      <c r="GC3" s="13" t="inlineStr">
        <is>
          <t>Calculated: EBITDA since April × 12 ÷ months elapsed</t>
        </is>
      </c>
      <c r="GD3" s="13" t="inlineStr">
        <is>
          <t>Calculated: Trade receivables ÷ Revenue × Days in month</t>
        </is>
      </c>
      <c r="GE3" s="13" t="inlineStr">
        <is>
          <t>Calculated: Trade payables ÷ Variable cost × Days in month</t>
        </is>
      </c>
      <c r="GF3" s="13" t="inlineStr">
        <is>
          <t>Calculated: Inventory ÷ Variable cost × Days in month</t>
        </is>
      </c>
      <c r="GG3" s="13" t="inlineStr">
        <is>
          <t>Calculated: (Revenue ÷ Sales volume) ÷ (Planned revenue ÷ Planned sales volume) − 1, as %</t>
        </is>
      </c>
      <c r="GH3" t="inlineStr">
        <is>
          <t>SUM of Entity A1 and Entity A2 (added)</t>
        </is>
      </c>
      <c r="GI3" t="inlineStr">
        <is>
          <t>SUM of Entity A1 and Entity A2 (added)</t>
        </is>
      </c>
      <c r="GJ3" t="inlineStr">
        <is>
          <t>SUM of Entity A1 and Entity A2 (added)</t>
        </is>
      </c>
      <c r="GK3" t="inlineStr">
        <is>
          <t>SUM of Entity A1 and Entity A2 (added)</t>
        </is>
      </c>
      <c r="GL3" t="inlineStr">
        <is>
          <t>SUM of Entity A1 and Entity A2 (added)</t>
        </is>
      </c>
      <c r="GM3" t="inlineStr">
        <is>
          <t>SUM of Entity A1 and Entity A2 (added)</t>
        </is>
      </c>
      <c r="GN3" t="inlineStr">
        <is>
          <t>SQRTSUMSQ of Entity A1 and Entity A2 (added)</t>
        </is>
      </c>
      <c r="GO3" t="inlineStr">
        <is>
          <t>MIN of Entity A1 and Entity A2 (added)</t>
        </is>
      </c>
      <c r="GP3" t="inlineStr">
        <is>
          <t>SUM of Entity A1 and Entity A2 (added)</t>
        </is>
      </c>
      <c r="GQ3" t="inlineStr">
        <is>
          <t>FIRST of Entity A1 and Entity A2 (added)</t>
        </is>
      </c>
      <c r="GR3" t="inlineStr">
        <is>
          <t>SUM of Entity A1 and Entity A2 (added)</t>
        </is>
      </c>
    </row>
    <row r="4">
      <c r="A4" t="inlineStr">
        <is>
          <t>Group</t>
        </is>
      </c>
      <c r="B4" t="inlineStr">
        <is>
          <t>2026-04</t>
        </is>
      </c>
      <c r="C4" t="n">
        <v>30</v>
      </c>
      <c r="D4" t="n">
        <v>1</v>
      </c>
      <c r="E4" s="14">
        <f>SUM('Entity Inputs'!E4,'Entity Inputs'!E10)</f>
        <v/>
      </c>
      <c r="F4" s="14">
        <f>SUM('Entity Inputs'!F4,'Entity Inputs'!F10)</f>
        <v/>
      </c>
      <c r="G4" s="14">
        <f>SUM('Entity Inputs'!G4,'Entity Inputs'!G10)</f>
        <v/>
      </c>
      <c r="H4" s="14">
        <f>SUM('Entity Inputs'!H4,'Entity Inputs'!H10)</f>
        <v/>
      </c>
      <c r="I4" s="14">
        <f>SUM('Entity Inputs'!I4,'Entity Inputs'!I10)</f>
        <v/>
      </c>
      <c r="J4" s="14">
        <f>SUM('Entity Inputs'!J4,'Entity Inputs'!J10)</f>
        <v/>
      </c>
      <c r="K4" s="14">
        <f>SUM('Entity Inputs'!K4,'Entity Inputs'!K10)</f>
        <v/>
      </c>
      <c r="L4" s="14">
        <f>SUM('Entity Inputs'!L4,'Entity Inputs'!L10)</f>
        <v/>
      </c>
      <c r="M4" s="14">
        <f>SUM('Entity Inputs'!M4,'Entity Inputs'!M10)</f>
        <v/>
      </c>
      <c r="N4" s="14">
        <f>SUM('Entity Inputs'!N4,'Entity Inputs'!N10)</f>
        <v/>
      </c>
      <c r="O4" s="14">
        <f>SUM('Entity Inputs'!O4,'Entity Inputs'!O10)</f>
        <v/>
      </c>
      <c r="P4" s="14">
        <f>SUM('Entity Inputs'!P4,'Entity Inputs'!P10)</f>
        <v/>
      </c>
      <c r="Q4" s="14">
        <f>SUM('Entity Inputs'!Q4,'Entity Inputs'!Q10)</f>
        <v/>
      </c>
      <c r="R4" s="14">
        <f>SUM('Entity Inputs'!R4,'Entity Inputs'!R10)</f>
        <v/>
      </c>
      <c r="S4" s="14">
        <f>SUM('Entity Inputs'!S4,'Entity Inputs'!S10)</f>
        <v/>
      </c>
      <c r="T4" s="14">
        <f>SUM('Entity Inputs'!T4,'Entity Inputs'!T10)</f>
        <v/>
      </c>
      <c r="U4" s="14">
        <f>SUM('Entity Inputs'!U4,'Entity Inputs'!U10)</f>
        <v/>
      </c>
      <c r="V4" s="14">
        <f>SUM('Entity Inputs'!V4,'Entity Inputs'!V10)</f>
        <v/>
      </c>
      <c r="W4" s="14">
        <f>SUM('Entity Inputs'!W4,'Entity Inputs'!W10)</f>
        <v/>
      </c>
      <c r="X4" s="14">
        <f>SUM('Entity Inputs'!X4,'Entity Inputs'!X10)</f>
        <v/>
      </c>
      <c r="Y4" s="14">
        <f>SUM('Entity Inputs'!Y4,'Entity Inputs'!Y10)</f>
        <v/>
      </c>
      <c r="Z4" s="14">
        <f>SUM('Entity Inputs'!Z4,'Entity Inputs'!Z10)</f>
        <v/>
      </c>
      <c r="AA4" s="14">
        <f>SUM('Entity Inputs'!AA4,'Entity Inputs'!AA10)</f>
        <v/>
      </c>
      <c r="AB4" s="14">
        <f>SUM('Entity Inputs'!AB4,'Entity Inputs'!AB10)</f>
        <v/>
      </c>
      <c r="AC4" s="14">
        <f>SUM('Entity Inputs'!AC4,'Entity Inputs'!AC10)</f>
        <v/>
      </c>
      <c r="AD4" s="14">
        <f>SUM('Entity Inputs'!AD4,'Entity Inputs'!AD10)</f>
        <v/>
      </c>
      <c r="AE4" s="14">
        <f>SUM('Entity Inputs'!AE4,'Entity Inputs'!AE10)</f>
        <v/>
      </c>
      <c r="AF4" s="14">
        <f>SUM('Entity Inputs'!AF4,'Entity Inputs'!AF10)</f>
        <v/>
      </c>
      <c r="AG4" s="14">
        <f>SUM('Entity Inputs'!AG4,'Entity Inputs'!AG10)</f>
        <v/>
      </c>
      <c r="AH4" s="14">
        <f>SUM('Entity Inputs'!AH4,'Entity Inputs'!AH10)</f>
        <v/>
      </c>
      <c r="AI4" s="14">
        <f>SUM('Entity Inputs'!AI4,'Entity Inputs'!AI10)</f>
        <v/>
      </c>
      <c r="AJ4" s="14">
        <f>SUM('Entity Inputs'!AJ4,'Entity Inputs'!AJ10)</f>
        <v/>
      </c>
      <c r="AK4" s="14">
        <f>SUM('Entity Inputs'!AK4,'Entity Inputs'!AK10)</f>
        <v/>
      </c>
      <c r="AL4" s="14">
        <f>SUM('Entity Inputs'!AL4,'Entity Inputs'!AL10)</f>
        <v/>
      </c>
      <c r="AM4" s="14">
        <f>SUM('Entity Inputs'!AM4,'Entity Inputs'!AM10)</f>
        <v/>
      </c>
      <c r="AN4" s="14">
        <f>SUM('Entity Inputs'!AN4,'Entity Inputs'!AN10)</f>
        <v/>
      </c>
      <c r="AO4" s="14">
        <f>SUM('Entity Inputs'!AO4,'Entity Inputs'!AO10)</f>
        <v/>
      </c>
      <c r="AP4" s="14">
        <f>SUM('Entity Inputs'!AP4,'Entity Inputs'!AP10)</f>
        <v/>
      </c>
      <c r="AQ4" s="14">
        <f>SUM('Entity Inputs'!AQ4,'Entity Inputs'!AQ10)</f>
        <v/>
      </c>
      <c r="AR4" s="14">
        <f>MIN('Entity Inputs'!AR4,'Entity Inputs'!AR10)</f>
        <v/>
      </c>
      <c r="AS4" s="14">
        <f>SUM('Entity Inputs'!AS4,'Entity Inputs'!AS10)</f>
        <v/>
      </c>
      <c r="AT4" s="14">
        <f>SUM('Entity Inputs'!AT4,'Entity Inputs'!AT10)</f>
        <v/>
      </c>
      <c r="AU4" s="14">
        <f>SUM('Entity Inputs'!AU4,'Entity Inputs'!AU10)</f>
        <v/>
      </c>
      <c r="AV4" s="14">
        <f>SUM('Entity Inputs'!AV4,'Entity Inputs'!AV10)</f>
        <v/>
      </c>
      <c r="AW4" s="14">
        <f>SUM('Entity Inputs'!AW4,'Entity Inputs'!AW10)</f>
        <v/>
      </c>
      <c r="AX4" s="14">
        <f>SUM('Entity Inputs'!AX4,'Entity Inputs'!AX10)</f>
        <v/>
      </c>
      <c r="AY4" s="14">
        <f>SUM('Entity Inputs'!AY4,'Entity Inputs'!AY10)</f>
        <v/>
      </c>
      <c r="AZ4" s="14">
        <f>SUM('Entity Inputs'!AZ4,'Entity Inputs'!AZ10)</f>
        <v/>
      </c>
      <c r="BA4" s="14">
        <f>SUM('Entity Inputs'!BA4,'Entity Inputs'!BA10)</f>
        <v/>
      </c>
      <c r="BB4" s="14">
        <f>SUM('Entity Inputs'!BB4,'Entity Inputs'!BB10)</f>
        <v/>
      </c>
      <c r="BC4" s="14">
        <f>SUM('Entity Inputs'!BC4,'Entity Inputs'!BC10)</f>
        <v/>
      </c>
      <c r="BD4" s="14">
        <f>SUM('Entity Inputs'!BD4,'Entity Inputs'!BD10)</f>
        <v/>
      </c>
      <c r="BE4" s="14">
        <f>SUM('Entity Inputs'!BE4,'Entity Inputs'!BE10)</f>
        <v/>
      </c>
      <c r="BF4" s="14">
        <f>SUM('Entity Inputs'!BF4,'Entity Inputs'!BF10)</f>
        <v/>
      </c>
      <c r="BG4" s="14">
        <f>SUM('Entity Inputs'!BG4,'Entity Inputs'!BG10)</f>
        <v/>
      </c>
      <c r="BH4" s="14">
        <f>SUM('Entity Inputs'!BH4,'Entity Inputs'!BH10)</f>
        <v/>
      </c>
      <c r="BI4" s="14">
        <f>SUM('Entity Inputs'!BI4,'Entity Inputs'!BI10)</f>
        <v/>
      </c>
      <c r="BJ4" s="14">
        <f>SUM('Entity Inputs'!BJ4,'Entity Inputs'!BJ10)</f>
        <v/>
      </c>
      <c r="BK4" s="14">
        <f>SUM('Entity Inputs'!BK4,'Entity Inputs'!BK10)</f>
        <v/>
      </c>
      <c r="BL4" s="14">
        <f>SUM('Entity Inputs'!BL4,'Entity Inputs'!BL10)</f>
        <v/>
      </c>
      <c r="BM4" s="14">
        <f>SUM('Entity Inputs'!BM4,'Entity Inputs'!BM10)</f>
        <v/>
      </c>
      <c r="BN4" s="14">
        <f>SUM('Entity Inputs'!BN4,'Entity Inputs'!BN10)</f>
        <v/>
      </c>
      <c r="BO4" s="14">
        <f>SUM('Entity Inputs'!BO4,'Entity Inputs'!BO10)</f>
        <v/>
      </c>
      <c r="BP4" s="14">
        <f>SUM('Entity Inputs'!BP4,'Entity Inputs'!BP10)</f>
        <v/>
      </c>
      <c r="BQ4" s="14">
        <f>SUM('Entity Inputs'!BQ4,'Entity Inputs'!BQ10)</f>
        <v/>
      </c>
      <c r="BR4" s="14">
        <f>SUM('Entity Inputs'!BR4,'Entity Inputs'!BR10)</f>
        <v/>
      </c>
      <c r="BS4" s="14">
        <f>MIN('Entity Inputs'!BS4,'Entity Inputs'!BS10)</f>
        <v/>
      </c>
      <c r="BT4" s="14">
        <f>SUM('Entity Inputs'!BT4,'Entity Inputs'!BT10)</f>
        <v/>
      </c>
      <c r="BU4" s="14">
        <f>SUM('Entity Inputs'!BU4,'Entity Inputs'!BU10)</f>
        <v/>
      </c>
      <c r="BV4" s="14">
        <f>SUM('Entity Inputs'!BV4,'Entity Inputs'!BV10)</f>
        <v/>
      </c>
      <c r="BW4" s="14">
        <f>SUM('Entity Inputs'!BW4,'Entity Inputs'!BW10)</f>
        <v/>
      </c>
      <c r="BX4" s="14">
        <f>SUM('Entity Inputs'!BX4,'Entity Inputs'!BX10)</f>
        <v/>
      </c>
      <c r="BY4" s="14">
        <f>SUM('Entity Inputs'!BY4,'Entity Inputs'!BY10)</f>
        <v/>
      </c>
      <c r="BZ4" s="14">
        <f>SUM('Entity Inputs'!BZ4,'Entity Inputs'!BZ10)</f>
        <v/>
      </c>
      <c r="CA4" s="14">
        <f>SUM('Entity Inputs'!CA4,'Entity Inputs'!CA10)</f>
        <v/>
      </c>
      <c r="CB4" s="14">
        <f>SUM('Entity Inputs'!CB4,'Entity Inputs'!CB10)</f>
        <v/>
      </c>
      <c r="CC4" s="14">
        <f>SUM('Entity Inputs'!CC4,'Entity Inputs'!CC10)</f>
        <v/>
      </c>
      <c r="CD4" s="14">
        <f>SUM('Entity Inputs'!CD4,'Entity Inputs'!CD10)</f>
        <v/>
      </c>
      <c r="CE4" s="14">
        <f>SUM('Entity Inputs'!CE4,'Entity Inputs'!CE10)</f>
        <v/>
      </c>
      <c r="CF4" s="14">
        <f>SUM('Entity Inputs'!CF4,'Entity Inputs'!CF10)</f>
        <v/>
      </c>
      <c r="CG4" s="14">
        <f>SUM('Entity Inputs'!CG4,'Entity Inputs'!CG10)</f>
        <v/>
      </c>
      <c r="CH4" s="14">
        <f>SUM('Entity Inputs'!CH4,'Entity Inputs'!CH10)</f>
        <v/>
      </c>
      <c r="CI4" s="14">
        <f>SUM('Entity Inputs'!CI4,'Entity Inputs'!CI10)</f>
        <v/>
      </c>
      <c r="CJ4" s="14">
        <f>SUM('Entity Inputs'!CJ4,'Entity Inputs'!CJ10)</f>
        <v/>
      </c>
      <c r="CK4" s="14">
        <f>SUM('Entity Inputs'!CK4,'Entity Inputs'!CK10)</f>
        <v/>
      </c>
      <c r="CL4" s="14">
        <f>SUM('Entity Inputs'!CL4,'Entity Inputs'!CL10)</f>
        <v/>
      </c>
      <c r="CM4" s="14">
        <f>SUM('Entity Inputs'!CM4,'Entity Inputs'!CM10)</f>
        <v/>
      </c>
      <c r="CN4" s="14">
        <f>SUM('Entity Inputs'!CN4,'Entity Inputs'!CN10)</f>
        <v/>
      </c>
      <c r="CO4" s="14">
        <f>SUM('Entity Inputs'!CO4,'Entity Inputs'!CO10)</f>
        <v/>
      </c>
      <c r="CP4" s="14">
        <f>SUM('Entity Inputs'!CP4,'Entity Inputs'!CP10)</f>
        <v/>
      </c>
      <c r="CQ4" s="14">
        <f>SUM('Entity Inputs'!CQ4,'Entity Inputs'!CQ10)</f>
        <v/>
      </c>
      <c r="CR4" s="14">
        <f>SUM('Entity Inputs'!CR4,'Entity Inputs'!CR10)</f>
        <v/>
      </c>
      <c r="CS4" s="14">
        <f>SUM('Entity Inputs'!CS4,'Entity Inputs'!CS10)</f>
        <v/>
      </c>
      <c r="CT4" s="14">
        <f>SUM('Entity Inputs'!CT4,'Entity Inputs'!CT10)</f>
        <v/>
      </c>
      <c r="CU4" s="14">
        <f>SUM('Entity Inputs'!CU4,'Entity Inputs'!CU10)</f>
        <v/>
      </c>
      <c r="CV4" s="14">
        <f>SUM('Entity Inputs'!CV4,'Entity Inputs'!CV10)</f>
        <v/>
      </c>
      <c r="CW4" s="14">
        <f>SUM('Entity Inputs'!CW4,'Entity Inputs'!CW10)</f>
        <v/>
      </c>
      <c r="CX4" s="14">
        <f>SUM('Entity Inputs'!CX4,'Entity Inputs'!CX10)</f>
        <v/>
      </c>
      <c r="CY4" s="14">
        <f>SUM('Entity Inputs'!CY4,'Entity Inputs'!CY10)</f>
        <v/>
      </c>
      <c r="CZ4" s="14">
        <f>SUM('Entity Inputs'!CZ4,'Entity Inputs'!CZ10)</f>
        <v/>
      </c>
      <c r="DA4" s="14">
        <f>SUM('Entity Inputs'!DA4,'Entity Inputs'!DA10)</f>
        <v/>
      </c>
      <c r="DB4" s="14">
        <f>SUM('Entity Inputs'!DB4,'Entity Inputs'!DB10)</f>
        <v/>
      </c>
      <c r="DC4" s="14">
        <f>SUM('Entity Inputs'!DC4,'Entity Inputs'!DC10)</f>
        <v/>
      </c>
      <c r="DD4" s="14">
        <f>SUM('Entity Inputs'!DD4,'Entity Inputs'!DD10)</f>
        <v/>
      </c>
      <c r="DE4" s="14">
        <f>SUM('Entity Inputs'!DE4,'Entity Inputs'!DE10)</f>
        <v/>
      </c>
      <c r="DF4" s="14">
        <f>SUM('Entity Inputs'!DF4,'Entity Inputs'!DF10)</f>
        <v/>
      </c>
      <c r="DG4" s="14">
        <f>SUM('Entity Inputs'!DG4,'Entity Inputs'!DG10)</f>
        <v/>
      </c>
      <c r="DH4" s="14">
        <f>SUM('Entity Inputs'!DH4,'Entity Inputs'!DH10)</f>
        <v/>
      </c>
      <c r="DI4" s="14">
        <f>SUM('Entity Inputs'!DI4,'Entity Inputs'!DI10)</f>
        <v/>
      </c>
      <c r="DJ4" s="14">
        <f>SUM('Entity Inputs'!DJ4,'Entity Inputs'!DJ10)</f>
        <v/>
      </c>
      <c r="DK4" s="14">
        <f>SUM('Entity Inputs'!DK4,'Entity Inputs'!DK10)</f>
        <v/>
      </c>
      <c r="DL4" s="14">
        <f>SUM('Entity Inputs'!DL4,'Entity Inputs'!DL10)</f>
        <v/>
      </c>
      <c r="DM4" s="14">
        <f>SUM('Entity Inputs'!DM4,'Entity Inputs'!DM10)</f>
        <v/>
      </c>
      <c r="DN4" s="14">
        <f>SUM('Entity Inputs'!DN4,'Entity Inputs'!DN10)</f>
        <v/>
      </c>
      <c r="DO4" s="14">
        <f>SUM('Entity Inputs'!DO4,'Entity Inputs'!DO10)</f>
        <v/>
      </c>
      <c r="DP4" s="14">
        <f>SUM('Entity Inputs'!DP4,'Entity Inputs'!DP10)</f>
        <v/>
      </c>
      <c r="DQ4" s="14">
        <f>SUM('Entity Inputs'!DQ4,'Entity Inputs'!DQ10)</f>
        <v/>
      </c>
      <c r="DR4" s="14">
        <f>SUM('Entity Inputs'!DR4,'Entity Inputs'!DR10)</f>
        <v/>
      </c>
      <c r="DS4" s="14">
        <f>SUM('Entity Inputs'!DS4,'Entity Inputs'!DS10)</f>
        <v/>
      </c>
      <c r="DT4" s="14">
        <f>SUM('Entity Inputs'!DT4,'Entity Inputs'!DT10)</f>
        <v/>
      </c>
      <c r="DU4" s="14">
        <f>SUM('Entity Inputs'!DU4,'Entity Inputs'!DU10)</f>
        <v/>
      </c>
      <c r="DV4" s="14">
        <f>SUM('Entity Inputs'!DV4,'Entity Inputs'!DV10)</f>
        <v/>
      </c>
      <c r="DW4" s="14">
        <f>SUM('Entity Inputs'!DW4,'Entity Inputs'!DW10)</f>
        <v/>
      </c>
      <c r="DX4" s="14">
        <f>SUM('Entity Inputs'!DX4,'Entity Inputs'!DX10)</f>
        <v/>
      </c>
      <c r="DY4" s="14">
        <f>SUM('Entity Inputs'!DY4,'Entity Inputs'!DY10)</f>
        <v/>
      </c>
      <c r="DZ4" s="14">
        <f>SUM('Entity Inputs'!DZ4,'Entity Inputs'!DZ10)</f>
        <v/>
      </c>
      <c r="EA4" s="14">
        <f>SUM('Entity Inputs'!EA4,'Entity Inputs'!EA10)</f>
        <v/>
      </c>
      <c r="EB4" s="14">
        <f>SUM('Entity Inputs'!EB4,'Entity Inputs'!EB10)</f>
        <v/>
      </c>
      <c r="EC4" s="14">
        <f>SUM('Entity Inputs'!EC4,'Entity Inputs'!EC10)</f>
        <v/>
      </c>
      <c r="ED4" s="14">
        <f>SUM('Entity Inputs'!ED4,'Entity Inputs'!ED10)</f>
        <v/>
      </c>
      <c r="EE4" s="14">
        <f>SUM('Entity Inputs'!EE4,'Entity Inputs'!EE10)</f>
        <v/>
      </c>
      <c r="EF4" s="14">
        <f>SUM('Entity Inputs'!EF4,'Entity Inputs'!EF10)</f>
        <v/>
      </c>
      <c r="EG4" s="14">
        <f>SUM('Entity Inputs'!EG4,'Entity Inputs'!EG10)</f>
        <v/>
      </c>
      <c r="EH4" s="14">
        <f>SUM('Entity Inputs'!EH4,'Entity Inputs'!EH10)</f>
        <v/>
      </c>
      <c r="EI4" s="14">
        <f>SUM('Entity Inputs'!EI4,'Entity Inputs'!EI10)</f>
        <v/>
      </c>
      <c r="EJ4" s="14">
        <f>SUM('Entity Inputs'!EJ4,'Entity Inputs'!EJ10)</f>
        <v/>
      </c>
      <c r="EK4" s="14">
        <f>SUM('Entity Inputs'!EK4,'Entity Inputs'!EK10)</f>
        <v/>
      </c>
      <c r="EL4" s="14">
        <f>SUM('Entity Inputs'!EL4,'Entity Inputs'!EL10)</f>
        <v/>
      </c>
      <c r="EM4" s="14">
        <f>SUM('Entity Inputs'!EM4,'Entity Inputs'!EM10)</f>
        <v/>
      </c>
      <c r="EN4" s="14">
        <f>SUM('Entity Inputs'!EN4,'Entity Inputs'!EN10)</f>
        <v/>
      </c>
      <c r="EO4" s="14">
        <f>SUM('Entity Inputs'!EO4,'Entity Inputs'!EO10)</f>
        <v/>
      </c>
      <c r="EP4" s="14">
        <f>SUM('Entity Inputs'!EP4,'Entity Inputs'!EP10)</f>
        <v/>
      </c>
      <c r="EQ4" s="14">
        <f>SUM('Entity Inputs'!EQ4,'Entity Inputs'!EQ10)</f>
        <v/>
      </c>
      <c r="ER4" s="14">
        <f>SUM('Entity Inputs'!ER4,'Entity Inputs'!ER10)</f>
        <v/>
      </c>
      <c r="ES4" s="14">
        <f>SUM('Entity Inputs'!ES4,'Entity Inputs'!ES10)</f>
        <v/>
      </c>
      <c r="ET4" s="14">
        <f>SUM('Entity Inputs'!ET4,'Entity Inputs'!ET10)</f>
        <v/>
      </c>
      <c r="EU4" s="14">
        <f>SUM('Entity Inputs'!EU4,'Entity Inputs'!EU10)</f>
        <v/>
      </c>
      <c r="EV4" s="14">
        <f>SUM('Entity Inputs'!EV4,'Entity Inputs'!EV10)</f>
        <v/>
      </c>
      <c r="EW4" s="14">
        <f>SUM('Entity Inputs'!EW4,'Entity Inputs'!EW10)</f>
        <v/>
      </c>
      <c r="EX4" s="14">
        <f>SUM('Entity Inputs'!EX4,'Entity Inputs'!EX10)</f>
        <v/>
      </c>
      <c r="EY4" s="14">
        <f>SUM('Entity Inputs'!EY4,'Entity Inputs'!EY10)</f>
        <v/>
      </c>
      <c r="EZ4" s="14">
        <f>SUM('Entity Inputs'!EZ4,'Entity Inputs'!EZ10)</f>
        <v/>
      </c>
      <c r="FA4" s="14">
        <f>SUM('Entity Inputs'!FA4,'Entity Inputs'!FA10)</f>
        <v/>
      </c>
      <c r="FB4" s="14">
        <f>SUM('Entity Inputs'!FB4,'Entity Inputs'!FB10)</f>
        <v/>
      </c>
      <c r="FC4" s="14">
        <f>SUM('Entity Inputs'!FC4,'Entity Inputs'!FC10)</f>
        <v/>
      </c>
      <c r="FD4" s="14">
        <f>SUM('Entity Inputs'!FD4,'Entity Inputs'!FD10)</f>
        <v/>
      </c>
      <c r="FE4" s="14">
        <f>SUM('Entity Inputs'!FE4,'Entity Inputs'!FE10)</f>
        <v/>
      </c>
      <c r="FF4" s="14">
        <f>SUM('Entity Inputs'!FF4,'Entity Inputs'!FF10)</f>
        <v/>
      </c>
      <c r="FG4" s="14">
        <f>SUM('Entity Inputs'!FG4,'Entity Inputs'!FG10)</f>
        <v/>
      </c>
      <c r="FH4" s="14">
        <f>SUM('Entity Inputs'!FH4,'Entity Inputs'!FH10)</f>
        <v/>
      </c>
      <c r="FI4" s="14">
        <f>SUM('Entity Inputs'!FI4,'Entity Inputs'!FI10)</f>
        <v/>
      </c>
      <c r="FJ4" s="14">
        <f>SUM('Entity Inputs'!FJ4,'Entity Inputs'!FJ10)</f>
        <v/>
      </c>
      <c r="FK4" s="14">
        <f>SUM('Entity Inputs'!FK4,'Entity Inputs'!FK10)</f>
        <v/>
      </c>
      <c r="FL4" s="14">
        <f>SUM('Entity Inputs'!FL4,'Entity Inputs'!FL10)</f>
        <v/>
      </c>
      <c r="FM4" s="14">
        <f>SUM('Entity Inputs'!FM4,'Entity Inputs'!FM10)</f>
        <v/>
      </c>
      <c r="FN4" s="14">
        <f>SUM('Entity Inputs'!FN4,'Entity Inputs'!FN10)</f>
        <v/>
      </c>
      <c r="FO4" s="14">
        <f>SUM('Entity Inputs'!FO4,'Entity Inputs'!FO10)</f>
        <v/>
      </c>
      <c r="FP4" s="14">
        <f>SUM('Entity Inputs'!FP4,'Entity Inputs'!FP10)</f>
        <v/>
      </c>
      <c r="FQ4" s="14">
        <f>SUM('Entity Inputs'!FQ4,'Entity Inputs'!FQ10)</f>
        <v/>
      </c>
      <c r="FR4" s="14">
        <f>SUM('Entity Inputs'!FR4,'Entity Inputs'!FR10)</f>
        <v/>
      </c>
      <c r="FS4" s="14">
        <f>SUM('Entity Inputs'!FS4,'Entity Inputs'!FS10)</f>
        <v/>
      </c>
      <c r="FT4" s="14">
        <f>SUM('Entity Inputs'!FT4,'Entity Inputs'!FT10)</f>
        <v/>
      </c>
      <c r="FU4" s="14">
        <f>SUM('Entity Inputs'!FU4,'Entity Inputs'!FU10)</f>
        <v/>
      </c>
      <c r="FV4" s="22">
        <f>AU4-V4-X4-BY4</f>
        <v/>
      </c>
      <c r="FW4" s="22">
        <f>FV4-AX4</f>
        <v/>
      </c>
      <c r="FX4" s="22">
        <f>CJ4+CL4-CK4</f>
        <v/>
      </c>
      <c r="FY4" s="22">
        <f>FX4-Parameters!$B$7</f>
        <v/>
      </c>
      <c r="FZ4" s="22">
        <f>FV4-BZ4-FY4</f>
        <v/>
      </c>
      <c r="GA4" s="22">
        <f>FZ4-DJ4</f>
        <v/>
      </c>
      <c r="GB4" s="22">
        <f>CB4-CC4</f>
        <v/>
      </c>
      <c r="GC4" s="22">
        <f>SUM(FV$4:FV4)*12/D4</f>
        <v/>
      </c>
      <c r="GD4" s="22">
        <f>IF(AU4=0,0,CJ4/AU4*C4)</f>
        <v/>
      </c>
      <c r="GE4" s="22">
        <f>IF(V4=0,0,CK4/V4*C4)</f>
        <v/>
      </c>
      <c r="GF4" s="22">
        <f>IF(V4=0,0,CL4/V4*C4)</f>
        <v/>
      </c>
      <c r="GG4" s="22">
        <f>IF(OR(AS4=0,AT4=0,AV4=0),0,100*((AU4/AS4)/(AV4/AT4)-1))</f>
        <v/>
      </c>
      <c r="GH4" s="25">
        <f>SUM('Entity Inputs'!FV4,'Entity Inputs'!FV10)</f>
        <v/>
      </c>
      <c r="GI4" s="25">
        <f>SUM('Entity Inputs'!FW4,'Entity Inputs'!FW10)</f>
        <v/>
      </c>
      <c r="GJ4" s="25">
        <f>SUM('Entity Inputs'!FX4,'Entity Inputs'!FX10)</f>
        <v/>
      </c>
      <c r="GK4" s="25">
        <f>SUM('Entity Inputs'!FY4,'Entity Inputs'!FY10)</f>
        <v/>
      </c>
      <c r="GL4" s="25">
        <f>SUM('Entity Inputs'!FZ4,'Entity Inputs'!FZ10)</f>
        <v/>
      </c>
      <c r="GM4" s="25">
        <f>SUM('Entity Inputs'!GA4,'Entity Inputs'!GA10)</f>
        <v/>
      </c>
      <c r="GN4" s="25">
        <f>SQRT('Entity Inputs'!GB4^2+'Entity Inputs'!GB10^2)</f>
        <v/>
      </c>
      <c r="GO4" s="25">
        <f>MIN('Entity Inputs'!GC4,'Entity Inputs'!GC10)</f>
        <v/>
      </c>
      <c r="GP4" s="25">
        <f>SUM('Entity Inputs'!GD4,'Entity Inputs'!GD10)</f>
        <v/>
      </c>
      <c r="GQ4" s="25">
        <f>'Entity Inputs'!GE4</f>
        <v/>
      </c>
      <c r="GR4" s="25">
        <f>SUM('Entity Inputs'!GF4,'Entity Inputs'!GF10)</f>
        <v/>
      </c>
    </row>
    <row r="5">
      <c r="A5" t="inlineStr">
        <is>
          <t>Group</t>
        </is>
      </c>
      <c r="B5" t="inlineStr">
        <is>
          <t>2026-05</t>
        </is>
      </c>
      <c r="C5" t="n">
        <v>31</v>
      </c>
      <c r="D5" t="n">
        <v>2</v>
      </c>
      <c r="E5" s="14">
        <f>SUM('Entity Inputs'!E5,'Entity Inputs'!E11)</f>
        <v/>
      </c>
      <c r="F5" s="14">
        <f>SUM('Entity Inputs'!F5,'Entity Inputs'!F11)</f>
        <v/>
      </c>
      <c r="G5" s="14">
        <f>SUM('Entity Inputs'!G5,'Entity Inputs'!G11)</f>
        <v/>
      </c>
      <c r="H5" s="14">
        <f>SUM('Entity Inputs'!H5,'Entity Inputs'!H11)</f>
        <v/>
      </c>
      <c r="I5" s="14">
        <f>SUM('Entity Inputs'!I5,'Entity Inputs'!I11)</f>
        <v/>
      </c>
      <c r="J5" s="14">
        <f>SUM('Entity Inputs'!J5,'Entity Inputs'!J11)</f>
        <v/>
      </c>
      <c r="K5" s="14">
        <f>SUM('Entity Inputs'!K5,'Entity Inputs'!K11)</f>
        <v/>
      </c>
      <c r="L5" s="14">
        <f>SUM('Entity Inputs'!L5,'Entity Inputs'!L11)</f>
        <v/>
      </c>
      <c r="M5" s="14">
        <f>SUM('Entity Inputs'!M5,'Entity Inputs'!M11)</f>
        <v/>
      </c>
      <c r="N5" s="14">
        <f>SUM('Entity Inputs'!N5,'Entity Inputs'!N11)</f>
        <v/>
      </c>
      <c r="O5" s="14">
        <f>SUM('Entity Inputs'!O5,'Entity Inputs'!O11)</f>
        <v/>
      </c>
      <c r="P5" s="14">
        <f>SUM('Entity Inputs'!P5,'Entity Inputs'!P11)</f>
        <v/>
      </c>
      <c r="Q5" s="14">
        <f>SUM('Entity Inputs'!Q5,'Entity Inputs'!Q11)</f>
        <v/>
      </c>
      <c r="R5" s="14">
        <f>SUM('Entity Inputs'!R5,'Entity Inputs'!R11)</f>
        <v/>
      </c>
      <c r="S5" s="14">
        <f>SUM('Entity Inputs'!S5,'Entity Inputs'!S11)</f>
        <v/>
      </c>
      <c r="T5" s="14">
        <f>SUM('Entity Inputs'!T5,'Entity Inputs'!T11)</f>
        <v/>
      </c>
      <c r="U5" s="14">
        <f>SUM('Entity Inputs'!U5,'Entity Inputs'!U11)</f>
        <v/>
      </c>
      <c r="V5" s="14">
        <f>SUM('Entity Inputs'!V5,'Entity Inputs'!V11)</f>
        <v/>
      </c>
      <c r="W5" s="14">
        <f>SUM('Entity Inputs'!W5,'Entity Inputs'!W11)</f>
        <v/>
      </c>
      <c r="X5" s="14">
        <f>SUM('Entity Inputs'!X5,'Entity Inputs'!X11)</f>
        <v/>
      </c>
      <c r="Y5" s="14">
        <f>SUM('Entity Inputs'!Y5,'Entity Inputs'!Y11)</f>
        <v/>
      </c>
      <c r="Z5" s="14">
        <f>SUM('Entity Inputs'!Z5,'Entity Inputs'!Z11)</f>
        <v/>
      </c>
      <c r="AA5" s="14">
        <f>SUM('Entity Inputs'!AA5,'Entity Inputs'!AA11)</f>
        <v/>
      </c>
      <c r="AB5" s="14">
        <f>SUM('Entity Inputs'!AB5,'Entity Inputs'!AB11)</f>
        <v/>
      </c>
      <c r="AC5" s="14">
        <f>SUM('Entity Inputs'!AC5,'Entity Inputs'!AC11)</f>
        <v/>
      </c>
      <c r="AD5" s="14">
        <f>SUM('Entity Inputs'!AD5,'Entity Inputs'!AD11)</f>
        <v/>
      </c>
      <c r="AE5" s="14">
        <f>SUM('Entity Inputs'!AE5,'Entity Inputs'!AE11)</f>
        <v/>
      </c>
      <c r="AF5" s="14">
        <f>SUM('Entity Inputs'!AF5,'Entity Inputs'!AF11)</f>
        <v/>
      </c>
      <c r="AG5" s="14">
        <f>SUM('Entity Inputs'!AG5,'Entity Inputs'!AG11)</f>
        <v/>
      </c>
      <c r="AH5" s="14">
        <f>SUM('Entity Inputs'!AH5,'Entity Inputs'!AH11)</f>
        <v/>
      </c>
      <c r="AI5" s="14">
        <f>SUM('Entity Inputs'!AI5,'Entity Inputs'!AI11)</f>
        <v/>
      </c>
      <c r="AJ5" s="14">
        <f>SUM('Entity Inputs'!AJ5,'Entity Inputs'!AJ11)</f>
        <v/>
      </c>
      <c r="AK5" s="14">
        <f>SUM('Entity Inputs'!AK5,'Entity Inputs'!AK11)</f>
        <v/>
      </c>
      <c r="AL5" s="14">
        <f>SUM('Entity Inputs'!AL5,'Entity Inputs'!AL11)</f>
        <v/>
      </c>
      <c r="AM5" s="14">
        <f>SUM('Entity Inputs'!AM5,'Entity Inputs'!AM11)</f>
        <v/>
      </c>
      <c r="AN5" s="14">
        <f>SUM('Entity Inputs'!AN5,'Entity Inputs'!AN11)</f>
        <v/>
      </c>
      <c r="AO5" s="14">
        <f>SUM('Entity Inputs'!AO5,'Entity Inputs'!AO11)</f>
        <v/>
      </c>
      <c r="AP5" s="14">
        <f>SUM('Entity Inputs'!AP5,'Entity Inputs'!AP11)</f>
        <v/>
      </c>
      <c r="AQ5" s="14">
        <f>SUM('Entity Inputs'!AQ5,'Entity Inputs'!AQ11)</f>
        <v/>
      </c>
      <c r="AR5" s="14">
        <f>MIN('Entity Inputs'!AR5,'Entity Inputs'!AR11)</f>
        <v/>
      </c>
      <c r="AS5" s="14">
        <f>SUM('Entity Inputs'!AS5,'Entity Inputs'!AS11)</f>
        <v/>
      </c>
      <c r="AT5" s="14">
        <f>SUM('Entity Inputs'!AT5,'Entity Inputs'!AT11)</f>
        <v/>
      </c>
      <c r="AU5" s="14">
        <f>SUM('Entity Inputs'!AU5,'Entity Inputs'!AU11)</f>
        <v/>
      </c>
      <c r="AV5" s="14">
        <f>SUM('Entity Inputs'!AV5,'Entity Inputs'!AV11)</f>
        <v/>
      </c>
      <c r="AW5" s="14">
        <f>SUM('Entity Inputs'!AW5,'Entity Inputs'!AW11)</f>
        <v/>
      </c>
      <c r="AX5" s="14">
        <f>SUM('Entity Inputs'!AX5,'Entity Inputs'!AX11)</f>
        <v/>
      </c>
      <c r="AY5" s="14">
        <f>SUM('Entity Inputs'!AY5,'Entity Inputs'!AY11)</f>
        <v/>
      </c>
      <c r="AZ5" s="14">
        <f>SUM('Entity Inputs'!AZ5,'Entity Inputs'!AZ11)</f>
        <v/>
      </c>
      <c r="BA5" s="14">
        <f>SUM('Entity Inputs'!BA5,'Entity Inputs'!BA11)</f>
        <v/>
      </c>
      <c r="BB5" s="14">
        <f>SUM('Entity Inputs'!BB5,'Entity Inputs'!BB11)</f>
        <v/>
      </c>
      <c r="BC5" s="14">
        <f>SUM('Entity Inputs'!BC5,'Entity Inputs'!BC11)</f>
        <v/>
      </c>
      <c r="BD5" s="14">
        <f>SUM('Entity Inputs'!BD5,'Entity Inputs'!BD11)</f>
        <v/>
      </c>
      <c r="BE5" s="14">
        <f>SUM('Entity Inputs'!BE5,'Entity Inputs'!BE11)</f>
        <v/>
      </c>
      <c r="BF5" s="14">
        <f>SUM('Entity Inputs'!BF5,'Entity Inputs'!BF11)</f>
        <v/>
      </c>
      <c r="BG5" s="14">
        <f>SUM('Entity Inputs'!BG5,'Entity Inputs'!BG11)</f>
        <v/>
      </c>
      <c r="BH5" s="14">
        <f>SUM('Entity Inputs'!BH5,'Entity Inputs'!BH11)</f>
        <v/>
      </c>
      <c r="BI5" s="14">
        <f>SUM('Entity Inputs'!BI5,'Entity Inputs'!BI11)</f>
        <v/>
      </c>
      <c r="BJ5" s="14">
        <f>SUM('Entity Inputs'!BJ5,'Entity Inputs'!BJ11)</f>
        <v/>
      </c>
      <c r="BK5" s="14">
        <f>SUM('Entity Inputs'!BK5,'Entity Inputs'!BK11)</f>
        <v/>
      </c>
      <c r="BL5" s="14">
        <f>SUM('Entity Inputs'!BL5,'Entity Inputs'!BL11)</f>
        <v/>
      </c>
      <c r="BM5" s="14">
        <f>SUM('Entity Inputs'!BM5,'Entity Inputs'!BM11)</f>
        <v/>
      </c>
      <c r="BN5" s="14">
        <f>SUM('Entity Inputs'!BN5,'Entity Inputs'!BN11)</f>
        <v/>
      </c>
      <c r="BO5" s="14">
        <f>SUM('Entity Inputs'!BO5,'Entity Inputs'!BO11)</f>
        <v/>
      </c>
      <c r="BP5" s="14">
        <f>SUM('Entity Inputs'!BP5,'Entity Inputs'!BP11)</f>
        <v/>
      </c>
      <c r="BQ5" s="14">
        <f>SUM('Entity Inputs'!BQ5,'Entity Inputs'!BQ11)</f>
        <v/>
      </c>
      <c r="BR5" s="14">
        <f>SUM('Entity Inputs'!BR5,'Entity Inputs'!BR11)</f>
        <v/>
      </c>
      <c r="BS5" s="14">
        <f>MIN('Entity Inputs'!BS5,'Entity Inputs'!BS11)</f>
        <v/>
      </c>
      <c r="BT5" s="14">
        <f>SUM('Entity Inputs'!BT5,'Entity Inputs'!BT11)</f>
        <v/>
      </c>
      <c r="BU5" s="14">
        <f>SUM('Entity Inputs'!BU5,'Entity Inputs'!BU11)</f>
        <v/>
      </c>
      <c r="BV5" s="14">
        <f>SUM('Entity Inputs'!BV5,'Entity Inputs'!BV11)</f>
        <v/>
      </c>
      <c r="BW5" s="14">
        <f>SUM('Entity Inputs'!BW5,'Entity Inputs'!BW11)</f>
        <v/>
      </c>
      <c r="BX5" s="14">
        <f>SUM('Entity Inputs'!BX5,'Entity Inputs'!BX11)</f>
        <v/>
      </c>
      <c r="BY5" s="14">
        <f>SUM('Entity Inputs'!BY5,'Entity Inputs'!BY11)</f>
        <v/>
      </c>
      <c r="BZ5" s="14">
        <f>SUM('Entity Inputs'!BZ5,'Entity Inputs'!BZ11)</f>
        <v/>
      </c>
      <c r="CA5" s="14">
        <f>SUM('Entity Inputs'!CA5,'Entity Inputs'!CA11)</f>
        <v/>
      </c>
      <c r="CB5" s="14">
        <f>SUM('Entity Inputs'!CB5,'Entity Inputs'!CB11)</f>
        <v/>
      </c>
      <c r="CC5" s="14">
        <f>SUM('Entity Inputs'!CC5,'Entity Inputs'!CC11)</f>
        <v/>
      </c>
      <c r="CD5" s="14">
        <f>SUM('Entity Inputs'!CD5,'Entity Inputs'!CD11)</f>
        <v/>
      </c>
      <c r="CE5" s="14">
        <f>SUM('Entity Inputs'!CE5,'Entity Inputs'!CE11)</f>
        <v/>
      </c>
      <c r="CF5" s="14">
        <f>SUM('Entity Inputs'!CF5,'Entity Inputs'!CF11)</f>
        <v/>
      </c>
      <c r="CG5" s="14">
        <f>SUM('Entity Inputs'!CG5,'Entity Inputs'!CG11)</f>
        <v/>
      </c>
      <c r="CH5" s="14">
        <f>SUM('Entity Inputs'!CH5,'Entity Inputs'!CH11)</f>
        <v/>
      </c>
      <c r="CI5" s="14">
        <f>SUM('Entity Inputs'!CI5,'Entity Inputs'!CI11)</f>
        <v/>
      </c>
      <c r="CJ5" s="14">
        <f>SUM('Entity Inputs'!CJ5,'Entity Inputs'!CJ11)</f>
        <v/>
      </c>
      <c r="CK5" s="14">
        <f>SUM('Entity Inputs'!CK5,'Entity Inputs'!CK11)</f>
        <v/>
      </c>
      <c r="CL5" s="14">
        <f>SUM('Entity Inputs'!CL5,'Entity Inputs'!CL11)</f>
        <v/>
      </c>
      <c r="CM5" s="14">
        <f>SUM('Entity Inputs'!CM5,'Entity Inputs'!CM11)</f>
        <v/>
      </c>
      <c r="CN5" s="14">
        <f>SUM('Entity Inputs'!CN5,'Entity Inputs'!CN11)</f>
        <v/>
      </c>
      <c r="CO5" s="14">
        <f>SUM('Entity Inputs'!CO5,'Entity Inputs'!CO11)</f>
        <v/>
      </c>
      <c r="CP5" s="14">
        <f>SUM('Entity Inputs'!CP5,'Entity Inputs'!CP11)</f>
        <v/>
      </c>
      <c r="CQ5" s="14">
        <f>SUM('Entity Inputs'!CQ5,'Entity Inputs'!CQ11)</f>
        <v/>
      </c>
      <c r="CR5" s="14">
        <f>SUM('Entity Inputs'!CR5,'Entity Inputs'!CR11)</f>
        <v/>
      </c>
      <c r="CS5" s="14">
        <f>SUM('Entity Inputs'!CS5,'Entity Inputs'!CS11)</f>
        <v/>
      </c>
      <c r="CT5" s="14">
        <f>SUM('Entity Inputs'!CT5,'Entity Inputs'!CT11)</f>
        <v/>
      </c>
      <c r="CU5" s="14">
        <f>SUM('Entity Inputs'!CU5,'Entity Inputs'!CU11)</f>
        <v/>
      </c>
      <c r="CV5" s="14">
        <f>SUM('Entity Inputs'!CV5,'Entity Inputs'!CV11)</f>
        <v/>
      </c>
      <c r="CW5" s="14">
        <f>SUM('Entity Inputs'!CW5,'Entity Inputs'!CW11)</f>
        <v/>
      </c>
      <c r="CX5" s="14">
        <f>SUM('Entity Inputs'!CX5,'Entity Inputs'!CX11)</f>
        <v/>
      </c>
      <c r="CY5" s="14">
        <f>SUM('Entity Inputs'!CY5,'Entity Inputs'!CY11)</f>
        <v/>
      </c>
      <c r="CZ5" s="14">
        <f>SUM('Entity Inputs'!CZ5,'Entity Inputs'!CZ11)</f>
        <v/>
      </c>
      <c r="DA5" s="14">
        <f>SUM('Entity Inputs'!DA5,'Entity Inputs'!DA11)</f>
        <v/>
      </c>
      <c r="DB5" s="14">
        <f>SUM('Entity Inputs'!DB5,'Entity Inputs'!DB11)</f>
        <v/>
      </c>
      <c r="DC5" s="14">
        <f>SUM('Entity Inputs'!DC5,'Entity Inputs'!DC11)</f>
        <v/>
      </c>
      <c r="DD5" s="14">
        <f>SUM('Entity Inputs'!DD5,'Entity Inputs'!DD11)</f>
        <v/>
      </c>
      <c r="DE5" s="14">
        <f>SUM('Entity Inputs'!DE5,'Entity Inputs'!DE11)</f>
        <v/>
      </c>
      <c r="DF5" s="14">
        <f>SUM('Entity Inputs'!DF5,'Entity Inputs'!DF11)</f>
        <v/>
      </c>
      <c r="DG5" s="14">
        <f>SUM('Entity Inputs'!DG5,'Entity Inputs'!DG11)</f>
        <v/>
      </c>
      <c r="DH5" s="14">
        <f>SUM('Entity Inputs'!DH5,'Entity Inputs'!DH11)</f>
        <v/>
      </c>
      <c r="DI5" s="14">
        <f>SUM('Entity Inputs'!DI5,'Entity Inputs'!DI11)</f>
        <v/>
      </c>
      <c r="DJ5" s="14">
        <f>SUM('Entity Inputs'!DJ5,'Entity Inputs'!DJ11)</f>
        <v/>
      </c>
      <c r="DK5" s="14">
        <f>SUM('Entity Inputs'!DK5,'Entity Inputs'!DK11)</f>
        <v/>
      </c>
      <c r="DL5" s="14">
        <f>SUM('Entity Inputs'!DL5,'Entity Inputs'!DL11)</f>
        <v/>
      </c>
      <c r="DM5" s="14">
        <f>SUM('Entity Inputs'!DM5,'Entity Inputs'!DM11)</f>
        <v/>
      </c>
      <c r="DN5" s="14">
        <f>SUM('Entity Inputs'!DN5,'Entity Inputs'!DN11)</f>
        <v/>
      </c>
      <c r="DO5" s="14">
        <f>SUM('Entity Inputs'!DO5,'Entity Inputs'!DO11)</f>
        <v/>
      </c>
      <c r="DP5" s="14">
        <f>SUM('Entity Inputs'!DP5,'Entity Inputs'!DP11)</f>
        <v/>
      </c>
      <c r="DQ5" s="14">
        <f>SUM('Entity Inputs'!DQ5,'Entity Inputs'!DQ11)</f>
        <v/>
      </c>
      <c r="DR5" s="14">
        <f>SUM('Entity Inputs'!DR5,'Entity Inputs'!DR11)</f>
        <v/>
      </c>
      <c r="DS5" s="14">
        <f>SUM('Entity Inputs'!DS5,'Entity Inputs'!DS11)</f>
        <v/>
      </c>
      <c r="DT5" s="14">
        <f>SUM('Entity Inputs'!DT5,'Entity Inputs'!DT11)</f>
        <v/>
      </c>
      <c r="DU5" s="14">
        <f>SUM('Entity Inputs'!DU5,'Entity Inputs'!DU11)</f>
        <v/>
      </c>
      <c r="DV5" s="14">
        <f>SUM('Entity Inputs'!DV5,'Entity Inputs'!DV11)</f>
        <v/>
      </c>
      <c r="DW5" s="14">
        <f>SUM('Entity Inputs'!DW5,'Entity Inputs'!DW11)</f>
        <v/>
      </c>
      <c r="DX5" s="14">
        <f>SUM('Entity Inputs'!DX5,'Entity Inputs'!DX11)</f>
        <v/>
      </c>
      <c r="DY5" s="14">
        <f>SUM('Entity Inputs'!DY5,'Entity Inputs'!DY11)</f>
        <v/>
      </c>
      <c r="DZ5" s="14">
        <f>SUM('Entity Inputs'!DZ5,'Entity Inputs'!DZ11)</f>
        <v/>
      </c>
      <c r="EA5" s="14">
        <f>SUM('Entity Inputs'!EA5,'Entity Inputs'!EA11)</f>
        <v/>
      </c>
      <c r="EB5" s="14">
        <f>SUM('Entity Inputs'!EB5,'Entity Inputs'!EB11)</f>
        <v/>
      </c>
      <c r="EC5" s="14">
        <f>SUM('Entity Inputs'!EC5,'Entity Inputs'!EC11)</f>
        <v/>
      </c>
      <c r="ED5" s="14">
        <f>SUM('Entity Inputs'!ED5,'Entity Inputs'!ED11)</f>
        <v/>
      </c>
      <c r="EE5" s="14">
        <f>SUM('Entity Inputs'!EE5,'Entity Inputs'!EE11)</f>
        <v/>
      </c>
      <c r="EF5" s="14">
        <f>SUM('Entity Inputs'!EF5,'Entity Inputs'!EF11)</f>
        <v/>
      </c>
      <c r="EG5" s="14">
        <f>SUM('Entity Inputs'!EG5,'Entity Inputs'!EG11)</f>
        <v/>
      </c>
      <c r="EH5" s="14">
        <f>SUM('Entity Inputs'!EH5,'Entity Inputs'!EH11)</f>
        <v/>
      </c>
      <c r="EI5" s="14">
        <f>SUM('Entity Inputs'!EI5,'Entity Inputs'!EI11)</f>
        <v/>
      </c>
      <c r="EJ5" s="14">
        <f>SUM('Entity Inputs'!EJ5,'Entity Inputs'!EJ11)</f>
        <v/>
      </c>
      <c r="EK5" s="14">
        <f>SUM('Entity Inputs'!EK5,'Entity Inputs'!EK11)</f>
        <v/>
      </c>
      <c r="EL5" s="14">
        <f>SUM('Entity Inputs'!EL5,'Entity Inputs'!EL11)</f>
        <v/>
      </c>
      <c r="EM5" s="14">
        <f>SUM('Entity Inputs'!EM5,'Entity Inputs'!EM11)</f>
        <v/>
      </c>
      <c r="EN5" s="14">
        <f>SUM('Entity Inputs'!EN5,'Entity Inputs'!EN11)</f>
        <v/>
      </c>
      <c r="EO5" s="14">
        <f>SUM('Entity Inputs'!EO5,'Entity Inputs'!EO11)</f>
        <v/>
      </c>
      <c r="EP5" s="14">
        <f>SUM('Entity Inputs'!EP5,'Entity Inputs'!EP11)</f>
        <v/>
      </c>
      <c r="EQ5" s="14">
        <f>SUM('Entity Inputs'!EQ5,'Entity Inputs'!EQ11)</f>
        <v/>
      </c>
      <c r="ER5" s="14">
        <f>SUM('Entity Inputs'!ER5,'Entity Inputs'!ER11)</f>
        <v/>
      </c>
      <c r="ES5" s="14">
        <f>SUM('Entity Inputs'!ES5,'Entity Inputs'!ES11)</f>
        <v/>
      </c>
      <c r="ET5" s="14">
        <f>SUM('Entity Inputs'!ET5,'Entity Inputs'!ET11)</f>
        <v/>
      </c>
      <c r="EU5" s="14">
        <f>SUM('Entity Inputs'!EU5,'Entity Inputs'!EU11)</f>
        <v/>
      </c>
      <c r="EV5" s="14">
        <f>SUM('Entity Inputs'!EV5,'Entity Inputs'!EV11)</f>
        <v/>
      </c>
      <c r="EW5" s="14">
        <f>SUM('Entity Inputs'!EW5,'Entity Inputs'!EW11)</f>
        <v/>
      </c>
      <c r="EX5" s="14">
        <f>SUM('Entity Inputs'!EX5,'Entity Inputs'!EX11)</f>
        <v/>
      </c>
      <c r="EY5" s="14">
        <f>SUM('Entity Inputs'!EY5,'Entity Inputs'!EY11)</f>
        <v/>
      </c>
      <c r="EZ5" s="14">
        <f>SUM('Entity Inputs'!EZ5,'Entity Inputs'!EZ11)</f>
        <v/>
      </c>
      <c r="FA5" s="14">
        <f>SUM('Entity Inputs'!FA5,'Entity Inputs'!FA11)</f>
        <v/>
      </c>
      <c r="FB5" s="14">
        <f>SUM('Entity Inputs'!FB5,'Entity Inputs'!FB11)</f>
        <v/>
      </c>
      <c r="FC5" s="14">
        <f>SUM('Entity Inputs'!FC5,'Entity Inputs'!FC11)</f>
        <v/>
      </c>
      <c r="FD5" s="14">
        <f>SUM('Entity Inputs'!FD5,'Entity Inputs'!FD11)</f>
        <v/>
      </c>
      <c r="FE5" s="14">
        <f>SUM('Entity Inputs'!FE5,'Entity Inputs'!FE11)</f>
        <v/>
      </c>
      <c r="FF5" s="14">
        <f>SUM('Entity Inputs'!FF5,'Entity Inputs'!FF11)</f>
        <v/>
      </c>
      <c r="FG5" s="14">
        <f>SUM('Entity Inputs'!FG5,'Entity Inputs'!FG11)</f>
        <v/>
      </c>
      <c r="FH5" s="14">
        <f>SUM('Entity Inputs'!FH5,'Entity Inputs'!FH11)</f>
        <v/>
      </c>
      <c r="FI5" s="14">
        <f>SUM('Entity Inputs'!FI5,'Entity Inputs'!FI11)</f>
        <v/>
      </c>
      <c r="FJ5" s="14">
        <f>SUM('Entity Inputs'!FJ5,'Entity Inputs'!FJ11)</f>
        <v/>
      </c>
      <c r="FK5" s="14">
        <f>SUM('Entity Inputs'!FK5,'Entity Inputs'!FK11)</f>
        <v/>
      </c>
      <c r="FL5" s="14">
        <f>SUM('Entity Inputs'!FL5,'Entity Inputs'!FL11)</f>
        <v/>
      </c>
      <c r="FM5" s="14">
        <f>SUM('Entity Inputs'!FM5,'Entity Inputs'!FM11)</f>
        <v/>
      </c>
      <c r="FN5" s="14">
        <f>SUM('Entity Inputs'!FN5,'Entity Inputs'!FN11)</f>
        <v/>
      </c>
      <c r="FO5" s="14">
        <f>SUM('Entity Inputs'!FO5,'Entity Inputs'!FO11)</f>
        <v/>
      </c>
      <c r="FP5" s="14">
        <f>SUM('Entity Inputs'!FP5,'Entity Inputs'!FP11)</f>
        <v/>
      </c>
      <c r="FQ5" s="14">
        <f>SUM('Entity Inputs'!FQ5,'Entity Inputs'!FQ11)</f>
        <v/>
      </c>
      <c r="FR5" s="14">
        <f>SUM('Entity Inputs'!FR5,'Entity Inputs'!FR11)</f>
        <v/>
      </c>
      <c r="FS5" s="14">
        <f>SUM('Entity Inputs'!FS5,'Entity Inputs'!FS11)</f>
        <v/>
      </c>
      <c r="FT5" s="14">
        <f>SUM('Entity Inputs'!FT5,'Entity Inputs'!FT11)</f>
        <v/>
      </c>
      <c r="FU5" s="14">
        <f>SUM('Entity Inputs'!FU5,'Entity Inputs'!FU11)</f>
        <v/>
      </c>
      <c r="FV5" s="22">
        <f>AU5-V5-X5-BY5</f>
        <v/>
      </c>
      <c r="FW5" s="22">
        <f>FV5-AX5</f>
        <v/>
      </c>
      <c r="FX5" s="22">
        <f>CJ5+CL5-CK5</f>
        <v/>
      </c>
      <c r="FY5" s="22">
        <f>FX5-FX4</f>
        <v/>
      </c>
      <c r="FZ5" s="22">
        <f>FV5-BZ5-FY5</f>
        <v/>
      </c>
      <c r="GA5" s="22">
        <f>FZ5-DJ5</f>
        <v/>
      </c>
      <c r="GB5" s="22">
        <f>CB5-CC5</f>
        <v/>
      </c>
      <c r="GC5" s="22">
        <f>SUM(FV$4:FV5)*12/D5</f>
        <v/>
      </c>
      <c r="GD5" s="22">
        <f>IF(AU5=0,0,CJ5/AU5*C5)</f>
        <v/>
      </c>
      <c r="GE5" s="22">
        <f>IF(V5=0,0,CK5/V5*C5)</f>
        <v/>
      </c>
      <c r="GF5" s="22">
        <f>IF(V5=0,0,CL5/V5*C5)</f>
        <v/>
      </c>
      <c r="GG5" s="22">
        <f>IF(OR(AS5=0,AT5=0,AV5=0),0,100*((AU5/AS5)/(AV5/AT5)-1))</f>
        <v/>
      </c>
      <c r="GH5" s="25">
        <f>SUM('Entity Inputs'!FV5,'Entity Inputs'!FV11)</f>
        <v/>
      </c>
      <c r="GI5" s="25">
        <f>SUM('Entity Inputs'!FW5,'Entity Inputs'!FW11)</f>
        <v/>
      </c>
      <c r="GJ5" s="25">
        <f>SUM('Entity Inputs'!FX5,'Entity Inputs'!FX11)</f>
        <v/>
      </c>
      <c r="GK5" s="25">
        <f>SUM('Entity Inputs'!FY5,'Entity Inputs'!FY11)</f>
        <v/>
      </c>
      <c r="GL5" s="25">
        <f>SUM('Entity Inputs'!FZ5,'Entity Inputs'!FZ11)</f>
        <v/>
      </c>
      <c r="GM5" s="25">
        <f>SUM('Entity Inputs'!GA5,'Entity Inputs'!GA11)</f>
        <v/>
      </c>
      <c r="GN5" s="25">
        <f>SQRT('Entity Inputs'!GB5^2+'Entity Inputs'!GB11^2)</f>
        <v/>
      </c>
      <c r="GO5" s="25">
        <f>MIN('Entity Inputs'!GC5,'Entity Inputs'!GC11)</f>
        <v/>
      </c>
      <c r="GP5" s="25">
        <f>SUM('Entity Inputs'!GD5,'Entity Inputs'!GD11)</f>
        <v/>
      </c>
      <c r="GQ5" s="25">
        <f>'Entity Inputs'!GE5</f>
        <v/>
      </c>
      <c r="GR5" s="25">
        <f>SUM('Entity Inputs'!GF5,'Entity Inputs'!GF11)</f>
        <v/>
      </c>
    </row>
    <row r="6">
      <c r="A6" t="inlineStr">
        <is>
          <t>Group</t>
        </is>
      </c>
      <c r="B6" t="inlineStr">
        <is>
          <t>2026-06</t>
        </is>
      </c>
      <c r="C6" t="n">
        <v>30</v>
      </c>
      <c r="D6" t="n">
        <v>3</v>
      </c>
      <c r="E6" s="14">
        <f>SUM('Entity Inputs'!E6,'Entity Inputs'!E12)</f>
        <v/>
      </c>
      <c r="F6" s="14">
        <f>SUM('Entity Inputs'!F6,'Entity Inputs'!F12)</f>
        <v/>
      </c>
      <c r="G6" s="14">
        <f>SUM('Entity Inputs'!G6,'Entity Inputs'!G12)</f>
        <v/>
      </c>
      <c r="H6" s="14">
        <f>SUM('Entity Inputs'!H6,'Entity Inputs'!H12)</f>
        <v/>
      </c>
      <c r="I6" s="14">
        <f>SUM('Entity Inputs'!I6,'Entity Inputs'!I12)</f>
        <v/>
      </c>
      <c r="J6" s="14">
        <f>SUM('Entity Inputs'!J6,'Entity Inputs'!J12)</f>
        <v/>
      </c>
      <c r="K6" s="14">
        <f>SUM('Entity Inputs'!K6,'Entity Inputs'!K12)</f>
        <v/>
      </c>
      <c r="L6" s="14">
        <f>SUM('Entity Inputs'!L6,'Entity Inputs'!L12)</f>
        <v/>
      </c>
      <c r="M6" s="14">
        <f>SUM('Entity Inputs'!M6,'Entity Inputs'!M12)</f>
        <v/>
      </c>
      <c r="N6" s="14">
        <f>SUM('Entity Inputs'!N6,'Entity Inputs'!N12)</f>
        <v/>
      </c>
      <c r="O6" s="14">
        <f>SUM('Entity Inputs'!O6,'Entity Inputs'!O12)</f>
        <v/>
      </c>
      <c r="P6" s="14">
        <f>SUM('Entity Inputs'!P6,'Entity Inputs'!P12)</f>
        <v/>
      </c>
      <c r="Q6" s="14">
        <f>SUM('Entity Inputs'!Q6,'Entity Inputs'!Q12)</f>
        <v/>
      </c>
      <c r="R6" s="14">
        <f>SUM('Entity Inputs'!R6,'Entity Inputs'!R12)</f>
        <v/>
      </c>
      <c r="S6" s="14">
        <f>SUM('Entity Inputs'!S6,'Entity Inputs'!S12)</f>
        <v/>
      </c>
      <c r="T6" s="14">
        <f>SUM('Entity Inputs'!T6,'Entity Inputs'!T12)</f>
        <v/>
      </c>
      <c r="U6" s="14">
        <f>SUM('Entity Inputs'!U6,'Entity Inputs'!U12)</f>
        <v/>
      </c>
      <c r="V6" s="14">
        <f>SUM('Entity Inputs'!V6,'Entity Inputs'!V12)</f>
        <v/>
      </c>
      <c r="W6" s="14">
        <f>SUM('Entity Inputs'!W6,'Entity Inputs'!W12)</f>
        <v/>
      </c>
      <c r="X6" s="14">
        <f>SUM('Entity Inputs'!X6,'Entity Inputs'!X12)</f>
        <v/>
      </c>
      <c r="Y6" s="14">
        <f>SUM('Entity Inputs'!Y6,'Entity Inputs'!Y12)</f>
        <v/>
      </c>
      <c r="Z6" s="14">
        <f>SUM('Entity Inputs'!Z6,'Entity Inputs'!Z12)</f>
        <v/>
      </c>
      <c r="AA6" s="14">
        <f>SUM('Entity Inputs'!AA6,'Entity Inputs'!AA12)</f>
        <v/>
      </c>
      <c r="AB6" s="14">
        <f>SUM('Entity Inputs'!AB6,'Entity Inputs'!AB12)</f>
        <v/>
      </c>
      <c r="AC6" s="14">
        <f>SUM('Entity Inputs'!AC6,'Entity Inputs'!AC12)</f>
        <v/>
      </c>
      <c r="AD6" s="14">
        <f>SUM('Entity Inputs'!AD6,'Entity Inputs'!AD12)</f>
        <v/>
      </c>
      <c r="AE6" s="14">
        <f>SUM('Entity Inputs'!AE6,'Entity Inputs'!AE12)</f>
        <v/>
      </c>
      <c r="AF6" s="14">
        <f>SUM('Entity Inputs'!AF6,'Entity Inputs'!AF12)</f>
        <v/>
      </c>
      <c r="AG6" s="14">
        <f>SUM('Entity Inputs'!AG6,'Entity Inputs'!AG12)</f>
        <v/>
      </c>
      <c r="AH6" s="14">
        <f>SUM('Entity Inputs'!AH6,'Entity Inputs'!AH12)</f>
        <v/>
      </c>
      <c r="AI6" s="14">
        <f>SUM('Entity Inputs'!AI6,'Entity Inputs'!AI12)</f>
        <v/>
      </c>
      <c r="AJ6" s="14">
        <f>SUM('Entity Inputs'!AJ6,'Entity Inputs'!AJ12)</f>
        <v/>
      </c>
      <c r="AK6" s="14">
        <f>SUM('Entity Inputs'!AK6,'Entity Inputs'!AK12)</f>
        <v/>
      </c>
      <c r="AL6" s="14">
        <f>SUM('Entity Inputs'!AL6,'Entity Inputs'!AL12)</f>
        <v/>
      </c>
      <c r="AM6" s="14">
        <f>SUM('Entity Inputs'!AM6,'Entity Inputs'!AM12)</f>
        <v/>
      </c>
      <c r="AN6" s="14">
        <f>SUM('Entity Inputs'!AN6,'Entity Inputs'!AN12)</f>
        <v/>
      </c>
      <c r="AO6" s="14">
        <f>SUM('Entity Inputs'!AO6,'Entity Inputs'!AO12)</f>
        <v/>
      </c>
      <c r="AP6" s="14">
        <f>SUM('Entity Inputs'!AP6,'Entity Inputs'!AP12)</f>
        <v/>
      </c>
      <c r="AQ6" s="14">
        <f>SUM('Entity Inputs'!AQ6,'Entity Inputs'!AQ12)</f>
        <v/>
      </c>
      <c r="AR6" s="14">
        <f>MIN('Entity Inputs'!AR6,'Entity Inputs'!AR12)</f>
        <v/>
      </c>
      <c r="AS6" s="14">
        <f>SUM('Entity Inputs'!AS6,'Entity Inputs'!AS12)</f>
        <v/>
      </c>
      <c r="AT6" s="14">
        <f>SUM('Entity Inputs'!AT6,'Entity Inputs'!AT12)</f>
        <v/>
      </c>
      <c r="AU6" s="14">
        <f>SUM('Entity Inputs'!AU6,'Entity Inputs'!AU12)</f>
        <v/>
      </c>
      <c r="AV6" s="14">
        <f>SUM('Entity Inputs'!AV6,'Entity Inputs'!AV12)</f>
        <v/>
      </c>
      <c r="AW6" s="14">
        <f>SUM('Entity Inputs'!AW6,'Entity Inputs'!AW12)</f>
        <v/>
      </c>
      <c r="AX6" s="14">
        <f>SUM('Entity Inputs'!AX6,'Entity Inputs'!AX12)</f>
        <v/>
      </c>
      <c r="AY6" s="14">
        <f>SUM('Entity Inputs'!AY6,'Entity Inputs'!AY12)</f>
        <v/>
      </c>
      <c r="AZ6" s="14">
        <f>SUM('Entity Inputs'!AZ6,'Entity Inputs'!AZ12)</f>
        <v/>
      </c>
      <c r="BA6" s="14">
        <f>SUM('Entity Inputs'!BA6,'Entity Inputs'!BA12)</f>
        <v/>
      </c>
      <c r="BB6" s="14">
        <f>SUM('Entity Inputs'!BB6,'Entity Inputs'!BB12)</f>
        <v/>
      </c>
      <c r="BC6" s="14">
        <f>SUM('Entity Inputs'!BC6,'Entity Inputs'!BC12)</f>
        <v/>
      </c>
      <c r="BD6" s="14">
        <f>SUM('Entity Inputs'!BD6,'Entity Inputs'!BD12)</f>
        <v/>
      </c>
      <c r="BE6" s="14">
        <f>SUM('Entity Inputs'!BE6,'Entity Inputs'!BE12)</f>
        <v/>
      </c>
      <c r="BF6" s="14">
        <f>SUM('Entity Inputs'!BF6,'Entity Inputs'!BF12)</f>
        <v/>
      </c>
      <c r="BG6" s="14">
        <f>SUM('Entity Inputs'!BG6,'Entity Inputs'!BG12)</f>
        <v/>
      </c>
      <c r="BH6" s="14">
        <f>SUM('Entity Inputs'!BH6,'Entity Inputs'!BH12)</f>
        <v/>
      </c>
      <c r="BI6" s="14">
        <f>SUM('Entity Inputs'!BI6,'Entity Inputs'!BI12)</f>
        <v/>
      </c>
      <c r="BJ6" s="14">
        <f>SUM('Entity Inputs'!BJ6,'Entity Inputs'!BJ12)</f>
        <v/>
      </c>
      <c r="BK6" s="14">
        <f>SUM('Entity Inputs'!BK6,'Entity Inputs'!BK12)</f>
        <v/>
      </c>
      <c r="BL6" s="14">
        <f>SUM('Entity Inputs'!BL6,'Entity Inputs'!BL12)</f>
        <v/>
      </c>
      <c r="BM6" s="14">
        <f>SUM('Entity Inputs'!BM6,'Entity Inputs'!BM12)</f>
        <v/>
      </c>
      <c r="BN6" s="14">
        <f>SUM('Entity Inputs'!BN6,'Entity Inputs'!BN12)</f>
        <v/>
      </c>
      <c r="BO6" s="14">
        <f>SUM('Entity Inputs'!BO6,'Entity Inputs'!BO12)</f>
        <v/>
      </c>
      <c r="BP6" s="14">
        <f>SUM('Entity Inputs'!BP6,'Entity Inputs'!BP12)</f>
        <v/>
      </c>
      <c r="BQ6" s="14">
        <f>SUM('Entity Inputs'!BQ6,'Entity Inputs'!BQ12)</f>
        <v/>
      </c>
      <c r="BR6" s="14">
        <f>SUM('Entity Inputs'!BR6,'Entity Inputs'!BR12)</f>
        <v/>
      </c>
      <c r="BS6" s="14">
        <f>MIN('Entity Inputs'!BS6,'Entity Inputs'!BS12)</f>
        <v/>
      </c>
      <c r="BT6" s="14">
        <f>SUM('Entity Inputs'!BT6,'Entity Inputs'!BT12)</f>
        <v/>
      </c>
      <c r="BU6" s="14">
        <f>SUM('Entity Inputs'!BU6,'Entity Inputs'!BU12)</f>
        <v/>
      </c>
      <c r="BV6" s="14">
        <f>SUM('Entity Inputs'!BV6,'Entity Inputs'!BV12)</f>
        <v/>
      </c>
      <c r="BW6" s="14">
        <f>SUM('Entity Inputs'!BW6,'Entity Inputs'!BW12)</f>
        <v/>
      </c>
      <c r="BX6" s="14">
        <f>SUM('Entity Inputs'!BX6,'Entity Inputs'!BX12)</f>
        <v/>
      </c>
      <c r="BY6" s="14">
        <f>SUM('Entity Inputs'!BY6,'Entity Inputs'!BY12)</f>
        <v/>
      </c>
      <c r="BZ6" s="14">
        <f>SUM('Entity Inputs'!BZ6,'Entity Inputs'!BZ12)</f>
        <v/>
      </c>
      <c r="CA6" s="14">
        <f>SUM('Entity Inputs'!CA6,'Entity Inputs'!CA12)</f>
        <v/>
      </c>
      <c r="CB6" s="14">
        <f>SUM('Entity Inputs'!CB6,'Entity Inputs'!CB12)</f>
        <v/>
      </c>
      <c r="CC6" s="14">
        <f>SUM('Entity Inputs'!CC6,'Entity Inputs'!CC12)</f>
        <v/>
      </c>
      <c r="CD6" s="14">
        <f>SUM('Entity Inputs'!CD6,'Entity Inputs'!CD12)</f>
        <v/>
      </c>
      <c r="CE6" s="14">
        <f>SUM('Entity Inputs'!CE6,'Entity Inputs'!CE12)</f>
        <v/>
      </c>
      <c r="CF6" s="14">
        <f>SUM('Entity Inputs'!CF6,'Entity Inputs'!CF12)</f>
        <v/>
      </c>
      <c r="CG6" s="14">
        <f>SUM('Entity Inputs'!CG6,'Entity Inputs'!CG12)</f>
        <v/>
      </c>
      <c r="CH6" s="14">
        <f>SUM('Entity Inputs'!CH6,'Entity Inputs'!CH12)</f>
        <v/>
      </c>
      <c r="CI6" s="14">
        <f>SUM('Entity Inputs'!CI6,'Entity Inputs'!CI12)</f>
        <v/>
      </c>
      <c r="CJ6" s="14">
        <f>SUM('Entity Inputs'!CJ6,'Entity Inputs'!CJ12)</f>
        <v/>
      </c>
      <c r="CK6" s="14">
        <f>SUM('Entity Inputs'!CK6,'Entity Inputs'!CK12)</f>
        <v/>
      </c>
      <c r="CL6" s="14">
        <f>SUM('Entity Inputs'!CL6,'Entity Inputs'!CL12)</f>
        <v/>
      </c>
      <c r="CM6" s="14">
        <f>SUM('Entity Inputs'!CM6,'Entity Inputs'!CM12)</f>
        <v/>
      </c>
      <c r="CN6" s="14">
        <f>SUM('Entity Inputs'!CN6,'Entity Inputs'!CN12)</f>
        <v/>
      </c>
      <c r="CO6" s="14">
        <f>SUM('Entity Inputs'!CO6,'Entity Inputs'!CO12)</f>
        <v/>
      </c>
      <c r="CP6" s="14">
        <f>SUM('Entity Inputs'!CP6,'Entity Inputs'!CP12)</f>
        <v/>
      </c>
      <c r="CQ6" s="14">
        <f>SUM('Entity Inputs'!CQ6,'Entity Inputs'!CQ12)</f>
        <v/>
      </c>
      <c r="CR6" s="14">
        <f>SUM('Entity Inputs'!CR6,'Entity Inputs'!CR12)</f>
        <v/>
      </c>
      <c r="CS6" s="14">
        <f>SUM('Entity Inputs'!CS6,'Entity Inputs'!CS12)</f>
        <v/>
      </c>
      <c r="CT6" s="14">
        <f>SUM('Entity Inputs'!CT6,'Entity Inputs'!CT12)</f>
        <v/>
      </c>
      <c r="CU6" s="14">
        <f>SUM('Entity Inputs'!CU6,'Entity Inputs'!CU12)</f>
        <v/>
      </c>
      <c r="CV6" s="14">
        <f>SUM('Entity Inputs'!CV6,'Entity Inputs'!CV12)</f>
        <v/>
      </c>
      <c r="CW6" s="14">
        <f>SUM('Entity Inputs'!CW6,'Entity Inputs'!CW12)</f>
        <v/>
      </c>
      <c r="CX6" s="14">
        <f>SUM('Entity Inputs'!CX6,'Entity Inputs'!CX12)</f>
        <v/>
      </c>
      <c r="CY6" s="14">
        <f>SUM('Entity Inputs'!CY6,'Entity Inputs'!CY12)</f>
        <v/>
      </c>
      <c r="CZ6" s="14">
        <f>SUM('Entity Inputs'!CZ6,'Entity Inputs'!CZ12)</f>
        <v/>
      </c>
      <c r="DA6" s="14">
        <f>SUM('Entity Inputs'!DA6,'Entity Inputs'!DA12)</f>
        <v/>
      </c>
      <c r="DB6" s="14">
        <f>SUM('Entity Inputs'!DB6,'Entity Inputs'!DB12)</f>
        <v/>
      </c>
      <c r="DC6" s="14">
        <f>SUM('Entity Inputs'!DC6,'Entity Inputs'!DC12)</f>
        <v/>
      </c>
      <c r="DD6" s="14">
        <f>SUM('Entity Inputs'!DD6,'Entity Inputs'!DD12)</f>
        <v/>
      </c>
      <c r="DE6" s="14">
        <f>SUM('Entity Inputs'!DE6,'Entity Inputs'!DE12)</f>
        <v/>
      </c>
      <c r="DF6" s="14">
        <f>SUM('Entity Inputs'!DF6,'Entity Inputs'!DF12)</f>
        <v/>
      </c>
      <c r="DG6" s="14">
        <f>SUM('Entity Inputs'!DG6,'Entity Inputs'!DG12)</f>
        <v/>
      </c>
      <c r="DH6" s="14">
        <f>SUM('Entity Inputs'!DH6,'Entity Inputs'!DH12)</f>
        <v/>
      </c>
      <c r="DI6" s="14">
        <f>SUM('Entity Inputs'!DI6,'Entity Inputs'!DI12)</f>
        <v/>
      </c>
      <c r="DJ6" s="14">
        <f>SUM('Entity Inputs'!DJ6,'Entity Inputs'!DJ12)</f>
        <v/>
      </c>
      <c r="DK6" s="14">
        <f>SUM('Entity Inputs'!DK6,'Entity Inputs'!DK12)</f>
        <v/>
      </c>
      <c r="DL6" s="14">
        <f>SUM('Entity Inputs'!DL6,'Entity Inputs'!DL12)</f>
        <v/>
      </c>
      <c r="DM6" s="14">
        <f>SUM('Entity Inputs'!DM6,'Entity Inputs'!DM12)</f>
        <v/>
      </c>
      <c r="DN6" s="14">
        <f>SUM('Entity Inputs'!DN6,'Entity Inputs'!DN12)</f>
        <v/>
      </c>
      <c r="DO6" s="14">
        <f>SUM('Entity Inputs'!DO6,'Entity Inputs'!DO12)</f>
        <v/>
      </c>
      <c r="DP6" s="14">
        <f>SUM('Entity Inputs'!DP6,'Entity Inputs'!DP12)</f>
        <v/>
      </c>
      <c r="DQ6" s="14">
        <f>SUM('Entity Inputs'!DQ6,'Entity Inputs'!DQ12)</f>
        <v/>
      </c>
      <c r="DR6" s="14">
        <f>SUM('Entity Inputs'!DR6,'Entity Inputs'!DR12)</f>
        <v/>
      </c>
      <c r="DS6" s="14">
        <f>SUM('Entity Inputs'!DS6,'Entity Inputs'!DS12)</f>
        <v/>
      </c>
      <c r="DT6" s="14">
        <f>SUM('Entity Inputs'!DT6,'Entity Inputs'!DT12)</f>
        <v/>
      </c>
      <c r="DU6" s="14">
        <f>SUM('Entity Inputs'!DU6,'Entity Inputs'!DU12)</f>
        <v/>
      </c>
      <c r="DV6" s="14">
        <f>SUM('Entity Inputs'!DV6,'Entity Inputs'!DV12)</f>
        <v/>
      </c>
      <c r="DW6" s="14">
        <f>SUM('Entity Inputs'!DW6,'Entity Inputs'!DW12)</f>
        <v/>
      </c>
      <c r="DX6" s="14">
        <f>SUM('Entity Inputs'!DX6,'Entity Inputs'!DX12)</f>
        <v/>
      </c>
      <c r="DY6" s="14">
        <f>SUM('Entity Inputs'!DY6,'Entity Inputs'!DY12)</f>
        <v/>
      </c>
      <c r="DZ6" s="14">
        <f>SUM('Entity Inputs'!DZ6,'Entity Inputs'!DZ12)</f>
        <v/>
      </c>
      <c r="EA6" s="14">
        <f>SUM('Entity Inputs'!EA6,'Entity Inputs'!EA12)</f>
        <v/>
      </c>
      <c r="EB6" s="14">
        <f>SUM('Entity Inputs'!EB6,'Entity Inputs'!EB12)</f>
        <v/>
      </c>
      <c r="EC6" s="14">
        <f>SUM('Entity Inputs'!EC6,'Entity Inputs'!EC12)</f>
        <v/>
      </c>
      <c r="ED6" s="14">
        <f>SUM('Entity Inputs'!ED6,'Entity Inputs'!ED12)</f>
        <v/>
      </c>
      <c r="EE6" s="14">
        <f>SUM('Entity Inputs'!EE6,'Entity Inputs'!EE12)</f>
        <v/>
      </c>
      <c r="EF6" s="14">
        <f>SUM('Entity Inputs'!EF6,'Entity Inputs'!EF12)</f>
        <v/>
      </c>
      <c r="EG6" s="14">
        <f>SUM('Entity Inputs'!EG6,'Entity Inputs'!EG12)</f>
        <v/>
      </c>
      <c r="EH6" s="14">
        <f>SUM('Entity Inputs'!EH6,'Entity Inputs'!EH12)</f>
        <v/>
      </c>
      <c r="EI6" s="14">
        <f>SUM('Entity Inputs'!EI6,'Entity Inputs'!EI12)</f>
        <v/>
      </c>
      <c r="EJ6" s="14">
        <f>SUM('Entity Inputs'!EJ6,'Entity Inputs'!EJ12)</f>
        <v/>
      </c>
      <c r="EK6" s="14">
        <f>SUM('Entity Inputs'!EK6,'Entity Inputs'!EK12)</f>
        <v/>
      </c>
      <c r="EL6" s="14">
        <f>SUM('Entity Inputs'!EL6,'Entity Inputs'!EL12)</f>
        <v/>
      </c>
      <c r="EM6" s="14">
        <f>SUM('Entity Inputs'!EM6,'Entity Inputs'!EM12)</f>
        <v/>
      </c>
      <c r="EN6" s="14">
        <f>SUM('Entity Inputs'!EN6,'Entity Inputs'!EN12)</f>
        <v/>
      </c>
      <c r="EO6" s="14">
        <f>SUM('Entity Inputs'!EO6,'Entity Inputs'!EO12)</f>
        <v/>
      </c>
      <c r="EP6" s="14">
        <f>SUM('Entity Inputs'!EP6,'Entity Inputs'!EP12)</f>
        <v/>
      </c>
      <c r="EQ6" s="14">
        <f>SUM('Entity Inputs'!EQ6,'Entity Inputs'!EQ12)</f>
        <v/>
      </c>
      <c r="ER6" s="14">
        <f>SUM('Entity Inputs'!ER6,'Entity Inputs'!ER12)</f>
        <v/>
      </c>
      <c r="ES6" s="14">
        <f>SUM('Entity Inputs'!ES6,'Entity Inputs'!ES12)</f>
        <v/>
      </c>
      <c r="ET6" s="14">
        <f>SUM('Entity Inputs'!ET6,'Entity Inputs'!ET12)</f>
        <v/>
      </c>
      <c r="EU6" s="14">
        <f>SUM('Entity Inputs'!EU6,'Entity Inputs'!EU12)</f>
        <v/>
      </c>
      <c r="EV6" s="14">
        <f>SUM('Entity Inputs'!EV6,'Entity Inputs'!EV12)</f>
        <v/>
      </c>
      <c r="EW6" s="14">
        <f>SUM('Entity Inputs'!EW6,'Entity Inputs'!EW12)</f>
        <v/>
      </c>
      <c r="EX6" s="14">
        <f>SUM('Entity Inputs'!EX6,'Entity Inputs'!EX12)</f>
        <v/>
      </c>
      <c r="EY6" s="14">
        <f>SUM('Entity Inputs'!EY6,'Entity Inputs'!EY12)</f>
        <v/>
      </c>
      <c r="EZ6" s="14">
        <f>SUM('Entity Inputs'!EZ6,'Entity Inputs'!EZ12)</f>
        <v/>
      </c>
      <c r="FA6" s="14">
        <f>SUM('Entity Inputs'!FA6,'Entity Inputs'!FA12)</f>
        <v/>
      </c>
      <c r="FB6" s="14">
        <f>SUM('Entity Inputs'!FB6,'Entity Inputs'!FB12)</f>
        <v/>
      </c>
      <c r="FC6" s="14">
        <f>SUM('Entity Inputs'!FC6,'Entity Inputs'!FC12)</f>
        <v/>
      </c>
      <c r="FD6" s="14">
        <f>SUM('Entity Inputs'!FD6,'Entity Inputs'!FD12)</f>
        <v/>
      </c>
      <c r="FE6" s="14">
        <f>SUM('Entity Inputs'!FE6,'Entity Inputs'!FE12)</f>
        <v/>
      </c>
      <c r="FF6" s="14">
        <f>SUM('Entity Inputs'!FF6,'Entity Inputs'!FF12)</f>
        <v/>
      </c>
      <c r="FG6" s="14">
        <f>SUM('Entity Inputs'!FG6,'Entity Inputs'!FG12)</f>
        <v/>
      </c>
      <c r="FH6" s="14">
        <f>SUM('Entity Inputs'!FH6,'Entity Inputs'!FH12)</f>
        <v/>
      </c>
      <c r="FI6" s="14">
        <f>SUM('Entity Inputs'!FI6,'Entity Inputs'!FI12)</f>
        <v/>
      </c>
      <c r="FJ6" s="14">
        <f>SUM('Entity Inputs'!FJ6,'Entity Inputs'!FJ12)</f>
        <v/>
      </c>
      <c r="FK6" s="14">
        <f>SUM('Entity Inputs'!FK6,'Entity Inputs'!FK12)</f>
        <v/>
      </c>
      <c r="FL6" s="14">
        <f>SUM('Entity Inputs'!FL6,'Entity Inputs'!FL12)</f>
        <v/>
      </c>
      <c r="FM6" s="14">
        <f>SUM('Entity Inputs'!FM6,'Entity Inputs'!FM12)</f>
        <v/>
      </c>
      <c r="FN6" s="14">
        <f>SUM('Entity Inputs'!FN6,'Entity Inputs'!FN12)</f>
        <v/>
      </c>
      <c r="FO6" s="14">
        <f>SUM('Entity Inputs'!FO6,'Entity Inputs'!FO12)</f>
        <v/>
      </c>
      <c r="FP6" s="14">
        <f>SUM('Entity Inputs'!FP6,'Entity Inputs'!FP12)</f>
        <v/>
      </c>
      <c r="FQ6" s="14">
        <f>SUM('Entity Inputs'!FQ6,'Entity Inputs'!FQ12)</f>
        <v/>
      </c>
      <c r="FR6" s="14">
        <f>SUM('Entity Inputs'!FR6,'Entity Inputs'!FR12)</f>
        <v/>
      </c>
      <c r="FS6" s="14">
        <f>SUM('Entity Inputs'!FS6,'Entity Inputs'!FS12)</f>
        <v/>
      </c>
      <c r="FT6" s="14">
        <f>SUM('Entity Inputs'!FT6,'Entity Inputs'!FT12)</f>
        <v/>
      </c>
      <c r="FU6" s="14">
        <f>SUM('Entity Inputs'!FU6,'Entity Inputs'!FU12)</f>
        <v/>
      </c>
      <c r="FV6" s="22">
        <f>AU6-V6-X6-BY6</f>
        <v/>
      </c>
      <c r="FW6" s="22">
        <f>FV6-AX6</f>
        <v/>
      </c>
      <c r="FX6" s="22">
        <f>CJ6+CL6-CK6</f>
        <v/>
      </c>
      <c r="FY6" s="22">
        <f>FX6-FX5</f>
        <v/>
      </c>
      <c r="FZ6" s="22">
        <f>FV6-BZ6-FY6</f>
        <v/>
      </c>
      <c r="GA6" s="22">
        <f>FZ6-DJ6</f>
        <v/>
      </c>
      <c r="GB6" s="22">
        <f>CB6-CC6</f>
        <v/>
      </c>
      <c r="GC6" s="22">
        <f>SUM(FV$4:FV6)*12/D6</f>
        <v/>
      </c>
      <c r="GD6" s="22">
        <f>IF(AU6=0,0,CJ6/AU6*C6)</f>
        <v/>
      </c>
      <c r="GE6" s="22">
        <f>IF(V6=0,0,CK6/V6*C6)</f>
        <v/>
      </c>
      <c r="GF6" s="22">
        <f>IF(V6=0,0,CL6/V6*C6)</f>
        <v/>
      </c>
      <c r="GG6" s="22">
        <f>IF(OR(AS6=0,AT6=0,AV6=0),0,100*((AU6/AS6)/(AV6/AT6)-1))</f>
        <v/>
      </c>
      <c r="GH6" s="25">
        <f>SUM('Entity Inputs'!FV6,'Entity Inputs'!FV12)</f>
        <v/>
      </c>
      <c r="GI6" s="25">
        <f>SUM('Entity Inputs'!FW6,'Entity Inputs'!FW12)</f>
        <v/>
      </c>
      <c r="GJ6" s="25">
        <f>SUM('Entity Inputs'!FX6,'Entity Inputs'!FX12)</f>
        <v/>
      </c>
      <c r="GK6" s="25">
        <f>SUM('Entity Inputs'!FY6,'Entity Inputs'!FY12)</f>
        <v/>
      </c>
      <c r="GL6" s="25">
        <f>SUM('Entity Inputs'!FZ6,'Entity Inputs'!FZ12)</f>
        <v/>
      </c>
      <c r="GM6" s="25">
        <f>SUM('Entity Inputs'!GA6,'Entity Inputs'!GA12)</f>
        <v/>
      </c>
      <c r="GN6" s="25">
        <f>SQRT('Entity Inputs'!GB6^2+'Entity Inputs'!GB12^2)</f>
        <v/>
      </c>
      <c r="GO6" s="25">
        <f>MIN('Entity Inputs'!GC6,'Entity Inputs'!GC12)</f>
        <v/>
      </c>
      <c r="GP6" s="25">
        <f>SUM('Entity Inputs'!GD6,'Entity Inputs'!GD12)</f>
        <v/>
      </c>
      <c r="GQ6" s="25">
        <f>'Entity Inputs'!GE6</f>
        <v/>
      </c>
      <c r="GR6" s="25">
        <f>SUM('Entity Inputs'!GF6,'Entity Inputs'!GF12)</f>
        <v/>
      </c>
    </row>
    <row r="7">
      <c r="A7" t="inlineStr">
        <is>
          <t>Group</t>
        </is>
      </c>
      <c r="B7" t="inlineStr">
        <is>
          <t>2026-07</t>
        </is>
      </c>
      <c r="C7" t="n">
        <v>31</v>
      </c>
      <c r="D7" t="n">
        <v>4</v>
      </c>
      <c r="E7" s="14">
        <f>SUM('Entity Inputs'!E7,'Entity Inputs'!E13)</f>
        <v/>
      </c>
      <c r="F7" s="14">
        <f>SUM('Entity Inputs'!F7,'Entity Inputs'!F13)</f>
        <v/>
      </c>
      <c r="G7" s="14">
        <f>SUM('Entity Inputs'!G7,'Entity Inputs'!G13)</f>
        <v/>
      </c>
      <c r="H7" s="14">
        <f>SUM('Entity Inputs'!H7,'Entity Inputs'!H13)</f>
        <v/>
      </c>
      <c r="I7" s="14">
        <f>SUM('Entity Inputs'!I7,'Entity Inputs'!I13)</f>
        <v/>
      </c>
      <c r="J7" s="14">
        <f>SUM('Entity Inputs'!J7,'Entity Inputs'!J13)</f>
        <v/>
      </c>
      <c r="K7" s="14">
        <f>SUM('Entity Inputs'!K7,'Entity Inputs'!K13)</f>
        <v/>
      </c>
      <c r="L7" s="14">
        <f>SUM('Entity Inputs'!L7,'Entity Inputs'!L13)</f>
        <v/>
      </c>
      <c r="M7" s="14">
        <f>SUM('Entity Inputs'!M7,'Entity Inputs'!M13)</f>
        <v/>
      </c>
      <c r="N7" s="14">
        <f>SUM('Entity Inputs'!N7,'Entity Inputs'!N13)</f>
        <v/>
      </c>
      <c r="O7" s="14">
        <f>SUM('Entity Inputs'!O7,'Entity Inputs'!O13)</f>
        <v/>
      </c>
      <c r="P7" s="14">
        <f>SUM('Entity Inputs'!P7,'Entity Inputs'!P13)</f>
        <v/>
      </c>
      <c r="Q7" s="14">
        <f>SUM('Entity Inputs'!Q7,'Entity Inputs'!Q13)</f>
        <v/>
      </c>
      <c r="R7" s="14">
        <f>SUM('Entity Inputs'!R7,'Entity Inputs'!R13)</f>
        <v/>
      </c>
      <c r="S7" s="14">
        <f>SUM('Entity Inputs'!S7,'Entity Inputs'!S13)</f>
        <v/>
      </c>
      <c r="T7" s="14">
        <f>SUM('Entity Inputs'!T7,'Entity Inputs'!T13)</f>
        <v/>
      </c>
      <c r="U7" s="14">
        <f>SUM('Entity Inputs'!U7,'Entity Inputs'!U13)</f>
        <v/>
      </c>
      <c r="V7" s="14">
        <f>SUM('Entity Inputs'!V7,'Entity Inputs'!V13)</f>
        <v/>
      </c>
      <c r="W7" s="14">
        <f>SUM('Entity Inputs'!W7,'Entity Inputs'!W13)</f>
        <v/>
      </c>
      <c r="X7" s="14">
        <f>SUM('Entity Inputs'!X7,'Entity Inputs'!X13)</f>
        <v/>
      </c>
      <c r="Y7" s="14">
        <f>SUM('Entity Inputs'!Y7,'Entity Inputs'!Y13)</f>
        <v/>
      </c>
      <c r="Z7" s="14">
        <f>SUM('Entity Inputs'!Z7,'Entity Inputs'!Z13)</f>
        <v/>
      </c>
      <c r="AA7" s="14">
        <f>SUM('Entity Inputs'!AA7,'Entity Inputs'!AA13)</f>
        <v/>
      </c>
      <c r="AB7" s="14">
        <f>SUM('Entity Inputs'!AB7,'Entity Inputs'!AB13)</f>
        <v/>
      </c>
      <c r="AC7" s="14">
        <f>SUM('Entity Inputs'!AC7,'Entity Inputs'!AC13)</f>
        <v/>
      </c>
      <c r="AD7" s="14">
        <f>SUM('Entity Inputs'!AD7,'Entity Inputs'!AD13)</f>
        <v/>
      </c>
      <c r="AE7" s="14">
        <f>SUM('Entity Inputs'!AE7,'Entity Inputs'!AE13)</f>
        <v/>
      </c>
      <c r="AF7" s="14">
        <f>SUM('Entity Inputs'!AF7,'Entity Inputs'!AF13)</f>
        <v/>
      </c>
      <c r="AG7" s="14">
        <f>SUM('Entity Inputs'!AG7,'Entity Inputs'!AG13)</f>
        <v/>
      </c>
      <c r="AH7" s="14">
        <f>SUM('Entity Inputs'!AH7,'Entity Inputs'!AH13)</f>
        <v/>
      </c>
      <c r="AI7" s="14">
        <f>SUM('Entity Inputs'!AI7,'Entity Inputs'!AI13)</f>
        <v/>
      </c>
      <c r="AJ7" s="14">
        <f>SUM('Entity Inputs'!AJ7,'Entity Inputs'!AJ13)</f>
        <v/>
      </c>
      <c r="AK7" s="14">
        <f>SUM('Entity Inputs'!AK7,'Entity Inputs'!AK13)</f>
        <v/>
      </c>
      <c r="AL7" s="14">
        <f>SUM('Entity Inputs'!AL7,'Entity Inputs'!AL13)</f>
        <v/>
      </c>
      <c r="AM7" s="14">
        <f>SUM('Entity Inputs'!AM7,'Entity Inputs'!AM13)</f>
        <v/>
      </c>
      <c r="AN7" s="14">
        <f>SUM('Entity Inputs'!AN7,'Entity Inputs'!AN13)</f>
        <v/>
      </c>
      <c r="AO7" s="14">
        <f>SUM('Entity Inputs'!AO7,'Entity Inputs'!AO13)</f>
        <v/>
      </c>
      <c r="AP7" s="14">
        <f>SUM('Entity Inputs'!AP7,'Entity Inputs'!AP13)</f>
        <v/>
      </c>
      <c r="AQ7" s="14">
        <f>SUM('Entity Inputs'!AQ7,'Entity Inputs'!AQ13)</f>
        <v/>
      </c>
      <c r="AR7" s="14">
        <f>MIN('Entity Inputs'!AR7,'Entity Inputs'!AR13)</f>
        <v/>
      </c>
      <c r="AS7" s="14">
        <f>SUM('Entity Inputs'!AS7,'Entity Inputs'!AS13)</f>
        <v/>
      </c>
      <c r="AT7" s="14">
        <f>SUM('Entity Inputs'!AT7,'Entity Inputs'!AT13)</f>
        <v/>
      </c>
      <c r="AU7" s="14">
        <f>SUM('Entity Inputs'!AU7,'Entity Inputs'!AU13)</f>
        <v/>
      </c>
      <c r="AV7" s="14">
        <f>SUM('Entity Inputs'!AV7,'Entity Inputs'!AV13)</f>
        <v/>
      </c>
      <c r="AW7" s="14">
        <f>SUM('Entity Inputs'!AW7,'Entity Inputs'!AW13)</f>
        <v/>
      </c>
      <c r="AX7" s="14">
        <f>SUM('Entity Inputs'!AX7,'Entity Inputs'!AX13)</f>
        <v/>
      </c>
      <c r="AY7" s="14">
        <f>SUM('Entity Inputs'!AY7,'Entity Inputs'!AY13)</f>
        <v/>
      </c>
      <c r="AZ7" s="14">
        <f>SUM('Entity Inputs'!AZ7,'Entity Inputs'!AZ13)</f>
        <v/>
      </c>
      <c r="BA7" s="14">
        <f>SUM('Entity Inputs'!BA7,'Entity Inputs'!BA13)</f>
        <v/>
      </c>
      <c r="BB7" s="14">
        <f>SUM('Entity Inputs'!BB7,'Entity Inputs'!BB13)</f>
        <v/>
      </c>
      <c r="BC7" s="14">
        <f>SUM('Entity Inputs'!BC7,'Entity Inputs'!BC13)</f>
        <v/>
      </c>
      <c r="BD7" s="14">
        <f>SUM('Entity Inputs'!BD7,'Entity Inputs'!BD13)</f>
        <v/>
      </c>
      <c r="BE7" s="14">
        <f>SUM('Entity Inputs'!BE7,'Entity Inputs'!BE13)</f>
        <v/>
      </c>
      <c r="BF7" s="14">
        <f>SUM('Entity Inputs'!BF7,'Entity Inputs'!BF13)</f>
        <v/>
      </c>
      <c r="BG7" s="14">
        <f>SUM('Entity Inputs'!BG7,'Entity Inputs'!BG13)</f>
        <v/>
      </c>
      <c r="BH7" s="14">
        <f>SUM('Entity Inputs'!BH7,'Entity Inputs'!BH13)</f>
        <v/>
      </c>
      <c r="BI7" s="14">
        <f>SUM('Entity Inputs'!BI7,'Entity Inputs'!BI13)</f>
        <v/>
      </c>
      <c r="BJ7" s="14">
        <f>SUM('Entity Inputs'!BJ7,'Entity Inputs'!BJ13)</f>
        <v/>
      </c>
      <c r="BK7" s="14">
        <f>SUM('Entity Inputs'!BK7,'Entity Inputs'!BK13)</f>
        <v/>
      </c>
      <c r="BL7" s="14">
        <f>SUM('Entity Inputs'!BL7,'Entity Inputs'!BL13)</f>
        <v/>
      </c>
      <c r="BM7" s="14">
        <f>SUM('Entity Inputs'!BM7,'Entity Inputs'!BM13)</f>
        <v/>
      </c>
      <c r="BN7" s="14">
        <f>SUM('Entity Inputs'!BN7,'Entity Inputs'!BN13)</f>
        <v/>
      </c>
      <c r="BO7" s="14">
        <f>SUM('Entity Inputs'!BO7,'Entity Inputs'!BO13)</f>
        <v/>
      </c>
      <c r="BP7" s="14">
        <f>SUM('Entity Inputs'!BP7,'Entity Inputs'!BP13)</f>
        <v/>
      </c>
      <c r="BQ7" s="14">
        <f>SUM('Entity Inputs'!BQ7,'Entity Inputs'!BQ13)</f>
        <v/>
      </c>
      <c r="BR7" s="14">
        <f>SUM('Entity Inputs'!BR7,'Entity Inputs'!BR13)</f>
        <v/>
      </c>
      <c r="BS7" s="14">
        <f>MIN('Entity Inputs'!BS7,'Entity Inputs'!BS13)</f>
        <v/>
      </c>
      <c r="BT7" s="14">
        <f>SUM('Entity Inputs'!BT7,'Entity Inputs'!BT13)</f>
        <v/>
      </c>
      <c r="BU7" s="14">
        <f>SUM('Entity Inputs'!BU7,'Entity Inputs'!BU13)</f>
        <v/>
      </c>
      <c r="BV7" s="14">
        <f>SUM('Entity Inputs'!BV7,'Entity Inputs'!BV13)</f>
        <v/>
      </c>
      <c r="BW7" s="14">
        <f>SUM('Entity Inputs'!BW7,'Entity Inputs'!BW13)</f>
        <v/>
      </c>
      <c r="BX7" s="14">
        <f>SUM('Entity Inputs'!BX7,'Entity Inputs'!BX13)</f>
        <v/>
      </c>
      <c r="BY7" s="14">
        <f>SUM('Entity Inputs'!BY7,'Entity Inputs'!BY13)</f>
        <v/>
      </c>
      <c r="BZ7" s="14">
        <f>SUM('Entity Inputs'!BZ7,'Entity Inputs'!BZ13)</f>
        <v/>
      </c>
      <c r="CA7" s="14">
        <f>SUM('Entity Inputs'!CA7,'Entity Inputs'!CA13)</f>
        <v/>
      </c>
      <c r="CB7" s="14">
        <f>SUM('Entity Inputs'!CB7,'Entity Inputs'!CB13)</f>
        <v/>
      </c>
      <c r="CC7" s="14">
        <f>SUM('Entity Inputs'!CC7,'Entity Inputs'!CC13)</f>
        <v/>
      </c>
      <c r="CD7" s="14">
        <f>SUM('Entity Inputs'!CD7,'Entity Inputs'!CD13)</f>
        <v/>
      </c>
      <c r="CE7" s="14">
        <f>SUM('Entity Inputs'!CE7,'Entity Inputs'!CE13)</f>
        <v/>
      </c>
      <c r="CF7" s="14">
        <f>SUM('Entity Inputs'!CF7,'Entity Inputs'!CF13)</f>
        <v/>
      </c>
      <c r="CG7" s="14">
        <f>SUM('Entity Inputs'!CG7,'Entity Inputs'!CG13)</f>
        <v/>
      </c>
      <c r="CH7" s="14">
        <f>SUM('Entity Inputs'!CH7,'Entity Inputs'!CH13)</f>
        <v/>
      </c>
      <c r="CI7" s="14">
        <f>SUM('Entity Inputs'!CI7,'Entity Inputs'!CI13)</f>
        <v/>
      </c>
      <c r="CJ7" s="14">
        <f>SUM('Entity Inputs'!CJ7,'Entity Inputs'!CJ13)</f>
        <v/>
      </c>
      <c r="CK7" s="14">
        <f>SUM('Entity Inputs'!CK7,'Entity Inputs'!CK13)</f>
        <v/>
      </c>
      <c r="CL7" s="14">
        <f>SUM('Entity Inputs'!CL7,'Entity Inputs'!CL13)</f>
        <v/>
      </c>
      <c r="CM7" s="14">
        <f>SUM('Entity Inputs'!CM7,'Entity Inputs'!CM13)</f>
        <v/>
      </c>
      <c r="CN7" s="14">
        <f>SUM('Entity Inputs'!CN7,'Entity Inputs'!CN13)</f>
        <v/>
      </c>
      <c r="CO7" s="14">
        <f>SUM('Entity Inputs'!CO7,'Entity Inputs'!CO13)</f>
        <v/>
      </c>
      <c r="CP7" s="14">
        <f>SUM('Entity Inputs'!CP7,'Entity Inputs'!CP13)</f>
        <v/>
      </c>
      <c r="CQ7" s="14">
        <f>SUM('Entity Inputs'!CQ7,'Entity Inputs'!CQ13)</f>
        <v/>
      </c>
      <c r="CR7" s="14">
        <f>SUM('Entity Inputs'!CR7,'Entity Inputs'!CR13)</f>
        <v/>
      </c>
      <c r="CS7" s="14">
        <f>SUM('Entity Inputs'!CS7,'Entity Inputs'!CS13)</f>
        <v/>
      </c>
      <c r="CT7" s="14">
        <f>SUM('Entity Inputs'!CT7,'Entity Inputs'!CT13)</f>
        <v/>
      </c>
      <c r="CU7" s="14">
        <f>SUM('Entity Inputs'!CU7,'Entity Inputs'!CU13)</f>
        <v/>
      </c>
      <c r="CV7" s="14">
        <f>SUM('Entity Inputs'!CV7,'Entity Inputs'!CV13)</f>
        <v/>
      </c>
      <c r="CW7" s="14">
        <f>SUM('Entity Inputs'!CW7,'Entity Inputs'!CW13)</f>
        <v/>
      </c>
      <c r="CX7" s="14">
        <f>SUM('Entity Inputs'!CX7,'Entity Inputs'!CX13)</f>
        <v/>
      </c>
      <c r="CY7" s="14">
        <f>SUM('Entity Inputs'!CY7,'Entity Inputs'!CY13)</f>
        <v/>
      </c>
      <c r="CZ7" s="14">
        <f>SUM('Entity Inputs'!CZ7,'Entity Inputs'!CZ13)</f>
        <v/>
      </c>
      <c r="DA7" s="14">
        <f>SUM('Entity Inputs'!DA7,'Entity Inputs'!DA13)</f>
        <v/>
      </c>
      <c r="DB7" s="14">
        <f>SUM('Entity Inputs'!DB7,'Entity Inputs'!DB13)</f>
        <v/>
      </c>
      <c r="DC7" s="14">
        <f>SUM('Entity Inputs'!DC7,'Entity Inputs'!DC13)</f>
        <v/>
      </c>
      <c r="DD7" s="14">
        <f>SUM('Entity Inputs'!DD7,'Entity Inputs'!DD13)</f>
        <v/>
      </c>
      <c r="DE7" s="14">
        <f>SUM('Entity Inputs'!DE7,'Entity Inputs'!DE13)</f>
        <v/>
      </c>
      <c r="DF7" s="14">
        <f>SUM('Entity Inputs'!DF7,'Entity Inputs'!DF13)</f>
        <v/>
      </c>
      <c r="DG7" s="14">
        <f>SUM('Entity Inputs'!DG7,'Entity Inputs'!DG13)</f>
        <v/>
      </c>
      <c r="DH7" s="14">
        <f>SUM('Entity Inputs'!DH7,'Entity Inputs'!DH13)</f>
        <v/>
      </c>
      <c r="DI7" s="14">
        <f>SUM('Entity Inputs'!DI7,'Entity Inputs'!DI13)</f>
        <v/>
      </c>
      <c r="DJ7" s="14">
        <f>SUM('Entity Inputs'!DJ7,'Entity Inputs'!DJ13)</f>
        <v/>
      </c>
      <c r="DK7" s="14">
        <f>SUM('Entity Inputs'!DK7,'Entity Inputs'!DK13)</f>
        <v/>
      </c>
      <c r="DL7" s="14">
        <f>SUM('Entity Inputs'!DL7,'Entity Inputs'!DL13)</f>
        <v/>
      </c>
      <c r="DM7" s="14">
        <f>SUM('Entity Inputs'!DM7,'Entity Inputs'!DM13)</f>
        <v/>
      </c>
      <c r="DN7" s="14">
        <f>SUM('Entity Inputs'!DN7,'Entity Inputs'!DN13)</f>
        <v/>
      </c>
      <c r="DO7" s="14">
        <f>SUM('Entity Inputs'!DO7,'Entity Inputs'!DO13)</f>
        <v/>
      </c>
      <c r="DP7" s="14">
        <f>SUM('Entity Inputs'!DP7,'Entity Inputs'!DP13)</f>
        <v/>
      </c>
      <c r="DQ7" s="14">
        <f>SUM('Entity Inputs'!DQ7,'Entity Inputs'!DQ13)</f>
        <v/>
      </c>
      <c r="DR7" s="14">
        <f>SUM('Entity Inputs'!DR7,'Entity Inputs'!DR13)</f>
        <v/>
      </c>
      <c r="DS7" s="14">
        <f>SUM('Entity Inputs'!DS7,'Entity Inputs'!DS13)</f>
        <v/>
      </c>
      <c r="DT7" s="14">
        <f>SUM('Entity Inputs'!DT7,'Entity Inputs'!DT13)</f>
        <v/>
      </c>
      <c r="DU7" s="14">
        <f>SUM('Entity Inputs'!DU7,'Entity Inputs'!DU13)</f>
        <v/>
      </c>
      <c r="DV7" s="14">
        <f>SUM('Entity Inputs'!DV7,'Entity Inputs'!DV13)</f>
        <v/>
      </c>
      <c r="DW7" s="14">
        <f>SUM('Entity Inputs'!DW7,'Entity Inputs'!DW13)</f>
        <v/>
      </c>
      <c r="DX7" s="14">
        <f>SUM('Entity Inputs'!DX7,'Entity Inputs'!DX13)</f>
        <v/>
      </c>
      <c r="DY7" s="14">
        <f>SUM('Entity Inputs'!DY7,'Entity Inputs'!DY13)</f>
        <v/>
      </c>
      <c r="DZ7" s="14">
        <f>SUM('Entity Inputs'!DZ7,'Entity Inputs'!DZ13)</f>
        <v/>
      </c>
      <c r="EA7" s="14">
        <f>SUM('Entity Inputs'!EA7,'Entity Inputs'!EA13)</f>
        <v/>
      </c>
      <c r="EB7" s="14">
        <f>SUM('Entity Inputs'!EB7,'Entity Inputs'!EB13)</f>
        <v/>
      </c>
      <c r="EC7" s="14">
        <f>SUM('Entity Inputs'!EC7,'Entity Inputs'!EC13)</f>
        <v/>
      </c>
      <c r="ED7" s="14">
        <f>SUM('Entity Inputs'!ED7,'Entity Inputs'!ED13)</f>
        <v/>
      </c>
      <c r="EE7" s="14">
        <f>SUM('Entity Inputs'!EE7,'Entity Inputs'!EE13)</f>
        <v/>
      </c>
      <c r="EF7" s="14">
        <f>SUM('Entity Inputs'!EF7,'Entity Inputs'!EF13)</f>
        <v/>
      </c>
      <c r="EG7" s="14">
        <f>SUM('Entity Inputs'!EG7,'Entity Inputs'!EG13)</f>
        <v/>
      </c>
      <c r="EH7" s="14">
        <f>SUM('Entity Inputs'!EH7,'Entity Inputs'!EH13)</f>
        <v/>
      </c>
      <c r="EI7" s="14">
        <f>SUM('Entity Inputs'!EI7,'Entity Inputs'!EI13)</f>
        <v/>
      </c>
      <c r="EJ7" s="14">
        <f>SUM('Entity Inputs'!EJ7,'Entity Inputs'!EJ13)</f>
        <v/>
      </c>
      <c r="EK7" s="14">
        <f>SUM('Entity Inputs'!EK7,'Entity Inputs'!EK13)</f>
        <v/>
      </c>
      <c r="EL7" s="14">
        <f>SUM('Entity Inputs'!EL7,'Entity Inputs'!EL13)</f>
        <v/>
      </c>
      <c r="EM7" s="14">
        <f>SUM('Entity Inputs'!EM7,'Entity Inputs'!EM13)</f>
        <v/>
      </c>
      <c r="EN7" s="14">
        <f>SUM('Entity Inputs'!EN7,'Entity Inputs'!EN13)</f>
        <v/>
      </c>
      <c r="EO7" s="14">
        <f>SUM('Entity Inputs'!EO7,'Entity Inputs'!EO13)</f>
        <v/>
      </c>
      <c r="EP7" s="14">
        <f>SUM('Entity Inputs'!EP7,'Entity Inputs'!EP13)</f>
        <v/>
      </c>
      <c r="EQ7" s="14">
        <f>SUM('Entity Inputs'!EQ7,'Entity Inputs'!EQ13)</f>
        <v/>
      </c>
      <c r="ER7" s="14">
        <f>SUM('Entity Inputs'!ER7,'Entity Inputs'!ER13)</f>
        <v/>
      </c>
      <c r="ES7" s="14">
        <f>SUM('Entity Inputs'!ES7,'Entity Inputs'!ES13)</f>
        <v/>
      </c>
      <c r="ET7" s="14">
        <f>SUM('Entity Inputs'!ET7,'Entity Inputs'!ET13)</f>
        <v/>
      </c>
      <c r="EU7" s="14">
        <f>SUM('Entity Inputs'!EU7,'Entity Inputs'!EU13)</f>
        <v/>
      </c>
      <c r="EV7" s="14">
        <f>SUM('Entity Inputs'!EV7,'Entity Inputs'!EV13)</f>
        <v/>
      </c>
      <c r="EW7" s="14">
        <f>SUM('Entity Inputs'!EW7,'Entity Inputs'!EW13)</f>
        <v/>
      </c>
      <c r="EX7" s="14">
        <f>SUM('Entity Inputs'!EX7,'Entity Inputs'!EX13)</f>
        <v/>
      </c>
      <c r="EY7" s="14">
        <f>SUM('Entity Inputs'!EY7,'Entity Inputs'!EY13)</f>
        <v/>
      </c>
      <c r="EZ7" s="14">
        <f>SUM('Entity Inputs'!EZ7,'Entity Inputs'!EZ13)</f>
        <v/>
      </c>
      <c r="FA7" s="14">
        <f>SUM('Entity Inputs'!FA7,'Entity Inputs'!FA13)</f>
        <v/>
      </c>
      <c r="FB7" s="14">
        <f>SUM('Entity Inputs'!FB7,'Entity Inputs'!FB13)</f>
        <v/>
      </c>
      <c r="FC7" s="14">
        <f>SUM('Entity Inputs'!FC7,'Entity Inputs'!FC13)</f>
        <v/>
      </c>
      <c r="FD7" s="14">
        <f>SUM('Entity Inputs'!FD7,'Entity Inputs'!FD13)</f>
        <v/>
      </c>
      <c r="FE7" s="14">
        <f>SUM('Entity Inputs'!FE7,'Entity Inputs'!FE13)</f>
        <v/>
      </c>
      <c r="FF7" s="14">
        <f>SUM('Entity Inputs'!FF7,'Entity Inputs'!FF13)</f>
        <v/>
      </c>
      <c r="FG7" s="14">
        <f>SUM('Entity Inputs'!FG7,'Entity Inputs'!FG13)</f>
        <v/>
      </c>
      <c r="FH7" s="14">
        <f>SUM('Entity Inputs'!FH7,'Entity Inputs'!FH13)</f>
        <v/>
      </c>
      <c r="FI7" s="14">
        <f>SUM('Entity Inputs'!FI7,'Entity Inputs'!FI13)</f>
        <v/>
      </c>
      <c r="FJ7" s="14">
        <f>SUM('Entity Inputs'!FJ7,'Entity Inputs'!FJ13)</f>
        <v/>
      </c>
      <c r="FK7" s="14">
        <f>SUM('Entity Inputs'!FK7,'Entity Inputs'!FK13)</f>
        <v/>
      </c>
      <c r="FL7" s="14">
        <f>SUM('Entity Inputs'!FL7,'Entity Inputs'!FL13)</f>
        <v/>
      </c>
      <c r="FM7" s="14">
        <f>SUM('Entity Inputs'!FM7,'Entity Inputs'!FM13)</f>
        <v/>
      </c>
      <c r="FN7" s="14">
        <f>SUM('Entity Inputs'!FN7,'Entity Inputs'!FN13)</f>
        <v/>
      </c>
      <c r="FO7" s="14">
        <f>SUM('Entity Inputs'!FO7,'Entity Inputs'!FO13)</f>
        <v/>
      </c>
      <c r="FP7" s="14">
        <f>SUM('Entity Inputs'!FP7,'Entity Inputs'!FP13)</f>
        <v/>
      </c>
      <c r="FQ7" s="14">
        <f>SUM('Entity Inputs'!FQ7,'Entity Inputs'!FQ13)</f>
        <v/>
      </c>
      <c r="FR7" s="14">
        <f>SUM('Entity Inputs'!FR7,'Entity Inputs'!FR13)</f>
        <v/>
      </c>
      <c r="FS7" s="14">
        <f>SUM('Entity Inputs'!FS7,'Entity Inputs'!FS13)</f>
        <v/>
      </c>
      <c r="FT7" s="14">
        <f>SUM('Entity Inputs'!FT7,'Entity Inputs'!FT13)</f>
        <v/>
      </c>
      <c r="FU7" s="14">
        <f>SUM('Entity Inputs'!FU7,'Entity Inputs'!FU13)</f>
        <v/>
      </c>
      <c r="FV7" s="22">
        <f>AU7-V7-X7-BY7</f>
        <v/>
      </c>
      <c r="FW7" s="22">
        <f>FV7-AX7</f>
        <v/>
      </c>
      <c r="FX7" s="22">
        <f>CJ7+CL7-CK7</f>
        <v/>
      </c>
      <c r="FY7" s="22">
        <f>FX7-FX6</f>
        <v/>
      </c>
      <c r="FZ7" s="22">
        <f>FV7-BZ7-FY7</f>
        <v/>
      </c>
      <c r="GA7" s="22">
        <f>FZ7-DJ7</f>
        <v/>
      </c>
      <c r="GB7" s="22">
        <f>CB7-CC7</f>
        <v/>
      </c>
      <c r="GC7" s="22">
        <f>SUM(FV$4:FV7)*12/D7</f>
        <v/>
      </c>
      <c r="GD7" s="22">
        <f>IF(AU7=0,0,CJ7/AU7*C7)</f>
        <v/>
      </c>
      <c r="GE7" s="22">
        <f>IF(V7=0,0,CK7/V7*C7)</f>
        <v/>
      </c>
      <c r="GF7" s="22">
        <f>IF(V7=0,0,CL7/V7*C7)</f>
        <v/>
      </c>
      <c r="GG7" s="22">
        <f>IF(OR(AS7=0,AT7=0,AV7=0),0,100*((AU7/AS7)/(AV7/AT7)-1))</f>
        <v/>
      </c>
      <c r="GH7" s="25">
        <f>SUM('Entity Inputs'!FV7,'Entity Inputs'!FV13)</f>
        <v/>
      </c>
      <c r="GI7" s="25">
        <f>SUM('Entity Inputs'!FW7,'Entity Inputs'!FW13)</f>
        <v/>
      </c>
      <c r="GJ7" s="25">
        <f>SUM('Entity Inputs'!FX7,'Entity Inputs'!FX13)</f>
        <v/>
      </c>
      <c r="GK7" s="25">
        <f>SUM('Entity Inputs'!FY7,'Entity Inputs'!FY13)</f>
        <v/>
      </c>
      <c r="GL7" s="25">
        <f>SUM('Entity Inputs'!FZ7,'Entity Inputs'!FZ13)</f>
        <v/>
      </c>
      <c r="GM7" s="25">
        <f>SUM('Entity Inputs'!GA7,'Entity Inputs'!GA13)</f>
        <v/>
      </c>
      <c r="GN7" s="25">
        <f>SQRT('Entity Inputs'!GB7^2+'Entity Inputs'!GB13^2)</f>
        <v/>
      </c>
      <c r="GO7" s="25">
        <f>MIN('Entity Inputs'!GC7,'Entity Inputs'!GC13)</f>
        <v/>
      </c>
      <c r="GP7" s="25">
        <f>SUM('Entity Inputs'!GD7,'Entity Inputs'!GD13)</f>
        <v/>
      </c>
      <c r="GQ7" s="25">
        <f>'Entity Inputs'!GE7</f>
        <v/>
      </c>
      <c r="GR7" s="25">
        <f>SUM('Entity Inputs'!GF7,'Entity Inputs'!GF13)</f>
        <v/>
      </c>
    </row>
    <row r="8">
      <c r="A8" t="inlineStr">
        <is>
          <t>Group</t>
        </is>
      </c>
      <c r="B8" t="inlineStr">
        <is>
          <t>2026-08</t>
        </is>
      </c>
      <c r="C8" t="n">
        <v>31</v>
      </c>
      <c r="D8" t="n">
        <v>5</v>
      </c>
      <c r="E8" s="14">
        <f>SUM('Entity Inputs'!E8,'Entity Inputs'!E14)</f>
        <v/>
      </c>
      <c r="F8" s="14">
        <f>SUM('Entity Inputs'!F8,'Entity Inputs'!F14)</f>
        <v/>
      </c>
      <c r="G8" s="14">
        <f>SUM('Entity Inputs'!G8,'Entity Inputs'!G14)</f>
        <v/>
      </c>
      <c r="H8" s="14">
        <f>SUM('Entity Inputs'!H8,'Entity Inputs'!H14)</f>
        <v/>
      </c>
      <c r="I8" s="14">
        <f>SUM('Entity Inputs'!I8,'Entity Inputs'!I14)</f>
        <v/>
      </c>
      <c r="J8" s="14">
        <f>SUM('Entity Inputs'!J8,'Entity Inputs'!J14)</f>
        <v/>
      </c>
      <c r="K8" s="14">
        <f>SUM('Entity Inputs'!K8,'Entity Inputs'!K14)</f>
        <v/>
      </c>
      <c r="L8" s="14">
        <f>SUM('Entity Inputs'!L8,'Entity Inputs'!L14)</f>
        <v/>
      </c>
      <c r="M8" s="14">
        <f>SUM('Entity Inputs'!M8,'Entity Inputs'!M14)</f>
        <v/>
      </c>
      <c r="N8" s="14">
        <f>SUM('Entity Inputs'!N8,'Entity Inputs'!N14)</f>
        <v/>
      </c>
      <c r="O8" s="14">
        <f>SUM('Entity Inputs'!O8,'Entity Inputs'!O14)</f>
        <v/>
      </c>
      <c r="P8" s="14">
        <f>SUM('Entity Inputs'!P8,'Entity Inputs'!P14)</f>
        <v/>
      </c>
      <c r="Q8" s="14">
        <f>SUM('Entity Inputs'!Q8,'Entity Inputs'!Q14)</f>
        <v/>
      </c>
      <c r="R8" s="14">
        <f>SUM('Entity Inputs'!R8,'Entity Inputs'!R14)</f>
        <v/>
      </c>
      <c r="S8" s="14">
        <f>SUM('Entity Inputs'!S8,'Entity Inputs'!S14)</f>
        <v/>
      </c>
      <c r="T8" s="14">
        <f>SUM('Entity Inputs'!T8,'Entity Inputs'!T14)</f>
        <v/>
      </c>
      <c r="U8" s="14">
        <f>SUM('Entity Inputs'!U8,'Entity Inputs'!U14)</f>
        <v/>
      </c>
      <c r="V8" s="14">
        <f>SUM('Entity Inputs'!V8,'Entity Inputs'!V14)</f>
        <v/>
      </c>
      <c r="W8" s="14">
        <f>SUM('Entity Inputs'!W8,'Entity Inputs'!W14)</f>
        <v/>
      </c>
      <c r="X8" s="14">
        <f>SUM('Entity Inputs'!X8,'Entity Inputs'!X14)</f>
        <v/>
      </c>
      <c r="Y8" s="14">
        <f>SUM('Entity Inputs'!Y8,'Entity Inputs'!Y14)</f>
        <v/>
      </c>
      <c r="Z8" s="14">
        <f>SUM('Entity Inputs'!Z8,'Entity Inputs'!Z14)</f>
        <v/>
      </c>
      <c r="AA8" s="14">
        <f>SUM('Entity Inputs'!AA8,'Entity Inputs'!AA14)</f>
        <v/>
      </c>
      <c r="AB8" s="14">
        <f>SUM('Entity Inputs'!AB8,'Entity Inputs'!AB14)</f>
        <v/>
      </c>
      <c r="AC8" s="14">
        <f>SUM('Entity Inputs'!AC8,'Entity Inputs'!AC14)</f>
        <v/>
      </c>
      <c r="AD8" s="14">
        <f>SUM('Entity Inputs'!AD8,'Entity Inputs'!AD14)</f>
        <v/>
      </c>
      <c r="AE8" s="14">
        <f>SUM('Entity Inputs'!AE8,'Entity Inputs'!AE14)</f>
        <v/>
      </c>
      <c r="AF8" s="14">
        <f>SUM('Entity Inputs'!AF8,'Entity Inputs'!AF14)</f>
        <v/>
      </c>
      <c r="AG8" s="14">
        <f>SUM('Entity Inputs'!AG8,'Entity Inputs'!AG14)</f>
        <v/>
      </c>
      <c r="AH8" s="14">
        <f>SUM('Entity Inputs'!AH8,'Entity Inputs'!AH14)</f>
        <v/>
      </c>
      <c r="AI8" s="14">
        <f>SUM('Entity Inputs'!AI8,'Entity Inputs'!AI14)</f>
        <v/>
      </c>
      <c r="AJ8" s="14">
        <f>SUM('Entity Inputs'!AJ8,'Entity Inputs'!AJ14)</f>
        <v/>
      </c>
      <c r="AK8" s="14">
        <f>SUM('Entity Inputs'!AK8,'Entity Inputs'!AK14)</f>
        <v/>
      </c>
      <c r="AL8" s="14">
        <f>SUM('Entity Inputs'!AL8,'Entity Inputs'!AL14)</f>
        <v/>
      </c>
      <c r="AM8" s="14">
        <f>SUM('Entity Inputs'!AM8,'Entity Inputs'!AM14)</f>
        <v/>
      </c>
      <c r="AN8" s="14">
        <f>SUM('Entity Inputs'!AN8,'Entity Inputs'!AN14)</f>
        <v/>
      </c>
      <c r="AO8" s="14">
        <f>SUM('Entity Inputs'!AO8,'Entity Inputs'!AO14)</f>
        <v/>
      </c>
      <c r="AP8" s="14">
        <f>SUM('Entity Inputs'!AP8,'Entity Inputs'!AP14)</f>
        <v/>
      </c>
      <c r="AQ8" s="14">
        <f>SUM('Entity Inputs'!AQ8,'Entity Inputs'!AQ14)</f>
        <v/>
      </c>
      <c r="AR8" s="14">
        <f>MIN('Entity Inputs'!AR8,'Entity Inputs'!AR14)</f>
        <v/>
      </c>
      <c r="AS8" s="14">
        <f>SUM('Entity Inputs'!AS8,'Entity Inputs'!AS14)</f>
        <v/>
      </c>
      <c r="AT8" s="14">
        <f>SUM('Entity Inputs'!AT8,'Entity Inputs'!AT14)</f>
        <v/>
      </c>
      <c r="AU8" s="14">
        <f>SUM('Entity Inputs'!AU8,'Entity Inputs'!AU14)</f>
        <v/>
      </c>
      <c r="AV8" s="14">
        <f>SUM('Entity Inputs'!AV8,'Entity Inputs'!AV14)</f>
        <v/>
      </c>
      <c r="AW8" s="14">
        <f>SUM('Entity Inputs'!AW8,'Entity Inputs'!AW14)</f>
        <v/>
      </c>
      <c r="AX8" s="14">
        <f>SUM('Entity Inputs'!AX8,'Entity Inputs'!AX14)</f>
        <v/>
      </c>
      <c r="AY8" s="14">
        <f>SUM('Entity Inputs'!AY8,'Entity Inputs'!AY14)</f>
        <v/>
      </c>
      <c r="AZ8" s="14">
        <f>SUM('Entity Inputs'!AZ8,'Entity Inputs'!AZ14)</f>
        <v/>
      </c>
      <c r="BA8" s="14">
        <f>SUM('Entity Inputs'!BA8,'Entity Inputs'!BA14)</f>
        <v/>
      </c>
      <c r="BB8" s="14">
        <f>SUM('Entity Inputs'!BB8,'Entity Inputs'!BB14)</f>
        <v/>
      </c>
      <c r="BC8" s="14">
        <f>SUM('Entity Inputs'!BC8,'Entity Inputs'!BC14)</f>
        <v/>
      </c>
      <c r="BD8" s="14">
        <f>SUM('Entity Inputs'!BD8,'Entity Inputs'!BD14)</f>
        <v/>
      </c>
      <c r="BE8" s="14">
        <f>SUM('Entity Inputs'!BE8,'Entity Inputs'!BE14)</f>
        <v/>
      </c>
      <c r="BF8" s="14">
        <f>SUM('Entity Inputs'!BF8,'Entity Inputs'!BF14)</f>
        <v/>
      </c>
      <c r="BG8" s="14">
        <f>SUM('Entity Inputs'!BG8,'Entity Inputs'!BG14)</f>
        <v/>
      </c>
      <c r="BH8" s="14">
        <f>SUM('Entity Inputs'!BH8,'Entity Inputs'!BH14)</f>
        <v/>
      </c>
      <c r="BI8" s="14">
        <f>SUM('Entity Inputs'!BI8,'Entity Inputs'!BI14)</f>
        <v/>
      </c>
      <c r="BJ8" s="14">
        <f>SUM('Entity Inputs'!BJ8,'Entity Inputs'!BJ14)</f>
        <v/>
      </c>
      <c r="BK8" s="14">
        <f>SUM('Entity Inputs'!BK8,'Entity Inputs'!BK14)</f>
        <v/>
      </c>
      <c r="BL8" s="14">
        <f>SUM('Entity Inputs'!BL8,'Entity Inputs'!BL14)</f>
        <v/>
      </c>
      <c r="BM8" s="14">
        <f>SUM('Entity Inputs'!BM8,'Entity Inputs'!BM14)</f>
        <v/>
      </c>
      <c r="BN8" s="14">
        <f>SUM('Entity Inputs'!BN8,'Entity Inputs'!BN14)</f>
        <v/>
      </c>
      <c r="BO8" s="14">
        <f>SUM('Entity Inputs'!BO8,'Entity Inputs'!BO14)</f>
        <v/>
      </c>
      <c r="BP8" s="14">
        <f>SUM('Entity Inputs'!BP8,'Entity Inputs'!BP14)</f>
        <v/>
      </c>
      <c r="BQ8" s="14">
        <f>SUM('Entity Inputs'!BQ8,'Entity Inputs'!BQ14)</f>
        <v/>
      </c>
      <c r="BR8" s="14">
        <f>SUM('Entity Inputs'!BR8,'Entity Inputs'!BR14)</f>
        <v/>
      </c>
      <c r="BS8" s="14">
        <f>MIN('Entity Inputs'!BS8,'Entity Inputs'!BS14)</f>
        <v/>
      </c>
      <c r="BT8" s="14">
        <f>SUM('Entity Inputs'!BT8,'Entity Inputs'!BT14)</f>
        <v/>
      </c>
      <c r="BU8" s="14">
        <f>SUM('Entity Inputs'!BU8,'Entity Inputs'!BU14)</f>
        <v/>
      </c>
      <c r="BV8" s="14">
        <f>SUM('Entity Inputs'!BV8,'Entity Inputs'!BV14)</f>
        <v/>
      </c>
      <c r="BW8" s="14">
        <f>SUM('Entity Inputs'!BW8,'Entity Inputs'!BW14)</f>
        <v/>
      </c>
      <c r="BX8" s="14">
        <f>SUM('Entity Inputs'!BX8,'Entity Inputs'!BX14)</f>
        <v/>
      </c>
      <c r="BY8" s="14">
        <f>SUM('Entity Inputs'!BY8,'Entity Inputs'!BY14)</f>
        <v/>
      </c>
      <c r="BZ8" s="14">
        <f>SUM('Entity Inputs'!BZ8,'Entity Inputs'!BZ14)</f>
        <v/>
      </c>
      <c r="CA8" s="14">
        <f>SUM('Entity Inputs'!CA8,'Entity Inputs'!CA14)</f>
        <v/>
      </c>
      <c r="CB8" s="14">
        <f>SUM('Entity Inputs'!CB8,'Entity Inputs'!CB14)</f>
        <v/>
      </c>
      <c r="CC8" s="14">
        <f>SUM('Entity Inputs'!CC8,'Entity Inputs'!CC14)</f>
        <v/>
      </c>
      <c r="CD8" s="14">
        <f>SUM('Entity Inputs'!CD8,'Entity Inputs'!CD14)</f>
        <v/>
      </c>
      <c r="CE8" s="14">
        <f>SUM('Entity Inputs'!CE8,'Entity Inputs'!CE14)</f>
        <v/>
      </c>
      <c r="CF8" s="14">
        <f>SUM('Entity Inputs'!CF8,'Entity Inputs'!CF14)</f>
        <v/>
      </c>
      <c r="CG8" s="14">
        <f>SUM('Entity Inputs'!CG8,'Entity Inputs'!CG14)</f>
        <v/>
      </c>
      <c r="CH8" s="14">
        <f>SUM('Entity Inputs'!CH8,'Entity Inputs'!CH14)</f>
        <v/>
      </c>
      <c r="CI8" s="14">
        <f>SUM('Entity Inputs'!CI8,'Entity Inputs'!CI14)</f>
        <v/>
      </c>
      <c r="CJ8" s="14">
        <f>SUM('Entity Inputs'!CJ8,'Entity Inputs'!CJ14)</f>
        <v/>
      </c>
      <c r="CK8" s="14">
        <f>SUM('Entity Inputs'!CK8,'Entity Inputs'!CK14)</f>
        <v/>
      </c>
      <c r="CL8" s="14">
        <f>SUM('Entity Inputs'!CL8,'Entity Inputs'!CL14)</f>
        <v/>
      </c>
      <c r="CM8" s="14">
        <f>SUM('Entity Inputs'!CM8,'Entity Inputs'!CM14)</f>
        <v/>
      </c>
      <c r="CN8" s="14">
        <f>SUM('Entity Inputs'!CN8,'Entity Inputs'!CN14)</f>
        <v/>
      </c>
      <c r="CO8" s="14">
        <f>SUM('Entity Inputs'!CO8,'Entity Inputs'!CO14)</f>
        <v/>
      </c>
      <c r="CP8" s="14">
        <f>SUM('Entity Inputs'!CP8,'Entity Inputs'!CP14)</f>
        <v/>
      </c>
      <c r="CQ8" s="14">
        <f>SUM('Entity Inputs'!CQ8,'Entity Inputs'!CQ14)</f>
        <v/>
      </c>
      <c r="CR8" s="14">
        <f>SUM('Entity Inputs'!CR8,'Entity Inputs'!CR14)</f>
        <v/>
      </c>
      <c r="CS8" s="14">
        <f>SUM('Entity Inputs'!CS8,'Entity Inputs'!CS14)</f>
        <v/>
      </c>
      <c r="CT8" s="14">
        <f>SUM('Entity Inputs'!CT8,'Entity Inputs'!CT14)</f>
        <v/>
      </c>
      <c r="CU8" s="14">
        <f>SUM('Entity Inputs'!CU8,'Entity Inputs'!CU14)</f>
        <v/>
      </c>
      <c r="CV8" s="14">
        <f>SUM('Entity Inputs'!CV8,'Entity Inputs'!CV14)</f>
        <v/>
      </c>
      <c r="CW8" s="14">
        <f>SUM('Entity Inputs'!CW8,'Entity Inputs'!CW14)</f>
        <v/>
      </c>
      <c r="CX8" s="14">
        <f>SUM('Entity Inputs'!CX8,'Entity Inputs'!CX14)</f>
        <v/>
      </c>
      <c r="CY8" s="14">
        <f>SUM('Entity Inputs'!CY8,'Entity Inputs'!CY14)</f>
        <v/>
      </c>
      <c r="CZ8" s="14">
        <f>SUM('Entity Inputs'!CZ8,'Entity Inputs'!CZ14)</f>
        <v/>
      </c>
      <c r="DA8" s="14">
        <f>SUM('Entity Inputs'!DA8,'Entity Inputs'!DA14)</f>
        <v/>
      </c>
      <c r="DB8" s="14">
        <f>SUM('Entity Inputs'!DB8,'Entity Inputs'!DB14)</f>
        <v/>
      </c>
      <c r="DC8" s="14">
        <f>SUM('Entity Inputs'!DC8,'Entity Inputs'!DC14)</f>
        <v/>
      </c>
      <c r="DD8" s="14">
        <f>SUM('Entity Inputs'!DD8,'Entity Inputs'!DD14)</f>
        <v/>
      </c>
      <c r="DE8" s="14">
        <f>SUM('Entity Inputs'!DE8,'Entity Inputs'!DE14)</f>
        <v/>
      </c>
      <c r="DF8" s="14">
        <f>SUM('Entity Inputs'!DF8,'Entity Inputs'!DF14)</f>
        <v/>
      </c>
      <c r="DG8" s="14">
        <f>SUM('Entity Inputs'!DG8,'Entity Inputs'!DG14)</f>
        <v/>
      </c>
      <c r="DH8" s="14">
        <f>SUM('Entity Inputs'!DH8,'Entity Inputs'!DH14)</f>
        <v/>
      </c>
      <c r="DI8" s="14">
        <f>SUM('Entity Inputs'!DI8,'Entity Inputs'!DI14)</f>
        <v/>
      </c>
      <c r="DJ8" s="14">
        <f>SUM('Entity Inputs'!DJ8,'Entity Inputs'!DJ14)</f>
        <v/>
      </c>
      <c r="DK8" s="14">
        <f>SUM('Entity Inputs'!DK8,'Entity Inputs'!DK14)</f>
        <v/>
      </c>
      <c r="DL8" s="14">
        <f>SUM('Entity Inputs'!DL8,'Entity Inputs'!DL14)</f>
        <v/>
      </c>
      <c r="DM8" s="14">
        <f>SUM('Entity Inputs'!DM8,'Entity Inputs'!DM14)</f>
        <v/>
      </c>
      <c r="DN8" s="14">
        <f>SUM('Entity Inputs'!DN8,'Entity Inputs'!DN14)</f>
        <v/>
      </c>
      <c r="DO8" s="14">
        <f>SUM('Entity Inputs'!DO8,'Entity Inputs'!DO14)</f>
        <v/>
      </c>
      <c r="DP8" s="14">
        <f>SUM('Entity Inputs'!DP8,'Entity Inputs'!DP14)</f>
        <v/>
      </c>
      <c r="DQ8" s="14">
        <f>SUM('Entity Inputs'!DQ8,'Entity Inputs'!DQ14)</f>
        <v/>
      </c>
      <c r="DR8" s="14">
        <f>SUM('Entity Inputs'!DR8,'Entity Inputs'!DR14)</f>
        <v/>
      </c>
      <c r="DS8" s="14">
        <f>SUM('Entity Inputs'!DS8,'Entity Inputs'!DS14)</f>
        <v/>
      </c>
      <c r="DT8" s="14">
        <f>SUM('Entity Inputs'!DT8,'Entity Inputs'!DT14)</f>
        <v/>
      </c>
      <c r="DU8" s="14">
        <f>SUM('Entity Inputs'!DU8,'Entity Inputs'!DU14)</f>
        <v/>
      </c>
      <c r="DV8" s="14">
        <f>SUM('Entity Inputs'!DV8,'Entity Inputs'!DV14)</f>
        <v/>
      </c>
      <c r="DW8" s="14">
        <f>SUM('Entity Inputs'!DW8,'Entity Inputs'!DW14)</f>
        <v/>
      </c>
      <c r="DX8" s="14">
        <f>SUM('Entity Inputs'!DX8,'Entity Inputs'!DX14)</f>
        <v/>
      </c>
      <c r="DY8" s="14">
        <f>SUM('Entity Inputs'!DY8,'Entity Inputs'!DY14)</f>
        <v/>
      </c>
      <c r="DZ8" s="14">
        <f>SUM('Entity Inputs'!DZ8,'Entity Inputs'!DZ14)</f>
        <v/>
      </c>
      <c r="EA8" s="14">
        <f>SUM('Entity Inputs'!EA8,'Entity Inputs'!EA14)</f>
        <v/>
      </c>
      <c r="EB8" s="14">
        <f>SUM('Entity Inputs'!EB8,'Entity Inputs'!EB14)</f>
        <v/>
      </c>
      <c r="EC8" s="14">
        <f>SUM('Entity Inputs'!EC8,'Entity Inputs'!EC14)</f>
        <v/>
      </c>
      <c r="ED8" s="14">
        <f>SUM('Entity Inputs'!ED8,'Entity Inputs'!ED14)</f>
        <v/>
      </c>
      <c r="EE8" s="14">
        <f>SUM('Entity Inputs'!EE8,'Entity Inputs'!EE14)</f>
        <v/>
      </c>
      <c r="EF8" s="14">
        <f>SUM('Entity Inputs'!EF8,'Entity Inputs'!EF14)</f>
        <v/>
      </c>
      <c r="EG8" s="14">
        <f>SUM('Entity Inputs'!EG8,'Entity Inputs'!EG14)</f>
        <v/>
      </c>
      <c r="EH8" s="14">
        <f>SUM('Entity Inputs'!EH8,'Entity Inputs'!EH14)</f>
        <v/>
      </c>
      <c r="EI8" s="14">
        <f>SUM('Entity Inputs'!EI8,'Entity Inputs'!EI14)</f>
        <v/>
      </c>
      <c r="EJ8" s="14">
        <f>SUM('Entity Inputs'!EJ8,'Entity Inputs'!EJ14)</f>
        <v/>
      </c>
      <c r="EK8" s="14">
        <f>SUM('Entity Inputs'!EK8,'Entity Inputs'!EK14)</f>
        <v/>
      </c>
      <c r="EL8" s="14">
        <f>SUM('Entity Inputs'!EL8,'Entity Inputs'!EL14)</f>
        <v/>
      </c>
      <c r="EM8" s="14">
        <f>SUM('Entity Inputs'!EM8,'Entity Inputs'!EM14)</f>
        <v/>
      </c>
      <c r="EN8" s="14">
        <f>SUM('Entity Inputs'!EN8,'Entity Inputs'!EN14)</f>
        <v/>
      </c>
      <c r="EO8" s="14">
        <f>SUM('Entity Inputs'!EO8,'Entity Inputs'!EO14)</f>
        <v/>
      </c>
      <c r="EP8" s="14">
        <f>SUM('Entity Inputs'!EP8,'Entity Inputs'!EP14)</f>
        <v/>
      </c>
      <c r="EQ8" s="14">
        <f>SUM('Entity Inputs'!EQ8,'Entity Inputs'!EQ14)</f>
        <v/>
      </c>
      <c r="ER8" s="14">
        <f>SUM('Entity Inputs'!ER8,'Entity Inputs'!ER14)</f>
        <v/>
      </c>
      <c r="ES8" s="14">
        <f>SUM('Entity Inputs'!ES8,'Entity Inputs'!ES14)</f>
        <v/>
      </c>
      <c r="ET8" s="14">
        <f>SUM('Entity Inputs'!ET8,'Entity Inputs'!ET14)</f>
        <v/>
      </c>
      <c r="EU8" s="14">
        <f>SUM('Entity Inputs'!EU8,'Entity Inputs'!EU14)</f>
        <v/>
      </c>
      <c r="EV8" s="14">
        <f>SUM('Entity Inputs'!EV8,'Entity Inputs'!EV14)</f>
        <v/>
      </c>
      <c r="EW8" s="14">
        <f>SUM('Entity Inputs'!EW8,'Entity Inputs'!EW14)</f>
        <v/>
      </c>
      <c r="EX8" s="14">
        <f>SUM('Entity Inputs'!EX8,'Entity Inputs'!EX14)</f>
        <v/>
      </c>
      <c r="EY8" s="14">
        <f>SUM('Entity Inputs'!EY8,'Entity Inputs'!EY14)</f>
        <v/>
      </c>
      <c r="EZ8" s="14">
        <f>SUM('Entity Inputs'!EZ8,'Entity Inputs'!EZ14)</f>
        <v/>
      </c>
      <c r="FA8" s="14">
        <f>SUM('Entity Inputs'!FA8,'Entity Inputs'!FA14)</f>
        <v/>
      </c>
      <c r="FB8" s="14">
        <f>SUM('Entity Inputs'!FB8,'Entity Inputs'!FB14)</f>
        <v/>
      </c>
      <c r="FC8" s="14">
        <f>SUM('Entity Inputs'!FC8,'Entity Inputs'!FC14)</f>
        <v/>
      </c>
      <c r="FD8" s="14">
        <f>SUM('Entity Inputs'!FD8,'Entity Inputs'!FD14)</f>
        <v/>
      </c>
      <c r="FE8" s="14">
        <f>SUM('Entity Inputs'!FE8,'Entity Inputs'!FE14)</f>
        <v/>
      </c>
      <c r="FF8" s="14">
        <f>SUM('Entity Inputs'!FF8,'Entity Inputs'!FF14)</f>
        <v/>
      </c>
      <c r="FG8" s="14">
        <f>SUM('Entity Inputs'!FG8,'Entity Inputs'!FG14)</f>
        <v/>
      </c>
      <c r="FH8" s="14">
        <f>SUM('Entity Inputs'!FH8,'Entity Inputs'!FH14)</f>
        <v/>
      </c>
      <c r="FI8" s="14">
        <f>SUM('Entity Inputs'!FI8,'Entity Inputs'!FI14)</f>
        <v/>
      </c>
      <c r="FJ8" s="14">
        <f>SUM('Entity Inputs'!FJ8,'Entity Inputs'!FJ14)</f>
        <v/>
      </c>
      <c r="FK8" s="14">
        <f>SUM('Entity Inputs'!FK8,'Entity Inputs'!FK14)</f>
        <v/>
      </c>
      <c r="FL8" s="14">
        <f>SUM('Entity Inputs'!FL8,'Entity Inputs'!FL14)</f>
        <v/>
      </c>
      <c r="FM8" s="14">
        <f>SUM('Entity Inputs'!FM8,'Entity Inputs'!FM14)</f>
        <v/>
      </c>
      <c r="FN8" s="14">
        <f>SUM('Entity Inputs'!FN8,'Entity Inputs'!FN14)</f>
        <v/>
      </c>
      <c r="FO8" s="14">
        <f>SUM('Entity Inputs'!FO8,'Entity Inputs'!FO14)</f>
        <v/>
      </c>
      <c r="FP8" s="14">
        <f>SUM('Entity Inputs'!FP8,'Entity Inputs'!FP14)</f>
        <v/>
      </c>
      <c r="FQ8" s="14">
        <f>SUM('Entity Inputs'!FQ8,'Entity Inputs'!FQ14)</f>
        <v/>
      </c>
      <c r="FR8" s="14">
        <f>SUM('Entity Inputs'!FR8,'Entity Inputs'!FR14)</f>
        <v/>
      </c>
      <c r="FS8" s="14">
        <f>SUM('Entity Inputs'!FS8,'Entity Inputs'!FS14)</f>
        <v/>
      </c>
      <c r="FT8" s="14">
        <f>SUM('Entity Inputs'!FT8,'Entity Inputs'!FT14)</f>
        <v/>
      </c>
      <c r="FU8" s="14">
        <f>SUM('Entity Inputs'!FU8,'Entity Inputs'!FU14)</f>
        <v/>
      </c>
      <c r="FV8" s="22">
        <f>AU8-V8-X8-BY8</f>
        <v/>
      </c>
      <c r="FW8" s="22">
        <f>FV8-AX8</f>
        <v/>
      </c>
      <c r="FX8" s="22">
        <f>CJ8+CL8-CK8</f>
        <v/>
      </c>
      <c r="FY8" s="22">
        <f>FX8-FX7</f>
        <v/>
      </c>
      <c r="FZ8" s="22">
        <f>FV8-BZ8-FY8</f>
        <v/>
      </c>
      <c r="GA8" s="22">
        <f>FZ8-DJ8</f>
        <v/>
      </c>
      <c r="GB8" s="22">
        <f>CB8-CC8</f>
        <v/>
      </c>
      <c r="GC8" s="22">
        <f>SUM(FV$4:FV8)*12/D8</f>
        <v/>
      </c>
      <c r="GD8" s="22">
        <f>IF(AU8=0,0,CJ8/AU8*C8)</f>
        <v/>
      </c>
      <c r="GE8" s="22">
        <f>IF(V8=0,0,CK8/V8*C8)</f>
        <v/>
      </c>
      <c r="GF8" s="22">
        <f>IF(V8=0,0,CL8/V8*C8)</f>
        <v/>
      </c>
      <c r="GG8" s="22">
        <f>IF(OR(AS8=0,AT8=0,AV8=0),0,100*((AU8/AS8)/(AV8/AT8)-1))</f>
        <v/>
      </c>
      <c r="GH8" s="25">
        <f>SUM('Entity Inputs'!FV8,'Entity Inputs'!FV14)</f>
        <v/>
      </c>
      <c r="GI8" s="25">
        <f>SUM('Entity Inputs'!FW8,'Entity Inputs'!FW14)</f>
        <v/>
      </c>
      <c r="GJ8" s="25">
        <f>SUM('Entity Inputs'!FX8,'Entity Inputs'!FX14)</f>
        <v/>
      </c>
      <c r="GK8" s="25">
        <f>SUM('Entity Inputs'!FY8,'Entity Inputs'!FY14)</f>
        <v/>
      </c>
      <c r="GL8" s="25">
        <f>SUM('Entity Inputs'!FZ8,'Entity Inputs'!FZ14)</f>
        <v/>
      </c>
      <c r="GM8" s="25">
        <f>SUM('Entity Inputs'!GA8,'Entity Inputs'!GA14)</f>
        <v/>
      </c>
      <c r="GN8" s="25">
        <f>SQRT('Entity Inputs'!GB8^2+'Entity Inputs'!GB14^2)</f>
        <v/>
      </c>
      <c r="GO8" s="25">
        <f>MIN('Entity Inputs'!GC8,'Entity Inputs'!GC14)</f>
        <v/>
      </c>
      <c r="GP8" s="25">
        <f>SUM('Entity Inputs'!GD8,'Entity Inputs'!GD14)</f>
        <v/>
      </c>
      <c r="GQ8" s="25">
        <f>'Entity Inputs'!GE8</f>
        <v/>
      </c>
      <c r="GR8" s="25">
        <f>SUM('Entity Inputs'!GF8,'Entity Inputs'!GF14)</f>
        <v/>
      </c>
    </row>
    <row r="9">
      <c r="A9" t="inlineStr">
        <is>
          <t>Group</t>
        </is>
      </c>
      <c r="B9" t="inlineStr">
        <is>
          <t>2026-09</t>
        </is>
      </c>
      <c r="C9" t="n">
        <v>30</v>
      </c>
      <c r="D9" t="n">
        <v>6</v>
      </c>
      <c r="E9" s="14">
        <f>SUM('Entity Inputs'!E9,'Entity Inputs'!E15)</f>
        <v/>
      </c>
      <c r="F9" s="14">
        <f>SUM('Entity Inputs'!F9,'Entity Inputs'!F15)</f>
        <v/>
      </c>
      <c r="G9" s="14">
        <f>SUM('Entity Inputs'!G9,'Entity Inputs'!G15)</f>
        <v/>
      </c>
      <c r="H9" s="14">
        <f>SUM('Entity Inputs'!H9,'Entity Inputs'!H15)</f>
        <v/>
      </c>
      <c r="I9" s="14">
        <f>SUM('Entity Inputs'!I9,'Entity Inputs'!I15)</f>
        <v/>
      </c>
      <c r="J9" s="14">
        <f>SUM('Entity Inputs'!J9,'Entity Inputs'!J15)</f>
        <v/>
      </c>
      <c r="K9" s="14">
        <f>SUM('Entity Inputs'!K9,'Entity Inputs'!K15)</f>
        <v/>
      </c>
      <c r="L9" s="14">
        <f>SUM('Entity Inputs'!L9,'Entity Inputs'!L15)</f>
        <v/>
      </c>
      <c r="M9" s="14">
        <f>SUM('Entity Inputs'!M9,'Entity Inputs'!M15)</f>
        <v/>
      </c>
      <c r="N9" s="14">
        <f>SUM('Entity Inputs'!N9,'Entity Inputs'!N15)</f>
        <v/>
      </c>
      <c r="O9" s="14">
        <f>SUM('Entity Inputs'!O9,'Entity Inputs'!O15)</f>
        <v/>
      </c>
      <c r="P9" s="14">
        <f>SUM('Entity Inputs'!P9,'Entity Inputs'!P15)</f>
        <v/>
      </c>
      <c r="Q9" s="14">
        <f>SUM('Entity Inputs'!Q9,'Entity Inputs'!Q15)</f>
        <v/>
      </c>
      <c r="R9" s="14">
        <f>SUM('Entity Inputs'!R9,'Entity Inputs'!R15)</f>
        <v/>
      </c>
      <c r="S9" s="14">
        <f>SUM('Entity Inputs'!S9,'Entity Inputs'!S15)</f>
        <v/>
      </c>
      <c r="T9" s="14">
        <f>SUM('Entity Inputs'!T9,'Entity Inputs'!T15)</f>
        <v/>
      </c>
      <c r="U9" s="14">
        <f>SUM('Entity Inputs'!U9,'Entity Inputs'!U15)</f>
        <v/>
      </c>
      <c r="V9" s="14">
        <f>SUM('Entity Inputs'!V9,'Entity Inputs'!V15)</f>
        <v/>
      </c>
      <c r="W9" s="14">
        <f>SUM('Entity Inputs'!W9,'Entity Inputs'!W15)</f>
        <v/>
      </c>
      <c r="X9" s="14">
        <f>SUM('Entity Inputs'!X9,'Entity Inputs'!X15)</f>
        <v/>
      </c>
      <c r="Y9" s="14">
        <f>SUM('Entity Inputs'!Y9,'Entity Inputs'!Y15)</f>
        <v/>
      </c>
      <c r="Z9" s="14">
        <f>SUM('Entity Inputs'!Z9,'Entity Inputs'!Z15)</f>
        <v/>
      </c>
      <c r="AA9" s="14">
        <f>SUM('Entity Inputs'!AA9,'Entity Inputs'!AA15)</f>
        <v/>
      </c>
      <c r="AB9" s="14">
        <f>SUM('Entity Inputs'!AB9,'Entity Inputs'!AB15)</f>
        <v/>
      </c>
      <c r="AC9" s="14">
        <f>SUM('Entity Inputs'!AC9,'Entity Inputs'!AC15)</f>
        <v/>
      </c>
      <c r="AD9" s="14">
        <f>SUM('Entity Inputs'!AD9,'Entity Inputs'!AD15)</f>
        <v/>
      </c>
      <c r="AE9" s="14">
        <f>SUM('Entity Inputs'!AE9,'Entity Inputs'!AE15)</f>
        <v/>
      </c>
      <c r="AF9" s="14">
        <f>SUM('Entity Inputs'!AF9,'Entity Inputs'!AF15)</f>
        <v/>
      </c>
      <c r="AG9" s="14">
        <f>SUM('Entity Inputs'!AG9,'Entity Inputs'!AG15)</f>
        <v/>
      </c>
      <c r="AH9" s="14">
        <f>SUM('Entity Inputs'!AH9,'Entity Inputs'!AH15)</f>
        <v/>
      </c>
      <c r="AI9" s="14">
        <f>SUM('Entity Inputs'!AI9,'Entity Inputs'!AI15)</f>
        <v/>
      </c>
      <c r="AJ9" s="14">
        <f>SUM('Entity Inputs'!AJ9,'Entity Inputs'!AJ15)</f>
        <v/>
      </c>
      <c r="AK9" s="14">
        <f>SUM('Entity Inputs'!AK9,'Entity Inputs'!AK15)</f>
        <v/>
      </c>
      <c r="AL9" s="14">
        <f>SUM('Entity Inputs'!AL9,'Entity Inputs'!AL15)</f>
        <v/>
      </c>
      <c r="AM9" s="14">
        <f>SUM('Entity Inputs'!AM9,'Entity Inputs'!AM15)</f>
        <v/>
      </c>
      <c r="AN9" s="14">
        <f>SUM('Entity Inputs'!AN9,'Entity Inputs'!AN15)</f>
        <v/>
      </c>
      <c r="AO9" s="14">
        <f>SUM('Entity Inputs'!AO9,'Entity Inputs'!AO15)</f>
        <v/>
      </c>
      <c r="AP9" s="14">
        <f>SUM('Entity Inputs'!AP9,'Entity Inputs'!AP15)</f>
        <v/>
      </c>
      <c r="AQ9" s="14">
        <f>SUM('Entity Inputs'!AQ9,'Entity Inputs'!AQ15)</f>
        <v/>
      </c>
      <c r="AR9" s="14">
        <f>MIN('Entity Inputs'!AR9,'Entity Inputs'!AR15)</f>
        <v/>
      </c>
      <c r="AS9" s="14">
        <f>SUM('Entity Inputs'!AS9,'Entity Inputs'!AS15)</f>
        <v/>
      </c>
      <c r="AT9" s="14">
        <f>SUM('Entity Inputs'!AT9,'Entity Inputs'!AT15)</f>
        <v/>
      </c>
      <c r="AU9" s="14">
        <f>SUM('Entity Inputs'!AU9,'Entity Inputs'!AU15)</f>
        <v/>
      </c>
      <c r="AV9" s="14">
        <f>SUM('Entity Inputs'!AV9,'Entity Inputs'!AV15)</f>
        <v/>
      </c>
      <c r="AW9" s="14">
        <f>SUM('Entity Inputs'!AW9,'Entity Inputs'!AW15)</f>
        <v/>
      </c>
      <c r="AX9" s="14">
        <f>SUM('Entity Inputs'!AX9,'Entity Inputs'!AX15)</f>
        <v/>
      </c>
      <c r="AY9" s="14">
        <f>SUM('Entity Inputs'!AY9,'Entity Inputs'!AY15)</f>
        <v/>
      </c>
      <c r="AZ9" s="14">
        <f>SUM('Entity Inputs'!AZ9,'Entity Inputs'!AZ15)</f>
        <v/>
      </c>
      <c r="BA9" s="14">
        <f>SUM('Entity Inputs'!BA9,'Entity Inputs'!BA15)</f>
        <v/>
      </c>
      <c r="BB9" s="14">
        <f>SUM('Entity Inputs'!BB9,'Entity Inputs'!BB15)</f>
        <v/>
      </c>
      <c r="BC9" s="14">
        <f>SUM('Entity Inputs'!BC9,'Entity Inputs'!BC15)</f>
        <v/>
      </c>
      <c r="BD9" s="14">
        <f>SUM('Entity Inputs'!BD9,'Entity Inputs'!BD15)</f>
        <v/>
      </c>
      <c r="BE9" s="14">
        <f>SUM('Entity Inputs'!BE9,'Entity Inputs'!BE15)</f>
        <v/>
      </c>
      <c r="BF9" s="14">
        <f>SUM('Entity Inputs'!BF9,'Entity Inputs'!BF15)</f>
        <v/>
      </c>
      <c r="BG9" s="14">
        <f>SUM('Entity Inputs'!BG9,'Entity Inputs'!BG15)</f>
        <v/>
      </c>
      <c r="BH9" s="14">
        <f>SUM('Entity Inputs'!BH9,'Entity Inputs'!BH15)</f>
        <v/>
      </c>
      <c r="BI9" s="14">
        <f>SUM('Entity Inputs'!BI9,'Entity Inputs'!BI15)</f>
        <v/>
      </c>
      <c r="BJ9" s="14">
        <f>SUM('Entity Inputs'!BJ9,'Entity Inputs'!BJ15)</f>
        <v/>
      </c>
      <c r="BK9" s="14">
        <f>SUM('Entity Inputs'!BK9,'Entity Inputs'!BK15)</f>
        <v/>
      </c>
      <c r="BL9" s="14">
        <f>SUM('Entity Inputs'!BL9,'Entity Inputs'!BL15)</f>
        <v/>
      </c>
      <c r="BM9" s="14">
        <f>SUM('Entity Inputs'!BM9,'Entity Inputs'!BM15)</f>
        <v/>
      </c>
      <c r="BN9" s="14">
        <f>SUM('Entity Inputs'!BN9,'Entity Inputs'!BN15)</f>
        <v/>
      </c>
      <c r="BO9" s="14">
        <f>SUM('Entity Inputs'!BO9,'Entity Inputs'!BO15)</f>
        <v/>
      </c>
      <c r="BP9" s="14">
        <f>SUM('Entity Inputs'!BP9,'Entity Inputs'!BP15)</f>
        <v/>
      </c>
      <c r="BQ9" s="14">
        <f>SUM('Entity Inputs'!BQ9,'Entity Inputs'!BQ15)</f>
        <v/>
      </c>
      <c r="BR9" s="14">
        <f>SUM('Entity Inputs'!BR9,'Entity Inputs'!BR15)</f>
        <v/>
      </c>
      <c r="BS9" s="14">
        <f>MIN('Entity Inputs'!BS9,'Entity Inputs'!BS15)</f>
        <v/>
      </c>
      <c r="BT9" s="14">
        <f>SUM('Entity Inputs'!BT9,'Entity Inputs'!BT15)</f>
        <v/>
      </c>
      <c r="BU9" s="14">
        <f>SUM('Entity Inputs'!BU9,'Entity Inputs'!BU15)</f>
        <v/>
      </c>
      <c r="BV9" s="14">
        <f>SUM('Entity Inputs'!BV9,'Entity Inputs'!BV15)</f>
        <v/>
      </c>
      <c r="BW9" s="14">
        <f>SUM('Entity Inputs'!BW9,'Entity Inputs'!BW15)</f>
        <v/>
      </c>
      <c r="BX9" s="14">
        <f>SUM('Entity Inputs'!BX9,'Entity Inputs'!BX15)</f>
        <v/>
      </c>
      <c r="BY9" s="14">
        <f>SUM('Entity Inputs'!BY9,'Entity Inputs'!BY15)</f>
        <v/>
      </c>
      <c r="BZ9" s="14">
        <f>SUM('Entity Inputs'!BZ9,'Entity Inputs'!BZ15)</f>
        <v/>
      </c>
      <c r="CA9" s="14">
        <f>SUM('Entity Inputs'!CA9,'Entity Inputs'!CA15)</f>
        <v/>
      </c>
      <c r="CB9" s="14">
        <f>SUM('Entity Inputs'!CB9,'Entity Inputs'!CB15)</f>
        <v/>
      </c>
      <c r="CC9" s="14">
        <f>SUM('Entity Inputs'!CC9,'Entity Inputs'!CC15)</f>
        <v/>
      </c>
      <c r="CD9" s="14">
        <f>SUM('Entity Inputs'!CD9,'Entity Inputs'!CD15)</f>
        <v/>
      </c>
      <c r="CE9" s="14">
        <f>SUM('Entity Inputs'!CE9,'Entity Inputs'!CE15)</f>
        <v/>
      </c>
      <c r="CF9" s="14">
        <f>SUM('Entity Inputs'!CF9,'Entity Inputs'!CF15)</f>
        <v/>
      </c>
      <c r="CG9" s="14">
        <f>SUM('Entity Inputs'!CG9,'Entity Inputs'!CG15)</f>
        <v/>
      </c>
      <c r="CH9" s="14">
        <f>SUM('Entity Inputs'!CH9,'Entity Inputs'!CH15)</f>
        <v/>
      </c>
      <c r="CI9" s="14">
        <f>SUM('Entity Inputs'!CI9,'Entity Inputs'!CI15)</f>
        <v/>
      </c>
      <c r="CJ9" s="14">
        <f>SUM('Entity Inputs'!CJ9,'Entity Inputs'!CJ15)</f>
        <v/>
      </c>
      <c r="CK9" s="14">
        <f>SUM('Entity Inputs'!CK9,'Entity Inputs'!CK15)</f>
        <v/>
      </c>
      <c r="CL9" s="14">
        <f>SUM('Entity Inputs'!CL9,'Entity Inputs'!CL15)</f>
        <v/>
      </c>
      <c r="CM9" s="14">
        <f>SUM('Entity Inputs'!CM9,'Entity Inputs'!CM15)</f>
        <v/>
      </c>
      <c r="CN9" s="14">
        <f>SUM('Entity Inputs'!CN9,'Entity Inputs'!CN15)</f>
        <v/>
      </c>
      <c r="CO9" s="14">
        <f>SUM('Entity Inputs'!CO9,'Entity Inputs'!CO15)</f>
        <v/>
      </c>
      <c r="CP9" s="14">
        <f>SUM('Entity Inputs'!CP9,'Entity Inputs'!CP15)</f>
        <v/>
      </c>
      <c r="CQ9" s="14">
        <f>SUM('Entity Inputs'!CQ9,'Entity Inputs'!CQ15)</f>
        <v/>
      </c>
      <c r="CR9" s="14">
        <f>SUM('Entity Inputs'!CR9,'Entity Inputs'!CR15)</f>
        <v/>
      </c>
      <c r="CS9" s="14">
        <f>SUM('Entity Inputs'!CS9,'Entity Inputs'!CS15)</f>
        <v/>
      </c>
      <c r="CT9" s="14">
        <f>SUM('Entity Inputs'!CT9,'Entity Inputs'!CT15)</f>
        <v/>
      </c>
      <c r="CU9" s="14">
        <f>SUM('Entity Inputs'!CU9,'Entity Inputs'!CU15)</f>
        <v/>
      </c>
      <c r="CV9" s="14">
        <f>SUM('Entity Inputs'!CV9,'Entity Inputs'!CV15)</f>
        <v/>
      </c>
      <c r="CW9" s="14">
        <f>SUM('Entity Inputs'!CW9,'Entity Inputs'!CW15)</f>
        <v/>
      </c>
      <c r="CX9" s="14">
        <f>SUM('Entity Inputs'!CX9,'Entity Inputs'!CX15)</f>
        <v/>
      </c>
      <c r="CY9" s="14">
        <f>SUM('Entity Inputs'!CY9,'Entity Inputs'!CY15)</f>
        <v/>
      </c>
      <c r="CZ9" s="14">
        <f>SUM('Entity Inputs'!CZ9,'Entity Inputs'!CZ15)</f>
        <v/>
      </c>
      <c r="DA9" s="14">
        <f>SUM('Entity Inputs'!DA9,'Entity Inputs'!DA15)</f>
        <v/>
      </c>
      <c r="DB9" s="14">
        <f>SUM('Entity Inputs'!DB9,'Entity Inputs'!DB15)</f>
        <v/>
      </c>
      <c r="DC9" s="14">
        <f>SUM('Entity Inputs'!DC9,'Entity Inputs'!DC15)</f>
        <v/>
      </c>
      <c r="DD9" s="14">
        <f>SUM('Entity Inputs'!DD9,'Entity Inputs'!DD15)</f>
        <v/>
      </c>
      <c r="DE9" s="14">
        <f>SUM('Entity Inputs'!DE9,'Entity Inputs'!DE15)</f>
        <v/>
      </c>
      <c r="DF9" s="14">
        <f>SUM('Entity Inputs'!DF9,'Entity Inputs'!DF15)</f>
        <v/>
      </c>
      <c r="DG9" s="14">
        <f>SUM('Entity Inputs'!DG9,'Entity Inputs'!DG15)</f>
        <v/>
      </c>
      <c r="DH9" s="14">
        <f>SUM('Entity Inputs'!DH9,'Entity Inputs'!DH15)</f>
        <v/>
      </c>
      <c r="DI9" s="14">
        <f>SUM('Entity Inputs'!DI9,'Entity Inputs'!DI15)</f>
        <v/>
      </c>
      <c r="DJ9" s="14">
        <f>SUM('Entity Inputs'!DJ9,'Entity Inputs'!DJ15)</f>
        <v/>
      </c>
      <c r="DK9" s="14">
        <f>SUM('Entity Inputs'!DK9,'Entity Inputs'!DK15)</f>
        <v/>
      </c>
      <c r="DL9" s="14">
        <f>SUM('Entity Inputs'!DL9,'Entity Inputs'!DL15)</f>
        <v/>
      </c>
      <c r="DM9" s="14">
        <f>SUM('Entity Inputs'!DM9,'Entity Inputs'!DM15)</f>
        <v/>
      </c>
      <c r="DN9" s="14">
        <f>SUM('Entity Inputs'!DN9,'Entity Inputs'!DN15)</f>
        <v/>
      </c>
      <c r="DO9" s="14">
        <f>SUM('Entity Inputs'!DO9,'Entity Inputs'!DO15)</f>
        <v/>
      </c>
      <c r="DP9" s="14">
        <f>SUM('Entity Inputs'!DP9,'Entity Inputs'!DP15)</f>
        <v/>
      </c>
      <c r="DQ9" s="14">
        <f>SUM('Entity Inputs'!DQ9,'Entity Inputs'!DQ15)</f>
        <v/>
      </c>
      <c r="DR9" s="14">
        <f>SUM('Entity Inputs'!DR9,'Entity Inputs'!DR15)</f>
        <v/>
      </c>
      <c r="DS9" s="14">
        <f>SUM('Entity Inputs'!DS9,'Entity Inputs'!DS15)</f>
        <v/>
      </c>
      <c r="DT9" s="14">
        <f>SUM('Entity Inputs'!DT9,'Entity Inputs'!DT15)</f>
        <v/>
      </c>
      <c r="DU9" s="14">
        <f>SUM('Entity Inputs'!DU9,'Entity Inputs'!DU15)</f>
        <v/>
      </c>
      <c r="DV9" s="14">
        <f>SUM('Entity Inputs'!DV9,'Entity Inputs'!DV15)</f>
        <v/>
      </c>
      <c r="DW9" s="14">
        <f>SUM('Entity Inputs'!DW9,'Entity Inputs'!DW15)</f>
        <v/>
      </c>
      <c r="DX9" s="14">
        <f>SUM('Entity Inputs'!DX9,'Entity Inputs'!DX15)</f>
        <v/>
      </c>
      <c r="DY9" s="14">
        <f>SUM('Entity Inputs'!DY9,'Entity Inputs'!DY15)</f>
        <v/>
      </c>
      <c r="DZ9" s="14">
        <f>SUM('Entity Inputs'!DZ9,'Entity Inputs'!DZ15)</f>
        <v/>
      </c>
      <c r="EA9" s="14">
        <f>SUM('Entity Inputs'!EA9,'Entity Inputs'!EA15)</f>
        <v/>
      </c>
      <c r="EB9" s="14">
        <f>SUM('Entity Inputs'!EB9,'Entity Inputs'!EB15)</f>
        <v/>
      </c>
      <c r="EC9" s="14">
        <f>SUM('Entity Inputs'!EC9,'Entity Inputs'!EC15)</f>
        <v/>
      </c>
      <c r="ED9" s="14">
        <f>SUM('Entity Inputs'!ED9,'Entity Inputs'!ED15)</f>
        <v/>
      </c>
      <c r="EE9" s="14">
        <f>SUM('Entity Inputs'!EE9,'Entity Inputs'!EE15)</f>
        <v/>
      </c>
      <c r="EF9" s="14">
        <f>SUM('Entity Inputs'!EF9,'Entity Inputs'!EF15)</f>
        <v/>
      </c>
      <c r="EG9" s="14">
        <f>SUM('Entity Inputs'!EG9,'Entity Inputs'!EG15)</f>
        <v/>
      </c>
      <c r="EH9" s="14">
        <f>SUM('Entity Inputs'!EH9,'Entity Inputs'!EH15)</f>
        <v/>
      </c>
      <c r="EI9" s="14">
        <f>SUM('Entity Inputs'!EI9,'Entity Inputs'!EI15)</f>
        <v/>
      </c>
      <c r="EJ9" s="14">
        <f>SUM('Entity Inputs'!EJ9,'Entity Inputs'!EJ15)</f>
        <v/>
      </c>
      <c r="EK9" s="14">
        <f>SUM('Entity Inputs'!EK9,'Entity Inputs'!EK15)</f>
        <v/>
      </c>
      <c r="EL9" s="14">
        <f>SUM('Entity Inputs'!EL9,'Entity Inputs'!EL15)</f>
        <v/>
      </c>
      <c r="EM9" s="14">
        <f>SUM('Entity Inputs'!EM9,'Entity Inputs'!EM15)</f>
        <v/>
      </c>
      <c r="EN9" s="14">
        <f>SUM('Entity Inputs'!EN9,'Entity Inputs'!EN15)</f>
        <v/>
      </c>
      <c r="EO9" s="14">
        <f>SUM('Entity Inputs'!EO9,'Entity Inputs'!EO15)</f>
        <v/>
      </c>
      <c r="EP9" s="14">
        <f>SUM('Entity Inputs'!EP9,'Entity Inputs'!EP15)</f>
        <v/>
      </c>
      <c r="EQ9" s="14">
        <f>SUM('Entity Inputs'!EQ9,'Entity Inputs'!EQ15)</f>
        <v/>
      </c>
      <c r="ER9" s="14">
        <f>SUM('Entity Inputs'!ER9,'Entity Inputs'!ER15)</f>
        <v/>
      </c>
      <c r="ES9" s="14">
        <f>SUM('Entity Inputs'!ES9,'Entity Inputs'!ES15)</f>
        <v/>
      </c>
      <c r="ET9" s="14">
        <f>SUM('Entity Inputs'!ET9,'Entity Inputs'!ET15)</f>
        <v/>
      </c>
      <c r="EU9" s="14">
        <f>SUM('Entity Inputs'!EU9,'Entity Inputs'!EU15)</f>
        <v/>
      </c>
      <c r="EV9" s="14">
        <f>SUM('Entity Inputs'!EV9,'Entity Inputs'!EV15)</f>
        <v/>
      </c>
      <c r="EW9" s="14">
        <f>SUM('Entity Inputs'!EW9,'Entity Inputs'!EW15)</f>
        <v/>
      </c>
      <c r="EX9" s="14">
        <f>SUM('Entity Inputs'!EX9,'Entity Inputs'!EX15)</f>
        <v/>
      </c>
      <c r="EY9" s="14">
        <f>SUM('Entity Inputs'!EY9,'Entity Inputs'!EY15)</f>
        <v/>
      </c>
      <c r="EZ9" s="14">
        <f>SUM('Entity Inputs'!EZ9,'Entity Inputs'!EZ15)</f>
        <v/>
      </c>
      <c r="FA9" s="14">
        <f>SUM('Entity Inputs'!FA9,'Entity Inputs'!FA15)</f>
        <v/>
      </c>
      <c r="FB9" s="14">
        <f>SUM('Entity Inputs'!FB9,'Entity Inputs'!FB15)</f>
        <v/>
      </c>
      <c r="FC9" s="14">
        <f>SUM('Entity Inputs'!FC9,'Entity Inputs'!FC15)</f>
        <v/>
      </c>
      <c r="FD9" s="14">
        <f>SUM('Entity Inputs'!FD9,'Entity Inputs'!FD15)</f>
        <v/>
      </c>
      <c r="FE9" s="14">
        <f>SUM('Entity Inputs'!FE9,'Entity Inputs'!FE15)</f>
        <v/>
      </c>
      <c r="FF9" s="14">
        <f>SUM('Entity Inputs'!FF9,'Entity Inputs'!FF15)</f>
        <v/>
      </c>
      <c r="FG9" s="14">
        <f>SUM('Entity Inputs'!FG9,'Entity Inputs'!FG15)</f>
        <v/>
      </c>
      <c r="FH9" s="14">
        <f>SUM('Entity Inputs'!FH9,'Entity Inputs'!FH15)</f>
        <v/>
      </c>
      <c r="FI9" s="14">
        <f>SUM('Entity Inputs'!FI9,'Entity Inputs'!FI15)</f>
        <v/>
      </c>
      <c r="FJ9" s="14">
        <f>SUM('Entity Inputs'!FJ9,'Entity Inputs'!FJ15)</f>
        <v/>
      </c>
      <c r="FK9" s="14">
        <f>SUM('Entity Inputs'!FK9,'Entity Inputs'!FK15)</f>
        <v/>
      </c>
      <c r="FL9" s="14">
        <f>SUM('Entity Inputs'!FL9,'Entity Inputs'!FL15)</f>
        <v/>
      </c>
      <c r="FM9" s="14">
        <f>SUM('Entity Inputs'!FM9,'Entity Inputs'!FM15)</f>
        <v/>
      </c>
      <c r="FN9" s="14">
        <f>SUM('Entity Inputs'!FN9,'Entity Inputs'!FN15)</f>
        <v/>
      </c>
      <c r="FO9" s="14">
        <f>SUM('Entity Inputs'!FO9,'Entity Inputs'!FO15)</f>
        <v/>
      </c>
      <c r="FP9" s="14">
        <f>SUM('Entity Inputs'!FP9,'Entity Inputs'!FP15)</f>
        <v/>
      </c>
      <c r="FQ9" s="14">
        <f>SUM('Entity Inputs'!FQ9,'Entity Inputs'!FQ15)</f>
        <v/>
      </c>
      <c r="FR9" s="14">
        <f>SUM('Entity Inputs'!FR9,'Entity Inputs'!FR15)</f>
        <v/>
      </c>
      <c r="FS9" s="14">
        <f>SUM('Entity Inputs'!FS9,'Entity Inputs'!FS15)</f>
        <v/>
      </c>
      <c r="FT9" s="14">
        <f>SUM('Entity Inputs'!FT9,'Entity Inputs'!FT15)</f>
        <v/>
      </c>
      <c r="FU9" s="14">
        <f>SUM('Entity Inputs'!FU9,'Entity Inputs'!FU15)</f>
        <v/>
      </c>
      <c r="FV9" s="22">
        <f>AU9-V9-X9-BY9</f>
        <v/>
      </c>
      <c r="FW9" s="22">
        <f>FV9-AX9</f>
        <v/>
      </c>
      <c r="FX9" s="22">
        <f>CJ9+CL9-CK9</f>
        <v/>
      </c>
      <c r="FY9" s="22">
        <f>FX9-FX8</f>
        <v/>
      </c>
      <c r="FZ9" s="22">
        <f>FV9-BZ9-FY9</f>
        <v/>
      </c>
      <c r="GA9" s="22">
        <f>FZ9-DJ9</f>
        <v/>
      </c>
      <c r="GB9" s="22">
        <f>CB9-CC9</f>
        <v/>
      </c>
      <c r="GC9" s="22">
        <f>SUM(FV$4:FV9)*12/D9</f>
        <v/>
      </c>
      <c r="GD9" s="22">
        <f>IF(AU9=0,0,CJ9/AU9*C9)</f>
        <v/>
      </c>
      <c r="GE9" s="22">
        <f>IF(V9=0,0,CK9/V9*C9)</f>
        <v/>
      </c>
      <c r="GF9" s="22">
        <f>IF(V9=0,0,CL9/V9*C9)</f>
        <v/>
      </c>
      <c r="GG9" s="22">
        <f>IF(OR(AS9=0,AT9=0,AV9=0),0,100*((AU9/AS9)/(AV9/AT9)-1))</f>
        <v/>
      </c>
      <c r="GH9" s="25">
        <f>SUM('Entity Inputs'!FV9,'Entity Inputs'!FV15)</f>
        <v/>
      </c>
      <c r="GI9" s="25">
        <f>SUM('Entity Inputs'!FW9,'Entity Inputs'!FW15)</f>
        <v/>
      </c>
      <c r="GJ9" s="25">
        <f>SUM('Entity Inputs'!FX9,'Entity Inputs'!FX15)</f>
        <v/>
      </c>
      <c r="GK9" s="25">
        <f>SUM('Entity Inputs'!FY9,'Entity Inputs'!FY15)</f>
        <v/>
      </c>
      <c r="GL9" s="25">
        <f>SUM('Entity Inputs'!FZ9,'Entity Inputs'!FZ15)</f>
        <v/>
      </c>
      <c r="GM9" s="25">
        <f>SUM('Entity Inputs'!GA9,'Entity Inputs'!GA15)</f>
        <v/>
      </c>
      <c r="GN9" s="25">
        <f>SQRT('Entity Inputs'!GB9^2+'Entity Inputs'!GB15^2)</f>
        <v/>
      </c>
      <c r="GO9" s="25">
        <f>MIN('Entity Inputs'!GC9,'Entity Inputs'!GC15)</f>
        <v/>
      </c>
      <c r="GP9" s="25">
        <f>SUM('Entity Inputs'!GD9,'Entity Inputs'!GD15)</f>
        <v/>
      </c>
      <c r="GQ9" s="25">
        <f>'Entity Inputs'!GE9</f>
        <v/>
      </c>
      <c r="GR9" s="25">
        <f>SUM('Entity Inputs'!GF9,'Entity Inputs'!GF15)</f>
        <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F15"/>
  <sheetViews>
    <sheetView workbookViewId="0">
      <pane xSplit="3" ySplit="3" topLeftCell="D4" activePane="bottomRight" state="frozen"/>
      <selection pane="topRight" activeCell="D1" sqref="D1"/>
      <selection pane="bottomLeft" activeCell="A4" sqref="A4"/>
      <selection pane="bottomRight" activeCell="A1" sqref="A1"/>
    </sheetView>
  </sheetViews>
  <sheetFormatPr baseColWidth="8" defaultRowHeight="15"/>
  <cols>
    <col width="10.7109375" customWidth="1" min="1" max="3"/>
    <col width="15.7109375" customWidth="1" min="4" max="177"/>
  </cols>
  <sheetData>
    <row r="1" ht="48" customHeight="1">
      <c r="A1" s="9" t="inlineStr">
        <is>
          <t>Group</t>
        </is>
      </c>
      <c r="B1" s="9" t="inlineStr">
        <is>
          <t>Entity</t>
        </is>
      </c>
      <c r="C1" s="9" t="inlineStr">
        <is>
          <t>Month</t>
        </is>
      </c>
      <c r="D1" s="9" t="inlineStr">
        <is>
          <t>Days in month</t>
        </is>
      </c>
      <c r="E1" s="9" t="inlineStr">
        <is>
          <t>Calendar hours (h)</t>
        </is>
      </c>
      <c r="F1" s="9" t="inlineStr">
        <is>
          <t>Planned operating hours (h)</t>
        </is>
      </c>
      <c r="G1" s="9" t="inlineStr">
        <is>
          <t>Run hours (h)</t>
        </is>
      </c>
      <c r="H1" s="9" t="inlineStr">
        <is>
          <t>Unplanned downtime (h)</t>
        </is>
      </c>
      <c r="I1" s="9" t="inlineStr">
        <is>
          <t>Ideal output (t)</t>
        </is>
      </c>
      <c r="J1" s="9" t="inlineStr">
        <is>
          <t>Installed capacity (t)</t>
        </is>
      </c>
      <c r="K1" s="9" t="inlineStr">
        <is>
          <t>Planned production (t)</t>
        </is>
      </c>
      <c r="L1" s="9" t="inlineStr">
        <is>
          <t>Gross output (t)</t>
        </is>
      </c>
      <c r="M1" s="9" t="inlineStr">
        <is>
          <t>Good output (t)</t>
        </is>
      </c>
      <c r="N1" s="9" t="inlineStr">
        <is>
          <t>Feed input (t)</t>
        </is>
      </c>
      <c r="O1" s="9" t="inlineStr">
        <is>
          <t>Valuable content in feed (t)</t>
        </is>
      </c>
      <c r="P1" s="9" t="inlineStr">
        <is>
          <t>Valuable content recovered (t)</t>
        </is>
      </c>
      <c r="Q1" s="9" t="inlineStr">
        <is>
          <t>Production lost to downtime (t)</t>
        </is>
      </c>
      <c r="R1" s="9" t="inlineStr">
        <is>
          <t>Breakdowns (count)</t>
        </is>
      </c>
      <c r="S1" s="9" t="inlineStr">
        <is>
          <t>Repair hours (h)</t>
        </is>
      </c>
      <c r="T1" s="9" t="inlineStr">
        <is>
          <t>Preventive maintenance scheduled (count)</t>
        </is>
      </c>
      <c r="U1" s="9" t="inlineStr">
        <is>
          <t>Preventive maintenance completed (count)</t>
        </is>
      </c>
      <c r="V1" s="9" t="inlineStr">
        <is>
          <t>Variable cost (₹ thousand)</t>
        </is>
      </c>
      <c r="W1" s="9" t="inlineStr">
        <is>
          <t>Fuel cost (₹ thousand)</t>
        </is>
      </c>
      <c r="X1" s="9" t="inlineStr">
        <is>
          <t>Fixed cost (₹ thousand)</t>
        </is>
      </c>
      <c r="Y1" s="9" t="inlineStr">
        <is>
          <t>Water used (m³)</t>
        </is>
      </c>
      <c r="Z1" s="9" t="inlineStr">
        <is>
          <t>Emissions (t CO2e)</t>
        </is>
      </c>
      <c r="AA1" s="9" t="inlineStr">
        <is>
          <t>Energy used (GJ)</t>
        </is>
      </c>
      <c r="AB1" s="9" t="inlineStr">
        <is>
          <t>Production at risk (t)</t>
        </is>
      </c>
      <c r="AC1" s="9" t="inlineStr">
        <is>
          <t>Critical plant alerts (count)</t>
        </is>
      </c>
      <c r="AD1" s="9" t="inlineStr">
        <is>
          <t>Hours worked (h)</t>
        </is>
      </c>
      <c r="AE1" s="9" t="inlineStr">
        <is>
          <t>Recordable injuries (count)</t>
        </is>
      </c>
      <c r="AF1" s="9" t="inlineStr">
        <is>
          <t>Severity incidents (count)</t>
        </is>
      </c>
      <c r="AG1" s="9" t="inlineStr">
        <is>
          <t>Near misses (count)</t>
        </is>
      </c>
      <c r="AH1" s="9" t="inlineStr">
        <is>
          <t>Critical safety incidents (count)</t>
        </is>
      </c>
      <c r="AI1" s="9" t="inlineStr">
        <is>
          <t>Environmental excursions (count)</t>
        </is>
      </c>
      <c r="AJ1" s="9" t="inlineStr">
        <is>
          <t>Environmental violations (count)</t>
        </is>
      </c>
      <c r="AK1" s="9" t="inlineStr">
        <is>
          <t>Open EHS corrective actions (count)</t>
        </is>
      </c>
      <c r="AL1" s="9" t="inlineStr">
        <is>
          <t>Overdue EHS corrective actions (count)</t>
        </is>
      </c>
      <c r="AM1" s="9" t="inlineStr">
        <is>
          <t>EHS investigations due (count)</t>
        </is>
      </c>
      <c r="AN1" s="9" t="inlineStr">
        <is>
          <t>EHS investigations completed (count)</t>
        </is>
      </c>
      <c r="AO1" s="9" t="inlineStr">
        <is>
          <t>Critical materials at risk (count)</t>
        </is>
      </c>
      <c r="AP1" s="9" t="inlineStr">
        <is>
          <t>Dispatches (count)</t>
        </is>
      </c>
      <c r="AQ1" s="9" t="inlineStr">
        <is>
          <t>Delayed dispatches (count)</t>
        </is>
      </c>
      <c r="AR1" s="9" t="inlineStr">
        <is>
          <t>Days to permit expiry (days)</t>
        </is>
      </c>
      <c r="AS1" s="9" t="inlineStr">
        <is>
          <t>Sales volume (t)</t>
        </is>
      </c>
      <c r="AT1" s="9" t="inlineStr">
        <is>
          <t>Planned sales volume (t)</t>
        </is>
      </c>
      <c r="AU1" s="9" t="inlineStr">
        <is>
          <t>Revenue (₹ thousand)</t>
        </is>
      </c>
      <c r="AV1" s="9" t="inlineStr">
        <is>
          <t>Planned revenue (₹ thousand)</t>
        </is>
      </c>
      <c r="AW1" s="9" t="inlineStr">
        <is>
          <t>Power cost, part of variable cost (₹ thousand)</t>
        </is>
      </c>
      <c r="AX1" s="9" t="inlineStr">
        <is>
          <t>Depreciation and amortisation (₹ thousand)</t>
        </is>
      </c>
      <c r="AY1" s="9" t="inlineStr">
        <is>
          <t>Purchase-order lines due (count)</t>
        </is>
      </c>
      <c r="AZ1" s="9" t="inlineStr">
        <is>
          <t>Purchase-order lines delivered on time (count)</t>
        </is>
      </c>
      <c r="BA1" s="9" t="inlineStr">
        <is>
          <t>Quantity ordered from suppliers (t)</t>
        </is>
      </c>
      <c r="BB1" s="9" t="inlineStr">
        <is>
          <t>Quantity received (t)</t>
        </is>
      </c>
      <c r="BC1" s="9" t="inlineStr">
        <is>
          <t>Quantity rejected on quality (t)</t>
        </is>
      </c>
      <c r="BD1" s="9" t="inlineStr">
        <is>
          <t>Planned lead time, all deliveries (days)</t>
        </is>
      </c>
      <c r="BE1" s="9" t="inlineStr">
        <is>
          <t>Actual lead time, all deliveries (days)</t>
        </is>
      </c>
      <c r="BF1" s="9" t="inlineStr">
        <is>
          <t>Supplier spend (₹ thousand)</t>
        </is>
      </c>
      <c r="BG1" s="9" t="inlineStr">
        <is>
          <t>Spend with single-source suppliers (₹ thousand)</t>
        </is>
      </c>
      <c r="BH1" s="9" t="inlineStr">
        <is>
          <t>Supplier EHS incidents (count)</t>
        </is>
      </c>
      <c r="BI1" s="9" t="inlineStr">
        <is>
          <t>Regulatory filings pending (count)</t>
        </is>
      </c>
      <c r="BJ1" s="9" t="inlineStr">
        <is>
          <t>Regulatory deadlines in next 30 days (count)</t>
        </is>
      </c>
      <c r="BK1" s="9" t="inlineStr">
        <is>
          <t>Licences expiring in next 12 months (count)</t>
        </is>
      </c>
      <c r="BL1" s="9" t="inlineStr">
        <is>
          <t>Regulatory obligations due in next 30 days (count)</t>
        </is>
      </c>
      <c r="BM1" s="9" t="inlineStr">
        <is>
          <t>Regulatory obligations overdue (count)</t>
        </is>
      </c>
      <c r="BN1" s="9" t="inlineStr">
        <is>
          <t>Open regulatory actions (count)</t>
        </is>
      </c>
      <c r="BO1" s="9" t="inlineStr">
        <is>
          <t>Overdue compliance actions (count)</t>
        </is>
      </c>
      <c r="BP1" s="9" t="inlineStr">
        <is>
          <t>Regulatory breaches in the month (count)</t>
        </is>
      </c>
      <c r="BQ1" s="9" t="inlineStr">
        <is>
          <t>Events that trigger a disclosure clock (count)</t>
        </is>
      </c>
      <c r="BR1" s="9" t="inlineStr">
        <is>
          <t>EHS escalation clocks running (count)</t>
        </is>
      </c>
      <c r="BS1" s="9" t="inlineStr">
        <is>
          <t>Days until production plan is breached, forecast (days; 99 = not expected)</t>
        </is>
      </c>
      <c r="BT1" s="9" t="inlineStr">
        <is>
          <t>Planned production next month (t)</t>
        </is>
      </c>
      <c r="BU1" s="9" t="inlineStr">
        <is>
          <t>Forecast good output next month (t)</t>
        </is>
      </c>
      <c r="BV1" s="9" t="inlineStr">
        <is>
          <t>Forecast uncertainty next month (variance, t²)</t>
        </is>
      </c>
      <c r="BW1" s="9" t="inlineStr">
        <is>
          <t>Ideal output next month (t)</t>
        </is>
      </c>
      <c r="BX1" s="9" t="inlineStr">
        <is>
          <t>Forecast production lost to downtime next month (t)</t>
        </is>
      </c>
      <c r="BY1" s="9" t="inlineStr">
        <is>
          <t>Overheads, SG&amp;A (₹ thousand)</t>
        </is>
      </c>
      <c r="BZ1" s="9" t="inlineStr">
        <is>
          <t>Tax paid (₹ thousand)</t>
        </is>
      </c>
      <c r="CA1" s="9" t="inlineStr">
        <is>
          <t>Capital employed, month end (₹ thousand)</t>
        </is>
      </c>
      <c r="CB1" s="9" t="inlineStr">
        <is>
          <t>Gross debt, month end (₹ thousand)</t>
        </is>
      </c>
      <c r="CC1" s="9" t="inlineStr">
        <is>
          <t>Cash, month end (₹ thousand)</t>
        </is>
      </c>
      <c r="CD1" s="9" t="inlineStr">
        <is>
          <t>Undrawn committed facilities (₹ thousand)</t>
        </is>
      </c>
      <c r="CE1" s="9" t="inlineStr">
        <is>
          <t>Debt service in the month (₹ thousand)</t>
        </is>
      </c>
      <c r="CF1" s="9" t="inlineStr">
        <is>
          <t>Debt maturing in next 12 months (₹ thousand)</t>
        </is>
      </c>
      <c r="CG1" s="9" t="inlineStr">
        <is>
          <t>Floating-rate debt (₹ thousand)</t>
        </is>
      </c>
      <c r="CH1" s="9" t="inlineStr">
        <is>
          <t>EBITDA as reported in the Board pack (₹ thousand)</t>
        </is>
      </c>
      <c r="CI1" s="9" t="inlineStr">
        <is>
          <t>Revenue in the flash report (₹ thousand)</t>
        </is>
      </c>
      <c r="CJ1" s="9" t="inlineStr">
        <is>
          <t>Trade receivables, month end (₹ thousand)</t>
        </is>
      </c>
      <c r="CK1" s="9" t="inlineStr">
        <is>
          <t>Trade payables, month end (₹ thousand)</t>
        </is>
      </c>
      <c r="CL1" s="9" t="inlineStr">
        <is>
          <t>Inventory, month end (₹ thousand)</t>
        </is>
      </c>
      <c r="CM1" s="9" t="inlineStr">
        <is>
          <t>Cash collected from customers (₹ thousand)</t>
        </is>
      </c>
      <c r="CN1" s="9" t="inlineStr">
        <is>
          <t>Cash released by working-capital actions (₹ thousand)</t>
        </is>
      </c>
      <c r="CO1" s="9" t="inlineStr">
        <is>
          <t>Cash due to be upstreamed to Group, next 30 days (₹ thousand)</t>
        </is>
      </c>
      <c r="CP1" s="9" t="inlineStr">
        <is>
          <t>Of which covered by available cash (₹ thousand)</t>
        </is>
      </c>
      <c r="CQ1" s="9" t="inlineStr">
        <is>
          <t>Invoices collected (count)</t>
        </is>
      </c>
      <c r="CR1" s="9" t="inlineStr">
        <is>
          <t>Days taken to collect, all invoices (days)</t>
        </is>
      </c>
      <c r="CS1" s="9" t="inlineStr">
        <is>
          <t>Agreed payment terms, all invoices (days)</t>
        </is>
      </c>
      <c r="CT1" s="9" t="inlineStr">
        <is>
          <t>Customers more than 30 days overdue (count)</t>
        </is>
      </c>
      <c r="CU1" s="9" t="inlineStr">
        <is>
          <t>Forecast EBITDA, rest of year (₹ thousand)</t>
        </is>
      </c>
      <c r="CV1" s="9" t="inlineStr">
        <is>
          <t>Planned EBITDA, rest of year (₹ thousand)</t>
        </is>
      </c>
      <c r="CW1" s="9" t="inlineStr">
        <is>
          <t>Forecast net cash flow, next 90 days (₹ thousand)</t>
        </is>
      </c>
      <c r="CX1" s="9" t="inlineStr">
        <is>
          <t>Forecast net debt at quarter end (₹ thousand)</t>
        </is>
      </c>
      <c r="CY1" s="9" t="inlineStr">
        <is>
          <t>Forecast EBITDA, 12 months to quarter end (₹ thousand)</t>
        </is>
      </c>
      <c r="CZ1" s="9" t="inlineStr">
        <is>
          <t>Foreign-currency exposure, gross (₹ thousand)</t>
        </is>
      </c>
      <c r="DA1" s="9" t="inlineStr">
        <is>
          <t>Foreign-currency exposure hedged (₹ thousand)</t>
        </is>
      </c>
      <c r="DB1" s="9" t="inlineStr">
        <is>
          <t>USD exposure, gross (₹ thousand)</t>
        </is>
      </c>
      <c r="DC1" s="9" t="inlineStr">
        <is>
          <t>USD exposure hedged (₹ thousand)</t>
        </is>
      </c>
      <c r="DD1" s="9" t="inlineStr">
        <is>
          <t>Change in value of hedges (₹ thousand)</t>
        </is>
      </c>
      <c r="DE1" s="9" t="inlineStr">
        <is>
          <t>Change in value of hedged items (₹ thousand)</t>
        </is>
      </c>
      <c r="DF1" s="9" t="inlineStr">
        <is>
          <t>Forecast foreign-currency flows, next 6 months (₹ thousand)</t>
        </is>
      </c>
      <c r="DG1" s="9" t="inlineStr">
        <is>
          <t>Of which hedged (₹ thousand)</t>
        </is>
      </c>
      <c r="DH1" s="9" t="inlineStr">
        <is>
          <t>Approved capex budget, full year (₹ thousand)</t>
        </is>
      </c>
      <c r="DI1" s="9" t="inlineStr">
        <is>
          <t>Capex committed to date (₹ thousand)</t>
        </is>
      </c>
      <c r="DJ1" s="9" t="inlineStr">
        <is>
          <t>Capex spent in the month (₹ thousand)</t>
        </is>
      </c>
      <c r="DK1" s="9" t="inlineStr">
        <is>
          <t>Capex work completed, valued at budget (₹ thousand)</t>
        </is>
      </c>
      <c r="DL1" s="9" t="inlineStr">
        <is>
          <t>Budget of capex projects at risk (₹ thousand)</t>
        </is>
      </c>
      <c r="DM1" s="9" t="inlineStr">
        <is>
          <t>Capex projects on track (count)</t>
        </is>
      </c>
      <c r="DN1" s="9" t="inlineStr">
        <is>
          <t>Capex projects at risk (count)</t>
        </is>
      </c>
      <c r="DO1" s="9" t="inlineStr">
        <is>
          <t>Capex projects off track (count)</t>
        </is>
      </c>
      <c r="DP1" s="9" t="inlineStr">
        <is>
          <t>Capex projects delayed (count)</t>
        </is>
      </c>
      <c r="DQ1" s="9" t="inlineStr">
        <is>
          <t>Contractor milestones due (count)</t>
        </is>
      </c>
      <c r="DR1" s="9" t="inlineStr">
        <is>
          <t>Contractor days late, all milestones (days)</t>
        </is>
      </c>
      <c r="DS1" s="9" t="inlineStr">
        <is>
          <t>Transformation initiatives on track (count)</t>
        </is>
      </c>
      <c r="DT1" s="9" t="inlineStr">
        <is>
          <t>Transformation initiatives at risk (count)</t>
        </is>
      </c>
      <c r="DU1" s="9" t="inlineStr">
        <is>
          <t>Transformation initiatives delayed (count)</t>
        </is>
      </c>
      <c r="DV1" s="9" t="inlineStr">
        <is>
          <t>Transformation milestones in plan (count)</t>
        </is>
      </c>
      <c r="DW1" s="9" t="inlineStr">
        <is>
          <t>Transformation milestones completed (count)</t>
        </is>
      </c>
      <c r="DX1" s="9" t="inlineStr">
        <is>
          <t>Programme benefits planned in the month (₹ thousand)</t>
        </is>
      </c>
      <c r="DY1" s="9" t="inlineStr">
        <is>
          <t>Programme benefits delivered in the month (₹ thousand)</t>
        </is>
      </c>
      <c r="DZ1" s="9" t="inlineStr">
        <is>
          <t>EBITDA benefit delivered (₹ thousand)</t>
        </is>
      </c>
      <c r="EA1" s="9" t="inlineStr">
        <is>
          <t>Cash benefit delivered (₹ thousand)</t>
        </is>
      </c>
      <c r="EB1" s="9" t="inlineStr">
        <is>
          <t>Cost savings delivered (₹ thousand)</t>
        </is>
      </c>
      <c r="EC1" s="9" t="inlineStr">
        <is>
          <t>Active supply contracts (count)</t>
        </is>
      </c>
      <c r="ED1" s="9" t="inlineStr">
        <is>
          <t>Contracts fully compliant (count)</t>
        </is>
      </c>
      <c r="EE1" s="9" t="inlineStr">
        <is>
          <t>Contracts expiring in next 90 days (count)</t>
        </is>
      </c>
      <c r="EF1" s="9" t="inlineStr">
        <is>
          <t>Suppliers not meeting EHS requirements (count)</t>
        </is>
      </c>
      <c r="EG1" s="9" t="inlineStr">
        <is>
          <t>Critical single-source suppliers (count)</t>
        </is>
      </c>
      <c r="EH1" s="9" t="inlineStr">
        <is>
          <t>Control failures (count)</t>
        </is>
      </c>
      <c r="EI1" s="9" t="inlineStr">
        <is>
          <t>High-severity control failures (count)</t>
        </is>
      </c>
      <c r="EJ1" s="9" t="inlineStr">
        <is>
          <t>Assurance reviews planned (count)</t>
        </is>
      </c>
      <c r="EK1" s="9" t="inlineStr">
        <is>
          <t>Assurance reviews completed (count)</t>
        </is>
      </c>
      <c r="EL1" s="9" t="inlineStr">
        <is>
          <t>Policy exceptions (count)</t>
        </is>
      </c>
      <c r="EM1" s="9" t="inlineStr">
        <is>
          <t>Unauthorised vendor uses (count)</t>
        </is>
      </c>
      <c r="EN1" s="9" t="inlineStr">
        <is>
          <t>Segregation-of-duties exceptions (count)</t>
        </is>
      </c>
      <c r="EO1" s="9" t="inlineStr">
        <is>
          <t>Unauthorised access events (count)</t>
        </is>
      </c>
      <c r="EP1" s="9" t="inlineStr">
        <is>
          <t>Data-sharing exceptions (count)</t>
        </is>
      </c>
      <c r="EQ1" s="9" t="inlineStr">
        <is>
          <t>Manual operational or system overrides (count)</t>
        </is>
      </c>
      <c r="ER1" s="9" t="inlineStr">
        <is>
          <t>Certification approvals past due date (count)</t>
        </is>
      </c>
      <c r="ES1" s="9" t="inlineStr">
        <is>
          <t>KPI values overridden (count)</t>
        </is>
      </c>
      <c r="ET1" s="9" t="inlineStr">
        <is>
          <t>Recurring data-quality issues (count)</t>
        </is>
      </c>
      <c r="EU1" s="9" t="inlineStr">
        <is>
          <t>Open audit findings (count)</t>
        </is>
      </c>
      <c r="EV1" s="9" t="inlineStr">
        <is>
          <t>Overdue assurance actions (count)</t>
        </is>
      </c>
      <c r="EW1" s="9" t="inlineStr">
        <is>
          <t>Repeat audit findings (count)</t>
        </is>
      </c>
      <c r="EX1" s="9" t="inlineStr">
        <is>
          <t>Leadership KPIs affected by open findings (count)</t>
        </is>
      </c>
      <c r="EY1" s="9" t="inlineStr">
        <is>
          <t>Evidence items required (count)</t>
        </is>
      </c>
      <c r="EZ1" s="9" t="inlineStr">
        <is>
          <t>Evidence items complete (count)</t>
        </is>
      </c>
      <c r="FA1" s="9" t="inlineStr">
        <is>
          <t>Audit findings closed in the month (count)</t>
        </is>
      </c>
      <c r="FB1" s="9" t="inlineStr">
        <is>
          <t>Days taken to close those findings (days)</t>
        </is>
      </c>
      <c r="FC1" s="9" t="inlineStr">
        <is>
          <t>Leadership KPI values reported (count)</t>
        </is>
      </c>
      <c r="FD1" s="9" t="inlineStr">
        <is>
          <t>Of which certified (count)</t>
        </is>
      </c>
      <c r="FE1" s="9" t="inlineStr">
        <is>
          <t>Of which inside the certification process (count)</t>
        </is>
      </c>
      <c r="FF1" s="9" t="inlineStr">
        <is>
          <t>Certifications overdue (count)</t>
        </is>
      </c>
      <c r="FG1" s="9" t="inlineStr">
        <is>
          <t>Open reconciliation breaks (count)</t>
        </is>
      </c>
      <c r="FH1" s="9" t="inlineStr">
        <is>
          <t>Material reconciliation breaks (count)</t>
        </is>
      </c>
      <c r="FI1" s="9" t="inlineStr">
        <is>
          <t>Records loaded to the data lake (count)</t>
        </is>
      </c>
      <c r="FJ1" s="9" t="inlineStr">
        <is>
          <t>Records reconciled to source (count)</t>
        </is>
      </c>
      <c r="FK1" s="9" t="inlineStr">
        <is>
          <t>Flash report lines (count)</t>
        </is>
      </c>
      <c r="FL1" s="9" t="inlineStr">
        <is>
          <t>Flash lines matching MIS (count)</t>
        </is>
      </c>
      <c r="FM1" s="9" t="inlineStr">
        <is>
          <t>Open critical alerts (count)</t>
        </is>
      </c>
      <c r="FN1" s="9" t="inlineStr">
        <is>
          <t>Alerts with no accepted owner (count)</t>
        </is>
      </c>
      <c r="FO1" s="9" t="inlineStr">
        <is>
          <t>Overdue actions (count)</t>
        </is>
      </c>
      <c r="FP1" s="9" t="inlineStr">
        <is>
          <t>Alerts resolved in the month (count)</t>
        </is>
      </c>
      <c r="FQ1" s="9" t="inlineStr">
        <is>
          <t>Days taken to resolve those alerts (days)</t>
        </is>
      </c>
      <c r="FR1" s="9" t="inlineStr">
        <is>
          <t>Escalations closed in the month (count)</t>
        </is>
      </c>
      <c r="FS1" s="9" t="inlineStr">
        <is>
          <t>Repeat issues raised in the month (count)</t>
        </is>
      </c>
      <c r="FT1" s="9" t="inlineStr">
        <is>
          <t>Root causes identified (count)</t>
        </is>
      </c>
      <c r="FU1" s="9" t="inlineStr">
        <is>
          <t>Root causes eliminated (count)</t>
        </is>
      </c>
      <c r="FV1" s="26" t="inlineStr">
        <is>
          <t>Full-time employees (FTE, count)</t>
        </is>
      </c>
      <c r="FW1" s="26" t="inlineStr">
        <is>
          <t>FCF plan, full year (₹ thousand)</t>
        </is>
      </c>
      <c r="FX1" s="26" t="inlineStr">
        <is>
          <t>Forecast FCF, rest of year (₹ thousand)</t>
        </is>
      </c>
      <c r="FY1" s="26" t="inlineStr">
        <is>
          <t>Forecast EBIT, rest of year (₹ thousand)</t>
        </is>
      </c>
      <c r="FZ1" s="26" t="inlineStr">
        <is>
          <t>Forecast capital employed at P12 (₹ thousand)</t>
        </is>
      </c>
      <c r="GA1" s="26" t="inlineStr">
        <is>
          <t>EBITDA plan, full year (₹ thousand)</t>
        </is>
      </c>
      <c r="GB1" s="26" t="inlineStr">
        <is>
          <t>EBITDA full-year forecast uncertainty, 1σ (₹ thousand)</t>
        </is>
      </c>
      <c r="GC1" s="26" t="inlineStr">
        <is>
          <t>Hours to nearest open disclosure deadline (999 = none)</t>
        </is>
      </c>
      <c r="GD1" s="26" t="inlineStr">
        <is>
          <t>Single-source suppliers with cover below lead time (count)</t>
        </is>
      </c>
      <c r="GE1" s="26" t="inlineStr">
        <is>
          <t>RM-1 price index (external, same for every entity)</t>
        </is>
      </c>
      <c r="GF1" s="26" t="inlineStr">
        <is>
          <t>Supply lanes with a disruption flag (count)</t>
        </is>
      </c>
    </row>
    <row r="2">
      <c r="A2" s="11" t="inlineStr">
        <is>
          <t>group</t>
        </is>
      </c>
      <c r="B2" s="11" t="inlineStr">
        <is>
          <t>entity</t>
        </is>
      </c>
      <c r="C2" s="11" t="inlineStr">
        <is>
          <t>period</t>
        </is>
      </c>
      <c r="D2" s="11" t="inlineStr">
        <is>
          <t>days</t>
        </is>
      </c>
      <c r="E2" s="11" t="inlineStr">
        <is>
          <t>calendar_hours</t>
        </is>
      </c>
      <c r="F2" s="11" t="inlineStr">
        <is>
          <t>planned_op_hours</t>
        </is>
      </c>
      <c r="G2" s="11" t="inlineStr">
        <is>
          <t>run_hours</t>
        </is>
      </c>
      <c r="H2" s="11" t="inlineStr">
        <is>
          <t>unplanned_downtime_hours</t>
        </is>
      </c>
      <c r="I2" s="11" t="inlineStr">
        <is>
          <t>ideal_output_t</t>
        </is>
      </c>
      <c r="J2" s="11" t="inlineStr">
        <is>
          <t>installed_capacity_t</t>
        </is>
      </c>
      <c r="K2" s="11" t="inlineStr">
        <is>
          <t>planned_production_t</t>
        </is>
      </c>
      <c r="L2" s="11" t="inlineStr">
        <is>
          <t>gross_output_t</t>
        </is>
      </c>
      <c r="M2" s="11" t="inlineStr">
        <is>
          <t>good_output_t</t>
        </is>
      </c>
      <c r="N2" s="11" t="inlineStr">
        <is>
          <t>feed_input_t</t>
        </is>
      </c>
      <c r="O2" s="11" t="inlineStr">
        <is>
          <t>feed_contained_t</t>
        </is>
      </c>
      <c r="P2" s="11" t="inlineStr">
        <is>
          <t>recovered_contained_t</t>
        </is>
      </c>
      <c r="Q2" s="11" t="inlineStr">
        <is>
          <t>prod_loss_downtime_t</t>
        </is>
      </c>
      <c r="R2" s="11" t="inlineStr">
        <is>
          <t>failures</t>
        </is>
      </c>
      <c r="S2" s="11" t="inlineStr">
        <is>
          <t>repair_hours</t>
        </is>
      </c>
      <c r="T2" s="11" t="inlineStr">
        <is>
          <t>pm_scheduled</t>
        </is>
      </c>
      <c r="U2" s="11" t="inlineStr">
        <is>
          <t>pm_completed</t>
        </is>
      </c>
      <c r="V2" s="11" t="inlineStr">
        <is>
          <t>variable_cost_k</t>
        </is>
      </c>
      <c r="W2" s="11" t="inlineStr">
        <is>
          <t>fuel_cost_k</t>
        </is>
      </c>
      <c r="X2" s="11" t="inlineStr">
        <is>
          <t>fixed_cost_k</t>
        </is>
      </c>
      <c r="Y2" s="11" t="inlineStr">
        <is>
          <t>water_m3</t>
        </is>
      </c>
      <c r="Z2" s="11" t="inlineStr">
        <is>
          <t>emissions_tco2e</t>
        </is>
      </c>
      <c r="AA2" s="11" t="inlineStr">
        <is>
          <t>energy_gj</t>
        </is>
      </c>
      <c r="AB2" s="11" t="inlineStr">
        <is>
          <t>production_at_risk_t</t>
        </is>
      </c>
      <c r="AC2" s="11" t="inlineStr">
        <is>
          <t>critical_plant_alerts</t>
        </is>
      </c>
      <c r="AD2" s="11" t="inlineStr">
        <is>
          <t>hours_worked</t>
        </is>
      </c>
      <c r="AE2" s="11" t="inlineStr">
        <is>
          <t>recordable_injuries</t>
        </is>
      </c>
      <c r="AF2" s="11" t="inlineStr">
        <is>
          <t>severity_incidents</t>
        </is>
      </c>
      <c r="AG2" s="11" t="inlineStr">
        <is>
          <t>near_misses</t>
        </is>
      </c>
      <c r="AH2" s="11" t="inlineStr">
        <is>
          <t>critical_safety_incidents</t>
        </is>
      </c>
      <c r="AI2" s="11" t="inlineStr">
        <is>
          <t>env_excursions</t>
        </is>
      </c>
      <c r="AJ2" s="11" t="inlineStr">
        <is>
          <t>env_violations</t>
        </is>
      </c>
      <c r="AK2" s="11" t="inlineStr">
        <is>
          <t>ehs_ca_open</t>
        </is>
      </c>
      <c r="AL2" s="11" t="inlineStr">
        <is>
          <t>ehs_ca_overdue</t>
        </is>
      </c>
      <c r="AM2" s="11" t="inlineStr">
        <is>
          <t>investigations_due</t>
        </is>
      </c>
      <c r="AN2" s="11" t="inlineStr">
        <is>
          <t>investigations_completed</t>
        </is>
      </c>
      <c r="AO2" s="11" t="inlineStr">
        <is>
          <t>critical_material_risks</t>
        </is>
      </c>
      <c r="AP2" s="11" t="inlineStr">
        <is>
          <t>dispatches_total</t>
        </is>
      </c>
      <c r="AQ2" s="11" t="inlineStr">
        <is>
          <t>dispatches_delayed</t>
        </is>
      </c>
      <c r="AR2" s="11" t="inlineStr">
        <is>
          <t>permit_days_to_expiry</t>
        </is>
      </c>
      <c r="AS2" s="11" t="inlineStr">
        <is>
          <t>sales_t</t>
        </is>
      </c>
      <c r="AT2" s="11" t="inlineStr">
        <is>
          <t>planned_sales_t</t>
        </is>
      </c>
      <c r="AU2" s="11" t="inlineStr">
        <is>
          <t>revenue_k</t>
        </is>
      </c>
      <c r="AV2" s="11" t="inlineStr">
        <is>
          <t>planned_revenue_k</t>
        </is>
      </c>
      <c r="AW2" s="11" t="inlineStr">
        <is>
          <t>power_cost_k</t>
        </is>
      </c>
      <c r="AX2" s="11" t="inlineStr">
        <is>
          <t>depreciation_k</t>
        </is>
      </c>
      <c r="AY2" s="11" t="inlineStr">
        <is>
          <t>po_lines_due</t>
        </is>
      </c>
      <c r="AZ2" s="11" t="inlineStr">
        <is>
          <t>po_lines_on_time</t>
        </is>
      </c>
      <c r="BA2" s="11" t="inlineStr">
        <is>
          <t>qty_ordered_t</t>
        </is>
      </c>
      <c r="BB2" s="11" t="inlineStr">
        <is>
          <t>qty_received_t</t>
        </is>
      </c>
      <c r="BC2" s="11" t="inlineStr">
        <is>
          <t>qty_rejected_t</t>
        </is>
      </c>
      <c r="BD2" s="11" t="inlineStr">
        <is>
          <t>lead_time_planned_days</t>
        </is>
      </c>
      <c r="BE2" s="11" t="inlineStr">
        <is>
          <t>lead_time_actual_days</t>
        </is>
      </c>
      <c r="BF2" s="11" t="inlineStr">
        <is>
          <t>supplier_spend_k</t>
        </is>
      </c>
      <c r="BG2" s="11" t="inlineStr">
        <is>
          <t>single_source_spend_k</t>
        </is>
      </c>
      <c r="BH2" s="11" t="inlineStr">
        <is>
          <t>supplier_ehs_incidents</t>
        </is>
      </c>
      <c r="BI2" s="11" t="inlineStr">
        <is>
          <t>pending_filings</t>
        </is>
      </c>
      <c r="BJ2" s="11" t="inlineStr">
        <is>
          <t>reg_deadlines_30d</t>
        </is>
      </c>
      <c r="BK2" s="11" t="inlineStr">
        <is>
          <t>licences_expiring_12m</t>
        </is>
      </c>
      <c r="BL2" s="11" t="inlineStr">
        <is>
          <t>reg_obligations_due_30d</t>
        </is>
      </c>
      <c r="BM2" s="11" t="inlineStr">
        <is>
          <t>reg_obligations_overdue</t>
        </is>
      </c>
      <c r="BN2" s="11" t="inlineStr">
        <is>
          <t>reg_actions_open</t>
        </is>
      </c>
      <c r="BO2" s="11" t="inlineStr">
        <is>
          <t>compliance_actions_overdue</t>
        </is>
      </c>
      <c r="BP2" s="11" t="inlineStr">
        <is>
          <t>reg_breaches</t>
        </is>
      </c>
      <c r="BQ2" s="11" t="inlineStr">
        <is>
          <t>disclosure_events_open</t>
        </is>
      </c>
      <c r="BR2" s="11" t="inlineStr">
        <is>
          <t>ehs_escalation_clocks</t>
        </is>
      </c>
      <c r="BS2" s="11" t="inlineStr">
        <is>
          <t>days_to_breach</t>
        </is>
      </c>
      <c r="BT2" s="11" t="inlineStr">
        <is>
          <t>planned_production_next_t</t>
        </is>
      </c>
      <c r="BU2" s="11" t="inlineStr">
        <is>
          <t>forecast_good_next_t</t>
        </is>
      </c>
      <c r="BV2" s="11" t="inlineStr">
        <is>
          <t>forecast_good_var_next</t>
        </is>
      </c>
      <c r="BW2" s="11" t="inlineStr">
        <is>
          <t>ideal_output_next_t</t>
        </is>
      </c>
      <c r="BX2" s="11" t="inlineStr">
        <is>
          <t>forecast_downtime_loss_next_t</t>
        </is>
      </c>
      <c r="BY2" s="11" t="inlineStr">
        <is>
          <t>overhead_k</t>
        </is>
      </c>
      <c r="BZ2" s="11" t="inlineStr">
        <is>
          <t>tax_paid_k</t>
        </is>
      </c>
      <c r="CA2" s="11" t="inlineStr">
        <is>
          <t>capital_employed_k</t>
        </is>
      </c>
      <c r="CB2" s="11" t="inlineStr">
        <is>
          <t>gross_debt_k</t>
        </is>
      </c>
      <c r="CC2" s="11" t="inlineStr">
        <is>
          <t>cash_k</t>
        </is>
      </c>
      <c r="CD2" s="11" t="inlineStr">
        <is>
          <t>undrawn_facilities_k</t>
        </is>
      </c>
      <c r="CE2" s="11" t="inlineStr">
        <is>
          <t>debt_service_k</t>
        </is>
      </c>
      <c r="CF2" s="11" t="inlineStr">
        <is>
          <t>debt_maturing_12m_k</t>
        </is>
      </c>
      <c r="CG2" s="11" t="inlineStr">
        <is>
          <t>floating_rate_debt_k</t>
        </is>
      </c>
      <c r="CH2" s="11" t="inlineStr">
        <is>
          <t>board_ebitda_k</t>
        </is>
      </c>
      <c r="CI2" s="11" t="inlineStr">
        <is>
          <t>flash_revenue_k</t>
        </is>
      </c>
      <c r="CJ2" s="11" t="inlineStr">
        <is>
          <t>receivables_k</t>
        </is>
      </c>
      <c r="CK2" s="11" t="inlineStr">
        <is>
          <t>payables_k</t>
        </is>
      </c>
      <c r="CL2" s="11" t="inlineStr">
        <is>
          <t>inventory_k</t>
        </is>
      </c>
      <c r="CM2" s="11" t="inlineStr">
        <is>
          <t>collections_k</t>
        </is>
      </c>
      <c r="CN2" s="11" t="inlineStr">
        <is>
          <t>cash_released_k</t>
        </is>
      </c>
      <c r="CO2" s="11" t="inlineStr">
        <is>
          <t>upstream_due_k</t>
        </is>
      </c>
      <c r="CP2" s="11" t="inlineStr">
        <is>
          <t>upstream_covered_k</t>
        </is>
      </c>
      <c r="CQ2" s="11" t="inlineStr">
        <is>
          <t>invoices_collected</t>
        </is>
      </c>
      <c r="CR2" s="11" t="inlineStr">
        <is>
          <t>collection_days</t>
        </is>
      </c>
      <c r="CS2" s="11" t="inlineStr">
        <is>
          <t>terms_days</t>
        </is>
      </c>
      <c r="CT2" s="11" t="inlineStr">
        <is>
          <t>customers_overdue</t>
        </is>
      </c>
      <c r="CU2" s="11" t="inlineStr">
        <is>
          <t>forecast_ebitda_rest_k</t>
        </is>
      </c>
      <c r="CV2" s="11" t="inlineStr">
        <is>
          <t>planned_ebitda_rest_k</t>
        </is>
      </c>
      <c r="CW2" s="11" t="inlineStr">
        <is>
          <t>forecast_net_cash_flow_90d_k</t>
        </is>
      </c>
      <c r="CX2" s="11" t="inlineStr">
        <is>
          <t>forecast_net_debt_k</t>
        </is>
      </c>
      <c r="CY2" s="11" t="inlineStr">
        <is>
          <t>forecast_ebitda_ltm_k</t>
        </is>
      </c>
      <c r="CZ2" s="11" t="inlineStr">
        <is>
          <t>fx_exposure_k</t>
        </is>
      </c>
      <c r="DA2" s="11" t="inlineStr">
        <is>
          <t>fx_hedged_k</t>
        </is>
      </c>
      <c r="DB2" s="11" t="inlineStr">
        <is>
          <t>usd_exposure_k</t>
        </is>
      </c>
      <c r="DC2" s="11" t="inlineStr">
        <is>
          <t>usd_hedged_k</t>
        </is>
      </c>
      <c r="DD2" s="11" t="inlineStr">
        <is>
          <t>hedge_value_change_k</t>
        </is>
      </c>
      <c r="DE2" s="11" t="inlineStr">
        <is>
          <t>hedged_item_value_change_k</t>
        </is>
      </c>
      <c r="DF2" s="11" t="inlineStr">
        <is>
          <t>fx_flows_6m_k</t>
        </is>
      </c>
      <c r="DG2" s="11" t="inlineStr">
        <is>
          <t>fx_hedged_6m_k</t>
        </is>
      </c>
      <c r="DH2" s="11" t="inlineStr">
        <is>
          <t>capex_budget_k</t>
        </is>
      </c>
      <c r="DI2" s="11" t="inlineStr">
        <is>
          <t>capex_committed_k</t>
        </is>
      </c>
      <c r="DJ2" s="11" t="inlineStr">
        <is>
          <t>capex_spend_k</t>
        </is>
      </c>
      <c r="DK2" s="11" t="inlineStr">
        <is>
          <t>capex_earned_value_k</t>
        </is>
      </c>
      <c r="DL2" s="11" t="inlineStr">
        <is>
          <t>capex_at_risk_k</t>
        </is>
      </c>
      <c r="DM2" s="11" t="inlineStr">
        <is>
          <t>projects_on_track</t>
        </is>
      </c>
      <c r="DN2" s="11" t="inlineStr">
        <is>
          <t>projects_at_risk</t>
        </is>
      </c>
      <c r="DO2" s="11" t="inlineStr">
        <is>
          <t>projects_off_track</t>
        </is>
      </c>
      <c r="DP2" s="11" t="inlineStr">
        <is>
          <t>projects_delayed</t>
        </is>
      </c>
      <c r="DQ2" s="11" t="inlineStr">
        <is>
          <t>contractor_milestones_due</t>
        </is>
      </c>
      <c r="DR2" s="11" t="inlineStr">
        <is>
          <t>contractor_days_late</t>
        </is>
      </c>
      <c r="DS2" s="11" t="inlineStr">
        <is>
          <t>initiatives_on_track</t>
        </is>
      </c>
      <c r="DT2" s="11" t="inlineStr">
        <is>
          <t>initiatives_at_risk</t>
        </is>
      </c>
      <c r="DU2" s="11" t="inlineStr">
        <is>
          <t>initiatives_delayed</t>
        </is>
      </c>
      <c r="DV2" s="11" t="inlineStr">
        <is>
          <t>milestones_total</t>
        </is>
      </c>
      <c r="DW2" s="11" t="inlineStr">
        <is>
          <t>milestones_done</t>
        </is>
      </c>
      <c r="DX2" s="11" t="inlineStr">
        <is>
          <t>benefits_planned_k</t>
        </is>
      </c>
      <c r="DY2" s="11" t="inlineStr">
        <is>
          <t>benefits_delivered_k</t>
        </is>
      </c>
      <c r="DZ2" s="11" t="inlineStr">
        <is>
          <t>ebitda_benefit_k</t>
        </is>
      </c>
      <c r="EA2" s="11" t="inlineStr">
        <is>
          <t>cash_benefit_k</t>
        </is>
      </c>
      <c r="EB2" s="11" t="inlineStr">
        <is>
          <t>cost_savings_k</t>
        </is>
      </c>
      <c r="EC2" s="11" t="inlineStr">
        <is>
          <t>contracts_total</t>
        </is>
      </c>
      <c r="ED2" s="11" t="inlineStr">
        <is>
          <t>contracts_compliant</t>
        </is>
      </c>
      <c r="EE2" s="11" t="inlineStr">
        <is>
          <t>contracts_expiring_90d</t>
        </is>
      </c>
      <c r="EF2" s="11" t="inlineStr">
        <is>
          <t>supplier_ehs_noncompliance</t>
        </is>
      </c>
      <c r="EG2" s="11" t="inlineStr">
        <is>
          <t>single_source_suppliers</t>
        </is>
      </c>
      <c r="EH2" s="11" t="inlineStr">
        <is>
          <t>control_failures</t>
        </is>
      </c>
      <c r="EI2" s="11" t="inlineStr">
        <is>
          <t>control_failures_high</t>
        </is>
      </c>
      <c r="EJ2" s="11" t="inlineStr">
        <is>
          <t>assurance_reviews_planned</t>
        </is>
      </c>
      <c r="EK2" s="11" t="inlineStr">
        <is>
          <t>assurance_reviews_done</t>
        </is>
      </c>
      <c r="EL2" s="11" t="inlineStr">
        <is>
          <t>policy_exceptions</t>
        </is>
      </c>
      <c r="EM2" s="11" t="inlineStr">
        <is>
          <t>unauthorized_vendor_uses</t>
        </is>
      </c>
      <c r="EN2" s="11" t="inlineStr">
        <is>
          <t>sod_exceptions</t>
        </is>
      </c>
      <c r="EO2" s="11" t="inlineStr">
        <is>
          <t>unauthorized_access_events</t>
        </is>
      </c>
      <c r="EP2" s="11" t="inlineStr">
        <is>
          <t>data_sharing_exceptions</t>
        </is>
      </c>
      <c r="EQ2" s="11" t="inlineStr">
        <is>
          <t>manual_overrides</t>
        </is>
      </c>
      <c r="ER2" s="11" t="inlineStr">
        <is>
          <t>cert_approvals_ageing</t>
        </is>
      </c>
      <c r="ES2" s="11" t="inlineStr">
        <is>
          <t>kpi_overrides</t>
        </is>
      </c>
      <c r="ET2" s="11" t="inlineStr">
        <is>
          <t>dq_issues_recurring</t>
        </is>
      </c>
      <c r="EU2" s="11" t="inlineStr">
        <is>
          <t>audit_findings_open</t>
        </is>
      </c>
      <c r="EV2" s="11" t="inlineStr">
        <is>
          <t>assurance_actions_overdue</t>
        </is>
      </c>
      <c r="EW2" s="11" t="inlineStr">
        <is>
          <t>repeat_findings</t>
        </is>
      </c>
      <c r="EX2" s="11" t="inlineStr">
        <is>
          <t>leadership_kpis_affected</t>
        </is>
      </c>
      <c r="EY2" s="11" t="inlineStr">
        <is>
          <t>evidence_required</t>
        </is>
      </c>
      <c r="EZ2" s="11" t="inlineStr">
        <is>
          <t>evidence_complete</t>
        </is>
      </c>
      <c r="FA2" s="11" t="inlineStr">
        <is>
          <t>findings_closed</t>
        </is>
      </c>
      <c r="FB2" s="11" t="inlineStr">
        <is>
          <t>finding_closure_days</t>
        </is>
      </c>
      <c r="FC2" s="11" t="inlineStr">
        <is>
          <t>kpis_leadership</t>
        </is>
      </c>
      <c r="FD2" s="11" t="inlineStr">
        <is>
          <t>kpis_certified</t>
        </is>
      </c>
      <c r="FE2" s="11" t="inlineStr">
        <is>
          <t>kpis_in_scope</t>
        </is>
      </c>
      <c r="FF2" s="11" t="inlineStr">
        <is>
          <t>certifications_overdue</t>
        </is>
      </c>
      <c r="FG2" s="11" t="inlineStr">
        <is>
          <t>recon_breaks_open</t>
        </is>
      </c>
      <c r="FH2" s="11" t="inlineStr">
        <is>
          <t>recon_breaks_material</t>
        </is>
      </c>
      <c r="FI2" s="11" t="inlineStr">
        <is>
          <t>lake_records_loaded</t>
        </is>
      </c>
      <c r="FJ2" s="11" t="inlineStr">
        <is>
          <t>lake_records_reconciled</t>
        </is>
      </c>
      <c r="FK2" s="11" t="inlineStr">
        <is>
          <t>mis_lines_total</t>
        </is>
      </c>
      <c r="FL2" s="11" t="inlineStr">
        <is>
          <t>mis_lines_matched</t>
        </is>
      </c>
      <c r="FM2" s="11" t="inlineStr">
        <is>
          <t>critical_alerts_open</t>
        </is>
      </c>
      <c r="FN2" s="11" t="inlineStr">
        <is>
          <t>alerts_unowned</t>
        </is>
      </c>
      <c r="FO2" s="11" t="inlineStr">
        <is>
          <t>actions_overdue</t>
        </is>
      </c>
      <c r="FP2" s="11" t="inlineStr">
        <is>
          <t>alerts_resolved</t>
        </is>
      </c>
      <c r="FQ2" s="11" t="inlineStr">
        <is>
          <t>alert_resolution_days</t>
        </is>
      </c>
      <c r="FR2" s="11" t="inlineStr">
        <is>
          <t>escalations_closed</t>
        </is>
      </c>
      <c r="FS2" s="11" t="inlineStr">
        <is>
          <t>repeat_issues</t>
        </is>
      </c>
      <c r="FT2" s="11" t="inlineStr">
        <is>
          <t>root_causes_identified</t>
        </is>
      </c>
      <c r="FU2" s="11" t="inlineStr">
        <is>
          <t>root_causes_eliminated</t>
        </is>
      </c>
      <c r="FV2" t="inlineStr">
        <is>
          <t>fte</t>
        </is>
      </c>
      <c r="FW2" t="inlineStr">
        <is>
          <t>fcf_plan_fy_k</t>
        </is>
      </c>
      <c r="FX2" t="inlineStr">
        <is>
          <t>forecast_fcf_rest_k</t>
        </is>
      </c>
      <c r="FY2" t="inlineStr">
        <is>
          <t>ebit_fcst_rest_k</t>
        </is>
      </c>
      <c r="FZ2" t="inlineStr">
        <is>
          <t>capital_employed_p12_k</t>
        </is>
      </c>
      <c r="GA2" t="inlineStr">
        <is>
          <t>ebitda_plan_fy_k</t>
        </is>
      </c>
      <c r="GB2" t="inlineStr">
        <is>
          <t>ebitda_fy_sigma_k</t>
        </is>
      </c>
      <c r="GC2" t="inlineStr">
        <is>
          <t>disclosure_deadline_h</t>
        </is>
      </c>
      <c r="GD2" t="inlineStr">
        <is>
          <t>single_source_elevated</t>
        </is>
      </c>
      <c r="GE2" t="inlineStr">
        <is>
          <t>rm1_price_index</t>
        </is>
      </c>
      <c r="GF2" t="inlineStr">
        <is>
          <t>freight_lanes_disrupted</t>
        </is>
      </c>
    </row>
    <row r="3" ht="45" customHeight="1">
      <c r="A3" s="9" t="n"/>
      <c r="B3" s="9" t="n"/>
      <c r="C3" s="9" t="n"/>
      <c r="D3" s="9" t="n"/>
      <c r="E3" s="12" t="inlineStr">
        <is>
          <t>Sum of the entity's 3 plants (Plant Inputs sheet)</t>
        </is>
      </c>
      <c r="F3" s="12" t="inlineStr">
        <is>
          <t>Sum of the entity's 3 plants (Plant Inputs sheet)</t>
        </is>
      </c>
      <c r="G3" s="12" t="inlineStr">
        <is>
          <t>Sum of the entity's 3 plants (Plant Inputs sheet)</t>
        </is>
      </c>
      <c r="H3" s="12" t="inlineStr">
        <is>
          <t>Sum of the entity's 3 plants (Plant Inputs sheet)</t>
        </is>
      </c>
      <c r="I3" s="12" t="inlineStr">
        <is>
          <t>Sum of the entity's 3 plants (Plant Inputs sheet)</t>
        </is>
      </c>
      <c r="J3" s="12" t="inlineStr">
        <is>
          <t>Sum of the entity's 3 plants (Plant Inputs sheet)</t>
        </is>
      </c>
      <c r="K3" s="12" t="inlineStr">
        <is>
          <t>Sum of the entity's 3 plants (Plant Inputs sheet)</t>
        </is>
      </c>
      <c r="L3" s="12" t="inlineStr">
        <is>
          <t>Sum of the entity's 3 plants (Plant Inputs sheet)</t>
        </is>
      </c>
      <c r="M3" s="12" t="inlineStr">
        <is>
          <t>Sum of the entity's 3 plants (Plant Inputs sheet)</t>
        </is>
      </c>
      <c r="N3" s="12" t="inlineStr">
        <is>
          <t>Sum of the entity's 3 plants (Plant Inputs sheet)</t>
        </is>
      </c>
      <c r="O3" s="12" t="inlineStr">
        <is>
          <t>Sum of the entity's 3 plants (Plant Inputs sheet)</t>
        </is>
      </c>
      <c r="P3" s="12" t="inlineStr">
        <is>
          <t>Sum of the entity's 3 plants (Plant Inputs sheet)</t>
        </is>
      </c>
      <c r="Q3" s="12" t="inlineStr">
        <is>
          <t>Sum of the entity's 3 plants (Plant Inputs sheet)</t>
        </is>
      </c>
      <c r="R3" s="12" t="inlineStr">
        <is>
          <t>Sum of the entity's 3 plants (Plant Inputs sheet)</t>
        </is>
      </c>
      <c r="S3" s="12" t="inlineStr">
        <is>
          <t>Sum of the entity's 3 plants (Plant Inputs sheet)</t>
        </is>
      </c>
      <c r="T3" s="12" t="inlineStr">
        <is>
          <t>Sum of the entity's 3 plants (Plant Inputs sheet)</t>
        </is>
      </c>
      <c r="U3" s="12" t="inlineStr">
        <is>
          <t>Sum of the entity's 3 plants (Plant Inputs sheet)</t>
        </is>
      </c>
      <c r="V3" s="12" t="inlineStr">
        <is>
          <t>Sum of the entity's 3 plants (Plant Inputs sheet)</t>
        </is>
      </c>
      <c r="W3" s="12" t="inlineStr">
        <is>
          <t>Sum of the entity's 3 plants (Plant Inputs sheet)</t>
        </is>
      </c>
      <c r="X3" s="12" t="inlineStr">
        <is>
          <t>Sum of the entity's 3 plants (Plant Inputs sheet)</t>
        </is>
      </c>
      <c r="Y3" s="12" t="inlineStr">
        <is>
          <t>Sum of the entity's 3 plants (Plant Inputs sheet)</t>
        </is>
      </c>
      <c r="Z3" s="12" t="inlineStr">
        <is>
          <t>Sum of the entity's 3 plants (Plant Inputs sheet)</t>
        </is>
      </c>
      <c r="AA3" s="12" t="inlineStr">
        <is>
          <t>Sum of the entity's 3 plants (Plant Inputs sheet)</t>
        </is>
      </c>
      <c r="AB3" s="12" t="inlineStr">
        <is>
          <t>Sum of the entity's 3 plants (Plant Inputs sheet)</t>
        </is>
      </c>
      <c r="AC3" s="12" t="inlineStr">
        <is>
          <t>Sum of the entity's 3 plants (Plant Inputs sheet)</t>
        </is>
      </c>
      <c r="AD3" s="12" t="inlineStr">
        <is>
          <t>Sum of the entity's 3 plants (Plant Inputs sheet)</t>
        </is>
      </c>
      <c r="AE3" s="12" t="inlineStr">
        <is>
          <t>Sum of the entity's 3 plants (Plant Inputs sheet)</t>
        </is>
      </c>
      <c r="AF3" s="12" t="inlineStr">
        <is>
          <t>Sum of the entity's 3 plants (Plant Inputs sheet)</t>
        </is>
      </c>
      <c r="AG3" s="12" t="inlineStr">
        <is>
          <t>Sum of the entity's 3 plants (Plant Inputs sheet)</t>
        </is>
      </c>
      <c r="AH3" s="12" t="inlineStr">
        <is>
          <t>Sum of the entity's 3 plants (Plant Inputs sheet)</t>
        </is>
      </c>
      <c r="AI3" s="12" t="inlineStr">
        <is>
          <t>Sum of the entity's 3 plants (Plant Inputs sheet)</t>
        </is>
      </c>
      <c r="AJ3" s="12" t="inlineStr">
        <is>
          <t>Sum of the entity's 3 plants (Plant Inputs sheet)</t>
        </is>
      </c>
      <c r="AK3" s="12" t="inlineStr">
        <is>
          <t>Sum of the entity's 3 plants (Plant Inputs sheet)</t>
        </is>
      </c>
      <c r="AL3" s="12" t="inlineStr">
        <is>
          <t>Sum of the entity's 3 plants (Plant Inputs sheet)</t>
        </is>
      </c>
      <c r="AM3" s="12" t="inlineStr">
        <is>
          <t>Sum of the entity's 3 plants (Plant Inputs sheet)</t>
        </is>
      </c>
      <c r="AN3" s="12" t="inlineStr">
        <is>
          <t>Sum of the entity's 3 plants (Plant Inputs sheet)</t>
        </is>
      </c>
      <c r="AO3" s="12" t="inlineStr">
        <is>
          <t>Sum of the entity's 3 plants (Plant Inputs sheet)</t>
        </is>
      </c>
      <c r="AP3" s="12" t="inlineStr">
        <is>
          <t>Sum of the entity's 3 plants (Plant Inputs sheet)</t>
        </is>
      </c>
      <c r="AQ3" s="12" t="inlineStr">
        <is>
          <t>Sum of the entity's 3 plants (Plant Inputs sheet)</t>
        </is>
      </c>
      <c r="AR3" s="12" t="inlineStr">
        <is>
          <t>Lowest of the entity's 3 plants (Plant Inputs sheet)</t>
        </is>
      </c>
      <c r="AS3" s="12" t="inlineStr">
        <is>
          <t>Sum of the entity's 3 plants (Plant Inputs sheet)</t>
        </is>
      </c>
      <c r="AT3" s="12" t="inlineStr">
        <is>
          <t>Sum of the entity's 3 plants (Plant Inputs sheet)</t>
        </is>
      </c>
      <c r="AU3" s="12" t="inlineStr">
        <is>
          <t>Sum of the entity's 3 plants (Plant Inputs sheet)</t>
        </is>
      </c>
      <c r="AV3" s="12" t="inlineStr">
        <is>
          <t>Sum of the entity's 3 plants (Plant Inputs sheet)</t>
        </is>
      </c>
      <c r="AW3" s="12" t="inlineStr">
        <is>
          <t>Sum of the entity's 3 plants (Plant Inputs sheet)</t>
        </is>
      </c>
      <c r="AX3" s="12" t="inlineStr">
        <is>
          <t>Sum of the entity's 3 plants (Plant Inputs sheet)</t>
        </is>
      </c>
      <c r="AY3" s="12" t="inlineStr">
        <is>
          <t>Sum of the entity's 3 plants (Plant Inputs sheet)</t>
        </is>
      </c>
      <c r="AZ3" s="12" t="inlineStr">
        <is>
          <t>Sum of the entity's 3 plants (Plant Inputs sheet)</t>
        </is>
      </c>
      <c r="BA3" s="12" t="inlineStr">
        <is>
          <t>Sum of the entity's 3 plants (Plant Inputs sheet)</t>
        </is>
      </c>
      <c r="BB3" s="12" t="inlineStr">
        <is>
          <t>Sum of the entity's 3 plants (Plant Inputs sheet)</t>
        </is>
      </c>
      <c r="BC3" s="12" t="inlineStr">
        <is>
          <t>Sum of the entity's 3 plants (Plant Inputs sheet)</t>
        </is>
      </c>
      <c r="BD3" s="12" t="inlineStr">
        <is>
          <t>Sum of the entity's 3 plants (Plant Inputs sheet)</t>
        </is>
      </c>
      <c r="BE3" s="12" t="inlineStr">
        <is>
          <t>Sum of the entity's 3 plants (Plant Inputs sheet)</t>
        </is>
      </c>
      <c r="BF3" s="12" t="inlineStr">
        <is>
          <t>Sum of the entity's 3 plants (Plant Inputs sheet)</t>
        </is>
      </c>
      <c r="BG3" s="12" t="inlineStr">
        <is>
          <t>Sum of the entity's 3 plants (Plant Inputs sheet)</t>
        </is>
      </c>
      <c r="BH3" s="12" t="inlineStr">
        <is>
          <t>Sum of the entity's 3 plants (Plant Inputs sheet)</t>
        </is>
      </c>
      <c r="BI3" s="12" t="inlineStr">
        <is>
          <t>Sum of the entity's 3 plants (Plant Inputs sheet)</t>
        </is>
      </c>
      <c r="BJ3" s="12" t="inlineStr">
        <is>
          <t>Sum of the entity's 3 plants (Plant Inputs sheet)</t>
        </is>
      </c>
      <c r="BK3" s="12" t="inlineStr">
        <is>
          <t>Sum of the entity's 3 plants (Plant Inputs sheet)</t>
        </is>
      </c>
      <c r="BL3" s="12" t="inlineStr">
        <is>
          <t>Sum of the entity's 3 plants (Plant Inputs sheet)</t>
        </is>
      </c>
      <c r="BM3" s="12" t="inlineStr">
        <is>
          <t>Sum of the entity's 3 plants (Plant Inputs sheet)</t>
        </is>
      </c>
      <c r="BN3" s="12" t="inlineStr">
        <is>
          <t>Sum of the entity's 3 plants (Plant Inputs sheet)</t>
        </is>
      </c>
      <c r="BO3" s="12" t="inlineStr">
        <is>
          <t>Sum of the entity's 3 plants (Plant Inputs sheet)</t>
        </is>
      </c>
      <c r="BP3" s="12" t="inlineStr">
        <is>
          <t>Sum of the entity's 3 plants (Plant Inputs sheet)</t>
        </is>
      </c>
      <c r="BQ3" s="12" t="inlineStr">
        <is>
          <t>Sum of the entity's 3 plants (Plant Inputs sheet)</t>
        </is>
      </c>
      <c r="BR3" s="12" t="inlineStr">
        <is>
          <t>Sum of the entity's 3 plants (Plant Inputs sheet)</t>
        </is>
      </c>
      <c r="BS3" s="12" t="inlineStr">
        <is>
          <t>Lowest of the entity's 3 plants (Plant Inputs sheet)</t>
        </is>
      </c>
      <c r="BT3" s="12" t="inlineStr">
        <is>
          <t>Sum of the entity's 3 plants (Plant Inputs sheet)</t>
        </is>
      </c>
      <c r="BU3" s="12" t="inlineStr">
        <is>
          <t>Sum of the entity's 3 plants (Plant Inputs sheet)</t>
        </is>
      </c>
      <c r="BV3" s="12" t="inlineStr">
        <is>
          <t>Sum of the entity's 3 plants (Plant Inputs sheet)</t>
        </is>
      </c>
      <c r="BW3" s="12" t="inlineStr">
        <is>
          <t>Sum of the entity's 3 plants (Plant Inputs sheet)</t>
        </is>
      </c>
      <c r="BX3" s="12" t="inlineStr">
        <is>
          <t>Sum of the entity's 3 plants (Plant Inputs sheet)</t>
        </is>
      </c>
      <c r="BY3" s="13" t="inlineStr">
        <is>
          <t>Entity input (only exists at entity level)</t>
        </is>
      </c>
      <c r="BZ3" s="13" t="inlineStr">
        <is>
          <t>Entity input (only exists at entity level)</t>
        </is>
      </c>
      <c r="CA3" s="13" t="inlineStr">
        <is>
          <t>Entity input (only exists at entity level)</t>
        </is>
      </c>
      <c r="CB3" s="13" t="inlineStr">
        <is>
          <t>Entity input (only exists at entity level)</t>
        </is>
      </c>
      <c r="CC3" s="13" t="inlineStr">
        <is>
          <t>Entity input (only exists at entity level)</t>
        </is>
      </c>
      <c r="CD3" s="13" t="inlineStr">
        <is>
          <t>Entity input (only exists at entity level)</t>
        </is>
      </c>
      <c r="CE3" s="13" t="inlineStr">
        <is>
          <t>Entity input (only exists at entity level)</t>
        </is>
      </c>
      <c r="CF3" s="13" t="inlineStr">
        <is>
          <t>Entity input (only exists at entity level)</t>
        </is>
      </c>
      <c r="CG3" s="13" t="inlineStr">
        <is>
          <t>Entity input (only exists at entity level)</t>
        </is>
      </c>
      <c r="CH3" s="13" t="inlineStr">
        <is>
          <t>Entity input (only exists at entity level)</t>
        </is>
      </c>
      <c r="CI3" s="13" t="inlineStr">
        <is>
          <t>Entity input (only exists at entity level)</t>
        </is>
      </c>
      <c r="CJ3" s="13" t="inlineStr">
        <is>
          <t>Entity input (only exists at entity level)</t>
        </is>
      </c>
      <c r="CK3" s="13" t="inlineStr">
        <is>
          <t>Entity input (only exists at entity level)</t>
        </is>
      </c>
      <c r="CL3" s="13" t="inlineStr">
        <is>
          <t>Entity input (only exists at entity level)</t>
        </is>
      </c>
      <c r="CM3" s="13" t="inlineStr">
        <is>
          <t>Entity input (only exists at entity level)</t>
        </is>
      </c>
      <c r="CN3" s="13" t="inlineStr">
        <is>
          <t>Entity input (only exists at entity level)</t>
        </is>
      </c>
      <c r="CO3" s="13" t="inlineStr">
        <is>
          <t>Entity input (only exists at entity level)</t>
        </is>
      </c>
      <c r="CP3" s="13" t="inlineStr">
        <is>
          <t>Entity input (only exists at entity level)</t>
        </is>
      </c>
      <c r="CQ3" s="13" t="inlineStr">
        <is>
          <t>Entity input (only exists at entity level)</t>
        </is>
      </c>
      <c r="CR3" s="13" t="inlineStr">
        <is>
          <t>Entity input (only exists at entity level)</t>
        </is>
      </c>
      <c r="CS3" s="13" t="inlineStr">
        <is>
          <t>Entity input (only exists at entity level)</t>
        </is>
      </c>
      <c r="CT3" s="13" t="inlineStr">
        <is>
          <t>Entity input (only exists at entity level)</t>
        </is>
      </c>
      <c r="CU3" s="13" t="inlineStr">
        <is>
          <t>Entity input (only exists at entity level)</t>
        </is>
      </c>
      <c r="CV3" s="13" t="inlineStr">
        <is>
          <t>Entity input (only exists at entity level)</t>
        </is>
      </c>
      <c r="CW3" s="13" t="inlineStr">
        <is>
          <t>Entity input (only exists at entity level)</t>
        </is>
      </c>
      <c r="CX3" s="13" t="inlineStr">
        <is>
          <t>Entity input (only exists at entity level)</t>
        </is>
      </c>
      <c r="CY3" s="13" t="inlineStr">
        <is>
          <t>Entity input (only exists at entity level)</t>
        </is>
      </c>
      <c r="CZ3" s="13" t="inlineStr">
        <is>
          <t>Entity input (only exists at entity level)</t>
        </is>
      </c>
      <c r="DA3" s="13" t="inlineStr">
        <is>
          <t>Entity input (only exists at entity level)</t>
        </is>
      </c>
      <c r="DB3" s="13" t="inlineStr">
        <is>
          <t>Entity input (only exists at entity level)</t>
        </is>
      </c>
      <c r="DC3" s="13" t="inlineStr">
        <is>
          <t>Entity input (only exists at entity level)</t>
        </is>
      </c>
      <c r="DD3" s="13" t="inlineStr">
        <is>
          <t>Entity input (only exists at entity level)</t>
        </is>
      </c>
      <c r="DE3" s="13" t="inlineStr">
        <is>
          <t>Entity input (only exists at entity level)</t>
        </is>
      </c>
      <c r="DF3" s="13" t="inlineStr">
        <is>
          <t>Entity input (only exists at entity level)</t>
        </is>
      </c>
      <c r="DG3" s="13" t="inlineStr">
        <is>
          <t>Entity input (only exists at entity level)</t>
        </is>
      </c>
      <c r="DH3" s="13" t="inlineStr">
        <is>
          <t>Entity input (only exists at entity level)</t>
        </is>
      </c>
      <c r="DI3" s="13" t="inlineStr">
        <is>
          <t>Entity input (only exists at entity level)</t>
        </is>
      </c>
      <c r="DJ3" s="13" t="inlineStr">
        <is>
          <t>Entity input (only exists at entity level)</t>
        </is>
      </c>
      <c r="DK3" s="13" t="inlineStr">
        <is>
          <t>Entity input (only exists at entity level)</t>
        </is>
      </c>
      <c r="DL3" s="13" t="inlineStr">
        <is>
          <t>Entity input (only exists at entity level)</t>
        </is>
      </c>
      <c r="DM3" s="13" t="inlineStr">
        <is>
          <t>Entity input (only exists at entity level)</t>
        </is>
      </c>
      <c r="DN3" s="13" t="inlineStr">
        <is>
          <t>Entity input (only exists at entity level)</t>
        </is>
      </c>
      <c r="DO3" s="13" t="inlineStr">
        <is>
          <t>Entity input (only exists at entity level)</t>
        </is>
      </c>
      <c r="DP3" s="13" t="inlineStr">
        <is>
          <t>Entity input (only exists at entity level)</t>
        </is>
      </c>
      <c r="DQ3" s="13" t="inlineStr">
        <is>
          <t>Entity input (only exists at entity level)</t>
        </is>
      </c>
      <c r="DR3" s="13" t="inlineStr">
        <is>
          <t>Entity input (only exists at entity level)</t>
        </is>
      </c>
      <c r="DS3" s="13" t="inlineStr">
        <is>
          <t>Entity input (only exists at entity level)</t>
        </is>
      </c>
      <c r="DT3" s="13" t="inlineStr">
        <is>
          <t>Entity input (only exists at entity level)</t>
        </is>
      </c>
      <c r="DU3" s="13" t="inlineStr">
        <is>
          <t>Entity input (only exists at entity level)</t>
        </is>
      </c>
      <c r="DV3" s="13" t="inlineStr">
        <is>
          <t>Entity input (only exists at entity level)</t>
        </is>
      </c>
      <c r="DW3" s="13" t="inlineStr">
        <is>
          <t>Entity input (only exists at entity level)</t>
        </is>
      </c>
      <c r="DX3" s="13" t="inlineStr">
        <is>
          <t>Entity input (only exists at entity level)</t>
        </is>
      </c>
      <c r="DY3" s="13" t="inlineStr">
        <is>
          <t>Entity input (only exists at entity level)</t>
        </is>
      </c>
      <c r="DZ3" s="13" t="inlineStr">
        <is>
          <t>Entity input (only exists at entity level)</t>
        </is>
      </c>
      <c r="EA3" s="13" t="inlineStr">
        <is>
          <t>Entity input (only exists at entity level)</t>
        </is>
      </c>
      <c r="EB3" s="13" t="inlineStr">
        <is>
          <t>Entity input (only exists at entity level)</t>
        </is>
      </c>
      <c r="EC3" s="13" t="inlineStr">
        <is>
          <t>Entity input (only exists at entity level)</t>
        </is>
      </c>
      <c r="ED3" s="13" t="inlineStr">
        <is>
          <t>Entity input (only exists at entity level)</t>
        </is>
      </c>
      <c r="EE3" s="13" t="inlineStr">
        <is>
          <t>Entity input (only exists at entity level)</t>
        </is>
      </c>
      <c r="EF3" s="13" t="inlineStr">
        <is>
          <t>Entity input (only exists at entity level)</t>
        </is>
      </c>
      <c r="EG3" s="13" t="inlineStr">
        <is>
          <t>Entity input (only exists at entity level)</t>
        </is>
      </c>
      <c r="EH3" s="13" t="inlineStr">
        <is>
          <t>Entity input (only exists at entity level)</t>
        </is>
      </c>
      <c r="EI3" s="13" t="inlineStr">
        <is>
          <t>Entity input (only exists at entity level)</t>
        </is>
      </c>
      <c r="EJ3" s="13" t="inlineStr">
        <is>
          <t>Entity input (only exists at entity level)</t>
        </is>
      </c>
      <c r="EK3" s="13" t="inlineStr">
        <is>
          <t>Entity input (only exists at entity level)</t>
        </is>
      </c>
      <c r="EL3" s="13" t="inlineStr">
        <is>
          <t>Entity input (only exists at entity level)</t>
        </is>
      </c>
      <c r="EM3" s="13" t="inlineStr">
        <is>
          <t>Entity input (only exists at entity level)</t>
        </is>
      </c>
      <c r="EN3" s="13" t="inlineStr">
        <is>
          <t>Entity input (only exists at entity level)</t>
        </is>
      </c>
      <c r="EO3" s="13" t="inlineStr">
        <is>
          <t>Entity input (only exists at entity level)</t>
        </is>
      </c>
      <c r="EP3" s="13" t="inlineStr">
        <is>
          <t>Entity input (only exists at entity level)</t>
        </is>
      </c>
      <c r="EQ3" s="13" t="inlineStr">
        <is>
          <t>Entity input (only exists at entity level)</t>
        </is>
      </c>
      <c r="ER3" s="13" t="inlineStr">
        <is>
          <t>Entity input (only exists at entity level)</t>
        </is>
      </c>
      <c r="ES3" s="13" t="inlineStr">
        <is>
          <t>Entity input (only exists at entity level)</t>
        </is>
      </c>
      <c r="ET3" s="13" t="inlineStr">
        <is>
          <t>Entity input (only exists at entity level)</t>
        </is>
      </c>
      <c r="EU3" s="13" t="inlineStr">
        <is>
          <t>Entity input (only exists at entity level)</t>
        </is>
      </c>
      <c r="EV3" s="13" t="inlineStr">
        <is>
          <t>Entity input (only exists at entity level)</t>
        </is>
      </c>
      <c r="EW3" s="13" t="inlineStr">
        <is>
          <t>Entity input (only exists at entity level)</t>
        </is>
      </c>
      <c r="EX3" s="13" t="inlineStr">
        <is>
          <t>Entity input (only exists at entity level)</t>
        </is>
      </c>
      <c r="EY3" s="13" t="inlineStr">
        <is>
          <t>Entity input (only exists at entity level)</t>
        </is>
      </c>
      <c r="EZ3" s="13" t="inlineStr">
        <is>
          <t>Entity input (only exists at entity level)</t>
        </is>
      </c>
      <c r="FA3" s="13" t="inlineStr">
        <is>
          <t>Entity input (only exists at entity level)</t>
        </is>
      </c>
      <c r="FB3" s="13" t="inlineStr">
        <is>
          <t>Entity input (only exists at entity level)</t>
        </is>
      </c>
      <c r="FC3" s="13" t="inlineStr">
        <is>
          <t>Entity input (only exists at entity level)</t>
        </is>
      </c>
      <c r="FD3" s="13" t="inlineStr">
        <is>
          <t>Entity input (only exists at entity level)</t>
        </is>
      </c>
      <c r="FE3" s="13" t="inlineStr">
        <is>
          <t>Entity input (only exists at entity level)</t>
        </is>
      </c>
      <c r="FF3" s="13" t="inlineStr">
        <is>
          <t>Entity input (only exists at entity level)</t>
        </is>
      </c>
      <c r="FG3" s="13" t="inlineStr">
        <is>
          <t>Entity input (only exists at entity level)</t>
        </is>
      </c>
      <c r="FH3" s="13" t="inlineStr">
        <is>
          <t>Entity input (only exists at entity level)</t>
        </is>
      </c>
      <c r="FI3" s="13" t="inlineStr">
        <is>
          <t>Entity input (only exists at entity level)</t>
        </is>
      </c>
      <c r="FJ3" s="13" t="inlineStr">
        <is>
          <t>Entity input (only exists at entity level)</t>
        </is>
      </c>
      <c r="FK3" s="13" t="inlineStr">
        <is>
          <t>Entity input (only exists at entity level)</t>
        </is>
      </c>
      <c r="FL3" s="13" t="inlineStr">
        <is>
          <t>Entity input (only exists at entity level)</t>
        </is>
      </c>
      <c r="FM3" s="13" t="inlineStr">
        <is>
          <t>Entity input (only exists at entity level)</t>
        </is>
      </c>
      <c r="FN3" s="13" t="inlineStr">
        <is>
          <t>Entity input (only exists at entity level)</t>
        </is>
      </c>
      <c r="FO3" s="13" t="inlineStr">
        <is>
          <t>Entity input (only exists at entity level)</t>
        </is>
      </c>
      <c r="FP3" s="13" t="inlineStr">
        <is>
          <t>Entity input (only exists at entity level)</t>
        </is>
      </c>
      <c r="FQ3" s="13" t="inlineStr">
        <is>
          <t>Entity input (only exists at entity level)</t>
        </is>
      </c>
      <c r="FR3" s="13" t="inlineStr">
        <is>
          <t>Entity input (only exists at entity level)</t>
        </is>
      </c>
      <c r="FS3" s="13" t="inlineStr">
        <is>
          <t>Entity input (only exists at entity level)</t>
        </is>
      </c>
      <c r="FT3" s="13" t="inlineStr">
        <is>
          <t>Entity input (only exists at entity level)</t>
        </is>
      </c>
      <c r="FU3" s="13" t="inlineStr">
        <is>
          <t>Entity input (only exists at entity level)</t>
        </is>
      </c>
      <c r="FV3" t="inlineStr">
        <is>
          <t>Added (synthetic) for UI KPIs not in the source model</t>
        </is>
      </c>
      <c r="FW3" t="inlineStr">
        <is>
          <t>Added (synthetic) for UI KPIs not in the source model</t>
        </is>
      </c>
      <c r="FX3" t="inlineStr">
        <is>
          <t>Added (synthetic) for UI KPIs not in the source model</t>
        </is>
      </c>
      <c r="FY3" t="inlineStr">
        <is>
          <t>Added (synthetic) for UI KPIs not in the source model</t>
        </is>
      </c>
      <c r="FZ3" t="inlineStr">
        <is>
          <t>Added (synthetic) for UI KPIs not in the source model</t>
        </is>
      </c>
      <c r="GA3" t="inlineStr">
        <is>
          <t>Added (synthetic) for UI KPIs not in the source model</t>
        </is>
      </c>
      <c r="GB3" t="inlineStr">
        <is>
          <t>Added (synthetic) for UI KPIs not in the source model</t>
        </is>
      </c>
      <c r="GC3" t="inlineStr">
        <is>
          <t>Added (synthetic) for UI KPIs not in the source model</t>
        </is>
      </c>
      <c r="GD3" t="inlineStr">
        <is>
          <t>Added (synthetic) for UI KPIs not in the source model</t>
        </is>
      </c>
      <c r="GE3" t="inlineStr">
        <is>
          <t>Added (synthetic) for UI KPIs not in the source model</t>
        </is>
      </c>
      <c r="GF3" t="inlineStr">
        <is>
          <t>Added (synthetic) for UI KPIs not in the source model</t>
        </is>
      </c>
    </row>
    <row r="4">
      <c r="A4" t="inlineStr">
        <is>
          <t>Group</t>
        </is>
      </c>
      <c r="B4" t="inlineStr">
        <is>
          <t>Entity A1</t>
        </is>
      </c>
      <c r="C4" t="inlineStr">
        <is>
          <t>2026-04</t>
        </is>
      </c>
      <c r="D4" t="n">
        <v>30</v>
      </c>
      <c r="E4" s="14">
        <f>SUM('Plant Inputs'!F4,'Plant Inputs'!F10,'Plant Inputs'!F16)</f>
        <v/>
      </c>
      <c r="F4" s="14">
        <f>SUM('Plant Inputs'!G4,'Plant Inputs'!G10,'Plant Inputs'!G16)</f>
        <v/>
      </c>
      <c r="G4" s="14">
        <f>SUM('Plant Inputs'!H4,'Plant Inputs'!H10,'Plant Inputs'!H16)</f>
        <v/>
      </c>
      <c r="H4" s="14">
        <f>SUM('Plant Inputs'!I4,'Plant Inputs'!I10,'Plant Inputs'!I16)</f>
        <v/>
      </c>
      <c r="I4" s="14">
        <f>SUM('Plant Inputs'!J4,'Plant Inputs'!J10,'Plant Inputs'!J16)</f>
        <v/>
      </c>
      <c r="J4" s="14">
        <f>SUM('Plant Inputs'!K4,'Plant Inputs'!K10,'Plant Inputs'!K16)</f>
        <v/>
      </c>
      <c r="K4" s="14">
        <f>SUM('Plant Inputs'!L4,'Plant Inputs'!L10,'Plant Inputs'!L16)</f>
        <v/>
      </c>
      <c r="L4" s="14">
        <f>SUM('Plant Inputs'!M4,'Plant Inputs'!M10,'Plant Inputs'!M16)</f>
        <v/>
      </c>
      <c r="M4" s="14">
        <f>SUM('Plant Inputs'!N4,'Plant Inputs'!N10,'Plant Inputs'!N16)</f>
        <v/>
      </c>
      <c r="N4" s="14">
        <f>SUM('Plant Inputs'!O4,'Plant Inputs'!O10,'Plant Inputs'!O16)</f>
        <v/>
      </c>
      <c r="O4" s="14">
        <f>SUM('Plant Inputs'!P4,'Plant Inputs'!P10,'Plant Inputs'!P16)</f>
        <v/>
      </c>
      <c r="P4" s="14">
        <f>SUM('Plant Inputs'!Q4,'Plant Inputs'!Q10,'Plant Inputs'!Q16)</f>
        <v/>
      </c>
      <c r="Q4" s="14">
        <f>SUM('Plant Inputs'!R4,'Plant Inputs'!R10,'Plant Inputs'!R16)</f>
        <v/>
      </c>
      <c r="R4" s="14">
        <f>SUM('Plant Inputs'!S4,'Plant Inputs'!S10,'Plant Inputs'!S16)</f>
        <v/>
      </c>
      <c r="S4" s="14">
        <f>SUM('Plant Inputs'!T4,'Plant Inputs'!T10,'Plant Inputs'!T16)</f>
        <v/>
      </c>
      <c r="T4" s="14">
        <f>SUM('Plant Inputs'!U4,'Plant Inputs'!U10,'Plant Inputs'!U16)</f>
        <v/>
      </c>
      <c r="U4" s="14">
        <f>SUM('Plant Inputs'!V4,'Plant Inputs'!V10,'Plant Inputs'!V16)</f>
        <v/>
      </c>
      <c r="V4" s="14">
        <f>SUM('Plant Inputs'!W4,'Plant Inputs'!W10,'Plant Inputs'!W16)</f>
        <v/>
      </c>
      <c r="W4" s="14">
        <f>SUM('Plant Inputs'!X4,'Plant Inputs'!X10,'Plant Inputs'!X16)</f>
        <v/>
      </c>
      <c r="X4" s="14">
        <f>SUM('Plant Inputs'!Y4,'Plant Inputs'!Y10,'Plant Inputs'!Y16)</f>
        <v/>
      </c>
      <c r="Y4" s="14">
        <f>SUM('Plant Inputs'!Z4,'Plant Inputs'!Z10,'Plant Inputs'!Z16)</f>
        <v/>
      </c>
      <c r="Z4" s="14">
        <f>SUM('Plant Inputs'!AA4,'Plant Inputs'!AA10,'Plant Inputs'!AA16)</f>
        <v/>
      </c>
      <c r="AA4" s="14">
        <f>SUM('Plant Inputs'!AB4,'Plant Inputs'!AB10,'Plant Inputs'!AB16)</f>
        <v/>
      </c>
      <c r="AB4" s="14">
        <f>SUM('Plant Inputs'!AC4,'Plant Inputs'!AC10,'Plant Inputs'!AC16)</f>
        <v/>
      </c>
      <c r="AC4" s="14">
        <f>SUM('Plant Inputs'!AD4,'Plant Inputs'!AD10,'Plant Inputs'!AD16)</f>
        <v/>
      </c>
      <c r="AD4" s="14">
        <f>SUM('Plant Inputs'!AE4,'Plant Inputs'!AE10,'Plant Inputs'!AE16)</f>
        <v/>
      </c>
      <c r="AE4" s="14">
        <f>SUM('Plant Inputs'!AF4,'Plant Inputs'!AF10,'Plant Inputs'!AF16)</f>
        <v/>
      </c>
      <c r="AF4" s="14">
        <f>SUM('Plant Inputs'!AG4,'Plant Inputs'!AG10,'Plant Inputs'!AG16)</f>
        <v/>
      </c>
      <c r="AG4" s="14">
        <f>SUM('Plant Inputs'!AH4,'Plant Inputs'!AH10,'Plant Inputs'!AH16)</f>
        <v/>
      </c>
      <c r="AH4" s="14">
        <f>SUM('Plant Inputs'!AI4,'Plant Inputs'!AI10,'Plant Inputs'!AI16)</f>
        <v/>
      </c>
      <c r="AI4" s="14">
        <f>SUM('Plant Inputs'!AJ4,'Plant Inputs'!AJ10,'Plant Inputs'!AJ16)</f>
        <v/>
      </c>
      <c r="AJ4" s="14">
        <f>SUM('Plant Inputs'!AK4,'Plant Inputs'!AK10,'Plant Inputs'!AK16)</f>
        <v/>
      </c>
      <c r="AK4" s="14">
        <f>SUM('Plant Inputs'!AL4,'Plant Inputs'!AL10,'Plant Inputs'!AL16)</f>
        <v/>
      </c>
      <c r="AL4" s="14">
        <f>SUM('Plant Inputs'!AM4,'Plant Inputs'!AM10,'Plant Inputs'!AM16)</f>
        <v/>
      </c>
      <c r="AM4" s="14">
        <f>SUM('Plant Inputs'!AN4,'Plant Inputs'!AN10,'Plant Inputs'!AN16)</f>
        <v/>
      </c>
      <c r="AN4" s="14">
        <f>SUM('Plant Inputs'!AO4,'Plant Inputs'!AO10,'Plant Inputs'!AO16)</f>
        <v/>
      </c>
      <c r="AO4" s="14">
        <f>SUM('Plant Inputs'!AP4,'Plant Inputs'!AP10,'Plant Inputs'!AP16)</f>
        <v/>
      </c>
      <c r="AP4" s="14">
        <f>SUM('Plant Inputs'!AQ4,'Plant Inputs'!AQ10,'Plant Inputs'!AQ16)</f>
        <v/>
      </c>
      <c r="AQ4" s="14">
        <f>SUM('Plant Inputs'!AR4,'Plant Inputs'!AR10,'Plant Inputs'!AR16)</f>
        <v/>
      </c>
      <c r="AR4" s="14">
        <f>MIN('Plant Inputs'!AS4,'Plant Inputs'!AS10,'Plant Inputs'!AS16)</f>
        <v/>
      </c>
      <c r="AS4" s="14">
        <f>SUM('Plant Inputs'!AT4,'Plant Inputs'!AT10,'Plant Inputs'!AT16)</f>
        <v/>
      </c>
      <c r="AT4" s="14">
        <f>SUM('Plant Inputs'!AU4,'Plant Inputs'!AU10,'Plant Inputs'!AU16)</f>
        <v/>
      </c>
      <c r="AU4" s="14">
        <f>SUM('Plant Inputs'!AV4,'Plant Inputs'!AV10,'Plant Inputs'!AV16)</f>
        <v/>
      </c>
      <c r="AV4" s="14">
        <f>SUM('Plant Inputs'!AW4,'Plant Inputs'!AW10,'Plant Inputs'!AW16)</f>
        <v/>
      </c>
      <c r="AW4" s="14">
        <f>SUM('Plant Inputs'!AX4,'Plant Inputs'!AX10,'Plant Inputs'!AX16)</f>
        <v/>
      </c>
      <c r="AX4" s="14">
        <f>SUM('Plant Inputs'!AY4,'Plant Inputs'!AY10,'Plant Inputs'!AY16)</f>
        <v/>
      </c>
      <c r="AY4" s="14">
        <f>SUM('Plant Inputs'!AZ4,'Plant Inputs'!AZ10,'Plant Inputs'!AZ16)</f>
        <v/>
      </c>
      <c r="AZ4" s="14">
        <f>SUM('Plant Inputs'!BA4,'Plant Inputs'!BA10,'Plant Inputs'!BA16)</f>
        <v/>
      </c>
      <c r="BA4" s="14">
        <f>SUM('Plant Inputs'!BB4,'Plant Inputs'!BB10,'Plant Inputs'!BB16)</f>
        <v/>
      </c>
      <c r="BB4" s="14">
        <f>SUM('Plant Inputs'!BC4,'Plant Inputs'!BC10,'Plant Inputs'!BC16)</f>
        <v/>
      </c>
      <c r="BC4" s="14">
        <f>SUM('Plant Inputs'!BD4,'Plant Inputs'!BD10,'Plant Inputs'!BD16)</f>
        <v/>
      </c>
      <c r="BD4" s="14">
        <f>SUM('Plant Inputs'!BE4,'Plant Inputs'!BE10,'Plant Inputs'!BE16)</f>
        <v/>
      </c>
      <c r="BE4" s="14">
        <f>SUM('Plant Inputs'!BF4,'Plant Inputs'!BF10,'Plant Inputs'!BF16)</f>
        <v/>
      </c>
      <c r="BF4" s="14">
        <f>SUM('Plant Inputs'!BG4,'Plant Inputs'!BG10,'Plant Inputs'!BG16)</f>
        <v/>
      </c>
      <c r="BG4" s="14">
        <f>SUM('Plant Inputs'!BH4,'Plant Inputs'!BH10,'Plant Inputs'!BH16)</f>
        <v/>
      </c>
      <c r="BH4" s="14">
        <f>SUM('Plant Inputs'!BI4,'Plant Inputs'!BI10,'Plant Inputs'!BI16)</f>
        <v/>
      </c>
      <c r="BI4" s="14">
        <f>SUM('Plant Inputs'!BJ4,'Plant Inputs'!BJ10,'Plant Inputs'!BJ16)</f>
        <v/>
      </c>
      <c r="BJ4" s="14">
        <f>SUM('Plant Inputs'!BK4,'Plant Inputs'!BK10,'Plant Inputs'!BK16)</f>
        <v/>
      </c>
      <c r="BK4" s="14">
        <f>SUM('Plant Inputs'!BL4,'Plant Inputs'!BL10,'Plant Inputs'!BL16)</f>
        <v/>
      </c>
      <c r="BL4" s="14">
        <f>SUM('Plant Inputs'!BM4,'Plant Inputs'!BM10,'Plant Inputs'!BM16)</f>
        <v/>
      </c>
      <c r="BM4" s="14">
        <f>SUM('Plant Inputs'!BN4,'Plant Inputs'!BN10,'Plant Inputs'!BN16)</f>
        <v/>
      </c>
      <c r="BN4" s="14">
        <f>SUM('Plant Inputs'!BO4,'Plant Inputs'!BO10,'Plant Inputs'!BO16)</f>
        <v/>
      </c>
      <c r="BO4" s="14">
        <f>SUM('Plant Inputs'!BP4,'Plant Inputs'!BP10,'Plant Inputs'!BP16)</f>
        <v/>
      </c>
      <c r="BP4" s="14">
        <f>SUM('Plant Inputs'!BQ4,'Plant Inputs'!BQ10,'Plant Inputs'!BQ16)</f>
        <v/>
      </c>
      <c r="BQ4" s="14">
        <f>SUM('Plant Inputs'!BR4,'Plant Inputs'!BR10,'Plant Inputs'!BR16)</f>
        <v/>
      </c>
      <c r="BR4" s="14">
        <f>SUM('Plant Inputs'!BS4,'Plant Inputs'!BS10,'Plant Inputs'!BS16)</f>
        <v/>
      </c>
      <c r="BS4" s="14">
        <f>MIN('Plant Inputs'!BT4,'Plant Inputs'!BT10,'Plant Inputs'!BT16)</f>
        <v/>
      </c>
      <c r="BT4" s="14">
        <f>SUM('Plant Inputs'!BU4,'Plant Inputs'!BU10,'Plant Inputs'!BU16)</f>
        <v/>
      </c>
      <c r="BU4" s="14">
        <f>SUM('Plant Inputs'!BV4,'Plant Inputs'!BV10,'Plant Inputs'!BV16)</f>
        <v/>
      </c>
      <c r="BV4" s="14">
        <f>SUM('Plant Inputs'!BW4,'Plant Inputs'!BW10,'Plant Inputs'!BW16)</f>
        <v/>
      </c>
      <c r="BW4" s="14">
        <f>SUM('Plant Inputs'!BX4,'Plant Inputs'!BX10,'Plant Inputs'!BX16)</f>
        <v/>
      </c>
      <c r="BX4" s="14">
        <f>SUM('Plant Inputs'!BY4,'Plant Inputs'!BY10,'Plant Inputs'!BY16)</f>
        <v/>
      </c>
      <c r="BY4" s="16" t="n">
        <v>54938.6</v>
      </c>
      <c r="BZ4" s="16" t="n">
        <v>35929.2</v>
      </c>
      <c r="CA4" s="16" t="n">
        <v>10800000</v>
      </c>
      <c r="CB4" s="16" t="n">
        <v>4736181</v>
      </c>
      <c r="CC4" s="16" t="n">
        <v>936181</v>
      </c>
      <c r="CD4" s="16" t="n">
        <v>436986.6</v>
      </c>
      <c r="CE4" s="16" t="n">
        <v>39900</v>
      </c>
      <c r="CF4" s="16" t="n">
        <v>442623.4</v>
      </c>
      <c r="CG4" s="16" t="n">
        <v>1357977.9</v>
      </c>
      <c r="CH4" s="16" t="n">
        <v>167684.4</v>
      </c>
      <c r="CI4" s="16" t="n">
        <v>1183542.5</v>
      </c>
      <c r="CJ4" s="16" t="n">
        <v>2022544.1</v>
      </c>
      <c r="CK4" s="16" t="n">
        <v>1234856.8</v>
      </c>
      <c r="CL4" s="16" t="n">
        <v>1354000.8</v>
      </c>
      <c r="CM4" s="16" t="n">
        <v>1181957.8</v>
      </c>
      <c r="CN4" s="16" t="n">
        <v>519.8</v>
      </c>
      <c r="CO4" s="16" t="n">
        <v>115844.2</v>
      </c>
      <c r="CP4" s="16" t="n">
        <v>115844.2</v>
      </c>
      <c r="CQ4" s="16" t="n">
        <v>418</v>
      </c>
      <c r="CR4" s="16" t="n">
        <v>18974</v>
      </c>
      <c r="CS4" s="16" t="n">
        <v>18810</v>
      </c>
      <c r="CT4" s="16" t="n">
        <v>0</v>
      </c>
      <c r="CU4" s="16" t="n">
        <v>997106.1</v>
      </c>
      <c r="CV4" s="16" t="n">
        <v>1011641.5</v>
      </c>
      <c r="CW4" s="16" t="n">
        <v>195977</v>
      </c>
      <c r="CX4" s="16" t="n">
        <v>3747391.4</v>
      </c>
      <c r="CY4" s="16" t="n">
        <v>1976093.2</v>
      </c>
      <c r="CZ4" s="16" t="n">
        <v>425331</v>
      </c>
      <c r="DA4" s="16" t="n">
        <v>314182</v>
      </c>
      <c r="DB4" s="16" t="n">
        <v>339270.5</v>
      </c>
      <c r="DC4" s="16" t="n">
        <v>248759</v>
      </c>
      <c r="DD4" s="16" t="n">
        <v>5649.1</v>
      </c>
      <c r="DE4" s="16" t="n">
        <v>6321.3</v>
      </c>
      <c r="DF4" s="16" t="n">
        <v>2572845.7</v>
      </c>
      <c r="DG4" s="16" t="n">
        <v>1994270.3</v>
      </c>
      <c r="DH4" s="16" t="n">
        <v>1000000</v>
      </c>
      <c r="DI4" s="16" t="n">
        <v>449046.9</v>
      </c>
      <c r="DJ4" s="16" t="n">
        <v>76777.10000000001</v>
      </c>
      <c r="DK4" s="16" t="n">
        <v>380000</v>
      </c>
      <c r="DL4" s="16" t="n">
        <v>22271.5</v>
      </c>
      <c r="DM4" s="16" t="n">
        <v>5</v>
      </c>
      <c r="DN4" s="16" t="n">
        <v>1</v>
      </c>
      <c r="DO4" s="16" t="n">
        <v>0</v>
      </c>
      <c r="DP4" s="16" t="n">
        <v>0</v>
      </c>
      <c r="DQ4" s="16" t="n">
        <v>7</v>
      </c>
      <c r="DR4" s="16" t="n">
        <v>21</v>
      </c>
      <c r="DS4" s="16" t="n">
        <v>5</v>
      </c>
      <c r="DT4" s="16" t="n">
        <v>2</v>
      </c>
      <c r="DU4" s="16" t="n">
        <v>1</v>
      </c>
      <c r="DV4" s="16" t="n">
        <v>60</v>
      </c>
      <c r="DW4" s="16" t="n">
        <v>18</v>
      </c>
      <c r="DX4" s="16" t="n">
        <v>4834.8</v>
      </c>
      <c r="DY4" s="16" t="n">
        <v>3489.6</v>
      </c>
      <c r="DZ4" s="16" t="n">
        <v>987.8</v>
      </c>
      <c r="EA4" s="16" t="n">
        <v>352.3</v>
      </c>
      <c r="EB4" s="16" t="n">
        <v>600.2</v>
      </c>
      <c r="EC4" s="16" t="n">
        <v>72</v>
      </c>
      <c r="ED4" s="16" t="n">
        <v>69</v>
      </c>
      <c r="EE4" s="16" t="n">
        <v>1</v>
      </c>
      <c r="EF4" s="16" t="n">
        <v>0</v>
      </c>
      <c r="EG4" s="16" t="n">
        <v>2</v>
      </c>
      <c r="EH4" s="16" t="n">
        <v>1</v>
      </c>
      <c r="EI4" s="16" t="n">
        <v>0</v>
      </c>
      <c r="EJ4" s="16" t="n">
        <v>1</v>
      </c>
      <c r="EK4" s="16" t="n">
        <v>1</v>
      </c>
      <c r="EL4" s="16" t="n">
        <v>0</v>
      </c>
      <c r="EM4" s="16" t="n">
        <v>0</v>
      </c>
      <c r="EN4" s="16" t="n">
        <v>0</v>
      </c>
      <c r="EO4" s="16" t="n">
        <v>0</v>
      </c>
      <c r="EP4" s="16" t="n">
        <v>0</v>
      </c>
      <c r="EQ4" s="16" t="n">
        <v>1</v>
      </c>
      <c r="ER4" s="16" t="n">
        <v>1</v>
      </c>
      <c r="ES4" s="16" t="n">
        <v>0</v>
      </c>
      <c r="ET4" s="16" t="n">
        <v>1</v>
      </c>
      <c r="EU4" s="16" t="n">
        <v>2</v>
      </c>
      <c r="EV4" s="16" t="n">
        <v>0</v>
      </c>
      <c r="EW4" s="16" t="n">
        <v>0</v>
      </c>
      <c r="EX4" s="16" t="n">
        <v>0</v>
      </c>
      <c r="EY4" s="16" t="n">
        <v>50</v>
      </c>
      <c r="EZ4" s="16" t="n">
        <v>43</v>
      </c>
      <c r="FA4" s="16" t="n">
        <v>2</v>
      </c>
      <c r="FB4" s="16" t="n">
        <v>55</v>
      </c>
      <c r="FC4" s="16" t="n">
        <v>28</v>
      </c>
      <c r="FD4" s="16" t="n">
        <v>23</v>
      </c>
      <c r="FE4" s="16" t="n">
        <v>26</v>
      </c>
      <c r="FF4" s="16" t="n">
        <v>0</v>
      </c>
      <c r="FG4" s="16" t="n">
        <v>1</v>
      </c>
      <c r="FH4" s="16" t="n">
        <v>0</v>
      </c>
      <c r="FI4" s="16" t="n">
        <v>482362</v>
      </c>
      <c r="FJ4" s="16" t="n">
        <v>479530</v>
      </c>
      <c r="FK4" s="16" t="n">
        <v>400</v>
      </c>
      <c r="FL4" s="16" t="n">
        <v>381</v>
      </c>
      <c r="FM4" s="16" t="n">
        <v>0</v>
      </c>
      <c r="FN4" s="16" t="n">
        <v>0</v>
      </c>
      <c r="FO4" s="16" t="n">
        <v>0</v>
      </c>
      <c r="FP4" s="16" t="n">
        <v>6</v>
      </c>
      <c r="FQ4" s="16" t="n">
        <v>17.8</v>
      </c>
      <c r="FR4" s="16" t="n">
        <v>4</v>
      </c>
      <c r="FS4" s="16" t="n">
        <v>0</v>
      </c>
      <c r="FT4" s="16" t="n">
        <v>0</v>
      </c>
      <c r="FU4" s="16" t="n">
        <v>0</v>
      </c>
      <c r="FV4" s="25" t="n">
        <v>1340</v>
      </c>
      <c r="FW4" s="25" t="n">
        <v>309437.2</v>
      </c>
      <c r="FX4" s="25" t="n">
        <v>238064</v>
      </c>
      <c r="FY4" s="25" t="n">
        <v>1266630.9</v>
      </c>
      <c r="FZ4" s="25" t="n">
        <v>11124000</v>
      </c>
      <c r="GA4" s="25" t="n">
        <v>1199910.1</v>
      </c>
      <c r="GB4" s="25" t="n">
        <v>40773.6</v>
      </c>
      <c r="GC4" s="25" t="n">
        <v>999</v>
      </c>
      <c r="GD4" s="25" t="n">
        <v>0</v>
      </c>
      <c r="GE4" s="25" t="n">
        <v>100</v>
      </c>
      <c r="GF4" s="25" t="n">
        <v>0</v>
      </c>
    </row>
    <row r="5">
      <c r="A5" t="inlineStr">
        <is>
          <t>Group</t>
        </is>
      </c>
      <c r="B5" t="inlineStr">
        <is>
          <t>Entity A1</t>
        </is>
      </c>
      <c r="C5" t="inlineStr">
        <is>
          <t>2026-05</t>
        </is>
      </c>
      <c r="D5" t="n">
        <v>31</v>
      </c>
      <c r="E5" s="14">
        <f>SUM('Plant Inputs'!F5,'Plant Inputs'!F11,'Plant Inputs'!F17)</f>
        <v/>
      </c>
      <c r="F5" s="14">
        <f>SUM('Plant Inputs'!G5,'Plant Inputs'!G11,'Plant Inputs'!G17)</f>
        <v/>
      </c>
      <c r="G5" s="14">
        <f>SUM('Plant Inputs'!H5,'Plant Inputs'!H11,'Plant Inputs'!H17)</f>
        <v/>
      </c>
      <c r="H5" s="14">
        <f>SUM('Plant Inputs'!I5,'Plant Inputs'!I11,'Plant Inputs'!I17)</f>
        <v/>
      </c>
      <c r="I5" s="14">
        <f>SUM('Plant Inputs'!J5,'Plant Inputs'!J11,'Plant Inputs'!J17)</f>
        <v/>
      </c>
      <c r="J5" s="14">
        <f>SUM('Plant Inputs'!K5,'Plant Inputs'!K11,'Plant Inputs'!K17)</f>
        <v/>
      </c>
      <c r="K5" s="14">
        <f>SUM('Plant Inputs'!L5,'Plant Inputs'!L11,'Plant Inputs'!L17)</f>
        <v/>
      </c>
      <c r="L5" s="14">
        <f>SUM('Plant Inputs'!M5,'Plant Inputs'!M11,'Plant Inputs'!M17)</f>
        <v/>
      </c>
      <c r="M5" s="14">
        <f>SUM('Plant Inputs'!N5,'Plant Inputs'!N11,'Plant Inputs'!N17)</f>
        <v/>
      </c>
      <c r="N5" s="14">
        <f>SUM('Plant Inputs'!O5,'Plant Inputs'!O11,'Plant Inputs'!O17)</f>
        <v/>
      </c>
      <c r="O5" s="14">
        <f>SUM('Plant Inputs'!P5,'Plant Inputs'!P11,'Plant Inputs'!P17)</f>
        <v/>
      </c>
      <c r="P5" s="14">
        <f>SUM('Plant Inputs'!Q5,'Plant Inputs'!Q11,'Plant Inputs'!Q17)</f>
        <v/>
      </c>
      <c r="Q5" s="14">
        <f>SUM('Plant Inputs'!R5,'Plant Inputs'!R11,'Plant Inputs'!R17)</f>
        <v/>
      </c>
      <c r="R5" s="14">
        <f>SUM('Plant Inputs'!S5,'Plant Inputs'!S11,'Plant Inputs'!S17)</f>
        <v/>
      </c>
      <c r="S5" s="14">
        <f>SUM('Plant Inputs'!T5,'Plant Inputs'!T11,'Plant Inputs'!T17)</f>
        <v/>
      </c>
      <c r="T5" s="14">
        <f>SUM('Plant Inputs'!U5,'Plant Inputs'!U11,'Plant Inputs'!U17)</f>
        <v/>
      </c>
      <c r="U5" s="14">
        <f>SUM('Plant Inputs'!V5,'Plant Inputs'!V11,'Plant Inputs'!V17)</f>
        <v/>
      </c>
      <c r="V5" s="14">
        <f>SUM('Plant Inputs'!W5,'Plant Inputs'!W11,'Plant Inputs'!W17)</f>
        <v/>
      </c>
      <c r="W5" s="14">
        <f>SUM('Plant Inputs'!X5,'Plant Inputs'!X11,'Plant Inputs'!X17)</f>
        <v/>
      </c>
      <c r="X5" s="14">
        <f>SUM('Plant Inputs'!Y5,'Plant Inputs'!Y11,'Plant Inputs'!Y17)</f>
        <v/>
      </c>
      <c r="Y5" s="14">
        <f>SUM('Plant Inputs'!Z5,'Plant Inputs'!Z11,'Plant Inputs'!Z17)</f>
        <v/>
      </c>
      <c r="Z5" s="14">
        <f>SUM('Plant Inputs'!AA5,'Plant Inputs'!AA11,'Plant Inputs'!AA17)</f>
        <v/>
      </c>
      <c r="AA5" s="14">
        <f>SUM('Plant Inputs'!AB5,'Plant Inputs'!AB11,'Plant Inputs'!AB17)</f>
        <v/>
      </c>
      <c r="AB5" s="14">
        <f>SUM('Plant Inputs'!AC5,'Plant Inputs'!AC11,'Plant Inputs'!AC17)</f>
        <v/>
      </c>
      <c r="AC5" s="14">
        <f>SUM('Plant Inputs'!AD5,'Plant Inputs'!AD11,'Plant Inputs'!AD17)</f>
        <v/>
      </c>
      <c r="AD5" s="14">
        <f>SUM('Plant Inputs'!AE5,'Plant Inputs'!AE11,'Plant Inputs'!AE17)</f>
        <v/>
      </c>
      <c r="AE5" s="14">
        <f>SUM('Plant Inputs'!AF5,'Plant Inputs'!AF11,'Plant Inputs'!AF17)</f>
        <v/>
      </c>
      <c r="AF5" s="14">
        <f>SUM('Plant Inputs'!AG5,'Plant Inputs'!AG11,'Plant Inputs'!AG17)</f>
        <v/>
      </c>
      <c r="AG5" s="14">
        <f>SUM('Plant Inputs'!AH5,'Plant Inputs'!AH11,'Plant Inputs'!AH17)</f>
        <v/>
      </c>
      <c r="AH5" s="14">
        <f>SUM('Plant Inputs'!AI5,'Plant Inputs'!AI11,'Plant Inputs'!AI17)</f>
        <v/>
      </c>
      <c r="AI5" s="14">
        <f>SUM('Plant Inputs'!AJ5,'Plant Inputs'!AJ11,'Plant Inputs'!AJ17)</f>
        <v/>
      </c>
      <c r="AJ5" s="14">
        <f>SUM('Plant Inputs'!AK5,'Plant Inputs'!AK11,'Plant Inputs'!AK17)</f>
        <v/>
      </c>
      <c r="AK5" s="14">
        <f>SUM('Plant Inputs'!AL5,'Plant Inputs'!AL11,'Plant Inputs'!AL17)</f>
        <v/>
      </c>
      <c r="AL5" s="14">
        <f>SUM('Plant Inputs'!AM5,'Plant Inputs'!AM11,'Plant Inputs'!AM17)</f>
        <v/>
      </c>
      <c r="AM5" s="14">
        <f>SUM('Plant Inputs'!AN5,'Plant Inputs'!AN11,'Plant Inputs'!AN17)</f>
        <v/>
      </c>
      <c r="AN5" s="14">
        <f>SUM('Plant Inputs'!AO5,'Plant Inputs'!AO11,'Plant Inputs'!AO17)</f>
        <v/>
      </c>
      <c r="AO5" s="14">
        <f>SUM('Plant Inputs'!AP5,'Plant Inputs'!AP11,'Plant Inputs'!AP17)</f>
        <v/>
      </c>
      <c r="AP5" s="14">
        <f>SUM('Plant Inputs'!AQ5,'Plant Inputs'!AQ11,'Plant Inputs'!AQ17)</f>
        <v/>
      </c>
      <c r="AQ5" s="14">
        <f>SUM('Plant Inputs'!AR5,'Plant Inputs'!AR11,'Plant Inputs'!AR17)</f>
        <v/>
      </c>
      <c r="AR5" s="14">
        <f>MIN('Plant Inputs'!AS5,'Plant Inputs'!AS11,'Plant Inputs'!AS17)</f>
        <v/>
      </c>
      <c r="AS5" s="14">
        <f>SUM('Plant Inputs'!AT5,'Plant Inputs'!AT11,'Plant Inputs'!AT17)</f>
        <v/>
      </c>
      <c r="AT5" s="14">
        <f>SUM('Plant Inputs'!AU5,'Plant Inputs'!AU11,'Plant Inputs'!AU17)</f>
        <v/>
      </c>
      <c r="AU5" s="14">
        <f>SUM('Plant Inputs'!AV5,'Plant Inputs'!AV11,'Plant Inputs'!AV17)</f>
        <v/>
      </c>
      <c r="AV5" s="14">
        <f>SUM('Plant Inputs'!AW5,'Plant Inputs'!AW11,'Plant Inputs'!AW17)</f>
        <v/>
      </c>
      <c r="AW5" s="14">
        <f>SUM('Plant Inputs'!AX5,'Plant Inputs'!AX11,'Plant Inputs'!AX17)</f>
        <v/>
      </c>
      <c r="AX5" s="14">
        <f>SUM('Plant Inputs'!AY5,'Plant Inputs'!AY11,'Plant Inputs'!AY17)</f>
        <v/>
      </c>
      <c r="AY5" s="14">
        <f>SUM('Plant Inputs'!AZ5,'Plant Inputs'!AZ11,'Plant Inputs'!AZ17)</f>
        <v/>
      </c>
      <c r="AZ5" s="14">
        <f>SUM('Plant Inputs'!BA5,'Plant Inputs'!BA11,'Plant Inputs'!BA17)</f>
        <v/>
      </c>
      <c r="BA5" s="14">
        <f>SUM('Plant Inputs'!BB5,'Plant Inputs'!BB11,'Plant Inputs'!BB17)</f>
        <v/>
      </c>
      <c r="BB5" s="14">
        <f>SUM('Plant Inputs'!BC5,'Plant Inputs'!BC11,'Plant Inputs'!BC17)</f>
        <v/>
      </c>
      <c r="BC5" s="14">
        <f>SUM('Plant Inputs'!BD5,'Plant Inputs'!BD11,'Plant Inputs'!BD17)</f>
        <v/>
      </c>
      <c r="BD5" s="14">
        <f>SUM('Plant Inputs'!BE5,'Plant Inputs'!BE11,'Plant Inputs'!BE17)</f>
        <v/>
      </c>
      <c r="BE5" s="14">
        <f>SUM('Plant Inputs'!BF5,'Plant Inputs'!BF11,'Plant Inputs'!BF17)</f>
        <v/>
      </c>
      <c r="BF5" s="14">
        <f>SUM('Plant Inputs'!BG5,'Plant Inputs'!BG11,'Plant Inputs'!BG17)</f>
        <v/>
      </c>
      <c r="BG5" s="14">
        <f>SUM('Plant Inputs'!BH5,'Plant Inputs'!BH11,'Plant Inputs'!BH17)</f>
        <v/>
      </c>
      <c r="BH5" s="14">
        <f>SUM('Plant Inputs'!BI5,'Plant Inputs'!BI11,'Plant Inputs'!BI17)</f>
        <v/>
      </c>
      <c r="BI5" s="14">
        <f>SUM('Plant Inputs'!BJ5,'Plant Inputs'!BJ11,'Plant Inputs'!BJ17)</f>
        <v/>
      </c>
      <c r="BJ5" s="14">
        <f>SUM('Plant Inputs'!BK5,'Plant Inputs'!BK11,'Plant Inputs'!BK17)</f>
        <v/>
      </c>
      <c r="BK5" s="14">
        <f>SUM('Plant Inputs'!BL5,'Plant Inputs'!BL11,'Plant Inputs'!BL17)</f>
        <v/>
      </c>
      <c r="BL5" s="14">
        <f>SUM('Plant Inputs'!BM5,'Plant Inputs'!BM11,'Plant Inputs'!BM17)</f>
        <v/>
      </c>
      <c r="BM5" s="14">
        <f>SUM('Plant Inputs'!BN5,'Plant Inputs'!BN11,'Plant Inputs'!BN17)</f>
        <v/>
      </c>
      <c r="BN5" s="14">
        <f>SUM('Plant Inputs'!BO5,'Plant Inputs'!BO11,'Plant Inputs'!BO17)</f>
        <v/>
      </c>
      <c r="BO5" s="14">
        <f>SUM('Plant Inputs'!BP5,'Plant Inputs'!BP11,'Plant Inputs'!BP17)</f>
        <v/>
      </c>
      <c r="BP5" s="14">
        <f>SUM('Plant Inputs'!BQ5,'Plant Inputs'!BQ11,'Plant Inputs'!BQ17)</f>
        <v/>
      </c>
      <c r="BQ5" s="14">
        <f>SUM('Plant Inputs'!BR5,'Plant Inputs'!BR11,'Plant Inputs'!BR17)</f>
        <v/>
      </c>
      <c r="BR5" s="14">
        <f>SUM('Plant Inputs'!BS5,'Plant Inputs'!BS11,'Plant Inputs'!BS17)</f>
        <v/>
      </c>
      <c r="BS5" s="14">
        <f>MIN('Plant Inputs'!BT5,'Plant Inputs'!BT11,'Plant Inputs'!BT17)</f>
        <v/>
      </c>
      <c r="BT5" s="14">
        <f>SUM('Plant Inputs'!BU5,'Plant Inputs'!BU11,'Plant Inputs'!BU17)</f>
        <v/>
      </c>
      <c r="BU5" s="14">
        <f>SUM('Plant Inputs'!BV5,'Plant Inputs'!BV11,'Plant Inputs'!BV17)</f>
        <v/>
      </c>
      <c r="BV5" s="14">
        <f>SUM('Plant Inputs'!BW5,'Plant Inputs'!BW11,'Plant Inputs'!BW17)</f>
        <v/>
      </c>
      <c r="BW5" s="14">
        <f>SUM('Plant Inputs'!BX5,'Plant Inputs'!BX11,'Plant Inputs'!BX17)</f>
        <v/>
      </c>
      <c r="BX5" s="14">
        <f>SUM('Plant Inputs'!BY5,'Plant Inputs'!BY11,'Plant Inputs'!BY17)</f>
        <v/>
      </c>
      <c r="BY5" s="16" t="n">
        <v>50704.9</v>
      </c>
      <c r="BZ5" s="16" t="n">
        <v>14276.1</v>
      </c>
      <c r="CA5" s="16" t="n">
        <v>10843200</v>
      </c>
      <c r="CB5" s="16" t="n">
        <v>4689727.1</v>
      </c>
      <c r="CC5" s="16" t="n">
        <v>927727.1</v>
      </c>
      <c r="CD5" s="16" t="n">
        <v>438182.1</v>
      </c>
      <c r="CE5" s="16" t="n">
        <v>39501</v>
      </c>
      <c r="CF5" s="16" t="n">
        <v>484600.2</v>
      </c>
      <c r="CG5" s="16" t="n">
        <v>1326721.5</v>
      </c>
      <c r="CH5" s="16" t="n">
        <v>67821.89999999999</v>
      </c>
      <c r="CI5" s="16" t="n">
        <v>1128801.3</v>
      </c>
      <c r="CJ5" s="16" t="n">
        <v>1918893.1</v>
      </c>
      <c r="CK5" s="16" t="n">
        <v>1294064.9</v>
      </c>
      <c r="CL5" s="16" t="n">
        <v>1295301.1</v>
      </c>
      <c r="CM5" s="16" t="n">
        <v>1117881.8</v>
      </c>
      <c r="CN5" s="16" t="n">
        <v>812.1</v>
      </c>
      <c r="CO5" s="16" t="n">
        <v>123248</v>
      </c>
      <c r="CP5" s="16" t="n">
        <v>123248</v>
      </c>
      <c r="CQ5" s="16" t="n">
        <v>382</v>
      </c>
      <c r="CR5" s="16" t="n">
        <v>17264</v>
      </c>
      <c r="CS5" s="16" t="n">
        <v>17190</v>
      </c>
      <c r="CT5" s="16" t="n">
        <v>0</v>
      </c>
      <c r="CU5" s="16" t="n">
        <v>403490.1</v>
      </c>
      <c r="CV5" s="16" t="n">
        <v>409969.6</v>
      </c>
      <c r="CW5" s="16" t="n">
        <v>76015</v>
      </c>
      <c r="CX5" s="16" t="n">
        <v>3729497.8</v>
      </c>
      <c r="CY5" s="16" t="n">
        <v>797457</v>
      </c>
      <c r="CZ5" s="16" t="n">
        <v>402268.2</v>
      </c>
      <c r="DA5" s="16" t="n">
        <v>277847.9</v>
      </c>
      <c r="DB5" s="16" t="n">
        <v>324638.2</v>
      </c>
      <c r="DC5" s="16" t="n">
        <v>229566.1</v>
      </c>
      <c r="DD5" s="16" t="n">
        <v>3941.5</v>
      </c>
      <c r="DE5" s="16" t="n">
        <v>4320.5</v>
      </c>
      <c r="DF5" s="16" t="n">
        <v>2519902.8</v>
      </c>
      <c r="DG5" s="16" t="n">
        <v>1969944</v>
      </c>
      <c r="DH5" s="16" t="n">
        <v>1000000</v>
      </c>
      <c r="DI5" s="16" t="n">
        <v>500855.7</v>
      </c>
      <c r="DJ5" s="16" t="n">
        <v>75177.60000000001</v>
      </c>
      <c r="DK5" s="16" t="n">
        <v>422000</v>
      </c>
      <c r="DL5" s="16" t="n">
        <v>25527.6</v>
      </c>
      <c r="DM5" s="16" t="n">
        <v>5</v>
      </c>
      <c r="DN5" s="16" t="n">
        <v>1</v>
      </c>
      <c r="DO5" s="16" t="n">
        <v>0</v>
      </c>
      <c r="DP5" s="16" t="n">
        <v>0</v>
      </c>
      <c r="DQ5" s="16" t="n">
        <v>6</v>
      </c>
      <c r="DR5" s="16" t="n">
        <v>17</v>
      </c>
      <c r="DS5" s="16" t="n">
        <v>5</v>
      </c>
      <c r="DT5" s="16" t="n">
        <v>2</v>
      </c>
      <c r="DU5" s="16" t="n">
        <v>1</v>
      </c>
      <c r="DV5" s="16" t="n">
        <v>60</v>
      </c>
      <c r="DW5" s="16" t="n">
        <v>21</v>
      </c>
      <c r="DX5" s="16" t="n">
        <v>5163.3</v>
      </c>
      <c r="DY5" s="16" t="n">
        <v>3608.4</v>
      </c>
      <c r="DZ5" s="16" t="n">
        <v>951.1</v>
      </c>
      <c r="EA5" s="16" t="n">
        <v>446.1</v>
      </c>
      <c r="EB5" s="16" t="n">
        <v>650.5</v>
      </c>
      <c r="EC5" s="16" t="n">
        <v>72</v>
      </c>
      <c r="ED5" s="16" t="n">
        <v>68</v>
      </c>
      <c r="EE5" s="16" t="n">
        <v>2</v>
      </c>
      <c r="EF5" s="16" t="n">
        <v>0</v>
      </c>
      <c r="EG5" s="16" t="n">
        <v>2</v>
      </c>
      <c r="EH5" s="16" t="n">
        <v>0</v>
      </c>
      <c r="EI5" s="16" t="n">
        <v>0</v>
      </c>
      <c r="EJ5" s="16" t="n">
        <v>1</v>
      </c>
      <c r="EK5" s="16" t="n">
        <v>0</v>
      </c>
      <c r="EL5" s="16" t="n">
        <v>0</v>
      </c>
      <c r="EM5" s="16" t="n">
        <v>0</v>
      </c>
      <c r="EN5" s="16" t="n">
        <v>0</v>
      </c>
      <c r="EO5" s="16" t="n">
        <v>0</v>
      </c>
      <c r="EP5" s="16" t="n">
        <v>0</v>
      </c>
      <c r="EQ5" s="16" t="n">
        <v>0</v>
      </c>
      <c r="ER5" s="16" t="n">
        <v>1</v>
      </c>
      <c r="ES5" s="16" t="n">
        <v>0</v>
      </c>
      <c r="ET5" s="16" t="n">
        <v>1</v>
      </c>
      <c r="EU5" s="16" t="n">
        <v>3</v>
      </c>
      <c r="EV5" s="16" t="n">
        <v>0</v>
      </c>
      <c r="EW5" s="16" t="n">
        <v>0</v>
      </c>
      <c r="EX5" s="16" t="n">
        <v>0</v>
      </c>
      <c r="EY5" s="16" t="n">
        <v>50</v>
      </c>
      <c r="EZ5" s="16" t="n">
        <v>43</v>
      </c>
      <c r="FA5" s="16" t="n">
        <v>3</v>
      </c>
      <c r="FB5" s="16" t="n">
        <v>85</v>
      </c>
      <c r="FC5" s="16" t="n">
        <v>28</v>
      </c>
      <c r="FD5" s="16" t="n">
        <v>23</v>
      </c>
      <c r="FE5" s="16" t="n">
        <v>26</v>
      </c>
      <c r="FF5" s="16" t="n">
        <v>0</v>
      </c>
      <c r="FG5" s="16" t="n">
        <v>1</v>
      </c>
      <c r="FH5" s="16" t="n">
        <v>0</v>
      </c>
      <c r="FI5" s="16" t="n">
        <v>488893</v>
      </c>
      <c r="FJ5" s="16" t="n">
        <v>485890</v>
      </c>
      <c r="FK5" s="16" t="n">
        <v>400</v>
      </c>
      <c r="FL5" s="16" t="n">
        <v>379</v>
      </c>
      <c r="FM5" s="16" t="n">
        <v>0</v>
      </c>
      <c r="FN5" s="16" t="n">
        <v>0</v>
      </c>
      <c r="FO5" s="16" t="n">
        <v>0</v>
      </c>
      <c r="FP5" s="16" t="n">
        <v>4</v>
      </c>
      <c r="FQ5" s="16" t="n">
        <v>11.6</v>
      </c>
      <c r="FR5" s="16" t="n">
        <v>3</v>
      </c>
      <c r="FS5" s="16" t="n">
        <v>0</v>
      </c>
      <c r="FT5" s="16" t="n">
        <v>0</v>
      </c>
      <c r="FU5" s="16" t="n">
        <v>0</v>
      </c>
      <c r="FV5" s="25" t="n">
        <v>1344</v>
      </c>
      <c r="FW5" s="25" t="n">
        <v>1497784.5</v>
      </c>
      <c r="FX5" s="25" t="n">
        <v>1047557.6</v>
      </c>
      <c r="FY5" s="25" t="n">
        <v>678302.4</v>
      </c>
      <c r="FZ5" s="25" t="n">
        <v>11168496</v>
      </c>
      <c r="GA5" s="25" t="n">
        <v>658274.2</v>
      </c>
      <c r="GB5" s="25" t="n">
        <v>22368.5</v>
      </c>
      <c r="GC5" s="25" t="n">
        <v>999</v>
      </c>
      <c r="GD5" s="25" t="n">
        <v>0</v>
      </c>
      <c r="GE5" s="25" t="n">
        <v>101.2</v>
      </c>
      <c r="GF5" s="25" t="n">
        <v>0</v>
      </c>
    </row>
    <row r="6">
      <c r="A6" t="inlineStr">
        <is>
          <t>Group</t>
        </is>
      </c>
      <c r="B6" t="inlineStr">
        <is>
          <t>Entity A1</t>
        </is>
      </c>
      <c r="C6" t="inlineStr">
        <is>
          <t>2026-06</t>
        </is>
      </c>
      <c r="D6" t="n">
        <v>30</v>
      </c>
      <c r="E6" s="14">
        <f>SUM('Plant Inputs'!F6,'Plant Inputs'!F12,'Plant Inputs'!F18)</f>
        <v/>
      </c>
      <c r="F6" s="14">
        <f>SUM('Plant Inputs'!G6,'Plant Inputs'!G12,'Plant Inputs'!G18)</f>
        <v/>
      </c>
      <c r="G6" s="14">
        <f>SUM('Plant Inputs'!H6,'Plant Inputs'!H12,'Plant Inputs'!H18)</f>
        <v/>
      </c>
      <c r="H6" s="14">
        <f>SUM('Plant Inputs'!I6,'Plant Inputs'!I12,'Plant Inputs'!I18)</f>
        <v/>
      </c>
      <c r="I6" s="14">
        <f>SUM('Plant Inputs'!J6,'Plant Inputs'!J12,'Plant Inputs'!J18)</f>
        <v/>
      </c>
      <c r="J6" s="14">
        <f>SUM('Plant Inputs'!K6,'Plant Inputs'!K12,'Plant Inputs'!K18)</f>
        <v/>
      </c>
      <c r="K6" s="14">
        <f>SUM('Plant Inputs'!L6,'Plant Inputs'!L12,'Plant Inputs'!L18)</f>
        <v/>
      </c>
      <c r="L6" s="14">
        <f>SUM('Plant Inputs'!M6,'Plant Inputs'!M12,'Plant Inputs'!M18)</f>
        <v/>
      </c>
      <c r="M6" s="14">
        <f>SUM('Plant Inputs'!N6,'Plant Inputs'!N12,'Plant Inputs'!N18)</f>
        <v/>
      </c>
      <c r="N6" s="14">
        <f>SUM('Plant Inputs'!O6,'Plant Inputs'!O12,'Plant Inputs'!O18)</f>
        <v/>
      </c>
      <c r="O6" s="14">
        <f>SUM('Plant Inputs'!P6,'Plant Inputs'!P12,'Plant Inputs'!P18)</f>
        <v/>
      </c>
      <c r="P6" s="14">
        <f>SUM('Plant Inputs'!Q6,'Plant Inputs'!Q12,'Plant Inputs'!Q18)</f>
        <v/>
      </c>
      <c r="Q6" s="14">
        <f>SUM('Plant Inputs'!R6,'Plant Inputs'!R12,'Plant Inputs'!R18)</f>
        <v/>
      </c>
      <c r="R6" s="14">
        <f>SUM('Plant Inputs'!S6,'Plant Inputs'!S12,'Plant Inputs'!S18)</f>
        <v/>
      </c>
      <c r="S6" s="14">
        <f>SUM('Plant Inputs'!T6,'Plant Inputs'!T12,'Plant Inputs'!T18)</f>
        <v/>
      </c>
      <c r="T6" s="14">
        <f>SUM('Plant Inputs'!U6,'Plant Inputs'!U12,'Plant Inputs'!U18)</f>
        <v/>
      </c>
      <c r="U6" s="14">
        <f>SUM('Plant Inputs'!V6,'Plant Inputs'!V12,'Plant Inputs'!V18)</f>
        <v/>
      </c>
      <c r="V6" s="14">
        <f>SUM('Plant Inputs'!W6,'Plant Inputs'!W12,'Plant Inputs'!W18)</f>
        <v/>
      </c>
      <c r="W6" s="14">
        <f>SUM('Plant Inputs'!X6,'Plant Inputs'!X12,'Plant Inputs'!X18)</f>
        <v/>
      </c>
      <c r="X6" s="14">
        <f>SUM('Plant Inputs'!Y6,'Plant Inputs'!Y12,'Plant Inputs'!Y18)</f>
        <v/>
      </c>
      <c r="Y6" s="14">
        <f>SUM('Plant Inputs'!Z6,'Plant Inputs'!Z12,'Plant Inputs'!Z18)</f>
        <v/>
      </c>
      <c r="Z6" s="14">
        <f>SUM('Plant Inputs'!AA6,'Plant Inputs'!AA12,'Plant Inputs'!AA18)</f>
        <v/>
      </c>
      <c r="AA6" s="14">
        <f>SUM('Plant Inputs'!AB6,'Plant Inputs'!AB12,'Plant Inputs'!AB18)</f>
        <v/>
      </c>
      <c r="AB6" s="14">
        <f>SUM('Plant Inputs'!AC6,'Plant Inputs'!AC12,'Plant Inputs'!AC18)</f>
        <v/>
      </c>
      <c r="AC6" s="14">
        <f>SUM('Plant Inputs'!AD6,'Plant Inputs'!AD12,'Plant Inputs'!AD18)</f>
        <v/>
      </c>
      <c r="AD6" s="14">
        <f>SUM('Plant Inputs'!AE6,'Plant Inputs'!AE12,'Plant Inputs'!AE18)</f>
        <v/>
      </c>
      <c r="AE6" s="14">
        <f>SUM('Plant Inputs'!AF6,'Plant Inputs'!AF12,'Plant Inputs'!AF18)</f>
        <v/>
      </c>
      <c r="AF6" s="14">
        <f>SUM('Plant Inputs'!AG6,'Plant Inputs'!AG12,'Plant Inputs'!AG18)</f>
        <v/>
      </c>
      <c r="AG6" s="14">
        <f>SUM('Plant Inputs'!AH6,'Plant Inputs'!AH12,'Plant Inputs'!AH18)</f>
        <v/>
      </c>
      <c r="AH6" s="14">
        <f>SUM('Plant Inputs'!AI6,'Plant Inputs'!AI12,'Plant Inputs'!AI18)</f>
        <v/>
      </c>
      <c r="AI6" s="14">
        <f>SUM('Plant Inputs'!AJ6,'Plant Inputs'!AJ12,'Plant Inputs'!AJ18)</f>
        <v/>
      </c>
      <c r="AJ6" s="14">
        <f>SUM('Plant Inputs'!AK6,'Plant Inputs'!AK12,'Plant Inputs'!AK18)</f>
        <v/>
      </c>
      <c r="AK6" s="14">
        <f>SUM('Plant Inputs'!AL6,'Plant Inputs'!AL12,'Plant Inputs'!AL18)</f>
        <v/>
      </c>
      <c r="AL6" s="14">
        <f>SUM('Plant Inputs'!AM6,'Plant Inputs'!AM12,'Plant Inputs'!AM18)</f>
        <v/>
      </c>
      <c r="AM6" s="14">
        <f>SUM('Plant Inputs'!AN6,'Plant Inputs'!AN12,'Plant Inputs'!AN18)</f>
        <v/>
      </c>
      <c r="AN6" s="14">
        <f>SUM('Plant Inputs'!AO6,'Plant Inputs'!AO12,'Plant Inputs'!AO18)</f>
        <v/>
      </c>
      <c r="AO6" s="14">
        <f>SUM('Plant Inputs'!AP6,'Plant Inputs'!AP12,'Plant Inputs'!AP18)</f>
        <v/>
      </c>
      <c r="AP6" s="14">
        <f>SUM('Plant Inputs'!AQ6,'Plant Inputs'!AQ12,'Plant Inputs'!AQ18)</f>
        <v/>
      </c>
      <c r="AQ6" s="14">
        <f>SUM('Plant Inputs'!AR6,'Plant Inputs'!AR12,'Plant Inputs'!AR18)</f>
        <v/>
      </c>
      <c r="AR6" s="14">
        <f>MIN('Plant Inputs'!AS6,'Plant Inputs'!AS12,'Plant Inputs'!AS18)</f>
        <v/>
      </c>
      <c r="AS6" s="14">
        <f>SUM('Plant Inputs'!AT6,'Plant Inputs'!AT12,'Plant Inputs'!AT18)</f>
        <v/>
      </c>
      <c r="AT6" s="14">
        <f>SUM('Plant Inputs'!AU6,'Plant Inputs'!AU12,'Plant Inputs'!AU18)</f>
        <v/>
      </c>
      <c r="AU6" s="14">
        <f>SUM('Plant Inputs'!AV6,'Plant Inputs'!AV12,'Plant Inputs'!AV18)</f>
        <v/>
      </c>
      <c r="AV6" s="14">
        <f>SUM('Plant Inputs'!AW6,'Plant Inputs'!AW12,'Plant Inputs'!AW18)</f>
        <v/>
      </c>
      <c r="AW6" s="14">
        <f>SUM('Plant Inputs'!AX6,'Plant Inputs'!AX12,'Plant Inputs'!AX18)</f>
        <v/>
      </c>
      <c r="AX6" s="14">
        <f>SUM('Plant Inputs'!AY6,'Plant Inputs'!AY12,'Plant Inputs'!AY18)</f>
        <v/>
      </c>
      <c r="AY6" s="14">
        <f>SUM('Plant Inputs'!AZ6,'Plant Inputs'!AZ12,'Plant Inputs'!AZ18)</f>
        <v/>
      </c>
      <c r="AZ6" s="14">
        <f>SUM('Plant Inputs'!BA6,'Plant Inputs'!BA12,'Plant Inputs'!BA18)</f>
        <v/>
      </c>
      <c r="BA6" s="14">
        <f>SUM('Plant Inputs'!BB6,'Plant Inputs'!BB12,'Plant Inputs'!BB18)</f>
        <v/>
      </c>
      <c r="BB6" s="14">
        <f>SUM('Plant Inputs'!BC6,'Plant Inputs'!BC12,'Plant Inputs'!BC18)</f>
        <v/>
      </c>
      <c r="BC6" s="14">
        <f>SUM('Plant Inputs'!BD6,'Plant Inputs'!BD12,'Plant Inputs'!BD18)</f>
        <v/>
      </c>
      <c r="BD6" s="14">
        <f>SUM('Plant Inputs'!BE6,'Plant Inputs'!BE12,'Plant Inputs'!BE18)</f>
        <v/>
      </c>
      <c r="BE6" s="14">
        <f>SUM('Plant Inputs'!BF6,'Plant Inputs'!BF12,'Plant Inputs'!BF18)</f>
        <v/>
      </c>
      <c r="BF6" s="14">
        <f>SUM('Plant Inputs'!BG6,'Plant Inputs'!BG12,'Plant Inputs'!BG18)</f>
        <v/>
      </c>
      <c r="BG6" s="14">
        <f>SUM('Plant Inputs'!BH6,'Plant Inputs'!BH12,'Plant Inputs'!BH18)</f>
        <v/>
      </c>
      <c r="BH6" s="14">
        <f>SUM('Plant Inputs'!BI6,'Plant Inputs'!BI12,'Plant Inputs'!BI18)</f>
        <v/>
      </c>
      <c r="BI6" s="14">
        <f>SUM('Plant Inputs'!BJ6,'Plant Inputs'!BJ12,'Plant Inputs'!BJ18)</f>
        <v/>
      </c>
      <c r="BJ6" s="14">
        <f>SUM('Plant Inputs'!BK6,'Plant Inputs'!BK12,'Plant Inputs'!BK18)</f>
        <v/>
      </c>
      <c r="BK6" s="14">
        <f>SUM('Plant Inputs'!BL6,'Plant Inputs'!BL12,'Plant Inputs'!BL18)</f>
        <v/>
      </c>
      <c r="BL6" s="14">
        <f>SUM('Plant Inputs'!BM6,'Plant Inputs'!BM12,'Plant Inputs'!BM18)</f>
        <v/>
      </c>
      <c r="BM6" s="14">
        <f>SUM('Plant Inputs'!BN6,'Plant Inputs'!BN12,'Plant Inputs'!BN18)</f>
        <v/>
      </c>
      <c r="BN6" s="14">
        <f>SUM('Plant Inputs'!BO6,'Plant Inputs'!BO12,'Plant Inputs'!BO18)</f>
        <v/>
      </c>
      <c r="BO6" s="14">
        <f>SUM('Plant Inputs'!BP6,'Plant Inputs'!BP12,'Plant Inputs'!BP18)</f>
        <v/>
      </c>
      <c r="BP6" s="14">
        <f>SUM('Plant Inputs'!BQ6,'Plant Inputs'!BQ12,'Plant Inputs'!BQ18)</f>
        <v/>
      </c>
      <c r="BQ6" s="14">
        <f>SUM('Plant Inputs'!BR6,'Plant Inputs'!BR12,'Plant Inputs'!BR18)</f>
        <v/>
      </c>
      <c r="BR6" s="14">
        <f>SUM('Plant Inputs'!BS6,'Plant Inputs'!BS12,'Plant Inputs'!BS18)</f>
        <v/>
      </c>
      <c r="BS6" s="14">
        <f>MIN('Plant Inputs'!BT6,'Plant Inputs'!BT12,'Plant Inputs'!BT18)</f>
        <v/>
      </c>
      <c r="BT6" s="14">
        <f>SUM('Plant Inputs'!BU6,'Plant Inputs'!BU12,'Plant Inputs'!BU18)</f>
        <v/>
      </c>
      <c r="BU6" s="14">
        <f>SUM('Plant Inputs'!BV6,'Plant Inputs'!BV12,'Plant Inputs'!BV18)</f>
        <v/>
      </c>
      <c r="BV6" s="14">
        <f>SUM('Plant Inputs'!BW6,'Plant Inputs'!BW12,'Plant Inputs'!BW18)</f>
        <v/>
      </c>
      <c r="BW6" s="14">
        <f>SUM('Plant Inputs'!BX6,'Plant Inputs'!BX12,'Plant Inputs'!BX18)</f>
        <v/>
      </c>
      <c r="BX6" s="14">
        <f>SUM('Plant Inputs'!BY6,'Plant Inputs'!BY12,'Plant Inputs'!BY18)</f>
        <v/>
      </c>
      <c r="BY6" s="16" t="n">
        <v>48811.1</v>
      </c>
      <c r="BZ6" s="16" t="n">
        <v>29278.7</v>
      </c>
      <c r="CA6" s="16" t="n">
        <v>10886400</v>
      </c>
      <c r="CB6" s="16" t="n">
        <v>4635169.6</v>
      </c>
      <c r="CC6" s="16" t="n">
        <v>911169.6</v>
      </c>
      <c r="CD6" s="16" t="n">
        <v>460112.3</v>
      </c>
      <c r="CE6" s="16" t="n">
        <v>39102</v>
      </c>
      <c r="CF6" s="16" t="n">
        <v>476219.3</v>
      </c>
      <c r="CG6" s="16" t="n">
        <v>1378110</v>
      </c>
      <c r="CH6" s="16" t="n">
        <v>133983.3</v>
      </c>
      <c r="CI6" s="16" t="n">
        <v>1126086</v>
      </c>
      <c r="CJ6" s="16" t="n">
        <v>1943165.8</v>
      </c>
      <c r="CK6" s="16" t="n">
        <v>1271185.4</v>
      </c>
      <c r="CL6" s="16" t="n">
        <v>1281353</v>
      </c>
      <c r="CM6" s="16" t="n">
        <v>1116529.3</v>
      </c>
      <c r="CN6" s="16" t="n">
        <v>735.6</v>
      </c>
      <c r="CO6" s="16" t="n">
        <v>117650.6</v>
      </c>
      <c r="CP6" s="16" t="n">
        <v>117650.6</v>
      </c>
      <c r="CQ6" s="16" t="n">
        <v>425</v>
      </c>
      <c r="CR6" s="16" t="n">
        <v>19112</v>
      </c>
      <c r="CS6" s="16" t="n">
        <v>19125</v>
      </c>
      <c r="CT6" s="16" t="n">
        <v>0</v>
      </c>
      <c r="CU6" s="16" t="n">
        <v>802788</v>
      </c>
      <c r="CV6" s="16" t="n">
        <v>808463.3</v>
      </c>
      <c r="CW6" s="16" t="n">
        <v>155641.9</v>
      </c>
      <c r="CX6" s="16" t="n">
        <v>3675892.6</v>
      </c>
      <c r="CY6" s="16" t="n">
        <v>1569788.9</v>
      </c>
      <c r="CZ6" s="16" t="n">
        <v>418805.1</v>
      </c>
      <c r="DA6" s="16" t="n">
        <v>306320.8</v>
      </c>
      <c r="DB6" s="16" t="n">
        <v>327500.7</v>
      </c>
      <c r="DC6" s="16" t="n">
        <v>240203.5</v>
      </c>
      <c r="DD6" s="16" t="n">
        <v>4261.9</v>
      </c>
      <c r="DE6" s="16" t="n">
        <v>4555.5</v>
      </c>
      <c r="DF6" s="16" t="n">
        <v>2534835.3</v>
      </c>
      <c r="DG6" s="16" t="n">
        <v>1925015.9</v>
      </c>
      <c r="DH6" s="16" t="n">
        <v>1000000</v>
      </c>
      <c r="DI6" s="16" t="n">
        <v>561019.6</v>
      </c>
      <c r="DJ6" s="16" t="n">
        <v>73628.5</v>
      </c>
      <c r="DK6" s="16" t="n">
        <v>464000</v>
      </c>
      <c r="DL6" s="16" t="n">
        <v>21951.6</v>
      </c>
      <c r="DM6" s="16" t="n">
        <v>5</v>
      </c>
      <c r="DN6" s="16" t="n">
        <v>1</v>
      </c>
      <c r="DO6" s="16" t="n">
        <v>0</v>
      </c>
      <c r="DP6" s="16" t="n">
        <v>0</v>
      </c>
      <c r="DQ6" s="16" t="n">
        <v>4</v>
      </c>
      <c r="DR6" s="16" t="n">
        <v>14</v>
      </c>
      <c r="DS6" s="16" t="n">
        <v>5</v>
      </c>
      <c r="DT6" s="16" t="n">
        <v>2</v>
      </c>
      <c r="DU6" s="16" t="n">
        <v>1</v>
      </c>
      <c r="DV6" s="16" t="n">
        <v>60</v>
      </c>
      <c r="DW6" s="16" t="n">
        <v>24</v>
      </c>
      <c r="DX6" s="16" t="n">
        <v>5112.3</v>
      </c>
      <c r="DY6" s="16" t="n">
        <v>3419.9</v>
      </c>
      <c r="DZ6" s="16" t="n">
        <v>1071.3</v>
      </c>
      <c r="EA6" s="16" t="n">
        <v>417.2</v>
      </c>
      <c r="EB6" s="16" t="n">
        <v>665.8</v>
      </c>
      <c r="EC6" s="16" t="n">
        <v>72</v>
      </c>
      <c r="ED6" s="16" t="n">
        <v>69</v>
      </c>
      <c r="EE6" s="16" t="n">
        <v>2</v>
      </c>
      <c r="EF6" s="16" t="n">
        <v>0</v>
      </c>
      <c r="EG6" s="16" t="n">
        <v>2</v>
      </c>
      <c r="EH6" s="16" t="n">
        <v>0</v>
      </c>
      <c r="EI6" s="16" t="n">
        <v>0</v>
      </c>
      <c r="EJ6" s="16" t="n">
        <v>0</v>
      </c>
      <c r="EK6" s="16" t="n">
        <v>0</v>
      </c>
      <c r="EL6" s="16" t="n">
        <v>0</v>
      </c>
      <c r="EM6" s="16" t="n">
        <v>0</v>
      </c>
      <c r="EN6" s="16" t="n">
        <v>0</v>
      </c>
      <c r="EO6" s="16" t="n">
        <v>0</v>
      </c>
      <c r="EP6" s="16" t="n">
        <v>0</v>
      </c>
      <c r="EQ6" s="16" t="n">
        <v>2</v>
      </c>
      <c r="ER6" s="16" t="n">
        <v>0</v>
      </c>
      <c r="ES6" s="16" t="n">
        <v>0</v>
      </c>
      <c r="ET6" s="16" t="n">
        <v>1</v>
      </c>
      <c r="EU6" s="16" t="n">
        <v>2</v>
      </c>
      <c r="EV6" s="16" t="n">
        <v>0</v>
      </c>
      <c r="EW6" s="16" t="n">
        <v>0</v>
      </c>
      <c r="EX6" s="16" t="n">
        <v>0</v>
      </c>
      <c r="EY6" s="16" t="n">
        <v>50</v>
      </c>
      <c r="EZ6" s="16" t="n">
        <v>43</v>
      </c>
      <c r="FA6" s="16" t="n">
        <v>1</v>
      </c>
      <c r="FB6" s="16" t="n">
        <v>30</v>
      </c>
      <c r="FC6" s="16" t="n">
        <v>28</v>
      </c>
      <c r="FD6" s="16" t="n">
        <v>23</v>
      </c>
      <c r="FE6" s="16" t="n">
        <v>26</v>
      </c>
      <c r="FF6" s="16" t="n">
        <v>0</v>
      </c>
      <c r="FG6" s="16" t="n">
        <v>1</v>
      </c>
      <c r="FH6" s="16" t="n">
        <v>0</v>
      </c>
      <c r="FI6" s="16" t="n">
        <v>488990</v>
      </c>
      <c r="FJ6" s="16" t="n">
        <v>485052</v>
      </c>
      <c r="FK6" s="16" t="n">
        <v>400</v>
      </c>
      <c r="FL6" s="16" t="n">
        <v>378</v>
      </c>
      <c r="FM6" s="16" t="n">
        <v>0</v>
      </c>
      <c r="FN6" s="16" t="n">
        <v>0</v>
      </c>
      <c r="FO6" s="16" t="n">
        <v>0</v>
      </c>
      <c r="FP6" s="16" t="n">
        <v>4</v>
      </c>
      <c r="FQ6" s="16" t="n">
        <v>11.7</v>
      </c>
      <c r="FR6" s="16" t="n">
        <v>4</v>
      </c>
      <c r="FS6" s="16" t="n">
        <v>1</v>
      </c>
      <c r="FT6" s="16" t="n">
        <v>1</v>
      </c>
      <c r="FU6" s="16" t="n">
        <v>1</v>
      </c>
      <c r="FV6" s="25" t="n">
        <v>1348</v>
      </c>
      <c r="FW6" s="25" t="n">
        <v>990689.3</v>
      </c>
      <c r="FX6" s="25" t="n">
        <v>623603.5</v>
      </c>
      <c r="FY6" s="25" t="n">
        <v>657262.7</v>
      </c>
      <c r="FZ6" s="25" t="n">
        <v>11212992</v>
      </c>
      <c r="GA6" s="25" t="n">
        <v>1207944.7</v>
      </c>
      <c r="GB6" s="25" t="n">
        <v>41046.7</v>
      </c>
      <c r="GC6" s="25" t="n">
        <v>999</v>
      </c>
      <c r="GD6" s="25" t="n">
        <v>0</v>
      </c>
      <c r="GE6" s="25" t="n">
        <v>100.6</v>
      </c>
      <c r="GF6" s="25" t="n">
        <v>0</v>
      </c>
    </row>
    <row r="7">
      <c r="A7" t="inlineStr">
        <is>
          <t>Group</t>
        </is>
      </c>
      <c r="B7" t="inlineStr">
        <is>
          <t>Entity A1</t>
        </is>
      </c>
      <c r="C7" t="inlineStr">
        <is>
          <t>2026-07</t>
        </is>
      </c>
      <c r="D7" t="n">
        <v>31</v>
      </c>
      <c r="E7" s="14">
        <f>SUM('Plant Inputs'!F7,'Plant Inputs'!F13,'Plant Inputs'!F19)</f>
        <v/>
      </c>
      <c r="F7" s="14">
        <f>SUM('Plant Inputs'!G7,'Plant Inputs'!G13,'Plant Inputs'!G19)</f>
        <v/>
      </c>
      <c r="G7" s="14">
        <f>SUM('Plant Inputs'!H7,'Plant Inputs'!H13,'Plant Inputs'!H19)</f>
        <v/>
      </c>
      <c r="H7" s="14">
        <f>SUM('Plant Inputs'!I7,'Plant Inputs'!I13,'Plant Inputs'!I19)</f>
        <v/>
      </c>
      <c r="I7" s="14">
        <f>SUM('Plant Inputs'!J7,'Plant Inputs'!J13,'Plant Inputs'!J19)</f>
        <v/>
      </c>
      <c r="J7" s="14">
        <f>SUM('Plant Inputs'!K7,'Plant Inputs'!K13,'Plant Inputs'!K19)</f>
        <v/>
      </c>
      <c r="K7" s="14">
        <f>SUM('Plant Inputs'!L7,'Plant Inputs'!L13,'Plant Inputs'!L19)</f>
        <v/>
      </c>
      <c r="L7" s="14">
        <f>SUM('Plant Inputs'!M7,'Plant Inputs'!M13,'Plant Inputs'!M19)</f>
        <v/>
      </c>
      <c r="M7" s="14">
        <f>SUM('Plant Inputs'!N7,'Plant Inputs'!N13,'Plant Inputs'!N19)</f>
        <v/>
      </c>
      <c r="N7" s="14">
        <f>SUM('Plant Inputs'!O7,'Plant Inputs'!O13,'Plant Inputs'!O19)</f>
        <v/>
      </c>
      <c r="O7" s="14">
        <f>SUM('Plant Inputs'!P7,'Plant Inputs'!P13,'Plant Inputs'!P19)</f>
        <v/>
      </c>
      <c r="P7" s="14">
        <f>SUM('Plant Inputs'!Q7,'Plant Inputs'!Q13,'Plant Inputs'!Q19)</f>
        <v/>
      </c>
      <c r="Q7" s="14">
        <f>SUM('Plant Inputs'!R7,'Plant Inputs'!R13,'Plant Inputs'!R19)</f>
        <v/>
      </c>
      <c r="R7" s="14">
        <f>SUM('Plant Inputs'!S7,'Plant Inputs'!S13,'Plant Inputs'!S19)</f>
        <v/>
      </c>
      <c r="S7" s="14">
        <f>SUM('Plant Inputs'!T7,'Plant Inputs'!T13,'Plant Inputs'!T19)</f>
        <v/>
      </c>
      <c r="T7" s="14">
        <f>SUM('Plant Inputs'!U7,'Plant Inputs'!U13,'Plant Inputs'!U19)</f>
        <v/>
      </c>
      <c r="U7" s="14">
        <f>SUM('Plant Inputs'!V7,'Plant Inputs'!V13,'Plant Inputs'!V19)</f>
        <v/>
      </c>
      <c r="V7" s="14">
        <f>SUM('Plant Inputs'!W7,'Plant Inputs'!W13,'Plant Inputs'!W19)</f>
        <v/>
      </c>
      <c r="W7" s="14">
        <f>SUM('Plant Inputs'!X7,'Plant Inputs'!X13,'Plant Inputs'!X19)</f>
        <v/>
      </c>
      <c r="X7" s="14">
        <f>SUM('Plant Inputs'!Y7,'Plant Inputs'!Y13,'Plant Inputs'!Y19)</f>
        <v/>
      </c>
      <c r="Y7" s="14">
        <f>SUM('Plant Inputs'!Z7,'Plant Inputs'!Z13,'Plant Inputs'!Z19)</f>
        <v/>
      </c>
      <c r="Z7" s="14">
        <f>SUM('Plant Inputs'!AA7,'Plant Inputs'!AA13,'Plant Inputs'!AA19)</f>
        <v/>
      </c>
      <c r="AA7" s="14">
        <f>SUM('Plant Inputs'!AB7,'Plant Inputs'!AB13,'Plant Inputs'!AB19)</f>
        <v/>
      </c>
      <c r="AB7" s="14">
        <f>SUM('Plant Inputs'!AC7,'Plant Inputs'!AC13,'Plant Inputs'!AC19)</f>
        <v/>
      </c>
      <c r="AC7" s="14">
        <f>SUM('Plant Inputs'!AD7,'Plant Inputs'!AD13,'Plant Inputs'!AD19)</f>
        <v/>
      </c>
      <c r="AD7" s="14">
        <f>SUM('Plant Inputs'!AE7,'Plant Inputs'!AE13,'Plant Inputs'!AE19)</f>
        <v/>
      </c>
      <c r="AE7" s="14">
        <f>SUM('Plant Inputs'!AF7,'Plant Inputs'!AF13,'Plant Inputs'!AF19)</f>
        <v/>
      </c>
      <c r="AF7" s="14">
        <f>SUM('Plant Inputs'!AG7,'Plant Inputs'!AG13,'Plant Inputs'!AG19)</f>
        <v/>
      </c>
      <c r="AG7" s="14">
        <f>SUM('Plant Inputs'!AH7,'Plant Inputs'!AH13,'Plant Inputs'!AH19)</f>
        <v/>
      </c>
      <c r="AH7" s="14">
        <f>SUM('Plant Inputs'!AI7,'Plant Inputs'!AI13,'Plant Inputs'!AI19)</f>
        <v/>
      </c>
      <c r="AI7" s="14">
        <f>SUM('Plant Inputs'!AJ7,'Plant Inputs'!AJ13,'Plant Inputs'!AJ19)</f>
        <v/>
      </c>
      <c r="AJ7" s="14">
        <f>SUM('Plant Inputs'!AK7,'Plant Inputs'!AK13,'Plant Inputs'!AK19)</f>
        <v/>
      </c>
      <c r="AK7" s="14">
        <f>SUM('Plant Inputs'!AL7,'Plant Inputs'!AL13,'Plant Inputs'!AL19)</f>
        <v/>
      </c>
      <c r="AL7" s="14">
        <f>SUM('Plant Inputs'!AM7,'Plant Inputs'!AM13,'Plant Inputs'!AM19)</f>
        <v/>
      </c>
      <c r="AM7" s="14">
        <f>SUM('Plant Inputs'!AN7,'Plant Inputs'!AN13,'Plant Inputs'!AN19)</f>
        <v/>
      </c>
      <c r="AN7" s="14">
        <f>SUM('Plant Inputs'!AO7,'Plant Inputs'!AO13,'Plant Inputs'!AO19)</f>
        <v/>
      </c>
      <c r="AO7" s="14">
        <f>SUM('Plant Inputs'!AP7,'Plant Inputs'!AP13,'Plant Inputs'!AP19)</f>
        <v/>
      </c>
      <c r="AP7" s="14">
        <f>SUM('Plant Inputs'!AQ7,'Plant Inputs'!AQ13,'Plant Inputs'!AQ19)</f>
        <v/>
      </c>
      <c r="AQ7" s="14">
        <f>SUM('Plant Inputs'!AR7,'Plant Inputs'!AR13,'Plant Inputs'!AR19)</f>
        <v/>
      </c>
      <c r="AR7" s="14">
        <f>MIN('Plant Inputs'!AS7,'Plant Inputs'!AS13,'Plant Inputs'!AS19)</f>
        <v/>
      </c>
      <c r="AS7" s="14">
        <f>SUM('Plant Inputs'!AT7,'Plant Inputs'!AT13,'Plant Inputs'!AT19)</f>
        <v/>
      </c>
      <c r="AT7" s="14">
        <f>SUM('Plant Inputs'!AU7,'Plant Inputs'!AU13,'Plant Inputs'!AU19)</f>
        <v/>
      </c>
      <c r="AU7" s="14">
        <f>SUM('Plant Inputs'!AV7,'Plant Inputs'!AV13,'Plant Inputs'!AV19)</f>
        <v/>
      </c>
      <c r="AV7" s="14">
        <f>SUM('Plant Inputs'!AW7,'Plant Inputs'!AW13,'Plant Inputs'!AW19)</f>
        <v/>
      </c>
      <c r="AW7" s="14">
        <f>SUM('Plant Inputs'!AX7,'Plant Inputs'!AX13,'Plant Inputs'!AX19)</f>
        <v/>
      </c>
      <c r="AX7" s="14">
        <f>SUM('Plant Inputs'!AY7,'Plant Inputs'!AY13,'Plant Inputs'!AY19)</f>
        <v/>
      </c>
      <c r="AY7" s="14">
        <f>SUM('Plant Inputs'!AZ7,'Plant Inputs'!AZ13,'Plant Inputs'!AZ19)</f>
        <v/>
      </c>
      <c r="AZ7" s="14">
        <f>SUM('Plant Inputs'!BA7,'Plant Inputs'!BA13,'Plant Inputs'!BA19)</f>
        <v/>
      </c>
      <c r="BA7" s="14">
        <f>SUM('Plant Inputs'!BB7,'Plant Inputs'!BB13,'Plant Inputs'!BB19)</f>
        <v/>
      </c>
      <c r="BB7" s="14">
        <f>SUM('Plant Inputs'!BC7,'Plant Inputs'!BC13,'Plant Inputs'!BC19)</f>
        <v/>
      </c>
      <c r="BC7" s="14">
        <f>SUM('Plant Inputs'!BD7,'Plant Inputs'!BD13,'Plant Inputs'!BD19)</f>
        <v/>
      </c>
      <c r="BD7" s="14">
        <f>SUM('Plant Inputs'!BE7,'Plant Inputs'!BE13,'Plant Inputs'!BE19)</f>
        <v/>
      </c>
      <c r="BE7" s="14">
        <f>SUM('Plant Inputs'!BF7,'Plant Inputs'!BF13,'Plant Inputs'!BF19)</f>
        <v/>
      </c>
      <c r="BF7" s="14">
        <f>SUM('Plant Inputs'!BG7,'Plant Inputs'!BG13,'Plant Inputs'!BG19)</f>
        <v/>
      </c>
      <c r="BG7" s="14">
        <f>SUM('Plant Inputs'!BH7,'Plant Inputs'!BH13,'Plant Inputs'!BH19)</f>
        <v/>
      </c>
      <c r="BH7" s="14">
        <f>SUM('Plant Inputs'!BI7,'Plant Inputs'!BI13,'Plant Inputs'!BI19)</f>
        <v/>
      </c>
      <c r="BI7" s="14">
        <f>SUM('Plant Inputs'!BJ7,'Plant Inputs'!BJ13,'Plant Inputs'!BJ19)</f>
        <v/>
      </c>
      <c r="BJ7" s="14">
        <f>SUM('Plant Inputs'!BK7,'Plant Inputs'!BK13,'Plant Inputs'!BK19)</f>
        <v/>
      </c>
      <c r="BK7" s="14">
        <f>SUM('Plant Inputs'!BL7,'Plant Inputs'!BL13,'Plant Inputs'!BL19)</f>
        <v/>
      </c>
      <c r="BL7" s="14">
        <f>SUM('Plant Inputs'!BM7,'Plant Inputs'!BM13,'Plant Inputs'!BM19)</f>
        <v/>
      </c>
      <c r="BM7" s="14">
        <f>SUM('Plant Inputs'!BN7,'Plant Inputs'!BN13,'Plant Inputs'!BN19)</f>
        <v/>
      </c>
      <c r="BN7" s="14">
        <f>SUM('Plant Inputs'!BO7,'Plant Inputs'!BO13,'Plant Inputs'!BO19)</f>
        <v/>
      </c>
      <c r="BO7" s="14">
        <f>SUM('Plant Inputs'!BP7,'Plant Inputs'!BP13,'Plant Inputs'!BP19)</f>
        <v/>
      </c>
      <c r="BP7" s="14">
        <f>SUM('Plant Inputs'!BQ7,'Plant Inputs'!BQ13,'Plant Inputs'!BQ19)</f>
        <v/>
      </c>
      <c r="BQ7" s="14">
        <f>SUM('Plant Inputs'!BR7,'Plant Inputs'!BR13,'Plant Inputs'!BR19)</f>
        <v/>
      </c>
      <c r="BR7" s="14">
        <f>SUM('Plant Inputs'!BS7,'Plant Inputs'!BS13,'Plant Inputs'!BS19)</f>
        <v/>
      </c>
      <c r="BS7" s="14">
        <f>MIN('Plant Inputs'!BT7,'Plant Inputs'!BT13,'Plant Inputs'!BT19)</f>
        <v/>
      </c>
      <c r="BT7" s="14">
        <f>SUM('Plant Inputs'!BU7,'Plant Inputs'!BU13,'Plant Inputs'!BU19)</f>
        <v/>
      </c>
      <c r="BU7" s="14">
        <f>SUM('Plant Inputs'!BV7,'Plant Inputs'!BV13,'Plant Inputs'!BV19)</f>
        <v/>
      </c>
      <c r="BV7" s="14">
        <f>SUM('Plant Inputs'!BW7,'Plant Inputs'!BW13,'Plant Inputs'!BW19)</f>
        <v/>
      </c>
      <c r="BW7" s="14">
        <f>SUM('Plant Inputs'!BX7,'Plant Inputs'!BX13,'Plant Inputs'!BX19)</f>
        <v/>
      </c>
      <c r="BX7" s="14">
        <f>SUM('Plant Inputs'!BY7,'Plant Inputs'!BY13,'Plant Inputs'!BY19)</f>
        <v/>
      </c>
      <c r="BY7" s="16" t="n">
        <v>54606.3</v>
      </c>
      <c r="BZ7" s="16" t="n">
        <v>39213.2</v>
      </c>
      <c r="CA7" s="16" t="n">
        <v>10929600</v>
      </c>
      <c r="CB7" s="16" t="n">
        <v>4608966.7</v>
      </c>
      <c r="CC7" s="16" t="n">
        <v>922966.7</v>
      </c>
      <c r="CD7" s="16" t="n">
        <v>458165.4</v>
      </c>
      <c r="CE7" s="16" t="n">
        <v>38703</v>
      </c>
      <c r="CF7" s="16" t="n">
        <v>484735.8</v>
      </c>
      <c r="CG7" s="16" t="n">
        <v>1328589.5</v>
      </c>
      <c r="CH7" s="16" t="n">
        <v>178047.3</v>
      </c>
      <c r="CI7" s="16" t="n">
        <v>1185026</v>
      </c>
      <c r="CJ7" s="16" t="n">
        <v>1960349</v>
      </c>
      <c r="CK7" s="16" t="n">
        <v>1201672</v>
      </c>
      <c r="CL7" s="16" t="n">
        <v>1233450.9</v>
      </c>
      <c r="CM7" s="16" t="n">
        <v>1188396</v>
      </c>
      <c r="CN7" s="16" t="n">
        <v>694.8</v>
      </c>
      <c r="CO7" s="16" t="n">
        <v>119061.7</v>
      </c>
      <c r="CP7" s="16" t="n">
        <v>119061.7</v>
      </c>
      <c r="CQ7" s="16" t="n">
        <v>438</v>
      </c>
      <c r="CR7" s="16" t="n">
        <v>19650</v>
      </c>
      <c r="CS7" s="16" t="n">
        <v>19710</v>
      </c>
      <c r="CT7" s="16" t="n">
        <v>0</v>
      </c>
      <c r="CU7" s="16" t="n">
        <v>1065509.6</v>
      </c>
      <c r="CV7" s="16" t="n">
        <v>1075543.1</v>
      </c>
      <c r="CW7" s="16" t="n">
        <v>172153.2</v>
      </c>
      <c r="CX7" s="16" t="n">
        <v>3675766.9</v>
      </c>
      <c r="CY7" s="16" t="n">
        <v>2119721.6</v>
      </c>
      <c r="CZ7" s="16" t="n">
        <v>446718.8</v>
      </c>
      <c r="DA7" s="16" t="n">
        <v>323811.5</v>
      </c>
      <c r="DB7" s="16" t="n">
        <v>364424.2</v>
      </c>
      <c r="DC7" s="16" t="n">
        <v>266166.7</v>
      </c>
      <c r="DD7" s="16" t="n">
        <v>6450.1</v>
      </c>
      <c r="DE7" s="16" t="n">
        <v>7325.1</v>
      </c>
      <c r="DF7" s="16" t="n">
        <v>2637874.2</v>
      </c>
      <c r="DG7" s="16" t="n">
        <v>2001983.7</v>
      </c>
      <c r="DH7" s="16" t="n">
        <v>1000000</v>
      </c>
      <c r="DI7" s="16" t="n">
        <v>608680.1</v>
      </c>
      <c r="DJ7" s="16" t="n">
        <v>80895.5</v>
      </c>
      <c r="DK7" s="16" t="n">
        <v>506000</v>
      </c>
      <c r="DL7" s="16" t="n">
        <v>24159.6</v>
      </c>
      <c r="DM7" s="16" t="n">
        <v>5</v>
      </c>
      <c r="DN7" s="16" t="n">
        <v>1</v>
      </c>
      <c r="DO7" s="16" t="n">
        <v>0</v>
      </c>
      <c r="DP7" s="16" t="n">
        <v>0</v>
      </c>
      <c r="DQ7" s="16" t="n">
        <v>6</v>
      </c>
      <c r="DR7" s="16" t="n">
        <v>17</v>
      </c>
      <c r="DS7" s="16" t="n">
        <v>5</v>
      </c>
      <c r="DT7" s="16" t="n">
        <v>2</v>
      </c>
      <c r="DU7" s="16" t="n">
        <v>1</v>
      </c>
      <c r="DV7" s="16" t="n">
        <v>60</v>
      </c>
      <c r="DW7" s="16" t="n">
        <v>27</v>
      </c>
      <c r="DX7" s="16" t="n">
        <v>5177.6</v>
      </c>
      <c r="DY7" s="16" t="n">
        <v>3634.4</v>
      </c>
      <c r="DZ7" s="16" t="n">
        <v>1084</v>
      </c>
      <c r="EA7" s="16" t="n">
        <v>415.8</v>
      </c>
      <c r="EB7" s="16" t="n">
        <v>690.3</v>
      </c>
      <c r="EC7" s="16" t="n">
        <v>72</v>
      </c>
      <c r="ED7" s="16" t="n">
        <v>68</v>
      </c>
      <c r="EE7" s="16" t="n">
        <v>2</v>
      </c>
      <c r="EF7" s="16" t="n">
        <v>0</v>
      </c>
      <c r="EG7" s="16" t="n">
        <v>2</v>
      </c>
      <c r="EH7" s="16" t="n">
        <v>1</v>
      </c>
      <c r="EI7" s="16" t="n">
        <v>0</v>
      </c>
      <c r="EJ7" s="16" t="n">
        <v>1</v>
      </c>
      <c r="EK7" s="16" t="n">
        <v>0</v>
      </c>
      <c r="EL7" s="16" t="n">
        <v>0</v>
      </c>
      <c r="EM7" s="16" t="n">
        <v>0</v>
      </c>
      <c r="EN7" s="16" t="n">
        <v>0</v>
      </c>
      <c r="EO7" s="16" t="n">
        <v>0</v>
      </c>
      <c r="EP7" s="16" t="n">
        <v>0</v>
      </c>
      <c r="EQ7" s="16" t="n">
        <v>1</v>
      </c>
      <c r="ER7" s="16" t="n">
        <v>1</v>
      </c>
      <c r="ES7" s="16" t="n">
        <v>0</v>
      </c>
      <c r="ET7" s="16" t="n">
        <v>1</v>
      </c>
      <c r="EU7" s="16" t="n">
        <v>2</v>
      </c>
      <c r="EV7" s="16" t="n">
        <v>0</v>
      </c>
      <c r="EW7" s="16" t="n">
        <v>0</v>
      </c>
      <c r="EX7" s="16" t="n">
        <v>0</v>
      </c>
      <c r="EY7" s="16" t="n">
        <v>50</v>
      </c>
      <c r="EZ7" s="16" t="n">
        <v>43</v>
      </c>
      <c r="FA7" s="16" t="n">
        <v>3</v>
      </c>
      <c r="FB7" s="16" t="n">
        <v>82</v>
      </c>
      <c r="FC7" s="16" t="n">
        <v>28</v>
      </c>
      <c r="FD7" s="16" t="n">
        <v>23</v>
      </c>
      <c r="FE7" s="16" t="n">
        <v>26</v>
      </c>
      <c r="FF7" s="16" t="n">
        <v>0</v>
      </c>
      <c r="FG7" s="16" t="n">
        <v>1</v>
      </c>
      <c r="FH7" s="16" t="n">
        <v>0</v>
      </c>
      <c r="FI7" s="16" t="n">
        <v>517040</v>
      </c>
      <c r="FJ7" s="16" t="n">
        <v>512116</v>
      </c>
      <c r="FK7" s="16" t="n">
        <v>400</v>
      </c>
      <c r="FL7" s="16" t="n">
        <v>380</v>
      </c>
      <c r="FM7" s="16" t="n">
        <v>0</v>
      </c>
      <c r="FN7" s="16" t="n">
        <v>0</v>
      </c>
      <c r="FO7" s="16" t="n">
        <v>0</v>
      </c>
      <c r="FP7" s="16" t="n">
        <v>4</v>
      </c>
      <c r="FQ7" s="16" t="n">
        <v>12</v>
      </c>
      <c r="FR7" s="16" t="n">
        <v>3</v>
      </c>
      <c r="FS7" s="16" t="n">
        <v>1</v>
      </c>
      <c r="FT7" s="16" t="n">
        <v>1</v>
      </c>
      <c r="FU7" s="16" t="n">
        <v>1</v>
      </c>
      <c r="FV7" s="25" t="n">
        <v>1340</v>
      </c>
      <c r="FW7" s="25" t="n">
        <v>808451.6</v>
      </c>
      <c r="FX7" s="25" t="n">
        <v>452347.9</v>
      </c>
      <c r="FY7" s="25" t="n">
        <v>687792.6</v>
      </c>
      <c r="FZ7" s="25" t="n">
        <v>11257488</v>
      </c>
      <c r="GA7" s="25" t="n">
        <v>1662277</v>
      </c>
      <c r="GB7" s="25" t="n">
        <v>56485.1</v>
      </c>
      <c r="GC7" s="25" t="n">
        <v>999</v>
      </c>
      <c r="GD7" s="25" t="n">
        <v>0</v>
      </c>
      <c r="GE7" s="25" t="n">
        <v>102.3</v>
      </c>
      <c r="GF7" s="25" t="n">
        <v>0</v>
      </c>
    </row>
    <row r="8">
      <c r="A8" t="inlineStr">
        <is>
          <t>Group</t>
        </is>
      </c>
      <c r="B8" t="inlineStr">
        <is>
          <t>Entity A1</t>
        </is>
      </c>
      <c r="C8" t="inlineStr">
        <is>
          <t>2026-08</t>
        </is>
      </c>
      <c r="D8" t="n">
        <v>31</v>
      </c>
      <c r="E8" s="14">
        <f>SUM('Plant Inputs'!F8,'Plant Inputs'!F14,'Plant Inputs'!F20)</f>
        <v/>
      </c>
      <c r="F8" s="14">
        <f>SUM('Plant Inputs'!G8,'Plant Inputs'!G14,'Plant Inputs'!G20)</f>
        <v/>
      </c>
      <c r="G8" s="14">
        <f>SUM('Plant Inputs'!H8,'Plant Inputs'!H14,'Plant Inputs'!H20)</f>
        <v/>
      </c>
      <c r="H8" s="14">
        <f>SUM('Plant Inputs'!I8,'Plant Inputs'!I14,'Plant Inputs'!I20)</f>
        <v/>
      </c>
      <c r="I8" s="14">
        <f>SUM('Plant Inputs'!J8,'Plant Inputs'!J14,'Plant Inputs'!J20)</f>
        <v/>
      </c>
      <c r="J8" s="14">
        <f>SUM('Plant Inputs'!K8,'Plant Inputs'!K14,'Plant Inputs'!K20)</f>
        <v/>
      </c>
      <c r="K8" s="14">
        <f>SUM('Plant Inputs'!L8,'Plant Inputs'!L14,'Plant Inputs'!L20)</f>
        <v/>
      </c>
      <c r="L8" s="14">
        <f>SUM('Plant Inputs'!M8,'Plant Inputs'!M14,'Plant Inputs'!M20)</f>
        <v/>
      </c>
      <c r="M8" s="14">
        <f>SUM('Plant Inputs'!N8,'Plant Inputs'!N14,'Plant Inputs'!N20)</f>
        <v/>
      </c>
      <c r="N8" s="14">
        <f>SUM('Plant Inputs'!O8,'Plant Inputs'!O14,'Plant Inputs'!O20)</f>
        <v/>
      </c>
      <c r="O8" s="14">
        <f>SUM('Plant Inputs'!P8,'Plant Inputs'!P14,'Plant Inputs'!P20)</f>
        <v/>
      </c>
      <c r="P8" s="14">
        <f>SUM('Plant Inputs'!Q8,'Plant Inputs'!Q14,'Plant Inputs'!Q20)</f>
        <v/>
      </c>
      <c r="Q8" s="14">
        <f>SUM('Plant Inputs'!R8,'Plant Inputs'!R14,'Plant Inputs'!R20)</f>
        <v/>
      </c>
      <c r="R8" s="14">
        <f>SUM('Plant Inputs'!S8,'Plant Inputs'!S14,'Plant Inputs'!S20)</f>
        <v/>
      </c>
      <c r="S8" s="14">
        <f>SUM('Plant Inputs'!T8,'Plant Inputs'!T14,'Plant Inputs'!T20)</f>
        <v/>
      </c>
      <c r="T8" s="14">
        <f>SUM('Plant Inputs'!U8,'Plant Inputs'!U14,'Plant Inputs'!U20)</f>
        <v/>
      </c>
      <c r="U8" s="14">
        <f>SUM('Plant Inputs'!V8,'Plant Inputs'!V14,'Plant Inputs'!V20)</f>
        <v/>
      </c>
      <c r="V8" s="14">
        <f>SUM('Plant Inputs'!W8,'Plant Inputs'!W14,'Plant Inputs'!W20)</f>
        <v/>
      </c>
      <c r="W8" s="14">
        <f>SUM('Plant Inputs'!X8,'Plant Inputs'!X14,'Plant Inputs'!X20)</f>
        <v/>
      </c>
      <c r="X8" s="14">
        <f>SUM('Plant Inputs'!Y8,'Plant Inputs'!Y14,'Plant Inputs'!Y20)</f>
        <v/>
      </c>
      <c r="Y8" s="14">
        <f>SUM('Plant Inputs'!Z8,'Plant Inputs'!Z14,'Plant Inputs'!Z20)</f>
        <v/>
      </c>
      <c r="Z8" s="14">
        <f>SUM('Plant Inputs'!AA8,'Plant Inputs'!AA14,'Plant Inputs'!AA20)</f>
        <v/>
      </c>
      <c r="AA8" s="14">
        <f>SUM('Plant Inputs'!AB8,'Plant Inputs'!AB14,'Plant Inputs'!AB20)</f>
        <v/>
      </c>
      <c r="AB8" s="14">
        <f>SUM('Plant Inputs'!AC8,'Plant Inputs'!AC14,'Plant Inputs'!AC20)</f>
        <v/>
      </c>
      <c r="AC8" s="14">
        <f>SUM('Plant Inputs'!AD8,'Plant Inputs'!AD14,'Plant Inputs'!AD20)</f>
        <v/>
      </c>
      <c r="AD8" s="14">
        <f>SUM('Plant Inputs'!AE8,'Plant Inputs'!AE14,'Plant Inputs'!AE20)</f>
        <v/>
      </c>
      <c r="AE8" s="14">
        <f>SUM('Plant Inputs'!AF8,'Plant Inputs'!AF14,'Plant Inputs'!AF20)</f>
        <v/>
      </c>
      <c r="AF8" s="14">
        <f>SUM('Plant Inputs'!AG8,'Plant Inputs'!AG14,'Plant Inputs'!AG20)</f>
        <v/>
      </c>
      <c r="AG8" s="14">
        <f>SUM('Plant Inputs'!AH8,'Plant Inputs'!AH14,'Plant Inputs'!AH20)</f>
        <v/>
      </c>
      <c r="AH8" s="14">
        <f>SUM('Plant Inputs'!AI8,'Plant Inputs'!AI14,'Plant Inputs'!AI20)</f>
        <v/>
      </c>
      <c r="AI8" s="14">
        <f>SUM('Plant Inputs'!AJ8,'Plant Inputs'!AJ14,'Plant Inputs'!AJ20)</f>
        <v/>
      </c>
      <c r="AJ8" s="14">
        <f>SUM('Plant Inputs'!AK8,'Plant Inputs'!AK14,'Plant Inputs'!AK20)</f>
        <v/>
      </c>
      <c r="AK8" s="14">
        <f>SUM('Plant Inputs'!AL8,'Plant Inputs'!AL14,'Plant Inputs'!AL20)</f>
        <v/>
      </c>
      <c r="AL8" s="14">
        <f>SUM('Plant Inputs'!AM8,'Plant Inputs'!AM14,'Plant Inputs'!AM20)</f>
        <v/>
      </c>
      <c r="AM8" s="14">
        <f>SUM('Plant Inputs'!AN8,'Plant Inputs'!AN14,'Plant Inputs'!AN20)</f>
        <v/>
      </c>
      <c r="AN8" s="14">
        <f>SUM('Plant Inputs'!AO8,'Plant Inputs'!AO14,'Plant Inputs'!AO20)</f>
        <v/>
      </c>
      <c r="AO8" s="14">
        <f>SUM('Plant Inputs'!AP8,'Plant Inputs'!AP14,'Plant Inputs'!AP20)</f>
        <v/>
      </c>
      <c r="AP8" s="14">
        <f>SUM('Plant Inputs'!AQ8,'Plant Inputs'!AQ14,'Plant Inputs'!AQ20)</f>
        <v/>
      </c>
      <c r="AQ8" s="14">
        <f>SUM('Plant Inputs'!AR8,'Plant Inputs'!AR14,'Plant Inputs'!AR20)</f>
        <v/>
      </c>
      <c r="AR8" s="14">
        <f>MIN('Plant Inputs'!AS8,'Plant Inputs'!AS14,'Plant Inputs'!AS20)</f>
        <v/>
      </c>
      <c r="AS8" s="14">
        <f>SUM('Plant Inputs'!AT8,'Plant Inputs'!AT14,'Plant Inputs'!AT20)</f>
        <v/>
      </c>
      <c r="AT8" s="14">
        <f>SUM('Plant Inputs'!AU8,'Plant Inputs'!AU14,'Plant Inputs'!AU20)</f>
        <v/>
      </c>
      <c r="AU8" s="14">
        <f>SUM('Plant Inputs'!AV8,'Plant Inputs'!AV14,'Plant Inputs'!AV20)</f>
        <v/>
      </c>
      <c r="AV8" s="14">
        <f>SUM('Plant Inputs'!AW8,'Plant Inputs'!AW14,'Plant Inputs'!AW20)</f>
        <v/>
      </c>
      <c r="AW8" s="14">
        <f>SUM('Plant Inputs'!AX8,'Plant Inputs'!AX14,'Plant Inputs'!AX20)</f>
        <v/>
      </c>
      <c r="AX8" s="14">
        <f>SUM('Plant Inputs'!AY8,'Plant Inputs'!AY14,'Plant Inputs'!AY20)</f>
        <v/>
      </c>
      <c r="AY8" s="14">
        <f>SUM('Plant Inputs'!AZ8,'Plant Inputs'!AZ14,'Plant Inputs'!AZ20)</f>
        <v/>
      </c>
      <c r="AZ8" s="14">
        <f>SUM('Plant Inputs'!BA8,'Plant Inputs'!BA14,'Plant Inputs'!BA20)</f>
        <v/>
      </c>
      <c r="BA8" s="14">
        <f>SUM('Plant Inputs'!BB8,'Plant Inputs'!BB14,'Plant Inputs'!BB20)</f>
        <v/>
      </c>
      <c r="BB8" s="14">
        <f>SUM('Plant Inputs'!BC8,'Plant Inputs'!BC14,'Plant Inputs'!BC20)</f>
        <v/>
      </c>
      <c r="BC8" s="14">
        <f>SUM('Plant Inputs'!BD8,'Plant Inputs'!BD14,'Plant Inputs'!BD20)</f>
        <v/>
      </c>
      <c r="BD8" s="14">
        <f>SUM('Plant Inputs'!BE8,'Plant Inputs'!BE14,'Plant Inputs'!BE20)</f>
        <v/>
      </c>
      <c r="BE8" s="14">
        <f>SUM('Plant Inputs'!BF8,'Plant Inputs'!BF14,'Plant Inputs'!BF20)</f>
        <v/>
      </c>
      <c r="BF8" s="14">
        <f>SUM('Plant Inputs'!BG8,'Plant Inputs'!BG14,'Plant Inputs'!BG20)</f>
        <v/>
      </c>
      <c r="BG8" s="14">
        <f>SUM('Plant Inputs'!BH8,'Plant Inputs'!BH14,'Plant Inputs'!BH20)</f>
        <v/>
      </c>
      <c r="BH8" s="14">
        <f>SUM('Plant Inputs'!BI8,'Plant Inputs'!BI14,'Plant Inputs'!BI20)</f>
        <v/>
      </c>
      <c r="BI8" s="14">
        <f>SUM('Plant Inputs'!BJ8,'Plant Inputs'!BJ14,'Plant Inputs'!BJ20)</f>
        <v/>
      </c>
      <c r="BJ8" s="14">
        <f>SUM('Plant Inputs'!BK8,'Plant Inputs'!BK14,'Plant Inputs'!BK20)</f>
        <v/>
      </c>
      <c r="BK8" s="14">
        <f>SUM('Plant Inputs'!BL8,'Plant Inputs'!BL14,'Plant Inputs'!BL20)</f>
        <v/>
      </c>
      <c r="BL8" s="14">
        <f>SUM('Plant Inputs'!BM8,'Plant Inputs'!BM14,'Plant Inputs'!BM20)</f>
        <v/>
      </c>
      <c r="BM8" s="14">
        <f>SUM('Plant Inputs'!BN8,'Plant Inputs'!BN14,'Plant Inputs'!BN20)</f>
        <v/>
      </c>
      <c r="BN8" s="14">
        <f>SUM('Plant Inputs'!BO8,'Plant Inputs'!BO14,'Plant Inputs'!BO20)</f>
        <v/>
      </c>
      <c r="BO8" s="14">
        <f>SUM('Plant Inputs'!BP8,'Plant Inputs'!BP14,'Plant Inputs'!BP20)</f>
        <v/>
      </c>
      <c r="BP8" s="14">
        <f>SUM('Plant Inputs'!BQ8,'Plant Inputs'!BQ14,'Plant Inputs'!BQ20)</f>
        <v/>
      </c>
      <c r="BQ8" s="14">
        <f>SUM('Plant Inputs'!BR8,'Plant Inputs'!BR14,'Plant Inputs'!BR20)</f>
        <v/>
      </c>
      <c r="BR8" s="14">
        <f>SUM('Plant Inputs'!BS8,'Plant Inputs'!BS14,'Plant Inputs'!BS20)</f>
        <v/>
      </c>
      <c r="BS8" s="14">
        <f>MIN('Plant Inputs'!BT8,'Plant Inputs'!BT14,'Plant Inputs'!BT20)</f>
        <v/>
      </c>
      <c r="BT8" s="14">
        <f>SUM('Plant Inputs'!BU8,'Plant Inputs'!BU14,'Plant Inputs'!BU20)</f>
        <v/>
      </c>
      <c r="BU8" s="14">
        <f>SUM('Plant Inputs'!BV8,'Plant Inputs'!BV14,'Plant Inputs'!BV20)</f>
        <v/>
      </c>
      <c r="BV8" s="14">
        <f>SUM('Plant Inputs'!BW8,'Plant Inputs'!BW14,'Plant Inputs'!BW20)</f>
        <v/>
      </c>
      <c r="BW8" s="14">
        <f>SUM('Plant Inputs'!BX8,'Plant Inputs'!BX14,'Plant Inputs'!BX20)</f>
        <v/>
      </c>
      <c r="BX8" s="14">
        <f>SUM('Plant Inputs'!BY8,'Plant Inputs'!BY14,'Plant Inputs'!BY20)</f>
        <v/>
      </c>
      <c r="BY8" s="16" t="n">
        <v>51744.4</v>
      </c>
      <c r="BZ8" s="16" t="n">
        <v>26325.4</v>
      </c>
      <c r="CA8" s="16" t="n">
        <v>10972800</v>
      </c>
      <c r="CB8" s="16" t="n">
        <v>4538500.4</v>
      </c>
      <c r="CC8" s="16" t="n">
        <v>890500.4</v>
      </c>
      <c r="CD8" s="16" t="n">
        <v>450000.3</v>
      </c>
      <c r="CE8" s="16" t="n">
        <v>38304</v>
      </c>
      <c r="CF8" s="16" t="n">
        <v>430017.2</v>
      </c>
      <c r="CG8" s="16" t="n">
        <v>1434553</v>
      </c>
      <c r="CH8" s="16" t="n">
        <v>141020.6</v>
      </c>
      <c r="CI8" s="16" t="n">
        <v>1178034.5</v>
      </c>
      <c r="CJ8" s="16" t="n">
        <v>1942517.4</v>
      </c>
      <c r="CK8" s="16" t="n">
        <v>1220348.1</v>
      </c>
      <c r="CL8" s="16" t="n">
        <v>1299238.7</v>
      </c>
      <c r="CM8" s="16" t="n">
        <v>1172897</v>
      </c>
      <c r="CN8" s="16" t="n">
        <v>595.6</v>
      </c>
      <c r="CO8" s="16" t="n">
        <v>111451.4</v>
      </c>
      <c r="CP8" s="16" t="n">
        <v>85831.10000000001</v>
      </c>
      <c r="CQ8" s="16" t="n">
        <v>429</v>
      </c>
      <c r="CR8" s="16" t="n">
        <v>20245</v>
      </c>
      <c r="CS8" s="16" t="n">
        <v>19305</v>
      </c>
      <c r="CT8" s="16" t="n">
        <v>2</v>
      </c>
      <c r="CU8" s="16" t="n">
        <v>814011.1</v>
      </c>
      <c r="CV8" s="16" t="n">
        <v>844976.7</v>
      </c>
      <c r="CW8" s="16" t="n">
        <v>168030.4</v>
      </c>
      <c r="CX8" s="16" t="n">
        <v>3603080.9</v>
      </c>
      <c r="CY8" s="16" t="n">
        <v>1658464.7</v>
      </c>
      <c r="CZ8" s="16" t="n">
        <v>420833</v>
      </c>
      <c r="DA8" s="16" t="n">
        <v>289646.6</v>
      </c>
      <c r="DB8" s="16" t="n">
        <v>345045.2</v>
      </c>
      <c r="DC8" s="16" t="n">
        <v>254976</v>
      </c>
      <c r="DD8" s="16" t="n">
        <v>5930.1</v>
      </c>
      <c r="DE8" s="16" t="n">
        <v>6390.2</v>
      </c>
      <c r="DF8" s="16" t="n">
        <v>2577012.3</v>
      </c>
      <c r="DG8" s="16" t="n">
        <v>2005260.4</v>
      </c>
      <c r="DH8" s="16" t="n">
        <v>1000000</v>
      </c>
      <c r="DI8" s="16" t="n">
        <v>671475.8</v>
      </c>
      <c r="DJ8" s="16" t="n">
        <v>82465.60000000001</v>
      </c>
      <c r="DK8" s="16" t="n">
        <v>548000</v>
      </c>
      <c r="DL8" s="16" t="n">
        <v>21559.1</v>
      </c>
      <c r="DM8" s="16" t="n">
        <v>5</v>
      </c>
      <c r="DN8" s="16" t="n">
        <v>1</v>
      </c>
      <c r="DO8" s="16" t="n">
        <v>0</v>
      </c>
      <c r="DP8" s="16" t="n">
        <v>0</v>
      </c>
      <c r="DQ8" s="16" t="n">
        <v>7</v>
      </c>
      <c r="DR8" s="16" t="n">
        <v>21</v>
      </c>
      <c r="DS8" s="16" t="n">
        <v>5</v>
      </c>
      <c r="DT8" s="16" t="n">
        <v>2</v>
      </c>
      <c r="DU8" s="16" t="n">
        <v>1</v>
      </c>
      <c r="DV8" s="16" t="n">
        <v>60</v>
      </c>
      <c r="DW8" s="16" t="n">
        <v>30</v>
      </c>
      <c r="DX8" s="16" t="n">
        <v>5059.6</v>
      </c>
      <c r="DY8" s="16" t="n">
        <v>3578</v>
      </c>
      <c r="DZ8" s="16" t="n">
        <v>1035</v>
      </c>
      <c r="EA8" s="16" t="n">
        <v>350.8</v>
      </c>
      <c r="EB8" s="16" t="n">
        <v>639.5</v>
      </c>
      <c r="EC8" s="16" t="n">
        <v>72</v>
      </c>
      <c r="ED8" s="16" t="n">
        <v>68</v>
      </c>
      <c r="EE8" s="16" t="n">
        <v>2</v>
      </c>
      <c r="EF8" s="16" t="n">
        <v>0</v>
      </c>
      <c r="EG8" s="16" t="n">
        <v>2</v>
      </c>
      <c r="EH8" s="16" t="n">
        <v>0</v>
      </c>
      <c r="EI8" s="16" t="n">
        <v>0</v>
      </c>
      <c r="EJ8" s="16" t="n">
        <v>1</v>
      </c>
      <c r="EK8" s="16" t="n">
        <v>1</v>
      </c>
      <c r="EL8" s="16" t="n">
        <v>1</v>
      </c>
      <c r="EM8" s="16" t="n">
        <v>0</v>
      </c>
      <c r="EN8" s="16" t="n">
        <v>0</v>
      </c>
      <c r="EO8" s="16" t="n">
        <v>0</v>
      </c>
      <c r="EP8" s="16" t="n">
        <v>0</v>
      </c>
      <c r="EQ8" s="16" t="n">
        <v>2</v>
      </c>
      <c r="ER8" s="16" t="n">
        <v>1</v>
      </c>
      <c r="ES8" s="16" t="n">
        <v>0</v>
      </c>
      <c r="ET8" s="16" t="n">
        <v>1</v>
      </c>
      <c r="EU8" s="16" t="n">
        <v>3</v>
      </c>
      <c r="EV8" s="16" t="n">
        <v>0</v>
      </c>
      <c r="EW8" s="16" t="n">
        <v>0</v>
      </c>
      <c r="EX8" s="16" t="n">
        <v>0</v>
      </c>
      <c r="EY8" s="16" t="n">
        <v>50</v>
      </c>
      <c r="EZ8" s="16" t="n">
        <v>43</v>
      </c>
      <c r="FA8" s="16" t="n">
        <v>2</v>
      </c>
      <c r="FB8" s="16" t="n">
        <v>60</v>
      </c>
      <c r="FC8" s="16" t="n">
        <v>28</v>
      </c>
      <c r="FD8" s="16" t="n">
        <v>23</v>
      </c>
      <c r="FE8" s="16" t="n">
        <v>26</v>
      </c>
      <c r="FF8" s="16" t="n">
        <v>0</v>
      </c>
      <c r="FG8" s="16" t="n">
        <v>1</v>
      </c>
      <c r="FH8" s="16" t="n">
        <v>1</v>
      </c>
      <c r="FI8" s="16" t="n">
        <v>489715</v>
      </c>
      <c r="FJ8" s="16" t="n">
        <v>486862</v>
      </c>
      <c r="FK8" s="16" t="n">
        <v>400</v>
      </c>
      <c r="FL8" s="16" t="n">
        <v>382</v>
      </c>
      <c r="FM8" s="16" t="n">
        <v>1</v>
      </c>
      <c r="FN8" s="16" t="n">
        <v>0</v>
      </c>
      <c r="FO8" s="16" t="n">
        <v>0</v>
      </c>
      <c r="FP8" s="16" t="n">
        <v>4</v>
      </c>
      <c r="FQ8" s="16" t="n">
        <v>12.2</v>
      </c>
      <c r="FR8" s="16" t="n">
        <v>3</v>
      </c>
      <c r="FS8" s="16" t="n">
        <v>1</v>
      </c>
      <c r="FT8" s="16" t="n">
        <v>1</v>
      </c>
      <c r="FU8" s="16" t="n">
        <v>1</v>
      </c>
      <c r="FV8" s="25" t="n">
        <v>1344</v>
      </c>
      <c r="FW8" s="25" t="n">
        <v>654005.2</v>
      </c>
      <c r="FX8" s="25" t="n">
        <v>320190</v>
      </c>
      <c r="FY8" s="25" t="n">
        <v>606400.6</v>
      </c>
      <c r="FZ8" s="25" t="n">
        <v>11301984</v>
      </c>
      <c r="GA8" s="25" t="n">
        <v>1548222.6</v>
      </c>
      <c r="GB8" s="25" t="n">
        <v>52609.5</v>
      </c>
      <c r="GC8" s="25" t="n">
        <v>999</v>
      </c>
      <c r="GD8" s="25" t="n">
        <v>1</v>
      </c>
      <c r="GE8" s="25" t="n">
        <v>103.1</v>
      </c>
      <c r="GF8" s="25" t="n">
        <v>0</v>
      </c>
    </row>
    <row r="9">
      <c r="A9" t="inlineStr">
        <is>
          <t>Group</t>
        </is>
      </c>
      <c r="B9" t="inlineStr">
        <is>
          <t>Entity A1</t>
        </is>
      </c>
      <c r="C9" t="inlineStr">
        <is>
          <t>2026-09</t>
        </is>
      </c>
      <c r="D9" t="n">
        <v>30</v>
      </c>
      <c r="E9" s="14">
        <f>SUM('Plant Inputs'!F9,'Plant Inputs'!F15,'Plant Inputs'!F21)</f>
        <v/>
      </c>
      <c r="F9" s="14">
        <f>SUM('Plant Inputs'!G9,'Plant Inputs'!G15,'Plant Inputs'!G21)</f>
        <v/>
      </c>
      <c r="G9" s="14">
        <f>SUM('Plant Inputs'!H9,'Plant Inputs'!H15,'Plant Inputs'!H21)</f>
        <v/>
      </c>
      <c r="H9" s="14">
        <f>SUM('Plant Inputs'!I9,'Plant Inputs'!I15,'Plant Inputs'!I21)</f>
        <v/>
      </c>
      <c r="I9" s="14">
        <f>SUM('Plant Inputs'!J9,'Plant Inputs'!J15,'Plant Inputs'!J21)</f>
        <v/>
      </c>
      <c r="J9" s="14">
        <f>SUM('Plant Inputs'!K9,'Plant Inputs'!K15,'Plant Inputs'!K21)</f>
        <v/>
      </c>
      <c r="K9" s="14">
        <f>SUM('Plant Inputs'!L9,'Plant Inputs'!L15,'Plant Inputs'!L21)</f>
        <v/>
      </c>
      <c r="L9" s="14">
        <f>SUM('Plant Inputs'!M9,'Plant Inputs'!M15,'Plant Inputs'!M21)</f>
        <v/>
      </c>
      <c r="M9" s="14">
        <f>SUM('Plant Inputs'!N9,'Plant Inputs'!N15,'Plant Inputs'!N21)</f>
        <v/>
      </c>
      <c r="N9" s="14">
        <f>SUM('Plant Inputs'!O9,'Plant Inputs'!O15,'Plant Inputs'!O21)</f>
        <v/>
      </c>
      <c r="O9" s="14">
        <f>SUM('Plant Inputs'!P9,'Plant Inputs'!P15,'Plant Inputs'!P21)</f>
        <v/>
      </c>
      <c r="P9" s="14">
        <f>SUM('Plant Inputs'!Q9,'Plant Inputs'!Q15,'Plant Inputs'!Q21)</f>
        <v/>
      </c>
      <c r="Q9" s="14">
        <f>SUM('Plant Inputs'!R9,'Plant Inputs'!R15,'Plant Inputs'!R21)</f>
        <v/>
      </c>
      <c r="R9" s="14">
        <f>SUM('Plant Inputs'!S9,'Plant Inputs'!S15,'Plant Inputs'!S21)</f>
        <v/>
      </c>
      <c r="S9" s="14">
        <f>SUM('Plant Inputs'!T9,'Plant Inputs'!T15,'Plant Inputs'!T21)</f>
        <v/>
      </c>
      <c r="T9" s="14">
        <f>SUM('Plant Inputs'!U9,'Plant Inputs'!U15,'Plant Inputs'!U21)</f>
        <v/>
      </c>
      <c r="U9" s="14">
        <f>SUM('Plant Inputs'!V9,'Plant Inputs'!V15,'Plant Inputs'!V21)</f>
        <v/>
      </c>
      <c r="V9" s="14">
        <f>SUM('Plant Inputs'!W9,'Plant Inputs'!W15,'Plant Inputs'!W21)</f>
        <v/>
      </c>
      <c r="W9" s="14">
        <f>SUM('Plant Inputs'!X9,'Plant Inputs'!X15,'Plant Inputs'!X21)</f>
        <v/>
      </c>
      <c r="X9" s="14">
        <f>SUM('Plant Inputs'!Y9,'Plant Inputs'!Y15,'Plant Inputs'!Y21)</f>
        <v/>
      </c>
      <c r="Y9" s="14">
        <f>SUM('Plant Inputs'!Z9,'Plant Inputs'!Z15,'Plant Inputs'!Z21)</f>
        <v/>
      </c>
      <c r="Z9" s="14">
        <f>SUM('Plant Inputs'!AA9,'Plant Inputs'!AA15,'Plant Inputs'!AA21)</f>
        <v/>
      </c>
      <c r="AA9" s="14">
        <f>SUM('Plant Inputs'!AB9,'Plant Inputs'!AB15,'Plant Inputs'!AB21)</f>
        <v/>
      </c>
      <c r="AB9" s="14">
        <f>SUM('Plant Inputs'!AC9,'Plant Inputs'!AC15,'Plant Inputs'!AC21)</f>
        <v/>
      </c>
      <c r="AC9" s="14">
        <f>SUM('Plant Inputs'!AD9,'Plant Inputs'!AD15,'Plant Inputs'!AD21)</f>
        <v/>
      </c>
      <c r="AD9" s="14">
        <f>SUM('Plant Inputs'!AE9,'Plant Inputs'!AE15,'Plant Inputs'!AE21)</f>
        <v/>
      </c>
      <c r="AE9" s="14">
        <f>SUM('Plant Inputs'!AF9,'Plant Inputs'!AF15,'Plant Inputs'!AF21)</f>
        <v/>
      </c>
      <c r="AF9" s="14">
        <f>SUM('Plant Inputs'!AG9,'Plant Inputs'!AG15,'Plant Inputs'!AG21)</f>
        <v/>
      </c>
      <c r="AG9" s="14">
        <f>SUM('Plant Inputs'!AH9,'Plant Inputs'!AH15,'Plant Inputs'!AH21)</f>
        <v/>
      </c>
      <c r="AH9" s="14">
        <f>SUM('Plant Inputs'!AI9,'Plant Inputs'!AI15,'Plant Inputs'!AI21)</f>
        <v/>
      </c>
      <c r="AI9" s="14">
        <f>SUM('Plant Inputs'!AJ9,'Plant Inputs'!AJ15,'Plant Inputs'!AJ21)</f>
        <v/>
      </c>
      <c r="AJ9" s="14">
        <f>SUM('Plant Inputs'!AK9,'Plant Inputs'!AK15,'Plant Inputs'!AK21)</f>
        <v/>
      </c>
      <c r="AK9" s="14">
        <f>SUM('Plant Inputs'!AL9,'Plant Inputs'!AL15,'Plant Inputs'!AL21)</f>
        <v/>
      </c>
      <c r="AL9" s="14">
        <f>SUM('Plant Inputs'!AM9,'Plant Inputs'!AM15,'Plant Inputs'!AM21)</f>
        <v/>
      </c>
      <c r="AM9" s="14">
        <f>SUM('Plant Inputs'!AN9,'Plant Inputs'!AN15,'Plant Inputs'!AN21)</f>
        <v/>
      </c>
      <c r="AN9" s="14">
        <f>SUM('Plant Inputs'!AO9,'Plant Inputs'!AO15,'Plant Inputs'!AO21)</f>
        <v/>
      </c>
      <c r="AO9" s="14">
        <f>SUM('Plant Inputs'!AP9,'Plant Inputs'!AP15,'Plant Inputs'!AP21)</f>
        <v/>
      </c>
      <c r="AP9" s="14">
        <f>SUM('Plant Inputs'!AQ9,'Plant Inputs'!AQ15,'Plant Inputs'!AQ21)</f>
        <v/>
      </c>
      <c r="AQ9" s="14">
        <f>SUM('Plant Inputs'!AR9,'Plant Inputs'!AR15,'Plant Inputs'!AR21)</f>
        <v/>
      </c>
      <c r="AR9" s="14">
        <f>MIN('Plant Inputs'!AS9,'Plant Inputs'!AS15,'Plant Inputs'!AS21)</f>
        <v/>
      </c>
      <c r="AS9" s="14">
        <f>SUM('Plant Inputs'!AT9,'Plant Inputs'!AT15,'Plant Inputs'!AT21)</f>
        <v/>
      </c>
      <c r="AT9" s="14">
        <f>SUM('Plant Inputs'!AU9,'Plant Inputs'!AU15,'Plant Inputs'!AU21)</f>
        <v/>
      </c>
      <c r="AU9" s="14">
        <f>SUM('Plant Inputs'!AV9,'Plant Inputs'!AV15,'Plant Inputs'!AV21)</f>
        <v/>
      </c>
      <c r="AV9" s="14">
        <f>SUM('Plant Inputs'!AW9,'Plant Inputs'!AW15,'Plant Inputs'!AW21)</f>
        <v/>
      </c>
      <c r="AW9" s="14">
        <f>SUM('Plant Inputs'!AX9,'Plant Inputs'!AX15,'Plant Inputs'!AX21)</f>
        <v/>
      </c>
      <c r="AX9" s="14">
        <f>SUM('Plant Inputs'!AY9,'Plant Inputs'!AY15,'Plant Inputs'!AY21)</f>
        <v/>
      </c>
      <c r="AY9" s="14">
        <f>SUM('Plant Inputs'!AZ9,'Plant Inputs'!AZ15,'Plant Inputs'!AZ21)</f>
        <v/>
      </c>
      <c r="AZ9" s="14">
        <f>SUM('Plant Inputs'!BA9,'Plant Inputs'!BA15,'Plant Inputs'!BA21)</f>
        <v/>
      </c>
      <c r="BA9" s="14">
        <f>SUM('Plant Inputs'!BB9,'Plant Inputs'!BB15,'Plant Inputs'!BB21)</f>
        <v/>
      </c>
      <c r="BB9" s="14">
        <f>SUM('Plant Inputs'!BC9,'Plant Inputs'!BC15,'Plant Inputs'!BC21)</f>
        <v/>
      </c>
      <c r="BC9" s="14">
        <f>SUM('Plant Inputs'!BD9,'Plant Inputs'!BD15,'Plant Inputs'!BD21)</f>
        <v/>
      </c>
      <c r="BD9" s="14">
        <f>SUM('Plant Inputs'!BE9,'Plant Inputs'!BE15,'Plant Inputs'!BE21)</f>
        <v/>
      </c>
      <c r="BE9" s="14">
        <f>SUM('Plant Inputs'!BF9,'Plant Inputs'!BF15,'Plant Inputs'!BF21)</f>
        <v/>
      </c>
      <c r="BF9" s="14">
        <f>SUM('Plant Inputs'!BG9,'Plant Inputs'!BG15,'Plant Inputs'!BG21)</f>
        <v/>
      </c>
      <c r="BG9" s="14">
        <f>SUM('Plant Inputs'!BH9,'Plant Inputs'!BH15,'Plant Inputs'!BH21)</f>
        <v/>
      </c>
      <c r="BH9" s="14">
        <f>SUM('Plant Inputs'!BI9,'Plant Inputs'!BI15,'Plant Inputs'!BI21)</f>
        <v/>
      </c>
      <c r="BI9" s="14">
        <f>SUM('Plant Inputs'!BJ9,'Plant Inputs'!BJ15,'Plant Inputs'!BJ21)</f>
        <v/>
      </c>
      <c r="BJ9" s="14">
        <f>SUM('Plant Inputs'!BK9,'Plant Inputs'!BK15,'Plant Inputs'!BK21)</f>
        <v/>
      </c>
      <c r="BK9" s="14">
        <f>SUM('Plant Inputs'!BL9,'Plant Inputs'!BL15,'Plant Inputs'!BL21)</f>
        <v/>
      </c>
      <c r="BL9" s="14">
        <f>SUM('Plant Inputs'!BM9,'Plant Inputs'!BM15,'Plant Inputs'!BM21)</f>
        <v/>
      </c>
      <c r="BM9" s="14">
        <f>SUM('Plant Inputs'!BN9,'Plant Inputs'!BN15,'Plant Inputs'!BN21)</f>
        <v/>
      </c>
      <c r="BN9" s="14">
        <f>SUM('Plant Inputs'!BO9,'Plant Inputs'!BO15,'Plant Inputs'!BO21)</f>
        <v/>
      </c>
      <c r="BO9" s="14">
        <f>SUM('Plant Inputs'!BP9,'Plant Inputs'!BP15,'Plant Inputs'!BP21)</f>
        <v/>
      </c>
      <c r="BP9" s="14">
        <f>SUM('Plant Inputs'!BQ9,'Plant Inputs'!BQ15,'Plant Inputs'!BQ21)</f>
        <v/>
      </c>
      <c r="BQ9" s="14">
        <f>SUM('Plant Inputs'!BR9,'Plant Inputs'!BR15,'Plant Inputs'!BR21)</f>
        <v/>
      </c>
      <c r="BR9" s="14">
        <f>SUM('Plant Inputs'!BS9,'Plant Inputs'!BS15,'Plant Inputs'!BS21)</f>
        <v/>
      </c>
      <c r="BS9" s="14">
        <f>MIN('Plant Inputs'!BT9,'Plant Inputs'!BT15,'Plant Inputs'!BT21)</f>
        <v/>
      </c>
      <c r="BT9" s="14">
        <f>SUM('Plant Inputs'!BU9,'Plant Inputs'!BU15,'Plant Inputs'!BU21)</f>
        <v/>
      </c>
      <c r="BU9" s="14">
        <f>SUM('Plant Inputs'!BV9,'Plant Inputs'!BV15,'Plant Inputs'!BV21)</f>
        <v/>
      </c>
      <c r="BV9" s="14">
        <f>SUM('Plant Inputs'!BW9,'Plant Inputs'!BW15,'Plant Inputs'!BW21)</f>
        <v/>
      </c>
      <c r="BW9" s="14">
        <f>SUM('Plant Inputs'!BX9,'Plant Inputs'!BX15,'Plant Inputs'!BX21)</f>
        <v/>
      </c>
      <c r="BX9" s="14">
        <f>SUM('Plant Inputs'!BY9,'Plant Inputs'!BY15,'Plant Inputs'!BY21)</f>
        <v/>
      </c>
      <c r="BY9" s="16" t="n">
        <v>50448.8</v>
      </c>
      <c r="BZ9" s="16" t="n">
        <v>37174.1</v>
      </c>
      <c r="CA9" s="16" t="n">
        <v>11016000</v>
      </c>
      <c r="CB9" s="16" t="n">
        <v>4577082.6</v>
      </c>
      <c r="CC9" s="16" t="n">
        <v>967082.6</v>
      </c>
      <c r="CD9" s="16" t="n">
        <v>449031.4</v>
      </c>
      <c r="CE9" s="16" t="n">
        <v>37905</v>
      </c>
      <c r="CF9" s="16" t="n">
        <v>486342.3</v>
      </c>
      <c r="CG9" s="16" t="n">
        <v>1440701.8</v>
      </c>
      <c r="CH9" s="16" t="n">
        <v>201088.9</v>
      </c>
      <c r="CI9" s="16" t="n">
        <v>1153045</v>
      </c>
      <c r="CJ9" s="16" t="n">
        <v>2003213.3</v>
      </c>
      <c r="CK9" s="16" t="n">
        <v>1205957.8</v>
      </c>
      <c r="CL9" s="16" t="n">
        <v>1214918.8</v>
      </c>
      <c r="CM9" s="16" t="n">
        <v>1158127.3</v>
      </c>
      <c r="CN9" s="16" t="n">
        <v>843.3</v>
      </c>
      <c r="CO9" s="16" t="n">
        <v>122055.2</v>
      </c>
      <c r="CP9" s="16" t="n">
        <v>94842.60000000001</v>
      </c>
      <c r="CQ9" s="16" t="n">
        <v>395</v>
      </c>
      <c r="CR9" s="16" t="n">
        <v>18541</v>
      </c>
      <c r="CS9" s="16" t="n">
        <v>17775</v>
      </c>
      <c r="CT9" s="16" t="n">
        <v>2</v>
      </c>
      <c r="CU9" s="16" t="n">
        <v>1161973.5</v>
      </c>
      <c r="CV9" s="16" t="n">
        <v>1210504.1</v>
      </c>
      <c r="CW9" s="16" t="n">
        <v>164691.3</v>
      </c>
      <c r="CX9" s="16" t="n">
        <v>3584699.7</v>
      </c>
      <c r="CY9" s="16" t="n">
        <v>2391562.6</v>
      </c>
      <c r="CZ9" s="16" t="n">
        <v>437492.4</v>
      </c>
      <c r="DA9" s="16" t="n">
        <v>314223.8</v>
      </c>
      <c r="DB9" s="16" t="n">
        <v>354951.3</v>
      </c>
      <c r="DC9" s="16" t="n">
        <v>255711.3</v>
      </c>
      <c r="DD9" s="16" t="n">
        <v>7006.3</v>
      </c>
      <c r="DE9" s="16" t="n">
        <v>7653.2</v>
      </c>
      <c r="DF9" s="16" t="n">
        <v>2579231.2</v>
      </c>
      <c r="DG9" s="16" t="n">
        <v>2009224.9</v>
      </c>
      <c r="DH9" s="16" t="n">
        <v>1000000</v>
      </c>
      <c r="DI9" s="16" t="n">
        <v>722629.1</v>
      </c>
      <c r="DJ9" s="16" t="n">
        <v>79170.5</v>
      </c>
      <c r="DK9" s="16" t="n">
        <v>590000</v>
      </c>
      <c r="DL9" s="16" t="n">
        <v>20798.4</v>
      </c>
      <c r="DM9" s="16" t="n">
        <v>5</v>
      </c>
      <c r="DN9" s="16" t="n">
        <v>1</v>
      </c>
      <c r="DO9" s="16" t="n">
        <v>0</v>
      </c>
      <c r="DP9" s="16" t="n">
        <v>0</v>
      </c>
      <c r="DQ9" s="16" t="n">
        <v>4</v>
      </c>
      <c r="DR9" s="16" t="n">
        <v>10</v>
      </c>
      <c r="DS9" s="16" t="n">
        <v>5</v>
      </c>
      <c r="DT9" s="16" t="n">
        <v>2</v>
      </c>
      <c r="DU9" s="16" t="n">
        <v>1</v>
      </c>
      <c r="DV9" s="16" t="n">
        <v>60</v>
      </c>
      <c r="DW9" s="16" t="n">
        <v>32</v>
      </c>
      <c r="DX9" s="16" t="n">
        <v>4825.8</v>
      </c>
      <c r="DY9" s="16" t="n">
        <v>3192.7</v>
      </c>
      <c r="DZ9" s="16" t="n">
        <v>1075</v>
      </c>
      <c r="EA9" s="16" t="n">
        <v>391.3</v>
      </c>
      <c r="EB9" s="16" t="n">
        <v>648.2</v>
      </c>
      <c r="EC9" s="16" t="n">
        <v>72</v>
      </c>
      <c r="ED9" s="16" t="n">
        <v>69</v>
      </c>
      <c r="EE9" s="16" t="n">
        <v>2</v>
      </c>
      <c r="EF9" s="16" t="n">
        <v>0</v>
      </c>
      <c r="EG9" s="16" t="n">
        <v>2</v>
      </c>
      <c r="EH9" s="16" t="n">
        <v>0</v>
      </c>
      <c r="EI9" s="16" t="n">
        <v>0</v>
      </c>
      <c r="EJ9" s="16" t="n">
        <v>0</v>
      </c>
      <c r="EK9" s="16" t="n">
        <v>0</v>
      </c>
      <c r="EL9" s="16" t="n">
        <v>1</v>
      </c>
      <c r="EM9" s="16" t="n">
        <v>0</v>
      </c>
      <c r="EN9" s="16" t="n">
        <v>0</v>
      </c>
      <c r="EO9" s="16" t="n">
        <v>0</v>
      </c>
      <c r="EP9" s="16" t="n">
        <v>0</v>
      </c>
      <c r="EQ9" s="16" t="n">
        <v>1</v>
      </c>
      <c r="ER9" s="16" t="n">
        <v>1</v>
      </c>
      <c r="ES9" s="16" t="n">
        <v>0</v>
      </c>
      <c r="ET9" s="16" t="n">
        <v>1</v>
      </c>
      <c r="EU9" s="16" t="n">
        <v>2</v>
      </c>
      <c r="EV9" s="16" t="n">
        <v>0</v>
      </c>
      <c r="EW9" s="16" t="n">
        <v>0</v>
      </c>
      <c r="EX9" s="16" t="n">
        <v>0</v>
      </c>
      <c r="EY9" s="16" t="n">
        <v>50</v>
      </c>
      <c r="EZ9" s="16" t="n">
        <v>43</v>
      </c>
      <c r="FA9" s="16" t="n">
        <v>3</v>
      </c>
      <c r="FB9" s="16" t="n">
        <v>88</v>
      </c>
      <c r="FC9" s="16" t="n">
        <v>28</v>
      </c>
      <c r="FD9" s="16" t="n">
        <v>23</v>
      </c>
      <c r="FE9" s="16" t="n">
        <v>26</v>
      </c>
      <c r="FF9" s="16" t="n">
        <v>0</v>
      </c>
      <c r="FG9" s="16" t="n">
        <v>1</v>
      </c>
      <c r="FH9" s="16" t="n">
        <v>1</v>
      </c>
      <c r="FI9" s="16" t="n">
        <v>500044</v>
      </c>
      <c r="FJ9" s="16" t="n">
        <v>494690</v>
      </c>
      <c r="FK9" s="16" t="n">
        <v>400</v>
      </c>
      <c r="FL9" s="16" t="n">
        <v>377</v>
      </c>
      <c r="FM9" s="16" t="n">
        <v>1</v>
      </c>
      <c r="FN9" s="16" t="n">
        <v>0</v>
      </c>
      <c r="FO9" s="16" t="n">
        <v>0</v>
      </c>
      <c r="FP9" s="16" t="n">
        <v>6</v>
      </c>
      <c r="FQ9" s="16" t="n">
        <v>16.7</v>
      </c>
      <c r="FR9" s="16" t="n">
        <v>3</v>
      </c>
      <c r="FS9" s="16" t="n">
        <v>1</v>
      </c>
      <c r="FT9" s="16" t="n">
        <v>1</v>
      </c>
      <c r="FU9" s="16" t="n">
        <v>1</v>
      </c>
      <c r="FV9" s="25" t="n">
        <v>1348</v>
      </c>
      <c r="FW9" s="25" t="n">
        <v>756293</v>
      </c>
      <c r="FX9" s="25" t="n">
        <v>317373</v>
      </c>
      <c r="FY9" s="25" t="n">
        <v>579545.9</v>
      </c>
      <c r="FZ9" s="25" t="n">
        <v>11346480</v>
      </c>
      <c r="GA9" s="25" t="n">
        <v>2114103.1</v>
      </c>
      <c r="GB9" s="25" t="n">
        <v>71838.5</v>
      </c>
      <c r="GC9" s="25" t="n">
        <v>38</v>
      </c>
      <c r="GD9" s="25" t="n">
        <v>1</v>
      </c>
      <c r="GE9" s="25" t="n">
        <v>105.3</v>
      </c>
      <c r="GF9" s="25" t="n">
        <v>1</v>
      </c>
    </row>
    <row r="10">
      <c r="A10" t="inlineStr">
        <is>
          <t>Group</t>
        </is>
      </c>
      <c r="B10" t="inlineStr">
        <is>
          <t>Entity A2</t>
        </is>
      </c>
      <c r="C10" t="inlineStr">
        <is>
          <t>2026-04</t>
        </is>
      </c>
      <c r="D10" t="n">
        <v>30</v>
      </c>
      <c r="E10" s="14">
        <f>SUM('Plant Inputs'!F22,'Plant Inputs'!F28,'Plant Inputs'!F34)</f>
        <v/>
      </c>
      <c r="F10" s="14">
        <f>SUM('Plant Inputs'!G22,'Plant Inputs'!G28,'Plant Inputs'!G34)</f>
        <v/>
      </c>
      <c r="G10" s="14">
        <f>SUM('Plant Inputs'!H22,'Plant Inputs'!H28,'Plant Inputs'!H34)</f>
        <v/>
      </c>
      <c r="H10" s="14">
        <f>SUM('Plant Inputs'!I22,'Plant Inputs'!I28,'Plant Inputs'!I34)</f>
        <v/>
      </c>
      <c r="I10" s="14">
        <f>SUM('Plant Inputs'!J22,'Plant Inputs'!J28,'Plant Inputs'!J34)</f>
        <v/>
      </c>
      <c r="J10" s="14">
        <f>SUM('Plant Inputs'!K22,'Plant Inputs'!K28,'Plant Inputs'!K34)</f>
        <v/>
      </c>
      <c r="K10" s="14">
        <f>SUM('Plant Inputs'!L22,'Plant Inputs'!L28,'Plant Inputs'!L34)</f>
        <v/>
      </c>
      <c r="L10" s="14">
        <f>SUM('Plant Inputs'!M22,'Plant Inputs'!M28,'Plant Inputs'!M34)</f>
        <v/>
      </c>
      <c r="M10" s="14">
        <f>SUM('Plant Inputs'!N22,'Plant Inputs'!N28,'Plant Inputs'!N34)</f>
        <v/>
      </c>
      <c r="N10" s="14">
        <f>SUM('Plant Inputs'!O22,'Plant Inputs'!O28,'Plant Inputs'!O34)</f>
        <v/>
      </c>
      <c r="O10" s="14">
        <f>SUM('Plant Inputs'!P22,'Plant Inputs'!P28,'Plant Inputs'!P34)</f>
        <v/>
      </c>
      <c r="P10" s="14">
        <f>SUM('Plant Inputs'!Q22,'Plant Inputs'!Q28,'Plant Inputs'!Q34)</f>
        <v/>
      </c>
      <c r="Q10" s="14">
        <f>SUM('Plant Inputs'!R22,'Plant Inputs'!R28,'Plant Inputs'!R34)</f>
        <v/>
      </c>
      <c r="R10" s="14">
        <f>SUM('Plant Inputs'!S22,'Plant Inputs'!S28,'Plant Inputs'!S34)</f>
        <v/>
      </c>
      <c r="S10" s="14">
        <f>SUM('Plant Inputs'!T22,'Plant Inputs'!T28,'Plant Inputs'!T34)</f>
        <v/>
      </c>
      <c r="T10" s="14">
        <f>SUM('Plant Inputs'!U22,'Plant Inputs'!U28,'Plant Inputs'!U34)</f>
        <v/>
      </c>
      <c r="U10" s="14">
        <f>SUM('Plant Inputs'!V22,'Plant Inputs'!V28,'Plant Inputs'!V34)</f>
        <v/>
      </c>
      <c r="V10" s="14">
        <f>SUM('Plant Inputs'!W22,'Plant Inputs'!W28,'Plant Inputs'!W34)</f>
        <v/>
      </c>
      <c r="W10" s="14">
        <f>SUM('Plant Inputs'!X22,'Plant Inputs'!X28,'Plant Inputs'!X34)</f>
        <v/>
      </c>
      <c r="X10" s="14">
        <f>SUM('Plant Inputs'!Y22,'Plant Inputs'!Y28,'Plant Inputs'!Y34)</f>
        <v/>
      </c>
      <c r="Y10" s="14">
        <f>SUM('Plant Inputs'!Z22,'Plant Inputs'!Z28,'Plant Inputs'!Z34)</f>
        <v/>
      </c>
      <c r="Z10" s="14">
        <f>SUM('Plant Inputs'!AA22,'Plant Inputs'!AA28,'Plant Inputs'!AA34)</f>
        <v/>
      </c>
      <c r="AA10" s="14">
        <f>SUM('Plant Inputs'!AB22,'Plant Inputs'!AB28,'Plant Inputs'!AB34)</f>
        <v/>
      </c>
      <c r="AB10" s="14">
        <f>SUM('Plant Inputs'!AC22,'Plant Inputs'!AC28,'Plant Inputs'!AC34)</f>
        <v/>
      </c>
      <c r="AC10" s="14">
        <f>SUM('Plant Inputs'!AD22,'Plant Inputs'!AD28,'Plant Inputs'!AD34)</f>
        <v/>
      </c>
      <c r="AD10" s="14">
        <f>SUM('Plant Inputs'!AE22,'Plant Inputs'!AE28,'Plant Inputs'!AE34)</f>
        <v/>
      </c>
      <c r="AE10" s="14">
        <f>SUM('Plant Inputs'!AF22,'Plant Inputs'!AF28,'Plant Inputs'!AF34)</f>
        <v/>
      </c>
      <c r="AF10" s="14">
        <f>SUM('Plant Inputs'!AG22,'Plant Inputs'!AG28,'Plant Inputs'!AG34)</f>
        <v/>
      </c>
      <c r="AG10" s="14">
        <f>SUM('Plant Inputs'!AH22,'Plant Inputs'!AH28,'Plant Inputs'!AH34)</f>
        <v/>
      </c>
      <c r="AH10" s="14">
        <f>SUM('Plant Inputs'!AI22,'Plant Inputs'!AI28,'Plant Inputs'!AI34)</f>
        <v/>
      </c>
      <c r="AI10" s="14">
        <f>SUM('Plant Inputs'!AJ22,'Plant Inputs'!AJ28,'Plant Inputs'!AJ34)</f>
        <v/>
      </c>
      <c r="AJ10" s="14">
        <f>SUM('Plant Inputs'!AK22,'Plant Inputs'!AK28,'Plant Inputs'!AK34)</f>
        <v/>
      </c>
      <c r="AK10" s="14">
        <f>SUM('Plant Inputs'!AL22,'Plant Inputs'!AL28,'Plant Inputs'!AL34)</f>
        <v/>
      </c>
      <c r="AL10" s="14">
        <f>SUM('Plant Inputs'!AM22,'Plant Inputs'!AM28,'Plant Inputs'!AM34)</f>
        <v/>
      </c>
      <c r="AM10" s="14">
        <f>SUM('Plant Inputs'!AN22,'Plant Inputs'!AN28,'Plant Inputs'!AN34)</f>
        <v/>
      </c>
      <c r="AN10" s="14">
        <f>SUM('Plant Inputs'!AO22,'Plant Inputs'!AO28,'Plant Inputs'!AO34)</f>
        <v/>
      </c>
      <c r="AO10" s="14">
        <f>SUM('Plant Inputs'!AP22,'Plant Inputs'!AP28,'Plant Inputs'!AP34)</f>
        <v/>
      </c>
      <c r="AP10" s="14">
        <f>SUM('Plant Inputs'!AQ22,'Plant Inputs'!AQ28,'Plant Inputs'!AQ34)</f>
        <v/>
      </c>
      <c r="AQ10" s="14">
        <f>SUM('Plant Inputs'!AR22,'Plant Inputs'!AR28,'Plant Inputs'!AR34)</f>
        <v/>
      </c>
      <c r="AR10" s="14">
        <f>MIN('Plant Inputs'!AS22,'Plant Inputs'!AS28,'Plant Inputs'!AS34)</f>
        <v/>
      </c>
      <c r="AS10" s="14">
        <f>SUM('Plant Inputs'!AT22,'Plant Inputs'!AT28,'Plant Inputs'!AT34)</f>
        <v/>
      </c>
      <c r="AT10" s="14">
        <f>SUM('Plant Inputs'!AU22,'Plant Inputs'!AU28,'Plant Inputs'!AU34)</f>
        <v/>
      </c>
      <c r="AU10" s="14">
        <f>SUM('Plant Inputs'!AV22,'Plant Inputs'!AV28,'Plant Inputs'!AV34)</f>
        <v/>
      </c>
      <c r="AV10" s="14">
        <f>SUM('Plant Inputs'!AW22,'Plant Inputs'!AW28,'Plant Inputs'!AW34)</f>
        <v/>
      </c>
      <c r="AW10" s="14">
        <f>SUM('Plant Inputs'!AX22,'Plant Inputs'!AX28,'Plant Inputs'!AX34)</f>
        <v/>
      </c>
      <c r="AX10" s="14">
        <f>SUM('Plant Inputs'!AY22,'Plant Inputs'!AY28,'Plant Inputs'!AY34)</f>
        <v/>
      </c>
      <c r="AY10" s="14">
        <f>SUM('Plant Inputs'!AZ22,'Plant Inputs'!AZ28,'Plant Inputs'!AZ34)</f>
        <v/>
      </c>
      <c r="AZ10" s="14">
        <f>SUM('Plant Inputs'!BA22,'Plant Inputs'!BA28,'Plant Inputs'!BA34)</f>
        <v/>
      </c>
      <c r="BA10" s="14">
        <f>SUM('Plant Inputs'!BB22,'Plant Inputs'!BB28,'Plant Inputs'!BB34)</f>
        <v/>
      </c>
      <c r="BB10" s="14">
        <f>SUM('Plant Inputs'!BC22,'Plant Inputs'!BC28,'Plant Inputs'!BC34)</f>
        <v/>
      </c>
      <c r="BC10" s="14">
        <f>SUM('Plant Inputs'!BD22,'Plant Inputs'!BD28,'Plant Inputs'!BD34)</f>
        <v/>
      </c>
      <c r="BD10" s="14">
        <f>SUM('Plant Inputs'!BE22,'Plant Inputs'!BE28,'Plant Inputs'!BE34)</f>
        <v/>
      </c>
      <c r="BE10" s="14">
        <f>SUM('Plant Inputs'!BF22,'Plant Inputs'!BF28,'Plant Inputs'!BF34)</f>
        <v/>
      </c>
      <c r="BF10" s="14">
        <f>SUM('Plant Inputs'!BG22,'Plant Inputs'!BG28,'Plant Inputs'!BG34)</f>
        <v/>
      </c>
      <c r="BG10" s="14">
        <f>SUM('Plant Inputs'!BH22,'Plant Inputs'!BH28,'Plant Inputs'!BH34)</f>
        <v/>
      </c>
      <c r="BH10" s="14">
        <f>SUM('Plant Inputs'!BI22,'Plant Inputs'!BI28,'Plant Inputs'!BI34)</f>
        <v/>
      </c>
      <c r="BI10" s="14">
        <f>SUM('Plant Inputs'!BJ22,'Plant Inputs'!BJ28,'Plant Inputs'!BJ34)</f>
        <v/>
      </c>
      <c r="BJ10" s="14">
        <f>SUM('Plant Inputs'!BK22,'Plant Inputs'!BK28,'Plant Inputs'!BK34)</f>
        <v/>
      </c>
      <c r="BK10" s="14">
        <f>SUM('Plant Inputs'!BL22,'Plant Inputs'!BL28,'Plant Inputs'!BL34)</f>
        <v/>
      </c>
      <c r="BL10" s="14">
        <f>SUM('Plant Inputs'!BM22,'Plant Inputs'!BM28,'Plant Inputs'!BM34)</f>
        <v/>
      </c>
      <c r="BM10" s="14">
        <f>SUM('Plant Inputs'!BN22,'Plant Inputs'!BN28,'Plant Inputs'!BN34)</f>
        <v/>
      </c>
      <c r="BN10" s="14">
        <f>SUM('Plant Inputs'!BO22,'Plant Inputs'!BO28,'Plant Inputs'!BO34)</f>
        <v/>
      </c>
      <c r="BO10" s="14">
        <f>SUM('Plant Inputs'!BP22,'Plant Inputs'!BP28,'Plant Inputs'!BP34)</f>
        <v/>
      </c>
      <c r="BP10" s="14">
        <f>SUM('Plant Inputs'!BQ22,'Plant Inputs'!BQ28,'Plant Inputs'!BQ34)</f>
        <v/>
      </c>
      <c r="BQ10" s="14">
        <f>SUM('Plant Inputs'!BR22,'Plant Inputs'!BR28,'Plant Inputs'!BR34)</f>
        <v/>
      </c>
      <c r="BR10" s="14">
        <f>SUM('Plant Inputs'!BS22,'Plant Inputs'!BS28,'Plant Inputs'!BS34)</f>
        <v/>
      </c>
      <c r="BS10" s="14">
        <f>MIN('Plant Inputs'!BT22,'Plant Inputs'!BT28,'Plant Inputs'!BT34)</f>
        <v/>
      </c>
      <c r="BT10" s="14">
        <f>SUM('Plant Inputs'!BU22,'Plant Inputs'!BU28,'Plant Inputs'!BU34)</f>
        <v/>
      </c>
      <c r="BU10" s="14">
        <f>SUM('Plant Inputs'!BV22,'Plant Inputs'!BV28,'Plant Inputs'!BV34)</f>
        <v/>
      </c>
      <c r="BV10" s="14">
        <f>SUM('Plant Inputs'!BW22,'Plant Inputs'!BW28,'Plant Inputs'!BW34)</f>
        <v/>
      </c>
      <c r="BW10" s="14">
        <f>SUM('Plant Inputs'!BX22,'Plant Inputs'!BX28,'Plant Inputs'!BX34)</f>
        <v/>
      </c>
      <c r="BX10" s="14">
        <f>SUM('Plant Inputs'!BY22,'Plant Inputs'!BY28,'Plant Inputs'!BY34)</f>
        <v/>
      </c>
      <c r="BY10" s="16" t="n">
        <v>53970.6</v>
      </c>
      <c r="BZ10" s="16" t="n">
        <v>29831.4</v>
      </c>
      <c r="CA10" s="16" t="n">
        <v>10000000</v>
      </c>
      <c r="CB10" s="16" t="n">
        <v>4362932.7</v>
      </c>
      <c r="CC10" s="16" t="n">
        <v>1162932.7</v>
      </c>
      <c r="CD10" s="16" t="n">
        <v>466410.4</v>
      </c>
      <c r="CE10" s="16" t="n">
        <v>33600</v>
      </c>
      <c r="CF10" s="16" t="n">
        <v>401681.3</v>
      </c>
      <c r="CG10" s="16" t="n">
        <v>1363476.4</v>
      </c>
      <c r="CH10" s="16" t="n">
        <v>154555.6</v>
      </c>
      <c r="CI10" s="16" t="n">
        <v>1144080.8</v>
      </c>
      <c r="CJ10" s="16" t="n">
        <v>1670373.1</v>
      </c>
      <c r="CK10" s="16" t="n">
        <v>1974556.3</v>
      </c>
      <c r="CL10" s="16" t="n">
        <v>1075076.8</v>
      </c>
      <c r="CM10" s="16" t="n">
        <v>1128578.1</v>
      </c>
      <c r="CN10" s="16" t="n">
        <v>3306.5</v>
      </c>
      <c r="CO10" s="16" t="n">
        <v>70251.8</v>
      </c>
      <c r="CP10" s="16" t="n">
        <v>70251.8</v>
      </c>
      <c r="CQ10" s="16" t="n">
        <v>374</v>
      </c>
      <c r="CR10" s="16" t="n">
        <v>16795</v>
      </c>
      <c r="CS10" s="16" t="n">
        <v>16830</v>
      </c>
      <c r="CT10" s="16" t="n">
        <v>0</v>
      </c>
      <c r="CU10" s="16" t="n">
        <v>924339.3</v>
      </c>
      <c r="CV10" s="16" t="n">
        <v>930922.9</v>
      </c>
      <c r="CW10" s="16" t="n">
        <v>142690.9</v>
      </c>
      <c r="CX10" s="16" t="n">
        <v>3180825.9</v>
      </c>
      <c r="CY10" s="16" t="n">
        <v>1800841.3</v>
      </c>
      <c r="CZ10" s="16" t="n">
        <v>298827.6</v>
      </c>
      <c r="DA10" s="16" t="n">
        <v>219185.2</v>
      </c>
      <c r="DB10" s="16" t="n">
        <v>234572</v>
      </c>
      <c r="DC10" s="16" t="n">
        <v>172016.9</v>
      </c>
      <c r="DD10" s="16" t="n">
        <v>4570.2</v>
      </c>
      <c r="DE10" s="16" t="n">
        <v>5149.9</v>
      </c>
      <c r="DF10" s="16" t="n">
        <v>1763562.5</v>
      </c>
      <c r="DG10" s="16" t="n">
        <v>1050789.6</v>
      </c>
      <c r="DH10" s="16" t="n">
        <v>860000</v>
      </c>
      <c r="DI10" s="16" t="n">
        <v>389482.4</v>
      </c>
      <c r="DJ10" s="16" t="n">
        <v>69779.5</v>
      </c>
      <c r="DK10" s="16" t="n">
        <v>326800</v>
      </c>
      <c r="DL10" s="16" t="n">
        <v>116966</v>
      </c>
      <c r="DM10" s="16" t="n">
        <v>4</v>
      </c>
      <c r="DN10" s="16" t="n">
        <v>1</v>
      </c>
      <c r="DO10" s="16" t="n">
        <v>0</v>
      </c>
      <c r="DP10" s="16" t="n">
        <v>0</v>
      </c>
      <c r="DQ10" s="16" t="n">
        <v>4</v>
      </c>
      <c r="DR10" s="16" t="n">
        <v>5</v>
      </c>
      <c r="DS10" s="16" t="n">
        <v>10</v>
      </c>
      <c r="DT10" s="16" t="n">
        <v>4</v>
      </c>
      <c r="DU10" s="16" t="n">
        <v>2</v>
      </c>
      <c r="DV10" s="16" t="n">
        <v>64</v>
      </c>
      <c r="DW10" s="16" t="n">
        <v>19</v>
      </c>
      <c r="DX10" s="16" t="n">
        <v>9130.700000000001</v>
      </c>
      <c r="DY10" s="16" t="n">
        <v>3031.5</v>
      </c>
      <c r="DZ10" s="16" t="n">
        <v>1376</v>
      </c>
      <c r="EA10" s="16" t="n">
        <v>1091.6</v>
      </c>
      <c r="EB10" s="16" t="n">
        <v>1173.7</v>
      </c>
      <c r="EC10" s="16" t="n">
        <v>68</v>
      </c>
      <c r="ED10" s="16" t="n">
        <v>66</v>
      </c>
      <c r="EE10" s="16" t="n">
        <v>2</v>
      </c>
      <c r="EF10" s="16" t="n">
        <v>1</v>
      </c>
      <c r="EG10" s="16" t="n">
        <v>1</v>
      </c>
      <c r="EH10" s="16" t="n">
        <v>0</v>
      </c>
      <c r="EI10" s="16" t="n">
        <v>0</v>
      </c>
      <c r="EJ10" s="16" t="n">
        <v>1</v>
      </c>
      <c r="EK10" s="16" t="n">
        <v>1</v>
      </c>
      <c r="EL10" s="16" t="n">
        <v>0</v>
      </c>
      <c r="EM10" s="16" t="n">
        <v>0</v>
      </c>
      <c r="EN10" s="16" t="n">
        <v>0</v>
      </c>
      <c r="EO10" s="16" t="n">
        <v>0</v>
      </c>
      <c r="EP10" s="16" t="n">
        <v>0</v>
      </c>
      <c r="EQ10" s="16" t="n">
        <v>0</v>
      </c>
      <c r="ER10" s="16" t="n">
        <v>0</v>
      </c>
      <c r="ES10" s="16" t="n">
        <v>0</v>
      </c>
      <c r="ET10" s="16" t="n">
        <v>0</v>
      </c>
      <c r="EU10" s="16" t="n">
        <v>6</v>
      </c>
      <c r="EV10" s="16" t="n">
        <v>0</v>
      </c>
      <c r="EW10" s="16" t="n">
        <v>1</v>
      </c>
      <c r="EX10" s="16" t="n">
        <v>1</v>
      </c>
      <c r="EY10" s="16" t="n">
        <v>58</v>
      </c>
      <c r="EZ10" s="16" t="n">
        <v>52</v>
      </c>
      <c r="FA10" s="16" t="n">
        <v>3</v>
      </c>
      <c r="FB10" s="16" t="n">
        <v>111</v>
      </c>
      <c r="FC10" s="16" t="n">
        <v>28</v>
      </c>
      <c r="FD10" s="16" t="n">
        <v>24</v>
      </c>
      <c r="FE10" s="16" t="n">
        <v>26</v>
      </c>
      <c r="FF10" s="16" t="n">
        <v>1</v>
      </c>
      <c r="FG10" s="16" t="n">
        <v>0</v>
      </c>
      <c r="FH10" s="16" t="n">
        <v>0</v>
      </c>
      <c r="FI10" s="16" t="n">
        <v>514962</v>
      </c>
      <c r="FJ10" s="16" t="n">
        <v>512268</v>
      </c>
      <c r="FK10" s="16" t="n">
        <v>420</v>
      </c>
      <c r="FL10" s="16" t="n">
        <v>413</v>
      </c>
      <c r="FM10" s="16" t="n">
        <v>0</v>
      </c>
      <c r="FN10" s="16" t="n">
        <v>0</v>
      </c>
      <c r="FO10" s="16" t="n">
        <v>0</v>
      </c>
      <c r="FP10" s="16" t="n">
        <v>6</v>
      </c>
      <c r="FQ10" s="16" t="n">
        <v>12.9</v>
      </c>
      <c r="FR10" s="16" t="n">
        <v>8</v>
      </c>
      <c r="FS10" s="16" t="n">
        <v>0</v>
      </c>
      <c r="FT10" s="16" t="n">
        <v>1</v>
      </c>
      <c r="FU10" s="16" t="n">
        <v>1</v>
      </c>
      <c r="FV10" s="25" t="n">
        <v>1290</v>
      </c>
      <c r="FW10" s="25" t="n">
        <v>535811.3</v>
      </c>
      <c r="FX10" s="25" t="n">
        <v>476992.3</v>
      </c>
      <c r="FY10" s="25" t="n">
        <v>1250750.6</v>
      </c>
      <c r="FZ10" s="25" t="n">
        <v>10100000</v>
      </c>
      <c r="GA10" s="25" t="n">
        <v>1073055</v>
      </c>
      <c r="GB10" s="25" t="n">
        <v>37745.7</v>
      </c>
      <c r="GC10" s="25" t="n">
        <v>999</v>
      </c>
      <c r="GD10" s="25" t="n">
        <v>0</v>
      </c>
      <c r="GE10" s="25" t="n">
        <v>100</v>
      </c>
      <c r="GF10" s="25" t="n">
        <v>0</v>
      </c>
    </row>
    <row r="11">
      <c r="A11" t="inlineStr">
        <is>
          <t>Group</t>
        </is>
      </c>
      <c r="B11" t="inlineStr">
        <is>
          <t>Entity A2</t>
        </is>
      </c>
      <c r="C11" t="inlineStr">
        <is>
          <t>2026-05</t>
        </is>
      </c>
      <c r="D11" t="n">
        <v>31</v>
      </c>
      <c r="E11" s="14">
        <f>SUM('Plant Inputs'!F23,'Plant Inputs'!F29,'Plant Inputs'!F35)</f>
        <v/>
      </c>
      <c r="F11" s="14">
        <f>SUM('Plant Inputs'!G23,'Plant Inputs'!G29,'Plant Inputs'!G35)</f>
        <v/>
      </c>
      <c r="G11" s="14">
        <f>SUM('Plant Inputs'!H23,'Plant Inputs'!H29,'Plant Inputs'!H35)</f>
        <v/>
      </c>
      <c r="H11" s="14">
        <f>SUM('Plant Inputs'!I23,'Plant Inputs'!I29,'Plant Inputs'!I35)</f>
        <v/>
      </c>
      <c r="I11" s="14">
        <f>SUM('Plant Inputs'!J23,'Plant Inputs'!J29,'Plant Inputs'!J35)</f>
        <v/>
      </c>
      <c r="J11" s="14">
        <f>SUM('Plant Inputs'!K23,'Plant Inputs'!K29,'Plant Inputs'!K35)</f>
        <v/>
      </c>
      <c r="K11" s="14">
        <f>SUM('Plant Inputs'!L23,'Plant Inputs'!L29,'Plant Inputs'!L35)</f>
        <v/>
      </c>
      <c r="L11" s="14">
        <f>SUM('Plant Inputs'!M23,'Plant Inputs'!M29,'Plant Inputs'!M35)</f>
        <v/>
      </c>
      <c r="M11" s="14">
        <f>SUM('Plant Inputs'!N23,'Plant Inputs'!N29,'Plant Inputs'!N35)</f>
        <v/>
      </c>
      <c r="N11" s="14">
        <f>SUM('Plant Inputs'!O23,'Plant Inputs'!O29,'Plant Inputs'!O35)</f>
        <v/>
      </c>
      <c r="O11" s="14">
        <f>SUM('Plant Inputs'!P23,'Plant Inputs'!P29,'Plant Inputs'!P35)</f>
        <v/>
      </c>
      <c r="P11" s="14">
        <f>SUM('Plant Inputs'!Q23,'Plant Inputs'!Q29,'Plant Inputs'!Q35)</f>
        <v/>
      </c>
      <c r="Q11" s="14">
        <f>SUM('Plant Inputs'!R23,'Plant Inputs'!R29,'Plant Inputs'!R35)</f>
        <v/>
      </c>
      <c r="R11" s="14">
        <f>SUM('Plant Inputs'!S23,'Plant Inputs'!S29,'Plant Inputs'!S35)</f>
        <v/>
      </c>
      <c r="S11" s="14">
        <f>SUM('Plant Inputs'!T23,'Plant Inputs'!T29,'Plant Inputs'!T35)</f>
        <v/>
      </c>
      <c r="T11" s="14">
        <f>SUM('Plant Inputs'!U23,'Plant Inputs'!U29,'Plant Inputs'!U35)</f>
        <v/>
      </c>
      <c r="U11" s="14">
        <f>SUM('Plant Inputs'!V23,'Plant Inputs'!V29,'Plant Inputs'!V35)</f>
        <v/>
      </c>
      <c r="V11" s="14">
        <f>SUM('Plant Inputs'!W23,'Plant Inputs'!W29,'Plant Inputs'!W35)</f>
        <v/>
      </c>
      <c r="W11" s="14">
        <f>SUM('Plant Inputs'!X23,'Plant Inputs'!X29,'Plant Inputs'!X35)</f>
        <v/>
      </c>
      <c r="X11" s="14">
        <f>SUM('Plant Inputs'!Y23,'Plant Inputs'!Y29,'Plant Inputs'!Y35)</f>
        <v/>
      </c>
      <c r="Y11" s="14">
        <f>SUM('Plant Inputs'!Z23,'Plant Inputs'!Z29,'Plant Inputs'!Z35)</f>
        <v/>
      </c>
      <c r="Z11" s="14">
        <f>SUM('Plant Inputs'!AA23,'Plant Inputs'!AA29,'Plant Inputs'!AA35)</f>
        <v/>
      </c>
      <c r="AA11" s="14">
        <f>SUM('Plant Inputs'!AB23,'Plant Inputs'!AB29,'Plant Inputs'!AB35)</f>
        <v/>
      </c>
      <c r="AB11" s="14">
        <f>SUM('Plant Inputs'!AC23,'Plant Inputs'!AC29,'Plant Inputs'!AC35)</f>
        <v/>
      </c>
      <c r="AC11" s="14">
        <f>SUM('Plant Inputs'!AD23,'Plant Inputs'!AD29,'Plant Inputs'!AD35)</f>
        <v/>
      </c>
      <c r="AD11" s="14">
        <f>SUM('Plant Inputs'!AE23,'Plant Inputs'!AE29,'Plant Inputs'!AE35)</f>
        <v/>
      </c>
      <c r="AE11" s="14">
        <f>SUM('Plant Inputs'!AF23,'Plant Inputs'!AF29,'Plant Inputs'!AF35)</f>
        <v/>
      </c>
      <c r="AF11" s="14">
        <f>SUM('Plant Inputs'!AG23,'Plant Inputs'!AG29,'Plant Inputs'!AG35)</f>
        <v/>
      </c>
      <c r="AG11" s="14">
        <f>SUM('Plant Inputs'!AH23,'Plant Inputs'!AH29,'Plant Inputs'!AH35)</f>
        <v/>
      </c>
      <c r="AH11" s="14">
        <f>SUM('Plant Inputs'!AI23,'Plant Inputs'!AI29,'Plant Inputs'!AI35)</f>
        <v/>
      </c>
      <c r="AI11" s="14">
        <f>SUM('Plant Inputs'!AJ23,'Plant Inputs'!AJ29,'Plant Inputs'!AJ35)</f>
        <v/>
      </c>
      <c r="AJ11" s="14">
        <f>SUM('Plant Inputs'!AK23,'Plant Inputs'!AK29,'Plant Inputs'!AK35)</f>
        <v/>
      </c>
      <c r="AK11" s="14">
        <f>SUM('Plant Inputs'!AL23,'Plant Inputs'!AL29,'Plant Inputs'!AL35)</f>
        <v/>
      </c>
      <c r="AL11" s="14">
        <f>SUM('Plant Inputs'!AM23,'Plant Inputs'!AM29,'Plant Inputs'!AM35)</f>
        <v/>
      </c>
      <c r="AM11" s="14">
        <f>SUM('Plant Inputs'!AN23,'Plant Inputs'!AN29,'Plant Inputs'!AN35)</f>
        <v/>
      </c>
      <c r="AN11" s="14">
        <f>SUM('Plant Inputs'!AO23,'Plant Inputs'!AO29,'Plant Inputs'!AO35)</f>
        <v/>
      </c>
      <c r="AO11" s="14">
        <f>SUM('Plant Inputs'!AP23,'Plant Inputs'!AP29,'Plant Inputs'!AP35)</f>
        <v/>
      </c>
      <c r="AP11" s="14">
        <f>SUM('Plant Inputs'!AQ23,'Plant Inputs'!AQ29,'Plant Inputs'!AQ35)</f>
        <v/>
      </c>
      <c r="AQ11" s="14">
        <f>SUM('Plant Inputs'!AR23,'Plant Inputs'!AR29,'Plant Inputs'!AR35)</f>
        <v/>
      </c>
      <c r="AR11" s="14">
        <f>MIN('Plant Inputs'!AS23,'Plant Inputs'!AS29,'Plant Inputs'!AS35)</f>
        <v/>
      </c>
      <c r="AS11" s="14">
        <f>SUM('Plant Inputs'!AT23,'Plant Inputs'!AT29,'Plant Inputs'!AT35)</f>
        <v/>
      </c>
      <c r="AT11" s="14">
        <f>SUM('Plant Inputs'!AU23,'Plant Inputs'!AU29,'Plant Inputs'!AU35)</f>
        <v/>
      </c>
      <c r="AU11" s="14">
        <f>SUM('Plant Inputs'!AV23,'Plant Inputs'!AV29,'Plant Inputs'!AV35)</f>
        <v/>
      </c>
      <c r="AV11" s="14">
        <f>SUM('Plant Inputs'!AW23,'Plant Inputs'!AW29,'Plant Inputs'!AW35)</f>
        <v/>
      </c>
      <c r="AW11" s="14">
        <f>SUM('Plant Inputs'!AX23,'Plant Inputs'!AX29,'Plant Inputs'!AX35)</f>
        <v/>
      </c>
      <c r="AX11" s="14">
        <f>SUM('Plant Inputs'!AY23,'Plant Inputs'!AY29,'Plant Inputs'!AY35)</f>
        <v/>
      </c>
      <c r="AY11" s="14">
        <f>SUM('Plant Inputs'!AZ23,'Plant Inputs'!AZ29,'Plant Inputs'!AZ35)</f>
        <v/>
      </c>
      <c r="AZ11" s="14">
        <f>SUM('Plant Inputs'!BA23,'Plant Inputs'!BA29,'Plant Inputs'!BA35)</f>
        <v/>
      </c>
      <c r="BA11" s="14">
        <f>SUM('Plant Inputs'!BB23,'Plant Inputs'!BB29,'Plant Inputs'!BB35)</f>
        <v/>
      </c>
      <c r="BB11" s="14">
        <f>SUM('Plant Inputs'!BC23,'Plant Inputs'!BC29,'Plant Inputs'!BC35)</f>
        <v/>
      </c>
      <c r="BC11" s="14">
        <f>SUM('Plant Inputs'!BD23,'Plant Inputs'!BD29,'Plant Inputs'!BD35)</f>
        <v/>
      </c>
      <c r="BD11" s="14">
        <f>SUM('Plant Inputs'!BE23,'Plant Inputs'!BE29,'Plant Inputs'!BE35)</f>
        <v/>
      </c>
      <c r="BE11" s="14">
        <f>SUM('Plant Inputs'!BF23,'Plant Inputs'!BF29,'Plant Inputs'!BF35)</f>
        <v/>
      </c>
      <c r="BF11" s="14">
        <f>SUM('Plant Inputs'!BG23,'Plant Inputs'!BG29,'Plant Inputs'!BG35)</f>
        <v/>
      </c>
      <c r="BG11" s="14">
        <f>SUM('Plant Inputs'!BH23,'Plant Inputs'!BH29,'Plant Inputs'!BH35)</f>
        <v/>
      </c>
      <c r="BH11" s="14">
        <f>SUM('Plant Inputs'!BI23,'Plant Inputs'!BI29,'Plant Inputs'!BI35)</f>
        <v/>
      </c>
      <c r="BI11" s="14">
        <f>SUM('Plant Inputs'!BJ23,'Plant Inputs'!BJ29,'Plant Inputs'!BJ35)</f>
        <v/>
      </c>
      <c r="BJ11" s="14">
        <f>SUM('Plant Inputs'!BK23,'Plant Inputs'!BK29,'Plant Inputs'!BK35)</f>
        <v/>
      </c>
      <c r="BK11" s="14">
        <f>SUM('Plant Inputs'!BL23,'Plant Inputs'!BL29,'Plant Inputs'!BL35)</f>
        <v/>
      </c>
      <c r="BL11" s="14">
        <f>SUM('Plant Inputs'!BM23,'Plant Inputs'!BM29,'Plant Inputs'!BM35)</f>
        <v/>
      </c>
      <c r="BM11" s="14">
        <f>SUM('Plant Inputs'!BN23,'Plant Inputs'!BN29,'Plant Inputs'!BN35)</f>
        <v/>
      </c>
      <c r="BN11" s="14">
        <f>SUM('Plant Inputs'!BO23,'Plant Inputs'!BO29,'Plant Inputs'!BO35)</f>
        <v/>
      </c>
      <c r="BO11" s="14">
        <f>SUM('Plant Inputs'!BP23,'Plant Inputs'!BP29,'Plant Inputs'!BP35)</f>
        <v/>
      </c>
      <c r="BP11" s="14">
        <f>SUM('Plant Inputs'!BQ23,'Plant Inputs'!BQ29,'Plant Inputs'!BQ35)</f>
        <v/>
      </c>
      <c r="BQ11" s="14">
        <f>SUM('Plant Inputs'!BR23,'Plant Inputs'!BR29,'Plant Inputs'!BR35)</f>
        <v/>
      </c>
      <c r="BR11" s="14">
        <f>SUM('Plant Inputs'!BS23,'Plant Inputs'!BS29,'Plant Inputs'!BS35)</f>
        <v/>
      </c>
      <c r="BS11" s="14">
        <f>MIN('Plant Inputs'!BT23,'Plant Inputs'!BT29,'Plant Inputs'!BT35)</f>
        <v/>
      </c>
      <c r="BT11" s="14">
        <f>SUM('Plant Inputs'!BU23,'Plant Inputs'!BU29,'Plant Inputs'!BU35)</f>
        <v/>
      </c>
      <c r="BU11" s="14">
        <f>SUM('Plant Inputs'!BV23,'Plant Inputs'!BV29,'Plant Inputs'!BV35)</f>
        <v/>
      </c>
      <c r="BV11" s="14">
        <f>SUM('Plant Inputs'!BW23,'Plant Inputs'!BW29,'Plant Inputs'!BW35)</f>
        <v/>
      </c>
      <c r="BW11" s="14">
        <f>SUM('Plant Inputs'!BX23,'Plant Inputs'!BX29,'Plant Inputs'!BX35)</f>
        <v/>
      </c>
      <c r="BX11" s="14">
        <f>SUM('Plant Inputs'!BY23,'Plant Inputs'!BY29,'Plant Inputs'!BY35)</f>
        <v/>
      </c>
      <c r="BY11" s="16" t="n">
        <v>50050.4</v>
      </c>
      <c r="BZ11" s="16" t="n">
        <v>40075</v>
      </c>
      <c r="CA11" s="16" t="n">
        <v>10040000</v>
      </c>
      <c r="CB11" s="16" t="n">
        <v>4257934.5</v>
      </c>
      <c r="CC11" s="16" t="n">
        <v>1089934.5</v>
      </c>
      <c r="CD11" s="16" t="n">
        <v>435228.2</v>
      </c>
      <c r="CE11" s="16" t="n">
        <v>33264</v>
      </c>
      <c r="CF11" s="16" t="n">
        <v>438317.9</v>
      </c>
      <c r="CG11" s="16" t="n">
        <v>1192536.2</v>
      </c>
      <c r="CH11" s="16" t="n">
        <v>184420.1</v>
      </c>
      <c r="CI11" s="16" t="n">
        <v>1082983.6</v>
      </c>
      <c r="CJ11" s="16" t="n">
        <v>1563623.2</v>
      </c>
      <c r="CK11" s="16" t="n">
        <v>1768166.1</v>
      </c>
      <c r="CL11" s="16" t="n">
        <v>1004411.8</v>
      </c>
      <c r="CM11" s="16" t="n">
        <v>1072786</v>
      </c>
      <c r="CN11" s="16" t="n">
        <v>2852.3</v>
      </c>
      <c r="CO11" s="16" t="n">
        <v>74102.89999999999</v>
      </c>
      <c r="CP11" s="16" t="n">
        <v>74102.89999999999</v>
      </c>
      <c r="CQ11" s="16" t="n">
        <v>352</v>
      </c>
      <c r="CR11" s="16" t="n">
        <v>15761</v>
      </c>
      <c r="CS11" s="16" t="n">
        <v>15840</v>
      </c>
      <c r="CT11" s="16" t="n">
        <v>1</v>
      </c>
      <c r="CU11" s="16" t="n">
        <v>1097997.4</v>
      </c>
      <c r="CV11" s="16" t="n">
        <v>1112277.8</v>
      </c>
      <c r="CW11" s="16" t="n">
        <v>184653.8</v>
      </c>
      <c r="CX11" s="16" t="n">
        <v>3151290.2</v>
      </c>
      <c r="CY11" s="16" t="n">
        <v>2164395</v>
      </c>
      <c r="CZ11" s="16" t="n">
        <v>313040.6</v>
      </c>
      <c r="DA11" s="16" t="n">
        <v>229961.2</v>
      </c>
      <c r="DB11" s="16" t="n">
        <v>256509</v>
      </c>
      <c r="DC11" s="16" t="n">
        <v>181113.8</v>
      </c>
      <c r="DD11" s="16" t="n">
        <v>4017.3</v>
      </c>
      <c r="DE11" s="16" t="n">
        <v>4281.1</v>
      </c>
      <c r="DF11" s="16" t="n">
        <v>1785518</v>
      </c>
      <c r="DG11" s="16" t="n">
        <v>1091259.8</v>
      </c>
      <c r="DH11" s="16" t="n">
        <v>860000</v>
      </c>
      <c r="DI11" s="16" t="n">
        <v>432467.4</v>
      </c>
      <c r="DJ11" s="16" t="n">
        <v>69889.8</v>
      </c>
      <c r="DK11" s="16" t="n">
        <v>369800</v>
      </c>
      <c r="DL11" s="16" t="n">
        <v>136303.5</v>
      </c>
      <c r="DM11" s="16" t="n">
        <v>4</v>
      </c>
      <c r="DN11" s="16" t="n">
        <v>1</v>
      </c>
      <c r="DO11" s="16" t="n">
        <v>0</v>
      </c>
      <c r="DP11" s="16" t="n">
        <v>0</v>
      </c>
      <c r="DQ11" s="16" t="n">
        <v>4</v>
      </c>
      <c r="DR11" s="16" t="n">
        <v>5</v>
      </c>
      <c r="DS11" s="16" t="n">
        <v>10</v>
      </c>
      <c r="DT11" s="16" t="n">
        <v>4</v>
      </c>
      <c r="DU11" s="16" t="n">
        <v>2</v>
      </c>
      <c r="DV11" s="16" t="n">
        <v>64</v>
      </c>
      <c r="DW11" s="16" t="n">
        <v>22</v>
      </c>
      <c r="DX11" s="16" t="n">
        <v>9302.1</v>
      </c>
      <c r="DY11" s="16" t="n">
        <v>3474.3</v>
      </c>
      <c r="DZ11" s="16" t="n">
        <v>1389.1</v>
      </c>
      <c r="EA11" s="16" t="n">
        <v>1046.6</v>
      </c>
      <c r="EB11" s="16" t="n">
        <v>1244.6</v>
      </c>
      <c r="EC11" s="16" t="n">
        <v>68</v>
      </c>
      <c r="ED11" s="16" t="n">
        <v>65</v>
      </c>
      <c r="EE11" s="16" t="n">
        <v>3</v>
      </c>
      <c r="EF11" s="16" t="n">
        <v>1</v>
      </c>
      <c r="EG11" s="16" t="n">
        <v>1</v>
      </c>
      <c r="EH11" s="16" t="n">
        <v>0</v>
      </c>
      <c r="EI11" s="16" t="n">
        <v>0</v>
      </c>
      <c r="EJ11" s="16" t="n">
        <v>1</v>
      </c>
      <c r="EK11" s="16" t="n">
        <v>1</v>
      </c>
      <c r="EL11" s="16" t="n">
        <v>0</v>
      </c>
      <c r="EM11" s="16" t="n">
        <v>0</v>
      </c>
      <c r="EN11" s="16" t="n">
        <v>0</v>
      </c>
      <c r="EO11" s="16" t="n">
        <v>0</v>
      </c>
      <c r="EP11" s="16" t="n">
        <v>0</v>
      </c>
      <c r="EQ11" s="16" t="n">
        <v>2</v>
      </c>
      <c r="ER11" s="16" t="n">
        <v>1</v>
      </c>
      <c r="ES11" s="16" t="n">
        <v>0</v>
      </c>
      <c r="ET11" s="16" t="n">
        <v>0</v>
      </c>
      <c r="EU11" s="16" t="n">
        <v>5</v>
      </c>
      <c r="EV11" s="16" t="n">
        <v>0</v>
      </c>
      <c r="EW11" s="16" t="n">
        <v>1</v>
      </c>
      <c r="EX11" s="16" t="n">
        <v>1</v>
      </c>
      <c r="EY11" s="16" t="n">
        <v>58</v>
      </c>
      <c r="EZ11" s="16" t="n">
        <v>52</v>
      </c>
      <c r="FA11" s="16" t="n">
        <v>1</v>
      </c>
      <c r="FB11" s="16" t="n">
        <v>37</v>
      </c>
      <c r="FC11" s="16" t="n">
        <v>28</v>
      </c>
      <c r="FD11" s="16" t="n">
        <v>24</v>
      </c>
      <c r="FE11" s="16" t="n">
        <v>26</v>
      </c>
      <c r="FF11" s="16" t="n">
        <v>1</v>
      </c>
      <c r="FG11" s="16" t="n">
        <v>0</v>
      </c>
      <c r="FH11" s="16" t="n">
        <v>0</v>
      </c>
      <c r="FI11" s="16" t="n">
        <v>481373</v>
      </c>
      <c r="FJ11" s="16" t="n">
        <v>478757</v>
      </c>
      <c r="FK11" s="16" t="n">
        <v>420</v>
      </c>
      <c r="FL11" s="16" t="n">
        <v>411</v>
      </c>
      <c r="FM11" s="16" t="n">
        <v>0</v>
      </c>
      <c r="FN11" s="16" t="n">
        <v>0</v>
      </c>
      <c r="FO11" s="16" t="n">
        <v>0</v>
      </c>
      <c r="FP11" s="16" t="n">
        <v>4</v>
      </c>
      <c r="FQ11" s="16" t="n">
        <v>7.7</v>
      </c>
      <c r="FR11" s="16" t="n">
        <v>7</v>
      </c>
      <c r="FS11" s="16" t="n">
        <v>1</v>
      </c>
      <c r="FT11" s="16" t="n">
        <v>1</v>
      </c>
      <c r="FU11" s="16" t="n">
        <v>1</v>
      </c>
      <c r="FV11" s="25" t="n">
        <v>1287</v>
      </c>
      <c r="FW11" s="25" t="n">
        <v>554094.5</v>
      </c>
      <c r="FX11" s="25" t="n">
        <v>448425.9</v>
      </c>
      <c r="FY11" s="25" t="n">
        <v>1297723.1</v>
      </c>
      <c r="FZ11" s="25" t="n">
        <v>10140400</v>
      </c>
      <c r="GA11" s="25" t="n">
        <v>1429724.5</v>
      </c>
      <c r="GB11" s="25" t="n">
        <v>50291.8</v>
      </c>
      <c r="GC11" s="25" t="n">
        <v>999</v>
      </c>
      <c r="GD11" s="25" t="n">
        <v>0</v>
      </c>
      <c r="GE11" s="25" t="n">
        <v>101.2</v>
      </c>
      <c r="GF11" s="25" t="n">
        <v>0</v>
      </c>
    </row>
    <row r="12">
      <c r="A12" t="inlineStr">
        <is>
          <t>Group</t>
        </is>
      </c>
      <c r="B12" t="inlineStr">
        <is>
          <t>Entity A2</t>
        </is>
      </c>
      <c r="C12" t="inlineStr">
        <is>
          <t>2026-06</t>
        </is>
      </c>
      <c r="D12" t="n">
        <v>30</v>
      </c>
      <c r="E12" s="14">
        <f>SUM('Plant Inputs'!F24,'Plant Inputs'!F30,'Plant Inputs'!F36)</f>
        <v/>
      </c>
      <c r="F12" s="14">
        <f>SUM('Plant Inputs'!G24,'Plant Inputs'!G30,'Plant Inputs'!G36)</f>
        <v/>
      </c>
      <c r="G12" s="14">
        <f>SUM('Plant Inputs'!H24,'Plant Inputs'!H30,'Plant Inputs'!H36)</f>
        <v/>
      </c>
      <c r="H12" s="14">
        <f>SUM('Plant Inputs'!I24,'Plant Inputs'!I30,'Plant Inputs'!I36)</f>
        <v/>
      </c>
      <c r="I12" s="14">
        <f>SUM('Plant Inputs'!J24,'Plant Inputs'!J30,'Plant Inputs'!J36)</f>
        <v/>
      </c>
      <c r="J12" s="14">
        <f>SUM('Plant Inputs'!K24,'Plant Inputs'!K30,'Plant Inputs'!K36)</f>
        <v/>
      </c>
      <c r="K12" s="14">
        <f>SUM('Plant Inputs'!L24,'Plant Inputs'!L30,'Plant Inputs'!L36)</f>
        <v/>
      </c>
      <c r="L12" s="14">
        <f>SUM('Plant Inputs'!M24,'Plant Inputs'!M30,'Plant Inputs'!M36)</f>
        <v/>
      </c>
      <c r="M12" s="14">
        <f>SUM('Plant Inputs'!N24,'Plant Inputs'!N30,'Plant Inputs'!N36)</f>
        <v/>
      </c>
      <c r="N12" s="14">
        <f>SUM('Plant Inputs'!O24,'Plant Inputs'!O30,'Plant Inputs'!O36)</f>
        <v/>
      </c>
      <c r="O12" s="14">
        <f>SUM('Plant Inputs'!P24,'Plant Inputs'!P30,'Plant Inputs'!P36)</f>
        <v/>
      </c>
      <c r="P12" s="14">
        <f>SUM('Plant Inputs'!Q24,'Plant Inputs'!Q30,'Plant Inputs'!Q36)</f>
        <v/>
      </c>
      <c r="Q12" s="14">
        <f>SUM('Plant Inputs'!R24,'Plant Inputs'!R30,'Plant Inputs'!R36)</f>
        <v/>
      </c>
      <c r="R12" s="14">
        <f>SUM('Plant Inputs'!S24,'Plant Inputs'!S30,'Plant Inputs'!S36)</f>
        <v/>
      </c>
      <c r="S12" s="14">
        <f>SUM('Plant Inputs'!T24,'Plant Inputs'!T30,'Plant Inputs'!T36)</f>
        <v/>
      </c>
      <c r="T12" s="14">
        <f>SUM('Plant Inputs'!U24,'Plant Inputs'!U30,'Plant Inputs'!U36)</f>
        <v/>
      </c>
      <c r="U12" s="14">
        <f>SUM('Plant Inputs'!V24,'Plant Inputs'!V30,'Plant Inputs'!V36)</f>
        <v/>
      </c>
      <c r="V12" s="14">
        <f>SUM('Plant Inputs'!W24,'Plant Inputs'!W30,'Plant Inputs'!W36)</f>
        <v/>
      </c>
      <c r="W12" s="14">
        <f>SUM('Plant Inputs'!X24,'Plant Inputs'!X30,'Plant Inputs'!X36)</f>
        <v/>
      </c>
      <c r="X12" s="14">
        <f>SUM('Plant Inputs'!Y24,'Plant Inputs'!Y30,'Plant Inputs'!Y36)</f>
        <v/>
      </c>
      <c r="Y12" s="14">
        <f>SUM('Plant Inputs'!Z24,'Plant Inputs'!Z30,'Plant Inputs'!Z36)</f>
        <v/>
      </c>
      <c r="Z12" s="14">
        <f>SUM('Plant Inputs'!AA24,'Plant Inputs'!AA30,'Plant Inputs'!AA36)</f>
        <v/>
      </c>
      <c r="AA12" s="14">
        <f>SUM('Plant Inputs'!AB24,'Plant Inputs'!AB30,'Plant Inputs'!AB36)</f>
        <v/>
      </c>
      <c r="AB12" s="14">
        <f>SUM('Plant Inputs'!AC24,'Plant Inputs'!AC30,'Plant Inputs'!AC36)</f>
        <v/>
      </c>
      <c r="AC12" s="14">
        <f>SUM('Plant Inputs'!AD24,'Plant Inputs'!AD30,'Plant Inputs'!AD36)</f>
        <v/>
      </c>
      <c r="AD12" s="14">
        <f>SUM('Plant Inputs'!AE24,'Plant Inputs'!AE30,'Plant Inputs'!AE36)</f>
        <v/>
      </c>
      <c r="AE12" s="14">
        <f>SUM('Plant Inputs'!AF24,'Plant Inputs'!AF30,'Plant Inputs'!AF36)</f>
        <v/>
      </c>
      <c r="AF12" s="14">
        <f>SUM('Plant Inputs'!AG24,'Plant Inputs'!AG30,'Plant Inputs'!AG36)</f>
        <v/>
      </c>
      <c r="AG12" s="14">
        <f>SUM('Plant Inputs'!AH24,'Plant Inputs'!AH30,'Plant Inputs'!AH36)</f>
        <v/>
      </c>
      <c r="AH12" s="14">
        <f>SUM('Plant Inputs'!AI24,'Plant Inputs'!AI30,'Plant Inputs'!AI36)</f>
        <v/>
      </c>
      <c r="AI12" s="14">
        <f>SUM('Plant Inputs'!AJ24,'Plant Inputs'!AJ30,'Plant Inputs'!AJ36)</f>
        <v/>
      </c>
      <c r="AJ12" s="14">
        <f>SUM('Plant Inputs'!AK24,'Plant Inputs'!AK30,'Plant Inputs'!AK36)</f>
        <v/>
      </c>
      <c r="AK12" s="14">
        <f>SUM('Plant Inputs'!AL24,'Plant Inputs'!AL30,'Plant Inputs'!AL36)</f>
        <v/>
      </c>
      <c r="AL12" s="14">
        <f>SUM('Plant Inputs'!AM24,'Plant Inputs'!AM30,'Plant Inputs'!AM36)</f>
        <v/>
      </c>
      <c r="AM12" s="14">
        <f>SUM('Plant Inputs'!AN24,'Plant Inputs'!AN30,'Plant Inputs'!AN36)</f>
        <v/>
      </c>
      <c r="AN12" s="14">
        <f>SUM('Plant Inputs'!AO24,'Plant Inputs'!AO30,'Plant Inputs'!AO36)</f>
        <v/>
      </c>
      <c r="AO12" s="14">
        <f>SUM('Plant Inputs'!AP24,'Plant Inputs'!AP30,'Plant Inputs'!AP36)</f>
        <v/>
      </c>
      <c r="AP12" s="14">
        <f>SUM('Plant Inputs'!AQ24,'Plant Inputs'!AQ30,'Plant Inputs'!AQ36)</f>
        <v/>
      </c>
      <c r="AQ12" s="14">
        <f>SUM('Plant Inputs'!AR24,'Plant Inputs'!AR30,'Plant Inputs'!AR36)</f>
        <v/>
      </c>
      <c r="AR12" s="14">
        <f>MIN('Plant Inputs'!AS24,'Plant Inputs'!AS30,'Plant Inputs'!AS36)</f>
        <v/>
      </c>
      <c r="AS12" s="14">
        <f>SUM('Plant Inputs'!AT24,'Plant Inputs'!AT30,'Plant Inputs'!AT36)</f>
        <v/>
      </c>
      <c r="AT12" s="14">
        <f>SUM('Plant Inputs'!AU24,'Plant Inputs'!AU30,'Plant Inputs'!AU36)</f>
        <v/>
      </c>
      <c r="AU12" s="14">
        <f>SUM('Plant Inputs'!AV24,'Plant Inputs'!AV30,'Plant Inputs'!AV36)</f>
        <v/>
      </c>
      <c r="AV12" s="14">
        <f>SUM('Plant Inputs'!AW24,'Plant Inputs'!AW30,'Plant Inputs'!AW36)</f>
        <v/>
      </c>
      <c r="AW12" s="14">
        <f>SUM('Plant Inputs'!AX24,'Plant Inputs'!AX30,'Plant Inputs'!AX36)</f>
        <v/>
      </c>
      <c r="AX12" s="14">
        <f>SUM('Plant Inputs'!AY24,'Plant Inputs'!AY30,'Plant Inputs'!AY36)</f>
        <v/>
      </c>
      <c r="AY12" s="14">
        <f>SUM('Plant Inputs'!AZ24,'Plant Inputs'!AZ30,'Plant Inputs'!AZ36)</f>
        <v/>
      </c>
      <c r="AZ12" s="14">
        <f>SUM('Plant Inputs'!BA24,'Plant Inputs'!BA30,'Plant Inputs'!BA36)</f>
        <v/>
      </c>
      <c r="BA12" s="14">
        <f>SUM('Plant Inputs'!BB24,'Plant Inputs'!BB30,'Plant Inputs'!BB36)</f>
        <v/>
      </c>
      <c r="BB12" s="14">
        <f>SUM('Plant Inputs'!BC24,'Plant Inputs'!BC30,'Plant Inputs'!BC36)</f>
        <v/>
      </c>
      <c r="BC12" s="14">
        <f>SUM('Plant Inputs'!BD24,'Plant Inputs'!BD30,'Plant Inputs'!BD36)</f>
        <v/>
      </c>
      <c r="BD12" s="14">
        <f>SUM('Plant Inputs'!BE24,'Plant Inputs'!BE30,'Plant Inputs'!BE36)</f>
        <v/>
      </c>
      <c r="BE12" s="14">
        <f>SUM('Plant Inputs'!BF24,'Plant Inputs'!BF30,'Plant Inputs'!BF36)</f>
        <v/>
      </c>
      <c r="BF12" s="14">
        <f>SUM('Plant Inputs'!BG24,'Plant Inputs'!BG30,'Plant Inputs'!BG36)</f>
        <v/>
      </c>
      <c r="BG12" s="14">
        <f>SUM('Plant Inputs'!BH24,'Plant Inputs'!BH30,'Plant Inputs'!BH36)</f>
        <v/>
      </c>
      <c r="BH12" s="14">
        <f>SUM('Plant Inputs'!BI24,'Plant Inputs'!BI30,'Plant Inputs'!BI36)</f>
        <v/>
      </c>
      <c r="BI12" s="14">
        <f>SUM('Plant Inputs'!BJ24,'Plant Inputs'!BJ30,'Plant Inputs'!BJ36)</f>
        <v/>
      </c>
      <c r="BJ12" s="14">
        <f>SUM('Plant Inputs'!BK24,'Plant Inputs'!BK30,'Plant Inputs'!BK36)</f>
        <v/>
      </c>
      <c r="BK12" s="14">
        <f>SUM('Plant Inputs'!BL24,'Plant Inputs'!BL30,'Plant Inputs'!BL36)</f>
        <v/>
      </c>
      <c r="BL12" s="14">
        <f>SUM('Plant Inputs'!BM24,'Plant Inputs'!BM30,'Plant Inputs'!BM36)</f>
        <v/>
      </c>
      <c r="BM12" s="14">
        <f>SUM('Plant Inputs'!BN24,'Plant Inputs'!BN30,'Plant Inputs'!BN36)</f>
        <v/>
      </c>
      <c r="BN12" s="14">
        <f>SUM('Plant Inputs'!BO24,'Plant Inputs'!BO30,'Plant Inputs'!BO36)</f>
        <v/>
      </c>
      <c r="BO12" s="14">
        <f>SUM('Plant Inputs'!BP24,'Plant Inputs'!BP30,'Plant Inputs'!BP36)</f>
        <v/>
      </c>
      <c r="BP12" s="14">
        <f>SUM('Plant Inputs'!BQ24,'Plant Inputs'!BQ30,'Plant Inputs'!BQ36)</f>
        <v/>
      </c>
      <c r="BQ12" s="14">
        <f>SUM('Plant Inputs'!BR24,'Plant Inputs'!BR30,'Plant Inputs'!BR36)</f>
        <v/>
      </c>
      <c r="BR12" s="14">
        <f>SUM('Plant Inputs'!BS24,'Plant Inputs'!BS30,'Plant Inputs'!BS36)</f>
        <v/>
      </c>
      <c r="BS12" s="14">
        <f>MIN('Plant Inputs'!BT24,'Plant Inputs'!BT30,'Plant Inputs'!BT36)</f>
        <v/>
      </c>
      <c r="BT12" s="14">
        <f>SUM('Plant Inputs'!BU24,'Plant Inputs'!BU30,'Plant Inputs'!BU36)</f>
        <v/>
      </c>
      <c r="BU12" s="14">
        <f>SUM('Plant Inputs'!BV24,'Plant Inputs'!BV30,'Plant Inputs'!BV36)</f>
        <v/>
      </c>
      <c r="BV12" s="14">
        <f>SUM('Plant Inputs'!BW24,'Plant Inputs'!BW30,'Plant Inputs'!BW36)</f>
        <v/>
      </c>
      <c r="BW12" s="14">
        <f>SUM('Plant Inputs'!BX24,'Plant Inputs'!BX30,'Plant Inputs'!BX36)</f>
        <v/>
      </c>
      <c r="BX12" s="14">
        <f>SUM('Plant Inputs'!BY24,'Plant Inputs'!BY30,'Plant Inputs'!BY36)</f>
        <v/>
      </c>
      <c r="BY12" s="16" t="n">
        <v>51654.7</v>
      </c>
      <c r="BZ12" s="16" t="n">
        <v>22449.1</v>
      </c>
      <c r="CA12" s="16" t="n">
        <v>10080000</v>
      </c>
      <c r="CB12" s="16" t="n">
        <v>4211021.8</v>
      </c>
      <c r="CC12" s="16" t="n">
        <v>1075021.8</v>
      </c>
      <c r="CD12" s="16" t="n">
        <v>436315.8</v>
      </c>
      <c r="CE12" s="16" t="n">
        <v>32928</v>
      </c>
      <c r="CF12" s="16" t="n">
        <v>405014</v>
      </c>
      <c r="CG12" s="16" t="n">
        <v>1190070.9</v>
      </c>
      <c r="CH12" s="16" t="n">
        <v>107481.4</v>
      </c>
      <c r="CI12" s="16" t="n">
        <v>1119343.6</v>
      </c>
      <c r="CJ12" s="16" t="n">
        <v>1665189.5</v>
      </c>
      <c r="CK12" s="16" t="n">
        <v>2023734.9</v>
      </c>
      <c r="CL12" s="16" t="n">
        <v>1155573.9</v>
      </c>
      <c r="CM12" s="16" t="n">
        <v>1086928.3</v>
      </c>
      <c r="CN12" s="16" t="n">
        <v>3048.7</v>
      </c>
      <c r="CO12" s="16" t="n">
        <v>78617.10000000001</v>
      </c>
      <c r="CP12" s="16" t="n">
        <v>78617.10000000001</v>
      </c>
      <c r="CQ12" s="16" t="n">
        <v>333</v>
      </c>
      <c r="CR12" s="16" t="n">
        <v>15098</v>
      </c>
      <c r="CS12" s="16" t="n">
        <v>14985</v>
      </c>
      <c r="CT12" s="16" t="n">
        <v>0</v>
      </c>
      <c r="CU12" s="16" t="n">
        <v>640845.8</v>
      </c>
      <c r="CV12" s="16" t="n">
        <v>647178.6</v>
      </c>
      <c r="CW12" s="16" t="n">
        <v>92062</v>
      </c>
      <c r="CX12" s="16" t="n">
        <v>3085667.3</v>
      </c>
      <c r="CY12" s="16" t="n">
        <v>1265494.8</v>
      </c>
      <c r="CZ12" s="16" t="n">
        <v>287638.8</v>
      </c>
      <c r="DA12" s="16" t="n">
        <v>211841.6</v>
      </c>
      <c r="DB12" s="16" t="n">
        <v>231613.6</v>
      </c>
      <c r="DC12" s="16" t="n">
        <v>171021.1</v>
      </c>
      <c r="DD12" s="16" t="n">
        <v>3471.9</v>
      </c>
      <c r="DE12" s="16" t="n">
        <v>3774.8</v>
      </c>
      <c r="DF12" s="16" t="n">
        <v>1772808</v>
      </c>
      <c r="DG12" s="16" t="n">
        <v>1085587.8</v>
      </c>
      <c r="DH12" s="16" t="n">
        <v>860000</v>
      </c>
      <c r="DI12" s="16" t="n">
        <v>476244.8</v>
      </c>
      <c r="DJ12" s="16" t="n">
        <v>70024</v>
      </c>
      <c r="DK12" s="16" t="n">
        <v>412800</v>
      </c>
      <c r="DL12" s="16" t="n">
        <v>130334.1</v>
      </c>
      <c r="DM12" s="16" t="n">
        <v>4</v>
      </c>
      <c r="DN12" s="16" t="n">
        <v>1</v>
      </c>
      <c r="DO12" s="16" t="n">
        <v>0</v>
      </c>
      <c r="DP12" s="16" t="n">
        <v>0</v>
      </c>
      <c r="DQ12" s="16" t="n">
        <v>7</v>
      </c>
      <c r="DR12" s="16" t="n">
        <v>10</v>
      </c>
      <c r="DS12" s="16" t="n">
        <v>10</v>
      </c>
      <c r="DT12" s="16" t="n">
        <v>4</v>
      </c>
      <c r="DU12" s="16" t="n">
        <v>2</v>
      </c>
      <c r="DV12" s="16" t="n">
        <v>64</v>
      </c>
      <c r="DW12" s="16" t="n">
        <v>25</v>
      </c>
      <c r="DX12" s="16" t="n">
        <v>8998.700000000001</v>
      </c>
      <c r="DY12" s="16" t="n">
        <v>3287.2</v>
      </c>
      <c r="DZ12" s="16" t="n">
        <v>1313.6</v>
      </c>
      <c r="EA12" s="16" t="n">
        <v>1018</v>
      </c>
      <c r="EB12" s="16" t="n">
        <v>1229.3</v>
      </c>
      <c r="EC12" s="16" t="n">
        <v>68</v>
      </c>
      <c r="ED12" s="16" t="n">
        <v>66</v>
      </c>
      <c r="EE12" s="16" t="n">
        <v>2</v>
      </c>
      <c r="EF12" s="16" t="n">
        <v>0</v>
      </c>
      <c r="EG12" s="16" t="n">
        <v>1</v>
      </c>
      <c r="EH12" s="16" t="n">
        <v>0</v>
      </c>
      <c r="EI12" s="16" t="n">
        <v>0</v>
      </c>
      <c r="EJ12" s="16" t="n">
        <v>0</v>
      </c>
      <c r="EK12" s="16" t="n">
        <v>0</v>
      </c>
      <c r="EL12" s="16" t="n">
        <v>0</v>
      </c>
      <c r="EM12" s="16" t="n">
        <v>0</v>
      </c>
      <c r="EN12" s="16" t="n">
        <v>1</v>
      </c>
      <c r="EO12" s="16" t="n">
        <v>0</v>
      </c>
      <c r="EP12" s="16" t="n">
        <v>0</v>
      </c>
      <c r="EQ12" s="16" t="n">
        <v>1</v>
      </c>
      <c r="ER12" s="16" t="n">
        <v>0</v>
      </c>
      <c r="ES12" s="16" t="n">
        <v>0</v>
      </c>
      <c r="ET12" s="16" t="n">
        <v>0</v>
      </c>
      <c r="EU12" s="16" t="n">
        <v>6</v>
      </c>
      <c r="EV12" s="16" t="n">
        <v>0</v>
      </c>
      <c r="EW12" s="16" t="n">
        <v>1</v>
      </c>
      <c r="EX12" s="16" t="n">
        <v>1</v>
      </c>
      <c r="EY12" s="16" t="n">
        <v>58</v>
      </c>
      <c r="EZ12" s="16" t="n">
        <v>52</v>
      </c>
      <c r="FA12" s="16" t="n">
        <v>3</v>
      </c>
      <c r="FB12" s="16" t="n">
        <v>115</v>
      </c>
      <c r="FC12" s="16" t="n">
        <v>28</v>
      </c>
      <c r="FD12" s="16" t="n">
        <v>24</v>
      </c>
      <c r="FE12" s="16" t="n">
        <v>26</v>
      </c>
      <c r="FF12" s="16" t="n">
        <v>1</v>
      </c>
      <c r="FG12" s="16" t="n">
        <v>0</v>
      </c>
      <c r="FH12" s="16" t="n">
        <v>0</v>
      </c>
      <c r="FI12" s="16" t="n">
        <v>499474</v>
      </c>
      <c r="FJ12" s="16" t="n">
        <v>495766</v>
      </c>
      <c r="FK12" s="16" t="n">
        <v>420</v>
      </c>
      <c r="FL12" s="16" t="n">
        <v>413</v>
      </c>
      <c r="FM12" s="16" t="n">
        <v>0</v>
      </c>
      <c r="FN12" s="16" t="n">
        <v>0</v>
      </c>
      <c r="FO12" s="16" t="n">
        <v>0</v>
      </c>
      <c r="FP12" s="16" t="n">
        <v>4</v>
      </c>
      <c r="FQ12" s="16" t="n">
        <v>7.8</v>
      </c>
      <c r="FR12" s="16" t="n">
        <v>7</v>
      </c>
      <c r="FS12" s="16" t="n">
        <v>0</v>
      </c>
      <c r="FT12" s="16" t="n">
        <v>0</v>
      </c>
      <c r="FU12" s="16" t="n">
        <v>-1</v>
      </c>
      <c r="FV12" s="25" t="n">
        <v>1284</v>
      </c>
      <c r="FW12" s="25" t="n">
        <v>444043.8</v>
      </c>
      <c r="FX12" s="25" t="n">
        <v>323426.1</v>
      </c>
      <c r="FY12" s="25" t="n">
        <v>979534.2</v>
      </c>
      <c r="FZ12" s="25" t="n">
        <v>10180800</v>
      </c>
      <c r="GA12" s="25" t="n">
        <v>1081897.5</v>
      </c>
      <c r="GB12" s="25" t="n">
        <v>38056.7</v>
      </c>
      <c r="GC12" s="25" t="n">
        <v>999</v>
      </c>
      <c r="GD12" s="25" t="n">
        <v>0</v>
      </c>
      <c r="GE12" s="25" t="n">
        <v>100.6</v>
      </c>
      <c r="GF12" s="25" t="n">
        <v>0</v>
      </c>
    </row>
    <row r="13">
      <c r="A13" t="inlineStr">
        <is>
          <t>Group</t>
        </is>
      </c>
      <c r="B13" t="inlineStr">
        <is>
          <t>Entity A2</t>
        </is>
      </c>
      <c r="C13" t="inlineStr">
        <is>
          <t>2026-07</t>
        </is>
      </c>
      <c r="D13" t="n">
        <v>31</v>
      </c>
      <c r="E13" s="14">
        <f>SUM('Plant Inputs'!F25,'Plant Inputs'!F31,'Plant Inputs'!F37)</f>
        <v/>
      </c>
      <c r="F13" s="14">
        <f>SUM('Plant Inputs'!G25,'Plant Inputs'!G31,'Plant Inputs'!G37)</f>
        <v/>
      </c>
      <c r="G13" s="14">
        <f>SUM('Plant Inputs'!H25,'Plant Inputs'!H31,'Plant Inputs'!H37)</f>
        <v/>
      </c>
      <c r="H13" s="14">
        <f>SUM('Plant Inputs'!I25,'Plant Inputs'!I31,'Plant Inputs'!I37)</f>
        <v/>
      </c>
      <c r="I13" s="14">
        <f>SUM('Plant Inputs'!J25,'Plant Inputs'!J31,'Plant Inputs'!J37)</f>
        <v/>
      </c>
      <c r="J13" s="14">
        <f>SUM('Plant Inputs'!K25,'Plant Inputs'!K31,'Plant Inputs'!K37)</f>
        <v/>
      </c>
      <c r="K13" s="14">
        <f>SUM('Plant Inputs'!L25,'Plant Inputs'!L31,'Plant Inputs'!L37)</f>
        <v/>
      </c>
      <c r="L13" s="14">
        <f>SUM('Plant Inputs'!M25,'Plant Inputs'!M31,'Plant Inputs'!M37)</f>
        <v/>
      </c>
      <c r="M13" s="14">
        <f>SUM('Plant Inputs'!N25,'Plant Inputs'!N31,'Plant Inputs'!N37)</f>
        <v/>
      </c>
      <c r="N13" s="14">
        <f>SUM('Plant Inputs'!O25,'Plant Inputs'!O31,'Plant Inputs'!O37)</f>
        <v/>
      </c>
      <c r="O13" s="14">
        <f>SUM('Plant Inputs'!P25,'Plant Inputs'!P31,'Plant Inputs'!P37)</f>
        <v/>
      </c>
      <c r="P13" s="14">
        <f>SUM('Plant Inputs'!Q25,'Plant Inputs'!Q31,'Plant Inputs'!Q37)</f>
        <v/>
      </c>
      <c r="Q13" s="14">
        <f>SUM('Plant Inputs'!R25,'Plant Inputs'!R31,'Plant Inputs'!R37)</f>
        <v/>
      </c>
      <c r="R13" s="14">
        <f>SUM('Plant Inputs'!S25,'Plant Inputs'!S31,'Plant Inputs'!S37)</f>
        <v/>
      </c>
      <c r="S13" s="14">
        <f>SUM('Plant Inputs'!T25,'Plant Inputs'!T31,'Plant Inputs'!T37)</f>
        <v/>
      </c>
      <c r="T13" s="14">
        <f>SUM('Plant Inputs'!U25,'Plant Inputs'!U31,'Plant Inputs'!U37)</f>
        <v/>
      </c>
      <c r="U13" s="14">
        <f>SUM('Plant Inputs'!V25,'Plant Inputs'!V31,'Plant Inputs'!V37)</f>
        <v/>
      </c>
      <c r="V13" s="14">
        <f>SUM('Plant Inputs'!W25,'Plant Inputs'!W31,'Plant Inputs'!W37)</f>
        <v/>
      </c>
      <c r="W13" s="14">
        <f>SUM('Plant Inputs'!X25,'Plant Inputs'!X31,'Plant Inputs'!X37)</f>
        <v/>
      </c>
      <c r="X13" s="14">
        <f>SUM('Plant Inputs'!Y25,'Plant Inputs'!Y31,'Plant Inputs'!Y37)</f>
        <v/>
      </c>
      <c r="Y13" s="14">
        <f>SUM('Plant Inputs'!Z25,'Plant Inputs'!Z31,'Plant Inputs'!Z37)</f>
        <v/>
      </c>
      <c r="Z13" s="14">
        <f>SUM('Plant Inputs'!AA25,'Plant Inputs'!AA31,'Plant Inputs'!AA37)</f>
        <v/>
      </c>
      <c r="AA13" s="14">
        <f>SUM('Plant Inputs'!AB25,'Plant Inputs'!AB31,'Plant Inputs'!AB37)</f>
        <v/>
      </c>
      <c r="AB13" s="14">
        <f>SUM('Plant Inputs'!AC25,'Plant Inputs'!AC31,'Plant Inputs'!AC37)</f>
        <v/>
      </c>
      <c r="AC13" s="14">
        <f>SUM('Plant Inputs'!AD25,'Plant Inputs'!AD31,'Plant Inputs'!AD37)</f>
        <v/>
      </c>
      <c r="AD13" s="14">
        <f>SUM('Plant Inputs'!AE25,'Plant Inputs'!AE31,'Plant Inputs'!AE37)</f>
        <v/>
      </c>
      <c r="AE13" s="14">
        <f>SUM('Plant Inputs'!AF25,'Plant Inputs'!AF31,'Plant Inputs'!AF37)</f>
        <v/>
      </c>
      <c r="AF13" s="14">
        <f>SUM('Plant Inputs'!AG25,'Plant Inputs'!AG31,'Plant Inputs'!AG37)</f>
        <v/>
      </c>
      <c r="AG13" s="14">
        <f>SUM('Plant Inputs'!AH25,'Plant Inputs'!AH31,'Plant Inputs'!AH37)</f>
        <v/>
      </c>
      <c r="AH13" s="14">
        <f>SUM('Plant Inputs'!AI25,'Plant Inputs'!AI31,'Plant Inputs'!AI37)</f>
        <v/>
      </c>
      <c r="AI13" s="14">
        <f>SUM('Plant Inputs'!AJ25,'Plant Inputs'!AJ31,'Plant Inputs'!AJ37)</f>
        <v/>
      </c>
      <c r="AJ13" s="14">
        <f>SUM('Plant Inputs'!AK25,'Plant Inputs'!AK31,'Plant Inputs'!AK37)</f>
        <v/>
      </c>
      <c r="AK13" s="14">
        <f>SUM('Plant Inputs'!AL25,'Plant Inputs'!AL31,'Plant Inputs'!AL37)</f>
        <v/>
      </c>
      <c r="AL13" s="14">
        <f>SUM('Plant Inputs'!AM25,'Plant Inputs'!AM31,'Plant Inputs'!AM37)</f>
        <v/>
      </c>
      <c r="AM13" s="14">
        <f>SUM('Plant Inputs'!AN25,'Plant Inputs'!AN31,'Plant Inputs'!AN37)</f>
        <v/>
      </c>
      <c r="AN13" s="14">
        <f>SUM('Plant Inputs'!AO25,'Plant Inputs'!AO31,'Plant Inputs'!AO37)</f>
        <v/>
      </c>
      <c r="AO13" s="14">
        <f>SUM('Plant Inputs'!AP25,'Plant Inputs'!AP31,'Plant Inputs'!AP37)</f>
        <v/>
      </c>
      <c r="AP13" s="14">
        <f>SUM('Plant Inputs'!AQ25,'Plant Inputs'!AQ31,'Plant Inputs'!AQ37)</f>
        <v/>
      </c>
      <c r="AQ13" s="14">
        <f>SUM('Plant Inputs'!AR25,'Plant Inputs'!AR31,'Plant Inputs'!AR37)</f>
        <v/>
      </c>
      <c r="AR13" s="14">
        <f>MIN('Plant Inputs'!AS25,'Plant Inputs'!AS31,'Plant Inputs'!AS37)</f>
        <v/>
      </c>
      <c r="AS13" s="14">
        <f>SUM('Plant Inputs'!AT25,'Plant Inputs'!AT31,'Plant Inputs'!AT37)</f>
        <v/>
      </c>
      <c r="AT13" s="14">
        <f>SUM('Plant Inputs'!AU25,'Plant Inputs'!AU31,'Plant Inputs'!AU37)</f>
        <v/>
      </c>
      <c r="AU13" s="14">
        <f>SUM('Plant Inputs'!AV25,'Plant Inputs'!AV31,'Plant Inputs'!AV37)</f>
        <v/>
      </c>
      <c r="AV13" s="14">
        <f>SUM('Plant Inputs'!AW25,'Plant Inputs'!AW31,'Plant Inputs'!AW37)</f>
        <v/>
      </c>
      <c r="AW13" s="14">
        <f>SUM('Plant Inputs'!AX25,'Plant Inputs'!AX31,'Plant Inputs'!AX37)</f>
        <v/>
      </c>
      <c r="AX13" s="14">
        <f>SUM('Plant Inputs'!AY25,'Plant Inputs'!AY31,'Plant Inputs'!AY37)</f>
        <v/>
      </c>
      <c r="AY13" s="14">
        <f>SUM('Plant Inputs'!AZ25,'Plant Inputs'!AZ31,'Plant Inputs'!AZ37)</f>
        <v/>
      </c>
      <c r="AZ13" s="14">
        <f>SUM('Plant Inputs'!BA25,'Plant Inputs'!BA31,'Plant Inputs'!BA37)</f>
        <v/>
      </c>
      <c r="BA13" s="14">
        <f>SUM('Plant Inputs'!BB25,'Plant Inputs'!BB31,'Plant Inputs'!BB37)</f>
        <v/>
      </c>
      <c r="BB13" s="14">
        <f>SUM('Plant Inputs'!BC25,'Plant Inputs'!BC31,'Plant Inputs'!BC37)</f>
        <v/>
      </c>
      <c r="BC13" s="14">
        <f>SUM('Plant Inputs'!BD25,'Plant Inputs'!BD31,'Plant Inputs'!BD37)</f>
        <v/>
      </c>
      <c r="BD13" s="14">
        <f>SUM('Plant Inputs'!BE25,'Plant Inputs'!BE31,'Plant Inputs'!BE37)</f>
        <v/>
      </c>
      <c r="BE13" s="14">
        <f>SUM('Plant Inputs'!BF25,'Plant Inputs'!BF31,'Plant Inputs'!BF37)</f>
        <v/>
      </c>
      <c r="BF13" s="14">
        <f>SUM('Plant Inputs'!BG25,'Plant Inputs'!BG31,'Plant Inputs'!BG37)</f>
        <v/>
      </c>
      <c r="BG13" s="14">
        <f>SUM('Plant Inputs'!BH25,'Plant Inputs'!BH31,'Plant Inputs'!BH37)</f>
        <v/>
      </c>
      <c r="BH13" s="14">
        <f>SUM('Plant Inputs'!BI25,'Plant Inputs'!BI31,'Plant Inputs'!BI37)</f>
        <v/>
      </c>
      <c r="BI13" s="14">
        <f>SUM('Plant Inputs'!BJ25,'Plant Inputs'!BJ31,'Plant Inputs'!BJ37)</f>
        <v/>
      </c>
      <c r="BJ13" s="14">
        <f>SUM('Plant Inputs'!BK25,'Plant Inputs'!BK31,'Plant Inputs'!BK37)</f>
        <v/>
      </c>
      <c r="BK13" s="14">
        <f>SUM('Plant Inputs'!BL25,'Plant Inputs'!BL31,'Plant Inputs'!BL37)</f>
        <v/>
      </c>
      <c r="BL13" s="14">
        <f>SUM('Plant Inputs'!BM25,'Plant Inputs'!BM31,'Plant Inputs'!BM37)</f>
        <v/>
      </c>
      <c r="BM13" s="14">
        <f>SUM('Plant Inputs'!BN25,'Plant Inputs'!BN31,'Plant Inputs'!BN37)</f>
        <v/>
      </c>
      <c r="BN13" s="14">
        <f>SUM('Plant Inputs'!BO25,'Plant Inputs'!BO31,'Plant Inputs'!BO37)</f>
        <v/>
      </c>
      <c r="BO13" s="14">
        <f>SUM('Plant Inputs'!BP25,'Plant Inputs'!BP31,'Plant Inputs'!BP37)</f>
        <v/>
      </c>
      <c r="BP13" s="14">
        <f>SUM('Plant Inputs'!BQ25,'Plant Inputs'!BQ31,'Plant Inputs'!BQ37)</f>
        <v/>
      </c>
      <c r="BQ13" s="14">
        <f>SUM('Plant Inputs'!BR25,'Plant Inputs'!BR31,'Plant Inputs'!BR37)</f>
        <v/>
      </c>
      <c r="BR13" s="14">
        <f>SUM('Plant Inputs'!BS25,'Plant Inputs'!BS31,'Plant Inputs'!BS37)</f>
        <v/>
      </c>
      <c r="BS13" s="14">
        <f>MIN('Plant Inputs'!BT25,'Plant Inputs'!BT31,'Plant Inputs'!BT37)</f>
        <v/>
      </c>
      <c r="BT13" s="14">
        <f>SUM('Plant Inputs'!BU25,'Plant Inputs'!BU31,'Plant Inputs'!BU37)</f>
        <v/>
      </c>
      <c r="BU13" s="14">
        <f>SUM('Plant Inputs'!BV25,'Plant Inputs'!BV31,'Plant Inputs'!BV37)</f>
        <v/>
      </c>
      <c r="BV13" s="14">
        <f>SUM('Plant Inputs'!BW25,'Plant Inputs'!BW31,'Plant Inputs'!BW37)</f>
        <v/>
      </c>
      <c r="BW13" s="14">
        <f>SUM('Plant Inputs'!BX25,'Plant Inputs'!BX31,'Plant Inputs'!BX37)</f>
        <v/>
      </c>
      <c r="BX13" s="14">
        <f>SUM('Plant Inputs'!BY25,'Plant Inputs'!BY31,'Plant Inputs'!BY37)</f>
        <v/>
      </c>
      <c r="BY13" s="16" t="n">
        <v>54610.5</v>
      </c>
      <c r="BZ13" s="16" t="n">
        <v>23755.2</v>
      </c>
      <c r="CA13" s="16" t="n">
        <v>10120000</v>
      </c>
      <c r="CB13" s="16" t="n">
        <v>4323104.5</v>
      </c>
      <c r="CC13" s="16" t="n">
        <v>1219104.5</v>
      </c>
      <c r="CD13" s="16" t="n">
        <v>442574.4</v>
      </c>
      <c r="CE13" s="16" t="n">
        <v>32592</v>
      </c>
      <c r="CF13" s="16" t="n">
        <v>425574.5</v>
      </c>
      <c r="CG13" s="16" t="n">
        <v>1293891.3</v>
      </c>
      <c r="CH13" s="16" t="n">
        <v>119814.6</v>
      </c>
      <c r="CI13" s="16" t="n">
        <v>1202019.5</v>
      </c>
      <c r="CJ13" s="16" t="n">
        <v>1734551.6</v>
      </c>
      <c r="CK13" s="16" t="n">
        <v>2055982.4</v>
      </c>
      <c r="CL13" s="16" t="n">
        <v>1122026.2</v>
      </c>
      <c r="CM13" s="16" t="n">
        <v>1161124.7</v>
      </c>
      <c r="CN13" s="16" t="n">
        <v>2912.2</v>
      </c>
      <c r="CO13" s="16" t="n">
        <v>78725.2</v>
      </c>
      <c r="CP13" s="16" t="n">
        <v>78725.2</v>
      </c>
      <c r="CQ13" s="16" t="n">
        <v>342</v>
      </c>
      <c r="CR13" s="16" t="n">
        <v>15474</v>
      </c>
      <c r="CS13" s="16" t="n">
        <v>15390</v>
      </c>
      <c r="CT13" s="16" t="n">
        <v>1</v>
      </c>
      <c r="CU13" s="16" t="n">
        <v>714775.5</v>
      </c>
      <c r="CV13" s="16" t="n">
        <v>718721.9</v>
      </c>
      <c r="CW13" s="16" t="n">
        <v>139958.6</v>
      </c>
      <c r="CX13" s="16" t="n">
        <v>3047312.3</v>
      </c>
      <c r="CY13" s="16" t="n">
        <v>1412231.8</v>
      </c>
      <c r="CZ13" s="16" t="n">
        <v>347025.2</v>
      </c>
      <c r="DA13" s="16" t="n">
        <v>242148.9</v>
      </c>
      <c r="DB13" s="16" t="n">
        <v>284119.2</v>
      </c>
      <c r="DC13" s="16" t="n">
        <v>199411</v>
      </c>
      <c r="DD13" s="16" t="n">
        <v>6393</v>
      </c>
      <c r="DE13" s="16" t="n">
        <v>6859.8</v>
      </c>
      <c r="DF13" s="16" t="n">
        <v>1997749.7</v>
      </c>
      <c r="DG13" s="16" t="n">
        <v>1170469.4</v>
      </c>
      <c r="DH13" s="16" t="n">
        <v>860000</v>
      </c>
      <c r="DI13" s="16" t="n">
        <v>526173.4</v>
      </c>
      <c r="DJ13" s="16" t="n">
        <v>66726.89999999999</v>
      </c>
      <c r="DK13" s="16" t="n">
        <v>455800</v>
      </c>
      <c r="DL13" s="16" t="n">
        <v>129811.4</v>
      </c>
      <c r="DM13" s="16" t="n">
        <v>4</v>
      </c>
      <c r="DN13" s="16" t="n">
        <v>1</v>
      </c>
      <c r="DO13" s="16" t="n">
        <v>0</v>
      </c>
      <c r="DP13" s="16" t="n">
        <v>1</v>
      </c>
      <c r="DQ13" s="16" t="n">
        <v>4</v>
      </c>
      <c r="DR13" s="16" t="n">
        <v>4</v>
      </c>
      <c r="DS13" s="16" t="n">
        <v>10</v>
      </c>
      <c r="DT13" s="16" t="n">
        <v>4</v>
      </c>
      <c r="DU13" s="16" t="n">
        <v>2</v>
      </c>
      <c r="DV13" s="16" t="n">
        <v>64</v>
      </c>
      <c r="DW13" s="16" t="n">
        <v>28</v>
      </c>
      <c r="DX13" s="16" t="n">
        <v>9318.700000000001</v>
      </c>
      <c r="DY13" s="16" t="n">
        <v>3457.6</v>
      </c>
      <c r="DZ13" s="16" t="n">
        <v>1294.6</v>
      </c>
      <c r="EA13" s="16" t="n">
        <v>1069.1</v>
      </c>
      <c r="EB13" s="16" t="n">
        <v>1220.3</v>
      </c>
      <c r="EC13" s="16" t="n">
        <v>68</v>
      </c>
      <c r="ED13" s="16" t="n">
        <v>65</v>
      </c>
      <c r="EE13" s="16" t="n">
        <v>3</v>
      </c>
      <c r="EF13" s="16" t="n">
        <v>1</v>
      </c>
      <c r="EG13" s="16" t="n">
        <v>1</v>
      </c>
      <c r="EH13" s="16" t="n">
        <v>0</v>
      </c>
      <c r="EI13" s="16" t="n">
        <v>0</v>
      </c>
      <c r="EJ13" s="16" t="n">
        <v>1</v>
      </c>
      <c r="EK13" s="16" t="n">
        <v>1</v>
      </c>
      <c r="EL13" s="16" t="n">
        <v>1</v>
      </c>
      <c r="EM13" s="16" t="n">
        <v>0</v>
      </c>
      <c r="EN13" s="16" t="n">
        <v>0</v>
      </c>
      <c r="EO13" s="16" t="n">
        <v>0</v>
      </c>
      <c r="EP13" s="16" t="n">
        <v>0</v>
      </c>
      <c r="EQ13" s="16" t="n">
        <v>0</v>
      </c>
      <c r="ER13" s="16" t="n">
        <v>0</v>
      </c>
      <c r="ES13" s="16" t="n">
        <v>0</v>
      </c>
      <c r="ET13" s="16" t="n">
        <v>0</v>
      </c>
      <c r="EU13" s="16" t="n">
        <v>5</v>
      </c>
      <c r="EV13" s="16" t="n">
        <v>0</v>
      </c>
      <c r="EW13" s="16" t="n">
        <v>1</v>
      </c>
      <c r="EX13" s="16" t="n">
        <v>1</v>
      </c>
      <c r="EY13" s="16" t="n">
        <v>58</v>
      </c>
      <c r="EZ13" s="16" t="n">
        <v>53</v>
      </c>
      <c r="FA13" s="16" t="n">
        <v>1</v>
      </c>
      <c r="FB13" s="16" t="n">
        <v>36</v>
      </c>
      <c r="FC13" s="16" t="n">
        <v>28</v>
      </c>
      <c r="FD13" s="16" t="n">
        <v>24</v>
      </c>
      <c r="FE13" s="16" t="n">
        <v>26</v>
      </c>
      <c r="FF13" s="16" t="n">
        <v>1</v>
      </c>
      <c r="FG13" s="16" t="n">
        <v>0</v>
      </c>
      <c r="FH13" s="16" t="n">
        <v>0</v>
      </c>
      <c r="FI13" s="16" t="n">
        <v>512122</v>
      </c>
      <c r="FJ13" s="16" t="n">
        <v>506494</v>
      </c>
      <c r="FK13" s="16" t="n">
        <v>420</v>
      </c>
      <c r="FL13" s="16" t="n">
        <v>415</v>
      </c>
      <c r="FM13" s="16" t="n">
        <v>0</v>
      </c>
      <c r="FN13" s="16" t="n">
        <v>0</v>
      </c>
      <c r="FO13" s="16" t="n">
        <v>0</v>
      </c>
      <c r="FP13" s="16" t="n">
        <v>4</v>
      </c>
      <c r="FQ13" s="16" t="n">
        <v>8.5</v>
      </c>
      <c r="FR13" s="16" t="n">
        <v>8</v>
      </c>
      <c r="FS13" s="16" t="n">
        <v>1</v>
      </c>
      <c r="FT13" s="16" t="n">
        <v>1</v>
      </c>
      <c r="FU13" s="16" t="n">
        <v>1</v>
      </c>
      <c r="FV13" s="25" t="n">
        <v>1290</v>
      </c>
      <c r="FW13" s="25" t="n">
        <v>412681.2</v>
      </c>
      <c r="FX13" s="25" t="n">
        <v>267184.6</v>
      </c>
      <c r="FY13" s="25" t="n">
        <v>812149.3</v>
      </c>
      <c r="FZ13" s="25" t="n">
        <v>10221200</v>
      </c>
      <c r="GA13" s="25" t="n">
        <v>1274437</v>
      </c>
      <c r="GB13" s="25" t="n">
        <v>44829.4</v>
      </c>
      <c r="GC13" s="25" t="n">
        <v>999</v>
      </c>
      <c r="GD13" s="25" t="n">
        <v>0</v>
      </c>
      <c r="GE13" s="25" t="n">
        <v>102.3</v>
      </c>
      <c r="GF13" s="25" t="n">
        <v>0</v>
      </c>
    </row>
    <row r="14">
      <c r="A14" t="inlineStr">
        <is>
          <t>Group</t>
        </is>
      </c>
      <c r="B14" t="inlineStr">
        <is>
          <t>Entity A2</t>
        </is>
      </c>
      <c r="C14" t="inlineStr">
        <is>
          <t>2026-08</t>
        </is>
      </c>
      <c r="D14" t="n">
        <v>31</v>
      </c>
      <c r="E14" s="14">
        <f>SUM('Plant Inputs'!F26,'Plant Inputs'!F32,'Plant Inputs'!F38)</f>
        <v/>
      </c>
      <c r="F14" s="14">
        <f>SUM('Plant Inputs'!G26,'Plant Inputs'!G32,'Plant Inputs'!G38)</f>
        <v/>
      </c>
      <c r="G14" s="14">
        <f>SUM('Plant Inputs'!H26,'Plant Inputs'!H32,'Plant Inputs'!H38)</f>
        <v/>
      </c>
      <c r="H14" s="14">
        <f>SUM('Plant Inputs'!I26,'Plant Inputs'!I32,'Plant Inputs'!I38)</f>
        <v/>
      </c>
      <c r="I14" s="14">
        <f>SUM('Plant Inputs'!J26,'Plant Inputs'!J32,'Plant Inputs'!J38)</f>
        <v/>
      </c>
      <c r="J14" s="14">
        <f>SUM('Plant Inputs'!K26,'Plant Inputs'!K32,'Plant Inputs'!K38)</f>
        <v/>
      </c>
      <c r="K14" s="14">
        <f>SUM('Plant Inputs'!L26,'Plant Inputs'!L32,'Plant Inputs'!L38)</f>
        <v/>
      </c>
      <c r="L14" s="14">
        <f>SUM('Plant Inputs'!M26,'Plant Inputs'!M32,'Plant Inputs'!M38)</f>
        <v/>
      </c>
      <c r="M14" s="14">
        <f>SUM('Plant Inputs'!N26,'Plant Inputs'!N32,'Plant Inputs'!N38)</f>
        <v/>
      </c>
      <c r="N14" s="14">
        <f>SUM('Plant Inputs'!O26,'Plant Inputs'!O32,'Plant Inputs'!O38)</f>
        <v/>
      </c>
      <c r="O14" s="14">
        <f>SUM('Plant Inputs'!P26,'Plant Inputs'!P32,'Plant Inputs'!P38)</f>
        <v/>
      </c>
      <c r="P14" s="14">
        <f>SUM('Plant Inputs'!Q26,'Plant Inputs'!Q32,'Plant Inputs'!Q38)</f>
        <v/>
      </c>
      <c r="Q14" s="14">
        <f>SUM('Plant Inputs'!R26,'Plant Inputs'!R32,'Plant Inputs'!R38)</f>
        <v/>
      </c>
      <c r="R14" s="14">
        <f>SUM('Plant Inputs'!S26,'Plant Inputs'!S32,'Plant Inputs'!S38)</f>
        <v/>
      </c>
      <c r="S14" s="14">
        <f>SUM('Plant Inputs'!T26,'Plant Inputs'!T32,'Plant Inputs'!T38)</f>
        <v/>
      </c>
      <c r="T14" s="14">
        <f>SUM('Plant Inputs'!U26,'Plant Inputs'!U32,'Plant Inputs'!U38)</f>
        <v/>
      </c>
      <c r="U14" s="14">
        <f>SUM('Plant Inputs'!V26,'Plant Inputs'!V32,'Plant Inputs'!V38)</f>
        <v/>
      </c>
      <c r="V14" s="14">
        <f>SUM('Plant Inputs'!W26,'Plant Inputs'!W32,'Plant Inputs'!W38)</f>
        <v/>
      </c>
      <c r="W14" s="14">
        <f>SUM('Plant Inputs'!X26,'Plant Inputs'!X32,'Plant Inputs'!X38)</f>
        <v/>
      </c>
      <c r="X14" s="14">
        <f>SUM('Plant Inputs'!Y26,'Plant Inputs'!Y32,'Plant Inputs'!Y38)</f>
        <v/>
      </c>
      <c r="Y14" s="14">
        <f>SUM('Plant Inputs'!Z26,'Plant Inputs'!Z32,'Plant Inputs'!Z38)</f>
        <v/>
      </c>
      <c r="Z14" s="14">
        <f>SUM('Plant Inputs'!AA26,'Plant Inputs'!AA32,'Plant Inputs'!AA38)</f>
        <v/>
      </c>
      <c r="AA14" s="14">
        <f>SUM('Plant Inputs'!AB26,'Plant Inputs'!AB32,'Plant Inputs'!AB38)</f>
        <v/>
      </c>
      <c r="AB14" s="14">
        <f>SUM('Plant Inputs'!AC26,'Plant Inputs'!AC32,'Plant Inputs'!AC38)</f>
        <v/>
      </c>
      <c r="AC14" s="14">
        <f>SUM('Plant Inputs'!AD26,'Plant Inputs'!AD32,'Plant Inputs'!AD38)</f>
        <v/>
      </c>
      <c r="AD14" s="14">
        <f>SUM('Plant Inputs'!AE26,'Plant Inputs'!AE32,'Plant Inputs'!AE38)</f>
        <v/>
      </c>
      <c r="AE14" s="14">
        <f>SUM('Plant Inputs'!AF26,'Plant Inputs'!AF32,'Plant Inputs'!AF38)</f>
        <v/>
      </c>
      <c r="AF14" s="14">
        <f>SUM('Plant Inputs'!AG26,'Plant Inputs'!AG32,'Plant Inputs'!AG38)</f>
        <v/>
      </c>
      <c r="AG14" s="14">
        <f>SUM('Plant Inputs'!AH26,'Plant Inputs'!AH32,'Plant Inputs'!AH38)</f>
        <v/>
      </c>
      <c r="AH14" s="14">
        <f>SUM('Plant Inputs'!AI26,'Plant Inputs'!AI32,'Plant Inputs'!AI38)</f>
        <v/>
      </c>
      <c r="AI14" s="14">
        <f>SUM('Plant Inputs'!AJ26,'Plant Inputs'!AJ32,'Plant Inputs'!AJ38)</f>
        <v/>
      </c>
      <c r="AJ14" s="14">
        <f>SUM('Plant Inputs'!AK26,'Plant Inputs'!AK32,'Plant Inputs'!AK38)</f>
        <v/>
      </c>
      <c r="AK14" s="14">
        <f>SUM('Plant Inputs'!AL26,'Plant Inputs'!AL32,'Plant Inputs'!AL38)</f>
        <v/>
      </c>
      <c r="AL14" s="14">
        <f>SUM('Plant Inputs'!AM26,'Plant Inputs'!AM32,'Plant Inputs'!AM38)</f>
        <v/>
      </c>
      <c r="AM14" s="14">
        <f>SUM('Plant Inputs'!AN26,'Plant Inputs'!AN32,'Plant Inputs'!AN38)</f>
        <v/>
      </c>
      <c r="AN14" s="14">
        <f>SUM('Plant Inputs'!AO26,'Plant Inputs'!AO32,'Plant Inputs'!AO38)</f>
        <v/>
      </c>
      <c r="AO14" s="14">
        <f>SUM('Plant Inputs'!AP26,'Plant Inputs'!AP32,'Plant Inputs'!AP38)</f>
        <v/>
      </c>
      <c r="AP14" s="14">
        <f>SUM('Plant Inputs'!AQ26,'Plant Inputs'!AQ32,'Plant Inputs'!AQ38)</f>
        <v/>
      </c>
      <c r="AQ14" s="14">
        <f>SUM('Plant Inputs'!AR26,'Plant Inputs'!AR32,'Plant Inputs'!AR38)</f>
        <v/>
      </c>
      <c r="AR14" s="14">
        <f>MIN('Plant Inputs'!AS26,'Plant Inputs'!AS32,'Plant Inputs'!AS38)</f>
        <v/>
      </c>
      <c r="AS14" s="14">
        <f>SUM('Plant Inputs'!AT26,'Plant Inputs'!AT32,'Plant Inputs'!AT38)</f>
        <v/>
      </c>
      <c r="AT14" s="14">
        <f>SUM('Plant Inputs'!AU26,'Plant Inputs'!AU32,'Plant Inputs'!AU38)</f>
        <v/>
      </c>
      <c r="AU14" s="14">
        <f>SUM('Plant Inputs'!AV26,'Plant Inputs'!AV32,'Plant Inputs'!AV38)</f>
        <v/>
      </c>
      <c r="AV14" s="14">
        <f>SUM('Plant Inputs'!AW26,'Plant Inputs'!AW32,'Plant Inputs'!AW38)</f>
        <v/>
      </c>
      <c r="AW14" s="14">
        <f>SUM('Plant Inputs'!AX26,'Plant Inputs'!AX32,'Plant Inputs'!AX38)</f>
        <v/>
      </c>
      <c r="AX14" s="14">
        <f>SUM('Plant Inputs'!AY26,'Plant Inputs'!AY32,'Plant Inputs'!AY38)</f>
        <v/>
      </c>
      <c r="AY14" s="14">
        <f>SUM('Plant Inputs'!AZ26,'Plant Inputs'!AZ32,'Plant Inputs'!AZ38)</f>
        <v/>
      </c>
      <c r="AZ14" s="14">
        <f>SUM('Plant Inputs'!BA26,'Plant Inputs'!BA32,'Plant Inputs'!BA38)</f>
        <v/>
      </c>
      <c r="BA14" s="14">
        <f>SUM('Plant Inputs'!BB26,'Plant Inputs'!BB32,'Plant Inputs'!BB38)</f>
        <v/>
      </c>
      <c r="BB14" s="14">
        <f>SUM('Plant Inputs'!BC26,'Plant Inputs'!BC32,'Plant Inputs'!BC38)</f>
        <v/>
      </c>
      <c r="BC14" s="14">
        <f>SUM('Plant Inputs'!BD26,'Plant Inputs'!BD32,'Plant Inputs'!BD38)</f>
        <v/>
      </c>
      <c r="BD14" s="14">
        <f>SUM('Plant Inputs'!BE26,'Plant Inputs'!BE32,'Plant Inputs'!BE38)</f>
        <v/>
      </c>
      <c r="BE14" s="14">
        <f>SUM('Plant Inputs'!BF26,'Plant Inputs'!BF32,'Plant Inputs'!BF38)</f>
        <v/>
      </c>
      <c r="BF14" s="14">
        <f>SUM('Plant Inputs'!BG26,'Plant Inputs'!BG32,'Plant Inputs'!BG38)</f>
        <v/>
      </c>
      <c r="BG14" s="14">
        <f>SUM('Plant Inputs'!BH26,'Plant Inputs'!BH32,'Plant Inputs'!BH38)</f>
        <v/>
      </c>
      <c r="BH14" s="14">
        <f>SUM('Plant Inputs'!BI26,'Plant Inputs'!BI32,'Plant Inputs'!BI38)</f>
        <v/>
      </c>
      <c r="BI14" s="14">
        <f>SUM('Plant Inputs'!BJ26,'Plant Inputs'!BJ32,'Plant Inputs'!BJ38)</f>
        <v/>
      </c>
      <c r="BJ14" s="14">
        <f>SUM('Plant Inputs'!BK26,'Plant Inputs'!BK32,'Plant Inputs'!BK38)</f>
        <v/>
      </c>
      <c r="BK14" s="14">
        <f>SUM('Plant Inputs'!BL26,'Plant Inputs'!BL32,'Plant Inputs'!BL38)</f>
        <v/>
      </c>
      <c r="BL14" s="14">
        <f>SUM('Plant Inputs'!BM26,'Plant Inputs'!BM32,'Plant Inputs'!BM38)</f>
        <v/>
      </c>
      <c r="BM14" s="14">
        <f>SUM('Plant Inputs'!BN26,'Plant Inputs'!BN32,'Plant Inputs'!BN38)</f>
        <v/>
      </c>
      <c r="BN14" s="14">
        <f>SUM('Plant Inputs'!BO26,'Plant Inputs'!BO32,'Plant Inputs'!BO38)</f>
        <v/>
      </c>
      <c r="BO14" s="14">
        <f>SUM('Plant Inputs'!BP26,'Plant Inputs'!BP32,'Plant Inputs'!BP38)</f>
        <v/>
      </c>
      <c r="BP14" s="14">
        <f>SUM('Plant Inputs'!BQ26,'Plant Inputs'!BQ32,'Plant Inputs'!BQ38)</f>
        <v/>
      </c>
      <c r="BQ14" s="14">
        <f>SUM('Plant Inputs'!BR26,'Plant Inputs'!BR32,'Plant Inputs'!BR38)</f>
        <v/>
      </c>
      <c r="BR14" s="14">
        <f>SUM('Plant Inputs'!BS26,'Plant Inputs'!BS32,'Plant Inputs'!BS38)</f>
        <v/>
      </c>
      <c r="BS14" s="14">
        <f>MIN('Plant Inputs'!BT26,'Plant Inputs'!BT32,'Plant Inputs'!BT38)</f>
        <v/>
      </c>
      <c r="BT14" s="14">
        <f>SUM('Plant Inputs'!BU26,'Plant Inputs'!BU32,'Plant Inputs'!BU38)</f>
        <v/>
      </c>
      <c r="BU14" s="14">
        <f>SUM('Plant Inputs'!BV26,'Plant Inputs'!BV32,'Plant Inputs'!BV38)</f>
        <v/>
      </c>
      <c r="BV14" s="14">
        <f>SUM('Plant Inputs'!BW26,'Plant Inputs'!BW32,'Plant Inputs'!BW38)</f>
        <v/>
      </c>
      <c r="BW14" s="14">
        <f>SUM('Plant Inputs'!BX26,'Plant Inputs'!BX32,'Plant Inputs'!BX38)</f>
        <v/>
      </c>
      <c r="BX14" s="14">
        <f>SUM('Plant Inputs'!BY26,'Plant Inputs'!BY32,'Plant Inputs'!BY38)</f>
        <v/>
      </c>
      <c r="BY14" s="16" t="n">
        <v>52643.9</v>
      </c>
      <c r="BZ14" s="16" t="n">
        <v>23550.4</v>
      </c>
      <c r="CA14" s="16" t="n">
        <v>10160000</v>
      </c>
      <c r="CB14" s="16" t="n">
        <v>4208810.1</v>
      </c>
      <c r="CC14" s="16" t="n">
        <v>1136810.1</v>
      </c>
      <c r="CD14" s="16" t="n">
        <v>425899.5</v>
      </c>
      <c r="CE14" s="16" t="n">
        <v>32256</v>
      </c>
      <c r="CF14" s="16" t="n">
        <v>436100.5</v>
      </c>
      <c r="CG14" s="16" t="n">
        <v>1192966.9</v>
      </c>
      <c r="CH14" s="16" t="n">
        <v>107683.3</v>
      </c>
      <c r="CI14" s="16" t="n">
        <v>1114419.8</v>
      </c>
      <c r="CJ14" s="16" t="n">
        <v>1562844.7</v>
      </c>
      <c r="CK14" s="16" t="n">
        <v>1909315.9</v>
      </c>
      <c r="CL14" s="16" t="n">
        <v>1088791.2</v>
      </c>
      <c r="CM14" s="16" t="n">
        <v>1109116.5</v>
      </c>
      <c r="CN14" s="16" t="n">
        <v>3143.6</v>
      </c>
      <c r="CO14" s="16" t="n">
        <v>71435.8</v>
      </c>
      <c r="CP14" s="16" t="n">
        <v>71435.8</v>
      </c>
      <c r="CQ14" s="16" t="n">
        <v>326</v>
      </c>
      <c r="CR14" s="16" t="n">
        <v>14795</v>
      </c>
      <c r="CS14" s="16" t="n">
        <v>14670</v>
      </c>
      <c r="CT14" s="16" t="n">
        <v>1</v>
      </c>
      <c r="CU14" s="16" t="n">
        <v>645320.4</v>
      </c>
      <c r="CV14" s="16" t="n">
        <v>653271.4</v>
      </c>
      <c r="CW14" s="16" t="n">
        <v>123824.7</v>
      </c>
      <c r="CX14" s="16" t="n">
        <v>3032458.5</v>
      </c>
      <c r="CY14" s="16" t="n">
        <v>1267817.3</v>
      </c>
      <c r="CZ14" s="16" t="n">
        <v>301775.9</v>
      </c>
      <c r="DA14" s="16" t="n">
        <v>207433.2</v>
      </c>
      <c r="DB14" s="16" t="n">
        <v>239804.4</v>
      </c>
      <c r="DC14" s="16" t="n">
        <v>168954.7</v>
      </c>
      <c r="DD14" s="16" t="n">
        <v>3637.5</v>
      </c>
      <c r="DE14" s="16" t="n">
        <v>3899</v>
      </c>
      <c r="DF14" s="16" t="n">
        <v>1830360.2</v>
      </c>
      <c r="DG14" s="16" t="n">
        <v>1065570.5</v>
      </c>
      <c r="DH14" s="16" t="n">
        <v>860000</v>
      </c>
      <c r="DI14" s="16" t="n">
        <v>567051.2</v>
      </c>
      <c r="DJ14" s="16" t="n">
        <v>69472.5</v>
      </c>
      <c r="DK14" s="16" t="n">
        <v>498800</v>
      </c>
      <c r="DL14" s="16" t="n">
        <v>131528.7</v>
      </c>
      <c r="DM14" s="16" t="n">
        <v>4</v>
      </c>
      <c r="DN14" s="16" t="n">
        <v>1</v>
      </c>
      <c r="DO14" s="16" t="n">
        <v>0</v>
      </c>
      <c r="DP14" s="16" t="n">
        <v>1</v>
      </c>
      <c r="DQ14" s="16" t="n">
        <v>6</v>
      </c>
      <c r="DR14" s="16" t="n">
        <v>7</v>
      </c>
      <c r="DS14" s="16" t="n">
        <v>10</v>
      </c>
      <c r="DT14" s="16" t="n">
        <v>4</v>
      </c>
      <c r="DU14" s="16" t="n">
        <v>2</v>
      </c>
      <c r="DV14" s="16" t="n">
        <v>64</v>
      </c>
      <c r="DW14" s="16" t="n">
        <v>31</v>
      </c>
      <c r="DX14" s="16" t="n">
        <v>9144.200000000001</v>
      </c>
      <c r="DY14" s="16" t="n">
        <v>3287.9</v>
      </c>
      <c r="DZ14" s="16" t="n">
        <v>1358.2</v>
      </c>
      <c r="EA14" s="16" t="n">
        <v>1070.2</v>
      </c>
      <c r="EB14" s="16" t="n">
        <v>1243.8</v>
      </c>
      <c r="EC14" s="16" t="n">
        <v>68</v>
      </c>
      <c r="ED14" s="16" t="n">
        <v>65</v>
      </c>
      <c r="EE14" s="16" t="n">
        <v>2</v>
      </c>
      <c r="EF14" s="16" t="n">
        <v>0</v>
      </c>
      <c r="EG14" s="16" t="n">
        <v>1</v>
      </c>
      <c r="EH14" s="16" t="n">
        <v>1</v>
      </c>
      <c r="EI14" s="16" t="n">
        <v>0</v>
      </c>
      <c r="EJ14" s="16" t="n">
        <v>1</v>
      </c>
      <c r="EK14" s="16" t="n">
        <v>1</v>
      </c>
      <c r="EL14" s="16" t="n">
        <v>1</v>
      </c>
      <c r="EM14" s="16" t="n">
        <v>0</v>
      </c>
      <c r="EN14" s="16" t="n">
        <v>0</v>
      </c>
      <c r="EO14" s="16" t="n">
        <v>0</v>
      </c>
      <c r="EP14" s="16" t="n">
        <v>0</v>
      </c>
      <c r="EQ14" s="16" t="n">
        <v>2</v>
      </c>
      <c r="ER14" s="16" t="n">
        <v>1</v>
      </c>
      <c r="ES14" s="16" t="n">
        <v>0</v>
      </c>
      <c r="ET14" s="16" t="n">
        <v>0</v>
      </c>
      <c r="EU14" s="16" t="n">
        <v>5</v>
      </c>
      <c r="EV14" s="16" t="n">
        <v>0</v>
      </c>
      <c r="EW14" s="16" t="n">
        <v>1</v>
      </c>
      <c r="EX14" s="16" t="n">
        <v>1</v>
      </c>
      <c r="EY14" s="16" t="n">
        <v>58</v>
      </c>
      <c r="EZ14" s="16" t="n">
        <v>52</v>
      </c>
      <c r="FA14" s="16" t="n">
        <v>2</v>
      </c>
      <c r="FB14" s="16" t="n">
        <v>76</v>
      </c>
      <c r="FC14" s="16" t="n">
        <v>28</v>
      </c>
      <c r="FD14" s="16" t="n">
        <v>24</v>
      </c>
      <c r="FE14" s="16" t="n">
        <v>26</v>
      </c>
      <c r="FF14" s="16" t="n">
        <v>2</v>
      </c>
      <c r="FG14" s="16" t="n">
        <v>0</v>
      </c>
      <c r="FH14" s="16" t="n">
        <v>0</v>
      </c>
      <c r="FI14" s="16" t="n">
        <v>498702</v>
      </c>
      <c r="FJ14" s="16" t="n">
        <v>494943</v>
      </c>
      <c r="FK14" s="16" t="n">
        <v>420</v>
      </c>
      <c r="FL14" s="16" t="n">
        <v>412</v>
      </c>
      <c r="FM14" s="16" t="n">
        <v>0</v>
      </c>
      <c r="FN14" s="16" t="n">
        <v>0</v>
      </c>
      <c r="FO14" s="16" t="n">
        <v>0</v>
      </c>
      <c r="FP14" s="16" t="n">
        <v>5</v>
      </c>
      <c r="FQ14" s="16" t="n">
        <v>9.9</v>
      </c>
      <c r="FR14" s="16" t="n">
        <v>8</v>
      </c>
      <c r="FS14" s="16" t="n">
        <v>0</v>
      </c>
      <c r="FT14" s="16" t="n">
        <v>1</v>
      </c>
      <c r="FU14" s="16" t="n">
        <v>1</v>
      </c>
      <c r="FV14" s="25" t="n">
        <v>1287</v>
      </c>
      <c r="FW14" s="25" t="n">
        <v>512807.4</v>
      </c>
      <c r="FX14" s="25" t="n">
        <v>290508.7</v>
      </c>
      <c r="FY14" s="25" t="n">
        <v>663586.6</v>
      </c>
      <c r="FZ14" s="25" t="n">
        <v>10261600</v>
      </c>
      <c r="GA14" s="25" t="n">
        <v>1312719.1</v>
      </c>
      <c r="GB14" s="25" t="n">
        <v>46176</v>
      </c>
      <c r="GC14" s="25" t="n">
        <v>999</v>
      </c>
      <c r="GD14" s="25" t="n">
        <v>0</v>
      </c>
      <c r="GE14" s="25" t="n">
        <v>103.1</v>
      </c>
      <c r="GF14" s="25" t="n">
        <v>0</v>
      </c>
    </row>
    <row r="15">
      <c r="A15" t="inlineStr">
        <is>
          <t>Group</t>
        </is>
      </c>
      <c r="B15" t="inlineStr">
        <is>
          <t>Entity A2</t>
        </is>
      </c>
      <c r="C15" t="inlineStr">
        <is>
          <t>2026-09</t>
        </is>
      </c>
      <c r="D15" t="n">
        <v>30</v>
      </c>
      <c r="E15" s="14">
        <f>SUM('Plant Inputs'!F27,'Plant Inputs'!F33,'Plant Inputs'!F39)</f>
        <v/>
      </c>
      <c r="F15" s="14">
        <f>SUM('Plant Inputs'!G27,'Plant Inputs'!G33,'Plant Inputs'!G39)</f>
        <v/>
      </c>
      <c r="G15" s="14">
        <f>SUM('Plant Inputs'!H27,'Plant Inputs'!H33,'Plant Inputs'!H39)</f>
        <v/>
      </c>
      <c r="H15" s="14">
        <f>SUM('Plant Inputs'!I27,'Plant Inputs'!I33,'Plant Inputs'!I39)</f>
        <v/>
      </c>
      <c r="I15" s="14">
        <f>SUM('Plant Inputs'!J27,'Plant Inputs'!J33,'Plant Inputs'!J39)</f>
        <v/>
      </c>
      <c r="J15" s="14">
        <f>SUM('Plant Inputs'!K27,'Plant Inputs'!K33,'Plant Inputs'!K39)</f>
        <v/>
      </c>
      <c r="K15" s="14">
        <f>SUM('Plant Inputs'!L27,'Plant Inputs'!L33,'Plant Inputs'!L39)</f>
        <v/>
      </c>
      <c r="L15" s="14">
        <f>SUM('Plant Inputs'!M27,'Plant Inputs'!M33,'Plant Inputs'!M39)</f>
        <v/>
      </c>
      <c r="M15" s="14">
        <f>SUM('Plant Inputs'!N27,'Plant Inputs'!N33,'Plant Inputs'!N39)</f>
        <v/>
      </c>
      <c r="N15" s="14">
        <f>SUM('Plant Inputs'!O27,'Plant Inputs'!O33,'Plant Inputs'!O39)</f>
        <v/>
      </c>
      <c r="O15" s="14">
        <f>SUM('Plant Inputs'!P27,'Plant Inputs'!P33,'Plant Inputs'!P39)</f>
        <v/>
      </c>
      <c r="P15" s="14">
        <f>SUM('Plant Inputs'!Q27,'Plant Inputs'!Q33,'Plant Inputs'!Q39)</f>
        <v/>
      </c>
      <c r="Q15" s="14">
        <f>SUM('Plant Inputs'!R27,'Plant Inputs'!R33,'Plant Inputs'!R39)</f>
        <v/>
      </c>
      <c r="R15" s="14">
        <f>SUM('Plant Inputs'!S27,'Plant Inputs'!S33,'Plant Inputs'!S39)</f>
        <v/>
      </c>
      <c r="S15" s="14">
        <f>SUM('Plant Inputs'!T27,'Plant Inputs'!T33,'Plant Inputs'!T39)</f>
        <v/>
      </c>
      <c r="T15" s="14">
        <f>SUM('Plant Inputs'!U27,'Plant Inputs'!U33,'Plant Inputs'!U39)</f>
        <v/>
      </c>
      <c r="U15" s="14">
        <f>SUM('Plant Inputs'!V27,'Plant Inputs'!V33,'Plant Inputs'!V39)</f>
        <v/>
      </c>
      <c r="V15" s="14">
        <f>SUM('Plant Inputs'!W27,'Plant Inputs'!W33,'Plant Inputs'!W39)</f>
        <v/>
      </c>
      <c r="W15" s="14">
        <f>SUM('Plant Inputs'!X27,'Plant Inputs'!X33,'Plant Inputs'!X39)</f>
        <v/>
      </c>
      <c r="X15" s="14">
        <f>SUM('Plant Inputs'!Y27,'Plant Inputs'!Y33,'Plant Inputs'!Y39)</f>
        <v/>
      </c>
      <c r="Y15" s="14">
        <f>SUM('Plant Inputs'!Z27,'Plant Inputs'!Z33,'Plant Inputs'!Z39)</f>
        <v/>
      </c>
      <c r="Z15" s="14">
        <f>SUM('Plant Inputs'!AA27,'Plant Inputs'!AA33,'Plant Inputs'!AA39)</f>
        <v/>
      </c>
      <c r="AA15" s="14">
        <f>SUM('Plant Inputs'!AB27,'Plant Inputs'!AB33,'Plant Inputs'!AB39)</f>
        <v/>
      </c>
      <c r="AB15" s="14">
        <f>SUM('Plant Inputs'!AC27,'Plant Inputs'!AC33,'Plant Inputs'!AC39)</f>
        <v/>
      </c>
      <c r="AC15" s="14">
        <f>SUM('Plant Inputs'!AD27,'Plant Inputs'!AD33,'Plant Inputs'!AD39)</f>
        <v/>
      </c>
      <c r="AD15" s="14">
        <f>SUM('Plant Inputs'!AE27,'Plant Inputs'!AE33,'Plant Inputs'!AE39)</f>
        <v/>
      </c>
      <c r="AE15" s="14">
        <f>SUM('Plant Inputs'!AF27,'Plant Inputs'!AF33,'Plant Inputs'!AF39)</f>
        <v/>
      </c>
      <c r="AF15" s="14">
        <f>SUM('Plant Inputs'!AG27,'Plant Inputs'!AG33,'Plant Inputs'!AG39)</f>
        <v/>
      </c>
      <c r="AG15" s="14">
        <f>SUM('Plant Inputs'!AH27,'Plant Inputs'!AH33,'Plant Inputs'!AH39)</f>
        <v/>
      </c>
      <c r="AH15" s="14">
        <f>SUM('Plant Inputs'!AI27,'Plant Inputs'!AI33,'Plant Inputs'!AI39)</f>
        <v/>
      </c>
      <c r="AI15" s="14">
        <f>SUM('Plant Inputs'!AJ27,'Plant Inputs'!AJ33,'Plant Inputs'!AJ39)</f>
        <v/>
      </c>
      <c r="AJ15" s="14">
        <f>SUM('Plant Inputs'!AK27,'Plant Inputs'!AK33,'Plant Inputs'!AK39)</f>
        <v/>
      </c>
      <c r="AK15" s="14">
        <f>SUM('Plant Inputs'!AL27,'Plant Inputs'!AL33,'Plant Inputs'!AL39)</f>
        <v/>
      </c>
      <c r="AL15" s="14">
        <f>SUM('Plant Inputs'!AM27,'Plant Inputs'!AM33,'Plant Inputs'!AM39)</f>
        <v/>
      </c>
      <c r="AM15" s="14">
        <f>SUM('Plant Inputs'!AN27,'Plant Inputs'!AN33,'Plant Inputs'!AN39)</f>
        <v/>
      </c>
      <c r="AN15" s="14">
        <f>SUM('Plant Inputs'!AO27,'Plant Inputs'!AO33,'Plant Inputs'!AO39)</f>
        <v/>
      </c>
      <c r="AO15" s="14">
        <f>SUM('Plant Inputs'!AP27,'Plant Inputs'!AP33,'Plant Inputs'!AP39)</f>
        <v/>
      </c>
      <c r="AP15" s="14">
        <f>SUM('Plant Inputs'!AQ27,'Plant Inputs'!AQ33,'Plant Inputs'!AQ39)</f>
        <v/>
      </c>
      <c r="AQ15" s="14">
        <f>SUM('Plant Inputs'!AR27,'Plant Inputs'!AR33,'Plant Inputs'!AR39)</f>
        <v/>
      </c>
      <c r="AR15" s="14">
        <f>MIN('Plant Inputs'!AS27,'Plant Inputs'!AS33,'Plant Inputs'!AS39)</f>
        <v/>
      </c>
      <c r="AS15" s="14">
        <f>SUM('Plant Inputs'!AT27,'Plant Inputs'!AT33,'Plant Inputs'!AT39)</f>
        <v/>
      </c>
      <c r="AT15" s="14">
        <f>SUM('Plant Inputs'!AU27,'Plant Inputs'!AU33,'Plant Inputs'!AU39)</f>
        <v/>
      </c>
      <c r="AU15" s="14">
        <f>SUM('Plant Inputs'!AV27,'Plant Inputs'!AV33,'Plant Inputs'!AV39)</f>
        <v/>
      </c>
      <c r="AV15" s="14">
        <f>SUM('Plant Inputs'!AW27,'Plant Inputs'!AW33,'Plant Inputs'!AW39)</f>
        <v/>
      </c>
      <c r="AW15" s="14">
        <f>SUM('Plant Inputs'!AX27,'Plant Inputs'!AX33,'Plant Inputs'!AX39)</f>
        <v/>
      </c>
      <c r="AX15" s="14">
        <f>SUM('Plant Inputs'!AY27,'Plant Inputs'!AY33,'Plant Inputs'!AY39)</f>
        <v/>
      </c>
      <c r="AY15" s="14">
        <f>SUM('Plant Inputs'!AZ27,'Plant Inputs'!AZ33,'Plant Inputs'!AZ39)</f>
        <v/>
      </c>
      <c r="AZ15" s="14">
        <f>SUM('Plant Inputs'!BA27,'Plant Inputs'!BA33,'Plant Inputs'!BA39)</f>
        <v/>
      </c>
      <c r="BA15" s="14">
        <f>SUM('Plant Inputs'!BB27,'Plant Inputs'!BB33,'Plant Inputs'!BB39)</f>
        <v/>
      </c>
      <c r="BB15" s="14">
        <f>SUM('Plant Inputs'!BC27,'Plant Inputs'!BC33,'Plant Inputs'!BC39)</f>
        <v/>
      </c>
      <c r="BC15" s="14">
        <f>SUM('Plant Inputs'!BD27,'Plant Inputs'!BD33,'Plant Inputs'!BD39)</f>
        <v/>
      </c>
      <c r="BD15" s="14">
        <f>SUM('Plant Inputs'!BE27,'Plant Inputs'!BE33,'Plant Inputs'!BE39)</f>
        <v/>
      </c>
      <c r="BE15" s="14">
        <f>SUM('Plant Inputs'!BF27,'Plant Inputs'!BF33,'Plant Inputs'!BF39)</f>
        <v/>
      </c>
      <c r="BF15" s="14">
        <f>SUM('Plant Inputs'!BG27,'Plant Inputs'!BG33,'Plant Inputs'!BG39)</f>
        <v/>
      </c>
      <c r="BG15" s="14">
        <f>SUM('Plant Inputs'!BH27,'Plant Inputs'!BH33,'Plant Inputs'!BH39)</f>
        <v/>
      </c>
      <c r="BH15" s="14">
        <f>SUM('Plant Inputs'!BI27,'Plant Inputs'!BI33,'Plant Inputs'!BI39)</f>
        <v/>
      </c>
      <c r="BI15" s="14">
        <f>SUM('Plant Inputs'!BJ27,'Plant Inputs'!BJ33,'Plant Inputs'!BJ39)</f>
        <v/>
      </c>
      <c r="BJ15" s="14">
        <f>SUM('Plant Inputs'!BK27,'Plant Inputs'!BK33,'Plant Inputs'!BK39)</f>
        <v/>
      </c>
      <c r="BK15" s="14">
        <f>SUM('Plant Inputs'!BL27,'Plant Inputs'!BL33,'Plant Inputs'!BL39)</f>
        <v/>
      </c>
      <c r="BL15" s="14">
        <f>SUM('Plant Inputs'!BM27,'Plant Inputs'!BM33,'Plant Inputs'!BM39)</f>
        <v/>
      </c>
      <c r="BM15" s="14">
        <f>SUM('Plant Inputs'!BN27,'Plant Inputs'!BN33,'Plant Inputs'!BN39)</f>
        <v/>
      </c>
      <c r="BN15" s="14">
        <f>SUM('Plant Inputs'!BO27,'Plant Inputs'!BO33,'Plant Inputs'!BO39)</f>
        <v/>
      </c>
      <c r="BO15" s="14">
        <f>SUM('Plant Inputs'!BP27,'Plant Inputs'!BP33,'Plant Inputs'!BP39)</f>
        <v/>
      </c>
      <c r="BP15" s="14">
        <f>SUM('Plant Inputs'!BQ27,'Plant Inputs'!BQ33,'Plant Inputs'!BQ39)</f>
        <v/>
      </c>
      <c r="BQ15" s="14">
        <f>SUM('Plant Inputs'!BR27,'Plant Inputs'!BR33,'Plant Inputs'!BR39)</f>
        <v/>
      </c>
      <c r="BR15" s="14">
        <f>SUM('Plant Inputs'!BS27,'Plant Inputs'!BS33,'Plant Inputs'!BS39)</f>
        <v/>
      </c>
      <c r="BS15" s="14">
        <f>MIN('Plant Inputs'!BT27,'Plant Inputs'!BT33,'Plant Inputs'!BT39)</f>
        <v/>
      </c>
      <c r="BT15" s="14">
        <f>SUM('Plant Inputs'!BU27,'Plant Inputs'!BU33,'Plant Inputs'!BU39)</f>
        <v/>
      </c>
      <c r="BU15" s="14">
        <f>SUM('Plant Inputs'!BV27,'Plant Inputs'!BV33,'Plant Inputs'!BV39)</f>
        <v/>
      </c>
      <c r="BV15" s="14">
        <f>SUM('Plant Inputs'!BW27,'Plant Inputs'!BW33,'Plant Inputs'!BW39)</f>
        <v/>
      </c>
      <c r="BW15" s="14">
        <f>SUM('Plant Inputs'!BX27,'Plant Inputs'!BX33,'Plant Inputs'!BX39)</f>
        <v/>
      </c>
      <c r="BX15" s="14">
        <f>SUM('Plant Inputs'!BY27,'Plant Inputs'!BY33,'Plant Inputs'!BY39)</f>
        <v/>
      </c>
      <c r="BY15" s="16" t="n">
        <v>52845</v>
      </c>
      <c r="BZ15" s="16" t="n">
        <v>40246.8</v>
      </c>
      <c r="CA15" s="16" t="n">
        <v>10200000</v>
      </c>
      <c r="CB15" s="16" t="n">
        <v>4214739.8</v>
      </c>
      <c r="CC15" s="16" t="n">
        <v>1174739.8</v>
      </c>
      <c r="CD15" s="16" t="n">
        <v>431783.2</v>
      </c>
      <c r="CE15" s="16" t="n">
        <v>31920</v>
      </c>
      <c r="CF15" s="16" t="n">
        <v>405067.9</v>
      </c>
      <c r="CG15" s="16" t="n">
        <v>1280130.3</v>
      </c>
      <c r="CH15" s="16" t="n">
        <v>195011.3</v>
      </c>
      <c r="CI15" s="16" t="n">
        <v>1173926.1</v>
      </c>
      <c r="CJ15" s="16" t="n">
        <v>1654275.7</v>
      </c>
      <c r="CK15" s="16" t="n">
        <v>1971156.1</v>
      </c>
      <c r="CL15" s="16" t="n">
        <v>1085692.7</v>
      </c>
      <c r="CM15" s="16" t="n">
        <v>1145104.1</v>
      </c>
      <c r="CN15" s="16" t="n">
        <v>2567.4</v>
      </c>
      <c r="CO15" s="16" t="n">
        <v>83215.8</v>
      </c>
      <c r="CP15" s="16" t="n">
        <v>83215.8</v>
      </c>
      <c r="CQ15" s="16" t="n">
        <v>355</v>
      </c>
      <c r="CR15" s="16" t="n">
        <v>16051</v>
      </c>
      <c r="CS15" s="16" t="n">
        <v>15975</v>
      </c>
      <c r="CT15" s="16" t="n">
        <v>1</v>
      </c>
      <c r="CU15" s="16" t="n">
        <v>1172252.9</v>
      </c>
      <c r="CV15" s="16" t="n">
        <v>1179902.4</v>
      </c>
      <c r="CW15" s="16" t="n">
        <v>182427</v>
      </c>
      <c r="CX15" s="16" t="n">
        <v>2999569.4</v>
      </c>
      <c r="CY15" s="16" t="n">
        <v>2303674.3</v>
      </c>
      <c r="CZ15" s="16" t="n">
        <v>330230.9</v>
      </c>
      <c r="DA15" s="16" t="n">
        <v>231774.8</v>
      </c>
      <c r="DB15" s="16" t="n">
        <v>259974.1</v>
      </c>
      <c r="DC15" s="16" t="n">
        <v>191082.1</v>
      </c>
      <c r="DD15" s="16" t="n">
        <v>4370.6</v>
      </c>
      <c r="DE15" s="16" t="n">
        <v>4752.9</v>
      </c>
      <c r="DF15" s="16" t="n">
        <v>1953973.8</v>
      </c>
      <c r="DG15" s="16" t="n">
        <v>1193687.3</v>
      </c>
      <c r="DH15" s="16" t="n">
        <v>860000</v>
      </c>
      <c r="DI15" s="16" t="n">
        <v>625104.2</v>
      </c>
      <c r="DJ15" s="16" t="n">
        <v>65703.7</v>
      </c>
      <c r="DK15" s="16" t="n">
        <v>541800</v>
      </c>
      <c r="DL15" s="16" t="n">
        <v>127233</v>
      </c>
      <c r="DM15" s="16" t="n">
        <v>4</v>
      </c>
      <c r="DN15" s="16" t="n">
        <v>1</v>
      </c>
      <c r="DO15" s="16" t="n">
        <v>0</v>
      </c>
      <c r="DP15" s="16" t="n">
        <v>1</v>
      </c>
      <c r="DQ15" s="16" t="n">
        <v>7</v>
      </c>
      <c r="DR15" s="16" t="n">
        <v>9</v>
      </c>
      <c r="DS15" s="16" t="n">
        <v>10</v>
      </c>
      <c r="DT15" s="16" t="n">
        <v>4</v>
      </c>
      <c r="DU15" s="16" t="n">
        <v>2</v>
      </c>
      <c r="DV15" s="16" t="n">
        <v>64</v>
      </c>
      <c r="DW15" s="16" t="n">
        <v>35</v>
      </c>
      <c r="DX15" s="16" t="n">
        <v>9329.9</v>
      </c>
      <c r="DY15" s="16" t="n">
        <v>3492</v>
      </c>
      <c r="DZ15" s="16" t="n">
        <v>1271.7</v>
      </c>
      <c r="EA15" s="16" t="n">
        <v>1040.2</v>
      </c>
      <c r="EB15" s="16" t="n">
        <v>1241.7</v>
      </c>
      <c r="EC15" s="16" t="n">
        <v>68</v>
      </c>
      <c r="ED15" s="16" t="n">
        <v>65</v>
      </c>
      <c r="EE15" s="16" t="n">
        <v>2</v>
      </c>
      <c r="EF15" s="16" t="n">
        <v>0</v>
      </c>
      <c r="EG15" s="16" t="n">
        <v>1</v>
      </c>
      <c r="EH15" s="16" t="n">
        <v>1</v>
      </c>
      <c r="EI15" s="16" t="n">
        <v>0</v>
      </c>
      <c r="EJ15" s="16" t="n">
        <v>0</v>
      </c>
      <c r="EK15" s="16" t="n">
        <v>0</v>
      </c>
      <c r="EL15" s="16" t="n">
        <v>0</v>
      </c>
      <c r="EM15" s="16" t="n">
        <v>0</v>
      </c>
      <c r="EN15" s="16" t="n">
        <v>0</v>
      </c>
      <c r="EO15" s="16" t="n">
        <v>0</v>
      </c>
      <c r="EP15" s="16" t="n">
        <v>0</v>
      </c>
      <c r="EQ15" s="16" t="n">
        <v>2</v>
      </c>
      <c r="ER15" s="16" t="n">
        <v>1</v>
      </c>
      <c r="ES15" s="16" t="n">
        <v>0</v>
      </c>
      <c r="ET15" s="16" t="n">
        <v>0</v>
      </c>
      <c r="EU15" s="16" t="n">
        <v>5</v>
      </c>
      <c r="EV15" s="16" t="n">
        <v>0</v>
      </c>
      <c r="EW15" s="16" t="n">
        <v>1</v>
      </c>
      <c r="EX15" s="16" t="n">
        <v>1</v>
      </c>
      <c r="EY15" s="16" t="n">
        <v>58</v>
      </c>
      <c r="EZ15" s="16" t="n">
        <v>52</v>
      </c>
      <c r="FA15" s="16" t="n">
        <v>2</v>
      </c>
      <c r="FB15" s="16" t="n">
        <v>78</v>
      </c>
      <c r="FC15" s="16" t="n">
        <v>28</v>
      </c>
      <c r="FD15" s="16" t="n">
        <v>24</v>
      </c>
      <c r="FE15" s="16" t="n">
        <v>26</v>
      </c>
      <c r="FF15" s="16" t="n">
        <v>2</v>
      </c>
      <c r="FG15" s="16" t="n">
        <v>0</v>
      </c>
      <c r="FH15" s="16" t="n">
        <v>0</v>
      </c>
      <c r="FI15" s="16" t="n">
        <v>504265</v>
      </c>
      <c r="FJ15" s="16" t="n">
        <v>499753</v>
      </c>
      <c r="FK15" s="16" t="n">
        <v>420</v>
      </c>
      <c r="FL15" s="16" t="n">
        <v>410</v>
      </c>
      <c r="FM15" s="16" t="n">
        <v>0</v>
      </c>
      <c r="FN15" s="16" t="n">
        <v>1</v>
      </c>
      <c r="FO15" s="16" t="n">
        <v>0</v>
      </c>
      <c r="FP15" s="16" t="n">
        <v>5</v>
      </c>
      <c r="FQ15" s="16" t="n">
        <v>10.3</v>
      </c>
      <c r="FR15" s="16" t="n">
        <v>8</v>
      </c>
      <c r="FS15" s="16" t="n">
        <v>0</v>
      </c>
      <c r="FT15" s="16" t="n">
        <v>1</v>
      </c>
      <c r="FU15" s="16" t="n">
        <v>1</v>
      </c>
      <c r="FV15" s="25" t="n">
        <v>1284</v>
      </c>
      <c r="FW15" s="25" t="n">
        <v>558590.2</v>
      </c>
      <c r="FX15" s="25" t="n">
        <v>271238.5</v>
      </c>
      <c r="FY15" s="25" t="n">
        <v>630457</v>
      </c>
      <c r="FZ15" s="25" t="n">
        <v>10302000</v>
      </c>
      <c r="GA15" s="25" t="n">
        <v>2031583.3</v>
      </c>
      <c r="GB15" s="25" t="n">
        <v>71462.7</v>
      </c>
      <c r="GC15" s="25" t="n">
        <v>999</v>
      </c>
      <c r="GD15" s="25" t="n">
        <v>0</v>
      </c>
      <c r="GE15" s="25" t="n">
        <v>105.3</v>
      </c>
      <c r="GF15" s="25" t="n">
        <v>0</v>
      </c>
    </row>
  </sheetData>
  <autoFilter ref="A3:FU15"/>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Y39"/>
  <sheetViews>
    <sheetView workbookViewId="0">
      <pane xSplit="4" ySplit="3" topLeftCell="E4" activePane="bottomRight" state="frozen"/>
      <selection pane="topRight" activeCell="E1" sqref="E1"/>
      <selection pane="bottomLeft" activeCell="A4" sqref="A4"/>
      <selection pane="bottomRight" activeCell="A1" sqref="A1"/>
    </sheetView>
  </sheetViews>
  <sheetFormatPr baseColWidth="8" defaultRowHeight="15"/>
  <cols>
    <col width="10.7109375" customWidth="1" min="1" max="4"/>
    <col width="15.7109375" customWidth="1" min="5" max="77"/>
  </cols>
  <sheetData>
    <row r="1" ht="48" customHeight="1">
      <c r="A1" s="9" t="inlineStr">
        <is>
          <t>Group</t>
        </is>
      </c>
      <c r="B1" s="9" t="inlineStr">
        <is>
          <t>Entity</t>
        </is>
      </c>
      <c r="C1" s="9" t="inlineStr">
        <is>
          <t>Plant</t>
        </is>
      </c>
      <c r="D1" s="9" t="inlineStr">
        <is>
          <t>Month</t>
        </is>
      </c>
      <c r="E1" s="9" t="inlineStr">
        <is>
          <t>Nameplate rate (t/hour)</t>
        </is>
      </c>
      <c r="F1" s="9" t="inlineStr">
        <is>
          <t>Calendar hours (h)</t>
        </is>
      </c>
      <c r="G1" s="9" t="inlineStr">
        <is>
          <t>Planned operating hours (h)</t>
        </is>
      </c>
      <c r="H1" s="9" t="inlineStr">
        <is>
          <t>Run hours (h)</t>
        </is>
      </c>
      <c r="I1" s="9" t="inlineStr">
        <is>
          <t>Unplanned downtime (h)</t>
        </is>
      </c>
      <c r="J1" s="9" t="inlineStr">
        <is>
          <t>Ideal output (t)</t>
        </is>
      </c>
      <c r="K1" s="9" t="inlineStr">
        <is>
          <t>Installed capacity (t)</t>
        </is>
      </c>
      <c r="L1" s="9" t="inlineStr">
        <is>
          <t>Planned production (t)</t>
        </is>
      </c>
      <c r="M1" s="9" t="inlineStr">
        <is>
          <t>Gross output (t)</t>
        </is>
      </c>
      <c r="N1" s="9" t="inlineStr">
        <is>
          <t>Good output (t)</t>
        </is>
      </c>
      <c r="O1" s="9" t="inlineStr">
        <is>
          <t>Feed input (t)</t>
        </is>
      </c>
      <c r="P1" s="9" t="inlineStr">
        <is>
          <t>Valuable content in feed (t)</t>
        </is>
      </c>
      <c r="Q1" s="9" t="inlineStr">
        <is>
          <t>Valuable content recovered (t)</t>
        </is>
      </c>
      <c r="R1" s="9" t="inlineStr">
        <is>
          <t>Production lost to downtime (t)</t>
        </is>
      </c>
      <c r="S1" s="9" t="inlineStr">
        <is>
          <t>Breakdowns (count)</t>
        </is>
      </c>
      <c r="T1" s="9" t="inlineStr">
        <is>
          <t>Repair hours (h)</t>
        </is>
      </c>
      <c r="U1" s="9" t="inlineStr">
        <is>
          <t>Preventive maintenance scheduled (count)</t>
        </is>
      </c>
      <c r="V1" s="9" t="inlineStr">
        <is>
          <t>Preventive maintenance completed (count)</t>
        </is>
      </c>
      <c r="W1" s="9" t="inlineStr">
        <is>
          <t>Variable cost (₹ thousand)</t>
        </is>
      </c>
      <c r="X1" s="9" t="inlineStr">
        <is>
          <t>Fuel cost (₹ thousand)</t>
        </is>
      </c>
      <c r="Y1" s="9" t="inlineStr">
        <is>
          <t>Fixed cost (₹ thousand)</t>
        </is>
      </c>
      <c r="Z1" s="9" t="inlineStr">
        <is>
          <t>Water used (m³)</t>
        </is>
      </c>
      <c r="AA1" s="9" t="inlineStr">
        <is>
          <t>Emissions (t CO2e)</t>
        </is>
      </c>
      <c r="AB1" s="9" t="inlineStr">
        <is>
          <t>Energy used (GJ)</t>
        </is>
      </c>
      <c r="AC1" s="9" t="inlineStr">
        <is>
          <t>Production at risk (t)</t>
        </is>
      </c>
      <c r="AD1" s="9" t="inlineStr">
        <is>
          <t>Critical plant alerts (count)</t>
        </is>
      </c>
      <c r="AE1" s="9" t="inlineStr">
        <is>
          <t>Hours worked (h)</t>
        </is>
      </c>
      <c r="AF1" s="9" t="inlineStr">
        <is>
          <t>Recordable injuries (count)</t>
        </is>
      </c>
      <c r="AG1" s="9" t="inlineStr">
        <is>
          <t>Severity incidents (count)</t>
        </is>
      </c>
      <c r="AH1" s="9" t="inlineStr">
        <is>
          <t>Near misses (count)</t>
        </is>
      </c>
      <c r="AI1" s="9" t="inlineStr">
        <is>
          <t>Critical safety incidents (count)</t>
        </is>
      </c>
      <c r="AJ1" s="9" t="inlineStr">
        <is>
          <t>Environmental excursions (count)</t>
        </is>
      </c>
      <c r="AK1" s="9" t="inlineStr">
        <is>
          <t>Environmental violations (count)</t>
        </is>
      </c>
      <c r="AL1" s="9" t="inlineStr">
        <is>
          <t>Open EHS corrective actions (count)</t>
        </is>
      </c>
      <c r="AM1" s="9" t="inlineStr">
        <is>
          <t>Overdue EHS corrective actions (count)</t>
        </is>
      </c>
      <c r="AN1" s="9" t="inlineStr">
        <is>
          <t>EHS investigations due (count)</t>
        </is>
      </c>
      <c r="AO1" s="9" t="inlineStr">
        <is>
          <t>EHS investigations completed (count)</t>
        </is>
      </c>
      <c r="AP1" s="9" t="inlineStr">
        <is>
          <t>Critical materials at risk (count)</t>
        </is>
      </c>
      <c r="AQ1" s="9" t="inlineStr">
        <is>
          <t>Dispatches (count)</t>
        </is>
      </c>
      <c r="AR1" s="9" t="inlineStr">
        <is>
          <t>Delayed dispatches (count)</t>
        </is>
      </c>
      <c r="AS1" s="9" t="inlineStr">
        <is>
          <t>Days to permit expiry (days)</t>
        </is>
      </c>
      <c r="AT1" s="9" t="inlineStr">
        <is>
          <t>Sales volume (t)</t>
        </is>
      </c>
      <c r="AU1" s="9" t="inlineStr">
        <is>
          <t>Planned sales volume (t)</t>
        </is>
      </c>
      <c r="AV1" s="9" t="inlineStr">
        <is>
          <t>Revenue (₹ thousand)</t>
        </is>
      </c>
      <c r="AW1" s="9" t="inlineStr">
        <is>
          <t>Planned revenue (₹ thousand)</t>
        </is>
      </c>
      <c r="AX1" s="9" t="inlineStr">
        <is>
          <t>Power cost, part of variable cost (₹ thousand)</t>
        </is>
      </c>
      <c r="AY1" s="9" t="inlineStr">
        <is>
          <t>Depreciation and amortisation (₹ thousand)</t>
        </is>
      </c>
      <c r="AZ1" s="9" t="inlineStr">
        <is>
          <t>Purchase-order lines due (count)</t>
        </is>
      </c>
      <c r="BA1" s="9" t="inlineStr">
        <is>
          <t>Purchase-order lines delivered on time (count)</t>
        </is>
      </c>
      <c r="BB1" s="9" t="inlineStr">
        <is>
          <t>Quantity ordered from suppliers (t)</t>
        </is>
      </c>
      <c r="BC1" s="9" t="inlineStr">
        <is>
          <t>Quantity received (t)</t>
        </is>
      </c>
      <c r="BD1" s="9" t="inlineStr">
        <is>
          <t>Quantity rejected on quality (t)</t>
        </is>
      </c>
      <c r="BE1" s="9" t="inlineStr">
        <is>
          <t>Planned lead time, all deliveries (days)</t>
        </is>
      </c>
      <c r="BF1" s="9" t="inlineStr">
        <is>
          <t>Actual lead time, all deliveries (days)</t>
        </is>
      </c>
      <c r="BG1" s="9" t="inlineStr">
        <is>
          <t>Supplier spend (₹ thousand)</t>
        </is>
      </c>
      <c r="BH1" s="9" t="inlineStr">
        <is>
          <t>Spend with single-source suppliers (₹ thousand)</t>
        </is>
      </c>
      <c r="BI1" s="9" t="inlineStr">
        <is>
          <t>Supplier EHS incidents (count)</t>
        </is>
      </c>
      <c r="BJ1" s="9" t="inlineStr">
        <is>
          <t>Regulatory filings pending (count)</t>
        </is>
      </c>
      <c r="BK1" s="9" t="inlineStr">
        <is>
          <t>Regulatory deadlines in next 30 days (count)</t>
        </is>
      </c>
      <c r="BL1" s="9" t="inlineStr">
        <is>
          <t>Licences expiring in next 12 months (count)</t>
        </is>
      </c>
      <c r="BM1" s="9" t="inlineStr">
        <is>
          <t>Regulatory obligations due in next 30 days (count)</t>
        </is>
      </c>
      <c r="BN1" s="9" t="inlineStr">
        <is>
          <t>Regulatory obligations overdue (count)</t>
        </is>
      </c>
      <c r="BO1" s="9" t="inlineStr">
        <is>
          <t>Open regulatory actions (count)</t>
        </is>
      </c>
      <c r="BP1" s="9" t="inlineStr">
        <is>
          <t>Overdue compliance actions (count)</t>
        </is>
      </c>
      <c r="BQ1" s="9" t="inlineStr">
        <is>
          <t>Regulatory breaches in the month (count)</t>
        </is>
      </c>
      <c r="BR1" s="9" t="inlineStr">
        <is>
          <t>Events that trigger a disclosure clock (count)</t>
        </is>
      </c>
      <c r="BS1" s="9" t="inlineStr">
        <is>
          <t>EHS escalation clocks running (count)</t>
        </is>
      </c>
      <c r="BT1" s="9" t="inlineStr">
        <is>
          <t>Days until production plan is breached, forecast (days; 99 = not expected)</t>
        </is>
      </c>
      <c r="BU1" s="9" t="inlineStr">
        <is>
          <t>Planned production next month (t)</t>
        </is>
      </c>
      <c r="BV1" s="9" t="inlineStr">
        <is>
          <t>Forecast good output next month (t)</t>
        </is>
      </c>
      <c r="BW1" s="9" t="inlineStr">
        <is>
          <t>Forecast uncertainty next month (variance, t²)</t>
        </is>
      </c>
      <c r="BX1" s="9" t="inlineStr">
        <is>
          <t>Ideal output next month (t)</t>
        </is>
      </c>
      <c r="BY1" s="9" t="inlineStr">
        <is>
          <t>Forecast production lost to downtime next month (t)</t>
        </is>
      </c>
    </row>
    <row r="2">
      <c r="A2" s="11" t="inlineStr">
        <is>
          <t>group</t>
        </is>
      </c>
      <c r="B2" s="11" t="inlineStr">
        <is>
          <t>entity</t>
        </is>
      </c>
      <c r="C2" s="11" t="inlineStr">
        <is>
          <t>plant</t>
        </is>
      </c>
      <c r="D2" s="11" t="inlineStr">
        <is>
          <t>period</t>
        </is>
      </c>
      <c r="E2" s="11" t="inlineStr">
        <is>
          <t>nameplate_tph</t>
        </is>
      </c>
      <c r="F2" s="11" t="inlineStr">
        <is>
          <t>calendar_hours</t>
        </is>
      </c>
      <c r="G2" s="11" t="inlineStr">
        <is>
          <t>planned_op_hours</t>
        </is>
      </c>
      <c r="H2" s="11" t="inlineStr">
        <is>
          <t>run_hours</t>
        </is>
      </c>
      <c r="I2" s="11" t="inlineStr">
        <is>
          <t>unplanned_downtime_hours</t>
        </is>
      </c>
      <c r="J2" s="11" t="inlineStr">
        <is>
          <t>ideal_output_t</t>
        </is>
      </c>
      <c r="K2" s="11" t="inlineStr">
        <is>
          <t>installed_capacity_t</t>
        </is>
      </c>
      <c r="L2" s="11" t="inlineStr">
        <is>
          <t>planned_production_t</t>
        </is>
      </c>
      <c r="M2" s="11" t="inlineStr">
        <is>
          <t>gross_output_t</t>
        </is>
      </c>
      <c r="N2" s="11" t="inlineStr">
        <is>
          <t>good_output_t</t>
        </is>
      </c>
      <c r="O2" s="11" t="inlineStr">
        <is>
          <t>feed_input_t</t>
        </is>
      </c>
      <c r="P2" s="11" t="inlineStr">
        <is>
          <t>feed_contained_t</t>
        </is>
      </c>
      <c r="Q2" s="11" t="inlineStr">
        <is>
          <t>recovered_contained_t</t>
        </is>
      </c>
      <c r="R2" s="11" t="inlineStr">
        <is>
          <t>prod_loss_downtime_t</t>
        </is>
      </c>
      <c r="S2" s="11" t="inlineStr">
        <is>
          <t>failures</t>
        </is>
      </c>
      <c r="T2" s="11" t="inlineStr">
        <is>
          <t>repair_hours</t>
        </is>
      </c>
      <c r="U2" s="11" t="inlineStr">
        <is>
          <t>pm_scheduled</t>
        </is>
      </c>
      <c r="V2" s="11" t="inlineStr">
        <is>
          <t>pm_completed</t>
        </is>
      </c>
      <c r="W2" s="11" t="inlineStr">
        <is>
          <t>variable_cost_k</t>
        </is>
      </c>
      <c r="X2" s="11" t="inlineStr">
        <is>
          <t>fuel_cost_k</t>
        </is>
      </c>
      <c r="Y2" s="11" t="inlineStr">
        <is>
          <t>fixed_cost_k</t>
        </is>
      </c>
      <c r="Z2" s="11" t="inlineStr">
        <is>
          <t>water_m3</t>
        </is>
      </c>
      <c r="AA2" s="11" t="inlineStr">
        <is>
          <t>emissions_tco2e</t>
        </is>
      </c>
      <c r="AB2" s="11" t="inlineStr">
        <is>
          <t>energy_gj</t>
        </is>
      </c>
      <c r="AC2" s="11" t="inlineStr">
        <is>
          <t>production_at_risk_t</t>
        </is>
      </c>
      <c r="AD2" s="11" t="inlineStr">
        <is>
          <t>critical_plant_alerts</t>
        </is>
      </c>
      <c r="AE2" s="11" t="inlineStr">
        <is>
          <t>hours_worked</t>
        </is>
      </c>
      <c r="AF2" s="11" t="inlineStr">
        <is>
          <t>recordable_injuries</t>
        </is>
      </c>
      <c r="AG2" s="11" t="inlineStr">
        <is>
          <t>severity_incidents</t>
        </is>
      </c>
      <c r="AH2" s="11" t="inlineStr">
        <is>
          <t>near_misses</t>
        </is>
      </c>
      <c r="AI2" s="11" t="inlineStr">
        <is>
          <t>critical_safety_incidents</t>
        </is>
      </c>
      <c r="AJ2" s="11" t="inlineStr">
        <is>
          <t>env_excursions</t>
        </is>
      </c>
      <c r="AK2" s="11" t="inlineStr">
        <is>
          <t>env_violations</t>
        </is>
      </c>
      <c r="AL2" s="11" t="inlineStr">
        <is>
          <t>ehs_ca_open</t>
        </is>
      </c>
      <c r="AM2" s="11" t="inlineStr">
        <is>
          <t>ehs_ca_overdue</t>
        </is>
      </c>
      <c r="AN2" s="11" t="inlineStr">
        <is>
          <t>investigations_due</t>
        </is>
      </c>
      <c r="AO2" s="11" t="inlineStr">
        <is>
          <t>investigations_completed</t>
        </is>
      </c>
      <c r="AP2" s="11" t="inlineStr">
        <is>
          <t>critical_material_risks</t>
        </is>
      </c>
      <c r="AQ2" s="11" t="inlineStr">
        <is>
          <t>dispatches_total</t>
        </is>
      </c>
      <c r="AR2" s="11" t="inlineStr">
        <is>
          <t>dispatches_delayed</t>
        </is>
      </c>
      <c r="AS2" s="11" t="inlineStr">
        <is>
          <t>permit_days_to_expiry</t>
        </is>
      </c>
      <c r="AT2" s="11" t="inlineStr">
        <is>
          <t>sales_t</t>
        </is>
      </c>
      <c r="AU2" s="11" t="inlineStr">
        <is>
          <t>planned_sales_t</t>
        </is>
      </c>
      <c r="AV2" s="11" t="inlineStr">
        <is>
          <t>revenue_k</t>
        </is>
      </c>
      <c r="AW2" s="11" t="inlineStr">
        <is>
          <t>planned_revenue_k</t>
        </is>
      </c>
      <c r="AX2" s="11" t="inlineStr">
        <is>
          <t>power_cost_k</t>
        </is>
      </c>
      <c r="AY2" s="11" t="inlineStr">
        <is>
          <t>depreciation_k</t>
        </is>
      </c>
      <c r="AZ2" s="11" t="inlineStr">
        <is>
          <t>po_lines_due</t>
        </is>
      </c>
      <c r="BA2" s="11" t="inlineStr">
        <is>
          <t>po_lines_on_time</t>
        </is>
      </c>
      <c r="BB2" s="11" t="inlineStr">
        <is>
          <t>qty_ordered_t</t>
        </is>
      </c>
      <c r="BC2" s="11" t="inlineStr">
        <is>
          <t>qty_received_t</t>
        </is>
      </c>
      <c r="BD2" s="11" t="inlineStr">
        <is>
          <t>qty_rejected_t</t>
        </is>
      </c>
      <c r="BE2" s="11" t="inlineStr">
        <is>
          <t>lead_time_planned_days</t>
        </is>
      </c>
      <c r="BF2" s="11" t="inlineStr">
        <is>
          <t>lead_time_actual_days</t>
        </is>
      </c>
      <c r="BG2" s="11" t="inlineStr">
        <is>
          <t>supplier_spend_k</t>
        </is>
      </c>
      <c r="BH2" s="11" t="inlineStr">
        <is>
          <t>single_source_spend_k</t>
        </is>
      </c>
      <c r="BI2" s="11" t="inlineStr">
        <is>
          <t>supplier_ehs_incidents</t>
        </is>
      </c>
      <c r="BJ2" s="11" t="inlineStr">
        <is>
          <t>pending_filings</t>
        </is>
      </c>
      <c r="BK2" s="11" t="inlineStr">
        <is>
          <t>reg_deadlines_30d</t>
        </is>
      </c>
      <c r="BL2" s="11" t="inlineStr">
        <is>
          <t>licences_expiring_12m</t>
        </is>
      </c>
      <c r="BM2" s="11" t="inlineStr">
        <is>
          <t>reg_obligations_due_30d</t>
        </is>
      </c>
      <c r="BN2" s="11" t="inlineStr">
        <is>
          <t>reg_obligations_overdue</t>
        </is>
      </c>
      <c r="BO2" s="11" t="inlineStr">
        <is>
          <t>reg_actions_open</t>
        </is>
      </c>
      <c r="BP2" s="11" t="inlineStr">
        <is>
          <t>compliance_actions_overdue</t>
        </is>
      </c>
      <c r="BQ2" s="11" t="inlineStr">
        <is>
          <t>reg_breaches</t>
        </is>
      </c>
      <c r="BR2" s="11" t="inlineStr">
        <is>
          <t>disclosure_events_open</t>
        </is>
      </c>
      <c r="BS2" s="11" t="inlineStr">
        <is>
          <t>ehs_escalation_clocks</t>
        </is>
      </c>
      <c r="BT2" s="11" t="inlineStr">
        <is>
          <t>days_to_breach</t>
        </is>
      </c>
      <c r="BU2" s="11" t="inlineStr">
        <is>
          <t>planned_production_next_t</t>
        </is>
      </c>
      <c r="BV2" s="11" t="inlineStr">
        <is>
          <t>forecast_good_next_t</t>
        </is>
      </c>
      <c r="BW2" s="11" t="inlineStr">
        <is>
          <t>forecast_good_var_next</t>
        </is>
      </c>
      <c r="BX2" s="11" t="inlineStr">
        <is>
          <t>ideal_output_next_t</t>
        </is>
      </c>
      <c r="BY2" s="11" t="inlineStr">
        <is>
          <t>forecast_downtime_loss_next_t</t>
        </is>
      </c>
    </row>
    <row r="3">
      <c r="A3" s="9" t="n"/>
      <c r="B3" s="9" t="n"/>
      <c r="C3" s="9" t="n"/>
      <c r="D3" s="9" t="n"/>
      <c r="E3" s="9" t="inlineStr">
        <is>
          <t>Input</t>
        </is>
      </c>
      <c r="F3" s="9" t="inlineStr">
        <is>
          <t>Input</t>
        </is>
      </c>
      <c r="G3" s="9" t="inlineStr">
        <is>
          <t>Input</t>
        </is>
      </c>
      <c r="H3" s="9" t="inlineStr">
        <is>
          <t>Input</t>
        </is>
      </c>
      <c r="I3" s="9" t="inlineStr">
        <is>
          <t>Input</t>
        </is>
      </c>
      <c r="J3" s="9" t="inlineStr">
        <is>
          <t>Input</t>
        </is>
      </c>
      <c r="K3" s="9" t="inlineStr">
        <is>
          <t>Input</t>
        </is>
      </c>
      <c r="L3" s="9" t="inlineStr">
        <is>
          <t>Input</t>
        </is>
      </c>
      <c r="M3" s="9" t="inlineStr">
        <is>
          <t>Input</t>
        </is>
      </c>
      <c r="N3" s="9" t="inlineStr">
        <is>
          <t>Input</t>
        </is>
      </c>
      <c r="O3" s="9" t="inlineStr">
        <is>
          <t>Input</t>
        </is>
      </c>
      <c r="P3" s="9" t="inlineStr">
        <is>
          <t>Input</t>
        </is>
      </c>
      <c r="Q3" s="9" t="inlineStr">
        <is>
          <t>Input</t>
        </is>
      </c>
      <c r="R3" s="9" t="inlineStr">
        <is>
          <t>Input</t>
        </is>
      </c>
      <c r="S3" s="9" t="inlineStr">
        <is>
          <t>Input</t>
        </is>
      </c>
      <c r="T3" s="9" t="inlineStr">
        <is>
          <t>Input</t>
        </is>
      </c>
      <c r="U3" s="9" t="inlineStr">
        <is>
          <t>Input</t>
        </is>
      </c>
      <c r="V3" s="9" t="inlineStr">
        <is>
          <t>Input</t>
        </is>
      </c>
      <c r="W3" s="9" t="inlineStr">
        <is>
          <t>Input</t>
        </is>
      </c>
      <c r="X3" s="9" t="inlineStr">
        <is>
          <t>Input</t>
        </is>
      </c>
      <c r="Y3" s="9" t="inlineStr">
        <is>
          <t>Input</t>
        </is>
      </c>
      <c r="Z3" s="9" t="inlineStr">
        <is>
          <t>Input</t>
        </is>
      </c>
      <c r="AA3" s="9" t="inlineStr">
        <is>
          <t>Input</t>
        </is>
      </c>
      <c r="AB3" s="9" t="inlineStr">
        <is>
          <t>Input</t>
        </is>
      </c>
      <c r="AC3" s="9" t="inlineStr">
        <is>
          <t>Input</t>
        </is>
      </c>
      <c r="AD3" s="9" t="inlineStr">
        <is>
          <t>Input</t>
        </is>
      </c>
      <c r="AE3" s="9" t="inlineStr">
        <is>
          <t>Input</t>
        </is>
      </c>
      <c r="AF3" s="9" t="inlineStr">
        <is>
          <t>Input</t>
        </is>
      </c>
      <c r="AG3" s="9" t="inlineStr">
        <is>
          <t>Input</t>
        </is>
      </c>
      <c r="AH3" s="9" t="inlineStr">
        <is>
          <t>Input</t>
        </is>
      </c>
      <c r="AI3" s="9" t="inlineStr">
        <is>
          <t>Input</t>
        </is>
      </c>
      <c r="AJ3" s="9" t="inlineStr">
        <is>
          <t>Input</t>
        </is>
      </c>
      <c r="AK3" s="9" t="inlineStr">
        <is>
          <t>Input</t>
        </is>
      </c>
      <c r="AL3" s="9" t="inlineStr">
        <is>
          <t>Input</t>
        </is>
      </c>
      <c r="AM3" s="9" t="inlineStr">
        <is>
          <t>Input</t>
        </is>
      </c>
      <c r="AN3" s="9" t="inlineStr">
        <is>
          <t>Input</t>
        </is>
      </c>
      <c r="AO3" s="9" t="inlineStr">
        <is>
          <t>Input</t>
        </is>
      </c>
      <c r="AP3" s="9" t="inlineStr">
        <is>
          <t>Input</t>
        </is>
      </c>
      <c r="AQ3" s="9" t="inlineStr">
        <is>
          <t>Input</t>
        </is>
      </c>
      <c r="AR3" s="9" t="inlineStr">
        <is>
          <t>Input</t>
        </is>
      </c>
      <c r="AS3" s="9" t="inlineStr">
        <is>
          <t>Input</t>
        </is>
      </c>
      <c r="AT3" s="9" t="inlineStr">
        <is>
          <t>Input</t>
        </is>
      </c>
      <c r="AU3" s="9" t="inlineStr">
        <is>
          <t>Input</t>
        </is>
      </c>
      <c r="AV3" s="9" t="inlineStr">
        <is>
          <t>Input</t>
        </is>
      </c>
      <c r="AW3" s="9" t="inlineStr">
        <is>
          <t>Input</t>
        </is>
      </c>
      <c r="AX3" s="9" t="inlineStr">
        <is>
          <t>Input</t>
        </is>
      </c>
      <c r="AY3" s="9" t="inlineStr">
        <is>
          <t>Input</t>
        </is>
      </c>
      <c r="AZ3" s="9" t="inlineStr">
        <is>
          <t>Input</t>
        </is>
      </c>
      <c r="BA3" s="9" t="inlineStr">
        <is>
          <t>Input</t>
        </is>
      </c>
      <c r="BB3" s="9" t="inlineStr">
        <is>
          <t>Input</t>
        </is>
      </c>
      <c r="BC3" s="9" t="inlineStr">
        <is>
          <t>Input</t>
        </is>
      </c>
      <c r="BD3" s="9" t="inlineStr">
        <is>
          <t>Input</t>
        </is>
      </c>
      <c r="BE3" s="9" t="inlineStr">
        <is>
          <t>Input</t>
        </is>
      </c>
      <c r="BF3" s="9" t="inlineStr">
        <is>
          <t>Input</t>
        </is>
      </c>
      <c r="BG3" s="9" t="inlineStr">
        <is>
          <t>Input</t>
        </is>
      </c>
      <c r="BH3" s="9" t="inlineStr">
        <is>
          <t>Input</t>
        </is>
      </c>
      <c r="BI3" s="9" t="inlineStr">
        <is>
          <t>Input</t>
        </is>
      </c>
      <c r="BJ3" s="9" t="inlineStr">
        <is>
          <t>Input</t>
        </is>
      </c>
      <c r="BK3" s="9" t="inlineStr">
        <is>
          <t>Input</t>
        </is>
      </c>
      <c r="BL3" s="9" t="inlineStr">
        <is>
          <t>Input</t>
        </is>
      </c>
      <c r="BM3" s="9" t="inlineStr">
        <is>
          <t>Input</t>
        </is>
      </c>
      <c r="BN3" s="9" t="inlineStr">
        <is>
          <t>Input</t>
        </is>
      </c>
      <c r="BO3" s="9" t="inlineStr">
        <is>
          <t>Input</t>
        </is>
      </c>
      <c r="BP3" s="9" t="inlineStr">
        <is>
          <t>Input</t>
        </is>
      </c>
      <c r="BQ3" s="9" t="inlineStr">
        <is>
          <t>Input</t>
        </is>
      </c>
      <c r="BR3" s="9" t="inlineStr">
        <is>
          <t>Input</t>
        </is>
      </c>
      <c r="BS3" s="9" t="inlineStr">
        <is>
          <t>Input</t>
        </is>
      </c>
      <c r="BT3" s="9" t="inlineStr">
        <is>
          <t>Input</t>
        </is>
      </c>
      <c r="BU3" s="9" t="inlineStr">
        <is>
          <t>Input</t>
        </is>
      </c>
      <c r="BV3" s="9" t="inlineStr">
        <is>
          <t>Input</t>
        </is>
      </c>
      <c r="BW3" s="9" t="inlineStr">
        <is>
          <t>Input</t>
        </is>
      </c>
      <c r="BX3" s="9" t="inlineStr">
        <is>
          <t>Input</t>
        </is>
      </c>
      <c r="BY3" s="9" t="inlineStr">
        <is>
          <t>Input</t>
        </is>
      </c>
    </row>
    <row r="4">
      <c r="A4" s="17" t="inlineStr">
        <is>
          <t>Group</t>
        </is>
      </c>
      <c r="B4" s="17" t="inlineStr">
        <is>
          <t>Entity A1</t>
        </is>
      </c>
      <c r="C4" s="17" t="inlineStr">
        <is>
          <t>Plant 01</t>
        </is>
      </c>
      <c r="D4" s="17" t="inlineStr">
        <is>
          <t>2026-04</t>
        </is>
      </c>
      <c r="E4" s="17" t="n">
        <v>137.1</v>
      </c>
      <c r="F4" s="17" t="n">
        <v>720</v>
      </c>
      <c r="G4" s="17" t="n">
        <v>714</v>
      </c>
      <c r="H4" s="17" t="n">
        <v>692.3</v>
      </c>
      <c r="I4" s="17" t="n">
        <v>13.3</v>
      </c>
      <c r="J4" s="17" t="n">
        <v>97889</v>
      </c>
      <c r="K4" s="17" t="n">
        <v>98712</v>
      </c>
      <c r="L4" s="17" t="n">
        <v>88515</v>
      </c>
      <c r="M4" s="17" t="n">
        <v>89648</v>
      </c>
      <c r="N4" s="17" t="n">
        <v>87087</v>
      </c>
      <c r="O4" s="17" t="n">
        <v>95600</v>
      </c>
      <c r="P4" s="17" t="n">
        <v>19579</v>
      </c>
      <c r="Q4" s="17" t="n">
        <v>17553</v>
      </c>
      <c r="R4" s="17" t="n">
        <v>1823</v>
      </c>
      <c r="S4" s="17" t="n">
        <v>2</v>
      </c>
      <c r="T4" s="17" t="n">
        <v>7.1</v>
      </c>
      <c r="U4" s="17" t="n">
        <v>37</v>
      </c>
      <c r="V4" s="17" t="n">
        <v>36</v>
      </c>
      <c r="W4" s="17" t="n">
        <v>251985.8</v>
      </c>
      <c r="X4" s="17" t="n">
        <v>62832</v>
      </c>
      <c r="Y4" s="17" t="n">
        <v>1091.7</v>
      </c>
      <c r="Z4" s="17" t="n">
        <v>167244</v>
      </c>
      <c r="AA4" s="17" t="n">
        <v>61316</v>
      </c>
      <c r="AB4" s="17" t="n">
        <v>311042</v>
      </c>
      <c r="AC4" s="17" t="n">
        <v>3223</v>
      </c>
      <c r="AD4" s="17" t="n">
        <v>1</v>
      </c>
      <c r="AE4" s="17" t="n">
        <v>79000</v>
      </c>
      <c r="AF4" s="17" t="n">
        <v>0</v>
      </c>
      <c r="AG4" s="17" t="n">
        <v>1</v>
      </c>
      <c r="AH4" s="17" t="n">
        <v>10</v>
      </c>
      <c r="AI4" s="17" t="n">
        <v>0</v>
      </c>
      <c r="AJ4" s="17" t="n">
        <v>0</v>
      </c>
      <c r="AK4" s="17" t="n">
        <v>0</v>
      </c>
      <c r="AL4" s="17" t="n">
        <v>14</v>
      </c>
      <c r="AM4" s="17" t="n">
        <v>4</v>
      </c>
      <c r="AN4" s="17" t="n">
        <v>0</v>
      </c>
      <c r="AO4" s="17" t="n">
        <v>0</v>
      </c>
      <c r="AP4" s="17" t="n">
        <v>0</v>
      </c>
      <c r="AQ4" s="17" t="n">
        <v>158</v>
      </c>
      <c r="AR4" s="17" t="n">
        <v>9</v>
      </c>
      <c r="AS4" s="17" t="n">
        <v>311</v>
      </c>
      <c r="AT4" s="17" t="n">
        <v>87409</v>
      </c>
      <c r="AU4" s="17" t="n">
        <v>89254</v>
      </c>
      <c r="AV4" s="17" t="n">
        <v>329486.5</v>
      </c>
      <c r="AW4" s="17" t="n">
        <v>335595</v>
      </c>
      <c r="AX4" s="17" t="n">
        <v>15168.7</v>
      </c>
      <c r="AY4" s="17" t="n">
        <v>11886.3</v>
      </c>
      <c r="AZ4" s="17" t="n">
        <v>209</v>
      </c>
      <c r="BA4" s="17" t="n">
        <v>195</v>
      </c>
      <c r="BB4" s="17" t="n">
        <v>95742</v>
      </c>
      <c r="BC4" s="17" t="n">
        <v>92606</v>
      </c>
      <c r="BD4" s="17" t="n">
        <v>1350</v>
      </c>
      <c r="BE4" s="17" t="n">
        <v>588</v>
      </c>
      <c r="BF4" s="17" t="n">
        <v>583</v>
      </c>
      <c r="BG4" s="17" t="n">
        <v>131922.8</v>
      </c>
      <c r="BH4" s="17" t="n">
        <v>40636.9</v>
      </c>
      <c r="BI4" s="17" t="n">
        <v>0</v>
      </c>
      <c r="BJ4" s="17" t="n">
        <v>0</v>
      </c>
      <c r="BK4" s="17" t="n">
        <v>1</v>
      </c>
      <c r="BL4" s="17" t="n">
        <v>0</v>
      </c>
      <c r="BM4" s="17" t="n">
        <v>1</v>
      </c>
      <c r="BN4" s="17" t="n">
        <v>0</v>
      </c>
      <c r="BO4" s="17" t="n">
        <v>0</v>
      </c>
      <c r="BP4" s="17" t="n">
        <v>0</v>
      </c>
      <c r="BQ4" s="17" t="n">
        <v>0</v>
      </c>
      <c r="BR4" s="17" t="n">
        <v>0</v>
      </c>
      <c r="BS4" s="17" t="n">
        <v>0</v>
      </c>
      <c r="BT4" s="17" t="n">
        <v>99</v>
      </c>
      <c r="BU4" s="17" t="n">
        <v>87645</v>
      </c>
      <c r="BV4" s="17" t="n">
        <v>87637</v>
      </c>
      <c r="BW4" s="17" t="n">
        <v>24380601</v>
      </c>
      <c r="BX4" s="17" t="n">
        <v>97889</v>
      </c>
      <c r="BY4" s="17" t="n">
        <v>1620</v>
      </c>
    </row>
    <row r="5">
      <c r="A5" s="17" t="inlineStr">
        <is>
          <t>Group</t>
        </is>
      </c>
      <c r="B5" s="17" t="inlineStr">
        <is>
          <t>Entity A1</t>
        </is>
      </c>
      <c r="C5" s="17" t="inlineStr">
        <is>
          <t>Plant 01</t>
        </is>
      </c>
      <c r="D5" s="17" t="inlineStr">
        <is>
          <t>2026-05</t>
        </is>
      </c>
      <c r="E5" s="17" t="n">
        <v>137.1</v>
      </c>
      <c r="F5" s="17" t="n">
        <v>744</v>
      </c>
      <c r="G5" s="17" t="n">
        <v>744</v>
      </c>
      <c r="H5" s="17" t="n">
        <v>702.5</v>
      </c>
      <c r="I5" s="17" t="n">
        <v>19.6</v>
      </c>
      <c r="J5" s="17" t="n">
        <v>102002</v>
      </c>
      <c r="K5" s="17" t="n">
        <v>102002</v>
      </c>
      <c r="L5" s="17" t="n">
        <v>88139</v>
      </c>
      <c r="M5" s="17" t="n">
        <v>84940</v>
      </c>
      <c r="N5" s="17" t="n">
        <v>80872</v>
      </c>
      <c r="O5" s="17" t="n">
        <v>86252</v>
      </c>
      <c r="P5" s="17" t="n">
        <v>17739</v>
      </c>
      <c r="Q5" s="17" t="n">
        <v>15002</v>
      </c>
      <c r="R5" s="17" t="n">
        <v>2687</v>
      </c>
      <c r="S5" s="17" t="n">
        <v>3</v>
      </c>
      <c r="T5" s="17" t="n">
        <v>15.5</v>
      </c>
      <c r="U5" s="17" t="n">
        <v>48</v>
      </c>
      <c r="V5" s="17" t="n">
        <v>47</v>
      </c>
      <c r="W5" s="17" t="n">
        <v>272778.7</v>
      </c>
      <c r="X5" s="17" t="n">
        <v>79959.60000000001</v>
      </c>
      <c r="Y5" s="17" t="n">
        <v>1465.4</v>
      </c>
      <c r="Z5" s="17" t="n">
        <v>205726</v>
      </c>
      <c r="AA5" s="17" t="n">
        <v>53724</v>
      </c>
      <c r="AB5" s="17" t="n">
        <v>252523</v>
      </c>
      <c r="AC5" s="17" t="n">
        <v>5217</v>
      </c>
      <c r="AD5" s="17" t="n">
        <v>1</v>
      </c>
      <c r="AE5" s="17" t="n">
        <v>66000</v>
      </c>
      <c r="AF5" s="17" t="n">
        <v>0</v>
      </c>
      <c r="AG5" s="17" t="n">
        <v>0</v>
      </c>
      <c r="AH5" s="17" t="n">
        <v>4</v>
      </c>
      <c r="AI5" s="17" t="n">
        <v>0</v>
      </c>
      <c r="AJ5" s="17" t="n">
        <v>0</v>
      </c>
      <c r="AK5" s="17" t="n">
        <v>0</v>
      </c>
      <c r="AL5" s="17" t="n">
        <v>11</v>
      </c>
      <c r="AM5" s="17" t="n">
        <v>2</v>
      </c>
      <c r="AN5" s="17" t="n">
        <v>3</v>
      </c>
      <c r="AO5" s="17" t="n">
        <v>3</v>
      </c>
      <c r="AP5" s="17" t="n">
        <v>0</v>
      </c>
      <c r="AQ5" s="17" t="n">
        <v>256</v>
      </c>
      <c r="AR5" s="17" t="n">
        <v>10</v>
      </c>
      <c r="AS5" s="17" t="n">
        <v>281</v>
      </c>
      <c r="AT5" s="17" t="n">
        <v>81067</v>
      </c>
      <c r="AU5" s="17" t="n">
        <v>87363</v>
      </c>
      <c r="AV5" s="17" t="n">
        <v>309234.4</v>
      </c>
      <c r="AW5" s="17" t="n">
        <v>328484.9</v>
      </c>
      <c r="AX5" s="17" t="n">
        <v>17277.2</v>
      </c>
      <c r="AY5" s="17" t="n">
        <v>11827.2</v>
      </c>
      <c r="AZ5" s="17" t="n">
        <v>166</v>
      </c>
      <c r="BA5" s="17" t="n">
        <v>151</v>
      </c>
      <c r="BB5" s="17" t="n">
        <v>85077</v>
      </c>
      <c r="BC5" s="17" t="n">
        <v>81619</v>
      </c>
      <c r="BD5" s="17" t="n">
        <v>587</v>
      </c>
      <c r="BE5" s="17" t="n">
        <v>868</v>
      </c>
      <c r="BF5" s="17" t="n">
        <v>870</v>
      </c>
      <c r="BG5" s="17" t="n">
        <v>150305.9</v>
      </c>
      <c r="BH5" s="17" t="n">
        <v>52546</v>
      </c>
      <c r="BI5" s="17" t="n">
        <v>0</v>
      </c>
      <c r="BJ5" s="17" t="n">
        <v>1</v>
      </c>
      <c r="BK5" s="17" t="n">
        <v>0</v>
      </c>
      <c r="BL5" s="17" t="n">
        <v>0</v>
      </c>
      <c r="BM5" s="17" t="n">
        <v>0</v>
      </c>
      <c r="BN5" s="17" t="n">
        <v>0</v>
      </c>
      <c r="BO5" s="17" t="n">
        <v>0</v>
      </c>
      <c r="BP5" s="17" t="n">
        <v>0</v>
      </c>
      <c r="BQ5" s="17" t="n">
        <v>0</v>
      </c>
      <c r="BR5" s="17" t="n">
        <v>0</v>
      </c>
      <c r="BS5" s="17" t="n">
        <v>0</v>
      </c>
      <c r="BT5" s="17" t="n">
        <v>99</v>
      </c>
      <c r="BU5" s="17" t="n">
        <v>89736</v>
      </c>
      <c r="BV5" s="17" t="n">
        <v>91812</v>
      </c>
      <c r="BW5" s="17" t="n">
        <v>30306703</v>
      </c>
      <c r="BX5" s="17" t="n">
        <v>102002</v>
      </c>
      <c r="BY5" s="17" t="n">
        <v>2913</v>
      </c>
    </row>
    <row r="6">
      <c r="A6" s="17" t="inlineStr">
        <is>
          <t>Group</t>
        </is>
      </c>
      <c r="B6" s="17" t="inlineStr">
        <is>
          <t>Entity A1</t>
        </is>
      </c>
      <c r="C6" s="17" t="inlineStr">
        <is>
          <t>Plant 01</t>
        </is>
      </c>
      <c r="D6" s="17" t="inlineStr">
        <is>
          <t>2026-06</t>
        </is>
      </c>
      <c r="E6" s="17" t="n">
        <v>137.1</v>
      </c>
      <c r="F6" s="17" t="n">
        <v>720</v>
      </c>
      <c r="G6" s="17" t="n">
        <v>720</v>
      </c>
      <c r="H6" s="17" t="n">
        <v>681.5</v>
      </c>
      <c r="I6" s="17" t="n">
        <v>18.6</v>
      </c>
      <c r="J6" s="17" t="n">
        <v>98712</v>
      </c>
      <c r="K6" s="17" t="n">
        <v>98712</v>
      </c>
      <c r="L6" s="17" t="n">
        <v>88801</v>
      </c>
      <c r="M6" s="17" t="n">
        <v>84328</v>
      </c>
      <c r="N6" s="17" t="n">
        <v>81129</v>
      </c>
      <c r="O6" s="17" t="n">
        <v>86263</v>
      </c>
      <c r="P6" s="17" t="n">
        <v>18895</v>
      </c>
      <c r="Q6" s="17" t="n">
        <v>16380</v>
      </c>
      <c r="R6" s="17" t="n">
        <v>2550</v>
      </c>
      <c r="S6" s="17" t="n">
        <v>2</v>
      </c>
      <c r="T6" s="17" t="n">
        <v>14.7</v>
      </c>
      <c r="U6" s="17" t="n">
        <v>48</v>
      </c>
      <c r="V6" s="17" t="n">
        <v>45</v>
      </c>
      <c r="W6" s="17" t="n">
        <v>269800.1</v>
      </c>
      <c r="X6" s="17" t="n">
        <v>63241.6</v>
      </c>
      <c r="Y6" s="17" t="n">
        <v>1103.4</v>
      </c>
      <c r="Z6" s="17" t="n">
        <v>166424</v>
      </c>
      <c r="AA6" s="17" t="n">
        <v>60010</v>
      </c>
      <c r="AB6" s="17" t="n">
        <v>243788</v>
      </c>
      <c r="AC6" s="17" t="n">
        <v>7297</v>
      </c>
      <c r="AD6" s="17" t="n">
        <v>2</v>
      </c>
      <c r="AE6" s="17" t="n">
        <v>91000</v>
      </c>
      <c r="AF6" s="17" t="n">
        <v>1</v>
      </c>
      <c r="AG6" s="17" t="n">
        <v>0</v>
      </c>
      <c r="AH6" s="17" t="n">
        <v>10</v>
      </c>
      <c r="AI6" s="17" t="n">
        <v>0</v>
      </c>
      <c r="AJ6" s="17" t="n">
        <v>1</v>
      </c>
      <c r="AK6" s="17" t="n">
        <v>0</v>
      </c>
      <c r="AL6" s="17" t="n">
        <v>5</v>
      </c>
      <c r="AM6" s="17" t="n">
        <v>1</v>
      </c>
      <c r="AN6" s="17" t="n">
        <v>0</v>
      </c>
      <c r="AO6" s="17" t="n">
        <v>0</v>
      </c>
      <c r="AP6" s="17" t="n">
        <v>0</v>
      </c>
      <c r="AQ6" s="17" t="n">
        <v>148</v>
      </c>
      <c r="AR6" s="17" t="n">
        <v>11</v>
      </c>
      <c r="AS6" s="17" t="n">
        <v>251</v>
      </c>
      <c r="AT6" s="17" t="n">
        <v>78859</v>
      </c>
      <c r="AU6" s="17" t="n">
        <v>89179</v>
      </c>
      <c r="AV6" s="17" t="n">
        <v>300728.2</v>
      </c>
      <c r="AW6" s="17" t="n">
        <v>335313</v>
      </c>
      <c r="AX6" s="17" t="n">
        <v>16758.3</v>
      </c>
      <c r="AY6" s="17" t="n">
        <v>11531.2</v>
      </c>
      <c r="AZ6" s="17" t="n">
        <v>179</v>
      </c>
      <c r="BA6" s="17" t="n">
        <v>167</v>
      </c>
      <c r="BB6" s="17" t="n">
        <v>87881</v>
      </c>
      <c r="BC6" s="17" t="n">
        <v>85157</v>
      </c>
      <c r="BD6" s="17" t="n">
        <v>708</v>
      </c>
      <c r="BE6" s="17" t="n">
        <v>980</v>
      </c>
      <c r="BF6" s="17" t="n">
        <v>979</v>
      </c>
      <c r="BG6" s="17" t="n">
        <v>148313</v>
      </c>
      <c r="BH6" s="17" t="n">
        <v>46780.1</v>
      </c>
      <c r="BI6" s="17" t="n">
        <v>1</v>
      </c>
      <c r="BJ6" s="17" t="n">
        <v>0</v>
      </c>
      <c r="BK6" s="17" t="n">
        <v>0</v>
      </c>
      <c r="BL6" s="17" t="n">
        <v>0</v>
      </c>
      <c r="BM6" s="17" t="n">
        <v>1</v>
      </c>
      <c r="BN6" s="17" t="n">
        <v>0</v>
      </c>
      <c r="BO6" s="17" t="n">
        <v>0</v>
      </c>
      <c r="BP6" s="17" t="n">
        <v>0</v>
      </c>
      <c r="BQ6" s="17" t="n">
        <v>0</v>
      </c>
      <c r="BR6" s="17" t="n">
        <v>0</v>
      </c>
      <c r="BS6" s="17" t="n">
        <v>0</v>
      </c>
      <c r="BT6" s="17" t="n">
        <v>99</v>
      </c>
      <c r="BU6" s="17" t="n">
        <v>89319</v>
      </c>
      <c r="BV6" s="17" t="n">
        <v>90196</v>
      </c>
      <c r="BW6" s="17" t="n">
        <v>26705815</v>
      </c>
      <c r="BX6" s="17" t="n">
        <v>98712</v>
      </c>
      <c r="BY6" s="17" t="n">
        <v>2398</v>
      </c>
    </row>
    <row r="7">
      <c r="A7" s="17" t="inlineStr">
        <is>
          <t>Group</t>
        </is>
      </c>
      <c r="B7" s="17" t="inlineStr">
        <is>
          <t>Entity A1</t>
        </is>
      </c>
      <c r="C7" s="17" t="inlineStr">
        <is>
          <t>Plant 01</t>
        </is>
      </c>
      <c r="D7" s="17" t="inlineStr">
        <is>
          <t>2026-07</t>
        </is>
      </c>
      <c r="E7" s="17" t="n">
        <v>137.1</v>
      </c>
      <c r="F7" s="17" t="n">
        <v>744</v>
      </c>
      <c r="G7" s="17" t="n">
        <v>741</v>
      </c>
      <c r="H7" s="17" t="n">
        <v>701.6</v>
      </c>
      <c r="I7" s="17" t="n">
        <v>27.2</v>
      </c>
      <c r="J7" s="17" t="n">
        <v>101591</v>
      </c>
      <c r="K7" s="17" t="n">
        <v>102002</v>
      </c>
      <c r="L7" s="17" t="n">
        <v>88152</v>
      </c>
      <c r="M7" s="17" t="n">
        <v>86711</v>
      </c>
      <c r="N7" s="17" t="n">
        <v>83254</v>
      </c>
      <c r="O7" s="17" t="n">
        <v>94209</v>
      </c>
      <c r="P7" s="17" t="n">
        <v>21264</v>
      </c>
      <c r="Q7" s="17" t="n">
        <v>19441</v>
      </c>
      <c r="R7" s="17" t="n">
        <v>3729</v>
      </c>
      <c r="S7" s="17" t="n">
        <v>4</v>
      </c>
      <c r="T7" s="17" t="n">
        <v>21.3</v>
      </c>
      <c r="U7" s="17" t="n">
        <v>55</v>
      </c>
      <c r="V7" s="17" t="n">
        <v>52</v>
      </c>
      <c r="W7" s="17" t="n">
        <v>221284.2</v>
      </c>
      <c r="X7" s="17" t="n">
        <v>64810.6</v>
      </c>
      <c r="Y7" s="17" t="n">
        <v>1144.9</v>
      </c>
      <c r="Z7" s="17" t="n">
        <v>180484</v>
      </c>
      <c r="AA7" s="17" t="n">
        <v>54600</v>
      </c>
      <c r="AB7" s="17" t="n">
        <v>243753</v>
      </c>
      <c r="AC7" s="17" t="n">
        <v>5312</v>
      </c>
      <c r="AD7" s="17" t="n">
        <v>0</v>
      </c>
      <c r="AE7" s="17" t="n">
        <v>76000</v>
      </c>
      <c r="AF7" s="17" t="n">
        <v>1</v>
      </c>
      <c r="AG7" s="17" t="n">
        <v>0</v>
      </c>
      <c r="AH7" s="17" t="n">
        <v>9</v>
      </c>
      <c r="AI7" s="17" t="n">
        <v>0</v>
      </c>
      <c r="AJ7" s="17" t="n">
        <v>1</v>
      </c>
      <c r="AK7" s="17" t="n">
        <v>0</v>
      </c>
      <c r="AL7" s="17" t="n">
        <v>4</v>
      </c>
      <c r="AM7" s="17" t="n">
        <v>1</v>
      </c>
      <c r="AN7" s="17" t="n">
        <v>3</v>
      </c>
      <c r="AO7" s="17" t="n">
        <v>3</v>
      </c>
      <c r="AP7" s="17" t="n">
        <v>1</v>
      </c>
      <c r="AQ7" s="17" t="n">
        <v>198</v>
      </c>
      <c r="AR7" s="17" t="n">
        <v>9</v>
      </c>
      <c r="AS7" s="17" t="n">
        <v>221</v>
      </c>
      <c r="AT7" s="17" t="n">
        <v>84466</v>
      </c>
      <c r="AU7" s="17" t="n">
        <v>87398</v>
      </c>
      <c r="AV7" s="17" t="n">
        <v>321422</v>
      </c>
      <c r="AW7" s="17" t="n">
        <v>328616.5</v>
      </c>
      <c r="AX7" s="17" t="n">
        <v>11354.6</v>
      </c>
      <c r="AY7" s="17" t="n">
        <v>11607.9</v>
      </c>
      <c r="AZ7" s="17" t="n">
        <v>300</v>
      </c>
      <c r="BA7" s="17" t="n">
        <v>281</v>
      </c>
      <c r="BB7" s="17" t="n">
        <v>96576</v>
      </c>
      <c r="BC7" s="17" t="n">
        <v>93033</v>
      </c>
      <c r="BD7" s="17" t="n">
        <v>1429</v>
      </c>
      <c r="BE7" s="17" t="n">
        <v>742</v>
      </c>
      <c r="BF7" s="17" t="n">
        <v>772</v>
      </c>
      <c r="BG7" s="17" t="n">
        <v>112971</v>
      </c>
      <c r="BH7" s="17" t="n">
        <v>43971.6</v>
      </c>
      <c r="BI7" s="17" t="n">
        <v>0</v>
      </c>
      <c r="BJ7" s="17" t="n">
        <v>0</v>
      </c>
      <c r="BK7" s="17" t="n">
        <v>0</v>
      </c>
      <c r="BL7" s="17" t="n">
        <v>0</v>
      </c>
      <c r="BM7" s="17" t="n">
        <v>0</v>
      </c>
      <c r="BN7" s="17" t="n">
        <v>0</v>
      </c>
      <c r="BO7" s="17" t="n">
        <v>1</v>
      </c>
      <c r="BP7" s="17" t="n">
        <v>0</v>
      </c>
      <c r="BQ7" s="17" t="n">
        <v>0</v>
      </c>
      <c r="BR7" s="17" t="n">
        <v>0</v>
      </c>
      <c r="BS7" s="17" t="n">
        <v>0</v>
      </c>
      <c r="BT7" s="17" t="n">
        <v>99</v>
      </c>
      <c r="BU7" s="17" t="n">
        <v>87292</v>
      </c>
      <c r="BV7" s="17" t="n">
        <v>87138</v>
      </c>
      <c r="BW7" s="17" t="n">
        <v>23937559</v>
      </c>
      <c r="BX7" s="17" t="n">
        <v>101591</v>
      </c>
      <c r="BY7" s="17" t="n">
        <v>3863</v>
      </c>
    </row>
    <row r="8">
      <c r="A8" s="17" t="inlineStr">
        <is>
          <t>Group</t>
        </is>
      </c>
      <c r="B8" s="17" t="inlineStr">
        <is>
          <t>Entity A1</t>
        </is>
      </c>
      <c r="C8" s="17" t="inlineStr">
        <is>
          <t>Plant 01</t>
        </is>
      </c>
      <c r="D8" s="17" t="inlineStr">
        <is>
          <t>2026-08</t>
        </is>
      </c>
      <c r="E8" s="17" t="n">
        <v>137.1</v>
      </c>
      <c r="F8" s="17" t="n">
        <v>744</v>
      </c>
      <c r="G8" s="17" t="n">
        <v>744</v>
      </c>
      <c r="H8" s="17" t="n">
        <v>710.7</v>
      </c>
      <c r="I8" s="17" t="n">
        <v>19.1</v>
      </c>
      <c r="J8" s="17" t="n">
        <v>102002</v>
      </c>
      <c r="K8" s="17" t="n">
        <v>102002</v>
      </c>
      <c r="L8" s="17" t="n">
        <v>91424</v>
      </c>
      <c r="M8" s="17" t="n">
        <v>90032</v>
      </c>
      <c r="N8" s="17" t="n">
        <v>87527</v>
      </c>
      <c r="O8" s="17" t="n">
        <v>94670</v>
      </c>
      <c r="P8" s="17" t="n">
        <v>19426</v>
      </c>
      <c r="Q8" s="17" t="n">
        <v>17234</v>
      </c>
      <c r="R8" s="17" t="n">
        <v>2619</v>
      </c>
      <c r="S8" s="17" t="n">
        <v>2</v>
      </c>
      <c r="T8" s="17" t="n">
        <v>14</v>
      </c>
      <c r="U8" s="17" t="n">
        <v>32</v>
      </c>
      <c r="V8" s="17" t="n">
        <v>31</v>
      </c>
      <c r="W8" s="17" t="n">
        <v>268254.7</v>
      </c>
      <c r="X8" s="17" t="n">
        <v>78893.89999999999</v>
      </c>
      <c r="Y8" s="17" t="n">
        <v>1065.3</v>
      </c>
      <c r="Z8" s="17" t="n">
        <v>192091</v>
      </c>
      <c r="AA8" s="17" t="n">
        <v>54889</v>
      </c>
      <c r="AB8" s="17" t="n">
        <v>306311</v>
      </c>
      <c r="AC8" s="17" t="n">
        <v>1480</v>
      </c>
      <c r="AD8" s="17" t="n">
        <v>2</v>
      </c>
      <c r="AE8" s="17" t="n">
        <v>56000</v>
      </c>
      <c r="AF8" s="17" t="n">
        <v>1</v>
      </c>
      <c r="AG8" s="17" t="n">
        <v>0</v>
      </c>
      <c r="AH8" s="17" t="n">
        <v>6</v>
      </c>
      <c r="AI8" s="17" t="n">
        <v>0</v>
      </c>
      <c r="AJ8" s="17" t="n">
        <v>0</v>
      </c>
      <c r="AK8" s="17" t="n">
        <v>0</v>
      </c>
      <c r="AL8" s="17" t="n">
        <v>5</v>
      </c>
      <c r="AM8" s="17" t="n">
        <v>0</v>
      </c>
      <c r="AN8" s="17" t="n">
        <v>1</v>
      </c>
      <c r="AO8" s="17" t="n">
        <v>1</v>
      </c>
      <c r="AP8" s="17" t="n">
        <v>2</v>
      </c>
      <c r="AQ8" s="17" t="n">
        <v>121</v>
      </c>
      <c r="AR8" s="17" t="n">
        <v>10</v>
      </c>
      <c r="AS8" s="17" t="n">
        <v>191</v>
      </c>
      <c r="AT8" s="17" t="n">
        <v>86793</v>
      </c>
      <c r="AU8" s="17" t="n">
        <v>91102</v>
      </c>
      <c r="AV8" s="17" t="n">
        <v>330981.6</v>
      </c>
      <c r="AW8" s="17" t="n">
        <v>342543.5</v>
      </c>
      <c r="AX8" s="17" t="n">
        <v>16048.6</v>
      </c>
      <c r="AY8" s="17" t="n">
        <v>11694.1</v>
      </c>
      <c r="AZ8" s="17" t="n">
        <v>169</v>
      </c>
      <c r="BA8" s="17" t="n">
        <v>156</v>
      </c>
      <c r="BB8" s="17" t="n">
        <v>95196</v>
      </c>
      <c r="BC8" s="17" t="n">
        <v>92043</v>
      </c>
      <c r="BD8" s="17" t="n">
        <v>1181</v>
      </c>
      <c r="BE8" s="17" t="n">
        <v>868</v>
      </c>
      <c r="BF8" s="17" t="n">
        <v>855</v>
      </c>
      <c r="BG8" s="17" t="n">
        <v>154797</v>
      </c>
      <c r="BH8" s="17" t="n">
        <v>58229.3</v>
      </c>
      <c r="BI8" s="17" t="n">
        <v>0</v>
      </c>
      <c r="BJ8" s="17" t="n">
        <v>0</v>
      </c>
      <c r="BK8" s="17" t="n">
        <v>0</v>
      </c>
      <c r="BL8" s="17" t="n">
        <v>0</v>
      </c>
      <c r="BM8" s="17" t="n">
        <v>1</v>
      </c>
      <c r="BN8" s="17" t="n">
        <v>0</v>
      </c>
      <c r="BO8" s="17" t="n">
        <v>0</v>
      </c>
      <c r="BP8" s="17" t="n">
        <v>0</v>
      </c>
      <c r="BQ8" s="17" t="n">
        <v>0</v>
      </c>
      <c r="BR8" s="17" t="n">
        <v>0</v>
      </c>
      <c r="BS8" s="17" t="n">
        <v>0</v>
      </c>
      <c r="BT8" s="17" t="n">
        <v>99</v>
      </c>
      <c r="BU8" s="17" t="n">
        <v>92975</v>
      </c>
      <c r="BV8" s="17" t="n">
        <v>93639</v>
      </c>
      <c r="BW8" s="17" t="n">
        <v>35960460</v>
      </c>
      <c r="BX8" s="17" t="n">
        <v>102002</v>
      </c>
      <c r="BY8" s="17" t="n">
        <v>2699</v>
      </c>
    </row>
    <row r="9">
      <c r="A9" s="17" t="inlineStr">
        <is>
          <t>Group</t>
        </is>
      </c>
      <c r="B9" s="17" t="inlineStr">
        <is>
          <t>Entity A1</t>
        </is>
      </c>
      <c r="C9" s="17" t="inlineStr">
        <is>
          <t>Plant 01</t>
        </is>
      </c>
      <c r="D9" s="17" t="inlineStr">
        <is>
          <t>2026-09</t>
        </is>
      </c>
      <c r="E9" s="17" t="n">
        <v>137.1</v>
      </c>
      <c r="F9" s="17" t="n">
        <v>720</v>
      </c>
      <c r="G9" s="17" t="n">
        <v>711</v>
      </c>
      <c r="H9" s="17" t="n">
        <v>664.5</v>
      </c>
      <c r="I9" s="17" t="n">
        <v>30.2</v>
      </c>
      <c r="J9" s="17" t="n">
        <v>97478</v>
      </c>
      <c r="K9" s="17" t="n">
        <v>98712</v>
      </c>
      <c r="L9" s="17" t="n">
        <v>85234</v>
      </c>
      <c r="M9" s="17" t="n">
        <v>84182</v>
      </c>
      <c r="N9" s="17" t="n">
        <v>81854</v>
      </c>
      <c r="O9" s="17" t="n">
        <v>89479</v>
      </c>
      <c r="P9" s="17" t="n">
        <v>19996</v>
      </c>
      <c r="Q9" s="17" t="n">
        <v>18334</v>
      </c>
      <c r="R9" s="17" t="n">
        <v>4140</v>
      </c>
      <c r="S9" s="17" t="n">
        <v>4</v>
      </c>
      <c r="T9" s="17" t="n">
        <v>21.6</v>
      </c>
      <c r="U9" s="17" t="n">
        <v>46</v>
      </c>
      <c r="V9" s="17" t="n">
        <v>43</v>
      </c>
      <c r="W9" s="17" t="n">
        <v>226098.2</v>
      </c>
      <c r="X9" s="17" t="n">
        <v>50616</v>
      </c>
      <c r="Y9" s="17" t="n">
        <v>1375.5</v>
      </c>
      <c r="Z9" s="17" t="n">
        <v>148807</v>
      </c>
      <c r="AA9" s="17" t="n">
        <v>59115</v>
      </c>
      <c r="AB9" s="17" t="n">
        <v>289576</v>
      </c>
      <c r="AC9" s="17" t="n">
        <v>3669</v>
      </c>
      <c r="AD9" s="17" t="n">
        <v>0</v>
      </c>
      <c r="AE9" s="17" t="n">
        <v>55000</v>
      </c>
      <c r="AF9" s="17" t="n">
        <v>0</v>
      </c>
      <c r="AG9" s="17" t="n">
        <v>1</v>
      </c>
      <c r="AH9" s="17" t="n">
        <v>9</v>
      </c>
      <c r="AI9" s="17" t="n">
        <v>0</v>
      </c>
      <c r="AJ9" s="17" t="n">
        <v>0</v>
      </c>
      <c r="AK9" s="17" t="n">
        <v>0</v>
      </c>
      <c r="AL9" s="17" t="n">
        <v>14</v>
      </c>
      <c r="AM9" s="17" t="n">
        <v>4</v>
      </c>
      <c r="AN9" s="17" t="n">
        <v>2</v>
      </c>
      <c r="AO9" s="17" t="n">
        <v>2</v>
      </c>
      <c r="AP9" s="17" t="n">
        <v>2</v>
      </c>
      <c r="AQ9" s="17" t="n">
        <v>120</v>
      </c>
      <c r="AR9" s="17" t="n">
        <v>9</v>
      </c>
      <c r="AS9" s="17" t="n">
        <v>161</v>
      </c>
      <c r="AT9" s="17" t="n">
        <v>79865</v>
      </c>
      <c r="AU9" s="17" t="n">
        <v>86061</v>
      </c>
      <c r="AV9" s="17" t="n">
        <v>300900.3</v>
      </c>
      <c r="AW9" s="17" t="n">
        <v>323589.4</v>
      </c>
      <c r="AX9" s="17" t="n">
        <v>13488.8</v>
      </c>
      <c r="AY9" s="17" t="n">
        <v>11990.8</v>
      </c>
      <c r="AZ9" s="17" t="n">
        <v>151</v>
      </c>
      <c r="BA9" s="17" t="n">
        <v>140</v>
      </c>
      <c r="BB9" s="17" t="n">
        <v>89804</v>
      </c>
      <c r="BC9" s="17" t="n">
        <v>86335</v>
      </c>
      <c r="BD9" s="17" t="n">
        <v>1211</v>
      </c>
      <c r="BE9" s="17" t="n">
        <v>644</v>
      </c>
      <c r="BF9" s="17" t="n">
        <v>676</v>
      </c>
      <c r="BG9" s="17" t="n">
        <v>116619.5</v>
      </c>
      <c r="BH9" s="17" t="n">
        <v>35125</v>
      </c>
      <c r="BI9" s="17" t="n">
        <v>1</v>
      </c>
      <c r="BJ9" s="17" t="n">
        <v>0</v>
      </c>
      <c r="BK9" s="17" t="n">
        <v>1</v>
      </c>
      <c r="BL9" s="17" t="n">
        <v>0</v>
      </c>
      <c r="BM9" s="17" t="n">
        <v>0</v>
      </c>
      <c r="BN9" s="17" t="n">
        <v>0</v>
      </c>
      <c r="BO9" s="17" t="n">
        <v>0</v>
      </c>
      <c r="BP9" s="17" t="n">
        <v>0</v>
      </c>
      <c r="BQ9" s="17" t="n">
        <v>0</v>
      </c>
      <c r="BR9" s="17" t="n">
        <v>0</v>
      </c>
      <c r="BS9" s="17" t="n">
        <v>0</v>
      </c>
      <c r="BT9" s="17" t="n">
        <v>99</v>
      </c>
      <c r="BU9" s="17" t="n">
        <v>85101</v>
      </c>
      <c r="BV9" s="17" t="n">
        <v>86567</v>
      </c>
      <c r="BW9" s="17" t="n">
        <v>26609951</v>
      </c>
      <c r="BX9" s="17" t="n">
        <v>97478</v>
      </c>
      <c r="BY9" s="17" t="n">
        <v>4173</v>
      </c>
    </row>
    <row r="10">
      <c r="A10" s="17" t="inlineStr">
        <is>
          <t>Group</t>
        </is>
      </c>
      <c r="B10" s="17" t="inlineStr">
        <is>
          <t>Entity A1</t>
        </is>
      </c>
      <c r="C10" s="17" t="inlineStr">
        <is>
          <t>Plant 02</t>
        </is>
      </c>
      <c r="D10" s="17" t="inlineStr">
        <is>
          <t>2026-04</t>
        </is>
      </c>
      <c r="E10" s="17" t="n">
        <v>188.9</v>
      </c>
      <c r="F10" s="17" t="n">
        <v>720</v>
      </c>
      <c r="G10" s="17" t="n">
        <v>718</v>
      </c>
      <c r="H10" s="17" t="n">
        <v>675.1</v>
      </c>
      <c r="I10" s="17" t="n">
        <v>31</v>
      </c>
      <c r="J10" s="17" t="n">
        <v>135630</v>
      </c>
      <c r="K10" s="17" t="n">
        <v>136008</v>
      </c>
      <c r="L10" s="17" t="n">
        <v>117160</v>
      </c>
      <c r="M10" s="17" t="n">
        <v>101595</v>
      </c>
      <c r="N10" s="17" t="n">
        <v>98478</v>
      </c>
      <c r="O10" s="17" t="n">
        <v>110890</v>
      </c>
      <c r="P10" s="17" t="n">
        <v>24227</v>
      </c>
      <c r="Q10" s="17" t="n">
        <v>19946</v>
      </c>
      <c r="R10" s="17" t="n">
        <v>5856</v>
      </c>
      <c r="S10" s="17" t="n">
        <v>5</v>
      </c>
      <c r="T10" s="17" t="n">
        <v>28.6</v>
      </c>
      <c r="U10" s="17" t="n">
        <v>40</v>
      </c>
      <c r="V10" s="17" t="n">
        <v>34</v>
      </c>
      <c r="W10" s="17" t="n">
        <v>293950</v>
      </c>
      <c r="X10" s="17" t="n">
        <v>67780.39999999999</v>
      </c>
      <c r="Y10" s="17" t="n">
        <v>1112.1</v>
      </c>
      <c r="Z10" s="17" t="n">
        <v>202909</v>
      </c>
      <c r="AA10" s="17" t="n">
        <v>69227</v>
      </c>
      <c r="AB10" s="17" t="n">
        <v>349419</v>
      </c>
      <c r="AC10" s="17" t="n">
        <v>17173</v>
      </c>
      <c r="AD10" s="17" t="n">
        <v>2</v>
      </c>
      <c r="AE10" s="17" t="n">
        <v>61000</v>
      </c>
      <c r="AF10" s="17" t="n">
        <v>0</v>
      </c>
      <c r="AG10" s="17" t="n">
        <v>0</v>
      </c>
      <c r="AH10" s="17" t="n">
        <v>6</v>
      </c>
      <c r="AI10" s="17" t="n">
        <v>0</v>
      </c>
      <c r="AJ10" s="17" t="n">
        <v>0</v>
      </c>
      <c r="AK10" s="17" t="n">
        <v>0</v>
      </c>
      <c r="AL10" s="17" t="n">
        <v>6</v>
      </c>
      <c r="AM10" s="17" t="n">
        <v>2</v>
      </c>
      <c r="AN10" s="17" t="n">
        <v>3</v>
      </c>
      <c r="AO10" s="17" t="n">
        <v>3</v>
      </c>
      <c r="AP10" s="17" t="n">
        <v>1</v>
      </c>
      <c r="AQ10" s="17" t="n">
        <v>187</v>
      </c>
      <c r="AR10" s="17" t="n">
        <v>11</v>
      </c>
      <c r="AS10" s="17" t="n">
        <v>215</v>
      </c>
      <c r="AT10" s="17" t="n">
        <v>99647</v>
      </c>
      <c r="AU10" s="17" t="n">
        <v>116251</v>
      </c>
      <c r="AV10" s="17" t="n">
        <v>367581.1</v>
      </c>
      <c r="AW10" s="17" t="n">
        <v>437103.8</v>
      </c>
      <c r="AX10" s="17" t="n">
        <v>20037.9</v>
      </c>
      <c r="AY10" s="17" t="n">
        <v>15943.3</v>
      </c>
      <c r="AZ10" s="17" t="n">
        <v>167</v>
      </c>
      <c r="BA10" s="17" t="n">
        <v>142</v>
      </c>
      <c r="BB10" s="17" t="n">
        <v>108759</v>
      </c>
      <c r="BC10" s="17" t="n">
        <v>107531</v>
      </c>
      <c r="BD10" s="17" t="n">
        <v>1079</v>
      </c>
      <c r="BE10" s="17" t="n">
        <v>574</v>
      </c>
      <c r="BF10" s="17" t="n">
        <v>662</v>
      </c>
      <c r="BG10" s="17" t="n">
        <v>161218.5</v>
      </c>
      <c r="BH10" s="17" t="n">
        <v>73012.8</v>
      </c>
      <c r="BI10" s="17" t="n">
        <v>0</v>
      </c>
      <c r="BJ10" s="17" t="n">
        <v>1</v>
      </c>
      <c r="BK10" s="17" t="n">
        <v>1</v>
      </c>
      <c r="BL10" s="17" t="n">
        <v>1</v>
      </c>
      <c r="BM10" s="17" t="n">
        <v>1</v>
      </c>
      <c r="BN10" s="17" t="n">
        <v>0</v>
      </c>
      <c r="BO10" s="17" t="n">
        <v>0</v>
      </c>
      <c r="BP10" s="17" t="n">
        <v>0</v>
      </c>
      <c r="BQ10" s="17" t="n">
        <v>0</v>
      </c>
      <c r="BR10" s="17" t="n">
        <v>0</v>
      </c>
      <c r="BS10" s="17" t="n">
        <v>0</v>
      </c>
      <c r="BT10" s="17" t="n">
        <v>17</v>
      </c>
      <c r="BU10" s="17" t="n">
        <v>119412</v>
      </c>
      <c r="BV10" s="17" t="n">
        <v>107510</v>
      </c>
      <c r="BW10" s="17" t="n">
        <v>40574219</v>
      </c>
      <c r="BX10" s="17" t="n">
        <v>135630</v>
      </c>
      <c r="BY10" s="17" t="n">
        <v>5356</v>
      </c>
    </row>
    <row r="11">
      <c r="A11" s="17" t="inlineStr">
        <is>
          <t>Group</t>
        </is>
      </c>
      <c r="B11" s="17" t="inlineStr">
        <is>
          <t>Entity A1</t>
        </is>
      </c>
      <c r="C11" s="17" t="inlineStr">
        <is>
          <t>Plant 02</t>
        </is>
      </c>
      <c r="D11" s="17" t="inlineStr">
        <is>
          <t>2026-05</t>
        </is>
      </c>
      <c r="E11" s="17" t="n">
        <v>188.9</v>
      </c>
      <c r="F11" s="17" t="n">
        <v>744</v>
      </c>
      <c r="G11" s="17" t="n">
        <v>690</v>
      </c>
      <c r="H11" s="17" t="n">
        <v>630.7</v>
      </c>
      <c r="I11" s="17" t="n">
        <v>45.8</v>
      </c>
      <c r="J11" s="17" t="n">
        <v>130341</v>
      </c>
      <c r="K11" s="17" t="n">
        <v>140542</v>
      </c>
      <c r="L11" s="17" t="n">
        <v>118660</v>
      </c>
      <c r="M11" s="17" t="n">
        <v>98372</v>
      </c>
      <c r="N11" s="17" t="n">
        <v>96839</v>
      </c>
      <c r="O11" s="17" t="n">
        <v>102676</v>
      </c>
      <c r="P11" s="17" t="n">
        <v>19541</v>
      </c>
      <c r="Q11" s="17" t="n">
        <v>16926</v>
      </c>
      <c r="R11" s="17" t="n">
        <v>8652</v>
      </c>
      <c r="S11" s="17" t="n">
        <v>5</v>
      </c>
      <c r="T11" s="17" t="n">
        <v>40.5</v>
      </c>
      <c r="U11" s="17" t="n">
        <v>44</v>
      </c>
      <c r="V11" s="17" t="n">
        <v>33</v>
      </c>
      <c r="W11" s="17" t="n">
        <v>350205.1</v>
      </c>
      <c r="X11" s="17" t="n">
        <v>97181.8</v>
      </c>
      <c r="Y11" s="17" t="n">
        <v>1212.1</v>
      </c>
      <c r="Z11" s="17" t="n">
        <v>176546</v>
      </c>
      <c r="AA11" s="17" t="n">
        <v>62330</v>
      </c>
      <c r="AB11" s="17" t="n">
        <v>375349</v>
      </c>
      <c r="AC11" s="17" t="n">
        <v>20499</v>
      </c>
      <c r="AD11" s="17" t="n">
        <v>4</v>
      </c>
      <c r="AE11" s="17" t="n">
        <v>69000</v>
      </c>
      <c r="AF11" s="17" t="n">
        <v>1</v>
      </c>
      <c r="AG11" s="17" t="n">
        <v>0</v>
      </c>
      <c r="AH11" s="17" t="n">
        <v>4</v>
      </c>
      <c r="AI11" s="17" t="n">
        <v>0</v>
      </c>
      <c r="AJ11" s="17" t="n">
        <v>0</v>
      </c>
      <c r="AK11" s="17" t="n">
        <v>0</v>
      </c>
      <c r="AL11" s="17" t="n">
        <v>5</v>
      </c>
      <c r="AM11" s="17" t="n">
        <v>1</v>
      </c>
      <c r="AN11" s="17" t="n">
        <v>0</v>
      </c>
      <c r="AO11" s="17" t="n">
        <v>0</v>
      </c>
      <c r="AP11" s="17" t="n">
        <v>0</v>
      </c>
      <c r="AQ11" s="17" t="n">
        <v>197</v>
      </c>
      <c r="AR11" s="17" t="n">
        <v>21</v>
      </c>
      <c r="AS11" s="17" t="n">
        <v>185</v>
      </c>
      <c r="AT11" s="17" t="n">
        <v>96710</v>
      </c>
      <c r="AU11" s="17" t="n">
        <v>118595</v>
      </c>
      <c r="AV11" s="17" t="n">
        <v>355792.8</v>
      </c>
      <c r="AW11" s="17" t="n">
        <v>445917.2</v>
      </c>
      <c r="AX11" s="17" t="n">
        <v>18442.1</v>
      </c>
      <c r="AY11" s="17" t="n">
        <v>15809.6</v>
      </c>
      <c r="AZ11" s="17" t="n">
        <v>174</v>
      </c>
      <c r="BA11" s="17" t="n">
        <v>142</v>
      </c>
      <c r="BB11" s="17" t="n">
        <v>102899</v>
      </c>
      <c r="BC11" s="17" t="n">
        <v>101308</v>
      </c>
      <c r="BD11" s="17" t="n">
        <v>846</v>
      </c>
      <c r="BE11" s="17" t="n">
        <v>616</v>
      </c>
      <c r="BF11" s="17" t="n">
        <v>696</v>
      </c>
      <c r="BG11" s="17" t="n">
        <v>188788.5</v>
      </c>
      <c r="BH11" s="17" t="n">
        <v>87101.10000000001</v>
      </c>
      <c r="BI11" s="17" t="n">
        <v>0</v>
      </c>
      <c r="BJ11" s="17" t="n">
        <v>0</v>
      </c>
      <c r="BK11" s="17" t="n">
        <v>1</v>
      </c>
      <c r="BL11" s="17" t="n">
        <v>1</v>
      </c>
      <c r="BM11" s="17" t="n">
        <v>0</v>
      </c>
      <c r="BN11" s="17" t="n">
        <v>0</v>
      </c>
      <c r="BO11" s="17" t="n">
        <v>0</v>
      </c>
      <c r="BP11" s="17" t="n">
        <v>0</v>
      </c>
      <c r="BQ11" s="17" t="n">
        <v>0</v>
      </c>
      <c r="BR11" s="17" t="n">
        <v>0</v>
      </c>
      <c r="BS11" s="17" t="n">
        <v>0</v>
      </c>
      <c r="BT11" s="17" t="n">
        <v>12</v>
      </c>
      <c r="BU11" s="17" t="n">
        <v>120898</v>
      </c>
      <c r="BV11" s="17" t="n">
        <v>110663</v>
      </c>
      <c r="BW11" s="17" t="n">
        <v>51573641</v>
      </c>
      <c r="BX11" s="17" t="n">
        <v>130341</v>
      </c>
      <c r="BY11" s="17" t="n">
        <v>8040</v>
      </c>
    </row>
    <row r="12">
      <c r="A12" s="17" t="inlineStr">
        <is>
          <t>Group</t>
        </is>
      </c>
      <c r="B12" s="17" t="inlineStr">
        <is>
          <t>Entity A1</t>
        </is>
      </c>
      <c r="C12" s="17" t="inlineStr">
        <is>
          <t>Plant 02</t>
        </is>
      </c>
      <c r="D12" s="17" t="inlineStr">
        <is>
          <t>2026-06</t>
        </is>
      </c>
      <c r="E12" s="17" t="n">
        <v>188.9</v>
      </c>
      <c r="F12" s="17" t="n">
        <v>720</v>
      </c>
      <c r="G12" s="17" t="n">
        <v>718</v>
      </c>
      <c r="H12" s="17" t="n">
        <v>669.9</v>
      </c>
      <c r="I12" s="17" t="n">
        <v>37.1</v>
      </c>
      <c r="J12" s="17" t="n">
        <v>135630</v>
      </c>
      <c r="K12" s="17" t="n">
        <v>136008</v>
      </c>
      <c r="L12" s="17" t="n">
        <v>120521</v>
      </c>
      <c r="M12" s="17" t="n">
        <v>96232</v>
      </c>
      <c r="N12" s="17" t="n">
        <v>91848</v>
      </c>
      <c r="O12" s="17" t="n">
        <v>97224</v>
      </c>
      <c r="P12" s="17" t="n">
        <v>21417</v>
      </c>
      <c r="Q12" s="17" t="n">
        <v>17596</v>
      </c>
      <c r="R12" s="17" t="n">
        <v>7008</v>
      </c>
      <c r="S12" s="17" t="n">
        <v>4</v>
      </c>
      <c r="T12" s="17" t="n">
        <v>32.6</v>
      </c>
      <c r="U12" s="17" t="n">
        <v>36</v>
      </c>
      <c r="V12" s="17" t="n">
        <v>31</v>
      </c>
      <c r="W12" s="17" t="n">
        <v>321487.9</v>
      </c>
      <c r="X12" s="17" t="n">
        <v>71503.8</v>
      </c>
      <c r="Y12" s="17" t="n">
        <v>1098.9</v>
      </c>
      <c r="Z12" s="17" t="n">
        <v>174177</v>
      </c>
      <c r="AA12" s="17" t="n">
        <v>54970</v>
      </c>
      <c r="AB12" s="17" t="n">
        <v>368624</v>
      </c>
      <c r="AC12" s="17" t="n">
        <v>28075</v>
      </c>
      <c r="AD12" s="17" t="n">
        <v>2</v>
      </c>
      <c r="AE12" s="17" t="n">
        <v>62000</v>
      </c>
      <c r="AF12" s="17" t="n">
        <v>1</v>
      </c>
      <c r="AG12" s="17" t="n">
        <v>0</v>
      </c>
      <c r="AH12" s="17" t="n">
        <v>4</v>
      </c>
      <c r="AI12" s="17" t="n">
        <v>0</v>
      </c>
      <c r="AJ12" s="17" t="n">
        <v>0</v>
      </c>
      <c r="AK12" s="17" t="n">
        <v>0</v>
      </c>
      <c r="AL12" s="17" t="n">
        <v>5</v>
      </c>
      <c r="AM12" s="17" t="n">
        <v>0</v>
      </c>
      <c r="AN12" s="17" t="n">
        <v>2</v>
      </c>
      <c r="AO12" s="17" t="n">
        <v>1</v>
      </c>
      <c r="AP12" s="17" t="n">
        <v>1</v>
      </c>
      <c r="AQ12" s="17" t="n">
        <v>194</v>
      </c>
      <c r="AR12" s="17" t="n">
        <v>21</v>
      </c>
      <c r="AS12" s="17" t="n">
        <v>155</v>
      </c>
      <c r="AT12" s="17" t="n">
        <v>93443</v>
      </c>
      <c r="AU12" s="17" t="n">
        <v>119908</v>
      </c>
      <c r="AV12" s="17" t="n">
        <v>341097.4</v>
      </c>
      <c r="AW12" s="17" t="n">
        <v>450854.1</v>
      </c>
      <c r="AX12" s="17" t="n">
        <v>17509.3</v>
      </c>
      <c r="AY12" s="17" t="n">
        <v>15920</v>
      </c>
      <c r="AZ12" s="17" t="n">
        <v>150</v>
      </c>
      <c r="BA12" s="17" t="n">
        <v>124</v>
      </c>
      <c r="BB12" s="17" t="n">
        <v>98097</v>
      </c>
      <c r="BC12" s="17" t="n">
        <v>96415</v>
      </c>
      <c r="BD12" s="17" t="n">
        <v>1343</v>
      </c>
      <c r="BE12" s="17" t="n">
        <v>630</v>
      </c>
      <c r="BF12" s="17" t="n">
        <v>704</v>
      </c>
      <c r="BG12" s="17" t="n">
        <v>190497.7</v>
      </c>
      <c r="BH12" s="17" t="n">
        <v>86054.39999999999</v>
      </c>
      <c r="BI12" s="17" t="n">
        <v>0</v>
      </c>
      <c r="BJ12" s="17" t="n">
        <v>0</v>
      </c>
      <c r="BK12" s="17" t="n">
        <v>0</v>
      </c>
      <c r="BL12" s="17" t="n">
        <v>1</v>
      </c>
      <c r="BM12" s="17" t="n">
        <v>1</v>
      </c>
      <c r="BN12" s="17" t="n">
        <v>0</v>
      </c>
      <c r="BO12" s="17" t="n">
        <v>0</v>
      </c>
      <c r="BP12" s="17" t="n">
        <v>0</v>
      </c>
      <c r="BQ12" s="17" t="n">
        <v>0</v>
      </c>
      <c r="BR12" s="17" t="n">
        <v>0</v>
      </c>
      <c r="BS12" s="17" t="n">
        <v>0</v>
      </c>
      <c r="BT12" s="17" t="n">
        <v>18</v>
      </c>
      <c r="BU12" s="17" t="n">
        <v>119591</v>
      </c>
      <c r="BV12" s="17" t="n">
        <v>108329</v>
      </c>
      <c r="BW12" s="17" t="n">
        <v>44645372</v>
      </c>
      <c r="BX12" s="17" t="n">
        <v>135630</v>
      </c>
      <c r="BY12" s="17" t="n">
        <v>6878</v>
      </c>
    </row>
    <row r="13">
      <c r="A13" s="17" t="inlineStr">
        <is>
          <t>Group</t>
        </is>
      </c>
      <c r="B13" s="17" t="inlineStr">
        <is>
          <t>Entity A1</t>
        </is>
      </c>
      <c r="C13" s="17" t="inlineStr">
        <is>
          <t>Plant 02</t>
        </is>
      </c>
      <c r="D13" s="17" t="inlineStr">
        <is>
          <t>2026-07</t>
        </is>
      </c>
      <c r="E13" s="17" t="n">
        <v>188.9</v>
      </c>
      <c r="F13" s="17" t="n">
        <v>744</v>
      </c>
      <c r="G13" s="17" t="n">
        <v>737</v>
      </c>
      <c r="H13" s="17" t="n">
        <v>655.4</v>
      </c>
      <c r="I13" s="17" t="n">
        <v>69.3</v>
      </c>
      <c r="J13" s="17" t="n">
        <v>139219</v>
      </c>
      <c r="K13" s="17" t="n">
        <v>140542</v>
      </c>
      <c r="L13" s="17" t="n">
        <v>122135</v>
      </c>
      <c r="M13" s="17" t="n">
        <v>101413</v>
      </c>
      <c r="N13" s="17" t="n">
        <v>97731</v>
      </c>
      <c r="O13" s="17" t="n">
        <v>108037</v>
      </c>
      <c r="P13" s="17" t="n">
        <v>20571</v>
      </c>
      <c r="Q13" s="17" t="n">
        <v>17916</v>
      </c>
      <c r="R13" s="17" t="n">
        <v>13091</v>
      </c>
      <c r="S13" s="17" t="n">
        <v>6</v>
      </c>
      <c r="T13" s="17" t="n">
        <v>65.7</v>
      </c>
      <c r="U13" s="17" t="n">
        <v>56</v>
      </c>
      <c r="V13" s="17" t="n">
        <v>44</v>
      </c>
      <c r="W13" s="17" t="n">
        <v>350472.9</v>
      </c>
      <c r="X13" s="17" t="n">
        <v>93258.3</v>
      </c>
      <c r="Y13" s="17" t="n">
        <v>1434.2</v>
      </c>
      <c r="Z13" s="17" t="n">
        <v>204288</v>
      </c>
      <c r="AA13" s="17" t="n">
        <v>57701</v>
      </c>
      <c r="AB13" s="17" t="n">
        <v>356252</v>
      </c>
      <c r="AC13" s="17" t="n">
        <v>22870</v>
      </c>
      <c r="AD13" s="17" t="n">
        <v>2</v>
      </c>
      <c r="AE13" s="17" t="n">
        <v>68000</v>
      </c>
      <c r="AF13" s="17" t="n">
        <v>0</v>
      </c>
      <c r="AG13" s="17" t="n">
        <v>1</v>
      </c>
      <c r="AH13" s="17" t="n">
        <v>6</v>
      </c>
      <c r="AI13" s="17" t="n">
        <v>0</v>
      </c>
      <c r="AJ13" s="17" t="n">
        <v>1</v>
      </c>
      <c r="AK13" s="17" t="n">
        <v>0</v>
      </c>
      <c r="AL13" s="17" t="n">
        <v>7</v>
      </c>
      <c r="AM13" s="17" t="n">
        <v>0</v>
      </c>
      <c r="AN13" s="17" t="n">
        <v>1</v>
      </c>
      <c r="AO13" s="17" t="n">
        <v>1</v>
      </c>
      <c r="AP13" s="17" t="n">
        <v>0</v>
      </c>
      <c r="AQ13" s="17" t="n">
        <v>129</v>
      </c>
      <c r="AR13" s="17" t="n">
        <v>15</v>
      </c>
      <c r="AS13" s="17" t="n">
        <v>125</v>
      </c>
      <c r="AT13" s="17" t="n">
        <v>95686</v>
      </c>
      <c r="AU13" s="17" t="n">
        <v>120914</v>
      </c>
      <c r="AV13" s="17" t="n">
        <v>355004.6</v>
      </c>
      <c r="AW13" s="17" t="n">
        <v>454636.6</v>
      </c>
      <c r="AX13" s="17" t="n">
        <v>21552.3</v>
      </c>
      <c r="AY13" s="17" t="n">
        <v>15764.7</v>
      </c>
      <c r="AZ13" s="17" t="n">
        <v>159</v>
      </c>
      <c r="BA13" s="17" t="n">
        <v>128</v>
      </c>
      <c r="BB13" s="17" t="n">
        <v>105180</v>
      </c>
      <c r="BC13" s="17" t="n">
        <v>101093</v>
      </c>
      <c r="BD13" s="17" t="n">
        <v>720</v>
      </c>
      <c r="BE13" s="17" t="n">
        <v>658</v>
      </c>
      <c r="BF13" s="17" t="n">
        <v>772</v>
      </c>
      <c r="BG13" s="17" t="n">
        <v>179819.6</v>
      </c>
      <c r="BH13" s="17" t="n">
        <v>82831.7</v>
      </c>
      <c r="BI13" s="17" t="n">
        <v>0</v>
      </c>
      <c r="BJ13" s="17" t="n">
        <v>0</v>
      </c>
      <c r="BK13" s="17" t="n">
        <v>0</v>
      </c>
      <c r="BL13" s="17" t="n">
        <v>1</v>
      </c>
      <c r="BM13" s="17" t="n">
        <v>1</v>
      </c>
      <c r="BN13" s="17" t="n">
        <v>0</v>
      </c>
      <c r="BO13" s="17" t="n">
        <v>0</v>
      </c>
      <c r="BP13" s="17" t="n">
        <v>0</v>
      </c>
      <c r="BQ13" s="17" t="n">
        <v>0</v>
      </c>
      <c r="BR13" s="17" t="n">
        <v>0</v>
      </c>
      <c r="BS13" s="17" t="n">
        <v>0</v>
      </c>
      <c r="BT13" s="17" t="n">
        <v>12</v>
      </c>
      <c r="BU13" s="17" t="n">
        <v>123620</v>
      </c>
      <c r="BV13" s="17" t="n">
        <v>113701</v>
      </c>
      <c r="BW13" s="17" t="n">
        <v>53958022</v>
      </c>
      <c r="BX13" s="17" t="n">
        <v>139219</v>
      </c>
      <c r="BY13" s="17" t="n">
        <v>13208</v>
      </c>
    </row>
    <row r="14">
      <c r="A14" s="17" t="inlineStr">
        <is>
          <t>Group</t>
        </is>
      </c>
      <c r="B14" s="17" t="inlineStr">
        <is>
          <t>Entity A1</t>
        </is>
      </c>
      <c r="C14" s="17" t="inlineStr">
        <is>
          <t>Plant 02</t>
        </is>
      </c>
      <c r="D14" s="17" t="inlineStr">
        <is>
          <t>2026-08</t>
        </is>
      </c>
      <c r="E14" s="17" t="n">
        <v>188.9</v>
      </c>
      <c r="F14" s="17" t="n">
        <v>744</v>
      </c>
      <c r="G14" s="17" t="n">
        <v>674</v>
      </c>
      <c r="H14" s="17" t="n">
        <v>603.4</v>
      </c>
      <c r="I14" s="17" t="n">
        <v>53.5</v>
      </c>
      <c r="J14" s="17" t="n">
        <v>127319</v>
      </c>
      <c r="K14" s="17" t="n">
        <v>140542</v>
      </c>
      <c r="L14" s="17" t="n">
        <v>109907</v>
      </c>
      <c r="M14" s="17" t="n">
        <v>90236</v>
      </c>
      <c r="N14" s="17" t="n">
        <v>86596</v>
      </c>
      <c r="O14" s="17" t="n">
        <v>97767</v>
      </c>
      <c r="P14" s="17" t="n">
        <v>22655</v>
      </c>
      <c r="Q14" s="17" t="n">
        <v>18611</v>
      </c>
      <c r="R14" s="17" t="n">
        <v>10106</v>
      </c>
      <c r="S14" s="17" t="n">
        <v>4</v>
      </c>
      <c r="T14" s="17" t="n">
        <v>46.8</v>
      </c>
      <c r="U14" s="17" t="n">
        <v>39</v>
      </c>
      <c r="V14" s="17" t="n">
        <v>37</v>
      </c>
      <c r="W14" s="17" t="n">
        <v>293787.6</v>
      </c>
      <c r="X14" s="17" t="n">
        <v>89718.10000000001</v>
      </c>
      <c r="Y14" s="17" t="n">
        <v>1404.1</v>
      </c>
      <c r="Z14" s="17" t="n">
        <v>164589</v>
      </c>
      <c r="AA14" s="17" t="n">
        <v>62319</v>
      </c>
      <c r="AB14" s="17" t="n">
        <v>347920</v>
      </c>
      <c r="AC14" s="17" t="n">
        <v>23073</v>
      </c>
      <c r="AD14" s="17" t="n">
        <v>3</v>
      </c>
      <c r="AE14" s="17" t="n">
        <v>69000</v>
      </c>
      <c r="AF14" s="17" t="n">
        <v>0</v>
      </c>
      <c r="AG14" s="17" t="n">
        <v>1</v>
      </c>
      <c r="AH14" s="17" t="n">
        <v>5</v>
      </c>
      <c r="AI14" s="17" t="n">
        <v>1</v>
      </c>
      <c r="AJ14" s="17" t="n">
        <v>0</v>
      </c>
      <c r="AK14" s="17" t="n">
        <v>0</v>
      </c>
      <c r="AL14" s="17" t="n">
        <v>8</v>
      </c>
      <c r="AM14" s="17" t="n">
        <v>1</v>
      </c>
      <c r="AN14" s="17" t="n">
        <v>0</v>
      </c>
      <c r="AO14" s="17" t="n">
        <v>0</v>
      </c>
      <c r="AP14" s="17" t="n">
        <v>0</v>
      </c>
      <c r="AQ14" s="17" t="n">
        <v>212</v>
      </c>
      <c r="AR14" s="17" t="n">
        <v>32</v>
      </c>
      <c r="AS14" s="17" t="n">
        <v>95</v>
      </c>
      <c r="AT14" s="17" t="n">
        <v>87463</v>
      </c>
      <c r="AU14" s="17" t="n">
        <v>110393</v>
      </c>
      <c r="AV14" s="17" t="n">
        <v>324045</v>
      </c>
      <c r="AW14" s="17" t="n">
        <v>415077.7</v>
      </c>
      <c r="AX14" s="17" t="n">
        <v>17217.2</v>
      </c>
      <c r="AY14" s="17" t="n">
        <v>16383.2</v>
      </c>
      <c r="AZ14" s="17" t="n">
        <v>157</v>
      </c>
      <c r="BA14" s="17" t="n">
        <v>131</v>
      </c>
      <c r="BB14" s="17" t="n">
        <v>94985</v>
      </c>
      <c r="BC14" s="17" t="n">
        <v>92164</v>
      </c>
      <c r="BD14" s="17" t="n">
        <v>1526</v>
      </c>
      <c r="BE14" s="17" t="n">
        <v>560</v>
      </c>
      <c r="BF14" s="17" t="n">
        <v>665</v>
      </c>
      <c r="BG14" s="17" t="n">
        <v>153621.7</v>
      </c>
      <c r="BH14" s="17" t="n">
        <v>72743.60000000001</v>
      </c>
      <c r="BI14" s="17" t="n">
        <v>0</v>
      </c>
      <c r="BJ14" s="17" t="n">
        <v>0</v>
      </c>
      <c r="BK14" s="17" t="n">
        <v>0</v>
      </c>
      <c r="BL14" s="17" t="n">
        <v>1</v>
      </c>
      <c r="BM14" s="17" t="n">
        <v>0</v>
      </c>
      <c r="BN14" s="17" t="n">
        <v>0</v>
      </c>
      <c r="BO14" s="17" t="n">
        <v>0</v>
      </c>
      <c r="BP14" s="17" t="n">
        <v>0</v>
      </c>
      <c r="BQ14" s="17" t="n">
        <v>0</v>
      </c>
      <c r="BR14" s="17" t="n">
        <v>0</v>
      </c>
      <c r="BS14" s="17" t="n">
        <v>0</v>
      </c>
      <c r="BT14" s="17" t="n">
        <v>10</v>
      </c>
      <c r="BU14" s="17" t="n">
        <v>111815</v>
      </c>
      <c r="BV14" s="17" t="n">
        <v>102323</v>
      </c>
      <c r="BW14" s="17" t="n">
        <v>35614658</v>
      </c>
      <c r="BX14" s="17" t="n">
        <v>127319</v>
      </c>
      <c r="BY14" s="17" t="n">
        <v>8914</v>
      </c>
    </row>
    <row r="15">
      <c r="A15" s="17" t="inlineStr">
        <is>
          <t>Group</t>
        </is>
      </c>
      <c r="B15" s="17" t="inlineStr">
        <is>
          <t>Entity A1</t>
        </is>
      </c>
      <c r="C15" s="17" t="inlineStr">
        <is>
          <t>Plant 02</t>
        </is>
      </c>
      <c r="D15" s="17" t="inlineStr">
        <is>
          <t>2026-09</t>
        </is>
      </c>
      <c r="E15" s="17" t="n">
        <v>188.9</v>
      </c>
      <c r="F15" s="17" t="n">
        <v>720</v>
      </c>
      <c r="G15" s="17" t="n">
        <v>717</v>
      </c>
      <c r="H15" s="17" t="n">
        <v>624.3</v>
      </c>
      <c r="I15" s="17" t="n">
        <v>78.2</v>
      </c>
      <c r="J15" s="17" t="n">
        <v>135441</v>
      </c>
      <c r="K15" s="17" t="n">
        <v>136008</v>
      </c>
      <c r="L15" s="17" t="n">
        <v>121475</v>
      </c>
      <c r="M15" s="17" t="n">
        <v>97250</v>
      </c>
      <c r="N15" s="17" t="n">
        <v>95233</v>
      </c>
      <c r="O15" s="17" t="n">
        <v>102279</v>
      </c>
      <c r="P15" s="17" t="n">
        <v>20791</v>
      </c>
      <c r="Q15" s="17" t="n">
        <v>17994</v>
      </c>
      <c r="R15" s="17" t="n">
        <v>14772</v>
      </c>
      <c r="S15" s="17" t="n">
        <v>6</v>
      </c>
      <c r="T15" s="17" t="n">
        <v>68.5</v>
      </c>
      <c r="U15" s="17" t="n">
        <v>33</v>
      </c>
      <c r="V15" s="17" t="n">
        <v>27</v>
      </c>
      <c r="W15" s="17" t="n">
        <v>308111</v>
      </c>
      <c r="X15" s="17" t="n">
        <v>70784.39999999999</v>
      </c>
      <c r="Y15" s="17" t="n">
        <v>940.2</v>
      </c>
      <c r="Z15" s="17" t="n">
        <v>245659</v>
      </c>
      <c r="AA15" s="17" t="n">
        <v>68824</v>
      </c>
      <c r="AB15" s="17" t="n">
        <v>358135</v>
      </c>
      <c r="AC15" s="17" t="n">
        <v>24322</v>
      </c>
      <c r="AD15" s="17" t="n">
        <v>4</v>
      </c>
      <c r="AE15" s="17" t="n">
        <v>95000</v>
      </c>
      <c r="AF15" s="17" t="n">
        <v>0</v>
      </c>
      <c r="AG15" s="17" t="n">
        <v>0</v>
      </c>
      <c r="AH15" s="17" t="n">
        <v>2</v>
      </c>
      <c r="AI15" s="17" t="n">
        <v>0</v>
      </c>
      <c r="AJ15" s="17" t="n">
        <v>1</v>
      </c>
      <c r="AK15" s="17" t="n">
        <v>0</v>
      </c>
      <c r="AL15" s="17" t="n">
        <v>6</v>
      </c>
      <c r="AM15" s="17" t="n">
        <v>1</v>
      </c>
      <c r="AN15" s="17" t="n">
        <v>2</v>
      </c>
      <c r="AO15" s="17" t="n">
        <v>1</v>
      </c>
      <c r="AP15" s="17" t="n">
        <v>1</v>
      </c>
      <c r="AQ15" s="17" t="n">
        <v>225</v>
      </c>
      <c r="AR15" s="17" t="n">
        <v>36</v>
      </c>
      <c r="AS15" s="17" t="n">
        <v>65</v>
      </c>
      <c r="AT15" s="17" t="n">
        <v>94217</v>
      </c>
      <c r="AU15" s="17" t="n">
        <v>121397</v>
      </c>
      <c r="AV15" s="17" t="n">
        <v>346059.3</v>
      </c>
      <c r="AW15" s="17" t="n">
        <v>456452.7</v>
      </c>
      <c r="AX15" s="17" t="n">
        <v>20557.3</v>
      </c>
      <c r="AY15" s="17" t="n">
        <v>16054.5</v>
      </c>
      <c r="AZ15" s="17" t="n">
        <v>173</v>
      </c>
      <c r="BA15" s="17" t="n">
        <v>147</v>
      </c>
      <c r="BB15" s="17" t="n">
        <v>103840</v>
      </c>
      <c r="BC15" s="17" t="n">
        <v>101122</v>
      </c>
      <c r="BD15" s="17" t="n">
        <v>1125</v>
      </c>
      <c r="BE15" s="17" t="n">
        <v>658</v>
      </c>
      <c r="BF15" s="17" t="n">
        <v>772</v>
      </c>
      <c r="BG15" s="17" t="n">
        <v>171707.4</v>
      </c>
      <c r="BH15" s="17" t="n">
        <v>73868.5</v>
      </c>
      <c r="BI15" s="17" t="n">
        <v>0</v>
      </c>
      <c r="BJ15" s="17" t="n">
        <v>0</v>
      </c>
      <c r="BK15" s="17" t="n">
        <v>0</v>
      </c>
      <c r="BL15" s="17" t="n">
        <v>1</v>
      </c>
      <c r="BM15" s="17" t="n">
        <v>1</v>
      </c>
      <c r="BN15" s="17" t="n">
        <v>0</v>
      </c>
      <c r="BO15" s="17" t="n">
        <v>0</v>
      </c>
      <c r="BP15" s="17" t="n">
        <v>0</v>
      </c>
      <c r="BQ15" s="17" t="n">
        <v>0</v>
      </c>
      <c r="BR15" s="17" t="n">
        <v>0</v>
      </c>
      <c r="BS15" s="17" t="n">
        <v>0</v>
      </c>
      <c r="BT15" s="17" t="n">
        <v>4</v>
      </c>
      <c r="BU15" s="17" t="n">
        <v>121378</v>
      </c>
      <c r="BV15" s="17" t="n">
        <v>108581</v>
      </c>
      <c r="BW15" s="17" t="n">
        <v>36663480</v>
      </c>
      <c r="BX15" s="17" t="n">
        <v>135441</v>
      </c>
      <c r="BY15" s="17" t="n">
        <v>15611</v>
      </c>
    </row>
    <row r="16">
      <c r="A16" s="17" t="inlineStr">
        <is>
          <t>Group</t>
        </is>
      </c>
      <c r="B16" s="17" t="inlineStr">
        <is>
          <t>Entity A1</t>
        </is>
      </c>
      <c r="C16" s="17" t="inlineStr">
        <is>
          <t>Plant 03</t>
        </is>
      </c>
      <c r="D16" s="17" t="inlineStr">
        <is>
          <t>2026-04</t>
        </is>
      </c>
      <c r="E16" s="17" t="n">
        <v>225.4</v>
      </c>
      <c r="F16" s="17" t="n">
        <v>720</v>
      </c>
      <c r="G16" s="17" t="n">
        <v>709</v>
      </c>
      <c r="H16" s="17" t="n">
        <v>679.1</v>
      </c>
      <c r="I16" s="17" t="n">
        <v>18.5</v>
      </c>
      <c r="J16" s="17" t="n">
        <v>159809</v>
      </c>
      <c r="K16" s="17" t="n">
        <v>162288</v>
      </c>
      <c r="L16" s="17" t="n">
        <v>140381</v>
      </c>
      <c r="M16" s="17" t="n">
        <v>137702</v>
      </c>
      <c r="N16" s="17" t="n">
        <v>135597</v>
      </c>
      <c r="O16" s="17" t="n">
        <v>151646</v>
      </c>
      <c r="P16" s="17" t="n">
        <v>30509</v>
      </c>
      <c r="Q16" s="17" t="n">
        <v>27116</v>
      </c>
      <c r="R16" s="17" t="n">
        <v>4170</v>
      </c>
      <c r="S16" s="17" t="n">
        <v>2</v>
      </c>
      <c r="T16" s="17" t="n">
        <v>11.6</v>
      </c>
      <c r="U16" s="17" t="n">
        <v>46</v>
      </c>
      <c r="V16" s="17" t="n">
        <v>45</v>
      </c>
      <c r="W16" s="17" t="n">
        <v>423748.9</v>
      </c>
      <c r="X16" s="17" t="n">
        <v>102285.4</v>
      </c>
      <c r="Y16" s="17" t="n">
        <v>1376.4</v>
      </c>
      <c r="Z16" s="17" t="n">
        <v>293580</v>
      </c>
      <c r="AA16" s="17" t="n">
        <v>100138</v>
      </c>
      <c r="AB16" s="17" t="n">
        <v>411317</v>
      </c>
      <c r="AC16" s="17" t="n">
        <v>5413</v>
      </c>
      <c r="AD16" s="17" t="n">
        <v>1</v>
      </c>
      <c r="AE16" s="17" t="n">
        <v>81000</v>
      </c>
      <c r="AF16" s="17" t="n">
        <v>0</v>
      </c>
      <c r="AG16" s="17" t="n">
        <v>0</v>
      </c>
      <c r="AH16" s="17" t="n">
        <v>5</v>
      </c>
      <c r="AI16" s="17" t="n">
        <v>0</v>
      </c>
      <c r="AJ16" s="17" t="n">
        <v>1</v>
      </c>
      <c r="AK16" s="17" t="n">
        <v>0</v>
      </c>
      <c r="AL16" s="17" t="n">
        <v>5</v>
      </c>
      <c r="AM16" s="17" t="n">
        <v>1</v>
      </c>
      <c r="AN16" s="17" t="n">
        <v>1</v>
      </c>
      <c r="AO16" s="17" t="n">
        <v>0</v>
      </c>
      <c r="AP16" s="17" t="n">
        <v>0</v>
      </c>
      <c r="AQ16" s="17" t="n">
        <v>130</v>
      </c>
      <c r="AR16" s="17" t="n">
        <v>5</v>
      </c>
      <c r="AS16" s="17" t="n">
        <v>218</v>
      </c>
      <c r="AT16" s="17" t="n">
        <v>132069</v>
      </c>
      <c r="AU16" s="17" t="n">
        <v>141407</v>
      </c>
      <c r="AV16" s="17" t="n">
        <v>498991.1</v>
      </c>
      <c r="AW16" s="17" t="n">
        <v>531690.3</v>
      </c>
      <c r="AX16" s="17" t="n">
        <v>26981.8</v>
      </c>
      <c r="AY16" s="17" t="n">
        <v>18816.9</v>
      </c>
      <c r="AZ16" s="17" t="n">
        <v>169</v>
      </c>
      <c r="BA16" s="17" t="n">
        <v>156</v>
      </c>
      <c r="BB16" s="17" t="n">
        <v>152075</v>
      </c>
      <c r="BC16" s="17" t="n">
        <v>143138</v>
      </c>
      <c r="BD16" s="17" t="n">
        <v>1636</v>
      </c>
      <c r="BE16" s="17" t="n">
        <v>952</v>
      </c>
      <c r="BF16" s="17" t="n">
        <v>997</v>
      </c>
      <c r="BG16" s="17" t="n">
        <v>224328.9</v>
      </c>
      <c r="BH16" s="17" t="n">
        <v>84788.10000000001</v>
      </c>
      <c r="BI16" s="17" t="n">
        <v>0</v>
      </c>
      <c r="BJ16" s="17" t="n">
        <v>0</v>
      </c>
      <c r="BK16" s="17" t="n">
        <v>0</v>
      </c>
      <c r="BL16" s="17" t="n">
        <v>1</v>
      </c>
      <c r="BM16" s="17" t="n">
        <v>1</v>
      </c>
      <c r="BN16" s="17" t="n">
        <v>0</v>
      </c>
      <c r="BO16" s="17" t="n">
        <v>0</v>
      </c>
      <c r="BP16" s="17" t="n">
        <v>0</v>
      </c>
      <c r="BQ16" s="17" t="n">
        <v>0</v>
      </c>
      <c r="BR16" s="17" t="n">
        <v>0</v>
      </c>
      <c r="BS16" s="17" t="n">
        <v>0</v>
      </c>
      <c r="BT16" s="17" t="n">
        <v>99</v>
      </c>
      <c r="BU16" s="17" t="n">
        <v>142430</v>
      </c>
      <c r="BV16" s="17" t="n">
        <v>144326</v>
      </c>
      <c r="BW16" s="17" t="n">
        <v>85157077</v>
      </c>
      <c r="BX16" s="17" t="n">
        <v>159809</v>
      </c>
      <c r="BY16" s="17" t="n">
        <v>4742</v>
      </c>
    </row>
    <row r="17">
      <c r="A17" s="17" t="inlineStr">
        <is>
          <t>Group</t>
        </is>
      </c>
      <c r="B17" s="17" t="inlineStr">
        <is>
          <t>Entity A1</t>
        </is>
      </c>
      <c r="C17" s="17" t="inlineStr">
        <is>
          <t>Plant 03</t>
        </is>
      </c>
      <c r="D17" s="17" t="inlineStr">
        <is>
          <t>2026-05</t>
        </is>
      </c>
      <c r="E17" s="17" t="n">
        <v>225.4</v>
      </c>
      <c r="F17" s="17" t="n">
        <v>744</v>
      </c>
      <c r="G17" s="17" t="n">
        <v>675</v>
      </c>
      <c r="H17" s="17" t="n">
        <v>644.2</v>
      </c>
      <c r="I17" s="17" t="n">
        <v>22.6</v>
      </c>
      <c r="J17" s="17" t="n">
        <v>152145</v>
      </c>
      <c r="K17" s="17" t="n">
        <v>167698</v>
      </c>
      <c r="L17" s="17" t="n">
        <v>139327</v>
      </c>
      <c r="M17" s="17" t="n">
        <v>129882</v>
      </c>
      <c r="N17" s="17" t="n">
        <v>123727</v>
      </c>
      <c r="O17" s="17" t="n">
        <v>139092</v>
      </c>
      <c r="P17" s="17" t="n">
        <v>26667</v>
      </c>
      <c r="Q17" s="17" t="n">
        <v>22876</v>
      </c>
      <c r="R17" s="17" t="n">
        <v>5094</v>
      </c>
      <c r="S17" s="17" t="n">
        <v>4</v>
      </c>
      <c r="T17" s="17" t="n">
        <v>18.4</v>
      </c>
      <c r="U17" s="17" t="n">
        <v>54</v>
      </c>
      <c r="V17" s="17" t="n">
        <v>51</v>
      </c>
      <c r="W17" s="17" t="n">
        <v>380693.8</v>
      </c>
      <c r="X17" s="17" t="n">
        <v>88979.2</v>
      </c>
      <c r="Y17" s="17" t="n">
        <v>1092.1</v>
      </c>
      <c r="Z17" s="17" t="n">
        <v>320054</v>
      </c>
      <c r="AA17" s="17" t="n">
        <v>72786</v>
      </c>
      <c r="AB17" s="17" t="n">
        <v>378969</v>
      </c>
      <c r="AC17" s="17" t="n">
        <v>18096</v>
      </c>
      <c r="AD17" s="17" t="n">
        <v>1</v>
      </c>
      <c r="AE17" s="17" t="n">
        <v>76000</v>
      </c>
      <c r="AF17" s="17" t="n">
        <v>1</v>
      </c>
      <c r="AG17" s="17" t="n">
        <v>0</v>
      </c>
      <c r="AH17" s="17" t="n">
        <v>10</v>
      </c>
      <c r="AI17" s="17" t="n">
        <v>0</v>
      </c>
      <c r="AJ17" s="17" t="n">
        <v>1</v>
      </c>
      <c r="AK17" s="17" t="n">
        <v>0</v>
      </c>
      <c r="AL17" s="17" t="n">
        <v>10</v>
      </c>
      <c r="AM17" s="17" t="n">
        <v>2</v>
      </c>
      <c r="AN17" s="17" t="n">
        <v>0</v>
      </c>
      <c r="AO17" s="17" t="n">
        <v>0</v>
      </c>
      <c r="AP17" s="17" t="n">
        <v>0</v>
      </c>
      <c r="AQ17" s="17" t="n">
        <v>230</v>
      </c>
      <c r="AR17" s="17" t="n">
        <v>12</v>
      </c>
      <c r="AS17" s="17" t="n">
        <v>188</v>
      </c>
      <c r="AT17" s="17" t="n">
        <v>123269</v>
      </c>
      <c r="AU17" s="17" t="n">
        <v>138158</v>
      </c>
      <c r="AV17" s="17" t="n">
        <v>460880.8</v>
      </c>
      <c r="AW17" s="17" t="n">
        <v>519474.1</v>
      </c>
      <c r="AX17" s="17" t="n">
        <v>20000.3</v>
      </c>
      <c r="AY17" s="17" t="n">
        <v>18527.3</v>
      </c>
      <c r="AZ17" s="17" t="n">
        <v>232</v>
      </c>
      <c r="BA17" s="17" t="n">
        <v>213</v>
      </c>
      <c r="BB17" s="17" t="n">
        <v>142709</v>
      </c>
      <c r="BC17" s="17" t="n">
        <v>135890</v>
      </c>
      <c r="BD17" s="17" t="n">
        <v>1180</v>
      </c>
      <c r="BE17" s="17" t="n">
        <v>1148</v>
      </c>
      <c r="BF17" s="17" t="n">
        <v>1150</v>
      </c>
      <c r="BG17" s="17" t="n">
        <v>215687.3</v>
      </c>
      <c r="BH17" s="17" t="n">
        <v>82507.5</v>
      </c>
      <c r="BI17" s="17" t="n">
        <v>0</v>
      </c>
      <c r="BJ17" s="17" t="n">
        <v>1</v>
      </c>
      <c r="BK17" s="17" t="n">
        <v>0</v>
      </c>
      <c r="BL17" s="17" t="n">
        <v>0</v>
      </c>
      <c r="BM17" s="17" t="n">
        <v>1</v>
      </c>
      <c r="BN17" s="17" t="n">
        <v>0</v>
      </c>
      <c r="BO17" s="17" t="n">
        <v>0</v>
      </c>
      <c r="BP17" s="17" t="n">
        <v>0</v>
      </c>
      <c r="BQ17" s="17" t="n">
        <v>0</v>
      </c>
      <c r="BR17" s="17" t="n">
        <v>0</v>
      </c>
      <c r="BS17" s="17" t="n">
        <v>0</v>
      </c>
      <c r="BT17" s="17" t="n">
        <v>99</v>
      </c>
      <c r="BU17" s="17" t="n">
        <v>140211</v>
      </c>
      <c r="BV17" s="17" t="n">
        <v>141920</v>
      </c>
      <c r="BW17" s="17" t="n">
        <v>76995709</v>
      </c>
      <c r="BX17" s="17" t="n">
        <v>152145</v>
      </c>
      <c r="BY17" s="17" t="n">
        <v>4615</v>
      </c>
    </row>
    <row r="18">
      <c r="A18" s="17" t="inlineStr">
        <is>
          <t>Group</t>
        </is>
      </c>
      <c r="B18" s="17" t="inlineStr">
        <is>
          <t>Entity A1</t>
        </is>
      </c>
      <c r="C18" s="17" t="inlineStr">
        <is>
          <t>Plant 03</t>
        </is>
      </c>
      <c r="D18" s="17" t="inlineStr">
        <is>
          <t>2026-06</t>
        </is>
      </c>
      <c r="E18" s="17" t="n">
        <v>225.4</v>
      </c>
      <c r="F18" s="17" t="n">
        <v>720</v>
      </c>
      <c r="G18" s="17" t="n">
        <v>719</v>
      </c>
      <c r="H18" s="17" t="n">
        <v>672.3</v>
      </c>
      <c r="I18" s="17" t="n">
        <v>30</v>
      </c>
      <c r="J18" s="17" t="n">
        <v>162063</v>
      </c>
      <c r="K18" s="17" t="n">
        <v>162288</v>
      </c>
      <c r="L18" s="17" t="n">
        <v>141008</v>
      </c>
      <c r="M18" s="17" t="n">
        <v>134645</v>
      </c>
      <c r="N18" s="17" t="n">
        <v>129167</v>
      </c>
      <c r="O18" s="17" t="n">
        <v>140543</v>
      </c>
      <c r="P18" s="17" t="n">
        <v>28463</v>
      </c>
      <c r="Q18" s="17" t="n">
        <v>25992</v>
      </c>
      <c r="R18" s="17" t="n">
        <v>6762</v>
      </c>
      <c r="S18" s="17" t="n">
        <v>4</v>
      </c>
      <c r="T18" s="17" t="n">
        <v>23.1</v>
      </c>
      <c r="U18" s="17" t="n">
        <v>50</v>
      </c>
      <c r="V18" s="17" t="n">
        <v>48</v>
      </c>
      <c r="W18" s="17" t="n">
        <v>345324.8</v>
      </c>
      <c r="X18" s="17" t="n">
        <v>105483</v>
      </c>
      <c r="Y18" s="17" t="n">
        <v>952.7</v>
      </c>
      <c r="Z18" s="17" t="n">
        <v>282180</v>
      </c>
      <c r="AA18" s="17" t="n">
        <v>73193</v>
      </c>
      <c r="AB18" s="17" t="n">
        <v>376725</v>
      </c>
      <c r="AC18" s="17" t="n">
        <v>14242</v>
      </c>
      <c r="AD18" s="17" t="n">
        <v>1</v>
      </c>
      <c r="AE18" s="17" t="n">
        <v>72000</v>
      </c>
      <c r="AF18" s="17" t="n">
        <v>1</v>
      </c>
      <c r="AG18" s="17" t="n">
        <v>0</v>
      </c>
      <c r="AH18" s="17" t="n">
        <v>8</v>
      </c>
      <c r="AI18" s="17" t="n">
        <v>0</v>
      </c>
      <c r="AJ18" s="17" t="n">
        <v>0</v>
      </c>
      <c r="AK18" s="17" t="n">
        <v>0</v>
      </c>
      <c r="AL18" s="17" t="n">
        <v>13</v>
      </c>
      <c r="AM18" s="17" t="n">
        <v>3</v>
      </c>
      <c r="AN18" s="17" t="n">
        <v>2</v>
      </c>
      <c r="AO18" s="17" t="n">
        <v>2</v>
      </c>
      <c r="AP18" s="17" t="n">
        <v>0</v>
      </c>
      <c r="AQ18" s="17" t="n">
        <v>181</v>
      </c>
      <c r="AR18" s="17" t="n">
        <v>13</v>
      </c>
      <c r="AS18" s="17" t="n">
        <v>158</v>
      </c>
      <c r="AT18" s="17" t="n">
        <v>126080</v>
      </c>
      <c r="AU18" s="17" t="n">
        <v>142307</v>
      </c>
      <c r="AV18" s="17" t="n">
        <v>481116</v>
      </c>
      <c r="AW18" s="17" t="n">
        <v>535074.3</v>
      </c>
      <c r="AX18" s="17" t="n">
        <v>20433.5</v>
      </c>
      <c r="AY18" s="17" t="n">
        <v>19093.5</v>
      </c>
      <c r="AZ18" s="17" t="n">
        <v>300</v>
      </c>
      <c r="BA18" s="17" t="n">
        <v>278</v>
      </c>
      <c r="BB18" s="17" t="n">
        <v>137558</v>
      </c>
      <c r="BC18" s="17" t="n">
        <v>131441</v>
      </c>
      <c r="BD18" s="17" t="n">
        <v>1030</v>
      </c>
      <c r="BE18" s="17" t="n">
        <v>672</v>
      </c>
      <c r="BF18" s="17" t="n">
        <v>689</v>
      </c>
      <c r="BG18" s="17" t="n">
        <v>197735.7</v>
      </c>
      <c r="BH18" s="17" t="n">
        <v>72790.8</v>
      </c>
      <c r="BI18" s="17" t="n">
        <v>0</v>
      </c>
      <c r="BJ18" s="17" t="n">
        <v>0</v>
      </c>
      <c r="BK18" s="17" t="n">
        <v>0</v>
      </c>
      <c r="BL18" s="17" t="n">
        <v>1</v>
      </c>
      <c r="BM18" s="17" t="n">
        <v>0</v>
      </c>
      <c r="BN18" s="17" t="n">
        <v>0</v>
      </c>
      <c r="BO18" s="17" t="n">
        <v>0</v>
      </c>
      <c r="BP18" s="17" t="n">
        <v>0</v>
      </c>
      <c r="BQ18" s="17" t="n">
        <v>0</v>
      </c>
      <c r="BR18" s="17" t="n">
        <v>0</v>
      </c>
      <c r="BS18" s="17" t="n">
        <v>0</v>
      </c>
      <c r="BT18" s="17" t="n">
        <v>99</v>
      </c>
      <c r="BU18" s="17" t="n">
        <v>142386</v>
      </c>
      <c r="BV18" s="17" t="n">
        <v>143882</v>
      </c>
      <c r="BW18" s="17" t="n">
        <v>70501660</v>
      </c>
      <c r="BX18" s="17" t="n">
        <v>162063</v>
      </c>
      <c r="BY18" s="17" t="n">
        <v>6348</v>
      </c>
    </row>
    <row r="19">
      <c r="A19" s="17" t="inlineStr">
        <is>
          <t>Group</t>
        </is>
      </c>
      <c r="B19" s="17" t="inlineStr">
        <is>
          <t>Entity A1</t>
        </is>
      </c>
      <c r="C19" s="17" t="inlineStr">
        <is>
          <t>Plant 03</t>
        </is>
      </c>
      <c r="D19" s="17" t="inlineStr">
        <is>
          <t>2026-07</t>
        </is>
      </c>
      <c r="E19" s="17" t="n">
        <v>225.4</v>
      </c>
      <c r="F19" s="17" t="n">
        <v>744</v>
      </c>
      <c r="G19" s="17" t="n">
        <v>738</v>
      </c>
      <c r="H19" s="17" t="n">
        <v>697.8</v>
      </c>
      <c r="I19" s="17" t="n">
        <v>30.6</v>
      </c>
      <c r="J19" s="17" t="n">
        <v>166345</v>
      </c>
      <c r="K19" s="17" t="n">
        <v>167698</v>
      </c>
      <c r="L19" s="17" t="n">
        <v>143590</v>
      </c>
      <c r="M19" s="17" t="n">
        <v>147553</v>
      </c>
      <c r="N19" s="17" t="n">
        <v>141110</v>
      </c>
      <c r="O19" s="17" t="n">
        <v>155709</v>
      </c>
      <c r="P19" s="17" t="n">
        <v>36133</v>
      </c>
      <c r="Q19" s="17" t="n">
        <v>30890</v>
      </c>
      <c r="R19" s="17" t="n">
        <v>6897</v>
      </c>
      <c r="S19" s="17" t="n">
        <v>4</v>
      </c>
      <c r="T19" s="17" t="n">
        <v>21.8</v>
      </c>
      <c r="U19" s="17" t="n">
        <v>31</v>
      </c>
      <c r="V19" s="17" t="n">
        <v>30</v>
      </c>
      <c r="W19" s="17" t="n">
        <v>381458.3</v>
      </c>
      <c r="X19" s="17" t="n">
        <v>92438.5</v>
      </c>
      <c r="Y19" s="17" t="n">
        <v>906.9</v>
      </c>
      <c r="Z19" s="17" t="n">
        <v>353704</v>
      </c>
      <c r="AA19" s="17" t="n">
        <v>77990</v>
      </c>
      <c r="AB19" s="17" t="n">
        <v>471001</v>
      </c>
      <c r="AC19" s="17" t="n">
        <v>2225</v>
      </c>
      <c r="AD19" s="17" t="n">
        <v>0</v>
      </c>
      <c r="AE19" s="17" t="n">
        <v>88000</v>
      </c>
      <c r="AF19" s="17" t="n">
        <v>1</v>
      </c>
      <c r="AG19" s="17" t="n">
        <v>0</v>
      </c>
      <c r="AH19" s="17" t="n">
        <v>4</v>
      </c>
      <c r="AI19" s="17" t="n">
        <v>0</v>
      </c>
      <c r="AJ19" s="17" t="n">
        <v>0</v>
      </c>
      <c r="AK19" s="17" t="n">
        <v>0</v>
      </c>
      <c r="AL19" s="17" t="n">
        <v>13</v>
      </c>
      <c r="AM19" s="17" t="n">
        <v>4</v>
      </c>
      <c r="AN19" s="17" t="n">
        <v>0</v>
      </c>
      <c r="AO19" s="17" t="n">
        <v>0</v>
      </c>
      <c r="AP19" s="17" t="n">
        <v>1</v>
      </c>
      <c r="AQ19" s="17" t="n">
        <v>146</v>
      </c>
      <c r="AR19" s="17" t="n">
        <v>12</v>
      </c>
      <c r="AS19" s="17" t="n">
        <v>128</v>
      </c>
      <c r="AT19" s="17" t="n">
        <v>137861</v>
      </c>
      <c r="AU19" s="17" t="n">
        <v>144547</v>
      </c>
      <c r="AV19" s="17" t="n">
        <v>513258.9</v>
      </c>
      <c r="AW19" s="17" t="n">
        <v>543496.7</v>
      </c>
      <c r="AX19" s="17" t="n">
        <v>19162.6</v>
      </c>
      <c r="AY19" s="17" t="n">
        <v>19627.6</v>
      </c>
      <c r="AZ19" s="17" t="n">
        <v>151</v>
      </c>
      <c r="BA19" s="17" t="n">
        <v>142</v>
      </c>
      <c r="BB19" s="17" t="n">
        <v>153075</v>
      </c>
      <c r="BC19" s="17" t="n">
        <v>145391</v>
      </c>
      <c r="BD19" s="17" t="n">
        <v>1747</v>
      </c>
      <c r="BE19" s="17" t="n">
        <v>742</v>
      </c>
      <c r="BF19" s="17" t="n">
        <v>746</v>
      </c>
      <c r="BG19" s="17" t="n">
        <v>193519</v>
      </c>
      <c r="BH19" s="17" t="n">
        <v>59200.1</v>
      </c>
      <c r="BI19" s="17" t="n">
        <v>0</v>
      </c>
      <c r="BJ19" s="17" t="n">
        <v>0</v>
      </c>
      <c r="BK19" s="17" t="n">
        <v>0</v>
      </c>
      <c r="BL19" s="17" t="n">
        <v>0</v>
      </c>
      <c r="BM19" s="17" t="n">
        <v>0</v>
      </c>
      <c r="BN19" s="17" t="n">
        <v>0</v>
      </c>
      <c r="BO19" s="17" t="n">
        <v>0</v>
      </c>
      <c r="BP19" s="17" t="n">
        <v>0</v>
      </c>
      <c r="BQ19" s="17" t="n">
        <v>0</v>
      </c>
      <c r="BR19" s="17" t="n">
        <v>0</v>
      </c>
      <c r="BS19" s="17" t="n">
        <v>0</v>
      </c>
      <c r="BT19" s="17" t="n">
        <v>99</v>
      </c>
      <c r="BU19" s="17" t="n">
        <v>142848</v>
      </c>
      <c r="BV19" s="17" t="n">
        <v>143572</v>
      </c>
      <c r="BW19" s="17" t="n">
        <v>78562315</v>
      </c>
      <c r="BX19" s="17" t="n">
        <v>166345</v>
      </c>
      <c r="BY19" s="17" t="n">
        <v>6659</v>
      </c>
    </row>
    <row r="20">
      <c r="A20" s="17" t="inlineStr">
        <is>
          <t>Group</t>
        </is>
      </c>
      <c r="B20" s="17" t="inlineStr">
        <is>
          <t>Entity A1</t>
        </is>
      </c>
      <c r="C20" s="17" t="inlineStr">
        <is>
          <t>Plant 03</t>
        </is>
      </c>
      <c r="D20" s="17" t="inlineStr">
        <is>
          <t>2026-08</t>
        </is>
      </c>
      <c r="E20" s="17" t="n">
        <v>225.4</v>
      </c>
      <c r="F20" s="17" t="n">
        <v>744</v>
      </c>
      <c r="G20" s="17" t="n">
        <v>744</v>
      </c>
      <c r="H20" s="17" t="n">
        <v>711.9</v>
      </c>
      <c r="I20" s="17" t="n">
        <v>23.6</v>
      </c>
      <c r="J20" s="17" t="n">
        <v>167698</v>
      </c>
      <c r="K20" s="17" t="n">
        <v>167698</v>
      </c>
      <c r="L20" s="17" t="n">
        <v>151538</v>
      </c>
      <c r="M20" s="17" t="n">
        <v>142073</v>
      </c>
      <c r="N20" s="17" t="n">
        <v>138449</v>
      </c>
      <c r="O20" s="17" t="n">
        <v>150347</v>
      </c>
      <c r="P20" s="17" t="n">
        <v>34297</v>
      </c>
      <c r="Q20" s="17" t="n">
        <v>30571</v>
      </c>
      <c r="R20" s="17" t="n">
        <v>5319</v>
      </c>
      <c r="S20" s="17" t="n">
        <v>4</v>
      </c>
      <c r="T20" s="17" t="n">
        <v>21</v>
      </c>
      <c r="U20" s="17" t="n">
        <v>44</v>
      </c>
      <c r="V20" s="17" t="n">
        <v>44</v>
      </c>
      <c r="W20" s="17" t="n">
        <v>423777.7</v>
      </c>
      <c r="X20" s="17" t="n">
        <v>129686.6</v>
      </c>
      <c r="Y20" s="17" t="n">
        <v>1205.6</v>
      </c>
      <c r="Z20" s="17" t="n">
        <v>316694</v>
      </c>
      <c r="AA20" s="17" t="n">
        <v>99207</v>
      </c>
      <c r="AB20" s="17" t="n">
        <v>471761</v>
      </c>
      <c r="AC20" s="17" t="n">
        <v>13634</v>
      </c>
      <c r="AD20" s="17" t="n">
        <v>2</v>
      </c>
      <c r="AE20" s="17" t="n">
        <v>68000</v>
      </c>
      <c r="AF20" s="17" t="n">
        <v>1</v>
      </c>
      <c r="AG20" s="17" t="n">
        <v>0</v>
      </c>
      <c r="AH20" s="17" t="n">
        <v>8</v>
      </c>
      <c r="AI20" s="17" t="n">
        <v>0</v>
      </c>
      <c r="AJ20" s="17" t="n">
        <v>0</v>
      </c>
      <c r="AK20" s="17" t="n">
        <v>0</v>
      </c>
      <c r="AL20" s="17" t="n">
        <v>5</v>
      </c>
      <c r="AM20" s="17" t="n">
        <v>0</v>
      </c>
      <c r="AN20" s="17" t="n">
        <v>2</v>
      </c>
      <c r="AO20" s="17" t="n">
        <v>1</v>
      </c>
      <c r="AP20" s="17" t="n">
        <v>1</v>
      </c>
      <c r="AQ20" s="17" t="n">
        <v>123</v>
      </c>
      <c r="AR20" s="17" t="n">
        <v>4</v>
      </c>
      <c r="AS20" s="17" t="n">
        <v>98</v>
      </c>
      <c r="AT20" s="17" t="n">
        <v>139886</v>
      </c>
      <c r="AU20" s="17" t="n">
        <v>151878</v>
      </c>
      <c r="AV20" s="17" t="n">
        <v>526978.8</v>
      </c>
      <c r="AW20" s="17" t="n">
        <v>571061.3</v>
      </c>
      <c r="AX20" s="17" t="n">
        <v>28405.2</v>
      </c>
      <c r="AY20" s="17" t="n">
        <v>18744.5</v>
      </c>
      <c r="AZ20" s="17" t="n">
        <v>248</v>
      </c>
      <c r="BA20" s="17" t="n">
        <v>223</v>
      </c>
      <c r="BB20" s="17" t="n">
        <v>146756</v>
      </c>
      <c r="BC20" s="17" t="n">
        <v>142333</v>
      </c>
      <c r="BD20" s="17" t="n">
        <v>2489</v>
      </c>
      <c r="BE20" s="17" t="n">
        <v>1106</v>
      </c>
      <c r="BF20" s="17" t="n">
        <v>1140</v>
      </c>
      <c r="BG20" s="17" t="n">
        <v>217007.7</v>
      </c>
      <c r="BH20" s="17" t="n">
        <v>72740.3</v>
      </c>
      <c r="BI20" s="17" t="n">
        <v>0</v>
      </c>
      <c r="BJ20" s="17" t="n">
        <v>0</v>
      </c>
      <c r="BK20" s="17" t="n">
        <v>0</v>
      </c>
      <c r="BL20" s="17" t="n">
        <v>0</v>
      </c>
      <c r="BM20" s="17" t="n">
        <v>1</v>
      </c>
      <c r="BN20" s="17" t="n">
        <v>0</v>
      </c>
      <c r="BO20" s="17" t="n">
        <v>0</v>
      </c>
      <c r="BP20" s="17" t="n">
        <v>0</v>
      </c>
      <c r="BQ20" s="17" t="n">
        <v>0</v>
      </c>
      <c r="BR20" s="17" t="n">
        <v>0</v>
      </c>
      <c r="BS20" s="17" t="n">
        <v>0</v>
      </c>
      <c r="BT20" s="17" t="n">
        <v>99</v>
      </c>
      <c r="BU20" s="17" t="n">
        <v>151066</v>
      </c>
      <c r="BV20" s="17" t="n">
        <v>152573</v>
      </c>
      <c r="BW20" s="17" t="n">
        <v>74498932</v>
      </c>
      <c r="BX20" s="17" t="n">
        <v>167698</v>
      </c>
      <c r="BY20" s="17" t="n">
        <v>4955</v>
      </c>
    </row>
    <row r="21">
      <c r="A21" s="17" t="inlineStr">
        <is>
          <t>Group</t>
        </is>
      </c>
      <c r="B21" s="17" t="inlineStr">
        <is>
          <t>Entity A1</t>
        </is>
      </c>
      <c r="C21" s="17" t="inlineStr">
        <is>
          <t>Plant 03</t>
        </is>
      </c>
      <c r="D21" s="17" t="inlineStr">
        <is>
          <t>2026-09</t>
        </is>
      </c>
      <c r="E21" s="17" t="n">
        <v>225.4</v>
      </c>
      <c r="F21" s="17" t="n">
        <v>720</v>
      </c>
      <c r="G21" s="17" t="n">
        <v>719</v>
      </c>
      <c r="H21" s="17" t="n">
        <v>695.4</v>
      </c>
      <c r="I21" s="17" t="n">
        <v>12.3</v>
      </c>
      <c r="J21" s="17" t="n">
        <v>162063</v>
      </c>
      <c r="K21" s="17" t="n">
        <v>162288</v>
      </c>
      <c r="L21" s="17" t="n">
        <v>140379</v>
      </c>
      <c r="M21" s="17" t="n">
        <v>145600</v>
      </c>
      <c r="N21" s="17" t="n">
        <v>139711</v>
      </c>
      <c r="O21" s="17" t="n">
        <v>154604</v>
      </c>
      <c r="P21" s="17" t="n">
        <v>36789</v>
      </c>
      <c r="Q21" s="17" t="n">
        <v>31527</v>
      </c>
      <c r="R21" s="17" t="n">
        <v>2772</v>
      </c>
      <c r="S21" s="17" t="n">
        <v>2</v>
      </c>
      <c r="T21" s="17" t="n">
        <v>8.800000000000001</v>
      </c>
      <c r="U21" s="17" t="n">
        <v>58</v>
      </c>
      <c r="V21" s="17" t="n">
        <v>58</v>
      </c>
      <c r="W21" s="17" t="n">
        <v>365860.2</v>
      </c>
      <c r="X21" s="17" t="n">
        <v>97272</v>
      </c>
      <c r="Y21" s="17" t="n">
        <v>1454.1</v>
      </c>
      <c r="Z21" s="17" t="n">
        <v>346844</v>
      </c>
      <c r="AA21" s="17" t="n">
        <v>91566</v>
      </c>
      <c r="AB21" s="17" t="n">
        <v>496742</v>
      </c>
      <c r="AC21" s="17" t="n">
        <v>2939</v>
      </c>
      <c r="AD21" s="17" t="n">
        <v>1</v>
      </c>
      <c r="AE21" s="17" t="n">
        <v>69000</v>
      </c>
      <c r="AF21" s="17" t="n">
        <v>1</v>
      </c>
      <c r="AG21" s="17" t="n">
        <v>0</v>
      </c>
      <c r="AH21" s="17" t="n">
        <v>9</v>
      </c>
      <c r="AI21" s="17" t="n">
        <v>0</v>
      </c>
      <c r="AJ21" s="17" t="n">
        <v>0</v>
      </c>
      <c r="AK21" s="17" t="n">
        <v>0</v>
      </c>
      <c r="AL21" s="17" t="n">
        <v>8</v>
      </c>
      <c r="AM21" s="17" t="n">
        <v>2</v>
      </c>
      <c r="AN21" s="17" t="n">
        <v>0</v>
      </c>
      <c r="AO21" s="17" t="n">
        <v>0</v>
      </c>
      <c r="AP21" s="17" t="n">
        <v>1</v>
      </c>
      <c r="AQ21" s="17" t="n">
        <v>214</v>
      </c>
      <c r="AR21" s="17" t="n">
        <v>16</v>
      </c>
      <c r="AS21" s="17" t="n">
        <v>68</v>
      </c>
      <c r="AT21" s="17" t="n">
        <v>135965</v>
      </c>
      <c r="AU21" s="17" t="n">
        <v>140098</v>
      </c>
      <c r="AV21" s="17" t="n">
        <v>508764.6</v>
      </c>
      <c r="AW21" s="17" t="n">
        <v>526768.5</v>
      </c>
      <c r="AX21" s="17" t="n">
        <v>21839.8</v>
      </c>
      <c r="AY21" s="17" t="n">
        <v>19282.9</v>
      </c>
      <c r="AZ21" s="17" t="n">
        <v>290</v>
      </c>
      <c r="BA21" s="17" t="n">
        <v>268</v>
      </c>
      <c r="BB21" s="17" t="n">
        <v>150109</v>
      </c>
      <c r="BC21" s="17" t="n">
        <v>146024</v>
      </c>
      <c r="BD21" s="17" t="n">
        <v>907</v>
      </c>
      <c r="BE21" s="17" t="n">
        <v>1232</v>
      </c>
      <c r="BF21" s="17" t="n">
        <v>1261</v>
      </c>
      <c r="BG21" s="17" t="n">
        <v>209913.3</v>
      </c>
      <c r="BH21" s="17" t="n">
        <v>64451.6</v>
      </c>
      <c r="BI21" s="17" t="n">
        <v>0</v>
      </c>
      <c r="BJ21" s="17" t="n">
        <v>0</v>
      </c>
      <c r="BK21" s="17" t="n">
        <v>1</v>
      </c>
      <c r="BL21" s="17" t="n">
        <v>0</v>
      </c>
      <c r="BM21" s="17" t="n">
        <v>0</v>
      </c>
      <c r="BN21" s="17" t="n">
        <v>0</v>
      </c>
      <c r="BO21" s="17" t="n">
        <v>0</v>
      </c>
      <c r="BP21" s="17" t="n">
        <v>0</v>
      </c>
      <c r="BQ21" s="17" t="n">
        <v>0</v>
      </c>
      <c r="BR21" s="17" t="n">
        <v>0</v>
      </c>
      <c r="BS21" s="17" t="n">
        <v>0</v>
      </c>
      <c r="BT21" s="17" t="n">
        <v>99</v>
      </c>
      <c r="BU21" s="17" t="n">
        <v>141499</v>
      </c>
      <c r="BV21" s="17" t="n">
        <v>143032</v>
      </c>
      <c r="BW21" s="17" t="n">
        <v>79830315</v>
      </c>
      <c r="BX21" s="17" t="n">
        <v>162063</v>
      </c>
      <c r="BY21" s="17" t="n">
        <v>2511</v>
      </c>
    </row>
    <row r="22">
      <c r="A22" s="17" t="inlineStr">
        <is>
          <t>Group</t>
        </is>
      </c>
      <c r="B22" s="17" t="inlineStr">
        <is>
          <t>Entity A2</t>
        </is>
      </c>
      <c r="C22" s="17" t="inlineStr">
        <is>
          <t>Plant 04</t>
        </is>
      </c>
      <c r="D22" s="17" t="inlineStr">
        <is>
          <t>2026-04</t>
        </is>
      </c>
      <c r="E22" s="17" t="n">
        <v>126.8</v>
      </c>
      <c r="F22" s="17" t="n">
        <v>720</v>
      </c>
      <c r="G22" s="17" t="n">
        <v>717</v>
      </c>
      <c r="H22" s="17" t="n">
        <v>688.4</v>
      </c>
      <c r="I22" s="17" t="n">
        <v>13.3</v>
      </c>
      <c r="J22" s="17" t="n">
        <v>90916</v>
      </c>
      <c r="K22" s="17" t="n">
        <v>91296</v>
      </c>
      <c r="L22" s="17" t="n">
        <v>79171</v>
      </c>
      <c r="M22" s="17" t="n">
        <v>79525</v>
      </c>
      <c r="N22" s="17" t="n">
        <v>77084</v>
      </c>
      <c r="O22" s="17" t="n">
        <v>83058</v>
      </c>
      <c r="P22" s="17" t="n">
        <v>18101</v>
      </c>
      <c r="Q22" s="17" t="n">
        <v>16015</v>
      </c>
      <c r="R22" s="17" t="n">
        <v>1686</v>
      </c>
      <c r="S22" s="17" t="n">
        <v>2</v>
      </c>
      <c r="T22" s="17" t="n">
        <v>6.8</v>
      </c>
      <c r="U22" s="17" t="n">
        <v>46</v>
      </c>
      <c r="V22" s="17" t="n">
        <v>43</v>
      </c>
      <c r="W22" s="17" t="n">
        <v>238202.9</v>
      </c>
      <c r="X22" s="17" t="n">
        <v>62768.6</v>
      </c>
      <c r="Y22" s="17" t="n">
        <v>1114.8</v>
      </c>
      <c r="Z22" s="17" t="n">
        <v>186852</v>
      </c>
      <c r="AA22" s="17" t="n">
        <v>47773</v>
      </c>
      <c r="AB22" s="17" t="n">
        <v>263207</v>
      </c>
      <c r="AC22" s="17" t="n">
        <v>29</v>
      </c>
      <c r="AD22" s="17" t="n">
        <v>0</v>
      </c>
      <c r="AE22" s="17" t="n">
        <v>82000</v>
      </c>
      <c r="AF22" s="17" t="n">
        <v>0</v>
      </c>
      <c r="AG22" s="17" t="n">
        <v>0</v>
      </c>
      <c r="AH22" s="17" t="n">
        <v>5</v>
      </c>
      <c r="AI22" s="17" t="n">
        <v>0</v>
      </c>
      <c r="AJ22" s="17" t="n">
        <v>0</v>
      </c>
      <c r="AK22" s="17" t="n">
        <v>0</v>
      </c>
      <c r="AL22" s="17" t="n">
        <v>14</v>
      </c>
      <c r="AM22" s="17" t="n">
        <v>4</v>
      </c>
      <c r="AN22" s="17" t="n">
        <v>2</v>
      </c>
      <c r="AO22" s="17" t="n">
        <v>1</v>
      </c>
      <c r="AP22" s="17" t="n">
        <v>2</v>
      </c>
      <c r="AQ22" s="17" t="n">
        <v>243</v>
      </c>
      <c r="AR22" s="17" t="n">
        <v>21</v>
      </c>
      <c r="AS22" s="17" t="n">
        <v>369</v>
      </c>
      <c r="AT22" s="17" t="n">
        <v>78225</v>
      </c>
      <c r="AU22" s="17" t="n">
        <v>79795</v>
      </c>
      <c r="AV22" s="17" t="n">
        <v>292752.8</v>
      </c>
      <c r="AW22" s="17" t="n">
        <v>300029.2</v>
      </c>
      <c r="AX22" s="17" t="n">
        <v>12037.8</v>
      </c>
      <c r="AY22" s="17" t="n">
        <v>10982</v>
      </c>
      <c r="AZ22" s="17" t="n">
        <v>185</v>
      </c>
      <c r="BA22" s="17" t="n">
        <v>171</v>
      </c>
      <c r="BB22" s="17" t="n">
        <v>85445</v>
      </c>
      <c r="BC22" s="17" t="n">
        <v>81285</v>
      </c>
      <c r="BD22" s="17" t="n">
        <v>817</v>
      </c>
      <c r="BE22" s="17" t="n">
        <v>910</v>
      </c>
      <c r="BF22" s="17" t="n">
        <v>944</v>
      </c>
      <c r="BG22" s="17" t="n">
        <v>138709</v>
      </c>
      <c r="BH22" s="17" t="n">
        <v>42357</v>
      </c>
      <c r="BI22" s="17" t="n">
        <v>0</v>
      </c>
      <c r="BJ22" s="17" t="n">
        <v>1</v>
      </c>
      <c r="BK22" s="17" t="n">
        <v>0</v>
      </c>
      <c r="BL22" s="17" t="n">
        <v>0</v>
      </c>
      <c r="BM22" s="17" t="n">
        <v>0</v>
      </c>
      <c r="BN22" s="17" t="n">
        <v>0</v>
      </c>
      <c r="BO22" s="17" t="n">
        <v>0</v>
      </c>
      <c r="BP22" s="17" t="n">
        <v>0</v>
      </c>
      <c r="BQ22" s="17" t="n">
        <v>0</v>
      </c>
      <c r="BR22" s="17" t="n">
        <v>0</v>
      </c>
      <c r="BS22" s="17" t="n">
        <v>0</v>
      </c>
      <c r="BT22" s="17" t="n">
        <v>99</v>
      </c>
      <c r="BU22" s="17" t="n">
        <v>80201</v>
      </c>
      <c r="BV22" s="17" t="n">
        <v>80236</v>
      </c>
      <c r="BW22" s="17" t="n">
        <v>22408244</v>
      </c>
      <c r="BX22" s="17" t="n">
        <v>90916</v>
      </c>
      <c r="BY22" s="17" t="n">
        <v>1762</v>
      </c>
    </row>
    <row r="23">
      <c r="A23" s="17" t="inlineStr">
        <is>
          <t>Group</t>
        </is>
      </c>
      <c r="B23" s="17" t="inlineStr">
        <is>
          <t>Entity A2</t>
        </is>
      </c>
      <c r="C23" s="17" t="inlineStr">
        <is>
          <t>Plant 04</t>
        </is>
      </c>
      <c r="D23" s="17" t="inlineStr">
        <is>
          <t>2026-05</t>
        </is>
      </c>
      <c r="E23" s="17" t="n">
        <v>126.8</v>
      </c>
      <c r="F23" s="17" t="n">
        <v>744</v>
      </c>
      <c r="G23" s="17" t="n">
        <v>744</v>
      </c>
      <c r="H23" s="17" t="n">
        <v>690.2</v>
      </c>
      <c r="I23" s="17" t="n">
        <v>40.9</v>
      </c>
      <c r="J23" s="17" t="n">
        <v>94339</v>
      </c>
      <c r="K23" s="17" t="n">
        <v>94339</v>
      </c>
      <c r="L23" s="17" t="n">
        <v>84525</v>
      </c>
      <c r="M23" s="17" t="n">
        <v>77136</v>
      </c>
      <c r="N23" s="17" t="n">
        <v>76321</v>
      </c>
      <c r="O23" s="17" t="n">
        <v>83199</v>
      </c>
      <c r="P23" s="17" t="n">
        <v>16003</v>
      </c>
      <c r="Q23" s="17" t="n">
        <v>14046</v>
      </c>
      <c r="R23" s="17" t="n">
        <v>5186</v>
      </c>
      <c r="S23" s="17" t="n">
        <v>4</v>
      </c>
      <c r="T23" s="17" t="n">
        <v>31.1</v>
      </c>
      <c r="U23" s="17" t="n">
        <v>39</v>
      </c>
      <c r="V23" s="17" t="n">
        <v>39</v>
      </c>
      <c r="W23" s="17" t="n">
        <v>233996.7</v>
      </c>
      <c r="X23" s="17" t="n">
        <v>64991.9</v>
      </c>
      <c r="Y23" s="17" t="n">
        <v>1447.4</v>
      </c>
      <c r="Z23" s="17" t="n">
        <v>165220</v>
      </c>
      <c r="AA23" s="17" t="n">
        <v>55497</v>
      </c>
      <c r="AB23" s="17" t="n">
        <v>234243</v>
      </c>
      <c r="AC23" s="17" t="n">
        <v>10015</v>
      </c>
      <c r="AD23" s="17" t="n">
        <v>0</v>
      </c>
      <c r="AE23" s="17" t="n">
        <v>78000</v>
      </c>
      <c r="AF23" s="17" t="n">
        <v>2</v>
      </c>
      <c r="AG23" s="17" t="n">
        <v>0</v>
      </c>
      <c r="AH23" s="17" t="n">
        <v>8</v>
      </c>
      <c r="AI23" s="17" t="n">
        <v>0</v>
      </c>
      <c r="AJ23" s="17" t="n">
        <v>0</v>
      </c>
      <c r="AK23" s="17" t="n">
        <v>0</v>
      </c>
      <c r="AL23" s="17" t="n">
        <v>14</v>
      </c>
      <c r="AM23" s="17" t="n">
        <v>4</v>
      </c>
      <c r="AN23" s="17" t="n">
        <v>1</v>
      </c>
      <c r="AO23" s="17" t="n">
        <v>1</v>
      </c>
      <c r="AP23" s="17" t="n">
        <v>2</v>
      </c>
      <c r="AQ23" s="17" t="n">
        <v>142</v>
      </c>
      <c r="AR23" s="17" t="n">
        <v>12</v>
      </c>
      <c r="AS23" s="17" t="n">
        <v>339</v>
      </c>
      <c r="AT23" s="17" t="n">
        <v>76384</v>
      </c>
      <c r="AU23" s="17" t="n">
        <v>84435</v>
      </c>
      <c r="AV23" s="17" t="n">
        <v>286207.4</v>
      </c>
      <c r="AW23" s="17" t="n">
        <v>317475.6</v>
      </c>
      <c r="AX23" s="17" t="n">
        <v>12579.9</v>
      </c>
      <c r="AY23" s="17" t="n">
        <v>10522.7</v>
      </c>
      <c r="AZ23" s="17" t="n">
        <v>256</v>
      </c>
      <c r="BA23" s="17" t="n">
        <v>244</v>
      </c>
      <c r="BB23" s="17" t="n">
        <v>81385</v>
      </c>
      <c r="BC23" s="17" t="n">
        <v>76900</v>
      </c>
      <c r="BD23" s="17" t="n">
        <v>1273</v>
      </c>
      <c r="BE23" s="17" t="n">
        <v>868</v>
      </c>
      <c r="BF23" s="17" t="n">
        <v>864</v>
      </c>
      <c r="BG23" s="17" t="n">
        <v>134793.4</v>
      </c>
      <c r="BH23" s="17" t="n">
        <v>42151.6</v>
      </c>
      <c r="BI23" s="17" t="n">
        <v>0</v>
      </c>
      <c r="BJ23" s="17" t="n">
        <v>1</v>
      </c>
      <c r="BK23" s="17" t="n">
        <v>0</v>
      </c>
      <c r="BL23" s="17" t="n">
        <v>0</v>
      </c>
      <c r="BM23" s="17" t="n">
        <v>0</v>
      </c>
      <c r="BN23" s="17" t="n">
        <v>0</v>
      </c>
      <c r="BO23" s="17" t="n">
        <v>1</v>
      </c>
      <c r="BP23" s="17" t="n">
        <v>0</v>
      </c>
      <c r="BQ23" s="17" t="n">
        <v>0</v>
      </c>
      <c r="BR23" s="17" t="n">
        <v>0</v>
      </c>
      <c r="BS23" s="17" t="n">
        <v>0</v>
      </c>
      <c r="BT23" s="17" t="n">
        <v>99</v>
      </c>
      <c r="BU23" s="17" t="n">
        <v>84694</v>
      </c>
      <c r="BV23" s="17" t="n">
        <v>86072</v>
      </c>
      <c r="BW23" s="17" t="n">
        <v>29628619</v>
      </c>
      <c r="BX23" s="17" t="n">
        <v>94339</v>
      </c>
      <c r="BY23" s="17" t="n">
        <v>5194</v>
      </c>
    </row>
    <row r="24">
      <c r="A24" s="17" t="inlineStr">
        <is>
          <t>Group</t>
        </is>
      </c>
      <c r="B24" s="17" t="inlineStr">
        <is>
          <t>Entity A2</t>
        </is>
      </c>
      <c r="C24" s="17" t="inlineStr">
        <is>
          <t>Plant 04</t>
        </is>
      </c>
      <c r="D24" s="17" t="inlineStr">
        <is>
          <t>2026-06</t>
        </is>
      </c>
      <c r="E24" s="17" t="n">
        <v>126.8</v>
      </c>
      <c r="F24" s="17" t="n">
        <v>720</v>
      </c>
      <c r="G24" s="17" t="n">
        <v>715</v>
      </c>
      <c r="H24" s="17" t="n">
        <v>673.8</v>
      </c>
      <c r="I24" s="17" t="n">
        <v>33.6</v>
      </c>
      <c r="J24" s="17" t="n">
        <v>90662</v>
      </c>
      <c r="K24" s="17" t="n">
        <v>91296</v>
      </c>
      <c r="L24" s="17" t="n">
        <v>81891</v>
      </c>
      <c r="M24" s="17" t="n">
        <v>77095</v>
      </c>
      <c r="N24" s="17" t="n">
        <v>75177</v>
      </c>
      <c r="O24" s="17" t="n">
        <v>82906</v>
      </c>
      <c r="P24" s="17" t="n">
        <v>14930</v>
      </c>
      <c r="Q24" s="17" t="n">
        <v>13568</v>
      </c>
      <c r="R24" s="17" t="n">
        <v>4260</v>
      </c>
      <c r="S24" s="17" t="n">
        <v>3</v>
      </c>
      <c r="T24" s="17" t="n">
        <v>25.4</v>
      </c>
      <c r="U24" s="17" t="n">
        <v>57</v>
      </c>
      <c r="V24" s="17" t="n">
        <v>54</v>
      </c>
      <c r="W24" s="17" t="n">
        <v>245128.1</v>
      </c>
      <c r="X24" s="17" t="n">
        <v>77698.3</v>
      </c>
      <c r="Y24" s="17" t="n">
        <v>915.1</v>
      </c>
      <c r="Z24" s="17" t="n">
        <v>135852</v>
      </c>
      <c r="AA24" s="17" t="n">
        <v>41790</v>
      </c>
      <c r="AB24" s="17" t="n">
        <v>240232</v>
      </c>
      <c r="AC24" s="17" t="n">
        <v>6867</v>
      </c>
      <c r="AD24" s="17" t="n">
        <v>0</v>
      </c>
      <c r="AE24" s="17" t="n">
        <v>61000</v>
      </c>
      <c r="AF24" s="17" t="n">
        <v>0</v>
      </c>
      <c r="AG24" s="17" t="n">
        <v>0</v>
      </c>
      <c r="AH24" s="17" t="n">
        <v>11</v>
      </c>
      <c r="AI24" s="17" t="n">
        <v>0</v>
      </c>
      <c r="AJ24" s="17" t="n">
        <v>0</v>
      </c>
      <c r="AK24" s="17" t="n">
        <v>0</v>
      </c>
      <c r="AL24" s="17" t="n">
        <v>7</v>
      </c>
      <c r="AM24" s="17" t="n">
        <v>1</v>
      </c>
      <c r="AN24" s="17" t="n">
        <v>2</v>
      </c>
      <c r="AO24" s="17" t="n">
        <v>2</v>
      </c>
      <c r="AP24" s="17" t="n">
        <v>0</v>
      </c>
      <c r="AQ24" s="17" t="n">
        <v>162</v>
      </c>
      <c r="AR24" s="17" t="n">
        <v>12</v>
      </c>
      <c r="AS24" s="17" t="n">
        <v>309</v>
      </c>
      <c r="AT24" s="17" t="n">
        <v>73486</v>
      </c>
      <c r="AU24" s="17" t="n">
        <v>81728</v>
      </c>
      <c r="AV24" s="17" t="n">
        <v>279181.4</v>
      </c>
      <c r="AW24" s="17" t="n">
        <v>307297.3</v>
      </c>
      <c r="AX24" s="17" t="n">
        <v>13248</v>
      </c>
      <c r="AY24" s="17" t="n">
        <v>10780</v>
      </c>
      <c r="AZ24" s="17" t="n">
        <v>260</v>
      </c>
      <c r="BA24" s="17" t="n">
        <v>244</v>
      </c>
      <c r="BB24" s="17" t="n">
        <v>82921</v>
      </c>
      <c r="BC24" s="17" t="n">
        <v>80610</v>
      </c>
      <c r="BD24" s="17" t="n">
        <v>1193</v>
      </c>
      <c r="BE24" s="17" t="n">
        <v>616</v>
      </c>
      <c r="BF24" s="17" t="n">
        <v>612</v>
      </c>
      <c r="BG24" s="17" t="n">
        <v>125625</v>
      </c>
      <c r="BH24" s="17" t="n">
        <v>45178.6</v>
      </c>
      <c r="BI24" s="17" t="n">
        <v>0</v>
      </c>
      <c r="BJ24" s="17" t="n">
        <v>0</v>
      </c>
      <c r="BK24" s="17" t="n">
        <v>0</v>
      </c>
      <c r="BL24" s="17" t="n">
        <v>0</v>
      </c>
      <c r="BM24" s="17" t="n">
        <v>1</v>
      </c>
      <c r="BN24" s="17" t="n">
        <v>0</v>
      </c>
      <c r="BO24" s="17" t="n">
        <v>0</v>
      </c>
      <c r="BP24" s="17" t="n">
        <v>0</v>
      </c>
      <c r="BQ24" s="17" t="n">
        <v>0</v>
      </c>
      <c r="BR24" s="17" t="n">
        <v>0</v>
      </c>
      <c r="BS24" s="17" t="n">
        <v>0</v>
      </c>
      <c r="BT24" s="17" t="n">
        <v>99</v>
      </c>
      <c r="BU24" s="17" t="n">
        <v>82984</v>
      </c>
      <c r="BV24" s="17" t="n">
        <v>84868</v>
      </c>
      <c r="BW24" s="17" t="n">
        <v>28287238</v>
      </c>
      <c r="BX24" s="17" t="n">
        <v>90662</v>
      </c>
      <c r="BY24" s="17" t="n">
        <v>3740</v>
      </c>
    </row>
    <row r="25">
      <c r="A25" s="17" t="inlineStr">
        <is>
          <t>Group</t>
        </is>
      </c>
      <c r="B25" s="17" t="inlineStr">
        <is>
          <t>Entity A2</t>
        </is>
      </c>
      <c r="C25" s="17" t="inlineStr">
        <is>
          <t>Plant 04</t>
        </is>
      </c>
      <c r="D25" s="17" t="inlineStr">
        <is>
          <t>2026-07</t>
        </is>
      </c>
      <c r="E25" s="17" t="n">
        <v>126.8</v>
      </c>
      <c r="F25" s="17" t="n">
        <v>744</v>
      </c>
      <c r="G25" s="17" t="n">
        <v>741</v>
      </c>
      <c r="H25" s="17" t="n">
        <v>708.1</v>
      </c>
      <c r="I25" s="17" t="n">
        <v>22</v>
      </c>
      <c r="J25" s="17" t="n">
        <v>93959</v>
      </c>
      <c r="K25" s="17" t="n">
        <v>94339</v>
      </c>
      <c r="L25" s="17" t="n">
        <v>82701</v>
      </c>
      <c r="M25" s="17" t="n">
        <v>79759</v>
      </c>
      <c r="N25" s="17" t="n">
        <v>77695</v>
      </c>
      <c r="O25" s="17" t="n">
        <v>82058</v>
      </c>
      <c r="P25" s="17" t="n">
        <v>17436</v>
      </c>
      <c r="Q25" s="17" t="n">
        <v>14929</v>
      </c>
      <c r="R25" s="17" t="n">
        <v>2790</v>
      </c>
      <c r="S25" s="17" t="n">
        <v>4</v>
      </c>
      <c r="T25" s="17" t="n">
        <v>15.4</v>
      </c>
      <c r="U25" s="17" t="n">
        <v>51</v>
      </c>
      <c r="V25" s="17" t="n">
        <v>49</v>
      </c>
      <c r="W25" s="17" t="n">
        <v>257344</v>
      </c>
      <c r="X25" s="17" t="n">
        <v>81305.8</v>
      </c>
      <c r="Y25" s="17" t="n">
        <v>1342.1</v>
      </c>
      <c r="Z25" s="17" t="n">
        <v>154581</v>
      </c>
      <c r="AA25" s="17" t="n">
        <v>45272</v>
      </c>
      <c r="AB25" s="17" t="n">
        <v>243309</v>
      </c>
      <c r="AC25" s="17" t="n">
        <v>5005</v>
      </c>
      <c r="AD25" s="17" t="n">
        <v>1</v>
      </c>
      <c r="AE25" s="17" t="n">
        <v>62000</v>
      </c>
      <c r="AF25" s="17" t="n">
        <v>0</v>
      </c>
      <c r="AG25" s="17" t="n">
        <v>1</v>
      </c>
      <c r="AH25" s="17" t="n">
        <v>4</v>
      </c>
      <c r="AI25" s="17" t="n">
        <v>0</v>
      </c>
      <c r="AJ25" s="17" t="n">
        <v>1</v>
      </c>
      <c r="AK25" s="17" t="n">
        <v>0</v>
      </c>
      <c r="AL25" s="17" t="n">
        <v>13</v>
      </c>
      <c r="AM25" s="17" t="n">
        <v>2</v>
      </c>
      <c r="AN25" s="17" t="n">
        <v>0</v>
      </c>
      <c r="AO25" s="17" t="n">
        <v>0</v>
      </c>
      <c r="AP25" s="17" t="n">
        <v>1</v>
      </c>
      <c r="AQ25" s="17" t="n">
        <v>184</v>
      </c>
      <c r="AR25" s="17" t="n">
        <v>16</v>
      </c>
      <c r="AS25" s="17" t="n">
        <v>279</v>
      </c>
      <c r="AT25" s="17" t="n">
        <v>77247</v>
      </c>
      <c r="AU25" s="17" t="n">
        <v>82056</v>
      </c>
      <c r="AV25" s="17" t="n">
        <v>291169.2</v>
      </c>
      <c r="AW25" s="17" t="n">
        <v>308530.6</v>
      </c>
      <c r="AX25" s="17" t="n">
        <v>13722.7</v>
      </c>
      <c r="AY25" s="17" t="n">
        <v>11010.1</v>
      </c>
      <c r="AZ25" s="17" t="n">
        <v>185</v>
      </c>
      <c r="BA25" s="17" t="n">
        <v>171</v>
      </c>
      <c r="BB25" s="17" t="n">
        <v>79610</v>
      </c>
      <c r="BC25" s="17" t="n">
        <v>75439</v>
      </c>
      <c r="BD25" s="17" t="n">
        <v>478</v>
      </c>
      <c r="BE25" s="17" t="n">
        <v>966</v>
      </c>
      <c r="BF25" s="17" t="n">
        <v>950</v>
      </c>
      <c r="BG25" s="17" t="n">
        <v>140730.1</v>
      </c>
      <c r="BH25" s="17" t="n">
        <v>45590.2</v>
      </c>
      <c r="BI25" s="17" t="n">
        <v>0</v>
      </c>
      <c r="BJ25" s="17" t="n">
        <v>0</v>
      </c>
      <c r="BK25" s="17" t="n">
        <v>1</v>
      </c>
      <c r="BL25" s="17" t="n">
        <v>0</v>
      </c>
      <c r="BM25" s="17" t="n">
        <v>1</v>
      </c>
      <c r="BN25" s="17" t="n">
        <v>0</v>
      </c>
      <c r="BO25" s="17" t="n">
        <v>0</v>
      </c>
      <c r="BP25" s="17" t="n">
        <v>0</v>
      </c>
      <c r="BQ25" s="17" t="n">
        <v>0</v>
      </c>
      <c r="BR25" s="17" t="n">
        <v>0</v>
      </c>
      <c r="BS25" s="17" t="n">
        <v>0</v>
      </c>
      <c r="BT25" s="17" t="n">
        <v>99</v>
      </c>
      <c r="BU25" s="17" t="n">
        <v>83335</v>
      </c>
      <c r="BV25" s="17" t="n">
        <v>83508</v>
      </c>
      <c r="BW25" s="17" t="n">
        <v>27394770</v>
      </c>
      <c r="BX25" s="17" t="n">
        <v>93959</v>
      </c>
      <c r="BY25" s="17" t="n">
        <v>3147</v>
      </c>
    </row>
    <row r="26">
      <c r="A26" s="17" t="inlineStr">
        <is>
          <t>Group</t>
        </is>
      </c>
      <c r="B26" s="17" t="inlineStr">
        <is>
          <t>Entity A2</t>
        </is>
      </c>
      <c r="C26" s="17" t="inlineStr">
        <is>
          <t>Plant 04</t>
        </is>
      </c>
      <c r="D26" s="17" t="inlineStr">
        <is>
          <t>2026-08</t>
        </is>
      </c>
      <c r="E26" s="17" t="n">
        <v>126.8</v>
      </c>
      <c r="F26" s="17" t="n">
        <v>744</v>
      </c>
      <c r="G26" s="17" t="n">
        <v>679</v>
      </c>
      <c r="H26" s="17" t="n">
        <v>649.4</v>
      </c>
      <c r="I26" s="17" t="n">
        <v>9.4</v>
      </c>
      <c r="J26" s="17" t="n">
        <v>86097</v>
      </c>
      <c r="K26" s="17" t="n">
        <v>94339</v>
      </c>
      <c r="L26" s="17" t="n">
        <v>76728</v>
      </c>
      <c r="M26" s="17" t="n">
        <v>78482</v>
      </c>
      <c r="N26" s="17" t="n">
        <v>77594</v>
      </c>
      <c r="O26" s="17" t="n">
        <v>84729</v>
      </c>
      <c r="P26" s="17" t="n">
        <v>18910</v>
      </c>
      <c r="Q26" s="17" t="n">
        <v>16857</v>
      </c>
      <c r="R26" s="17" t="n">
        <v>1192</v>
      </c>
      <c r="S26" s="17" t="n">
        <v>1</v>
      </c>
      <c r="T26" s="17" t="n">
        <v>4.1</v>
      </c>
      <c r="U26" s="17" t="n">
        <v>34</v>
      </c>
      <c r="V26" s="17" t="n">
        <v>33</v>
      </c>
      <c r="W26" s="17" t="n">
        <v>220843.7</v>
      </c>
      <c r="X26" s="17" t="n">
        <v>64490.9</v>
      </c>
      <c r="Y26" s="17" t="n">
        <v>1234.9</v>
      </c>
      <c r="Z26" s="17" t="n">
        <v>184195</v>
      </c>
      <c r="AA26" s="17" t="n">
        <v>53673</v>
      </c>
      <c r="AB26" s="17" t="n">
        <v>235582</v>
      </c>
      <c r="AC26" s="17" t="n">
        <v>806</v>
      </c>
      <c r="AD26" s="17" t="n">
        <v>0</v>
      </c>
      <c r="AE26" s="17" t="n">
        <v>70000</v>
      </c>
      <c r="AF26" s="17" t="n">
        <v>0</v>
      </c>
      <c r="AG26" s="17" t="n">
        <v>0</v>
      </c>
      <c r="AH26" s="17" t="n">
        <v>2</v>
      </c>
      <c r="AI26" s="17" t="n">
        <v>0</v>
      </c>
      <c r="AJ26" s="17" t="n">
        <v>1</v>
      </c>
      <c r="AK26" s="17" t="n">
        <v>0</v>
      </c>
      <c r="AL26" s="17" t="n">
        <v>12</v>
      </c>
      <c r="AM26" s="17" t="n">
        <v>1</v>
      </c>
      <c r="AN26" s="17" t="n">
        <v>2</v>
      </c>
      <c r="AO26" s="17" t="n">
        <v>2</v>
      </c>
      <c r="AP26" s="17" t="n">
        <v>2</v>
      </c>
      <c r="AQ26" s="17" t="n">
        <v>203</v>
      </c>
      <c r="AR26" s="17" t="n">
        <v>17</v>
      </c>
      <c r="AS26" s="17" t="n">
        <v>249</v>
      </c>
      <c r="AT26" s="17" t="n">
        <v>77529</v>
      </c>
      <c r="AU26" s="17" t="n">
        <v>76544</v>
      </c>
      <c r="AV26" s="17" t="n">
        <v>289721.3</v>
      </c>
      <c r="AW26" s="17" t="n">
        <v>287805.4</v>
      </c>
      <c r="AX26" s="17" t="n">
        <v>14166.6</v>
      </c>
      <c r="AY26" s="17" t="n">
        <v>10471.6</v>
      </c>
      <c r="AZ26" s="17" t="n">
        <v>289</v>
      </c>
      <c r="BA26" s="17" t="n">
        <v>271</v>
      </c>
      <c r="BB26" s="17" t="n">
        <v>86419</v>
      </c>
      <c r="BC26" s="17" t="n">
        <v>81593</v>
      </c>
      <c r="BD26" s="17" t="n">
        <v>1269</v>
      </c>
      <c r="BE26" s="17" t="n">
        <v>854</v>
      </c>
      <c r="BF26" s="17" t="n">
        <v>848</v>
      </c>
      <c r="BG26" s="17" t="n">
        <v>125934</v>
      </c>
      <c r="BH26" s="17" t="n">
        <v>46998.8</v>
      </c>
      <c r="BI26" s="17" t="n">
        <v>0</v>
      </c>
      <c r="BJ26" s="17" t="n">
        <v>0</v>
      </c>
      <c r="BK26" s="17" t="n">
        <v>0</v>
      </c>
      <c r="BL26" s="17" t="n">
        <v>0</v>
      </c>
      <c r="BM26" s="17" t="n">
        <v>1</v>
      </c>
      <c r="BN26" s="17" t="n">
        <v>0</v>
      </c>
      <c r="BO26" s="17" t="n">
        <v>0</v>
      </c>
      <c r="BP26" s="17" t="n">
        <v>0</v>
      </c>
      <c r="BQ26" s="17" t="n">
        <v>0</v>
      </c>
      <c r="BR26" s="17" t="n">
        <v>0</v>
      </c>
      <c r="BS26" s="17" t="n">
        <v>0</v>
      </c>
      <c r="BT26" s="17" t="n">
        <v>99</v>
      </c>
      <c r="BU26" s="17" t="n">
        <v>76557</v>
      </c>
      <c r="BV26" s="17" t="n">
        <v>77850</v>
      </c>
      <c r="BW26" s="17" t="n">
        <v>25092390</v>
      </c>
      <c r="BX26" s="17" t="n">
        <v>86097</v>
      </c>
      <c r="BY26" s="17" t="n">
        <v>1134</v>
      </c>
    </row>
    <row r="27">
      <c r="A27" s="17" t="inlineStr">
        <is>
          <t>Group</t>
        </is>
      </c>
      <c r="B27" s="17" t="inlineStr">
        <is>
          <t>Entity A2</t>
        </is>
      </c>
      <c r="C27" s="17" t="inlineStr">
        <is>
          <t>Plant 04</t>
        </is>
      </c>
      <c r="D27" s="17" t="inlineStr">
        <is>
          <t>2026-09</t>
        </is>
      </c>
      <c r="E27" s="17" t="n">
        <v>126.8</v>
      </c>
      <c r="F27" s="17" t="n">
        <v>720</v>
      </c>
      <c r="G27" s="17" t="n">
        <v>718</v>
      </c>
      <c r="H27" s="17" t="n">
        <v>690.6</v>
      </c>
      <c r="I27" s="17" t="n">
        <v>10.1</v>
      </c>
      <c r="J27" s="17" t="n">
        <v>91042</v>
      </c>
      <c r="K27" s="17" t="n">
        <v>91296</v>
      </c>
      <c r="L27" s="17" t="n">
        <v>79048</v>
      </c>
      <c r="M27" s="17" t="n">
        <v>83890</v>
      </c>
      <c r="N27" s="17" t="n">
        <v>81694</v>
      </c>
      <c r="O27" s="17" t="n">
        <v>90180</v>
      </c>
      <c r="P27" s="17" t="n">
        <v>20374</v>
      </c>
      <c r="Q27" s="17" t="n">
        <v>18005</v>
      </c>
      <c r="R27" s="17" t="n">
        <v>1281</v>
      </c>
      <c r="S27" s="17" t="n">
        <v>1</v>
      </c>
      <c r="T27" s="17" t="n">
        <v>6.8</v>
      </c>
      <c r="U27" s="17" t="n">
        <v>59</v>
      </c>
      <c r="V27" s="17" t="n">
        <v>59</v>
      </c>
      <c r="W27" s="17" t="n">
        <v>266460.1</v>
      </c>
      <c r="X27" s="17" t="n">
        <v>82640.2</v>
      </c>
      <c r="Y27" s="17" t="n">
        <v>1127.6</v>
      </c>
      <c r="Z27" s="17" t="n">
        <v>178267</v>
      </c>
      <c r="AA27" s="17" t="n">
        <v>58385</v>
      </c>
      <c r="AB27" s="17" t="n">
        <v>283879</v>
      </c>
      <c r="AC27" s="17" t="n">
        <v>0</v>
      </c>
      <c r="AD27" s="17" t="n">
        <v>0</v>
      </c>
      <c r="AE27" s="17" t="n">
        <v>57000</v>
      </c>
      <c r="AF27" s="17" t="n">
        <v>0</v>
      </c>
      <c r="AG27" s="17" t="n">
        <v>0</v>
      </c>
      <c r="AH27" s="17" t="n">
        <v>3</v>
      </c>
      <c r="AI27" s="17" t="n">
        <v>0</v>
      </c>
      <c r="AJ27" s="17" t="n">
        <v>1</v>
      </c>
      <c r="AK27" s="17" t="n">
        <v>0</v>
      </c>
      <c r="AL27" s="17" t="n">
        <v>6</v>
      </c>
      <c r="AM27" s="17" t="n">
        <v>1</v>
      </c>
      <c r="AN27" s="17" t="n">
        <v>0</v>
      </c>
      <c r="AO27" s="17" t="n">
        <v>0</v>
      </c>
      <c r="AP27" s="17" t="n">
        <v>0</v>
      </c>
      <c r="AQ27" s="17" t="n">
        <v>169</v>
      </c>
      <c r="AR27" s="17" t="n">
        <v>12</v>
      </c>
      <c r="AS27" s="17" t="n">
        <v>219</v>
      </c>
      <c r="AT27" s="17" t="n">
        <v>83171</v>
      </c>
      <c r="AU27" s="17" t="n">
        <v>78942</v>
      </c>
      <c r="AV27" s="17" t="n">
        <v>310595</v>
      </c>
      <c r="AW27" s="17" t="n">
        <v>296821.9</v>
      </c>
      <c r="AX27" s="17" t="n">
        <v>16180</v>
      </c>
      <c r="AY27" s="17" t="n">
        <v>11077.3</v>
      </c>
      <c r="AZ27" s="17" t="n">
        <v>290</v>
      </c>
      <c r="BA27" s="17" t="n">
        <v>271</v>
      </c>
      <c r="BB27" s="17" t="n">
        <v>90306</v>
      </c>
      <c r="BC27" s="17" t="n">
        <v>85528</v>
      </c>
      <c r="BD27" s="17" t="n">
        <v>1378</v>
      </c>
      <c r="BE27" s="17" t="n">
        <v>1148</v>
      </c>
      <c r="BF27" s="17" t="n">
        <v>1193</v>
      </c>
      <c r="BG27" s="17" t="n">
        <v>145373</v>
      </c>
      <c r="BH27" s="17" t="n">
        <v>45358</v>
      </c>
      <c r="BI27" s="17" t="n">
        <v>0</v>
      </c>
      <c r="BJ27" s="17" t="n">
        <v>0</v>
      </c>
      <c r="BK27" s="17" t="n">
        <v>0</v>
      </c>
      <c r="BL27" s="17" t="n">
        <v>0</v>
      </c>
      <c r="BM27" s="17" t="n">
        <v>0</v>
      </c>
      <c r="BN27" s="17" t="n">
        <v>0</v>
      </c>
      <c r="BO27" s="17" t="n">
        <v>0</v>
      </c>
      <c r="BP27" s="17" t="n">
        <v>0</v>
      </c>
      <c r="BQ27" s="17" t="n">
        <v>0</v>
      </c>
      <c r="BR27" s="17" t="n">
        <v>0</v>
      </c>
      <c r="BS27" s="17" t="n">
        <v>0</v>
      </c>
      <c r="BT27" s="17" t="n">
        <v>99</v>
      </c>
      <c r="BU27" s="17" t="n">
        <v>80582</v>
      </c>
      <c r="BV27" s="17" t="n">
        <v>80307</v>
      </c>
      <c r="BW27" s="17" t="n">
        <v>23556548</v>
      </c>
      <c r="BX27" s="17" t="n">
        <v>91042</v>
      </c>
      <c r="BY27" s="17" t="n">
        <v>1421</v>
      </c>
    </row>
    <row r="28">
      <c r="A28" s="17" t="inlineStr">
        <is>
          <t>Group</t>
        </is>
      </c>
      <c r="B28" s="17" t="inlineStr">
        <is>
          <t>Entity A2</t>
        </is>
      </c>
      <c r="C28" s="17" t="inlineStr">
        <is>
          <t>Plant 05</t>
        </is>
      </c>
      <c r="D28" s="17" t="inlineStr">
        <is>
          <t>2026-04</t>
        </is>
      </c>
      <c r="E28" s="17" t="n">
        <v>205</v>
      </c>
      <c r="F28" s="17" t="n">
        <v>720</v>
      </c>
      <c r="G28" s="17" t="n">
        <v>710</v>
      </c>
      <c r="H28" s="17" t="n">
        <v>684.5</v>
      </c>
      <c r="I28" s="17" t="n">
        <v>17</v>
      </c>
      <c r="J28" s="17" t="n">
        <v>145550</v>
      </c>
      <c r="K28" s="17" t="n">
        <v>147600</v>
      </c>
      <c r="L28" s="17" t="n">
        <v>129763</v>
      </c>
      <c r="M28" s="17" t="n">
        <v>135746</v>
      </c>
      <c r="N28" s="17" t="n">
        <v>129454</v>
      </c>
      <c r="O28" s="17" t="n">
        <v>144929</v>
      </c>
      <c r="P28" s="17" t="n">
        <v>32992</v>
      </c>
      <c r="Q28" s="17" t="n">
        <v>28916</v>
      </c>
      <c r="R28" s="17" t="n">
        <v>3485</v>
      </c>
      <c r="S28" s="17" t="n">
        <v>2</v>
      </c>
      <c r="T28" s="17" t="n">
        <v>13.9</v>
      </c>
      <c r="U28" s="17" t="n">
        <v>52</v>
      </c>
      <c r="V28" s="17" t="n">
        <v>48</v>
      </c>
      <c r="W28" s="17" t="n">
        <v>435077.3</v>
      </c>
      <c r="X28" s="17" t="n">
        <v>128779.7</v>
      </c>
      <c r="Y28" s="17" t="n">
        <v>1262.8</v>
      </c>
      <c r="Z28" s="17" t="n">
        <v>292639</v>
      </c>
      <c r="AA28" s="17" t="n">
        <v>86136</v>
      </c>
      <c r="AB28" s="17" t="n">
        <v>447791</v>
      </c>
      <c r="AC28" s="17" t="n">
        <v>2659</v>
      </c>
      <c r="AD28" s="17" t="n">
        <v>2</v>
      </c>
      <c r="AE28" s="17" t="n">
        <v>88000</v>
      </c>
      <c r="AF28" s="17" t="n">
        <v>2</v>
      </c>
      <c r="AG28" s="17" t="n">
        <v>0</v>
      </c>
      <c r="AH28" s="17" t="n">
        <v>3</v>
      </c>
      <c r="AI28" s="17" t="n">
        <v>0</v>
      </c>
      <c r="AJ28" s="17" t="n">
        <v>0</v>
      </c>
      <c r="AK28" s="17" t="n">
        <v>0</v>
      </c>
      <c r="AL28" s="17" t="n">
        <v>12</v>
      </c>
      <c r="AM28" s="17" t="n">
        <v>0</v>
      </c>
      <c r="AN28" s="17" t="n">
        <v>1</v>
      </c>
      <c r="AO28" s="17" t="n">
        <v>0</v>
      </c>
      <c r="AP28" s="17" t="n">
        <v>0</v>
      </c>
      <c r="AQ28" s="17" t="n">
        <v>134</v>
      </c>
      <c r="AR28" s="17" t="n">
        <v>10</v>
      </c>
      <c r="AS28" s="17" t="n">
        <v>252</v>
      </c>
      <c r="AT28" s="17" t="n">
        <v>126937</v>
      </c>
      <c r="AU28" s="17" t="n">
        <v>131046</v>
      </c>
      <c r="AV28" s="17" t="n">
        <v>474578.4</v>
      </c>
      <c r="AW28" s="17" t="n">
        <v>492733</v>
      </c>
      <c r="AX28" s="17" t="n">
        <v>24654.9</v>
      </c>
      <c r="AY28" s="17" t="n">
        <v>18002.6</v>
      </c>
      <c r="AZ28" s="17" t="n">
        <v>280</v>
      </c>
      <c r="BA28" s="17" t="n">
        <v>258</v>
      </c>
      <c r="BB28" s="17" t="n">
        <v>140973</v>
      </c>
      <c r="BC28" s="17" t="n">
        <v>132586</v>
      </c>
      <c r="BD28" s="17" t="n">
        <v>1848</v>
      </c>
      <c r="BE28" s="17" t="n">
        <v>1022</v>
      </c>
      <c r="BF28" s="17" t="n">
        <v>1097</v>
      </c>
      <c r="BG28" s="17" t="n">
        <v>253921.8</v>
      </c>
      <c r="BH28" s="17" t="n">
        <v>78167.5</v>
      </c>
      <c r="BI28" s="17" t="n">
        <v>0</v>
      </c>
      <c r="BJ28" s="17" t="n">
        <v>0</v>
      </c>
      <c r="BK28" s="17" t="n">
        <v>0</v>
      </c>
      <c r="BL28" s="17" t="n">
        <v>1</v>
      </c>
      <c r="BM28" s="17" t="n">
        <v>1</v>
      </c>
      <c r="BN28" s="17" t="n">
        <v>0</v>
      </c>
      <c r="BO28" s="17" t="n">
        <v>0</v>
      </c>
      <c r="BP28" s="17" t="n">
        <v>0</v>
      </c>
      <c r="BQ28" s="17" t="n">
        <v>0</v>
      </c>
      <c r="BR28" s="17" t="n">
        <v>0</v>
      </c>
      <c r="BS28" s="17" t="n">
        <v>0</v>
      </c>
      <c r="BT28" s="17" t="n">
        <v>99</v>
      </c>
      <c r="BU28" s="17" t="n">
        <v>129733</v>
      </c>
      <c r="BV28" s="17" t="n">
        <v>131690</v>
      </c>
      <c r="BW28" s="17" t="n">
        <v>72606958</v>
      </c>
      <c r="BX28" s="17" t="n">
        <v>145550</v>
      </c>
      <c r="BY28" s="17" t="n">
        <v>3973</v>
      </c>
    </row>
    <row r="29">
      <c r="A29" s="17" t="inlineStr">
        <is>
          <t>Group</t>
        </is>
      </c>
      <c r="B29" s="17" t="inlineStr">
        <is>
          <t>Entity A2</t>
        </is>
      </c>
      <c r="C29" s="17" t="inlineStr">
        <is>
          <t>Plant 05</t>
        </is>
      </c>
      <c r="D29" s="17" t="inlineStr">
        <is>
          <t>2026-05</t>
        </is>
      </c>
      <c r="E29" s="17" t="n">
        <v>205</v>
      </c>
      <c r="F29" s="17" t="n">
        <v>744</v>
      </c>
      <c r="G29" s="17" t="n">
        <v>674</v>
      </c>
      <c r="H29" s="17" t="n">
        <v>642.5</v>
      </c>
      <c r="I29" s="17" t="n">
        <v>18.2</v>
      </c>
      <c r="J29" s="17" t="n">
        <v>138170</v>
      </c>
      <c r="K29" s="17" t="n">
        <v>152520</v>
      </c>
      <c r="L29" s="17" t="n">
        <v>121141</v>
      </c>
      <c r="M29" s="17" t="n">
        <v>127057</v>
      </c>
      <c r="N29" s="17" t="n">
        <v>121753</v>
      </c>
      <c r="O29" s="17" t="n">
        <v>132003</v>
      </c>
      <c r="P29" s="17" t="n">
        <v>24602</v>
      </c>
      <c r="Q29" s="17" t="n">
        <v>21013</v>
      </c>
      <c r="R29" s="17" t="n">
        <v>3731</v>
      </c>
      <c r="S29" s="17" t="n">
        <v>2</v>
      </c>
      <c r="T29" s="17" t="n">
        <v>9.300000000000001</v>
      </c>
      <c r="U29" s="17" t="n">
        <v>39</v>
      </c>
      <c r="V29" s="17" t="n">
        <v>36</v>
      </c>
      <c r="W29" s="17" t="n">
        <v>362340.8</v>
      </c>
      <c r="X29" s="17" t="n">
        <v>89550</v>
      </c>
      <c r="Y29" s="17" t="n">
        <v>1517.5</v>
      </c>
      <c r="Z29" s="17" t="n">
        <v>244417</v>
      </c>
      <c r="AA29" s="17" t="n">
        <v>74247</v>
      </c>
      <c r="AB29" s="17" t="n">
        <v>353899</v>
      </c>
      <c r="AC29" s="17" t="n">
        <v>0</v>
      </c>
      <c r="AD29" s="17" t="n">
        <v>0</v>
      </c>
      <c r="AE29" s="17" t="n">
        <v>79000</v>
      </c>
      <c r="AF29" s="17" t="n">
        <v>0</v>
      </c>
      <c r="AG29" s="17" t="n">
        <v>0</v>
      </c>
      <c r="AH29" s="17" t="n">
        <v>12</v>
      </c>
      <c r="AI29" s="17" t="n">
        <v>0</v>
      </c>
      <c r="AJ29" s="17" t="n">
        <v>0</v>
      </c>
      <c r="AK29" s="17" t="n">
        <v>0</v>
      </c>
      <c r="AL29" s="17" t="n">
        <v>12</v>
      </c>
      <c r="AM29" s="17" t="n">
        <v>3</v>
      </c>
      <c r="AN29" s="17" t="n">
        <v>2</v>
      </c>
      <c r="AO29" s="17" t="n">
        <v>2</v>
      </c>
      <c r="AP29" s="17" t="n">
        <v>1</v>
      </c>
      <c r="AQ29" s="17" t="n">
        <v>149</v>
      </c>
      <c r="AR29" s="17" t="n">
        <v>12</v>
      </c>
      <c r="AS29" s="17" t="n">
        <v>222</v>
      </c>
      <c r="AT29" s="17" t="n">
        <v>121779</v>
      </c>
      <c r="AU29" s="17" t="n">
        <v>122065</v>
      </c>
      <c r="AV29" s="17" t="n">
        <v>464614.6</v>
      </c>
      <c r="AW29" s="17" t="n">
        <v>458964.4</v>
      </c>
      <c r="AX29" s="17" t="n">
        <v>23636.6</v>
      </c>
      <c r="AY29" s="17" t="n">
        <v>17476.6</v>
      </c>
      <c r="AZ29" s="17" t="n">
        <v>208</v>
      </c>
      <c r="BA29" s="17" t="n">
        <v>190</v>
      </c>
      <c r="BB29" s="17" t="n">
        <v>128569</v>
      </c>
      <c r="BC29" s="17" t="n">
        <v>121230</v>
      </c>
      <c r="BD29" s="17" t="n">
        <v>631</v>
      </c>
      <c r="BE29" s="17" t="n">
        <v>602</v>
      </c>
      <c r="BF29" s="17" t="n">
        <v>628</v>
      </c>
      <c r="BG29" s="17" t="n">
        <v>216076.1</v>
      </c>
      <c r="BH29" s="17" t="n">
        <v>68076.8</v>
      </c>
      <c r="BI29" s="17" t="n">
        <v>0</v>
      </c>
      <c r="BJ29" s="17" t="n">
        <v>0</v>
      </c>
      <c r="BK29" s="17" t="n">
        <v>0</v>
      </c>
      <c r="BL29" s="17" t="n">
        <v>0</v>
      </c>
      <c r="BM29" s="17" t="n">
        <v>1</v>
      </c>
      <c r="BN29" s="17" t="n">
        <v>0</v>
      </c>
      <c r="BO29" s="17" t="n">
        <v>0</v>
      </c>
      <c r="BP29" s="17" t="n">
        <v>0</v>
      </c>
      <c r="BQ29" s="17" t="n">
        <v>0</v>
      </c>
      <c r="BR29" s="17" t="n">
        <v>0</v>
      </c>
      <c r="BS29" s="17" t="n">
        <v>0</v>
      </c>
      <c r="BT29" s="17" t="n">
        <v>99</v>
      </c>
      <c r="BU29" s="17" t="n">
        <v>121668</v>
      </c>
      <c r="BV29" s="17" t="n">
        <v>122263</v>
      </c>
      <c r="BW29" s="17" t="n">
        <v>48910799</v>
      </c>
      <c r="BX29" s="17" t="n">
        <v>138170</v>
      </c>
      <c r="BY29" s="17" t="n">
        <v>3744</v>
      </c>
    </row>
    <row r="30">
      <c r="A30" s="17" t="inlineStr">
        <is>
          <t>Group</t>
        </is>
      </c>
      <c r="B30" s="17" t="inlineStr">
        <is>
          <t>Entity A2</t>
        </is>
      </c>
      <c r="C30" s="17" t="inlineStr">
        <is>
          <t>Plant 05</t>
        </is>
      </c>
      <c r="D30" s="17" t="inlineStr">
        <is>
          <t>2026-06</t>
        </is>
      </c>
      <c r="E30" s="17" t="n">
        <v>205</v>
      </c>
      <c r="F30" s="17" t="n">
        <v>720</v>
      </c>
      <c r="G30" s="17" t="n">
        <v>713</v>
      </c>
      <c r="H30" s="17" t="n">
        <v>680.7</v>
      </c>
      <c r="I30" s="17" t="n">
        <v>15.1</v>
      </c>
      <c r="J30" s="17" t="n">
        <v>146165</v>
      </c>
      <c r="K30" s="17" t="n">
        <v>147600</v>
      </c>
      <c r="L30" s="17" t="n">
        <v>131151</v>
      </c>
      <c r="M30" s="17" t="n">
        <v>125961</v>
      </c>
      <c r="N30" s="17" t="n">
        <v>123027</v>
      </c>
      <c r="O30" s="17" t="n">
        <v>137718</v>
      </c>
      <c r="P30" s="17" t="n">
        <v>26078</v>
      </c>
      <c r="Q30" s="17" t="n">
        <v>23615</v>
      </c>
      <c r="R30" s="17" t="n">
        <v>3096</v>
      </c>
      <c r="S30" s="17" t="n">
        <v>3</v>
      </c>
      <c r="T30" s="17" t="n">
        <v>12</v>
      </c>
      <c r="U30" s="17" t="n">
        <v>38</v>
      </c>
      <c r="V30" s="17" t="n">
        <v>37</v>
      </c>
      <c r="W30" s="17" t="n">
        <v>411518.7</v>
      </c>
      <c r="X30" s="17" t="n">
        <v>126359</v>
      </c>
      <c r="Y30" s="17" t="n">
        <v>1457</v>
      </c>
      <c r="Z30" s="17" t="n">
        <v>277551</v>
      </c>
      <c r="AA30" s="17" t="n">
        <v>89682</v>
      </c>
      <c r="AB30" s="17" t="n">
        <v>432290</v>
      </c>
      <c r="AC30" s="17" t="n">
        <v>11194</v>
      </c>
      <c r="AD30" s="17" t="n">
        <v>2</v>
      </c>
      <c r="AE30" s="17" t="n">
        <v>64000</v>
      </c>
      <c r="AF30" s="17" t="n">
        <v>2</v>
      </c>
      <c r="AG30" s="17" t="n">
        <v>0</v>
      </c>
      <c r="AH30" s="17" t="n">
        <v>6</v>
      </c>
      <c r="AI30" s="17" t="n">
        <v>0</v>
      </c>
      <c r="AJ30" s="17" t="n">
        <v>0</v>
      </c>
      <c r="AK30" s="17" t="n">
        <v>1</v>
      </c>
      <c r="AL30" s="17" t="n">
        <v>3</v>
      </c>
      <c r="AM30" s="17" t="n">
        <v>1</v>
      </c>
      <c r="AN30" s="17" t="n">
        <v>0</v>
      </c>
      <c r="AO30" s="17" t="n">
        <v>0</v>
      </c>
      <c r="AP30" s="17" t="n">
        <v>0</v>
      </c>
      <c r="AQ30" s="17" t="n">
        <v>249</v>
      </c>
      <c r="AR30" s="17" t="n">
        <v>18</v>
      </c>
      <c r="AS30" s="17" t="n">
        <v>192</v>
      </c>
      <c r="AT30" s="17" t="n">
        <v>122701</v>
      </c>
      <c r="AU30" s="17" t="n">
        <v>131018</v>
      </c>
      <c r="AV30" s="17" t="n">
        <v>463267.7</v>
      </c>
      <c r="AW30" s="17" t="n">
        <v>492627.7</v>
      </c>
      <c r="AX30" s="17" t="n">
        <v>26455.3</v>
      </c>
      <c r="AY30" s="17" t="n">
        <v>17493.2</v>
      </c>
      <c r="AZ30" s="17" t="n">
        <v>187</v>
      </c>
      <c r="BA30" s="17" t="n">
        <v>170</v>
      </c>
      <c r="BB30" s="17" t="n">
        <v>133988</v>
      </c>
      <c r="BC30" s="17" t="n">
        <v>130452</v>
      </c>
      <c r="BD30" s="17" t="n">
        <v>617</v>
      </c>
      <c r="BE30" s="17" t="n">
        <v>1134</v>
      </c>
      <c r="BF30" s="17" t="n">
        <v>1202</v>
      </c>
      <c r="BG30" s="17" t="n">
        <v>242243.9</v>
      </c>
      <c r="BH30" s="17" t="n">
        <v>89931.10000000001</v>
      </c>
      <c r="BI30" s="17" t="n">
        <v>0</v>
      </c>
      <c r="BJ30" s="17" t="n">
        <v>1</v>
      </c>
      <c r="BK30" s="17" t="n">
        <v>1</v>
      </c>
      <c r="BL30" s="17" t="n">
        <v>1</v>
      </c>
      <c r="BM30" s="17" t="n">
        <v>1</v>
      </c>
      <c r="BN30" s="17" t="n">
        <v>0</v>
      </c>
      <c r="BO30" s="17" t="n">
        <v>0</v>
      </c>
      <c r="BP30" s="17" t="n">
        <v>0</v>
      </c>
      <c r="BQ30" s="17" t="n">
        <v>0</v>
      </c>
      <c r="BR30" s="17" t="n">
        <v>0</v>
      </c>
      <c r="BS30" s="17" t="n">
        <v>0</v>
      </c>
      <c r="BT30" s="17" t="n">
        <v>99</v>
      </c>
      <c r="BU30" s="17" t="n">
        <v>132111</v>
      </c>
      <c r="BV30" s="17" t="n">
        <v>132015</v>
      </c>
      <c r="BW30" s="17" t="n">
        <v>56526721</v>
      </c>
      <c r="BX30" s="17" t="n">
        <v>146165</v>
      </c>
      <c r="BY30" s="17" t="n">
        <v>2889</v>
      </c>
    </row>
    <row r="31">
      <c r="A31" s="17" t="inlineStr">
        <is>
          <t>Group</t>
        </is>
      </c>
      <c r="B31" s="17" t="inlineStr">
        <is>
          <t>Entity A2</t>
        </is>
      </c>
      <c r="C31" s="17" t="inlineStr">
        <is>
          <t>Plant 05</t>
        </is>
      </c>
      <c r="D31" s="17" t="inlineStr">
        <is>
          <t>2026-07</t>
        </is>
      </c>
      <c r="E31" s="17" t="n">
        <v>205</v>
      </c>
      <c r="F31" s="17" t="n">
        <v>744</v>
      </c>
      <c r="G31" s="17" t="n">
        <v>744</v>
      </c>
      <c r="H31" s="17" t="n">
        <v>715.3</v>
      </c>
      <c r="I31" s="17" t="n">
        <v>13.1</v>
      </c>
      <c r="J31" s="17" t="n">
        <v>152520</v>
      </c>
      <c r="K31" s="17" t="n">
        <v>152520</v>
      </c>
      <c r="L31" s="17" t="n">
        <v>137952</v>
      </c>
      <c r="M31" s="17" t="n">
        <v>141931</v>
      </c>
      <c r="N31" s="17" t="n">
        <v>136982</v>
      </c>
      <c r="O31" s="17" t="n">
        <v>145102</v>
      </c>
      <c r="P31" s="17" t="n">
        <v>29563</v>
      </c>
      <c r="Q31" s="17" t="n">
        <v>26355</v>
      </c>
      <c r="R31" s="17" t="n">
        <v>2686</v>
      </c>
      <c r="S31" s="17" t="n">
        <v>1</v>
      </c>
      <c r="T31" s="17" t="n">
        <v>6</v>
      </c>
      <c r="U31" s="17" t="n">
        <v>58</v>
      </c>
      <c r="V31" s="17" t="n">
        <v>57</v>
      </c>
      <c r="W31" s="17" t="n">
        <v>444075.7</v>
      </c>
      <c r="X31" s="17" t="n">
        <v>131632.2</v>
      </c>
      <c r="Y31" s="17" t="n">
        <v>1411.4</v>
      </c>
      <c r="Z31" s="17" t="n">
        <v>285264</v>
      </c>
      <c r="AA31" s="17" t="n">
        <v>93285</v>
      </c>
      <c r="AB31" s="17" t="n">
        <v>457581</v>
      </c>
      <c r="AC31" s="17" t="n">
        <v>1175</v>
      </c>
      <c r="AD31" s="17" t="n">
        <v>0</v>
      </c>
      <c r="AE31" s="17" t="n">
        <v>65000</v>
      </c>
      <c r="AF31" s="17" t="n">
        <v>1</v>
      </c>
      <c r="AG31" s="17" t="n">
        <v>0</v>
      </c>
      <c r="AH31" s="17" t="n">
        <v>3</v>
      </c>
      <c r="AI31" s="17" t="n">
        <v>0</v>
      </c>
      <c r="AJ31" s="17" t="n">
        <v>0</v>
      </c>
      <c r="AK31" s="17" t="n">
        <v>0</v>
      </c>
      <c r="AL31" s="17" t="n">
        <v>14</v>
      </c>
      <c r="AM31" s="17" t="n">
        <v>4</v>
      </c>
      <c r="AN31" s="17" t="n">
        <v>0</v>
      </c>
      <c r="AO31" s="17" t="n">
        <v>0</v>
      </c>
      <c r="AP31" s="17" t="n">
        <v>1</v>
      </c>
      <c r="AQ31" s="17" t="n">
        <v>167</v>
      </c>
      <c r="AR31" s="17" t="n">
        <v>14</v>
      </c>
      <c r="AS31" s="17" t="n">
        <v>162</v>
      </c>
      <c r="AT31" s="17" t="n">
        <v>138862</v>
      </c>
      <c r="AU31" s="17" t="n">
        <v>137969</v>
      </c>
      <c r="AV31" s="17" t="n">
        <v>525780.3</v>
      </c>
      <c r="AW31" s="17" t="n">
        <v>518763.4</v>
      </c>
      <c r="AX31" s="17" t="n">
        <v>27030.8</v>
      </c>
      <c r="AY31" s="17" t="n">
        <v>17228.8</v>
      </c>
      <c r="AZ31" s="17" t="n">
        <v>256</v>
      </c>
      <c r="BA31" s="17" t="n">
        <v>239</v>
      </c>
      <c r="BB31" s="17" t="n">
        <v>142258</v>
      </c>
      <c r="BC31" s="17" t="n">
        <v>135171</v>
      </c>
      <c r="BD31" s="17" t="n">
        <v>660</v>
      </c>
      <c r="BE31" s="17" t="n">
        <v>910</v>
      </c>
      <c r="BF31" s="17" t="n">
        <v>898</v>
      </c>
      <c r="BG31" s="17" t="n">
        <v>243517.9</v>
      </c>
      <c r="BH31" s="17" t="n">
        <v>87017.8</v>
      </c>
      <c r="BI31" s="17" t="n">
        <v>0</v>
      </c>
      <c r="BJ31" s="17" t="n">
        <v>1</v>
      </c>
      <c r="BK31" s="17" t="n">
        <v>1</v>
      </c>
      <c r="BL31" s="17" t="n">
        <v>0</v>
      </c>
      <c r="BM31" s="17" t="n">
        <v>1</v>
      </c>
      <c r="BN31" s="17" t="n">
        <v>0</v>
      </c>
      <c r="BO31" s="17" t="n">
        <v>0</v>
      </c>
      <c r="BP31" s="17" t="n">
        <v>0</v>
      </c>
      <c r="BQ31" s="17" t="n">
        <v>0</v>
      </c>
      <c r="BR31" s="17" t="n">
        <v>0</v>
      </c>
      <c r="BS31" s="17" t="n">
        <v>0</v>
      </c>
      <c r="BT31" s="17" t="n">
        <v>99</v>
      </c>
      <c r="BU31" s="17" t="n">
        <v>140177</v>
      </c>
      <c r="BV31" s="17" t="n">
        <v>140153</v>
      </c>
      <c r="BW31" s="17" t="n">
        <v>60097020</v>
      </c>
      <c r="BX31" s="17" t="n">
        <v>152520</v>
      </c>
      <c r="BY31" s="17" t="n">
        <v>2618</v>
      </c>
    </row>
    <row r="32">
      <c r="A32" s="17" t="inlineStr">
        <is>
          <t>Group</t>
        </is>
      </c>
      <c r="B32" s="17" t="inlineStr">
        <is>
          <t>Entity A2</t>
        </is>
      </c>
      <c r="C32" s="17" t="inlineStr">
        <is>
          <t>Plant 05</t>
        </is>
      </c>
      <c r="D32" s="17" t="inlineStr">
        <is>
          <t>2026-08</t>
        </is>
      </c>
      <c r="E32" s="17" t="n">
        <v>205</v>
      </c>
      <c r="F32" s="17" t="n">
        <v>744</v>
      </c>
      <c r="G32" s="17" t="n">
        <v>695</v>
      </c>
      <c r="H32" s="17" t="n">
        <v>644.6</v>
      </c>
      <c r="I32" s="17" t="n">
        <v>34.9</v>
      </c>
      <c r="J32" s="17" t="n">
        <v>142475</v>
      </c>
      <c r="K32" s="17" t="n">
        <v>152520</v>
      </c>
      <c r="L32" s="17" t="n">
        <v>126640</v>
      </c>
      <c r="M32" s="17" t="n">
        <v>125577</v>
      </c>
      <c r="N32" s="17" t="n">
        <v>123607</v>
      </c>
      <c r="O32" s="17" t="n">
        <v>138276</v>
      </c>
      <c r="P32" s="17" t="n">
        <v>32113</v>
      </c>
      <c r="Q32" s="17" t="n">
        <v>29045</v>
      </c>
      <c r="R32" s="17" t="n">
        <v>7154</v>
      </c>
      <c r="S32" s="17" t="n">
        <v>4</v>
      </c>
      <c r="T32" s="17" t="n">
        <v>30.5</v>
      </c>
      <c r="U32" s="17" t="n">
        <v>54</v>
      </c>
      <c r="V32" s="17" t="n">
        <v>54</v>
      </c>
      <c r="W32" s="17" t="n">
        <v>390308.9</v>
      </c>
      <c r="X32" s="17" t="n">
        <v>92794.10000000001</v>
      </c>
      <c r="Y32" s="17" t="n">
        <v>1470.7</v>
      </c>
      <c r="Z32" s="17" t="n">
        <v>320464</v>
      </c>
      <c r="AA32" s="17" t="n">
        <v>79520</v>
      </c>
      <c r="AB32" s="17" t="n">
        <v>439606</v>
      </c>
      <c r="AC32" s="17" t="n">
        <v>0</v>
      </c>
      <c r="AD32" s="17" t="n">
        <v>2</v>
      </c>
      <c r="AE32" s="17" t="n">
        <v>68000</v>
      </c>
      <c r="AF32" s="17" t="n">
        <v>0</v>
      </c>
      <c r="AG32" s="17" t="n">
        <v>0</v>
      </c>
      <c r="AH32" s="17" t="n">
        <v>11</v>
      </c>
      <c r="AI32" s="17" t="n">
        <v>0</v>
      </c>
      <c r="AJ32" s="17" t="n">
        <v>0</v>
      </c>
      <c r="AK32" s="17" t="n">
        <v>0</v>
      </c>
      <c r="AL32" s="17" t="n">
        <v>8</v>
      </c>
      <c r="AM32" s="17" t="n">
        <v>1</v>
      </c>
      <c r="AN32" s="17" t="n">
        <v>3</v>
      </c>
      <c r="AO32" s="17" t="n">
        <v>3</v>
      </c>
      <c r="AP32" s="17" t="n">
        <v>1</v>
      </c>
      <c r="AQ32" s="17" t="n">
        <v>185</v>
      </c>
      <c r="AR32" s="17" t="n">
        <v>11</v>
      </c>
      <c r="AS32" s="17" t="n">
        <v>132</v>
      </c>
      <c r="AT32" s="17" t="n">
        <v>122433</v>
      </c>
      <c r="AU32" s="17" t="n">
        <v>125687</v>
      </c>
      <c r="AV32" s="17" t="n">
        <v>456214</v>
      </c>
      <c r="AW32" s="17" t="n">
        <v>472583.1</v>
      </c>
      <c r="AX32" s="17" t="n">
        <v>19729.8</v>
      </c>
      <c r="AY32" s="17" t="n">
        <v>17527</v>
      </c>
      <c r="AZ32" s="17" t="n">
        <v>162</v>
      </c>
      <c r="BA32" s="17" t="n">
        <v>147</v>
      </c>
      <c r="BB32" s="17" t="n">
        <v>138383</v>
      </c>
      <c r="BC32" s="17" t="n">
        <v>134882</v>
      </c>
      <c r="BD32" s="17" t="n">
        <v>1069</v>
      </c>
      <c r="BE32" s="17" t="n">
        <v>602</v>
      </c>
      <c r="BF32" s="17" t="n">
        <v>623</v>
      </c>
      <c r="BG32" s="17" t="n">
        <v>204888.7</v>
      </c>
      <c r="BH32" s="17" t="n">
        <v>69384.7</v>
      </c>
      <c r="BI32" s="17" t="n">
        <v>0</v>
      </c>
      <c r="BJ32" s="17" t="n">
        <v>0</v>
      </c>
      <c r="BK32" s="17" t="n">
        <v>0</v>
      </c>
      <c r="BL32" s="17" t="n">
        <v>0</v>
      </c>
      <c r="BM32" s="17" t="n">
        <v>1</v>
      </c>
      <c r="BN32" s="17" t="n">
        <v>0</v>
      </c>
      <c r="BO32" s="17" t="n">
        <v>1</v>
      </c>
      <c r="BP32" s="17" t="n">
        <v>0</v>
      </c>
      <c r="BQ32" s="17" t="n">
        <v>0</v>
      </c>
      <c r="BR32" s="17" t="n">
        <v>0</v>
      </c>
      <c r="BS32" s="17" t="n">
        <v>0</v>
      </c>
      <c r="BT32" s="17" t="n">
        <v>99</v>
      </c>
      <c r="BU32" s="17" t="n">
        <v>127165</v>
      </c>
      <c r="BV32" s="17" t="n">
        <v>127020</v>
      </c>
      <c r="BW32" s="17" t="n">
        <v>65248016</v>
      </c>
      <c r="BX32" s="17" t="n">
        <v>142475</v>
      </c>
      <c r="BY32" s="17" t="n">
        <v>6469</v>
      </c>
    </row>
    <row r="33">
      <c r="A33" s="17" t="inlineStr">
        <is>
          <t>Group</t>
        </is>
      </c>
      <c r="B33" s="17" t="inlineStr">
        <is>
          <t>Entity A2</t>
        </is>
      </c>
      <c r="C33" s="17" t="inlineStr">
        <is>
          <t>Plant 05</t>
        </is>
      </c>
      <c r="D33" s="17" t="inlineStr">
        <is>
          <t>2026-09</t>
        </is>
      </c>
      <c r="E33" s="17" t="n">
        <v>205</v>
      </c>
      <c r="F33" s="17" t="n">
        <v>720</v>
      </c>
      <c r="G33" s="17" t="n">
        <v>710</v>
      </c>
      <c r="H33" s="17" t="n">
        <v>689.9</v>
      </c>
      <c r="I33" s="17" t="n">
        <v>10.2</v>
      </c>
      <c r="J33" s="17" t="n">
        <v>145550</v>
      </c>
      <c r="K33" s="17" t="n">
        <v>147600</v>
      </c>
      <c r="L33" s="17" t="n">
        <v>130881</v>
      </c>
      <c r="M33" s="17" t="n">
        <v>134645</v>
      </c>
      <c r="N33" s="17" t="n">
        <v>132787</v>
      </c>
      <c r="O33" s="17" t="n">
        <v>142400</v>
      </c>
      <c r="P33" s="17" t="n">
        <v>28428</v>
      </c>
      <c r="Q33" s="17" t="n">
        <v>25111</v>
      </c>
      <c r="R33" s="17" t="n">
        <v>2091</v>
      </c>
      <c r="S33" s="17" t="n">
        <v>1</v>
      </c>
      <c r="T33" s="17" t="n">
        <v>5.2</v>
      </c>
      <c r="U33" s="17" t="n">
        <v>42</v>
      </c>
      <c r="V33" s="17" t="n">
        <v>41</v>
      </c>
      <c r="W33" s="17" t="n">
        <v>398678.1</v>
      </c>
      <c r="X33" s="17" t="n">
        <v>92193.89999999999</v>
      </c>
      <c r="Y33" s="17" t="n">
        <v>1248.5</v>
      </c>
      <c r="Z33" s="17" t="n">
        <v>299945</v>
      </c>
      <c r="AA33" s="17" t="n">
        <v>86535</v>
      </c>
      <c r="AB33" s="17" t="n">
        <v>425107</v>
      </c>
      <c r="AC33" s="17" t="n">
        <v>0</v>
      </c>
      <c r="AD33" s="17" t="n">
        <v>1</v>
      </c>
      <c r="AE33" s="17" t="n">
        <v>60000</v>
      </c>
      <c r="AF33" s="17" t="n">
        <v>0</v>
      </c>
      <c r="AG33" s="17" t="n">
        <v>1</v>
      </c>
      <c r="AH33" s="17" t="n">
        <v>9</v>
      </c>
      <c r="AI33" s="17" t="n">
        <v>0</v>
      </c>
      <c r="AJ33" s="17" t="n">
        <v>0</v>
      </c>
      <c r="AK33" s="17" t="n">
        <v>0</v>
      </c>
      <c r="AL33" s="17" t="n">
        <v>6</v>
      </c>
      <c r="AM33" s="17" t="n">
        <v>0</v>
      </c>
      <c r="AN33" s="17" t="n">
        <v>0</v>
      </c>
      <c r="AO33" s="17" t="n">
        <v>0</v>
      </c>
      <c r="AP33" s="17" t="n">
        <v>0</v>
      </c>
      <c r="AQ33" s="17" t="n">
        <v>198</v>
      </c>
      <c r="AR33" s="17" t="n">
        <v>15</v>
      </c>
      <c r="AS33" s="17" t="n">
        <v>102</v>
      </c>
      <c r="AT33" s="17" t="n">
        <v>134472</v>
      </c>
      <c r="AU33" s="17" t="n">
        <v>130597</v>
      </c>
      <c r="AV33" s="17" t="n">
        <v>506388.4</v>
      </c>
      <c r="AW33" s="17" t="n">
        <v>491044.7</v>
      </c>
      <c r="AX33" s="17" t="n">
        <v>22330.4</v>
      </c>
      <c r="AY33" s="17" t="n">
        <v>17627.7</v>
      </c>
      <c r="AZ33" s="17" t="n">
        <v>284</v>
      </c>
      <c r="BA33" s="17" t="n">
        <v>261</v>
      </c>
      <c r="BB33" s="17" t="n">
        <v>138360</v>
      </c>
      <c r="BC33" s="17" t="n">
        <v>136947</v>
      </c>
      <c r="BD33" s="17" t="n">
        <v>1389</v>
      </c>
      <c r="BE33" s="17" t="n">
        <v>868</v>
      </c>
      <c r="BF33" s="17" t="n">
        <v>926</v>
      </c>
      <c r="BG33" s="17" t="n">
        <v>229069.1</v>
      </c>
      <c r="BH33" s="17" t="n">
        <v>81412.2</v>
      </c>
      <c r="BI33" s="17" t="n">
        <v>1</v>
      </c>
      <c r="BJ33" s="17" t="n">
        <v>0</v>
      </c>
      <c r="BK33" s="17" t="n">
        <v>0</v>
      </c>
      <c r="BL33" s="17" t="n">
        <v>0</v>
      </c>
      <c r="BM33" s="17" t="n">
        <v>1</v>
      </c>
      <c r="BN33" s="17" t="n">
        <v>0</v>
      </c>
      <c r="BO33" s="17" t="n">
        <v>0</v>
      </c>
      <c r="BP33" s="17" t="n">
        <v>0</v>
      </c>
      <c r="BQ33" s="17" t="n">
        <v>0</v>
      </c>
      <c r="BR33" s="17" t="n">
        <v>0</v>
      </c>
      <c r="BS33" s="17" t="n">
        <v>0</v>
      </c>
      <c r="BT33" s="17" t="n">
        <v>99</v>
      </c>
      <c r="BU33" s="17" t="n">
        <v>133388</v>
      </c>
      <c r="BV33" s="17" t="n">
        <v>134036</v>
      </c>
      <c r="BW33" s="17" t="n">
        <v>67486316</v>
      </c>
      <c r="BX33" s="17" t="n">
        <v>145550</v>
      </c>
      <c r="BY33" s="17" t="n">
        <v>2268</v>
      </c>
    </row>
    <row r="34">
      <c r="A34" s="17" t="inlineStr">
        <is>
          <t>Group</t>
        </is>
      </c>
      <c r="B34" s="17" t="inlineStr">
        <is>
          <t>Entity A2</t>
        </is>
      </c>
      <c r="C34" s="17" t="inlineStr">
        <is>
          <t>Plant 06</t>
        </is>
      </c>
      <c r="D34" s="17" t="inlineStr">
        <is>
          <t>2026-04</t>
        </is>
      </c>
      <c r="E34" s="17" t="n">
        <v>158.2</v>
      </c>
      <c r="F34" s="17" t="n">
        <v>720</v>
      </c>
      <c r="G34" s="17" t="n">
        <v>716</v>
      </c>
      <c r="H34" s="17" t="n">
        <v>694.1</v>
      </c>
      <c r="I34" s="17" t="n">
        <v>10.8</v>
      </c>
      <c r="J34" s="17" t="n">
        <v>113271</v>
      </c>
      <c r="K34" s="17" t="n">
        <v>113904</v>
      </c>
      <c r="L34" s="17" t="n">
        <v>99263</v>
      </c>
      <c r="M34" s="17" t="n">
        <v>106301</v>
      </c>
      <c r="N34" s="17" t="n">
        <v>101956</v>
      </c>
      <c r="O34" s="17" t="n">
        <v>109614</v>
      </c>
      <c r="P34" s="17" t="n">
        <v>26222</v>
      </c>
      <c r="Q34" s="17" t="n">
        <v>22359</v>
      </c>
      <c r="R34" s="17" t="n">
        <v>1709</v>
      </c>
      <c r="S34" s="17" t="n">
        <v>1</v>
      </c>
      <c r="T34" s="17" t="n">
        <v>3.1</v>
      </c>
      <c r="U34" s="17" t="n">
        <v>39</v>
      </c>
      <c r="V34" s="17" t="n">
        <v>37</v>
      </c>
      <c r="W34" s="17" t="n">
        <v>268423.8</v>
      </c>
      <c r="X34" s="17" t="n">
        <v>65884.39999999999</v>
      </c>
      <c r="Y34" s="17" t="n">
        <v>1044.7</v>
      </c>
      <c r="Z34" s="17" t="n">
        <v>209508</v>
      </c>
      <c r="AA34" s="17" t="n">
        <v>61037</v>
      </c>
      <c r="AB34" s="17" t="n">
        <v>339430</v>
      </c>
      <c r="AC34" s="17" t="n">
        <v>0</v>
      </c>
      <c r="AD34" s="17" t="n">
        <v>2</v>
      </c>
      <c r="AE34" s="17" t="n">
        <v>68000</v>
      </c>
      <c r="AF34" s="17" t="n">
        <v>0</v>
      </c>
      <c r="AG34" s="17" t="n">
        <v>0</v>
      </c>
      <c r="AH34" s="17" t="n">
        <v>10</v>
      </c>
      <c r="AI34" s="17" t="n">
        <v>0</v>
      </c>
      <c r="AJ34" s="17" t="n">
        <v>1</v>
      </c>
      <c r="AK34" s="17" t="n">
        <v>1</v>
      </c>
      <c r="AL34" s="17" t="n">
        <v>9</v>
      </c>
      <c r="AM34" s="17" t="n">
        <v>1</v>
      </c>
      <c r="AN34" s="17" t="n">
        <v>2</v>
      </c>
      <c r="AO34" s="17" t="n">
        <v>2</v>
      </c>
      <c r="AP34" s="17" t="n">
        <v>0</v>
      </c>
      <c r="AQ34" s="17" t="n">
        <v>184</v>
      </c>
      <c r="AR34" s="17" t="n">
        <v>6</v>
      </c>
      <c r="AS34" s="17" t="n">
        <v>260</v>
      </c>
      <c r="AT34" s="17" t="n">
        <v>101299</v>
      </c>
      <c r="AU34" s="17" t="n">
        <v>98345</v>
      </c>
      <c r="AV34" s="17" t="n">
        <v>385873.6</v>
      </c>
      <c r="AW34" s="17" t="n">
        <v>369777.2</v>
      </c>
      <c r="AX34" s="17" t="n">
        <v>18748</v>
      </c>
      <c r="AY34" s="17" t="n">
        <v>13648.2</v>
      </c>
      <c r="AZ34" s="17" t="n">
        <v>295</v>
      </c>
      <c r="BA34" s="17" t="n">
        <v>267</v>
      </c>
      <c r="BB34" s="17" t="n">
        <v>107455</v>
      </c>
      <c r="BC34" s="17" t="n">
        <v>105426</v>
      </c>
      <c r="BD34" s="17" t="n">
        <v>1142</v>
      </c>
      <c r="BE34" s="17" t="n">
        <v>588</v>
      </c>
      <c r="BF34" s="17" t="n">
        <v>596</v>
      </c>
      <c r="BG34" s="17" t="n">
        <v>157029</v>
      </c>
      <c r="BH34" s="17" t="n">
        <v>49890.3</v>
      </c>
      <c r="BI34" s="17" t="n">
        <v>0</v>
      </c>
      <c r="BJ34" s="17" t="n">
        <v>1</v>
      </c>
      <c r="BK34" s="17" t="n">
        <v>0</v>
      </c>
      <c r="BL34" s="17" t="n">
        <v>0</v>
      </c>
      <c r="BM34" s="17" t="n">
        <v>0</v>
      </c>
      <c r="BN34" s="17" t="n">
        <v>0</v>
      </c>
      <c r="BO34" s="17" t="n">
        <v>0</v>
      </c>
      <c r="BP34" s="17" t="n">
        <v>0</v>
      </c>
      <c r="BQ34" s="17" t="n">
        <v>0</v>
      </c>
      <c r="BR34" s="17" t="n">
        <v>0</v>
      </c>
      <c r="BS34" s="17" t="n">
        <v>0</v>
      </c>
      <c r="BT34" s="17" t="n">
        <v>99</v>
      </c>
      <c r="BU34" s="17" t="n">
        <v>100974</v>
      </c>
      <c r="BV34" s="17" t="n">
        <v>102566</v>
      </c>
      <c r="BW34" s="17" t="n">
        <v>37117018</v>
      </c>
      <c r="BX34" s="17" t="n">
        <v>113271</v>
      </c>
      <c r="BY34" s="17" t="n">
        <v>1754</v>
      </c>
    </row>
    <row r="35">
      <c r="A35" s="17" t="inlineStr">
        <is>
          <t>Group</t>
        </is>
      </c>
      <c r="B35" s="17" t="inlineStr">
        <is>
          <t>Entity A2</t>
        </is>
      </c>
      <c r="C35" s="17" t="inlineStr">
        <is>
          <t>Plant 06</t>
        </is>
      </c>
      <c r="D35" s="17" t="inlineStr">
        <is>
          <t>2026-05</t>
        </is>
      </c>
      <c r="E35" s="17" t="n">
        <v>158.2</v>
      </c>
      <c r="F35" s="17" t="n">
        <v>744</v>
      </c>
      <c r="G35" s="17" t="n">
        <v>678</v>
      </c>
      <c r="H35" s="17" t="n">
        <v>650</v>
      </c>
      <c r="I35" s="17" t="n">
        <v>20.8</v>
      </c>
      <c r="J35" s="17" t="n">
        <v>107260</v>
      </c>
      <c r="K35" s="17" t="n">
        <v>117701</v>
      </c>
      <c r="L35" s="17" t="n">
        <v>93083</v>
      </c>
      <c r="M35" s="17" t="n">
        <v>93387</v>
      </c>
      <c r="N35" s="17" t="n">
        <v>90953</v>
      </c>
      <c r="O35" s="17" t="n">
        <v>96185</v>
      </c>
      <c r="P35" s="17" t="n">
        <v>18622</v>
      </c>
      <c r="Q35" s="17" t="n">
        <v>16188</v>
      </c>
      <c r="R35" s="17" t="n">
        <v>3291</v>
      </c>
      <c r="S35" s="17" t="n">
        <v>3</v>
      </c>
      <c r="T35" s="17" t="n">
        <v>14.6</v>
      </c>
      <c r="U35" s="17" t="n">
        <v>51</v>
      </c>
      <c r="V35" s="17" t="n">
        <v>49</v>
      </c>
      <c r="W35" s="17" t="n">
        <v>257302.8</v>
      </c>
      <c r="X35" s="17" t="n">
        <v>71687.7</v>
      </c>
      <c r="Y35" s="17" t="n">
        <v>1471.8</v>
      </c>
      <c r="Z35" s="17" t="n">
        <v>170103</v>
      </c>
      <c r="AA35" s="17" t="n">
        <v>63809</v>
      </c>
      <c r="AB35" s="17" t="n">
        <v>283826</v>
      </c>
      <c r="AC35" s="17" t="n">
        <v>2043</v>
      </c>
      <c r="AD35" s="17" t="n">
        <v>0</v>
      </c>
      <c r="AE35" s="17" t="n">
        <v>59000</v>
      </c>
      <c r="AF35" s="17" t="n">
        <v>0</v>
      </c>
      <c r="AG35" s="17" t="n">
        <v>1</v>
      </c>
      <c r="AH35" s="17" t="n">
        <v>8</v>
      </c>
      <c r="AI35" s="17" t="n">
        <v>1</v>
      </c>
      <c r="AJ35" s="17" t="n">
        <v>0</v>
      </c>
      <c r="AK35" s="17" t="n">
        <v>0</v>
      </c>
      <c r="AL35" s="17" t="n">
        <v>6</v>
      </c>
      <c r="AM35" s="17" t="n">
        <v>2</v>
      </c>
      <c r="AN35" s="17" t="n">
        <v>2</v>
      </c>
      <c r="AO35" s="17" t="n">
        <v>2</v>
      </c>
      <c r="AP35" s="17" t="n">
        <v>0</v>
      </c>
      <c r="AQ35" s="17" t="n">
        <v>185</v>
      </c>
      <c r="AR35" s="17" t="n">
        <v>15</v>
      </c>
      <c r="AS35" s="17" t="n">
        <v>230</v>
      </c>
      <c r="AT35" s="17" t="n">
        <v>90871</v>
      </c>
      <c r="AU35" s="17" t="n">
        <v>93216</v>
      </c>
      <c r="AV35" s="17" t="n">
        <v>342109.1</v>
      </c>
      <c r="AW35" s="17" t="n">
        <v>350492.2</v>
      </c>
      <c r="AX35" s="17" t="n">
        <v>17781.8</v>
      </c>
      <c r="AY35" s="17" t="n">
        <v>13824</v>
      </c>
      <c r="AZ35" s="17" t="n">
        <v>241</v>
      </c>
      <c r="BA35" s="17" t="n">
        <v>227</v>
      </c>
      <c r="BB35" s="17" t="n">
        <v>95198</v>
      </c>
      <c r="BC35" s="17" t="n">
        <v>90404</v>
      </c>
      <c r="BD35" s="17" t="n">
        <v>1137</v>
      </c>
      <c r="BE35" s="17" t="n">
        <v>644</v>
      </c>
      <c r="BF35" s="17" t="n">
        <v>677</v>
      </c>
      <c r="BG35" s="17" t="n">
        <v>140906.8</v>
      </c>
      <c r="BH35" s="17" t="n">
        <v>49975.8</v>
      </c>
      <c r="BI35" s="17" t="n">
        <v>0</v>
      </c>
      <c r="BJ35" s="17" t="n">
        <v>0</v>
      </c>
      <c r="BK35" s="17" t="n">
        <v>0</v>
      </c>
      <c r="BL35" s="17" t="n">
        <v>0</v>
      </c>
      <c r="BM35" s="17" t="n">
        <v>0</v>
      </c>
      <c r="BN35" s="17" t="n">
        <v>0</v>
      </c>
      <c r="BO35" s="17" t="n">
        <v>0</v>
      </c>
      <c r="BP35" s="17" t="n">
        <v>0</v>
      </c>
      <c r="BQ35" s="17" t="n">
        <v>0</v>
      </c>
      <c r="BR35" s="17" t="n">
        <v>0</v>
      </c>
      <c r="BS35" s="17" t="n">
        <v>0</v>
      </c>
      <c r="BT35" s="17" t="n">
        <v>99</v>
      </c>
      <c r="BU35" s="17" t="n">
        <v>92594</v>
      </c>
      <c r="BV35" s="17" t="n">
        <v>92936</v>
      </c>
      <c r="BW35" s="17" t="n">
        <v>34945088</v>
      </c>
      <c r="BX35" s="17" t="n">
        <v>107260</v>
      </c>
      <c r="BY35" s="17" t="n">
        <v>3512</v>
      </c>
    </row>
    <row r="36">
      <c r="A36" s="17" t="inlineStr">
        <is>
          <t>Group</t>
        </is>
      </c>
      <c r="B36" s="17" t="inlineStr">
        <is>
          <t>Entity A2</t>
        </is>
      </c>
      <c r="C36" s="17" t="inlineStr">
        <is>
          <t>Plant 06</t>
        </is>
      </c>
      <c r="D36" s="17" t="inlineStr">
        <is>
          <t>2026-06</t>
        </is>
      </c>
      <c r="E36" s="17" t="n">
        <v>158.2</v>
      </c>
      <c r="F36" s="17" t="n">
        <v>720</v>
      </c>
      <c r="G36" s="17" t="n">
        <v>710</v>
      </c>
      <c r="H36" s="17" t="n">
        <v>685.1</v>
      </c>
      <c r="I36" s="17" t="n">
        <v>7.6</v>
      </c>
      <c r="J36" s="17" t="n">
        <v>112322</v>
      </c>
      <c r="K36" s="17" t="n">
        <v>113904</v>
      </c>
      <c r="L36" s="17" t="n">
        <v>101737</v>
      </c>
      <c r="M36" s="17" t="n">
        <v>99375</v>
      </c>
      <c r="N36" s="17" t="n">
        <v>97786</v>
      </c>
      <c r="O36" s="17" t="n">
        <v>109226</v>
      </c>
      <c r="P36" s="17" t="n">
        <v>20553</v>
      </c>
      <c r="Q36" s="17" t="n">
        <v>17742</v>
      </c>
      <c r="R36" s="17" t="n">
        <v>1202</v>
      </c>
      <c r="S36" s="17" t="n">
        <v>1</v>
      </c>
      <c r="T36" s="17" t="n">
        <v>4</v>
      </c>
      <c r="U36" s="17" t="n">
        <v>34</v>
      </c>
      <c r="V36" s="17" t="n">
        <v>34</v>
      </c>
      <c r="W36" s="17" t="n">
        <v>293503.6</v>
      </c>
      <c r="X36" s="17" t="n">
        <v>70567.7</v>
      </c>
      <c r="Y36" s="17" t="n">
        <v>953.1</v>
      </c>
      <c r="Z36" s="17" t="n">
        <v>209475</v>
      </c>
      <c r="AA36" s="17" t="n">
        <v>54476</v>
      </c>
      <c r="AB36" s="17" t="n">
        <v>289664</v>
      </c>
      <c r="AC36" s="17" t="n">
        <v>4506</v>
      </c>
      <c r="AD36" s="17" t="n">
        <v>2</v>
      </c>
      <c r="AE36" s="17" t="n">
        <v>93000</v>
      </c>
      <c r="AF36" s="17" t="n">
        <v>0</v>
      </c>
      <c r="AG36" s="17" t="n">
        <v>0</v>
      </c>
      <c r="AH36" s="17" t="n">
        <v>5</v>
      </c>
      <c r="AI36" s="17" t="n">
        <v>0</v>
      </c>
      <c r="AJ36" s="17" t="n">
        <v>0</v>
      </c>
      <c r="AK36" s="17" t="n">
        <v>0</v>
      </c>
      <c r="AL36" s="17" t="n">
        <v>12</v>
      </c>
      <c r="AM36" s="17" t="n">
        <v>2</v>
      </c>
      <c r="AN36" s="17" t="n">
        <v>3</v>
      </c>
      <c r="AO36" s="17" t="n">
        <v>3</v>
      </c>
      <c r="AP36" s="17" t="n">
        <v>0</v>
      </c>
      <c r="AQ36" s="17" t="n">
        <v>175</v>
      </c>
      <c r="AR36" s="17" t="n">
        <v>8</v>
      </c>
      <c r="AS36" s="17" t="n">
        <v>200</v>
      </c>
      <c r="AT36" s="17" t="n">
        <v>98065</v>
      </c>
      <c r="AU36" s="17" t="n">
        <v>101979</v>
      </c>
      <c r="AV36" s="17" t="n">
        <v>370258</v>
      </c>
      <c r="AW36" s="17" t="n">
        <v>383441</v>
      </c>
      <c r="AX36" s="17" t="n">
        <v>20211.4</v>
      </c>
      <c r="AY36" s="17" t="n">
        <v>13649.9</v>
      </c>
      <c r="AZ36" s="17" t="n">
        <v>297</v>
      </c>
      <c r="BA36" s="17" t="n">
        <v>281</v>
      </c>
      <c r="BB36" s="17" t="n">
        <v>109737</v>
      </c>
      <c r="BC36" s="17" t="n">
        <v>106134</v>
      </c>
      <c r="BD36" s="17" t="n">
        <v>581</v>
      </c>
      <c r="BE36" s="17" t="n">
        <v>588</v>
      </c>
      <c r="BF36" s="17" t="n">
        <v>581</v>
      </c>
      <c r="BG36" s="17" t="n">
        <v>161033.6</v>
      </c>
      <c r="BH36" s="17" t="n">
        <v>57752.7</v>
      </c>
      <c r="BI36" s="17" t="n">
        <v>0</v>
      </c>
      <c r="BJ36" s="17" t="n">
        <v>0</v>
      </c>
      <c r="BK36" s="17" t="n">
        <v>1</v>
      </c>
      <c r="BL36" s="17" t="n">
        <v>0</v>
      </c>
      <c r="BM36" s="17" t="n">
        <v>0</v>
      </c>
      <c r="BN36" s="17" t="n">
        <v>0</v>
      </c>
      <c r="BO36" s="17" t="n">
        <v>0</v>
      </c>
      <c r="BP36" s="17" t="n">
        <v>0</v>
      </c>
      <c r="BQ36" s="17" t="n">
        <v>0</v>
      </c>
      <c r="BR36" s="17" t="n">
        <v>0</v>
      </c>
      <c r="BS36" s="17" t="n">
        <v>0</v>
      </c>
      <c r="BT36" s="17" t="n">
        <v>99</v>
      </c>
      <c r="BU36" s="17" t="n">
        <v>102705</v>
      </c>
      <c r="BV36" s="17" t="n">
        <v>103273</v>
      </c>
      <c r="BW36" s="17" t="n">
        <v>40049632</v>
      </c>
      <c r="BX36" s="17" t="n">
        <v>112322</v>
      </c>
      <c r="BY36" s="17" t="n">
        <v>1031</v>
      </c>
    </row>
    <row r="37">
      <c r="A37" s="17" t="inlineStr">
        <is>
          <t>Group</t>
        </is>
      </c>
      <c r="B37" s="17" t="inlineStr">
        <is>
          <t>Entity A2</t>
        </is>
      </c>
      <c r="C37" s="17" t="inlineStr">
        <is>
          <t>Plant 06</t>
        </is>
      </c>
      <c r="D37" s="17" t="inlineStr">
        <is>
          <t>2026-07</t>
        </is>
      </c>
      <c r="E37" s="17" t="n">
        <v>158.2</v>
      </c>
      <c r="F37" s="17" t="n">
        <v>744</v>
      </c>
      <c r="G37" s="17" t="n">
        <v>738</v>
      </c>
      <c r="H37" s="17" t="n">
        <v>699.9</v>
      </c>
      <c r="I37" s="17" t="n">
        <v>23.1</v>
      </c>
      <c r="J37" s="17" t="n">
        <v>116752</v>
      </c>
      <c r="K37" s="17" t="n">
        <v>117701</v>
      </c>
      <c r="L37" s="17" t="n">
        <v>103750</v>
      </c>
      <c r="M37" s="17" t="n">
        <v>103911</v>
      </c>
      <c r="N37" s="17" t="n">
        <v>100958</v>
      </c>
      <c r="O37" s="17" t="n">
        <v>112227</v>
      </c>
      <c r="P37" s="17" t="n">
        <v>21719</v>
      </c>
      <c r="Q37" s="17" t="n">
        <v>18318</v>
      </c>
      <c r="R37" s="17" t="n">
        <v>3654</v>
      </c>
      <c r="S37" s="17" t="n">
        <v>3</v>
      </c>
      <c r="T37" s="17" t="n">
        <v>16.9</v>
      </c>
      <c r="U37" s="17" t="n">
        <v>31</v>
      </c>
      <c r="V37" s="17" t="n">
        <v>29</v>
      </c>
      <c r="W37" s="17" t="n">
        <v>315593.3</v>
      </c>
      <c r="X37" s="17" t="n">
        <v>100678.8</v>
      </c>
      <c r="Y37" s="17" t="n">
        <v>1062.1</v>
      </c>
      <c r="Z37" s="17" t="n">
        <v>220957</v>
      </c>
      <c r="AA37" s="17" t="n">
        <v>68538</v>
      </c>
      <c r="AB37" s="17" t="n">
        <v>303194</v>
      </c>
      <c r="AC37" s="17" t="n">
        <v>1940</v>
      </c>
      <c r="AD37" s="17" t="n">
        <v>0</v>
      </c>
      <c r="AE37" s="17" t="n">
        <v>86000</v>
      </c>
      <c r="AF37" s="17" t="n">
        <v>0</v>
      </c>
      <c r="AG37" s="17" t="n">
        <v>0</v>
      </c>
      <c r="AH37" s="17" t="n">
        <v>6</v>
      </c>
      <c r="AI37" s="17" t="n">
        <v>0</v>
      </c>
      <c r="AJ37" s="17" t="n">
        <v>0</v>
      </c>
      <c r="AK37" s="17" t="n">
        <v>0</v>
      </c>
      <c r="AL37" s="17" t="n">
        <v>9</v>
      </c>
      <c r="AM37" s="17" t="n">
        <v>1</v>
      </c>
      <c r="AN37" s="17" t="n">
        <v>3</v>
      </c>
      <c r="AO37" s="17" t="n">
        <v>2</v>
      </c>
      <c r="AP37" s="17" t="n">
        <v>2</v>
      </c>
      <c r="AQ37" s="17" t="n">
        <v>153</v>
      </c>
      <c r="AR37" s="17" t="n">
        <v>12</v>
      </c>
      <c r="AS37" s="17" t="n">
        <v>170</v>
      </c>
      <c r="AT37" s="17" t="n">
        <v>101316</v>
      </c>
      <c r="AU37" s="17" t="n">
        <v>103289</v>
      </c>
      <c r="AV37" s="17" t="n">
        <v>378066.9</v>
      </c>
      <c r="AW37" s="17" t="n">
        <v>388366.6</v>
      </c>
      <c r="AX37" s="17" t="n">
        <v>16684.9</v>
      </c>
      <c r="AY37" s="17" t="n">
        <v>13335.2</v>
      </c>
      <c r="AZ37" s="17" t="n">
        <v>280</v>
      </c>
      <c r="BA37" s="17" t="n">
        <v>262</v>
      </c>
      <c r="BB37" s="17" t="n">
        <v>110299</v>
      </c>
      <c r="BC37" s="17" t="n">
        <v>108493</v>
      </c>
      <c r="BD37" s="17" t="n">
        <v>919</v>
      </c>
      <c r="BE37" s="17" t="n">
        <v>1190</v>
      </c>
      <c r="BF37" s="17" t="n">
        <v>1199</v>
      </c>
      <c r="BG37" s="17" t="n">
        <v>174672.2</v>
      </c>
      <c r="BH37" s="17" t="n">
        <v>59403.4</v>
      </c>
      <c r="BI37" s="17" t="n">
        <v>0</v>
      </c>
      <c r="BJ37" s="17" t="n">
        <v>0</v>
      </c>
      <c r="BK37" s="17" t="n">
        <v>0</v>
      </c>
      <c r="BL37" s="17" t="n">
        <v>1</v>
      </c>
      <c r="BM37" s="17" t="n">
        <v>1</v>
      </c>
      <c r="BN37" s="17" t="n">
        <v>0</v>
      </c>
      <c r="BO37" s="17" t="n">
        <v>0</v>
      </c>
      <c r="BP37" s="17" t="n">
        <v>0</v>
      </c>
      <c r="BQ37" s="17" t="n">
        <v>0</v>
      </c>
      <c r="BR37" s="17" t="n">
        <v>0</v>
      </c>
      <c r="BS37" s="17" t="n">
        <v>0</v>
      </c>
      <c r="BT37" s="17" t="n">
        <v>99</v>
      </c>
      <c r="BU37" s="17" t="n">
        <v>104924</v>
      </c>
      <c r="BV37" s="17" t="n">
        <v>107181</v>
      </c>
      <c r="BW37" s="17" t="n">
        <v>46432093</v>
      </c>
      <c r="BX37" s="17" t="n">
        <v>116752</v>
      </c>
      <c r="BY37" s="17" t="n">
        <v>3277</v>
      </c>
    </row>
    <row r="38">
      <c r="A38" s="17" t="inlineStr">
        <is>
          <t>Group</t>
        </is>
      </c>
      <c r="B38" s="17" t="inlineStr">
        <is>
          <t>Entity A2</t>
        </is>
      </c>
      <c r="C38" s="17" t="inlineStr">
        <is>
          <t>Plant 06</t>
        </is>
      </c>
      <c r="D38" s="17" t="inlineStr">
        <is>
          <t>2026-08</t>
        </is>
      </c>
      <c r="E38" s="17" t="n">
        <v>158.2</v>
      </c>
      <c r="F38" s="17" t="n">
        <v>744</v>
      </c>
      <c r="G38" s="17" t="n">
        <v>744</v>
      </c>
      <c r="H38" s="17" t="n">
        <v>702</v>
      </c>
      <c r="I38" s="17" t="n">
        <v>23.5</v>
      </c>
      <c r="J38" s="17" t="n">
        <v>117701</v>
      </c>
      <c r="K38" s="17" t="n">
        <v>117701</v>
      </c>
      <c r="L38" s="17" t="n">
        <v>105368</v>
      </c>
      <c r="M38" s="17" t="n">
        <v>100223</v>
      </c>
      <c r="N38" s="17" t="n">
        <v>97315</v>
      </c>
      <c r="O38" s="17" t="n">
        <v>105052</v>
      </c>
      <c r="P38" s="17" t="n">
        <v>24299</v>
      </c>
      <c r="Q38" s="17" t="n">
        <v>21958</v>
      </c>
      <c r="R38" s="17" t="n">
        <v>3718</v>
      </c>
      <c r="S38" s="17" t="n">
        <v>4</v>
      </c>
      <c r="T38" s="17" t="n">
        <v>14.8</v>
      </c>
      <c r="U38" s="17" t="n">
        <v>30</v>
      </c>
      <c r="V38" s="17" t="n">
        <v>30</v>
      </c>
      <c r="W38" s="17" t="n">
        <v>329106.6</v>
      </c>
      <c r="X38" s="17" t="n">
        <v>89325.10000000001</v>
      </c>
      <c r="Y38" s="17" t="n">
        <v>1485.5</v>
      </c>
      <c r="Z38" s="17" t="n">
        <v>185666</v>
      </c>
      <c r="AA38" s="17" t="n">
        <v>60804</v>
      </c>
      <c r="AB38" s="17" t="n">
        <v>349459</v>
      </c>
      <c r="AC38" s="17" t="n">
        <v>5827</v>
      </c>
      <c r="AD38" s="17" t="n">
        <v>2</v>
      </c>
      <c r="AE38" s="17" t="n">
        <v>57000</v>
      </c>
      <c r="AF38" s="17" t="n">
        <v>1</v>
      </c>
      <c r="AG38" s="17" t="n">
        <v>0</v>
      </c>
      <c r="AH38" s="17" t="n">
        <v>10</v>
      </c>
      <c r="AI38" s="17" t="n">
        <v>0</v>
      </c>
      <c r="AJ38" s="17" t="n">
        <v>0</v>
      </c>
      <c r="AK38" s="17" t="n">
        <v>0</v>
      </c>
      <c r="AL38" s="17" t="n">
        <v>6</v>
      </c>
      <c r="AM38" s="17" t="n">
        <v>0</v>
      </c>
      <c r="AN38" s="17" t="n">
        <v>3</v>
      </c>
      <c r="AO38" s="17" t="n">
        <v>3</v>
      </c>
      <c r="AP38" s="17" t="n">
        <v>0</v>
      </c>
      <c r="AQ38" s="17" t="n">
        <v>231</v>
      </c>
      <c r="AR38" s="17" t="n">
        <v>8</v>
      </c>
      <c r="AS38" s="17" t="n">
        <v>140</v>
      </c>
      <c r="AT38" s="17" t="n">
        <v>95918</v>
      </c>
      <c r="AU38" s="17" t="n">
        <v>104584</v>
      </c>
      <c r="AV38" s="17" t="n">
        <v>359088.5</v>
      </c>
      <c r="AW38" s="17" t="n">
        <v>393235.8</v>
      </c>
      <c r="AX38" s="17" t="n">
        <v>19129.8</v>
      </c>
      <c r="AY38" s="17" t="n">
        <v>13346.9</v>
      </c>
      <c r="AZ38" s="17" t="n">
        <v>255</v>
      </c>
      <c r="BA38" s="17" t="n">
        <v>239</v>
      </c>
      <c r="BB38" s="17" t="n">
        <v>107841</v>
      </c>
      <c r="BC38" s="17" t="n">
        <v>105998</v>
      </c>
      <c r="BD38" s="17" t="n">
        <v>1081</v>
      </c>
      <c r="BE38" s="17" t="n">
        <v>1078</v>
      </c>
      <c r="BF38" s="17" t="n">
        <v>1065</v>
      </c>
      <c r="BG38" s="17" t="n">
        <v>167610.1</v>
      </c>
      <c r="BH38" s="17" t="n">
        <v>56483.5</v>
      </c>
      <c r="BI38" s="17" t="n">
        <v>0</v>
      </c>
      <c r="BJ38" s="17" t="n">
        <v>0</v>
      </c>
      <c r="BK38" s="17" t="n">
        <v>0</v>
      </c>
      <c r="BL38" s="17" t="n">
        <v>1</v>
      </c>
      <c r="BM38" s="17" t="n">
        <v>0</v>
      </c>
      <c r="BN38" s="17" t="n">
        <v>0</v>
      </c>
      <c r="BO38" s="17" t="n">
        <v>0</v>
      </c>
      <c r="BP38" s="17" t="n">
        <v>0</v>
      </c>
      <c r="BQ38" s="17" t="n">
        <v>0</v>
      </c>
      <c r="BR38" s="17" t="n">
        <v>0</v>
      </c>
      <c r="BS38" s="17" t="n">
        <v>0</v>
      </c>
      <c r="BT38" s="17" t="n">
        <v>99</v>
      </c>
      <c r="BU38" s="17" t="n">
        <v>104978</v>
      </c>
      <c r="BV38" s="17" t="n">
        <v>106463</v>
      </c>
      <c r="BW38" s="17" t="n">
        <v>40888261</v>
      </c>
      <c r="BX38" s="17" t="n">
        <v>117701</v>
      </c>
      <c r="BY38" s="17" t="n">
        <v>4166</v>
      </c>
    </row>
    <row r="39">
      <c r="A39" s="17" t="inlineStr">
        <is>
          <t>Group</t>
        </is>
      </c>
      <c r="B39" s="17" t="inlineStr">
        <is>
          <t>Entity A2</t>
        </is>
      </c>
      <c r="C39" s="17" t="inlineStr">
        <is>
          <t>Plant 06</t>
        </is>
      </c>
      <c r="D39" s="17" t="inlineStr">
        <is>
          <t>2026-09</t>
        </is>
      </c>
      <c r="E39" s="17" t="n">
        <v>158.2</v>
      </c>
      <c r="F39" s="17" t="n">
        <v>720</v>
      </c>
      <c r="G39" s="17" t="n">
        <v>712</v>
      </c>
      <c r="H39" s="17" t="n">
        <v>680.7</v>
      </c>
      <c r="I39" s="17" t="n">
        <v>13.4</v>
      </c>
      <c r="J39" s="17" t="n">
        <v>112638</v>
      </c>
      <c r="K39" s="17" t="n">
        <v>113904</v>
      </c>
      <c r="L39" s="17" t="n">
        <v>98037</v>
      </c>
      <c r="M39" s="17" t="n">
        <v>97437</v>
      </c>
      <c r="N39" s="17" t="n">
        <v>94388</v>
      </c>
      <c r="O39" s="17" t="n">
        <v>101633</v>
      </c>
      <c r="P39" s="17" t="n">
        <v>20587</v>
      </c>
      <c r="Q39" s="17" t="n">
        <v>17410</v>
      </c>
      <c r="R39" s="17" t="n">
        <v>2120</v>
      </c>
      <c r="S39" s="17" t="n">
        <v>1</v>
      </c>
      <c r="T39" s="17" t="n">
        <v>6.5</v>
      </c>
      <c r="U39" s="17" t="n">
        <v>36</v>
      </c>
      <c r="V39" s="17" t="n">
        <v>34</v>
      </c>
      <c r="W39" s="17" t="n">
        <v>262617.2</v>
      </c>
      <c r="X39" s="17" t="n">
        <v>65862.8</v>
      </c>
      <c r="Y39" s="17" t="n">
        <v>1573</v>
      </c>
      <c r="Z39" s="17" t="n">
        <v>230619</v>
      </c>
      <c r="AA39" s="17" t="n">
        <v>63239</v>
      </c>
      <c r="AB39" s="17" t="n">
        <v>287280</v>
      </c>
      <c r="AC39" s="17" t="n">
        <v>5880</v>
      </c>
      <c r="AD39" s="17" t="n">
        <v>1</v>
      </c>
      <c r="AE39" s="17" t="n">
        <v>89000</v>
      </c>
      <c r="AF39" s="17" t="n">
        <v>0</v>
      </c>
      <c r="AG39" s="17" t="n">
        <v>1</v>
      </c>
      <c r="AH39" s="17" t="n">
        <v>9</v>
      </c>
      <c r="AI39" s="17" t="n">
        <v>0</v>
      </c>
      <c r="AJ39" s="17" t="n">
        <v>0</v>
      </c>
      <c r="AK39" s="17" t="n">
        <v>0</v>
      </c>
      <c r="AL39" s="17" t="n">
        <v>5</v>
      </c>
      <c r="AM39" s="17" t="n">
        <v>1</v>
      </c>
      <c r="AN39" s="17" t="n">
        <v>0</v>
      </c>
      <c r="AO39" s="17" t="n">
        <v>0</v>
      </c>
      <c r="AP39" s="17" t="n">
        <v>1</v>
      </c>
      <c r="AQ39" s="17" t="n">
        <v>125</v>
      </c>
      <c r="AR39" s="17" t="n">
        <v>3</v>
      </c>
      <c r="AS39" s="17" t="n">
        <v>110</v>
      </c>
      <c r="AT39" s="17" t="n">
        <v>96056</v>
      </c>
      <c r="AU39" s="17" t="n">
        <v>97878</v>
      </c>
      <c r="AV39" s="17" t="n">
        <v>363110.2</v>
      </c>
      <c r="AW39" s="17" t="n">
        <v>368021.3</v>
      </c>
      <c r="AX39" s="17" t="n">
        <v>14652.5</v>
      </c>
      <c r="AY39" s="17" t="n">
        <v>13440.5</v>
      </c>
      <c r="AZ39" s="17" t="n">
        <v>151</v>
      </c>
      <c r="BA39" s="17" t="n">
        <v>137</v>
      </c>
      <c r="BB39" s="17" t="n">
        <v>100510</v>
      </c>
      <c r="BC39" s="17" t="n">
        <v>95543</v>
      </c>
      <c r="BD39" s="17" t="n">
        <v>1310</v>
      </c>
      <c r="BE39" s="17" t="n">
        <v>616</v>
      </c>
      <c r="BF39" s="17" t="n">
        <v>609</v>
      </c>
      <c r="BG39" s="17" t="n">
        <v>146401.1</v>
      </c>
      <c r="BH39" s="17" t="n">
        <v>58367</v>
      </c>
      <c r="BI39" s="17" t="n">
        <v>0</v>
      </c>
      <c r="BJ39" s="17" t="n">
        <v>0</v>
      </c>
      <c r="BK39" s="17" t="n">
        <v>1</v>
      </c>
      <c r="BL39" s="17" t="n">
        <v>0</v>
      </c>
      <c r="BM39" s="17" t="n">
        <v>0</v>
      </c>
      <c r="BN39" s="17" t="n">
        <v>0</v>
      </c>
      <c r="BO39" s="17" t="n">
        <v>0</v>
      </c>
      <c r="BP39" s="17" t="n">
        <v>0</v>
      </c>
      <c r="BQ39" s="17" t="n">
        <v>0</v>
      </c>
      <c r="BR39" s="17" t="n">
        <v>0</v>
      </c>
      <c r="BS39" s="17" t="n">
        <v>0</v>
      </c>
      <c r="BT39" s="17" t="n">
        <v>99</v>
      </c>
      <c r="BU39" s="17" t="n">
        <v>99398</v>
      </c>
      <c r="BV39" s="17" t="n">
        <v>100389</v>
      </c>
      <c r="BW39" s="17" t="n">
        <v>33437653</v>
      </c>
      <c r="BX39" s="17" t="n">
        <v>112638</v>
      </c>
      <c r="BY39" s="17" t="n">
        <v>2024</v>
      </c>
    </row>
  </sheetData>
  <autoFilter ref="A3:BY39"/>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8.7109375" customWidth="1" min="1" max="1"/>
    <col width="14.7109375" customWidth="1" min="2" max="2"/>
    <col width="60.7109375" customWidth="1" min="3" max="3"/>
  </cols>
  <sheetData>
    <row r="1">
      <c r="A1" s="1" t="inlineStr">
        <is>
          <t>Name</t>
        </is>
      </c>
      <c r="B1" s="1" t="inlineStr">
        <is>
          <t>Value</t>
        </is>
      </c>
      <c r="C1" s="1" t="inlineStr">
        <is>
          <t>Meaning</t>
        </is>
      </c>
    </row>
    <row r="2">
      <c r="A2" s="2" t="inlineStr">
        <is>
          <t>TaxRate</t>
        </is>
      </c>
      <c r="B2" s="23" t="n">
        <v>0.25</v>
      </c>
      <c r="C2" s="3" t="inlineStr">
        <is>
          <t>Tax rate used for after-tax return</t>
        </is>
      </c>
    </row>
    <row r="3">
      <c r="A3" s="2" t="inlineStr">
        <is>
          <t>WACC</t>
        </is>
      </c>
      <c r="B3" s="23" t="n">
        <v>0.095</v>
      </c>
      <c r="C3" s="3" t="inlineStr">
        <is>
          <t>Cost of capital, per year</t>
        </is>
      </c>
    </row>
    <row r="4">
      <c r="A4" s="2" t="inlineStr">
        <is>
          <t>CovenantMax</t>
        </is>
      </c>
      <c r="B4" s="23" t="n">
        <v>2.5</v>
      </c>
      <c r="C4" s="3" t="inlineStr">
        <is>
          <t>Covenant limit: net debt ÷ EBITDA (times)</t>
        </is>
      </c>
    </row>
    <row r="5">
      <c r="A5" s="2" t="inlineStr">
        <is>
          <t>OpeningNWC_A1</t>
        </is>
      </c>
      <c r="B5" s="23" t="n">
        <v>2109562.8</v>
      </c>
      <c r="C5" s="3" t="inlineStr">
        <is>
          <t>Net working capital at 31 Mar 2026, Entity A1 (₹ thousand)</t>
        </is>
      </c>
    </row>
    <row r="6">
      <c r="A6" s="2" t="inlineStr">
        <is>
          <t>OpeningNWC_A2</t>
        </is>
      </c>
      <c r="B6" s="23" t="n">
        <v>759330.2</v>
      </c>
      <c r="C6" s="3" t="inlineStr">
        <is>
          <t>Net working capital at 31 Mar 2026, Entity A2 (₹ thousand)</t>
        </is>
      </c>
    </row>
    <row r="7">
      <c r="A7" s="2" t="inlineStr">
        <is>
          <t>OpeningNWC</t>
        </is>
      </c>
      <c r="B7" s="24">
        <f>B5+B6</f>
        <v/>
      </c>
      <c r="C7" s="3" t="inlineStr">
        <is>
          <t>Net working capital at 31 Mar 2026, Group (₹ thousand)</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7109375" customWidth="1" min="1" max="1"/>
  </cols>
  <sheetData>
    <row r="1">
      <c r="A1" s="1" t="inlineStr">
        <is>
          <t>Group KPI model: how every Group-level KPI on the mockups is calculated, bottom up</t>
        </is>
      </c>
    </row>
    <row r="2">
      <c r="A2" s="20" t="inlineStr">
        <is>
          <t>Group KPIs: one row per KPI, one column per month (Apr–Sep 2026 = P01–P06). Every value is a live formula; click a cell to see it.</t>
        </is>
      </c>
    </row>
    <row r="3">
      <c r="A3" s="20" t="inlineStr">
        <is>
          <t>Group Inputs: each input is the sum of Entity A1 and Entity A2 (or the lowest, for days to permit expiry and days to breach). Blue columns are building blocks calculated from those inputs, such as EBITDA and net working capital.</t>
        </is>
      </c>
    </row>
    <row r="4">
      <c r="A4" s="20" t="inlineStr">
        <is>
          <t>Entity Inputs: inputs that come from plants are the sum of the entity's 3 plants. Yellow inputs only exist at entity level (finance, cash, treasury, capex, programmes, contracts, controls, governance, data trust, workflow).</t>
        </is>
      </c>
    </row>
    <row r="5">
      <c r="A5" s="20" t="inlineStr">
        <is>
          <t>Plant Inputs: the plant data. The first 40 input columns are plant_base.csv unchanged; the rest are added for sales, supply, regulatory and forecast KPIs.</t>
        </is>
      </c>
    </row>
    <row r="6">
      <c r="A6" s="20" t="inlineStr">
        <is>
          <t>Parameters: tax rate, cost of capital, covenant limit and opening working capital used by some formulas.</t>
        </is>
      </c>
    </row>
    <row r="7">
      <c r="A7" s="20" t="inlineStr">
        <is>
          <t>Rule: KPIs are always recalculated from the Group totals. They are never averages of entity or plant KPIs.</t>
        </is>
      </c>
    </row>
    <row r="8">
      <c r="A8" s="20" t="inlineStr">
        <is>
          <t>All data is synthetic. Formulas are working assumptions until the KPI catalogue definitions are approved.</t>
        </is>
      </c>
    </row>
    <row r="9">
      <c r="A9" s="20" t="inlineStr">
        <is>
          <t>Some IDs on the mockups measure the same thing and so show the same value: OPS-005 = OPS-003, OPS-006 = PLT-002, OPS-004 = OPS-002, PRG-004 = STR-002, RSK-003 = CMP-005 = REG-010.</t>
        </is>
      </c>
    </row>
    <row r="10">
      <c r="A10" t="inlineStr">
        <is>
          <t>KPI-Model.xlsx (data/kpi-model/build_kpi_model.py): adds per-scope input sheets (A1, A2, Plant01–06 Inputs) and KPI sheets with the same formulas, the green synthetic inputs and KPIs the UI needed, and the UI KPI Map. Plant KPI sheets only list KPIs whose inputs all exist at plant level.</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R9"/>
  <sheetViews>
    <sheetView workbookViewId="0">
      <selection activeCell="A1" sqref="A1"/>
    </sheetView>
  </sheetViews>
  <sheetFormatPr baseColWidth="8" defaultRowHeight="15"/>
  <sheetData>
    <row r="1">
      <c r="A1" t="inlineStr">
        <is>
          <t>Group</t>
        </is>
      </c>
      <c r="B1" t="inlineStr">
        <is>
          <t>Month</t>
        </is>
      </c>
      <c r="C1" t="inlineStr">
        <is>
          <t>Days in month</t>
        </is>
      </c>
      <c r="D1" t="inlineStr">
        <is>
          <t>Months since April (YTD)</t>
        </is>
      </c>
      <c r="E1" t="inlineStr">
        <is>
          <t>Calendar hours (h)</t>
        </is>
      </c>
      <c r="F1" t="inlineStr">
        <is>
          <t>Planned operating hours (h)</t>
        </is>
      </c>
      <c r="G1" t="inlineStr">
        <is>
          <t>Run hours (h)</t>
        </is>
      </c>
      <c r="H1" t="inlineStr">
        <is>
          <t>Unplanned downtime (h)</t>
        </is>
      </c>
      <c r="I1" t="inlineStr">
        <is>
          <t>Ideal output (t)</t>
        </is>
      </c>
      <c r="J1" t="inlineStr">
        <is>
          <t>Installed capacity (t)</t>
        </is>
      </c>
      <c r="K1" t="inlineStr">
        <is>
          <t>Planned production (t)</t>
        </is>
      </c>
      <c r="L1" t="inlineStr">
        <is>
          <t>Gross output (t)</t>
        </is>
      </c>
      <c r="M1" t="inlineStr">
        <is>
          <t>Good output (t)</t>
        </is>
      </c>
      <c r="N1" t="inlineStr">
        <is>
          <t>Feed input (t)</t>
        </is>
      </c>
      <c r="O1" t="inlineStr">
        <is>
          <t>Valuable content in feed (t)</t>
        </is>
      </c>
      <c r="P1" t="inlineStr">
        <is>
          <t>Valuable content recovered (t)</t>
        </is>
      </c>
      <c r="Q1" t="inlineStr">
        <is>
          <t>Production lost to downtime (t)</t>
        </is>
      </c>
      <c r="R1" t="inlineStr">
        <is>
          <t>Breakdowns (count)</t>
        </is>
      </c>
      <c r="S1" t="inlineStr">
        <is>
          <t>Repair hours (h)</t>
        </is>
      </c>
      <c r="T1" t="inlineStr">
        <is>
          <t>Preventive maintenance scheduled (count)</t>
        </is>
      </c>
      <c r="U1" t="inlineStr">
        <is>
          <t>Preventive maintenance completed (count)</t>
        </is>
      </c>
      <c r="V1" t="inlineStr">
        <is>
          <t>Variable cost (₹ thousand)</t>
        </is>
      </c>
      <c r="W1" t="inlineStr">
        <is>
          <t>Fuel cost (₹ thousand)</t>
        </is>
      </c>
      <c r="X1" t="inlineStr">
        <is>
          <t>Fixed cost (₹ thousand)</t>
        </is>
      </c>
      <c r="Y1" t="inlineStr">
        <is>
          <t>Water used (m³)</t>
        </is>
      </c>
      <c r="Z1" t="inlineStr">
        <is>
          <t>Emissions (t CO2e)</t>
        </is>
      </c>
      <c r="AA1" t="inlineStr">
        <is>
          <t>Energy used (GJ)</t>
        </is>
      </c>
      <c r="AB1" t="inlineStr">
        <is>
          <t>Production at risk (t)</t>
        </is>
      </c>
      <c r="AC1" t="inlineStr">
        <is>
          <t>Critical plant alerts (count)</t>
        </is>
      </c>
      <c r="AD1" t="inlineStr">
        <is>
          <t>Hours worked (h)</t>
        </is>
      </c>
      <c r="AE1" t="inlineStr">
        <is>
          <t>Recordable injuries (count)</t>
        </is>
      </c>
      <c r="AF1" t="inlineStr">
        <is>
          <t>Severity incidents (count)</t>
        </is>
      </c>
      <c r="AG1" t="inlineStr">
        <is>
          <t>Near misses (count)</t>
        </is>
      </c>
      <c r="AH1" t="inlineStr">
        <is>
          <t>Critical safety incidents (count)</t>
        </is>
      </c>
      <c r="AI1" t="inlineStr">
        <is>
          <t>Environmental excursions (count)</t>
        </is>
      </c>
      <c r="AJ1" t="inlineStr">
        <is>
          <t>Environmental violations (count)</t>
        </is>
      </c>
      <c r="AK1" t="inlineStr">
        <is>
          <t>Open EHS corrective actions (count)</t>
        </is>
      </c>
      <c r="AL1" t="inlineStr">
        <is>
          <t>Overdue EHS corrective actions (count)</t>
        </is>
      </c>
      <c r="AM1" t="inlineStr">
        <is>
          <t>EHS investigations due (count)</t>
        </is>
      </c>
      <c r="AN1" t="inlineStr">
        <is>
          <t>EHS investigations completed (count)</t>
        </is>
      </c>
      <c r="AO1" t="inlineStr">
        <is>
          <t>Critical materials at risk (count)</t>
        </is>
      </c>
      <c r="AP1" t="inlineStr">
        <is>
          <t>Dispatches (count)</t>
        </is>
      </c>
      <c r="AQ1" t="inlineStr">
        <is>
          <t>Delayed dispatches (count)</t>
        </is>
      </c>
      <c r="AR1" t="inlineStr">
        <is>
          <t>Days to permit expiry (days)</t>
        </is>
      </c>
      <c r="AS1" t="inlineStr">
        <is>
          <t>Sales volume (t)</t>
        </is>
      </c>
      <c r="AT1" t="inlineStr">
        <is>
          <t>Planned sales volume (t)</t>
        </is>
      </c>
      <c r="AU1" t="inlineStr">
        <is>
          <t>Revenue (₹ thousand)</t>
        </is>
      </c>
      <c r="AV1" t="inlineStr">
        <is>
          <t>Planned revenue (₹ thousand)</t>
        </is>
      </c>
      <c r="AW1" t="inlineStr">
        <is>
          <t>Power cost, part of variable cost (₹ thousand)</t>
        </is>
      </c>
      <c r="AX1" t="inlineStr">
        <is>
          <t>Depreciation and amortisation (₹ thousand)</t>
        </is>
      </c>
      <c r="AY1" t="inlineStr">
        <is>
          <t>Purchase-order lines due (count)</t>
        </is>
      </c>
      <c r="AZ1" t="inlineStr">
        <is>
          <t>Purchase-order lines delivered on time (count)</t>
        </is>
      </c>
      <c r="BA1" t="inlineStr">
        <is>
          <t>Quantity ordered from suppliers (t)</t>
        </is>
      </c>
      <c r="BB1" t="inlineStr">
        <is>
          <t>Quantity received (t)</t>
        </is>
      </c>
      <c r="BC1" t="inlineStr">
        <is>
          <t>Quantity rejected on quality (t)</t>
        </is>
      </c>
      <c r="BD1" t="inlineStr">
        <is>
          <t>Planned lead time, all deliveries (days)</t>
        </is>
      </c>
      <c r="BE1" t="inlineStr">
        <is>
          <t>Actual lead time, all deliveries (days)</t>
        </is>
      </c>
      <c r="BF1" t="inlineStr">
        <is>
          <t>Supplier spend (₹ thousand)</t>
        </is>
      </c>
      <c r="BG1" t="inlineStr">
        <is>
          <t>Spend with single-source suppliers (₹ thousand)</t>
        </is>
      </c>
      <c r="BH1" t="inlineStr">
        <is>
          <t>Supplier EHS incidents (count)</t>
        </is>
      </c>
      <c r="BI1" t="inlineStr">
        <is>
          <t>Regulatory filings pending (count)</t>
        </is>
      </c>
      <c r="BJ1" t="inlineStr">
        <is>
          <t>Regulatory deadlines in next 30 days (count)</t>
        </is>
      </c>
      <c r="BK1" t="inlineStr">
        <is>
          <t>Licences expiring in next 12 months (count)</t>
        </is>
      </c>
      <c r="BL1" t="inlineStr">
        <is>
          <t>Regulatory obligations due in next 30 days (count)</t>
        </is>
      </c>
      <c r="BM1" t="inlineStr">
        <is>
          <t>Regulatory obligations overdue (count)</t>
        </is>
      </c>
      <c r="BN1" t="inlineStr">
        <is>
          <t>Open regulatory actions (count)</t>
        </is>
      </c>
      <c r="BO1" t="inlineStr">
        <is>
          <t>Overdue compliance actions (count)</t>
        </is>
      </c>
      <c r="BP1" t="inlineStr">
        <is>
          <t>Regulatory breaches in the month (count)</t>
        </is>
      </c>
      <c r="BQ1" t="inlineStr">
        <is>
          <t>Events that trigger a disclosure clock (count)</t>
        </is>
      </c>
      <c r="BR1" t="inlineStr">
        <is>
          <t>EHS escalation clocks running (count)</t>
        </is>
      </c>
      <c r="BS1" t="inlineStr">
        <is>
          <t>Days until production plan is breached, forecast (days; 99 = not expected)</t>
        </is>
      </c>
      <c r="BT1" t="inlineStr">
        <is>
          <t>Planned production next month (t)</t>
        </is>
      </c>
      <c r="BU1" t="inlineStr">
        <is>
          <t>Forecast good output next month (t)</t>
        </is>
      </c>
      <c r="BV1" t="inlineStr">
        <is>
          <t>Forecast uncertainty next month (variance, t²)</t>
        </is>
      </c>
      <c r="BW1" t="inlineStr">
        <is>
          <t>Ideal output next month (t)</t>
        </is>
      </c>
      <c r="BX1" t="inlineStr">
        <is>
          <t>Forecast production lost to downtime next month (t)</t>
        </is>
      </c>
      <c r="BY1" t="inlineStr">
        <is>
          <t>Overheads, SG&amp;A (₹ thousand)</t>
        </is>
      </c>
      <c r="BZ1" t="inlineStr">
        <is>
          <t>Tax paid (₹ thousand)</t>
        </is>
      </c>
      <c r="CA1" t="inlineStr">
        <is>
          <t>Capital employed, month end (₹ thousand)</t>
        </is>
      </c>
      <c r="CB1" t="inlineStr">
        <is>
          <t>Gross debt, month end (₹ thousand)</t>
        </is>
      </c>
      <c r="CC1" t="inlineStr">
        <is>
          <t>Cash, month end (₹ thousand)</t>
        </is>
      </c>
      <c r="CD1" t="inlineStr">
        <is>
          <t>Undrawn committed facilities (₹ thousand)</t>
        </is>
      </c>
      <c r="CE1" t="inlineStr">
        <is>
          <t>Debt service in the month (₹ thousand)</t>
        </is>
      </c>
      <c r="CF1" t="inlineStr">
        <is>
          <t>Debt maturing in next 12 months (₹ thousand)</t>
        </is>
      </c>
      <c r="CG1" t="inlineStr">
        <is>
          <t>Floating-rate debt (₹ thousand)</t>
        </is>
      </c>
      <c r="CH1" t="inlineStr">
        <is>
          <t>EBITDA as reported in the Board pack (₹ thousand)</t>
        </is>
      </c>
      <c r="CI1" t="inlineStr">
        <is>
          <t>Revenue in the flash report (₹ thousand)</t>
        </is>
      </c>
      <c r="CJ1" t="inlineStr">
        <is>
          <t>Trade receivables, month end (₹ thousand)</t>
        </is>
      </c>
      <c r="CK1" t="inlineStr">
        <is>
          <t>Trade payables, month end (₹ thousand)</t>
        </is>
      </c>
      <c r="CL1" t="inlineStr">
        <is>
          <t>Inventory, month end (₹ thousand)</t>
        </is>
      </c>
      <c r="CM1" t="inlineStr">
        <is>
          <t>Cash collected from customers (₹ thousand)</t>
        </is>
      </c>
      <c r="CN1" t="inlineStr">
        <is>
          <t>Cash released by working-capital actions (₹ thousand)</t>
        </is>
      </c>
      <c r="CO1" t="inlineStr">
        <is>
          <t>Cash due to be upstreamed to Group, next 30 days (₹ thousand)</t>
        </is>
      </c>
      <c r="CP1" t="inlineStr">
        <is>
          <t>Of which covered by available cash (₹ thousand)</t>
        </is>
      </c>
      <c r="CQ1" t="inlineStr">
        <is>
          <t>Invoices collected (count)</t>
        </is>
      </c>
      <c r="CR1" t="inlineStr">
        <is>
          <t>Days taken to collect, all invoices (days)</t>
        </is>
      </c>
      <c r="CS1" t="inlineStr">
        <is>
          <t>Agreed payment terms, all invoices (days)</t>
        </is>
      </c>
      <c r="CT1" t="inlineStr">
        <is>
          <t>Customers more than 30 days overdue (count)</t>
        </is>
      </c>
      <c r="CU1" t="inlineStr">
        <is>
          <t>Forecast EBITDA, rest of year (₹ thousand)</t>
        </is>
      </c>
      <c r="CV1" t="inlineStr">
        <is>
          <t>Planned EBITDA, rest of year (₹ thousand)</t>
        </is>
      </c>
      <c r="CW1" t="inlineStr">
        <is>
          <t>Forecast net cash flow, next 90 days (₹ thousand)</t>
        </is>
      </c>
      <c r="CX1" t="inlineStr">
        <is>
          <t>Forecast net debt at quarter end (₹ thousand)</t>
        </is>
      </c>
      <c r="CY1" t="inlineStr">
        <is>
          <t>Forecast EBITDA, 12 months to quarter end (₹ thousand)</t>
        </is>
      </c>
      <c r="CZ1" t="inlineStr">
        <is>
          <t>Foreign-currency exposure, gross (₹ thousand)</t>
        </is>
      </c>
      <c r="DA1" t="inlineStr">
        <is>
          <t>Foreign-currency exposure hedged (₹ thousand)</t>
        </is>
      </c>
      <c r="DB1" t="inlineStr">
        <is>
          <t>USD exposure, gross (₹ thousand)</t>
        </is>
      </c>
      <c r="DC1" t="inlineStr">
        <is>
          <t>USD exposure hedged (₹ thousand)</t>
        </is>
      </c>
      <c r="DD1" t="inlineStr">
        <is>
          <t>Change in value of hedges (₹ thousand)</t>
        </is>
      </c>
      <c r="DE1" t="inlineStr">
        <is>
          <t>Change in value of hedged items (₹ thousand)</t>
        </is>
      </c>
      <c r="DF1" t="inlineStr">
        <is>
          <t>Forecast foreign-currency flows, next 6 months (₹ thousand)</t>
        </is>
      </c>
      <c r="DG1" t="inlineStr">
        <is>
          <t>Of which hedged (₹ thousand)</t>
        </is>
      </c>
      <c r="DH1" t="inlineStr">
        <is>
          <t>Approved capex budget, full year (₹ thousand)</t>
        </is>
      </c>
      <c r="DI1" t="inlineStr">
        <is>
          <t>Capex committed to date (₹ thousand)</t>
        </is>
      </c>
      <c r="DJ1" t="inlineStr">
        <is>
          <t>Capex spent in the month (₹ thousand)</t>
        </is>
      </c>
      <c r="DK1" t="inlineStr">
        <is>
          <t>Capex work completed, valued at budget (₹ thousand)</t>
        </is>
      </c>
      <c r="DL1" t="inlineStr">
        <is>
          <t>Budget of capex projects at risk (₹ thousand)</t>
        </is>
      </c>
      <c r="DM1" t="inlineStr">
        <is>
          <t>Capex projects on track (count)</t>
        </is>
      </c>
      <c r="DN1" t="inlineStr">
        <is>
          <t>Capex projects at risk (count)</t>
        </is>
      </c>
      <c r="DO1" t="inlineStr">
        <is>
          <t>Capex projects off track (count)</t>
        </is>
      </c>
      <c r="DP1" t="inlineStr">
        <is>
          <t>Capex projects delayed (count)</t>
        </is>
      </c>
      <c r="DQ1" t="inlineStr">
        <is>
          <t>Contractor milestones due (count)</t>
        </is>
      </c>
      <c r="DR1" t="inlineStr">
        <is>
          <t>Contractor days late, all milestones (days)</t>
        </is>
      </c>
      <c r="DS1" t="inlineStr">
        <is>
          <t>Transformation initiatives on track (count)</t>
        </is>
      </c>
      <c r="DT1" t="inlineStr">
        <is>
          <t>Transformation initiatives at risk (count)</t>
        </is>
      </c>
      <c r="DU1" t="inlineStr">
        <is>
          <t>Transformation initiatives delayed (count)</t>
        </is>
      </c>
      <c r="DV1" t="inlineStr">
        <is>
          <t>Transformation milestones in plan (count)</t>
        </is>
      </c>
      <c r="DW1" t="inlineStr">
        <is>
          <t>Transformation milestones completed (count)</t>
        </is>
      </c>
      <c r="DX1" t="inlineStr">
        <is>
          <t>Programme benefits planned in the month (₹ thousand)</t>
        </is>
      </c>
      <c r="DY1" t="inlineStr">
        <is>
          <t>Programme benefits delivered in the month (₹ thousand)</t>
        </is>
      </c>
      <c r="DZ1" t="inlineStr">
        <is>
          <t>EBITDA benefit delivered (₹ thousand)</t>
        </is>
      </c>
      <c r="EA1" t="inlineStr">
        <is>
          <t>Cash benefit delivered (₹ thousand)</t>
        </is>
      </c>
      <c r="EB1" t="inlineStr">
        <is>
          <t>Cost savings delivered (₹ thousand)</t>
        </is>
      </c>
      <c r="EC1" t="inlineStr">
        <is>
          <t>Active supply contracts (count)</t>
        </is>
      </c>
      <c r="ED1" t="inlineStr">
        <is>
          <t>Contracts fully compliant (count)</t>
        </is>
      </c>
      <c r="EE1" t="inlineStr">
        <is>
          <t>Contracts expiring in next 90 days (count)</t>
        </is>
      </c>
      <c r="EF1" t="inlineStr">
        <is>
          <t>Suppliers not meeting EHS requirements (count)</t>
        </is>
      </c>
      <c r="EG1" t="inlineStr">
        <is>
          <t>Critical single-source suppliers (count)</t>
        </is>
      </c>
      <c r="EH1" t="inlineStr">
        <is>
          <t>Control failures (count)</t>
        </is>
      </c>
      <c r="EI1" t="inlineStr">
        <is>
          <t>High-severity control failures (count)</t>
        </is>
      </c>
      <c r="EJ1" t="inlineStr">
        <is>
          <t>Assurance reviews planned (count)</t>
        </is>
      </c>
      <c r="EK1" t="inlineStr">
        <is>
          <t>Assurance reviews completed (count)</t>
        </is>
      </c>
      <c r="EL1" t="inlineStr">
        <is>
          <t>Policy exceptions (count)</t>
        </is>
      </c>
      <c r="EM1" t="inlineStr">
        <is>
          <t>Unauthorised vendor uses (count)</t>
        </is>
      </c>
      <c r="EN1" t="inlineStr">
        <is>
          <t>Segregation-of-duties exceptions (count)</t>
        </is>
      </c>
      <c r="EO1" t="inlineStr">
        <is>
          <t>Unauthorised access events (count)</t>
        </is>
      </c>
      <c r="EP1" t="inlineStr">
        <is>
          <t>Data-sharing exceptions (count)</t>
        </is>
      </c>
      <c r="EQ1" t="inlineStr">
        <is>
          <t>Manual operational or system overrides (count)</t>
        </is>
      </c>
      <c r="ER1" t="inlineStr">
        <is>
          <t>Certification approvals past due date (count)</t>
        </is>
      </c>
      <c r="ES1" t="inlineStr">
        <is>
          <t>KPI values overridden (count)</t>
        </is>
      </c>
      <c r="ET1" t="inlineStr">
        <is>
          <t>Recurring data-quality issues (count)</t>
        </is>
      </c>
      <c r="EU1" t="inlineStr">
        <is>
          <t>Open audit findings (count)</t>
        </is>
      </c>
      <c r="EV1" t="inlineStr">
        <is>
          <t>Overdue assurance actions (count)</t>
        </is>
      </c>
      <c r="EW1" t="inlineStr">
        <is>
          <t>Repeat audit findings (count)</t>
        </is>
      </c>
      <c r="EX1" t="inlineStr">
        <is>
          <t>Leadership KPIs affected by open findings (count)</t>
        </is>
      </c>
      <c r="EY1" t="inlineStr">
        <is>
          <t>Evidence items required (count)</t>
        </is>
      </c>
      <c r="EZ1" t="inlineStr">
        <is>
          <t>Evidence items complete (count)</t>
        </is>
      </c>
      <c r="FA1" t="inlineStr">
        <is>
          <t>Audit findings closed in the month (count)</t>
        </is>
      </c>
      <c r="FB1" t="inlineStr">
        <is>
          <t>Days taken to close those findings (days)</t>
        </is>
      </c>
      <c r="FC1" t="inlineStr">
        <is>
          <t>Leadership KPI values reported (count)</t>
        </is>
      </c>
      <c r="FD1" t="inlineStr">
        <is>
          <t>Of which certified (count)</t>
        </is>
      </c>
      <c r="FE1" t="inlineStr">
        <is>
          <t>Of which inside the certification process (count)</t>
        </is>
      </c>
      <c r="FF1" t="inlineStr">
        <is>
          <t>Certifications overdue (count)</t>
        </is>
      </c>
      <c r="FG1" t="inlineStr">
        <is>
          <t>Open reconciliation breaks (count)</t>
        </is>
      </c>
      <c r="FH1" t="inlineStr">
        <is>
          <t>Material reconciliation breaks (count)</t>
        </is>
      </c>
      <c r="FI1" t="inlineStr">
        <is>
          <t>Records loaded to the data lake (count)</t>
        </is>
      </c>
      <c r="FJ1" t="inlineStr">
        <is>
          <t>Records reconciled to source (count)</t>
        </is>
      </c>
      <c r="FK1" t="inlineStr">
        <is>
          <t>Flash report lines (count)</t>
        </is>
      </c>
      <c r="FL1" t="inlineStr">
        <is>
          <t>Flash lines matching MIS (count)</t>
        </is>
      </c>
      <c r="FM1" t="inlineStr">
        <is>
          <t>Open critical alerts (count)</t>
        </is>
      </c>
      <c r="FN1" t="inlineStr">
        <is>
          <t>Alerts with no accepted owner (count)</t>
        </is>
      </c>
      <c r="FO1" t="inlineStr">
        <is>
          <t>Overdue actions (count)</t>
        </is>
      </c>
      <c r="FP1" t="inlineStr">
        <is>
          <t>Alerts resolved in the month (count)</t>
        </is>
      </c>
      <c r="FQ1" t="inlineStr">
        <is>
          <t>Days taken to resolve those alerts (days)</t>
        </is>
      </c>
      <c r="FR1" t="inlineStr">
        <is>
          <t>Escalations closed in the month (count)</t>
        </is>
      </c>
      <c r="FS1" t="inlineStr">
        <is>
          <t>Repeat issues raised in the month (count)</t>
        </is>
      </c>
      <c r="FT1" t="inlineStr">
        <is>
          <t>Root causes identified (count)</t>
        </is>
      </c>
      <c r="FU1" t="inlineStr">
        <is>
          <t>Root causes eliminated (count)</t>
        </is>
      </c>
      <c r="FV1" t="inlineStr">
        <is>
          <t>EBITDA (₹ thousand)</t>
        </is>
      </c>
      <c r="FW1" t="inlineStr">
        <is>
          <t>EBIT (₹ thousand)</t>
        </is>
      </c>
      <c r="FX1" t="inlineStr">
        <is>
          <t>Net working capital (₹ thousand)</t>
        </is>
      </c>
      <c r="FY1" t="inlineStr">
        <is>
          <t>Change in net working capital (₹ thousand)</t>
        </is>
      </c>
      <c r="FZ1" t="inlineStr">
        <is>
          <t>Operating cash flow (₹ thousand)</t>
        </is>
      </c>
      <c r="GA1" t="inlineStr">
        <is>
          <t>Free cash flow (₹ thousand)</t>
        </is>
      </c>
      <c r="GB1" t="inlineStr">
        <is>
          <t>Net debt (₹ thousand)</t>
        </is>
      </c>
      <c r="GC1" t="inlineStr">
        <is>
          <t>EBITDA, annualised (₹ thousand)</t>
        </is>
      </c>
      <c r="GD1" t="inlineStr">
        <is>
          <t>DSO (days)</t>
        </is>
      </c>
      <c r="GE1" t="inlineStr">
        <is>
          <t>DPO (days)</t>
        </is>
      </c>
      <c r="GF1" t="inlineStr">
        <is>
          <t>Inventory days (days)</t>
        </is>
      </c>
      <c r="GG1" t="inlineStr">
        <is>
          <t>Realised price vs plan (%)</t>
        </is>
      </c>
      <c r="GH1" t="inlineStr">
        <is>
          <t>Full-time employees (FTE, count)</t>
        </is>
      </c>
      <c r="GI1" t="inlineStr">
        <is>
          <t>FCF plan, full year (₹ thousand)</t>
        </is>
      </c>
      <c r="GJ1" t="inlineStr">
        <is>
          <t>Forecast FCF, rest of year (₹ thousand)</t>
        </is>
      </c>
      <c r="GK1" t="inlineStr">
        <is>
          <t>Forecast EBIT, rest of year (₹ thousand)</t>
        </is>
      </c>
      <c r="GL1" t="inlineStr">
        <is>
          <t>Forecast capital employed at P12 (₹ thousand)</t>
        </is>
      </c>
      <c r="GM1" t="inlineStr">
        <is>
          <t>EBITDA plan, full year (₹ thousand)</t>
        </is>
      </c>
      <c r="GN1" t="inlineStr">
        <is>
          <t>EBITDA full-year forecast uncertainty, 1σ (₹ thousand)</t>
        </is>
      </c>
      <c r="GO1" t="inlineStr">
        <is>
          <t>Hours to nearest open disclosure deadline (999 = none)</t>
        </is>
      </c>
      <c r="GP1" t="inlineStr">
        <is>
          <t>Single-source suppliers with cover below lead time (count)</t>
        </is>
      </c>
      <c r="GQ1" t="inlineStr">
        <is>
          <t>RM-1 price index (external, same for every entity)</t>
        </is>
      </c>
      <c r="GR1" t="inlineStr">
        <is>
          <t>Supply lanes with a disruption flag (count)</t>
        </is>
      </c>
    </row>
    <row r="2">
      <c r="A2" t="inlineStr">
        <is>
          <t>group</t>
        </is>
      </c>
      <c r="B2" t="inlineStr">
        <is>
          <t>period</t>
        </is>
      </c>
      <c r="C2" t="inlineStr">
        <is>
          <t>days</t>
        </is>
      </c>
      <c r="D2" t="inlineStr">
        <is>
          <t>ytd_months</t>
        </is>
      </c>
      <c r="E2" t="inlineStr">
        <is>
          <t>calendar_hours</t>
        </is>
      </c>
      <c r="F2" t="inlineStr">
        <is>
          <t>planned_op_hours</t>
        </is>
      </c>
      <c r="G2" t="inlineStr">
        <is>
          <t>run_hours</t>
        </is>
      </c>
      <c r="H2" t="inlineStr">
        <is>
          <t>unplanned_downtime_hours</t>
        </is>
      </c>
      <c r="I2" t="inlineStr">
        <is>
          <t>ideal_output_t</t>
        </is>
      </c>
      <c r="J2" t="inlineStr">
        <is>
          <t>installed_capacity_t</t>
        </is>
      </c>
      <c r="K2" t="inlineStr">
        <is>
          <t>planned_production_t</t>
        </is>
      </c>
      <c r="L2" t="inlineStr">
        <is>
          <t>gross_output_t</t>
        </is>
      </c>
      <c r="M2" t="inlineStr">
        <is>
          <t>good_output_t</t>
        </is>
      </c>
      <c r="N2" t="inlineStr">
        <is>
          <t>feed_input_t</t>
        </is>
      </c>
      <c r="O2" t="inlineStr">
        <is>
          <t>feed_contained_t</t>
        </is>
      </c>
      <c r="P2" t="inlineStr">
        <is>
          <t>recovered_contained_t</t>
        </is>
      </c>
      <c r="Q2" t="inlineStr">
        <is>
          <t>prod_loss_downtime_t</t>
        </is>
      </c>
      <c r="R2" t="inlineStr">
        <is>
          <t>failures</t>
        </is>
      </c>
      <c r="S2" t="inlineStr">
        <is>
          <t>repair_hours</t>
        </is>
      </c>
      <c r="T2" t="inlineStr">
        <is>
          <t>pm_scheduled</t>
        </is>
      </c>
      <c r="U2" t="inlineStr">
        <is>
          <t>pm_completed</t>
        </is>
      </c>
      <c r="V2" t="inlineStr">
        <is>
          <t>variable_cost_k</t>
        </is>
      </c>
      <c r="W2" t="inlineStr">
        <is>
          <t>fuel_cost_k</t>
        </is>
      </c>
      <c r="X2" t="inlineStr">
        <is>
          <t>fixed_cost_k</t>
        </is>
      </c>
      <c r="Y2" t="inlineStr">
        <is>
          <t>water_m3</t>
        </is>
      </c>
      <c r="Z2" t="inlineStr">
        <is>
          <t>emissions_tco2e</t>
        </is>
      </c>
      <c r="AA2" t="inlineStr">
        <is>
          <t>energy_gj</t>
        </is>
      </c>
      <c r="AB2" t="inlineStr">
        <is>
          <t>production_at_risk_t</t>
        </is>
      </c>
      <c r="AC2" t="inlineStr">
        <is>
          <t>critical_plant_alerts</t>
        </is>
      </c>
      <c r="AD2" t="inlineStr">
        <is>
          <t>hours_worked</t>
        </is>
      </c>
      <c r="AE2" t="inlineStr">
        <is>
          <t>recordable_injuries</t>
        </is>
      </c>
      <c r="AF2" t="inlineStr">
        <is>
          <t>severity_incidents</t>
        </is>
      </c>
      <c r="AG2" t="inlineStr">
        <is>
          <t>near_misses</t>
        </is>
      </c>
      <c r="AH2" t="inlineStr">
        <is>
          <t>critical_safety_incidents</t>
        </is>
      </c>
      <c r="AI2" t="inlineStr">
        <is>
          <t>env_excursions</t>
        </is>
      </c>
      <c r="AJ2" t="inlineStr">
        <is>
          <t>env_violations</t>
        </is>
      </c>
      <c r="AK2" t="inlineStr">
        <is>
          <t>ehs_ca_open</t>
        </is>
      </c>
      <c r="AL2" t="inlineStr">
        <is>
          <t>ehs_ca_overdue</t>
        </is>
      </c>
      <c r="AM2" t="inlineStr">
        <is>
          <t>investigations_due</t>
        </is>
      </c>
      <c r="AN2" t="inlineStr">
        <is>
          <t>investigations_completed</t>
        </is>
      </c>
      <c r="AO2" t="inlineStr">
        <is>
          <t>critical_material_risks</t>
        </is>
      </c>
      <c r="AP2" t="inlineStr">
        <is>
          <t>dispatches_total</t>
        </is>
      </c>
      <c r="AQ2" t="inlineStr">
        <is>
          <t>dispatches_delayed</t>
        </is>
      </c>
      <c r="AR2" t="inlineStr">
        <is>
          <t>permit_days_to_expiry</t>
        </is>
      </c>
      <c r="AS2" t="inlineStr">
        <is>
          <t>sales_t</t>
        </is>
      </c>
      <c r="AT2" t="inlineStr">
        <is>
          <t>planned_sales_t</t>
        </is>
      </c>
      <c r="AU2" t="inlineStr">
        <is>
          <t>revenue_k</t>
        </is>
      </c>
      <c r="AV2" t="inlineStr">
        <is>
          <t>planned_revenue_k</t>
        </is>
      </c>
      <c r="AW2" t="inlineStr">
        <is>
          <t>power_cost_k</t>
        </is>
      </c>
      <c r="AX2" t="inlineStr">
        <is>
          <t>depreciation_k</t>
        </is>
      </c>
      <c r="AY2" t="inlineStr">
        <is>
          <t>po_lines_due</t>
        </is>
      </c>
      <c r="AZ2" t="inlineStr">
        <is>
          <t>po_lines_on_time</t>
        </is>
      </c>
      <c r="BA2" t="inlineStr">
        <is>
          <t>qty_ordered_t</t>
        </is>
      </c>
      <c r="BB2" t="inlineStr">
        <is>
          <t>qty_received_t</t>
        </is>
      </c>
      <c r="BC2" t="inlineStr">
        <is>
          <t>qty_rejected_t</t>
        </is>
      </c>
      <c r="BD2" t="inlineStr">
        <is>
          <t>lead_time_planned_days</t>
        </is>
      </c>
      <c r="BE2" t="inlineStr">
        <is>
          <t>lead_time_actual_days</t>
        </is>
      </c>
      <c r="BF2" t="inlineStr">
        <is>
          <t>supplier_spend_k</t>
        </is>
      </c>
      <c r="BG2" t="inlineStr">
        <is>
          <t>single_source_spend_k</t>
        </is>
      </c>
      <c r="BH2" t="inlineStr">
        <is>
          <t>supplier_ehs_incidents</t>
        </is>
      </c>
      <c r="BI2" t="inlineStr">
        <is>
          <t>pending_filings</t>
        </is>
      </c>
      <c r="BJ2" t="inlineStr">
        <is>
          <t>reg_deadlines_30d</t>
        </is>
      </c>
      <c r="BK2" t="inlineStr">
        <is>
          <t>licences_expiring_12m</t>
        </is>
      </c>
      <c r="BL2" t="inlineStr">
        <is>
          <t>reg_obligations_due_30d</t>
        </is>
      </c>
      <c r="BM2" t="inlineStr">
        <is>
          <t>reg_obligations_overdue</t>
        </is>
      </c>
      <c r="BN2" t="inlineStr">
        <is>
          <t>reg_actions_open</t>
        </is>
      </c>
      <c r="BO2" t="inlineStr">
        <is>
          <t>compliance_actions_overdue</t>
        </is>
      </c>
      <c r="BP2" t="inlineStr">
        <is>
          <t>reg_breaches</t>
        </is>
      </c>
      <c r="BQ2" t="inlineStr">
        <is>
          <t>disclosure_events_open</t>
        </is>
      </c>
      <c r="BR2" t="inlineStr">
        <is>
          <t>ehs_escalation_clocks</t>
        </is>
      </c>
      <c r="BS2" t="inlineStr">
        <is>
          <t>days_to_breach</t>
        </is>
      </c>
      <c r="BT2" t="inlineStr">
        <is>
          <t>planned_production_next_t</t>
        </is>
      </c>
      <c r="BU2" t="inlineStr">
        <is>
          <t>forecast_good_next_t</t>
        </is>
      </c>
      <c r="BV2" t="inlineStr">
        <is>
          <t>forecast_good_var_next</t>
        </is>
      </c>
      <c r="BW2" t="inlineStr">
        <is>
          <t>ideal_output_next_t</t>
        </is>
      </c>
      <c r="BX2" t="inlineStr">
        <is>
          <t>forecast_downtime_loss_next_t</t>
        </is>
      </c>
      <c r="BY2" t="inlineStr">
        <is>
          <t>overhead_k</t>
        </is>
      </c>
      <c r="BZ2" t="inlineStr">
        <is>
          <t>tax_paid_k</t>
        </is>
      </c>
      <c r="CA2" t="inlineStr">
        <is>
          <t>capital_employed_k</t>
        </is>
      </c>
      <c r="CB2" t="inlineStr">
        <is>
          <t>gross_debt_k</t>
        </is>
      </c>
      <c r="CC2" t="inlineStr">
        <is>
          <t>cash_k</t>
        </is>
      </c>
      <c r="CD2" t="inlineStr">
        <is>
          <t>undrawn_facilities_k</t>
        </is>
      </c>
      <c r="CE2" t="inlineStr">
        <is>
          <t>debt_service_k</t>
        </is>
      </c>
      <c r="CF2" t="inlineStr">
        <is>
          <t>debt_maturing_12m_k</t>
        </is>
      </c>
      <c r="CG2" t="inlineStr">
        <is>
          <t>floating_rate_debt_k</t>
        </is>
      </c>
      <c r="CH2" t="inlineStr">
        <is>
          <t>board_ebitda_k</t>
        </is>
      </c>
      <c r="CI2" t="inlineStr">
        <is>
          <t>flash_revenue_k</t>
        </is>
      </c>
      <c r="CJ2" t="inlineStr">
        <is>
          <t>receivables_k</t>
        </is>
      </c>
      <c r="CK2" t="inlineStr">
        <is>
          <t>payables_k</t>
        </is>
      </c>
      <c r="CL2" t="inlineStr">
        <is>
          <t>inventory_k</t>
        </is>
      </c>
      <c r="CM2" t="inlineStr">
        <is>
          <t>collections_k</t>
        </is>
      </c>
      <c r="CN2" t="inlineStr">
        <is>
          <t>cash_released_k</t>
        </is>
      </c>
      <c r="CO2" t="inlineStr">
        <is>
          <t>upstream_due_k</t>
        </is>
      </c>
      <c r="CP2" t="inlineStr">
        <is>
          <t>upstream_covered_k</t>
        </is>
      </c>
      <c r="CQ2" t="inlineStr">
        <is>
          <t>invoices_collected</t>
        </is>
      </c>
      <c r="CR2" t="inlineStr">
        <is>
          <t>collection_days</t>
        </is>
      </c>
      <c r="CS2" t="inlineStr">
        <is>
          <t>terms_days</t>
        </is>
      </c>
      <c r="CT2" t="inlineStr">
        <is>
          <t>customers_overdue</t>
        </is>
      </c>
      <c r="CU2" t="inlineStr">
        <is>
          <t>forecast_ebitda_rest_k</t>
        </is>
      </c>
      <c r="CV2" t="inlineStr">
        <is>
          <t>planned_ebitda_rest_k</t>
        </is>
      </c>
      <c r="CW2" t="inlineStr">
        <is>
          <t>forecast_net_cash_flow_90d_k</t>
        </is>
      </c>
      <c r="CX2" t="inlineStr">
        <is>
          <t>forecast_net_debt_k</t>
        </is>
      </c>
      <c r="CY2" t="inlineStr">
        <is>
          <t>forecast_ebitda_ltm_k</t>
        </is>
      </c>
      <c r="CZ2" t="inlineStr">
        <is>
          <t>fx_exposure_k</t>
        </is>
      </c>
      <c r="DA2" t="inlineStr">
        <is>
          <t>fx_hedged_k</t>
        </is>
      </c>
      <c r="DB2" t="inlineStr">
        <is>
          <t>usd_exposure_k</t>
        </is>
      </c>
      <c r="DC2" t="inlineStr">
        <is>
          <t>usd_hedged_k</t>
        </is>
      </c>
      <c r="DD2" t="inlineStr">
        <is>
          <t>hedge_value_change_k</t>
        </is>
      </c>
      <c r="DE2" t="inlineStr">
        <is>
          <t>hedged_item_value_change_k</t>
        </is>
      </c>
      <c r="DF2" t="inlineStr">
        <is>
          <t>fx_flows_6m_k</t>
        </is>
      </c>
      <c r="DG2" t="inlineStr">
        <is>
          <t>fx_hedged_6m_k</t>
        </is>
      </c>
      <c r="DH2" t="inlineStr">
        <is>
          <t>capex_budget_k</t>
        </is>
      </c>
      <c r="DI2" t="inlineStr">
        <is>
          <t>capex_committed_k</t>
        </is>
      </c>
      <c r="DJ2" t="inlineStr">
        <is>
          <t>capex_spend_k</t>
        </is>
      </c>
      <c r="DK2" t="inlineStr">
        <is>
          <t>capex_earned_value_k</t>
        </is>
      </c>
      <c r="DL2" t="inlineStr">
        <is>
          <t>capex_at_risk_k</t>
        </is>
      </c>
      <c r="DM2" t="inlineStr">
        <is>
          <t>projects_on_track</t>
        </is>
      </c>
      <c r="DN2" t="inlineStr">
        <is>
          <t>projects_at_risk</t>
        </is>
      </c>
      <c r="DO2" t="inlineStr">
        <is>
          <t>projects_off_track</t>
        </is>
      </c>
      <c r="DP2" t="inlineStr">
        <is>
          <t>projects_delayed</t>
        </is>
      </c>
      <c r="DQ2" t="inlineStr">
        <is>
          <t>contractor_milestones_due</t>
        </is>
      </c>
      <c r="DR2" t="inlineStr">
        <is>
          <t>contractor_days_late</t>
        </is>
      </c>
      <c r="DS2" t="inlineStr">
        <is>
          <t>initiatives_on_track</t>
        </is>
      </c>
      <c r="DT2" t="inlineStr">
        <is>
          <t>initiatives_at_risk</t>
        </is>
      </c>
      <c r="DU2" t="inlineStr">
        <is>
          <t>initiatives_delayed</t>
        </is>
      </c>
      <c r="DV2" t="inlineStr">
        <is>
          <t>milestones_total</t>
        </is>
      </c>
      <c r="DW2" t="inlineStr">
        <is>
          <t>milestones_done</t>
        </is>
      </c>
      <c r="DX2" t="inlineStr">
        <is>
          <t>benefits_planned_k</t>
        </is>
      </c>
      <c r="DY2" t="inlineStr">
        <is>
          <t>benefits_delivered_k</t>
        </is>
      </c>
      <c r="DZ2" t="inlineStr">
        <is>
          <t>ebitda_benefit_k</t>
        </is>
      </c>
      <c r="EA2" t="inlineStr">
        <is>
          <t>cash_benefit_k</t>
        </is>
      </c>
      <c r="EB2" t="inlineStr">
        <is>
          <t>cost_savings_k</t>
        </is>
      </c>
      <c r="EC2" t="inlineStr">
        <is>
          <t>contracts_total</t>
        </is>
      </c>
      <c r="ED2" t="inlineStr">
        <is>
          <t>contracts_compliant</t>
        </is>
      </c>
      <c r="EE2" t="inlineStr">
        <is>
          <t>contracts_expiring_90d</t>
        </is>
      </c>
      <c r="EF2" t="inlineStr">
        <is>
          <t>supplier_ehs_noncompliance</t>
        </is>
      </c>
      <c r="EG2" t="inlineStr">
        <is>
          <t>single_source_suppliers</t>
        </is>
      </c>
      <c r="EH2" t="inlineStr">
        <is>
          <t>control_failures</t>
        </is>
      </c>
      <c r="EI2" t="inlineStr">
        <is>
          <t>control_failures_high</t>
        </is>
      </c>
      <c r="EJ2" t="inlineStr">
        <is>
          <t>assurance_reviews_planned</t>
        </is>
      </c>
      <c r="EK2" t="inlineStr">
        <is>
          <t>assurance_reviews_done</t>
        </is>
      </c>
      <c r="EL2" t="inlineStr">
        <is>
          <t>policy_exceptions</t>
        </is>
      </c>
      <c r="EM2" t="inlineStr">
        <is>
          <t>unauthorized_vendor_uses</t>
        </is>
      </c>
      <c r="EN2" t="inlineStr">
        <is>
          <t>sod_exceptions</t>
        </is>
      </c>
      <c r="EO2" t="inlineStr">
        <is>
          <t>unauthorized_access_events</t>
        </is>
      </c>
      <c r="EP2" t="inlineStr">
        <is>
          <t>data_sharing_exceptions</t>
        </is>
      </c>
      <c r="EQ2" t="inlineStr">
        <is>
          <t>manual_overrides</t>
        </is>
      </c>
      <c r="ER2" t="inlineStr">
        <is>
          <t>cert_approvals_ageing</t>
        </is>
      </c>
      <c r="ES2" t="inlineStr">
        <is>
          <t>kpi_overrides</t>
        </is>
      </c>
      <c r="ET2" t="inlineStr">
        <is>
          <t>dq_issues_recurring</t>
        </is>
      </c>
      <c r="EU2" t="inlineStr">
        <is>
          <t>audit_findings_open</t>
        </is>
      </c>
      <c r="EV2" t="inlineStr">
        <is>
          <t>assurance_actions_overdue</t>
        </is>
      </c>
      <c r="EW2" t="inlineStr">
        <is>
          <t>repeat_findings</t>
        </is>
      </c>
      <c r="EX2" t="inlineStr">
        <is>
          <t>leadership_kpis_affected</t>
        </is>
      </c>
      <c r="EY2" t="inlineStr">
        <is>
          <t>evidence_required</t>
        </is>
      </c>
      <c r="EZ2" t="inlineStr">
        <is>
          <t>evidence_complete</t>
        </is>
      </c>
      <c r="FA2" t="inlineStr">
        <is>
          <t>findings_closed</t>
        </is>
      </c>
      <c r="FB2" t="inlineStr">
        <is>
          <t>finding_closure_days</t>
        </is>
      </c>
      <c r="FC2" t="inlineStr">
        <is>
          <t>kpis_leadership</t>
        </is>
      </c>
      <c r="FD2" t="inlineStr">
        <is>
          <t>kpis_certified</t>
        </is>
      </c>
      <c r="FE2" t="inlineStr">
        <is>
          <t>kpis_in_scope</t>
        </is>
      </c>
      <c r="FF2" t="inlineStr">
        <is>
          <t>certifications_overdue</t>
        </is>
      </c>
      <c r="FG2" t="inlineStr">
        <is>
          <t>recon_breaks_open</t>
        </is>
      </c>
      <c r="FH2" t="inlineStr">
        <is>
          <t>recon_breaks_material</t>
        </is>
      </c>
      <c r="FI2" t="inlineStr">
        <is>
          <t>lake_records_loaded</t>
        </is>
      </c>
      <c r="FJ2" t="inlineStr">
        <is>
          <t>lake_records_reconciled</t>
        </is>
      </c>
      <c r="FK2" t="inlineStr">
        <is>
          <t>mis_lines_total</t>
        </is>
      </c>
      <c r="FL2" t="inlineStr">
        <is>
          <t>mis_lines_matched</t>
        </is>
      </c>
      <c r="FM2" t="inlineStr">
        <is>
          <t>critical_alerts_open</t>
        </is>
      </c>
      <c r="FN2" t="inlineStr">
        <is>
          <t>alerts_unowned</t>
        </is>
      </c>
      <c r="FO2" t="inlineStr">
        <is>
          <t>actions_overdue</t>
        </is>
      </c>
      <c r="FP2" t="inlineStr">
        <is>
          <t>alerts_resolved</t>
        </is>
      </c>
      <c r="FQ2" t="inlineStr">
        <is>
          <t>alert_resolution_days</t>
        </is>
      </c>
      <c r="FR2" t="inlineStr">
        <is>
          <t>escalations_closed</t>
        </is>
      </c>
      <c r="FS2" t="inlineStr">
        <is>
          <t>repeat_issues</t>
        </is>
      </c>
      <c r="FT2" t="inlineStr">
        <is>
          <t>root_causes_identified</t>
        </is>
      </c>
      <c r="FU2" t="inlineStr">
        <is>
          <t>root_causes_eliminated</t>
        </is>
      </c>
      <c r="FV2" t="inlineStr">
        <is>
          <t>ebitda_k</t>
        </is>
      </c>
      <c r="FW2" t="inlineStr">
        <is>
          <t>ebit_k</t>
        </is>
      </c>
      <c r="FX2" t="inlineStr">
        <is>
          <t>nwc_k</t>
        </is>
      </c>
      <c r="FY2" t="inlineStr">
        <is>
          <t>nwc_change_k</t>
        </is>
      </c>
      <c r="FZ2" t="inlineStr">
        <is>
          <t>op_cash_flow_k</t>
        </is>
      </c>
      <c r="GA2" t="inlineStr">
        <is>
          <t>fcf_k</t>
        </is>
      </c>
      <c r="GB2" t="inlineStr">
        <is>
          <t>net_debt_k</t>
        </is>
      </c>
      <c r="GC2" t="inlineStr">
        <is>
          <t>ebitda_annualised_k</t>
        </is>
      </c>
      <c r="GD2" t="inlineStr">
        <is>
          <t>dso_d</t>
        </is>
      </c>
      <c r="GE2" t="inlineStr">
        <is>
          <t>dpo_d</t>
        </is>
      </c>
      <c r="GF2" t="inlineStr">
        <is>
          <t>dio_d</t>
        </is>
      </c>
      <c r="GG2" t="inlineStr">
        <is>
          <t>price_vs_plan_pct</t>
        </is>
      </c>
      <c r="GH2" t="inlineStr">
        <is>
          <t>fte</t>
        </is>
      </c>
      <c r="GI2" t="inlineStr">
        <is>
          <t>fcf_plan_fy_k</t>
        </is>
      </c>
      <c r="GJ2" t="inlineStr">
        <is>
          <t>forecast_fcf_rest_k</t>
        </is>
      </c>
      <c r="GK2" t="inlineStr">
        <is>
          <t>ebit_fcst_rest_k</t>
        </is>
      </c>
      <c r="GL2" t="inlineStr">
        <is>
          <t>capital_employed_p12_k</t>
        </is>
      </c>
      <c r="GM2" t="inlineStr">
        <is>
          <t>ebitda_plan_fy_k</t>
        </is>
      </c>
      <c r="GN2" t="inlineStr">
        <is>
          <t>ebitda_fy_sigma_k</t>
        </is>
      </c>
      <c r="GO2" t="inlineStr">
        <is>
          <t>disclosure_deadline_h</t>
        </is>
      </c>
      <c r="GP2" t="inlineStr">
        <is>
          <t>single_source_elevated</t>
        </is>
      </c>
      <c r="GQ2" t="inlineStr">
        <is>
          <t>rm1_price_index</t>
        </is>
      </c>
      <c r="GR2" t="inlineStr">
        <is>
          <t>freight_lanes_disrupted</t>
        </is>
      </c>
    </row>
    <row r="3">
      <c r="A3" t="inlineStr">
        <is>
          <t>Same layout as Group Inputs; inputs link to Entity Inputs (Entity A1); blue building blocks use the same formulas.</t>
        </is>
      </c>
      <c r="E3" t="inlineStr">
        <is>
          <t>Sum of Entity A1 and Entity A2 (Entity Inputs sheet)</t>
        </is>
      </c>
      <c r="F3" t="inlineStr">
        <is>
          <t>Sum of Entity A1 and Entity A2 (Entity Inputs sheet)</t>
        </is>
      </c>
      <c r="G3" t="inlineStr">
        <is>
          <t>Sum of Entity A1 and Entity A2 (Entity Inputs sheet)</t>
        </is>
      </c>
      <c r="H3" t="inlineStr">
        <is>
          <t>Sum of Entity A1 and Entity A2 (Entity Inputs sheet)</t>
        </is>
      </c>
      <c r="I3" t="inlineStr">
        <is>
          <t>Sum of Entity A1 and Entity A2 (Entity Inputs sheet)</t>
        </is>
      </c>
      <c r="J3" t="inlineStr">
        <is>
          <t>Sum of Entity A1 and Entity A2 (Entity Inputs sheet)</t>
        </is>
      </c>
      <c r="K3" t="inlineStr">
        <is>
          <t>Sum of Entity A1 and Entity A2 (Entity Inputs sheet)</t>
        </is>
      </c>
      <c r="L3" t="inlineStr">
        <is>
          <t>Sum of Entity A1 and Entity A2 (Entity Inputs sheet)</t>
        </is>
      </c>
      <c r="M3" t="inlineStr">
        <is>
          <t>Sum of Entity A1 and Entity A2 (Entity Inputs sheet)</t>
        </is>
      </c>
      <c r="N3" t="inlineStr">
        <is>
          <t>Sum of Entity A1 and Entity A2 (Entity Inputs sheet)</t>
        </is>
      </c>
      <c r="O3" t="inlineStr">
        <is>
          <t>Sum of Entity A1 and Entity A2 (Entity Inputs sheet)</t>
        </is>
      </c>
      <c r="P3" t="inlineStr">
        <is>
          <t>Sum of Entity A1 and Entity A2 (Entity Inputs sheet)</t>
        </is>
      </c>
      <c r="Q3" t="inlineStr">
        <is>
          <t>Sum of Entity A1 and Entity A2 (Entity Inputs sheet)</t>
        </is>
      </c>
      <c r="R3" t="inlineStr">
        <is>
          <t>Sum of Entity A1 and Entity A2 (Entity Inputs sheet)</t>
        </is>
      </c>
      <c r="S3" t="inlineStr">
        <is>
          <t>Sum of Entity A1 and Entity A2 (Entity Inputs sheet)</t>
        </is>
      </c>
      <c r="T3" t="inlineStr">
        <is>
          <t>Sum of Entity A1 and Entity A2 (Entity Inputs sheet)</t>
        </is>
      </c>
      <c r="U3" t="inlineStr">
        <is>
          <t>Sum of Entity A1 and Entity A2 (Entity Inputs sheet)</t>
        </is>
      </c>
      <c r="V3" t="inlineStr">
        <is>
          <t>Sum of Entity A1 and Entity A2 (Entity Inputs sheet)</t>
        </is>
      </c>
      <c r="W3" t="inlineStr">
        <is>
          <t>Sum of Entity A1 and Entity A2 (Entity Inputs sheet)</t>
        </is>
      </c>
      <c r="X3" t="inlineStr">
        <is>
          <t>Sum of Entity A1 and Entity A2 (Entity Inputs sheet)</t>
        </is>
      </c>
      <c r="Y3" t="inlineStr">
        <is>
          <t>Sum of Entity A1 and Entity A2 (Entity Inputs sheet)</t>
        </is>
      </c>
      <c r="Z3" t="inlineStr">
        <is>
          <t>Sum of Entity A1 and Entity A2 (Entity Inputs sheet)</t>
        </is>
      </c>
      <c r="AA3" t="inlineStr">
        <is>
          <t>Sum of Entity A1 and Entity A2 (Entity Inputs sheet)</t>
        </is>
      </c>
      <c r="AB3" t="inlineStr">
        <is>
          <t>Sum of Entity A1 and Entity A2 (Entity Inputs sheet)</t>
        </is>
      </c>
      <c r="AC3" t="inlineStr">
        <is>
          <t>Sum of Entity A1 and Entity A2 (Entity Inputs sheet)</t>
        </is>
      </c>
      <c r="AD3" t="inlineStr">
        <is>
          <t>Sum of Entity A1 and Entity A2 (Entity Inputs sheet)</t>
        </is>
      </c>
      <c r="AE3" t="inlineStr">
        <is>
          <t>Sum of Entity A1 and Entity A2 (Entity Inputs sheet)</t>
        </is>
      </c>
      <c r="AF3" t="inlineStr">
        <is>
          <t>Sum of Entity A1 and Entity A2 (Entity Inputs sheet)</t>
        </is>
      </c>
      <c r="AG3" t="inlineStr">
        <is>
          <t>Sum of Entity A1 and Entity A2 (Entity Inputs sheet)</t>
        </is>
      </c>
      <c r="AH3" t="inlineStr">
        <is>
          <t>Sum of Entity A1 and Entity A2 (Entity Inputs sheet)</t>
        </is>
      </c>
      <c r="AI3" t="inlineStr">
        <is>
          <t>Sum of Entity A1 and Entity A2 (Entity Inputs sheet)</t>
        </is>
      </c>
      <c r="AJ3" t="inlineStr">
        <is>
          <t>Sum of Entity A1 and Entity A2 (Entity Inputs sheet)</t>
        </is>
      </c>
      <c r="AK3" t="inlineStr">
        <is>
          <t>Sum of Entity A1 and Entity A2 (Entity Inputs sheet)</t>
        </is>
      </c>
      <c r="AL3" t="inlineStr">
        <is>
          <t>Sum of Entity A1 and Entity A2 (Entity Inputs sheet)</t>
        </is>
      </c>
      <c r="AM3" t="inlineStr">
        <is>
          <t>Sum of Entity A1 and Entity A2 (Entity Inputs sheet)</t>
        </is>
      </c>
      <c r="AN3" t="inlineStr">
        <is>
          <t>Sum of Entity A1 and Entity A2 (Entity Inputs sheet)</t>
        </is>
      </c>
      <c r="AO3" t="inlineStr">
        <is>
          <t>Sum of Entity A1 and Entity A2 (Entity Inputs sheet)</t>
        </is>
      </c>
      <c r="AP3" t="inlineStr">
        <is>
          <t>Sum of Entity A1 and Entity A2 (Entity Inputs sheet)</t>
        </is>
      </c>
      <c r="AQ3" t="inlineStr">
        <is>
          <t>Sum of Entity A1 and Entity A2 (Entity Inputs sheet)</t>
        </is>
      </c>
      <c r="AR3" t="inlineStr">
        <is>
          <t>Lowest of Entity A1 and Entity A2 (Entity Inputs sheet)</t>
        </is>
      </c>
      <c r="AS3" t="inlineStr">
        <is>
          <t>Sum of Entity A1 and Entity A2 (Entity Inputs sheet)</t>
        </is>
      </c>
      <c r="AT3" t="inlineStr">
        <is>
          <t>Sum of Entity A1 and Entity A2 (Entity Inputs sheet)</t>
        </is>
      </c>
      <c r="AU3" t="inlineStr">
        <is>
          <t>Sum of Entity A1 and Entity A2 (Entity Inputs sheet)</t>
        </is>
      </c>
      <c r="AV3" t="inlineStr">
        <is>
          <t>Sum of Entity A1 and Entity A2 (Entity Inputs sheet)</t>
        </is>
      </c>
      <c r="AW3" t="inlineStr">
        <is>
          <t>Sum of Entity A1 and Entity A2 (Entity Inputs sheet)</t>
        </is>
      </c>
      <c r="AX3" t="inlineStr">
        <is>
          <t>Sum of Entity A1 and Entity A2 (Entity Inputs sheet)</t>
        </is>
      </c>
      <c r="AY3" t="inlineStr">
        <is>
          <t>Sum of Entity A1 and Entity A2 (Entity Inputs sheet)</t>
        </is>
      </c>
      <c r="AZ3" t="inlineStr">
        <is>
          <t>Sum of Entity A1 and Entity A2 (Entity Inputs sheet)</t>
        </is>
      </c>
      <c r="BA3" t="inlineStr">
        <is>
          <t>Sum of Entity A1 and Entity A2 (Entity Inputs sheet)</t>
        </is>
      </c>
      <c r="BB3" t="inlineStr">
        <is>
          <t>Sum of Entity A1 and Entity A2 (Entity Inputs sheet)</t>
        </is>
      </c>
      <c r="BC3" t="inlineStr">
        <is>
          <t>Sum of Entity A1 and Entity A2 (Entity Inputs sheet)</t>
        </is>
      </c>
      <c r="BD3" t="inlineStr">
        <is>
          <t>Sum of Entity A1 and Entity A2 (Entity Inputs sheet)</t>
        </is>
      </c>
      <c r="BE3" t="inlineStr">
        <is>
          <t>Sum of Entity A1 and Entity A2 (Entity Inputs sheet)</t>
        </is>
      </c>
      <c r="BF3" t="inlineStr">
        <is>
          <t>Sum of Entity A1 and Entity A2 (Entity Inputs sheet)</t>
        </is>
      </c>
      <c r="BG3" t="inlineStr">
        <is>
          <t>Sum of Entity A1 and Entity A2 (Entity Inputs sheet)</t>
        </is>
      </c>
      <c r="BH3" t="inlineStr">
        <is>
          <t>Sum of Entity A1 and Entity A2 (Entity Inputs sheet)</t>
        </is>
      </c>
      <c r="BI3" t="inlineStr">
        <is>
          <t>Sum of Entity A1 and Entity A2 (Entity Inputs sheet)</t>
        </is>
      </c>
      <c r="BJ3" t="inlineStr">
        <is>
          <t>Sum of Entity A1 and Entity A2 (Entity Inputs sheet)</t>
        </is>
      </c>
      <c r="BK3" t="inlineStr">
        <is>
          <t>Sum of Entity A1 and Entity A2 (Entity Inputs sheet)</t>
        </is>
      </c>
      <c r="BL3" t="inlineStr">
        <is>
          <t>Sum of Entity A1 and Entity A2 (Entity Inputs sheet)</t>
        </is>
      </c>
      <c r="BM3" t="inlineStr">
        <is>
          <t>Sum of Entity A1 and Entity A2 (Entity Inputs sheet)</t>
        </is>
      </c>
      <c r="BN3" t="inlineStr">
        <is>
          <t>Sum of Entity A1 and Entity A2 (Entity Inputs sheet)</t>
        </is>
      </c>
      <c r="BO3" t="inlineStr">
        <is>
          <t>Sum of Entity A1 and Entity A2 (Entity Inputs sheet)</t>
        </is>
      </c>
      <c r="BP3" t="inlineStr">
        <is>
          <t>Sum of Entity A1 and Entity A2 (Entity Inputs sheet)</t>
        </is>
      </c>
      <c r="BQ3" t="inlineStr">
        <is>
          <t>Sum of Entity A1 and Entity A2 (Entity Inputs sheet)</t>
        </is>
      </c>
      <c r="BR3" t="inlineStr">
        <is>
          <t>Sum of Entity A1 and Entity A2 (Entity Inputs sheet)</t>
        </is>
      </c>
      <c r="BS3" t="inlineStr">
        <is>
          <t>Lowest of Entity A1 and Entity A2 (Entity Inputs sheet)</t>
        </is>
      </c>
      <c r="BT3" t="inlineStr">
        <is>
          <t>Sum of Entity A1 and Entity A2 (Entity Inputs sheet)</t>
        </is>
      </c>
      <c r="BU3" t="inlineStr">
        <is>
          <t>Sum of Entity A1 and Entity A2 (Entity Inputs sheet)</t>
        </is>
      </c>
      <c r="BV3" t="inlineStr">
        <is>
          <t>Sum of Entity A1 and Entity A2 (Entity Inputs sheet)</t>
        </is>
      </c>
      <c r="BW3" t="inlineStr">
        <is>
          <t>Sum of Entity A1 and Entity A2 (Entity Inputs sheet)</t>
        </is>
      </c>
      <c r="BX3" t="inlineStr">
        <is>
          <t>Sum of Entity A1 and Entity A2 (Entity Inputs sheet)</t>
        </is>
      </c>
      <c r="BY3" t="inlineStr">
        <is>
          <t>Sum of Entity A1 and Entity A2 (Entity Inputs sheet)</t>
        </is>
      </c>
      <c r="BZ3" t="inlineStr">
        <is>
          <t>Sum of Entity A1 and Entity A2 (Entity Inputs sheet)</t>
        </is>
      </c>
      <c r="CA3" t="inlineStr">
        <is>
          <t>Sum of Entity A1 and Entity A2 (Entity Inputs sheet)</t>
        </is>
      </c>
      <c r="CB3" t="inlineStr">
        <is>
          <t>Sum of Entity A1 and Entity A2 (Entity Inputs sheet)</t>
        </is>
      </c>
      <c r="CC3" t="inlineStr">
        <is>
          <t>Sum of Entity A1 and Entity A2 (Entity Inputs sheet)</t>
        </is>
      </c>
      <c r="CD3" t="inlineStr">
        <is>
          <t>Sum of Entity A1 and Entity A2 (Entity Inputs sheet)</t>
        </is>
      </c>
      <c r="CE3" t="inlineStr">
        <is>
          <t>Sum of Entity A1 and Entity A2 (Entity Inputs sheet)</t>
        </is>
      </c>
      <c r="CF3" t="inlineStr">
        <is>
          <t>Sum of Entity A1 and Entity A2 (Entity Inputs sheet)</t>
        </is>
      </c>
      <c r="CG3" t="inlineStr">
        <is>
          <t>Sum of Entity A1 and Entity A2 (Entity Inputs sheet)</t>
        </is>
      </c>
      <c r="CH3" t="inlineStr">
        <is>
          <t>Sum of Entity A1 and Entity A2 (Entity Inputs sheet)</t>
        </is>
      </c>
      <c r="CI3" t="inlineStr">
        <is>
          <t>Sum of Entity A1 and Entity A2 (Entity Inputs sheet)</t>
        </is>
      </c>
      <c r="CJ3" t="inlineStr">
        <is>
          <t>Sum of Entity A1 and Entity A2 (Entity Inputs sheet)</t>
        </is>
      </c>
      <c r="CK3" t="inlineStr">
        <is>
          <t>Sum of Entity A1 and Entity A2 (Entity Inputs sheet)</t>
        </is>
      </c>
      <c r="CL3" t="inlineStr">
        <is>
          <t>Sum of Entity A1 and Entity A2 (Entity Inputs sheet)</t>
        </is>
      </c>
      <c r="CM3" t="inlineStr">
        <is>
          <t>Sum of Entity A1 and Entity A2 (Entity Inputs sheet)</t>
        </is>
      </c>
      <c r="CN3" t="inlineStr">
        <is>
          <t>Sum of Entity A1 and Entity A2 (Entity Inputs sheet)</t>
        </is>
      </c>
      <c r="CO3" t="inlineStr">
        <is>
          <t>Sum of Entity A1 and Entity A2 (Entity Inputs sheet)</t>
        </is>
      </c>
      <c r="CP3" t="inlineStr">
        <is>
          <t>Sum of Entity A1 and Entity A2 (Entity Inputs sheet)</t>
        </is>
      </c>
      <c r="CQ3" t="inlineStr">
        <is>
          <t>Sum of Entity A1 and Entity A2 (Entity Inputs sheet)</t>
        </is>
      </c>
      <c r="CR3" t="inlineStr">
        <is>
          <t>Sum of Entity A1 and Entity A2 (Entity Inputs sheet)</t>
        </is>
      </c>
      <c r="CS3" t="inlineStr">
        <is>
          <t>Sum of Entity A1 and Entity A2 (Entity Inputs sheet)</t>
        </is>
      </c>
      <c r="CT3" t="inlineStr">
        <is>
          <t>Sum of Entity A1 and Entity A2 (Entity Inputs sheet)</t>
        </is>
      </c>
      <c r="CU3" t="inlineStr">
        <is>
          <t>Sum of Entity A1 and Entity A2 (Entity Inputs sheet)</t>
        </is>
      </c>
      <c r="CV3" t="inlineStr">
        <is>
          <t>Sum of Entity A1 and Entity A2 (Entity Inputs sheet)</t>
        </is>
      </c>
      <c r="CW3" t="inlineStr">
        <is>
          <t>Sum of Entity A1 and Entity A2 (Entity Inputs sheet)</t>
        </is>
      </c>
      <c r="CX3" t="inlineStr">
        <is>
          <t>Sum of Entity A1 and Entity A2 (Entity Inputs sheet)</t>
        </is>
      </c>
      <c r="CY3" t="inlineStr">
        <is>
          <t>Sum of Entity A1 and Entity A2 (Entity Inputs sheet)</t>
        </is>
      </c>
      <c r="CZ3" t="inlineStr">
        <is>
          <t>Sum of Entity A1 and Entity A2 (Entity Inputs sheet)</t>
        </is>
      </c>
      <c r="DA3" t="inlineStr">
        <is>
          <t>Sum of Entity A1 and Entity A2 (Entity Inputs sheet)</t>
        </is>
      </c>
      <c r="DB3" t="inlineStr">
        <is>
          <t>Sum of Entity A1 and Entity A2 (Entity Inputs sheet)</t>
        </is>
      </c>
      <c r="DC3" t="inlineStr">
        <is>
          <t>Sum of Entity A1 and Entity A2 (Entity Inputs sheet)</t>
        </is>
      </c>
      <c r="DD3" t="inlineStr">
        <is>
          <t>Sum of Entity A1 and Entity A2 (Entity Inputs sheet)</t>
        </is>
      </c>
      <c r="DE3" t="inlineStr">
        <is>
          <t>Sum of Entity A1 and Entity A2 (Entity Inputs sheet)</t>
        </is>
      </c>
      <c r="DF3" t="inlineStr">
        <is>
          <t>Sum of Entity A1 and Entity A2 (Entity Inputs sheet)</t>
        </is>
      </c>
      <c r="DG3" t="inlineStr">
        <is>
          <t>Sum of Entity A1 and Entity A2 (Entity Inputs sheet)</t>
        </is>
      </c>
      <c r="DH3" t="inlineStr">
        <is>
          <t>Sum of Entity A1 and Entity A2 (Entity Inputs sheet)</t>
        </is>
      </c>
      <c r="DI3" t="inlineStr">
        <is>
          <t>Sum of Entity A1 and Entity A2 (Entity Inputs sheet)</t>
        </is>
      </c>
      <c r="DJ3" t="inlineStr">
        <is>
          <t>Sum of Entity A1 and Entity A2 (Entity Inputs sheet)</t>
        </is>
      </c>
      <c r="DK3" t="inlineStr">
        <is>
          <t>Sum of Entity A1 and Entity A2 (Entity Inputs sheet)</t>
        </is>
      </c>
      <c r="DL3" t="inlineStr">
        <is>
          <t>Sum of Entity A1 and Entity A2 (Entity Inputs sheet)</t>
        </is>
      </c>
      <c r="DM3" t="inlineStr">
        <is>
          <t>Sum of Entity A1 and Entity A2 (Entity Inputs sheet)</t>
        </is>
      </c>
      <c r="DN3" t="inlineStr">
        <is>
          <t>Sum of Entity A1 and Entity A2 (Entity Inputs sheet)</t>
        </is>
      </c>
      <c r="DO3" t="inlineStr">
        <is>
          <t>Sum of Entity A1 and Entity A2 (Entity Inputs sheet)</t>
        </is>
      </c>
      <c r="DP3" t="inlineStr">
        <is>
          <t>Sum of Entity A1 and Entity A2 (Entity Inputs sheet)</t>
        </is>
      </c>
      <c r="DQ3" t="inlineStr">
        <is>
          <t>Sum of Entity A1 and Entity A2 (Entity Inputs sheet)</t>
        </is>
      </c>
      <c r="DR3" t="inlineStr">
        <is>
          <t>Sum of Entity A1 and Entity A2 (Entity Inputs sheet)</t>
        </is>
      </c>
      <c r="DS3" t="inlineStr">
        <is>
          <t>Sum of Entity A1 and Entity A2 (Entity Inputs sheet)</t>
        </is>
      </c>
      <c r="DT3" t="inlineStr">
        <is>
          <t>Sum of Entity A1 and Entity A2 (Entity Inputs sheet)</t>
        </is>
      </c>
      <c r="DU3" t="inlineStr">
        <is>
          <t>Sum of Entity A1 and Entity A2 (Entity Inputs sheet)</t>
        </is>
      </c>
      <c r="DV3" t="inlineStr">
        <is>
          <t>Sum of Entity A1 and Entity A2 (Entity Inputs sheet)</t>
        </is>
      </c>
      <c r="DW3" t="inlineStr">
        <is>
          <t>Sum of Entity A1 and Entity A2 (Entity Inputs sheet)</t>
        </is>
      </c>
      <c r="DX3" t="inlineStr">
        <is>
          <t>Sum of Entity A1 and Entity A2 (Entity Inputs sheet)</t>
        </is>
      </c>
      <c r="DY3" t="inlineStr">
        <is>
          <t>Sum of Entity A1 and Entity A2 (Entity Inputs sheet)</t>
        </is>
      </c>
      <c r="DZ3" t="inlineStr">
        <is>
          <t>Sum of Entity A1 and Entity A2 (Entity Inputs sheet)</t>
        </is>
      </c>
      <c r="EA3" t="inlineStr">
        <is>
          <t>Sum of Entity A1 and Entity A2 (Entity Inputs sheet)</t>
        </is>
      </c>
      <c r="EB3" t="inlineStr">
        <is>
          <t>Sum of Entity A1 and Entity A2 (Entity Inputs sheet)</t>
        </is>
      </c>
      <c r="EC3" t="inlineStr">
        <is>
          <t>Sum of Entity A1 and Entity A2 (Entity Inputs sheet)</t>
        </is>
      </c>
      <c r="ED3" t="inlineStr">
        <is>
          <t>Sum of Entity A1 and Entity A2 (Entity Inputs sheet)</t>
        </is>
      </c>
      <c r="EE3" t="inlineStr">
        <is>
          <t>Sum of Entity A1 and Entity A2 (Entity Inputs sheet)</t>
        </is>
      </c>
      <c r="EF3" t="inlineStr">
        <is>
          <t>Sum of Entity A1 and Entity A2 (Entity Inputs sheet)</t>
        </is>
      </c>
      <c r="EG3" t="inlineStr">
        <is>
          <t>Sum of Entity A1 and Entity A2 (Entity Inputs sheet)</t>
        </is>
      </c>
      <c r="EH3" t="inlineStr">
        <is>
          <t>Sum of Entity A1 and Entity A2 (Entity Inputs sheet)</t>
        </is>
      </c>
      <c r="EI3" t="inlineStr">
        <is>
          <t>Sum of Entity A1 and Entity A2 (Entity Inputs sheet)</t>
        </is>
      </c>
      <c r="EJ3" t="inlineStr">
        <is>
          <t>Sum of Entity A1 and Entity A2 (Entity Inputs sheet)</t>
        </is>
      </c>
      <c r="EK3" t="inlineStr">
        <is>
          <t>Sum of Entity A1 and Entity A2 (Entity Inputs sheet)</t>
        </is>
      </c>
      <c r="EL3" t="inlineStr">
        <is>
          <t>Sum of Entity A1 and Entity A2 (Entity Inputs sheet)</t>
        </is>
      </c>
      <c r="EM3" t="inlineStr">
        <is>
          <t>Sum of Entity A1 and Entity A2 (Entity Inputs sheet)</t>
        </is>
      </c>
      <c r="EN3" t="inlineStr">
        <is>
          <t>Sum of Entity A1 and Entity A2 (Entity Inputs sheet)</t>
        </is>
      </c>
      <c r="EO3" t="inlineStr">
        <is>
          <t>Sum of Entity A1 and Entity A2 (Entity Inputs sheet)</t>
        </is>
      </c>
      <c r="EP3" t="inlineStr">
        <is>
          <t>Sum of Entity A1 and Entity A2 (Entity Inputs sheet)</t>
        </is>
      </c>
      <c r="EQ3" t="inlineStr">
        <is>
          <t>Sum of Entity A1 and Entity A2 (Entity Inputs sheet)</t>
        </is>
      </c>
      <c r="ER3" t="inlineStr">
        <is>
          <t>Sum of Entity A1 and Entity A2 (Entity Inputs sheet)</t>
        </is>
      </c>
      <c r="ES3" t="inlineStr">
        <is>
          <t>Sum of Entity A1 and Entity A2 (Entity Inputs sheet)</t>
        </is>
      </c>
      <c r="ET3" t="inlineStr">
        <is>
          <t>Sum of Entity A1 and Entity A2 (Entity Inputs sheet)</t>
        </is>
      </c>
      <c r="EU3" t="inlineStr">
        <is>
          <t>Sum of Entity A1 and Entity A2 (Entity Inputs sheet)</t>
        </is>
      </c>
      <c r="EV3" t="inlineStr">
        <is>
          <t>Sum of Entity A1 and Entity A2 (Entity Inputs sheet)</t>
        </is>
      </c>
      <c r="EW3" t="inlineStr">
        <is>
          <t>Sum of Entity A1 and Entity A2 (Entity Inputs sheet)</t>
        </is>
      </c>
      <c r="EX3" t="inlineStr">
        <is>
          <t>Sum of Entity A1 and Entity A2 (Entity Inputs sheet)</t>
        </is>
      </c>
      <c r="EY3" t="inlineStr">
        <is>
          <t>Sum of Entity A1 and Entity A2 (Entity Inputs sheet)</t>
        </is>
      </c>
      <c r="EZ3" t="inlineStr">
        <is>
          <t>Sum of Entity A1 and Entity A2 (Entity Inputs sheet)</t>
        </is>
      </c>
      <c r="FA3" t="inlineStr">
        <is>
          <t>Sum of Entity A1 and Entity A2 (Entity Inputs sheet)</t>
        </is>
      </c>
      <c r="FB3" t="inlineStr">
        <is>
          <t>Sum of Entity A1 and Entity A2 (Entity Inputs sheet)</t>
        </is>
      </c>
      <c r="FC3" t="inlineStr">
        <is>
          <t>Sum of Entity A1 and Entity A2 (Entity Inputs sheet)</t>
        </is>
      </c>
      <c r="FD3" t="inlineStr">
        <is>
          <t>Sum of Entity A1 and Entity A2 (Entity Inputs sheet)</t>
        </is>
      </c>
      <c r="FE3" t="inlineStr">
        <is>
          <t>Sum of Entity A1 and Entity A2 (Entity Inputs sheet)</t>
        </is>
      </c>
      <c r="FF3" t="inlineStr">
        <is>
          <t>Sum of Entity A1 and Entity A2 (Entity Inputs sheet)</t>
        </is>
      </c>
      <c r="FG3" t="inlineStr">
        <is>
          <t>Sum of Entity A1 and Entity A2 (Entity Inputs sheet)</t>
        </is>
      </c>
      <c r="FH3" t="inlineStr">
        <is>
          <t>Sum of Entity A1 and Entity A2 (Entity Inputs sheet)</t>
        </is>
      </c>
      <c r="FI3" t="inlineStr">
        <is>
          <t>Sum of Entity A1 and Entity A2 (Entity Inputs sheet)</t>
        </is>
      </c>
      <c r="FJ3" t="inlineStr">
        <is>
          <t>Sum of Entity A1 and Entity A2 (Entity Inputs sheet)</t>
        </is>
      </c>
      <c r="FK3" t="inlineStr">
        <is>
          <t>Sum of Entity A1 and Entity A2 (Entity Inputs sheet)</t>
        </is>
      </c>
      <c r="FL3" t="inlineStr">
        <is>
          <t>Sum of Entity A1 and Entity A2 (Entity Inputs sheet)</t>
        </is>
      </c>
      <c r="FM3" t="inlineStr">
        <is>
          <t>Sum of Entity A1 and Entity A2 (Entity Inputs sheet)</t>
        </is>
      </c>
      <c r="FN3" t="inlineStr">
        <is>
          <t>Sum of Entity A1 and Entity A2 (Entity Inputs sheet)</t>
        </is>
      </c>
      <c r="FO3" t="inlineStr">
        <is>
          <t>Sum of Entity A1 and Entity A2 (Entity Inputs sheet)</t>
        </is>
      </c>
      <c r="FP3" t="inlineStr">
        <is>
          <t>Sum of Entity A1 and Entity A2 (Entity Inputs sheet)</t>
        </is>
      </c>
      <c r="FQ3" t="inlineStr">
        <is>
          <t>Sum of Entity A1 and Entity A2 (Entity Inputs sheet)</t>
        </is>
      </c>
      <c r="FR3" t="inlineStr">
        <is>
          <t>Sum of Entity A1 and Entity A2 (Entity Inputs sheet)</t>
        </is>
      </c>
      <c r="FS3" t="inlineStr">
        <is>
          <t>Sum of Entity A1 and Entity A2 (Entity Inputs sheet)</t>
        </is>
      </c>
      <c r="FT3" t="inlineStr">
        <is>
          <t>Sum of Entity A1 and Entity A2 (Entity Inputs sheet)</t>
        </is>
      </c>
      <c r="FU3" t="inlineStr">
        <is>
          <t>Sum of Entity A1 and Entity A2 (Entity Inputs sheet)</t>
        </is>
      </c>
      <c r="FV3" t="inlineStr">
        <is>
          <t>Calculated: Revenue − Variable cost − Fixed cost − Overheads</t>
        </is>
      </c>
      <c r="FW3" t="inlineStr">
        <is>
          <t>Calculated: EBITDA − Depreciation and amortisation</t>
        </is>
      </c>
      <c r="FX3" t="inlineStr">
        <is>
          <t>Calculated: Trade receivables + Inventory − Trade payables</t>
        </is>
      </c>
      <c r="FY3" t="inlineStr">
        <is>
          <t>Calculated: Net working capital − last month's net working capital (April uses the 31 March balance on Parameters)</t>
        </is>
      </c>
      <c r="FZ3" t="inlineStr">
        <is>
          <t>Calculated: EBITDA − Tax paid − Change in net working capital</t>
        </is>
      </c>
      <c r="GA3" t="inlineStr">
        <is>
          <t>Calculated: Operating cash flow − Capex spent</t>
        </is>
      </c>
      <c r="GB3" t="inlineStr">
        <is>
          <t>Calculated: Gross debt − Cash</t>
        </is>
      </c>
      <c r="GC3" t="inlineStr">
        <is>
          <t>Calculated: EBITDA since April × 12 ÷ months elapsed</t>
        </is>
      </c>
      <c r="GD3" t="inlineStr">
        <is>
          <t>Calculated: Trade receivables ÷ Revenue × Days in month</t>
        </is>
      </c>
      <c r="GE3" t="inlineStr">
        <is>
          <t>Calculated: Trade payables ÷ Variable cost × Days in month</t>
        </is>
      </c>
      <c r="GF3" t="inlineStr">
        <is>
          <t>Calculated: Inventory ÷ Variable cost × Days in month</t>
        </is>
      </c>
      <c r="GG3" t="inlineStr">
        <is>
          <t>Calculated: (Revenue ÷ Sales volume) ÷ (Planned revenue ÷ Planned sales volume) − 1, as %</t>
        </is>
      </c>
      <c r="GH3" t="inlineStr">
        <is>
          <t>SUM of Entity A1 and Entity A2 (added)</t>
        </is>
      </c>
      <c r="GI3" t="inlineStr">
        <is>
          <t>SUM of Entity A1 and Entity A2 (added)</t>
        </is>
      </c>
      <c r="GJ3" t="inlineStr">
        <is>
          <t>SUM of Entity A1 and Entity A2 (added)</t>
        </is>
      </c>
      <c r="GK3" t="inlineStr">
        <is>
          <t>SUM of Entity A1 and Entity A2 (added)</t>
        </is>
      </c>
      <c r="GL3" t="inlineStr">
        <is>
          <t>SUM of Entity A1 and Entity A2 (added)</t>
        </is>
      </c>
      <c r="GM3" t="inlineStr">
        <is>
          <t>SUM of Entity A1 and Entity A2 (added)</t>
        </is>
      </c>
      <c r="GN3" t="inlineStr">
        <is>
          <t>SQRTSUMSQ of Entity A1 and Entity A2 (added)</t>
        </is>
      </c>
      <c r="GO3" t="inlineStr">
        <is>
          <t>MIN of Entity A1 and Entity A2 (added)</t>
        </is>
      </c>
      <c r="GP3" t="inlineStr">
        <is>
          <t>SUM of Entity A1 and Entity A2 (added)</t>
        </is>
      </c>
      <c r="GQ3" t="inlineStr">
        <is>
          <t>FIRST of Entity A1 and Entity A2 (added)</t>
        </is>
      </c>
      <c r="GR3" t="inlineStr">
        <is>
          <t>SUM of Entity A1 and Entity A2 (added)</t>
        </is>
      </c>
    </row>
    <row r="4">
      <c r="A4" t="inlineStr">
        <is>
          <t>Entity A1</t>
        </is>
      </c>
      <c r="B4" t="inlineStr">
        <is>
          <t>2026-04</t>
        </is>
      </c>
      <c r="C4" t="n">
        <v>30</v>
      </c>
      <c r="D4" t="n">
        <v>1</v>
      </c>
      <c r="E4">
        <f>'Entity Inputs'!E4</f>
        <v/>
      </c>
      <c r="F4">
        <f>'Entity Inputs'!F4</f>
        <v/>
      </c>
      <c r="G4">
        <f>'Entity Inputs'!G4</f>
        <v/>
      </c>
      <c r="H4">
        <f>'Entity Inputs'!H4</f>
        <v/>
      </c>
      <c r="I4">
        <f>'Entity Inputs'!I4</f>
        <v/>
      </c>
      <c r="J4">
        <f>'Entity Inputs'!J4</f>
        <v/>
      </c>
      <c r="K4">
        <f>'Entity Inputs'!K4</f>
        <v/>
      </c>
      <c r="L4">
        <f>'Entity Inputs'!L4</f>
        <v/>
      </c>
      <c r="M4">
        <f>'Entity Inputs'!M4</f>
        <v/>
      </c>
      <c r="N4">
        <f>'Entity Inputs'!N4</f>
        <v/>
      </c>
      <c r="O4">
        <f>'Entity Inputs'!O4</f>
        <v/>
      </c>
      <c r="P4">
        <f>'Entity Inputs'!P4</f>
        <v/>
      </c>
      <c r="Q4">
        <f>'Entity Inputs'!Q4</f>
        <v/>
      </c>
      <c r="R4">
        <f>'Entity Inputs'!R4</f>
        <v/>
      </c>
      <c r="S4">
        <f>'Entity Inputs'!S4</f>
        <v/>
      </c>
      <c r="T4">
        <f>'Entity Inputs'!T4</f>
        <v/>
      </c>
      <c r="U4">
        <f>'Entity Inputs'!U4</f>
        <v/>
      </c>
      <c r="V4">
        <f>'Entity Inputs'!V4</f>
        <v/>
      </c>
      <c r="W4">
        <f>'Entity Inputs'!W4</f>
        <v/>
      </c>
      <c r="X4">
        <f>'Entity Inputs'!X4</f>
        <v/>
      </c>
      <c r="Y4">
        <f>'Entity Inputs'!Y4</f>
        <v/>
      </c>
      <c r="Z4">
        <f>'Entity Inputs'!Z4</f>
        <v/>
      </c>
      <c r="AA4">
        <f>'Entity Inputs'!AA4</f>
        <v/>
      </c>
      <c r="AB4">
        <f>'Entity Inputs'!AB4</f>
        <v/>
      </c>
      <c r="AC4">
        <f>'Entity Inputs'!AC4</f>
        <v/>
      </c>
      <c r="AD4">
        <f>'Entity Inputs'!AD4</f>
        <v/>
      </c>
      <c r="AE4">
        <f>'Entity Inputs'!AE4</f>
        <v/>
      </c>
      <c r="AF4">
        <f>'Entity Inputs'!AF4</f>
        <v/>
      </c>
      <c r="AG4">
        <f>'Entity Inputs'!AG4</f>
        <v/>
      </c>
      <c r="AH4">
        <f>'Entity Inputs'!AH4</f>
        <v/>
      </c>
      <c r="AI4">
        <f>'Entity Inputs'!AI4</f>
        <v/>
      </c>
      <c r="AJ4">
        <f>'Entity Inputs'!AJ4</f>
        <v/>
      </c>
      <c r="AK4">
        <f>'Entity Inputs'!AK4</f>
        <v/>
      </c>
      <c r="AL4">
        <f>'Entity Inputs'!AL4</f>
        <v/>
      </c>
      <c r="AM4">
        <f>'Entity Inputs'!AM4</f>
        <v/>
      </c>
      <c r="AN4">
        <f>'Entity Inputs'!AN4</f>
        <v/>
      </c>
      <c r="AO4">
        <f>'Entity Inputs'!AO4</f>
        <v/>
      </c>
      <c r="AP4">
        <f>'Entity Inputs'!AP4</f>
        <v/>
      </c>
      <c r="AQ4">
        <f>'Entity Inputs'!AQ4</f>
        <v/>
      </c>
      <c r="AR4">
        <f>'Entity Inputs'!AR4</f>
        <v/>
      </c>
      <c r="AS4">
        <f>'Entity Inputs'!AS4</f>
        <v/>
      </c>
      <c r="AT4">
        <f>'Entity Inputs'!AT4</f>
        <v/>
      </c>
      <c r="AU4">
        <f>'Entity Inputs'!AU4</f>
        <v/>
      </c>
      <c r="AV4">
        <f>'Entity Inputs'!AV4</f>
        <v/>
      </c>
      <c r="AW4">
        <f>'Entity Inputs'!AW4</f>
        <v/>
      </c>
      <c r="AX4">
        <f>'Entity Inputs'!AX4</f>
        <v/>
      </c>
      <c r="AY4">
        <f>'Entity Inputs'!AY4</f>
        <v/>
      </c>
      <c r="AZ4">
        <f>'Entity Inputs'!AZ4</f>
        <v/>
      </c>
      <c r="BA4">
        <f>'Entity Inputs'!BA4</f>
        <v/>
      </c>
      <c r="BB4">
        <f>'Entity Inputs'!BB4</f>
        <v/>
      </c>
      <c r="BC4">
        <f>'Entity Inputs'!BC4</f>
        <v/>
      </c>
      <c r="BD4">
        <f>'Entity Inputs'!BD4</f>
        <v/>
      </c>
      <c r="BE4">
        <f>'Entity Inputs'!BE4</f>
        <v/>
      </c>
      <c r="BF4">
        <f>'Entity Inputs'!BF4</f>
        <v/>
      </c>
      <c r="BG4">
        <f>'Entity Inputs'!BG4</f>
        <v/>
      </c>
      <c r="BH4">
        <f>'Entity Inputs'!BH4</f>
        <v/>
      </c>
      <c r="BI4">
        <f>'Entity Inputs'!BI4</f>
        <v/>
      </c>
      <c r="BJ4">
        <f>'Entity Inputs'!BJ4</f>
        <v/>
      </c>
      <c r="BK4">
        <f>'Entity Inputs'!BK4</f>
        <v/>
      </c>
      <c r="BL4">
        <f>'Entity Inputs'!BL4</f>
        <v/>
      </c>
      <c r="BM4">
        <f>'Entity Inputs'!BM4</f>
        <v/>
      </c>
      <c r="BN4">
        <f>'Entity Inputs'!BN4</f>
        <v/>
      </c>
      <c r="BO4">
        <f>'Entity Inputs'!BO4</f>
        <v/>
      </c>
      <c r="BP4">
        <f>'Entity Inputs'!BP4</f>
        <v/>
      </c>
      <c r="BQ4">
        <f>'Entity Inputs'!BQ4</f>
        <v/>
      </c>
      <c r="BR4">
        <f>'Entity Inputs'!BR4</f>
        <v/>
      </c>
      <c r="BS4">
        <f>'Entity Inputs'!BS4</f>
        <v/>
      </c>
      <c r="BT4">
        <f>'Entity Inputs'!BT4</f>
        <v/>
      </c>
      <c r="BU4">
        <f>'Entity Inputs'!BU4</f>
        <v/>
      </c>
      <c r="BV4">
        <f>'Entity Inputs'!BV4</f>
        <v/>
      </c>
      <c r="BW4">
        <f>'Entity Inputs'!BW4</f>
        <v/>
      </c>
      <c r="BX4">
        <f>'Entity Inputs'!BX4</f>
        <v/>
      </c>
      <c r="BY4">
        <f>'Entity Inputs'!BY4</f>
        <v/>
      </c>
      <c r="BZ4">
        <f>'Entity Inputs'!BZ4</f>
        <v/>
      </c>
      <c r="CA4">
        <f>'Entity Inputs'!CA4</f>
        <v/>
      </c>
      <c r="CB4">
        <f>'Entity Inputs'!CB4</f>
        <v/>
      </c>
      <c r="CC4">
        <f>'Entity Inputs'!CC4</f>
        <v/>
      </c>
      <c r="CD4">
        <f>'Entity Inputs'!CD4</f>
        <v/>
      </c>
      <c r="CE4">
        <f>'Entity Inputs'!CE4</f>
        <v/>
      </c>
      <c r="CF4">
        <f>'Entity Inputs'!CF4</f>
        <v/>
      </c>
      <c r="CG4">
        <f>'Entity Inputs'!CG4</f>
        <v/>
      </c>
      <c r="CH4">
        <f>'Entity Inputs'!CH4</f>
        <v/>
      </c>
      <c r="CI4">
        <f>'Entity Inputs'!CI4</f>
        <v/>
      </c>
      <c r="CJ4">
        <f>'Entity Inputs'!CJ4</f>
        <v/>
      </c>
      <c r="CK4">
        <f>'Entity Inputs'!CK4</f>
        <v/>
      </c>
      <c r="CL4">
        <f>'Entity Inputs'!CL4</f>
        <v/>
      </c>
      <c r="CM4">
        <f>'Entity Inputs'!CM4</f>
        <v/>
      </c>
      <c r="CN4">
        <f>'Entity Inputs'!CN4</f>
        <v/>
      </c>
      <c r="CO4">
        <f>'Entity Inputs'!CO4</f>
        <v/>
      </c>
      <c r="CP4">
        <f>'Entity Inputs'!CP4</f>
        <v/>
      </c>
      <c r="CQ4">
        <f>'Entity Inputs'!CQ4</f>
        <v/>
      </c>
      <c r="CR4">
        <f>'Entity Inputs'!CR4</f>
        <v/>
      </c>
      <c r="CS4">
        <f>'Entity Inputs'!CS4</f>
        <v/>
      </c>
      <c r="CT4">
        <f>'Entity Inputs'!CT4</f>
        <v/>
      </c>
      <c r="CU4">
        <f>'Entity Inputs'!CU4</f>
        <v/>
      </c>
      <c r="CV4">
        <f>'Entity Inputs'!CV4</f>
        <v/>
      </c>
      <c r="CW4">
        <f>'Entity Inputs'!CW4</f>
        <v/>
      </c>
      <c r="CX4">
        <f>'Entity Inputs'!CX4</f>
        <v/>
      </c>
      <c r="CY4">
        <f>'Entity Inputs'!CY4</f>
        <v/>
      </c>
      <c r="CZ4">
        <f>'Entity Inputs'!CZ4</f>
        <v/>
      </c>
      <c r="DA4">
        <f>'Entity Inputs'!DA4</f>
        <v/>
      </c>
      <c r="DB4">
        <f>'Entity Inputs'!DB4</f>
        <v/>
      </c>
      <c r="DC4">
        <f>'Entity Inputs'!DC4</f>
        <v/>
      </c>
      <c r="DD4">
        <f>'Entity Inputs'!DD4</f>
        <v/>
      </c>
      <c r="DE4">
        <f>'Entity Inputs'!DE4</f>
        <v/>
      </c>
      <c r="DF4">
        <f>'Entity Inputs'!DF4</f>
        <v/>
      </c>
      <c r="DG4">
        <f>'Entity Inputs'!DG4</f>
        <v/>
      </c>
      <c r="DH4">
        <f>'Entity Inputs'!DH4</f>
        <v/>
      </c>
      <c r="DI4">
        <f>'Entity Inputs'!DI4</f>
        <v/>
      </c>
      <c r="DJ4">
        <f>'Entity Inputs'!DJ4</f>
        <v/>
      </c>
      <c r="DK4">
        <f>'Entity Inputs'!DK4</f>
        <v/>
      </c>
      <c r="DL4">
        <f>'Entity Inputs'!DL4</f>
        <v/>
      </c>
      <c r="DM4">
        <f>'Entity Inputs'!DM4</f>
        <v/>
      </c>
      <c r="DN4">
        <f>'Entity Inputs'!DN4</f>
        <v/>
      </c>
      <c r="DO4">
        <f>'Entity Inputs'!DO4</f>
        <v/>
      </c>
      <c r="DP4">
        <f>'Entity Inputs'!DP4</f>
        <v/>
      </c>
      <c r="DQ4">
        <f>'Entity Inputs'!DQ4</f>
        <v/>
      </c>
      <c r="DR4">
        <f>'Entity Inputs'!DR4</f>
        <v/>
      </c>
      <c r="DS4">
        <f>'Entity Inputs'!DS4</f>
        <v/>
      </c>
      <c r="DT4">
        <f>'Entity Inputs'!DT4</f>
        <v/>
      </c>
      <c r="DU4">
        <f>'Entity Inputs'!DU4</f>
        <v/>
      </c>
      <c r="DV4">
        <f>'Entity Inputs'!DV4</f>
        <v/>
      </c>
      <c r="DW4">
        <f>'Entity Inputs'!DW4</f>
        <v/>
      </c>
      <c r="DX4">
        <f>'Entity Inputs'!DX4</f>
        <v/>
      </c>
      <c r="DY4">
        <f>'Entity Inputs'!DY4</f>
        <v/>
      </c>
      <c r="DZ4">
        <f>'Entity Inputs'!DZ4</f>
        <v/>
      </c>
      <c r="EA4">
        <f>'Entity Inputs'!EA4</f>
        <v/>
      </c>
      <c r="EB4">
        <f>'Entity Inputs'!EB4</f>
        <v/>
      </c>
      <c r="EC4">
        <f>'Entity Inputs'!EC4</f>
        <v/>
      </c>
      <c r="ED4">
        <f>'Entity Inputs'!ED4</f>
        <v/>
      </c>
      <c r="EE4">
        <f>'Entity Inputs'!EE4</f>
        <v/>
      </c>
      <c r="EF4">
        <f>'Entity Inputs'!EF4</f>
        <v/>
      </c>
      <c r="EG4">
        <f>'Entity Inputs'!EG4</f>
        <v/>
      </c>
      <c r="EH4">
        <f>'Entity Inputs'!EH4</f>
        <v/>
      </c>
      <c r="EI4">
        <f>'Entity Inputs'!EI4</f>
        <v/>
      </c>
      <c r="EJ4">
        <f>'Entity Inputs'!EJ4</f>
        <v/>
      </c>
      <c r="EK4">
        <f>'Entity Inputs'!EK4</f>
        <v/>
      </c>
      <c r="EL4">
        <f>'Entity Inputs'!EL4</f>
        <v/>
      </c>
      <c r="EM4">
        <f>'Entity Inputs'!EM4</f>
        <v/>
      </c>
      <c r="EN4">
        <f>'Entity Inputs'!EN4</f>
        <v/>
      </c>
      <c r="EO4">
        <f>'Entity Inputs'!EO4</f>
        <v/>
      </c>
      <c r="EP4">
        <f>'Entity Inputs'!EP4</f>
        <v/>
      </c>
      <c r="EQ4">
        <f>'Entity Inputs'!EQ4</f>
        <v/>
      </c>
      <c r="ER4">
        <f>'Entity Inputs'!ER4</f>
        <v/>
      </c>
      <c r="ES4">
        <f>'Entity Inputs'!ES4</f>
        <v/>
      </c>
      <c r="ET4">
        <f>'Entity Inputs'!ET4</f>
        <v/>
      </c>
      <c r="EU4">
        <f>'Entity Inputs'!EU4</f>
        <v/>
      </c>
      <c r="EV4">
        <f>'Entity Inputs'!EV4</f>
        <v/>
      </c>
      <c r="EW4">
        <f>'Entity Inputs'!EW4</f>
        <v/>
      </c>
      <c r="EX4">
        <f>'Entity Inputs'!EX4</f>
        <v/>
      </c>
      <c r="EY4">
        <f>'Entity Inputs'!EY4</f>
        <v/>
      </c>
      <c r="EZ4">
        <f>'Entity Inputs'!EZ4</f>
        <v/>
      </c>
      <c r="FA4">
        <f>'Entity Inputs'!FA4</f>
        <v/>
      </c>
      <c r="FB4">
        <f>'Entity Inputs'!FB4</f>
        <v/>
      </c>
      <c r="FC4">
        <f>'Entity Inputs'!FC4</f>
        <v/>
      </c>
      <c r="FD4">
        <f>'Entity Inputs'!FD4</f>
        <v/>
      </c>
      <c r="FE4">
        <f>'Entity Inputs'!FE4</f>
        <v/>
      </c>
      <c r="FF4">
        <f>'Entity Inputs'!FF4</f>
        <v/>
      </c>
      <c r="FG4">
        <f>'Entity Inputs'!FG4</f>
        <v/>
      </c>
      <c r="FH4">
        <f>'Entity Inputs'!FH4</f>
        <v/>
      </c>
      <c r="FI4">
        <f>'Entity Inputs'!FI4</f>
        <v/>
      </c>
      <c r="FJ4">
        <f>'Entity Inputs'!FJ4</f>
        <v/>
      </c>
      <c r="FK4">
        <f>'Entity Inputs'!FK4</f>
        <v/>
      </c>
      <c r="FL4">
        <f>'Entity Inputs'!FL4</f>
        <v/>
      </c>
      <c r="FM4">
        <f>'Entity Inputs'!FM4</f>
        <v/>
      </c>
      <c r="FN4">
        <f>'Entity Inputs'!FN4</f>
        <v/>
      </c>
      <c r="FO4">
        <f>'Entity Inputs'!FO4</f>
        <v/>
      </c>
      <c r="FP4">
        <f>'Entity Inputs'!FP4</f>
        <v/>
      </c>
      <c r="FQ4">
        <f>'Entity Inputs'!FQ4</f>
        <v/>
      </c>
      <c r="FR4">
        <f>'Entity Inputs'!FR4</f>
        <v/>
      </c>
      <c r="FS4">
        <f>'Entity Inputs'!FS4</f>
        <v/>
      </c>
      <c r="FT4">
        <f>'Entity Inputs'!FT4</f>
        <v/>
      </c>
      <c r="FU4">
        <f>'Entity Inputs'!FU4</f>
        <v/>
      </c>
      <c r="FV4">
        <f>AU4-V4-X4-BY4</f>
        <v/>
      </c>
      <c r="FW4">
        <f>FV4-AX4</f>
        <v/>
      </c>
      <c r="FX4">
        <f>CJ4+CL4-CK4</f>
        <v/>
      </c>
      <c r="FY4">
        <f>FX4-Parameters!$B$5</f>
        <v/>
      </c>
      <c r="FZ4">
        <f>FV4-BZ4-FY4</f>
        <v/>
      </c>
      <c r="GA4">
        <f>FZ4-DJ4</f>
        <v/>
      </c>
      <c r="GB4">
        <f>CB4-CC4</f>
        <v/>
      </c>
      <c r="GC4">
        <f>SUM(FV$4:FV4)*12/D4</f>
        <v/>
      </c>
      <c r="GD4">
        <f>IF(AU4=0,0,CJ4/AU4*C4)</f>
        <v/>
      </c>
      <c r="GE4">
        <f>IF(V4=0,0,CK4/V4*C4)</f>
        <v/>
      </c>
      <c r="GF4">
        <f>IF(V4=0,0,CL4/V4*C4)</f>
        <v/>
      </c>
      <c r="GG4">
        <f>IF(OR(AS4=0,AT4=0,AV4=0),0,100*((AU4/AS4)/(AV4/AT4)-1))</f>
        <v/>
      </c>
      <c r="GH4">
        <f>'Entity Inputs'!FV4</f>
        <v/>
      </c>
      <c r="GI4">
        <f>'Entity Inputs'!FW4</f>
        <v/>
      </c>
      <c r="GJ4">
        <f>'Entity Inputs'!FX4</f>
        <v/>
      </c>
      <c r="GK4">
        <f>'Entity Inputs'!FY4</f>
        <v/>
      </c>
      <c r="GL4">
        <f>'Entity Inputs'!FZ4</f>
        <v/>
      </c>
      <c r="GM4">
        <f>'Entity Inputs'!GA4</f>
        <v/>
      </c>
      <c r="GN4">
        <f>'Entity Inputs'!GB4</f>
        <v/>
      </c>
      <c r="GO4">
        <f>'Entity Inputs'!GC4</f>
        <v/>
      </c>
      <c r="GP4">
        <f>'Entity Inputs'!GD4</f>
        <v/>
      </c>
      <c r="GQ4">
        <f>'Entity Inputs'!GE4</f>
        <v/>
      </c>
      <c r="GR4">
        <f>'Entity Inputs'!GF4</f>
        <v/>
      </c>
    </row>
    <row r="5">
      <c r="A5" t="inlineStr">
        <is>
          <t>Entity A1</t>
        </is>
      </c>
      <c r="B5" t="inlineStr">
        <is>
          <t>2026-05</t>
        </is>
      </c>
      <c r="C5" t="n">
        <v>31</v>
      </c>
      <c r="D5" t="n">
        <v>2</v>
      </c>
      <c r="E5">
        <f>'Entity Inputs'!E5</f>
        <v/>
      </c>
      <c r="F5">
        <f>'Entity Inputs'!F5</f>
        <v/>
      </c>
      <c r="G5">
        <f>'Entity Inputs'!G5</f>
        <v/>
      </c>
      <c r="H5">
        <f>'Entity Inputs'!H5</f>
        <v/>
      </c>
      <c r="I5">
        <f>'Entity Inputs'!I5</f>
        <v/>
      </c>
      <c r="J5">
        <f>'Entity Inputs'!J5</f>
        <v/>
      </c>
      <c r="K5">
        <f>'Entity Inputs'!K5</f>
        <v/>
      </c>
      <c r="L5">
        <f>'Entity Inputs'!L5</f>
        <v/>
      </c>
      <c r="M5">
        <f>'Entity Inputs'!M5</f>
        <v/>
      </c>
      <c r="N5">
        <f>'Entity Inputs'!N5</f>
        <v/>
      </c>
      <c r="O5">
        <f>'Entity Inputs'!O5</f>
        <v/>
      </c>
      <c r="P5">
        <f>'Entity Inputs'!P5</f>
        <v/>
      </c>
      <c r="Q5">
        <f>'Entity Inputs'!Q5</f>
        <v/>
      </c>
      <c r="R5">
        <f>'Entity Inputs'!R5</f>
        <v/>
      </c>
      <c r="S5">
        <f>'Entity Inputs'!S5</f>
        <v/>
      </c>
      <c r="T5">
        <f>'Entity Inputs'!T5</f>
        <v/>
      </c>
      <c r="U5">
        <f>'Entity Inputs'!U5</f>
        <v/>
      </c>
      <c r="V5">
        <f>'Entity Inputs'!V5</f>
        <v/>
      </c>
      <c r="W5">
        <f>'Entity Inputs'!W5</f>
        <v/>
      </c>
      <c r="X5">
        <f>'Entity Inputs'!X5</f>
        <v/>
      </c>
      <c r="Y5">
        <f>'Entity Inputs'!Y5</f>
        <v/>
      </c>
      <c r="Z5">
        <f>'Entity Inputs'!Z5</f>
        <v/>
      </c>
      <c r="AA5">
        <f>'Entity Inputs'!AA5</f>
        <v/>
      </c>
      <c r="AB5">
        <f>'Entity Inputs'!AB5</f>
        <v/>
      </c>
      <c r="AC5">
        <f>'Entity Inputs'!AC5</f>
        <v/>
      </c>
      <c r="AD5">
        <f>'Entity Inputs'!AD5</f>
        <v/>
      </c>
      <c r="AE5">
        <f>'Entity Inputs'!AE5</f>
        <v/>
      </c>
      <c r="AF5">
        <f>'Entity Inputs'!AF5</f>
        <v/>
      </c>
      <c r="AG5">
        <f>'Entity Inputs'!AG5</f>
        <v/>
      </c>
      <c r="AH5">
        <f>'Entity Inputs'!AH5</f>
        <v/>
      </c>
      <c r="AI5">
        <f>'Entity Inputs'!AI5</f>
        <v/>
      </c>
      <c r="AJ5">
        <f>'Entity Inputs'!AJ5</f>
        <v/>
      </c>
      <c r="AK5">
        <f>'Entity Inputs'!AK5</f>
        <v/>
      </c>
      <c r="AL5">
        <f>'Entity Inputs'!AL5</f>
        <v/>
      </c>
      <c r="AM5">
        <f>'Entity Inputs'!AM5</f>
        <v/>
      </c>
      <c r="AN5">
        <f>'Entity Inputs'!AN5</f>
        <v/>
      </c>
      <c r="AO5">
        <f>'Entity Inputs'!AO5</f>
        <v/>
      </c>
      <c r="AP5">
        <f>'Entity Inputs'!AP5</f>
        <v/>
      </c>
      <c r="AQ5">
        <f>'Entity Inputs'!AQ5</f>
        <v/>
      </c>
      <c r="AR5">
        <f>'Entity Inputs'!AR5</f>
        <v/>
      </c>
      <c r="AS5">
        <f>'Entity Inputs'!AS5</f>
        <v/>
      </c>
      <c r="AT5">
        <f>'Entity Inputs'!AT5</f>
        <v/>
      </c>
      <c r="AU5">
        <f>'Entity Inputs'!AU5</f>
        <v/>
      </c>
      <c r="AV5">
        <f>'Entity Inputs'!AV5</f>
        <v/>
      </c>
      <c r="AW5">
        <f>'Entity Inputs'!AW5</f>
        <v/>
      </c>
      <c r="AX5">
        <f>'Entity Inputs'!AX5</f>
        <v/>
      </c>
      <c r="AY5">
        <f>'Entity Inputs'!AY5</f>
        <v/>
      </c>
      <c r="AZ5">
        <f>'Entity Inputs'!AZ5</f>
        <v/>
      </c>
      <c r="BA5">
        <f>'Entity Inputs'!BA5</f>
        <v/>
      </c>
      <c r="BB5">
        <f>'Entity Inputs'!BB5</f>
        <v/>
      </c>
      <c r="BC5">
        <f>'Entity Inputs'!BC5</f>
        <v/>
      </c>
      <c r="BD5">
        <f>'Entity Inputs'!BD5</f>
        <v/>
      </c>
      <c r="BE5">
        <f>'Entity Inputs'!BE5</f>
        <v/>
      </c>
      <c r="BF5">
        <f>'Entity Inputs'!BF5</f>
        <v/>
      </c>
      <c r="BG5">
        <f>'Entity Inputs'!BG5</f>
        <v/>
      </c>
      <c r="BH5">
        <f>'Entity Inputs'!BH5</f>
        <v/>
      </c>
      <c r="BI5">
        <f>'Entity Inputs'!BI5</f>
        <v/>
      </c>
      <c r="BJ5">
        <f>'Entity Inputs'!BJ5</f>
        <v/>
      </c>
      <c r="BK5">
        <f>'Entity Inputs'!BK5</f>
        <v/>
      </c>
      <c r="BL5">
        <f>'Entity Inputs'!BL5</f>
        <v/>
      </c>
      <c r="BM5">
        <f>'Entity Inputs'!BM5</f>
        <v/>
      </c>
      <c r="BN5">
        <f>'Entity Inputs'!BN5</f>
        <v/>
      </c>
      <c r="BO5">
        <f>'Entity Inputs'!BO5</f>
        <v/>
      </c>
      <c r="BP5">
        <f>'Entity Inputs'!BP5</f>
        <v/>
      </c>
      <c r="BQ5">
        <f>'Entity Inputs'!BQ5</f>
        <v/>
      </c>
      <c r="BR5">
        <f>'Entity Inputs'!BR5</f>
        <v/>
      </c>
      <c r="BS5">
        <f>'Entity Inputs'!BS5</f>
        <v/>
      </c>
      <c r="BT5">
        <f>'Entity Inputs'!BT5</f>
        <v/>
      </c>
      <c r="BU5">
        <f>'Entity Inputs'!BU5</f>
        <v/>
      </c>
      <c r="BV5">
        <f>'Entity Inputs'!BV5</f>
        <v/>
      </c>
      <c r="BW5">
        <f>'Entity Inputs'!BW5</f>
        <v/>
      </c>
      <c r="BX5">
        <f>'Entity Inputs'!BX5</f>
        <v/>
      </c>
      <c r="BY5">
        <f>'Entity Inputs'!BY5</f>
        <v/>
      </c>
      <c r="BZ5">
        <f>'Entity Inputs'!BZ5</f>
        <v/>
      </c>
      <c r="CA5">
        <f>'Entity Inputs'!CA5</f>
        <v/>
      </c>
      <c r="CB5">
        <f>'Entity Inputs'!CB5</f>
        <v/>
      </c>
      <c r="CC5">
        <f>'Entity Inputs'!CC5</f>
        <v/>
      </c>
      <c r="CD5">
        <f>'Entity Inputs'!CD5</f>
        <v/>
      </c>
      <c r="CE5">
        <f>'Entity Inputs'!CE5</f>
        <v/>
      </c>
      <c r="CF5">
        <f>'Entity Inputs'!CF5</f>
        <v/>
      </c>
      <c r="CG5">
        <f>'Entity Inputs'!CG5</f>
        <v/>
      </c>
      <c r="CH5">
        <f>'Entity Inputs'!CH5</f>
        <v/>
      </c>
      <c r="CI5">
        <f>'Entity Inputs'!CI5</f>
        <v/>
      </c>
      <c r="CJ5">
        <f>'Entity Inputs'!CJ5</f>
        <v/>
      </c>
      <c r="CK5">
        <f>'Entity Inputs'!CK5</f>
        <v/>
      </c>
      <c r="CL5">
        <f>'Entity Inputs'!CL5</f>
        <v/>
      </c>
      <c r="CM5">
        <f>'Entity Inputs'!CM5</f>
        <v/>
      </c>
      <c r="CN5">
        <f>'Entity Inputs'!CN5</f>
        <v/>
      </c>
      <c r="CO5">
        <f>'Entity Inputs'!CO5</f>
        <v/>
      </c>
      <c r="CP5">
        <f>'Entity Inputs'!CP5</f>
        <v/>
      </c>
      <c r="CQ5">
        <f>'Entity Inputs'!CQ5</f>
        <v/>
      </c>
      <c r="CR5">
        <f>'Entity Inputs'!CR5</f>
        <v/>
      </c>
      <c r="CS5">
        <f>'Entity Inputs'!CS5</f>
        <v/>
      </c>
      <c r="CT5">
        <f>'Entity Inputs'!CT5</f>
        <v/>
      </c>
      <c r="CU5">
        <f>'Entity Inputs'!CU5</f>
        <v/>
      </c>
      <c r="CV5">
        <f>'Entity Inputs'!CV5</f>
        <v/>
      </c>
      <c r="CW5">
        <f>'Entity Inputs'!CW5</f>
        <v/>
      </c>
      <c r="CX5">
        <f>'Entity Inputs'!CX5</f>
        <v/>
      </c>
      <c r="CY5">
        <f>'Entity Inputs'!CY5</f>
        <v/>
      </c>
      <c r="CZ5">
        <f>'Entity Inputs'!CZ5</f>
        <v/>
      </c>
      <c r="DA5">
        <f>'Entity Inputs'!DA5</f>
        <v/>
      </c>
      <c r="DB5">
        <f>'Entity Inputs'!DB5</f>
        <v/>
      </c>
      <c r="DC5">
        <f>'Entity Inputs'!DC5</f>
        <v/>
      </c>
      <c r="DD5">
        <f>'Entity Inputs'!DD5</f>
        <v/>
      </c>
      <c r="DE5">
        <f>'Entity Inputs'!DE5</f>
        <v/>
      </c>
      <c r="DF5">
        <f>'Entity Inputs'!DF5</f>
        <v/>
      </c>
      <c r="DG5">
        <f>'Entity Inputs'!DG5</f>
        <v/>
      </c>
      <c r="DH5">
        <f>'Entity Inputs'!DH5</f>
        <v/>
      </c>
      <c r="DI5">
        <f>'Entity Inputs'!DI5</f>
        <v/>
      </c>
      <c r="DJ5">
        <f>'Entity Inputs'!DJ5</f>
        <v/>
      </c>
      <c r="DK5">
        <f>'Entity Inputs'!DK5</f>
        <v/>
      </c>
      <c r="DL5">
        <f>'Entity Inputs'!DL5</f>
        <v/>
      </c>
      <c r="DM5">
        <f>'Entity Inputs'!DM5</f>
        <v/>
      </c>
      <c r="DN5">
        <f>'Entity Inputs'!DN5</f>
        <v/>
      </c>
      <c r="DO5">
        <f>'Entity Inputs'!DO5</f>
        <v/>
      </c>
      <c r="DP5">
        <f>'Entity Inputs'!DP5</f>
        <v/>
      </c>
      <c r="DQ5">
        <f>'Entity Inputs'!DQ5</f>
        <v/>
      </c>
      <c r="DR5">
        <f>'Entity Inputs'!DR5</f>
        <v/>
      </c>
      <c r="DS5">
        <f>'Entity Inputs'!DS5</f>
        <v/>
      </c>
      <c r="DT5">
        <f>'Entity Inputs'!DT5</f>
        <v/>
      </c>
      <c r="DU5">
        <f>'Entity Inputs'!DU5</f>
        <v/>
      </c>
      <c r="DV5">
        <f>'Entity Inputs'!DV5</f>
        <v/>
      </c>
      <c r="DW5">
        <f>'Entity Inputs'!DW5</f>
        <v/>
      </c>
      <c r="DX5">
        <f>'Entity Inputs'!DX5</f>
        <v/>
      </c>
      <c r="DY5">
        <f>'Entity Inputs'!DY5</f>
        <v/>
      </c>
      <c r="DZ5">
        <f>'Entity Inputs'!DZ5</f>
        <v/>
      </c>
      <c r="EA5">
        <f>'Entity Inputs'!EA5</f>
        <v/>
      </c>
      <c r="EB5">
        <f>'Entity Inputs'!EB5</f>
        <v/>
      </c>
      <c r="EC5">
        <f>'Entity Inputs'!EC5</f>
        <v/>
      </c>
      <c r="ED5">
        <f>'Entity Inputs'!ED5</f>
        <v/>
      </c>
      <c r="EE5">
        <f>'Entity Inputs'!EE5</f>
        <v/>
      </c>
      <c r="EF5">
        <f>'Entity Inputs'!EF5</f>
        <v/>
      </c>
      <c r="EG5">
        <f>'Entity Inputs'!EG5</f>
        <v/>
      </c>
      <c r="EH5">
        <f>'Entity Inputs'!EH5</f>
        <v/>
      </c>
      <c r="EI5">
        <f>'Entity Inputs'!EI5</f>
        <v/>
      </c>
      <c r="EJ5">
        <f>'Entity Inputs'!EJ5</f>
        <v/>
      </c>
      <c r="EK5">
        <f>'Entity Inputs'!EK5</f>
        <v/>
      </c>
      <c r="EL5">
        <f>'Entity Inputs'!EL5</f>
        <v/>
      </c>
      <c r="EM5">
        <f>'Entity Inputs'!EM5</f>
        <v/>
      </c>
      <c r="EN5">
        <f>'Entity Inputs'!EN5</f>
        <v/>
      </c>
      <c r="EO5">
        <f>'Entity Inputs'!EO5</f>
        <v/>
      </c>
      <c r="EP5">
        <f>'Entity Inputs'!EP5</f>
        <v/>
      </c>
      <c r="EQ5">
        <f>'Entity Inputs'!EQ5</f>
        <v/>
      </c>
      <c r="ER5">
        <f>'Entity Inputs'!ER5</f>
        <v/>
      </c>
      <c r="ES5">
        <f>'Entity Inputs'!ES5</f>
        <v/>
      </c>
      <c r="ET5">
        <f>'Entity Inputs'!ET5</f>
        <v/>
      </c>
      <c r="EU5">
        <f>'Entity Inputs'!EU5</f>
        <v/>
      </c>
      <c r="EV5">
        <f>'Entity Inputs'!EV5</f>
        <v/>
      </c>
      <c r="EW5">
        <f>'Entity Inputs'!EW5</f>
        <v/>
      </c>
      <c r="EX5">
        <f>'Entity Inputs'!EX5</f>
        <v/>
      </c>
      <c r="EY5">
        <f>'Entity Inputs'!EY5</f>
        <v/>
      </c>
      <c r="EZ5">
        <f>'Entity Inputs'!EZ5</f>
        <v/>
      </c>
      <c r="FA5">
        <f>'Entity Inputs'!FA5</f>
        <v/>
      </c>
      <c r="FB5">
        <f>'Entity Inputs'!FB5</f>
        <v/>
      </c>
      <c r="FC5">
        <f>'Entity Inputs'!FC5</f>
        <v/>
      </c>
      <c r="FD5">
        <f>'Entity Inputs'!FD5</f>
        <v/>
      </c>
      <c r="FE5">
        <f>'Entity Inputs'!FE5</f>
        <v/>
      </c>
      <c r="FF5">
        <f>'Entity Inputs'!FF5</f>
        <v/>
      </c>
      <c r="FG5">
        <f>'Entity Inputs'!FG5</f>
        <v/>
      </c>
      <c r="FH5">
        <f>'Entity Inputs'!FH5</f>
        <v/>
      </c>
      <c r="FI5">
        <f>'Entity Inputs'!FI5</f>
        <v/>
      </c>
      <c r="FJ5">
        <f>'Entity Inputs'!FJ5</f>
        <v/>
      </c>
      <c r="FK5">
        <f>'Entity Inputs'!FK5</f>
        <v/>
      </c>
      <c r="FL5">
        <f>'Entity Inputs'!FL5</f>
        <v/>
      </c>
      <c r="FM5">
        <f>'Entity Inputs'!FM5</f>
        <v/>
      </c>
      <c r="FN5">
        <f>'Entity Inputs'!FN5</f>
        <v/>
      </c>
      <c r="FO5">
        <f>'Entity Inputs'!FO5</f>
        <v/>
      </c>
      <c r="FP5">
        <f>'Entity Inputs'!FP5</f>
        <v/>
      </c>
      <c r="FQ5">
        <f>'Entity Inputs'!FQ5</f>
        <v/>
      </c>
      <c r="FR5">
        <f>'Entity Inputs'!FR5</f>
        <v/>
      </c>
      <c r="FS5">
        <f>'Entity Inputs'!FS5</f>
        <v/>
      </c>
      <c r="FT5">
        <f>'Entity Inputs'!FT5</f>
        <v/>
      </c>
      <c r="FU5">
        <f>'Entity Inputs'!FU5</f>
        <v/>
      </c>
      <c r="FV5">
        <f>AU5-V5-X5-BY5</f>
        <v/>
      </c>
      <c r="FW5">
        <f>FV5-AX5</f>
        <v/>
      </c>
      <c r="FX5">
        <f>CJ5+CL5-CK5</f>
        <v/>
      </c>
      <c r="FY5">
        <f>FX5-FX4</f>
        <v/>
      </c>
      <c r="FZ5">
        <f>FV5-BZ5-FY5</f>
        <v/>
      </c>
      <c r="GA5">
        <f>FZ5-DJ5</f>
        <v/>
      </c>
      <c r="GB5">
        <f>CB5-CC5</f>
        <v/>
      </c>
      <c r="GC5">
        <f>SUM(FV$4:FV5)*12/D5</f>
        <v/>
      </c>
      <c r="GD5">
        <f>IF(AU5=0,0,CJ5/AU5*C5)</f>
        <v/>
      </c>
      <c r="GE5">
        <f>IF(V5=0,0,CK5/V5*C5)</f>
        <v/>
      </c>
      <c r="GF5">
        <f>IF(V5=0,0,CL5/V5*C5)</f>
        <v/>
      </c>
      <c r="GG5">
        <f>IF(OR(AS5=0,AT5=0,AV5=0),0,100*((AU5/AS5)/(AV5/AT5)-1))</f>
        <v/>
      </c>
      <c r="GH5">
        <f>'Entity Inputs'!FV5</f>
        <v/>
      </c>
      <c r="GI5">
        <f>'Entity Inputs'!FW5</f>
        <v/>
      </c>
      <c r="GJ5">
        <f>'Entity Inputs'!FX5</f>
        <v/>
      </c>
      <c r="GK5">
        <f>'Entity Inputs'!FY5</f>
        <v/>
      </c>
      <c r="GL5">
        <f>'Entity Inputs'!FZ5</f>
        <v/>
      </c>
      <c r="GM5">
        <f>'Entity Inputs'!GA5</f>
        <v/>
      </c>
      <c r="GN5">
        <f>'Entity Inputs'!GB5</f>
        <v/>
      </c>
      <c r="GO5">
        <f>'Entity Inputs'!GC5</f>
        <v/>
      </c>
      <c r="GP5">
        <f>'Entity Inputs'!GD5</f>
        <v/>
      </c>
      <c r="GQ5">
        <f>'Entity Inputs'!GE5</f>
        <v/>
      </c>
      <c r="GR5">
        <f>'Entity Inputs'!GF5</f>
        <v/>
      </c>
    </row>
    <row r="6">
      <c r="A6" t="inlineStr">
        <is>
          <t>Entity A1</t>
        </is>
      </c>
      <c r="B6" t="inlineStr">
        <is>
          <t>2026-06</t>
        </is>
      </c>
      <c r="C6" t="n">
        <v>30</v>
      </c>
      <c r="D6" t="n">
        <v>3</v>
      </c>
      <c r="E6">
        <f>'Entity Inputs'!E6</f>
        <v/>
      </c>
      <c r="F6">
        <f>'Entity Inputs'!F6</f>
        <v/>
      </c>
      <c r="G6">
        <f>'Entity Inputs'!G6</f>
        <v/>
      </c>
      <c r="H6">
        <f>'Entity Inputs'!H6</f>
        <v/>
      </c>
      <c r="I6">
        <f>'Entity Inputs'!I6</f>
        <v/>
      </c>
      <c r="J6">
        <f>'Entity Inputs'!J6</f>
        <v/>
      </c>
      <c r="K6">
        <f>'Entity Inputs'!K6</f>
        <v/>
      </c>
      <c r="L6">
        <f>'Entity Inputs'!L6</f>
        <v/>
      </c>
      <c r="M6">
        <f>'Entity Inputs'!M6</f>
        <v/>
      </c>
      <c r="N6">
        <f>'Entity Inputs'!N6</f>
        <v/>
      </c>
      <c r="O6">
        <f>'Entity Inputs'!O6</f>
        <v/>
      </c>
      <c r="P6">
        <f>'Entity Inputs'!P6</f>
        <v/>
      </c>
      <c r="Q6">
        <f>'Entity Inputs'!Q6</f>
        <v/>
      </c>
      <c r="R6">
        <f>'Entity Inputs'!R6</f>
        <v/>
      </c>
      <c r="S6">
        <f>'Entity Inputs'!S6</f>
        <v/>
      </c>
      <c r="T6">
        <f>'Entity Inputs'!T6</f>
        <v/>
      </c>
      <c r="U6">
        <f>'Entity Inputs'!U6</f>
        <v/>
      </c>
      <c r="V6">
        <f>'Entity Inputs'!V6</f>
        <v/>
      </c>
      <c r="W6">
        <f>'Entity Inputs'!W6</f>
        <v/>
      </c>
      <c r="X6">
        <f>'Entity Inputs'!X6</f>
        <v/>
      </c>
      <c r="Y6">
        <f>'Entity Inputs'!Y6</f>
        <v/>
      </c>
      <c r="Z6">
        <f>'Entity Inputs'!Z6</f>
        <v/>
      </c>
      <c r="AA6">
        <f>'Entity Inputs'!AA6</f>
        <v/>
      </c>
      <c r="AB6">
        <f>'Entity Inputs'!AB6</f>
        <v/>
      </c>
      <c r="AC6">
        <f>'Entity Inputs'!AC6</f>
        <v/>
      </c>
      <c r="AD6">
        <f>'Entity Inputs'!AD6</f>
        <v/>
      </c>
      <c r="AE6">
        <f>'Entity Inputs'!AE6</f>
        <v/>
      </c>
      <c r="AF6">
        <f>'Entity Inputs'!AF6</f>
        <v/>
      </c>
      <c r="AG6">
        <f>'Entity Inputs'!AG6</f>
        <v/>
      </c>
      <c r="AH6">
        <f>'Entity Inputs'!AH6</f>
        <v/>
      </c>
      <c r="AI6">
        <f>'Entity Inputs'!AI6</f>
        <v/>
      </c>
      <c r="AJ6">
        <f>'Entity Inputs'!AJ6</f>
        <v/>
      </c>
      <c r="AK6">
        <f>'Entity Inputs'!AK6</f>
        <v/>
      </c>
      <c r="AL6">
        <f>'Entity Inputs'!AL6</f>
        <v/>
      </c>
      <c r="AM6">
        <f>'Entity Inputs'!AM6</f>
        <v/>
      </c>
      <c r="AN6">
        <f>'Entity Inputs'!AN6</f>
        <v/>
      </c>
      <c r="AO6">
        <f>'Entity Inputs'!AO6</f>
        <v/>
      </c>
      <c r="AP6">
        <f>'Entity Inputs'!AP6</f>
        <v/>
      </c>
      <c r="AQ6">
        <f>'Entity Inputs'!AQ6</f>
        <v/>
      </c>
      <c r="AR6">
        <f>'Entity Inputs'!AR6</f>
        <v/>
      </c>
      <c r="AS6">
        <f>'Entity Inputs'!AS6</f>
        <v/>
      </c>
      <c r="AT6">
        <f>'Entity Inputs'!AT6</f>
        <v/>
      </c>
      <c r="AU6">
        <f>'Entity Inputs'!AU6</f>
        <v/>
      </c>
      <c r="AV6">
        <f>'Entity Inputs'!AV6</f>
        <v/>
      </c>
      <c r="AW6">
        <f>'Entity Inputs'!AW6</f>
        <v/>
      </c>
      <c r="AX6">
        <f>'Entity Inputs'!AX6</f>
        <v/>
      </c>
      <c r="AY6">
        <f>'Entity Inputs'!AY6</f>
        <v/>
      </c>
      <c r="AZ6">
        <f>'Entity Inputs'!AZ6</f>
        <v/>
      </c>
      <c r="BA6">
        <f>'Entity Inputs'!BA6</f>
        <v/>
      </c>
      <c r="BB6">
        <f>'Entity Inputs'!BB6</f>
        <v/>
      </c>
      <c r="BC6">
        <f>'Entity Inputs'!BC6</f>
        <v/>
      </c>
      <c r="BD6">
        <f>'Entity Inputs'!BD6</f>
        <v/>
      </c>
      <c r="BE6">
        <f>'Entity Inputs'!BE6</f>
        <v/>
      </c>
      <c r="BF6">
        <f>'Entity Inputs'!BF6</f>
        <v/>
      </c>
      <c r="BG6">
        <f>'Entity Inputs'!BG6</f>
        <v/>
      </c>
      <c r="BH6">
        <f>'Entity Inputs'!BH6</f>
        <v/>
      </c>
      <c r="BI6">
        <f>'Entity Inputs'!BI6</f>
        <v/>
      </c>
      <c r="BJ6">
        <f>'Entity Inputs'!BJ6</f>
        <v/>
      </c>
      <c r="BK6">
        <f>'Entity Inputs'!BK6</f>
        <v/>
      </c>
      <c r="BL6">
        <f>'Entity Inputs'!BL6</f>
        <v/>
      </c>
      <c r="BM6">
        <f>'Entity Inputs'!BM6</f>
        <v/>
      </c>
      <c r="BN6">
        <f>'Entity Inputs'!BN6</f>
        <v/>
      </c>
      <c r="BO6">
        <f>'Entity Inputs'!BO6</f>
        <v/>
      </c>
      <c r="BP6">
        <f>'Entity Inputs'!BP6</f>
        <v/>
      </c>
      <c r="BQ6">
        <f>'Entity Inputs'!BQ6</f>
        <v/>
      </c>
      <c r="BR6">
        <f>'Entity Inputs'!BR6</f>
        <v/>
      </c>
      <c r="BS6">
        <f>'Entity Inputs'!BS6</f>
        <v/>
      </c>
      <c r="BT6">
        <f>'Entity Inputs'!BT6</f>
        <v/>
      </c>
      <c r="BU6">
        <f>'Entity Inputs'!BU6</f>
        <v/>
      </c>
      <c r="BV6">
        <f>'Entity Inputs'!BV6</f>
        <v/>
      </c>
      <c r="BW6">
        <f>'Entity Inputs'!BW6</f>
        <v/>
      </c>
      <c r="BX6">
        <f>'Entity Inputs'!BX6</f>
        <v/>
      </c>
      <c r="BY6">
        <f>'Entity Inputs'!BY6</f>
        <v/>
      </c>
      <c r="BZ6">
        <f>'Entity Inputs'!BZ6</f>
        <v/>
      </c>
      <c r="CA6">
        <f>'Entity Inputs'!CA6</f>
        <v/>
      </c>
      <c r="CB6">
        <f>'Entity Inputs'!CB6</f>
        <v/>
      </c>
      <c r="CC6">
        <f>'Entity Inputs'!CC6</f>
        <v/>
      </c>
      <c r="CD6">
        <f>'Entity Inputs'!CD6</f>
        <v/>
      </c>
      <c r="CE6">
        <f>'Entity Inputs'!CE6</f>
        <v/>
      </c>
      <c r="CF6">
        <f>'Entity Inputs'!CF6</f>
        <v/>
      </c>
      <c r="CG6">
        <f>'Entity Inputs'!CG6</f>
        <v/>
      </c>
      <c r="CH6">
        <f>'Entity Inputs'!CH6</f>
        <v/>
      </c>
      <c r="CI6">
        <f>'Entity Inputs'!CI6</f>
        <v/>
      </c>
      <c r="CJ6">
        <f>'Entity Inputs'!CJ6</f>
        <v/>
      </c>
      <c r="CK6">
        <f>'Entity Inputs'!CK6</f>
        <v/>
      </c>
      <c r="CL6">
        <f>'Entity Inputs'!CL6</f>
        <v/>
      </c>
      <c r="CM6">
        <f>'Entity Inputs'!CM6</f>
        <v/>
      </c>
      <c r="CN6">
        <f>'Entity Inputs'!CN6</f>
        <v/>
      </c>
      <c r="CO6">
        <f>'Entity Inputs'!CO6</f>
        <v/>
      </c>
      <c r="CP6">
        <f>'Entity Inputs'!CP6</f>
        <v/>
      </c>
      <c r="CQ6">
        <f>'Entity Inputs'!CQ6</f>
        <v/>
      </c>
      <c r="CR6">
        <f>'Entity Inputs'!CR6</f>
        <v/>
      </c>
      <c r="CS6">
        <f>'Entity Inputs'!CS6</f>
        <v/>
      </c>
      <c r="CT6">
        <f>'Entity Inputs'!CT6</f>
        <v/>
      </c>
      <c r="CU6">
        <f>'Entity Inputs'!CU6</f>
        <v/>
      </c>
      <c r="CV6">
        <f>'Entity Inputs'!CV6</f>
        <v/>
      </c>
      <c r="CW6">
        <f>'Entity Inputs'!CW6</f>
        <v/>
      </c>
      <c r="CX6">
        <f>'Entity Inputs'!CX6</f>
        <v/>
      </c>
      <c r="CY6">
        <f>'Entity Inputs'!CY6</f>
        <v/>
      </c>
      <c r="CZ6">
        <f>'Entity Inputs'!CZ6</f>
        <v/>
      </c>
      <c r="DA6">
        <f>'Entity Inputs'!DA6</f>
        <v/>
      </c>
      <c r="DB6">
        <f>'Entity Inputs'!DB6</f>
        <v/>
      </c>
      <c r="DC6">
        <f>'Entity Inputs'!DC6</f>
        <v/>
      </c>
      <c r="DD6">
        <f>'Entity Inputs'!DD6</f>
        <v/>
      </c>
      <c r="DE6">
        <f>'Entity Inputs'!DE6</f>
        <v/>
      </c>
      <c r="DF6">
        <f>'Entity Inputs'!DF6</f>
        <v/>
      </c>
      <c r="DG6">
        <f>'Entity Inputs'!DG6</f>
        <v/>
      </c>
      <c r="DH6">
        <f>'Entity Inputs'!DH6</f>
        <v/>
      </c>
      <c r="DI6">
        <f>'Entity Inputs'!DI6</f>
        <v/>
      </c>
      <c r="DJ6">
        <f>'Entity Inputs'!DJ6</f>
        <v/>
      </c>
      <c r="DK6">
        <f>'Entity Inputs'!DK6</f>
        <v/>
      </c>
      <c r="DL6">
        <f>'Entity Inputs'!DL6</f>
        <v/>
      </c>
      <c r="DM6">
        <f>'Entity Inputs'!DM6</f>
        <v/>
      </c>
      <c r="DN6">
        <f>'Entity Inputs'!DN6</f>
        <v/>
      </c>
      <c r="DO6">
        <f>'Entity Inputs'!DO6</f>
        <v/>
      </c>
      <c r="DP6">
        <f>'Entity Inputs'!DP6</f>
        <v/>
      </c>
      <c r="DQ6">
        <f>'Entity Inputs'!DQ6</f>
        <v/>
      </c>
      <c r="DR6">
        <f>'Entity Inputs'!DR6</f>
        <v/>
      </c>
      <c r="DS6">
        <f>'Entity Inputs'!DS6</f>
        <v/>
      </c>
      <c r="DT6">
        <f>'Entity Inputs'!DT6</f>
        <v/>
      </c>
      <c r="DU6">
        <f>'Entity Inputs'!DU6</f>
        <v/>
      </c>
      <c r="DV6">
        <f>'Entity Inputs'!DV6</f>
        <v/>
      </c>
      <c r="DW6">
        <f>'Entity Inputs'!DW6</f>
        <v/>
      </c>
      <c r="DX6">
        <f>'Entity Inputs'!DX6</f>
        <v/>
      </c>
      <c r="DY6">
        <f>'Entity Inputs'!DY6</f>
        <v/>
      </c>
      <c r="DZ6">
        <f>'Entity Inputs'!DZ6</f>
        <v/>
      </c>
      <c r="EA6">
        <f>'Entity Inputs'!EA6</f>
        <v/>
      </c>
      <c r="EB6">
        <f>'Entity Inputs'!EB6</f>
        <v/>
      </c>
      <c r="EC6">
        <f>'Entity Inputs'!EC6</f>
        <v/>
      </c>
      <c r="ED6">
        <f>'Entity Inputs'!ED6</f>
        <v/>
      </c>
      <c r="EE6">
        <f>'Entity Inputs'!EE6</f>
        <v/>
      </c>
      <c r="EF6">
        <f>'Entity Inputs'!EF6</f>
        <v/>
      </c>
      <c r="EG6">
        <f>'Entity Inputs'!EG6</f>
        <v/>
      </c>
      <c r="EH6">
        <f>'Entity Inputs'!EH6</f>
        <v/>
      </c>
      <c r="EI6">
        <f>'Entity Inputs'!EI6</f>
        <v/>
      </c>
      <c r="EJ6">
        <f>'Entity Inputs'!EJ6</f>
        <v/>
      </c>
      <c r="EK6">
        <f>'Entity Inputs'!EK6</f>
        <v/>
      </c>
      <c r="EL6">
        <f>'Entity Inputs'!EL6</f>
        <v/>
      </c>
      <c r="EM6">
        <f>'Entity Inputs'!EM6</f>
        <v/>
      </c>
      <c r="EN6">
        <f>'Entity Inputs'!EN6</f>
        <v/>
      </c>
      <c r="EO6">
        <f>'Entity Inputs'!EO6</f>
        <v/>
      </c>
      <c r="EP6">
        <f>'Entity Inputs'!EP6</f>
        <v/>
      </c>
      <c r="EQ6">
        <f>'Entity Inputs'!EQ6</f>
        <v/>
      </c>
      <c r="ER6">
        <f>'Entity Inputs'!ER6</f>
        <v/>
      </c>
      <c r="ES6">
        <f>'Entity Inputs'!ES6</f>
        <v/>
      </c>
      <c r="ET6">
        <f>'Entity Inputs'!ET6</f>
        <v/>
      </c>
      <c r="EU6">
        <f>'Entity Inputs'!EU6</f>
        <v/>
      </c>
      <c r="EV6">
        <f>'Entity Inputs'!EV6</f>
        <v/>
      </c>
      <c r="EW6">
        <f>'Entity Inputs'!EW6</f>
        <v/>
      </c>
      <c r="EX6">
        <f>'Entity Inputs'!EX6</f>
        <v/>
      </c>
      <c r="EY6">
        <f>'Entity Inputs'!EY6</f>
        <v/>
      </c>
      <c r="EZ6">
        <f>'Entity Inputs'!EZ6</f>
        <v/>
      </c>
      <c r="FA6">
        <f>'Entity Inputs'!FA6</f>
        <v/>
      </c>
      <c r="FB6">
        <f>'Entity Inputs'!FB6</f>
        <v/>
      </c>
      <c r="FC6">
        <f>'Entity Inputs'!FC6</f>
        <v/>
      </c>
      <c r="FD6">
        <f>'Entity Inputs'!FD6</f>
        <v/>
      </c>
      <c r="FE6">
        <f>'Entity Inputs'!FE6</f>
        <v/>
      </c>
      <c r="FF6">
        <f>'Entity Inputs'!FF6</f>
        <v/>
      </c>
      <c r="FG6">
        <f>'Entity Inputs'!FG6</f>
        <v/>
      </c>
      <c r="FH6">
        <f>'Entity Inputs'!FH6</f>
        <v/>
      </c>
      <c r="FI6">
        <f>'Entity Inputs'!FI6</f>
        <v/>
      </c>
      <c r="FJ6">
        <f>'Entity Inputs'!FJ6</f>
        <v/>
      </c>
      <c r="FK6">
        <f>'Entity Inputs'!FK6</f>
        <v/>
      </c>
      <c r="FL6">
        <f>'Entity Inputs'!FL6</f>
        <v/>
      </c>
      <c r="FM6">
        <f>'Entity Inputs'!FM6</f>
        <v/>
      </c>
      <c r="FN6">
        <f>'Entity Inputs'!FN6</f>
        <v/>
      </c>
      <c r="FO6">
        <f>'Entity Inputs'!FO6</f>
        <v/>
      </c>
      <c r="FP6">
        <f>'Entity Inputs'!FP6</f>
        <v/>
      </c>
      <c r="FQ6">
        <f>'Entity Inputs'!FQ6</f>
        <v/>
      </c>
      <c r="FR6">
        <f>'Entity Inputs'!FR6</f>
        <v/>
      </c>
      <c r="FS6">
        <f>'Entity Inputs'!FS6</f>
        <v/>
      </c>
      <c r="FT6">
        <f>'Entity Inputs'!FT6</f>
        <v/>
      </c>
      <c r="FU6">
        <f>'Entity Inputs'!FU6</f>
        <v/>
      </c>
      <c r="FV6">
        <f>AU6-V6-X6-BY6</f>
        <v/>
      </c>
      <c r="FW6">
        <f>FV6-AX6</f>
        <v/>
      </c>
      <c r="FX6">
        <f>CJ6+CL6-CK6</f>
        <v/>
      </c>
      <c r="FY6">
        <f>FX6-FX5</f>
        <v/>
      </c>
      <c r="FZ6">
        <f>FV6-BZ6-FY6</f>
        <v/>
      </c>
      <c r="GA6">
        <f>FZ6-DJ6</f>
        <v/>
      </c>
      <c r="GB6">
        <f>CB6-CC6</f>
        <v/>
      </c>
      <c r="GC6">
        <f>SUM(FV$4:FV6)*12/D6</f>
        <v/>
      </c>
      <c r="GD6">
        <f>IF(AU6=0,0,CJ6/AU6*C6)</f>
        <v/>
      </c>
      <c r="GE6">
        <f>IF(V6=0,0,CK6/V6*C6)</f>
        <v/>
      </c>
      <c r="GF6">
        <f>IF(V6=0,0,CL6/V6*C6)</f>
        <v/>
      </c>
      <c r="GG6">
        <f>IF(OR(AS6=0,AT6=0,AV6=0),0,100*((AU6/AS6)/(AV6/AT6)-1))</f>
        <v/>
      </c>
      <c r="GH6">
        <f>'Entity Inputs'!FV6</f>
        <v/>
      </c>
      <c r="GI6">
        <f>'Entity Inputs'!FW6</f>
        <v/>
      </c>
      <c r="GJ6">
        <f>'Entity Inputs'!FX6</f>
        <v/>
      </c>
      <c r="GK6">
        <f>'Entity Inputs'!FY6</f>
        <v/>
      </c>
      <c r="GL6">
        <f>'Entity Inputs'!FZ6</f>
        <v/>
      </c>
      <c r="GM6">
        <f>'Entity Inputs'!GA6</f>
        <v/>
      </c>
      <c r="GN6">
        <f>'Entity Inputs'!GB6</f>
        <v/>
      </c>
      <c r="GO6">
        <f>'Entity Inputs'!GC6</f>
        <v/>
      </c>
      <c r="GP6">
        <f>'Entity Inputs'!GD6</f>
        <v/>
      </c>
      <c r="GQ6">
        <f>'Entity Inputs'!GE6</f>
        <v/>
      </c>
      <c r="GR6">
        <f>'Entity Inputs'!GF6</f>
        <v/>
      </c>
    </row>
    <row r="7">
      <c r="A7" t="inlineStr">
        <is>
          <t>Entity A1</t>
        </is>
      </c>
      <c r="B7" t="inlineStr">
        <is>
          <t>2026-07</t>
        </is>
      </c>
      <c r="C7" t="n">
        <v>31</v>
      </c>
      <c r="D7" t="n">
        <v>4</v>
      </c>
      <c r="E7">
        <f>'Entity Inputs'!E7</f>
        <v/>
      </c>
      <c r="F7">
        <f>'Entity Inputs'!F7</f>
        <v/>
      </c>
      <c r="G7">
        <f>'Entity Inputs'!G7</f>
        <v/>
      </c>
      <c r="H7">
        <f>'Entity Inputs'!H7</f>
        <v/>
      </c>
      <c r="I7">
        <f>'Entity Inputs'!I7</f>
        <v/>
      </c>
      <c r="J7">
        <f>'Entity Inputs'!J7</f>
        <v/>
      </c>
      <c r="K7">
        <f>'Entity Inputs'!K7</f>
        <v/>
      </c>
      <c r="L7">
        <f>'Entity Inputs'!L7</f>
        <v/>
      </c>
      <c r="M7">
        <f>'Entity Inputs'!M7</f>
        <v/>
      </c>
      <c r="N7">
        <f>'Entity Inputs'!N7</f>
        <v/>
      </c>
      <c r="O7">
        <f>'Entity Inputs'!O7</f>
        <v/>
      </c>
      <c r="P7">
        <f>'Entity Inputs'!P7</f>
        <v/>
      </c>
      <c r="Q7">
        <f>'Entity Inputs'!Q7</f>
        <v/>
      </c>
      <c r="R7">
        <f>'Entity Inputs'!R7</f>
        <v/>
      </c>
      <c r="S7">
        <f>'Entity Inputs'!S7</f>
        <v/>
      </c>
      <c r="T7">
        <f>'Entity Inputs'!T7</f>
        <v/>
      </c>
      <c r="U7">
        <f>'Entity Inputs'!U7</f>
        <v/>
      </c>
      <c r="V7">
        <f>'Entity Inputs'!V7</f>
        <v/>
      </c>
      <c r="W7">
        <f>'Entity Inputs'!W7</f>
        <v/>
      </c>
      <c r="X7">
        <f>'Entity Inputs'!X7</f>
        <v/>
      </c>
      <c r="Y7">
        <f>'Entity Inputs'!Y7</f>
        <v/>
      </c>
      <c r="Z7">
        <f>'Entity Inputs'!Z7</f>
        <v/>
      </c>
      <c r="AA7">
        <f>'Entity Inputs'!AA7</f>
        <v/>
      </c>
      <c r="AB7">
        <f>'Entity Inputs'!AB7</f>
        <v/>
      </c>
      <c r="AC7">
        <f>'Entity Inputs'!AC7</f>
        <v/>
      </c>
      <c r="AD7">
        <f>'Entity Inputs'!AD7</f>
        <v/>
      </c>
      <c r="AE7">
        <f>'Entity Inputs'!AE7</f>
        <v/>
      </c>
      <c r="AF7">
        <f>'Entity Inputs'!AF7</f>
        <v/>
      </c>
      <c r="AG7">
        <f>'Entity Inputs'!AG7</f>
        <v/>
      </c>
      <c r="AH7">
        <f>'Entity Inputs'!AH7</f>
        <v/>
      </c>
      <c r="AI7">
        <f>'Entity Inputs'!AI7</f>
        <v/>
      </c>
      <c r="AJ7">
        <f>'Entity Inputs'!AJ7</f>
        <v/>
      </c>
      <c r="AK7">
        <f>'Entity Inputs'!AK7</f>
        <v/>
      </c>
      <c r="AL7">
        <f>'Entity Inputs'!AL7</f>
        <v/>
      </c>
      <c r="AM7">
        <f>'Entity Inputs'!AM7</f>
        <v/>
      </c>
      <c r="AN7">
        <f>'Entity Inputs'!AN7</f>
        <v/>
      </c>
      <c r="AO7">
        <f>'Entity Inputs'!AO7</f>
        <v/>
      </c>
      <c r="AP7">
        <f>'Entity Inputs'!AP7</f>
        <v/>
      </c>
      <c r="AQ7">
        <f>'Entity Inputs'!AQ7</f>
        <v/>
      </c>
      <c r="AR7">
        <f>'Entity Inputs'!AR7</f>
        <v/>
      </c>
      <c r="AS7">
        <f>'Entity Inputs'!AS7</f>
        <v/>
      </c>
      <c r="AT7">
        <f>'Entity Inputs'!AT7</f>
        <v/>
      </c>
      <c r="AU7">
        <f>'Entity Inputs'!AU7</f>
        <v/>
      </c>
      <c r="AV7">
        <f>'Entity Inputs'!AV7</f>
        <v/>
      </c>
      <c r="AW7">
        <f>'Entity Inputs'!AW7</f>
        <v/>
      </c>
      <c r="AX7">
        <f>'Entity Inputs'!AX7</f>
        <v/>
      </c>
      <c r="AY7">
        <f>'Entity Inputs'!AY7</f>
        <v/>
      </c>
      <c r="AZ7">
        <f>'Entity Inputs'!AZ7</f>
        <v/>
      </c>
      <c r="BA7">
        <f>'Entity Inputs'!BA7</f>
        <v/>
      </c>
      <c r="BB7">
        <f>'Entity Inputs'!BB7</f>
        <v/>
      </c>
      <c r="BC7">
        <f>'Entity Inputs'!BC7</f>
        <v/>
      </c>
      <c r="BD7">
        <f>'Entity Inputs'!BD7</f>
        <v/>
      </c>
      <c r="BE7">
        <f>'Entity Inputs'!BE7</f>
        <v/>
      </c>
      <c r="BF7">
        <f>'Entity Inputs'!BF7</f>
        <v/>
      </c>
      <c r="BG7">
        <f>'Entity Inputs'!BG7</f>
        <v/>
      </c>
      <c r="BH7">
        <f>'Entity Inputs'!BH7</f>
        <v/>
      </c>
      <c r="BI7">
        <f>'Entity Inputs'!BI7</f>
        <v/>
      </c>
      <c r="BJ7">
        <f>'Entity Inputs'!BJ7</f>
        <v/>
      </c>
      <c r="BK7">
        <f>'Entity Inputs'!BK7</f>
        <v/>
      </c>
      <c r="BL7">
        <f>'Entity Inputs'!BL7</f>
        <v/>
      </c>
      <c r="BM7">
        <f>'Entity Inputs'!BM7</f>
        <v/>
      </c>
      <c r="BN7">
        <f>'Entity Inputs'!BN7</f>
        <v/>
      </c>
      <c r="BO7">
        <f>'Entity Inputs'!BO7</f>
        <v/>
      </c>
      <c r="BP7">
        <f>'Entity Inputs'!BP7</f>
        <v/>
      </c>
      <c r="BQ7">
        <f>'Entity Inputs'!BQ7</f>
        <v/>
      </c>
      <c r="BR7">
        <f>'Entity Inputs'!BR7</f>
        <v/>
      </c>
      <c r="BS7">
        <f>'Entity Inputs'!BS7</f>
        <v/>
      </c>
      <c r="BT7">
        <f>'Entity Inputs'!BT7</f>
        <v/>
      </c>
      <c r="BU7">
        <f>'Entity Inputs'!BU7</f>
        <v/>
      </c>
      <c r="BV7">
        <f>'Entity Inputs'!BV7</f>
        <v/>
      </c>
      <c r="BW7">
        <f>'Entity Inputs'!BW7</f>
        <v/>
      </c>
      <c r="BX7">
        <f>'Entity Inputs'!BX7</f>
        <v/>
      </c>
      <c r="BY7">
        <f>'Entity Inputs'!BY7</f>
        <v/>
      </c>
      <c r="BZ7">
        <f>'Entity Inputs'!BZ7</f>
        <v/>
      </c>
      <c r="CA7">
        <f>'Entity Inputs'!CA7</f>
        <v/>
      </c>
      <c r="CB7">
        <f>'Entity Inputs'!CB7</f>
        <v/>
      </c>
      <c r="CC7">
        <f>'Entity Inputs'!CC7</f>
        <v/>
      </c>
      <c r="CD7">
        <f>'Entity Inputs'!CD7</f>
        <v/>
      </c>
      <c r="CE7">
        <f>'Entity Inputs'!CE7</f>
        <v/>
      </c>
      <c r="CF7">
        <f>'Entity Inputs'!CF7</f>
        <v/>
      </c>
      <c r="CG7">
        <f>'Entity Inputs'!CG7</f>
        <v/>
      </c>
      <c r="CH7">
        <f>'Entity Inputs'!CH7</f>
        <v/>
      </c>
      <c r="CI7">
        <f>'Entity Inputs'!CI7</f>
        <v/>
      </c>
      <c r="CJ7">
        <f>'Entity Inputs'!CJ7</f>
        <v/>
      </c>
      <c r="CK7">
        <f>'Entity Inputs'!CK7</f>
        <v/>
      </c>
      <c r="CL7">
        <f>'Entity Inputs'!CL7</f>
        <v/>
      </c>
      <c r="CM7">
        <f>'Entity Inputs'!CM7</f>
        <v/>
      </c>
      <c r="CN7">
        <f>'Entity Inputs'!CN7</f>
        <v/>
      </c>
      <c r="CO7">
        <f>'Entity Inputs'!CO7</f>
        <v/>
      </c>
      <c r="CP7">
        <f>'Entity Inputs'!CP7</f>
        <v/>
      </c>
      <c r="CQ7">
        <f>'Entity Inputs'!CQ7</f>
        <v/>
      </c>
      <c r="CR7">
        <f>'Entity Inputs'!CR7</f>
        <v/>
      </c>
      <c r="CS7">
        <f>'Entity Inputs'!CS7</f>
        <v/>
      </c>
      <c r="CT7">
        <f>'Entity Inputs'!CT7</f>
        <v/>
      </c>
      <c r="CU7">
        <f>'Entity Inputs'!CU7</f>
        <v/>
      </c>
      <c r="CV7">
        <f>'Entity Inputs'!CV7</f>
        <v/>
      </c>
      <c r="CW7">
        <f>'Entity Inputs'!CW7</f>
        <v/>
      </c>
      <c r="CX7">
        <f>'Entity Inputs'!CX7</f>
        <v/>
      </c>
      <c r="CY7">
        <f>'Entity Inputs'!CY7</f>
        <v/>
      </c>
      <c r="CZ7">
        <f>'Entity Inputs'!CZ7</f>
        <v/>
      </c>
      <c r="DA7">
        <f>'Entity Inputs'!DA7</f>
        <v/>
      </c>
      <c r="DB7">
        <f>'Entity Inputs'!DB7</f>
        <v/>
      </c>
      <c r="DC7">
        <f>'Entity Inputs'!DC7</f>
        <v/>
      </c>
      <c r="DD7">
        <f>'Entity Inputs'!DD7</f>
        <v/>
      </c>
      <c r="DE7">
        <f>'Entity Inputs'!DE7</f>
        <v/>
      </c>
      <c r="DF7">
        <f>'Entity Inputs'!DF7</f>
        <v/>
      </c>
      <c r="DG7">
        <f>'Entity Inputs'!DG7</f>
        <v/>
      </c>
      <c r="DH7">
        <f>'Entity Inputs'!DH7</f>
        <v/>
      </c>
      <c r="DI7">
        <f>'Entity Inputs'!DI7</f>
        <v/>
      </c>
      <c r="DJ7">
        <f>'Entity Inputs'!DJ7</f>
        <v/>
      </c>
      <c r="DK7">
        <f>'Entity Inputs'!DK7</f>
        <v/>
      </c>
      <c r="DL7">
        <f>'Entity Inputs'!DL7</f>
        <v/>
      </c>
      <c r="DM7">
        <f>'Entity Inputs'!DM7</f>
        <v/>
      </c>
      <c r="DN7">
        <f>'Entity Inputs'!DN7</f>
        <v/>
      </c>
      <c r="DO7">
        <f>'Entity Inputs'!DO7</f>
        <v/>
      </c>
      <c r="DP7">
        <f>'Entity Inputs'!DP7</f>
        <v/>
      </c>
      <c r="DQ7">
        <f>'Entity Inputs'!DQ7</f>
        <v/>
      </c>
      <c r="DR7">
        <f>'Entity Inputs'!DR7</f>
        <v/>
      </c>
      <c r="DS7">
        <f>'Entity Inputs'!DS7</f>
        <v/>
      </c>
      <c r="DT7">
        <f>'Entity Inputs'!DT7</f>
        <v/>
      </c>
      <c r="DU7">
        <f>'Entity Inputs'!DU7</f>
        <v/>
      </c>
      <c r="DV7">
        <f>'Entity Inputs'!DV7</f>
        <v/>
      </c>
      <c r="DW7">
        <f>'Entity Inputs'!DW7</f>
        <v/>
      </c>
      <c r="DX7">
        <f>'Entity Inputs'!DX7</f>
        <v/>
      </c>
      <c r="DY7">
        <f>'Entity Inputs'!DY7</f>
        <v/>
      </c>
      <c r="DZ7">
        <f>'Entity Inputs'!DZ7</f>
        <v/>
      </c>
      <c r="EA7">
        <f>'Entity Inputs'!EA7</f>
        <v/>
      </c>
      <c r="EB7">
        <f>'Entity Inputs'!EB7</f>
        <v/>
      </c>
      <c r="EC7">
        <f>'Entity Inputs'!EC7</f>
        <v/>
      </c>
      <c r="ED7">
        <f>'Entity Inputs'!ED7</f>
        <v/>
      </c>
      <c r="EE7">
        <f>'Entity Inputs'!EE7</f>
        <v/>
      </c>
      <c r="EF7">
        <f>'Entity Inputs'!EF7</f>
        <v/>
      </c>
      <c r="EG7">
        <f>'Entity Inputs'!EG7</f>
        <v/>
      </c>
      <c r="EH7">
        <f>'Entity Inputs'!EH7</f>
        <v/>
      </c>
      <c r="EI7">
        <f>'Entity Inputs'!EI7</f>
        <v/>
      </c>
      <c r="EJ7">
        <f>'Entity Inputs'!EJ7</f>
        <v/>
      </c>
      <c r="EK7">
        <f>'Entity Inputs'!EK7</f>
        <v/>
      </c>
      <c r="EL7">
        <f>'Entity Inputs'!EL7</f>
        <v/>
      </c>
      <c r="EM7">
        <f>'Entity Inputs'!EM7</f>
        <v/>
      </c>
      <c r="EN7">
        <f>'Entity Inputs'!EN7</f>
        <v/>
      </c>
      <c r="EO7">
        <f>'Entity Inputs'!EO7</f>
        <v/>
      </c>
      <c r="EP7">
        <f>'Entity Inputs'!EP7</f>
        <v/>
      </c>
      <c r="EQ7">
        <f>'Entity Inputs'!EQ7</f>
        <v/>
      </c>
      <c r="ER7">
        <f>'Entity Inputs'!ER7</f>
        <v/>
      </c>
      <c r="ES7">
        <f>'Entity Inputs'!ES7</f>
        <v/>
      </c>
      <c r="ET7">
        <f>'Entity Inputs'!ET7</f>
        <v/>
      </c>
      <c r="EU7">
        <f>'Entity Inputs'!EU7</f>
        <v/>
      </c>
      <c r="EV7">
        <f>'Entity Inputs'!EV7</f>
        <v/>
      </c>
      <c r="EW7">
        <f>'Entity Inputs'!EW7</f>
        <v/>
      </c>
      <c r="EX7">
        <f>'Entity Inputs'!EX7</f>
        <v/>
      </c>
      <c r="EY7">
        <f>'Entity Inputs'!EY7</f>
        <v/>
      </c>
      <c r="EZ7">
        <f>'Entity Inputs'!EZ7</f>
        <v/>
      </c>
      <c r="FA7">
        <f>'Entity Inputs'!FA7</f>
        <v/>
      </c>
      <c r="FB7">
        <f>'Entity Inputs'!FB7</f>
        <v/>
      </c>
      <c r="FC7">
        <f>'Entity Inputs'!FC7</f>
        <v/>
      </c>
      <c r="FD7">
        <f>'Entity Inputs'!FD7</f>
        <v/>
      </c>
      <c r="FE7">
        <f>'Entity Inputs'!FE7</f>
        <v/>
      </c>
      <c r="FF7">
        <f>'Entity Inputs'!FF7</f>
        <v/>
      </c>
      <c r="FG7">
        <f>'Entity Inputs'!FG7</f>
        <v/>
      </c>
      <c r="FH7">
        <f>'Entity Inputs'!FH7</f>
        <v/>
      </c>
      <c r="FI7">
        <f>'Entity Inputs'!FI7</f>
        <v/>
      </c>
      <c r="FJ7">
        <f>'Entity Inputs'!FJ7</f>
        <v/>
      </c>
      <c r="FK7">
        <f>'Entity Inputs'!FK7</f>
        <v/>
      </c>
      <c r="FL7">
        <f>'Entity Inputs'!FL7</f>
        <v/>
      </c>
      <c r="FM7">
        <f>'Entity Inputs'!FM7</f>
        <v/>
      </c>
      <c r="FN7">
        <f>'Entity Inputs'!FN7</f>
        <v/>
      </c>
      <c r="FO7">
        <f>'Entity Inputs'!FO7</f>
        <v/>
      </c>
      <c r="FP7">
        <f>'Entity Inputs'!FP7</f>
        <v/>
      </c>
      <c r="FQ7">
        <f>'Entity Inputs'!FQ7</f>
        <v/>
      </c>
      <c r="FR7">
        <f>'Entity Inputs'!FR7</f>
        <v/>
      </c>
      <c r="FS7">
        <f>'Entity Inputs'!FS7</f>
        <v/>
      </c>
      <c r="FT7">
        <f>'Entity Inputs'!FT7</f>
        <v/>
      </c>
      <c r="FU7">
        <f>'Entity Inputs'!FU7</f>
        <v/>
      </c>
      <c r="FV7">
        <f>AU7-V7-X7-BY7</f>
        <v/>
      </c>
      <c r="FW7">
        <f>FV7-AX7</f>
        <v/>
      </c>
      <c r="FX7">
        <f>CJ7+CL7-CK7</f>
        <v/>
      </c>
      <c r="FY7">
        <f>FX7-FX6</f>
        <v/>
      </c>
      <c r="FZ7">
        <f>FV7-BZ7-FY7</f>
        <v/>
      </c>
      <c r="GA7">
        <f>FZ7-DJ7</f>
        <v/>
      </c>
      <c r="GB7">
        <f>CB7-CC7</f>
        <v/>
      </c>
      <c r="GC7">
        <f>SUM(FV$4:FV7)*12/D7</f>
        <v/>
      </c>
      <c r="GD7">
        <f>IF(AU7=0,0,CJ7/AU7*C7)</f>
        <v/>
      </c>
      <c r="GE7">
        <f>IF(V7=0,0,CK7/V7*C7)</f>
        <v/>
      </c>
      <c r="GF7">
        <f>IF(V7=0,0,CL7/V7*C7)</f>
        <v/>
      </c>
      <c r="GG7">
        <f>IF(OR(AS7=0,AT7=0,AV7=0),0,100*((AU7/AS7)/(AV7/AT7)-1))</f>
        <v/>
      </c>
      <c r="GH7">
        <f>'Entity Inputs'!FV7</f>
        <v/>
      </c>
      <c r="GI7">
        <f>'Entity Inputs'!FW7</f>
        <v/>
      </c>
      <c r="GJ7">
        <f>'Entity Inputs'!FX7</f>
        <v/>
      </c>
      <c r="GK7">
        <f>'Entity Inputs'!FY7</f>
        <v/>
      </c>
      <c r="GL7">
        <f>'Entity Inputs'!FZ7</f>
        <v/>
      </c>
      <c r="GM7">
        <f>'Entity Inputs'!GA7</f>
        <v/>
      </c>
      <c r="GN7">
        <f>'Entity Inputs'!GB7</f>
        <v/>
      </c>
      <c r="GO7">
        <f>'Entity Inputs'!GC7</f>
        <v/>
      </c>
      <c r="GP7">
        <f>'Entity Inputs'!GD7</f>
        <v/>
      </c>
      <c r="GQ7">
        <f>'Entity Inputs'!GE7</f>
        <v/>
      </c>
      <c r="GR7">
        <f>'Entity Inputs'!GF7</f>
        <v/>
      </c>
    </row>
    <row r="8">
      <c r="A8" t="inlineStr">
        <is>
          <t>Entity A1</t>
        </is>
      </c>
      <c r="B8" t="inlineStr">
        <is>
          <t>2026-08</t>
        </is>
      </c>
      <c r="C8" t="n">
        <v>31</v>
      </c>
      <c r="D8" t="n">
        <v>5</v>
      </c>
      <c r="E8">
        <f>'Entity Inputs'!E8</f>
        <v/>
      </c>
      <c r="F8">
        <f>'Entity Inputs'!F8</f>
        <v/>
      </c>
      <c r="G8">
        <f>'Entity Inputs'!G8</f>
        <v/>
      </c>
      <c r="H8">
        <f>'Entity Inputs'!H8</f>
        <v/>
      </c>
      <c r="I8">
        <f>'Entity Inputs'!I8</f>
        <v/>
      </c>
      <c r="J8">
        <f>'Entity Inputs'!J8</f>
        <v/>
      </c>
      <c r="K8">
        <f>'Entity Inputs'!K8</f>
        <v/>
      </c>
      <c r="L8">
        <f>'Entity Inputs'!L8</f>
        <v/>
      </c>
      <c r="M8">
        <f>'Entity Inputs'!M8</f>
        <v/>
      </c>
      <c r="N8">
        <f>'Entity Inputs'!N8</f>
        <v/>
      </c>
      <c r="O8">
        <f>'Entity Inputs'!O8</f>
        <v/>
      </c>
      <c r="P8">
        <f>'Entity Inputs'!P8</f>
        <v/>
      </c>
      <c r="Q8">
        <f>'Entity Inputs'!Q8</f>
        <v/>
      </c>
      <c r="R8">
        <f>'Entity Inputs'!R8</f>
        <v/>
      </c>
      <c r="S8">
        <f>'Entity Inputs'!S8</f>
        <v/>
      </c>
      <c r="T8">
        <f>'Entity Inputs'!T8</f>
        <v/>
      </c>
      <c r="U8">
        <f>'Entity Inputs'!U8</f>
        <v/>
      </c>
      <c r="V8">
        <f>'Entity Inputs'!V8</f>
        <v/>
      </c>
      <c r="W8">
        <f>'Entity Inputs'!W8</f>
        <v/>
      </c>
      <c r="X8">
        <f>'Entity Inputs'!X8</f>
        <v/>
      </c>
      <c r="Y8">
        <f>'Entity Inputs'!Y8</f>
        <v/>
      </c>
      <c r="Z8">
        <f>'Entity Inputs'!Z8</f>
        <v/>
      </c>
      <c r="AA8">
        <f>'Entity Inputs'!AA8</f>
        <v/>
      </c>
      <c r="AB8">
        <f>'Entity Inputs'!AB8</f>
        <v/>
      </c>
      <c r="AC8">
        <f>'Entity Inputs'!AC8</f>
        <v/>
      </c>
      <c r="AD8">
        <f>'Entity Inputs'!AD8</f>
        <v/>
      </c>
      <c r="AE8">
        <f>'Entity Inputs'!AE8</f>
        <v/>
      </c>
      <c r="AF8">
        <f>'Entity Inputs'!AF8</f>
        <v/>
      </c>
      <c r="AG8">
        <f>'Entity Inputs'!AG8</f>
        <v/>
      </c>
      <c r="AH8">
        <f>'Entity Inputs'!AH8</f>
        <v/>
      </c>
      <c r="AI8">
        <f>'Entity Inputs'!AI8</f>
        <v/>
      </c>
      <c r="AJ8">
        <f>'Entity Inputs'!AJ8</f>
        <v/>
      </c>
      <c r="AK8">
        <f>'Entity Inputs'!AK8</f>
        <v/>
      </c>
      <c r="AL8">
        <f>'Entity Inputs'!AL8</f>
        <v/>
      </c>
      <c r="AM8">
        <f>'Entity Inputs'!AM8</f>
        <v/>
      </c>
      <c r="AN8">
        <f>'Entity Inputs'!AN8</f>
        <v/>
      </c>
      <c r="AO8">
        <f>'Entity Inputs'!AO8</f>
        <v/>
      </c>
      <c r="AP8">
        <f>'Entity Inputs'!AP8</f>
        <v/>
      </c>
      <c r="AQ8">
        <f>'Entity Inputs'!AQ8</f>
        <v/>
      </c>
      <c r="AR8">
        <f>'Entity Inputs'!AR8</f>
        <v/>
      </c>
      <c r="AS8">
        <f>'Entity Inputs'!AS8</f>
        <v/>
      </c>
      <c r="AT8">
        <f>'Entity Inputs'!AT8</f>
        <v/>
      </c>
      <c r="AU8">
        <f>'Entity Inputs'!AU8</f>
        <v/>
      </c>
      <c r="AV8">
        <f>'Entity Inputs'!AV8</f>
        <v/>
      </c>
      <c r="AW8">
        <f>'Entity Inputs'!AW8</f>
        <v/>
      </c>
      <c r="AX8">
        <f>'Entity Inputs'!AX8</f>
        <v/>
      </c>
      <c r="AY8">
        <f>'Entity Inputs'!AY8</f>
        <v/>
      </c>
      <c r="AZ8">
        <f>'Entity Inputs'!AZ8</f>
        <v/>
      </c>
      <c r="BA8">
        <f>'Entity Inputs'!BA8</f>
        <v/>
      </c>
      <c r="BB8">
        <f>'Entity Inputs'!BB8</f>
        <v/>
      </c>
      <c r="BC8">
        <f>'Entity Inputs'!BC8</f>
        <v/>
      </c>
      <c r="BD8">
        <f>'Entity Inputs'!BD8</f>
        <v/>
      </c>
      <c r="BE8">
        <f>'Entity Inputs'!BE8</f>
        <v/>
      </c>
      <c r="BF8">
        <f>'Entity Inputs'!BF8</f>
        <v/>
      </c>
      <c r="BG8">
        <f>'Entity Inputs'!BG8</f>
        <v/>
      </c>
      <c r="BH8">
        <f>'Entity Inputs'!BH8</f>
        <v/>
      </c>
      <c r="BI8">
        <f>'Entity Inputs'!BI8</f>
        <v/>
      </c>
      <c r="BJ8">
        <f>'Entity Inputs'!BJ8</f>
        <v/>
      </c>
      <c r="BK8">
        <f>'Entity Inputs'!BK8</f>
        <v/>
      </c>
      <c r="BL8">
        <f>'Entity Inputs'!BL8</f>
        <v/>
      </c>
      <c r="BM8">
        <f>'Entity Inputs'!BM8</f>
        <v/>
      </c>
      <c r="BN8">
        <f>'Entity Inputs'!BN8</f>
        <v/>
      </c>
      <c r="BO8">
        <f>'Entity Inputs'!BO8</f>
        <v/>
      </c>
      <c r="BP8">
        <f>'Entity Inputs'!BP8</f>
        <v/>
      </c>
      <c r="BQ8">
        <f>'Entity Inputs'!BQ8</f>
        <v/>
      </c>
      <c r="BR8">
        <f>'Entity Inputs'!BR8</f>
        <v/>
      </c>
      <c r="BS8">
        <f>'Entity Inputs'!BS8</f>
        <v/>
      </c>
      <c r="BT8">
        <f>'Entity Inputs'!BT8</f>
        <v/>
      </c>
      <c r="BU8">
        <f>'Entity Inputs'!BU8</f>
        <v/>
      </c>
      <c r="BV8">
        <f>'Entity Inputs'!BV8</f>
        <v/>
      </c>
      <c r="BW8">
        <f>'Entity Inputs'!BW8</f>
        <v/>
      </c>
      <c r="BX8">
        <f>'Entity Inputs'!BX8</f>
        <v/>
      </c>
      <c r="BY8">
        <f>'Entity Inputs'!BY8</f>
        <v/>
      </c>
      <c r="BZ8">
        <f>'Entity Inputs'!BZ8</f>
        <v/>
      </c>
      <c r="CA8">
        <f>'Entity Inputs'!CA8</f>
        <v/>
      </c>
      <c r="CB8">
        <f>'Entity Inputs'!CB8</f>
        <v/>
      </c>
      <c r="CC8">
        <f>'Entity Inputs'!CC8</f>
        <v/>
      </c>
      <c r="CD8">
        <f>'Entity Inputs'!CD8</f>
        <v/>
      </c>
      <c r="CE8">
        <f>'Entity Inputs'!CE8</f>
        <v/>
      </c>
      <c r="CF8">
        <f>'Entity Inputs'!CF8</f>
        <v/>
      </c>
      <c r="CG8">
        <f>'Entity Inputs'!CG8</f>
        <v/>
      </c>
      <c r="CH8">
        <f>'Entity Inputs'!CH8</f>
        <v/>
      </c>
      <c r="CI8">
        <f>'Entity Inputs'!CI8</f>
        <v/>
      </c>
      <c r="CJ8">
        <f>'Entity Inputs'!CJ8</f>
        <v/>
      </c>
      <c r="CK8">
        <f>'Entity Inputs'!CK8</f>
        <v/>
      </c>
      <c r="CL8">
        <f>'Entity Inputs'!CL8</f>
        <v/>
      </c>
      <c r="CM8">
        <f>'Entity Inputs'!CM8</f>
        <v/>
      </c>
      <c r="CN8">
        <f>'Entity Inputs'!CN8</f>
        <v/>
      </c>
      <c r="CO8">
        <f>'Entity Inputs'!CO8</f>
        <v/>
      </c>
      <c r="CP8">
        <f>'Entity Inputs'!CP8</f>
        <v/>
      </c>
      <c r="CQ8">
        <f>'Entity Inputs'!CQ8</f>
        <v/>
      </c>
      <c r="CR8">
        <f>'Entity Inputs'!CR8</f>
        <v/>
      </c>
      <c r="CS8">
        <f>'Entity Inputs'!CS8</f>
        <v/>
      </c>
      <c r="CT8">
        <f>'Entity Inputs'!CT8</f>
        <v/>
      </c>
      <c r="CU8">
        <f>'Entity Inputs'!CU8</f>
        <v/>
      </c>
      <c r="CV8">
        <f>'Entity Inputs'!CV8</f>
        <v/>
      </c>
      <c r="CW8">
        <f>'Entity Inputs'!CW8</f>
        <v/>
      </c>
      <c r="CX8">
        <f>'Entity Inputs'!CX8</f>
        <v/>
      </c>
      <c r="CY8">
        <f>'Entity Inputs'!CY8</f>
        <v/>
      </c>
      <c r="CZ8">
        <f>'Entity Inputs'!CZ8</f>
        <v/>
      </c>
      <c r="DA8">
        <f>'Entity Inputs'!DA8</f>
        <v/>
      </c>
      <c r="DB8">
        <f>'Entity Inputs'!DB8</f>
        <v/>
      </c>
      <c r="DC8">
        <f>'Entity Inputs'!DC8</f>
        <v/>
      </c>
      <c r="DD8">
        <f>'Entity Inputs'!DD8</f>
        <v/>
      </c>
      <c r="DE8">
        <f>'Entity Inputs'!DE8</f>
        <v/>
      </c>
      <c r="DF8">
        <f>'Entity Inputs'!DF8</f>
        <v/>
      </c>
      <c r="DG8">
        <f>'Entity Inputs'!DG8</f>
        <v/>
      </c>
      <c r="DH8">
        <f>'Entity Inputs'!DH8</f>
        <v/>
      </c>
      <c r="DI8">
        <f>'Entity Inputs'!DI8</f>
        <v/>
      </c>
      <c r="DJ8">
        <f>'Entity Inputs'!DJ8</f>
        <v/>
      </c>
      <c r="DK8">
        <f>'Entity Inputs'!DK8</f>
        <v/>
      </c>
      <c r="DL8">
        <f>'Entity Inputs'!DL8</f>
        <v/>
      </c>
      <c r="DM8">
        <f>'Entity Inputs'!DM8</f>
        <v/>
      </c>
      <c r="DN8">
        <f>'Entity Inputs'!DN8</f>
        <v/>
      </c>
      <c r="DO8">
        <f>'Entity Inputs'!DO8</f>
        <v/>
      </c>
      <c r="DP8">
        <f>'Entity Inputs'!DP8</f>
        <v/>
      </c>
      <c r="DQ8">
        <f>'Entity Inputs'!DQ8</f>
        <v/>
      </c>
      <c r="DR8">
        <f>'Entity Inputs'!DR8</f>
        <v/>
      </c>
      <c r="DS8">
        <f>'Entity Inputs'!DS8</f>
        <v/>
      </c>
      <c r="DT8">
        <f>'Entity Inputs'!DT8</f>
        <v/>
      </c>
      <c r="DU8">
        <f>'Entity Inputs'!DU8</f>
        <v/>
      </c>
      <c r="DV8">
        <f>'Entity Inputs'!DV8</f>
        <v/>
      </c>
      <c r="DW8">
        <f>'Entity Inputs'!DW8</f>
        <v/>
      </c>
      <c r="DX8">
        <f>'Entity Inputs'!DX8</f>
        <v/>
      </c>
      <c r="DY8">
        <f>'Entity Inputs'!DY8</f>
        <v/>
      </c>
      <c r="DZ8">
        <f>'Entity Inputs'!DZ8</f>
        <v/>
      </c>
      <c r="EA8">
        <f>'Entity Inputs'!EA8</f>
        <v/>
      </c>
      <c r="EB8">
        <f>'Entity Inputs'!EB8</f>
        <v/>
      </c>
      <c r="EC8">
        <f>'Entity Inputs'!EC8</f>
        <v/>
      </c>
      <c r="ED8">
        <f>'Entity Inputs'!ED8</f>
        <v/>
      </c>
      <c r="EE8">
        <f>'Entity Inputs'!EE8</f>
        <v/>
      </c>
      <c r="EF8">
        <f>'Entity Inputs'!EF8</f>
        <v/>
      </c>
      <c r="EG8">
        <f>'Entity Inputs'!EG8</f>
        <v/>
      </c>
      <c r="EH8">
        <f>'Entity Inputs'!EH8</f>
        <v/>
      </c>
      <c r="EI8">
        <f>'Entity Inputs'!EI8</f>
        <v/>
      </c>
      <c r="EJ8">
        <f>'Entity Inputs'!EJ8</f>
        <v/>
      </c>
      <c r="EK8">
        <f>'Entity Inputs'!EK8</f>
        <v/>
      </c>
      <c r="EL8">
        <f>'Entity Inputs'!EL8</f>
        <v/>
      </c>
      <c r="EM8">
        <f>'Entity Inputs'!EM8</f>
        <v/>
      </c>
      <c r="EN8">
        <f>'Entity Inputs'!EN8</f>
        <v/>
      </c>
      <c r="EO8">
        <f>'Entity Inputs'!EO8</f>
        <v/>
      </c>
      <c r="EP8">
        <f>'Entity Inputs'!EP8</f>
        <v/>
      </c>
      <c r="EQ8">
        <f>'Entity Inputs'!EQ8</f>
        <v/>
      </c>
      <c r="ER8">
        <f>'Entity Inputs'!ER8</f>
        <v/>
      </c>
      <c r="ES8">
        <f>'Entity Inputs'!ES8</f>
        <v/>
      </c>
      <c r="ET8">
        <f>'Entity Inputs'!ET8</f>
        <v/>
      </c>
      <c r="EU8">
        <f>'Entity Inputs'!EU8</f>
        <v/>
      </c>
      <c r="EV8">
        <f>'Entity Inputs'!EV8</f>
        <v/>
      </c>
      <c r="EW8">
        <f>'Entity Inputs'!EW8</f>
        <v/>
      </c>
      <c r="EX8">
        <f>'Entity Inputs'!EX8</f>
        <v/>
      </c>
      <c r="EY8">
        <f>'Entity Inputs'!EY8</f>
        <v/>
      </c>
      <c r="EZ8">
        <f>'Entity Inputs'!EZ8</f>
        <v/>
      </c>
      <c r="FA8">
        <f>'Entity Inputs'!FA8</f>
        <v/>
      </c>
      <c r="FB8">
        <f>'Entity Inputs'!FB8</f>
        <v/>
      </c>
      <c r="FC8">
        <f>'Entity Inputs'!FC8</f>
        <v/>
      </c>
      <c r="FD8">
        <f>'Entity Inputs'!FD8</f>
        <v/>
      </c>
      <c r="FE8">
        <f>'Entity Inputs'!FE8</f>
        <v/>
      </c>
      <c r="FF8">
        <f>'Entity Inputs'!FF8</f>
        <v/>
      </c>
      <c r="FG8">
        <f>'Entity Inputs'!FG8</f>
        <v/>
      </c>
      <c r="FH8">
        <f>'Entity Inputs'!FH8</f>
        <v/>
      </c>
      <c r="FI8">
        <f>'Entity Inputs'!FI8</f>
        <v/>
      </c>
      <c r="FJ8">
        <f>'Entity Inputs'!FJ8</f>
        <v/>
      </c>
      <c r="FK8">
        <f>'Entity Inputs'!FK8</f>
        <v/>
      </c>
      <c r="FL8">
        <f>'Entity Inputs'!FL8</f>
        <v/>
      </c>
      <c r="FM8">
        <f>'Entity Inputs'!FM8</f>
        <v/>
      </c>
      <c r="FN8">
        <f>'Entity Inputs'!FN8</f>
        <v/>
      </c>
      <c r="FO8">
        <f>'Entity Inputs'!FO8</f>
        <v/>
      </c>
      <c r="FP8">
        <f>'Entity Inputs'!FP8</f>
        <v/>
      </c>
      <c r="FQ8">
        <f>'Entity Inputs'!FQ8</f>
        <v/>
      </c>
      <c r="FR8">
        <f>'Entity Inputs'!FR8</f>
        <v/>
      </c>
      <c r="FS8">
        <f>'Entity Inputs'!FS8</f>
        <v/>
      </c>
      <c r="FT8">
        <f>'Entity Inputs'!FT8</f>
        <v/>
      </c>
      <c r="FU8">
        <f>'Entity Inputs'!FU8</f>
        <v/>
      </c>
      <c r="FV8">
        <f>AU8-V8-X8-BY8</f>
        <v/>
      </c>
      <c r="FW8">
        <f>FV8-AX8</f>
        <v/>
      </c>
      <c r="FX8">
        <f>CJ8+CL8-CK8</f>
        <v/>
      </c>
      <c r="FY8">
        <f>FX8-FX7</f>
        <v/>
      </c>
      <c r="FZ8">
        <f>FV8-BZ8-FY8</f>
        <v/>
      </c>
      <c r="GA8">
        <f>FZ8-DJ8</f>
        <v/>
      </c>
      <c r="GB8">
        <f>CB8-CC8</f>
        <v/>
      </c>
      <c r="GC8">
        <f>SUM(FV$4:FV8)*12/D8</f>
        <v/>
      </c>
      <c r="GD8">
        <f>IF(AU8=0,0,CJ8/AU8*C8)</f>
        <v/>
      </c>
      <c r="GE8">
        <f>IF(V8=0,0,CK8/V8*C8)</f>
        <v/>
      </c>
      <c r="GF8">
        <f>IF(V8=0,0,CL8/V8*C8)</f>
        <v/>
      </c>
      <c r="GG8">
        <f>IF(OR(AS8=0,AT8=0,AV8=0),0,100*((AU8/AS8)/(AV8/AT8)-1))</f>
        <v/>
      </c>
      <c r="GH8">
        <f>'Entity Inputs'!FV8</f>
        <v/>
      </c>
      <c r="GI8">
        <f>'Entity Inputs'!FW8</f>
        <v/>
      </c>
      <c r="GJ8">
        <f>'Entity Inputs'!FX8</f>
        <v/>
      </c>
      <c r="GK8">
        <f>'Entity Inputs'!FY8</f>
        <v/>
      </c>
      <c r="GL8">
        <f>'Entity Inputs'!FZ8</f>
        <v/>
      </c>
      <c r="GM8">
        <f>'Entity Inputs'!GA8</f>
        <v/>
      </c>
      <c r="GN8">
        <f>'Entity Inputs'!GB8</f>
        <v/>
      </c>
      <c r="GO8">
        <f>'Entity Inputs'!GC8</f>
        <v/>
      </c>
      <c r="GP8">
        <f>'Entity Inputs'!GD8</f>
        <v/>
      </c>
      <c r="GQ8">
        <f>'Entity Inputs'!GE8</f>
        <v/>
      </c>
      <c r="GR8">
        <f>'Entity Inputs'!GF8</f>
        <v/>
      </c>
    </row>
    <row r="9">
      <c r="A9" t="inlineStr">
        <is>
          <t>Entity A1</t>
        </is>
      </c>
      <c r="B9" t="inlineStr">
        <is>
          <t>2026-09</t>
        </is>
      </c>
      <c r="C9" t="n">
        <v>30</v>
      </c>
      <c r="D9" t="n">
        <v>6</v>
      </c>
      <c r="E9">
        <f>'Entity Inputs'!E9</f>
        <v/>
      </c>
      <c r="F9">
        <f>'Entity Inputs'!F9</f>
        <v/>
      </c>
      <c r="G9">
        <f>'Entity Inputs'!G9</f>
        <v/>
      </c>
      <c r="H9">
        <f>'Entity Inputs'!H9</f>
        <v/>
      </c>
      <c r="I9">
        <f>'Entity Inputs'!I9</f>
        <v/>
      </c>
      <c r="J9">
        <f>'Entity Inputs'!J9</f>
        <v/>
      </c>
      <c r="K9">
        <f>'Entity Inputs'!K9</f>
        <v/>
      </c>
      <c r="L9">
        <f>'Entity Inputs'!L9</f>
        <v/>
      </c>
      <c r="M9">
        <f>'Entity Inputs'!M9</f>
        <v/>
      </c>
      <c r="N9">
        <f>'Entity Inputs'!N9</f>
        <v/>
      </c>
      <c r="O9">
        <f>'Entity Inputs'!O9</f>
        <v/>
      </c>
      <c r="P9">
        <f>'Entity Inputs'!P9</f>
        <v/>
      </c>
      <c r="Q9">
        <f>'Entity Inputs'!Q9</f>
        <v/>
      </c>
      <c r="R9">
        <f>'Entity Inputs'!R9</f>
        <v/>
      </c>
      <c r="S9">
        <f>'Entity Inputs'!S9</f>
        <v/>
      </c>
      <c r="T9">
        <f>'Entity Inputs'!T9</f>
        <v/>
      </c>
      <c r="U9">
        <f>'Entity Inputs'!U9</f>
        <v/>
      </c>
      <c r="V9">
        <f>'Entity Inputs'!V9</f>
        <v/>
      </c>
      <c r="W9">
        <f>'Entity Inputs'!W9</f>
        <v/>
      </c>
      <c r="X9">
        <f>'Entity Inputs'!X9</f>
        <v/>
      </c>
      <c r="Y9">
        <f>'Entity Inputs'!Y9</f>
        <v/>
      </c>
      <c r="Z9">
        <f>'Entity Inputs'!Z9</f>
        <v/>
      </c>
      <c r="AA9">
        <f>'Entity Inputs'!AA9</f>
        <v/>
      </c>
      <c r="AB9">
        <f>'Entity Inputs'!AB9</f>
        <v/>
      </c>
      <c r="AC9">
        <f>'Entity Inputs'!AC9</f>
        <v/>
      </c>
      <c r="AD9">
        <f>'Entity Inputs'!AD9</f>
        <v/>
      </c>
      <c r="AE9">
        <f>'Entity Inputs'!AE9</f>
        <v/>
      </c>
      <c r="AF9">
        <f>'Entity Inputs'!AF9</f>
        <v/>
      </c>
      <c r="AG9">
        <f>'Entity Inputs'!AG9</f>
        <v/>
      </c>
      <c r="AH9">
        <f>'Entity Inputs'!AH9</f>
        <v/>
      </c>
      <c r="AI9">
        <f>'Entity Inputs'!AI9</f>
        <v/>
      </c>
      <c r="AJ9">
        <f>'Entity Inputs'!AJ9</f>
        <v/>
      </c>
      <c r="AK9">
        <f>'Entity Inputs'!AK9</f>
        <v/>
      </c>
      <c r="AL9">
        <f>'Entity Inputs'!AL9</f>
        <v/>
      </c>
      <c r="AM9">
        <f>'Entity Inputs'!AM9</f>
        <v/>
      </c>
      <c r="AN9">
        <f>'Entity Inputs'!AN9</f>
        <v/>
      </c>
      <c r="AO9">
        <f>'Entity Inputs'!AO9</f>
        <v/>
      </c>
      <c r="AP9">
        <f>'Entity Inputs'!AP9</f>
        <v/>
      </c>
      <c r="AQ9">
        <f>'Entity Inputs'!AQ9</f>
        <v/>
      </c>
      <c r="AR9">
        <f>'Entity Inputs'!AR9</f>
        <v/>
      </c>
      <c r="AS9">
        <f>'Entity Inputs'!AS9</f>
        <v/>
      </c>
      <c r="AT9">
        <f>'Entity Inputs'!AT9</f>
        <v/>
      </c>
      <c r="AU9">
        <f>'Entity Inputs'!AU9</f>
        <v/>
      </c>
      <c r="AV9">
        <f>'Entity Inputs'!AV9</f>
        <v/>
      </c>
      <c r="AW9">
        <f>'Entity Inputs'!AW9</f>
        <v/>
      </c>
      <c r="AX9">
        <f>'Entity Inputs'!AX9</f>
        <v/>
      </c>
      <c r="AY9">
        <f>'Entity Inputs'!AY9</f>
        <v/>
      </c>
      <c r="AZ9">
        <f>'Entity Inputs'!AZ9</f>
        <v/>
      </c>
      <c r="BA9">
        <f>'Entity Inputs'!BA9</f>
        <v/>
      </c>
      <c r="BB9">
        <f>'Entity Inputs'!BB9</f>
        <v/>
      </c>
      <c r="BC9">
        <f>'Entity Inputs'!BC9</f>
        <v/>
      </c>
      <c r="BD9">
        <f>'Entity Inputs'!BD9</f>
        <v/>
      </c>
      <c r="BE9">
        <f>'Entity Inputs'!BE9</f>
        <v/>
      </c>
      <c r="BF9">
        <f>'Entity Inputs'!BF9</f>
        <v/>
      </c>
      <c r="BG9">
        <f>'Entity Inputs'!BG9</f>
        <v/>
      </c>
      <c r="BH9">
        <f>'Entity Inputs'!BH9</f>
        <v/>
      </c>
      <c r="BI9">
        <f>'Entity Inputs'!BI9</f>
        <v/>
      </c>
      <c r="BJ9">
        <f>'Entity Inputs'!BJ9</f>
        <v/>
      </c>
      <c r="BK9">
        <f>'Entity Inputs'!BK9</f>
        <v/>
      </c>
      <c r="BL9">
        <f>'Entity Inputs'!BL9</f>
        <v/>
      </c>
      <c r="BM9">
        <f>'Entity Inputs'!BM9</f>
        <v/>
      </c>
      <c r="BN9">
        <f>'Entity Inputs'!BN9</f>
        <v/>
      </c>
      <c r="BO9">
        <f>'Entity Inputs'!BO9</f>
        <v/>
      </c>
      <c r="BP9">
        <f>'Entity Inputs'!BP9</f>
        <v/>
      </c>
      <c r="BQ9">
        <f>'Entity Inputs'!BQ9</f>
        <v/>
      </c>
      <c r="BR9">
        <f>'Entity Inputs'!BR9</f>
        <v/>
      </c>
      <c r="BS9">
        <f>'Entity Inputs'!BS9</f>
        <v/>
      </c>
      <c r="BT9">
        <f>'Entity Inputs'!BT9</f>
        <v/>
      </c>
      <c r="BU9">
        <f>'Entity Inputs'!BU9</f>
        <v/>
      </c>
      <c r="BV9">
        <f>'Entity Inputs'!BV9</f>
        <v/>
      </c>
      <c r="BW9">
        <f>'Entity Inputs'!BW9</f>
        <v/>
      </c>
      <c r="BX9">
        <f>'Entity Inputs'!BX9</f>
        <v/>
      </c>
      <c r="BY9">
        <f>'Entity Inputs'!BY9</f>
        <v/>
      </c>
      <c r="BZ9">
        <f>'Entity Inputs'!BZ9</f>
        <v/>
      </c>
      <c r="CA9">
        <f>'Entity Inputs'!CA9</f>
        <v/>
      </c>
      <c r="CB9">
        <f>'Entity Inputs'!CB9</f>
        <v/>
      </c>
      <c r="CC9">
        <f>'Entity Inputs'!CC9</f>
        <v/>
      </c>
      <c r="CD9">
        <f>'Entity Inputs'!CD9</f>
        <v/>
      </c>
      <c r="CE9">
        <f>'Entity Inputs'!CE9</f>
        <v/>
      </c>
      <c r="CF9">
        <f>'Entity Inputs'!CF9</f>
        <v/>
      </c>
      <c r="CG9">
        <f>'Entity Inputs'!CG9</f>
        <v/>
      </c>
      <c r="CH9">
        <f>'Entity Inputs'!CH9</f>
        <v/>
      </c>
      <c r="CI9">
        <f>'Entity Inputs'!CI9</f>
        <v/>
      </c>
      <c r="CJ9">
        <f>'Entity Inputs'!CJ9</f>
        <v/>
      </c>
      <c r="CK9">
        <f>'Entity Inputs'!CK9</f>
        <v/>
      </c>
      <c r="CL9">
        <f>'Entity Inputs'!CL9</f>
        <v/>
      </c>
      <c r="CM9">
        <f>'Entity Inputs'!CM9</f>
        <v/>
      </c>
      <c r="CN9">
        <f>'Entity Inputs'!CN9</f>
        <v/>
      </c>
      <c r="CO9">
        <f>'Entity Inputs'!CO9</f>
        <v/>
      </c>
      <c r="CP9">
        <f>'Entity Inputs'!CP9</f>
        <v/>
      </c>
      <c r="CQ9">
        <f>'Entity Inputs'!CQ9</f>
        <v/>
      </c>
      <c r="CR9">
        <f>'Entity Inputs'!CR9</f>
        <v/>
      </c>
      <c r="CS9">
        <f>'Entity Inputs'!CS9</f>
        <v/>
      </c>
      <c r="CT9">
        <f>'Entity Inputs'!CT9</f>
        <v/>
      </c>
      <c r="CU9">
        <f>'Entity Inputs'!CU9</f>
        <v/>
      </c>
      <c r="CV9">
        <f>'Entity Inputs'!CV9</f>
        <v/>
      </c>
      <c r="CW9">
        <f>'Entity Inputs'!CW9</f>
        <v/>
      </c>
      <c r="CX9">
        <f>'Entity Inputs'!CX9</f>
        <v/>
      </c>
      <c r="CY9">
        <f>'Entity Inputs'!CY9</f>
        <v/>
      </c>
      <c r="CZ9">
        <f>'Entity Inputs'!CZ9</f>
        <v/>
      </c>
      <c r="DA9">
        <f>'Entity Inputs'!DA9</f>
        <v/>
      </c>
      <c r="DB9">
        <f>'Entity Inputs'!DB9</f>
        <v/>
      </c>
      <c r="DC9">
        <f>'Entity Inputs'!DC9</f>
        <v/>
      </c>
      <c r="DD9">
        <f>'Entity Inputs'!DD9</f>
        <v/>
      </c>
      <c r="DE9">
        <f>'Entity Inputs'!DE9</f>
        <v/>
      </c>
      <c r="DF9">
        <f>'Entity Inputs'!DF9</f>
        <v/>
      </c>
      <c r="DG9">
        <f>'Entity Inputs'!DG9</f>
        <v/>
      </c>
      <c r="DH9">
        <f>'Entity Inputs'!DH9</f>
        <v/>
      </c>
      <c r="DI9">
        <f>'Entity Inputs'!DI9</f>
        <v/>
      </c>
      <c r="DJ9">
        <f>'Entity Inputs'!DJ9</f>
        <v/>
      </c>
      <c r="DK9">
        <f>'Entity Inputs'!DK9</f>
        <v/>
      </c>
      <c r="DL9">
        <f>'Entity Inputs'!DL9</f>
        <v/>
      </c>
      <c r="DM9">
        <f>'Entity Inputs'!DM9</f>
        <v/>
      </c>
      <c r="DN9">
        <f>'Entity Inputs'!DN9</f>
        <v/>
      </c>
      <c r="DO9">
        <f>'Entity Inputs'!DO9</f>
        <v/>
      </c>
      <c r="DP9">
        <f>'Entity Inputs'!DP9</f>
        <v/>
      </c>
      <c r="DQ9">
        <f>'Entity Inputs'!DQ9</f>
        <v/>
      </c>
      <c r="DR9">
        <f>'Entity Inputs'!DR9</f>
        <v/>
      </c>
      <c r="DS9">
        <f>'Entity Inputs'!DS9</f>
        <v/>
      </c>
      <c r="DT9">
        <f>'Entity Inputs'!DT9</f>
        <v/>
      </c>
      <c r="DU9">
        <f>'Entity Inputs'!DU9</f>
        <v/>
      </c>
      <c r="DV9">
        <f>'Entity Inputs'!DV9</f>
        <v/>
      </c>
      <c r="DW9">
        <f>'Entity Inputs'!DW9</f>
        <v/>
      </c>
      <c r="DX9">
        <f>'Entity Inputs'!DX9</f>
        <v/>
      </c>
      <c r="DY9">
        <f>'Entity Inputs'!DY9</f>
        <v/>
      </c>
      <c r="DZ9">
        <f>'Entity Inputs'!DZ9</f>
        <v/>
      </c>
      <c r="EA9">
        <f>'Entity Inputs'!EA9</f>
        <v/>
      </c>
      <c r="EB9">
        <f>'Entity Inputs'!EB9</f>
        <v/>
      </c>
      <c r="EC9">
        <f>'Entity Inputs'!EC9</f>
        <v/>
      </c>
      <c r="ED9">
        <f>'Entity Inputs'!ED9</f>
        <v/>
      </c>
      <c r="EE9">
        <f>'Entity Inputs'!EE9</f>
        <v/>
      </c>
      <c r="EF9">
        <f>'Entity Inputs'!EF9</f>
        <v/>
      </c>
      <c r="EG9">
        <f>'Entity Inputs'!EG9</f>
        <v/>
      </c>
      <c r="EH9">
        <f>'Entity Inputs'!EH9</f>
        <v/>
      </c>
      <c r="EI9">
        <f>'Entity Inputs'!EI9</f>
        <v/>
      </c>
      <c r="EJ9">
        <f>'Entity Inputs'!EJ9</f>
        <v/>
      </c>
      <c r="EK9">
        <f>'Entity Inputs'!EK9</f>
        <v/>
      </c>
      <c r="EL9">
        <f>'Entity Inputs'!EL9</f>
        <v/>
      </c>
      <c r="EM9">
        <f>'Entity Inputs'!EM9</f>
        <v/>
      </c>
      <c r="EN9">
        <f>'Entity Inputs'!EN9</f>
        <v/>
      </c>
      <c r="EO9">
        <f>'Entity Inputs'!EO9</f>
        <v/>
      </c>
      <c r="EP9">
        <f>'Entity Inputs'!EP9</f>
        <v/>
      </c>
      <c r="EQ9">
        <f>'Entity Inputs'!EQ9</f>
        <v/>
      </c>
      <c r="ER9">
        <f>'Entity Inputs'!ER9</f>
        <v/>
      </c>
      <c r="ES9">
        <f>'Entity Inputs'!ES9</f>
        <v/>
      </c>
      <c r="ET9">
        <f>'Entity Inputs'!ET9</f>
        <v/>
      </c>
      <c r="EU9">
        <f>'Entity Inputs'!EU9</f>
        <v/>
      </c>
      <c r="EV9">
        <f>'Entity Inputs'!EV9</f>
        <v/>
      </c>
      <c r="EW9">
        <f>'Entity Inputs'!EW9</f>
        <v/>
      </c>
      <c r="EX9">
        <f>'Entity Inputs'!EX9</f>
        <v/>
      </c>
      <c r="EY9">
        <f>'Entity Inputs'!EY9</f>
        <v/>
      </c>
      <c r="EZ9">
        <f>'Entity Inputs'!EZ9</f>
        <v/>
      </c>
      <c r="FA9">
        <f>'Entity Inputs'!FA9</f>
        <v/>
      </c>
      <c r="FB9">
        <f>'Entity Inputs'!FB9</f>
        <v/>
      </c>
      <c r="FC9">
        <f>'Entity Inputs'!FC9</f>
        <v/>
      </c>
      <c r="FD9">
        <f>'Entity Inputs'!FD9</f>
        <v/>
      </c>
      <c r="FE9">
        <f>'Entity Inputs'!FE9</f>
        <v/>
      </c>
      <c r="FF9">
        <f>'Entity Inputs'!FF9</f>
        <v/>
      </c>
      <c r="FG9">
        <f>'Entity Inputs'!FG9</f>
        <v/>
      </c>
      <c r="FH9">
        <f>'Entity Inputs'!FH9</f>
        <v/>
      </c>
      <c r="FI9">
        <f>'Entity Inputs'!FI9</f>
        <v/>
      </c>
      <c r="FJ9">
        <f>'Entity Inputs'!FJ9</f>
        <v/>
      </c>
      <c r="FK9">
        <f>'Entity Inputs'!FK9</f>
        <v/>
      </c>
      <c r="FL9">
        <f>'Entity Inputs'!FL9</f>
        <v/>
      </c>
      <c r="FM9">
        <f>'Entity Inputs'!FM9</f>
        <v/>
      </c>
      <c r="FN9">
        <f>'Entity Inputs'!FN9</f>
        <v/>
      </c>
      <c r="FO9">
        <f>'Entity Inputs'!FO9</f>
        <v/>
      </c>
      <c r="FP9">
        <f>'Entity Inputs'!FP9</f>
        <v/>
      </c>
      <c r="FQ9">
        <f>'Entity Inputs'!FQ9</f>
        <v/>
      </c>
      <c r="FR9">
        <f>'Entity Inputs'!FR9</f>
        <v/>
      </c>
      <c r="FS9">
        <f>'Entity Inputs'!FS9</f>
        <v/>
      </c>
      <c r="FT9">
        <f>'Entity Inputs'!FT9</f>
        <v/>
      </c>
      <c r="FU9">
        <f>'Entity Inputs'!FU9</f>
        <v/>
      </c>
      <c r="FV9">
        <f>AU9-V9-X9-BY9</f>
        <v/>
      </c>
      <c r="FW9">
        <f>FV9-AX9</f>
        <v/>
      </c>
      <c r="FX9">
        <f>CJ9+CL9-CK9</f>
        <v/>
      </c>
      <c r="FY9">
        <f>FX9-FX8</f>
        <v/>
      </c>
      <c r="FZ9">
        <f>FV9-BZ9-FY9</f>
        <v/>
      </c>
      <c r="GA9">
        <f>FZ9-DJ9</f>
        <v/>
      </c>
      <c r="GB9">
        <f>CB9-CC9</f>
        <v/>
      </c>
      <c r="GC9">
        <f>SUM(FV$4:FV9)*12/D9</f>
        <v/>
      </c>
      <c r="GD9">
        <f>IF(AU9=0,0,CJ9/AU9*C9)</f>
        <v/>
      </c>
      <c r="GE9">
        <f>IF(V9=0,0,CK9/V9*C9)</f>
        <v/>
      </c>
      <c r="GF9">
        <f>IF(V9=0,0,CL9/V9*C9)</f>
        <v/>
      </c>
      <c r="GG9">
        <f>IF(OR(AS9=0,AT9=0,AV9=0),0,100*((AU9/AS9)/(AV9/AT9)-1))</f>
        <v/>
      </c>
      <c r="GH9">
        <f>'Entity Inputs'!FV9</f>
        <v/>
      </c>
      <c r="GI9">
        <f>'Entity Inputs'!FW9</f>
        <v/>
      </c>
      <c r="GJ9">
        <f>'Entity Inputs'!FX9</f>
        <v/>
      </c>
      <c r="GK9">
        <f>'Entity Inputs'!FY9</f>
        <v/>
      </c>
      <c r="GL9">
        <f>'Entity Inputs'!FZ9</f>
        <v/>
      </c>
      <c r="GM9">
        <f>'Entity Inputs'!GA9</f>
        <v/>
      </c>
      <c r="GN9">
        <f>'Entity Inputs'!GB9</f>
        <v/>
      </c>
      <c r="GO9">
        <f>'Entity Inputs'!GC9</f>
        <v/>
      </c>
      <c r="GP9">
        <f>'Entity Inputs'!GD9</f>
        <v/>
      </c>
      <c r="GQ9">
        <f>'Entity Inputs'!GE9</f>
        <v/>
      </c>
      <c r="GR9">
        <f>'Entity Inputs'!GF9</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R9"/>
  <sheetViews>
    <sheetView workbookViewId="0">
      <selection activeCell="A1" sqref="A1"/>
    </sheetView>
  </sheetViews>
  <sheetFormatPr baseColWidth="8" defaultRowHeight="15"/>
  <sheetData>
    <row r="1">
      <c r="A1" t="inlineStr">
        <is>
          <t>Group</t>
        </is>
      </c>
      <c r="B1" t="inlineStr">
        <is>
          <t>Month</t>
        </is>
      </c>
      <c r="C1" t="inlineStr">
        <is>
          <t>Days in month</t>
        </is>
      </c>
      <c r="D1" t="inlineStr">
        <is>
          <t>Months since April (YTD)</t>
        </is>
      </c>
      <c r="E1" t="inlineStr">
        <is>
          <t>Calendar hours (h)</t>
        </is>
      </c>
      <c r="F1" t="inlineStr">
        <is>
          <t>Planned operating hours (h)</t>
        </is>
      </c>
      <c r="G1" t="inlineStr">
        <is>
          <t>Run hours (h)</t>
        </is>
      </c>
      <c r="H1" t="inlineStr">
        <is>
          <t>Unplanned downtime (h)</t>
        </is>
      </c>
      <c r="I1" t="inlineStr">
        <is>
          <t>Ideal output (t)</t>
        </is>
      </c>
      <c r="J1" t="inlineStr">
        <is>
          <t>Installed capacity (t)</t>
        </is>
      </c>
      <c r="K1" t="inlineStr">
        <is>
          <t>Planned production (t)</t>
        </is>
      </c>
      <c r="L1" t="inlineStr">
        <is>
          <t>Gross output (t)</t>
        </is>
      </c>
      <c r="M1" t="inlineStr">
        <is>
          <t>Good output (t)</t>
        </is>
      </c>
      <c r="N1" t="inlineStr">
        <is>
          <t>Feed input (t)</t>
        </is>
      </c>
      <c r="O1" t="inlineStr">
        <is>
          <t>Valuable content in feed (t)</t>
        </is>
      </c>
      <c r="P1" t="inlineStr">
        <is>
          <t>Valuable content recovered (t)</t>
        </is>
      </c>
      <c r="Q1" t="inlineStr">
        <is>
          <t>Production lost to downtime (t)</t>
        </is>
      </c>
      <c r="R1" t="inlineStr">
        <is>
          <t>Breakdowns (count)</t>
        </is>
      </c>
      <c r="S1" t="inlineStr">
        <is>
          <t>Repair hours (h)</t>
        </is>
      </c>
      <c r="T1" t="inlineStr">
        <is>
          <t>Preventive maintenance scheduled (count)</t>
        </is>
      </c>
      <c r="U1" t="inlineStr">
        <is>
          <t>Preventive maintenance completed (count)</t>
        </is>
      </c>
      <c r="V1" t="inlineStr">
        <is>
          <t>Variable cost (₹ thousand)</t>
        </is>
      </c>
      <c r="W1" t="inlineStr">
        <is>
          <t>Fuel cost (₹ thousand)</t>
        </is>
      </c>
      <c r="X1" t="inlineStr">
        <is>
          <t>Fixed cost (₹ thousand)</t>
        </is>
      </c>
      <c r="Y1" t="inlineStr">
        <is>
          <t>Water used (m³)</t>
        </is>
      </c>
      <c r="Z1" t="inlineStr">
        <is>
          <t>Emissions (t CO2e)</t>
        </is>
      </c>
      <c r="AA1" t="inlineStr">
        <is>
          <t>Energy used (GJ)</t>
        </is>
      </c>
      <c r="AB1" t="inlineStr">
        <is>
          <t>Production at risk (t)</t>
        </is>
      </c>
      <c r="AC1" t="inlineStr">
        <is>
          <t>Critical plant alerts (count)</t>
        </is>
      </c>
      <c r="AD1" t="inlineStr">
        <is>
          <t>Hours worked (h)</t>
        </is>
      </c>
      <c r="AE1" t="inlineStr">
        <is>
          <t>Recordable injuries (count)</t>
        </is>
      </c>
      <c r="AF1" t="inlineStr">
        <is>
          <t>Severity incidents (count)</t>
        </is>
      </c>
      <c r="AG1" t="inlineStr">
        <is>
          <t>Near misses (count)</t>
        </is>
      </c>
      <c r="AH1" t="inlineStr">
        <is>
          <t>Critical safety incidents (count)</t>
        </is>
      </c>
      <c r="AI1" t="inlineStr">
        <is>
          <t>Environmental excursions (count)</t>
        </is>
      </c>
      <c r="AJ1" t="inlineStr">
        <is>
          <t>Environmental violations (count)</t>
        </is>
      </c>
      <c r="AK1" t="inlineStr">
        <is>
          <t>Open EHS corrective actions (count)</t>
        </is>
      </c>
      <c r="AL1" t="inlineStr">
        <is>
          <t>Overdue EHS corrective actions (count)</t>
        </is>
      </c>
      <c r="AM1" t="inlineStr">
        <is>
          <t>EHS investigations due (count)</t>
        </is>
      </c>
      <c r="AN1" t="inlineStr">
        <is>
          <t>EHS investigations completed (count)</t>
        </is>
      </c>
      <c r="AO1" t="inlineStr">
        <is>
          <t>Critical materials at risk (count)</t>
        </is>
      </c>
      <c r="AP1" t="inlineStr">
        <is>
          <t>Dispatches (count)</t>
        </is>
      </c>
      <c r="AQ1" t="inlineStr">
        <is>
          <t>Delayed dispatches (count)</t>
        </is>
      </c>
      <c r="AR1" t="inlineStr">
        <is>
          <t>Days to permit expiry (days)</t>
        </is>
      </c>
      <c r="AS1" t="inlineStr">
        <is>
          <t>Sales volume (t)</t>
        </is>
      </c>
      <c r="AT1" t="inlineStr">
        <is>
          <t>Planned sales volume (t)</t>
        </is>
      </c>
      <c r="AU1" t="inlineStr">
        <is>
          <t>Revenue (₹ thousand)</t>
        </is>
      </c>
      <c r="AV1" t="inlineStr">
        <is>
          <t>Planned revenue (₹ thousand)</t>
        </is>
      </c>
      <c r="AW1" t="inlineStr">
        <is>
          <t>Power cost, part of variable cost (₹ thousand)</t>
        </is>
      </c>
      <c r="AX1" t="inlineStr">
        <is>
          <t>Depreciation and amortisation (₹ thousand)</t>
        </is>
      </c>
      <c r="AY1" t="inlineStr">
        <is>
          <t>Purchase-order lines due (count)</t>
        </is>
      </c>
      <c r="AZ1" t="inlineStr">
        <is>
          <t>Purchase-order lines delivered on time (count)</t>
        </is>
      </c>
      <c r="BA1" t="inlineStr">
        <is>
          <t>Quantity ordered from suppliers (t)</t>
        </is>
      </c>
      <c r="BB1" t="inlineStr">
        <is>
          <t>Quantity received (t)</t>
        </is>
      </c>
      <c r="BC1" t="inlineStr">
        <is>
          <t>Quantity rejected on quality (t)</t>
        </is>
      </c>
      <c r="BD1" t="inlineStr">
        <is>
          <t>Planned lead time, all deliveries (days)</t>
        </is>
      </c>
      <c r="BE1" t="inlineStr">
        <is>
          <t>Actual lead time, all deliveries (days)</t>
        </is>
      </c>
      <c r="BF1" t="inlineStr">
        <is>
          <t>Supplier spend (₹ thousand)</t>
        </is>
      </c>
      <c r="BG1" t="inlineStr">
        <is>
          <t>Spend with single-source suppliers (₹ thousand)</t>
        </is>
      </c>
      <c r="BH1" t="inlineStr">
        <is>
          <t>Supplier EHS incidents (count)</t>
        </is>
      </c>
      <c r="BI1" t="inlineStr">
        <is>
          <t>Regulatory filings pending (count)</t>
        </is>
      </c>
      <c r="BJ1" t="inlineStr">
        <is>
          <t>Regulatory deadlines in next 30 days (count)</t>
        </is>
      </c>
      <c r="BK1" t="inlineStr">
        <is>
          <t>Licences expiring in next 12 months (count)</t>
        </is>
      </c>
      <c r="BL1" t="inlineStr">
        <is>
          <t>Regulatory obligations due in next 30 days (count)</t>
        </is>
      </c>
      <c r="BM1" t="inlineStr">
        <is>
          <t>Regulatory obligations overdue (count)</t>
        </is>
      </c>
      <c r="BN1" t="inlineStr">
        <is>
          <t>Open regulatory actions (count)</t>
        </is>
      </c>
      <c r="BO1" t="inlineStr">
        <is>
          <t>Overdue compliance actions (count)</t>
        </is>
      </c>
      <c r="BP1" t="inlineStr">
        <is>
          <t>Regulatory breaches in the month (count)</t>
        </is>
      </c>
      <c r="BQ1" t="inlineStr">
        <is>
          <t>Events that trigger a disclosure clock (count)</t>
        </is>
      </c>
      <c r="BR1" t="inlineStr">
        <is>
          <t>EHS escalation clocks running (count)</t>
        </is>
      </c>
      <c r="BS1" t="inlineStr">
        <is>
          <t>Days until production plan is breached, forecast (days; 99 = not expected)</t>
        </is>
      </c>
      <c r="BT1" t="inlineStr">
        <is>
          <t>Planned production next month (t)</t>
        </is>
      </c>
      <c r="BU1" t="inlineStr">
        <is>
          <t>Forecast good output next month (t)</t>
        </is>
      </c>
      <c r="BV1" t="inlineStr">
        <is>
          <t>Forecast uncertainty next month (variance, t²)</t>
        </is>
      </c>
      <c r="BW1" t="inlineStr">
        <is>
          <t>Ideal output next month (t)</t>
        </is>
      </c>
      <c r="BX1" t="inlineStr">
        <is>
          <t>Forecast production lost to downtime next month (t)</t>
        </is>
      </c>
      <c r="BY1" t="inlineStr">
        <is>
          <t>Overheads, SG&amp;A (₹ thousand)</t>
        </is>
      </c>
      <c r="BZ1" t="inlineStr">
        <is>
          <t>Tax paid (₹ thousand)</t>
        </is>
      </c>
      <c r="CA1" t="inlineStr">
        <is>
          <t>Capital employed, month end (₹ thousand)</t>
        </is>
      </c>
      <c r="CB1" t="inlineStr">
        <is>
          <t>Gross debt, month end (₹ thousand)</t>
        </is>
      </c>
      <c r="CC1" t="inlineStr">
        <is>
          <t>Cash, month end (₹ thousand)</t>
        </is>
      </c>
      <c r="CD1" t="inlineStr">
        <is>
          <t>Undrawn committed facilities (₹ thousand)</t>
        </is>
      </c>
      <c r="CE1" t="inlineStr">
        <is>
          <t>Debt service in the month (₹ thousand)</t>
        </is>
      </c>
      <c r="CF1" t="inlineStr">
        <is>
          <t>Debt maturing in next 12 months (₹ thousand)</t>
        </is>
      </c>
      <c r="CG1" t="inlineStr">
        <is>
          <t>Floating-rate debt (₹ thousand)</t>
        </is>
      </c>
      <c r="CH1" t="inlineStr">
        <is>
          <t>EBITDA as reported in the Board pack (₹ thousand)</t>
        </is>
      </c>
      <c r="CI1" t="inlineStr">
        <is>
          <t>Revenue in the flash report (₹ thousand)</t>
        </is>
      </c>
      <c r="CJ1" t="inlineStr">
        <is>
          <t>Trade receivables, month end (₹ thousand)</t>
        </is>
      </c>
      <c r="CK1" t="inlineStr">
        <is>
          <t>Trade payables, month end (₹ thousand)</t>
        </is>
      </c>
      <c r="CL1" t="inlineStr">
        <is>
          <t>Inventory, month end (₹ thousand)</t>
        </is>
      </c>
      <c r="CM1" t="inlineStr">
        <is>
          <t>Cash collected from customers (₹ thousand)</t>
        </is>
      </c>
      <c r="CN1" t="inlineStr">
        <is>
          <t>Cash released by working-capital actions (₹ thousand)</t>
        </is>
      </c>
      <c r="CO1" t="inlineStr">
        <is>
          <t>Cash due to be upstreamed to Group, next 30 days (₹ thousand)</t>
        </is>
      </c>
      <c r="CP1" t="inlineStr">
        <is>
          <t>Of which covered by available cash (₹ thousand)</t>
        </is>
      </c>
      <c r="CQ1" t="inlineStr">
        <is>
          <t>Invoices collected (count)</t>
        </is>
      </c>
      <c r="CR1" t="inlineStr">
        <is>
          <t>Days taken to collect, all invoices (days)</t>
        </is>
      </c>
      <c r="CS1" t="inlineStr">
        <is>
          <t>Agreed payment terms, all invoices (days)</t>
        </is>
      </c>
      <c r="CT1" t="inlineStr">
        <is>
          <t>Customers more than 30 days overdue (count)</t>
        </is>
      </c>
      <c r="CU1" t="inlineStr">
        <is>
          <t>Forecast EBITDA, rest of year (₹ thousand)</t>
        </is>
      </c>
      <c r="CV1" t="inlineStr">
        <is>
          <t>Planned EBITDA, rest of year (₹ thousand)</t>
        </is>
      </c>
      <c r="CW1" t="inlineStr">
        <is>
          <t>Forecast net cash flow, next 90 days (₹ thousand)</t>
        </is>
      </c>
      <c r="CX1" t="inlineStr">
        <is>
          <t>Forecast net debt at quarter end (₹ thousand)</t>
        </is>
      </c>
      <c r="CY1" t="inlineStr">
        <is>
          <t>Forecast EBITDA, 12 months to quarter end (₹ thousand)</t>
        </is>
      </c>
      <c r="CZ1" t="inlineStr">
        <is>
          <t>Foreign-currency exposure, gross (₹ thousand)</t>
        </is>
      </c>
      <c r="DA1" t="inlineStr">
        <is>
          <t>Foreign-currency exposure hedged (₹ thousand)</t>
        </is>
      </c>
      <c r="DB1" t="inlineStr">
        <is>
          <t>USD exposure, gross (₹ thousand)</t>
        </is>
      </c>
      <c r="DC1" t="inlineStr">
        <is>
          <t>USD exposure hedged (₹ thousand)</t>
        </is>
      </c>
      <c r="DD1" t="inlineStr">
        <is>
          <t>Change in value of hedges (₹ thousand)</t>
        </is>
      </c>
      <c r="DE1" t="inlineStr">
        <is>
          <t>Change in value of hedged items (₹ thousand)</t>
        </is>
      </c>
      <c r="DF1" t="inlineStr">
        <is>
          <t>Forecast foreign-currency flows, next 6 months (₹ thousand)</t>
        </is>
      </c>
      <c r="DG1" t="inlineStr">
        <is>
          <t>Of which hedged (₹ thousand)</t>
        </is>
      </c>
      <c r="DH1" t="inlineStr">
        <is>
          <t>Approved capex budget, full year (₹ thousand)</t>
        </is>
      </c>
      <c r="DI1" t="inlineStr">
        <is>
          <t>Capex committed to date (₹ thousand)</t>
        </is>
      </c>
      <c r="DJ1" t="inlineStr">
        <is>
          <t>Capex spent in the month (₹ thousand)</t>
        </is>
      </c>
      <c r="DK1" t="inlineStr">
        <is>
          <t>Capex work completed, valued at budget (₹ thousand)</t>
        </is>
      </c>
      <c r="DL1" t="inlineStr">
        <is>
          <t>Budget of capex projects at risk (₹ thousand)</t>
        </is>
      </c>
      <c r="DM1" t="inlineStr">
        <is>
          <t>Capex projects on track (count)</t>
        </is>
      </c>
      <c r="DN1" t="inlineStr">
        <is>
          <t>Capex projects at risk (count)</t>
        </is>
      </c>
      <c r="DO1" t="inlineStr">
        <is>
          <t>Capex projects off track (count)</t>
        </is>
      </c>
      <c r="DP1" t="inlineStr">
        <is>
          <t>Capex projects delayed (count)</t>
        </is>
      </c>
      <c r="DQ1" t="inlineStr">
        <is>
          <t>Contractor milestones due (count)</t>
        </is>
      </c>
      <c r="DR1" t="inlineStr">
        <is>
          <t>Contractor days late, all milestones (days)</t>
        </is>
      </c>
      <c r="DS1" t="inlineStr">
        <is>
          <t>Transformation initiatives on track (count)</t>
        </is>
      </c>
      <c r="DT1" t="inlineStr">
        <is>
          <t>Transformation initiatives at risk (count)</t>
        </is>
      </c>
      <c r="DU1" t="inlineStr">
        <is>
          <t>Transformation initiatives delayed (count)</t>
        </is>
      </c>
      <c r="DV1" t="inlineStr">
        <is>
          <t>Transformation milestones in plan (count)</t>
        </is>
      </c>
      <c r="DW1" t="inlineStr">
        <is>
          <t>Transformation milestones completed (count)</t>
        </is>
      </c>
      <c r="DX1" t="inlineStr">
        <is>
          <t>Programme benefits planned in the month (₹ thousand)</t>
        </is>
      </c>
      <c r="DY1" t="inlineStr">
        <is>
          <t>Programme benefits delivered in the month (₹ thousand)</t>
        </is>
      </c>
      <c r="DZ1" t="inlineStr">
        <is>
          <t>EBITDA benefit delivered (₹ thousand)</t>
        </is>
      </c>
      <c r="EA1" t="inlineStr">
        <is>
          <t>Cash benefit delivered (₹ thousand)</t>
        </is>
      </c>
      <c r="EB1" t="inlineStr">
        <is>
          <t>Cost savings delivered (₹ thousand)</t>
        </is>
      </c>
      <c r="EC1" t="inlineStr">
        <is>
          <t>Active supply contracts (count)</t>
        </is>
      </c>
      <c r="ED1" t="inlineStr">
        <is>
          <t>Contracts fully compliant (count)</t>
        </is>
      </c>
      <c r="EE1" t="inlineStr">
        <is>
          <t>Contracts expiring in next 90 days (count)</t>
        </is>
      </c>
      <c r="EF1" t="inlineStr">
        <is>
          <t>Suppliers not meeting EHS requirements (count)</t>
        </is>
      </c>
      <c r="EG1" t="inlineStr">
        <is>
          <t>Critical single-source suppliers (count)</t>
        </is>
      </c>
      <c r="EH1" t="inlineStr">
        <is>
          <t>Control failures (count)</t>
        </is>
      </c>
      <c r="EI1" t="inlineStr">
        <is>
          <t>High-severity control failures (count)</t>
        </is>
      </c>
      <c r="EJ1" t="inlineStr">
        <is>
          <t>Assurance reviews planned (count)</t>
        </is>
      </c>
      <c r="EK1" t="inlineStr">
        <is>
          <t>Assurance reviews completed (count)</t>
        </is>
      </c>
      <c r="EL1" t="inlineStr">
        <is>
          <t>Policy exceptions (count)</t>
        </is>
      </c>
      <c r="EM1" t="inlineStr">
        <is>
          <t>Unauthorised vendor uses (count)</t>
        </is>
      </c>
      <c r="EN1" t="inlineStr">
        <is>
          <t>Segregation-of-duties exceptions (count)</t>
        </is>
      </c>
      <c r="EO1" t="inlineStr">
        <is>
          <t>Unauthorised access events (count)</t>
        </is>
      </c>
      <c r="EP1" t="inlineStr">
        <is>
          <t>Data-sharing exceptions (count)</t>
        </is>
      </c>
      <c r="EQ1" t="inlineStr">
        <is>
          <t>Manual operational or system overrides (count)</t>
        </is>
      </c>
      <c r="ER1" t="inlineStr">
        <is>
          <t>Certification approvals past due date (count)</t>
        </is>
      </c>
      <c r="ES1" t="inlineStr">
        <is>
          <t>KPI values overridden (count)</t>
        </is>
      </c>
      <c r="ET1" t="inlineStr">
        <is>
          <t>Recurring data-quality issues (count)</t>
        </is>
      </c>
      <c r="EU1" t="inlineStr">
        <is>
          <t>Open audit findings (count)</t>
        </is>
      </c>
      <c r="EV1" t="inlineStr">
        <is>
          <t>Overdue assurance actions (count)</t>
        </is>
      </c>
      <c r="EW1" t="inlineStr">
        <is>
          <t>Repeat audit findings (count)</t>
        </is>
      </c>
      <c r="EX1" t="inlineStr">
        <is>
          <t>Leadership KPIs affected by open findings (count)</t>
        </is>
      </c>
      <c r="EY1" t="inlineStr">
        <is>
          <t>Evidence items required (count)</t>
        </is>
      </c>
      <c r="EZ1" t="inlineStr">
        <is>
          <t>Evidence items complete (count)</t>
        </is>
      </c>
      <c r="FA1" t="inlineStr">
        <is>
          <t>Audit findings closed in the month (count)</t>
        </is>
      </c>
      <c r="FB1" t="inlineStr">
        <is>
          <t>Days taken to close those findings (days)</t>
        </is>
      </c>
      <c r="FC1" t="inlineStr">
        <is>
          <t>Leadership KPI values reported (count)</t>
        </is>
      </c>
      <c r="FD1" t="inlineStr">
        <is>
          <t>Of which certified (count)</t>
        </is>
      </c>
      <c r="FE1" t="inlineStr">
        <is>
          <t>Of which inside the certification process (count)</t>
        </is>
      </c>
      <c r="FF1" t="inlineStr">
        <is>
          <t>Certifications overdue (count)</t>
        </is>
      </c>
      <c r="FG1" t="inlineStr">
        <is>
          <t>Open reconciliation breaks (count)</t>
        </is>
      </c>
      <c r="FH1" t="inlineStr">
        <is>
          <t>Material reconciliation breaks (count)</t>
        </is>
      </c>
      <c r="FI1" t="inlineStr">
        <is>
          <t>Records loaded to the data lake (count)</t>
        </is>
      </c>
      <c r="FJ1" t="inlineStr">
        <is>
          <t>Records reconciled to source (count)</t>
        </is>
      </c>
      <c r="FK1" t="inlineStr">
        <is>
          <t>Flash report lines (count)</t>
        </is>
      </c>
      <c r="FL1" t="inlineStr">
        <is>
          <t>Flash lines matching MIS (count)</t>
        </is>
      </c>
      <c r="FM1" t="inlineStr">
        <is>
          <t>Open critical alerts (count)</t>
        </is>
      </c>
      <c r="FN1" t="inlineStr">
        <is>
          <t>Alerts with no accepted owner (count)</t>
        </is>
      </c>
      <c r="FO1" t="inlineStr">
        <is>
          <t>Overdue actions (count)</t>
        </is>
      </c>
      <c r="FP1" t="inlineStr">
        <is>
          <t>Alerts resolved in the month (count)</t>
        </is>
      </c>
      <c r="FQ1" t="inlineStr">
        <is>
          <t>Days taken to resolve those alerts (days)</t>
        </is>
      </c>
      <c r="FR1" t="inlineStr">
        <is>
          <t>Escalations closed in the month (count)</t>
        </is>
      </c>
      <c r="FS1" t="inlineStr">
        <is>
          <t>Repeat issues raised in the month (count)</t>
        </is>
      </c>
      <c r="FT1" t="inlineStr">
        <is>
          <t>Root causes identified (count)</t>
        </is>
      </c>
      <c r="FU1" t="inlineStr">
        <is>
          <t>Root causes eliminated (count)</t>
        </is>
      </c>
      <c r="FV1" t="inlineStr">
        <is>
          <t>EBITDA (₹ thousand)</t>
        </is>
      </c>
      <c r="FW1" t="inlineStr">
        <is>
          <t>EBIT (₹ thousand)</t>
        </is>
      </c>
      <c r="FX1" t="inlineStr">
        <is>
          <t>Net working capital (₹ thousand)</t>
        </is>
      </c>
      <c r="FY1" t="inlineStr">
        <is>
          <t>Change in net working capital (₹ thousand)</t>
        </is>
      </c>
      <c r="FZ1" t="inlineStr">
        <is>
          <t>Operating cash flow (₹ thousand)</t>
        </is>
      </c>
      <c r="GA1" t="inlineStr">
        <is>
          <t>Free cash flow (₹ thousand)</t>
        </is>
      </c>
      <c r="GB1" t="inlineStr">
        <is>
          <t>Net debt (₹ thousand)</t>
        </is>
      </c>
      <c r="GC1" t="inlineStr">
        <is>
          <t>EBITDA, annualised (₹ thousand)</t>
        </is>
      </c>
      <c r="GD1" t="inlineStr">
        <is>
          <t>DSO (days)</t>
        </is>
      </c>
      <c r="GE1" t="inlineStr">
        <is>
          <t>DPO (days)</t>
        </is>
      </c>
      <c r="GF1" t="inlineStr">
        <is>
          <t>Inventory days (days)</t>
        </is>
      </c>
      <c r="GG1" t="inlineStr">
        <is>
          <t>Realised price vs plan (%)</t>
        </is>
      </c>
      <c r="GH1" t="inlineStr">
        <is>
          <t>Full-time employees (FTE, count)</t>
        </is>
      </c>
      <c r="GI1" t="inlineStr">
        <is>
          <t>FCF plan, full year (₹ thousand)</t>
        </is>
      </c>
      <c r="GJ1" t="inlineStr">
        <is>
          <t>Forecast FCF, rest of year (₹ thousand)</t>
        </is>
      </c>
      <c r="GK1" t="inlineStr">
        <is>
          <t>Forecast EBIT, rest of year (₹ thousand)</t>
        </is>
      </c>
      <c r="GL1" t="inlineStr">
        <is>
          <t>Forecast capital employed at P12 (₹ thousand)</t>
        </is>
      </c>
      <c r="GM1" t="inlineStr">
        <is>
          <t>EBITDA plan, full year (₹ thousand)</t>
        </is>
      </c>
      <c r="GN1" t="inlineStr">
        <is>
          <t>EBITDA full-year forecast uncertainty, 1σ (₹ thousand)</t>
        </is>
      </c>
      <c r="GO1" t="inlineStr">
        <is>
          <t>Hours to nearest open disclosure deadline (999 = none)</t>
        </is>
      </c>
      <c r="GP1" t="inlineStr">
        <is>
          <t>Single-source suppliers with cover below lead time (count)</t>
        </is>
      </c>
      <c r="GQ1" t="inlineStr">
        <is>
          <t>RM-1 price index (external, same for every entity)</t>
        </is>
      </c>
      <c r="GR1" t="inlineStr">
        <is>
          <t>Supply lanes with a disruption flag (count)</t>
        </is>
      </c>
    </row>
    <row r="2">
      <c r="A2" t="inlineStr">
        <is>
          <t>group</t>
        </is>
      </c>
      <c r="B2" t="inlineStr">
        <is>
          <t>period</t>
        </is>
      </c>
      <c r="C2" t="inlineStr">
        <is>
          <t>days</t>
        </is>
      </c>
      <c r="D2" t="inlineStr">
        <is>
          <t>ytd_months</t>
        </is>
      </c>
      <c r="E2" t="inlineStr">
        <is>
          <t>calendar_hours</t>
        </is>
      </c>
      <c r="F2" t="inlineStr">
        <is>
          <t>planned_op_hours</t>
        </is>
      </c>
      <c r="G2" t="inlineStr">
        <is>
          <t>run_hours</t>
        </is>
      </c>
      <c r="H2" t="inlineStr">
        <is>
          <t>unplanned_downtime_hours</t>
        </is>
      </c>
      <c r="I2" t="inlineStr">
        <is>
          <t>ideal_output_t</t>
        </is>
      </c>
      <c r="J2" t="inlineStr">
        <is>
          <t>installed_capacity_t</t>
        </is>
      </c>
      <c r="K2" t="inlineStr">
        <is>
          <t>planned_production_t</t>
        </is>
      </c>
      <c r="L2" t="inlineStr">
        <is>
          <t>gross_output_t</t>
        </is>
      </c>
      <c r="M2" t="inlineStr">
        <is>
          <t>good_output_t</t>
        </is>
      </c>
      <c r="N2" t="inlineStr">
        <is>
          <t>feed_input_t</t>
        </is>
      </c>
      <c r="O2" t="inlineStr">
        <is>
          <t>feed_contained_t</t>
        </is>
      </c>
      <c r="P2" t="inlineStr">
        <is>
          <t>recovered_contained_t</t>
        </is>
      </c>
      <c r="Q2" t="inlineStr">
        <is>
          <t>prod_loss_downtime_t</t>
        </is>
      </c>
      <c r="R2" t="inlineStr">
        <is>
          <t>failures</t>
        </is>
      </c>
      <c r="S2" t="inlineStr">
        <is>
          <t>repair_hours</t>
        </is>
      </c>
      <c r="T2" t="inlineStr">
        <is>
          <t>pm_scheduled</t>
        </is>
      </c>
      <c r="U2" t="inlineStr">
        <is>
          <t>pm_completed</t>
        </is>
      </c>
      <c r="V2" t="inlineStr">
        <is>
          <t>variable_cost_k</t>
        </is>
      </c>
      <c r="W2" t="inlineStr">
        <is>
          <t>fuel_cost_k</t>
        </is>
      </c>
      <c r="X2" t="inlineStr">
        <is>
          <t>fixed_cost_k</t>
        </is>
      </c>
      <c r="Y2" t="inlineStr">
        <is>
          <t>water_m3</t>
        </is>
      </c>
      <c r="Z2" t="inlineStr">
        <is>
          <t>emissions_tco2e</t>
        </is>
      </c>
      <c r="AA2" t="inlineStr">
        <is>
          <t>energy_gj</t>
        </is>
      </c>
      <c r="AB2" t="inlineStr">
        <is>
          <t>production_at_risk_t</t>
        </is>
      </c>
      <c r="AC2" t="inlineStr">
        <is>
          <t>critical_plant_alerts</t>
        </is>
      </c>
      <c r="AD2" t="inlineStr">
        <is>
          <t>hours_worked</t>
        </is>
      </c>
      <c r="AE2" t="inlineStr">
        <is>
          <t>recordable_injuries</t>
        </is>
      </c>
      <c r="AF2" t="inlineStr">
        <is>
          <t>severity_incidents</t>
        </is>
      </c>
      <c r="AG2" t="inlineStr">
        <is>
          <t>near_misses</t>
        </is>
      </c>
      <c r="AH2" t="inlineStr">
        <is>
          <t>critical_safety_incidents</t>
        </is>
      </c>
      <c r="AI2" t="inlineStr">
        <is>
          <t>env_excursions</t>
        </is>
      </c>
      <c r="AJ2" t="inlineStr">
        <is>
          <t>env_violations</t>
        </is>
      </c>
      <c r="AK2" t="inlineStr">
        <is>
          <t>ehs_ca_open</t>
        </is>
      </c>
      <c r="AL2" t="inlineStr">
        <is>
          <t>ehs_ca_overdue</t>
        </is>
      </c>
      <c r="AM2" t="inlineStr">
        <is>
          <t>investigations_due</t>
        </is>
      </c>
      <c r="AN2" t="inlineStr">
        <is>
          <t>investigations_completed</t>
        </is>
      </c>
      <c r="AO2" t="inlineStr">
        <is>
          <t>critical_material_risks</t>
        </is>
      </c>
      <c r="AP2" t="inlineStr">
        <is>
          <t>dispatches_total</t>
        </is>
      </c>
      <c r="AQ2" t="inlineStr">
        <is>
          <t>dispatches_delayed</t>
        </is>
      </c>
      <c r="AR2" t="inlineStr">
        <is>
          <t>permit_days_to_expiry</t>
        </is>
      </c>
      <c r="AS2" t="inlineStr">
        <is>
          <t>sales_t</t>
        </is>
      </c>
      <c r="AT2" t="inlineStr">
        <is>
          <t>planned_sales_t</t>
        </is>
      </c>
      <c r="AU2" t="inlineStr">
        <is>
          <t>revenue_k</t>
        </is>
      </c>
      <c r="AV2" t="inlineStr">
        <is>
          <t>planned_revenue_k</t>
        </is>
      </c>
      <c r="AW2" t="inlineStr">
        <is>
          <t>power_cost_k</t>
        </is>
      </c>
      <c r="AX2" t="inlineStr">
        <is>
          <t>depreciation_k</t>
        </is>
      </c>
      <c r="AY2" t="inlineStr">
        <is>
          <t>po_lines_due</t>
        </is>
      </c>
      <c r="AZ2" t="inlineStr">
        <is>
          <t>po_lines_on_time</t>
        </is>
      </c>
      <c r="BA2" t="inlineStr">
        <is>
          <t>qty_ordered_t</t>
        </is>
      </c>
      <c r="BB2" t="inlineStr">
        <is>
          <t>qty_received_t</t>
        </is>
      </c>
      <c r="BC2" t="inlineStr">
        <is>
          <t>qty_rejected_t</t>
        </is>
      </c>
      <c r="BD2" t="inlineStr">
        <is>
          <t>lead_time_planned_days</t>
        </is>
      </c>
      <c r="BE2" t="inlineStr">
        <is>
          <t>lead_time_actual_days</t>
        </is>
      </c>
      <c r="BF2" t="inlineStr">
        <is>
          <t>supplier_spend_k</t>
        </is>
      </c>
      <c r="BG2" t="inlineStr">
        <is>
          <t>single_source_spend_k</t>
        </is>
      </c>
      <c r="BH2" t="inlineStr">
        <is>
          <t>supplier_ehs_incidents</t>
        </is>
      </c>
      <c r="BI2" t="inlineStr">
        <is>
          <t>pending_filings</t>
        </is>
      </c>
      <c r="BJ2" t="inlineStr">
        <is>
          <t>reg_deadlines_30d</t>
        </is>
      </c>
      <c r="BK2" t="inlineStr">
        <is>
          <t>licences_expiring_12m</t>
        </is>
      </c>
      <c r="BL2" t="inlineStr">
        <is>
          <t>reg_obligations_due_30d</t>
        </is>
      </c>
      <c r="BM2" t="inlineStr">
        <is>
          <t>reg_obligations_overdue</t>
        </is>
      </c>
      <c r="BN2" t="inlineStr">
        <is>
          <t>reg_actions_open</t>
        </is>
      </c>
      <c r="BO2" t="inlineStr">
        <is>
          <t>compliance_actions_overdue</t>
        </is>
      </c>
      <c r="BP2" t="inlineStr">
        <is>
          <t>reg_breaches</t>
        </is>
      </c>
      <c r="BQ2" t="inlineStr">
        <is>
          <t>disclosure_events_open</t>
        </is>
      </c>
      <c r="BR2" t="inlineStr">
        <is>
          <t>ehs_escalation_clocks</t>
        </is>
      </c>
      <c r="BS2" t="inlineStr">
        <is>
          <t>days_to_breach</t>
        </is>
      </c>
      <c r="BT2" t="inlineStr">
        <is>
          <t>planned_production_next_t</t>
        </is>
      </c>
      <c r="BU2" t="inlineStr">
        <is>
          <t>forecast_good_next_t</t>
        </is>
      </c>
      <c r="BV2" t="inlineStr">
        <is>
          <t>forecast_good_var_next</t>
        </is>
      </c>
      <c r="BW2" t="inlineStr">
        <is>
          <t>ideal_output_next_t</t>
        </is>
      </c>
      <c r="BX2" t="inlineStr">
        <is>
          <t>forecast_downtime_loss_next_t</t>
        </is>
      </c>
      <c r="BY2" t="inlineStr">
        <is>
          <t>overhead_k</t>
        </is>
      </c>
      <c r="BZ2" t="inlineStr">
        <is>
          <t>tax_paid_k</t>
        </is>
      </c>
      <c r="CA2" t="inlineStr">
        <is>
          <t>capital_employed_k</t>
        </is>
      </c>
      <c r="CB2" t="inlineStr">
        <is>
          <t>gross_debt_k</t>
        </is>
      </c>
      <c r="CC2" t="inlineStr">
        <is>
          <t>cash_k</t>
        </is>
      </c>
      <c r="CD2" t="inlineStr">
        <is>
          <t>undrawn_facilities_k</t>
        </is>
      </c>
      <c r="CE2" t="inlineStr">
        <is>
          <t>debt_service_k</t>
        </is>
      </c>
      <c r="CF2" t="inlineStr">
        <is>
          <t>debt_maturing_12m_k</t>
        </is>
      </c>
      <c r="CG2" t="inlineStr">
        <is>
          <t>floating_rate_debt_k</t>
        </is>
      </c>
      <c r="CH2" t="inlineStr">
        <is>
          <t>board_ebitda_k</t>
        </is>
      </c>
      <c r="CI2" t="inlineStr">
        <is>
          <t>flash_revenue_k</t>
        </is>
      </c>
      <c r="CJ2" t="inlineStr">
        <is>
          <t>receivables_k</t>
        </is>
      </c>
      <c r="CK2" t="inlineStr">
        <is>
          <t>payables_k</t>
        </is>
      </c>
      <c r="CL2" t="inlineStr">
        <is>
          <t>inventory_k</t>
        </is>
      </c>
      <c r="CM2" t="inlineStr">
        <is>
          <t>collections_k</t>
        </is>
      </c>
      <c r="CN2" t="inlineStr">
        <is>
          <t>cash_released_k</t>
        </is>
      </c>
      <c r="CO2" t="inlineStr">
        <is>
          <t>upstream_due_k</t>
        </is>
      </c>
      <c r="CP2" t="inlineStr">
        <is>
          <t>upstream_covered_k</t>
        </is>
      </c>
      <c r="CQ2" t="inlineStr">
        <is>
          <t>invoices_collected</t>
        </is>
      </c>
      <c r="CR2" t="inlineStr">
        <is>
          <t>collection_days</t>
        </is>
      </c>
      <c r="CS2" t="inlineStr">
        <is>
          <t>terms_days</t>
        </is>
      </c>
      <c r="CT2" t="inlineStr">
        <is>
          <t>customers_overdue</t>
        </is>
      </c>
      <c r="CU2" t="inlineStr">
        <is>
          <t>forecast_ebitda_rest_k</t>
        </is>
      </c>
      <c r="CV2" t="inlineStr">
        <is>
          <t>planned_ebitda_rest_k</t>
        </is>
      </c>
      <c r="CW2" t="inlineStr">
        <is>
          <t>forecast_net_cash_flow_90d_k</t>
        </is>
      </c>
      <c r="CX2" t="inlineStr">
        <is>
          <t>forecast_net_debt_k</t>
        </is>
      </c>
      <c r="CY2" t="inlineStr">
        <is>
          <t>forecast_ebitda_ltm_k</t>
        </is>
      </c>
      <c r="CZ2" t="inlineStr">
        <is>
          <t>fx_exposure_k</t>
        </is>
      </c>
      <c r="DA2" t="inlineStr">
        <is>
          <t>fx_hedged_k</t>
        </is>
      </c>
      <c r="DB2" t="inlineStr">
        <is>
          <t>usd_exposure_k</t>
        </is>
      </c>
      <c r="DC2" t="inlineStr">
        <is>
          <t>usd_hedged_k</t>
        </is>
      </c>
      <c r="DD2" t="inlineStr">
        <is>
          <t>hedge_value_change_k</t>
        </is>
      </c>
      <c r="DE2" t="inlineStr">
        <is>
          <t>hedged_item_value_change_k</t>
        </is>
      </c>
      <c r="DF2" t="inlineStr">
        <is>
          <t>fx_flows_6m_k</t>
        </is>
      </c>
      <c r="DG2" t="inlineStr">
        <is>
          <t>fx_hedged_6m_k</t>
        </is>
      </c>
      <c r="DH2" t="inlineStr">
        <is>
          <t>capex_budget_k</t>
        </is>
      </c>
      <c r="DI2" t="inlineStr">
        <is>
          <t>capex_committed_k</t>
        </is>
      </c>
      <c r="DJ2" t="inlineStr">
        <is>
          <t>capex_spend_k</t>
        </is>
      </c>
      <c r="DK2" t="inlineStr">
        <is>
          <t>capex_earned_value_k</t>
        </is>
      </c>
      <c r="DL2" t="inlineStr">
        <is>
          <t>capex_at_risk_k</t>
        </is>
      </c>
      <c r="DM2" t="inlineStr">
        <is>
          <t>projects_on_track</t>
        </is>
      </c>
      <c r="DN2" t="inlineStr">
        <is>
          <t>projects_at_risk</t>
        </is>
      </c>
      <c r="DO2" t="inlineStr">
        <is>
          <t>projects_off_track</t>
        </is>
      </c>
      <c r="DP2" t="inlineStr">
        <is>
          <t>projects_delayed</t>
        </is>
      </c>
      <c r="DQ2" t="inlineStr">
        <is>
          <t>contractor_milestones_due</t>
        </is>
      </c>
      <c r="DR2" t="inlineStr">
        <is>
          <t>contractor_days_late</t>
        </is>
      </c>
      <c r="DS2" t="inlineStr">
        <is>
          <t>initiatives_on_track</t>
        </is>
      </c>
      <c r="DT2" t="inlineStr">
        <is>
          <t>initiatives_at_risk</t>
        </is>
      </c>
      <c r="DU2" t="inlineStr">
        <is>
          <t>initiatives_delayed</t>
        </is>
      </c>
      <c r="DV2" t="inlineStr">
        <is>
          <t>milestones_total</t>
        </is>
      </c>
      <c r="DW2" t="inlineStr">
        <is>
          <t>milestones_done</t>
        </is>
      </c>
      <c r="DX2" t="inlineStr">
        <is>
          <t>benefits_planned_k</t>
        </is>
      </c>
      <c r="DY2" t="inlineStr">
        <is>
          <t>benefits_delivered_k</t>
        </is>
      </c>
      <c r="DZ2" t="inlineStr">
        <is>
          <t>ebitda_benefit_k</t>
        </is>
      </c>
      <c r="EA2" t="inlineStr">
        <is>
          <t>cash_benefit_k</t>
        </is>
      </c>
      <c r="EB2" t="inlineStr">
        <is>
          <t>cost_savings_k</t>
        </is>
      </c>
      <c r="EC2" t="inlineStr">
        <is>
          <t>contracts_total</t>
        </is>
      </c>
      <c r="ED2" t="inlineStr">
        <is>
          <t>contracts_compliant</t>
        </is>
      </c>
      <c r="EE2" t="inlineStr">
        <is>
          <t>contracts_expiring_90d</t>
        </is>
      </c>
      <c r="EF2" t="inlineStr">
        <is>
          <t>supplier_ehs_noncompliance</t>
        </is>
      </c>
      <c r="EG2" t="inlineStr">
        <is>
          <t>single_source_suppliers</t>
        </is>
      </c>
      <c r="EH2" t="inlineStr">
        <is>
          <t>control_failures</t>
        </is>
      </c>
      <c r="EI2" t="inlineStr">
        <is>
          <t>control_failures_high</t>
        </is>
      </c>
      <c r="EJ2" t="inlineStr">
        <is>
          <t>assurance_reviews_planned</t>
        </is>
      </c>
      <c r="EK2" t="inlineStr">
        <is>
          <t>assurance_reviews_done</t>
        </is>
      </c>
      <c r="EL2" t="inlineStr">
        <is>
          <t>policy_exceptions</t>
        </is>
      </c>
      <c r="EM2" t="inlineStr">
        <is>
          <t>unauthorized_vendor_uses</t>
        </is>
      </c>
      <c r="EN2" t="inlineStr">
        <is>
          <t>sod_exceptions</t>
        </is>
      </c>
      <c r="EO2" t="inlineStr">
        <is>
          <t>unauthorized_access_events</t>
        </is>
      </c>
      <c r="EP2" t="inlineStr">
        <is>
          <t>data_sharing_exceptions</t>
        </is>
      </c>
      <c r="EQ2" t="inlineStr">
        <is>
          <t>manual_overrides</t>
        </is>
      </c>
      <c r="ER2" t="inlineStr">
        <is>
          <t>cert_approvals_ageing</t>
        </is>
      </c>
      <c r="ES2" t="inlineStr">
        <is>
          <t>kpi_overrides</t>
        </is>
      </c>
      <c r="ET2" t="inlineStr">
        <is>
          <t>dq_issues_recurring</t>
        </is>
      </c>
      <c r="EU2" t="inlineStr">
        <is>
          <t>audit_findings_open</t>
        </is>
      </c>
      <c r="EV2" t="inlineStr">
        <is>
          <t>assurance_actions_overdue</t>
        </is>
      </c>
      <c r="EW2" t="inlineStr">
        <is>
          <t>repeat_findings</t>
        </is>
      </c>
      <c r="EX2" t="inlineStr">
        <is>
          <t>leadership_kpis_affected</t>
        </is>
      </c>
      <c r="EY2" t="inlineStr">
        <is>
          <t>evidence_required</t>
        </is>
      </c>
      <c r="EZ2" t="inlineStr">
        <is>
          <t>evidence_complete</t>
        </is>
      </c>
      <c r="FA2" t="inlineStr">
        <is>
          <t>findings_closed</t>
        </is>
      </c>
      <c r="FB2" t="inlineStr">
        <is>
          <t>finding_closure_days</t>
        </is>
      </c>
      <c r="FC2" t="inlineStr">
        <is>
          <t>kpis_leadership</t>
        </is>
      </c>
      <c r="FD2" t="inlineStr">
        <is>
          <t>kpis_certified</t>
        </is>
      </c>
      <c r="FE2" t="inlineStr">
        <is>
          <t>kpis_in_scope</t>
        </is>
      </c>
      <c r="FF2" t="inlineStr">
        <is>
          <t>certifications_overdue</t>
        </is>
      </c>
      <c r="FG2" t="inlineStr">
        <is>
          <t>recon_breaks_open</t>
        </is>
      </c>
      <c r="FH2" t="inlineStr">
        <is>
          <t>recon_breaks_material</t>
        </is>
      </c>
      <c r="FI2" t="inlineStr">
        <is>
          <t>lake_records_loaded</t>
        </is>
      </c>
      <c r="FJ2" t="inlineStr">
        <is>
          <t>lake_records_reconciled</t>
        </is>
      </c>
      <c r="FK2" t="inlineStr">
        <is>
          <t>mis_lines_total</t>
        </is>
      </c>
      <c r="FL2" t="inlineStr">
        <is>
          <t>mis_lines_matched</t>
        </is>
      </c>
      <c r="FM2" t="inlineStr">
        <is>
          <t>critical_alerts_open</t>
        </is>
      </c>
      <c r="FN2" t="inlineStr">
        <is>
          <t>alerts_unowned</t>
        </is>
      </c>
      <c r="FO2" t="inlineStr">
        <is>
          <t>actions_overdue</t>
        </is>
      </c>
      <c r="FP2" t="inlineStr">
        <is>
          <t>alerts_resolved</t>
        </is>
      </c>
      <c r="FQ2" t="inlineStr">
        <is>
          <t>alert_resolution_days</t>
        </is>
      </c>
      <c r="FR2" t="inlineStr">
        <is>
          <t>escalations_closed</t>
        </is>
      </c>
      <c r="FS2" t="inlineStr">
        <is>
          <t>repeat_issues</t>
        </is>
      </c>
      <c r="FT2" t="inlineStr">
        <is>
          <t>root_causes_identified</t>
        </is>
      </c>
      <c r="FU2" t="inlineStr">
        <is>
          <t>root_causes_eliminated</t>
        </is>
      </c>
      <c r="FV2" t="inlineStr">
        <is>
          <t>ebitda_k</t>
        </is>
      </c>
      <c r="FW2" t="inlineStr">
        <is>
          <t>ebit_k</t>
        </is>
      </c>
      <c r="FX2" t="inlineStr">
        <is>
          <t>nwc_k</t>
        </is>
      </c>
      <c r="FY2" t="inlineStr">
        <is>
          <t>nwc_change_k</t>
        </is>
      </c>
      <c r="FZ2" t="inlineStr">
        <is>
          <t>op_cash_flow_k</t>
        </is>
      </c>
      <c r="GA2" t="inlineStr">
        <is>
          <t>fcf_k</t>
        </is>
      </c>
      <c r="GB2" t="inlineStr">
        <is>
          <t>net_debt_k</t>
        </is>
      </c>
      <c r="GC2" t="inlineStr">
        <is>
          <t>ebitda_annualised_k</t>
        </is>
      </c>
      <c r="GD2" t="inlineStr">
        <is>
          <t>dso_d</t>
        </is>
      </c>
      <c r="GE2" t="inlineStr">
        <is>
          <t>dpo_d</t>
        </is>
      </c>
      <c r="GF2" t="inlineStr">
        <is>
          <t>dio_d</t>
        </is>
      </c>
      <c r="GG2" t="inlineStr">
        <is>
          <t>price_vs_plan_pct</t>
        </is>
      </c>
      <c r="GH2" t="inlineStr">
        <is>
          <t>fte</t>
        </is>
      </c>
      <c r="GI2" t="inlineStr">
        <is>
          <t>fcf_plan_fy_k</t>
        </is>
      </c>
      <c r="GJ2" t="inlineStr">
        <is>
          <t>forecast_fcf_rest_k</t>
        </is>
      </c>
      <c r="GK2" t="inlineStr">
        <is>
          <t>ebit_fcst_rest_k</t>
        </is>
      </c>
      <c r="GL2" t="inlineStr">
        <is>
          <t>capital_employed_p12_k</t>
        </is>
      </c>
      <c r="GM2" t="inlineStr">
        <is>
          <t>ebitda_plan_fy_k</t>
        </is>
      </c>
      <c r="GN2" t="inlineStr">
        <is>
          <t>ebitda_fy_sigma_k</t>
        </is>
      </c>
      <c r="GO2" t="inlineStr">
        <is>
          <t>disclosure_deadline_h</t>
        </is>
      </c>
      <c r="GP2" t="inlineStr">
        <is>
          <t>single_source_elevated</t>
        </is>
      </c>
      <c r="GQ2" t="inlineStr">
        <is>
          <t>rm1_price_index</t>
        </is>
      </c>
      <c r="GR2" t="inlineStr">
        <is>
          <t>freight_lanes_disrupted</t>
        </is>
      </c>
    </row>
    <row r="3">
      <c r="A3" t="inlineStr">
        <is>
          <t>Same layout as Group Inputs; inputs link to Entity Inputs (Entity A2); blue building blocks use the same formulas.</t>
        </is>
      </c>
      <c r="E3" t="inlineStr">
        <is>
          <t>Sum of Entity A1 and Entity A2 (Entity Inputs sheet)</t>
        </is>
      </c>
      <c r="F3" t="inlineStr">
        <is>
          <t>Sum of Entity A1 and Entity A2 (Entity Inputs sheet)</t>
        </is>
      </c>
      <c r="G3" t="inlineStr">
        <is>
          <t>Sum of Entity A1 and Entity A2 (Entity Inputs sheet)</t>
        </is>
      </c>
      <c r="H3" t="inlineStr">
        <is>
          <t>Sum of Entity A1 and Entity A2 (Entity Inputs sheet)</t>
        </is>
      </c>
      <c r="I3" t="inlineStr">
        <is>
          <t>Sum of Entity A1 and Entity A2 (Entity Inputs sheet)</t>
        </is>
      </c>
      <c r="J3" t="inlineStr">
        <is>
          <t>Sum of Entity A1 and Entity A2 (Entity Inputs sheet)</t>
        </is>
      </c>
      <c r="K3" t="inlineStr">
        <is>
          <t>Sum of Entity A1 and Entity A2 (Entity Inputs sheet)</t>
        </is>
      </c>
      <c r="L3" t="inlineStr">
        <is>
          <t>Sum of Entity A1 and Entity A2 (Entity Inputs sheet)</t>
        </is>
      </c>
      <c r="M3" t="inlineStr">
        <is>
          <t>Sum of Entity A1 and Entity A2 (Entity Inputs sheet)</t>
        </is>
      </c>
      <c r="N3" t="inlineStr">
        <is>
          <t>Sum of Entity A1 and Entity A2 (Entity Inputs sheet)</t>
        </is>
      </c>
      <c r="O3" t="inlineStr">
        <is>
          <t>Sum of Entity A1 and Entity A2 (Entity Inputs sheet)</t>
        </is>
      </c>
      <c r="P3" t="inlineStr">
        <is>
          <t>Sum of Entity A1 and Entity A2 (Entity Inputs sheet)</t>
        </is>
      </c>
      <c r="Q3" t="inlineStr">
        <is>
          <t>Sum of Entity A1 and Entity A2 (Entity Inputs sheet)</t>
        </is>
      </c>
      <c r="R3" t="inlineStr">
        <is>
          <t>Sum of Entity A1 and Entity A2 (Entity Inputs sheet)</t>
        </is>
      </c>
      <c r="S3" t="inlineStr">
        <is>
          <t>Sum of Entity A1 and Entity A2 (Entity Inputs sheet)</t>
        </is>
      </c>
      <c r="T3" t="inlineStr">
        <is>
          <t>Sum of Entity A1 and Entity A2 (Entity Inputs sheet)</t>
        </is>
      </c>
      <c r="U3" t="inlineStr">
        <is>
          <t>Sum of Entity A1 and Entity A2 (Entity Inputs sheet)</t>
        </is>
      </c>
      <c r="V3" t="inlineStr">
        <is>
          <t>Sum of Entity A1 and Entity A2 (Entity Inputs sheet)</t>
        </is>
      </c>
      <c r="W3" t="inlineStr">
        <is>
          <t>Sum of Entity A1 and Entity A2 (Entity Inputs sheet)</t>
        </is>
      </c>
      <c r="X3" t="inlineStr">
        <is>
          <t>Sum of Entity A1 and Entity A2 (Entity Inputs sheet)</t>
        </is>
      </c>
      <c r="Y3" t="inlineStr">
        <is>
          <t>Sum of Entity A1 and Entity A2 (Entity Inputs sheet)</t>
        </is>
      </c>
      <c r="Z3" t="inlineStr">
        <is>
          <t>Sum of Entity A1 and Entity A2 (Entity Inputs sheet)</t>
        </is>
      </c>
      <c r="AA3" t="inlineStr">
        <is>
          <t>Sum of Entity A1 and Entity A2 (Entity Inputs sheet)</t>
        </is>
      </c>
      <c r="AB3" t="inlineStr">
        <is>
          <t>Sum of Entity A1 and Entity A2 (Entity Inputs sheet)</t>
        </is>
      </c>
      <c r="AC3" t="inlineStr">
        <is>
          <t>Sum of Entity A1 and Entity A2 (Entity Inputs sheet)</t>
        </is>
      </c>
      <c r="AD3" t="inlineStr">
        <is>
          <t>Sum of Entity A1 and Entity A2 (Entity Inputs sheet)</t>
        </is>
      </c>
      <c r="AE3" t="inlineStr">
        <is>
          <t>Sum of Entity A1 and Entity A2 (Entity Inputs sheet)</t>
        </is>
      </c>
      <c r="AF3" t="inlineStr">
        <is>
          <t>Sum of Entity A1 and Entity A2 (Entity Inputs sheet)</t>
        </is>
      </c>
      <c r="AG3" t="inlineStr">
        <is>
          <t>Sum of Entity A1 and Entity A2 (Entity Inputs sheet)</t>
        </is>
      </c>
      <c r="AH3" t="inlineStr">
        <is>
          <t>Sum of Entity A1 and Entity A2 (Entity Inputs sheet)</t>
        </is>
      </c>
      <c r="AI3" t="inlineStr">
        <is>
          <t>Sum of Entity A1 and Entity A2 (Entity Inputs sheet)</t>
        </is>
      </c>
      <c r="AJ3" t="inlineStr">
        <is>
          <t>Sum of Entity A1 and Entity A2 (Entity Inputs sheet)</t>
        </is>
      </c>
      <c r="AK3" t="inlineStr">
        <is>
          <t>Sum of Entity A1 and Entity A2 (Entity Inputs sheet)</t>
        </is>
      </c>
      <c r="AL3" t="inlineStr">
        <is>
          <t>Sum of Entity A1 and Entity A2 (Entity Inputs sheet)</t>
        </is>
      </c>
      <c r="AM3" t="inlineStr">
        <is>
          <t>Sum of Entity A1 and Entity A2 (Entity Inputs sheet)</t>
        </is>
      </c>
      <c r="AN3" t="inlineStr">
        <is>
          <t>Sum of Entity A1 and Entity A2 (Entity Inputs sheet)</t>
        </is>
      </c>
      <c r="AO3" t="inlineStr">
        <is>
          <t>Sum of Entity A1 and Entity A2 (Entity Inputs sheet)</t>
        </is>
      </c>
      <c r="AP3" t="inlineStr">
        <is>
          <t>Sum of Entity A1 and Entity A2 (Entity Inputs sheet)</t>
        </is>
      </c>
      <c r="AQ3" t="inlineStr">
        <is>
          <t>Sum of Entity A1 and Entity A2 (Entity Inputs sheet)</t>
        </is>
      </c>
      <c r="AR3" t="inlineStr">
        <is>
          <t>Lowest of Entity A1 and Entity A2 (Entity Inputs sheet)</t>
        </is>
      </c>
      <c r="AS3" t="inlineStr">
        <is>
          <t>Sum of Entity A1 and Entity A2 (Entity Inputs sheet)</t>
        </is>
      </c>
      <c r="AT3" t="inlineStr">
        <is>
          <t>Sum of Entity A1 and Entity A2 (Entity Inputs sheet)</t>
        </is>
      </c>
      <c r="AU3" t="inlineStr">
        <is>
          <t>Sum of Entity A1 and Entity A2 (Entity Inputs sheet)</t>
        </is>
      </c>
      <c r="AV3" t="inlineStr">
        <is>
          <t>Sum of Entity A1 and Entity A2 (Entity Inputs sheet)</t>
        </is>
      </c>
      <c r="AW3" t="inlineStr">
        <is>
          <t>Sum of Entity A1 and Entity A2 (Entity Inputs sheet)</t>
        </is>
      </c>
      <c r="AX3" t="inlineStr">
        <is>
          <t>Sum of Entity A1 and Entity A2 (Entity Inputs sheet)</t>
        </is>
      </c>
      <c r="AY3" t="inlineStr">
        <is>
          <t>Sum of Entity A1 and Entity A2 (Entity Inputs sheet)</t>
        </is>
      </c>
      <c r="AZ3" t="inlineStr">
        <is>
          <t>Sum of Entity A1 and Entity A2 (Entity Inputs sheet)</t>
        </is>
      </c>
      <c r="BA3" t="inlineStr">
        <is>
          <t>Sum of Entity A1 and Entity A2 (Entity Inputs sheet)</t>
        </is>
      </c>
      <c r="BB3" t="inlineStr">
        <is>
          <t>Sum of Entity A1 and Entity A2 (Entity Inputs sheet)</t>
        </is>
      </c>
      <c r="BC3" t="inlineStr">
        <is>
          <t>Sum of Entity A1 and Entity A2 (Entity Inputs sheet)</t>
        </is>
      </c>
      <c r="BD3" t="inlineStr">
        <is>
          <t>Sum of Entity A1 and Entity A2 (Entity Inputs sheet)</t>
        </is>
      </c>
      <c r="BE3" t="inlineStr">
        <is>
          <t>Sum of Entity A1 and Entity A2 (Entity Inputs sheet)</t>
        </is>
      </c>
      <c r="BF3" t="inlineStr">
        <is>
          <t>Sum of Entity A1 and Entity A2 (Entity Inputs sheet)</t>
        </is>
      </c>
      <c r="BG3" t="inlineStr">
        <is>
          <t>Sum of Entity A1 and Entity A2 (Entity Inputs sheet)</t>
        </is>
      </c>
      <c r="BH3" t="inlineStr">
        <is>
          <t>Sum of Entity A1 and Entity A2 (Entity Inputs sheet)</t>
        </is>
      </c>
      <c r="BI3" t="inlineStr">
        <is>
          <t>Sum of Entity A1 and Entity A2 (Entity Inputs sheet)</t>
        </is>
      </c>
      <c r="BJ3" t="inlineStr">
        <is>
          <t>Sum of Entity A1 and Entity A2 (Entity Inputs sheet)</t>
        </is>
      </c>
      <c r="BK3" t="inlineStr">
        <is>
          <t>Sum of Entity A1 and Entity A2 (Entity Inputs sheet)</t>
        </is>
      </c>
      <c r="BL3" t="inlineStr">
        <is>
          <t>Sum of Entity A1 and Entity A2 (Entity Inputs sheet)</t>
        </is>
      </c>
      <c r="BM3" t="inlineStr">
        <is>
          <t>Sum of Entity A1 and Entity A2 (Entity Inputs sheet)</t>
        </is>
      </c>
      <c r="BN3" t="inlineStr">
        <is>
          <t>Sum of Entity A1 and Entity A2 (Entity Inputs sheet)</t>
        </is>
      </c>
      <c r="BO3" t="inlineStr">
        <is>
          <t>Sum of Entity A1 and Entity A2 (Entity Inputs sheet)</t>
        </is>
      </c>
      <c r="BP3" t="inlineStr">
        <is>
          <t>Sum of Entity A1 and Entity A2 (Entity Inputs sheet)</t>
        </is>
      </c>
      <c r="BQ3" t="inlineStr">
        <is>
          <t>Sum of Entity A1 and Entity A2 (Entity Inputs sheet)</t>
        </is>
      </c>
      <c r="BR3" t="inlineStr">
        <is>
          <t>Sum of Entity A1 and Entity A2 (Entity Inputs sheet)</t>
        </is>
      </c>
      <c r="BS3" t="inlineStr">
        <is>
          <t>Lowest of Entity A1 and Entity A2 (Entity Inputs sheet)</t>
        </is>
      </c>
      <c r="BT3" t="inlineStr">
        <is>
          <t>Sum of Entity A1 and Entity A2 (Entity Inputs sheet)</t>
        </is>
      </c>
      <c r="BU3" t="inlineStr">
        <is>
          <t>Sum of Entity A1 and Entity A2 (Entity Inputs sheet)</t>
        </is>
      </c>
      <c r="BV3" t="inlineStr">
        <is>
          <t>Sum of Entity A1 and Entity A2 (Entity Inputs sheet)</t>
        </is>
      </c>
      <c r="BW3" t="inlineStr">
        <is>
          <t>Sum of Entity A1 and Entity A2 (Entity Inputs sheet)</t>
        </is>
      </c>
      <c r="BX3" t="inlineStr">
        <is>
          <t>Sum of Entity A1 and Entity A2 (Entity Inputs sheet)</t>
        </is>
      </c>
      <c r="BY3" t="inlineStr">
        <is>
          <t>Sum of Entity A1 and Entity A2 (Entity Inputs sheet)</t>
        </is>
      </c>
      <c r="BZ3" t="inlineStr">
        <is>
          <t>Sum of Entity A1 and Entity A2 (Entity Inputs sheet)</t>
        </is>
      </c>
      <c r="CA3" t="inlineStr">
        <is>
          <t>Sum of Entity A1 and Entity A2 (Entity Inputs sheet)</t>
        </is>
      </c>
      <c r="CB3" t="inlineStr">
        <is>
          <t>Sum of Entity A1 and Entity A2 (Entity Inputs sheet)</t>
        </is>
      </c>
      <c r="CC3" t="inlineStr">
        <is>
          <t>Sum of Entity A1 and Entity A2 (Entity Inputs sheet)</t>
        </is>
      </c>
      <c r="CD3" t="inlineStr">
        <is>
          <t>Sum of Entity A1 and Entity A2 (Entity Inputs sheet)</t>
        </is>
      </c>
      <c r="CE3" t="inlineStr">
        <is>
          <t>Sum of Entity A1 and Entity A2 (Entity Inputs sheet)</t>
        </is>
      </c>
      <c r="CF3" t="inlineStr">
        <is>
          <t>Sum of Entity A1 and Entity A2 (Entity Inputs sheet)</t>
        </is>
      </c>
      <c r="CG3" t="inlineStr">
        <is>
          <t>Sum of Entity A1 and Entity A2 (Entity Inputs sheet)</t>
        </is>
      </c>
      <c r="CH3" t="inlineStr">
        <is>
          <t>Sum of Entity A1 and Entity A2 (Entity Inputs sheet)</t>
        </is>
      </c>
      <c r="CI3" t="inlineStr">
        <is>
          <t>Sum of Entity A1 and Entity A2 (Entity Inputs sheet)</t>
        </is>
      </c>
      <c r="CJ3" t="inlineStr">
        <is>
          <t>Sum of Entity A1 and Entity A2 (Entity Inputs sheet)</t>
        </is>
      </c>
      <c r="CK3" t="inlineStr">
        <is>
          <t>Sum of Entity A1 and Entity A2 (Entity Inputs sheet)</t>
        </is>
      </c>
      <c r="CL3" t="inlineStr">
        <is>
          <t>Sum of Entity A1 and Entity A2 (Entity Inputs sheet)</t>
        </is>
      </c>
      <c r="CM3" t="inlineStr">
        <is>
          <t>Sum of Entity A1 and Entity A2 (Entity Inputs sheet)</t>
        </is>
      </c>
      <c r="CN3" t="inlineStr">
        <is>
          <t>Sum of Entity A1 and Entity A2 (Entity Inputs sheet)</t>
        </is>
      </c>
      <c r="CO3" t="inlineStr">
        <is>
          <t>Sum of Entity A1 and Entity A2 (Entity Inputs sheet)</t>
        </is>
      </c>
      <c r="CP3" t="inlineStr">
        <is>
          <t>Sum of Entity A1 and Entity A2 (Entity Inputs sheet)</t>
        </is>
      </c>
      <c r="CQ3" t="inlineStr">
        <is>
          <t>Sum of Entity A1 and Entity A2 (Entity Inputs sheet)</t>
        </is>
      </c>
      <c r="CR3" t="inlineStr">
        <is>
          <t>Sum of Entity A1 and Entity A2 (Entity Inputs sheet)</t>
        </is>
      </c>
      <c r="CS3" t="inlineStr">
        <is>
          <t>Sum of Entity A1 and Entity A2 (Entity Inputs sheet)</t>
        </is>
      </c>
      <c r="CT3" t="inlineStr">
        <is>
          <t>Sum of Entity A1 and Entity A2 (Entity Inputs sheet)</t>
        </is>
      </c>
      <c r="CU3" t="inlineStr">
        <is>
          <t>Sum of Entity A1 and Entity A2 (Entity Inputs sheet)</t>
        </is>
      </c>
      <c r="CV3" t="inlineStr">
        <is>
          <t>Sum of Entity A1 and Entity A2 (Entity Inputs sheet)</t>
        </is>
      </c>
      <c r="CW3" t="inlineStr">
        <is>
          <t>Sum of Entity A1 and Entity A2 (Entity Inputs sheet)</t>
        </is>
      </c>
      <c r="CX3" t="inlineStr">
        <is>
          <t>Sum of Entity A1 and Entity A2 (Entity Inputs sheet)</t>
        </is>
      </c>
      <c r="CY3" t="inlineStr">
        <is>
          <t>Sum of Entity A1 and Entity A2 (Entity Inputs sheet)</t>
        </is>
      </c>
      <c r="CZ3" t="inlineStr">
        <is>
          <t>Sum of Entity A1 and Entity A2 (Entity Inputs sheet)</t>
        </is>
      </c>
      <c r="DA3" t="inlineStr">
        <is>
          <t>Sum of Entity A1 and Entity A2 (Entity Inputs sheet)</t>
        </is>
      </c>
      <c r="DB3" t="inlineStr">
        <is>
          <t>Sum of Entity A1 and Entity A2 (Entity Inputs sheet)</t>
        </is>
      </c>
      <c r="DC3" t="inlineStr">
        <is>
          <t>Sum of Entity A1 and Entity A2 (Entity Inputs sheet)</t>
        </is>
      </c>
      <c r="DD3" t="inlineStr">
        <is>
          <t>Sum of Entity A1 and Entity A2 (Entity Inputs sheet)</t>
        </is>
      </c>
      <c r="DE3" t="inlineStr">
        <is>
          <t>Sum of Entity A1 and Entity A2 (Entity Inputs sheet)</t>
        </is>
      </c>
      <c r="DF3" t="inlineStr">
        <is>
          <t>Sum of Entity A1 and Entity A2 (Entity Inputs sheet)</t>
        </is>
      </c>
      <c r="DG3" t="inlineStr">
        <is>
          <t>Sum of Entity A1 and Entity A2 (Entity Inputs sheet)</t>
        </is>
      </c>
      <c r="DH3" t="inlineStr">
        <is>
          <t>Sum of Entity A1 and Entity A2 (Entity Inputs sheet)</t>
        </is>
      </c>
      <c r="DI3" t="inlineStr">
        <is>
          <t>Sum of Entity A1 and Entity A2 (Entity Inputs sheet)</t>
        </is>
      </c>
      <c r="DJ3" t="inlineStr">
        <is>
          <t>Sum of Entity A1 and Entity A2 (Entity Inputs sheet)</t>
        </is>
      </c>
      <c r="DK3" t="inlineStr">
        <is>
          <t>Sum of Entity A1 and Entity A2 (Entity Inputs sheet)</t>
        </is>
      </c>
      <c r="DL3" t="inlineStr">
        <is>
          <t>Sum of Entity A1 and Entity A2 (Entity Inputs sheet)</t>
        </is>
      </c>
      <c r="DM3" t="inlineStr">
        <is>
          <t>Sum of Entity A1 and Entity A2 (Entity Inputs sheet)</t>
        </is>
      </c>
      <c r="DN3" t="inlineStr">
        <is>
          <t>Sum of Entity A1 and Entity A2 (Entity Inputs sheet)</t>
        </is>
      </c>
      <c r="DO3" t="inlineStr">
        <is>
          <t>Sum of Entity A1 and Entity A2 (Entity Inputs sheet)</t>
        </is>
      </c>
      <c r="DP3" t="inlineStr">
        <is>
          <t>Sum of Entity A1 and Entity A2 (Entity Inputs sheet)</t>
        </is>
      </c>
      <c r="DQ3" t="inlineStr">
        <is>
          <t>Sum of Entity A1 and Entity A2 (Entity Inputs sheet)</t>
        </is>
      </c>
      <c r="DR3" t="inlineStr">
        <is>
          <t>Sum of Entity A1 and Entity A2 (Entity Inputs sheet)</t>
        </is>
      </c>
      <c r="DS3" t="inlineStr">
        <is>
          <t>Sum of Entity A1 and Entity A2 (Entity Inputs sheet)</t>
        </is>
      </c>
      <c r="DT3" t="inlineStr">
        <is>
          <t>Sum of Entity A1 and Entity A2 (Entity Inputs sheet)</t>
        </is>
      </c>
      <c r="DU3" t="inlineStr">
        <is>
          <t>Sum of Entity A1 and Entity A2 (Entity Inputs sheet)</t>
        </is>
      </c>
      <c r="DV3" t="inlineStr">
        <is>
          <t>Sum of Entity A1 and Entity A2 (Entity Inputs sheet)</t>
        </is>
      </c>
      <c r="DW3" t="inlineStr">
        <is>
          <t>Sum of Entity A1 and Entity A2 (Entity Inputs sheet)</t>
        </is>
      </c>
      <c r="DX3" t="inlineStr">
        <is>
          <t>Sum of Entity A1 and Entity A2 (Entity Inputs sheet)</t>
        </is>
      </c>
      <c r="DY3" t="inlineStr">
        <is>
          <t>Sum of Entity A1 and Entity A2 (Entity Inputs sheet)</t>
        </is>
      </c>
      <c r="DZ3" t="inlineStr">
        <is>
          <t>Sum of Entity A1 and Entity A2 (Entity Inputs sheet)</t>
        </is>
      </c>
      <c r="EA3" t="inlineStr">
        <is>
          <t>Sum of Entity A1 and Entity A2 (Entity Inputs sheet)</t>
        </is>
      </c>
      <c r="EB3" t="inlineStr">
        <is>
          <t>Sum of Entity A1 and Entity A2 (Entity Inputs sheet)</t>
        </is>
      </c>
      <c r="EC3" t="inlineStr">
        <is>
          <t>Sum of Entity A1 and Entity A2 (Entity Inputs sheet)</t>
        </is>
      </c>
      <c r="ED3" t="inlineStr">
        <is>
          <t>Sum of Entity A1 and Entity A2 (Entity Inputs sheet)</t>
        </is>
      </c>
      <c r="EE3" t="inlineStr">
        <is>
          <t>Sum of Entity A1 and Entity A2 (Entity Inputs sheet)</t>
        </is>
      </c>
      <c r="EF3" t="inlineStr">
        <is>
          <t>Sum of Entity A1 and Entity A2 (Entity Inputs sheet)</t>
        </is>
      </c>
      <c r="EG3" t="inlineStr">
        <is>
          <t>Sum of Entity A1 and Entity A2 (Entity Inputs sheet)</t>
        </is>
      </c>
      <c r="EH3" t="inlineStr">
        <is>
          <t>Sum of Entity A1 and Entity A2 (Entity Inputs sheet)</t>
        </is>
      </c>
      <c r="EI3" t="inlineStr">
        <is>
          <t>Sum of Entity A1 and Entity A2 (Entity Inputs sheet)</t>
        </is>
      </c>
      <c r="EJ3" t="inlineStr">
        <is>
          <t>Sum of Entity A1 and Entity A2 (Entity Inputs sheet)</t>
        </is>
      </c>
      <c r="EK3" t="inlineStr">
        <is>
          <t>Sum of Entity A1 and Entity A2 (Entity Inputs sheet)</t>
        </is>
      </c>
      <c r="EL3" t="inlineStr">
        <is>
          <t>Sum of Entity A1 and Entity A2 (Entity Inputs sheet)</t>
        </is>
      </c>
      <c r="EM3" t="inlineStr">
        <is>
          <t>Sum of Entity A1 and Entity A2 (Entity Inputs sheet)</t>
        </is>
      </c>
      <c r="EN3" t="inlineStr">
        <is>
          <t>Sum of Entity A1 and Entity A2 (Entity Inputs sheet)</t>
        </is>
      </c>
      <c r="EO3" t="inlineStr">
        <is>
          <t>Sum of Entity A1 and Entity A2 (Entity Inputs sheet)</t>
        </is>
      </c>
      <c r="EP3" t="inlineStr">
        <is>
          <t>Sum of Entity A1 and Entity A2 (Entity Inputs sheet)</t>
        </is>
      </c>
      <c r="EQ3" t="inlineStr">
        <is>
          <t>Sum of Entity A1 and Entity A2 (Entity Inputs sheet)</t>
        </is>
      </c>
      <c r="ER3" t="inlineStr">
        <is>
          <t>Sum of Entity A1 and Entity A2 (Entity Inputs sheet)</t>
        </is>
      </c>
      <c r="ES3" t="inlineStr">
        <is>
          <t>Sum of Entity A1 and Entity A2 (Entity Inputs sheet)</t>
        </is>
      </c>
      <c r="ET3" t="inlineStr">
        <is>
          <t>Sum of Entity A1 and Entity A2 (Entity Inputs sheet)</t>
        </is>
      </c>
      <c r="EU3" t="inlineStr">
        <is>
          <t>Sum of Entity A1 and Entity A2 (Entity Inputs sheet)</t>
        </is>
      </c>
      <c r="EV3" t="inlineStr">
        <is>
          <t>Sum of Entity A1 and Entity A2 (Entity Inputs sheet)</t>
        </is>
      </c>
      <c r="EW3" t="inlineStr">
        <is>
          <t>Sum of Entity A1 and Entity A2 (Entity Inputs sheet)</t>
        </is>
      </c>
      <c r="EX3" t="inlineStr">
        <is>
          <t>Sum of Entity A1 and Entity A2 (Entity Inputs sheet)</t>
        </is>
      </c>
      <c r="EY3" t="inlineStr">
        <is>
          <t>Sum of Entity A1 and Entity A2 (Entity Inputs sheet)</t>
        </is>
      </c>
      <c r="EZ3" t="inlineStr">
        <is>
          <t>Sum of Entity A1 and Entity A2 (Entity Inputs sheet)</t>
        </is>
      </c>
      <c r="FA3" t="inlineStr">
        <is>
          <t>Sum of Entity A1 and Entity A2 (Entity Inputs sheet)</t>
        </is>
      </c>
      <c r="FB3" t="inlineStr">
        <is>
          <t>Sum of Entity A1 and Entity A2 (Entity Inputs sheet)</t>
        </is>
      </c>
      <c r="FC3" t="inlineStr">
        <is>
          <t>Sum of Entity A1 and Entity A2 (Entity Inputs sheet)</t>
        </is>
      </c>
      <c r="FD3" t="inlineStr">
        <is>
          <t>Sum of Entity A1 and Entity A2 (Entity Inputs sheet)</t>
        </is>
      </c>
      <c r="FE3" t="inlineStr">
        <is>
          <t>Sum of Entity A1 and Entity A2 (Entity Inputs sheet)</t>
        </is>
      </c>
      <c r="FF3" t="inlineStr">
        <is>
          <t>Sum of Entity A1 and Entity A2 (Entity Inputs sheet)</t>
        </is>
      </c>
      <c r="FG3" t="inlineStr">
        <is>
          <t>Sum of Entity A1 and Entity A2 (Entity Inputs sheet)</t>
        </is>
      </c>
      <c r="FH3" t="inlineStr">
        <is>
          <t>Sum of Entity A1 and Entity A2 (Entity Inputs sheet)</t>
        </is>
      </c>
      <c r="FI3" t="inlineStr">
        <is>
          <t>Sum of Entity A1 and Entity A2 (Entity Inputs sheet)</t>
        </is>
      </c>
      <c r="FJ3" t="inlineStr">
        <is>
          <t>Sum of Entity A1 and Entity A2 (Entity Inputs sheet)</t>
        </is>
      </c>
      <c r="FK3" t="inlineStr">
        <is>
          <t>Sum of Entity A1 and Entity A2 (Entity Inputs sheet)</t>
        </is>
      </c>
      <c r="FL3" t="inlineStr">
        <is>
          <t>Sum of Entity A1 and Entity A2 (Entity Inputs sheet)</t>
        </is>
      </c>
      <c r="FM3" t="inlineStr">
        <is>
          <t>Sum of Entity A1 and Entity A2 (Entity Inputs sheet)</t>
        </is>
      </c>
      <c r="FN3" t="inlineStr">
        <is>
          <t>Sum of Entity A1 and Entity A2 (Entity Inputs sheet)</t>
        </is>
      </c>
      <c r="FO3" t="inlineStr">
        <is>
          <t>Sum of Entity A1 and Entity A2 (Entity Inputs sheet)</t>
        </is>
      </c>
      <c r="FP3" t="inlineStr">
        <is>
          <t>Sum of Entity A1 and Entity A2 (Entity Inputs sheet)</t>
        </is>
      </c>
      <c r="FQ3" t="inlineStr">
        <is>
          <t>Sum of Entity A1 and Entity A2 (Entity Inputs sheet)</t>
        </is>
      </c>
      <c r="FR3" t="inlineStr">
        <is>
          <t>Sum of Entity A1 and Entity A2 (Entity Inputs sheet)</t>
        </is>
      </c>
      <c r="FS3" t="inlineStr">
        <is>
          <t>Sum of Entity A1 and Entity A2 (Entity Inputs sheet)</t>
        </is>
      </c>
      <c r="FT3" t="inlineStr">
        <is>
          <t>Sum of Entity A1 and Entity A2 (Entity Inputs sheet)</t>
        </is>
      </c>
      <c r="FU3" t="inlineStr">
        <is>
          <t>Sum of Entity A1 and Entity A2 (Entity Inputs sheet)</t>
        </is>
      </c>
      <c r="FV3" t="inlineStr">
        <is>
          <t>Calculated: Revenue − Variable cost − Fixed cost − Overheads</t>
        </is>
      </c>
      <c r="FW3" t="inlineStr">
        <is>
          <t>Calculated: EBITDA − Depreciation and amortisation</t>
        </is>
      </c>
      <c r="FX3" t="inlineStr">
        <is>
          <t>Calculated: Trade receivables + Inventory − Trade payables</t>
        </is>
      </c>
      <c r="FY3" t="inlineStr">
        <is>
          <t>Calculated: Net working capital − last month's net working capital (April uses the 31 March balance on Parameters)</t>
        </is>
      </c>
      <c r="FZ3" t="inlineStr">
        <is>
          <t>Calculated: EBITDA − Tax paid − Change in net working capital</t>
        </is>
      </c>
      <c r="GA3" t="inlineStr">
        <is>
          <t>Calculated: Operating cash flow − Capex spent</t>
        </is>
      </c>
      <c r="GB3" t="inlineStr">
        <is>
          <t>Calculated: Gross debt − Cash</t>
        </is>
      </c>
      <c r="GC3" t="inlineStr">
        <is>
          <t>Calculated: EBITDA since April × 12 ÷ months elapsed</t>
        </is>
      </c>
      <c r="GD3" t="inlineStr">
        <is>
          <t>Calculated: Trade receivables ÷ Revenue × Days in month</t>
        </is>
      </c>
      <c r="GE3" t="inlineStr">
        <is>
          <t>Calculated: Trade payables ÷ Variable cost × Days in month</t>
        </is>
      </c>
      <c r="GF3" t="inlineStr">
        <is>
          <t>Calculated: Inventory ÷ Variable cost × Days in month</t>
        </is>
      </c>
      <c r="GG3" t="inlineStr">
        <is>
          <t>Calculated: (Revenue ÷ Sales volume) ÷ (Planned revenue ÷ Planned sales volume) − 1, as %</t>
        </is>
      </c>
      <c r="GH3" t="inlineStr">
        <is>
          <t>SUM of Entity A1 and Entity A2 (added)</t>
        </is>
      </c>
      <c r="GI3" t="inlineStr">
        <is>
          <t>SUM of Entity A1 and Entity A2 (added)</t>
        </is>
      </c>
      <c r="GJ3" t="inlineStr">
        <is>
          <t>SUM of Entity A1 and Entity A2 (added)</t>
        </is>
      </c>
      <c r="GK3" t="inlineStr">
        <is>
          <t>SUM of Entity A1 and Entity A2 (added)</t>
        </is>
      </c>
      <c r="GL3" t="inlineStr">
        <is>
          <t>SUM of Entity A1 and Entity A2 (added)</t>
        </is>
      </c>
      <c r="GM3" t="inlineStr">
        <is>
          <t>SUM of Entity A1 and Entity A2 (added)</t>
        </is>
      </c>
      <c r="GN3" t="inlineStr">
        <is>
          <t>SQRTSUMSQ of Entity A1 and Entity A2 (added)</t>
        </is>
      </c>
      <c r="GO3" t="inlineStr">
        <is>
          <t>MIN of Entity A1 and Entity A2 (added)</t>
        </is>
      </c>
      <c r="GP3" t="inlineStr">
        <is>
          <t>SUM of Entity A1 and Entity A2 (added)</t>
        </is>
      </c>
      <c r="GQ3" t="inlineStr">
        <is>
          <t>FIRST of Entity A1 and Entity A2 (added)</t>
        </is>
      </c>
      <c r="GR3" t="inlineStr">
        <is>
          <t>SUM of Entity A1 and Entity A2 (added)</t>
        </is>
      </c>
    </row>
    <row r="4">
      <c r="A4" t="inlineStr">
        <is>
          <t>Entity A2</t>
        </is>
      </c>
      <c r="B4" t="inlineStr">
        <is>
          <t>2026-04</t>
        </is>
      </c>
      <c r="C4" t="n">
        <v>30</v>
      </c>
      <c r="D4" t="n">
        <v>1</v>
      </c>
      <c r="E4">
        <f>'Entity Inputs'!E10</f>
        <v/>
      </c>
      <c r="F4">
        <f>'Entity Inputs'!F10</f>
        <v/>
      </c>
      <c r="G4">
        <f>'Entity Inputs'!G10</f>
        <v/>
      </c>
      <c r="H4">
        <f>'Entity Inputs'!H10</f>
        <v/>
      </c>
      <c r="I4">
        <f>'Entity Inputs'!I10</f>
        <v/>
      </c>
      <c r="J4">
        <f>'Entity Inputs'!J10</f>
        <v/>
      </c>
      <c r="K4">
        <f>'Entity Inputs'!K10</f>
        <v/>
      </c>
      <c r="L4">
        <f>'Entity Inputs'!L10</f>
        <v/>
      </c>
      <c r="M4">
        <f>'Entity Inputs'!M10</f>
        <v/>
      </c>
      <c r="N4">
        <f>'Entity Inputs'!N10</f>
        <v/>
      </c>
      <c r="O4">
        <f>'Entity Inputs'!O10</f>
        <v/>
      </c>
      <c r="P4">
        <f>'Entity Inputs'!P10</f>
        <v/>
      </c>
      <c r="Q4">
        <f>'Entity Inputs'!Q10</f>
        <v/>
      </c>
      <c r="R4">
        <f>'Entity Inputs'!R10</f>
        <v/>
      </c>
      <c r="S4">
        <f>'Entity Inputs'!S10</f>
        <v/>
      </c>
      <c r="T4">
        <f>'Entity Inputs'!T10</f>
        <v/>
      </c>
      <c r="U4">
        <f>'Entity Inputs'!U10</f>
        <v/>
      </c>
      <c r="V4">
        <f>'Entity Inputs'!V10</f>
        <v/>
      </c>
      <c r="W4">
        <f>'Entity Inputs'!W10</f>
        <v/>
      </c>
      <c r="X4">
        <f>'Entity Inputs'!X10</f>
        <v/>
      </c>
      <c r="Y4">
        <f>'Entity Inputs'!Y10</f>
        <v/>
      </c>
      <c r="Z4">
        <f>'Entity Inputs'!Z10</f>
        <v/>
      </c>
      <c r="AA4">
        <f>'Entity Inputs'!AA10</f>
        <v/>
      </c>
      <c r="AB4">
        <f>'Entity Inputs'!AB10</f>
        <v/>
      </c>
      <c r="AC4">
        <f>'Entity Inputs'!AC10</f>
        <v/>
      </c>
      <c r="AD4">
        <f>'Entity Inputs'!AD10</f>
        <v/>
      </c>
      <c r="AE4">
        <f>'Entity Inputs'!AE10</f>
        <v/>
      </c>
      <c r="AF4">
        <f>'Entity Inputs'!AF10</f>
        <v/>
      </c>
      <c r="AG4">
        <f>'Entity Inputs'!AG10</f>
        <v/>
      </c>
      <c r="AH4">
        <f>'Entity Inputs'!AH10</f>
        <v/>
      </c>
      <c r="AI4">
        <f>'Entity Inputs'!AI10</f>
        <v/>
      </c>
      <c r="AJ4">
        <f>'Entity Inputs'!AJ10</f>
        <v/>
      </c>
      <c r="AK4">
        <f>'Entity Inputs'!AK10</f>
        <v/>
      </c>
      <c r="AL4">
        <f>'Entity Inputs'!AL10</f>
        <v/>
      </c>
      <c r="AM4">
        <f>'Entity Inputs'!AM10</f>
        <v/>
      </c>
      <c r="AN4">
        <f>'Entity Inputs'!AN10</f>
        <v/>
      </c>
      <c r="AO4">
        <f>'Entity Inputs'!AO10</f>
        <v/>
      </c>
      <c r="AP4">
        <f>'Entity Inputs'!AP10</f>
        <v/>
      </c>
      <c r="AQ4">
        <f>'Entity Inputs'!AQ10</f>
        <v/>
      </c>
      <c r="AR4">
        <f>'Entity Inputs'!AR10</f>
        <v/>
      </c>
      <c r="AS4">
        <f>'Entity Inputs'!AS10</f>
        <v/>
      </c>
      <c r="AT4">
        <f>'Entity Inputs'!AT10</f>
        <v/>
      </c>
      <c r="AU4">
        <f>'Entity Inputs'!AU10</f>
        <v/>
      </c>
      <c r="AV4">
        <f>'Entity Inputs'!AV10</f>
        <v/>
      </c>
      <c r="AW4">
        <f>'Entity Inputs'!AW10</f>
        <v/>
      </c>
      <c r="AX4">
        <f>'Entity Inputs'!AX10</f>
        <v/>
      </c>
      <c r="AY4">
        <f>'Entity Inputs'!AY10</f>
        <v/>
      </c>
      <c r="AZ4">
        <f>'Entity Inputs'!AZ10</f>
        <v/>
      </c>
      <c r="BA4">
        <f>'Entity Inputs'!BA10</f>
        <v/>
      </c>
      <c r="BB4">
        <f>'Entity Inputs'!BB10</f>
        <v/>
      </c>
      <c r="BC4">
        <f>'Entity Inputs'!BC10</f>
        <v/>
      </c>
      <c r="BD4">
        <f>'Entity Inputs'!BD10</f>
        <v/>
      </c>
      <c r="BE4">
        <f>'Entity Inputs'!BE10</f>
        <v/>
      </c>
      <c r="BF4">
        <f>'Entity Inputs'!BF10</f>
        <v/>
      </c>
      <c r="BG4">
        <f>'Entity Inputs'!BG10</f>
        <v/>
      </c>
      <c r="BH4">
        <f>'Entity Inputs'!BH10</f>
        <v/>
      </c>
      <c r="BI4">
        <f>'Entity Inputs'!BI10</f>
        <v/>
      </c>
      <c r="BJ4">
        <f>'Entity Inputs'!BJ10</f>
        <v/>
      </c>
      <c r="BK4">
        <f>'Entity Inputs'!BK10</f>
        <v/>
      </c>
      <c r="BL4">
        <f>'Entity Inputs'!BL10</f>
        <v/>
      </c>
      <c r="BM4">
        <f>'Entity Inputs'!BM10</f>
        <v/>
      </c>
      <c r="BN4">
        <f>'Entity Inputs'!BN10</f>
        <v/>
      </c>
      <c r="BO4">
        <f>'Entity Inputs'!BO10</f>
        <v/>
      </c>
      <c r="BP4">
        <f>'Entity Inputs'!BP10</f>
        <v/>
      </c>
      <c r="BQ4">
        <f>'Entity Inputs'!BQ10</f>
        <v/>
      </c>
      <c r="BR4">
        <f>'Entity Inputs'!BR10</f>
        <v/>
      </c>
      <c r="BS4">
        <f>'Entity Inputs'!BS10</f>
        <v/>
      </c>
      <c r="BT4">
        <f>'Entity Inputs'!BT10</f>
        <v/>
      </c>
      <c r="BU4">
        <f>'Entity Inputs'!BU10</f>
        <v/>
      </c>
      <c r="BV4">
        <f>'Entity Inputs'!BV10</f>
        <v/>
      </c>
      <c r="BW4">
        <f>'Entity Inputs'!BW10</f>
        <v/>
      </c>
      <c r="BX4">
        <f>'Entity Inputs'!BX10</f>
        <v/>
      </c>
      <c r="BY4">
        <f>'Entity Inputs'!BY10</f>
        <v/>
      </c>
      <c r="BZ4">
        <f>'Entity Inputs'!BZ10</f>
        <v/>
      </c>
      <c r="CA4">
        <f>'Entity Inputs'!CA10</f>
        <v/>
      </c>
      <c r="CB4">
        <f>'Entity Inputs'!CB10</f>
        <v/>
      </c>
      <c r="CC4">
        <f>'Entity Inputs'!CC10</f>
        <v/>
      </c>
      <c r="CD4">
        <f>'Entity Inputs'!CD10</f>
        <v/>
      </c>
      <c r="CE4">
        <f>'Entity Inputs'!CE10</f>
        <v/>
      </c>
      <c r="CF4">
        <f>'Entity Inputs'!CF10</f>
        <v/>
      </c>
      <c r="CG4">
        <f>'Entity Inputs'!CG10</f>
        <v/>
      </c>
      <c r="CH4">
        <f>'Entity Inputs'!CH10</f>
        <v/>
      </c>
      <c r="CI4">
        <f>'Entity Inputs'!CI10</f>
        <v/>
      </c>
      <c r="CJ4">
        <f>'Entity Inputs'!CJ10</f>
        <v/>
      </c>
      <c r="CK4">
        <f>'Entity Inputs'!CK10</f>
        <v/>
      </c>
      <c r="CL4">
        <f>'Entity Inputs'!CL10</f>
        <v/>
      </c>
      <c r="CM4">
        <f>'Entity Inputs'!CM10</f>
        <v/>
      </c>
      <c r="CN4">
        <f>'Entity Inputs'!CN10</f>
        <v/>
      </c>
      <c r="CO4">
        <f>'Entity Inputs'!CO10</f>
        <v/>
      </c>
      <c r="CP4">
        <f>'Entity Inputs'!CP10</f>
        <v/>
      </c>
      <c r="CQ4">
        <f>'Entity Inputs'!CQ10</f>
        <v/>
      </c>
      <c r="CR4">
        <f>'Entity Inputs'!CR10</f>
        <v/>
      </c>
      <c r="CS4">
        <f>'Entity Inputs'!CS10</f>
        <v/>
      </c>
      <c r="CT4">
        <f>'Entity Inputs'!CT10</f>
        <v/>
      </c>
      <c r="CU4">
        <f>'Entity Inputs'!CU10</f>
        <v/>
      </c>
      <c r="CV4">
        <f>'Entity Inputs'!CV10</f>
        <v/>
      </c>
      <c r="CW4">
        <f>'Entity Inputs'!CW10</f>
        <v/>
      </c>
      <c r="CX4">
        <f>'Entity Inputs'!CX10</f>
        <v/>
      </c>
      <c r="CY4">
        <f>'Entity Inputs'!CY10</f>
        <v/>
      </c>
      <c r="CZ4">
        <f>'Entity Inputs'!CZ10</f>
        <v/>
      </c>
      <c r="DA4">
        <f>'Entity Inputs'!DA10</f>
        <v/>
      </c>
      <c r="DB4">
        <f>'Entity Inputs'!DB10</f>
        <v/>
      </c>
      <c r="DC4">
        <f>'Entity Inputs'!DC10</f>
        <v/>
      </c>
      <c r="DD4">
        <f>'Entity Inputs'!DD10</f>
        <v/>
      </c>
      <c r="DE4">
        <f>'Entity Inputs'!DE10</f>
        <v/>
      </c>
      <c r="DF4">
        <f>'Entity Inputs'!DF10</f>
        <v/>
      </c>
      <c r="DG4">
        <f>'Entity Inputs'!DG10</f>
        <v/>
      </c>
      <c r="DH4">
        <f>'Entity Inputs'!DH10</f>
        <v/>
      </c>
      <c r="DI4">
        <f>'Entity Inputs'!DI10</f>
        <v/>
      </c>
      <c r="DJ4">
        <f>'Entity Inputs'!DJ10</f>
        <v/>
      </c>
      <c r="DK4">
        <f>'Entity Inputs'!DK10</f>
        <v/>
      </c>
      <c r="DL4">
        <f>'Entity Inputs'!DL10</f>
        <v/>
      </c>
      <c r="DM4">
        <f>'Entity Inputs'!DM10</f>
        <v/>
      </c>
      <c r="DN4">
        <f>'Entity Inputs'!DN10</f>
        <v/>
      </c>
      <c r="DO4">
        <f>'Entity Inputs'!DO10</f>
        <v/>
      </c>
      <c r="DP4">
        <f>'Entity Inputs'!DP10</f>
        <v/>
      </c>
      <c r="DQ4">
        <f>'Entity Inputs'!DQ10</f>
        <v/>
      </c>
      <c r="DR4">
        <f>'Entity Inputs'!DR10</f>
        <v/>
      </c>
      <c r="DS4">
        <f>'Entity Inputs'!DS10</f>
        <v/>
      </c>
      <c r="DT4">
        <f>'Entity Inputs'!DT10</f>
        <v/>
      </c>
      <c r="DU4">
        <f>'Entity Inputs'!DU10</f>
        <v/>
      </c>
      <c r="DV4">
        <f>'Entity Inputs'!DV10</f>
        <v/>
      </c>
      <c r="DW4">
        <f>'Entity Inputs'!DW10</f>
        <v/>
      </c>
      <c r="DX4">
        <f>'Entity Inputs'!DX10</f>
        <v/>
      </c>
      <c r="DY4">
        <f>'Entity Inputs'!DY10</f>
        <v/>
      </c>
      <c r="DZ4">
        <f>'Entity Inputs'!DZ10</f>
        <v/>
      </c>
      <c r="EA4">
        <f>'Entity Inputs'!EA10</f>
        <v/>
      </c>
      <c r="EB4">
        <f>'Entity Inputs'!EB10</f>
        <v/>
      </c>
      <c r="EC4">
        <f>'Entity Inputs'!EC10</f>
        <v/>
      </c>
      <c r="ED4">
        <f>'Entity Inputs'!ED10</f>
        <v/>
      </c>
      <c r="EE4">
        <f>'Entity Inputs'!EE10</f>
        <v/>
      </c>
      <c r="EF4">
        <f>'Entity Inputs'!EF10</f>
        <v/>
      </c>
      <c r="EG4">
        <f>'Entity Inputs'!EG10</f>
        <v/>
      </c>
      <c r="EH4">
        <f>'Entity Inputs'!EH10</f>
        <v/>
      </c>
      <c r="EI4">
        <f>'Entity Inputs'!EI10</f>
        <v/>
      </c>
      <c r="EJ4">
        <f>'Entity Inputs'!EJ10</f>
        <v/>
      </c>
      <c r="EK4">
        <f>'Entity Inputs'!EK10</f>
        <v/>
      </c>
      <c r="EL4">
        <f>'Entity Inputs'!EL10</f>
        <v/>
      </c>
      <c r="EM4">
        <f>'Entity Inputs'!EM10</f>
        <v/>
      </c>
      <c r="EN4">
        <f>'Entity Inputs'!EN10</f>
        <v/>
      </c>
      <c r="EO4">
        <f>'Entity Inputs'!EO10</f>
        <v/>
      </c>
      <c r="EP4">
        <f>'Entity Inputs'!EP10</f>
        <v/>
      </c>
      <c r="EQ4">
        <f>'Entity Inputs'!EQ10</f>
        <v/>
      </c>
      <c r="ER4">
        <f>'Entity Inputs'!ER10</f>
        <v/>
      </c>
      <c r="ES4">
        <f>'Entity Inputs'!ES10</f>
        <v/>
      </c>
      <c r="ET4">
        <f>'Entity Inputs'!ET10</f>
        <v/>
      </c>
      <c r="EU4">
        <f>'Entity Inputs'!EU10</f>
        <v/>
      </c>
      <c r="EV4">
        <f>'Entity Inputs'!EV10</f>
        <v/>
      </c>
      <c r="EW4">
        <f>'Entity Inputs'!EW10</f>
        <v/>
      </c>
      <c r="EX4">
        <f>'Entity Inputs'!EX10</f>
        <v/>
      </c>
      <c r="EY4">
        <f>'Entity Inputs'!EY10</f>
        <v/>
      </c>
      <c r="EZ4">
        <f>'Entity Inputs'!EZ10</f>
        <v/>
      </c>
      <c r="FA4">
        <f>'Entity Inputs'!FA10</f>
        <v/>
      </c>
      <c r="FB4">
        <f>'Entity Inputs'!FB10</f>
        <v/>
      </c>
      <c r="FC4">
        <f>'Entity Inputs'!FC10</f>
        <v/>
      </c>
      <c r="FD4">
        <f>'Entity Inputs'!FD10</f>
        <v/>
      </c>
      <c r="FE4">
        <f>'Entity Inputs'!FE10</f>
        <v/>
      </c>
      <c r="FF4">
        <f>'Entity Inputs'!FF10</f>
        <v/>
      </c>
      <c r="FG4">
        <f>'Entity Inputs'!FG10</f>
        <v/>
      </c>
      <c r="FH4">
        <f>'Entity Inputs'!FH10</f>
        <v/>
      </c>
      <c r="FI4">
        <f>'Entity Inputs'!FI10</f>
        <v/>
      </c>
      <c r="FJ4">
        <f>'Entity Inputs'!FJ10</f>
        <v/>
      </c>
      <c r="FK4">
        <f>'Entity Inputs'!FK10</f>
        <v/>
      </c>
      <c r="FL4">
        <f>'Entity Inputs'!FL10</f>
        <v/>
      </c>
      <c r="FM4">
        <f>'Entity Inputs'!FM10</f>
        <v/>
      </c>
      <c r="FN4">
        <f>'Entity Inputs'!FN10</f>
        <v/>
      </c>
      <c r="FO4">
        <f>'Entity Inputs'!FO10</f>
        <v/>
      </c>
      <c r="FP4">
        <f>'Entity Inputs'!FP10</f>
        <v/>
      </c>
      <c r="FQ4">
        <f>'Entity Inputs'!FQ10</f>
        <v/>
      </c>
      <c r="FR4">
        <f>'Entity Inputs'!FR10</f>
        <v/>
      </c>
      <c r="FS4">
        <f>'Entity Inputs'!FS10</f>
        <v/>
      </c>
      <c r="FT4">
        <f>'Entity Inputs'!FT10</f>
        <v/>
      </c>
      <c r="FU4">
        <f>'Entity Inputs'!FU10</f>
        <v/>
      </c>
      <c r="FV4">
        <f>AU4-V4-X4-BY4</f>
        <v/>
      </c>
      <c r="FW4">
        <f>FV4-AX4</f>
        <v/>
      </c>
      <c r="FX4">
        <f>CJ4+CL4-CK4</f>
        <v/>
      </c>
      <c r="FY4">
        <f>FX4-Parameters!$B$6</f>
        <v/>
      </c>
      <c r="FZ4">
        <f>FV4-BZ4-FY4</f>
        <v/>
      </c>
      <c r="GA4">
        <f>FZ4-DJ4</f>
        <v/>
      </c>
      <c r="GB4">
        <f>CB4-CC4</f>
        <v/>
      </c>
      <c r="GC4">
        <f>SUM(FV$4:FV4)*12/D4</f>
        <v/>
      </c>
      <c r="GD4">
        <f>IF(AU4=0,0,CJ4/AU4*C4)</f>
        <v/>
      </c>
      <c r="GE4">
        <f>IF(V4=0,0,CK4/V4*C4)</f>
        <v/>
      </c>
      <c r="GF4">
        <f>IF(V4=0,0,CL4/V4*C4)</f>
        <v/>
      </c>
      <c r="GG4">
        <f>IF(OR(AS4=0,AT4=0,AV4=0),0,100*((AU4/AS4)/(AV4/AT4)-1))</f>
        <v/>
      </c>
      <c r="GH4">
        <f>'Entity Inputs'!FV10</f>
        <v/>
      </c>
      <c r="GI4">
        <f>'Entity Inputs'!FW10</f>
        <v/>
      </c>
      <c r="GJ4">
        <f>'Entity Inputs'!FX10</f>
        <v/>
      </c>
      <c r="GK4">
        <f>'Entity Inputs'!FY10</f>
        <v/>
      </c>
      <c r="GL4">
        <f>'Entity Inputs'!FZ10</f>
        <v/>
      </c>
      <c r="GM4">
        <f>'Entity Inputs'!GA10</f>
        <v/>
      </c>
      <c r="GN4">
        <f>'Entity Inputs'!GB10</f>
        <v/>
      </c>
      <c r="GO4">
        <f>'Entity Inputs'!GC10</f>
        <v/>
      </c>
      <c r="GP4">
        <f>'Entity Inputs'!GD10</f>
        <v/>
      </c>
      <c r="GQ4">
        <f>'Entity Inputs'!GE10</f>
        <v/>
      </c>
      <c r="GR4">
        <f>'Entity Inputs'!GF10</f>
        <v/>
      </c>
    </row>
    <row r="5">
      <c r="A5" t="inlineStr">
        <is>
          <t>Entity A2</t>
        </is>
      </c>
      <c r="B5" t="inlineStr">
        <is>
          <t>2026-05</t>
        </is>
      </c>
      <c r="C5" t="n">
        <v>31</v>
      </c>
      <c r="D5" t="n">
        <v>2</v>
      </c>
      <c r="E5">
        <f>'Entity Inputs'!E11</f>
        <v/>
      </c>
      <c r="F5">
        <f>'Entity Inputs'!F11</f>
        <v/>
      </c>
      <c r="G5">
        <f>'Entity Inputs'!G11</f>
        <v/>
      </c>
      <c r="H5">
        <f>'Entity Inputs'!H11</f>
        <v/>
      </c>
      <c r="I5">
        <f>'Entity Inputs'!I11</f>
        <v/>
      </c>
      <c r="J5">
        <f>'Entity Inputs'!J11</f>
        <v/>
      </c>
      <c r="K5">
        <f>'Entity Inputs'!K11</f>
        <v/>
      </c>
      <c r="L5">
        <f>'Entity Inputs'!L11</f>
        <v/>
      </c>
      <c r="M5">
        <f>'Entity Inputs'!M11</f>
        <v/>
      </c>
      <c r="N5">
        <f>'Entity Inputs'!N11</f>
        <v/>
      </c>
      <c r="O5">
        <f>'Entity Inputs'!O11</f>
        <v/>
      </c>
      <c r="P5">
        <f>'Entity Inputs'!P11</f>
        <v/>
      </c>
      <c r="Q5">
        <f>'Entity Inputs'!Q11</f>
        <v/>
      </c>
      <c r="R5">
        <f>'Entity Inputs'!R11</f>
        <v/>
      </c>
      <c r="S5">
        <f>'Entity Inputs'!S11</f>
        <v/>
      </c>
      <c r="T5">
        <f>'Entity Inputs'!T11</f>
        <v/>
      </c>
      <c r="U5">
        <f>'Entity Inputs'!U11</f>
        <v/>
      </c>
      <c r="V5">
        <f>'Entity Inputs'!V11</f>
        <v/>
      </c>
      <c r="W5">
        <f>'Entity Inputs'!W11</f>
        <v/>
      </c>
      <c r="X5">
        <f>'Entity Inputs'!X11</f>
        <v/>
      </c>
      <c r="Y5">
        <f>'Entity Inputs'!Y11</f>
        <v/>
      </c>
      <c r="Z5">
        <f>'Entity Inputs'!Z11</f>
        <v/>
      </c>
      <c r="AA5">
        <f>'Entity Inputs'!AA11</f>
        <v/>
      </c>
      <c r="AB5">
        <f>'Entity Inputs'!AB11</f>
        <v/>
      </c>
      <c r="AC5">
        <f>'Entity Inputs'!AC11</f>
        <v/>
      </c>
      <c r="AD5">
        <f>'Entity Inputs'!AD11</f>
        <v/>
      </c>
      <c r="AE5">
        <f>'Entity Inputs'!AE11</f>
        <v/>
      </c>
      <c r="AF5">
        <f>'Entity Inputs'!AF11</f>
        <v/>
      </c>
      <c r="AG5">
        <f>'Entity Inputs'!AG11</f>
        <v/>
      </c>
      <c r="AH5">
        <f>'Entity Inputs'!AH11</f>
        <v/>
      </c>
      <c r="AI5">
        <f>'Entity Inputs'!AI11</f>
        <v/>
      </c>
      <c r="AJ5">
        <f>'Entity Inputs'!AJ11</f>
        <v/>
      </c>
      <c r="AK5">
        <f>'Entity Inputs'!AK11</f>
        <v/>
      </c>
      <c r="AL5">
        <f>'Entity Inputs'!AL11</f>
        <v/>
      </c>
      <c r="AM5">
        <f>'Entity Inputs'!AM11</f>
        <v/>
      </c>
      <c r="AN5">
        <f>'Entity Inputs'!AN11</f>
        <v/>
      </c>
      <c r="AO5">
        <f>'Entity Inputs'!AO11</f>
        <v/>
      </c>
      <c r="AP5">
        <f>'Entity Inputs'!AP11</f>
        <v/>
      </c>
      <c r="AQ5">
        <f>'Entity Inputs'!AQ11</f>
        <v/>
      </c>
      <c r="AR5">
        <f>'Entity Inputs'!AR11</f>
        <v/>
      </c>
      <c r="AS5">
        <f>'Entity Inputs'!AS11</f>
        <v/>
      </c>
      <c r="AT5">
        <f>'Entity Inputs'!AT11</f>
        <v/>
      </c>
      <c r="AU5">
        <f>'Entity Inputs'!AU11</f>
        <v/>
      </c>
      <c r="AV5">
        <f>'Entity Inputs'!AV11</f>
        <v/>
      </c>
      <c r="AW5">
        <f>'Entity Inputs'!AW11</f>
        <v/>
      </c>
      <c r="AX5">
        <f>'Entity Inputs'!AX11</f>
        <v/>
      </c>
      <c r="AY5">
        <f>'Entity Inputs'!AY11</f>
        <v/>
      </c>
      <c r="AZ5">
        <f>'Entity Inputs'!AZ11</f>
        <v/>
      </c>
      <c r="BA5">
        <f>'Entity Inputs'!BA11</f>
        <v/>
      </c>
      <c r="BB5">
        <f>'Entity Inputs'!BB11</f>
        <v/>
      </c>
      <c r="BC5">
        <f>'Entity Inputs'!BC11</f>
        <v/>
      </c>
      <c r="BD5">
        <f>'Entity Inputs'!BD11</f>
        <v/>
      </c>
      <c r="BE5">
        <f>'Entity Inputs'!BE11</f>
        <v/>
      </c>
      <c r="BF5">
        <f>'Entity Inputs'!BF11</f>
        <v/>
      </c>
      <c r="BG5">
        <f>'Entity Inputs'!BG11</f>
        <v/>
      </c>
      <c r="BH5">
        <f>'Entity Inputs'!BH11</f>
        <v/>
      </c>
      <c r="BI5">
        <f>'Entity Inputs'!BI11</f>
        <v/>
      </c>
      <c r="BJ5">
        <f>'Entity Inputs'!BJ11</f>
        <v/>
      </c>
      <c r="BK5">
        <f>'Entity Inputs'!BK11</f>
        <v/>
      </c>
      <c r="BL5">
        <f>'Entity Inputs'!BL11</f>
        <v/>
      </c>
      <c r="BM5">
        <f>'Entity Inputs'!BM11</f>
        <v/>
      </c>
      <c r="BN5">
        <f>'Entity Inputs'!BN11</f>
        <v/>
      </c>
      <c r="BO5">
        <f>'Entity Inputs'!BO11</f>
        <v/>
      </c>
      <c r="BP5">
        <f>'Entity Inputs'!BP11</f>
        <v/>
      </c>
      <c r="BQ5">
        <f>'Entity Inputs'!BQ11</f>
        <v/>
      </c>
      <c r="BR5">
        <f>'Entity Inputs'!BR11</f>
        <v/>
      </c>
      <c r="BS5">
        <f>'Entity Inputs'!BS11</f>
        <v/>
      </c>
      <c r="BT5">
        <f>'Entity Inputs'!BT11</f>
        <v/>
      </c>
      <c r="BU5">
        <f>'Entity Inputs'!BU11</f>
        <v/>
      </c>
      <c r="BV5">
        <f>'Entity Inputs'!BV11</f>
        <v/>
      </c>
      <c r="BW5">
        <f>'Entity Inputs'!BW11</f>
        <v/>
      </c>
      <c r="BX5">
        <f>'Entity Inputs'!BX11</f>
        <v/>
      </c>
      <c r="BY5">
        <f>'Entity Inputs'!BY11</f>
        <v/>
      </c>
      <c r="BZ5">
        <f>'Entity Inputs'!BZ11</f>
        <v/>
      </c>
      <c r="CA5">
        <f>'Entity Inputs'!CA11</f>
        <v/>
      </c>
      <c r="CB5">
        <f>'Entity Inputs'!CB11</f>
        <v/>
      </c>
      <c r="CC5">
        <f>'Entity Inputs'!CC11</f>
        <v/>
      </c>
      <c r="CD5">
        <f>'Entity Inputs'!CD11</f>
        <v/>
      </c>
      <c r="CE5">
        <f>'Entity Inputs'!CE11</f>
        <v/>
      </c>
      <c r="CF5">
        <f>'Entity Inputs'!CF11</f>
        <v/>
      </c>
      <c r="CG5">
        <f>'Entity Inputs'!CG11</f>
        <v/>
      </c>
      <c r="CH5">
        <f>'Entity Inputs'!CH11</f>
        <v/>
      </c>
      <c r="CI5">
        <f>'Entity Inputs'!CI11</f>
        <v/>
      </c>
      <c r="CJ5">
        <f>'Entity Inputs'!CJ11</f>
        <v/>
      </c>
      <c r="CK5">
        <f>'Entity Inputs'!CK11</f>
        <v/>
      </c>
      <c r="CL5">
        <f>'Entity Inputs'!CL11</f>
        <v/>
      </c>
      <c r="CM5">
        <f>'Entity Inputs'!CM11</f>
        <v/>
      </c>
      <c r="CN5">
        <f>'Entity Inputs'!CN11</f>
        <v/>
      </c>
      <c r="CO5">
        <f>'Entity Inputs'!CO11</f>
        <v/>
      </c>
      <c r="CP5">
        <f>'Entity Inputs'!CP11</f>
        <v/>
      </c>
      <c r="CQ5">
        <f>'Entity Inputs'!CQ11</f>
        <v/>
      </c>
      <c r="CR5">
        <f>'Entity Inputs'!CR11</f>
        <v/>
      </c>
      <c r="CS5">
        <f>'Entity Inputs'!CS11</f>
        <v/>
      </c>
      <c r="CT5">
        <f>'Entity Inputs'!CT11</f>
        <v/>
      </c>
      <c r="CU5">
        <f>'Entity Inputs'!CU11</f>
        <v/>
      </c>
      <c r="CV5">
        <f>'Entity Inputs'!CV11</f>
        <v/>
      </c>
      <c r="CW5">
        <f>'Entity Inputs'!CW11</f>
        <v/>
      </c>
      <c r="CX5">
        <f>'Entity Inputs'!CX11</f>
        <v/>
      </c>
      <c r="CY5">
        <f>'Entity Inputs'!CY11</f>
        <v/>
      </c>
      <c r="CZ5">
        <f>'Entity Inputs'!CZ11</f>
        <v/>
      </c>
      <c r="DA5">
        <f>'Entity Inputs'!DA11</f>
        <v/>
      </c>
      <c r="DB5">
        <f>'Entity Inputs'!DB11</f>
        <v/>
      </c>
      <c r="DC5">
        <f>'Entity Inputs'!DC11</f>
        <v/>
      </c>
      <c r="DD5">
        <f>'Entity Inputs'!DD11</f>
        <v/>
      </c>
      <c r="DE5">
        <f>'Entity Inputs'!DE11</f>
        <v/>
      </c>
      <c r="DF5">
        <f>'Entity Inputs'!DF11</f>
        <v/>
      </c>
      <c r="DG5">
        <f>'Entity Inputs'!DG11</f>
        <v/>
      </c>
      <c r="DH5">
        <f>'Entity Inputs'!DH11</f>
        <v/>
      </c>
      <c r="DI5">
        <f>'Entity Inputs'!DI11</f>
        <v/>
      </c>
      <c r="DJ5">
        <f>'Entity Inputs'!DJ11</f>
        <v/>
      </c>
      <c r="DK5">
        <f>'Entity Inputs'!DK11</f>
        <v/>
      </c>
      <c r="DL5">
        <f>'Entity Inputs'!DL11</f>
        <v/>
      </c>
      <c r="DM5">
        <f>'Entity Inputs'!DM11</f>
        <v/>
      </c>
      <c r="DN5">
        <f>'Entity Inputs'!DN11</f>
        <v/>
      </c>
      <c r="DO5">
        <f>'Entity Inputs'!DO11</f>
        <v/>
      </c>
      <c r="DP5">
        <f>'Entity Inputs'!DP11</f>
        <v/>
      </c>
      <c r="DQ5">
        <f>'Entity Inputs'!DQ11</f>
        <v/>
      </c>
      <c r="DR5">
        <f>'Entity Inputs'!DR11</f>
        <v/>
      </c>
      <c r="DS5">
        <f>'Entity Inputs'!DS11</f>
        <v/>
      </c>
      <c r="DT5">
        <f>'Entity Inputs'!DT11</f>
        <v/>
      </c>
      <c r="DU5">
        <f>'Entity Inputs'!DU11</f>
        <v/>
      </c>
      <c r="DV5">
        <f>'Entity Inputs'!DV11</f>
        <v/>
      </c>
      <c r="DW5">
        <f>'Entity Inputs'!DW11</f>
        <v/>
      </c>
      <c r="DX5">
        <f>'Entity Inputs'!DX11</f>
        <v/>
      </c>
      <c r="DY5">
        <f>'Entity Inputs'!DY11</f>
        <v/>
      </c>
      <c r="DZ5">
        <f>'Entity Inputs'!DZ11</f>
        <v/>
      </c>
      <c r="EA5">
        <f>'Entity Inputs'!EA11</f>
        <v/>
      </c>
      <c r="EB5">
        <f>'Entity Inputs'!EB11</f>
        <v/>
      </c>
      <c r="EC5">
        <f>'Entity Inputs'!EC11</f>
        <v/>
      </c>
      <c r="ED5">
        <f>'Entity Inputs'!ED11</f>
        <v/>
      </c>
      <c r="EE5">
        <f>'Entity Inputs'!EE11</f>
        <v/>
      </c>
      <c r="EF5">
        <f>'Entity Inputs'!EF11</f>
        <v/>
      </c>
      <c r="EG5">
        <f>'Entity Inputs'!EG11</f>
        <v/>
      </c>
      <c r="EH5">
        <f>'Entity Inputs'!EH11</f>
        <v/>
      </c>
      <c r="EI5">
        <f>'Entity Inputs'!EI11</f>
        <v/>
      </c>
      <c r="EJ5">
        <f>'Entity Inputs'!EJ11</f>
        <v/>
      </c>
      <c r="EK5">
        <f>'Entity Inputs'!EK11</f>
        <v/>
      </c>
      <c r="EL5">
        <f>'Entity Inputs'!EL11</f>
        <v/>
      </c>
      <c r="EM5">
        <f>'Entity Inputs'!EM11</f>
        <v/>
      </c>
      <c r="EN5">
        <f>'Entity Inputs'!EN11</f>
        <v/>
      </c>
      <c r="EO5">
        <f>'Entity Inputs'!EO11</f>
        <v/>
      </c>
      <c r="EP5">
        <f>'Entity Inputs'!EP11</f>
        <v/>
      </c>
      <c r="EQ5">
        <f>'Entity Inputs'!EQ11</f>
        <v/>
      </c>
      <c r="ER5">
        <f>'Entity Inputs'!ER11</f>
        <v/>
      </c>
      <c r="ES5">
        <f>'Entity Inputs'!ES11</f>
        <v/>
      </c>
      <c r="ET5">
        <f>'Entity Inputs'!ET11</f>
        <v/>
      </c>
      <c r="EU5">
        <f>'Entity Inputs'!EU11</f>
        <v/>
      </c>
      <c r="EV5">
        <f>'Entity Inputs'!EV11</f>
        <v/>
      </c>
      <c r="EW5">
        <f>'Entity Inputs'!EW11</f>
        <v/>
      </c>
      <c r="EX5">
        <f>'Entity Inputs'!EX11</f>
        <v/>
      </c>
      <c r="EY5">
        <f>'Entity Inputs'!EY11</f>
        <v/>
      </c>
      <c r="EZ5">
        <f>'Entity Inputs'!EZ11</f>
        <v/>
      </c>
      <c r="FA5">
        <f>'Entity Inputs'!FA11</f>
        <v/>
      </c>
      <c r="FB5">
        <f>'Entity Inputs'!FB11</f>
        <v/>
      </c>
      <c r="FC5">
        <f>'Entity Inputs'!FC11</f>
        <v/>
      </c>
      <c r="FD5">
        <f>'Entity Inputs'!FD11</f>
        <v/>
      </c>
      <c r="FE5">
        <f>'Entity Inputs'!FE11</f>
        <v/>
      </c>
      <c r="FF5">
        <f>'Entity Inputs'!FF11</f>
        <v/>
      </c>
      <c r="FG5">
        <f>'Entity Inputs'!FG11</f>
        <v/>
      </c>
      <c r="FH5">
        <f>'Entity Inputs'!FH11</f>
        <v/>
      </c>
      <c r="FI5">
        <f>'Entity Inputs'!FI11</f>
        <v/>
      </c>
      <c r="FJ5">
        <f>'Entity Inputs'!FJ11</f>
        <v/>
      </c>
      <c r="FK5">
        <f>'Entity Inputs'!FK11</f>
        <v/>
      </c>
      <c r="FL5">
        <f>'Entity Inputs'!FL11</f>
        <v/>
      </c>
      <c r="FM5">
        <f>'Entity Inputs'!FM11</f>
        <v/>
      </c>
      <c r="FN5">
        <f>'Entity Inputs'!FN11</f>
        <v/>
      </c>
      <c r="FO5">
        <f>'Entity Inputs'!FO11</f>
        <v/>
      </c>
      <c r="FP5">
        <f>'Entity Inputs'!FP11</f>
        <v/>
      </c>
      <c r="FQ5">
        <f>'Entity Inputs'!FQ11</f>
        <v/>
      </c>
      <c r="FR5">
        <f>'Entity Inputs'!FR11</f>
        <v/>
      </c>
      <c r="FS5">
        <f>'Entity Inputs'!FS11</f>
        <v/>
      </c>
      <c r="FT5">
        <f>'Entity Inputs'!FT11</f>
        <v/>
      </c>
      <c r="FU5">
        <f>'Entity Inputs'!FU11</f>
        <v/>
      </c>
      <c r="FV5">
        <f>AU5-V5-X5-BY5</f>
        <v/>
      </c>
      <c r="FW5">
        <f>FV5-AX5</f>
        <v/>
      </c>
      <c r="FX5">
        <f>CJ5+CL5-CK5</f>
        <v/>
      </c>
      <c r="FY5">
        <f>FX5-FX4</f>
        <v/>
      </c>
      <c r="FZ5">
        <f>FV5-BZ5-FY5</f>
        <v/>
      </c>
      <c r="GA5">
        <f>FZ5-DJ5</f>
        <v/>
      </c>
      <c r="GB5">
        <f>CB5-CC5</f>
        <v/>
      </c>
      <c r="GC5">
        <f>SUM(FV$4:FV5)*12/D5</f>
        <v/>
      </c>
      <c r="GD5">
        <f>IF(AU5=0,0,CJ5/AU5*C5)</f>
        <v/>
      </c>
      <c r="GE5">
        <f>IF(V5=0,0,CK5/V5*C5)</f>
        <v/>
      </c>
      <c r="GF5">
        <f>IF(V5=0,0,CL5/V5*C5)</f>
        <v/>
      </c>
      <c r="GG5">
        <f>IF(OR(AS5=0,AT5=0,AV5=0),0,100*((AU5/AS5)/(AV5/AT5)-1))</f>
        <v/>
      </c>
      <c r="GH5">
        <f>'Entity Inputs'!FV11</f>
        <v/>
      </c>
      <c r="GI5">
        <f>'Entity Inputs'!FW11</f>
        <v/>
      </c>
      <c r="GJ5">
        <f>'Entity Inputs'!FX11</f>
        <v/>
      </c>
      <c r="GK5">
        <f>'Entity Inputs'!FY11</f>
        <v/>
      </c>
      <c r="GL5">
        <f>'Entity Inputs'!FZ11</f>
        <v/>
      </c>
      <c r="GM5">
        <f>'Entity Inputs'!GA11</f>
        <v/>
      </c>
      <c r="GN5">
        <f>'Entity Inputs'!GB11</f>
        <v/>
      </c>
      <c r="GO5">
        <f>'Entity Inputs'!GC11</f>
        <v/>
      </c>
      <c r="GP5">
        <f>'Entity Inputs'!GD11</f>
        <v/>
      </c>
      <c r="GQ5">
        <f>'Entity Inputs'!GE11</f>
        <v/>
      </c>
      <c r="GR5">
        <f>'Entity Inputs'!GF11</f>
        <v/>
      </c>
    </row>
    <row r="6">
      <c r="A6" t="inlineStr">
        <is>
          <t>Entity A2</t>
        </is>
      </c>
      <c r="B6" t="inlineStr">
        <is>
          <t>2026-06</t>
        </is>
      </c>
      <c r="C6" t="n">
        <v>30</v>
      </c>
      <c r="D6" t="n">
        <v>3</v>
      </c>
      <c r="E6">
        <f>'Entity Inputs'!E12</f>
        <v/>
      </c>
      <c r="F6">
        <f>'Entity Inputs'!F12</f>
        <v/>
      </c>
      <c r="G6">
        <f>'Entity Inputs'!G12</f>
        <v/>
      </c>
      <c r="H6">
        <f>'Entity Inputs'!H12</f>
        <v/>
      </c>
      <c r="I6">
        <f>'Entity Inputs'!I12</f>
        <v/>
      </c>
      <c r="J6">
        <f>'Entity Inputs'!J12</f>
        <v/>
      </c>
      <c r="K6">
        <f>'Entity Inputs'!K12</f>
        <v/>
      </c>
      <c r="L6">
        <f>'Entity Inputs'!L12</f>
        <v/>
      </c>
      <c r="M6">
        <f>'Entity Inputs'!M12</f>
        <v/>
      </c>
      <c r="N6">
        <f>'Entity Inputs'!N12</f>
        <v/>
      </c>
      <c r="O6">
        <f>'Entity Inputs'!O12</f>
        <v/>
      </c>
      <c r="P6">
        <f>'Entity Inputs'!P12</f>
        <v/>
      </c>
      <c r="Q6">
        <f>'Entity Inputs'!Q12</f>
        <v/>
      </c>
      <c r="R6">
        <f>'Entity Inputs'!R12</f>
        <v/>
      </c>
      <c r="S6">
        <f>'Entity Inputs'!S12</f>
        <v/>
      </c>
      <c r="T6">
        <f>'Entity Inputs'!T12</f>
        <v/>
      </c>
      <c r="U6">
        <f>'Entity Inputs'!U12</f>
        <v/>
      </c>
      <c r="V6">
        <f>'Entity Inputs'!V12</f>
        <v/>
      </c>
      <c r="W6">
        <f>'Entity Inputs'!W12</f>
        <v/>
      </c>
      <c r="X6">
        <f>'Entity Inputs'!X12</f>
        <v/>
      </c>
      <c r="Y6">
        <f>'Entity Inputs'!Y12</f>
        <v/>
      </c>
      <c r="Z6">
        <f>'Entity Inputs'!Z12</f>
        <v/>
      </c>
      <c r="AA6">
        <f>'Entity Inputs'!AA12</f>
        <v/>
      </c>
      <c r="AB6">
        <f>'Entity Inputs'!AB12</f>
        <v/>
      </c>
      <c r="AC6">
        <f>'Entity Inputs'!AC12</f>
        <v/>
      </c>
      <c r="AD6">
        <f>'Entity Inputs'!AD12</f>
        <v/>
      </c>
      <c r="AE6">
        <f>'Entity Inputs'!AE12</f>
        <v/>
      </c>
      <c r="AF6">
        <f>'Entity Inputs'!AF12</f>
        <v/>
      </c>
      <c r="AG6">
        <f>'Entity Inputs'!AG12</f>
        <v/>
      </c>
      <c r="AH6">
        <f>'Entity Inputs'!AH12</f>
        <v/>
      </c>
      <c r="AI6">
        <f>'Entity Inputs'!AI12</f>
        <v/>
      </c>
      <c r="AJ6">
        <f>'Entity Inputs'!AJ12</f>
        <v/>
      </c>
      <c r="AK6">
        <f>'Entity Inputs'!AK12</f>
        <v/>
      </c>
      <c r="AL6">
        <f>'Entity Inputs'!AL12</f>
        <v/>
      </c>
      <c r="AM6">
        <f>'Entity Inputs'!AM12</f>
        <v/>
      </c>
      <c r="AN6">
        <f>'Entity Inputs'!AN12</f>
        <v/>
      </c>
      <c r="AO6">
        <f>'Entity Inputs'!AO12</f>
        <v/>
      </c>
      <c r="AP6">
        <f>'Entity Inputs'!AP12</f>
        <v/>
      </c>
      <c r="AQ6">
        <f>'Entity Inputs'!AQ12</f>
        <v/>
      </c>
      <c r="AR6">
        <f>'Entity Inputs'!AR12</f>
        <v/>
      </c>
      <c r="AS6">
        <f>'Entity Inputs'!AS12</f>
        <v/>
      </c>
      <c r="AT6">
        <f>'Entity Inputs'!AT12</f>
        <v/>
      </c>
      <c r="AU6">
        <f>'Entity Inputs'!AU12</f>
        <v/>
      </c>
      <c r="AV6">
        <f>'Entity Inputs'!AV12</f>
        <v/>
      </c>
      <c r="AW6">
        <f>'Entity Inputs'!AW12</f>
        <v/>
      </c>
      <c r="AX6">
        <f>'Entity Inputs'!AX12</f>
        <v/>
      </c>
      <c r="AY6">
        <f>'Entity Inputs'!AY12</f>
        <v/>
      </c>
      <c r="AZ6">
        <f>'Entity Inputs'!AZ12</f>
        <v/>
      </c>
      <c r="BA6">
        <f>'Entity Inputs'!BA12</f>
        <v/>
      </c>
      <c r="BB6">
        <f>'Entity Inputs'!BB12</f>
        <v/>
      </c>
      <c r="BC6">
        <f>'Entity Inputs'!BC12</f>
        <v/>
      </c>
      <c r="BD6">
        <f>'Entity Inputs'!BD12</f>
        <v/>
      </c>
      <c r="BE6">
        <f>'Entity Inputs'!BE12</f>
        <v/>
      </c>
      <c r="BF6">
        <f>'Entity Inputs'!BF12</f>
        <v/>
      </c>
      <c r="BG6">
        <f>'Entity Inputs'!BG12</f>
        <v/>
      </c>
      <c r="BH6">
        <f>'Entity Inputs'!BH12</f>
        <v/>
      </c>
      <c r="BI6">
        <f>'Entity Inputs'!BI12</f>
        <v/>
      </c>
      <c r="BJ6">
        <f>'Entity Inputs'!BJ12</f>
        <v/>
      </c>
      <c r="BK6">
        <f>'Entity Inputs'!BK12</f>
        <v/>
      </c>
      <c r="BL6">
        <f>'Entity Inputs'!BL12</f>
        <v/>
      </c>
      <c r="BM6">
        <f>'Entity Inputs'!BM12</f>
        <v/>
      </c>
      <c r="BN6">
        <f>'Entity Inputs'!BN12</f>
        <v/>
      </c>
      <c r="BO6">
        <f>'Entity Inputs'!BO12</f>
        <v/>
      </c>
      <c r="BP6">
        <f>'Entity Inputs'!BP12</f>
        <v/>
      </c>
      <c r="BQ6">
        <f>'Entity Inputs'!BQ12</f>
        <v/>
      </c>
      <c r="BR6">
        <f>'Entity Inputs'!BR12</f>
        <v/>
      </c>
      <c r="BS6">
        <f>'Entity Inputs'!BS12</f>
        <v/>
      </c>
      <c r="BT6">
        <f>'Entity Inputs'!BT12</f>
        <v/>
      </c>
      <c r="BU6">
        <f>'Entity Inputs'!BU12</f>
        <v/>
      </c>
      <c r="BV6">
        <f>'Entity Inputs'!BV12</f>
        <v/>
      </c>
      <c r="BW6">
        <f>'Entity Inputs'!BW12</f>
        <v/>
      </c>
      <c r="BX6">
        <f>'Entity Inputs'!BX12</f>
        <v/>
      </c>
      <c r="BY6">
        <f>'Entity Inputs'!BY12</f>
        <v/>
      </c>
      <c r="BZ6">
        <f>'Entity Inputs'!BZ12</f>
        <v/>
      </c>
      <c r="CA6">
        <f>'Entity Inputs'!CA12</f>
        <v/>
      </c>
      <c r="CB6">
        <f>'Entity Inputs'!CB12</f>
        <v/>
      </c>
      <c r="CC6">
        <f>'Entity Inputs'!CC12</f>
        <v/>
      </c>
      <c r="CD6">
        <f>'Entity Inputs'!CD12</f>
        <v/>
      </c>
      <c r="CE6">
        <f>'Entity Inputs'!CE12</f>
        <v/>
      </c>
      <c r="CF6">
        <f>'Entity Inputs'!CF12</f>
        <v/>
      </c>
      <c r="CG6">
        <f>'Entity Inputs'!CG12</f>
        <v/>
      </c>
      <c r="CH6">
        <f>'Entity Inputs'!CH12</f>
        <v/>
      </c>
      <c r="CI6">
        <f>'Entity Inputs'!CI12</f>
        <v/>
      </c>
      <c r="CJ6">
        <f>'Entity Inputs'!CJ12</f>
        <v/>
      </c>
      <c r="CK6">
        <f>'Entity Inputs'!CK12</f>
        <v/>
      </c>
      <c r="CL6">
        <f>'Entity Inputs'!CL12</f>
        <v/>
      </c>
      <c r="CM6">
        <f>'Entity Inputs'!CM12</f>
        <v/>
      </c>
      <c r="CN6">
        <f>'Entity Inputs'!CN12</f>
        <v/>
      </c>
      <c r="CO6">
        <f>'Entity Inputs'!CO12</f>
        <v/>
      </c>
      <c r="CP6">
        <f>'Entity Inputs'!CP12</f>
        <v/>
      </c>
      <c r="CQ6">
        <f>'Entity Inputs'!CQ12</f>
        <v/>
      </c>
      <c r="CR6">
        <f>'Entity Inputs'!CR12</f>
        <v/>
      </c>
      <c r="CS6">
        <f>'Entity Inputs'!CS12</f>
        <v/>
      </c>
      <c r="CT6">
        <f>'Entity Inputs'!CT12</f>
        <v/>
      </c>
      <c r="CU6">
        <f>'Entity Inputs'!CU12</f>
        <v/>
      </c>
      <c r="CV6">
        <f>'Entity Inputs'!CV12</f>
        <v/>
      </c>
      <c r="CW6">
        <f>'Entity Inputs'!CW12</f>
        <v/>
      </c>
      <c r="CX6">
        <f>'Entity Inputs'!CX12</f>
        <v/>
      </c>
      <c r="CY6">
        <f>'Entity Inputs'!CY12</f>
        <v/>
      </c>
      <c r="CZ6">
        <f>'Entity Inputs'!CZ12</f>
        <v/>
      </c>
      <c r="DA6">
        <f>'Entity Inputs'!DA12</f>
        <v/>
      </c>
      <c r="DB6">
        <f>'Entity Inputs'!DB12</f>
        <v/>
      </c>
      <c r="DC6">
        <f>'Entity Inputs'!DC12</f>
        <v/>
      </c>
      <c r="DD6">
        <f>'Entity Inputs'!DD12</f>
        <v/>
      </c>
      <c r="DE6">
        <f>'Entity Inputs'!DE12</f>
        <v/>
      </c>
      <c r="DF6">
        <f>'Entity Inputs'!DF12</f>
        <v/>
      </c>
      <c r="DG6">
        <f>'Entity Inputs'!DG12</f>
        <v/>
      </c>
      <c r="DH6">
        <f>'Entity Inputs'!DH12</f>
        <v/>
      </c>
      <c r="DI6">
        <f>'Entity Inputs'!DI12</f>
        <v/>
      </c>
      <c r="DJ6">
        <f>'Entity Inputs'!DJ12</f>
        <v/>
      </c>
      <c r="DK6">
        <f>'Entity Inputs'!DK12</f>
        <v/>
      </c>
      <c r="DL6">
        <f>'Entity Inputs'!DL12</f>
        <v/>
      </c>
      <c r="DM6">
        <f>'Entity Inputs'!DM12</f>
        <v/>
      </c>
      <c r="DN6">
        <f>'Entity Inputs'!DN12</f>
        <v/>
      </c>
      <c r="DO6">
        <f>'Entity Inputs'!DO12</f>
        <v/>
      </c>
      <c r="DP6">
        <f>'Entity Inputs'!DP12</f>
        <v/>
      </c>
      <c r="DQ6">
        <f>'Entity Inputs'!DQ12</f>
        <v/>
      </c>
      <c r="DR6">
        <f>'Entity Inputs'!DR12</f>
        <v/>
      </c>
      <c r="DS6">
        <f>'Entity Inputs'!DS12</f>
        <v/>
      </c>
      <c r="DT6">
        <f>'Entity Inputs'!DT12</f>
        <v/>
      </c>
      <c r="DU6">
        <f>'Entity Inputs'!DU12</f>
        <v/>
      </c>
      <c r="DV6">
        <f>'Entity Inputs'!DV12</f>
        <v/>
      </c>
      <c r="DW6">
        <f>'Entity Inputs'!DW12</f>
        <v/>
      </c>
      <c r="DX6">
        <f>'Entity Inputs'!DX12</f>
        <v/>
      </c>
      <c r="DY6">
        <f>'Entity Inputs'!DY12</f>
        <v/>
      </c>
      <c r="DZ6">
        <f>'Entity Inputs'!DZ12</f>
        <v/>
      </c>
      <c r="EA6">
        <f>'Entity Inputs'!EA12</f>
        <v/>
      </c>
      <c r="EB6">
        <f>'Entity Inputs'!EB12</f>
        <v/>
      </c>
      <c r="EC6">
        <f>'Entity Inputs'!EC12</f>
        <v/>
      </c>
      <c r="ED6">
        <f>'Entity Inputs'!ED12</f>
        <v/>
      </c>
      <c r="EE6">
        <f>'Entity Inputs'!EE12</f>
        <v/>
      </c>
      <c r="EF6">
        <f>'Entity Inputs'!EF12</f>
        <v/>
      </c>
      <c r="EG6">
        <f>'Entity Inputs'!EG12</f>
        <v/>
      </c>
      <c r="EH6">
        <f>'Entity Inputs'!EH12</f>
        <v/>
      </c>
      <c r="EI6">
        <f>'Entity Inputs'!EI12</f>
        <v/>
      </c>
      <c r="EJ6">
        <f>'Entity Inputs'!EJ12</f>
        <v/>
      </c>
      <c r="EK6">
        <f>'Entity Inputs'!EK12</f>
        <v/>
      </c>
      <c r="EL6">
        <f>'Entity Inputs'!EL12</f>
        <v/>
      </c>
      <c r="EM6">
        <f>'Entity Inputs'!EM12</f>
        <v/>
      </c>
      <c r="EN6">
        <f>'Entity Inputs'!EN12</f>
        <v/>
      </c>
      <c r="EO6">
        <f>'Entity Inputs'!EO12</f>
        <v/>
      </c>
      <c r="EP6">
        <f>'Entity Inputs'!EP12</f>
        <v/>
      </c>
      <c r="EQ6">
        <f>'Entity Inputs'!EQ12</f>
        <v/>
      </c>
      <c r="ER6">
        <f>'Entity Inputs'!ER12</f>
        <v/>
      </c>
      <c r="ES6">
        <f>'Entity Inputs'!ES12</f>
        <v/>
      </c>
      <c r="ET6">
        <f>'Entity Inputs'!ET12</f>
        <v/>
      </c>
      <c r="EU6">
        <f>'Entity Inputs'!EU12</f>
        <v/>
      </c>
      <c r="EV6">
        <f>'Entity Inputs'!EV12</f>
        <v/>
      </c>
      <c r="EW6">
        <f>'Entity Inputs'!EW12</f>
        <v/>
      </c>
      <c r="EX6">
        <f>'Entity Inputs'!EX12</f>
        <v/>
      </c>
      <c r="EY6">
        <f>'Entity Inputs'!EY12</f>
        <v/>
      </c>
      <c r="EZ6">
        <f>'Entity Inputs'!EZ12</f>
        <v/>
      </c>
      <c r="FA6">
        <f>'Entity Inputs'!FA12</f>
        <v/>
      </c>
      <c r="FB6">
        <f>'Entity Inputs'!FB12</f>
        <v/>
      </c>
      <c r="FC6">
        <f>'Entity Inputs'!FC12</f>
        <v/>
      </c>
      <c r="FD6">
        <f>'Entity Inputs'!FD12</f>
        <v/>
      </c>
      <c r="FE6">
        <f>'Entity Inputs'!FE12</f>
        <v/>
      </c>
      <c r="FF6">
        <f>'Entity Inputs'!FF12</f>
        <v/>
      </c>
      <c r="FG6">
        <f>'Entity Inputs'!FG12</f>
        <v/>
      </c>
      <c r="FH6">
        <f>'Entity Inputs'!FH12</f>
        <v/>
      </c>
      <c r="FI6">
        <f>'Entity Inputs'!FI12</f>
        <v/>
      </c>
      <c r="FJ6">
        <f>'Entity Inputs'!FJ12</f>
        <v/>
      </c>
      <c r="FK6">
        <f>'Entity Inputs'!FK12</f>
        <v/>
      </c>
      <c r="FL6">
        <f>'Entity Inputs'!FL12</f>
        <v/>
      </c>
      <c r="FM6">
        <f>'Entity Inputs'!FM12</f>
        <v/>
      </c>
      <c r="FN6">
        <f>'Entity Inputs'!FN12</f>
        <v/>
      </c>
      <c r="FO6">
        <f>'Entity Inputs'!FO12</f>
        <v/>
      </c>
      <c r="FP6">
        <f>'Entity Inputs'!FP12</f>
        <v/>
      </c>
      <c r="FQ6">
        <f>'Entity Inputs'!FQ12</f>
        <v/>
      </c>
      <c r="FR6">
        <f>'Entity Inputs'!FR12</f>
        <v/>
      </c>
      <c r="FS6">
        <f>'Entity Inputs'!FS12</f>
        <v/>
      </c>
      <c r="FT6">
        <f>'Entity Inputs'!FT12</f>
        <v/>
      </c>
      <c r="FU6">
        <f>'Entity Inputs'!FU12</f>
        <v/>
      </c>
      <c r="FV6">
        <f>AU6-V6-X6-BY6</f>
        <v/>
      </c>
      <c r="FW6">
        <f>FV6-AX6</f>
        <v/>
      </c>
      <c r="FX6">
        <f>CJ6+CL6-CK6</f>
        <v/>
      </c>
      <c r="FY6">
        <f>FX6-FX5</f>
        <v/>
      </c>
      <c r="FZ6">
        <f>FV6-BZ6-FY6</f>
        <v/>
      </c>
      <c r="GA6">
        <f>FZ6-DJ6</f>
        <v/>
      </c>
      <c r="GB6">
        <f>CB6-CC6</f>
        <v/>
      </c>
      <c r="GC6">
        <f>SUM(FV$4:FV6)*12/D6</f>
        <v/>
      </c>
      <c r="GD6">
        <f>IF(AU6=0,0,CJ6/AU6*C6)</f>
        <v/>
      </c>
      <c r="GE6">
        <f>IF(V6=0,0,CK6/V6*C6)</f>
        <v/>
      </c>
      <c r="GF6">
        <f>IF(V6=0,0,CL6/V6*C6)</f>
        <v/>
      </c>
      <c r="GG6">
        <f>IF(OR(AS6=0,AT6=0,AV6=0),0,100*((AU6/AS6)/(AV6/AT6)-1))</f>
        <v/>
      </c>
      <c r="GH6">
        <f>'Entity Inputs'!FV12</f>
        <v/>
      </c>
      <c r="GI6">
        <f>'Entity Inputs'!FW12</f>
        <v/>
      </c>
      <c r="GJ6">
        <f>'Entity Inputs'!FX12</f>
        <v/>
      </c>
      <c r="GK6">
        <f>'Entity Inputs'!FY12</f>
        <v/>
      </c>
      <c r="GL6">
        <f>'Entity Inputs'!FZ12</f>
        <v/>
      </c>
      <c r="GM6">
        <f>'Entity Inputs'!GA12</f>
        <v/>
      </c>
      <c r="GN6">
        <f>'Entity Inputs'!GB12</f>
        <v/>
      </c>
      <c r="GO6">
        <f>'Entity Inputs'!GC12</f>
        <v/>
      </c>
      <c r="GP6">
        <f>'Entity Inputs'!GD12</f>
        <v/>
      </c>
      <c r="GQ6">
        <f>'Entity Inputs'!GE12</f>
        <v/>
      </c>
      <c r="GR6">
        <f>'Entity Inputs'!GF12</f>
        <v/>
      </c>
    </row>
    <row r="7">
      <c r="A7" t="inlineStr">
        <is>
          <t>Entity A2</t>
        </is>
      </c>
      <c r="B7" t="inlineStr">
        <is>
          <t>2026-07</t>
        </is>
      </c>
      <c r="C7" t="n">
        <v>31</v>
      </c>
      <c r="D7" t="n">
        <v>4</v>
      </c>
      <c r="E7">
        <f>'Entity Inputs'!E13</f>
        <v/>
      </c>
      <c r="F7">
        <f>'Entity Inputs'!F13</f>
        <v/>
      </c>
      <c r="G7">
        <f>'Entity Inputs'!G13</f>
        <v/>
      </c>
      <c r="H7">
        <f>'Entity Inputs'!H13</f>
        <v/>
      </c>
      <c r="I7">
        <f>'Entity Inputs'!I13</f>
        <v/>
      </c>
      <c r="J7">
        <f>'Entity Inputs'!J13</f>
        <v/>
      </c>
      <c r="K7">
        <f>'Entity Inputs'!K13</f>
        <v/>
      </c>
      <c r="L7">
        <f>'Entity Inputs'!L13</f>
        <v/>
      </c>
      <c r="M7">
        <f>'Entity Inputs'!M13</f>
        <v/>
      </c>
      <c r="N7">
        <f>'Entity Inputs'!N13</f>
        <v/>
      </c>
      <c r="O7">
        <f>'Entity Inputs'!O13</f>
        <v/>
      </c>
      <c r="P7">
        <f>'Entity Inputs'!P13</f>
        <v/>
      </c>
      <c r="Q7">
        <f>'Entity Inputs'!Q13</f>
        <v/>
      </c>
      <c r="R7">
        <f>'Entity Inputs'!R13</f>
        <v/>
      </c>
      <c r="S7">
        <f>'Entity Inputs'!S13</f>
        <v/>
      </c>
      <c r="T7">
        <f>'Entity Inputs'!T13</f>
        <v/>
      </c>
      <c r="U7">
        <f>'Entity Inputs'!U13</f>
        <v/>
      </c>
      <c r="V7">
        <f>'Entity Inputs'!V13</f>
        <v/>
      </c>
      <c r="W7">
        <f>'Entity Inputs'!W13</f>
        <v/>
      </c>
      <c r="X7">
        <f>'Entity Inputs'!X13</f>
        <v/>
      </c>
      <c r="Y7">
        <f>'Entity Inputs'!Y13</f>
        <v/>
      </c>
      <c r="Z7">
        <f>'Entity Inputs'!Z13</f>
        <v/>
      </c>
      <c r="AA7">
        <f>'Entity Inputs'!AA13</f>
        <v/>
      </c>
      <c r="AB7">
        <f>'Entity Inputs'!AB13</f>
        <v/>
      </c>
      <c r="AC7">
        <f>'Entity Inputs'!AC13</f>
        <v/>
      </c>
      <c r="AD7">
        <f>'Entity Inputs'!AD13</f>
        <v/>
      </c>
      <c r="AE7">
        <f>'Entity Inputs'!AE13</f>
        <v/>
      </c>
      <c r="AF7">
        <f>'Entity Inputs'!AF13</f>
        <v/>
      </c>
      <c r="AG7">
        <f>'Entity Inputs'!AG13</f>
        <v/>
      </c>
      <c r="AH7">
        <f>'Entity Inputs'!AH13</f>
        <v/>
      </c>
      <c r="AI7">
        <f>'Entity Inputs'!AI13</f>
        <v/>
      </c>
      <c r="AJ7">
        <f>'Entity Inputs'!AJ13</f>
        <v/>
      </c>
      <c r="AK7">
        <f>'Entity Inputs'!AK13</f>
        <v/>
      </c>
      <c r="AL7">
        <f>'Entity Inputs'!AL13</f>
        <v/>
      </c>
      <c r="AM7">
        <f>'Entity Inputs'!AM13</f>
        <v/>
      </c>
      <c r="AN7">
        <f>'Entity Inputs'!AN13</f>
        <v/>
      </c>
      <c r="AO7">
        <f>'Entity Inputs'!AO13</f>
        <v/>
      </c>
      <c r="AP7">
        <f>'Entity Inputs'!AP13</f>
        <v/>
      </c>
      <c r="AQ7">
        <f>'Entity Inputs'!AQ13</f>
        <v/>
      </c>
      <c r="AR7">
        <f>'Entity Inputs'!AR13</f>
        <v/>
      </c>
      <c r="AS7">
        <f>'Entity Inputs'!AS13</f>
        <v/>
      </c>
      <c r="AT7">
        <f>'Entity Inputs'!AT13</f>
        <v/>
      </c>
      <c r="AU7">
        <f>'Entity Inputs'!AU13</f>
        <v/>
      </c>
      <c r="AV7">
        <f>'Entity Inputs'!AV13</f>
        <v/>
      </c>
      <c r="AW7">
        <f>'Entity Inputs'!AW13</f>
        <v/>
      </c>
      <c r="AX7">
        <f>'Entity Inputs'!AX13</f>
        <v/>
      </c>
      <c r="AY7">
        <f>'Entity Inputs'!AY13</f>
        <v/>
      </c>
      <c r="AZ7">
        <f>'Entity Inputs'!AZ13</f>
        <v/>
      </c>
      <c r="BA7">
        <f>'Entity Inputs'!BA13</f>
        <v/>
      </c>
      <c r="BB7">
        <f>'Entity Inputs'!BB13</f>
        <v/>
      </c>
      <c r="BC7">
        <f>'Entity Inputs'!BC13</f>
        <v/>
      </c>
      <c r="BD7">
        <f>'Entity Inputs'!BD13</f>
        <v/>
      </c>
      <c r="BE7">
        <f>'Entity Inputs'!BE13</f>
        <v/>
      </c>
      <c r="BF7">
        <f>'Entity Inputs'!BF13</f>
        <v/>
      </c>
      <c r="BG7">
        <f>'Entity Inputs'!BG13</f>
        <v/>
      </c>
      <c r="BH7">
        <f>'Entity Inputs'!BH13</f>
        <v/>
      </c>
      <c r="BI7">
        <f>'Entity Inputs'!BI13</f>
        <v/>
      </c>
      <c r="BJ7">
        <f>'Entity Inputs'!BJ13</f>
        <v/>
      </c>
      <c r="BK7">
        <f>'Entity Inputs'!BK13</f>
        <v/>
      </c>
      <c r="BL7">
        <f>'Entity Inputs'!BL13</f>
        <v/>
      </c>
      <c r="BM7">
        <f>'Entity Inputs'!BM13</f>
        <v/>
      </c>
      <c r="BN7">
        <f>'Entity Inputs'!BN13</f>
        <v/>
      </c>
      <c r="BO7">
        <f>'Entity Inputs'!BO13</f>
        <v/>
      </c>
      <c r="BP7">
        <f>'Entity Inputs'!BP13</f>
        <v/>
      </c>
      <c r="BQ7">
        <f>'Entity Inputs'!BQ13</f>
        <v/>
      </c>
      <c r="BR7">
        <f>'Entity Inputs'!BR13</f>
        <v/>
      </c>
      <c r="BS7">
        <f>'Entity Inputs'!BS13</f>
        <v/>
      </c>
      <c r="BT7">
        <f>'Entity Inputs'!BT13</f>
        <v/>
      </c>
      <c r="BU7">
        <f>'Entity Inputs'!BU13</f>
        <v/>
      </c>
      <c r="BV7">
        <f>'Entity Inputs'!BV13</f>
        <v/>
      </c>
      <c r="BW7">
        <f>'Entity Inputs'!BW13</f>
        <v/>
      </c>
      <c r="BX7">
        <f>'Entity Inputs'!BX13</f>
        <v/>
      </c>
      <c r="BY7">
        <f>'Entity Inputs'!BY13</f>
        <v/>
      </c>
      <c r="BZ7">
        <f>'Entity Inputs'!BZ13</f>
        <v/>
      </c>
      <c r="CA7">
        <f>'Entity Inputs'!CA13</f>
        <v/>
      </c>
      <c r="CB7">
        <f>'Entity Inputs'!CB13</f>
        <v/>
      </c>
      <c r="CC7">
        <f>'Entity Inputs'!CC13</f>
        <v/>
      </c>
      <c r="CD7">
        <f>'Entity Inputs'!CD13</f>
        <v/>
      </c>
      <c r="CE7">
        <f>'Entity Inputs'!CE13</f>
        <v/>
      </c>
      <c r="CF7">
        <f>'Entity Inputs'!CF13</f>
        <v/>
      </c>
      <c r="CG7">
        <f>'Entity Inputs'!CG13</f>
        <v/>
      </c>
      <c r="CH7">
        <f>'Entity Inputs'!CH13</f>
        <v/>
      </c>
      <c r="CI7">
        <f>'Entity Inputs'!CI13</f>
        <v/>
      </c>
      <c r="CJ7">
        <f>'Entity Inputs'!CJ13</f>
        <v/>
      </c>
      <c r="CK7">
        <f>'Entity Inputs'!CK13</f>
        <v/>
      </c>
      <c r="CL7">
        <f>'Entity Inputs'!CL13</f>
        <v/>
      </c>
      <c r="CM7">
        <f>'Entity Inputs'!CM13</f>
        <v/>
      </c>
      <c r="CN7">
        <f>'Entity Inputs'!CN13</f>
        <v/>
      </c>
      <c r="CO7">
        <f>'Entity Inputs'!CO13</f>
        <v/>
      </c>
      <c r="CP7">
        <f>'Entity Inputs'!CP13</f>
        <v/>
      </c>
      <c r="CQ7">
        <f>'Entity Inputs'!CQ13</f>
        <v/>
      </c>
      <c r="CR7">
        <f>'Entity Inputs'!CR13</f>
        <v/>
      </c>
      <c r="CS7">
        <f>'Entity Inputs'!CS13</f>
        <v/>
      </c>
      <c r="CT7">
        <f>'Entity Inputs'!CT13</f>
        <v/>
      </c>
      <c r="CU7">
        <f>'Entity Inputs'!CU13</f>
        <v/>
      </c>
      <c r="CV7">
        <f>'Entity Inputs'!CV13</f>
        <v/>
      </c>
      <c r="CW7">
        <f>'Entity Inputs'!CW13</f>
        <v/>
      </c>
      <c r="CX7">
        <f>'Entity Inputs'!CX13</f>
        <v/>
      </c>
      <c r="CY7">
        <f>'Entity Inputs'!CY13</f>
        <v/>
      </c>
      <c r="CZ7">
        <f>'Entity Inputs'!CZ13</f>
        <v/>
      </c>
      <c r="DA7">
        <f>'Entity Inputs'!DA13</f>
        <v/>
      </c>
      <c r="DB7">
        <f>'Entity Inputs'!DB13</f>
        <v/>
      </c>
      <c r="DC7">
        <f>'Entity Inputs'!DC13</f>
        <v/>
      </c>
      <c r="DD7">
        <f>'Entity Inputs'!DD13</f>
        <v/>
      </c>
      <c r="DE7">
        <f>'Entity Inputs'!DE13</f>
        <v/>
      </c>
      <c r="DF7">
        <f>'Entity Inputs'!DF13</f>
        <v/>
      </c>
      <c r="DG7">
        <f>'Entity Inputs'!DG13</f>
        <v/>
      </c>
      <c r="DH7">
        <f>'Entity Inputs'!DH13</f>
        <v/>
      </c>
      <c r="DI7">
        <f>'Entity Inputs'!DI13</f>
        <v/>
      </c>
      <c r="DJ7">
        <f>'Entity Inputs'!DJ13</f>
        <v/>
      </c>
      <c r="DK7">
        <f>'Entity Inputs'!DK13</f>
        <v/>
      </c>
      <c r="DL7">
        <f>'Entity Inputs'!DL13</f>
        <v/>
      </c>
      <c r="DM7">
        <f>'Entity Inputs'!DM13</f>
        <v/>
      </c>
      <c r="DN7">
        <f>'Entity Inputs'!DN13</f>
        <v/>
      </c>
      <c r="DO7">
        <f>'Entity Inputs'!DO13</f>
        <v/>
      </c>
      <c r="DP7">
        <f>'Entity Inputs'!DP13</f>
        <v/>
      </c>
      <c r="DQ7">
        <f>'Entity Inputs'!DQ13</f>
        <v/>
      </c>
      <c r="DR7">
        <f>'Entity Inputs'!DR13</f>
        <v/>
      </c>
      <c r="DS7">
        <f>'Entity Inputs'!DS13</f>
        <v/>
      </c>
      <c r="DT7">
        <f>'Entity Inputs'!DT13</f>
        <v/>
      </c>
      <c r="DU7">
        <f>'Entity Inputs'!DU13</f>
        <v/>
      </c>
      <c r="DV7">
        <f>'Entity Inputs'!DV13</f>
        <v/>
      </c>
      <c r="DW7">
        <f>'Entity Inputs'!DW13</f>
        <v/>
      </c>
      <c r="DX7">
        <f>'Entity Inputs'!DX13</f>
        <v/>
      </c>
      <c r="DY7">
        <f>'Entity Inputs'!DY13</f>
        <v/>
      </c>
      <c r="DZ7">
        <f>'Entity Inputs'!DZ13</f>
        <v/>
      </c>
      <c r="EA7">
        <f>'Entity Inputs'!EA13</f>
        <v/>
      </c>
      <c r="EB7">
        <f>'Entity Inputs'!EB13</f>
        <v/>
      </c>
      <c r="EC7">
        <f>'Entity Inputs'!EC13</f>
        <v/>
      </c>
      <c r="ED7">
        <f>'Entity Inputs'!ED13</f>
        <v/>
      </c>
      <c r="EE7">
        <f>'Entity Inputs'!EE13</f>
        <v/>
      </c>
      <c r="EF7">
        <f>'Entity Inputs'!EF13</f>
        <v/>
      </c>
      <c r="EG7">
        <f>'Entity Inputs'!EG13</f>
        <v/>
      </c>
      <c r="EH7">
        <f>'Entity Inputs'!EH13</f>
        <v/>
      </c>
      <c r="EI7">
        <f>'Entity Inputs'!EI13</f>
        <v/>
      </c>
      <c r="EJ7">
        <f>'Entity Inputs'!EJ13</f>
        <v/>
      </c>
      <c r="EK7">
        <f>'Entity Inputs'!EK13</f>
        <v/>
      </c>
      <c r="EL7">
        <f>'Entity Inputs'!EL13</f>
        <v/>
      </c>
      <c r="EM7">
        <f>'Entity Inputs'!EM13</f>
        <v/>
      </c>
      <c r="EN7">
        <f>'Entity Inputs'!EN13</f>
        <v/>
      </c>
      <c r="EO7">
        <f>'Entity Inputs'!EO13</f>
        <v/>
      </c>
      <c r="EP7">
        <f>'Entity Inputs'!EP13</f>
        <v/>
      </c>
      <c r="EQ7">
        <f>'Entity Inputs'!EQ13</f>
        <v/>
      </c>
      <c r="ER7">
        <f>'Entity Inputs'!ER13</f>
        <v/>
      </c>
      <c r="ES7">
        <f>'Entity Inputs'!ES13</f>
        <v/>
      </c>
      <c r="ET7">
        <f>'Entity Inputs'!ET13</f>
        <v/>
      </c>
      <c r="EU7">
        <f>'Entity Inputs'!EU13</f>
        <v/>
      </c>
      <c r="EV7">
        <f>'Entity Inputs'!EV13</f>
        <v/>
      </c>
      <c r="EW7">
        <f>'Entity Inputs'!EW13</f>
        <v/>
      </c>
      <c r="EX7">
        <f>'Entity Inputs'!EX13</f>
        <v/>
      </c>
      <c r="EY7">
        <f>'Entity Inputs'!EY13</f>
        <v/>
      </c>
      <c r="EZ7">
        <f>'Entity Inputs'!EZ13</f>
        <v/>
      </c>
      <c r="FA7">
        <f>'Entity Inputs'!FA13</f>
        <v/>
      </c>
      <c r="FB7">
        <f>'Entity Inputs'!FB13</f>
        <v/>
      </c>
      <c r="FC7">
        <f>'Entity Inputs'!FC13</f>
        <v/>
      </c>
      <c r="FD7">
        <f>'Entity Inputs'!FD13</f>
        <v/>
      </c>
      <c r="FE7">
        <f>'Entity Inputs'!FE13</f>
        <v/>
      </c>
      <c r="FF7">
        <f>'Entity Inputs'!FF13</f>
        <v/>
      </c>
      <c r="FG7">
        <f>'Entity Inputs'!FG13</f>
        <v/>
      </c>
      <c r="FH7">
        <f>'Entity Inputs'!FH13</f>
        <v/>
      </c>
      <c r="FI7">
        <f>'Entity Inputs'!FI13</f>
        <v/>
      </c>
      <c r="FJ7">
        <f>'Entity Inputs'!FJ13</f>
        <v/>
      </c>
      <c r="FK7">
        <f>'Entity Inputs'!FK13</f>
        <v/>
      </c>
      <c r="FL7">
        <f>'Entity Inputs'!FL13</f>
        <v/>
      </c>
      <c r="FM7">
        <f>'Entity Inputs'!FM13</f>
        <v/>
      </c>
      <c r="FN7">
        <f>'Entity Inputs'!FN13</f>
        <v/>
      </c>
      <c r="FO7">
        <f>'Entity Inputs'!FO13</f>
        <v/>
      </c>
      <c r="FP7">
        <f>'Entity Inputs'!FP13</f>
        <v/>
      </c>
      <c r="FQ7">
        <f>'Entity Inputs'!FQ13</f>
        <v/>
      </c>
      <c r="FR7">
        <f>'Entity Inputs'!FR13</f>
        <v/>
      </c>
      <c r="FS7">
        <f>'Entity Inputs'!FS13</f>
        <v/>
      </c>
      <c r="FT7">
        <f>'Entity Inputs'!FT13</f>
        <v/>
      </c>
      <c r="FU7">
        <f>'Entity Inputs'!FU13</f>
        <v/>
      </c>
      <c r="FV7">
        <f>AU7-V7-X7-BY7</f>
        <v/>
      </c>
      <c r="FW7">
        <f>FV7-AX7</f>
        <v/>
      </c>
      <c r="FX7">
        <f>CJ7+CL7-CK7</f>
        <v/>
      </c>
      <c r="FY7">
        <f>FX7-FX6</f>
        <v/>
      </c>
      <c r="FZ7">
        <f>FV7-BZ7-FY7</f>
        <v/>
      </c>
      <c r="GA7">
        <f>FZ7-DJ7</f>
        <v/>
      </c>
      <c r="GB7">
        <f>CB7-CC7</f>
        <v/>
      </c>
      <c r="GC7">
        <f>SUM(FV$4:FV7)*12/D7</f>
        <v/>
      </c>
      <c r="GD7">
        <f>IF(AU7=0,0,CJ7/AU7*C7)</f>
        <v/>
      </c>
      <c r="GE7">
        <f>IF(V7=0,0,CK7/V7*C7)</f>
        <v/>
      </c>
      <c r="GF7">
        <f>IF(V7=0,0,CL7/V7*C7)</f>
        <v/>
      </c>
      <c r="GG7">
        <f>IF(OR(AS7=0,AT7=0,AV7=0),0,100*((AU7/AS7)/(AV7/AT7)-1))</f>
        <v/>
      </c>
      <c r="GH7">
        <f>'Entity Inputs'!FV13</f>
        <v/>
      </c>
      <c r="GI7">
        <f>'Entity Inputs'!FW13</f>
        <v/>
      </c>
      <c r="GJ7">
        <f>'Entity Inputs'!FX13</f>
        <v/>
      </c>
      <c r="GK7">
        <f>'Entity Inputs'!FY13</f>
        <v/>
      </c>
      <c r="GL7">
        <f>'Entity Inputs'!FZ13</f>
        <v/>
      </c>
      <c r="GM7">
        <f>'Entity Inputs'!GA13</f>
        <v/>
      </c>
      <c r="GN7">
        <f>'Entity Inputs'!GB13</f>
        <v/>
      </c>
      <c r="GO7">
        <f>'Entity Inputs'!GC13</f>
        <v/>
      </c>
      <c r="GP7">
        <f>'Entity Inputs'!GD13</f>
        <v/>
      </c>
      <c r="GQ7">
        <f>'Entity Inputs'!GE13</f>
        <v/>
      </c>
      <c r="GR7">
        <f>'Entity Inputs'!GF13</f>
        <v/>
      </c>
    </row>
    <row r="8">
      <c r="A8" t="inlineStr">
        <is>
          <t>Entity A2</t>
        </is>
      </c>
      <c r="B8" t="inlineStr">
        <is>
          <t>2026-08</t>
        </is>
      </c>
      <c r="C8" t="n">
        <v>31</v>
      </c>
      <c r="D8" t="n">
        <v>5</v>
      </c>
      <c r="E8">
        <f>'Entity Inputs'!E14</f>
        <v/>
      </c>
      <c r="F8">
        <f>'Entity Inputs'!F14</f>
        <v/>
      </c>
      <c r="G8">
        <f>'Entity Inputs'!G14</f>
        <v/>
      </c>
      <c r="H8">
        <f>'Entity Inputs'!H14</f>
        <v/>
      </c>
      <c r="I8">
        <f>'Entity Inputs'!I14</f>
        <v/>
      </c>
      <c r="J8">
        <f>'Entity Inputs'!J14</f>
        <v/>
      </c>
      <c r="K8">
        <f>'Entity Inputs'!K14</f>
        <v/>
      </c>
      <c r="L8">
        <f>'Entity Inputs'!L14</f>
        <v/>
      </c>
      <c r="M8">
        <f>'Entity Inputs'!M14</f>
        <v/>
      </c>
      <c r="N8">
        <f>'Entity Inputs'!N14</f>
        <v/>
      </c>
      <c r="O8">
        <f>'Entity Inputs'!O14</f>
        <v/>
      </c>
      <c r="P8">
        <f>'Entity Inputs'!P14</f>
        <v/>
      </c>
      <c r="Q8">
        <f>'Entity Inputs'!Q14</f>
        <v/>
      </c>
      <c r="R8">
        <f>'Entity Inputs'!R14</f>
        <v/>
      </c>
      <c r="S8">
        <f>'Entity Inputs'!S14</f>
        <v/>
      </c>
      <c r="T8">
        <f>'Entity Inputs'!T14</f>
        <v/>
      </c>
      <c r="U8">
        <f>'Entity Inputs'!U14</f>
        <v/>
      </c>
      <c r="V8">
        <f>'Entity Inputs'!V14</f>
        <v/>
      </c>
      <c r="W8">
        <f>'Entity Inputs'!W14</f>
        <v/>
      </c>
      <c r="X8">
        <f>'Entity Inputs'!X14</f>
        <v/>
      </c>
      <c r="Y8">
        <f>'Entity Inputs'!Y14</f>
        <v/>
      </c>
      <c r="Z8">
        <f>'Entity Inputs'!Z14</f>
        <v/>
      </c>
      <c r="AA8">
        <f>'Entity Inputs'!AA14</f>
        <v/>
      </c>
      <c r="AB8">
        <f>'Entity Inputs'!AB14</f>
        <v/>
      </c>
      <c r="AC8">
        <f>'Entity Inputs'!AC14</f>
        <v/>
      </c>
      <c r="AD8">
        <f>'Entity Inputs'!AD14</f>
        <v/>
      </c>
      <c r="AE8">
        <f>'Entity Inputs'!AE14</f>
        <v/>
      </c>
      <c r="AF8">
        <f>'Entity Inputs'!AF14</f>
        <v/>
      </c>
      <c r="AG8">
        <f>'Entity Inputs'!AG14</f>
        <v/>
      </c>
      <c r="AH8">
        <f>'Entity Inputs'!AH14</f>
        <v/>
      </c>
      <c r="AI8">
        <f>'Entity Inputs'!AI14</f>
        <v/>
      </c>
      <c r="AJ8">
        <f>'Entity Inputs'!AJ14</f>
        <v/>
      </c>
      <c r="AK8">
        <f>'Entity Inputs'!AK14</f>
        <v/>
      </c>
      <c r="AL8">
        <f>'Entity Inputs'!AL14</f>
        <v/>
      </c>
      <c r="AM8">
        <f>'Entity Inputs'!AM14</f>
        <v/>
      </c>
      <c r="AN8">
        <f>'Entity Inputs'!AN14</f>
        <v/>
      </c>
      <c r="AO8">
        <f>'Entity Inputs'!AO14</f>
        <v/>
      </c>
      <c r="AP8">
        <f>'Entity Inputs'!AP14</f>
        <v/>
      </c>
      <c r="AQ8">
        <f>'Entity Inputs'!AQ14</f>
        <v/>
      </c>
      <c r="AR8">
        <f>'Entity Inputs'!AR14</f>
        <v/>
      </c>
      <c r="AS8">
        <f>'Entity Inputs'!AS14</f>
        <v/>
      </c>
      <c r="AT8">
        <f>'Entity Inputs'!AT14</f>
        <v/>
      </c>
      <c r="AU8">
        <f>'Entity Inputs'!AU14</f>
        <v/>
      </c>
      <c r="AV8">
        <f>'Entity Inputs'!AV14</f>
        <v/>
      </c>
      <c r="AW8">
        <f>'Entity Inputs'!AW14</f>
        <v/>
      </c>
      <c r="AX8">
        <f>'Entity Inputs'!AX14</f>
        <v/>
      </c>
      <c r="AY8">
        <f>'Entity Inputs'!AY14</f>
        <v/>
      </c>
      <c r="AZ8">
        <f>'Entity Inputs'!AZ14</f>
        <v/>
      </c>
      <c r="BA8">
        <f>'Entity Inputs'!BA14</f>
        <v/>
      </c>
      <c r="BB8">
        <f>'Entity Inputs'!BB14</f>
        <v/>
      </c>
      <c r="BC8">
        <f>'Entity Inputs'!BC14</f>
        <v/>
      </c>
      <c r="BD8">
        <f>'Entity Inputs'!BD14</f>
        <v/>
      </c>
      <c r="BE8">
        <f>'Entity Inputs'!BE14</f>
        <v/>
      </c>
      <c r="BF8">
        <f>'Entity Inputs'!BF14</f>
        <v/>
      </c>
      <c r="BG8">
        <f>'Entity Inputs'!BG14</f>
        <v/>
      </c>
      <c r="BH8">
        <f>'Entity Inputs'!BH14</f>
        <v/>
      </c>
      <c r="BI8">
        <f>'Entity Inputs'!BI14</f>
        <v/>
      </c>
      <c r="BJ8">
        <f>'Entity Inputs'!BJ14</f>
        <v/>
      </c>
      <c r="BK8">
        <f>'Entity Inputs'!BK14</f>
        <v/>
      </c>
      <c r="BL8">
        <f>'Entity Inputs'!BL14</f>
        <v/>
      </c>
      <c r="BM8">
        <f>'Entity Inputs'!BM14</f>
        <v/>
      </c>
      <c r="BN8">
        <f>'Entity Inputs'!BN14</f>
        <v/>
      </c>
      <c r="BO8">
        <f>'Entity Inputs'!BO14</f>
        <v/>
      </c>
      <c r="BP8">
        <f>'Entity Inputs'!BP14</f>
        <v/>
      </c>
      <c r="BQ8">
        <f>'Entity Inputs'!BQ14</f>
        <v/>
      </c>
      <c r="BR8">
        <f>'Entity Inputs'!BR14</f>
        <v/>
      </c>
      <c r="BS8">
        <f>'Entity Inputs'!BS14</f>
        <v/>
      </c>
      <c r="BT8">
        <f>'Entity Inputs'!BT14</f>
        <v/>
      </c>
      <c r="BU8">
        <f>'Entity Inputs'!BU14</f>
        <v/>
      </c>
      <c r="BV8">
        <f>'Entity Inputs'!BV14</f>
        <v/>
      </c>
      <c r="BW8">
        <f>'Entity Inputs'!BW14</f>
        <v/>
      </c>
      <c r="BX8">
        <f>'Entity Inputs'!BX14</f>
        <v/>
      </c>
      <c r="BY8">
        <f>'Entity Inputs'!BY14</f>
        <v/>
      </c>
      <c r="BZ8">
        <f>'Entity Inputs'!BZ14</f>
        <v/>
      </c>
      <c r="CA8">
        <f>'Entity Inputs'!CA14</f>
        <v/>
      </c>
      <c r="CB8">
        <f>'Entity Inputs'!CB14</f>
        <v/>
      </c>
      <c r="CC8">
        <f>'Entity Inputs'!CC14</f>
        <v/>
      </c>
      <c r="CD8">
        <f>'Entity Inputs'!CD14</f>
        <v/>
      </c>
      <c r="CE8">
        <f>'Entity Inputs'!CE14</f>
        <v/>
      </c>
      <c r="CF8">
        <f>'Entity Inputs'!CF14</f>
        <v/>
      </c>
      <c r="CG8">
        <f>'Entity Inputs'!CG14</f>
        <v/>
      </c>
      <c r="CH8">
        <f>'Entity Inputs'!CH14</f>
        <v/>
      </c>
      <c r="CI8">
        <f>'Entity Inputs'!CI14</f>
        <v/>
      </c>
      <c r="CJ8">
        <f>'Entity Inputs'!CJ14</f>
        <v/>
      </c>
      <c r="CK8">
        <f>'Entity Inputs'!CK14</f>
        <v/>
      </c>
      <c r="CL8">
        <f>'Entity Inputs'!CL14</f>
        <v/>
      </c>
      <c r="CM8">
        <f>'Entity Inputs'!CM14</f>
        <v/>
      </c>
      <c r="CN8">
        <f>'Entity Inputs'!CN14</f>
        <v/>
      </c>
      <c r="CO8">
        <f>'Entity Inputs'!CO14</f>
        <v/>
      </c>
      <c r="CP8">
        <f>'Entity Inputs'!CP14</f>
        <v/>
      </c>
      <c r="CQ8">
        <f>'Entity Inputs'!CQ14</f>
        <v/>
      </c>
      <c r="CR8">
        <f>'Entity Inputs'!CR14</f>
        <v/>
      </c>
      <c r="CS8">
        <f>'Entity Inputs'!CS14</f>
        <v/>
      </c>
      <c r="CT8">
        <f>'Entity Inputs'!CT14</f>
        <v/>
      </c>
      <c r="CU8">
        <f>'Entity Inputs'!CU14</f>
        <v/>
      </c>
      <c r="CV8">
        <f>'Entity Inputs'!CV14</f>
        <v/>
      </c>
      <c r="CW8">
        <f>'Entity Inputs'!CW14</f>
        <v/>
      </c>
      <c r="CX8">
        <f>'Entity Inputs'!CX14</f>
        <v/>
      </c>
      <c r="CY8">
        <f>'Entity Inputs'!CY14</f>
        <v/>
      </c>
      <c r="CZ8">
        <f>'Entity Inputs'!CZ14</f>
        <v/>
      </c>
      <c r="DA8">
        <f>'Entity Inputs'!DA14</f>
        <v/>
      </c>
      <c r="DB8">
        <f>'Entity Inputs'!DB14</f>
        <v/>
      </c>
      <c r="DC8">
        <f>'Entity Inputs'!DC14</f>
        <v/>
      </c>
      <c r="DD8">
        <f>'Entity Inputs'!DD14</f>
        <v/>
      </c>
      <c r="DE8">
        <f>'Entity Inputs'!DE14</f>
        <v/>
      </c>
      <c r="DF8">
        <f>'Entity Inputs'!DF14</f>
        <v/>
      </c>
      <c r="DG8">
        <f>'Entity Inputs'!DG14</f>
        <v/>
      </c>
      <c r="DH8">
        <f>'Entity Inputs'!DH14</f>
        <v/>
      </c>
      <c r="DI8">
        <f>'Entity Inputs'!DI14</f>
        <v/>
      </c>
      <c r="DJ8">
        <f>'Entity Inputs'!DJ14</f>
        <v/>
      </c>
      <c r="DK8">
        <f>'Entity Inputs'!DK14</f>
        <v/>
      </c>
      <c r="DL8">
        <f>'Entity Inputs'!DL14</f>
        <v/>
      </c>
      <c r="DM8">
        <f>'Entity Inputs'!DM14</f>
        <v/>
      </c>
      <c r="DN8">
        <f>'Entity Inputs'!DN14</f>
        <v/>
      </c>
      <c r="DO8">
        <f>'Entity Inputs'!DO14</f>
        <v/>
      </c>
      <c r="DP8">
        <f>'Entity Inputs'!DP14</f>
        <v/>
      </c>
      <c r="DQ8">
        <f>'Entity Inputs'!DQ14</f>
        <v/>
      </c>
      <c r="DR8">
        <f>'Entity Inputs'!DR14</f>
        <v/>
      </c>
      <c r="DS8">
        <f>'Entity Inputs'!DS14</f>
        <v/>
      </c>
      <c r="DT8">
        <f>'Entity Inputs'!DT14</f>
        <v/>
      </c>
      <c r="DU8">
        <f>'Entity Inputs'!DU14</f>
        <v/>
      </c>
      <c r="DV8">
        <f>'Entity Inputs'!DV14</f>
        <v/>
      </c>
      <c r="DW8">
        <f>'Entity Inputs'!DW14</f>
        <v/>
      </c>
      <c r="DX8">
        <f>'Entity Inputs'!DX14</f>
        <v/>
      </c>
      <c r="DY8">
        <f>'Entity Inputs'!DY14</f>
        <v/>
      </c>
      <c r="DZ8">
        <f>'Entity Inputs'!DZ14</f>
        <v/>
      </c>
      <c r="EA8">
        <f>'Entity Inputs'!EA14</f>
        <v/>
      </c>
      <c r="EB8">
        <f>'Entity Inputs'!EB14</f>
        <v/>
      </c>
      <c r="EC8">
        <f>'Entity Inputs'!EC14</f>
        <v/>
      </c>
      <c r="ED8">
        <f>'Entity Inputs'!ED14</f>
        <v/>
      </c>
      <c r="EE8">
        <f>'Entity Inputs'!EE14</f>
        <v/>
      </c>
      <c r="EF8">
        <f>'Entity Inputs'!EF14</f>
        <v/>
      </c>
      <c r="EG8">
        <f>'Entity Inputs'!EG14</f>
        <v/>
      </c>
      <c r="EH8">
        <f>'Entity Inputs'!EH14</f>
        <v/>
      </c>
      <c r="EI8">
        <f>'Entity Inputs'!EI14</f>
        <v/>
      </c>
      <c r="EJ8">
        <f>'Entity Inputs'!EJ14</f>
        <v/>
      </c>
      <c r="EK8">
        <f>'Entity Inputs'!EK14</f>
        <v/>
      </c>
      <c r="EL8">
        <f>'Entity Inputs'!EL14</f>
        <v/>
      </c>
      <c r="EM8">
        <f>'Entity Inputs'!EM14</f>
        <v/>
      </c>
      <c r="EN8">
        <f>'Entity Inputs'!EN14</f>
        <v/>
      </c>
      <c r="EO8">
        <f>'Entity Inputs'!EO14</f>
        <v/>
      </c>
      <c r="EP8">
        <f>'Entity Inputs'!EP14</f>
        <v/>
      </c>
      <c r="EQ8">
        <f>'Entity Inputs'!EQ14</f>
        <v/>
      </c>
      <c r="ER8">
        <f>'Entity Inputs'!ER14</f>
        <v/>
      </c>
      <c r="ES8">
        <f>'Entity Inputs'!ES14</f>
        <v/>
      </c>
      <c r="ET8">
        <f>'Entity Inputs'!ET14</f>
        <v/>
      </c>
      <c r="EU8">
        <f>'Entity Inputs'!EU14</f>
        <v/>
      </c>
      <c r="EV8">
        <f>'Entity Inputs'!EV14</f>
        <v/>
      </c>
      <c r="EW8">
        <f>'Entity Inputs'!EW14</f>
        <v/>
      </c>
      <c r="EX8">
        <f>'Entity Inputs'!EX14</f>
        <v/>
      </c>
      <c r="EY8">
        <f>'Entity Inputs'!EY14</f>
        <v/>
      </c>
      <c r="EZ8">
        <f>'Entity Inputs'!EZ14</f>
        <v/>
      </c>
      <c r="FA8">
        <f>'Entity Inputs'!FA14</f>
        <v/>
      </c>
      <c r="FB8">
        <f>'Entity Inputs'!FB14</f>
        <v/>
      </c>
      <c r="FC8">
        <f>'Entity Inputs'!FC14</f>
        <v/>
      </c>
      <c r="FD8">
        <f>'Entity Inputs'!FD14</f>
        <v/>
      </c>
      <c r="FE8">
        <f>'Entity Inputs'!FE14</f>
        <v/>
      </c>
      <c r="FF8">
        <f>'Entity Inputs'!FF14</f>
        <v/>
      </c>
      <c r="FG8">
        <f>'Entity Inputs'!FG14</f>
        <v/>
      </c>
      <c r="FH8">
        <f>'Entity Inputs'!FH14</f>
        <v/>
      </c>
      <c r="FI8">
        <f>'Entity Inputs'!FI14</f>
        <v/>
      </c>
      <c r="FJ8">
        <f>'Entity Inputs'!FJ14</f>
        <v/>
      </c>
      <c r="FK8">
        <f>'Entity Inputs'!FK14</f>
        <v/>
      </c>
      <c r="FL8">
        <f>'Entity Inputs'!FL14</f>
        <v/>
      </c>
      <c r="FM8">
        <f>'Entity Inputs'!FM14</f>
        <v/>
      </c>
      <c r="FN8">
        <f>'Entity Inputs'!FN14</f>
        <v/>
      </c>
      <c r="FO8">
        <f>'Entity Inputs'!FO14</f>
        <v/>
      </c>
      <c r="FP8">
        <f>'Entity Inputs'!FP14</f>
        <v/>
      </c>
      <c r="FQ8">
        <f>'Entity Inputs'!FQ14</f>
        <v/>
      </c>
      <c r="FR8">
        <f>'Entity Inputs'!FR14</f>
        <v/>
      </c>
      <c r="FS8">
        <f>'Entity Inputs'!FS14</f>
        <v/>
      </c>
      <c r="FT8">
        <f>'Entity Inputs'!FT14</f>
        <v/>
      </c>
      <c r="FU8">
        <f>'Entity Inputs'!FU14</f>
        <v/>
      </c>
      <c r="FV8">
        <f>AU8-V8-X8-BY8</f>
        <v/>
      </c>
      <c r="FW8">
        <f>FV8-AX8</f>
        <v/>
      </c>
      <c r="FX8">
        <f>CJ8+CL8-CK8</f>
        <v/>
      </c>
      <c r="FY8">
        <f>FX8-FX7</f>
        <v/>
      </c>
      <c r="FZ8">
        <f>FV8-BZ8-FY8</f>
        <v/>
      </c>
      <c r="GA8">
        <f>FZ8-DJ8</f>
        <v/>
      </c>
      <c r="GB8">
        <f>CB8-CC8</f>
        <v/>
      </c>
      <c r="GC8">
        <f>SUM(FV$4:FV8)*12/D8</f>
        <v/>
      </c>
      <c r="GD8">
        <f>IF(AU8=0,0,CJ8/AU8*C8)</f>
        <v/>
      </c>
      <c r="GE8">
        <f>IF(V8=0,0,CK8/V8*C8)</f>
        <v/>
      </c>
      <c r="GF8">
        <f>IF(V8=0,0,CL8/V8*C8)</f>
        <v/>
      </c>
      <c r="GG8">
        <f>IF(OR(AS8=0,AT8=0,AV8=0),0,100*((AU8/AS8)/(AV8/AT8)-1))</f>
        <v/>
      </c>
      <c r="GH8">
        <f>'Entity Inputs'!FV14</f>
        <v/>
      </c>
      <c r="GI8">
        <f>'Entity Inputs'!FW14</f>
        <v/>
      </c>
      <c r="GJ8">
        <f>'Entity Inputs'!FX14</f>
        <v/>
      </c>
      <c r="GK8">
        <f>'Entity Inputs'!FY14</f>
        <v/>
      </c>
      <c r="GL8">
        <f>'Entity Inputs'!FZ14</f>
        <v/>
      </c>
      <c r="GM8">
        <f>'Entity Inputs'!GA14</f>
        <v/>
      </c>
      <c r="GN8">
        <f>'Entity Inputs'!GB14</f>
        <v/>
      </c>
      <c r="GO8">
        <f>'Entity Inputs'!GC14</f>
        <v/>
      </c>
      <c r="GP8">
        <f>'Entity Inputs'!GD14</f>
        <v/>
      </c>
      <c r="GQ8">
        <f>'Entity Inputs'!GE14</f>
        <v/>
      </c>
      <c r="GR8">
        <f>'Entity Inputs'!GF14</f>
        <v/>
      </c>
    </row>
    <row r="9">
      <c r="A9" t="inlineStr">
        <is>
          <t>Entity A2</t>
        </is>
      </c>
      <c r="B9" t="inlineStr">
        <is>
          <t>2026-09</t>
        </is>
      </c>
      <c r="C9" t="n">
        <v>30</v>
      </c>
      <c r="D9" t="n">
        <v>6</v>
      </c>
      <c r="E9">
        <f>'Entity Inputs'!E15</f>
        <v/>
      </c>
      <c r="F9">
        <f>'Entity Inputs'!F15</f>
        <v/>
      </c>
      <c r="G9">
        <f>'Entity Inputs'!G15</f>
        <v/>
      </c>
      <c r="H9">
        <f>'Entity Inputs'!H15</f>
        <v/>
      </c>
      <c r="I9">
        <f>'Entity Inputs'!I15</f>
        <v/>
      </c>
      <c r="J9">
        <f>'Entity Inputs'!J15</f>
        <v/>
      </c>
      <c r="K9">
        <f>'Entity Inputs'!K15</f>
        <v/>
      </c>
      <c r="L9">
        <f>'Entity Inputs'!L15</f>
        <v/>
      </c>
      <c r="M9">
        <f>'Entity Inputs'!M15</f>
        <v/>
      </c>
      <c r="N9">
        <f>'Entity Inputs'!N15</f>
        <v/>
      </c>
      <c r="O9">
        <f>'Entity Inputs'!O15</f>
        <v/>
      </c>
      <c r="P9">
        <f>'Entity Inputs'!P15</f>
        <v/>
      </c>
      <c r="Q9">
        <f>'Entity Inputs'!Q15</f>
        <v/>
      </c>
      <c r="R9">
        <f>'Entity Inputs'!R15</f>
        <v/>
      </c>
      <c r="S9">
        <f>'Entity Inputs'!S15</f>
        <v/>
      </c>
      <c r="T9">
        <f>'Entity Inputs'!T15</f>
        <v/>
      </c>
      <c r="U9">
        <f>'Entity Inputs'!U15</f>
        <v/>
      </c>
      <c r="V9">
        <f>'Entity Inputs'!V15</f>
        <v/>
      </c>
      <c r="W9">
        <f>'Entity Inputs'!W15</f>
        <v/>
      </c>
      <c r="X9">
        <f>'Entity Inputs'!X15</f>
        <v/>
      </c>
      <c r="Y9">
        <f>'Entity Inputs'!Y15</f>
        <v/>
      </c>
      <c r="Z9">
        <f>'Entity Inputs'!Z15</f>
        <v/>
      </c>
      <c r="AA9">
        <f>'Entity Inputs'!AA15</f>
        <v/>
      </c>
      <c r="AB9">
        <f>'Entity Inputs'!AB15</f>
        <v/>
      </c>
      <c r="AC9">
        <f>'Entity Inputs'!AC15</f>
        <v/>
      </c>
      <c r="AD9">
        <f>'Entity Inputs'!AD15</f>
        <v/>
      </c>
      <c r="AE9">
        <f>'Entity Inputs'!AE15</f>
        <v/>
      </c>
      <c r="AF9">
        <f>'Entity Inputs'!AF15</f>
        <v/>
      </c>
      <c r="AG9">
        <f>'Entity Inputs'!AG15</f>
        <v/>
      </c>
      <c r="AH9">
        <f>'Entity Inputs'!AH15</f>
        <v/>
      </c>
      <c r="AI9">
        <f>'Entity Inputs'!AI15</f>
        <v/>
      </c>
      <c r="AJ9">
        <f>'Entity Inputs'!AJ15</f>
        <v/>
      </c>
      <c r="AK9">
        <f>'Entity Inputs'!AK15</f>
        <v/>
      </c>
      <c r="AL9">
        <f>'Entity Inputs'!AL15</f>
        <v/>
      </c>
      <c r="AM9">
        <f>'Entity Inputs'!AM15</f>
        <v/>
      </c>
      <c r="AN9">
        <f>'Entity Inputs'!AN15</f>
        <v/>
      </c>
      <c r="AO9">
        <f>'Entity Inputs'!AO15</f>
        <v/>
      </c>
      <c r="AP9">
        <f>'Entity Inputs'!AP15</f>
        <v/>
      </c>
      <c r="AQ9">
        <f>'Entity Inputs'!AQ15</f>
        <v/>
      </c>
      <c r="AR9">
        <f>'Entity Inputs'!AR15</f>
        <v/>
      </c>
      <c r="AS9">
        <f>'Entity Inputs'!AS15</f>
        <v/>
      </c>
      <c r="AT9">
        <f>'Entity Inputs'!AT15</f>
        <v/>
      </c>
      <c r="AU9">
        <f>'Entity Inputs'!AU15</f>
        <v/>
      </c>
      <c r="AV9">
        <f>'Entity Inputs'!AV15</f>
        <v/>
      </c>
      <c r="AW9">
        <f>'Entity Inputs'!AW15</f>
        <v/>
      </c>
      <c r="AX9">
        <f>'Entity Inputs'!AX15</f>
        <v/>
      </c>
      <c r="AY9">
        <f>'Entity Inputs'!AY15</f>
        <v/>
      </c>
      <c r="AZ9">
        <f>'Entity Inputs'!AZ15</f>
        <v/>
      </c>
      <c r="BA9">
        <f>'Entity Inputs'!BA15</f>
        <v/>
      </c>
      <c r="BB9">
        <f>'Entity Inputs'!BB15</f>
        <v/>
      </c>
      <c r="BC9">
        <f>'Entity Inputs'!BC15</f>
        <v/>
      </c>
      <c r="BD9">
        <f>'Entity Inputs'!BD15</f>
        <v/>
      </c>
      <c r="BE9">
        <f>'Entity Inputs'!BE15</f>
        <v/>
      </c>
      <c r="BF9">
        <f>'Entity Inputs'!BF15</f>
        <v/>
      </c>
      <c r="BG9">
        <f>'Entity Inputs'!BG15</f>
        <v/>
      </c>
      <c r="BH9">
        <f>'Entity Inputs'!BH15</f>
        <v/>
      </c>
      <c r="BI9">
        <f>'Entity Inputs'!BI15</f>
        <v/>
      </c>
      <c r="BJ9">
        <f>'Entity Inputs'!BJ15</f>
        <v/>
      </c>
      <c r="BK9">
        <f>'Entity Inputs'!BK15</f>
        <v/>
      </c>
      <c r="BL9">
        <f>'Entity Inputs'!BL15</f>
        <v/>
      </c>
      <c r="BM9">
        <f>'Entity Inputs'!BM15</f>
        <v/>
      </c>
      <c r="BN9">
        <f>'Entity Inputs'!BN15</f>
        <v/>
      </c>
      <c r="BO9">
        <f>'Entity Inputs'!BO15</f>
        <v/>
      </c>
      <c r="BP9">
        <f>'Entity Inputs'!BP15</f>
        <v/>
      </c>
      <c r="BQ9">
        <f>'Entity Inputs'!BQ15</f>
        <v/>
      </c>
      <c r="BR9">
        <f>'Entity Inputs'!BR15</f>
        <v/>
      </c>
      <c r="BS9">
        <f>'Entity Inputs'!BS15</f>
        <v/>
      </c>
      <c r="BT9">
        <f>'Entity Inputs'!BT15</f>
        <v/>
      </c>
      <c r="BU9">
        <f>'Entity Inputs'!BU15</f>
        <v/>
      </c>
      <c r="BV9">
        <f>'Entity Inputs'!BV15</f>
        <v/>
      </c>
      <c r="BW9">
        <f>'Entity Inputs'!BW15</f>
        <v/>
      </c>
      <c r="BX9">
        <f>'Entity Inputs'!BX15</f>
        <v/>
      </c>
      <c r="BY9">
        <f>'Entity Inputs'!BY15</f>
        <v/>
      </c>
      <c r="BZ9">
        <f>'Entity Inputs'!BZ15</f>
        <v/>
      </c>
      <c r="CA9">
        <f>'Entity Inputs'!CA15</f>
        <v/>
      </c>
      <c r="CB9">
        <f>'Entity Inputs'!CB15</f>
        <v/>
      </c>
      <c r="CC9">
        <f>'Entity Inputs'!CC15</f>
        <v/>
      </c>
      <c r="CD9">
        <f>'Entity Inputs'!CD15</f>
        <v/>
      </c>
      <c r="CE9">
        <f>'Entity Inputs'!CE15</f>
        <v/>
      </c>
      <c r="CF9">
        <f>'Entity Inputs'!CF15</f>
        <v/>
      </c>
      <c r="CG9">
        <f>'Entity Inputs'!CG15</f>
        <v/>
      </c>
      <c r="CH9">
        <f>'Entity Inputs'!CH15</f>
        <v/>
      </c>
      <c r="CI9">
        <f>'Entity Inputs'!CI15</f>
        <v/>
      </c>
      <c r="CJ9">
        <f>'Entity Inputs'!CJ15</f>
        <v/>
      </c>
      <c r="CK9">
        <f>'Entity Inputs'!CK15</f>
        <v/>
      </c>
      <c r="CL9">
        <f>'Entity Inputs'!CL15</f>
        <v/>
      </c>
      <c r="CM9">
        <f>'Entity Inputs'!CM15</f>
        <v/>
      </c>
      <c r="CN9">
        <f>'Entity Inputs'!CN15</f>
        <v/>
      </c>
      <c r="CO9">
        <f>'Entity Inputs'!CO15</f>
        <v/>
      </c>
      <c r="CP9">
        <f>'Entity Inputs'!CP15</f>
        <v/>
      </c>
      <c r="CQ9">
        <f>'Entity Inputs'!CQ15</f>
        <v/>
      </c>
      <c r="CR9">
        <f>'Entity Inputs'!CR15</f>
        <v/>
      </c>
      <c r="CS9">
        <f>'Entity Inputs'!CS15</f>
        <v/>
      </c>
      <c r="CT9">
        <f>'Entity Inputs'!CT15</f>
        <v/>
      </c>
      <c r="CU9">
        <f>'Entity Inputs'!CU15</f>
        <v/>
      </c>
      <c r="CV9">
        <f>'Entity Inputs'!CV15</f>
        <v/>
      </c>
      <c r="CW9">
        <f>'Entity Inputs'!CW15</f>
        <v/>
      </c>
      <c r="CX9">
        <f>'Entity Inputs'!CX15</f>
        <v/>
      </c>
      <c r="CY9">
        <f>'Entity Inputs'!CY15</f>
        <v/>
      </c>
      <c r="CZ9">
        <f>'Entity Inputs'!CZ15</f>
        <v/>
      </c>
      <c r="DA9">
        <f>'Entity Inputs'!DA15</f>
        <v/>
      </c>
      <c r="DB9">
        <f>'Entity Inputs'!DB15</f>
        <v/>
      </c>
      <c r="DC9">
        <f>'Entity Inputs'!DC15</f>
        <v/>
      </c>
      <c r="DD9">
        <f>'Entity Inputs'!DD15</f>
        <v/>
      </c>
      <c r="DE9">
        <f>'Entity Inputs'!DE15</f>
        <v/>
      </c>
      <c r="DF9">
        <f>'Entity Inputs'!DF15</f>
        <v/>
      </c>
      <c r="DG9">
        <f>'Entity Inputs'!DG15</f>
        <v/>
      </c>
      <c r="DH9">
        <f>'Entity Inputs'!DH15</f>
        <v/>
      </c>
      <c r="DI9">
        <f>'Entity Inputs'!DI15</f>
        <v/>
      </c>
      <c r="DJ9">
        <f>'Entity Inputs'!DJ15</f>
        <v/>
      </c>
      <c r="DK9">
        <f>'Entity Inputs'!DK15</f>
        <v/>
      </c>
      <c r="DL9">
        <f>'Entity Inputs'!DL15</f>
        <v/>
      </c>
      <c r="DM9">
        <f>'Entity Inputs'!DM15</f>
        <v/>
      </c>
      <c r="DN9">
        <f>'Entity Inputs'!DN15</f>
        <v/>
      </c>
      <c r="DO9">
        <f>'Entity Inputs'!DO15</f>
        <v/>
      </c>
      <c r="DP9">
        <f>'Entity Inputs'!DP15</f>
        <v/>
      </c>
      <c r="DQ9">
        <f>'Entity Inputs'!DQ15</f>
        <v/>
      </c>
      <c r="DR9">
        <f>'Entity Inputs'!DR15</f>
        <v/>
      </c>
      <c r="DS9">
        <f>'Entity Inputs'!DS15</f>
        <v/>
      </c>
      <c r="DT9">
        <f>'Entity Inputs'!DT15</f>
        <v/>
      </c>
      <c r="DU9">
        <f>'Entity Inputs'!DU15</f>
        <v/>
      </c>
      <c r="DV9">
        <f>'Entity Inputs'!DV15</f>
        <v/>
      </c>
      <c r="DW9">
        <f>'Entity Inputs'!DW15</f>
        <v/>
      </c>
      <c r="DX9">
        <f>'Entity Inputs'!DX15</f>
        <v/>
      </c>
      <c r="DY9">
        <f>'Entity Inputs'!DY15</f>
        <v/>
      </c>
      <c r="DZ9">
        <f>'Entity Inputs'!DZ15</f>
        <v/>
      </c>
      <c r="EA9">
        <f>'Entity Inputs'!EA15</f>
        <v/>
      </c>
      <c r="EB9">
        <f>'Entity Inputs'!EB15</f>
        <v/>
      </c>
      <c r="EC9">
        <f>'Entity Inputs'!EC15</f>
        <v/>
      </c>
      <c r="ED9">
        <f>'Entity Inputs'!ED15</f>
        <v/>
      </c>
      <c r="EE9">
        <f>'Entity Inputs'!EE15</f>
        <v/>
      </c>
      <c r="EF9">
        <f>'Entity Inputs'!EF15</f>
        <v/>
      </c>
      <c r="EG9">
        <f>'Entity Inputs'!EG15</f>
        <v/>
      </c>
      <c r="EH9">
        <f>'Entity Inputs'!EH15</f>
        <v/>
      </c>
      <c r="EI9">
        <f>'Entity Inputs'!EI15</f>
        <v/>
      </c>
      <c r="EJ9">
        <f>'Entity Inputs'!EJ15</f>
        <v/>
      </c>
      <c r="EK9">
        <f>'Entity Inputs'!EK15</f>
        <v/>
      </c>
      <c r="EL9">
        <f>'Entity Inputs'!EL15</f>
        <v/>
      </c>
      <c r="EM9">
        <f>'Entity Inputs'!EM15</f>
        <v/>
      </c>
      <c r="EN9">
        <f>'Entity Inputs'!EN15</f>
        <v/>
      </c>
      <c r="EO9">
        <f>'Entity Inputs'!EO15</f>
        <v/>
      </c>
      <c r="EP9">
        <f>'Entity Inputs'!EP15</f>
        <v/>
      </c>
      <c r="EQ9">
        <f>'Entity Inputs'!EQ15</f>
        <v/>
      </c>
      <c r="ER9">
        <f>'Entity Inputs'!ER15</f>
        <v/>
      </c>
      <c r="ES9">
        <f>'Entity Inputs'!ES15</f>
        <v/>
      </c>
      <c r="ET9">
        <f>'Entity Inputs'!ET15</f>
        <v/>
      </c>
      <c r="EU9">
        <f>'Entity Inputs'!EU15</f>
        <v/>
      </c>
      <c r="EV9">
        <f>'Entity Inputs'!EV15</f>
        <v/>
      </c>
      <c r="EW9">
        <f>'Entity Inputs'!EW15</f>
        <v/>
      </c>
      <c r="EX9">
        <f>'Entity Inputs'!EX15</f>
        <v/>
      </c>
      <c r="EY9">
        <f>'Entity Inputs'!EY15</f>
        <v/>
      </c>
      <c r="EZ9">
        <f>'Entity Inputs'!EZ15</f>
        <v/>
      </c>
      <c r="FA9">
        <f>'Entity Inputs'!FA15</f>
        <v/>
      </c>
      <c r="FB9">
        <f>'Entity Inputs'!FB15</f>
        <v/>
      </c>
      <c r="FC9">
        <f>'Entity Inputs'!FC15</f>
        <v/>
      </c>
      <c r="FD9">
        <f>'Entity Inputs'!FD15</f>
        <v/>
      </c>
      <c r="FE9">
        <f>'Entity Inputs'!FE15</f>
        <v/>
      </c>
      <c r="FF9">
        <f>'Entity Inputs'!FF15</f>
        <v/>
      </c>
      <c r="FG9">
        <f>'Entity Inputs'!FG15</f>
        <v/>
      </c>
      <c r="FH9">
        <f>'Entity Inputs'!FH15</f>
        <v/>
      </c>
      <c r="FI9">
        <f>'Entity Inputs'!FI15</f>
        <v/>
      </c>
      <c r="FJ9">
        <f>'Entity Inputs'!FJ15</f>
        <v/>
      </c>
      <c r="FK9">
        <f>'Entity Inputs'!FK15</f>
        <v/>
      </c>
      <c r="FL9">
        <f>'Entity Inputs'!FL15</f>
        <v/>
      </c>
      <c r="FM9">
        <f>'Entity Inputs'!FM15</f>
        <v/>
      </c>
      <c r="FN9">
        <f>'Entity Inputs'!FN15</f>
        <v/>
      </c>
      <c r="FO9">
        <f>'Entity Inputs'!FO15</f>
        <v/>
      </c>
      <c r="FP9">
        <f>'Entity Inputs'!FP15</f>
        <v/>
      </c>
      <c r="FQ9">
        <f>'Entity Inputs'!FQ15</f>
        <v/>
      </c>
      <c r="FR9">
        <f>'Entity Inputs'!FR15</f>
        <v/>
      </c>
      <c r="FS9">
        <f>'Entity Inputs'!FS15</f>
        <v/>
      </c>
      <c r="FT9">
        <f>'Entity Inputs'!FT15</f>
        <v/>
      </c>
      <c r="FU9">
        <f>'Entity Inputs'!FU15</f>
        <v/>
      </c>
      <c r="FV9">
        <f>AU9-V9-X9-BY9</f>
        <v/>
      </c>
      <c r="FW9">
        <f>FV9-AX9</f>
        <v/>
      </c>
      <c r="FX9">
        <f>CJ9+CL9-CK9</f>
        <v/>
      </c>
      <c r="FY9">
        <f>FX9-FX8</f>
        <v/>
      </c>
      <c r="FZ9">
        <f>FV9-BZ9-FY9</f>
        <v/>
      </c>
      <c r="GA9">
        <f>FZ9-DJ9</f>
        <v/>
      </c>
      <c r="GB9">
        <f>CB9-CC9</f>
        <v/>
      </c>
      <c r="GC9">
        <f>SUM(FV$4:FV9)*12/D9</f>
        <v/>
      </c>
      <c r="GD9">
        <f>IF(AU9=0,0,CJ9/AU9*C9)</f>
        <v/>
      </c>
      <c r="GE9">
        <f>IF(V9=0,0,CK9/V9*C9)</f>
        <v/>
      </c>
      <c r="GF9">
        <f>IF(V9=0,0,CL9/V9*C9)</f>
        <v/>
      </c>
      <c r="GG9">
        <f>IF(OR(AS9=0,AT9=0,AV9=0),0,100*((AU9/AS9)/(AV9/AT9)-1))</f>
        <v/>
      </c>
      <c r="GH9">
        <f>'Entity Inputs'!FV15</f>
        <v/>
      </c>
      <c r="GI9">
        <f>'Entity Inputs'!FW15</f>
        <v/>
      </c>
      <c r="GJ9">
        <f>'Entity Inputs'!FX15</f>
        <v/>
      </c>
      <c r="GK9">
        <f>'Entity Inputs'!FY15</f>
        <v/>
      </c>
      <c r="GL9">
        <f>'Entity Inputs'!FZ15</f>
        <v/>
      </c>
      <c r="GM9">
        <f>'Entity Inputs'!GA15</f>
        <v/>
      </c>
      <c r="GN9">
        <f>'Entity Inputs'!GB15</f>
        <v/>
      </c>
      <c r="GO9">
        <f>'Entity Inputs'!GC15</f>
        <v/>
      </c>
      <c r="GP9">
        <f>'Entity Inputs'!GD15</f>
        <v/>
      </c>
      <c r="GQ9">
        <f>'Entity Inputs'!GE15</f>
        <v/>
      </c>
      <c r="GR9">
        <f>'Entity Inputs'!GF15</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R9"/>
  <sheetViews>
    <sheetView workbookViewId="0">
      <selection activeCell="A1" sqref="A1"/>
    </sheetView>
  </sheetViews>
  <sheetFormatPr baseColWidth="8" defaultRowHeight="15"/>
  <sheetData>
    <row r="1">
      <c r="A1" t="inlineStr">
        <is>
          <t>Group</t>
        </is>
      </c>
      <c r="B1" t="inlineStr">
        <is>
          <t>Month</t>
        </is>
      </c>
      <c r="C1" t="inlineStr">
        <is>
          <t>Days in month</t>
        </is>
      </c>
      <c r="D1" t="inlineStr">
        <is>
          <t>Months since April (YTD)</t>
        </is>
      </c>
      <c r="E1" t="inlineStr">
        <is>
          <t>Calendar hours (h)</t>
        </is>
      </c>
      <c r="F1" t="inlineStr">
        <is>
          <t>Planned operating hours (h)</t>
        </is>
      </c>
      <c r="G1" t="inlineStr">
        <is>
          <t>Run hours (h)</t>
        </is>
      </c>
      <c r="H1" t="inlineStr">
        <is>
          <t>Unplanned downtime (h)</t>
        </is>
      </c>
      <c r="I1" t="inlineStr">
        <is>
          <t>Ideal output (t)</t>
        </is>
      </c>
      <c r="J1" t="inlineStr">
        <is>
          <t>Installed capacity (t)</t>
        </is>
      </c>
      <c r="K1" t="inlineStr">
        <is>
          <t>Planned production (t)</t>
        </is>
      </c>
      <c r="L1" t="inlineStr">
        <is>
          <t>Gross output (t)</t>
        </is>
      </c>
      <c r="M1" t="inlineStr">
        <is>
          <t>Good output (t)</t>
        </is>
      </c>
      <c r="N1" t="inlineStr">
        <is>
          <t>Feed input (t)</t>
        </is>
      </c>
      <c r="O1" t="inlineStr">
        <is>
          <t>Valuable content in feed (t)</t>
        </is>
      </c>
      <c r="P1" t="inlineStr">
        <is>
          <t>Valuable content recovered (t)</t>
        </is>
      </c>
      <c r="Q1" t="inlineStr">
        <is>
          <t>Production lost to downtime (t)</t>
        </is>
      </c>
      <c r="R1" t="inlineStr">
        <is>
          <t>Breakdowns (count)</t>
        </is>
      </c>
      <c r="S1" t="inlineStr">
        <is>
          <t>Repair hours (h)</t>
        </is>
      </c>
      <c r="T1" t="inlineStr">
        <is>
          <t>Preventive maintenance scheduled (count)</t>
        </is>
      </c>
      <c r="U1" t="inlineStr">
        <is>
          <t>Preventive maintenance completed (count)</t>
        </is>
      </c>
      <c r="V1" t="inlineStr">
        <is>
          <t>Variable cost (₹ thousand)</t>
        </is>
      </c>
      <c r="W1" t="inlineStr">
        <is>
          <t>Fuel cost (₹ thousand)</t>
        </is>
      </c>
      <c r="X1" t="inlineStr">
        <is>
          <t>Fixed cost (₹ thousand)</t>
        </is>
      </c>
      <c r="Y1" t="inlineStr">
        <is>
          <t>Water used (m³)</t>
        </is>
      </c>
      <c r="Z1" t="inlineStr">
        <is>
          <t>Emissions (t CO2e)</t>
        </is>
      </c>
      <c r="AA1" t="inlineStr">
        <is>
          <t>Energy used (GJ)</t>
        </is>
      </c>
      <c r="AB1" t="inlineStr">
        <is>
          <t>Production at risk (t)</t>
        </is>
      </c>
      <c r="AC1" t="inlineStr">
        <is>
          <t>Critical plant alerts (count)</t>
        </is>
      </c>
      <c r="AD1" t="inlineStr">
        <is>
          <t>Hours worked (h)</t>
        </is>
      </c>
      <c r="AE1" t="inlineStr">
        <is>
          <t>Recordable injuries (count)</t>
        </is>
      </c>
      <c r="AF1" t="inlineStr">
        <is>
          <t>Severity incidents (count)</t>
        </is>
      </c>
      <c r="AG1" t="inlineStr">
        <is>
          <t>Near misses (count)</t>
        </is>
      </c>
      <c r="AH1" t="inlineStr">
        <is>
          <t>Critical safety incidents (count)</t>
        </is>
      </c>
      <c r="AI1" t="inlineStr">
        <is>
          <t>Environmental excursions (count)</t>
        </is>
      </c>
      <c r="AJ1" t="inlineStr">
        <is>
          <t>Environmental violations (count)</t>
        </is>
      </c>
      <c r="AK1" t="inlineStr">
        <is>
          <t>Open EHS corrective actions (count)</t>
        </is>
      </c>
      <c r="AL1" t="inlineStr">
        <is>
          <t>Overdue EHS corrective actions (count)</t>
        </is>
      </c>
      <c r="AM1" t="inlineStr">
        <is>
          <t>EHS investigations due (count)</t>
        </is>
      </c>
      <c r="AN1" t="inlineStr">
        <is>
          <t>EHS investigations completed (count)</t>
        </is>
      </c>
      <c r="AO1" t="inlineStr">
        <is>
          <t>Critical materials at risk (count)</t>
        </is>
      </c>
      <c r="AP1" t="inlineStr">
        <is>
          <t>Dispatches (count)</t>
        </is>
      </c>
      <c r="AQ1" t="inlineStr">
        <is>
          <t>Delayed dispatches (count)</t>
        </is>
      </c>
      <c r="AR1" t="inlineStr">
        <is>
          <t>Days to permit expiry (days)</t>
        </is>
      </c>
      <c r="AS1" t="inlineStr">
        <is>
          <t>Sales volume (t)</t>
        </is>
      </c>
      <c r="AT1" t="inlineStr">
        <is>
          <t>Planned sales volume (t)</t>
        </is>
      </c>
      <c r="AU1" t="inlineStr">
        <is>
          <t>Revenue (₹ thousand)</t>
        </is>
      </c>
      <c r="AV1" t="inlineStr">
        <is>
          <t>Planned revenue (₹ thousand)</t>
        </is>
      </c>
      <c r="AW1" t="inlineStr">
        <is>
          <t>Power cost, part of variable cost (₹ thousand)</t>
        </is>
      </c>
      <c r="AX1" t="inlineStr">
        <is>
          <t>Depreciation and amortisation (₹ thousand)</t>
        </is>
      </c>
      <c r="AY1" t="inlineStr">
        <is>
          <t>Purchase-order lines due (count)</t>
        </is>
      </c>
      <c r="AZ1" t="inlineStr">
        <is>
          <t>Purchase-order lines delivered on time (count)</t>
        </is>
      </c>
      <c r="BA1" t="inlineStr">
        <is>
          <t>Quantity ordered from suppliers (t)</t>
        </is>
      </c>
      <c r="BB1" t="inlineStr">
        <is>
          <t>Quantity received (t)</t>
        </is>
      </c>
      <c r="BC1" t="inlineStr">
        <is>
          <t>Quantity rejected on quality (t)</t>
        </is>
      </c>
      <c r="BD1" t="inlineStr">
        <is>
          <t>Planned lead time, all deliveries (days)</t>
        </is>
      </c>
      <c r="BE1" t="inlineStr">
        <is>
          <t>Actual lead time, all deliveries (days)</t>
        </is>
      </c>
      <c r="BF1" t="inlineStr">
        <is>
          <t>Supplier spend (₹ thousand)</t>
        </is>
      </c>
      <c r="BG1" t="inlineStr">
        <is>
          <t>Spend with single-source suppliers (₹ thousand)</t>
        </is>
      </c>
      <c r="BH1" t="inlineStr">
        <is>
          <t>Supplier EHS incidents (count)</t>
        </is>
      </c>
      <c r="BI1" t="inlineStr">
        <is>
          <t>Regulatory filings pending (count)</t>
        </is>
      </c>
      <c r="BJ1" t="inlineStr">
        <is>
          <t>Regulatory deadlines in next 30 days (count)</t>
        </is>
      </c>
      <c r="BK1" t="inlineStr">
        <is>
          <t>Licences expiring in next 12 months (count)</t>
        </is>
      </c>
      <c r="BL1" t="inlineStr">
        <is>
          <t>Regulatory obligations due in next 30 days (count)</t>
        </is>
      </c>
      <c r="BM1" t="inlineStr">
        <is>
          <t>Regulatory obligations overdue (count)</t>
        </is>
      </c>
      <c r="BN1" t="inlineStr">
        <is>
          <t>Open regulatory actions (count)</t>
        </is>
      </c>
      <c r="BO1" t="inlineStr">
        <is>
          <t>Overdue compliance actions (count)</t>
        </is>
      </c>
      <c r="BP1" t="inlineStr">
        <is>
          <t>Regulatory breaches in the month (count)</t>
        </is>
      </c>
      <c r="BQ1" t="inlineStr">
        <is>
          <t>Events that trigger a disclosure clock (count)</t>
        </is>
      </c>
      <c r="BR1" t="inlineStr">
        <is>
          <t>EHS escalation clocks running (count)</t>
        </is>
      </c>
      <c r="BS1" t="inlineStr">
        <is>
          <t>Days until production plan is breached, forecast (days; 99 = not expected)</t>
        </is>
      </c>
      <c r="BT1" t="inlineStr">
        <is>
          <t>Planned production next month (t)</t>
        </is>
      </c>
      <c r="BU1" t="inlineStr">
        <is>
          <t>Forecast good output next month (t)</t>
        </is>
      </c>
      <c r="BV1" t="inlineStr">
        <is>
          <t>Forecast uncertainty next month (variance, t²)</t>
        </is>
      </c>
      <c r="BW1" t="inlineStr">
        <is>
          <t>Ideal output next month (t)</t>
        </is>
      </c>
      <c r="BX1" t="inlineStr">
        <is>
          <t>Forecast production lost to downtime next month (t)</t>
        </is>
      </c>
      <c r="BY1" t="inlineStr">
        <is>
          <t>Overheads, SG&amp;A (₹ thousand)</t>
        </is>
      </c>
      <c r="BZ1" t="inlineStr">
        <is>
          <t>Tax paid (₹ thousand)</t>
        </is>
      </c>
      <c r="CA1" t="inlineStr">
        <is>
          <t>Capital employed, month end (₹ thousand)</t>
        </is>
      </c>
      <c r="CB1" t="inlineStr">
        <is>
          <t>Gross debt, month end (₹ thousand)</t>
        </is>
      </c>
      <c r="CC1" t="inlineStr">
        <is>
          <t>Cash, month end (₹ thousand)</t>
        </is>
      </c>
      <c r="CD1" t="inlineStr">
        <is>
          <t>Undrawn committed facilities (₹ thousand)</t>
        </is>
      </c>
      <c r="CE1" t="inlineStr">
        <is>
          <t>Debt service in the month (₹ thousand)</t>
        </is>
      </c>
      <c r="CF1" t="inlineStr">
        <is>
          <t>Debt maturing in next 12 months (₹ thousand)</t>
        </is>
      </c>
      <c r="CG1" t="inlineStr">
        <is>
          <t>Floating-rate debt (₹ thousand)</t>
        </is>
      </c>
      <c r="CH1" t="inlineStr">
        <is>
          <t>EBITDA as reported in the Board pack (₹ thousand)</t>
        </is>
      </c>
      <c r="CI1" t="inlineStr">
        <is>
          <t>Revenue in the flash report (₹ thousand)</t>
        </is>
      </c>
      <c r="CJ1" t="inlineStr">
        <is>
          <t>Trade receivables, month end (₹ thousand)</t>
        </is>
      </c>
      <c r="CK1" t="inlineStr">
        <is>
          <t>Trade payables, month end (₹ thousand)</t>
        </is>
      </c>
      <c r="CL1" t="inlineStr">
        <is>
          <t>Inventory, month end (₹ thousand)</t>
        </is>
      </c>
      <c r="CM1" t="inlineStr">
        <is>
          <t>Cash collected from customers (₹ thousand)</t>
        </is>
      </c>
      <c r="CN1" t="inlineStr">
        <is>
          <t>Cash released by working-capital actions (₹ thousand)</t>
        </is>
      </c>
      <c r="CO1" t="inlineStr">
        <is>
          <t>Cash due to be upstreamed to Group, next 30 days (₹ thousand)</t>
        </is>
      </c>
      <c r="CP1" t="inlineStr">
        <is>
          <t>Of which covered by available cash (₹ thousand)</t>
        </is>
      </c>
      <c r="CQ1" t="inlineStr">
        <is>
          <t>Invoices collected (count)</t>
        </is>
      </c>
      <c r="CR1" t="inlineStr">
        <is>
          <t>Days taken to collect, all invoices (days)</t>
        </is>
      </c>
      <c r="CS1" t="inlineStr">
        <is>
          <t>Agreed payment terms, all invoices (days)</t>
        </is>
      </c>
      <c r="CT1" t="inlineStr">
        <is>
          <t>Customers more than 30 days overdue (count)</t>
        </is>
      </c>
      <c r="CU1" t="inlineStr">
        <is>
          <t>Forecast EBITDA, rest of year (₹ thousand)</t>
        </is>
      </c>
      <c r="CV1" t="inlineStr">
        <is>
          <t>Planned EBITDA, rest of year (₹ thousand)</t>
        </is>
      </c>
      <c r="CW1" t="inlineStr">
        <is>
          <t>Forecast net cash flow, next 90 days (₹ thousand)</t>
        </is>
      </c>
      <c r="CX1" t="inlineStr">
        <is>
          <t>Forecast net debt at quarter end (₹ thousand)</t>
        </is>
      </c>
      <c r="CY1" t="inlineStr">
        <is>
          <t>Forecast EBITDA, 12 months to quarter end (₹ thousand)</t>
        </is>
      </c>
      <c r="CZ1" t="inlineStr">
        <is>
          <t>Foreign-currency exposure, gross (₹ thousand)</t>
        </is>
      </c>
      <c r="DA1" t="inlineStr">
        <is>
          <t>Foreign-currency exposure hedged (₹ thousand)</t>
        </is>
      </c>
      <c r="DB1" t="inlineStr">
        <is>
          <t>USD exposure, gross (₹ thousand)</t>
        </is>
      </c>
      <c r="DC1" t="inlineStr">
        <is>
          <t>USD exposure hedged (₹ thousand)</t>
        </is>
      </c>
      <c r="DD1" t="inlineStr">
        <is>
          <t>Change in value of hedges (₹ thousand)</t>
        </is>
      </c>
      <c r="DE1" t="inlineStr">
        <is>
          <t>Change in value of hedged items (₹ thousand)</t>
        </is>
      </c>
      <c r="DF1" t="inlineStr">
        <is>
          <t>Forecast foreign-currency flows, next 6 months (₹ thousand)</t>
        </is>
      </c>
      <c r="DG1" t="inlineStr">
        <is>
          <t>Of which hedged (₹ thousand)</t>
        </is>
      </c>
      <c r="DH1" t="inlineStr">
        <is>
          <t>Approved capex budget, full year (₹ thousand)</t>
        </is>
      </c>
      <c r="DI1" t="inlineStr">
        <is>
          <t>Capex committed to date (₹ thousand)</t>
        </is>
      </c>
      <c r="DJ1" t="inlineStr">
        <is>
          <t>Capex spent in the month (₹ thousand)</t>
        </is>
      </c>
      <c r="DK1" t="inlineStr">
        <is>
          <t>Capex work completed, valued at budget (₹ thousand)</t>
        </is>
      </c>
      <c r="DL1" t="inlineStr">
        <is>
          <t>Budget of capex projects at risk (₹ thousand)</t>
        </is>
      </c>
      <c r="DM1" t="inlineStr">
        <is>
          <t>Capex projects on track (count)</t>
        </is>
      </c>
      <c r="DN1" t="inlineStr">
        <is>
          <t>Capex projects at risk (count)</t>
        </is>
      </c>
      <c r="DO1" t="inlineStr">
        <is>
          <t>Capex projects off track (count)</t>
        </is>
      </c>
      <c r="DP1" t="inlineStr">
        <is>
          <t>Capex projects delayed (count)</t>
        </is>
      </c>
      <c r="DQ1" t="inlineStr">
        <is>
          <t>Contractor milestones due (count)</t>
        </is>
      </c>
      <c r="DR1" t="inlineStr">
        <is>
          <t>Contractor days late, all milestones (days)</t>
        </is>
      </c>
      <c r="DS1" t="inlineStr">
        <is>
          <t>Transformation initiatives on track (count)</t>
        </is>
      </c>
      <c r="DT1" t="inlineStr">
        <is>
          <t>Transformation initiatives at risk (count)</t>
        </is>
      </c>
      <c r="DU1" t="inlineStr">
        <is>
          <t>Transformation initiatives delayed (count)</t>
        </is>
      </c>
      <c r="DV1" t="inlineStr">
        <is>
          <t>Transformation milestones in plan (count)</t>
        </is>
      </c>
      <c r="DW1" t="inlineStr">
        <is>
          <t>Transformation milestones completed (count)</t>
        </is>
      </c>
      <c r="DX1" t="inlineStr">
        <is>
          <t>Programme benefits planned in the month (₹ thousand)</t>
        </is>
      </c>
      <c r="DY1" t="inlineStr">
        <is>
          <t>Programme benefits delivered in the month (₹ thousand)</t>
        </is>
      </c>
      <c r="DZ1" t="inlineStr">
        <is>
          <t>EBITDA benefit delivered (₹ thousand)</t>
        </is>
      </c>
      <c r="EA1" t="inlineStr">
        <is>
          <t>Cash benefit delivered (₹ thousand)</t>
        </is>
      </c>
      <c r="EB1" t="inlineStr">
        <is>
          <t>Cost savings delivered (₹ thousand)</t>
        </is>
      </c>
      <c r="EC1" t="inlineStr">
        <is>
          <t>Active supply contracts (count)</t>
        </is>
      </c>
      <c r="ED1" t="inlineStr">
        <is>
          <t>Contracts fully compliant (count)</t>
        </is>
      </c>
      <c r="EE1" t="inlineStr">
        <is>
          <t>Contracts expiring in next 90 days (count)</t>
        </is>
      </c>
      <c r="EF1" t="inlineStr">
        <is>
          <t>Suppliers not meeting EHS requirements (count)</t>
        </is>
      </c>
      <c r="EG1" t="inlineStr">
        <is>
          <t>Critical single-source suppliers (count)</t>
        </is>
      </c>
      <c r="EH1" t="inlineStr">
        <is>
          <t>Control failures (count)</t>
        </is>
      </c>
      <c r="EI1" t="inlineStr">
        <is>
          <t>High-severity control failures (count)</t>
        </is>
      </c>
      <c r="EJ1" t="inlineStr">
        <is>
          <t>Assurance reviews planned (count)</t>
        </is>
      </c>
      <c r="EK1" t="inlineStr">
        <is>
          <t>Assurance reviews completed (count)</t>
        </is>
      </c>
      <c r="EL1" t="inlineStr">
        <is>
          <t>Policy exceptions (count)</t>
        </is>
      </c>
      <c r="EM1" t="inlineStr">
        <is>
          <t>Unauthorised vendor uses (count)</t>
        </is>
      </c>
      <c r="EN1" t="inlineStr">
        <is>
          <t>Segregation-of-duties exceptions (count)</t>
        </is>
      </c>
      <c r="EO1" t="inlineStr">
        <is>
          <t>Unauthorised access events (count)</t>
        </is>
      </c>
      <c r="EP1" t="inlineStr">
        <is>
          <t>Data-sharing exceptions (count)</t>
        </is>
      </c>
      <c r="EQ1" t="inlineStr">
        <is>
          <t>Manual operational or system overrides (count)</t>
        </is>
      </c>
      <c r="ER1" t="inlineStr">
        <is>
          <t>Certification approvals past due date (count)</t>
        </is>
      </c>
      <c r="ES1" t="inlineStr">
        <is>
          <t>KPI values overridden (count)</t>
        </is>
      </c>
      <c r="ET1" t="inlineStr">
        <is>
          <t>Recurring data-quality issues (count)</t>
        </is>
      </c>
      <c r="EU1" t="inlineStr">
        <is>
          <t>Open audit findings (count)</t>
        </is>
      </c>
      <c r="EV1" t="inlineStr">
        <is>
          <t>Overdue assurance actions (count)</t>
        </is>
      </c>
      <c r="EW1" t="inlineStr">
        <is>
          <t>Repeat audit findings (count)</t>
        </is>
      </c>
      <c r="EX1" t="inlineStr">
        <is>
          <t>Leadership KPIs affected by open findings (count)</t>
        </is>
      </c>
      <c r="EY1" t="inlineStr">
        <is>
          <t>Evidence items required (count)</t>
        </is>
      </c>
      <c r="EZ1" t="inlineStr">
        <is>
          <t>Evidence items complete (count)</t>
        </is>
      </c>
      <c r="FA1" t="inlineStr">
        <is>
          <t>Audit findings closed in the month (count)</t>
        </is>
      </c>
      <c r="FB1" t="inlineStr">
        <is>
          <t>Days taken to close those findings (days)</t>
        </is>
      </c>
      <c r="FC1" t="inlineStr">
        <is>
          <t>Leadership KPI values reported (count)</t>
        </is>
      </c>
      <c r="FD1" t="inlineStr">
        <is>
          <t>Of which certified (count)</t>
        </is>
      </c>
      <c r="FE1" t="inlineStr">
        <is>
          <t>Of which inside the certification process (count)</t>
        </is>
      </c>
      <c r="FF1" t="inlineStr">
        <is>
          <t>Certifications overdue (count)</t>
        </is>
      </c>
      <c r="FG1" t="inlineStr">
        <is>
          <t>Open reconciliation breaks (count)</t>
        </is>
      </c>
      <c r="FH1" t="inlineStr">
        <is>
          <t>Material reconciliation breaks (count)</t>
        </is>
      </c>
      <c r="FI1" t="inlineStr">
        <is>
          <t>Records loaded to the data lake (count)</t>
        </is>
      </c>
      <c r="FJ1" t="inlineStr">
        <is>
          <t>Records reconciled to source (count)</t>
        </is>
      </c>
      <c r="FK1" t="inlineStr">
        <is>
          <t>Flash report lines (count)</t>
        </is>
      </c>
      <c r="FL1" t="inlineStr">
        <is>
          <t>Flash lines matching MIS (count)</t>
        </is>
      </c>
      <c r="FM1" t="inlineStr">
        <is>
          <t>Open critical alerts (count)</t>
        </is>
      </c>
      <c r="FN1" t="inlineStr">
        <is>
          <t>Alerts with no accepted owner (count)</t>
        </is>
      </c>
      <c r="FO1" t="inlineStr">
        <is>
          <t>Overdue actions (count)</t>
        </is>
      </c>
      <c r="FP1" t="inlineStr">
        <is>
          <t>Alerts resolved in the month (count)</t>
        </is>
      </c>
      <c r="FQ1" t="inlineStr">
        <is>
          <t>Days taken to resolve those alerts (days)</t>
        </is>
      </c>
      <c r="FR1" t="inlineStr">
        <is>
          <t>Escalations closed in the month (count)</t>
        </is>
      </c>
      <c r="FS1" t="inlineStr">
        <is>
          <t>Repeat issues raised in the month (count)</t>
        </is>
      </c>
      <c r="FT1" t="inlineStr">
        <is>
          <t>Root causes identified (count)</t>
        </is>
      </c>
      <c r="FU1" t="inlineStr">
        <is>
          <t>Root causes eliminated (count)</t>
        </is>
      </c>
      <c r="FV1" t="inlineStr">
        <is>
          <t>EBITDA (₹ thousand)</t>
        </is>
      </c>
      <c r="FW1" t="inlineStr">
        <is>
          <t>EBIT (₹ thousand)</t>
        </is>
      </c>
      <c r="FX1" t="inlineStr">
        <is>
          <t>Net working capital (₹ thousand)</t>
        </is>
      </c>
      <c r="FY1" t="inlineStr">
        <is>
          <t>Change in net working capital (₹ thousand)</t>
        </is>
      </c>
      <c r="FZ1" t="inlineStr">
        <is>
          <t>Operating cash flow (₹ thousand)</t>
        </is>
      </c>
      <c r="GA1" t="inlineStr">
        <is>
          <t>Free cash flow (₹ thousand)</t>
        </is>
      </c>
      <c r="GB1" t="inlineStr">
        <is>
          <t>Net debt (₹ thousand)</t>
        </is>
      </c>
      <c r="GC1" t="inlineStr">
        <is>
          <t>EBITDA, annualised (₹ thousand)</t>
        </is>
      </c>
      <c r="GD1" t="inlineStr">
        <is>
          <t>DSO (days)</t>
        </is>
      </c>
      <c r="GE1" t="inlineStr">
        <is>
          <t>DPO (days)</t>
        </is>
      </c>
      <c r="GF1" t="inlineStr">
        <is>
          <t>Inventory days (days)</t>
        </is>
      </c>
      <c r="GG1" t="inlineStr">
        <is>
          <t>Realised price vs plan (%)</t>
        </is>
      </c>
      <c r="GH1" t="inlineStr">
        <is>
          <t>Full-time employees (FTE, count)</t>
        </is>
      </c>
      <c r="GI1" t="inlineStr">
        <is>
          <t>FCF plan, full year (₹ thousand)</t>
        </is>
      </c>
      <c r="GJ1" t="inlineStr">
        <is>
          <t>Forecast FCF, rest of year (₹ thousand)</t>
        </is>
      </c>
      <c r="GK1" t="inlineStr">
        <is>
          <t>Forecast EBIT, rest of year (₹ thousand)</t>
        </is>
      </c>
      <c r="GL1" t="inlineStr">
        <is>
          <t>Forecast capital employed at P12 (₹ thousand)</t>
        </is>
      </c>
      <c r="GM1" t="inlineStr">
        <is>
          <t>EBITDA plan, full year (₹ thousand)</t>
        </is>
      </c>
      <c r="GN1" t="inlineStr">
        <is>
          <t>EBITDA full-year forecast uncertainty, 1σ (₹ thousand)</t>
        </is>
      </c>
      <c r="GO1" t="inlineStr">
        <is>
          <t>Hours to nearest open disclosure deadline (999 = none)</t>
        </is>
      </c>
      <c r="GP1" t="inlineStr">
        <is>
          <t>Single-source suppliers with cover below lead time (count)</t>
        </is>
      </c>
      <c r="GQ1" t="inlineStr">
        <is>
          <t>RM-1 price index (external, same for every entity)</t>
        </is>
      </c>
      <c r="GR1" t="inlineStr">
        <is>
          <t>Supply lanes with a disruption flag (count)</t>
        </is>
      </c>
    </row>
    <row r="2">
      <c r="A2" t="inlineStr">
        <is>
          <t>group</t>
        </is>
      </c>
      <c r="B2" t="inlineStr">
        <is>
          <t>period</t>
        </is>
      </c>
      <c r="C2" t="inlineStr">
        <is>
          <t>days</t>
        </is>
      </c>
      <c r="D2" t="inlineStr">
        <is>
          <t>ytd_months</t>
        </is>
      </c>
      <c r="E2" t="inlineStr">
        <is>
          <t>calendar_hours</t>
        </is>
      </c>
      <c r="F2" t="inlineStr">
        <is>
          <t>planned_op_hours</t>
        </is>
      </c>
      <c r="G2" t="inlineStr">
        <is>
          <t>run_hours</t>
        </is>
      </c>
      <c r="H2" t="inlineStr">
        <is>
          <t>unplanned_downtime_hours</t>
        </is>
      </c>
      <c r="I2" t="inlineStr">
        <is>
          <t>ideal_output_t</t>
        </is>
      </c>
      <c r="J2" t="inlineStr">
        <is>
          <t>installed_capacity_t</t>
        </is>
      </c>
      <c r="K2" t="inlineStr">
        <is>
          <t>planned_production_t</t>
        </is>
      </c>
      <c r="L2" t="inlineStr">
        <is>
          <t>gross_output_t</t>
        </is>
      </c>
      <c r="M2" t="inlineStr">
        <is>
          <t>good_output_t</t>
        </is>
      </c>
      <c r="N2" t="inlineStr">
        <is>
          <t>feed_input_t</t>
        </is>
      </c>
      <c r="O2" t="inlineStr">
        <is>
          <t>feed_contained_t</t>
        </is>
      </c>
      <c r="P2" t="inlineStr">
        <is>
          <t>recovered_contained_t</t>
        </is>
      </c>
      <c r="Q2" t="inlineStr">
        <is>
          <t>prod_loss_downtime_t</t>
        </is>
      </c>
      <c r="R2" t="inlineStr">
        <is>
          <t>failures</t>
        </is>
      </c>
      <c r="S2" t="inlineStr">
        <is>
          <t>repair_hours</t>
        </is>
      </c>
      <c r="T2" t="inlineStr">
        <is>
          <t>pm_scheduled</t>
        </is>
      </c>
      <c r="U2" t="inlineStr">
        <is>
          <t>pm_completed</t>
        </is>
      </c>
      <c r="V2" t="inlineStr">
        <is>
          <t>variable_cost_k</t>
        </is>
      </c>
      <c r="W2" t="inlineStr">
        <is>
          <t>fuel_cost_k</t>
        </is>
      </c>
      <c r="X2" t="inlineStr">
        <is>
          <t>fixed_cost_k</t>
        </is>
      </c>
      <c r="Y2" t="inlineStr">
        <is>
          <t>water_m3</t>
        </is>
      </c>
      <c r="Z2" t="inlineStr">
        <is>
          <t>emissions_tco2e</t>
        </is>
      </c>
      <c r="AA2" t="inlineStr">
        <is>
          <t>energy_gj</t>
        </is>
      </c>
      <c r="AB2" t="inlineStr">
        <is>
          <t>production_at_risk_t</t>
        </is>
      </c>
      <c r="AC2" t="inlineStr">
        <is>
          <t>critical_plant_alerts</t>
        </is>
      </c>
      <c r="AD2" t="inlineStr">
        <is>
          <t>hours_worked</t>
        </is>
      </c>
      <c r="AE2" t="inlineStr">
        <is>
          <t>recordable_injuries</t>
        </is>
      </c>
      <c r="AF2" t="inlineStr">
        <is>
          <t>severity_incidents</t>
        </is>
      </c>
      <c r="AG2" t="inlineStr">
        <is>
          <t>near_misses</t>
        </is>
      </c>
      <c r="AH2" t="inlineStr">
        <is>
          <t>critical_safety_incidents</t>
        </is>
      </c>
      <c r="AI2" t="inlineStr">
        <is>
          <t>env_excursions</t>
        </is>
      </c>
      <c r="AJ2" t="inlineStr">
        <is>
          <t>env_violations</t>
        </is>
      </c>
      <c r="AK2" t="inlineStr">
        <is>
          <t>ehs_ca_open</t>
        </is>
      </c>
      <c r="AL2" t="inlineStr">
        <is>
          <t>ehs_ca_overdue</t>
        </is>
      </c>
      <c r="AM2" t="inlineStr">
        <is>
          <t>investigations_due</t>
        </is>
      </c>
      <c r="AN2" t="inlineStr">
        <is>
          <t>investigations_completed</t>
        </is>
      </c>
      <c r="AO2" t="inlineStr">
        <is>
          <t>critical_material_risks</t>
        </is>
      </c>
      <c r="AP2" t="inlineStr">
        <is>
          <t>dispatches_total</t>
        </is>
      </c>
      <c r="AQ2" t="inlineStr">
        <is>
          <t>dispatches_delayed</t>
        </is>
      </c>
      <c r="AR2" t="inlineStr">
        <is>
          <t>permit_days_to_expiry</t>
        </is>
      </c>
      <c r="AS2" t="inlineStr">
        <is>
          <t>sales_t</t>
        </is>
      </c>
      <c r="AT2" t="inlineStr">
        <is>
          <t>planned_sales_t</t>
        </is>
      </c>
      <c r="AU2" t="inlineStr">
        <is>
          <t>revenue_k</t>
        </is>
      </c>
      <c r="AV2" t="inlineStr">
        <is>
          <t>planned_revenue_k</t>
        </is>
      </c>
      <c r="AW2" t="inlineStr">
        <is>
          <t>power_cost_k</t>
        </is>
      </c>
      <c r="AX2" t="inlineStr">
        <is>
          <t>depreciation_k</t>
        </is>
      </c>
      <c r="AY2" t="inlineStr">
        <is>
          <t>po_lines_due</t>
        </is>
      </c>
      <c r="AZ2" t="inlineStr">
        <is>
          <t>po_lines_on_time</t>
        </is>
      </c>
      <c r="BA2" t="inlineStr">
        <is>
          <t>qty_ordered_t</t>
        </is>
      </c>
      <c r="BB2" t="inlineStr">
        <is>
          <t>qty_received_t</t>
        </is>
      </c>
      <c r="BC2" t="inlineStr">
        <is>
          <t>qty_rejected_t</t>
        </is>
      </c>
      <c r="BD2" t="inlineStr">
        <is>
          <t>lead_time_planned_days</t>
        </is>
      </c>
      <c r="BE2" t="inlineStr">
        <is>
          <t>lead_time_actual_days</t>
        </is>
      </c>
      <c r="BF2" t="inlineStr">
        <is>
          <t>supplier_spend_k</t>
        </is>
      </c>
      <c r="BG2" t="inlineStr">
        <is>
          <t>single_source_spend_k</t>
        </is>
      </c>
      <c r="BH2" t="inlineStr">
        <is>
          <t>supplier_ehs_incidents</t>
        </is>
      </c>
      <c r="BI2" t="inlineStr">
        <is>
          <t>pending_filings</t>
        </is>
      </c>
      <c r="BJ2" t="inlineStr">
        <is>
          <t>reg_deadlines_30d</t>
        </is>
      </c>
      <c r="BK2" t="inlineStr">
        <is>
          <t>licences_expiring_12m</t>
        </is>
      </c>
      <c r="BL2" t="inlineStr">
        <is>
          <t>reg_obligations_due_30d</t>
        </is>
      </c>
      <c r="BM2" t="inlineStr">
        <is>
          <t>reg_obligations_overdue</t>
        </is>
      </c>
      <c r="BN2" t="inlineStr">
        <is>
          <t>reg_actions_open</t>
        </is>
      </c>
      <c r="BO2" t="inlineStr">
        <is>
          <t>compliance_actions_overdue</t>
        </is>
      </c>
      <c r="BP2" t="inlineStr">
        <is>
          <t>reg_breaches</t>
        </is>
      </c>
      <c r="BQ2" t="inlineStr">
        <is>
          <t>disclosure_events_open</t>
        </is>
      </c>
      <c r="BR2" t="inlineStr">
        <is>
          <t>ehs_escalation_clocks</t>
        </is>
      </c>
      <c r="BS2" t="inlineStr">
        <is>
          <t>days_to_breach</t>
        </is>
      </c>
      <c r="BT2" t="inlineStr">
        <is>
          <t>planned_production_next_t</t>
        </is>
      </c>
      <c r="BU2" t="inlineStr">
        <is>
          <t>forecast_good_next_t</t>
        </is>
      </c>
      <c r="BV2" t="inlineStr">
        <is>
          <t>forecast_good_var_next</t>
        </is>
      </c>
      <c r="BW2" t="inlineStr">
        <is>
          <t>ideal_output_next_t</t>
        </is>
      </c>
      <c r="BX2" t="inlineStr">
        <is>
          <t>forecast_downtime_loss_next_t</t>
        </is>
      </c>
      <c r="BY2" t="inlineStr">
        <is>
          <t>overhead_k</t>
        </is>
      </c>
      <c r="BZ2" t="inlineStr">
        <is>
          <t>tax_paid_k</t>
        </is>
      </c>
      <c r="CA2" t="inlineStr">
        <is>
          <t>capital_employed_k</t>
        </is>
      </c>
      <c r="CB2" t="inlineStr">
        <is>
          <t>gross_debt_k</t>
        </is>
      </c>
      <c r="CC2" t="inlineStr">
        <is>
          <t>cash_k</t>
        </is>
      </c>
      <c r="CD2" t="inlineStr">
        <is>
          <t>undrawn_facilities_k</t>
        </is>
      </c>
      <c r="CE2" t="inlineStr">
        <is>
          <t>debt_service_k</t>
        </is>
      </c>
      <c r="CF2" t="inlineStr">
        <is>
          <t>debt_maturing_12m_k</t>
        </is>
      </c>
      <c r="CG2" t="inlineStr">
        <is>
          <t>floating_rate_debt_k</t>
        </is>
      </c>
      <c r="CH2" t="inlineStr">
        <is>
          <t>board_ebitda_k</t>
        </is>
      </c>
      <c r="CI2" t="inlineStr">
        <is>
          <t>flash_revenue_k</t>
        </is>
      </c>
      <c r="CJ2" t="inlineStr">
        <is>
          <t>receivables_k</t>
        </is>
      </c>
      <c r="CK2" t="inlineStr">
        <is>
          <t>payables_k</t>
        </is>
      </c>
      <c r="CL2" t="inlineStr">
        <is>
          <t>inventory_k</t>
        </is>
      </c>
      <c r="CM2" t="inlineStr">
        <is>
          <t>collections_k</t>
        </is>
      </c>
      <c r="CN2" t="inlineStr">
        <is>
          <t>cash_released_k</t>
        </is>
      </c>
      <c r="CO2" t="inlineStr">
        <is>
          <t>upstream_due_k</t>
        </is>
      </c>
      <c r="CP2" t="inlineStr">
        <is>
          <t>upstream_covered_k</t>
        </is>
      </c>
      <c r="CQ2" t="inlineStr">
        <is>
          <t>invoices_collected</t>
        </is>
      </c>
      <c r="CR2" t="inlineStr">
        <is>
          <t>collection_days</t>
        </is>
      </c>
      <c r="CS2" t="inlineStr">
        <is>
          <t>terms_days</t>
        </is>
      </c>
      <c r="CT2" t="inlineStr">
        <is>
          <t>customers_overdue</t>
        </is>
      </c>
      <c r="CU2" t="inlineStr">
        <is>
          <t>forecast_ebitda_rest_k</t>
        </is>
      </c>
      <c r="CV2" t="inlineStr">
        <is>
          <t>planned_ebitda_rest_k</t>
        </is>
      </c>
      <c r="CW2" t="inlineStr">
        <is>
          <t>forecast_net_cash_flow_90d_k</t>
        </is>
      </c>
      <c r="CX2" t="inlineStr">
        <is>
          <t>forecast_net_debt_k</t>
        </is>
      </c>
      <c r="CY2" t="inlineStr">
        <is>
          <t>forecast_ebitda_ltm_k</t>
        </is>
      </c>
      <c r="CZ2" t="inlineStr">
        <is>
          <t>fx_exposure_k</t>
        </is>
      </c>
      <c r="DA2" t="inlineStr">
        <is>
          <t>fx_hedged_k</t>
        </is>
      </c>
      <c r="DB2" t="inlineStr">
        <is>
          <t>usd_exposure_k</t>
        </is>
      </c>
      <c r="DC2" t="inlineStr">
        <is>
          <t>usd_hedged_k</t>
        </is>
      </c>
      <c r="DD2" t="inlineStr">
        <is>
          <t>hedge_value_change_k</t>
        </is>
      </c>
      <c r="DE2" t="inlineStr">
        <is>
          <t>hedged_item_value_change_k</t>
        </is>
      </c>
      <c r="DF2" t="inlineStr">
        <is>
          <t>fx_flows_6m_k</t>
        </is>
      </c>
      <c r="DG2" t="inlineStr">
        <is>
          <t>fx_hedged_6m_k</t>
        </is>
      </c>
      <c r="DH2" t="inlineStr">
        <is>
          <t>capex_budget_k</t>
        </is>
      </c>
      <c r="DI2" t="inlineStr">
        <is>
          <t>capex_committed_k</t>
        </is>
      </c>
      <c r="DJ2" t="inlineStr">
        <is>
          <t>capex_spend_k</t>
        </is>
      </c>
      <c r="DK2" t="inlineStr">
        <is>
          <t>capex_earned_value_k</t>
        </is>
      </c>
      <c r="DL2" t="inlineStr">
        <is>
          <t>capex_at_risk_k</t>
        </is>
      </c>
      <c r="DM2" t="inlineStr">
        <is>
          <t>projects_on_track</t>
        </is>
      </c>
      <c r="DN2" t="inlineStr">
        <is>
          <t>projects_at_risk</t>
        </is>
      </c>
      <c r="DO2" t="inlineStr">
        <is>
          <t>projects_off_track</t>
        </is>
      </c>
      <c r="DP2" t="inlineStr">
        <is>
          <t>projects_delayed</t>
        </is>
      </c>
      <c r="DQ2" t="inlineStr">
        <is>
          <t>contractor_milestones_due</t>
        </is>
      </c>
      <c r="DR2" t="inlineStr">
        <is>
          <t>contractor_days_late</t>
        </is>
      </c>
      <c r="DS2" t="inlineStr">
        <is>
          <t>initiatives_on_track</t>
        </is>
      </c>
      <c r="DT2" t="inlineStr">
        <is>
          <t>initiatives_at_risk</t>
        </is>
      </c>
      <c r="DU2" t="inlineStr">
        <is>
          <t>initiatives_delayed</t>
        </is>
      </c>
      <c r="DV2" t="inlineStr">
        <is>
          <t>milestones_total</t>
        </is>
      </c>
      <c r="DW2" t="inlineStr">
        <is>
          <t>milestones_done</t>
        </is>
      </c>
      <c r="DX2" t="inlineStr">
        <is>
          <t>benefits_planned_k</t>
        </is>
      </c>
      <c r="DY2" t="inlineStr">
        <is>
          <t>benefits_delivered_k</t>
        </is>
      </c>
      <c r="DZ2" t="inlineStr">
        <is>
          <t>ebitda_benefit_k</t>
        </is>
      </c>
      <c r="EA2" t="inlineStr">
        <is>
          <t>cash_benefit_k</t>
        </is>
      </c>
      <c r="EB2" t="inlineStr">
        <is>
          <t>cost_savings_k</t>
        </is>
      </c>
      <c r="EC2" t="inlineStr">
        <is>
          <t>contracts_total</t>
        </is>
      </c>
      <c r="ED2" t="inlineStr">
        <is>
          <t>contracts_compliant</t>
        </is>
      </c>
      <c r="EE2" t="inlineStr">
        <is>
          <t>contracts_expiring_90d</t>
        </is>
      </c>
      <c r="EF2" t="inlineStr">
        <is>
          <t>supplier_ehs_noncompliance</t>
        </is>
      </c>
      <c r="EG2" t="inlineStr">
        <is>
          <t>single_source_suppliers</t>
        </is>
      </c>
      <c r="EH2" t="inlineStr">
        <is>
          <t>control_failures</t>
        </is>
      </c>
      <c r="EI2" t="inlineStr">
        <is>
          <t>control_failures_high</t>
        </is>
      </c>
      <c r="EJ2" t="inlineStr">
        <is>
          <t>assurance_reviews_planned</t>
        </is>
      </c>
      <c r="EK2" t="inlineStr">
        <is>
          <t>assurance_reviews_done</t>
        </is>
      </c>
      <c r="EL2" t="inlineStr">
        <is>
          <t>policy_exceptions</t>
        </is>
      </c>
      <c r="EM2" t="inlineStr">
        <is>
          <t>unauthorized_vendor_uses</t>
        </is>
      </c>
      <c r="EN2" t="inlineStr">
        <is>
          <t>sod_exceptions</t>
        </is>
      </c>
      <c r="EO2" t="inlineStr">
        <is>
          <t>unauthorized_access_events</t>
        </is>
      </c>
      <c r="EP2" t="inlineStr">
        <is>
          <t>data_sharing_exceptions</t>
        </is>
      </c>
      <c r="EQ2" t="inlineStr">
        <is>
          <t>manual_overrides</t>
        </is>
      </c>
      <c r="ER2" t="inlineStr">
        <is>
          <t>cert_approvals_ageing</t>
        </is>
      </c>
      <c r="ES2" t="inlineStr">
        <is>
          <t>kpi_overrides</t>
        </is>
      </c>
      <c r="ET2" t="inlineStr">
        <is>
          <t>dq_issues_recurring</t>
        </is>
      </c>
      <c r="EU2" t="inlineStr">
        <is>
          <t>audit_findings_open</t>
        </is>
      </c>
      <c r="EV2" t="inlineStr">
        <is>
          <t>assurance_actions_overdue</t>
        </is>
      </c>
      <c r="EW2" t="inlineStr">
        <is>
          <t>repeat_findings</t>
        </is>
      </c>
      <c r="EX2" t="inlineStr">
        <is>
          <t>leadership_kpis_affected</t>
        </is>
      </c>
      <c r="EY2" t="inlineStr">
        <is>
          <t>evidence_required</t>
        </is>
      </c>
      <c r="EZ2" t="inlineStr">
        <is>
          <t>evidence_complete</t>
        </is>
      </c>
      <c r="FA2" t="inlineStr">
        <is>
          <t>findings_closed</t>
        </is>
      </c>
      <c r="FB2" t="inlineStr">
        <is>
          <t>finding_closure_days</t>
        </is>
      </c>
      <c r="FC2" t="inlineStr">
        <is>
          <t>kpis_leadership</t>
        </is>
      </c>
      <c r="FD2" t="inlineStr">
        <is>
          <t>kpis_certified</t>
        </is>
      </c>
      <c r="FE2" t="inlineStr">
        <is>
          <t>kpis_in_scope</t>
        </is>
      </c>
      <c r="FF2" t="inlineStr">
        <is>
          <t>certifications_overdue</t>
        </is>
      </c>
      <c r="FG2" t="inlineStr">
        <is>
          <t>recon_breaks_open</t>
        </is>
      </c>
      <c r="FH2" t="inlineStr">
        <is>
          <t>recon_breaks_material</t>
        </is>
      </c>
      <c r="FI2" t="inlineStr">
        <is>
          <t>lake_records_loaded</t>
        </is>
      </c>
      <c r="FJ2" t="inlineStr">
        <is>
          <t>lake_records_reconciled</t>
        </is>
      </c>
      <c r="FK2" t="inlineStr">
        <is>
          <t>mis_lines_total</t>
        </is>
      </c>
      <c r="FL2" t="inlineStr">
        <is>
          <t>mis_lines_matched</t>
        </is>
      </c>
      <c r="FM2" t="inlineStr">
        <is>
          <t>critical_alerts_open</t>
        </is>
      </c>
      <c r="FN2" t="inlineStr">
        <is>
          <t>alerts_unowned</t>
        </is>
      </c>
      <c r="FO2" t="inlineStr">
        <is>
          <t>actions_overdue</t>
        </is>
      </c>
      <c r="FP2" t="inlineStr">
        <is>
          <t>alerts_resolved</t>
        </is>
      </c>
      <c r="FQ2" t="inlineStr">
        <is>
          <t>alert_resolution_days</t>
        </is>
      </c>
      <c r="FR2" t="inlineStr">
        <is>
          <t>escalations_closed</t>
        </is>
      </c>
      <c r="FS2" t="inlineStr">
        <is>
          <t>repeat_issues</t>
        </is>
      </c>
      <c r="FT2" t="inlineStr">
        <is>
          <t>root_causes_identified</t>
        </is>
      </c>
      <c r="FU2" t="inlineStr">
        <is>
          <t>root_causes_eliminated</t>
        </is>
      </c>
      <c r="FV2" t="inlineStr">
        <is>
          <t>ebitda_k</t>
        </is>
      </c>
      <c r="FW2" t="inlineStr">
        <is>
          <t>ebit_k</t>
        </is>
      </c>
      <c r="FX2" t="inlineStr">
        <is>
          <t>nwc_k</t>
        </is>
      </c>
      <c r="FY2" t="inlineStr">
        <is>
          <t>nwc_change_k</t>
        </is>
      </c>
      <c r="FZ2" t="inlineStr">
        <is>
          <t>op_cash_flow_k</t>
        </is>
      </c>
      <c r="GA2" t="inlineStr">
        <is>
          <t>fcf_k</t>
        </is>
      </c>
      <c r="GB2" t="inlineStr">
        <is>
          <t>net_debt_k</t>
        </is>
      </c>
      <c r="GC2" t="inlineStr">
        <is>
          <t>ebitda_annualised_k</t>
        </is>
      </c>
      <c r="GD2" t="inlineStr">
        <is>
          <t>dso_d</t>
        </is>
      </c>
      <c r="GE2" t="inlineStr">
        <is>
          <t>dpo_d</t>
        </is>
      </c>
      <c r="GF2" t="inlineStr">
        <is>
          <t>dio_d</t>
        </is>
      </c>
      <c r="GG2" t="inlineStr">
        <is>
          <t>price_vs_plan_pct</t>
        </is>
      </c>
      <c r="GH2" t="inlineStr">
        <is>
          <t>fte</t>
        </is>
      </c>
      <c r="GI2" t="inlineStr">
        <is>
          <t>fcf_plan_fy_k</t>
        </is>
      </c>
      <c r="GJ2" t="inlineStr">
        <is>
          <t>forecast_fcf_rest_k</t>
        </is>
      </c>
      <c r="GK2" t="inlineStr">
        <is>
          <t>ebit_fcst_rest_k</t>
        </is>
      </c>
      <c r="GL2" t="inlineStr">
        <is>
          <t>capital_employed_p12_k</t>
        </is>
      </c>
      <c r="GM2" t="inlineStr">
        <is>
          <t>ebitda_plan_fy_k</t>
        </is>
      </c>
      <c r="GN2" t="inlineStr">
        <is>
          <t>ebitda_fy_sigma_k</t>
        </is>
      </c>
      <c r="GO2" t="inlineStr">
        <is>
          <t>disclosure_deadline_h</t>
        </is>
      </c>
      <c r="GP2" t="inlineStr">
        <is>
          <t>single_source_elevated</t>
        </is>
      </c>
      <c r="GQ2" t="inlineStr">
        <is>
          <t>rm1_price_index</t>
        </is>
      </c>
      <c r="GR2" t="inlineStr">
        <is>
          <t>freight_lanes_disrupted</t>
        </is>
      </c>
    </row>
    <row r="3">
      <c r="A3" t="inlineStr">
        <is>
          <t>Same layout as Group Inputs; inputs link to Plant Inputs (Plant 01). Entity-only inputs are blank, so KPIs that need them are not calculated at plant level.</t>
        </is>
      </c>
      <c r="E3" t="inlineStr">
        <is>
          <t>Sum of Entity A1 and Entity A2 (Entity Inputs sheet)</t>
        </is>
      </c>
      <c r="F3" t="inlineStr">
        <is>
          <t>Sum of Entity A1 and Entity A2 (Entity Inputs sheet)</t>
        </is>
      </c>
      <c r="G3" t="inlineStr">
        <is>
          <t>Sum of Entity A1 and Entity A2 (Entity Inputs sheet)</t>
        </is>
      </c>
      <c r="H3" t="inlineStr">
        <is>
          <t>Sum of Entity A1 and Entity A2 (Entity Inputs sheet)</t>
        </is>
      </c>
      <c r="I3" t="inlineStr">
        <is>
          <t>Sum of Entity A1 and Entity A2 (Entity Inputs sheet)</t>
        </is>
      </c>
      <c r="J3" t="inlineStr">
        <is>
          <t>Sum of Entity A1 and Entity A2 (Entity Inputs sheet)</t>
        </is>
      </c>
      <c r="K3" t="inlineStr">
        <is>
          <t>Sum of Entity A1 and Entity A2 (Entity Inputs sheet)</t>
        </is>
      </c>
      <c r="L3" t="inlineStr">
        <is>
          <t>Sum of Entity A1 and Entity A2 (Entity Inputs sheet)</t>
        </is>
      </c>
      <c r="M3" t="inlineStr">
        <is>
          <t>Sum of Entity A1 and Entity A2 (Entity Inputs sheet)</t>
        </is>
      </c>
      <c r="N3" t="inlineStr">
        <is>
          <t>Sum of Entity A1 and Entity A2 (Entity Inputs sheet)</t>
        </is>
      </c>
      <c r="O3" t="inlineStr">
        <is>
          <t>Sum of Entity A1 and Entity A2 (Entity Inputs sheet)</t>
        </is>
      </c>
      <c r="P3" t="inlineStr">
        <is>
          <t>Sum of Entity A1 and Entity A2 (Entity Inputs sheet)</t>
        </is>
      </c>
      <c r="Q3" t="inlineStr">
        <is>
          <t>Sum of Entity A1 and Entity A2 (Entity Inputs sheet)</t>
        </is>
      </c>
      <c r="R3" t="inlineStr">
        <is>
          <t>Sum of Entity A1 and Entity A2 (Entity Inputs sheet)</t>
        </is>
      </c>
      <c r="S3" t="inlineStr">
        <is>
          <t>Sum of Entity A1 and Entity A2 (Entity Inputs sheet)</t>
        </is>
      </c>
      <c r="T3" t="inlineStr">
        <is>
          <t>Sum of Entity A1 and Entity A2 (Entity Inputs sheet)</t>
        </is>
      </c>
      <c r="U3" t="inlineStr">
        <is>
          <t>Sum of Entity A1 and Entity A2 (Entity Inputs sheet)</t>
        </is>
      </c>
      <c r="V3" t="inlineStr">
        <is>
          <t>Sum of Entity A1 and Entity A2 (Entity Inputs sheet)</t>
        </is>
      </c>
      <c r="W3" t="inlineStr">
        <is>
          <t>Sum of Entity A1 and Entity A2 (Entity Inputs sheet)</t>
        </is>
      </c>
      <c r="X3" t="inlineStr">
        <is>
          <t>Sum of Entity A1 and Entity A2 (Entity Inputs sheet)</t>
        </is>
      </c>
      <c r="Y3" t="inlineStr">
        <is>
          <t>Sum of Entity A1 and Entity A2 (Entity Inputs sheet)</t>
        </is>
      </c>
      <c r="Z3" t="inlineStr">
        <is>
          <t>Sum of Entity A1 and Entity A2 (Entity Inputs sheet)</t>
        </is>
      </c>
      <c r="AA3" t="inlineStr">
        <is>
          <t>Sum of Entity A1 and Entity A2 (Entity Inputs sheet)</t>
        </is>
      </c>
      <c r="AB3" t="inlineStr">
        <is>
          <t>Sum of Entity A1 and Entity A2 (Entity Inputs sheet)</t>
        </is>
      </c>
      <c r="AC3" t="inlineStr">
        <is>
          <t>Sum of Entity A1 and Entity A2 (Entity Inputs sheet)</t>
        </is>
      </c>
      <c r="AD3" t="inlineStr">
        <is>
          <t>Sum of Entity A1 and Entity A2 (Entity Inputs sheet)</t>
        </is>
      </c>
      <c r="AE3" t="inlineStr">
        <is>
          <t>Sum of Entity A1 and Entity A2 (Entity Inputs sheet)</t>
        </is>
      </c>
      <c r="AF3" t="inlineStr">
        <is>
          <t>Sum of Entity A1 and Entity A2 (Entity Inputs sheet)</t>
        </is>
      </c>
      <c r="AG3" t="inlineStr">
        <is>
          <t>Sum of Entity A1 and Entity A2 (Entity Inputs sheet)</t>
        </is>
      </c>
      <c r="AH3" t="inlineStr">
        <is>
          <t>Sum of Entity A1 and Entity A2 (Entity Inputs sheet)</t>
        </is>
      </c>
      <c r="AI3" t="inlineStr">
        <is>
          <t>Sum of Entity A1 and Entity A2 (Entity Inputs sheet)</t>
        </is>
      </c>
      <c r="AJ3" t="inlineStr">
        <is>
          <t>Sum of Entity A1 and Entity A2 (Entity Inputs sheet)</t>
        </is>
      </c>
      <c r="AK3" t="inlineStr">
        <is>
          <t>Sum of Entity A1 and Entity A2 (Entity Inputs sheet)</t>
        </is>
      </c>
      <c r="AL3" t="inlineStr">
        <is>
          <t>Sum of Entity A1 and Entity A2 (Entity Inputs sheet)</t>
        </is>
      </c>
      <c r="AM3" t="inlineStr">
        <is>
          <t>Sum of Entity A1 and Entity A2 (Entity Inputs sheet)</t>
        </is>
      </c>
      <c r="AN3" t="inlineStr">
        <is>
          <t>Sum of Entity A1 and Entity A2 (Entity Inputs sheet)</t>
        </is>
      </c>
      <c r="AO3" t="inlineStr">
        <is>
          <t>Sum of Entity A1 and Entity A2 (Entity Inputs sheet)</t>
        </is>
      </c>
      <c r="AP3" t="inlineStr">
        <is>
          <t>Sum of Entity A1 and Entity A2 (Entity Inputs sheet)</t>
        </is>
      </c>
      <c r="AQ3" t="inlineStr">
        <is>
          <t>Sum of Entity A1 and Entity A2 (Entity Inputs sheet)</t>
        </is>
      </c>
      <c r="AR3" t="inlineStr">
        <is>
          <t>Lowest of Entity A1 and Entity A2 (Entity Inputs sheet)</t>
        </is>
      </c>
      <c r="AS3" t="inlineStr">
        <is>
          <t>Sum of Entity A1 and Entity A2 (Entity Inputs sheet)</t>
        </is>
      </c>
      <c r="AT3" t="inlineStr">
        <is>
          <t>Sum of Entity A1 and Entity A2 (Entity Inputs sheet)</t>
        </is>
      </c>
      <c r="AU3" t="inlineStr">
        <is>
          <t>Sum of Entity A1 and Entity A2 (Entity Inputs sheet)</t>
        </is>
      </c>
      <c r="AV3" t="inlineStr">
        <is>
          <t>Sum of Entity A1 and Entity A2 (Entity Inputs sheet)</t>
        </is>
      </c>
      <c r="AW3" t="inlineStr">
        <is>
          <t>Sum of Entity A1 and Entity A2 (Entity Inputs sheet)</t>
        </is>
      </c>
      <c r="AX3" t="inlineStr">
        <is>
          <t>Sum of Entity A1 and Entity A2 (Entity Inputs sheet)</t>
        </is>
      </c>
      <c r="AY3" t="inlineStr">
        <is>
          <t>Sum of Entity A1 and Entity A2 (Entity Inputs sheet)</t>
        </is>
      </c>
      <c r="AZ3" t="inlineStr">
        <is>
          <t>Sum of Entity A1 and Entity A2 (Entity Inputs sheet)</t>
        </is>
      </c>
      <c r="BA3" t="inlineStr">
        <is>
          <t>Sum of Entity A1 and Entity A2 (Entity Inputs sheet)</t>
        </is>
      </c>
      <c r="BB3" t="inlineStr">
        <is>
          <t>Sum of Entity A1 and Entity A2 (Entity Inputs sheet)</t>
        </is>
      </c>
      <c r="BC3" t="inlineStr">
        <is>
          <t>Sum of Entity A1 and Entity A2 (Entity Inputs sheet)</t>
        </is>
      </c>
      <c r="BD3" t="inlineStr">
        <is>
          <t>Sum of Entity A1 and Entity A2 (Entity Inputs sheet)</t>
        </is>
      </c>
      <c r="BE3" t="inlineStr">
        <is>
          <t>Sum of Entity A1 and Entity A2 (Entity Inputs sheet)</t>
        </is>
      </c>
      <c r="BF3" t="inlineStr">
        <is>
          <t>Sum of Entity A1 and Entity A2 (Entity Inputs sheet)</t>
        </is>
      </c>
      <c r="BG3" t="inlineStr">
        <is>
          <t>Sum of Entity A1 and Entity A2 (Entity Inputs sheet)</t>
        </is>
      </c>
      <c r="BH3" t="inlineStr">
        <is>
          <t>Sum of Entity A1 and Entity A2 (Entity Inputs sheet)</t>
        </is>
      </c>
      <c r="BI3" t="inlineStr">
        <is>
          <t>Sum of Entity A1 and Entity A2 (Entity Inputs sheet)</t>
        </is>
      </c>
      <c r="BJ3" t="inlineStr">
        <is>
          <t>Sum of Entity A1 and Entity A2 (Entity Inputs sheet)</t>
        </is>
      </c>
      <c r="BK3" t="inlineStr">
        <is>
          <t>Sum of Entity A1 and Entity A2 (Entity Inputs sheet)</t>
        </is>
      </c>
      <c r="BL3" t="inlineStr">
        <is>
          <t>Sum of Entity A1 and Entity A2 (Entity Inputs sheet)</t>
        </is>
      </c>
      <c r="BM3" t="inlineStr">
        <is>
          <t>Sum of Entity A1 and Entity A2 (Entity Inputs sheet)</t>
        </is>
      </c>
      <c r="BN3" t="inlineStr">
        <is>
          <t>Sum of Entity A1 and Entity A2 (Entity Inputs sheet)</t>
        </is>
      </c>
      <c r="BO3" t="inlineStr">
        <is>
          <t>Sum of Entity A1 and Entity A2 (Entity Inputs sheet)</t>
        </is>
      </c>
      <c r="BP3" t="inlineStr">
        <is>
          <t>Sum of Entity A1 and Entity A2 (Entity Inputs sheet)</t>
        </is>
      </c>
      <c r="BQ3" t="inlineStr">
        <is>
          <t>Sum of Entity A1 and Entity A2 (Entity Inputs sheet)</t>
        </is>
      </c>
      <c r="BR3" t="inlineStr">
        <is>
          <t>Sum of Entity A1 and Entity A2 (Entity Inputs sheet)</t>
        </is>
      </c>
      <c r="BS3" t="inlineStr">
        <is>
          <t>Lowest of Entity A1 and Entity A2 (Entity Inputs sheet)</t>
        </is>
      </c>
      <c r="BT3" t="inlineStr">
        <is>
          <t>Sum of Entity A1 and Entity A2 (Entity Inputs sheet)</t>
        </is>
      </c>
      <c r="BU3" t="inlineStr">
        <is>
          <t>Sum of Entity A1 and Entity A2 (Entity Inputs sheet)</t>
        </is>
      </c>
      <c r="BV3" t="inlineStr">
        <is>
          <t>Sum of Entity A1 and Entity A2 (Entity Inputs sheet)</t>
        </is>
      </c>
      <c r="BW3" t="inlineStr">
        <is>
          <t>Sum of Entity A1 and Entity A2 (Entity Inputs sheet)</t>
        </is>
      </c>
      <c r="BX3" t="inlineStr">
        <is>
          <t>Sum of Entity A1 and Entity A2 (Entity Inputs sheet)</t>
        </is>
      </c>
      <c r="BY3" t="inlineStr">
        <is>
          <t>Sum of Entity A1 and Entity A2 (Entity Inputs sheet)</t>
        </is>
      </c>
      <c r="BZ3" t="inlineStr">
        <is>
          <t>Sum of Entity A1 and Entity A2 (Entity Inputs sheet)</t>
        </is>
      </c>
      <c r="CA3" t="inlineStr">
        <is>
          <t>Sum of Entity A1 and Entity A2 (Entity Inputs sheet)</t>
        </is>
      </c>
      <c r="CB3" t="inlineStr">
        <is>
          <t>Sum of Entity A1 and Entity A2 (Entity Inputs sheet)</t>
        </is>
      </c>
      <c r="CC3" t="inlineStr">
        <is>
          <t>Sum of Entity A1 and Entity A2 (Entity Inputs sheet)</t>
        </is>
      </c>
      <c r="CD3" t="inlineStr">
        <is>
          <t>Sum of Entity A1 and Entity A2 (Entity Inputs sheet)</t>
        </is>
      </c>
      <c r="CE3" t="inlineStr">
        <is>
          <t>Sum of Entity A1 and Entity A2 (Entity Inputs sheet)</t>
        </is>
      </c>
      <c r="CF3" t="inlineStr">
        <is>
          <t>Sum of Entity A1 and Entity A2 (Entity Inputs sheet)</t>
        </is>
      </c>
      <c r="CG3" t="inlineStr">
        <is>
          <t>Sum of Entity A1 and Entity A2 (Entity Inputs sheet)</t>
        </is>
      </c>
      <c r="CH3" t="inlineStr">
        <is>
          <t>Sum of Entity A1 and Entity A2 (Entity Inputs sheet)</t>
        </is>
      </c>
      <c r="CI3" t="inlineStr">
        <is>
          <t>Sum of Entity A1 and Entity A2 (Entity Inputs sheet)</t>
        </is>
      </c>
      <c r="CJ3" t="inlineStr">
        <is>
          <t>Sum of Entity A1 and Entity A2 (Entity Inputs sheet)</t>
        </is>
      </c>
      <c r="CK3" t="inlineStr">
        <is>
          <t>Sum of Entity A1 and Entity A2 (Entity Inputs sheet)</t>
        </is>
      </c>
      <c r="CL3" t="inlineStr">
        <is>
          <t>Sum of Entity A1 and Entity A2 (Entity Inputs sheet)</t>
        </is>
      </c>
      <c r="CM3" t="inlineStr">
        <is>
          <t>Sum of Entity A1 and Entity A2 (Entity Inputs sheet)</t>
        </is>
      </c>
      <c r="CN3" t="inlineStr">
        <is>
          <t>Sum of Entity A1 and Entity A2 (Entity Inputs sheet)</t>
        </is>
      </c>
      <c r="CO3" t="inlineStr">
        <is>
          <t>Sum of Entity A1 and Entity A2 (Entity Inputs sheet)</t>
        </is>
      </c>
      <c r="CP3" t="inlineStr">
        <is>
          <t>Sum of Entity A1 and Entity A2 (Entity Inputs sheet)</t>
        </is>
      </c>
      <c r="CQ3" t="inlineStr">
        <is>
          <t>Sum of Entity A1 and Entity A2 (Entity Inputs sheet)</t>
        </is>
      </c>
      <c r="CR3" t="inlineStr">
        <is>
          <t>Sum of Entity A1 and Entity A2 (Entity Inputs sheet)</t>
        </is>
      </c>
      <c r="CS3" t="inlineStr">
        <is>
          <t>Sum of Entity A1 and Entity A2 (Entity Inputs sheet)</t>
        </is>
      </c>
      <c r="CT3" t="inlineStr">
        <is>
          <t>Sum of Entity A1 and Entity A2 (Entity Inputs sheet)</t>
        </is>
      </c>
      <c r="CU3" t="inlineStr">
        <is>
          <t>Sum of Entity A1 and Entity A2 (Entity Inputs sheet)</t>
        </is>
      </c>
      <c r="CV3" t="inlineStr">
        <is>
          <t>Sum of Entity A1 and Entity A2 (Entity Inputs sheet)</t>
        </is>
      </c>
      <c r="CW3" t="inlineStr">
        <is>
          <t>Sum of Entity A1 and Entity A2 (Entity Inputs sheet)</t>
        </is>
      </c>
      <c r="CX3" t="inlineStr">
        <is>
          <t>Sum of Entity A1 and Entity A2 (Entity Inputs sheet)</t>
        </is>
      </c>
      <c r="CY3" t="inlineStr">
        <is>
          <t>Sum of Entity A1 and Entity A2 (Entity Inputs sheet)</t>
        </is>
      </c>
      <c r="CZ3" t="inlineStr">
        <is>
          <t>Sum of Entity A1 and Entity A2 (Entity Inputs sheet)</t>
        </is>
      </c>
      <c r="DA3" t="inlineStr">
        <is>
          <t>Sum of Entity A1 and Entity A2 (Entity Inputs sheet)</t>
        </is>
      </c>
      <c r="DB3" t="inlineStr">
        <is>
          <t>Sum of Entity A1 and Entity A2 (Entity Inputs sheet)</t>
        </is>
      </c>
      <c r="DC3" t="inlineStr">
        <is>
          <t>Sum of Entity A1 and Entity A2 (Entity Inputs sheet)</t>
        </is>
      </c>
      <c r="DD3" t="inlineStr">
        <is>
          <t>Sum of Entity A1 and Entity A2 (Entity Inputs sheet)</t>
        </is>
      </c>
      <c r="DE3" t="inlineStr">
        <is>
          <t>Sum of Entity A1 and Entity A2 (Entity Inputs sheet)</t>
        </is>
      </c>
      <c r="DF3" t="inlineStr">
        <is>
          <t>Sum of Entity A1 and Entity A2 (Entity Inputs sheet)</t>
        </is>
      </c>
      <c r="DG3" t="inlineStr">
        <is>
          <t>Sum of Entity A1 and Entity A2 (Entity Inputs sheet)</t>
        </is>
      </c>
      <c r="DH3" t="inlineStr">
        <is>
          <t>Sum of Entity A1 and Entity A2 (Entity Inputs sheet)</t>
        </is>
      </c>
      <c r="DI3" t="inlineStr">
        <is>
          <t>Sum of Entity A1 and Entity A2 (Entity Inputs sheet)</t>
        </is>
      </c>
      <c r="DJ3" t="inlineStr">
        <is>
          <t>Sum of Entity A1 and Entity A2 (Entity Inputs sheet)</t>
        </is>
      </c>
      <c r="DK3" t="inlineStr">
        <is>
          <t>Sum of Entity A1 and Entity A2 (Entity Inputs sheet)</t>
        </is>
      </c>
      <c r="DL3" t="inlineStr">
        <is>
          <t>Sum of Entity A1 and Entity A2 (Entity Inputs sheet)</t>
        </is>
      </c>
      <c r="DM3" t="inlineStr">
        <is>
          <t>Sum of Entity A1 and Entity A2 (Entity Inputs sheet)</t>
        </is>
      </c>
      <c r="DN3" t="inlineStr">
        <is>
          <t>Sum of Entity A1 and Entity A2 (Entity Inputs sheet)</t>
        </is>
      </c>
      <c r="DO3" t="inlineStr">
        <is>
          <t>Sum of Entity A1 and Entity A2 (Entity Inputs sheet)</t>
        </is>
      </c>
      <c r="DP3" t="inlineStr">
        <is>
          <t>Sum of Entity A1 and Entity A2 (Entity Inputs sheet)</t>
        </is>
      </c>
      <c r="DQ3" t="inlineStr">
        <is>
          <t>Sum of Entity A1 and Entity A2 (Entity Inputs sheet)</t>
        </is>
      </c>
      <c r="DR3" t="inlineStr">
        <is>
          <t>Sum of Entity A1 and Entity A2 (Entity Inputs sheet)</t>
        </is>
      </c>
      <c r="DS3" t="inlineStr">
        <is>
          <t>Sum of Entity A1 and Entity A2 (Entity Inputs sheet)</t>
        </is>
      </c>
      <c r="DT3" t="inlineStr">
        <is>
          <t>Sum of Entity A1 and Entity A2 (Entity Inputs sheet)</t>
        </is>
      </c>
      <c r="DU3" t="inlineStr">
        <is>
          <t>Sum of Entity A1 and Entity A2 (Entity Inputs sheet)</t>
        </is>
      </c>
      <c r="DV3" t="inlineStr">
        <is>
          <t>Sum of Entity A1 and Entity A2 (Entity Inputs sheet)</t>
        </is>
      </c>
      <c r="DW3" t="inlineStr">
        <is>
          <t>Sum of Entity A1 and Entity A2 (Entity Inputs sheet)</t>
        </is>
      </c>
      <c r="DX3" t="inlineStr">
        <is>
          <t>Sum of Entity A1 and Entity A2 (Entity Inputs sheet)</t>
        </is>
      </c>
      <c r="DY3" t="inlineStr">
        <is>
          <t>Sum of Entity A1 and Entity A2 (Entity Inputs sheet)</t>
        </is>
      </c>
      <c r="DZ3" t="inlineStr">
        <is>
          <t>Sum of Entity A1 and Entity A2 (Entity Inputs sheet)</t>
        </is>
      </c>
      <c r="EA3" t="inlineStr">
        <is>
          <t>Sum of Entity A1 and Entity A2 (Entity Inputs sheet)</t>
        </is>
      </c>
      <c r="EB3" t="inlineStr">
        <is>
          <t>Sum of Entity A1 and Entity A2 (Entity Inputs sheet)</t>
        </is>
      </c>
      <c r="EC3" t="inlineStr">
        <is>
          <t>Sum of Entity A1 and Entity A2 (Entity Inputs sheet)</t>
        </is>
      </c>
      <c r="ED3" t="inlineStr">
        <is>
          <t>Sum of Entity A1 and Entity A2 (Entity Inputs sheet)</t>
        </is>
      </c>
      <c r="EE3" t="inlineStr">
        <is>
          <t>Sum of Entity A1 and Entity A2 (Entity Inputs sheet)</t>
        </is>
      </c>
      <c r="EF3" t="inlineStr">
        <is>
          <t>Sum of Entity A1 and Entity A2 (Entity Inputs sheet)</t>
        </is>
      </c>
      <c r="EG3" t="inlineStr">
        <is>
          <t>Sum of Entity A1 and Entity A2 (Entity Inputs sheet)</t>
        </is>
      </c>
      <c r="EH3" t="inlineStr">
        <is>
          <t>Sum of Entity A1 and Entity A2 (Entity Inputs sheet)</t>
        </is>
      </c>
      <c r="EI3" t="inlineStr">
        <is>
          <t>Sum of Entity A1 and Entity A2 (Entity Inputs sheet)</t>
        </is>
      </c>
      <c r="EJ3" t="inlineStr">
        <is>
          <t>Sum of Entity A1 and Entity A2 (Entity Inputs sheet)</t>
        </is>
      </c>
      <c r="EK3" t="inlineStr">
        <is>
          <t>Sum of Entity A1 and Entity A2 (Entity Inputs sheet)</t>
        </is>
      </c>
      <c r="EL3" t="inlineStr">
        <is>
          <t>Sum of Entity A1 and Entity A2 (Entity Inputs sheet)</t>
        </is>
      </c>
      <c r="EM3" t="inlineStr">
        <is>
          <t>Sum of Entity A1 and Entity A2 (Entity Inputs sheet)</t>
        </is>
      </c>
      <c r="EN3" t="inlineStr">
        <is>
          <t>Sum of Entity A1 and Entity A2 (Entity Inputs sheet)</t>
        </is>
      </c>
      <c r="EO3" t="inlineStr">
        <is>
          <t>Sum of Entity A1 and Entity A2 (Entity Inputs sheet)</t>
        </is>
      </c>
      <c r="EP3" t="inlineStr">
        <is>
          <t>Sum of Entity A1 and Entity A2 (Entity Inputs sheet)</t>
        </is>
      </c>
      <c r="EQ3" t="inlineStr">
        <is>
          <t>Sum of Entity A1 and Entity A2 (Entity Inputs sheet)</t>
        </is>
      </c>
      <c r="ER3" t="inlineStr">
        <is>
          <t>Sum of Entity A1 and Entity A2 (Entity Inputs sheet)</t>
        </is>
      </c>
      <c r="ES3" t="inlineStr">
        <is>
          <t>Sum of Entity A1 and Entity A2 (Entity Inputs sheet)</t>
        </is>
      </c>
      <c r="ET3" t="inlineStr">
        <is>
          <t>Sum of Entity A1 and Entity A2 (Entity Inputs sheet)</t>
        </is>
      </c>
      <c r="EU3" t="inlineStr">
        <is>
          <t>Sum of Entity A1 and Entity A2 (Entity Inputs sheet)</t>
        </is>
      </c>
      <c r="EV3" t="inlineStr">
        <is>
          <t>Sum of Entity A1 and Entity A2 (Entity Inputs sheet)</t>
        </is>
      </c>
      <c r="EW3" t="inlineStr">
        <is>
          <t>Sum of Entity A1 and Entity A2 (Entity Inputs sheet)</t>
        </is>
      </c>
      <c r="EX3" t="inlineStr">
        <is>
          <t>Sum of Entity A1 and Entity A2 (Entity Inputs sheet)</t>
        </is>
      </c>
      <c r="EY3" t="inlineStr">
        <is>
          <t>Sum of Entity A1 and Entity A2 (Entity Inputs sheet)</t>
        </is>
      </c>
      <c r="EZ3" t="inlineStr">
        <is>
          <t>Sum of Entity A1 and Entity A2 (Entity Inputs sheet)</t>
        </is>
      </c>
      <c r="FA3" t="inlineStr">
        <is>
          <t>Sum of Entity A1 and Entity A2 (Entity Inputs sheet)</t>
        </is>
      </c>
      <c r="FB3" t="inlineStr">
        <is>
          <t>Sum of Entity A1 and Entity A2 (Entity Inputs sheet)</t>
        </is>
      </c>
      <c r="FC3" t="inlineStr">
        <is>
          <t>Sum of Entity A1 and Entity A2 (Entity Inputs sheet)</t>
        </is>
      </c>
      <c r="FD3" t="inlineStr">
        <is>
          <t>Sum of Entity A1 and Entity A2 (Entity Inputs sheet)</t>
        </is>
      </c>
      <c r="FE3" t="inlineStr">
        <is>
          <t>Sum of Entity A1 and Entity A2 (Entity Inputs sheet)</t>
        </is>
      </c>
      <c r="FF3" t="inlineStr">
        <is>
          <t>Sum of Entity A1 and Entity A2 (Entity Inputs sheet)</t>
        </is>
      </c>
      <c r="FG3" t="inlineStr">
        <is>
          <t>Sum of Entity A1 and Entity A2 (Entity Inputs sheet)</t>
        </is>
      </c>
      <c r="FH3" t="inlineStr">
        <is>
          <t>Sum of Entity A1 and Entity A2 (Entity Inputs sheet)</t>
        </is>
      </c>
      <c r="FI3" t="inlineStr">
        <is>
          <t>Sum of Entity A1 and Entity A2 (Entity Inputs sheet)</t>
        </is>
      </c>
      <c r="FJ3" t="inlineStr">
        <is>
          <t>Sum of Entity A1 and Entity A2 (Entity Inputs sheet)</t>
        </is>
      </c>
      <c r="FK3" t="inlineStr">
        <is>
          <t>Sum of Entity A1 and Entity A2 (Entity Inputs sheet)</t>
        </is>
      </c>
      <c r="FL3" t="inlineStr">
        <is>
          <t>Sum of Entity A1 and Entity A2 (Entity Inputs sheet)</t>
        </is>
      </c>
      <c r="FM3" t="inlineStr">
        <is>
          <t>Sum of Entity A1 and Entity A2 (Entity Inputs sheet)</t>
        </is>
      </c>
      <c r="FN3" t="inlineStr">
        <is>
          <t>Sum of Entity A1 and Entity A2 (Entity Inputs sheet)</t>
        </is>
      </c>
      <c r="FO3" t="inlineStr">
        <is>
          <t>Sum of Entity A1 and Entity A2 (Entity Inputs sheet)</t>
        </is>
      </c>
      <c r="FP3" t="inlineStr">
        <is>
          <t>Sum of Entity A1 and Entity A2 (Entity Inputs sheet)</t>
        </is>
      </c>
      <c r="FQ3" t="inlineStr">
        <is>
          <t>Sum of Entity A1 and Entity A2 (Entity Inputs sheet)</t>
        </is>
      </c>
      <c r="FR3" t="inlineStr">
        <is>
          <t>Sum of Entity A1 and Entity A2 (Entity Inputs sheet)</t>
        </is>
      </c>
      <c r="FS3" t="inlineStr">
        <is>
          <t>Sum of Entity A1 and Entity A2 (Entity Inputs sheet)</t>
        </is>
      </c>
      <c r="FT3" t="inlineStr">
        <is>
          <t>Sum of Entity A1 and Entity A2 (Entity Inputs sheet)</t>
        </is>
      </c>
      <c r="FU3" t="inlineStr">
        <is>
          <t>Sum of Entity A1 and Entity A2 (Entity Inputs sheet)</t>
        </is>
      </c>
      <c r="FV3" t="inlineStr">
        <is>
          <t>Calculated: Revenue − Variable cost − Fixed cost − Overheads</t>
        </is>
      </c>
      <c r="FW3" t="inlineStr">
        <is>
          <t>Calculated: EBITDA − Depreciation and amortisation</t>
        </is>
      </c>
      <c r="FX3" t="inlineStr">
        <is>
          <t>Calculated: Trade receivables + Inventory − Trade payables</t>
        </is>
      </c>
      <c r="FY3" t="inlineStr">
        <is>
          <t>Calculated: Net working capital − last month's net working capital (April uses the 31 March balance on Parameters)</t>
        </is>
      </c>
      <c r="FZ3" t="inlineStr">
        <is>
          <t>Calculated: EBITDA − Tax paid − Change in net working capital</t>
        </is>
      </c>
      <c r="GA3" t="inlineStr">
        <is>
          <t>Calculated: Operating cash flow − Capex spent</t>
        </is>
      </c>
      <c r="GB3" t="inlineStr">
        <is>
          <t>Calculated: Gross debt − Cash</t>
        </is>
      </c>
      <c r="GC3" t="inlineStr">
        <is>
          <t>Calculated: EBITDA since April × 12 ÷ months elapsed</t>
        </is>
      </c>
      <c r="GD3" t="inlineStr">
        <is>
          <t>Calculated: Trade receivables ÷ Revenue × Days in month</t>
        </is>
      </c>
      <c r="GE3" t="inlineStr">
        <is>
          <t>Calculated: Trade payables ÷ Variable cost × Days in month</t>
        </is>
      </c>
      <c r="GF3" t="inlineStr">
        <is>
          <t>Calculated: Inventory ÷ Variable cost × Days in month</t>
        </is>
      </c>
      <c r="GG3" t="inlineStr">
        <is>
          <t>Calculated: (Revenue ÷ Sales volume) ÷ (Planned revenue ÷ Planned sales volume) − 1, as %</t>
        </is>
      </c>
      <c r="GH3" t="inlineStr">
        <is>
          <t>SUM of Entity A1 and Entity A2 (added)</t>
        </is>
      </c>
      <c r="GI3" t="inlineStr">
        <is>
          <t>SUM of Entity A1 and Entity A2 (added)</t>
        </is>
      </c>
      <c r="GJ3" t="inlineStr">
        <is>
          <t>SUM of Entity A1 and Entity A2 (added)</t>
        </is>
      </c>
      <c r="GK3" t="inlineStr">
        <is>
          <t>SUM of Entity A1 and Entity A2 (added)</t>
        </is>
      </c>
      <c r="GL3" t="inlineStr">
        <is>
          <t>SUM of Entity A1 and Entity A2 (added)</t>
        </is>
      </c>
      <c r="GM3" t="inlineStr">
        <is>
          <t>SUM of Entity A1 and Entity A2 (added)</t>
        </is>
      </c>
      <c r="GN3" t="inlineStr">
        <is>
          <t>SQRTSUMSQ of Entity A1 and Entity A2 (added)</t>
        </is>
      </c>
      <c r="GO3" t="inlineStr">
        <is>
          <t>MIN of Entity A1 and Entity A2 (added)</t>
        </is>
      </c>
      <c r="GP3" t="inlineStr">
        <is>
          <t>SUM of Entity A1 and Entity A2 (added)</t>
        </is>
      </c>
      <c r="GQ3" t="inlineStr">
        <is>
          <t>FIRST of Entity A1 and Entity A2 (added)</t>
        </is>
      </c>
      <c r="GR3" t="inlineStr">
        <is>
          <t>SUM of Entity A1 and Entity A2 (added)</t>
        </is>
      </c>
    </row>
    <row r="4">
      <c r="A4" t="inlineStr">
        <is>
          <t>Plant 01</t>
        </is>
      </c>
      <c r="B4" t="inlineStr">
        <is>
          <t>2026-04</t>
        </is>
      </c>
      <c r="C4" t="n">
        <v>30</v>
      </c>
      <c r="D4" t="n">
        <v>1</v>
      </c>
      <c r="E4">
        <f>'Plant Inputs'!F4</f>
        <v/>
      </c>
      <c r="F4">
        <f>'Plant Inputs'!G4</f>
        <v/>
      </c>
      <c r="G4">
        <f>'Plant Inputs'!H4</f>
        <v/>
      </c>
      <c r="H4">
        <f>'Plant Inputs'!I4</f>
        <v/>
      </c>
      <c r="I4">
        <f>'Plant Inputs'!J4</f>
        <v/>
      </c>
      <c r="J4">
        <f>'Plant Inputs'!K4</f>
        <v/>
      </c>
      <c r="K4">
        <f>'Plant Inputs'!L4</f>
        <v/>
      </c>
      <c r="L4">
        <f>'Plant Inputs'!M4</f>
        <v/>
      </c>
      <c r="M4">
        <f>'Plant Inputs'!N4</f>
        <v/>
      </c>
      <c r="N4">
        <f>'Plant Inputs'!O4</f>
        <v/>
      </c>
      <c r="O4">
        <f>'Plant Inputs'!P4</f>
        <v/>
      </c>
      <c r="P4">
        <f>'Plant Inputs'!Q4</f>
        <v/>
      </c>
      <c r="Q4">
        <f>'Plant Inputs'!R4</f>
        <v/>
      </c>
      <c r="R4">
        <f>'Plant Inputs'!S4</f>
        <v/>
      </c>
      <c r="S4">
        <f>'Plant Inputs'!T4</f>
        <v/>
      </c>
      <c r="T4">
        <f>'Plant Inputs'!U4</f>
        <v/>
      </c>
      <c r="U4">
        <f>'Plant Inputs'!V4</f>
        <v/>
      </c>
      <c r="V4">
        <f>'Plant Inputs'!W4</f>
        <v/>
      </c>
      <c r="W4">
        <f>'Plant Inputs'!X4</f>
        <v/>
      </c>
      <c r="X4">
        <f>'Plant Inputs'!Y4</f>
        <v/>
      </c>
      <c r="Y4">
        <f>'Plant Inputs'!Z4</f>
        <v/>
      </c>
      <c r="Z4">
        <f>'Plant Inputs'!AA4</f>
        <v/>
      </c>
      <c r="AA4">
        <f>'Plant Inputs'!AB4</f>
        <v/>
      </c>
      <c r="AB4">
        <f>'Plant Inputs'!AC4</f>
        <v/>
      </c>
      <c r="AC4">
        <f>'Plant Inputs'!AD4</f>
        <v/>
      </c>
      <c r="AD4">
        <f>'Plant Inputs'!AE4</f>
        <v/>
      </c>
      <c r="AE4">
        <f>'Plant Inputs'!AF4</f>
        <v/>
      </c>
      <c r="AF4">
        <f>'Plant Inputs'!AG4</f>
        <v/>
      </c>
      <c r="AG4">
        <f>'Plant Inputs'!AH4</f>
        <v/>
      </c>
      <c r="AH4">
        <f>'Plant Inputs'!AI4</f>
        <v/>
      </c>
      <c r="AI4">
        <f>'Plant Inputs'!AJ4</f>
        <v/>
      </c>
      <c r="AJ4">
        <f>'Plant Inputs'!AK4</f>
        <v/>
      </c>
      <c r="AK4">
        <f>'Plant Inputs'!AL4</f>
        <v/>
      </c>
      <c r="AL4">
        <f>'Plant Inputs'!AM4</f>
        <v/>
      </c>
      <c r="AM4">
        <f>'Plant Inputs'!AN4</f>
        <v/>
      </c>
      <c r="AN4">
        <f>'Plant Inputs'!AO4</f>
        <v/>
      </c>
      <c r="AO4">
        <f>'Plant Inputs'!AP4</f>
        <v/>
      </c>
      <c r="AP4">
        <f>'Plant Inputs'!AQ4</f>
        <v/>
      </c>
      <c r="AQ4">
        <f>'Plant Inputs'!AR4</f>
        <v/>
      </c>
      <c r="AR4">
        <f>'Plant Inputs'!AS4</f>
        <v/>
      </c>
      <c r="AS4">
        <f>'Plant Inputs'!AT4</f>
        <v/>
      </c>
      <c r="AT4">
        <f>'Plant Inputs'!AU4</f>
        <v/>
      </c>
      <c r="AU4">
        <f>'Plant Inputs'!AV4</f>
        <v/>
      </c>
      <c r="AV4">
        <f>'Plant Inputs'!AW4</f>
        <v/>
      </c>
      <c r="AW4">
        <f>'Plant Inputs'!AX4</f>
        <v/>
      </c>
      <c r="AX4">
        <f>'Plant Inputs'!AY4</f>
        <v/>
      </c>
      <c r="AY4">
        <f>'Plant Inputs'!AZ4</f>
        <v/>
      </c>
      <c r="AZ4">
        <f>'Plant Inputs'!BA4</f>
        <v/>
      </c>
      <c r="BA4">
        <f>'Plant Inputs'!BB4</f>
        <v/>
      </c>
      <c r="BB4">
        <f>'Plant Inputs'!BC4</f>
        <v/>
      </c>
      <c r="BC4">
        <f>'Plant Inputs'!BD4</f>
        <v/>
      </c>
      <c r="BD4">
        <f>'Plant Inputs'!BE4</f>
        <v/>
      </c>
      <c r="BE4">
        <f>'Plant Inputs'!BF4</f>
        <v/>
      </c>
      <c r="BF4">
        <f>'Plant Inputs'!BG4</f>
        <v/>
      </c>
      <c r="BG4">
        <f>'Plant Inputs'!BH4</f>
        <v/>
      </c>
      <c r="BH4">
        <f>'Plant Inputs'!BI4</f>
        <v/>
      </c>
      <c r="BI4">
        <f>'Plant Inputs'!BJ4</f>
        <v/>
      </c>
      <c r="BJ4">
        <f>'Plant Inputs'!BK4</f>
        <v/>
      </c>
      <c r="BK4">
        <f>'Plant Inputs'!BL4</f>
        <v/>
      </c>
      <c r="BL4">
        <f>'Plant Inputs'!BM4</f>
        <v/>
      </c>
      <c r="BM4">
        <f>'Plant Inputs'!BN4</f>
        <v/>
      </c>
      <c r="BN4">
        <f>'Plant Inputs'!BO4</f>
        <v/>
      </c>
      <c r="BO4">
        <f>'Plant Inputs'!BP4</f>
        <v/>
      </c>
      <c r="BP4">
        <f>'Plant Inputs'!BQ4</f>
        <v/>
      </c>
      <c r="BQ4">
        <f>'Plant Inputs'!BR4</f>
        <v/>
      </c>
      <c r="BR4">
        <f>'Plant Inputs'!BS4</f>
        <v/>
      </c>
      <c r="BS4">
        <f>'Plant Inputs'!BT4</f>
        <v/>
      </c>
      <c r="BT4">
        <f>'Plant Inputs'!BU4</f>
        <v/>
      </c>
      <c r="BU4">
        <f>'Plant Inputs'!BV4</f>
        <v/>
      </c>
      <c r="BV4">
        <f>'Plant Inputs'!BW4</f>
        <v/>
      </c>
      <c r="BW4">
        <f>'Plant Inputs'!BX4</f>
        <v/>
      </c>
      <c r="BX4">
        <f>'Plant Inputs'!BY4</f>
        <v/>
      </c>
      <c r="FV4">
        <f>AU4-V4-X4-BY4</f>
        <v/>
      </c>
      <c r="FW4">
        <f>FV4-AX4</f>
        <v/>
      </c>
      <c r="FX4">
        <f>CJ4+CL4-CK4</f>
        <v/>
      </c>
      <c r="FY4">
        <f>FX4-Parameters!$B$7</f>
        <v/>
      </c>
      <c r="FZ4">
        <f>FV4-BZ4-FY4</f>
        <v/>
      </c>
      <c r="GA4">
        <f>FZ4-DJ4</f>
        <v/>
      </c>
      <c r="GB4">
        <f>CB4-CC4</f>
        <v/>
      </c>
      <c r="GC4">
        <f>SUM(FV$4:FV4)*12/D4</f>
        <v/>
      </c>
      <c r="GD4">
        <f>IF(AU4=0,0,CJ4/AU4*C4)</f>
        <v/>
      </c>
      <c r="GE4">
        <f>IF(V4=0,0,CK4/V4*C4)</f>
        <v/>
      </c>
      <c r="GF4">
        <f>IF(V4=0,0,CL4/V4*C4)</f>
        <v/>
      </c>
      <c r="GG4">
        <f>IF(OR(AS4=0,AT4=0,AV4=0),0,100*((AU4/AS4)/(AV4/AT4)-1))</f>
        <v/>
      </c>
    </row>
    <row r="5">
      <c r="A5" t="inlineStr">
        <is>
          <t>Plant 01</t>
        </is>
      </c>
      <c r="B5" t="inlineStr">
        <is>
          <t>2026-05</t>
        </is>
      </c>
      <c r="C5" t="n">
        <v>31</v>
      </c>
      <c r="D5" t="n">
        <v>2</v>
      </c>
      <c r="E5">
        <f>'Plant Inputs'!F5</f>
        <v/>
      </c>
      <c r="F5">
        <f>'Plant Inputs'!G5</f>
        <v/>
      </c>
      <c r="G5">
        <f>'Plant Inputs'!H5</f>
        <v/>
      </c>
      <c r="H5">
        <f>'Plant Inputs'!I5</f>
        <v/>
      </c>
      <c r="I5">
        <f>'Plant Inputs'!J5</f>
        <v/>
      </c>
      <c r="J5">
        <f>'Plant Inputs'!K5</f>
        <v/>
      </c>
      <c r="K5">
        <f>'Plant Inputs'!L5</f>
        <v/>
      </c>
      <c r="L5">
        <f>'Plant Inputs'!M5</f>
        <v/>
      </c>
      <c r="M5">
        <f>'Plant Inputs'!N5</f>
        <v/>
      </c>
      <c r="N5">
        <f>'Plant Inputs'!O5</f>
        <v/>
      </c>
      <c r="O5">
        <f>'Plant Inputs'!P5</f>
        <v/>
      </c>
      <c r="P5">
        <f>'Plant Inputs'!Q5</f>
        <v/>
      </c>
      <c r="Q5">
        <f>'Plant Inputs'!R5</f>
        <v/>
      </c>
      <c r="R5">
        <f>'Plant Inputs'!S5</f>
        <v/>
      </c>
      <c r="S5">
        <f>'Plant Inputs'!T5</f>
        <v/>
      </c>
      <c r="T5">
        <f>'Plant Inputs'!U5</f>
        <v/>
      </c>
      <c r="U5">
        <f>'Plant Inputs'!V5</f>
        <v/>
      </c>
      <c r="V5">
        <f>'Plant Inputs'!W5</f>
        <v/>
      </c>
      <c r="W5">
        <f>'Plant Inputs'!X5</f>
        <v/>
      </c>
      <c r="X5">
        <f>'Plant Inputs'!Y5</f>
        <v/>
      </c>
      <c r="Y5">
        <f>'Plant Inputs'!Z5</f>
        <v/>
      </c>
      <c r="Z5">
        <f>'Plant Inputs'!AA5</f>
        <v/>
      </c>
      <c r="AA5">
        <f>'Plant Inputs'!AB5</f>
        <v/>
      </c>
      <c r="AB5">
        <f>'Plant Inputs'!AC5</f>
        <v/>
      </c>
      <c r="AC5">
        <f>'Plant Inputs'!AD5</f>
        <v/>
      </c>
      <c r="AD5">
        <f>'Plant Inputs'!AE5</f>
        <v/>
      </c>
      <c r="AE5">
        <f>'Plant Inputs'!AF5</f>
        <v/>
      </c>
      <c r="AF5">
        <f>'Plant Inputs'!AG5</f>
        <v/>
      </c>
      <c r="AG5">
        <f>'Plant Inputs'!AH5</f>
        <v/>
      </c>
      <c r="AH5">
        <f>'Plant Inputs'!AI5</f>
        <v/>
      </c>
      <c r="AI5">
        <f>'Plant Inputs'!AJ5</f>
        <v/>
      </c>
      <c r="AJ5">
        <f>'Plant Inputs'!AK5</f>
        <v/>
      </c>
      <c r="AK5">
        <f>'Plant Inputs'!AL5</f>
        <v/>
      </c>
      <c r="AL5">
        <f>'Plant Inputs'!AM5</f>
        <v/>
      </c>
      <c r="AM5">
        <f>'Plant Inputs'!AN5</f>
        <v/>
      </c>
      <c r="AN5">
        <f>'Plant Inputs'!AO5</f>
        <v/>
      </c>
      <c r="AO5">
        <f>'Plant Inputs'!AP5</f>
        <v/>
      </c>
      <c r="AP5">
        <f>'Plant Inputs'!AQ5</f>
        <v/>
      </c>
      <c r="AQ5">
        <f>'Plant Inputs'!AR5</f>
        <v/>
      </c>
      <c r="AR5">
        <f>'Plant Inputs'!AS5</f>
        <v/>
      </c>
      <c r="AS5">
        <f>'Plant Inputs'!AT5</f>
        <v/>
      </c>
      <c r="AT5">
        <f>'Plant Inputs'!AU5</f>
        <v/>
      </c>
      <c r="AU5">
        <f>'Plant Inputs'!AV5</f>
        <v/>
      </c>
      <c r="AV5">
        <f>'Plant Inputs'!AW5</f>
        <v/>
      </c>
      <c r="AW5">
        <f>'Plant Inputs'!AX5</f>
        <v/>
      </c>
      <c r="AX5">
        <f>'Plant Inputs'!AY5</f>
        <v/>
      </c>
      <c r="AY5">
        <f>'Plant Inputs'!AZ5</f>
        <v/>
      </c>
      <c r="AZ5">
        <f>'Plant Inputs'!BA5</f>
        <v/>
      </c>
      <c r="BA5">
        <f>'Plant Inputs'!BB5</f>
        <v/>
      </c>
      <c r="BB5">
        <f>'Plant Inputs'!BC5</f>
        <v/>
      </c>
      <c r="BC5">
        <f>'Plant Inputs'!BD5</f>
        <v/>
      </c>
      <c r="BD5">
        <f>'Plant Inputs'!BE5</f>
        <v/>
      </c>
      <c r="BE5">
        <f>'Plant Inputs'!BF5</f>
        <v/>
      </c>
      <c r="BF5">
        <f>'Plant Inputs'!BG5</f>
        <v/>
      </c>
      <c r="BG5">
        <f>'Plant Inputs'!BH5</f>
        <v/>
      </c>
      <c r="BH5">
        <f>'Plant Inputs'!BI5</f>
        <v/>
      </c>
      <c r="BI5">
        <f>'Plant Inputs'!BJ5</f>
        <v/>
      </c>
      <c r="BJ5">
        <f>'Plant Inputs'!BK5</f>
        <v/>
      </c>
      <c r="BK5">
        <f>'Plant Inputs'!BL5</f>
        <v/>
      </c>
      <c r="BL5">
        <f>'Plant Inputs'!BM5</f>
        <v/>
      </c>
      <c r="BM5">
        <f>'Plant Inputs'!BN5</f>
        <v/>
      </c>
      <c r="BN5">
        <f>'Plant Inputs'!BO5</f>
        <v/>
      </c>
      <c r="BO5">
        <f>'Plant Inputs'!BP5</f>
        <v/>
      </c>
      <c r="BP5">
        <f>'Plant Inputs'!BQ5</f>
        <v/>
      </c>
      <c r="BQ5">
        <f>'Plant Inputs'!BR5</f>
        <v/>
      </c>
      <c r="BR5">
        <f>'Plant Inputs'!BS5</f>
        <v/>
      </c>
      <c r="BS5">
        <f>'Plant Inputs'!BT5</f>
        <v/>
      </c>
      <c r="BT5">
        <f>'Plant Inputs'!BU5</f>
        <v/>
      </c>
      <c r="BU5">
        <f>'Plant Inputs'!BV5</f>
        <v/>
      </c>
      <c r="BV5">
        <f>'Plant Inputs'!BW5</f>
        <v/>
      </c>
      <c r="BW5">
        <f>'Plant Inputs'!BX5</f>
        <v/>
      </c>
      <c r="BX5">
        <f>'Plant Inputs'!BY5</f>
        <v/>
      </c>
      <c r="FV5">
        <f>AU5-V5-X5-BY5</f>
        <v/>
      </c>
      <c r="FW5">
        <f>FV5-AX5</f>
        <v/>
      </c>
      <c r="FX5">
        <f>CJ5+CL5-CK5</f>
        <v/>
      </c>
      <c r="FY5">
        <f>FX5-FX4</f>
        <v/>
      </c>
      <c r="FZ5">
        <f>FV5-BZ5-FY5</f>
        <v/>
      </c>
      <c r="GA5">
        <f>FZ5-DJ5</f>
        <v/>
      </c>
      <c r="GB5">
        <f>CB5-CC5</f>
        <v/>
      </c>
      <c r="GC5">
        <f>SUM(FV$4:FV5)*12/D5</f>
        <v/>
      </c>
      <c r="GD5">
        <f>IF(AU5=0,0,CJ5/AU5*C5)</f>
        <v/>
      </c>
      <c r="GE5">
        <f>IF(V5=0,0,CK5/V5*C5)</f>
        <v/>
      </c>
      <c r="GF5">
        <f>IF(V5=0,0,CL5/V5*C5)</f>
        <v/>
      </c>
      <c r="GG5">
        <f>IF(OR(AS5=0,AT5=0,AV5=0),0,100*((AU5/AS5)/(AV5/AT5)-1))</f>
        <v/>
      </c>
    </row>
    <row r="6">
      <c r="A6" t="inlineStr">
        <is>
          <t>Plant 01</t>
        </is>
      </c>
      <c r="B6" t="inlineStr">
        <is>
          <t>2026-06</t>
        </is>
      </c>
      <c r="C6" t="n">
        <v>30</v>
      </c>
      <c r="D6" t="n">
        <v>3</v>
      </c>
      <c r="E6">
        <f>'Plant Inputs'!F6</f>
        <v/>
      </c>
      <c r="F6">
        <f>'Plant Inputs'!G6</f>
        <v/>
      </c>
      <c r="G6">
        <f>'Plant Inputs'!H6</f>
        <v/>
      </c>
      <c r="H6">
        <f>'Plant Inputs'!I6</f>
        <v/>
      </c>
      <c r="I6">
        <f>'Plant Inputs'!J6</f>
        <v/>
      </c>
      <c r="J6">
        <f>'Plant Inputs'!K6</f>
        <v/>
      </c>
      <c r="K6">
        <f>'Plant Inputs'!L6</f>
        <v/>
      </c>
      <c r="L6">
        <f>'Plant Inputs'!M6</f>
        <v/>
      </c>
      <c r="M6">
        <f>'Plant Inputs'!N6</f>
        <v/>
      </c>
      <c r="N6">
        <f>'Plant Inputs'!O6</f>
        <v/>
      </c>
      <c r="O6">
        <f>'Plant Inputs'!P6</f>
        <v/>
      </c>
      <c r="P6">
        <f>'Plant Inputs'!Q6</f>
        <v/>
      </c>
      <c r="Q6">
        <f>'Plant Inputs'!R6</f>
        <v/>
      </c>
      <c r="R6">
        <f>'Plant Inputs'!S6</f>
        <v/>
      </c>
      <c r="S6">
        <f>'Plant Inputs'!T6</f>
        <v/>
      </c>
      <c r="T6">
        <f>'Plant Inputs'!U6</f>
        <v/>
      </c>
      <c r="U6">
        <f>'Plant Inputs'!V6</f>
        <v/>
      </c>
      <c r="V6">
        <f>'Plant Inputs'!W6</f>
        <v/>
      </c>
      <c r="W6">
        <f>'Plant Inputs'!X6</f>
        <v/>
      </c>
      <c r="X6">
        <f>'Plant Inputs'!Y6</f>
        <v/>
      </c>
      <c r="Y6">
        <f>'Plant Inputs'!Z6</f>
        <v/>
      </c>
      <c r="Z6">
        <f>'Plant Inputs'!AA6</f>
        <v/>
      </c>
      <c r="AA6">
        <f>'Plant Inputs'!AB6</f>
        <v/>
      </c>
      <c r="AB6">
        <f>'Plant Inputs'!AC6</f>
        <v/>
      </c>
      <c r="AC6">
        <f>'Plant Inputs'!AD6</f>
        <v/>
      </c>
      <c r="AD6">
        <f>'Plant Inputs'!AE6</f>
        <v/>
      </c>
      <c r="AE6">
        <f>'Plant Inputs'!AF6</f>
        <v/>
      </c>
      <c r="AF6">
        <f>'Plant Inputs'!AG6</f>
        <v/>
      </c>
      <c r="AG6">
        <f>'Plant Inputs'!AH6</f>
        <v/>
      </c>
      <c r="AH6">
        <f>'Plant Inputs'!AI6</f>
        <v/>
      </c>
      <c r="AI6">
        <f>'Plant Inputs'!AJ6</f>
        <v/>
      </c>
      <c r="AJ6">
        <f>'Plant Inputs'!AK6</f>
        <v/>
      </c>
      <c r="AK6">
        <f>'Plant Inputs'!AL6</f>
        <v/>
      </c>
      <c r="AL6">
        <f>'Plant Inputs'!AM6</f>
        <v/>
      </c>
      <c r="AM6">
        <f>'Plant Inputs'!AN6</f>
        <v/>
      </c>
      <c r="AN6">
        <f>'Plant Inputs'!AO6</f>
        <v/>
      </c>
      <c r="AO6">
        <f>'Plant Inputs'!AP6</f>
        <v/>
      </c>
      <c r="AP6">
        <f>'Plant Inputs'!AQ6</f>
        <v/>
      </c>
      <c r="AQ6">
        <f>'Plant Inputs'!AR6</f>
        <v/>
      </c>
      <c r="AR6">
        <f>'Plant Inputs'!AS6</f>
        <v/>
      </c>
      <c r="AS6">
        <f>'Plant Inputs'!AT6</f>
        <v/>
      </c>
      <c r="AT6">
        <f>'Plant Inputs'!AU6</f>
        <v/>
      </c>
      <c r="AU6">
        <f>'Plant Inputs'!AV6</f>
        <v/>
      </c>
      <c r="AV6">
        <f>'Plant Inputs'!AW6</f>
        <v/>
      </c>
      <c r="AW6">
        <f>'Plant Inputs'!AX6</f>
        <v/>
      </c>
      <c r="AX6">
        <f>'Plant Inputs'!AY6</f>
        <v/>
      </c>
      <c r="AY6">
        <f>'Plant Inputs'!AZ6</f>
        <v/>
      </c>
      <c r="AZ6">
        <f>'Plant Inputs'!BA6</f>
        <v/>
      </c>
      <c r="BA6">
        <f>'Plant Inputs'!BB6</f>
        <v/>
      </c>
      <c r="BB6">
        <f>'Plant Inputs'!BC6</f>
        <v/>
      </c>
      <c r="BC6">
        <f>'Plant Inputs'!BD6</f>
        <v/>
      </c>
      <c r="BD6">
        <f>'Plant Inputs'!BE6</f>
        <v/>
      </c>
      <c r="BE6">
        <f>'Plant Inputs'!BF6</f>
        <v/>
      </c>
      <c r="BF6">
        <f>'Plant Inputs'!BG6</f>
        <v/>
      </c>
      <c r="BG6">
        <f>'Plant Inputs'!BH6</f>
        <v/>
      </c>
      <c r="BH6">
        <f>'Plant Inputs'!BI6</f>
        <v/>
      </c>
      <c r="BI6">
        <f>'Plant Inputs'!BJ6</f>
        <v/>
      </c>
      <c r="BJ6">
        <f>'Plant Inputs'!BK6</f>
        <v/>
      </c>
      <c r="BK6">
        <f>'Plant Inputs'!BL6</f>
        <v/>
      </c>
      <c r="BL6">
        <f>'Plant Inputs'!BM6</f>
        <v/>
      </c>
      <c r="BM6">
        <f>'Plant Inputs'!BN6</f>
        <v/>
      </c>
      <c r="BN6">
        <f>'Plant Inputs'!BO6</f>
        <v/>
      </c>
      <c r="BO6">
        <f>'Plant Inputs'!BP6</f>
        <v/>
      </c>
      <c r="BP6">
        <f>'Plant Inputs'!BQ6</f>
        <v/>
      </c>
      <c r="BQ6">
        <f>'Plant Inputs'!BR6</f>
        <v/>
      </c>
      <c r="BR6">
        <f>'Plant Inputs'!BS6</f>
        <v/>
      </c>
      <c r="BS6">
        <f>'Plant Inputs'!BT6</f>
        <v/>
      </c>
      <c r="BT6">
        <f>'Plant Inputs'!BU6</f>
        <v/>
      </c>
      <c r="BU6">
        <f>'Plant Inputs'!BV6</f>
        <v/>
      </c>
      <c r="BV6">
        <f>'Plant Inputs'!BW6</f>
        <v/>
      </c>
      <c r="BW6">
        <f>'Plant Inputs'!BX6</f>
        <v/>
      </c>
      <c r="BX6">
        <f>'Plant Inputs'!BY6</f>
        <v/>
      </c>
      <c r="FV6">
        <f>AU6-V6-X6-BY6</f>
        <v/>
      </c>
      <c r="FW6">
        <f>FV6-AX6</f>
        <v/>
      </c>
      <c r="FX6">
        <f>CJ6+CL6-CK6</f>
        <v/>
      </c>
      <c r="FY6">
        <f>FX6-FX5</f>
        <v/>
      </c>
      <c r="FZ6">
        <f>FV6-BZ6-FY6</f>
        <v/>
      </c>
      <c r="GA6">
        <f>FZ6-DJ6</f>
        <v/>
      </c>
      <c r="GB6">
        <f>CB6-CC6</f>
        <v/>
      </c>
      <c r="GC6">
        <f>SUM(FV$4:FV6)*12/D6</f>
        <v/>
      </c>
      <c r="GD6">
        <f>IF(AU6=0,0,CJ6/AU6*C6)</f>
        <v/>
      </c>
      <c r="GE6">
        <f>IF(V6=0,0,CK6/V6*C6)</f>
        <v/>
      </c>
      <c r="GF6">
        <f>IF(V6=0,0,CL6/V6*C6)</f>
        <v/>
      </c>
      <c r="GG6">
        <f>IF(OR(AS6=0,AT6=0,AV6=0),0,100*((AU6/AS6)/(AV6/AT6)-1))</f>
        <v/>
      </c>
    </row>
    <row r="7">
      <c r="A7" t="inlineStr">
        <is>
          <t>Plant 01</t>
        </is>
      </c>
      <c r="B7" t="inlineStr">
        <is>
          <t>2026-07</t>
        </is>
      </c>
      <c r="C7" t="n">
        <v>31</v>
      </c>
      <c r="D7" t="n">
        <v>4</v>
      </c>
      <c r="E7">
        <f>'Plant Inputs'!F7</f>
        <v/>
      </c>
      <c r="F7">
        <f>'Plant Inputs'!G7</f>
        <v/>
      </c>
      <c r="G7">
        <f>'Plant Inputs'!H7</f>
        <v/>
      </c>
      <c r="H7">
        <f>'Plant Inputs'!I7</f>
        <v/>
      </c>
      <c r="I7">
        <f>'Plant Inputs'!J7</f>
        <v/>
      </c>
      <c r="J7">
        <f>'Plant Inputs'!K7</f>
        <v/>
      </c>
      <c r="K7">
        <f>'Plant Inputs'!L7</f>
        <v/>
      </c>
      <c r="L7">
        <f>'Plant Inputs'!M7</f>
        <v/>
      </c>
      <c r="M7">
        <f>'Plant Inputs'!N7</f>
        <v/>
      </c>
      <c r="N7">
        <f>'Plant Inputs'!O7</f>
        <v/>
      </c>
      <c r="O7">
        <f>'Plant Inputs'!P7</f>
        <v/>
      </c>
      <c r="P7">
        <f>'Plant Inputs'!Q7</f>
        <v/>
      </c>
      <c r="Q7">
        <f>'Plant Inputs'!R7</f>
        <v/>
      </c>
      <c r="R7">
        <f>'Plant Inputs'!S7</f>
        <v/>
      </c>
      <c r="S7">
        <f>'Plant Inputs'!T7</f>
        <v/>
      </c>
      <c r="T7">
        <f>'Plant Inputs'!U7</f>
        <v/>
      </c>
      <c r="U7">
        <f>'Plant Inputs'!V7</f>
        <v/>
      </c>
      <c r="V7">
        <f>'Plant Inputs'!W7</f>
        <v/>
      </c>
      <c r="W7">
        <f>'Plant Inputs'!X7</f>
        <v/>
      </c>
      <c r="X7">
        <f>'Plant Inputs'!Y7</f>
        <v/>
      </c>
      <c r="Y7">
        <f>'Plant Inputs'!Z7</f>
        <v/>
      </c>
      <c r="Z7">
        <f>'Plant Inputs'!AA7</f>
        <v/>
      </c>
      <c r="AA7">
        <f>'Plant Inputs'!AB7</f>
        <v/>
      </c>
      <c r="AB7">
        <f>'Plant Inputs'!AC7</f>
        <v/>
      </c>
      <c r="AC7">
        <f>'Plant Inputs'!AD7</f>
        <v/>
      </c>
      <c r="AD7">
        <f>'Plant Inputs'!AE7</f>
        <v/>
      </c>
      <c r="AE7">
        <f>'Plant Inputs'!AF7</f>
        <v/>
      </c>
      <c r="AF7">
        <f>'Plant Inputs'!AG7</f>
        <v/>
      </c>
      <c r="AG7">
        <f>'Plant Inputs'!AH7</f>
        <v/>
      </c>
      <c r="AH7">
        <f>'Plant Inputs'!AI7</f>
        <v/>
      </c>
      <c r="AI7">
        <f>'Plant Inputs'!AJ7</f>
        <v/>
      </c>
      <c r="AJ7">
        <f>'Plant Inputs'!AK7</f>
        <v/>
      </c>
      <c r="AK7">
        <f>'Plant Inputs'!AL7</f>
        <v/>
      </c>
      <c r="AL7">
        <f>'Plant Inputs'!AM7</f>
        <v/>
      </c>
      <c r="AM7">
        <f>'Plant Inputs'!AN7</f>
        <v/>
      </c>
      <c r="AN7">
        <f>'Plant Inputs'!AO7</f>
        <v/>
      </c>
      <c r="AO7">
        <f>'Plant Inputs'!AP7</f>
        <v/>
      </c>
      <c r="AP7">
        <f>'Plant Inputs'!AQ7</f>
        <v/>
      </c>
      <c r="AQ7">
        <f>'Plant Inputs'!AR7</f>
        <v/>
      </c>
      <c r="AR7">
        <f>'Plant Inputs'!AS7</f>
        <v/>
      </c>
      <c r="AS7">
        <f>'Plant Inputs'!AT7</f>
        <v/>
      </c>
      <c r="AT7">
        <f>'Plant Inputs'!AU7</f>
        <v/>
      </c>
      <c r="AU7">
        <f>'Plant Inputs'!AV7</f>
        <v/>
      </c>
      <c r="AV7">
        <f>'Plant Inputs'!AW7</f>
        <v/>
      </c>
      <c r="AW7">
        <f>'Plant Inputs'!AX7</f>
        <v/>
      </c>
      <c r="AX7">
        <f>'Plant Inputs'!AY7</f>
        <v/>
      </c>
      <c r="AY7">
        <f>'Plant Inputs'!AZ7</f>
        <v/>
      </c>
      <c r="AZ7">
        <f>'Plant Inputs'!BA7</f>
        <v/>
      </c>
      <c r="BA7">
        <f>'Plant Inputs'!BB7</f>
        <v/>
      </c>
      <c r="BB7">
        <f>'Plant Inputs'!BC7</f>
        <v/>
      </c>
      <c r="BC7">
        <f>'Plant Inputs'!BD7</f>
        <v/>
      </c>
      <c r="BD7">
        <f>'Plant Inputs'!BE7</f>
        <v/>
      </c>
      <c r="BE7">
        <f>'Plant Inputs'!BF7</f>
        <v/>
      </c>
      <c r="BF7">
        <f>'Plant Inputs'!BG7</f>
        <v/>
      </c>
      <c r="BG7">
        <f>'Plant Inputs'!BH7</f>
        <v/>
      </c>
      <c r="BH7">
        <f>'Plant Inputs'!BI7</f>
        <v/>
      </c>
      <c r="BI7">
        <f>'Plant Inputs'!BJ7</f>
        <v/>
      </c>
      <c r="BJ7">
        <f>'Plant Inputs'!BK7</f>
        <v/>
      </c>
      <c r="BK7">
        <f>'Plant Inputs'!BL7</f>
        <v/>
      </c>
      <c r="BL7">
        <f>'Plant Inputs'!BM7</f>
        <v/>
      </c>
      <c r="BM7">
        <f>'Plant Inputs'!BN7</f>
        <v/>
      </c>
      <c r="BN7">
        <f>'Plant Inputs'!BO7</f>
        <v/>
      </c>
      <c r="BO7">
        <f>'Plant Inputs'!BP7</f>
        <v/>
      </c>
      <c r="BP7">
        <f>'Plant Inputs'!BQ7</f>
        <v/>
      </c>
      <c r="BQ7">
        <f>'Plant Inputs'!BR7</f>
        <v/>
      </c>
      <c r="BR7">
        <f>'Plant Inputs'!BS7</f>
        <v/>
      </c>
      <c r="BS7">
        <f>'Plant Inputs'!BT7</f>
        <v/>
      </c>
      <c r="BT7">
        <f>'Plant Inputs'!BU7</f>
        <v/>
      </c>
      <c r="BU7">
        <f>'Plant Inputs'!BV7</f>
        <v/>
      </c>
      <c r="BV7">
        <f>'Plant Inputs'!BW7</f>
        <v/>
      </c>
      <c r="BW7">
        <f>'Plant Inputs'!BX7</f>
        <v/>
      </c>
      <c r="BX7">
        <f>'Plant Inputs'!BY7</f>
        <v/>
      </c>
      <c r="FV7">
        <f>AU7-V7-X7-BY7</f>
        <v/>
      </c>
      <c r="FW7">
        <f>FV7-AX7</f>
        <v/>
      </c>
      <c r="FX7">
        <f>CJ7+CL7-CK7</f>
        <v/>
      </c>
      <c r="FY7">
        <f>FX7-FX6</f>
        <v/>
      </c>
      <c r="FZ7">
        <f>FV7-BZ7-FY7</f>
        <v/>
      </c>
      <c r="GA7">
        <f>FZ7-DJ7</f>
        <v/>
      </c>
      <c r="GB7">
        <f>CB7-CC7</f>
        <v/>
      </c>
      <c r="GC7">
        <f>SUM(FV$4:FV7)*12/D7</f>
        <v/>
      </c>
      <c r="GD7">
        <f>IF(AU7=0,0,CJ7/AU7*C7)</f>
        <v/>
      </c>
      <c r="GE7">
        <f>IF(V7=0,0,CK7/V7*C7)</f>
        <v/>
      </c>
      <c r="GF7">
        <f>IF(V7=0,0,CL7/V7*C7)</f>
        <v/>
      </c>
      <c r="GG7">
        <f>IF(OR(AS7=0,AT7=0,AV7=0),0,100*((AU7/AS7)/(AV7/AT7)-1))</f>
        <v/>
      </c>
    </row>
    <row r="8">
      <c r="A8" t="inlineStr">
        <is>
          <t>Plant 01</t>
        </is>
      </c>
      <c r="B8" t="inlineStr">
        <is>
          <t>2026-08</t>
        </is>
      </c>
      <c r="C8" t="n">
        <v>31</v>
      </c>
      <c r="D8" t="n">
        <v>5</v>
      </c>
      <c r="E8">
        <f>'Plant Inputs'!F8</f>
        <v/>
      </c>
      <c r="F8">
        <f>'Plant Inputs'!G8</f>
        <v/>
      </c>
      <c r="G8">
        <f>'Plant Inputs'!H8</f>
        <v/>
      </c>
      <c r="H8">
        <f>'Plant Inputs'!I8</f>
        <v/>
      </c>
      <c r="I8">
        <f>'Plant Inputs'!J8</f>
        <v/>
      </c>
      <c r="J8">
        <f>'Plant Inputs'!K8</f>
        <v/>
      </c>
      <c r="K8">
        <f>'Plant Inputs'!L8</f>
        <v/>
      </c>
      <c r="L8">
        <f>'Plant Inputs'!M8</f>
        <v/>
      </c>
      <c r="M8">
        <f>'Plant Inputs'!N8</f>
        <v/>
      </c>
      <c r="N8">
        <f>'Plant Inputs'!O8</f>
        <v/>
      </c>
      <c r="O8">
        <f>'Plant Inputs'!P8</f>
        <v/>
      </c>
      <c r="P8">
        <f>'Plant Inputs'!Q8</f>
        <v/>
      </c>
      <c r="Q8">
        <f>'Plant Inputs'!R8</f>
        <v/>
      </c>
      <c r="R8">
        <f>'Plant Inputs'!S8</f>
        <v/>
      </c>
      <c r="S8">
        <f>'Plant Inputs'!T8</f>
        <v/>
      </c>
      <c r="T8">
        <f>'Plant Inputs'!U8</f>
        <v/>
      </c>
      <c r="U8">
        <f>'Plant Inputs'!V8</f>
        <v/>
      </c>
      <c r="V8">
        <f>'Plant Inputs'!W8</f>
        <v/>
      </c>
      <c r="W8">
        <f>'Plant Inputs'!X8</f>
        <v/>
      </c>
      <c r="X8">
        <f>'Plant Inputs'!Y8</f>
        <v/>
      </c>
      <c r="Y8">
        <f>'Plant Inputs'!Z8</f>
        <v/>
      </c>
      <c r="Z8">
        <f>'Plant Inputs'!AA8</f>
        <v/>
      </c>
      <c r="AA8">
        <f>'Plant Inputs'!AB8</f>
        <v/>
      </c>
      <c r="AB8">
        <f>'Plant Inputs'!AC8</f>
        <v/>
      </c>
      <c r="AC8">
        <f>'Plant Inputs'!AD8</f>
        <v/>
      </c>
      <c r="AD8">
        <f>'Plant Inputs'!AE8</f>
        <v/>
      </c>
      <c r="AE8">
        <f>'Plant Inputs'!AF8</f>
        <v/>
      </c>
      <c r="AF8">
        <f>'Plant Inputs'!AG8</f>
        <v/>
      </c>
      <c r="AG8">
        <f>'Plant Inputs'!AH8</f>
        <v/>
      </c>
      <c r="AH8">
        <f>'Plant Inputs'!AI8</f>
        <v/>
      </c>
      <c r="AI8">
        <f>'Plant Inputs'!AJ8</f>
        <v/>
      </c>
      <c r="AJ8">
        <f>'Plant Inputs'!AK8</f>
        <v/>
      </c>
      <c r="AK8">
        <f>'Plant Inputs'!AL8</f>
        <v/>
      </c>
      <c r="AL8">
        <f>'Plant Inputs'!AM8</f>
        <v/>
      </c>
      <c r="AM8">
        <f>'Plant Inputs'!AN8</f>
        <v/>
      </c>
      <c r="AN8">
        <f>'Plant Inputs'!AO8</f>
        <v/>
      </c>
      <c r="AO8">
        <f>'Plant Inputs'!AP8</f>
        <v/>
      </c>
      <c r="AP8">
        <f>'Plant Inputs'!AQ8</f>
        <v/>
      </c>
      <c r="AQ8">
        <f>'Plant Inputs'!AR8</f>
        <v/>
      </c>
      <c r="AR8">
        <f>'Plant Inputs'!AS8</f>
        <v/>
      </c>
      <c r="AS8">
        <f>'Plant Inputs'!AT8</f>
        <v/>
      </c>
      <c r="AT8">
        <f>'Plant Inputs'!AU8</f>
        <v/>
      </c>
      <c r="AU8">
        <f>'Plant Inputs'!AV8</f>
        <v/>
      </c>
      <c r="AV8">
        <f>'Plant Inputs'!AW8</f>
        <v/>
      </c>
      <c r="AW8">
        <f>'Plant Inputs'!AX8</f>
        <v/>
      </c>
      <c r="AX8">
        <f>'Plant Inputs'!AY8</f>
        <v/>
      </c>
      <c r="AY8">
        <f>'Plant Inputs'!AZ8</f>
        <v/>
      </c>
      <c r="AZ8">
        <f>'Plant Inputs'!BA8</f>
        <v/>
      </c>
      <c r="BA8">
        <f>'Plant Inputs'!BB8</f>
        <v/>
      </c>
      <c r="BB8">
        <f>'Plant Inputs'!BC8</f>
        <v/>
      </c>
      <c r="BC8">
        <f>'Plant Inputs'!BD8</f>
        <v/>
      </c>
      <c r="BD8">
        <f>'Plant Inputs'!BE8</f>
        <v/>
      </c>
      <c r="BE8">
        <f>'Plant Inputs'!BF8</f>
        <v/>
      </c>
      <c r="BF8">
        <f>'Plant Inputs'!BG8</f>
        <v/>
      </c>
      <c r="BG8">
        <f>'Plant Inputs'!BH8</f>
        <v/>
      </c>
      <c r="BH8">
        <f>'Plant Inputs'!BI8</f>
        <v/>
      </c>
      <c r="BI8">
        <f>'Plant Inputs'!BJ8</f>
        <v/>
      </c>
      <c r="BJ8">
        <f>'Plant Inputs'!BK8</f>
        <v/>
      </c>
      <c r="BK8">
        <f>'Plant Inputs'!BL8</f>
        <v/>
      </c>
      <c r="BL8">
        <f>'Plant Inputs'!BM8</f>
        <v/>
      </c>
      <c r="BM8">
        <f>'Plant Inputs'!BN8</f>
        <v/>
      </c>
      <c r="BN8">
        <f>'Plant Inputs'!BO8</f>
        <v/>
      </c>
      <c r="BO8">
        <f>'Plant Inputs'!BP8</f>
        <v/>
      </c>
      <c r="BP8">
        <f>'Plant Inputs'!BQ8</f>
        <v/>
      </c>
      <c r="BQ8">
        <f>'Plant Inputs'!BR8</f>
        <v/>
      </c>
      <c r="BR8">
        <f>'Plant Inputs'!BS8</f>
        <v/>
      </c>
      <c r="BS8">
        <f>'Plant Inputs'!BT8</f>
        <v/>
      </c>
      <c r="BT8">
        <f>'Plant Inputs'!BU8</f>
        <v/>
      </c>
      <c r="BU8">
        <f>'Plant Inputs'!BV8</f>
        <v/>
      </c>
      <c r="BV8">
        <f>'Plant Inputs'!BW8</f>
        <v/>
      </c>
      <c r="BW8">
        <f>'Plant Inputs'!BX8</f>
        <v/>
      </c>
      <c r="BX8">
        <f>'Plant Inputs'!BY8</f>
        <v/>
      </c>
      <c r="FV8">
        <f>AU8-V8-X8-BY8</f>
        <v/>
      </c>
      <c r="FW8">
        <f>FV8-AX8</f>
        <v/>
      </c>
      <c r="FX8">
        <f>CJ8+CL8-CK8</f>
        <v/>
      </c>
      <c r="FY8">
        <f>FX8-FX7</f>
        <v/>
      </c>
      <c r="FZ8">
        <f>FV8-BZ8-FY8</f>
        <v/>
      </c>
      <c r="GA8">
        <f>FZ8-DJ8</f>
        <v/>
      </c>
      <c r="GB8">
        <f>CB8-CC8</f>
        <v/>
      </c>
      <c r="GC8">
        <f>SUM(FV$4:FV8)*12/D8</f>
        <v/>
      </c>
      <c r="GD8">
        <f>IF(AU8=0,0,CJ8/AU8*C8)</f>
        <v/>
      </c>
      <c r="GE8">
        <f>IF(V8=0,0,CK8/V8*C8)</f>
        <v/>
      </c>
      <c r="GF8">
        <f>IF(V8=0,0,CL8/V8*C8)</f>
        <v/>
      </c>
      <c r="GG8">
        <f>IF(OR(AS8=0,AT8=0,AV8=0),0,100*((AU8/AS8)/(AV8/AT8)-1))</f>
        <v/>
      </c>
    </row>
    <row r="9">
      <c r="A9" t="inlineStr">
        <is>
          <t>Plant 01</t>
        </is>
      </c>
      <c r="B9" t="inlineStr">
        <is>
          <t>2026-09</t>
        </is>
      </c>
      <c r="C9" t="n">
        <v>30</v>
      </c>
      <c r="D9" t="n">
        <v>6</v>
      </c>
      <c r="E9">
        <f>'Plant Inputs'!F9</f>
        <v/>
      </c>
      <c r="F9">
        <f>'Plant Inputs'!G9</f>
        <v/>
      </c>
      <c r="G9">
        <f>'Plant Inputs'!H9</f>
        <v/>
      </c>
      <c r="H9">
        <f>'Plant Inputs'!I9</f>
        <v/>
      </c>
      <c r="I9">
        <f>'Plant Inputs'!J9</f>
        <v/>
      </c>
      <c r="J9">
        <f>'Plant Inputs'!K9</f>
        <v/>
      </c>
      <c r="K9">
        <f>'Plant Inputs'!L9</f>
        <v/>
      </c>
      <c r="L9">
        <f>'Plant Inputs'!M9</f>
        <v/>
      </c>
      <c r="M9">
        <f>'Plant Inputs'!N9</f>
        <v/>
      </c>
      <c r="N9">
        <f>'Plant Inputs'!O9</f>
        <v/>
      </c>
      <c r="O9">
        <f>'Plant Inputs'!P9</f>
        <v/>
      </c>
      <c r="P9">
        <f>'Plant Inputs'!Q9</f>
        <v/>
      </c>
      <c r="Q9">
        <f>'Plant Inputs'!R9</f>
        <v/>
      </c>
      <c r="R9">
        <f>'Plant Inputs'!S9</f>
        <v/>
      </c>
      <c r="S9">
        <f>'Plant Inputs'!T9</f>
        <v/>
      </c>
      <c r="T9">
        <f>'Plant Inputs'!U9</f>
        <v/>
      </c>
      <c r="U9">
        <f>'Plant Inputs'!V9</f>
        <v/>
      </c>
      <c r="V9">
        <f>'Plant Inputs'!W9</f>
        <v/>
      </c>
      <c r="W9">
        <f>'Plant Inputs'!X9</f>
        <v/>
      </c>
      <c r="X9">
        <f>'Plant Inputs'!Y9</f>
        <v/>
      </c>
      <c r="Y9">
        <f>'Plant Inputs'!Z9</f>
        <v/>
      </c>
      <c r="Z9">
        <f>'Plant Inputs'!AA9</f>
        <v/>
      </c>
      <c r="AA9">
        <f>'Plant Inputs'!AB9</f>
        <v/>
      </c>
      <c r="AB9">
        <f>'Plant Inputs'!AC9</f>
        <v/>
      </c>
      <c r="AC9">
        <f>'Plant Inputs'!AD9</f>
        <v/>
      </c>
      <c r="AD9">
        <f>'Plant Inputs'!AE9</f>
        <v/>
      </c>
      <c r="AE9">
        <f>'Plant Inputs'!AF9</f>
        <v/>
      </c>
      <c r="AF9">
        <f>'Plant Inputs'!AG9</f>
        <v/>
      </c>
      <c r="AG9">
        <f>'Plant Inputs'!AH9</f>
        <v/>
      </c>
      <c r="AH9">
        <f>'Plant Inputs'!AI9</f>
        <v/>
      </c>
      <c r="AI9">
        <f>'Plant Inputs'!AJ9</f>
        <v/>
      </c>
      <c r="AJ9">
        <f>'Plant Inputs'!AK9</f>
        <v/>
      </c>
      <c r="AK9">
        <f>'Plant Inputs'!AL9</f>
        <v/>
      </c>
      <c r="AL9">
        <f>'Plant Inputs'!AM9</f>
        <v/>
      </c>
      <c r="AM9">
        <f>'Plant Inputs'!AN9</f>
        <v/>
      </c>
      <c r="AN9">
        <f>'Plant Inputs'!AO9</f>
        <v/>
      </c>
      <c r="AO9">
        <f>'Plant Inputs'!AP9</f>
        <v/>
      </c>
      <c r="AP9">
        <f>'Plant Inputs'!AQ9</f>
        <v/>
      </c>
      <c r="AQ9">
        <f>'Plant Inputs'!AR9</f>
        <v/>
      </c>
      <c r="AR9">
        <f>'Plant Inputs'!AS9</f>
        <v/>
      </c>
      <c r="AS9">
        <f>'Plant Inputs'!AT9</f>
        <v/>
      </c>
      <c r="AT9">
        <f>'Plant Inputs'!AU9</f>
        <v/>
      </c>
      <c r="AU9">
        <f>'Plant Inputs'!AV9</f>
        <v/>
      </c>
      <c r="AV9">
        <f>'Plant Inputs'!AW9</f>
        <v/>
      </c>
      <c r="AW9">
        <f>'Plant Inputs'!AX9</f>
        <v/>
      </c>
      <c r="AX9">
        <f>'Plant Inputs'!AY9</f>
        <v/>
      </c>
      <c r="AY9">
        <f>'Plant Inputs'!AZ9</f>
        <v/>
      </c>
      <c r="AZ9">
        <f>'Plant Inputs'!BA9</f>
        <v/>
      </c>
      <c r="BA9">
        <f>'Plant Inputs'!BB9</f>
        <v/>
      </c>
      <c r="BB9">
        <f>'Plant Inputs'!BC9</f>
        <v/>
      </c>
      <c r="BC9">
        <f>'Plant Inputs'!BD9</f>
        <v/>
      </c>
      <c r="BD9">
        <f>'Plant Inputs'!BE9</f>
        <v/>
      </c>
      <c r="BE9">
        <f>'Plant Inputs'!BF9</f>
        <v/>
      </c>
      <c r="BF9">
        <f>'Plant Inputs'!BG9</f>
        <v/>
      </c>
      <c r="BG9">
        <f>'Plant Inputs'!BH9</f>
        <v/>
      </c>
      <c r="BH9">
        <f>'Plant Inputs'!BI9</f>
        <v/>
      </c>
      <c r="BI9">
        <f>'Plant Inputs'!BJ9</f>
        <v/>
      </c>
      <c r="BJ9">
        <f>'Plant Inputs'!BK9</f>
        <v/>
      </c>
      <c r="BK9">
        <f>'Plant Inputs'!BL9</f>
        <v/>
      </c>
      <c r="BL9">
        <f>'Plant Inputs'!BM9</f>
        <v/>
      </c>
      <c r="BM9">
        <f>'Plant Inputs'!BN9</f>
        <v/>
      </c>
      <c r="BN9">
        <f>'Plant Inputs'!BO9</f>
        <v/>
      </c>
      <c r="BO9">
        <f>'Plant Inputs'!BP9</f>
        <v/>
      </c>
      <c r="BP9">
        <f>'Plant Inputs'!BQ9</f>
        <v/>
      </c>
      <c r="BQ9">
        <f>'Plant Inputs'!BR9</f>
        <v/>
      </c>
      <c r="BR9">
        <f>'Plant Inputs'!BS9</f>
        <v/>
      </c>
      <c r="BS9">
        <f>'Plant Inputs'!BT9</f>
        <v/>
      </c>
      <c r="BT9">
        <f>'Plant Inputs'!BU9</f>
        <v/>
      </c>
      <c r="BU9">
        <f>'Plant Inputs'!BV9</f>
        <v/>
      </c>
      <c r="BV9">
        <f>'Plant Inputs'!BW9</f>
        <v/>
      </c>
      <c r="BW9">
        <f>'Plant Inputs'!BX9</f>
        <v/>
      </c>
      <c r="BX9">
        <f>'Plant Inputs'!BY9</f>
        <v/>
      </c>
      <c r="FV9">
        <f>AU9-V9-X9-BY9</f>
        <v/>
      </c>
      <c r="FW9">
        <f>FV9-AX9</f>
        <v/>
      </c>
      <c r="FX9">
        <f>CJ9+CL9-CK9</f>
        <v/>
      </c>
      <c r="FY9">
        <f>FX9-FX8</f>
        <v/>
      </c>
      <c r="FZ9">
        <f>FV9-BZ9-FY9</f>
        <v/>
      </c>
      <c r="GA9">
        <f>FZ9-DJ9</f>
        <v/>
      </c>
      <c r="GB9">
        <f>CB9-CC9</f>
        <v/>
      </c>
      <c r="GC9">
        <f>SUM(FV$4:FV9)*12/D9</f>
        <v/>
      </c>
      <c r="GD9">
        <f>IF(AU9=0,0,CJ9/AU9*C9)</f>
        <v/>
      </c>
      <c r="GE9">
        <f>IF(V9=0,0,CK9/V9*C9)</f>
        <v/>
      </c>
      <c r="GF9">
        <f>IF(V9=0,0,CL9/V9*C9)</f>
        <v/>
      </c>
      <c r="GG9">
        <f>IF(OR(AS9=0,AT9=0,AV9=0),0,100*((AU9/AS9)/(AV9/AT9)-1))</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R9"/>
  <sheetViews>
    <sheetView workbookViewId="0">
      <selection activeCell="A1" sqref="A1"/>
    </sheetView>
  </sheetViews>
  <sheetFormatPr baseColWidth="8" defaultRowHeight="15"/>
  <sheetData>
    <row r="1">
      <c r="A1" t="inlineStr">
        <is>
          <t>Group</t>
        </is>
      </c>
      <c r="B1" t="inlineStr">
        <is>
          <t>Month</t>
        </is>
      </c>
      <c r="C1" t="inlineStr">
        <is>
          <t>Days in month</t>
        </is>
      </c>
      <c r="D1" t="inlineStr">
        <is>
          <t>Months since April (YTD)</t>
        </is>
      </c>
      <c r="E1" t="inlineStr">
        <is>
          <t>Calendar hours (h)</t>
        </is>
      </c>
      <c r="F1" t="inlineStr">
        <is>
          <t>Planned operating hours (h)</t>
        </is>
      </c>
      <c r="G1" t="inlineStr">
        <is>
          <t>Run hours (h)</t>
        </is>
      </c>
      <c r="H1" t="inlineStr">
        <is>
          <t>Unplanned downtime (h)</t>
        </is>
      </c>
      <c r="I1" t="inlineStr">
        <is>
          <t>Ideal output (t)</t>
        </is>
      </c>
      <c r="J1" t="inlineStr">
        <is>
          <t>Installed capacity (t)</t>
        </is>
      </c>
      <c r="K1" t="inlineStr">
        <is>
          <t>Planned production (t)</t>
        </is>
      </c>
      <c r="L1" t="inlineStr">
        <is>
          <t>Gross output (t)</t>
        </is>
      </c>
      <c r="M1" t="inlineStr">
        <is>
          <t>Good output (t)</t>
        </is>
      </c>
      <c r="N1" t="inlineStr">
        <is>
          <t>Feed input (t)</t>
        </is>
      </c>
      <c r="O1" t="inlineStr">
        <is>
          <t>Valuable content in feed (t)</t>
        </is>
      </c>
      <c r="P1" t="inlineStr">
        <is>
          <t>Valuable content recovered (t)</t>
        </is>
      </c>
      <c r="Q1" t="inlineStr">
        <is>
          <t>Production lost to downtime (t)</t>
        </is>
      </c>
      <c r="R1" t="inlineStr">
        <is>
          <t>Breakdowns (count)</t>
        </is>
      </c>
      <c r="S1" t="inlineStr">
        <is>
          <t>Repair hours (h)</t>
        </is>
      </c>
      <c r="T1" t="inlineStr">
        <is>
          <t>Preventive maintenance scheduled (count)</t>
        </is>
      </c>
      <c r="U1" t="inlineStr">
        <is>
          <t>Preventive maintenance completed (count)</t>
        </is>
      </c>
      <c r="V1" t="inlineStr">
        <is>
          <t>Variable cost (₹ thousand)</t>
        </is>
      </c>
      <c r="W1" t="inlineStr">
        <is>
          <t>Fuel cost (₹ thousand)</t>
        </is>
      </c>
      <c r="X1" t="inlineStr">
        <is>
          <t>Fixed cost (₹ thousand)</t>
        </is>
      </c>
      <c r="Y1" t="inlineStr">
        <is>
          <t>Water used (m³)</t>
        </is>
      </c>
      <c r="Z1" t="inlineStr">
        <is>
          <t>Emissions (t CO2e)</t>
        </is>
      </c>
      <c r="AA1" t="inlineStr">
        <is>
          <t>Energy used (GJ)</t>
        </is>
      </c>
      <c r="AB1" t="inlineStr">
        <is>
          <t>Production at risk (t)</t>
        </is>
      </c>
      <c r="AC1" t="inlineStr">
        <is>
          <t>Critical plant alerts (count)</t>
        </is>
      </c>
      <c r="AD1" t="inlineStr">
        <is>
          <t>Hours worked (h)</t>
        </is>
      </c>
      <c r="AE1" t="inlineStr">
        <is>
          <t>Recordable injuries (count)</t>
        </is>
      </c>
      <c r="AF1" t="inlineStr">
        <is>
          <t>Severity incidents (count)</t>
        </is>
      </c>
      <c r="AG1" t="inlineStr">
        <is>
          <t>Near misses (count)</t>
        </is>
      </c>
      <c r="AH1" t="inlineStr">
        <is>
          <t>Critical safety incidents (count)</t>
        </is>
      </c>
      <c r="AI1" t="inlineStr">
        <is>
          <t>Environmental excursions (count)</t>
        </is>
      </c>
      <c r="AJ1" t="inlineStr">
        <is>
          <t>Environmental violations (count)</t>
        </is>
      </c>
      <c r="AK1" t="inlineStr">
        <is>
          <t>Open EHS corrective actions (count)</t>
        </is>
      </c>
      <c r="AL1" t="inlineStr">
        <is>
          <t>Overdue EHS corrective actions (count)</t>
        </is>
      </c>
      <c r="AM1" t="inlineStr">
        <is>
          <t>EHS investigations due (count)</t>
        </is>
      </c>
      <c r="AN1" t="inlineStr">
        <is>
          <t>EHS investigations completed (count)</t>
        </is>
      </c>
      <c r="AO1" t="inlineStr">
        <is>
          <t>Critical materials at risk (count)</t>
        </is>
      </c>
      <c r="AP1" t="inlineStr">
        <is>
          <t>Dispatches (count)</t>
        </is>
      </c>
      <c r="AQ1" t="inlineStr">
        <is>
          <t>Delayed dispatches (count)</t>
        </is>
      </c>
      <c r="AR1" t="inlineStr">
        <is>
          <t>Days to permit expiry (days)</t>
        </is>
      </c>
      <c r="AS1" t="inlineStr">
        <is>
          <t>Sales volume (t)</t>
        </is>
      </c>
      <c r="AT1" t="inlineStr">
        <is>
          <t>Planned sales volume (t)</t>
        </is>
      </c>
      <c r="AU1" t="inlineStr">
        <is>
          <t>Revenue (₹ thousand)</t>
        </is>
      </c>
      <c r="AV1" t="inlineStr">
        <is>
          <t>Planned revenue (₹ thousand)</t>
        </is>
      </c>
      <c r="AW1" t="inlineStr">
        <is>
          <t>Power cost, part of variable cost (₹ thousand)</t>
        </is>
      </c>
      <c r="AX1" t="inlineStr">
        <is>
          <t>Depreciation and amortisation (₹ thousand)</t>
        </is>
      </c>
      <c r="AY1" t="inlineStr">
        <is>
          <t>Purchase-order lines due (count)</t>
        </is>
      </c>
      <c r="AZ1" t="inlineStr">
        <is>
          <t>Purchase-order lines delivered on time (count)</t>
        </is>
      </c>
      <c r="BA1" t="inlineStr">
        <is>
          <t>Quantity ordered from suppliers (t)</t>
        </is>
      </c>
      <c r="BB1" t="inlineStr">
        <is>
          <t>Quantity received (t)</t>
        </is>
      </c>
      <c r="BC1" t="inlineStr">
        <is>
          <t>Quantity rejected on quality (t)</t>
        </is>
      </c>
      <c r="BD1" t="inlineStr">
        <is>
          <t>Planned lead time, all deliveries (days)</t>
        </is>
      </c>
      <c r="BE1" t="inlineStr">
        <is>
          <t>Actual lead time, all deliveries (days)</t>
        </is>
      </c>
      <c r="BF1" t="inlineStr">
        <is>
          <t>Supplier spend (₹ thousand)</t>
        </is>
      </c>
      <c r="BG1" t="inlineStr">
        <is>
          <t>Spend with single-source suppliers (₹ thousand)</t>
        </is>
      </c>
      <c r="BH1" t="inlineStr">
        <is>
          <t>Supplier EHS incidents (count)</t>
        </is>
      </c>
      <c r="BI1" t="inlineStr">
        <is>
          <t>Regulatory filings pending (count)</t>
        </is>
      </c>
      <c r="BJ1" t="inlineStr">
        <is>
          <t>Regulatory deadlines in next 30 days (count)</t>
        </is>
      </c>
      <c r="BK1" t="inlineStr">
        <is>
          <t>Licences expiring in next 12 months (count)</t>
        </is>
      </c>
      <c r="BL1" t="inlineStr">
        <is>
          <t>Regulatory obligations due in next 30 days (count)</t>
        </is>
      </c>
      <c r="BM1" t="inlineStr">
        <is>
          <t>Regulatory obligations overdue (count)</t>
        </is>
      </c>
      <c r="BN1" t="inlineStr">
        <is>
          <t>Open regulatory actions (count)</t>
        </is>
      </c>
      <c r="BO1" t="inlineStr">
        <is>
          <t>Overdue compliance actions (count)</t>
        </is>
      </c>
      <c r="BP1" t="inlineStr">
        <is>
          <t>Regulatory breaches in the month (count)</t>
        </is>
      </c>
      <c r="BQ1" t="inlineStr">
        <is>
          <t>Events that trigger a disclosure clock (count)</t>
        </is>
      </c>
      <c r="BR1" t="inlineStr">
        <is>
          <t>EHS escalation clocks running (count)</t>
        </is>
      </c>
      <c r="BS1" t="inlineStr">
        <is>
          <t>Days until production plan is breached, forecast (days; 99 = not expected)</t>
        </is>
      </c>
      <c r="BT1" t="inlineStr">
        <is>
          <t>Planned production next month (t)</t>
        </is>
      </c>
      <c r="BU1" t="inlineStr">
        <is>
          <t>Forecast good output next month (t)</t>
        </is>
      </c>
      <c r="BV1" t="inlineStr">
        <is>
          <t>Forecast uncertainty next month (variance, t²)</t>
        </is>
      </c>
      <c r="BW1" t="inlineStr">
        <is>
          <t>Ideal output next month (t)</t>
        </is>
      </c>
      <c r="BX1" t="inlineStr">
        <is>
          <t>Forecast production lost to downtime next month (t)</t>
        </is>
      </c>
      <c r="BY1" t="inlineStr">
        <is>
          <t>Overheads, SG&amp;A (₹ thousand)</t>
        </is>
      </c>
      <c r="BZ1" t="inlineStr">
        <is>
          <t>Tax paid (₹ thousand)</t>
        </is>
      </c>
      <c r="CA1" t="inlineStr">
        <is>
          <t>Capital employed, month end (₹ thousand)</t>
        </is>
      </c>
      <c r="CB1" t="inlineStr">
        <is>
          <t>Gross debt, month end (₹ thousand)</t>
        </is>
      </c>
      <c r="CC1" t="inlineStr">
        <is>
          <t>Cash, month end (₹ thousand)</t>
        </is>
      </c>
      <c r="CD1" t="inlineStr">
        <is>
          <t>Undrawn committed facilities (₹ thousand)</t>
        </is>
      </c>
      <c r="CE1" t="inlineStr">
        <is>
          <t>Debt service in the month (₹ thousand)</t>
        </is>
      </c>
      <c r="CF1" t="inlineStr">
        <is>
          <t>Debt maturing in next 12 months (₹ thousand)</t>
        </is>
      </c>
      <c r="CG1" t="inlineStr">
        <is>
          <t>Floating-rate debt (₹ thousand)</t>
        </is>
      </c>
      <c r="CH1" t="inlineStr">
        <is>
          <t>EBITDA as reported in the Board pack (₹ thousand)</t>
        </is>
      </c>
      <c r="CI1" t="inlineStr">
        <is>
          <t>Revenue in the flash report (₹ thousand)</t>
        </is>
      </c>
      <c r="CJ1" t="inlineStr">
        <is>
          <t>Trade receivables, month end (₹ thousand)</t>
        </is>
      </c>
      <c r="CK1" t="inlineStr">
        <is>
          <t>Trade payables, month end (₹ thousand)</t>
        </is>
      </c>
      <c r="CL1" t="inlineStr">
        <is>
          <t>Inventory, month end (₹ thousand)</t>
        </is>
      </c>
      <c r="CM1" t="inlineStr">
        <is>
          <t>Cash collected from customers (₹ thousand)</t>
        </is>
      </c>
      <c r="CN1" t="inlineStr">
        <is>
          <t>Cash released by working-capital actions (₹ thousand)</t>
        </is>
      </c>
      <c r="CO1" t="inlineStr">
        <is>
          <t>Cash due to be upstreamed to Group, next 30 days (₹ thousand)</t>
        </is>
      </c>
      <c r="CP1" t="inlineStr">
        <is>
          <t>Of which covered by available cash (₹ thousand)</t>
        </is>
      </c>
      <c r="CQ1" t="inlineStr">
        <is>
          <t>Invoices collected (count)</t>
        </is>
      </c>
      <c r="CR1" t="inlineStr">
        <is>
          <t>Days taken to collect, all invoices (days)</t>
        </is>
      </c>
      <c r="CS1" t="inlineStr">
        <is>
          <t>Agreed payment terms, all invoices (days)</t>
        </is>
      </c>
      <c r="CT1" t="inlineStr">
        <is>
          <t>Customers more than 30 days overdue (count)</t>
        </is>
      </c>
      <c r="CU1" t="inlineStr">
        <is>
          <t>Forecast EBITDA, rest of year (₹ thousand)</t>
        </is>
      </c>
      <c r="CV1" t="inlineStr">
        <is>
          <t>Planned EBITDA, rest of year (₹ thousand)</t>
        </is>
      </c>
      <c r="CW1" t="inlineStr">
        <is>
          <t>Forecast net cash flow, next 90 days (₹ thousand)</t>
        </is>
      </c>
      <c r="CX1" t="inlineStr">
        <is>
          <t>Forecast net debt at quarter end (₹ thousand)</t>
        </is>
      </c>
      <c r="CY1" t="inlineStr">
        <is>
          <t>Forecast EBITDA, 12 months to quarter end (₹ thousand)</t>
        </is>
      </c>
      <c r="CZ1" t="inlineStr">
        <is>
          <t>Foreign-currency exposure, gross (₹ thousand)</t>
        </is>
      </c>
      <c r="DA1" t="inlineStr">
        <is>
          <t>Foreign-currency exposure hedged (₹ thousand)</t>
        </is>
      </c>
      <c r="DB1" t="inlineStr">
        <is>
          <t>USD exposure, gross (₹ thousand)</t>
        </is>
      </c>
      <c r="DC1" t="inlineStr">
        <is>
          <t>USD exposure hedged (₹ thousand)</t>
        </is>
      </c>
      <c r="DD1" t="inlineStr">
        <is>
          <t>Change in value of hedges (₹ thousand)</t>
        </is>
      </c>
      <c r="DE1" t="inlineStr">
        <is>
          <t>Change in value of hedged items (₹ thousand)</t>
        </is>
      </c>
      <c r="DF1" t="inlineStr">
        <is>
          <t>Forecast foreign-currency flows, next 6 months (₹ thousand)</t>
        </is>
      </c>
      <c r="DG1" t="inlineStr">
        <is>
          <t>Of which hedged (₹ thousand)</t>
        </is>
      </c>
      <c r="DH1" t="inlineStr">
        <is>
          <t>Approved capex budget, full year (₹ thousand)</t>
        </is>
      </c>
      <c r="DI1" t="inlineStr">
        <is>
          <t>Capex committed to date (₹ thousand)</t>
        </is>
      </c>
      <c r="DJ1" t="inlineStr">
        <is>
          <t>Capex spent in the month (₹ thousand)</t>
        </is>
      </c>
      <c r="DK1" t="inlineStr">
        <is>
          <t>Capex work completed, valued at budget (₹ thousand)</t>
        </is>
      </c>
      <c r="DL1" t="inlineStr">
        <is>
          <t>Budget of capex projects at risk (₹ thousand)</t>
        </is>
      </c>
      <c r="DM1" t="inlineStr">
        <is>
          <t>Capex projects on track (count)</t>
        </is>
      </c>
      <c r="DN1" t="inlineStr">
        <is>
          <t>Capex projects at risk (count)</t>
        </is>
      </c>
      <c r="DO1" t="inlineStr">
        <is>
          <t>Capex projects off track (count)</t>
        </is>
      </c>
      <c r="DP1" t="inlineStr">
        <is>
          <t>Capex projects delayed (count)</t>
        </is>
      </c>
      <c r="DQ1" t="inlineStr">
        <is>
          <t>Contractor milestones due (count)</t>
        </is>
      </c>
      <c r="DR1" t="inlineStr">
        <is>
          <t>Contractor days late, all milestones (days)</t>
        </is>
      </c>
      <c r="DS1" t="inlineStr">
        <is>
          <t>Transformation initiatives on track (count)</t>
        </is>
      </c>
      <c r="DT1" t="inlineStr">
        <is>
          <t>Transformation initiatives at risk (count)</t>
        </is>
      </c>
      <c r="DU1" t="inlineStr">
        <is>
          <t>Transformation initiatives delayed (count)</t>
        </is>
      </c>
      <c r="DV1" t="inlineStr">
        <is>
          <t>Transformation milestones in plan (count)</t>
        </is>
      </c>
      <c r="DW1" t="inlineStr">
        <is>
          <t>Transformation milestones completed (count)</t>
        </is>
      </c>
      <c r="DX1" t="inlineStr">
        <is>
          <t>Programme benefits planned in the month (₹ thousand)</t>
        </is>
      </c>
      <c r="DY1" t="inlineStr">
        <is>
          <t>Programme benefits delivered in the month (₹ thousand)</t>
        </is>
      </c>
      <c r="DZ1" t="inlineStr">
        <is>
          <t>EBITDA benefit delivered (₹ thousand)</t>
        </is>
      </c>
      <c r="EA1" t="inlineStr">
        <is>
          <t>Cash benefit delivered (₹ thousand)</t>
        </is>
      </c>
      <c r="EB1" t="inlineStr">
        <is>
          <t>Cost savings delivered (₹ thousand)</t>
        </is>
      </c>
      <c r="EC1" t="inlineStr">
        <is>
          <t>Active supply contracts (count)</t>
        </is>
      </c>
      <c r="ED1" t="inlineStr">
        <is>
          <t>Contracts fully compliant (count)</t>
        </is>
      </c>
      <c r="EE1" t="inlineStr">
        <is>
          <t>Contracts expiring in next 90 days (count)</t>
        </is>
      </c>
      <c r="EF1" t="inlineStr">
        <is>
          <t>Suppliers not meeting EHS requirements (count)</t>
        </is>
      </c>
      <c r="EG1" t="inlineStr">
        <is>
          <t>Critical single-source suppliers (count)</t>
        </is>
      </c>
      <c r="EH1" t="inlineStr">
        <is>
          <t>Control failures (count)</t>
        </is>
      </c>
      <c r="EI1" t="inlineStr">
        <is>
          <t>High-severity control failures (count)</t>
        </is>
      </c>
      <c r="EJ1" t="inlineStr">
        <is>
          <t>Assurance reviews planned (count)</t>
        </is>
      </c>
      <c r="EK1" t="inlineStr">
        <is>
          <t>Assurance reviews completed (count)</t>
        </is>
      </c>
      <c r="EL1" t="inlineStr">
        <is>
          <t>Policy exceptions (count)</t>
        </is>
      </c>
      <c r="EM1" t="inlineStr">
        <is>
          <t>Unauthorised vendor uses (count)</t>
        </is>
      </c>
      <c r="EN1" t="inlineStr">
        <is>
          <t>Segregation-of-duties exceptions (count)</t>
        </is>
      </c>
      <c r="EO1" t="inlineStr">
        <is>
          <t>Unauthorised access events (count)</t>
        </is>
      </c>
      <c r="EP1" t="inlineStr">
        <is>
          <t>Data-sharing exceptions (count)</t>
        </is>
      </c>
      <c r="EQ1" t="inlineStr">
        <is>
          <t>Manual operational or system overrides (count)</t>
        </is>
      </c>
      <c r="ER1" t="inlineStr">
        <is>
          <t>Certification approvals past due date (count)</t>
        </is>
      </c>
      <c r="ES1" t="inlineStr">
        <is>
          <t>KPI values overridden (count)</t>
        </is>
      </c>
      <c r="ET1" t="inlineStr">
        <is>
          <t>Recurring data-quality issues (count)</t>
        </is>
      </c>
      <c r="EU1" t="inlineStr">
        <is>
          <t>Open audit findings (count)</t>
        </is>
      </c>
      <c r="EV1" t="inlineStr">
        <is>
          <t>Overdue assurance actions (count)</t>
        </is>
      </c>
      <c r="EW1" t="inlineStr">
        <is>
          <t>Repeat audit findings (count)</t>
        </is>
      </c>
      <c r="EX1" t="inlineStr">
        <is>
          <t>Leadership KPIs affected by open findings (count)</t>
        </is>
      </c>
      <c r="EY1" t="inlineStr">
        <is>
          <t>Evidence items required (count)</t>
        </is>
      </c>
      <c r="EZ1" t="inlineStr">
        <is>
          <t>Evidence items complete (count)</t>
        </is>
      </c>
      <c r="FA1" t="inlineStr">
        <is>
          <t>Audit findings closed in the month (count)</t>
        </is>
      </c>
      <c r="FB1" t="inlineStr">
        <is>
          <t>Days taken to close those findings (days)</t>
        </is>
      </c>
      <c r="FC1" t="inlineStr">
        <is>
          <t>Leadership KPI values reported (count)</t>
        </is>
      </c>
      <c r="FD1" t="inlineStr">
        <is>
          <t>Of which certified (count)</t>
        </is>
      </c>
      <c r="FE1" t="inlineStr">
        <is>
          <t>Of which inside the certification process (count)</t>
        </is>
      </c>
      <c r="FF1" t="inlineStr">
        <is>
          <t>Certifications overdue (count)</t>
        </is>
      </c>
      <c r="FG1" t="inlineStr">
        <is>
          <t>Open reconciliation breaks (count)</t>
        </is>
      </c>
      <c r="FH1" t="inlineStr">
        <is>
          <t>Material reconciliation breaks (count)</t>
        </is>
      </c>
      <c r="FI1" t="inlineStr">
        <is>
          <t>Records loaded to the data lake (count)</t>
        </is>
      </c>
      <c r="FJ1" t="inlineStr">
        <is>
          <t>Records reconciled to source (count)</t>
        </is>
      </c>
      <c r="FK1" t="inlineStr">
        <is>
          <t>Flash report lines (count)</t>
        </is>
      </c>
      <c r="FL1" t="inlineStr">
        <is>
          <t>Flash lines matching MIS (count)</t>
        </is>
      </c>
      <c r="FM1" t="inlineStr">
        <is>
          <t>Open critical alerts (count)</t>
        </is>
      </c>
      <c r="FN1" t="inlineStr">
        <is>
          <t>Alerts with no accepted owner (count)</t>
        </is>
      </c>
      <c r="FO1" t="inlineStr">
        <is>
          <t>Overdue actions (count)</t>
        </is>
      </c>
      <c r="FP1" t="inlineStr">
        <is>
          <t>Alerts resolved in the month (count)</t>
        </is>
      </c>
      <c r="FQ1" t="inlineStr">
        <is>
          <t>Days taken to resolve those alerts (days)</t>
        </is>
      </c>
      <c r="FR1" t="inlineStr">
        <is>
          <t>Escalations closed in the month (count)</t>
        </is>
      </c>
      <c r="FS1" t="inlineStr">
        <is>
          <t>Repeat issues raised in the month (count)</t>
        </is>
      </c>
      <c r="FT1" t="inlineStr">
        <is>
          <t>Root causes identified (count)</t>
        </is>
      </c>
      <c r="FU1" t="inlineStr">
        <is>
          <t>Root causes eliminated (count)</t>
        </is>
      </c>
      <c r="FV1" t="inlineStr">
        <is>
          <t>EBITDA (₹ thousand)</t>
        </is>
      </c>
      <c r="FW1" t="inlineStr">
        <is>
          <t>EBIT (₹ thousand)</t>
        </is>
      </c>
      <c r="FX1" t="inlineStr">
        <is>
          <t>Net working capital (₹ thousand)</t>
        </is>
      </c>
      <c r="FY1" t="inlineStr">
        <is>
          <t>Change in net working capital (₹ thousand)</t>
        </is>
      </c>
      <c r="FZ1" t="inlineStr">
        <is>
          <t>Operating cash flow (₹ thousand)</t>
        </is>
      </c>
      <c r="GA1" t="inlineStr">
        <is>
          <t>Free cash flow (₹ thousand)</t>
        </is>
      </c>
      <c r="GB1" t="inlineStr">
        <is>
          <t>Net debt (₹ thousand)</t>
        </is>
      </c>
      <c r="GC1" t="inlineStr">
        <is>
          <t>EBITDA, annualised (₹ thousand)</t>
        </is>
      </c>
      <c r="GD1" t="inlineStr">
        <is>
          <t>DSO (days)</t>
        </is>
      </c>
      <c r="GE1" t="inlineStr">
        <is>
          <t>DPO (days)</t>
        </is>
      </c>
      <c r="GF1" t="inlineStr">
        <is>
          <t>Inventory days (days)</t>
        </is>
      </c>
      <c r="GG1" t="inlineStr">
        <is>
          <t>Realised price vs plan (%)</t>
        </is>
      </c>
      <c r="GH1" t="inlineStr">
        <is>
          <t>Full-time employees (FTE, count)</t>
        </is>
      </c>
      <c r="GI1" t="inlineStr">
        <is>
          <t>FCF plan, full year (₹ thousand)</t>
        </is>
      </c>
      <c r="GJ1" t="inlineStr">
        <is>
          <t>Forecast FCF, rest of year (₹ thousand)</t>
        </is>
      </c>
      <c r="GK1" t="inlineStr">
        <is>
          <t>Forecast EBIT, rest of year (₹ thousand)</t>
        </is>
      </c>
      <c r="GL1" t="inlineStr">
        <is>
          <t>Forecast capital employed at P12 (₹ thousand)</t>
        </is>
      </c>
      <c r="GM1" t="inlineStr">
        <is>
          <t>EBITDA plan, full year (₹ thousand)</t>
        </is>
      </c>
      <c r="GN1" t="inlineStr">
        <is>
          <t>EBITDA full-year forecast uncertainty, 1σ (₹ thousand)</t>
        </is>
      </c>
      <c r="GO1" t="inlineStr">
        <is>
          <t>Hours to nearest open disclosure deadline (999 = none)</t>
        </is>
      </c>
      <c r="GP1" t="inlineStr">
        <is>
          <t>Single-source suppliers with cover below lead time (count)</t>
        </is>
      </c>
      <c r="GQ1" t="inlineStr">
        <is>
          <t>RM-1 price index (external, same for every entity)</t>
        </is>
      </c>
      <c r="GR1" t="inlineStr">
        <is>
          <t>Supply lanes with a disruption flag (count)</t>
        </is>
      </c>
    </row>
    <row r="2">
      <c r="A2" t="inlineStr">
        <is>
          <t>group</t>
        </is>
      </c>
      <c r="B2" t="inlineStr">
        <is>
          <t>period</t>
        </is>
      </c>
      <c r="C2" t="inlineStr">
        <is>
          <t>days</t>
        </is>
      </c>
      <c r="D2" t="inlineStr">
        <is>
          <t>ytd_months</t>
        </is>
      </c>
      <c r="E2" t="inlineStr">
        <is>
          <t>calendar_hours</t>
        </is>
      </c>
      <c r="F2" t="inlineStr">
        <is>
          <t>planned_op_hours</t>
        </is>
      </c>
      <c r="G2" t="inlineStr">
        <is>
          <t>run_hours</t>
        </is>
      </c>
      <c r="H2" t="inlineStr">
        <is>
          <t>unplanned_downtime_hours</t>
        </is>
      </c>
      <c r="I2" t="inlineStr">
        <is>
          <t>ideal_output_t</t>
        </is>
      </c>
      <c r="J2" t="inlineStr">
        <is>
          <t>installed_capacity_t</t>
        </is>
      </c>
      <c r="K2" t="inlineStr">
        <is>
          <t>planned_production_t</t>
        </is>
      </c>
      <c r="L2" t="inlineStr">
        <is>
          <t>gross_output_t</t>
        </is>
      </c>
      <c r="M2" t="inlineStr">
        <is>
          <t>good_output_t</t>
        </is>
      </c>
      <c r="N2" t="inlineStr">
        <is>
          <t>feed_input_t</t>
        </is>
      </c>
      <c r="O2" t="inlineStr">
        <is>
          <t>feed_contained_t</t>
        </is>
      </c>
      <c r="P2" t="inlineStr">
        <is>
          <t>recovered_contained_t</t>
        </is>
      </c>
      <c r="Q2" t="inlineStr">
        <is>
          <t>prod_loss_downtime_t</t>
        </is>
      </c>
      <c r="R2" t="inlineStr">
        <is>
          <t>failures</t>
        </is>
      </c>
      <c r="S2" t="inlineStr">
        <is>
          <t>repair_hours</t>
        </is>
      </c>
      <c r="T2" t="inlineStr">
        <is>
          <t>pm_scheduled</t>
        </is>
      </c>
      <c r="U2" t="inlineStr">
        <is>
          <t>pm_completed</t>
        </is>
      </c>
      <c r="V2" t="inlineStr">
        <is>
          <t>variable_cost_k</t>
        </is>
      </c>
      <c r="W2" t="inlineStr">
        <is>
          <t>fuel_cost_k</t>
        </is>
      </c>
      <c r="X2" t="inlineStr">
        <is>
          <t>fixed_cost_k</t>
        </is>
      </c>
      <c r="Y2" t="inlineStr">
        <is>
          <t>water_m3</t>
        </is>
      </c>
      <c r="Z2" t="inlineStr">
        <is>
          <t>emissions_tco2e</t>
        </is>
      </c>
      <c r="AA2" t="inlineStr">
        <is>
          <t>energy_gj</t>
        </is>
      </c>
      <c r="AB2" t="inlineStr">
        <is>
          <t>production_at_risk_t</t>
        </is>
      </c>
      <c r="AC2" t="inlineStr">
        <is>
          <t>critical_plant_alerts</t>
        </is>
      </c>
      <c r="AD2" t="inlineStr">
        <is>
          <t>hours_worked</t>
        </is>
      </c>
      <c r="AE2" t="inlineStr">
        <is>
          <t>recordable_injuries</t>
        </is>
      </c>
      <c r="AF2" t="inlineStr">
        <is>
          <t>severity_incidents</t>
        </is>
      </c>
      <c r="AG2" t="inlineStr">
        <is>
          <t>near_misses</t>
        </is>
      </c>
      <c r="AH2" t="inlineStr">
        <is>
          <t>critical_safety_incidents</t>
        </is>
      </c>
      <c r="AI2" t="inlineStr">
        <is>
          <t>env_excursions</t>
        </is>
      </c>
      <c r="AJ2" t="inlineStr">
        <is>
          <t>env_violations</t>
        </is>
      </c>
      <c r="AK2" t="inlineStr">
        <is>
          <t>ehs_ca_open</t>
        </is>
      </c>
      <c r="AL2" t="inlineStr">
        <is>
          <t>ehs_ca_overdue</t>
        </is>
      </c>
      <c r="AM2" t="inlineStr">
        <is>
          <t>investigations_due</t>
        </is>
      </c>
      <c r="AN2" t="inlineStr">
        <is>
          <t>investigations_completed</t>
        </is>
      </c>
      <c r="AO2" t="inlineStr">
        <is>
          <t>critical_material_risks</t>
        </is>
      </c>
      <c r="AP2" t="inlineStr">
        <is>
          <t>dispatches_total</t>
        </is>
      </c>
      <c r="AQ2" t="inlineStr">
        <is>
          <t>dispatches_delayed</t>
        </is>
      </c>
      <c r="AR2" t="inlineStr">
        <is>
          <t>permit_days_to_expiry</t>
        </is>
      </c>
      <c r="AS2" t="inlineStr">
        <is>
          <t>sales_t</t>
        </is>
      </c>
      <c r="AT2" t="inlineStr">
        <is>
          <t>planned_sales_t</t>
        </is>
      </c>
      <c r="AU2" t="inlineStr">
        <is>
          <t>revenue_k</t>
        </is>
      </c>
      <c r="AV2" t="inlineStr">
        <is>
          <t>planned_revenue_k</t>
        </is>
      </c>
      <c r="AW2" t="inlineStr">
        <is>
          <t>power_cost_k</t>
        </is>
      </c>
      <c r="AX2" t="inlineStr">
        <is>
          <t>depreciation_k</t>
        </is>
      </c>
      <c r="AY2" t="inlineStr">
        <is>
          <t>po_lines_due</t>
        </is>
      </c>
      <c r="AZ2" t="inlineStr">
        <is>
          <t>po_lines_on_time</t>
        </is>
      </c>
      <c r="BA2" t="inlineStr">
        <is>
          <t>qty_ordered_t</t>
        </is>
      </c>
      <c r="BB2" t="inlineStr">
        <is>
          <t>qty_received_t</t>
        </is>
      </c>
      <c r="BC2" t="inlineStr">
        <is>
          <t>qty_rejected_t</t>
        </is>
      </c>
      <c r="BD2" t="inlineStr">
        <is>
          <t>lead_time_planned_days</t>
        </is>
      </c>
      <c r="BE2" t="inlineStr">
        <is>
          <t>lead_time_actual_days</t>
        </is>
      </c>
      <c r="BF2" t="inlineStr">
        <is>
          <t>supplier_spend_k</t>
        </is>
      </c>
      <c r="BG2" t="inlineStr">
        <is>
          <t>single_source_spend_k</t>
        </is>
      </c>
      <c r="BH2" t="inlineStr">
        <is>
          <t>supplier_ehs_incidents</t>
        </is>
      </c>
      <c r="BI2" t="inlineStr">
        <is>
          <t>pending_filings</t>
        </is>
      </c>
      <c r="BJ2" t="inlineStr">
        <is>
          <t>reg_deadlines_30d</t>
        </is>
      </c>
      <c r="BK2" t="inlineStr">
        <is>
          <t>licences_expiring_12m</t>
        </is>
      </c>
      <c r="BL2" t="inlineStr">
        <is>
          <t>reg_obligations_due_30d</t>
        </is>
      </c>
      <c r="BM2" t="inlineStr">
        <is>
          <t>reg_obligations_overdue</t>
        </is>
      </c>
      <c r="BN2" t="inlineStr">
        <is>
          <t>reg_actions_open</t>
        </is>
      </c>
      <c r="BO2" t="inlineStr">
        <is>
          <t>compliance_actions_overdue</t>
        </is>
      </c>
      <c r="BP2" t="inlineStr">
        <is>
          <t>reg_breaches</t>
        </is>
      </c>
      <c r="BQ2" t="inlineStr">
        <is>
          <t>disclosure_events_open</t>
        </is>
      </c>
      <c r="BR2" t="inlineStr">
        <is>
          <t>ehs_escalation_clocks</t>
        </is>
      </c>
      <c r="BS2" t="inlineStr">
        <is>
          <t>days_to_breach</t>
        </is>
      </c>
      <c r="BT2" t="inlineStr">
        <is>
          <t>planned_production_next_t</t>
        </is>
      </c>
      <c r="BU2" t="inlineStr">
        <is>
          <t>forecast_good_next_t</t>
        </is>
      </c>
      <c r="BV2" t="inlineStr">
        <is>
          <t>forecast_good_var_next</t>
        </is>
      </c>
      <c r="BW2" t="inlineStr">
        <is>
          <t>ideal_output_next_t</t>
        </is>
      </c>
      <c r="BX2" t="inlineStr">
        <is>
          <t>forecast_downtime_loss_next_t</t>
        </is>
      </c>
      <c r="BY2" t="inlineStr">
        <is>
          <t>overhead_k</t>
        </is>
      </c>
      <c r="BZ2" t="inlineStr">
        <is>
          <t>tax_paid_k</t>
        </is>
      </c>
      <c r="CA2" t="inlineStr">
        <is>
          <t>capital_employed_k</t>
        </is>
      </c>
      <c r="CB2" t="inlineStr">
        <is>
          <t>gross_debt_k</t>
        </is>
      </c>
      <c r="CC2" t="inlineStr">
        <is>
          <t>cash_k</t>
        </is>
      </c>
      <c r="CD2" t="inlineStr">
        <is>
          <t>undrawn_facilities_k</t>
        </is>
      </c>
      <c r="CE2" t="inlineStr">
        <is>
          <t>debt_service_k</t>
        </is>
      </c>
      <c r="CF2" t="inlineStr">
        <is>
          <t>debt_maturing_12m_k</t>
        </is>
      </c>
      <c r="CG2" t="inlineStr">
        <is>
          <t>floating_rate_debt_k</t>
        </is>
      </c>
      <c r="CH2" t="inlineStr">
        <is>
          <t>board_ebitda_k</t>
        </is>
      </c>
      <c r="CI2" t="inlineStr">
        <is>
          <t>flash_revenue_k</t>
        </is>
      </c>
      <c r="CJ2" t="inlineStr">
        <is>
          <t>receivables_k</t>
        </is>
      </c>
      <c r="CK2" t="inlineStr">
        <is>
          <t>payables_k</t>
        </is>
      </c>
      <c r="CL2" t="inlineStr">
        <is>
          <t>inventory_k</t>
        </is>
      </c>
      <c r="CM2" t="inlineStr">
        <is>
          <t>collections_k</t>
        </is>
      </c>
      <c r="CN2" t="inlineStr">
        <is>
          <t>cash_released_k</t>
        </is>
      </c>
      <c r="CO2" t="inlineStr">
        <is>
          <t>upstream_due_k</t>
        </is>
      </c>
      <c r="CP2" t="inlineStr">
        <is>
          <t>upstream_covered_k</t>
        </is>
      </c>
      <c r="CQ2" t="inlineStr">
        <is>
          <t>invoices_collected</t>
        </is>
      </c>
      <c r="CR2" t="inlineStr">
        <is>
          <t>collection_days</t>
        </is>
      </c>
      <c r="CS2" t="inlineStr">
        <is>
          <t>terms_days</t>
        </is>
      </c>
      <c r="CT2" t="inlineStr">
        <is>
          <t>customers_overdue</t>
        </is>
      </c>
      <c r="CU2" t="inlineStr">
        <is>
          <t>forecast_ebitda_rest_k</t>
        </is>
      </c>
      <c r="CV2" t="inlineStr">
        <is>
          <t>planned_ebitda_rest_k</t>
        </is>
      </c>
      <c r="CW2" t="inlineStr">
        <is>
          <t>forecast_net_cash_flow_90d_k</t>
        </is>
      </c>
      <c r="CX2" t="inlineStr">
        <is>
          <t>forecast_net_debt_k</t>
        </is>
      </c>
      <c r="CY2" t="inlineStr">
        <is>
          <t>forecast_ebitda_ltm_k</t>
        </is>
      </c>
      <c r="CZ2" t="inlineStr">
        <is>
          <t>fx_exposure_k</t>
        </is>
      </c>
      <c r="DA2" t="inlineStr">
        <is>
          <t>fx_hedged_k</t>
        </is>
      </c>
      <c r="DB2" t="inlineStr">
        <is>
          <t>usd_exposure_k</t>
        </is>
      </c>
      <c r="DC2" t="inlineStr">
        <is>
          <t>usd_hedged_k</t>
        </is>
      </c>
      <c r="DD2" t="inlineStr">
        <is>
          <t>hedge_value_change_k</t>
        </is>
      </c>
      <c r="DE2" t="inlineStr">
        <is>
          <t>hedged_item_value_change_k</t>
        </is>
      </c>
      <c r="DF2" t="inlineStr">
        <is>
          <t>fx_flows_6m_k</t>
        </is>
      </c>
      <c r="DG2" t="inlineStr">
        <is>
          <t>fx_hedged_6m_k</t>
        </is>
      </c>
      <c r="DH2" t="inlineStr">
        <is>
          <t>capex_budget_k</t>
        </is>
      </c>
      <c r="DI2" t="inlineStr">
        <is>
          <t>capex_committed_k</t>
        </is>
      </c>
      <c r="DJ2" t="inlineStr">
        <is>
          <t>capex_spend_k</t>
        </is>
      </c>
      <c r="DK2" t="inlineStr">
        <is>
          <t>capex_earned_value_k</t>
        </is>
      </c>
      <c r="DL2" t="inlineStr">
        <is>
          <t>capex_at_risk_k</t>
        </is>
      </c>
      <c r="DM2" t="inlineStr">
        <is>
          <t>projects_on_track</t>
        </is>
      </c>
      <c r="DN2" t="inlineStr">
        <is>
          <t>projects_at_risk</t>
        </is>
      </c>
      <c r="DO2" t="inlineStr">
        <is>
          <t>projects_off_track</t>
        </is>
      </c>
      <c r="DP2" t="inlineStr">
        <is>
          <t>projects_delayed</t>
        </is>
      </c>
      <c r="DQ2" t="inlineStr">
        <is>
          <t>contractor_milestones_due</t>
        </is>
      </c>
      <c r="DR2" t="inlineStr">
        <is>
          <t>contractor_days_late</t>
        </is>
      </c>
      <c r="DS2" t="inlineStr">
        <is>
          <t>initiatives_on_track</t>
        </is>
      </c>
      <c r="DT2" t="inlineStr">
        <is>
          <t>initiatives_at_risk</t>
        </is>
      </c>
      <c r="DU2" t="inlineStr">
        <is>
          <t>initiatives_delayed</t>
        </is>
      </c>
      <c r="DV2" t="inlineStr">
        <is>
          <t>milestones_total</t>
        </is>
      </c>
      <c r="DW2" t="inlineStr">
        <is>
          <t>milestones_done</t>
        </is>
      </c>
      <c r="DX2" t="inlineStr">
        <is>
          <t>benefits_planned_k</t>
        </is>
      </c>
      <c r="DY2" t="inlineStr">
        <is>
          <t>benefits_delivered_k</t>
        </is>
      </c>
      <c r="DZ2" t="inlineStr">
        <is>
          <t>ebitda_benefit_k</t>
        </is>
      </c>
      <c r="EA2" t="inlineStr">
        <is>
          <t>cash_benefit_k</t>
        </is>
      </c>
      <c r="EB2" t="inlineStr">
        <is>
          <t>cost_savings_k</t>
        </is>
      </c>
      <c r="EC2" t="inlineStr">
        <is>
          <t>contracts_total</t>
        </is>
      </c>
      <c r="ED2" t="inlineStr">
        <is>
          <t>contracts_compliant</t>
        </is>
      </c>
      <c r="EE2" t="inlineStr">
        <is>
          <t>contracts_expiring_90d</t>
        </is>
      </c>
      <c r="EF2" t="inlineStr">
        <is>
          <t>supplier_ehs_noncompliance</t>
        </is>
      </c>
      <c r="EG2" t="inlineStr">
        <is>
          <t>single_source_suppliers</t>
        </is>
      </c>
      <c r="EH2" t="inlineStr">
        <is>
          <t>control_failures</t>
        </is>
      </c>
      <c r="EI2" t="inlineStr">
        <is>
          <t>control_failures_high</t>
        </is>
      </c>
      <c r="EJ2" t="inlineStr">
        <is>
          <t>assurance_reviews_planned</t>
        </is>
      </c>
      <c r="EK2" t="inlineStr">
        <is>
          <t>assurance_reviews_done</t>
        </is>
      </c>
      <c r="EL2" t="inlineStr">
        <is>
          <t>policy_exceptions</t>
        </is>
      </c>
      <c r="EM2" t="inlineStr">
        <is>
          <t>unauthorized_vendor_uses</t>
        </is>
      </c>
      <c r="EN2" t="inlineStr">
        <is>
          <t>sod_exceptions</t>
        </is>
      </c>
      <c r="EO2" t="inlineStr">
        <is>
          <t>unauthorized_access_events</t>
        </is>
      </c>
      <c r="EP2" t="inlineStr">
        <is>
          <t>data_sharing_exceptions</t>
        </is>
      </c>
      <c r="EQ2" t="inlineStr">
        <is>
          <t>manual_overrides</t>
        </is>
      </c>
      <c r="ER2" t="inlineStr">
        <is>
          <t>cert_approvals_ageing</t>
        </is>
      </c>
      <c r="ES2" t="inlineStr">
        <is>
          <t>kpi_overrides</t>
        </is>
      </c>
      <c r="ET2" t="inlineStr">
        <is>
          <t>dq_issues_recurring</t>
        </is>
      </c>
      <c r="EU2" t="inlineStr">
        <is>
          <t>audit_findings_open</t>
        </is>
      </c>
      <c r="EV2" t="inlineStr">
        <is>
          <t>assurance_actions_overdue</t>
        </is>
      </c>
      <c r="EW2" t="inlineStr">
        <is>
          <t>repeat_findings</t>
        </is>
      </c>
      <c r="EX2" t="inlineStr">
        <is>
          <t>leadership_kpis_affected</t>
        </is>
      </c>
      <c r="EY2" t="inlineStr">
        <is>
          <t>evidence_required</t>
        </is>
      </c>
      <c r="EZ2" t="inlineStr">
        <is>
          <t>evidence_complete</t>
        </is>
      </c>
      <c r="FA2" t="inlineStr">
        <is>
          <t>findings_closed</t>
        </is>
      </c>
      <c r="FB2" t="inlineStr">
        <is>
          <t>finding_closure_days</t>
        </is>
      </c>
      <c r="FC2" t="inlineStr">
        <is>
          <t>kpis_leadership</t>
        </is>
      </c>
      <c r="FD2" t="inlineStr">
        <is>
          <t>kpis_certified</t>
        </is>
      </c>
      <c r="FE2" t="inlineStr">
        <is>
          <t>kpis_in_scope</t>
        </is>
      </c>
      <c r="FF2" t="inlineStr">
        <is>
          <t>certifications_overdue</t>
        </is>
      </c>
      <c r="FG2" t="inlineStr">
        <is>
          <t>recon_breaks_open</t>
        </is>
      </c>
      <c r="FH2" t="inlineStr">
        <is>
          <t>recon_breaks_material</t>
        </is>
      </c>
      <c r="FI2" t="inlineStr">
        <is>
          <t>lake_records_loaded</t>
        </is>
      </c>
      <c r="FJ2" t="inlineStr">
        <is>
          <t>lake_records_reconciled</t>
        </is>
      </c>
      <c r="FK2" t="inlineStr">
        <is>
          <t>mis_lines_total</t>
        </is>
      </c>
      <c r="FL2" t="inlineStr">
        <is>
          <t>mis_lines_matched</t>
        </is>
      </c>
      <c r="FM2" t="inlineStr">
        <is>
          <t>critical_alerts_open</t>
        </is>
      </c>
      <c r="FN2" t="inlineStr">
        <is>
          <t>alerts_unowned</t>
        </is>
      </c>
      <c r="FO2" t="inlineStr">
        <is>
          <t>actions_overdue</t>
        </is>
      </c>
      <c r="FP2" t="inlineStr">
        <is>
          <t>alerts_resolved</t>
        </is>
      </c>
      <c r="FQ2" t="inlineStr">
        <is>
          <t>alert_resolution_days</t>
        </is>
      </c>
      <c r="FR2" t="inlineStr">
        <is>
          <t>escalations_closed</t>
        </is>
      </c>
      <c r="FS2" t="inlineStr">
        <is>
          <t>repeat_issues</t>
        </is>
      </c>
      <c r="FT2" t="inlineStr">
        <is>
          <t>root_causes_identified</t>
        </is>
      </c>
      <c r="FU2" t="inlineStr">
        <is>
          <t>root_causes_eliminated</t>
        </is>
      </c>
      <c r="FV2" t="inlineStr">
        <is>
          <t>ebitda_k</t>
        </is>
      </c>
      <c r="FW2" t="inlineStr">
        <is>
          <t>ebit_k</t>
        </is>
      </c>
      <c r="FX2" t="inlineStr">
        <is>
          <t>nwc_k</t>
        </is>
      </c>
      <c r="FY2" t="inlineStr">
        <is>
          <t>nwc_change_k</t>
        </is>
      </c>
      <c r="FZ2" t="inlineStr">
        <is>
          <t>op_cash_flow_k</t>
        </is>
      </c>
      <c r="GA2" t="inlineStr">
        <is>
          <t>fcf_k</t>
        </is>
      </c>
      <c r="GB2" t="inlineStr">
        <is>
          <t>net_debt_k</t>
        </is>
      </c>
      <c r="GC2" t="inlineStr">
        <is>
          <t>ebitda_annualised_k</t>
        </is>
      </c>
      <c r="GD2" t="inlineStr">
        <is>
          <t>dso_d</t>
        </is>
      </c>
      <c r="GE2" t="inlineStr">
        <is>
          <t>dpo_d</t>
        </is>
      </c>
      <c r="GF2" t="inlineStr">
        <is>
          <t>dio_d</t>
        </is>
      </c>
      <c r="GG2" t="inlineStr">
        <is>
          <t>price_vs_plan_pct</t>
        </is>
      </c>
      <c r="GH2" t="inlineStr">
        <is>
          <t>fte</t>
        </is>
      </c>
      <c r="GI2" t="inlineStr">
        <is>
          <t>fcf_plan_fy_k</t>
        </is>
      </c>
      <c r="GJ2" t="inlineStr">
        <is>
          <t>forecast_fcf_rest_k</t>
        </is>
      </c>
      <c r="GK2" t="inlineStr">
        <is>
          <t>ebit_fcst_rest_k</t>
        </is>
      </c>
      <c r="GL2" t="inlineStr">
        <is>
          <t>capital_employed_p12_k</t>
        </is>
      </c>
      <c r="GM2" t="inlineStr">
        <is>
          <t>ebitda_plan_fy_k</t>
        </is>
      </c>
      <c r="GN2" t="inlineStr">
        <is>
          <t>ebitda_fy_sigma_k</t>
        </is>
      </c>
      <c r="GO2" t="inlineStr">
        <is>
          <t>disclosure_deadline_h</t>
        </is>
      </c>
      <c r="GP2" t="inlineStr">
        <is>
          <t>single_source_elevated</t>
        </is>
      </c>
      <c r="GQ2" t="inlineStr">
        <is>
          <t>rm1_price_index</t>
        </is>
      </c>
      <c r="GR2" t="inlineStr">
        <is>
          <t>freight_lanes_disrupted</t>
        </is>
      </c>
    </row>
    <row r="3">
      <c r="A3" t="inlineStr">
        <is>
          <t>Same layout as Group Inputs; inputs link to Plant Inputs (Plant 02). Entity-only inputs are blank, so KPIs that need them are not calculated at plant level.</t>
        </is>
      </c>
      <c r="E3" t="inlineStr">
        <is>
          <t>Sum of Entity A1 and Entity A2 (Entity Inputs sheet)</t>
        </is>
      </c>
      <c r="F3" t="inlineStr">
        <is>
          <t>Sum of Entity A1 and Entity A2 (Entity Inputs sheet)</t>
        </is>
      </c>
      <c r="G3" t="inlineStr">
        <is>
          <t>Sum of Entity A1 and Entity A2 (Entity Inputs sheet)</t>
        </is>
      </c>
      <c r="H3" t="inlineStr">
        <is>
          <t>Sum of Entity A1 and Entity A2 (Entity Inputs sheet)</t>
        </is>
      </c>
      <c r="I3" t="inlineStr">
        <is>
          <t>Sum of Entity A1 and Entity A2 (Entity Inputs sheet)</t>
        </is>
      </c>
      <c r="J3" t="inlineStr">
        <is>
          <t>Sum of Entity A1 and Entity A2 (Entity Inputs sheet)</t>
        </is>
      </c>
      <c r="K3" t="inlineStr">
        <is>
          <t>Sum of Entity A1 and Entity A2 (Entity Inputs sheet)</t>
        </is>
      </c>
      <c r="L3" t="inlineStr">
        <is>
          <t>Sum of Entity A1 and Entity A2 (Entity Inputs sheet)</t>
        </is>
      </c>
      <c r="M3" t="inlineStr">
        <is>
          <t>Sum of Entity A1 and Entity A2 (Entity Inputs sheet)</t>
        </is>
      </c>
      <c r="N3" t="inlineStr">
        <is>
          <t>Sum of Entity A1 and Entity A2 (Entity Inputs sheet)</t>
        </is>
      </c>
      <c r="O3" t="inlineStr">
        <is>
          <t>Sum of Entity A1 and Entity A2 (Entity Inputs sheet)</t>
        </is>
      </c>
      <c r="P3" t="inlineStr">
        <is>
          <t>Sum of Entity A1 and Entity A2 (Entity Inputs sheet)</t>
        </is>
      </c>
      <c r="Q3" t="inlineStr">
        <is>
          <t>Sum of Entity A1 and Entity A2 (Entity Inputs sheet)</t>
        </is>
      </c>
      <c r="R3" t="inlineStr">
        <is>
          <t>Sum of Entity A1 and Entity A2 (Entity Inputs sheet)</t>
        </is>
      </c>
      <c r="S3" t="inlineStr">
        <is>
          <t>Sum of Entity A1 and Entity A2 (Entity Inputs sheet)</t>
        </is>
      </c>
      <c r="T3" t="inlineStr">
        <is>
          <t>Sum of Entity A1 and Entity A2 (Entity Inputs sheet)</t>
        </is>
      </c>
      <c r="U3" t="inlineStr">
        <is>
          <t>Sum of Entity A1 and Entity A2 (Entity Inputs sheet)</t>
        </is>
      </c>
      <c r="V3" t="inlineStr">
        <is>
          <t>Sum of Entity A1 and Entity A2 (Entity Inputs sheet)</t>
        </is>
      </c>
      <c r="W3" t="inlineStr">
        <is>
          <t>Sum of Entity A1 and Entity A2 (Entity Inputs sheet)</t>
        </is>
      </c>
      <c r="X3" t="inlineStr">
        <is>
          <t>Sum of Entity A1 and Entity A2 (Entity Inputs sheet)</t>
        </is>
      </c>
      <c r="Y3" t="inlineStr">
        <is>
          <t>Sum of Entity A1 and Entity A2 (Entity Inputs sheet)</t>
        </is>
      </c>
      <c r="Z3" t="inlineStr">
        <is>
          <t>Sum of Entity A1 and Entity A2 (Entity Inputs sheet)</t>
        </is>
      </c>
      <c r="AA3" t="inlineStr">
        <is>
          <t>Sum of Entity A1 and Entity A2 (Entity Inputs sheet)</t>
        </is>
      </c>
      <c r="AB3" t="inlineStr">
        <is>
          <t>Sum of Entity A1 and Entity A2 (Entity Inputs sheet)</t>
        </is>
      </c>
      <c r="AC3" t="inlineStr">
        <is>
          <t>Sum of Entity A1 and Entity A2 (Entity Inputs sheet)</t>
        </is>
      </c>
      <c r="AD3" t="inlineStr">
        <is>
          <t>Sum of Entity A1 and Entity A2 (Entity Inputs sheet)</t>
        </is>
      </c>
      <c r="AE3" t="inlineStr">
        <is>
          <t>Sum of Entity A1 and Entity A2 (Entity Inputs sheet)</t>
        </is>
      </c>
      <c r="AF3" t="inlineStr">
        <is>
          <t>Sum of Entity A1 and Entity A2 (Entity Inputs sheet)</t>
        </is>
      </c>
      <c r="AG3" t="inlineStr">
        <is>
          <t>Sum of Entity A1 and Entity A2 (Entity Inputs sheet)</t>
        </is>
      </c>
      <c r="AH3" t="inlineStr">
        <is>
          <t>Sum of Entity A1 and Entity A2 (Entity Inputs sheet)</t>
        </is>
      </c>
      <c r="AI3" t="inlineStr">
        <is>
          <t>Sum of Entity A1 and Entity A2 (Entity Inputs sheet)</t>
        </is>
      </c>
      <c r="AJ3" t="inlineStr">
        <is>
          <t>Sum of Entity A1 and Entity A2 (Entity Inputs sheet)</t>
        </is>
      </c>
      <c r="AK3" t="inlineStr">
        <is>
          <t>Sum of Entity A1 and Entity A2 (Entity Inputs sheet)</t>
        </is>
      </c>
      <c r="AL3" t="inlineStr">
        <is>
          <t>Sum of Entity A1 and Entity A2 (Entity Inputs sheet)</t>
        </is>
      </c>
      <c r="AM3" t="inlineStr">
        <is>
          <t>Sum of Entity A1 and Entity A2 (Entity Inputs sheet)</t>
        </is>
      </c>
      <c r="AN3" t="inlineStr">
        <is>
          <t>Sum of Entity A1 and Entity A2 (Entity Inputs sheet)</t>
        </is>
      </c>
      <c r="AO3" t="inlineStr">
        <is>
          <t>Sum of Entity A1 and Entity A2 (Entity Inputs sheet)</t>
        </is>
      </c>
      <c r="AP3" t="inlineStr">
        <is>
          <t>Sum of Entity A1 and Entity A2 (Entity Inputs sheet)</t>
        </is>
      </c>
      <c r="AQ3" t="inlineStr">
        <is>
          <t>Sum of Entity A1 and Entity A2 (Entity Inputs sheet)</t>
        </is>
      </c>
      <c r="AR3" t="inlineStr">
        <is>
          <t>Lowest of Entity A1 and Entity A2 (Entity Inputs sheet)</t>
        </is>
      </c>
      <c r="AS3" t="inlineStr">
        <is>
          <t>Sum of Entity A1 and Entity A2 (Entity Inputs sheet)</t>
        </is>
      </c>
      <c r="AT3" t="inlineStr">
        <is>
          <t>Sum of Entity A1 and Entity A2 (Entity Inputs sheet)</t>
        </is>
      </c>
      <c r="AU3" t="inlineStr">
        <is>
          <t>Sum of Entity A1 and Entity A2 (Entity Inputs sheet)</t>
        </is>
      </c>
      <c r="AV3" t="inlineStr">
        <is>
          <t>Sum of Entity A1 and Entity A2 (Entity Inputs sheet)</t>
        </is>
      </c>
      <c r="AW3" t="inlineStr">
        <is>
          <t>Sum of Entity A1 and Entity A2 (Entity Inputs sheet)</t>
        </is>
      </c>
      <c r="AX3" t="inlineStr">
        <is>
          <t>Sum of Entity A1 and Entity A2 (Entity Inputs sheet)</t>
        </is>
      </c>
      <c r="AY3" t="inlineStr">
        <is>
          <t>Sum of Entity A1 and Entity A2 (Entity Inputs sheet)</t>
        </is>
      </c>
      <c r="AZ3" t="inlineStr">
        <is>
          <t>Sum of Entity A1 and Entity A2 (Entity Inputs sheet)</t>
        </is>
      </c>
      <c r="BA3" t="inlineStr">
        <is>
          <t>Sum of Entity A1 and Entity A2 (Entity Inputs sheet)</t>
        </is>
      </c>
      <c r="BB3" t="inlineStr">
        <is>
          <t>Sum of Entity A1 and Entity A2 (Entity Inputs sheet)</t>
        </is>
      </c>
      <c r="BC3" t="inlineStr">
        <is>
          <t>Sum of Entity A1 and Entity A2 (Entity Inputs sheet)</t>
        </is>
      </c>
      <c r="BD3" t="inlineStr">
        <is>
          <t>Sum of Entity A1 and Entity A2 (Entity Inputs sheet)</t>
        </is>
      </c>
      <c r="BE3" t="inlineStr">
        <is>
          <t>Sum of Entity A1 and Entity A2 (Entity Inputs sheet)</t>
        </is>
      </c>
      <c r="BF3" t="inlineStr">
        <is>
          <t>Sum of Entity A1 and Entity A2 (Entity Inputs sheet)</t>
        </is>
      </c>
      <c r="BG3" t="inlineStr">
        <is>
          <t>Sum of Entity A1 and Entity A2 (Entity Inputs sheet)</t>
        </is>
      </c>
      <c r="BH3" t="inlineStr">
        <is>
          <t>Sum of Entity A1 and Entity A2 (Entity Inputs sheet)</t>
        </is>
      </c>
      <c r="BI3" t="inlineStr">
        <is>
          <t>Sum of Entity A1 and Entity A2 (Entity Inputs sheet)</t>
        </is>
      </c>
      <c r="BJ3" t="inlineStr">
        <is>
          <t>Sum of Entity A1 and Entity A2 (Entity Inputs sheet)</t>
        </is>
      </c>
      <c r="BK3" t="inlineStr">
        <is>
          <t>Sum of Entity A1 and Entity A2 (Entity Inputs sheet)</t>
        </is>
      </c>
      <c r="BL3" t="inlineStr">
        <is>
          <t>Sum of Entity A1 and Entity A2 (Entity Inputs sheet)</t>
        </is>
      </c>
      <c r="BM3" t="inlineStr">
        <is>
          <t>Sum of Entity A1 and Entity A2 (Entity Inputs sheet)</t>
        </is>
      </c>
      <c r="BN3" t="inlineStr">
        <is>
          <t>Sum of Entity A1 and Entity A2 (Entity Inputs sheet)</t>
        </is>
      </c>
      <c r="BO3" t="inlineStr">
        <is>
          <t>Sum of Entity A1 and Entity A2 (Entity Inputs sheet)</t>
        </is>
      </c>
      <c r="BP3" t="inlineStr">
        <is>
          <t>Sum of Entity A1 and Entity A2 (Entity Inputs sheet)</t>
        </is>
      </c>
      <c r="BQ3" t="inlineStr">
        <is>
          <t>Sum of Entity A1 and Entity A2 (Entity Inputs sheet)</t>
        </is>
      </c>
      <c r="BR3" t="inlineStr">
        <is>
          <t>Sum of Entity A1 and Entity A2 (Entity Inputs sheet)</t>
        </is>
      </c>
      <c r="BS3" t="inlineStr">
        <is>
          <t>Lowest of Entity A1 and Entity A2 (Entity Inputs sheet)</t>
        </is>
      </c>
      <c r="BT3" t="inlineStr">
        <is>
          <t>Sum of Entity A1 and Entity A2 (Entity Inputs sheet)</t>
        </is>
      </c>
      <c r="BU3" t="inlineStr">
        <is>
          <t>Sum of Entity A1 and Entity A2 (Entity Inputs sheet)</t>
        </is>
      </c>
      <c r="BV3" t="inlineStr">
        <is>
          <t>Sum of Entity A1 and Entity A2 (Entity Inputs sheet)</t>
        </is>
      </c>
      <c r="BW3" t="inlineStr">
        <is>
          <t>Sum of Entity A1 and Entity A2 (Entity Inputs sheet)</t>
        </is>
      </c>
      <c r="BX3" t="inlineStr">
        <is>
          <t>Sum of Entity A1 and Entity A2 (Entity Inputs sheet)</t>
        </is>
      </c>
      <c r="BY3" t="inlineStr">
        <is>
          <t>Sum of Entity A1 and Entity A2 (Entity Inputs sheet)</t>
        </is>
      </c>
      <c r="BZ3" t="inlineStr">
        <is>
          <t>Sum of Entity A1 and Entity A2 (Entity Inputs sheet)</t>
        </is>
      </c>
      <c r="CA3" t="inlineStr">
        <is>
          <t>Sum of Entity A1 and Entity A2 (Entity Inputs sheet)</t>
        </is>
      </c>
      <c r="CB3" t="inlineStr">
        <is>
          <t>Sum of Entity A1 and Entity A2 (Entity Inputs sheet)</t>
        </is>
      </c>
      <c r="CC3" t="inlineStr">
        <is>
          <t>Sum of Entity A1 and Entity A2 (Entity Inputs sheet)</t>
        </is>
      </c>
      <c r="CD3" t="inlineStr">
        <is>
          <t>Sum of Entity A1 and Entity A2 (Entity Inputs sheet)</t>
        </is>
      </c>
      <c r="CE3" t="inlineStr">
        <is>
          <t>Sum of Entity A1 and Entity A2 (Entity Inputs sheet)</t>
        </is>
      </c>
      <c r="CF3" t="inlineStr">
        <is>
          <t>Sum of Entity A1 and Entity A2 (Entity Inputs sheet)</t>
        </is>
      </c>
      <c r="CG3" t="inlineStr">
        <is>
          <t>Sum of Entity A1 and Entity A2 (Entity Inputs sheet)</t>
        </is>
      </c>
      <c r="CH3" t="inlineStr">
        <is>
          <t>Sum of Entity A1 and Entity A2 (Entity Inputs sheet)</t>
        </is>
      </c>
      <c r="CI3" t="inlineStr">
        <is>
          <t>Sum of Entity A1 and Entity A2 (Entity Inputs sheet)</t>
        </is>
      </c>
      <c r="CJ3" t="inlineStr">
        <is>
          <t>Sum of Entity A1 and Entity A2 (Entity Inputs sheet)</t>
        </is>
      </c>
      <c r="CK3" t="inlineStr">
        <is>
          <t>Sum of Entity A1 and Entity A2 (Entity Inputs sheet)</t>
        </is>
      </c>
      <c r="CL3" t="inlineStr">
        <is>
          <t>Sum of Entity A1 and Entity A2 (Entity Inputs sheet)</t>
        </is>
      </c>
      <c r="CM3" t="inlineStr">
        <is>
          <t>Sum of Entity A1 and Entity A2 (Entity Inputs sheet)</t>
        </is>
      </c>
      <c r="CN3" t="inlineStr">
        <is>
          <t>Sum of Entity A1 and Entity A2 (Entity Inputs sheet)</t>
        </is>
      </c>
      <c r="CO3" t="inlineStr">
        <is>
          <t>Sum of Entity A1 and Entity A2 (Entity Inputs sheet)</t>
        </is>
      </c>
      <c r="CP3" t="inlineStr">
        <is>
          <t>Sum of Entity A1 and Entity A2 (Entity Inputs sheet)</t>
        </is>
      </c>
      <c r="CQ3" t="inlineStr">
        <is>
          <t>Sum of Entity A1 and Entity A2 (Entity Inputs sheet)</t>
        </is>
      </c>
      <c r="CR3" t="inlineStr">
        <is>
          <t>Sum of Entity A1 and Entity A2 (Entity Inputs sheet)</t>
        </is>
      </c>
      <c r="CS3" t="inlineStr">
        <is>
          <t>Sum of Entity A1 and Entity A2 (Entity Inputs sheet)</t>
        </is>
      </c>
      <c r="CT3" t="inlineStr">
        <is>
          <t>Sum of Entity A1 and Entity A2 (Entity Inputs sheet)</t>
        </is>
      </c>
      <c r="CU3" t="inlineStr">
        <is>
          <t>Sum of Entity A1 and Entity A2 (Entity Inputs sheet)</t>
        </is>
      </c>
      <c r="CV3" t="inlineStr">
        <is>
          <t>Sum of Entity A1 and Entity A2 (Entity Inputs sheet)</t>
        </is>
      </c>
      <c r="CW3" t="inlineStr">
        <is>
          <t>Sum of Entity A1 and Entity A2 (Entity Inputs sheet)</t>
        </is>
      </c>
      <c r="CX3" t="inlineStr">
        <is>
          <t>Sum of Entity A1 and Entity A2 (Entity Inputs sheet)</t>
        </is>
      </c>
      <c r="CY3" t="inlineStr">
        <is>
          <t>Sum of Entity A1 and Entity A2 (Entity Inputs sheet)</t>
        </is>
      </c>
      <c r="CZ3" t="inlineStr">
        <is>
          <t>Sum of Entity A1 and Entity A2 (Entity Inputs sheet)</t>
        </is>
      </c>
      <c r="DA3" t="inlineStr">
        <is>
          <t>Sum of Entity A1 and Entity A2 (Entity Inputs sheet)</t>
        </is>
      </c>
      <c r="DB3" t="inlineStr">
        <is>
          <t>Sum of Entity A1 and Entity A2 (Entity Inputs sheet)</t>
        </is>
      </c>
      <c r="DC3" t="inlineStr">
        <is>
          <t>Sum of Entity A1 and Entity A2 (Entity Inputs sheet)</t>
        </is>
      </c>
      <c r="DD3" t="inlineStr">
        <is>
          <t>Sum of Entity A1 and Entity A2 (Entity Inputs sheet)</t>
        </is>
      </c>
      <c r="DE3" t="inlineStr">
        <is>
          <t>Sum of Entity A1 and Entity A2 (Entity Inputs sheet)</t>
        </is>
      </c>
      <c r="DF3" t="inlineStr">
        <is>
          <t>Sum of Entity A1 and Entity A2 (Entity Inputs sheet)</t>
        </is>
      </c>
      <c r="DG3" t="inlineStr">
        <is>
          <t>Sum of Entity A1 and Entity A2 (Entity Inputs sheet)</t>
        </is>
      </c>
      <c r="DH3" t="inlineStr">
        <is>
          <t>Sum of Entity A1 and Entity A2 (Entity Inputs sheet)</t>
        </is>
      </c>
      <c r="DI3" t="inlineStr">
        <is>
          <t>Sum of Entity A1 and Entity A2 (Entity Inputs sheet)</t>
        </is>
      </c>
      <c r="DJ3" t="inlineStr">
        <is>
          <t>Sum of Entity A1 and Entity A2 (Entity Inputs sheet)</t>
        </is>
      </c>
      <c r="DK3" t="inlineStr">
        <is>
          <t>Sum of Entity A1 and Entity A2 (Entity Inputs sheet)</t>
        </is>
      </c>
      <c r="DL3" t="inlineStr">
        <is>
          <t>Sum of Entity A1 and Entity A2 (Entity Inputs sheet)</t>
        </is>
      </c>
      <c r="DM3" t="inlineStr">
        <is>
          <t>Sum of Entity A1 and Entity A2 (Entity Inputs sheet)</t>
        </is>
      </c>
      <c r="DN3" t="inlineStr">
        <is>
          <t>Sum of Entity A1 and Entity A2 (Entity Inputs sheet)</t>
        </is>
      </c>
      <c r="DO3" t="inlineStr">
        <is>
          <t>Sum of Entity A1 and Entity A2 (Entity Inputs sheet)</t>
        </is>
      </c>
      <c r="DP3" t="inlineStr">
        <is>
          <t>Sum of Entity A1 and Entity A2 (Entity Inputs sheet)</t>
        </is>
      </c>
      <c r="DQ3" t="inlineStr">
        <is>
          <t>Sum of Entity A1 and Entity A2 (Entity Inputs sheet)</t>
        </is>
      </c>
      <c r="DR3" t="inlineStr">
        <is>
          <t>Sum of Entity A1 and Entity A2 (Entity Inputs sheet)</t>
        </is>
      </c>
      <c r="DS3" t="inlineStr">
        <is>
          <t>Sum of Entity A1 and Entity A2 (Entity Inputs sheet)</t>
        </is>
      </c>
      <c r="DT3" t="inlineStr">
        <is>
          <t>Sum of Entity A1 and Entity A2 (Entity Inputs sheet)</t>
        </is>
      </c>
      <c r="DU3" t="inlineStr">
        <is>
          <t>Sum of Entity A1 and Entity A2 (Entity Inputs sheet)</t>
        </is>
      </c>
      <c r="DV3" t="inlineStr">
        <is>
          <t>Sum of Entity A1 and Entity A2 (Entity Inputs sheet)</t>
        </is>
      </c>
      <c r="DW3" t="inlineStr">
        <is>
          <t>Sum of Entity A1 and Entity A2 (Entity Inputs sheet)</t>
        </is>
      </c>
      <c r="DX3" t="inlineStr">
        <is>
          <t>Sum of Entity A1 and Entity A2 (Entity Inputs sheet)</t>
        </is>
      </c>
      <c r="DY3" t="inlineStr">
        <is>
          <t>Sum of Entity A1 and Entity A2 (Entity Inputs sheet)</t>
        </is>
      </c>
      <c r="DZ3" t="inlineStr">
        <is>
          <t>Sum of Entity A1 and Entity A2 (Entity Inputs sheet)</t>
        </is>
      </c>
      <c r="EA3" t="inlineStr">
        <is>
          <t>Sum of Entity A1 and Entity A2 (Entity Inputs sheet)</t>
        </is>
      </c>
      <c r="EB3" t="inlineStr">
        <is>
          <t>Sum of Entity A1 and Entity A2 (Entity Inputs sheet)</t>
        </is>
      </c>
      <c r="EC3" t="inlineStr">
        <is>
          <t>Sum of Entity A1 and Entity A2 (Entity Inputs sheet)</t>
        </is>
      </c>
      <c r="ED3" t="inlineStr">
        <is>
          <t>Sum of Entity A1 and Entity A2 (Entity Inputs sheet)</t>
        </is>
      </c>
      <c r="EE3" t="inlineStr">
        <is>
          <t>Sum of Entity A1 and Entity A2 (Entity Inputs sheet)</t>
        </is>
      </c>
      <c r="EF3" t="inlineStr">
        <is>
          <t>Sum of Entity A1 and Entity A2 (Entity Inputs sheet)</t>
        </is>
      </c>
      <c r="EG3" t="inlineStr">
        <is>
          <t>Sum of Entity A1 and Entity A2 (Entity Inputs sheet)</t>
        </is>
      </c>
      <c r="EH3" t="inlineStr">
        <is>
          <t>Sum of Entity A1 and Entity A2 (Entity Inputs sheet)</t>
        </is>
      </c>
      <c r="EI3" t="inlineStr">
        <is>
          <t>Sum of Entity A1 and Entity A2 (Entity Inputs sheet)</t>
        </is>
      </c>
      <c r="EJ3" t="inlineStr">
        <is>
          <t>Sum of Entity A1 and Entity A2 (Entity Inputs sheet)</t>
        </is>
      </c>
      <c r="EK3" t="inlineStr">
        <is>
          <t>Sum of Entity A1 and Entity A2 (Entity Inputs sheet)</t>
        </is>
      </c>
      <c r="EL3" t="inlineStr">
        <is>
          <t>Sum of Entity A1 and Entity A2 (Entity Inputs sheet)</t>
        </is>
      </c>
      <c r="EM3" t="inlineStr">
        <is>
          <t>Sum of Entity A1 and Entity A2 (Entity Inputs sheet)</t>
        </is>
      </c>
      <c r="EN3" t="inlineStr">
        <is>
          <t>Sum of Entity A1 and Entity A2 (Entity Inputs sheet)</t>
        </is>
      </c>
      <c r="EO3" t="inlineStr">
        <is>
          <t>Sum of Entity A1 and Entity A2 (Entity Inputs sheet)</t>
        </is>
      </c>
      <c r="EP3" t="inlineStr">
        <is>
          <t>Sum of Entity A1 and Entity A2 (Entity Inputs sheet)</t>
        </is>
      </c>
      <c r="EQ3" t="inlineStr">
        <is>
          <t>Sum of Entity A1 and Entity A2 (Entity Inputs sheet)</t>
        </is>
      </c>
      <c r="ER3" t="inlineStr">
        <is>
          <t>Sum of Entity A1 and Entity A2 (Entity Inputs sheet)</t>
        </is>
      </c>
      <c r="ES3" t="inlineStr">
        <is>
          <t>Sum of Entity A1 and Entity A2 (Entity Inputs sheet)</t>
        </is>
      </c>
      <c r="ET3" t="inlineStr">
        <is>
          <t>Sum of Entity A1 and Entity A2 (Entity Inputs sheet)</t>
        </is>
      </c>
      <c r="EU3" t="inlineStr">
        <is>
          <t>Sum of Entity A1 and Entity A2 (Entity Inputs sheet)</t>
        </is>
      </c>
      <c r="EV3" t="inlineStr">
        <is>
          <t>Sum of Entity A1 and Entity A2 (Entity Inputs sheet)</t>
        </is>
      </c>
      <c r="EW3" t="inlineStr">
        <is>
          <t>Sum of Entity A1 and Entity A2 (Entity Inputs sheet)</t>
        </is>
      </c>
      <c r="EX3" t="inlineStr">
        <is>
          <t>Sum of Entity A1 and Entity A2 (Entity Inputs sheet)</t>
        </is>
      </c>
      <c r="EY3" t="inlineStr">
        <is>
          <t>Sum of Entity A1 and Entity A2 (Entity Inputs sheet)</t>
        </is>
      </c>
      <c r="EZ3" t="inlineStr">
        <is>
          <t>Sum of Entity A1 and Entity A2 (Entity Inputs sheet)</t>
        </is>
      </c>
      <c r="FA3" t="inlineStr">
        <is>
          <t>Sum of Entity A1 and Entity A2 (Entity Inputs sheet)</t>
        </is>
      </c>
      <c r="FB3" t="inlineStr">
        <is>
          <t>Sum of Entity A1 and Entity A2 (Entity Inputs sheet)</t>
        </is>
      </c>
      <c r="FC3" t="inlineStr">
        <is>
          <t>Sum of Entity A1 and Entity A2 (Entity Inputs sheet)</t>
        </is>
      </c>
      <c r="FD3" t="inlineStr">
        <is>
          <t>Sum of Entity A1 and Entity A2 (Entity Inputs sheet)</t>
        </is>
      </c>
      <c r="FE3" t="inlineStr">
        <is>
          <t>Sum of Entity A1 and Entity A2 (Entity Inputs sheet)</t>
        </is>
      </c>
      <c r="FF3" t="inlineStr">
        <is>
          <t>Sum of Entity A1 and Entity A2 (Entity Inputs sheet)</t>
        </is>
      </c>
      <c r="FG3" t="inlineStr">
        <is>
          <t>Sum of Entity A1 and Entity A2 (Entity Inputs sheet)</t>
        </is>
      </c>
      <c r="FH3" t="inlineStr">
        <is>
          <t>Sum of Entity A1 and Entity A2 (Entity Inputs sheet)</t>
        </is>
      </c>
      <c r="FI3" t="inlineStr">
        <is>
          <t>Sum of Entity A1 and Entity A2 (Entity Inputs sheet)</t>
        </is>
      </c>
      <c r="FJ3" t="inlineStr">
        <is>
          <t>Sum of Entity A1 and Entity A2 (Entity Inputs sheet)</t>
        </is>
      </c>
      <c r="FK3" t="inlineStr">
        <is>
          <t>Sum of Entity A1 and Entity A2 (Entity Inputs sheet)</t>
        </is>
      </c>
      <c r="FL3" t="inlineStr">
        <is>
          <t>Sum of Entity A1 and Entity A2 (Entity Inputs sheet)</t>
        </is>
      </c>
      <c r="FM3" t="inlineStr">
        <is>
          <t>Sum of Entity A1 and Entity A2 (Entity Inputs sheet)</t>
        </is>
      </c>
      <c r="FN3" t="inlineStr">
        <is>
          <t>Sum of Entity A1 and Entity A2 (Entity Inputs sheet)</t>
        </is>
      </c>
      <c r="FO3" t="inlineStr">
        <is>
          <t>Sum of Entity A1 and Entity A2 (Entity Inputs sheet)</t>
        </is>
      </c>
      <c r="FP3" t="inlineStr">
        <is>
          <t>Sum of Entity A1 and Entity A2 (Entity Inputs sheet)</t>
        </is>
      </c>
      <c r="FQ3" t="inlineStr">
        <is>
          <t>Sum of Entity A1 and Entity A2 (Entity Inputs sheet)</t>
        </is>
      </c>
      <c r="FR3" t="inlineStr">
        <is>
          <t>Sum of Entity A1 and Entity A2 (Entity Inputs sheet)</t>
        </is>
      </c>
      <c r="FS3" t="inlineStr">
        <is>
          <t>Sum of Entity A1 and Entity A2 (Entity Inputs sheet)</t>
        </is>
      </c>
      <c r="FT3" t="inlineStr">
        <is>
          <t>Sum of Entity A1 and Entity A2 (Entity Inputs sheet)</t>
        </is>
      </c>
      <c r="FU3" t="inlineStr">
        <is>
          <t>Sum of Entity A1 and Entity A2 (Entity Inputs sheet)</t>
        </is>
      </c>
      <c r="FV3" t="inlineStr">
        <is>
          <t>Calculated: Revenue − Variable cost − Fixed cost − Overheads</t>
        </is>
      </c>
      <c r="FW3" t="inlineStr">
        <is>
          <t>Calculated: EBITDA − Depreciation and amortisation</t>
        </is>
      </c>
      <c r="FX3" t="inlineStr">
        <is>
          <t>Calculated: Trade receivables + Inventory − Trade payables</t>
        </is>
      </c>
      <c r="FY3" t="inlineStr">
        <is>
          <t>Calculated: Net working capital − last month's net working capital (April uses the 31 March balance on Parameters)</t>
        </is>
      </c>
      <c r="FZ3" t="inlineStr">
        <is>
          <t>Calculated: EBITDA − Tax paid − Change in net working capital</t>
        </is>
      </c>
      <c r="GA3" t="inlineStr">
        <is>
          <t>Calculated: Operating cash flow − Capex spent</t>
        </is>
      </c>
      <c r="GB3" t="inlineStr">
        <is>
          <t>Calculated: Gross debt − Cash</t>
        </is>
      </c>
      <c r="GC3" t="inlineStr">
        <is>
          <t>Calculated: EBITDA since April × 12 ÷ months elapsed</t>
        </is>
      </c>
      <c r="GD3" t="inlineStr">
        <is>
          <t>Calculated: Trade receivables ÷ Revenue × Days in month</t>
        </is>
      </c>
      <c r="GE3" t="inlineStr">
        <is>
          <t>Calculated: Trade payables ÷ Variable cost × Days in month</t>
        </is>
      </c>
      <c r="GF3" t="inlineStr">
        <is>
          <t>Calculated: Inventory ÷ Variable cost × Days in month</t>
        </is>
      </c>
      <c r="GG3" t="inlineStr">
        <is>
          <t>Calculated: (Revenue ÷ Sales volume) ÷ (Planned revenue ÷ Planned sales volume) − 1, as %</t>
        </is>
      </c>
      <c r="GH3" t="inlineStr">
        <is>
          <t>SUM of Entity A1 and Entity A2 (added)</t>
        </is>
      </c>
      <c r="GI3" t="inlineStr">
        <is>
          <t>SUM of Entity A1 and Entity A2 (added)</t>
        </is>
      </c>
      <c r="GJ3" t="inlineStr">
        <is>
          <t>SUM of Entity A1 and Entity A2 (added)</t>
        </is>
      </c>
      <c r="GK3" t="inlineStr">
        <is>
          <t>SUM of Entity A1 and Entity A2 (added)</t>
        </is>
      </c>
      <c r="GL3" t="inlineStr">
        <is>
          <t>SUM of Entity A1 and Entity A2 (added)</t>
        </is>
      </c>
      <c r="GM3" t="inlineStr">
        <is>
          <t>SUM of Entity A1 and Entity A2 (added)</t>
        </is>
      </c>
      <c r="GN3" t="inlineStr">
        <is>
          <t>SQRTSUMSQ of Entity A1 and Entity A2 (added)</t>
        </is>
      </c>
      <c r="GO3" t="inlineStr">
        <is>
          <t>MIN of Entity A1 and Entity A2 (added)</t>
        </is>
      </c>
      <c r="GP3" t="inlineStr">
        <is>
          <t>SUM of Entity A1 and Entity A2 (added)</t>
        </is>
      </c>
      <c r="GQ3" t="inlineStr">
        <is>
          <t>FIRST of Entity A1 and Entity A2 (added)</t>
        </is>
      </c>
      <c r="GR3" t="inlineStr">
        <is>
          <t>SUM of Entity A1 and Entity A2 (added)</t>
        </is>
      </c>
    </row>
    <row r="4">
      <c r="A4" t="inlineStr">
        <is>
          <t>Plant 02</t>
        </is>
      </c>
      <c r="B4" t="inlineStr">
        <is>
          <t>2026-04</t>
        </is>
      </c>
      <c r="C4" t="n">
        <v>30</v>
      </c>
      <c r="D4" t="n">
        <v>1</v>
      </c>
      <c r="E4">
        <f>'Plant Inputs'!F10</f>
        <v/>
      </c>
      <c r="F4">
        <f>'Plant Inputs'!G10</f>
        <v/>
      </c>
      <c r="G4">
        <f>'Plant Inputs'!H10</f>
        <v/>
      </c>
      <c r="H4">
        <f>'Plant Inputs'!I10</f>
        <v/>
      </c>
      <c r="I4">
        <f>'Plant Inputs'!J10</f>
        <v/>
      </c>
      <c r="J4">
        <f>'Plant Inputs'!K10</f>
        <v/>
      </c>
      <c r="K4">
        <f>'Plant Inputs'!L10</f>
        <v/>
      </c>
      <c r="L4">
        <f>'Plant Inputs'!M10</f>
        <v/>
      </c>
      <c r="M4">
        <f>'Plant Inputs'!N10</f>
        <v/>
      </c>
      <c r="N4">
        <f>'Plant Inputs'!O10</f>
        <v/>
      </c>
      <c r="O4">
        <f>'Plant Inputs'!P10</f>
        <v/>
      </c>
      <c r="P4">
        <f>'Plant Inputs'!Q10</f>
        <v/>
      </c>
      <c r="Q4">
        <f>'Plant Inputs'!R10</f>
        <v/>
      </c>
      <c r="R4">
        <f>'Plant Inputs'!S10</f>
        <v/>
      </c>
      <c r="S4">
        <f>'Plant Inputs'!T10</f>
        <v/>
      </c>
      <c r="T4">
        <f>'Plant Inputs'!U10</f>
        <v/>
      </c>
      <c r="U4">
        <f>'Plant Inputs'!V10</f>
        <v/>
      </c>
      <c r="V4">
        <f>'Plant Inputs'!W10</f>
        <v/>
      </c>
      <c r="W4">
        <f>'Plant Inputs'!X10</f>
        <v/>
      </c>
      <c r="X4">
        <f>'Plant Inputs'!Y10</f>
        <v/>
      </c>
      <c r="Y4">
        <f>'Plant Inputs'!Z10</f>
        <v/>
      </c>
      <c r="Z4">
        <f>'Plant Inputs'!AA10</f>
        <v/>
      </c>
      <c r="AA4">
        <f>'Plant Inputs'!AB10</f>
        <v/>
      </c>
      <c r="AB4">
        <f>'Plant Inputs'!AC10</f>
        <v/>
      </c>
      <c r="AC4">
        <f>'Plant Inputs'!AD10</f>
        <v/>
      </c>
      <c r="AD4">
        <f>'Plant Inputs'!AE10</f>
        <v/>
      </c>
      <c r="AE4">
        <f>'Plant Inputs'!AF10</f>
        <v/>
      </c>
      <c r="AF4">
        <f>'Plant Inputs'!AG10</f>
        <v/>
      </c>
      <c r="AG4">
        <f>'Plant Inputs'!AH10</f>
        <v/>
      </c>
      <c r="AH4">
        <f>'Plant Inputs'!AI10</f>
        <v/>
      </c>
      <c r="AI4">
        <f>'Plant Inputs'!AJ10</f>
        <v/>
      </c>
      <c r="AJ4">
        <f>'Plant Inputs'!AK10</f>
        <v/>
      </c>
      <c r="AK4">
        <f>'Plant Inputs'!AL10</f>
        <v/>
      </c>
      <c r="AL4">
        <f>'Plant Inputs'!AM10</f>
        <v/>
      </c>
      <c r="AM4">
        <f>'Plant Inputs'!AN10</f>
        <v/>
      </c>
      <c r="AN4">
        <f>'Plant Inputs'!AO10</f>
        <v/>
      </c>
      <c r="AO4">
        <f>'Plant Inputs'!AP10</f>
        <v/>
      </c>
      <c r="AP4">
        <f>'Plant Inputs'!AQ10</f>
        <v/>
      </c>
      <c r="AQ4">
        <f>'Plant Inputs'!AR10</f>
        <v/>
      </c>
      <c r="AR4">
        <f>'Plant Inputs'!AS10</f>
        <v/>
      </c>
      <c r="AS4">
        <f>'Plant Inputs'!AT10</f>
        <v/>
      </c>
      <c r="AT4">
        <f>'Plant Inputs'!AU10</f>
        <v/>
      </c>
      <c r="AU4">
        <f>'Plant Inputs'!AV10</f>
        <v/>
      </c>
      <c r="AV4">
        <f>'Plant Inputs'!AW10</f>
        <v/>
      </c>
      <c r="AW4">
        <f>'Plant Inputs'!AX10</f>
        <v/>
      </c>
      <c r="AX4">
        <f>'Plant Inputs'!AY10</f>
        <v/>
      </c>
      <c r="AY4">
        <f>'Plant Inputs'!AZ10</f>
        <v/>
      </c>
      <c r="AZ4">
        <f>'Plant Inputs'!BA10</f>
        <v/>
      </c>
      <c r="BA4">
        <f>'Plant Inputs'!BB10</f>
        <v/>
      </c>
      <c r="BB4">
        <f>'Plant Inputs'!BC10</f>
        <v/>
      </c>
      <c r="BC4">
        <f>'Plant Inputs'!BD10</f>
        <v/>
      </c>
      <c r="BD4">
        <f>'Plant Inputs'!BE10</f>
        <v/>
      </c>
      <c r="BE4">
        <f>'Plant Inputs'!BF10</f>
        <v/>
      </c>
      <c r="BF4">
        <f>'Plant Inputs'!BG10</f>
        <v/>
      </c>
      <c r="BG4">
        <f>'Plant Inputs'!BH10</f>
        <v/>
      </c>
      <c r="BH4">
        <f>'Plant Inputs'!BI10</f>
        <v/>
      </c>
      <c r="BI4">
        <f>'Plant Inputs'!BJ10</f>
        <v/>
      </c>
      <c r="BJ4">
        <f>'Plant Inputs'!BK10</f>
        <v/>
      </c>
      <c r="BK4">
        <f>'Plant Inputs'!BL10</f>
        <v/>
      </c>
      <c r="BL4">
        <f>'Plant Inputs'!BM10</f>
        <v/>
      </c>
      <c r="BM4">
        <f>'Plant Inputs'!BN10</f>
        <v/>
      </c>
      <c r="BN4">
        <f>'Plant Inputs'!BO10</f>
        <v/>
      </c>
      <c r="BO4">
        <f>'Plant Inputs'!BP10</f>
        <v/>
      </c>
      <c r="BP4">
        <f>'Plant Inputs'!BQ10</f>
        <v/>
      </c>
      <c r="BQ4">
        <f>'Plant Inputs'!BR10</f>
        <v/>
      </c>
      <c r="BR4">
        <f>'Plant Inputs'!BS10</f>
        <v/>
      </c>
      <c r="BS4">
        <f>'Plant Inputs'!BT10</f>
        <v/>
      </c>
      <c r="BT4">
        <f>'Plant Inputs'!BU10</f>
        <v/>
      </c>
      <c r="BU4">
        <f>'Plant Inputs'!BV10</f>
        <v/>
      </c>
      <c r="BV4">
        <f>'Plant Inputs'!BW10</f>
        <v/>
      </c>
      <c r="BW4">
        <f>'Plant Inputs'!BX10</f>
        <v/>
      </c>
      <c r="BX4">
        <f>'Plant Inputs'!BY10</f>
        <v/>
      </c>
      <c r="FV4">
        <f>AU4-V4-X4-BY4</f>
        <v/>
      </c>
      <c r="FW4">
        <f>FV4-AX4</f>
        <v/>
      </c>
      <c r="FX4">
        <f>CJ4+CL4-CK4</f>
        <v/>
      </c>
      <c r="FY4">
        <f>FX4-Parameters!$B$7</f>
        <v/>
      </c>
      <c r="FZ4">
        <f>FV4-BZ4-FY4</f>
        <v/>
      </c>
      <c r="GA4">
        <f>FZ4-DJ4</f>
        <v/>
      </c>
      <c r="GB4">
        <f>CB4-CC4</f>
        <v/>
      </c>
      <c r="GC4">
        <f>SUM(FV$4:FV4)*12/D4</f>
        <v/>
      </c>
      <c r="GD4">
        <f>IF(AU4=0,0,CJ4/AU4*C4)</f>
        <v/>
      </c>
      <c r="GE4">
        <f>IF(V4=0,0,CK4/V4*C4)</f>
        <v/>
      </c>
      <c r="GF4">
        <f>IF(V4=0,0,CL4/V4*C4)</f>
        <v/>
      </c>
      <c r="GG4">
        <f>IF(OR(AS4=0,AT4=0,AV4=0),0,100*((AU4/AS4)/(AV4/AT4)-1))</f>
        <v/>
      </c>
    </row>
    <row r="5">
      <c r="A5" t="inlineStr">
        <is>
          <t>Plant 02</t>
        </is>
      </c>
      <c r="B5" t="inlineStr">
        <is>
          <t>2026-05</t>
        </is>
      </c>
      <c r="C5" t="n">
        <v>31</v>
      </c>
      <c r="D5" t="n">
        <v>2</v>
      </c>
      <c r="E5">
        <f>'Plant Inputs'!F11</f>
        <v/>
      </c>
      <c r="F5">
        <f>'Plant Inputs'!G11</f>
        <v/>
      </c>
      <c r="G5">
        <f>'Plant Inputs'!H11</f>
        <v/>
      </c>
      <c r="H5">
        <f>'Plant Inputs'!I11</f>
        <v/>
      </c>
      <c r="I5">
        <f>'Plant Inputs'!J11</f>
        <v/>
      </c>
      <c r="J5">
        <f>'Plant Inputs'!K11</f>
        <v/>
      </c>
      <c r="K5">
        <f>'Plant Inputs'!L11</f>
        <v/>
      </c>
      <c r="L5">
        <f>'Plant Inputs'!M11</f>
        <v/>
      </c>
      <c r="M5">
        <f>'Plant Inputs'!N11</f>
        <v/>
      </c>
      <c r="N5">
        <f>'Plant Inputs'!O11</f>
        <v/>
      </c>
      <c r="O5">
        <f>'Plant Inputs'!P11</f>
        <v/>
      </c>
      <c r="P5">
        <f>'Plant Inputs'!Q11</f>
        <v/>
      </c>
      <c r="Q5">
        <f>'Plant Inputs'!R11</f>
        <v/>
      </c>
      <c r="R5">
        <f>'Plant Inputs'!S11</f>
        <v/>
      </c>
      <c r="S5">
        <f>'Plant Inputs'!T11</f>
        <v/>
      </c>
      <c r="T5">
        <f>'Plant Inputs'!U11</f>
        <v/>
      </c>
      <c r="U5">
        <f>'Plant Inputs'!V11</f>
        <v/>
      </c>
      <c r="V5">
        <f>'Plant Inputs'!W11</f>
        <v/>
      </c>
      <c r="W5">
        <f>'Plant Inputs'!X11</f>
        <v/>
      </c>
      <c r="X5">
        <f>'Plant Inputs'!Y11</f>
        <v/>
      </c>
      <c r="Y5">
        <f>'Plant Inputs'!Z11</f>
        <v/>
      </c>
      <c r="Z5">
        <f>'Plant Inputs'!AA11</f>
        <v/>
      </c>
      <c r="AA5">
        <f>'Plant Inputs'!AB11</f>
        <v/>
      </c>
      <c r="AB5">
        <f>'Plant Inputs'!AC11</f>
        <v/>
      </c>
      <c r="AC5">
        <f>'Plant Inputs'!AD11</f>
        <v/>
      </c>
      <c r="AD5">
        <f>'Plant Inputs'!AE11</f>
        <v/>
      </c>
      <c r="AE5">
        <f>'Plant Inputs'!AF11</f>
        <v/>
      </c>
      <c r="AF5">
        <f>'Plant Inputs'!AG11</f>
        <v/>
      </c>
      <c r="AG5">
        <f>'Plant Inputs'!AH11</f>
        <v/>
      </c>
      <c r="AH5">
        <f>'Plant Inputs'!AI11</f>
        <v/>
      </c>
      <c r="AI5">
        <f>'Plant Inputs'!AJ11</f>
        <v/>
      </c>
      <c r="AJ5">
        <f>'Plant Inputs'!AK11</f>
        <v/>
      </c>
      <c r="AK5">
        <f>'Plant Inputs'!AL11</f>
        <v/>
      </c>
      <c r="AL5">
        <f>'Plant Inputs'!AM11</f>
        <v/>
      </c>
      <c r="AM5">
        <f>'Plant Inputs'!AN11</f>
        <v/>
      </c>
      <c r="AN5">
        <f>'Plant Inputs'!AO11</f>
        <v/>
      </c>
      <c r="AO5">
        <f>'Plant Inputs'!AP11</f>
        <v/>
      </c>
      <c r="AP5">
        <f>'Plant Inputs'!AQ11</f>
        <v/>
      </c>
      <c r="AQ5">
        <f>'Plant Inputs'!AR11</f>
        <v/>
      </c>
      <c r="AR5">
        <f>'Plant Inputs'!AS11</f>
        <v/>
      </c>
      <c r="AS5">
        <f>'Plant Inputs'!AT11</f>
        <v/>
      </c>
      <c r="AT5">
        <f>'Plant Inputs'!AU11</f>
        <v/>
      </c>
      <c r="AU5">
        <f>'Plant Inputs'!AV11</f>
        <v/>
      </c>
      <c r="AV5">
        <f>'Plant Inputs'!AW11</f>
        <v/>
      </c>
      <c r="AW5">
        <f>'Plant Inputs'!AX11</f>
        <v/>
      </c>
      <c r="AX5">
        <f>'Plant Inputs'!AY11</f>
        <v/>
      </c>
      <c r="AY5">
        <f>'Plant Inputs'!AZ11</f>
        <v/>
      </c>
      <c r="AZ5">
        <f>'Plant Inputs'!BA11</f>
        <v/>
      </c>
      <c r="BA5">
        <f>'Plant Inputs'!BB11</f>
        <v/>
      </c>
      <c r="BB5">
        <f>'Plant Inputs'!BC11</f>
        <v/>
      </c>
      <c r="BC5">
        <f>'Plant Inputs'!BD11</f>
        <v/>
      </c>
      <c r="BD5">
        <f>'Plant Inputs'!BE11</f>
        <v/>
      </c>
      <c r="BE5">
        <f>'Plant Inputs'!BF11</f>
        <v/>
      </c>
      <c r="BF5">
        <f>'Plant Inputs'!BG11</f>
        <v/>
      </c>
      <c r="BG5">
        <f>'Plant Inputs'!BH11</f>
        <v/>
      </c>
      <c r="BH5">
        <f>'Plant Inputs'!BI11</f>
        <v/>
      </c>
      <c r="BI5">
        <f>'Plant Inputs'!BJ11</f>
        <v/>
      </c>
      <c r="BJ5">
        <f>'Plant Inputs'!BK11</f>
        <v/>
      </c>
      <c r="BK5">
        <f>'Plant Inputs'!BL11</f>
        <v/>
      </c>
      <c r="BL5">
        <f>'Plant Inputs'!BM11</f>
        <v/>
      </c>
      <c r="BM5">
        <f>'Plant Inputs'!BN11</f>
        <v/>
      </c>
      <c r="BN5">
        <f>'Plant Inputs'!BO11</f>
        <v/>
      </c>
      <c r="BO5">
        <f>'Plant Inputs'!BP11</f>
        <v/>
      </c>
      <c r="BP5">
        <f>'Plant Inputs'!BQ11</f>
        <v/>
      </c>
      <c r="BQ5">
        <f>'Plant Inputs'!BR11</f>
        <v/>
      </c>
      <c r="BR5">
        <f>'Plant Inputs'!BS11</f>
        <v/>
      </c>
      <c r="BS5">
        <f>'Plant Inputs'!BT11</f>
        <v/>
      </c>
      <c r="BT5">
        <f>'Plant Inputs'!BU11</f>
        <v/>
      </c>
      <c r="BU5">
        <f>'Plant Inputs'!BV11</f>
        <v/>
      </c>
      <c r="BV5">
        <f>'Plant Inputs'!BW11</f>
        <v/>
      </c>
      <c r="BW5">
        <f>'Plant Inputs'!BX11</f>
        <v/>
      </c>
      <c r="BX5">
        <f>'Plant Inputs'!BY11</f>
        <v/>
      </c>
      <c r="FV5">
        <f>AU5-V5-X5-BY5</f>
        <v/>
      </c>
      <c r="FW5">
        <f>FV5-AX5</f>
        <v/>
      </c>
      <c r="FX5">
        <f>CJ5+CL5-CK5</f>
        <v/>
      </c>
      <c r="FY5">
        <f>FX5-FX4</f>
        <v/>
      </c>
      <c r="FZ5">
        <f>FV5-BZ5-FY5</f>
        <v/>
      </c>
      <c r="GA5">
        <f>FZ5-DJ5</f>
        <v/>
      </c>
      <c r="GB5">
        <f>CB5-CC5</f>
        <v/>
      </c>
      <c r="GC5">
        <f>SUM(FV$4:FV5)*12/D5</f>
        <v/>
      </c>
      <c r="GD5">
        <f>IF(AU5=0,0,CJ5/AU5*C5)</f>
        <v/>
      </c>
      <c r="GE5">
        <f>IF(V5=0,0,CK5/V5*C5)</f>
        <v/>
      </c>
      <c r="GF5">
        <f>IF(V5=0,0,CL5/V5*C5)</f>
        <v/>
      </c>
      <c r="GG5">
        <f>IF(OR(AS5=0,AT5=0,AV5=0),0,100*((AU5/AS5)/(AV5/AT5)-1))</f>
        <v/>
      </c>
    </row>
    <row r="6">
      <c r="A6" t="inlineStr">
        <is>
          <t>Plant 02</t>
        </is>
      </c>
      <c r="B6" t="inlineStr">
        <is>
          <t>2026-06</t>
        </is>
      </c>
      <c r="C6" t="n">
        <v>30</v>
      </c>
      <c r="D6" t="n">
        <v>3</v>
      </c>
      <c r="E6">
        <f>'Plant Inputs'!F12</f>
        <v/>
      </c>
      <c r="F6">
        <f>'Plant Inputs'!G12</f>
        <v/>
      </c>
      <c r="G6">
        <f>'Plant Inputs'!H12</f>
        <v/>
      </c>
      <c r="H6">
        <f>'Plant Inputs'!I12</f>
        <v/>
      </c>
      <c r="I6">
        <f>'Plant Inputs'!J12</f>
        <v/>
      </c>
      <c r="J6">
        <f>'Plant Inputs'!K12</f>
        <v/>
      </c>
      <c r="K6">
        <f>'Plant Inputs'!L12</f>
        <v/>
      </c>
      <c r="L6">
        <f>'Plant Inputs'!M12</f>
        <v/>
      </c>
      <c r="M6">
        <f>'Plant Inputs'!N12</f>
        <v/>
      </c>
      <c r="N6">
        <f>'Plant Inputs'!O12</f>
        <v/>
      </c>
      <c r="O6">
        <f>'Plant Inputs'!P12</f>
        <v/>
      </c>
      <c r="P6">
        <f>'Plant Inputs'!Q12</f>
        <v/>
      </c>
      <c r="Q6">
        <f>'Plant Inputs'!R12</f>
        <v/>
      </c>
      <c r="R6">
        <f>'Plant Inputs'!S12</f>
        <v/>
      </c>
      <c r="S6">
        <f>'Plant Inputs'!T12</f>
        <v/>
      </c>
      <c r="T6">
        <f>'Plant Inputs'!U12</f>
        <v/>
      </c>
      <c r="U6">
        <f>'Plant Inputs'!V12</f>
        <v/>
      </c>
      <c r="V6">
        <f>'Plant Inputs'!W12</f>
        <v/>
      </c>
      <c r="W6">
        <f>'Plant Inputs'!X12</f>
        <v/>
      </c>
      <c r="X6">
        <f>'Plant Inputs'!Y12</f>
        <v/>
      </c>
      <c r="Y6">
        <f>'Plant Inputs'!Z12</f>
        <v/>
      </c>
      <c r="Z6">
        <f>'Plant Inputs'!AA12</f>
        <v/>
      </c>
      <c r="AA6">
        <f>'Plant Inputs'!AB12</f>
        <v/>
      </c>
      <c r="AB6">
        <f>'Plant Inputs'!AC12</f>
        <v/>
      </c>
      <c r="AC6">
        <f>'Plant Inputs'!AD12</f>
        <v/>
      </c>
      <c r="AD6">
        <f>'Plant Inputs'!AE12</f>
        <v/>
      </c>
      <c r="AE6">
        <f>'Plant Inputs'!AF12</f>
        <v/>
      </c>
      <c r="AF6">
        <f>'Plant Inputs'!AG12</f>
        <v/>
      </c>
      <c r="AG6">
        <f>'Plant Inputs'!AH12</f>
        <v/>
      </c>
      <c r="AH6">
        <f>'Plant Inputs'!AI12</f>
        <v/>
      </c>
      <c r="AI6">
        <f>'Plant Inputs'!AJ12</f>
        <v/>
      </c>
      <c r="AJ6">
        <f>'Plant Inputs'!AK12</f>
        <v/>
      </c>
      <c r="AK6">
        <f>'Plant Inputs'!AL12</f>
        <v/>
      </c>
      <c r="AL6">
        <f>'Plant Inputs'!AM12</f>
        <v/>
      </c>
      <c r="AM6">
        <f>'Plant Inputs'!AN12</f>
        <v/>
      </c>
      <c r="AN6">
        <f>'Plant Inputs'!AO12</f>
        <v/>
      </c>
      <c r="AO6">
        <f>'Plant Inputs'!AP12</f>
        <v/>
      </c>
      <c r="AP6">
        <f>'Plant Inputs'!AQ12</f>
        <v/>
      </c>
      <c r="AQ6">
        <f>'Plant Inputs'!AR12</f>
        <v/>
      </c>
      <c r="AR6">
        <f>'Plant Inputs'!AS12</f>
        <v/>
      </c>
      <c r="AS6">
        <f>'Plant Inputs'!AT12</f>
        <v/>
      </c>
      <c r="AT6">
        <f>'Plant Inputs'!AU12</f>
        <v/>
      </c>
      <c r="AU6">
        <f>'Plant Inputs'!AV12</f>
        <v/>
      </c>
      <c r="AV6">
        <f>'Plant Inputs'!AW12</f>
        <v/>
      </c>
      <c r="AW6">
        <f>'Plant Inputs'!AX12</f>
        <v/>
      </c>
      <c r="AX6">
        <f>'Plant Inputs'!AY12</f>
        <v/>
      </c>
      <c r="AY6">
        <f>'Plant Inputs'!AZ12</f>
        <v/>
      </c>
      <c r="AZ6">
        <f>'Plant Inputs'!BA12</f>
        <v/>
      </c>
      <c r="BA6">
        <f>'Plant Inputs'!BB12</f>
        <v/>
      </c>
      <c r="BB6">
        <f>'Plant Inputs'!BC12</f>
        <v/>
      </c>
      <c r="BC6">
        <f>'Plant Inputs'!BD12</f>
        <v/>
      </c>
      <c r="BD6">
        <f>'Plant Inputs'!BE12</f>
        <v/>
      </c>
      <c r="BE6">
        <f>'Plant Inputs'!BF12</f>
        <v/>
      </c>
      <c r="BF6">
        <f>'Plant Inputs'!BG12</f>
        <v/>
      </c>
      <c r="BG6">
        <f>'Plant Inputs'!BH12</f>
        <v/>
      </c>
      <c r="BH6">
        <f>'Plant Inputs'!BI12</f>
        <v/>
      </c>
      <c r="BI6">
        <f>'Plant Inputs'!BJ12</f>
        <v/>
      </c>
      <c r="BJ6">
        <f>'Plant Inputs'!BK12</f>
        <v/>
      </c>
      <c r="BK6">
        <f>'Plant Inputs'!BL12</f>
        <v/>
      </c>
      <c r="BL6">
        <f>'Plant Inputs'!BM12</f>
        <v/>
      </c>
      <c r="BM6">
        <f>'Plant Inputs'!BN12</f>
        <v/>
      </c>
      <c r="BN6">
        <f>'Plant Inputs'!BO12</f>
        <v/>
      </c>
      <c r="BO6">
        <f>'Plant Inputs'!BP12</f>
        <v/>
      </c>
      <c r="BP6">
        <f>'Plant Inputs'!BQ12</f>
        <v/>
      </c>
      <c r="BQ6">
        <f>'Plant Inputs'!BR12</f>
        <v/>
      </c>
      <c r="BR6">
        <f>'Plant Inputs'!BS12</f>
        <v/>
      </c>
      <c r="BS6">
        <f>'Plant Inputs'!BT12</f>
        <v/>
      </c>
      <c r="BT6">
        <f>'Plant Inputs'!BU12</f>
        <v/>
      </c>
      <c r="BU6">
        <f>'Plant Inputs'!BV12</f>
        <v/>
      </c>
      <c r="BV6">
        <f>'Plant Inputs'!BW12</f>
        <v/>
      </c>
      <c r="BW6">
        <f>'Plant Inputs'!BX12</f>
        <v/>
      </c>
      <c r="BX6">
        <f>'Plant Inputs'!BY12</f>
        <v/>
      </c>
      <c r="FV6">
        <f>AU6-V6-X6-BY6</f>
        <v/>
      </c>
      <c r="FW6">
        <f>FV6-AX6</f>
        <v/>
      </c>
      <c r="FX6">
        <f>CJ6+CL6-CK6</f>
        <v/>
      </c>
      <c r="FY6">
        <f>FX6-FX5</f>
        <v/>
      </c>
      <c r="FZ6">
        <f>FV6-BZ6-FY6</f>
        <v/>
      </c>
      <c r="GA6">
        <f>FZ6-DJ6</f>
        <v/>
      </c>
      <c r="GB6">
        <f>CB6-CC6</f>
        <v/>
      </c>
      <c r="GC6">
        <f>SUM(FV$4:FV6)*12/D6</f>
        <v/>
      </c>
      <c r="GD6">
        <f>IF(AU6=0,0,CJ6/AU6*C6)</f>
        <v/>
      </c>
      <c r="GE6">
        <f>IF(V6=0,0,CK6/V6*C6)</f>
        <v/>
      </c>
      <c r="GF6">
        <f>IF(V6=0,0,CL6/V6*C6)</f>
        <v/>
      </c>
      <c r="GG6">
        <f>IF(OR(AS6=0,AT6=0,AV6=0),0,100*((AU6/AS6)/(AV6/AT6)-1))</f>
        <v/>
      </c>
    </row>
    <row r="7">
      <c r="A7" t="inlineStr">
        <is>
          <t>Plant 02</t>
        </is>
      </c>
      <c r="B7" t="inlineStr">
        <is>
          <t>2026-07</t>
        </is>
      </c>
      <c r="C7" t="n">
        <v>31</v>
      </c>
      <c r="D7" t="n">
        <v>4</v>
      </c>
      <c r="E7">
        <f>'Plant Inputs'!F13</f>
        <v/>
      </c>
      <c r="F7">
        <f>'Plant Inputs'!G13</f>
        <v/>
      </c>
      <c r="G7">
        <f>'Plant Inputs'!H13</f>
        <v/>
      </c>
      <c r="H7">
        <f>'Plant Inputs'!I13</f>
        <v/>
      </c>
      <c r="I7">
        <f>'Plant Inputs'!J13</f>
        <v/>
      </c>
      <c r="J7">
        <f>'Plant Inputs'!K13</f>
        <v/>
      </c>
      <c r="K7">
        <f>'Plant Inputs'!L13</f>
        <v/>
      </c>
      <c r="L7">
        <f>'Plant Inputs'!M13</f>
        <v/>
      </c>
      <c r="M7">
        <f>'Plant Inputs'!N13</f>
        <v/>
      </c>
      <c r="N7">
        <f>'Plant Inputs'!O13</f>
        <v/>
      </c>
      <c r="O7">
        <f>'Plant Inputs'!P13</f>
        <v/>
      </c>
      <c r="P7">
        <f>'Plant Inputs'!Q13</f>
        <v/>
      </c>
      <c r="Q7">
        <f>'Plant Inputs'!R13</f>
        <v/>
      </c>
      <c r="R7">
        <f>'Plant Inputs'!S13</f>
        <v/>
      </c>
      <c r="S7">
        <f>'Plant Inputs'!T13</f>
        <v/>
      </c>
      <c r="T7">
        <f>'Plant Inputs'!U13</f>
        <v/>
      </c>
      <c r="U7">
        <f>'Plant Inputs'!V13</f>
        <v/>
      </c>
      <c r="V7">
        <f>'Plant Inputs'!W13</f>
        <v/>
      </c>
      <c r="W7">
        <f>'Plant Inputs'!X13</f>
        <v/>
      </c>
      <c r="X7">
        <f>'Plant Inputs'!Y13</f>
        <v/>
      </c>
      <c r="Y7">
        <f>'Plant Inputs'!Z13</f>
        <v/>
      </c>
      <c r="Z7">
        <f>'Plant Inputs'!AA13</f>
        <v/>
      </c>
      <c r="AA7">
        <f>'Plant Inputs'!AB13</f>
        <v/>
      </c>
      <c r="AB7">
        <f>'Plant Inputs'!AC13</f>
        <v/>
      </c>
      <c r="AC7">
        <f>'Plant Inputs'!AD13</f>
        <v/>
      </c>
      <c r="AD7">
        <f>'Plant Inputs'!AE13</f>
        <v/>
      </c>
      <c r="AE7">
        <f>'Plant Inputs'!AF13</f>
        <v/>
      </c>
      <c r="AF7">
        <f>'Plant Inputs'!AG13</f>
        <v/>
      </c>
      <c r="AG7">
        <f>'Plant Inputs'!AH13</f>
        <v/>
      </c>
      <c r="AH7">
        <f>'Plant Inputs'!AI13</f>
        <v/>
      </c>
      <c r="AI7">
        <f>'Plant Inputs'!AJ13</f>
        <v/>
      </c>
      <c r="AJ7">
        <f>'Plant Inputs'!AK13</f>
        <v/>
      </c>
      <c r="AK7">
        <f>'Plant Inputs'!AL13</f>
        <v/>
      </c>
      <c r="AL7">
        <f>'Plant Inputs'!AM13</f>
        <v/>
      </c>
      <c r="AM7">
        <f>'Plant Inputs'!AN13</f>
        <v/>
      </c>
      <c r="AN7">
        <f>'Plant Inputs'!AO13</f>
        <v/>
      </c>
      <c r="AO7">
        <f>'Plant Inputs'!AP13</f>
        <v/>
      </c>
      <c r="AP7">
        <f>'Plant Inputs'!AQ13</f>
        <v/>
      </c>
      <c r="AQ7">
        <f>'Plant Inputs'!AR13</f>
        <v/>
      </c>
      <c r="AR7">
        <f>'Plant Inputs'!AS13</f>
        <v/>
      </c>
      <c r="AS7">
        <f>'Plant Inputs'!AT13</f>
        <v/>
      </c>
      <c r="AT7">
        <f>'Plant Inputs'!AU13</f>
        <v/>
      </c>
      <c r="AU7">
        <f>'Plant Inputs'!AV13</f>
        <v/>
      </c>
      <c r="AV7">
        <f>'Plant Inputs'!AW13</f>
        <v/>
      </c>
      <c r="AW7">
        <f>'Plant Inputs'!AX13</f>
        <v/>
      </c>
      <c r="AX7">
        <f>'Plant Inputs'!AY13</f>
        <v/>
      </c>
      <c r="AY7">
        <f>'Plant Inputs'!AZ13</f>
        <v/>
      </c>
      <c r="AZ7">
        <f>'Plant Inputs'!BA13</f>
        <v/>
      </c>
      <c r="BA7">
        <f>'Plant Inputs'!BB13</f>
        <v/>
      </c>
      <c r="BB7">
        <f>'Plant Inputs'!BC13</f>
        <v/>
      </c>
      <c r="BC7">
        <f>'Plant Inputs'!BD13</f>
        <v/>
      </c>
      <c r="BD7">
        <f>'Plant Inputs'!BE13</f>
        <v/>
      </c>
      <c r="BE7">
        <f>'Plant Inputs'!BF13</f>
        <v/>
      </c>
      <c r="BF7">
        <f>'Plant Inputs'!BG13</f>
        <v/>
      </c>
      <c r="BG7">
        <f>'Plant Inputs'!BH13</f>
        <v/>
      </c>
      <c r="BH7">
        <f>'Plant Inputs'!BI13</f>
        <v/>
      </c>
      <c r="BI7">
        <f>'Plant Inputs'!BJ13</f>
        <v/>
      </c>
      <c r="BJ7">
        <f>'Plant Inputs'!BK13</f>
        <v/>
      </c>
      <c r="BK7">
        <f>'Plant Inputs'!BL13</f>
        <v/>
      </c>
      <c r="BL7">
        <f>'Plant Inputs'!BM13</f>
        <v/>
      </c>
      <c r="BM7">
        <f>'Plant Inputs'!BN13</f>
        <v/>
      </c>
      <c r="BN7">
        <f>'Plant Inputs'!BO13</f>
        <v/>
      </c>
      <c r="BO7">
        <f>'Plant Inputs'!BP13</f>
        <v/>
      </c>
      <c r="BP7">
        <f>'Plant Inputs'!BQ13</f>
        <v/>
      </c>
      <c r="BQ7">
        <f>'Plant Inputs'!BR13</f>
        <v/>
      </c>
      <c r="BR7">
        <f>'Plant Inputs'!BS13</f>
        <v/>
      </c>
      <c r="BS7">
        <f>'Plant Inputs'!BT13</f>
        <v/>
      </c>
      <c r="BT7">
        <f>'Plant Inputs'!BU13</f>
        <v/>
      </c>
      <c r="BU7">
        <f>'Plant Inputs'!BV13</f>
        <v/>
      </c>
      <c r="BV7">
        <f>'Plant Inputs'!BW13</f>
        <v/>
      </c>
      <c r="BW7">
        <f>'Plant Inputs'!BX13</f>
        <v/>
      </c>
      <c r="BX7">
        <f>'Plant Inputs'!BY13</f>
        <v/>
      </c>
      <c r="FV7">
        <f>AU7-V7-X7-BY7</f>
        <v/>
      </c>
      <c r="FW7">
        <f>FV7-AX7</f>
        <v/>
      </c>
      <c r="FX7">
        <f>CJ7+CL7-CK7</f>
        <v/>
      </c>
      <c r="FY7">
        <f>FX7-FX6</f>
        <v/>
      </c>
      <c r="FZ7">
        <f>FV7-BZ7-FY7</f>
        <v/>
      </c>
      <c r="GA7">
        <f>FZ7-DJ7</f>
        <v/>
      </c>
      <c r="GB7">
        <f>CB7-CC7</f>
        <v/>
      </c>
      <c r="GC7">
        <f>SUM(FV$4:FV7)*12/D7</f>
        <v/>
      </c>
      <c r="GD7">
        <f>IF(AU7=0,0,CJ7/AU7*C7)</f>
        <v/>
      </c>
      <c r="GE7">
        <f>IF(V7=0,0,CK7/V7*C7)</f>
        <v/>
      </c>
      <c r="GF7">
        <f>IF(V7=0,0,CL7/V7*C7)</f>
        <v/>
      </c>
      <c r="GG7">
        <f>IF(OR(AS7=0,AT7=0,AV7=0),0,100*((AU7/AS7)/(AV7/AT7)-1))</f>
        <v/>
      </c>
    </row>
    <row r="8">
      <c r="A8" t="inlineStr">
        <is>
          <t>Plant 02</t>
        </is>
      </c>
      <c r="B8" t="inlineStr">
        <is>
          <t>2026-08</t>
        </is>
      </c>
      <c r="C8" t="n">
        <v>31</v>
      </c>
      <c r="D8" t="n">
        <v>5</v>
      </c>
      <c r="E8">
        <f>'Plant Inputs'!F14</f>
        <v/>
      </c>
      <c r="F8">
        <f>'Plant Inputs'!G14</f>
        <v/>
      </c>
      <c r="G8">
        <f>'Plant Inputs'!H14</f>
        <v/>
      </c>
      <c r="H8">
        <f>'Plant Inputs'!I14</f>
        <v/>
      </c>
      <c r="I8">
        <f>'Plant Inputs'!J14</f>
        <v/>
      </c>
      <c r="J8">
        <f>'Plant Inputs'!K14</f>
        <v/>
      </c>
      <c r="K8">
        <f>'Plant Inputs'!L14</f>
        <v/>
      </c>
      <c r="L8">
        <f>'Plant Inputs'!M14</f>
        <v/>
      </c>
      <c r="M8">
        <f>'Plant Inputs'!N14</f>
        <v/>
      </c>
      <c r="N8">
        <f>'Plant Inputs'!O14</f>
        <v/>
      </c>
      <c r="O8">
        <f>'Plant Inputs'!P14</f>
        <v/>
      </c>
      <c r="P8">
        <f>'Plant Inputs'!Q14</f>
        <v/>
      </c>
      <c r="Q8">
        <f>'Plant Inputs'!R14</f>
        <v/>
      </c>
      <c r="R8">
        <f>'Plant Inputs'!S14</f>
        <v/>
      </c>
      <c r="S8">
        <f>'Plant Inputs'!T14</f>
        <v/>
      </c>
      <c r="T8">
        <f>'Plant Inputs'!U14</f>
        <v/>
      </c>
      <c r="U8">
        <f>'Plant Inputs'!V14</f>
        <v/>
      </c>
      <c r="V8">
        <f>'Plant Inputs'!W14</f>
        <v/>
      </c>
      <c r="W8">
        <f>'Plant Inputs'!X14</f>
        <v/>
      </c>
      <c r="X8">
        <f>'Plant Inputs'!Y14</f>
        <v/>
      </c>
      <c r="Y8">
        <f>'Plant Inputs'!Z14</f>
        <v/>
      </c>
      <c r="Z8">
        <f>'Plant Inputs'!AA14</f>
        <v/>
      </c>
      <c r="AA8">
        <f>'Plant Inputs'!AB14</f>
        <v/>
      </c>
      <c r="AB8">
        <f>'Plant Inputs'!AC14</f>
        <v/>
      </c>
      <c r="AC8">
        <f>'Plant Inputs'!AD14</f>
        <v/>
      </c>
      <c r="AD8">
        <f>'Plant Inputs'!AE14</f>
        <v/>
      </c>
      <c r="AE8">
        <f>'Plant Inputs'!AF14</f>
        <v/>
      </c>
      <c r="AF8">
        <f>'Plant Inputs'!AG14</f>
        <v/>
      </c>
      <c r="AG8">
        <f>'Plant Inputs'!AH14</f>
        <v/>
      </c>
      <c r="AH8">
        <f>'Plant Inputs'!AI14</f>
        <v/>
      </c>
      <c r="AI8">
        <f>'Plant Inputs'!AJ14</f>
        <v/>
      </c>
      <c r="AJ8">
        <f>'Plant Inputs'!AK14</f>
        <v/>
      </c>
      <c r="AK8">
        <f>'Plant Inputs'!AL14</f>
        <v/>
      </c>
      <c r="AL8">
        <f>'Plant Inputs'!AM14</f>
        <v/>
      </c>
      <c r="AM8">
        <f>'Plant Inputs'!AN14</f>
        <v/>
      </c>
      <c r="AN8">
        <f>'Plant Inputs'!AO14</f>
        <v/>
      </c>
      <c r="AO8">
        <f>'Plant Inputs'!AP14</f>
        <v/>
      </c>
      <c r="AP8">
        <f>'Plant Inputs'!AQ14</f>
        <v/>
      </c>
      <c r="AQ8">
        <f>'Plant Inputs'!AR14</f>
        <v/>
      </c>
      <c r="AR8">
        <f>'Plant Inputs'!AS14</f>
        <v/>
      </c>
      <c r="AS8">
        <f>'Plant Inputs'!AT14</f>
        <v/>
      </c>
      <c r="AT8">
        <f>'Plant Inputs'!AU14</f>
        <v/>
      </c>
      <c r="AU8">
        <f>'Plant Inputs'!AV14</f>
        <v/>
      </c>
      <c r="AV8">
        <f>'Plant Inputs'!AW14</f>
        <v/>
      </c>
      <c r="AW8">
        <f>'Plant Inputs'!AX14</f>
        <v/>
      </c>
      <c r="AX8">
        <f>'Plant Inputs'!AY14</f>
        <v/>
      </c>
      <c r="AY8">
        <f>'Plant Inputs'!AZ14</f>
        <v/>
      </c>
      <c r="AZ8">
        <f>'Plant Inputs'!BA14</f>
        <v/>
      </c>
      <c r="BA8">
        <f>'Plant Inputs'!BB14</f>
        <v/>
      </c>
      <c r="BB8">
        <f>'Plant Inputs'!BC14</f>
        <v/>
      </c>
      <c r="BC8">
        <f>'Plant Inputs'!BD14</f>
        <v/>
      </c>
      <c r="BD8">
        <f>'Plant Inputs'!BE14</f>
        <v/>
      </c>
      <c r="BE8">
        <f>'Plant Inputs'!BF14</f>
        <v/>
      </c>
      <c r="BF8">
        <f>'Plant Inputs'!BG14</f>
        <v/>
      </c>
      <c r="BG8">
        <f>'Plant Inputs'!BH14</f>
        <v/>
      </c>
      <c r="BH8">
        <f>'Plant Inputs'!BI14</f>
        <v/>
      </c>
      <c r="BI8">
        <f>'Plant Inputs'!BJ14</f>
        <v/>
      </c>
      <c r="BJ8">
        <f>'Plant Inputs'!BK14</f>
        <v/>
      </c>
      <c r="BK8">
        <f>'Plant Inputs'!BL14</f>
        <v/>
      </c>
      <c r="BL8">
        <f>'Plant Inputs'!BM14</f>
        <v/>
      </c>
      <c r="BM8">
        <f>'Plant Inputs'!BN14</f>
        <v/>
      </c>
      <c r="BN8">
        <f>'Plant Inputs'!BO14</f>
        <v/>
      </c>
      <c r="BO8">
        <f>'Plant Inputs'!BP14</f>
        <v/>
      </c>
      <c r="BP8">
        <f>'Plant Inputs'!BQ14</f>
        <v/>
      </c>
      <c r="BQ8">
        <f>'Plant Inputs'!BR14</f>
        <v/>
      </c>
      <c r="BR8">
        <f>'Plant Inputs'!BS14</f>
        <v/>
      </c>
      <c r="BS8">
        <f>'Plant Inputs'!BT14</f>
        <v/>
      </c>
      <c r="BT8">
        <f>'Plant Inputs'!BU14</f>
        <v/>
      </c>
      <c r="BU8">
        <f>'Plant Inputs'!BV14</f>
        <v/>
      </c>
      <c r="BV8">
        <f>'Plant Inputs'!BW14</f>
        <v/>
      </c>
      <c r="BW8">
        <f>'Plant Inputs'!BX14</f>
        <v/>
      </c>
      <c r="BX8">
        <f>'Plant Inputs'!BY14</f>
        <v/>
      </c>
      <c r="FV8">
        <f>AU8-V8-X8-BY8</f>
        <v/>
      </c>
      <c r="FW8">
        <f>FV8-AX8</f>
        <v/>
      </c>
      <c r="FX8">
        <f>CJ8+CL8-CK8</f>
        <v/>
      </c>
      <c r="FY8">
        <f>FX8-FX7</f>
        <v/>
      </c>
      <c r="FZ8">
        <f>FV8-BZ8-FY8</f>
        <v/>
      </c>
      <c r="GA8">
        <f>FZ8-DJ8</f>
        <v/>
      </c>
      <c r="GB8">
        <f>CB8-CC8</f>
        <v/>
      </c>
      <c r="GC8">
        <f>SUM(FV$4:FV8)*12/D8</f>
        <v/>
      </c>
      <c r="GD8">
        <f>IF(AU8=0,0,CJ8/AU8*C8)</f>
        <v/>
      </c>
      <c r="GE8">
        <f>IF(V8=0,0,CK8/V8*C8)</f>
        <v/>
      </c>
      <c r="GF8">
        <f>IF(V8=0,0,CL8/V8*C8)</f>
        <v/>
      </c>
      <c r="GG8">
        <f>IF(OR(AS8=0,AT8=0,AV8=0),0,100*((AU8/AS8)/(AV8/AT8)-1))</f>
        <v/>
      </c>
    </row>
    <row r="9">
      <c r="A9" t="inlineStr">
        <is>
          <t>Plant 02</t>
        </is>
      </c>
      <c r="B9" t="inlineStr">
        <is>
          <t>2026-09</t>
        </is>
      </c>
      <c r="C9" t="n">
        <v>30</v>
      </c>
      <c r="D9" t="n">
        <v>6</v>
      </c>
      <c r="E9">
        <f>'Plant Inputs'!F15</f>
        <v/>
      </c>
      <c r="F9">
        <f>'Plant Inputs'!G15</f>
        <v/>
      </c>
      <c r="G9">
        <f>'Plant Inputs'!H15</f>
        <v/>
      </c>
      <c r="H9">
        <f>'Plant Inputs'!I15</f>
        <v/>
      </c>
      <c r="I9">
        <f>'Plant Inputs'!J15</f>
        <v/>
      </c>
      <c r="J9">
        <f>'Plant Inputs'!K15</f>
        <v/>
      </c>
      <c r="K9">
        <f>'Plant Inputs'!L15</f>
        <v/>
      </c>
      <c r="L9">
        <f>'Plant Inputs'!M15</f>
        <v/>
      </c>
      <c r="M9">
        <f>'Plant Inputs'!N15</f>
        <v/>
      </c>
      <c r="N9">
        <f>'Plant Inputs'!O15</f>
        <v/>
      </c>
      <c r="O9">
        <f>'Plant Inputs'!P15</f>
        <v/>
      </c>
      <c r="P9">
        <f>'Plant Inputs'!Q15</f>
        <v/>
      </c>
      <c r="Q9">
        <f>'Plant Inputs'!R15</f>
        <v/>
      </c>
      <c r="R9">
        <f>'Plant Inputs'!S15</f>
        <v/>
      </c>
      <c r="S9">
        <f>'Plant Inputs'!T15</f>
        <v/>
      </c>
      <c r="T9">
        <f>'Plant Inputs'!U15</f>
        <v/>
      </c>
      <c r="U9">
        <f>'Plant Inputs'!V15</f>
        <v/>
      </c>
      <c r="V9">
        <f>'Plant Inputs'!W15</f>
        <v/>
      </c>
      <c r="W9">
        <f>'Plant Inputs'!X15</f>
        <v/>
      </c>
      <c r="X9">
        <f>'Plant Inputs'!Y15</f>
        <v/>
      </c>
      <c r="Y9">
        <f>'Plant Inputs'!Z15</f>
        <v/>
      </c>
      <c r="Z9">
        <f>'Plant Inputs'!AA15</f>
        <v/>
      </c>
      <c r="AA9">
        <f>'Plant Inputs'!AB15</f>
        <v/>
      </c>
      <c r="AB9">
        <f>'Plant Inputs'!AC15</f>
        <v/>
      </c>
      <c r="AC9">
        <f>'Plant Inputs'!AD15</f>
        <v/>
      </c>
      <c r="AD9">
        <f>'Plant Inputs'!AE15</f>
        <v/>
      </c>
      <c r="AE9">
        <f>'Plant Inputs'!AF15</f>
        <v/>
      </c>
      <c r="AF9">
        <f>'Plant Inputs'!AG15</f>
        <v/>
      </c>
      <c r="AG9">
        <f>'Plant Inputs'!AH15</f>
        <v/>
      </c>
      <c r="AH9">
        <f>'Plant Inputs'!AI15</f>
        <v/>
      </c>
      <c r="AI9">
        <f>'Plant Inputs'!AJ15</f>
        <v/>
      </c>
      <c r="AJ9">
        <f>'Plant Inputs'!AK15</f>
        <v/>
      </c>
      <c r="AK9">
        <f>'Plant Inputs'!AL15</f>
        <v/>
      </c>
      <c r="AL9">
        <f>'Plant Inputs'!AM15</f>
        <v/>
      </c>
      <c r="AM9">
        <f>'Plant Inputs'!AN15</f>
        <v/>
      </c>
      <c r="AN9">
        <f>'Plant Inputs'!AO15</f>
        <v/>
      </c>
      <c r="AO9">
        <f>'Plant Inputs'!AP15</f>
        <v/>
      </c>
      <c r="AP9">
        <f>'Plant Inputs'!AQ15</f>
        <v/>
      </c>
      <c r="AQ9">
        <f>'Plant Inputs'!AR15</f>
        <v/>
      </c>
      <c r="AR9">
        <f>'Plant Inputs'!AS15</f>
        <v/>
      </c>
      <c r="AS9">
        <f>'Plant Inputs'!AT15</f>
        <v/>
      </c>
      <c r="AT9">
        <f>'Plant Inputs'!AU15</f>
        <v/>
      </c>
      <c r="AU9">
        <f>'Plant Inputs'!AV15</f>
        <v/>
      </c>
      <c r="AV9">
        <f>'Plant Inputs'!AW15</f>
        <v/>
      </c>
      <c r="AW9">
        <f>'Plant Inputs'!AX15</f>
        <v/>
      </c>
      <c r="AX9">
        <f>'Plant Inputs'!AY15</f>
        <v/>
      </c>
      <c r="AY9">
        <f>'Plant Inputs'!AZ15</f>
        <v/>
      </c>
      <c r="AZ9">
        <f>'Plant Inputs'!BA15</f>
        <v/>
      </c>
      <c r="BA9">
        <f>'Plant Inputs'!BB15</f>
        <v/>
      </c>
      <c r="BB9">
        <f>'Plant Inputs'!BC15</f>
        <v/>
      </c>
      <c r="BC9">
        <f>'Plant Inputs'!BD15</f>
        <v/>
      </c>
      <c r="BD9">
        <f>'Plant Inputs'!BE15</f>
        <v/>
      </c>
      <c r="BE9">
        <f>'Plant Inputs'!BF15</f>
        <v/>
      </c>
      <c r="BF9">
        <f>'Plant Inputs'!BG15</f>
        <v/>
      </c>
      <c r="BG9">
        <f>'Plant Inputs'!BH15</f>
        <v/>
      </c>
      <c r="BH9">
        <f>'Plant Inputs'!BI15</f>
        <v/>
      </c>
      <c r="BI9">
        <f>'Plant Inputs'!BJ15</f>
        <v/>
      </c>
      <c r="BJ9">
        <f>'Plant Inputs'!BK15</f>
        <v/>
      </c>
      <c r="BK9">
        <f>'Plant Inputs'!BL15</f>
        <v/>
      </c>
      <c r="BL9">
        <f>'Plant Inputs'!BM15</f>
        <v/>
      </c>
      <c r="BM9">
        <f>'Plant Inputs'!BN15</f>
        <v/>
      </c>
      <c r="BN9">
        <f>'Plant Inputs'!BO15</f>
        <v/>
      </c>
      <c r="BO9">
        <f>'Plant Inputs'!BP15</f>
        <v/>
      </c>
      <c r="BP9">
        <f>'Plant Inputs'!BQ15</f>
        <v/>
      </c>
      <c r="BQ9">
        <f>'Plant Inputs'!BR15</f>
        <v/>
      </c>
      <c r="BR9">
        <f>'Plant Inputs'!BS15</f>
        <v/>
      </c>
      <c r="BS9">
        <f>'Plant Inputs'!BT15</f>
        <v/>
      </c>
      <c r="BT9">
        <f>'Plant Inputs'!BU15</f>
        <v/>
      </c>
      <c r="BU9">
        <f>'Plant Inputs'!BV15</f>
        <v/>
      </c>
      <c r="BV9">
        <f>'Plant Inputs'!BW15</f>
        <v/>
      </c>
      <c r="BW9">
        <f>'Plant Inputs'!BX15</f>
        <v/>
      </c>
      <c r="BX9">
        <f>'Plant Inputs'!BY15</f>
        <v/>
      </c>
      <c r="FV9">
        <f>AU9-V9-X9-BY9</f>
        <v/>
      </c>
      <c r="FW9">
        <f>FV9-AX9</f>
        <v/>
      </c>
      <c r="FX9">
        <f>CJ9+CL9-CK9</f>
        <v/>
      </c>
      <c r="FY9">
        <f>FX9-FX8</f>
        <v/>
      </c>
      <c r="FZ9">
        <f>FV9-BZ9-FY9</f>
        <v/>
      </c>
      <c r="GA9">
        <f>FZ9-DJ9</f>
        <v/>
      </c>
      <c r="GB9">
        <f>CB9-CC9</f>
        <v/>
      </c>
      <c r="GC9">
        <f>SUM(FV$4:FV9)*12/D9</f>
        <v/>
      </c>
      <c r="GD9">
        <f>IF(AU9=0,0,CJ9/AU9*C9)</f>
        <v/>
      </c>
      <c r="GE9">
        <f>IF(V9=0,0,CK9/V9*C9)</f>
        <v/>
      </c>
      <c r="GF9">
        <f>IF(V9=0,0,CL9/V9*C9)</f>
        <v/>
      </c>
      <c r="GG9">
        <f>IF(OR(AS9=0,AT9=0,AV9=0),0,100*((AU9/AS9)/(AV9/AT9)-1))</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R9"/>
  <sheetViews>
    <sheetView workbookViewId="0">
      <selection activeCell="A1" sqref="A1"/>
    </sheetView>
  </sheetViews>
  <sheetFormatPr baseColWidth="8" defaultRowHeight="15"/>
  <sheetData>
    <row r="1">
      <c r="A1" t="inlineStr">
        <is>
          <t>Group</t>
        </is>
      </c>
      <c r="B1" t="inlineStr">
        <is>
          <t>Month</t>
        </is>
      </c>
      <c r="C1" t="inlineStr">
        <is>
          <t>Days in month</t>
        </is>
      </c>
      <c r="D1" t="inlineStr">
        <is>
          <t>Months since April (YTD)</t>
        </is>
      </c>
      <c r="E1" t="inlineStr">
        <is>
          <t>Calendar hours (h)</t>
        </is>
      </c>
      <c r="F1" t="inlineStr">
        <is>
          <t>Planned operating hours (h)</t>
        </is>
      </c>
      <c r="G1" t="inlineStr">
        <is>
          <t>Run hours (h)</t>
        </is>
      </c>
      <c r="H1" t="inlineStr">
        <is>
          <t>Unplanned downtime (h)</t>
        </is>
      </c>
      <c r="I1" t="inlineStr">
        <is>
          <t>Ideal output (t)</t>
        </is>
      </c>
      <c r="J1" t="inlineStr">
        <is>
          <t>Installed capacity (t)</t>
        </is>
      </c>
      <c r="K1" t="inlineStr">
        <is>
          <t>Planned production (t)</t>
        </is>
      </c>
      <c r="L1" t="inlineStr">
        <is>
          <t>Gross output (t)</t>
        </is>
      </c>
      <c r="M1" t="inlineStr">
        <is>
          <t>Good output (t)</t>
        </is>
      </c>
      <c r="N1" t="inlineStr">
        <is>
          <t>Feed input (t)</t>
        </is>
      </c>
      <c r="O1" t="inlineStr">
        <is>
          <t>Valuable content in feed (t)</t>
        </is>
      </c>
      <c r="P1" t="inlineStr">
        <is>
          <t>Valuable content recovered (t)</t>
        </is>
      </c>
      <c r="Q1" t="inlineStr">
        <is>
          <t>Production lost to downtime (t)</t>
        </is>
      </c>
      <c r="R1" t="inlineStr">
        <is>
          <t>Breakdowns (count)</t>
        </is>
      </c>
      <c r="S1" t="inlineStr">
        <is>
          <t>Repair hours (h)</t>
        </is>
      </c>
      <c r="T1" t="inlineStr">
        <is>
          <t>Preventive maintenance scheduled (count)</t>
        </is>
      </c>
      <c r="U1" t="inlineStr">
        <is>
          <t>Preventive maintenance completed (count)</t>
        </is>
      </c>
      <c r="V1" t="inlineStr">
        <is>
          <t>Variable cost (₹ thousand)</t>
        </is>
      </c>
      <c r="W1" t="inlineStr">
        <is>
          <t>Fuel cost (₹ thousand)</t>
        </is>
      </c>
      <c r="X1" t="inlineStr">
        <is>
          <t>Fixed cost (₹ thousand)</t>
        </is>
      </c>
      <c r="Y1" t="inlineStr">
        <is>
          <t>Water used (m³)</t>
        </is>
      </c>
      <c r="Z1" t="inlineStr">
        <is>
          <t>Emissions (t CO2e)</t>
        </is>
      </c>
      <c r="AA1" t="inlineStr">
        <is>
          <t>Energy used (GJ)</t>
        </is>
      </c>
      <c r="AB1" t="inlineStr">
        <is>
          <t>Production at risk (t)</t>
        </is>
      </c>
      <c r="AC1" t="inlineStr">
        <is>
          <t>Critical plant alerts (count)</t>
        </is>
      </c>
      <c r="AD1" t="inlineStr">
        <is>
          <t>Hours worked (h)</t>
        </is>
      </c>
      <c r="AE1" t="inlineStr">
        <is>
          <t>Recordable injuries (count)</t>
        </is>
      </c>
      <c r="AF1" t="inlineStr">
        <is>
          <t>Severity incidents (count)</t>
        </is>
      </c>
      <c r="AG1" t="inlineStr">
        <is>
          <t>Near misses (count)</t>
        </is>
      </c>
      <c r="AH1" t="inlineStr">
        <is>
          <t>Critical safety incidents (count)</t>
        </is>
      </c>
      <c r="AI1" t="inlineStr">
        <is>
          <t>Environmental excursions (count)</t>
        </is>
      </c>
      <c r="AJ1" t="inlineStr">
        <is>
          <t>Environmental violations (count)</t>
        </is>
      </c>
      <c r="AK1" t="inlineStr">
        <is>
          <t>Open EHS corrective actions (count)</t>
        </is>
      </c>
      <c r="AL1" t="inlineStr">
        <is>
          <t>Overdue EHS corrective actions (count)</t>
        </is>
      </c>
      <c r="AM1" t="inlineStr">
        <is>
          <t>EHS investigations due (count)</t>
        </is>
      </c>
      <c r="AN1" t="inlineStr">
        <is>
          <t>EHS investigations completed (count)</t>
        </is>
      </c>
      <c r="AO1" t="inlineStr">
        <is>
          <t>Critical materials at risk (count)</t>
        </is>
      </c>
      <c r="AP1" t="inlineStr">
        <is>
          <t>Dispatches (count)</t>
        </is>
      </c>
      <c r="AQ1" t="inlineStr">
        <is>
          <t>Delayed dispatches (count)</t>
        </is>
      </c>
      <c r="AR1" t="inlineStr">
        <is>
          <t>Days to permit expiry (days)</t>
        </is>
      </c>
      <c r="AS1" t="inlineStr">
        <is>
          <t>Sales volume (t)</t>
        </is>
      </c>
      <c r="AT1" t="inlineStr">
        <is>
          <t>Planned sales volume (t)</t>
        </is>
      </c>
      <c r="AU1" t="inlineStr">
        <is>
          <t>Revenue (₹ thousand)</t>
        </is>
      </c>
      <c r="AV1" t="inlineStr">
        <is>
          <t>Planned revenue (₹ thousand)</t>
        </is>
      </c>
      <c r="AW1" t="inlineStr">
        <is>
          <t>Power cost, part of variable cost (₹ thousand)</t>
        </is>
      </c>
      <c r="AX1" t="inlineStr">
        <is>
          <t>Depreciation and amortisation (₹ thousand)</t>
        </is>
      </c>
      <c r="AY1" t="inlineStr">
        <is>
          <t>Purchase-order lines due (count)</t>
        </is>
      </c>
      <c r="AZ1" t="inlineStr">
        <is>
          <t>Purchase-order lines delivered on time (count)</t>
        </is>
      </c>
      <c r="BA1" t="inlineStr">
        <is>
          <t>Quantity ordered from suppliers (t)</t>
        </is>
      </c>
      <c r="BB1" t="inlineStr">
        <is>
          <t>Quantity received (t)</t>
        </is>
      </c>
      <c r="BC1" t="inlineStr">
        <is>
          <t>Quantity rejected on quality (t)</t>
        </is>
      </c>
      <c r="BD1" t="inlineStr">
        <is>
          <t>Planned lead time, all deliveries (days)</t>
        </is>
      </c>
      <c r="BE1" t="inlineStr">
        <is>
          <t>Actual lead time, all deliveries (days)</t>
        </is>
      </c>
      <c r="BF1" t="inlineStr">
        <is>
          <t>Supplier spend (₹ thousand)</t>
        </is>
      </c>
      <c r="BG1" t="inlineStr">
        <is>
          <t>Spend with single-source suppliers (₹ thousand)</t>
        </is>
      </c>
      <c r="BH1" t="inlineStr">
        <is>
          <t>Supplier EHS incidents (count)</t>
        </is>
      </c>
      <c r="BI1" t="inlineStr">
        <is>
          <t>Regulatory filings pending (count)</t>
        </is>
      </c>
      <c r="BJ1" t="inlineStr">
        <is>
          <t>Regulatory deadlines in next 30 days (count)</t>
        </is>
      </c>
      <c r="BK1" t="inlineStr">
        <is>
          <t>Licences expiring in next 12 months (count)</t>
        </is>
      </c>
      <c r="BL1" t="inlineStr">
        <is>
          <t>Regulatory obligations due in next 30 days (count)</t>
        </is>
      </c>
      <c r="BM1" t="inlineStr">
        <is>
          <t>Regulatory obligations overdue (count)</t>
        </is>
      </c>
      <c r="BN1" t="inlineStr">
        <is>
          <t>Open regulatory actions (count)</t>
        </is>
      </c>
      <c r="BO1" t="inlineStr">
        <is>
          <t>Overdue compliance actions (count)</t>
        </is>
      </c>
      <c r="BP1" t="inlineStr">
        <is>
          <t>Regulatory breaches in the month (count)</t>
        </is>
      </c>
      <c r="BQ1" t="inlineStr">
        <is>
          <t>Events that trigger a disclosure clock (count)</t>
        </is>
      </c>
      <c r="BR1" t="inlineStr">
        <is>
          <t>EHS escalation clocks running (count)</t>
        </is>
      </c>
      <c r="BS1" t="inlineStr">
        <is>
          <t>Days until production plan is breached, forecast (days; 99 = not expected)</t>
        </is>
      </c>
      <c r="BT1" t="inlineStr">
        <is>
          <t>Planned production next month (t)</t>
        </is>
      </c>
      <c r="BU1" t="inlineStr">
        <is>
          <t>Forecast good output next month (t)</t>
        </is>
      </c>
      <c r="BV1" t="inlineStr">
        <is>
          <t>Forecast uncertainty next month (variance, t²)</t>
        </is>
      </c>
      <c r="BW1" t="inlineStr">
        <is>
          <t>Ideal output next month (t)</t>
        </is>
      </c>
      <c r="BX1" t="inlineStr">
        <is>
          <t>Forecast production lost to downtime next month (t)</t>
        </is>
      </c>
      <c r="BY1" t="inlineStr">
        <is>
          <t>Overheads, SG&amp;A (₹ thousand)</t>
        </is>
      </c>
      <c r="BZ1" t="inlineStr">
        <is>
          <t>Tax paid (₹ thousand)</t>
        </is>
      </c>
      <c r="CA1" t="inlineStr">
        <is>
          <t>Capital employed, month end (₹ thousand)</t>
        </is>
      </c>
      <c r="CB1" t="inlineStr">
        <is>
          <t>Gross debt, month end (₹ thousand)</t>
        </is>
      </c>
      <c r="CC1" t="inlineStr">
        <is>
          <t>Cash, month end (₹ thousand)</t>
        </is>
      </c>
      <c r="CD1" t="inlineStr">
        <is>
          <t>Undrawn committed facilities (₹ thousand)</t>
        </is>
      </c>
      <c r="CE1" t="inlineStr">
        <is>
          <t>Debt service in the month (₹ thousand)</t>
        </is>
      </c>
      <c r="CF1" t="inlineStr">
        <is>
          <t>Debt maturing in next 12 months (₹ thousand)</t>
        </is>
      </c>
      <c r="CG1" t="inlineStr">
        <is>
          <t>Floating-rate debt (₹ thousand)</t>
        </is>
      </c>
      <c r="CH1" t="inlineStr">
        <is>
          <t>EBITDA as reported in the Board pack (₹ thousand)</t>
        </is>
      </c>
      <c r="CI1" t="inlineStr">
        <is>
          <t>Revenue in the flash report (₹ thousand)</t>
        </is>
      </c>
      <c r="CJ1" t="inlineStr">
        <is>
          <t>Trade receivables, month end (₹ thousand)</t>
        </is>
      </c>
      <c r="CK1" t="inlineStr">
        <is>
          <t>Trade payables, month end (₹ thousand)</t>
        </is>
      </c>
      <c r="CL1" t="inlineStr">
        <is>
          <t>Inventory, month end (₹ thousand)</t>
        </is>
      </c>
      <c r="CM1" t="inlineStr">
        <is>
          <t>Cash collected from customers (₹ thousand)</t>
        </is>
      </c>
      <c r="CN1" t="inlineStr">
        <is>
          <t>Cash released by working-capital actions (₹ thousand)</t>
        </is>
      </c>
      <c r="CO1" t="inlineStr">
        <is>
          <t>Cash due to be upstreamed to Group, next 30 days (₹ thousand)</t>
        </is>
      </c>
      <c r="CP1" t="inlineStr">
        <is>
          <t>Of which covered by available cash (₹ thousand)</t>
        </is>
      </c>
      <c r="CQ1" t="inlineStr">
        <is>
          <t>Invoices collected (count)</t>
        </is>
      </c>
      <c r="CR1" t="inlineStr">
        <is>
          <t>Days taken to collect, all invoices (days)</t>
        </is>
      </c>
      <c r="CS1" t="inlineStr">
        <is>
          <t>Agreed payment terms, all invoices (days)</t>
        </is>
      </c>
      <c r="CT1" t="inlineStr">
        <is>
          <t>Customers more than 30 days overdue (count)</t>
        </is>
      </c>
      <c r="CU1" t="inlineStr">
        <is>
          <t>Forecast EBITDA, rest of year (₹ thousand)</t>
        </is>
      </c>
      <c r="CV1" t="inlineStr">
        <is>
          <t>Planned EBITDA, rest of year (₹ thousand)</t>
        </is>
      </c>
      <c r="CW1" t="inlineStr">
        <is>
          <t>Forecast net cash flow, next 90 days (₹ thousand)</t>
        </is>
      </c>
      <c r="CX1" t="inlineStr">
        <is>
          <t>Forecast net debt at quarter end (₹ thousand)</t>
        </is>
      </c>
      <c r="CY1" t="inlineStr">
        <is>
          <t>Forecast EBITDA, 12 months to quarter end (₹ thousand)</t>
        </is>
      </c>
      <c r="CZ1" t="inlineStr">
        <is>
          <t>Foreign-currency exposure, gross (₹ thousand)</t>
        </is>
      </c>
      <c r="DA1" t="inlineStr">
        <is>
          <t>Foreign-currency exposure hedged (₹ thousand)</t>
        </is>
      </c>
      <c r="DB1" t="inlineStr">
        <is>
          <t>USD exposure, gross (₹ thousand)</t>
        </is>
      </c>
      <c r="DC1" t="inlineStr">
        <is>
          <t>USD exposure hedged (₹ thousand)</t>
        </is>
      </c>
      <c r="DD1" t="inlineStr">
        <is>
          <t>Change in value of hedges (₹ thousand)</t>
        </is>
      </c>
      <c r="DE1" t="inlineStr">
        <is>
          <t>Change in value of hedged items (₹ thousand)</t>
        </is>
      </c>
      <c r="DF1" t="inlineStr">
        <is>
          <t>Forecast foreign-currency flows, next 6 months (₹ thousand)</t>
        </is>
      </c>
      <c r="DG1" t="inlineStr">
        <is>
          <t>Of which hedged (₹ thousand)</t>
        </is>
      </c>
      <c r="DH1" t="inlineStr">
        <is>
          <t>Approved capex budget, full year (₹ thousand)</t>
        </is>
      </c>
      <c r="DI1" t="inlineStr">
        <is>
          <t>Capex committed to date (₹ thousand)</t>
        </is>
      </c>
      <c r="DJ1" t="inlineStr">
        <is>
          <t>Capex spent in the month (₹ thousand)</t>
        </is>
      </c>
      <c r="DK1" t="inlineStr">
        <is>
          <t>Capex work completed, valued at budget (₹ thousand)</t>
        </is>
      </c>
      <c r="DL1" t="inlineStr">
        <is>
          <t>Budget of capex projects at risk (₹ thousand)</t>
        </is>
      </c>
      <c r="DM1" t="inlineStr">
        <is>
          <t>Capex projects on track (count)</t>
        </is>
      </c>
      <c r="DN1" t="inlineStr">
        <is>
          <t>Capex projects at risk (count)</t>
        </is>
      </c>
      <c r="DO1" t="inlineStr">
        <is>
          <t>Capex projects off track (count)</t>
        </is>
      </c>
      <c r="DP1" t="inlineStr">
        <is>
          <t>Capex projects delayed (count)</t>
        </is>
      </c>
      <c r="DQ1" t="inlineStr">
        <is>
          <t>Contractor milestones due (count)</t>
        </is>
      </c>
      <c r="DR1" t="inlineStr">
        <is>
          <t>Contractor days late, all milestones (days)</t>
        </is>
      </c>
      <c r="DS1" t="inlineStr">
        <is>
          <t>Transformation initiatives on track (count)</t>
        </is>
      </c>
      <c r="DT1" t="inlineStr">
        <is>
          <t>Transformation initiatives at risk (count)</t>
        </is>
      </c>
      <c r="DU1" t="inlineStr">
        <is>
          <t>Transformation initiatives delayed (count)</t>
        </is>
      </c>
      <c r="DV1" t="inlineStr">
        <is>
          <t>Transformation milestones in plan (count)</t>
        </is>
      </c>
      <c r="DW1" t="inlineStr">
        <is>
          <t>Transformation milestones completed (count)</t>
        </is>
      </c>
      <c r="DX1" t="inlineStr">
        <is>
          <t>Programme benefits planned in the month (₹ thousand)</t>
        </is>
      </c>
      <c r="DY1" t="inlineStr">
        <is>
          <t>Programme benefits delivered in the month (₹ thousand)</t>
        </is>
      </c>
      <c r="DZ1" t="inlineStr">
        <is>
          <t>EBITDA benefit delivered (₹ thousand)</t>
        </is>
      </c>
      <c r="EA1" t="inlineStr">
        <is>
          <t>Cash benefit delivered (₹ thousand)</t>
        </is>
      </c>
      <c r="EB1" t="inlineStr">
        <is>
          <t>Cost savings delivered (₹ thousand)</t>
        </is>
      </c>
      <c r="EC1" t="inlineStr">
        <is>
          <t>Active supply contracts (count)</t>
        </is>
      </c>
      <c r="ED1" t="inlineStr">
        <is>
          <t>Contracts fully compliant (count)</t>
        </is>
      </c>
      <c r="EE1" t="inlineStr">
        <is>
          <t>Contracts expiring in next 90 days (count)</t>
        </is>
      </c>
      <c r="EF1" t="inlineStr">
        <is>
          <t>Suppliers not meeting EHS requirements (count)</t>
        </is>
      </c>
      <c r="EG1" t="inlineStr">
        <is>
          <t>Critical single-source suppliers (count)</t>
        </is>
      </c>
      <c r="EH1" t="inlineStr">
        <is>
          <t>Control failures (count)</t>
        </is>
      </c>
      <c r="EI1" t="inlineStr">
        <is>
          <t>High-severity control failures (count)</t>
        </is>
      </c>
      <c r="EJ1" t="inlineStr">
        <is>
          <t>Assurance reviews planned (count)</t>
        </is>
      </c>
      <c r="EK1" t="inlineStr">
        <is>
          <t>Assurance reviews completed (count)</t>
        </is>
      </c>
      <c r="EL1" t="inlineStr">
        <is>
          <t>Policy exceptions (count)</t>
        </is>
      </c>
      <c r="EM1" t="inlineStr">
        <is>
          <t>Unauthorised vendor uses (count)</t>
        </is>
      </c>
      <c r="EN1" t="inlineStr">
        <is>
          <t>Segregation-of-duties exceptions (count)</t>
        </is>
      </c>
      <c r="EO1" t="inlineStr">
        <is>
          <t>Unauthorised access events (count)</t>
        </is>
      </c>
      <c r="EP1" t="inlineStr">
        <is>
          <t>Data-sharing exceptions (count)</t>
        </is>
      </c>
      <c r="EQ1" t="inlineStr">
        <is>
          <t>Manual operational or system overrides (count)</t>
        </is>
      </c>
      <c r="ER1" t="inlineStr">
        <is>
          <t>Certification approvals past due date (count)</t>
        </is>
      </c>
      <c r="ES1" t="inlineStr">
        <is>
          <t>KPI values overridden (count)</t>
        </is>
      </c>
      <c r="ET1" t="inlineStr">
        <is>
          <t>Recurring data-quality issues (count)</t>
        </is>
      </c>
      <c r="EU1" t="inlineStr">
        <is>
          <t>Open audit findings (count)</t>
        </is>
      </c>
      <c r="EV1" t="inlineStr">
        <is>
          <t>Overdue assurance actions (count)</t>
        </is>
      </c>
      <c r="EW1" t="inlineStr">
        <is>
          <t>Repeat audit findings (count)</t>
        </is>
      </c>
      <c r="EX1" t="inlineStr">
        <is>
          <t>Leadership KPIs affected by open findings (count)</t>
        </is>
      </c>
      <c r="EY1" t="inlineStr">
        <is>
          <t>Evidence items required (count)</t>
        </is>
      </c>
      <c r="EZ1" t="inlineStr">
        <is>
          <t>Evidence items complete (count)</t>
        </is>
      </c>
      <c r="FA1" t="inlineStr">
        <is>
          <t>Audit findings closed in the month (count)</t>
        </is>
      </c>
      <c r="FB1" t="inlineStr">
        <is>
          <t>Days taken to close those findings (days)</t>
        </is>
      </c>
      <c r="FC1" t="inlineStr">
        <is>
          <t>Leadership KPI values reported (count)</t>
        </is>
      </c>
      <c r="FD1" t="inlineStr">
        <is>
          <t>Of which certified (count)</t>
        </is>
      </c>
      <c r="FE1" t="inlineStr">
        <is>
          <t>Of which inside the certification process (count)</t>
        </is>
      </c>
      <c r="FF1" t="inlineStr">
        <is>
          <t>Certifications overdue (count)</t>
        </is>
      </c>
      <c r="FG1" t="inlineStr">
        <is>
          <t>Open reconciliation breaks (count)</t>
        </is>
      </c>
      <c r="FH1" t="inlineStr">
        <is>
          <t>Material reconciliation breaks (count)</t>
        </is>
      </c>
      <c r="FI1" t="inlineStr">
        <is>
          <t>Records loaded to the data lake (count)</t>
        </is>
      </c>
      <c r="FJ1" t="inlineStr">
        <is>
          <t>Records reconciled to source (count)</t>
        </is>
      </c>
      <c r="FK1" t="inlineStr">
        <is>
          <t>Flash report lines (count)</t>
        </is>
      </c>
      <c r="FL1" t="inlineStr">
        <is>
          <t>Flash lines matching MIS (count)</t>
        </is>
      </c>
      <c r="FM1" t="inlineStr">
        <is>
          <t>Open critical alerts (count)</t>
        </is>
      </c>
      <c r="FN1" t="inlineStr">
        <is>
          <t>Alerts with no accepted owner (count)</t>
        </is>
      </c>
      <c r="FO1" t="inlineStr">
        <is>
          <t>Overdue actions (count)</t>
        </is>
      </c>
      <c r="FP1" t="inlineStr">
        <is>
          <t>Alerts resolved in the month (count)</t>
        </is>
      </c>
      <c r="FQ1" t="inlineStr">
        <is>
          <t>Days taken to resolve those alerts (days)</t>
        </is>
      </c>
      <c r="FR1" t="inlineStr">
        <is>
          <t>Escalations closed in the month (count)</t>
        </is>
      </c>
      <c r="FS1" t="inlineStr">
        <is>
          <t>Repeat issues raised in the month (count)</t>
        </is>
      </c>
      <c r="FT1" t="inlineStr">
        <is>
          <t>Root causes identified (count)</t>
        </is>
      </c>
      <c r="FU1" t="inlineStr">
        <is>
          <t>Root causes eliminated (count)</t>
        </is>
      </c>
      <c r="FV1" t="inlineStr">
        <is>
          <t>EBITDA (₹ thousand)</t>
        </is>
      </c>
      <c r="FW1" t="inlineStr">
        <is>
          <t>EBIT (₹ thousand)</t>
        </is>
      </c>
      <c r="FX1" t="inlineStr">
        <is>
          <t>Net working capital (₹ thousand)</t>
        </is>
      </c>
      <c r="FY1" t="inlineStr">
        <is>
          <t>Change in net working capital (₹ thousand)</t>
        </is>
      </c>
      <c r="FZ1" t="inlineStr">
        <is>
          <t>Operating cash flow (₹ thousand)</t>
        </is>
      </c>
      <c r="GA1" t="inlineStr">
        <is>
          <t>Free cash flow (₹ thousand)</t>
        </is>
      </c>
      <c r="GB1" t="inlineStr">
        <is>
          <t>Net debt (₹ thousand)</t>
        </is>
      </c>
      <c r="GC1" t="inlineStr">
        <is>
          <t>EBITDA, annualised (₹ thousand)</t>
        </is>
      </c>
      <c r="GD1" t="inlineStr">
        <is>
          <t>DSO (days)</t>
        </is>
      </c>
      <c r="GE1" t="inlineStr">
        <is>
          <t>DPO (days)</t>
        </is>
      </c>
      <c r="GF1" t="inlineStr">
        <is>
          <t>Inventory days (days)</t>
        </is>
      </c>
      <c r="GG1" t="inlineStr">
        <is>
          <t>Realised price vs plan (%)</t>
        </is>
      </c>
      <c r="GH1" t="inlineStr">
        <is>
          <t>Full-time employees (FTE, count)</t>
        </is>
      </c>
      <c r="GI1" t="inlineStr">
        <is>
          <t>FCF plan, full year (₹ thousand)</t>
        </is>
      </c>
      <c r="GJ1" t="inlineStr">
        <is>
          <t>Forecast FCF, rest of year (₹ thousand)</t>
        </is>
      </c>
      <c r="GK1" t="inlineStr">
        <is>
          <t>Forecast EBIT, rest of year (₹ thousand)</t>
        </is>
      </c>
      <c r="GL1" t="inlineStr">
        <is>
          <t>Forecast capital employed at P12 (₹ thousand)</t>
        </is>
      </c>
      <c r="GM1" t="inlineStr">
        <is>
          <t>EBITDA plan, full year (₹ thousand)</t>
        </is>
      </c>
      <c r="GN1" t="inlineStr">
        <is>
          <t>EBITDA full-year forecast uncertainty, 1σ (₹ thousand)</t>
        </is>
      </c>
      <c r="GO1" t="inlineStr">
        <is>
          <t>Hours to nearest open disclosure deadline (999 = none)</t>
        </is>
      </c>
      <c r="GP1" t="inlineStr">
        <is>
          <t>Single-source suppliers with cover below lead time (count)</t>
        </is>
      </c>
      <c r="GQ1" t="inlineStr">
        <is>
          <t>RM-1 price index (external, same for every entity)</t>
        </is>
      </c>
      <c r="GR1" t="inlineStr">
        <is>
          <t>Supply lanes with a disruption flag (count)</t>
        </is>
      </c>
    </row>
    <row r="2">
      <c r="A2" t="inlineStr">
        <is>
          <t>group</t>
        </is>
      </c>
      <c r="B2" t="inlineStr">
        <is>
          <t>period</t>
        </is>
      </c>
      <c r="C2" t="inlineStr">
        <is>
          <t>days</t>
        </is>
      </c>
      <c r="D2" t="inlineStr">
        <is>
          <t>ytd_months</t>
        </is>
      </c>
      <c r="E2" t="inlineStr">
        <is>
          <t>calendar_hours</t>
        </is>
      </c>
      <c r="F2" t="inlineStr">
        <is>
          <t>planned_op_hours</t>
        </is>
      </c>
      <c r="G2" t="inlineStr">
        <is>
          <t>run_hours</t>
        </is>
      </c>
      <c r="H2" t="inlineStr">
        <is>
          <t>unplanned_downtime_hours</t>
        </is>
      </c>
      <c r="I2" t="inlineStr">
        <is>
          <t>ideal_output_t</t>
        </is>
      </c>
      <c r="J2" t="inlineStr">
        <is>
          <t>installed_capacity_t</t>
        </is>
      </c>
      <c r="K2" t="inlineStr">
        <is>
          <t>planned_production_t</t>
        </is>
      </c>
      <c r="L2" t="inlineStr">
        <is>
          <t>gross_output_t</t>
        </is>
      </c>
      <c r="M2" t="inlineStr">
        <is>
          <t>good_output_t</t>
        </is>
      </c>
      <c r="N2" t="inlineStr">
        <is>
          <t>feed_input_t</t>
        </is>
      </c>
      <c r="O2" t="inlineStr">
        <is>
          <t>feed_contained_t</t>
        </is>
      </c>
      <c r="P2" t="inlineStr">
        <is>
          <t>recovered_contained_t</t>
        </is>
      </c>
      <c r="Q2" t="inlineStr">
        <is>
          <t>prod_loss_downtime_t</t>
        </is>
      </c>
      <c r="R2" t="inlineStr">
        <is>
          <t>failures</t>
        </is>
      </c>
      <c r="S2" t="inlineStr">
        <is>
          <t>repair_hours</t>
        </is>
      </c>
      <c r="T2" t="inlineStr">
        <is>
          <t>pm_scheduled</t>
        </is>
      </c>
      <c r="U2" t="inlineStr">
        <is>
          <t>pm_completed</t>
        </is>
      </c>
      <c r="V2" t="inlineStr">
        <is>
          <t>variable_cost_k</t>
        </is>
      </c>
      <c r="W2" t="inlineStr">
        <is>
          <t>fuel_cost_k</t>
        </is>
      </c>
      <c r="X2" t="inlineStr">
        <is>
          <t>fixed_cost_k</t>
        </is>
      </c>
      <c r="Y2" t="inlineStr">
        <is>
          <t>water_m3</t>
        </is>
      </c>
      <c r="Z2" t="inlineStr">
        <is>
          <t>emissions_tco2e</t>
        </is>
      </c>
      <c r="AA2" t="inlineStr">
        <is>
          <t>energy_gj</t>
        </is>
      </c>
      <c r="AB2" t="inlineStr">
        <is>
          <t>production_at_risk_t</t>
        </is>
      </c>
      <c r="AC2" t="inlineStr">
        <is>
          <t>critical_plant_alerts</t>
        </is>
      </c>
      <c r="AD2" t="inlineStr">
        <is>
          <t>hours_worked</t>
        </is>
      </c>
      <c r="AE2" t="inlineStr">
        <is>
          <t>recordable_injuries</t>
        </is>
      </c>
      <c r="AF2" t="inlineStr">
        <is>
          <t>severity_incidents</t>
        </is>
      </c>
      <c r="AG2" t="inlineStr">
        <is>
          <t>near_misses</t>
        </is>
      </c>
      <c r="AH2" t="inlineStr">
        <is>
          <t>critical_safety_incidents</t>
        </is>
      </c>
      <c r="AI2" t="inlineStr">
        <is>
          <t>env_excursions</t>
        </is>
      </c>
      <c r="AJ2" t="inlineStr">
        <is>
          <t>env_violations</t>
        </is>
      </c>
      <c r="AK2" t="inlineStr">
        <is>
          <t>ehs_ca_open</t>
        </is>
      </c>
      <c r="AL2" t="inlineStr">
        <is>
          <t>ehs_ca_overdue</t>
        </is>
      </c>
      <c r="AM2" t="inlineStr">
        <is>
          <t>investigations_due</t>
        </is>
      </c>
      <c r="AN2" t="inlineStr">
        <is>
          <t>investigations_completed</t>
        </is>
      </c>
      <c r="AO2" t="inlineStr">
        <is>
          <t>critical_material_risks</t>
        </is>
      </c>
      <c r="AP2" t="inlineStr">
        <is>
          <t>dispatches_total</t>
        </is>
      </c>
      <c r="AQ2" t="inlineStr">
        <is>
          <t>dispatches_delayed</t>
        </is>
      </c>
      <c r="AR2" t="inlineStr">
        <is>
          <t>permit_days_to_expiry</t>
        </is>
      </c>
      <c r="AS2" t="inlineStr">
        <is>
          <t>sales_t</t>
        </is>
      </c>
      <c r="AT2" t="inlineStr">
        <is>
          <t>planned_sales_t</t>
        </is>
      </c>
      <c r="AU2" t="inlineStr">
        <is>
          <t>revenue_k</t>
        </is>
      </c>
      <c r="AV2" t="inlineStr">
        <is>
          <t>planned_revenue_k</t>
        </is>
      </c>
      <c r="AW2" t="inlineStr">
        <is>
          <t>power_cost_k</t>
        </is>
      </c>
      <c r="AX2" t="inlineStr">
        <is>
          <t>depreciation_k</t>
        </is>
      </c>
      <c r="AY2" t="inlineStr">
        <is>
          <t>po_lines_due</t>
        </is>
      </c>
      <c r="AZ2" t="inlineStr">
        <is>
          <t>po_lines_on_time</t>
        </is>
      </c>
      <c r="BA2" t="inlineStr">
        <is>
          <t>qty_ordered_t</t>
        </is>
      </c>
      <c r="BB2" t="inlineStr">
        <is>
          <t>qty_received_t</t>
        </is>
      </c>
      <c r="BC2" t="inlineStr">
        <is>
          <t>qty_rejected_t</t>
        </is>
      </c>
      <c r="BD2" t="inlineStr">
        <is>
          <t>lead_time_planned_days</t>
        </is>
      </c>
      <c r="BE2" t="inlineStr">
        <is>
          <t>lead_time_actual_days</t>
        </is>
      </c>
      <c r="BF2" t="inlineStr">
        <is>
          <t>supplier_spend_k</t>
        </is>
      </c>
      <c r="BG2" t="inlineStr">
        <is>
          <t>single_source_spend_k</t>
        </is>
      </c>
      <c r="BH2" t="inlineStr">
        <is>
          <t>supplier_ehs_incidents</t>
        </is>
      </c>
      <c r="BI2" t="inlineStr">
        <is>
          <t>pending_filings</t>
        </is>
      </c>
      <c r="BJ2" t="inlineStr">
        <is>
          <t>reg_deadlines_30d</t>
        </is>
      </c>
      <c r="BK2" t="inlineStr">
        <is>
          <t>licences_expiring_12m</t>
        </is>
      </c>
      <c r="BL2" t="inlineStr">
        <is>
          <t>reg_obligations_due_30d</t>
        </is>
      </c>
      <c r="BM2" t="inlineStr">
        <is>
          <t>reg_obligations_overdue</t>
        </is>
      </c>
      <c r="BN2" t="inlineStr">
        <is>
          <t>reg_actions_open</t>
        </is>
      </c>
      <c r="BO2" t="inlineStr">
        <is>
          <t>compliance_actions_overdue</t>
        </is>
      </c>
      <c r="BP2" t="inlineStr">
        <is>
          <t>reg_breaches</t>
        </is>
      </c>
      <c r="BQ2" t="inlineStr">
        <is>
          <t>disclosure_events_open</t>
        </is>
      </c>
      <c r="BR2" t="inlineStr">
        <is>
          <t>ehs_escalation_clocks</t>
        </is>
      </c>
      <c r="BS2" t="inlineStr">
        <is>
          <t>days_to_breach</t>
        </is>
      </c>
      <c r="BT2" t="inlineStr">
        <is>
          <t>planned_production_next_t</t>
        </is>
      </c>
      <c r="BU2" t="inlineStr">
        <is>
          <t>forecast_good_next_t</t>
        </is>
      </c>
      <c r="BV2" t="inlineStr">
        <is>
          <t>forecast_good_var_next</t>
        </is>
      </c>
      <c r="BW2" t="inlineStr">
        <is>
          <t>ideal_output_next_t</t>
        </is>
      </c>
      <c r="BX2" t="inlineStr">
        <is>
          <t>forecast_downtime_loss_next_t</t>
        </is>
      </c>
      <c r="BY2" t="inlineStr">
        <is>
          <t>overhead_k</t>
        </is>
      </c>
      <c r="BZ2" t="inlineStr">
        <is>
          <t>tax_paid_k</t>
        </is>
      </c>
      <c r="CA2" t="inlineStr">
        <is>
          <t>capital_employed_k</t>
        </is>
      </c>
      <c r="CB2" t="inlineStr">
        <is>
          <t>gross_debt_k</t>
        </is>
      </c>
      <c r="CC2" t="inlineStr">
        <is>
          <t>cash_k</t>
        </is>
      </c>
      <c r="CD2" t="inlineStr">
        <is>
          <t>undrawn_facilities_k</t>
        </is>
      </c>
      <c r="CE2" t="inlineStr">
        <is>
          <t>debt_service_k</t>
        </is>
      </c>
      <c r="CF2" t="inlineStr">
        <is>
          <t>debt_maturing_12m_k</t>
        </is>
      </c>
      <c r="CG2" t="inlineStr">
        <is>
          <t>floating_rate_debt_k</t>
        </is>
      </c>
      <c r="CH2" t="inlineStr">
        <is>
          <t>board_ebitda_k</t>
        </is>
      </c>
      <c r="CI2" t="inlineStr">
        <is>
          <t>flash_revenue_k</t>
        </is>
      </c>
      <c r="CJ2" t="inlineStr">
        <is>
          <t>receivables_k</t>
        </is>
      </c>
      <c r="CK2" t="inlineStr">
        <is>
          <t>payables_k</t>
        </is>
      </c>
      <c r="CL2" t="inlineStr">
        <is>
          <t>inventory_k</t>
        </is>
      </c>
      <c r="CM2" t="inlineStr">
        <is>
          <t>collections_k</t>
        </is>
      </c>
      <c r="CN2" t="inlineStr">
        <is>
          <t>cash_released_k</t>
        </is>
      </c>
      <c r="CO2" t="inlineStr">
        <is>
          <t>upstream_due_k</t>
        </is>
      </c>
      <c r="CP2" t="inlineStr">
        <is>
          <t>upstream_covered_k</t>
        </is>
      </c>
      <c r="CQ2" t="inlineStr">
        <is>
          <t>invoices_collected</t>
        </is>
      </c>
      <c r="CR2" t="inlineStr">
        <is>
          <t>collection_days</t>
        </is>
      </c>
      <c r="CS2" t="inlineStr">
        <is>
          <t>terms_days</t>
        </is>
      </c>
      <c r="CT2" t="inlineStr">
        <is>
          <t>customers_overdue</t>
        </is>
      </c>
      <c r="CU2" t="inlineStr">
        <is>
          <t>forecast_ebitda_rest_k</t>
        </is>
      </c>
      <c r="CV2" t="inlineStr">
        <is>
          <t>planned_ebitda_rest_k</t>
        </is>
      </c>
      <c r="CW2" t="inlineStr">
        <is>
          <t>forecast_net_cash_flow_90d_k</t>
        </is>
      </c>
      <c r="CX2" t="inlineStr">
        <is>
          <t>forecast_net_debt_k</t>
        </is>
      </c>
      <c r="CY2" t="inlineStr">
        <is>
          <t>forecast_ebitda_ltm_k</t>
        </is>
      </c>
      <c r="CZ2" t="inlineStr">
        <is>
          <t>fx_exposure_k</t>
        </is>
      </c>
      <c r="DA2" t="inlineStr">
        <is>
          <t>fx_hedged_k</t>
        </is>
      </c>
      <c r="DB2" t="inlineStr">
        <is>
          <t>usd_exposure_k</t>
        </is>
      </c>
      <c r="DC2" t="inlineStr">
        <is>
          <t>usd_hedged_k</t>
        </is>
      </c>
      <c r="DD2" t="inlineStr">
        <is>
          <t>hedge_value_change_k</t>
        </is>
      </c>
      <c r="DE2" t="inlineStr">
        <is>
          <t>hedged_item_value_change_k</t>
        </is>
      </c>
      <c r="DF2" t="inlineStr">
        <is>
          <t>fx_flows_6m_k</t>
        </is>
      </c>
      <c r="DG2" t="inlineStr">
        <is>
          <t>fx_hedged_6m_k</t>
        </is>
      </c>
      <c r="DH2" t="inlineStr">
        <is>
          <t>capex_budget_k</t>
        </is>
      </c>
      <c r="DI2" t="inlineStr">
        <is>
          <t>capex_committed_k</t>
        </is>
      </c>
      <c r="DJ2" t="inlineStr">
        <is>
          <t>capex_spend_k</t>
        </is>
      </c>
      <c r="DK2" t="inlineStr">
        <is>
          <t>capex_earned_value_k</t>
        </is>
      </c>
      <c r="DL2" t="inlineStr">
        <is>
          <t>capex_at_risk_k</t>
        </is>
      </c>
      <c r="DM2" t="inlineStr">
        <is>
          <t>projects_on_track</t>
        </is>
      </c>
      <c r="DN2" t="inlineStr">
        <is>
          <t>projects_at_risk</t>
        </is>
      </c>
      <c r="DO2" t="inlineStr">
        <is>
          <t>projects_off_track</t>
        </is>
      </c>
      <c r="DP2" t="inlineStr">
        <is>
          <t>projects_delayed</t>
        </is>
      </c>
      <c r="DQ2" t="inlineStr">
        <is>
          <t>contractor_milestones_due</t>
        </is>
      </c>
      <c r="DR2" t="inlineStr">
        <is>
          <t>contractor_days_late</t>
        </is>
      </c>
      <c r="DS2" t="inlineStr">
        <is>
          <t>initiatives_on_track</t>
        </is>
      </c>
      <c r="DT2" t="inlineStr">
        <is>
          <t>initiatives_at_risk</t>
        </is>
      </c>
      <c r="DU2" t="inlineStr">
        <is>
          <t>initiatives_delayed</t>
        </is>
      </c>
      <c r="DV2" t="inlineStr">
        <is>
          <t>milestones_total</t>
        </is>
      </c>
      <c r="DW2" t="inlineStr">
        <is>
          <t>milestones_done</t>
        </is>
      </c>
      <c r="DX2" t="inlineStr">
        <is>
          <t>benefits_planned_k</t>
        </is>
      </c>
      <c r="DY2" t="inlineStr">
        <is>
          <t>benefits_delivered_k</t>
        </is>
      </c>
      <c r="DZ2" t="inlineStr">
        <is>
          <t>ebitda_benefit_k</t>
        </is>
      </c>
      <c r="EA2" t="inlineStr">
        <is>
          <t>cash_benefit_k</t>
        </is>
      </c>
      <c r="EB2" t="inlineStr">
        <is>
          <t>cost_savings_k</t>
        </is>
      </c>
      <c r="EC2" t="inlineStr">
        <is>
          <t>contracts_total</t>
        </is>
      </c>
      <c r="ED2" t="inlineStr">
        <is>
          <t>contracts_compliant</t>
        </is>
      </c>
      <c r="EE2" t="inlineStr">
        <is>
          <t>contracts_expiring_90d</t>
        </is>
      </c>
      <c r="EF2" t="inlineStr">
        <is>
          <t>supplier_ehs_noncompliance</t>
        </is>
      </c>
      <c r="EG2" t="inlineStr">
        <is>
          <t>single_source_suppliers</t>
        </is>
      </c>
      <c r="EH2" t="inlineStr">
        <is>
          <t>control_failures</t>
        </is>
      </c>
      <c r="EI2" t="inlineStr">
        <is>
          <t>control_failures_high</t>
        </is>
      </c>
      <c r="EJ2" t="inlineStr">
        <is>
          <t>assurance_reviews_planned</t>
        </is>
      </c>
      <c r="EK2" t="inlineStr">
        <is>
          <t>assurance_reviews_done</t>
        </is>
      </c>
      <c r="EL2" t="inlineStr">
        <is>
          <t>policy_exceptions</t>
        </is>
      </c>
      <c r="EM2" t="inlineStr">
        <is>
          <t>unauthorized_vendor_uses</t>
        </is>
      </c>
      <c r="EN2" t="inlineStr">
        <is>
          <t>sod_exceptions</t>
        </is>
      </c>
      <c r="EO2" t="inlineStr">
        <is>
          <t>unauthorized_access_events</t>
        </is>
      </c>
      <c r="EP2" t="inlineStr">
        <is>
          <t>data_sharing_exceptions</t>
        </is>
      </c>
      <c r="EQ2" t="inlineStr">
        <is>
          <t>manual_overrides</t>
        </is>
      </c>
      <c r="ER2" t="inlineStr">
        <is>
          <t>cert_approvals_ageing</t>
        </is>
      </c>
      <c r="ES2" t="inlineStr">
        <is>
          <t>kpi_overrides</t>
        </is>
      </c>
      <c r="ET2" t="inlineStr">
        <is>
          <t>dq_issues_recurring</t>
        </is>
      </c>
      <c r="EU2" t="inlineStr">
        <is>
          <t>audit_findings_open</t>
        </is>
      </c>
      <c r="EV2" t="inlineStr">
        <is>
          <t>assurance_actions_overdue</t>
        </is>
      </c>
      <c r="EW2" t="inlineStr">
        <is>
          <t>repeat_findings</t>
        </is>
      </c>
      <c r="EX2" t="inlineStr">
        <is>
          <t>leadership_kpis_affected</t>
        </is>
      </c>
      <c r="EY2" t="inlineStr">
        <is>
          <t>evidence_required</t>
        </is>
      </c>
      <c r="EZ2" t="inlineStr">
        <is>
          <t>evidence_complete</t>
        </is>
      </c>
      <c r="FA2" t="inlineStr">
        <is>
          <t>findings_closed</t>
        </is>
      </c>
      <c r="FB2" t="inlineStr">
        <is>
          <t>finding_closure_days</t>
        </is>
      </c>
      <c r="FC2" t="inlineStr">
        <is>
          <t>kpis_leadership</t>
        </is>
      </c>
      <c r="FD2" t="inlineStr">
        <is>
          <t>kpis_certified</t>
        </is>
      </c>
      <c r="FE2" t="inlineStr">
        <is>
          <t>kpis_in_scope</t>
        </is>
      </c>
      <c r="FF2" t="inlineStr">
        <is>
          <t>certifications_overdue</t>
        </is>
      </c>
      <c r="FG2" t="inlineStr">
        <is>
          <t>recon_breaks_open</t>
        </is>
      </c>
      <c r="FH2" t="inlineStr">
        <is>
          <t>recon_breaks_material</t>
        </is>
      </c>
      <c r="FI2" t="inlineStr">
        <is>
          <t>lake_records_loaded</t>
        </is>
      </c>
      <c r="FJ2" t="inlineStr">
        <is>
          <t>lake_records_reconciled</t>
        </is>
      </c>
      <c r="FK2" t="inlineStr">
        <is>
          <t>mis_lines_total</t>
        </is>
      </c>
      <c r="FL2" t="inlineStr">
        <is>
          <t>mis_lines_matched</t>
        </is>
      </c>
      <c r="FM2" t="inlineStr">
        <is>
          <t>critical_alerts_open</t>
        </is>
      </c>
      <c r="FN2" t="inlineStr">
        <is>
          <t>alerts_unowned</t>
        </is>
      </c>
      <c r="FO2" t="inlineStr">
        <is>
          <t>actions_overdue</t>
        </is>
      </c>
      <c r="FP2" t="inlineStr">
        <is>
          <t>alerts_resolved</t>
        </is>
      </c>
      <c r="FQ2" t="inlineStr">
        <is>
          <t>alert_resolution_days</t>
        </is>
      </c>
      <c r="FR2" t="inlineStr">
        <is>
          <t>escalations_closed</t>
        </is>
      </c>
      <c r="FS2" t="inlineStr">
        <is>
          <t>repeat_issues</t>
        </is>
      </c>
      <c r="FT2" t="inlineStr">
        <is>
          <t>root_causes_identified</t>
        </is>
      </c>
      <c r="FU2" t="inlineStr">
        <is>
          <t>root_causes_eliminated</t>
        </is>
      </c>
      <c r="FV2" t="inlineStr">
        <is>
          <t>ebitda_k</t>
        </is>
      </c>
      <c r="FW2" t="inlineStr">
        <is>
          <t>ebit_k</t>
        </is>
      </c>
      <c r="FX2" t="inlineStr">
        <is>
          <t>nwc_k</t>
        </is>
      </c>
      <c r="FY2" t="inlineStr">
        <is>
          <t>nwc_change_k</t>
        </is>
      </c>
      <c r="FZ2" t="inlineStr">
        <is>
          <t>op_cash_flow_k</t>
        </is>
      </c>
      <c r="GA2" t="inlineStr">
        <is>
          <t>fcf_k</t>
        </is>
      </c>
      <c r="GB2" t="inlineStr">
        <is>
          <t>net_debt_k</t>
        </is>
      </c>
      <c r="GC2" t="inlineStr">
        <is>
          <t>ebitda_annualised_k</t>
        </is>
      </c>
      <c r="GD2" t="inlineStr">
        <is>
          <t>dso_d</t>
        </is>
      </c>
      <c r="GE2" t="inlineStr">
        <is>
          <t>dpo_d</t>
        </is>
      </c>
      <c r="GF2" t="inlineStr">
        <is>
          <t>dio_d</t>
        </is>
      </c>
      <c r="GG2" t="inlineStr">
        <is>
          <t>price_vs_plan_pct</t>
        </is>
      </c>
      <c r="GH2" t="inlineStr">
        <is>
          <t>fte</t>
        </is>
      </c>
      <c r="GI2" t="inlineStr">
        <is>
          <t>fcf_plan_fy_k</t>
        </is>
      </c>
      <c r="GJ2" t="inlineStr">
        <is>
          <t>forecast_fcf_rest_k</t>
        </is>
      </c>
      <c r="GK2" t="inlineStr">
        <is>
          <t>ebit_fcst_rest_k</t>
        </is>
      </c>
      <c r="GL2" t="inlineStr">
        <is>
          <t>capital_employed_p12_k</t>
        </is>
      </c>
      <c r="GM2" t="inlineStr">
        <is>
          <t>ebitda_plan_fy_k</t>
        </is>
      </c>
      <c r="GN2" t="inlineStr">
        <is>
          <t>ebitda_fy_sigma_k</t>
        </is>
      </c>
      <c r="GO2" t="inlineStr">
        <is>
          <t>disclosure_deadline_h</t>
        </is>
      </c>
      <c r="GP2" t="inlineStr">
        <is>
          <t>single_source_elevated</t>
        </is>
      </c>
      <c r="GQ2" t="inlineStr">
        <is>
          <t>rm1_price_index</t>
        </is>
      </c>
      <c r="GR2" t="inlineStr">
        <is>
          <t>freight_lanes_disrupted</t>
        </is>
      </c>
    </row>
    <row r="3">
      <c r="A3" t="inlineStr">
        <is>
          <t>Same layout as Group Inputs; inputs link to Plant Inputs (Plant 03). Entity-only inputs are blank, so KPIs that need them are not calculated at plant level.</t>
        </is>
      </c>
      <c r="E3" t="inlineStr">
        <is>
          <t>Sum of Entity A1 and Entity A2 (Entity Inputs sheet)</t>
        </is>
      </c>
      <c r="F3" t="inlineStr">
        <is>
          <t>Sum of Entity A1 and Entity A2 (Entity Inputs sheet)</t>
        </is>
      </c>
      <c r="G3" t="inlineStr">
        <is>
          <t>Sum of Entity A1 and Entity A2 (Entity Inputs sheet)</t>
        </is>
      </c>
      <c r="H3" t="inlineStr">
        <is>
          <t>Sum of Entity A1 and Entity A2 (Entity Inputs sheet)</t>
        </is>
      </c>
      <c r="I3" t="inlineStr">
        <is>
          <t>Sum of Entity A1 and Entity A2 (Entity Inputs sheet)</t>
        </is>
      </c>
      <c r="J3" t="inlineStr">
        <is>
          <t>Sum of Entity A1 and Entity A2 (Entity Inputs sheet)</t>
        </is>
      </c>
      <c r="K3" t="inlineStr">
        <is>
          <t>Sum of Entity A1 and Entity A2 (Entity Inputs sheet)</t>
        </is>
      </c>
      <c r="L3" t="inlineStr">
        <is>
          <t>Sum of Entity A1 and Entity A2 (Entity Inputs sheet)</t>
        </is>
      </c>
      <c r="M3" t="inlineStr">
        <is>
          <t>Sum of Entity A1 and Entity A2 (Entity Inputs sheet)</t>
        </is>
      </c>
      <c r="N3" t="inlineStr">
        <is>
          <t>Sum of Entity A1 and Entity A2 (Entity Inputs sheet)</t>
        </is>
      </c>
      <c r="O3" t="inlineStr">
        <is>
          <t>Sum of Entity A1 and Entity A2 (Entity Inputs sheet)</t>
        </is>
      </c>
      <c r="P3" t="inlineStr">
        <is>
          <t>Sum of Entity A1 and Entity A2 (Entity Inputs sheet)</t>
        </is>
      </c>
      <c r="Q3" t="inlineStr">
        <is>
          <t>Sum of Entity A1 and Entity A2 (Entity Inputs sheet)</t>
        </is>
      </c>
      <c r="R3" t="inlineStr">
        <is>
          <t>Sum of Entity A1 and Entity A2 (Entity Inputs sheet)</t>
        </is>
      </c>
      <c r="S3" t="inlineStr">
        <is>
          <t>Sum of Entity A1 and Entity A2 (Entity Inputs sheet)</t>
        </is>
      </c>
      <c r="T3" t="inlineStr">
        <is>
          <t>Sum of Entity A1 and Entity A2 (Entity Inputs sheet)</t>
        </is>
      </c>
      <c r="U3" t="inlineStr">
        <is>
          <t>Sum of Entity A1 and Entity A2 (Entity Inputs sheet)</t>
        </is>
      </c>
      <c r="V3" t="inlineStr">
        <is>
          <t>Sum of Entity A1 and Entity A2 (Entity Inputs sheet)</t>
        </is>
      </c>
      <c r="W3" t="inlineStr">
        <is>
          <t>Sum of Entity A1 and Entity A2 (Entity Inputs sheet)</t>
        </is>
      </c>
      <c r="X3" t="inlineStr">
        <is>
          <t>Sum of Entity A1 and Entity A2 (Entity Inputs sheet)</t>
        </is>
      </c>
      <c r="Y3" t="inlineStr">
        <is>
          <t>Sum of Entity A1 and Entity A2 (Entity Inputs sheet)</t>
        </is>
      </c>
      <c r="Z3" t="inlineStr">
        <is>
          <t>Sum of Entity A1 and Entity A2 (Entity Inputs sheet)</t>
        </is>
      </c>
      <c r="AA3" t="inlineStr">
        <is>
          <t>Sum of Entity A1 and Entity A2 (Entity Inputs sheet)</t>
        </is>
      </c>
      <c r="AB3" t="inlineStr">
        <is>
          <t>Sum of Entity A1 and Entity A2 (Entity Inputs sheet)</t>
        </is>
      </c>
      <c r="AC3" t="inlineStr">
        <is>
          <t>Sum of Entity A1 and Entity A2 (Entity Inputs sheet)</t>
        </is>
      </c>
      <c r="AD3" t="inlineStr">
        <is>
          <t>Sum of Entity A1 and Entity A2 (Entity Inputs sheet)</t>
        </is>
      </c>
      <c r="AE3" t="inlineStr">
        <is>
          <t>Sum of Entity A1 and Entity A2 (Entity Inputs sheet)</t>
        </is>
      </c>
      <c r="AF3" t="inlineStr">
        <is>
          <t>Sum of Entity A1 and Entity A2 (Entity Inputs sheet)</t>
        </is>
      </c>
      <c r="AG3" t="inlineStr">
        <is>
          <t>Sum of Entity A1 and Entity A2 (Entity Inputs sheet)</t>
        </is>
      </c>
      <c r="AH3" t="inlineStr">
        <is>
          <t>Sum of Entity A1 and Entity A2 (Entity Inputs sheet)</t>
        </is>
      </c>
      <c r="AI3" t="inlineStr">
        <is>
          <t>Sum of Entity A1 and Entity A2 (Entity Inputs sheet)</t>
        </is>
      </c>
      <c r="AJ3" t="inlineStr">
        <is>
          <t>Sum of Entity A1 and Entity A2 (Entity Inputs sheet)</t>
        </is>
      </c>
      <c r="AK3" t="inlineStr">
        <is>
          <t>Sum of Entity A1 and Entity A2 (Entity Inputs sheet)</t>
        </is>
      </c>
      <c r="AL3" t="inlineStr">
        <is>
          <t>Sum of Entity A1 and Entity A2 (Entity Inputs sheet)</t>
        </is>
      </c>
      <c r="AM3" t="inlineStr">
        <is>
          <t>Sum of Entity A1 and Entity A2 (Entity Inputs sheet)</t>
        </is>
      </c>
      <c r="AN3" t="inlineStr">
        <is>
          <t>Sum of Entity A1 and Entity A2 (Entity Inputs sheet)</t>
        </is>
      </c>
      <c r="AO3" t="inlineStr">
        <is>
          <t>Sum of Entity A1 and Entity A2 (Entity Inputs sheet)</t>
        </is>
      </c>
      <c r="AP3" t="inlineStr">
        <is>
          <t>Sum of Entity A1 and Entity A2 (Entity Inputs sheet)</t>
        </is>
      </c>
      <c r="AQ3" t="inlineStr">
        <is>
          <t>Sum of Entity A1 and Entity A2 (Entity Inputs sheet)</t>
        </is>
      </c>
      <c r="AR3" t="inlineStr">
        <is>
          <t>Lowest of Entity A1 and Entity A2 (Entity Inputs sheet)</t>
        </is>
      </c>
      <c r="AS3" t="inlineStr">
        <is>
          <t>Sum of Entity A1 and Entity A2 (Entity Inputs sheet)</t>
        </is>
      </c>
      <c r="AT3" t="inlineStr">
        <is>
          <t>Sum of Entity A1 and Entity A2 (Entity Inputs sheet)</t>
        </is>
      </c>
      <c r="AU3" t="inlineStr">
        <is>
          <t>Sum of Entity A1 and Entity A2 (Entity Inputs sheet)</t>
        </is>
      </c>
      <c r="AV3" t="inlineStr">
        <is>
          <t>Sum of Entity A1 and Entity A2 (Entity Inputs sheet)</t>
        </is>
      </c>
      <c r="AW3" t="inlineStr">
        <is>
          <t>Sum of Entity A1 and Entity A2 (Entity Inputs sheet)</t>
        </is>
      </c>
      <c r="AX3" t="inlineStr">
        <is>
          <t>Sum of Entity A1 and Entity A2 (Entity Inputs sheet)</t>
        </is>
      </c>
      <c r="AY3" t="inlineStr">
        <is>
          <t>Sum of Entity A1 and Entity A2 (Entity Inputs sheet)</t>
        </is>
      </c>
      <c r="AZ3" t="inlineStr">
        <is>
          <t>Sum of Entity A1 and Entity A2 (Entity Inputs sheet)</t>
        </is>
      </c>
      <c r="BA3" t="inlineStr">
        <is>
          <t>Sum of Entity A1 and Entity A2 (Entity Inputs sheet)</t>
        </is>
      </c>
      <c r="BB3" t="inlineStr">
        <is>
          <t>Sum of Entity A1 and Entity A2 (Entity Inputs sheet)</t>
        </is>
      </c>
      <c r="BC3" t="inlineStr">
        <is>
          <t>Sum of Entity A1 and Entity A2 (Entity Inputs sheet)</t>
        </is>
      </c>
      <c r="BD3" t="inlineStr">
        <is>
          <t>Sum of Entity A1 and Entity A2 (Entity Inputs sheet)</t>
        </is>
      </c>
      <c r="BE3" t="inlineStr">
        <is>
          <t>Sum of Entity A1 and Entity A2 (Entity Inputs sheet)</t>
        </is>
      </c>
      <c r="BF3" t="inlineStr">
        <is>
          <t>Sum of Entity A1 and Entity A2 (Entity Inputs sheet)</t>
        </is>
      </c>
      <c r="BG3" t="inlineStr">
        <is>
          <t>Sum of Entity A1 and Entity A2 (Entity Inputs sheet)</t>
        </is>
      </c>
      <c r="BH3" t="inlineStr">
        <is>
          <t>Sum of Entity A1 and Entity A2 (Entity Inputs sheet)</t>
        </is>
      </c>
      <c r="BI3" t="inlineStr">
        <is>
          <t>Sum of Entity A1 and Entity A2 (Entity Inputs sheet)</t>
        </is>
      </c>
      <c r="BJ3" t="inlineStr">
        <is>
          <t>Sum of Entity A1 and Entity A2 (Entity Inputs sheet)</t>
        </is>
      </c>
      <c r="BK3" t="inlineStr">
        <is>
          <t>Sum of Entity A1 and Entity A2 (Entity Inputs sheet)</t>
        </is>
      </c>
      <c r="BL3" t="inlineStr">
        <is>
          <t>Sum of Entity A1 and Entity A2 (Entity Inputs sheet)</t>
        </is>
      </c>
      <c r="BM3" t="inlineStr">
        <is>
          <t>Sum of Entity A1 and Entity A2 (Entity Inputs sheet)</t>
        </is>
      </c>
      <c r="BN3" t="inlineStr">
        <is>
          <t>Sum of Entity A1 and Entity A2 (Entity Inputs sheet)</t>
        </is>
      </c>
      <c r="BO3" t="inlineStr">
        <is>
          <t>Sum of Entity A1 and Entity A2 (Entity Inputs sheet)</t>
        </is>
      </c>
      <c r="BP3" t="inlineStr">
        <is>
          <t>Sum of Entity A1 and Entity A2 (Entity Inputs sheet)</t>
        </is>
      </c>
      <c r="BQ3" t="inlineStr">
        <is>
          <t>Sum of Entity A1 and Entity A2 (Entity Inputs sheet)</t>
        </is>
      </c>
      <c r="BR3" t="inlineStr">
        <is>
          <t>Sum of Entity A1 and Entity A2 (Entity Inputs sheet)</t>
        </is>
      </c>
      <c r="BS3" t="inlineStr">
        <is>
          <t>Lowest of Entity A1 and Entity A2 (Entity Inputs sheet)</t>
        </is>
      </c>
      <c r="BT3" t="inlineStr">
        <is>
          <t>Sum of Entity A1 and Entity A2 (Entity Inputs sheet)</t>
        </is>
      </c>
      <c r="BU3" t="inlineStr">
        <is>
          <t>Sum of Entity A1 and Entity A2 (Entity Inputs sheet)</t>
        </is>
      </c>
      <c r="BV3" t="inlineStr">
        <is>
          <t>Sum of Entity A1 and Entity A2 (Entity Inputs sheet)</t>
        </is>
      </c>
      <c r="BW3" t="inlineStr">
        <is>
          <t>Sum of Entity A1 and Entity A2 (Entity Inputs sheet)</t>
        </is>
      </c>
      <c r="BX3" t="inlineStr">
        <is>
          <t>Sum of Entity A1 and Entity A2 (Entity Inputs sheet)</t>
        </is>
      </c>
      <c r="BY3" t="inlineStr">
        <is>
          <t>Sum of Entity A1 and Entity A2 (Entity Inputs sheet)</t>
        </is>
      </c>
      <c r="BZ3" t="inlineStr">
        <is>
          <t>Sum of Entity A1 and Entity A2 (Entity Inputs sheet)</t>
        </is>
      </c>
      <c r="CA3" t="inlineStr">
        <is>
          <t>Sum of Entity A1 and Entity A2 (Entity Inputs sheet)</t>
        </is>
      </c>
      <c r="CB3" t="inlineStr">
        <is>
          <t>Sum of Entity A1 and Entity A2 (Entity Inputs sheet)</t>
        </is>
      </c>
      <c r="CC3" t="inlineStr">
        <is>
          <t>Sum of Entity A1 and Entity A2 (Entity Inputs sheet)</t>
        </is>
      </c>
      <c r="CD3" t="inlineStr">
        <is>
          <t>Sum of Entity A1 and Entity A2 (Entity Inputs sheet)</t>
        </is>
      </c>
      <c r="CE3" t="inlineStr">
        <is>
          <t>Sum of Entity A1 and Entity A2 (Entity Inputs sheet)</t>
        </is>
      </c>
      <c r="CF3" t="inlineStr">
        <is>
          <t>Sum of Entity A1 and Entity A2 (Entity Inputs sheet)</t>
        </is>
      </c>
      <c r="CG3" t="inlineStr">
        <is>
          <t>Sum of Entity A1 and Entity A2 (Entity Inputs sheet)</t>
        </is>
      </c>
      <c r="CH3" t="inlineStr">
        <is>
          <t>Sum of Entity A1 and Entity A2 (Entity Inputs sheet)</t>
        </is>
      </c>
      <c r="CI3" t="inlineStr">
        <is>
          <t>Sum of Entity A1 and Entity A2 (Entity Inputs sheet)</t>
        </is>
      </c>
      <c r="CJ3" t="inlineStr">
        <is>
          <t>Sum of Entity A1 and Entity A2 (Entity Inputs sheet)</t>
        </is>
      </c>
      <c r="CK3" t="inlineStr">
        <is>
          <t>Sum of Entity A1 and Entity A2 (Entity Inputs sheet)</t>
        </is>
      </c>
      <c r="CL3" t="inlineStr">
        <is>
          <t>Sum of Entity A1 and Entity A2 (Entity Inputs sheet)</t>
        </is>
      </c>
      <c r="CM3" t="inlineStr">
        <is>
          <t>Sum of Entity A1 and Entity A2 (Entity Inputs sheet)</t>
        </is>
      </c>
      <c r="CN3" t="inlineStr">
        <is>
          <t>Sum of Entity A1 and Entity A2 (Entity Inputs sheet)</t>
        </is>
      </c>
      <c r="CO3" t="inlineStr">
        <is>
          <t>Sum of Entity A1 and Entity A2 (Entity Inputs sheet)</t>
        </is>
      </c>
      <c r="CP3" t="inlineStr">
        <is>
          <t>Sum of Entity A1 and Entity A2 (Entity Inputs sheet)</t>
        </is>
      </c>
      <c r="CQ3" t="inlineStr">
        <is>
          <t>Sum of Entity A1 and Entity A2 (Entity Inputs sheet)</t>
        </is>
      </c>
      <c r="CR3" t="inlineStr">
        <is>
          <t>Sum of Entity A1 and Entity A2 (Entity Inputs sheet)</t>
        </is>
      </c>
      <c r="CS3" t="inlineStr">
        <is>
          <t>Sum of Entity A1 and Entity A2 (Entity Inputs sheet)</t>
        </is>
      </c>
      <c r="CT3" t="inlineStr">
        <is>
          <t>Sum of Entity A1 and Entity A2 (Entity Inputs sheet)</t>
        </is>
      </c>
      <c r="CU3" t="inlineStr">
        <is>
          <t>Sum of Entity A1 and Entity A2 (Entity Inputs sheet)</t>
        </is>
      </c>
      <c r="CV3" t="inlineStr">
        <is>
          <t>Sum of Entity A1 and Entity A2 (Entity Inputs sheet)</t>
        </is>
      </c>
      <c r="CW3" t="inlineStr">
        <is>
          <t>Sum of Entity A1 and Entity A2 (Entity Inputs sheet)</t>
        </is>
      </c>
      <c r="CX3" t="inlineStr">
        <is>
          <t>Sum of Entity A1 and Entity A2 (Entity Inputs sheet)</t>
        </is>
      </c>
      <c r="CY3" t="inlineStr">
        <is>
          <t>Sum of Entity A1 and Entity A2 (Entity Inputs sheet)</t>
        </is>
      </c>
      <c r="CZ3" t="inlineStr">
        <is>
          <t>Sum of Entity A1 and Entity A2 (Entity Inputs sheet)</t>
        </is>
      </c>
      <c r="DA3" t="inlineStr">
        <is>
          <t>Sum of Entity A1 and Entity A2 (Entity Inputs sheet)</t>
        </is>
      </c>
      <c r="DB3" t="inlineStr">
        <is>
          <t>Sum of Entity A1 and Entity A2 (Entity Inputs sheet)</t>
        </is>
      </c>
      <c r="DC3" t="inlineStr">
        <is>
          <t>Sum of Entity A1 and Entity A2 (Entity Inputs sheet)</t>
        </is>
      </c>
      <c r="DD3" t="inlineStr">
        <is>
          <t>Sum of Entity A1 and Entity A2 (Entity Inputs sheet)</t>
        </is>
      </c>
      <c r="DE3" t="inlineStr">
        <is>
          <t>Sum of Entity A1 and Entity A2 (Entity Inputs sheet)</t>
        </is>
      </c>
      <c r="DF3" t="inlineStr">
        <is>
          <t>Sum of Entity A1 and Entity A2 (Entity Inputs sheet)</t>
        </is>
      </c>
      <c r="DG3" t="inlineStr">
        <is>
          <t>Sum of Entity A1 and Entity A2 (Entity Inputs sheet)</t>
        </is>
      </c>
      <c r="DH3" t="inlineStr">
        <is>
          <t>Sum of Entity A1 and Entity A2 (Entity Inputs sheet)</t>
        </is>
      </c>
      <c r="DI3" t="inlineStr">
        <is>
          <t>Sum of Entity A1 and Entity A2 (Entity Inputs sheet)</t>
        </is>
      </c>
      <c r="DJ3" t="inlineStr">
        <is>
          <t>Sum of Entity A1 and Entity A2 (Entity Inputs sheet)</t>
        </is>
      </c>
      <c r="DK3" t="inlineStr">
        <is>
          <t>Sum of Entity A1 and Entity A2 (Entity Inputs sheet)</t>
        </is>
      </c>
      <c r="DL3" t="inlineStr">
        <is>
          <t>Sum of Entity A1 and Entity A2 (Entity Inputs sheet)</t>
        </is>
      </c>
      <c r="DM3" t="inlineStr">
        <is>
          <t>Sum of Entity A1 and Entity A2 (Entity Inputs sheet)</t>
        </is>
      </c>
      <c r="DN3" t="inlineStr">
        <is>
          <t>Sum of Entity A1 and Entity A2 (Entity Inputs sheet)</t>
        </is>
      </c>
      <c r="DO3" t="inlineStr">
        <is>
          <t>Sum of Entity A1 and Entity A2 (Entity Inputs sheet)</t>
        </is>
      </c>
      <c r="DP3" t="inlineStr">
        <is>
          <t>Sum of Entity A1 and Entity A2 (Entity Inputs sheet)</t>
        </is>
      </c>
      <c r="DQ3" t="inlineStr">
        <is>
          <t>Sum of Entity A1 and Entity A2 (Entity Inputs sheet)</t>
        </is>
      </c>
      <c r="DR3" t="inlineStr">
        <is>
          <t>Sum of Entity A1 and Entity A2 (Entity Inputs sheet)</t>
        </is>
      </c>
      <c r="DS3" t="inlineStr">
        <is>
          <t>Sum of Entity A1 and Entity A2 (Entity Inputs sheet)</t>
        </is>
      </c>
      <c r="DT3" t="inlineStr">
        <is>
          <t>Sum of Entity A1 and Entity A2 (Entity Inputs sheet)</t>
        </is>
      </c>
      <c r="DU3" t="inlineStr">
        <is>
          <t>Sum of Entity A1 and Entity A2 (Entity Inputs sheet)</t>
        </is>
      </c>
      <c r="DV3" t="inlineStr">
        <is>
          <t>Sum of Entity A1 and Entity A2 (Entity Inputs sheet)</t>
        </is>
      </c>
      <c r="DW3" t="inlineStr">
        <is>
          <t>Sum of Entity A1 and Entity A2 (Entity Inputs sheet)</t>
        </is>
      </c>
      <c r="DX3" t="inlineStr">
        <is>
          <t>Sum of Entity A1 and Entity A2 (Entity Inputs sheet)</t>
        </is>
      </c>
      <c r="DY3" t="inlineStr">
        <is>
          <t>Sum of Entity A1 and Entity A2 (Entity Inputs sheet)</t>
        </is>
      </c>
      <c r="DZ3" t="inlineStr">
        <is>
          <t>Sum of Entity A1 and Entity A2 (Entity Inputs sheet)</t>
        </is>
      </c>
      <c r="EA3" t="inlineStr">
        <is>
          <t>Sum of Entity A1 and Entity A2 (Entity Inputs sheet)</t>
        </is>
      </c>
      <c r="EB3" t="inlineStr">
        <is>
          <t>Sum of Entity A1 and Entity A2 (Entity Inputs sheet)</t>
        </is>
      </c>
      <c r="EC3" t="inlineStr">
        <is>
          <t>Sum of Entity A1 and Entity A2 (Entity Inputs sheet)</t>
        </is>
      </c>
      <c r="ED3" t="inlineStr">
        <is>
          <t>Sum of Entity A1 and Entity A2 (Entity Inputs sheet)</t>
        </is>
      </c>
      <c r="EE3" t="inlineStr">
        <is>
          <t>Sum of Entity A1 and Entity A2 (Entity Inputs sheet)</t>
        </is>
      </c>
      <c r="EF3" t="inlineStr">
        <is>
          <t>Sum of Entity A1 and Entity A2 (Entity Inputs sheet)</t>
        </is>
      </c>
      <c r="EG3" t="inlineStr">
        <is>
          <t>Sum of Entity A1 and Entity A2 (Entity Inputs sheet)</t>
        </is>
      </c>
      <c r="EH3" t="inlineStr">
        <is>
          <t>Sum of Entity A1 and Entity A2 (Entity Inputs sheet)</t>
        </is>
      </c>
      <c r="EI3" t="inlineStr">
        <is>
          <t>Sum of Entity A1 and Entity A2 (Entity Inputs sheet)</t>
        </is>
      </c>
      <c r="EJ3" t="inlineStr">
        <is>
          <t>Sum of Entity A1 and Entity A2 (Entity Inputs sheet)</t>
        </is>
      </c>
      <c r="EK3" t="inlineStr">
        <is>
          <t>Sum of Entity A1 and Entity A2 (Entity Inputs sheet)</t>
        </is>
      </c>
      <c r="EL3" t="inlineStr">
        <is>
          <t>Sum of Entity A1 and Entity A2 (Entity Inputs sheet)</t>
        </is>
      </c>
      <c r="EM3" t="inlineStr">
        <is>
          <t>Sum of Entity A1 and Entity A2 (Entity Inputs sheet)</t>
        </is>
      </c>
      <c r="EN3" t="inlineStr">
        <is>
          <t>Sum of Entity A1 and Entity A2 (Entity Inputs sheet)</t>
        </is>
      </c>
      <c r="EO3" t="inlineStr">
        <is>
          <t>Sum of Entity A1 and Entity A2 (Entity Inputs sheet)</t>
        </is>
      </c>
      <c r="EP3" t="inlineStr">
        <is>
          <t>Sum of Entity A1 and Entity A2 (Entity Inputs sheet)</t>
        </is>
      </c>
      <c r="EQ3" t="inlineStr">
        <is>
          <t>Sum of Entity A1 and Entity A2 (Entity Inputs sheet)</t>
        </is>
      </c>
      <c r="ER3" t="inlineStr">
        <is>
          <t>Sum of Entity A1 and Entity A2 (Entity Inputs sheet)</t>
        </is>
      </c>
      <c r="ES3" t="inlineStr">
        <is>
          <t>Sum of Entity A1 and Entity A2 (Entity Inputs sheet)</t>
        </is>
      </c>
      <c r="ET3" t="inlineStr">
        <is>
          <t>Sum of Entity A1 and Entity A2 (Entity Inputs sheet)</t>
        </is>
      </c>
      <c r="EU3" t="inlineStr">
        <is>
          <t>Sum of Entity A1 and Entity A2 (Entity Inputs sheet)</t>
        </is>
      </c>
      <c r="EV3" t="inlineStr">
        <is>
          <t>Sum of Entity A1 and Entity A2 (Entity Inputs sheet)</t>
        </is>
      </c>
      <c r="EW3" t="inlineStr">
        <is>
          <t>Sum of Entity A1 and Entity A2 (Entity Inputs sheet)</t>
        </is>
      </c>
      <c r="EX3" t="inlineStr">
        <is>
          <t>Sum of Entity A1 and Entity A2 (Entity Inputs sheet)</t>
        </is>
      </c>
      <c r="EY3" t="inlineStr">
        <is>
          <t>Sum of Entity A1 and Entity A2 (Entity Inputs sheet)</t>
        </is>
      </c>
      <c r="EZ3" t="inlineStr">
        <is>
          <t>Sum of Entity A1 and Entity A2 (Entity Inputs sheet)</t>
        </is>
      </c>
      <c r="FA3" t="inlineStr">
        <is>
          <t>Sum of Entity A1 and Entity A2 (Entity Inputs sheet)</t>
        </is>
      </c>
      <c r="FB3" t="inlineStr">
        <is>
          <t>Sum of Entity A1 and Entity A2 (Entity Inputs sheet)</t>
        </is>
      </c>
      <c r="FC3" t="inlineStr">
        <is>
          <t>Sum of Entity A1 and Entity A2 (Entity Inputs sheet)</t>
        </is>
      </c>
      <c r="FD3" t="inlineStr">
        <is>
          <t>Sum of Entity A1 and Entity A2 (Entity Inputs sheet)</t>
        </is>
      </c>
      <c r="FE3" t="inlineStr">
        <is>
          <t>Sum of Entity A1 and Entity A2 (Entity Inputs sheet)</t>
        </is>
      </c>
      <c r="FF3" t="inlineStr">
        <is>
          <t>Sum of Entity A1 and Entity A2 (Entity Inputs sheet)</t>
        </is>
      </c>
      <c r="FG3" t="inlineStr">
        <is>
          <t>Sum of Entity A1 and Entity A2 (Entity Inputs sheet)</t>
        </is>
      </c>
      <c r="FH3" t="inlineStr">
        <is>
          <t>Sum of Entity A1 and Entity A2 (Entity Inputs sheet)</t>
        </is>
      </c>
      <c r="FI3" t="inlineStr">
        <is>
          <t>Sum of Entity A1 and Entity A2 (Entity Inputs sheet)</t>
        </is>
      </c>
      <c r="FJ3" t="inlineStr">
        <is>
          <t>Sum of Entity A1 and Entity A2 (Entity Inputs sheet)</t>
        </is>
      </c>
      <c r="FK3" t="inlineStr">
        <is>
          <t>Sum of Entity A1 and Entity A2 (Entity Inputs sheet)</t>
        </is>
      </c>
      <c r="FL3" t="inlineStr">
        <is>
          <t>Sum of Entity A1 and Entity A2 (Entity Inputs sheet)</t>
        </is>
      </c>
      <c r="FM3" t="inlineStr">
        <is>
          <t>Sum of Entity A1 and Entity A2 (Entity Inputs sheet)</t>
        </is>
      </c>
      <c r="FN3" t="inlineStr">
        <is>
          <t>Sum of Entity A1 and Entity A2 (Entity Inputs sheet)</t>
        </is>
      </c>
      <c r="FO3" t="inlineStr">
        <is>
          <t>Sum of Entity A1 and Entity A2 (Entity Inputs sheet)</t>
        </is>
      </c>
      <c r="FP3" t="inlineStr">
        <is>
          <t>Sum of Entity A1 and Entity A2 (Entity Inputs sheet)</t>
        </is>
      </c>
      <c r="FQ3" t="inlineStr">
        <is>
          <t>Sum of Entity A1 and Entity A2 (Entity Inputs sheet)</t>
        </is>
      </c>
      <c r="FR3" t="inlineStr">
        <is>
          <t>Sum of Entity A1 and Entity A2 (Entity Inputs sheet)</t>
        </is>
      </c>
      <c r="FS3" t="inlineStr">
        <is>
          <t>Sum of Entity A1 and Entity A2 (Entity Inputs sheet)</t>
        </is>
      </c>
      <c r="FT3" t="inlineStr">
        <is>
          <t>Sum of Entity A1 and Entity A2 (Entity Inputs sheet)</t>
        </is>
      </c>
      <c r="FU3" t="inlineStr">
        <is>
          <t>Sum of Entity A1 and Entity A2 (Entity Inputs sheet)</t>
        </is>
      </c>
      <c r="FV3" t="inlineStr">
        <is>
          <t>Calculated: Revenue − Variable cost − Fixed cost − Overheads</t>
        </is>
      </c>
      <c r="FW3" t="inlineStr">
        <is>
          <t>Calculated: EBITDA − Depreciation and amortisation</t>
        </is>
      </c>
      <c r="FX3" t="inlineStr">
        <is>
          <t>Calculated: Trade receivables + Inventory − Trade payables</t>
        </is>
      </c>
      <c r="FY3" t="inlineStr">
        <is>
          <t>Calculated: Net working capital − last month's net working capital (April uses the 31 March balance on Parameters)</t>
        </is>
      </c>
      <c r="FZ3" t="inlineStr">
        <is>
          <t>Calculated: EBITDA − Tax paid − Change in net working capital</t>
        </is>
      </c>
      <c r="GA3" t="inlineStr">
        <is>
          <t>Calculated: Operating cash flow − Capex spent</t>
        </is>
      </c>
      <c r="GB3" t="inlineStr">
        <is>
          <t>Calculated: Gross debt − Cash</t>
        </is>
      </c>
      <c r="GC3" t="inlineStr">
        <is>
          <t>Calculated: EBITDA since April × 12 ÷ months elapsed</t>
        </is>
      </c>
      <c r="GD3" t="inlineStr">
        <is>
          <t>Calculated: Trade receivables ÷ Revenue × Days in month</t>
        </is>
      </c>
      <c r="GE3" t="inlineStr">
        <is>
          <t>Calculated: Trade payables ÷ Variable cost × Days in month</t>
        </is>
      </c>
      <c r="GF3" t="inlineStr">
        <is>
          <t>Calculated: Inventory ÷ Variable cost × Days in month</t>
        </is>
      </c>
      <c r="GG3" t="inlineStr">
        <is>
          <t>Calculated: (Revenue ÷ Sales volume) ÷ (Planned revenue ÷ Planned sales volume) − 1, as %</t>
        </is>
      </c>
      <c r="GH3" t="inlineStr">
        <is>
          <t>SUM of Entity A1 and Entity A2 (added)</t>
        </is>
      </c>
      <c r="GI3" t="inlineStr">
        <is>
          <t>SUM of Entity A1 and Entity A2 (added)</t>
        </is>
      </c>
      <c r="GJ3" t="inlineStr">
        <is>
          <t>SUM of Entity A1 and Entity A2 (added)</t>
        </is>
      </c>
      <c r="GK3" t="inlineStr">
        <is>
          <t>SUM of Entity A1 and Entity A2 (added)</t>
        </is>
      </c>
      <c r="GL3" t="inlineStr">
        <is>
          <t>SUM of Entity A1 and Entity A2 (added)</t>
        </is>
      </c>
      <c r="GM3" t="inlineStr">
        <is>
          <t>SUM of Entity A1 and Entity A2 (added)</t>
        </is>
      </c>
      <c r="GN3" t="inlineStr">
        <is>
          <t>SQRTSUMSQ of Entity A1 and Entity A2 (added)</t>
        </is>
      </c>
      <c r="GO3" t="inlineStr">
        <is>
          <t>MIN of Entity A1 and Entity A2 (added)</t>
        </is>
      </c>
      <c r="GP3" t="inlineStr">
        <is>
          <t>SUM of Entity A1 and Entity A2 (added)</t>
        </is>
      </c>
      <c r="GQ3" t="inlineStr">
        <is>
          <t>FIRST of Entity A1 and Entity A2 (added)</t>
        </is>
      </c>
      <c r="GR3" t="inlineStr">
        <is>
          <t>SUM of Entity A1 and Entity A2 (added)</t>
        </is>
      </c>
    </row>
    <row r="4">
      <c r="A4" t="inlineStr">
        <is>
          <t>Plant 03</t>
        </is>
      </c>
      <c r="B4" t="inlineStr">
        <is>
          <t>2026-04</t>
        </is>
      </c>
      <c r="C4" t="n">
        <v>30</v>
      </c>
      <c r="D4" t="n">
        <v>1</v>
      </c>
      <c r="E4">
        <f>'Plant Inputs'!F16</f>
        <v/>
      </c>
      <c r="F4">
        <f>'Plant Inputs'!G16</f>
        <v/>
      </c>
      <c r="G4">
        <f>'Plant Inputs'!H16</f>
        <v/>
      </c>
      <c r="H4">
        <f>'Plant Inputs'!I16</f>
        <v/>
      </c>
      <c r="I4">
        <f>'Plant Inputs'!J16</f>
        <v/>
      </c>
      <c r="J4">
        <f>'Plant Inputs'!K16</f>
        <v/>
      </c>
      <c r="K4">
        <f>'Plant Inputs'!L16</f>
        <v/>
      </c>
      <c r="L4">
        <f>'Plant Inputs'!M16</f>
        <v/>
      </c>
      <c r="M4">
        <f>'Plant Inputs'!N16</f>
        <v/>
      </c>
      <c r="N4">
        <f>'Plant Inputs'!O16</f>
        <v/>
      </c>
      <c r="O4">
        <f>'Plant Inputs'!P16</f>
        <v/>
      </c>
      <c r="P4">
        <f>'Plant Inputs'!Q16</f>
        <v/>
      </c>
      <c r="Q4">
        <f>'Plant Inputs'!R16</f>
        <v/>
      </c>
      <c r="R4">
        <f>'Plant Inputs'!S16</f>
        <v/>
      </c>
      <c r="S4">
        <f>'Plant Inputs'!T16</f>
        <v/>
      </c>
      <c r="T4">
        <f>'Plant Inputs'!U16</f>
        <v/>
      </c>
      <c r="U4">
        <f>'Plant Inputs'!V16</f>
        <v/>
      </c>
      <c r="V4">
        <f>'Plant Inputs'!W16</f>
        <v/>
      </c>
      <c r="W4">
        <f>'Plant Inputs'!X16</f>
        <v/>
      </c>
      <c r="X4">
        <f>'Plant Inputs'!Y16</f>
        <v/>
      </c>
      <c r="Y4">
        <f>'Plant Inputs'!Z16</f>
        <v/>
      </c>
      <c r="Z4">
        <f>'Plant Inputs'!AA16</f>
        <v/>
      </c>
      <c r="AA4">
        <f>'Plant Inputs'!AB16</f>
        <v/>
      </c>
      <c r="AB4">
        <f>'Plant Inputs'!AC16</f>
        <v/>
      </c>
      <c r="AC4">
        <f>'Plant Inputs'!AD16</f>
        <v/>
      </c>
      <c r="AD4">
        <f>'Plant Inputs'!AE16</f>
        <v/>
      </c>
      <c r="AE4">
        <f>'Plant Inputs'!AF16</f>
        <v/>
      </c>
      <c r="AF4">
        <f>'Plant Inputs'!AG16</f>
        <v/>
      </c>
      <c r="AG4">
        <f>'Plant Inputs'!AH16</f>
        <v/>
      </c>
      <c r="AH4">
        <f>'Plant Inputs'!AI16</f>
        <v/>
      </c>
      <c r="AI4">
        <f>'Plant Inputs'!AJ16</f>
        <v/>
      </c>
      <c r="AJ4">
        <f>'Plant Inputs'!AK16</f>
        <v/>
      </c>
      <c r="AK4">
        <f>'Plant Inputs'!AL16</f>
        <v/>
      </c>
      <c r="AL4">
        <f>'Plant Inputs'!AM16</f>
        <v/>
      </c>
      <c r="AM4">
        <f>'Plant Inputs'!AN16</f>
        <v/>
      </c>
      <c r="AN4">
        <f>'Plant Inputs'!AO16</f>
        <v/>
      </c>
      <c r="AO4">
        <f>'Plant Inputs'!AP16</f>
        <v/>
      </c>
      <c r="AP4">
        <f>'Plant Inputs'!AQ16</f>
        <v/>
      </c>
      <c r="AQ4">
        <f>'Plant Inputs'!AR16</f>
        <v/>
      </c>
      <c r="AR4">
        <f>'Plant Inputs'!AS16</f>
        <v/>
      </c>
      <c r="AS4">
        <f>'Plant Inputs'!AT16</f>
        <v/>
      </c>
      <c r="AT4">
        <f>'Plant Inputs'!AU16</f>
        <v/>
      </c>
      <c r="AU4">
        <f>'Plant Inputs'!AV16</f>
        <v/>
      </c>
      <c r="AV4">
        <f>'Plant Inputs'!AW16</f>
        <v/>
      </c>
      <c r="AW4">
        <f>'Plant Inputs'!AX16</f>
        <v/>
      </c>
      <c r="AX4">
        <f>'Plant Inputs'!AY16</f>
        <v/>
      </c>
      <c r="AY4">
        <f>'Plant Inputs'!AZ16</f>
        <v/>
      </c>
      <c r="AZ4">
        <f>'Plant Inputs'!BA16</f>
        <v/>
      </c>
      <c r="BA4">
        <f>'Plant Inputs'!BB16</f>
        <v/>
      </c>
      <c r="BB4">
        <f>'Plant Inputs'!BC16</f>
        <v/>
      </c>
      <c r="BC4">
        <f>'Plant Inputs'!BD16</f>
        <v/>
      </c>
      <c r="BD4">
        <f>'Plant Inputs'!BE16</f>
        <v/>
      </c>
      <c r="BE4">
        <f>'Plant Inputs'!BF16</f>
        <v/>
      </c>
      <c r="BF4">
        <f>'Plant Inputs'!BG16</f>
        <v/>
      </c>
      <c r="BG4">
        <f>'Plant Inputs'!BH16</f>
        <v/>
      </c>
      <c r="BH4">
        <f>'Plant Inputs'!BI16</f>
        <v/>
      </c>
      <c r="BI4">
        <f>'Plant Inputs'!BJ16</f>
        <v/>
      </c>
      <c r="BJ4">
        <f>'Plant Inputs'!BK16</f>
        <v/>
      </c>
      <c r="BK4">
        <f>'Plant Inputs'!BL16</f>
        <v/>
      </c>
      <c r="BL4">
        <f>'Plant Inputs'!BM16</f>
        <v/>
      </c>
      <c r="BM4">
        <f>'Plant Inputs'!BN16</f>
        <v/>
      </c>
      <c r="BN4">
        <f>'Plant Inputs'!BO16</f>
        <v/>
      </c>
      <c r="BO4">
        <f>'Plant Inputs'!BP16</f>
        <v/>
      </c>
      <c r="BP4">
        <f>'Plant Inputs'!BQ16</f>
        <v/>
      </c>
      <c r="BQ4">
        <f>'Plant Inputs'!BR16</f>
        <v/>
      </c>
      <c r="BR4">
        <f>'Plant Inputs'!BS16</f>
        <v/>
      </c>
      <c r="BS4">
        <f>'Plant Inputs'!BT16</f>
        <v/>
      </c>
      <c r="BT4">
        <f>'Plant Inputs'!BU16</f>
        <v/>
      </c>
      <c r="BU4">
        <f>'Plant Inputs'!BV16</f>
        <v/>
      </c>
      <c r="BV4">
        <f>'Plant Inputs'!BW16</f>
        <v/>
      </c>
      <c r="BW4">
        <f>'Plant Inputs'!BX16</f>
        <v/>
      </c>
      <c r="BX4">
        <f>'Plant Inputs'!BY16</f>
        <v/>
      </c>
      <c r="FV4">
        <f>AU4-V4-X4-BY4</f>
        <v/>
      </c>
      <c r="FW4">
        <f>FV4-AX4</f>
        <v/>
      </c>
      <c r="FX4">
        <f>CJ4+CL4-CK4</f>
        <v/>
      </c>
      <c r="FY4">
        <f>FX4-Parameters!$B$7</f>
        <v/>
      </c>
      <c r="FZ4">
        <f>FV4-BZ4-FY4</f>
        <v/>
      </c>
      <c r="GA4">
        <f>FZ4-DJ4</f>
        <v/>
      </c>
      <c r="GB4">
        <f>CB4-CC4</f>
        <v/>
      </c>
      <c r="GC4">
        <f>SUM(FV$4:FV4)*12/D4</f>
        <v/>
      </c>
      <c r="GD4">
        <f>IF(AU4=0,0,CJ4/AU4*C4)</f>
        <v/>
      </c>
      <c r="GE4">
        <f>IF(V4=0,0,CK4/V4*C4)</f>
        <v/>
      </c>
      <c r="GF4">
        <f>IF(V4=0,0,CL4/V4*C4)</f>
        <v/>
      </c>
      <c r="GG4">
        <f>IF(OR(AS4=0,AT4=0,AV4=0),0,100*((AU4/AS4)/(AV4/AT4)-1))</f>
        <v/>
      </c>
    </row>
    <row r="5">
      <c r="A5" t="inlineStr">
        <is>
          <t>Plant 03</t>
        </is>
      </c>
      <c r="B5" t="inlineStr">
        <is>
          <t>2026-05</t>
        </is>
      </c>
      <c r="C5" t="n">
        <v>31</v>
      </c>
      <c r="D5" t="n">
        <v>2</v>
      </c>
      <c r="E5">
        <f>'Plant Inputs'!F17</f>
        <v/>
      </c>
      <c r="F5">
        <f>'Plant Inputs'!G17</f>
        <v/>
      </c>
      <c r="G5">
        <f>'Plant Inputs'!H17</f>
        <v/>
      </c>
      <c r="H5">
        <f>'Plant Inputs'!I17</f>
        <v/>
      </c>
      <c r="I5">
        <f>'Plant Inputs'!J17</f>
        <v/>
      </c>
      <c r="J5">
        <f>'Plant Inputs'!K17</f>
        <v/>
      </c>
      <c r="K5">
        <f>'Plant Inputs'!L17</f>
        <v/>
      </c>
      <c r="L5">
        <f>'Plant Inputs'!M17</f>
        <v/>
      </c>
      <c r="M5">
        <f>'Plant Inputs'!N17</f>
        <v/>
      </c>
      <c r="N5">
        <f>'Plant Inputs'!O17</f>
        <v/>
      </c>
      <c r="O5">
        <f>'Plant Inputs'!P17</f>
        <v/>
      </c>
      <c r="P5">
        <f>'Plant Inputs'!Q17</f>
        <v/>
      </c>
      <c r="Q5">
        <f>'Plant Inputs'!R17</f>
        <v/>
      </c>
      <c r="R5">
        <f>'Plant Inputs'!S17</f>
        <v/>
      </c>
      <c r="S5">
        <f>'Plant Inputs'!T17</f>
        <v/>
      </c>
      <c r="T5">
        <f>'Plant Inputs'!U17</f>
        <v/>
      </c>
      <c r="U5">
        <f>'Plant Inputs'!V17</f>
        <v/>
      </c>
      <c r="V5">
        <f>'Plant Inputs'!W17</f>
        <v/>
      </c>
      <c r="W5">
        <f>'Plant Inputs'!X17</f>
        <v/>
      </c>
      <c r="X5">
        <f>'Plant Inputs'!Y17</f>
        <v/>
      </c>
      <c r="Y5">
        <f>'Plant Inputs'!Z17</f>
        <v/>
      </c>
      <c r="Z5">
        <f>'Plant Inputs'!AA17</f>
        <v/>
      </c>
      <c r="AA5">
        <f>'Plant Inputs'!AB17</f>
        <v/>
      </c>
      <c r="AB5">
        <f>'Plant Inputs'!AC17</f>
        <v/>
      </c>
      <c r="AC5">
        <f>'Plant Inputs'!AD17</f>
        <v/>
      </c>
      <c r="AD5">
        <f>'Plant Inputs'!AE17</f>
        <v/>
      </c>
      <c r="AE5">
        <f>'Plant Inputs'!AF17</f>
        <v/>
      </c>
      <c r="AF5">
        <f>'Plant Inputs'!AG17</f>
        <v/>
      </c>
      <c r="AG5">
        <f>'Plant Inputs'!AH17</f>
        <v/>
      </c>
      <c r="AH5">
        <f>'Plant Inputs'!AI17</f>
        <v/>
      </c>
      <c r="AI5">
        <f>'Plant Inputs'!AJ17</f>
        <v/>
      </c>
      <c r="AJ5">
        <f>'Plant Inputs'!AK17</f>
        <v/>
      </c>
      <c r="AK5">
        <f>'Plant Inputs'!AL17</f>
        <v/>
      </c>
      <c r="AL5">
        <f>'Plant Inputs'!AM17</f>
        <v/>
      </c>
      <c r="AM5">
        <f>'Plant Inputs'!AN17</f>
        <v/>
      </c>
      <c r="AN5">
        <f>'Plant Inputs'!AO17</f>
        <v/>
      </c>
      <c r="AO5">
        <f>'Plant Inputs'!AP17</f>
        <v/>
      </c>
      <c r="AP5">
        <f>'Plant Inputs'!AQ17</f>
        <v/>
      </c>
      <c r="AQ5">
        <f>'Plant Inputs'!AR17</f>
        <v/>
      </c>
      <c r="AR5">
        <f>'Plant Inputs'!AS17</f>
        <v/>
      </c>
      <c r="AS5">
        <f>'Plant Inputs'!AT17</f>
        <v/>
      </c>
      <c r="AT5">
        <f>'Plant Inputs'!AU17</f>
        <v/>
      </c>
      <c r="AU5">
        <f>'Plant Inputs'!AV17</f>
        <v/>
      </c>
      <c r="AV5">
        <f>'Plant Inputs'!AW17</f>
        <v/>
      </c>
      <c r="AW5">
        <f>'Plant Inputs'!AX17</f>
        <v/>
      </c>
      <c r="AX5">
        <f>'Plant Inputs'!AY17</f>
        <v/>
      </c>
      <c r="AY5">
        <f>'Plant Inputs'!AZ17</f>
        <v/>
      </c>
      <c r="AZ5">
        <f>'Plant Inputs'!BA17</f>
        <v/>
      </c>
      <c r="BA5">
        <f>'Plant Inputs'!BB17</f>
        <v/>
      </c>
      <c r="BB5">
        <f>'Plant Inputs'!BC17</f>
        <v/>
      </c>
      <c r="BC5">
        <f>'Plant Inputs'!BD17</f>
        <v/>
      </c>
      <c r="BD5">
        <f>'Plant Inputs'!BE17</f>
        <v/>
      </c>
      <c r="BE5">
        <f>'Plant Inputs'!BF17</f>
        <v/>
      </c>
      <c r="BF5">
        <f>'Plant Inputs'!BG17</f>
        <v/>
      </c>
      <c r="BG5">
        <f>'Plant Inputs'!BH17</f>
        <v/>
      </c>
      <c r="BH5">
        <f>'Plant Inputs'!BI17</f>
        <v/>
      </c>
      <c r="BI5">
        <f>'Plant Inputs'!BJ17</f>
        <v/>
      </c>
      <c r="BJ5">
        <f>'Plant Inputs'!BK17</f>
        <v/>
      </c>
      <c r="BK5">
        <f>'Plant Inputs'!BL17</f>
        <v/>
      </c>
      <c r="BL5">
        <f>'Plant Inputs'!BM17</f>
        <v/>
      </c>
      <c r="BM5">
        <f>'Plant Inputs'!BN17</f>
        <v/>
      </c>
      <c r="BN5">
        <f>'Plant Inputs'!BO17</f>
        <v/>
      </c>
      <c r="BO5">
        <f>'Plant Inputs'!BP17</f>
        <v/>
      </c>
      <c r="BP5">
        <f>'Plant Inputs'!BQ17</f>
        <v/>
      </c>
      <c r="BQ5">
        <f>'Plant Inputs'!BR17</f>
        <v/>
      </c>
      <c r="BR5">
        <f>'Plant Inputs'!BS17</f>
        <v/>
      </c>
      <c r="BS5">
        <f>'Plant Inputs'!BT17</f>
        <v/>
      </c>
      <c r="BT5">
        <f>'Plant Inputs'!BU17</f>
        <v/>
      </c>
      <c r="BU5">
        <f>'Plant Inputs'!BV17</f>
        <v/>
      </c>
      <c r="BV5">
        <f>'Plant Inputs'!BW17</f>
        <v/>
      </c>
      <c r="BW5">
        <f>'Plant Inputs'!BX17</f>
        <v/>
      </c>
      <c r="BX5">
        <f>'Plant Inputs'!BY17</f>
        <v/>
      </c>
      <c r="FV5">
        <f>AU5-V5-X5-BY5</f>
        <v/>
      </c>
      <c r="FW5">
        <f>FV5-AX5</f>
        <v/>
      </c>
      <c r="FX5">
        <f>CJ5+CL5-CK5</f>
        <v/>
      </c>
      <c r="FY5">
        <f>FX5-FX4</f>
        <v/>
      </c>
      <c r="FZ5">
        <f>FV5-BZ5-FY5</f>
        <v/>
      </c>
      <c r="GA5">
        <f>FZ5-DJ5</f>
        <v/>
      </c>
      <c r="GB5">
        <f>CB5-CC5</f>
        <v/>
      </c>
      <c r="GC5">
        <f>SUM(FV$4:FV5)*12/D5</f>
        <v/>
      </c>
      <c r="GD5">
        <f>IF(AU5=0,0,CJ5/AU5*C5)</f>
        <v/>
      </c>
      <c r="GE5">
        <f>IF(V5=0,0,CK5/V5*C5)</f>
        <v/>
      </c>
      <c r="GF5">
        <f>IF(V5=0,0,CL5/V5*C5)</f>
        <v/>
      </c>
      <c r="GG5">
        <f>IF(OR(AS5=0,AT5=0,AV5=0),0,100*((AU5/AS5)/(AV5/AT5)-1))</f>
        <v/>
      </c>
    </row>
    <row r="6">
      <c r="A6" t="inlineStr">
        <is>
          <t>Plant 03</t>
        </is>
      </c>
      <c r="B6" t="inlineStr">
        <is>
          <t>2026-06</t>
        </is>
      </c>
      <c r="C6" t="n">
        <v>30</v>
      </c>
      <c r="D6" t="n">
        <v>3</v>
      </c>
      <c r="E6">
        <f>'Plant Inputs'!F18</f>
        <v/>
      </c>
      <c r="F6">
        <f>'Plant Inputs'!G18</f>
        <v/>
      </c>
      <c r="G6">
        <f>'Plant Inputs'!H18</f>
        <v/>
      </c>
      <c r="H6">
        <f>'Plant Inputs'!I18</f>
        <v/>
      </c>
      <c r="I6">
        <f>'Plant Inputs'!J18</f>
        <v/>
      </c>
      <c r="J6">
        <f>'Plant Inputs'!K18</f>
        <v/>
      </c>
      <c r="K6">
        <f>'Plant Inputs'!L18</f>
        <v/>
      </c>
      <c r="L6">
        <f>'Plant Inputs'!M18</f>
        <v/>
      </c>
      <c r="M6">
        <f>'Plant Inputs'!N18</f>
        <v/>
      </c>
      <c r="N6">
        <f>'Plant Inputs'!O18</f>
        <v/>
      </c>
      <c r="O6">
        <f>'Plant Inputs'!P18</f>
        <v/>
      </c>
      <c r="P6">
        <f>'Plant Inputs'!Q18</f>
        <v/>
      </c>
      <c r="Q6">
        <f>'Plant Inputs'!R18</f>
        <v/>
      </c>
      <c r="R6">
        <f>'Plant Inputs'!S18</f>
        <v/>
      </c>
      <c r="S6">
        <f>'Plant Inputs'!T18</f>
        <v/>
      </c>
      <c r="T6">
        <f>'Plant Inputs'!U18</f>
        <v/>
      </c>
      <c r="U6">
        <f>'Plant Inputs'!V18</f>
        <v/>
      </c>
      <c r="V6">
        <f>'Plant Inputs'!W18</f>
        <v/>
      </c>
      <c r="W6">
        <f>'Plant Inputs'!X18</f>
        <v/>
      </c>
      <c r="X6">
        <f>'Plant Inputs'!Y18</f>
        <v/>
      </c>
      <c r="Y6">
        <f>'Plant Inputs'!Z18</f>
        <v/>
      </c>
      <c r="Z6">
        <f>'Plant Inputs'!AA18</f>
        <v/>
      </c>
      <c r="AA6">
        <f>'Plant Inputs'!AB18</f>
        <v/>
      </c>
      <c r="AB6">
        <f>'Plant Inputs'!AC18</f>
        <v/>
      </c>
      <c r="AC6">
        <f>'Plant Inputs'!AD18</f>
        <v/>
      </c>
      <c r="AD6">
        <f>'Plant Inputs'!AE18</f>
        <v/>
      </c>
      <c r="AE6">
        <f>'Plant Inputs'!AF18</f>
        <v/>
      </c>
      <c r="AF6">
        <f>'Plant Inputs'!AG18</f>
        <v/>
      </c>
      <c r="AG6">
        <f>'Plant Inputs'!AH18</f>
        <v/>
      </c>
      <c r="AH6">
        <f>'Plant Inputs'!AI18</f>
        <v/>
      </c>
      <c r="AI6">
        <f>'Plant Inputs'!AJ18</f>
        <v/>
      </c>
      <c r="AJ6">
        <f>'Plant Inputs'!AK18</f>
        <v/>
      </c>
      <c r="AK6">
        <f>'Plant Inputs'!AL18</f>
        <v/>
      </c>
      <c r="AL6">
        <f>'Plant Inputs'!AM18</f>
        <v/>
      </c>
      <c r="AM6">
        <f>'Plant Inputs'!AN18</f>
        <v/>
      </c>
      <c r="AN6">
        <f>'Plant Inputs'!AO18</f>
        <v/>
      </c>
      <c r="AO6">
        <f>'Plant Inputs'!AP18</f>
        <v/>
      </c>
      <c r="AP6">
        <f>'Plant Inputs'!AQ18</f>
        <v/>
      </c>
      <c r="AQ6">
        <f>'Plant Inputs'!AR18</f>
        <v/>
      </c>
      <c r="AR6">
        <f>'Plant Inputs'!AS18</f>
        <v/>
      </c>
      <c r="AS6">
        <f>'Plant Inputs'!AT18</f>
        <v/>
      </c>
      <c r="AT6">
        <f>'Plant Inputs'!AU18</f>
        <v/>
      </c>
      <c r="AU6">
        <f>'Plant Inputs'!AV18</f>
        <v/>
      </c>
      <c r="AV6">
        <f>'Plant Inputs'!AW18</f>
        <v/>
      </c>
      <c r="AW6">
        <f>'Plant Inputs'!AX18</f>
        <v/>
      </c>
      <c r="AX6">
        <f>'Plant Inputs'!AY18</f>
        <v/>
      </c>
      <c r="AY6">
        <f>'Plant Inputs'!AZ18</f>
        <v/>
      </c>
      <c r="AZ6">
        <f>'Plant Inputs'!BA18</f>
        <v/>
      </c>
      <c r="BA6">
        <f>'Plant Inputs'!BB18</f>
        <v/>
      </c>
      <c r="BB6">
        <f>'Plant Inputs'!BC18</f>
        <v/>
      </c>
      <c r="BC6">
        <f>'Plant Inputs'!BD18</f>
        <v/>
      </c>
      <c r="BD6">
        <f>'Plant Inputs'!BE18</f>
        <v/>
      </c>
      <c r="BE6">
        <f>'Plant Inputs'!BF18</f>
        <v/>
      </c>
      <c r="BF6">
        <f>'Plant Inputs'!BG18</f>
        <v/>
      </c>
      <c r="BG6">
        <f>'Plant Inputs'!BH18</f>
        <v/>
      </c>
      <c r="BH6">
        <f>'Plant Inputs'!BI18</f>
        <v/>
      </c>
      <c r="BI6">
        <f>'Plant Inputs'!BJ18</f>
        <v/>
      </c>
      <c r="BJ6">
        <f>'Plant Inputs'!BK18</f>
        <v/>
      </c>
      <c r="BK6">
        <f>'Plant Inputs'!BL18</f>
        <v/>
      </c>
      <c r="BL6">
        <f>'Plant Inputs'!BM18</f>
        <v/>
      </c>
      <c r="BM6">
        <f>'Plant Inputs'!BN18</f>
        <v/>
      </c>
      <c r="BN6">
        <f>'Plant Inputs'!BO18</f>
        <v/>
      </c>
      <c r="BO6">
        <f>'Plant Inputs'!BP18</f>
        <v/>
      </c>
      <c r="BP6">
        <f>'Plant Inputs'!BQ18</f>
        <v/>
      </c>
      <c r="BQ6">
        <f>'Plant Inputs'!BR18</f>
        <v/>
      </c>
      <c r="BR6">
        <f>'Plant Inputs'!BS18</f>
        <v/>
      </c>
      <c r="BS6">
        <f>'Plant Inputs'!BT18</f>
        <v/>
      </c>
      <c r="BT6">
        <f>'Plant Inputs'!BU18</f>
        <v/>
      </c>
      <c r="BU6">
        <f>'Plant Inputs'!BV18</f>
        <v/>
      </c>
      <c r="BV6">
        <f>'Plant Inputs'!BW18</f>
        <v/>
      </c>
      <c r="BW6">
        <f>'Plant Inputs'!BX18</f>
        <v/>
      </c>
      <c r="BX6">
        <f>'Plant Inputs'!BY18</f>
        <v/>
      </c>
      <c r="FV6">
        <f>AU6-V6-X6-BY6</f>
        <v/>
      </c>
      <c r="FW6">
        <f>FV6-AX6</f>
        <v/>
      </c>
      <c r="FX6">
        <f>CJ6+CL6-CK6</f>
        <v/>
      </c>
      <c r="FY6">
        <f>FX6-FX5</f>
        <v/>
      </c>
      <c r="FZ6">
        <f>FV6-BZ6-FY6</f>
        <v/>
      </c>
      <c r="GA6">
        <f>FZ6-DJ6</f>
        <v/>
      </c>
      <c r="GB6">
        <f>CB6-CC6</f>
        <v/>
      </c>
      <c r="GC6">
        <f>SUM(FV$4:FV6)*12/D6</f>
        <v/>
      </c>
      <c r="GD6">
        <f>IF(AU6=0,0,CJ6/AU6*C6)</f>
        <v/>
      </c>
      <c r="GE6">
        <f>IF(V6=0,0,CK6/V6*C6)</f>
        <v/>
      </c>
      <c r="GF6">
        <f>IF(V6=0,0,CL6/V6*C6)</f>
        <v/>
      </c>
      <c r="GG6">
        <f>IF(OR(AS6=0,AT6=0,AV6=0),0,100*((AU6/AS6)/(AV6/AT6)-1))</f>
        <v/>
      </c>
    </row>
    <row r="7">
      <c r="A7" t="inlineStr">
        <is>
          <t>Plant 03</t>
        </is>
      </c>
      <c r="B7" t="inlineStr">
        <is>
          <t>2026-07</t>
        </is>
      </c>
      <c r="C7" t="n">
        <v>31</v>
      </c>
      <c r="D7" t="n">
        <v>4</v>
      </c>
      <c r="E7">
        <f>'Plant Inputs'!F19</f>
        <v/>
      </c>
      <c r="F7">
        <f>'Plant Inputs'!G19</f>
        <v/>
      </c>
      <c r="G7">
        <f>'Plant Inputs'!H19</f>
        <v/>
      </c>
      <c r="H7">
        <f>'Plant Inputs'!I19</f>
        <v/>
      </c>
      <c r="I7">
        <f>'Plant Inputs'!J19</f>
        <v/>
      </c>
      <c r="J7">
        <f>'Plant Inputs'!K19</f>
        <v/>
      </c>
      <c r="K7">
        <f>'Plant Inputs'!L19</f>
        <v/>
      </c>
      <c r="L7">
        <f>'Plant Inputs'!M19</f>
        <v/>
      </c>
      <c r="M7">
        <f>'Plant Inputs'!N19</f>
        <v/>
      </c>
      <c r="N7">
        <f>'Plant Inputs'!O19</f>
        <v/>
      </c>
      <c r="O7">
        <f>'Plant Inputs'!P19</f>
        <v/>
      </c>
      <c r="P7">
        <f>'Plant Inputs'!Q19</f>
        <v/>
      </c>
      <c r="Q7">
        <f>'Plant Inputs'!R19</f>
        <v/>
      </c>
      <c r="R7">
        <f>'Plant Inputs'!S19</f>
        <v/>
      </c>
      <c r="S7">
        <f>'Plant Inputs'!T19</f>
        <v/>
      </c>
      <c r="T7">
        <f>'Plant Inputs'!U19</f>
        <v/>
      </c>
      <c r="U7">
        <f>'Plant Inputs'!V19</f>
        <v/>
      </c>
      <c r="V7">
        <f>'Plant Inputs'!W19</f>
        <v/>
      </c>
      <c r="W7">
        <f>'Plant Inputs'!X19</f>
        <v/>
      </c>
      <c r="X7">
        <f>'Plant Inputs'!Y19</f>
        <v/>
      </c>
      <c r="Y7">
        <f>'Plant Inputs'!Z19</f>
        <v/>
      </c>
      <c r="Z7">
        <f>'Plant Inputs'!AA19</f>
        <v/>
      </c>
      <c r="AA7">
        <f>'Plant Inputs'!AB19</f>
        <v/>
      </c>
      <c r="AB7">
        <f>'Plant Inputs'!AC19</f>
        <v/>
      </c>
      <c r="AC7">
        <f>'Plant Inputs'!AD19</f>
        <v/>
      </c>
      <c r="AD7">
        <f>'Plant Inputs'!AE19</f>
        <v/>
      </c>
      <c r="AE7">
        <f>'Plant Inputs'!AF19</f>
        <v/>
      </c>
      <c r="AF7">
        <f>'Plant Inputs'!AG19</f>
        <v/>
      </c>
      <c r="AG7">
        <f>'Plant Inputs'!AH19</f>
        <v/>
      </c>
      <c r="AH7">
        <f>'Plant Inputs'!AI19</f>
        <v/>
      </c>
      <c r="AI7">
        <f>'Plant Inputs'!AJ19</f>
        <v/>
      </c>
      <c r="AJ7">
        <f>'Plant Inputs'!AK19</f>
        <v/>
      </c>
      <c r="AK7">
        <f>'Plant Inputs'!AL19</f>
        <v/>
      </c>
      <c r="AL7">
        <f>'Plant Inputs'!AM19</f>
        <v/>
      </c>
      <c r="AM7">
        <f>'Plant Inputs'!AN19</f>
        <v/>
      </c>
      <c r="AN7">
        <f>'Plant Inputs'!AO19</f>
        <v/>
      </c>
      <c r="AO7">
        <f>'Plant Inputs'!AP19</f>
        <v/>
      </c>
      <c r="AP7">
        <f>'Plant Inputs'!AQ19</f>
        <v/>
      </c>
      <c r="AQ7">
        <f>'Plant Inputs'!AR19</f>
        <v/>
      </c>
      <c r="AR7">
        <f>'Plant Inputs'!AS19</f>
        <v/>
      </c>
      <c r="AS7">
        <f>'Plant Inputs'!AT19</f>
        <v/>
      </c>
      <c r="AT7">
        <f>'Plant Inputs'!AU19</f>
        <v/>
      </c>
      <c r="AU7">
        <f>'Plant Inputs'!AV19</f>
        <v/>
      </c>
      <c r="AV7">
        <f>'Plant Inputs'!AW19</f>
        <v/>
      </c>
      <c r="AW7">
        <f>'Plant Inputs'!AX19</f>
        <v/>
      </c>
      <c r="AX7">
        <f>'Plant Inputs'!AY19</f>
        <v/>
      </c>
      <c r="AY7">
        <f>'Plant Inputs'!AZ19</f>
        <v/>
      </c>
      <c r="AZ7">
        <f>'Plant Inputs'!BA19</f>
        <v/>
      </c>
      <c r="BA7">
        <f>'Plant Inputs'!BB19</f>
        <v/>
      </c>
      <c r="BB7">
        <f>'Plant Inputs'!BC19</f>
        <v/>
      </c>
      <c r="BC7">
        <f>'Plant Inputs'!BD19</f>
        <v/>
      </c>
      <c r="BD7">
        <f>'Plant Inputs'!BE19</f>
        <v/>
      </c>
      <c r="BE7">
        <f>'Plant Inputs'!BF19</f>
        <v/>
      </c>
      <c r="BF7">
        <f>'Plant Inputs'!BG19</f>
        <v/>
      </c>
      <c r="BG7">
        <f>'Plant Inputs'!BH19</f>
        <v/>
      </c>
      <c r="BH7">
        <f>'Plant Inputs'!BI19</f>
        <v/>
      </c>
      <c r="BI7">
        <f>'Plant Inputs'!BJ19</f>
        <v/>
      </c>
      <c r="BJ7">
        <f>'Plant Inputs'!BK19</f>
        <v/>
      </c>
      <c r="BK7">
        <f>'Plant Inputs'!BL19</f>
        <v/>
      </c>
      <c r="BL7">
        <f>'Plant Inputs'!BM19</f>
        <v/>
      </c>
      <c r="BM7">
        <f>'Plant Inputs'!BN19</f>
        <v/>
      </c>
      <c r="BN7">
        <f>'Plant Inputs'!BO19</f>
        <v/>
      </c>
      <c r="BO7">
        <f>'Plant Inputs'!BP19</f>
        <v/>
      </c>
      <c r="BP7">
        <f>'Plant Inputs'!BQ19</f>
        <v/>
      </c>
      <c r="BQ7">
        <f>'Plant Inputs'!BR19</f>
        <v/>
      </c>
      <c r="BR7">
        <f>'Plant Inputs'!BS19</f>
        <v/>
      </c>
      <c r="BS7">
        <f>'Plant Inputs'!BT19</f>
        <v/>
      </c>
      <c r="BT7">
        <f>'Plant Inputs'!BU19</f>
        <v/>
      </c>
      <c r="BU7">
        <f>'Plant Inputs'!BV19</f>
        <v/>
      </c>
      <c r="BV7">
        <f>'Plant Inputs'!BW19</f>
        <v/>
      </c>
      <c r="BW7">
        <f>'Plant Inputs'!BX19</f>
        <v/>
      </c>
      <c r="BX7">
        <f>'Plant Inputs'!BY19</f>
        <v/>
      </c>
      <c r="FV7">
        <f>AU7-V7-X7-BY7</f>
        <v/>
      </c>
      <c r="FW7">
        <f>FV7-AX7</f>
        <v/>
      </c>
      <c r="FX7">
        <f>CJ7+CL7-CK7</f>
        <v/>
      </c>
      <c r="FY7">
        <f>FX7-FX6</f>
        <v/>
      </c>
      <c r="FZ7">
        <f>FV7-BZ7-FY7</f>
        <v/>
      </c>
      <c r="GA7">
        <f>FZ7-DJ7</f>
        <v/>
      </c>
      <c r="GB7">
        <f>CB7-CC7</f>
        <v/>
      </c>
      <c r="GC7">
        <f>SUM(FV$4:FV7)*12/D7</f>
        <v/>
      </c>
      <c r="GD7">
        <f>IF(AU7=0,0,CJ7/AU7*C7)</f>
        <v/>
      </c>
      <c r="GE7">
        <f>IF(V7=0,0,CK7/V7*C7)</f>
        <v/>
      </c>
      <c r="GF7">
        <f>IF(V7=0,0,CL7/V7*C7)</f>
        <v/>
      </c>
      <c r="GG7">
        <f>IF(OR(AS7=0,AT7=0,AV7=0),0,100*((AU7/AS7)/(AV7/AT7)-1))</f>
        <v/>
      </c>
    </row>
    <row r="8">
      <c r="A8" t="inlineStr">
        <is>
          <t>Plant 03</t>
        </is>
      </c>
      <c r="B8" t="inlineStr">
        <is>
          <t>2026-08</t>
        </is>
      </c>
      <c r="C8" t="n">
        <v>31</v>
      </c>
      <c r="D8" t="n">
        <v>5</v>
      </c>
      <c r="E8">
        <f>'Plant Inputs'!F20</f>
        <v/>
      </c>
      <c r="F8">
        <f>'Plant Inputs'!G20</f>
        <v/>
      </c>
      <c r="G8">
        <f>'Plant Inputs'!H20</f>
        <v/>
      </c>
      <c r="H8">
        <f>'Plant Inputs'!I20</f>
        <v/>
      </c>
      <c r="I8">
        <f>'Plant Inputs'!J20</f>
        <v/>
      </c>
      <c r="J8">
        <f>'Plant Inputs'!K20</f>
        <v/>
      </c>
      <c r="K8">
        <f>'Plant Inputs'!L20</f>
        <v/>
      </c>
      <c r="L8">
        <f>'Plant Inputs'!M20</f>
        <v/>
      </c>
      <c r="M8">
        <f>'Plant Inputs'!N20</f>
        <v/>
      </c>
      <c r="N8">
        <f>'Plant Inputs'!O20</f>
        <v/>
      </c>
      <c r="O8">
        <f>'Plant Inputs'!P20</f>
        <v/>
      </c>
      <c r="P8">
        <f>'Plant Inputs'!Q20</f>
        <v/>
      </c>
      <c r="Q8">
        <f>'Plant Inputs'!R20</f>
        <v/>
      </c>
      <c r="R8">
        <f>'Plant Inputs'!S20</f>
        <v/>
      </c>
      <c r="S8">
        <f>'Plant Inputs'!T20</f>
        <v/>
      </c>
      <c r="T8">
        <f>'Plant Inputs'!U20</f>
        <v/>
      </c>
      <c r="U8">
        <f>'Plant Inputs'!V20</f>
        <v/>
      </c>
      <c r="V8">
        <f>'Plant Inputs'!W20</f>
        <v/>
      </c>
      <c r="W8">
        <f>'Plant Inputs'!X20</f>
        <v/>
      </c>
      <c r="X8">
        <f>'Plant Inputs'!Y20</f>
        <v/>
      </c>
      <c r="Y8">
        <f>'Plant Inputs'!Z20</f>
        <v/>
      </c>
      <c r="Z8">
        <f>'Plant Inputs'!AA20</f>
        <v/>
      </c>
      <c r="AA8">
        <f>'Plant Inputs'!AB20</f>
        <v/>
      </c>
      <c r="AB8">
        <f>'Plant Inputs'!AC20</f>
        <v/>
      </c>
      <c r="AC8">
        <f>'Plant Inputs'!AD20</f>
        <v/>
      </c>
      <c r="AD8">
        <f>'Plant Inputs'!AE20</f>
        <v/>
      </c>
      <c r="AE8">
        <f>'Plant Inputs'!AF20</f>
        <v/>
      </c>
      <c r="AF8">
        <f>'Plant Inputs'!AG20</f>
        <v/>
      </c>
      <c r="AG8">
        <f>'Plant Inputs'!AH20</f>
        <v/>
      </c>
      <c r="AH8">
        <f>'Plant Inputs'!AI20</f>
        <v/>
      </c>
      <c r="AI8">
        <f>'Plant Inputs'!AJ20</f>
        <v/>
      </c>
      <c r="AJ8">
        <f>'Plant Inputs'!AK20</f>
        <v/>
      </c>
      <c r="AK8">
        <f>'Plant Inputs'!AL20</f>
        <v/>
      </c>
      <c r="AL8">
        <f>'Plant Inputs'!AM20</f>
        <v/>
      </c>
      <c r="AM8">
        <f>'Plant Inputs'!AN20</f>
        <v/>
      </c>
      <c r="AN8">
        <f>'Plant Inputs'!AO20</f>
        <v/>
      </c>
      <c r="AO8">
        <f>'Plant Inputs'!AP20</f>
        <v/>
      </c>
      <c r="AP8">
        <f>'Plant Inputs'!AQ20</f>
        <v/>
      </c>
      <c r="AQ8">
        <f>'Plant Inputs'!AR20</f>
        <v/>
      </c>
      <c r="AR8">
        <f>'Plant Inputs'!AS20</f>
        <v/>
      </c>
      <c r="AS8">
        <f>'Plant Inputs'!AT20</f>
        <v/>
      </c>
      <c r="AT8">
        <f>'Plant Inputs'!AU20</f>
        <v/>
      </c>
      <c r="AU8">
        <f>'Plant Inputs'!AV20</f>
        <v/>
      </c>
      <c r="AV8">
        <f>'Plant Inputs'!AW20</f>
        <v/>
      </c>
      <c r="AW8">
        <f>'Plant Inputs'!AX20</f>
        <v/>
      </c>
      <c r="AX8">
        <f>'Plant Inputs'!AY20</f>
        <v/>
      </c>
      <c r="AY8">
        <f>'Plant Inputs'!AZ20</f>
        <v/>
      </c>
      <c r="AZ8">
        <f>'Plant Inputs'!BA20</f>
        <v/>
      </c>
      <c r="BA8">
        <f>'Plant Inputs'!BB20</f>
        <v/>
      </c>
      <c r="BB8">
        <f>'Plant Inputs'!BC20</f>
        <v/>
      </c>
      <c r="BC8">
        <f>'Plant Inputs'!BD20</f>
        <v/>
      </c>
      <c r="BD8">
        <f>'Plant Inputs'!BE20</f>
        <v/>
      </c>
      <c r="BE8">
        <f>'Plant Inputs'!BF20</f>
        <v/>
      </c>
      <c r="BF8">
        <f>'Plant Inputs'!BG20</f>
        <v/>
      </c>
      <c r="BG8">
        <f>'Plant Inputs'!BH20</f>
        <v/>
      </c>
      <c r="BH8">
        <f>'Plant Inputs'!BI20</f>
        <v/>
      </c>
      <c r="BI8">
        <f>'Plant Inputs'!BJ20</f>
        <v/>
      </c>
      <c r="BJ8">
        <f>'Plant Inputs'!BK20</f>
        <v/>
      </c>
      <c r="BK8">
        <f>'Plant Inputs'!BL20</f>
        <v/>
      </c>
      <c r="BL8">
        <f>'Plant Inputs'!BM20</f>
        <v/>
      </c>
      <c r="BM8">
        <f>'Plant Inputs'!BN20</f>
        <v/>
      </c>
      <c r="BN8">
        <f>'Plant Inputs'!BO20</f>
        <v/>
      </c>
      <c r="BO8">
        <f>'Plant Inputs'!BP20</f>
        <v/>
      </c>
      <c r="BP8">
        <f>'Plant Inputs'!BQ20</f>
        <v/>
      </c>
      <c r="BQ8">
        <f>'Plant Inputs'!BR20</f>
        <v/>
      </c>
      <c r="BR8">
        <f>'Plant Inputs'!BS20</f>
        <v/>
      </c>
      <c r="BS8">
        <f>'Plant Inputs'!BT20</f>
        <v/>
      </c>
      <c r="BT8">
        <f>'Plant Inputs'!BU20</f>
        <v/>
      </c>
      <c r="BU8">
        <f>'Plant Inputs'!BV20</f>
        <v/>
      </c>
      <c r="BV8">
        <f>'Plant Inputs'!BW20</f>
        <v/>
      </c>
      <c r="BW8">
        <f>'Plant Inputs'!BX20</f>
        <v/>
      </c>
      <c r="BX8">
        <f>'Plant Inputs'!BY20</f>
        <v/>
      </c>
      <c r="FV8">
        <f>AU8-V8-X8-BY8</f>
        <v/>
      </c>
      <c r="FW8">
        <f>FV8-AX8</f>
        <v/>
      </c>
      <c r="FX8">
        <f>CJ8+CL8-CK8</f>
        <v/>
      </c>
      <c r="FY8">
        <f>FX8-FX7</f>
        <v/>
      </c>
      <c r="FZ8">
        <f>FV8-BZ8-FY8</f>
        <v/>
      </c>
      <c r="GA8">
        <f>FZ8-DJ8</f>
        <v/>
      </c>
      <c r="GB8">
        <f>CB8-CC8</f>
        <v/>
      </c>
      <c r="GC8">
        <f>SUM(FV$4:FV8)*12/D8</f>
        <v/>
      </c>
      <c r="GD8">
        <f>IF(AU8=0,0,CJ8/AU8*C8)</f>
        <v/>
      </c>
      <c r="GE8">
        <f>IF(V8=0,0,CK8/V8*C8)</f>
        <v/>
      </c>
      <c r="GF8">
        <f>IF(V8=0,0,CL8/V8*C8)</f>
        <v/>
      </c>
      <c r="GG8">
        <f>IF(OR(AS8=0,AT8=0,AV8=0),0,100*((AU8/AS8)/(AV8/AT8)-1))</f>
        <v/>
      </c>
    </row>
    <row r="9">
      <c r="A9" t="inlineStr">
        <is>
          <t>Plant 03</t>
        </is>
      </c>
      <c r="B9" t="inlineStr">
        <is>
          <t>2026-09</t>
        </is>
      </c>
      <c r="C9" t="n">
        <v>30</v>
      </c>
      <c r="D9" t="n">
        <v>6</v>
      </c>
      <c r="E9">
        <f>'Plant Inputs'!F21</f>
        <v/>
      </c>
      <c r="F9">
        <f>'Plant Inputs'!G21</f>
        <v/>
      </c>
      <c r="G9">
        <f>'Plant Inputs'!H21</f>
        <v/>
      </c>
      <c r="H9">
        <f>'Plant Inputs'!I21</f>
        <v/>
      </c>
      <c r="I9">
        <f>'Plant Inputs'!J21</f>
        <v/>
      </c>
      <c r="J9">
        <f>'Plant Inputs'!K21</f>
        <v/>
      </c>
      <c r="K9">
        <f>'Plant Inputs'!L21</f>
        <v/>
      </c>
      <c r="L9">
        <f>'Plant Inputs'!M21</f>
        <v/>
      </c>
      <c r="M9">
        <f>'Plant Inputs'!N21</f>
        <v/>
      </c>
      <c r="N9">
        <f>'Plant Inputs'!O21</f>
        <v/>
      </c>
      <c r="O9">
        <f>'Plant Inputs'!P21</f>
        <v/>
      </c>
      <c r="P9">
        <f>'Plant Inputs'!Q21</f>
        <v/>
      </c>
      <c r="Q9">
        <f>'Plant Inputs'!R21</f>
        <v/>
      </c>
      <c r="R9">
        <f>'Plant Inputs'!S21</f>
        <v/>
      </c>
      <c r="S9">
        <f>'Plant Inputs'!T21</f>
        <v/>
      </c>
      <c r="T9">
        <f>'Plant Inputs'!U21</f>
        <v/>
      </c>
      <c r="U9">
        <f>'Plant Inputs'!V21</f>
        <v/>
      </c>
      <c r="V9">
        <f>'Plant Inputs'!W21</f>
        <v/>
      </c>
      <c r="W9">
        <f>'Plant Inputs'!X21</f>
        <v/>
      </c>
      <c r="X9">
        <f>'Plant Inputs'!Y21</f>
        <v/>
      </c>
      <c r="Y9">
        <f>'Plant Inputs'!Z21</f>
        <v/>
      </c>
      <c r="Z9">
        <f>'Plant Inputs'!AA21</f>
        <v/>
      </c>
      <c r="AA9">
        <f>'Plant Inputs'!AB21</f>
        <v/>
      </c>
      <c r="AB9">
        <f>'Plant Inputs'!AC21</f>
        <v/>
      </c>
      <c r="AC9">
        <f>'Plant Inputs'!AD21</f>
        <v/>
      </c>
      <c r="AD9">
        <f>'Plant Inputs'!AE21</f>
        <v/>
      </c>
      <c r="AE9">
        <f>'Plant Inputs'!AF21</f>
        <v/>
      </c>
      <c r="AF9">
        <f>'Plant Inputs'!AG21</f>
        <v/>
      </c>
      <c r="AG9">
        <f>'Plant Inputs'!AH21</f>
        <v/>
      </c>
      <c r="AH9">
        <f>'Plant Inputs'!AI21</f>
        <v/>
      </c>
      <c r="AI9">
        <f>'Plant Inputs'!AJ21</f>
        <v/>
      </c>
      <c r="AJ9">
        <f>'Plant Inputs'!AK21</f>
        <v/>
      </c>
      <c r="AK9">
        <f>'Plant Inputs'!AL21</f>
        <v/>
      </c>
      <c r="AL9">
        <f>'Plant Inputs'!AM21</f>
        <v/>
      </c>
      <c r="AM9">
        <f>'Plant Inputs'!AN21</f>
        <v/>
      </c>
      <c r="AN9">
        <f>'Plant Inputs'!AO21</f>
        <v/>
      </c>
      <c r="AO9">
        <f>'Plant Inputs'!AP21</f>
        <v/>
      </c>
      <c r="AP9">
        <f>'Plant Inputs'!AQ21</f>
        <v/>
      </c>
      <c r="AQ9">
        <f>'Plant Inputs'!AR21</f>
        <v/>
      </c>
      <c r="AR9">
        <f>'Plant Inputs'!AS21</f>
        <v/>
      </c>
      <c r="AS9">
        <f>'Plant Inputs'!AT21</f>
        <v/>
      </c>
      <c r="AT9">
        <f>'Plant Inputs'!AU21</f>
        <v/>
      </c>
      <c r="AU9">
        <f>'Plant Inputs'!AV21</f>
        <v/>
      </c>
      <c r="AV9">
        <f>'Plant Inputs'!AW21</f>
        <v/>
      </c>
      <c r="AW9">
        <f>'Plant Inputs'!AX21</f>
        <v/>
      </c>
      <c r="AX9">
        <f>'Plant Inputs'!AY21</f>
        <v/>
      </c>
      <c r="AY9">
        <f>'Plant Inputs'!AZ21</f>
        <v/>
      </c>
      <c r="AZ9">
        <f>'Plant Inputs'!BA21</f>
        <v/>
      </c>
      <c r="BA9">
        <f>'Plant Inputs'!BB21</f>
        <v/>
      </c>
      <c r="BB9">
        <f>'Plant Inputs'!BC21</f>
        <v/>
      </c>
      <c r="BC9">
        <f>'Plant Inputs'!BD21</f>
        <v/>
      </c>
      <c r="BD9">
        <f>'Plant Inputs'!BE21</f>
        <v/>
      </c>
      <c r="BE9">
        <f>'Plant Inputs'!BF21</f>
        <v/>
      </c>
      <c r="BF9">
        <f>'Plant Inputs'!BG21</f>
        <v/>
      </c>
      <c r="BG9">
        <f>'Plant Inputs'!BH21</f>
        <v/>
      </c>
      <c r="BH9">
        <f>'Plant Inputs'!BI21</f>
        <v/>
      </c>
      <c r="BI9">
        <f>'Plant Inputs'!BJ21</f>
        <v/>
      </c>
      <c r="BJ9">
        <f>'Plant Inputs'!BK21</f>
        <v/>
      </c>
      <c r="BK9">
        <f>'Plant Inputs'!BL21</f>
        <v/>
      </c>
      <c r="BL9">
        <f>'Plant Inputs'!BM21</f>
        <v/>
      </c>
      <c r="BM9">
        <f>'Plant Inputs'!BN21</f>
        <v/>
      </c>
      <c r="BN9">
        <f>'Plant Inputs'!BO21</f>
        <v/>
      </c>
      <c r="BO9">
        <f>'Plant Inputs'!BP21</f>
        <v/>
      </c>
      <c r="BP9">
        <f>'Plant Inputs'!BQ21</f>
        <v/>
      </c>
      <c r="BQ9">
        <f>'Plant Inputs'!BR21</f>
        <v/>
      </c>
      <c r="BR9">
        <f>'Plant Inputs'!BS21</f>
        <v/>
      </c>
      <c r="BS9">
        <f>'Plant Inputs'!BT21</f>
        <v/>
      </c>
      <c r="BT9">
        <f>'Plant Inputs'!BU21</f>
        <v/>
      </c>
      <c r="BU9">
        <f>'Plant Inputs'!BV21</f>
        <v/>
      </c>
      <c r="BV9">
        <f>'Plant Inputs'!BW21</f>
        <v/>
      </c>
      <c r="BW9">
        <f>'Plant Inputs'!BX21</f>
        <v/>
      </c>
      <c r="BX9">
        <f>'Plant Inputs'!BY21</f>
        <v/>
      </c>
      <c r="FV9">
        <f>AU9-V9-X9-BY9</f>
        <v/>
      </c>
      <c r="FW9">
        <f>FV9-AX9</f>
        <v/>
      </c>
      <c r="FX9">
        <f>CJ9+CL9-CK9</f>
        <v/>
      </c>
      <c r="FY9">
        <f>FX9-FX8</f>
        <v/>
      </c>
      <c r="FZ9">
        <f>FV9-BZ9-FY9</f>
        <v/>
      </c>
      <c r="GA9">
        <f>FZ9-DJ9</f>
        <v/>
      </c>
      <c r="GB9">
        <f>CB9-CC9</f>
        <v/>
      </c>
      <c r="GC9">
        <f>SUM(FV$4:FV9)*12/D9</f>
        <v/>
      </c>
      <c r="GD9">
        <f>IF(AU9=0,0,CJ9/AU9*C9)</f>
        <v/>
      </c>
      <c r="GE9">
        <f>IF(V9=0,0,CK9/V9*C9)</f>
        <v/>
      </c>
      <c r="GF9">
        <f>IF(V9=0,0,CL9/V9*C9)</f>
        <v/>
      </c>
      <c r="GG9">
        <f>IF(OR(AS9=0,AT9=0,AV9=0),0,100*((AU9/AS9)/(AV9/AT9)-1))</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R9"/>
  <sheetViews>
    <sheetView workbookViewId="0">
      <selection activeCell="A1" sqref="A1"/>
    </sheetView>
  </sheetViews>
  <sheetFormatPr baseColWidth="8" defaultRowHeight="15"/>
  <sheetData>
    <row r="1">
      <c r="A1" t="inlineStr">
        <is>
          <t>Group</t>
        </is>
      </c>
      <c r="B1" t="inlineStr">
        <is>
          <t>Month</t>
        </is>
      </c>
      <c r="C1" t="inlineStr">
        <is>
          <t>Days in month</t>
        </is>
      </c>
      <c r="D1" t="inlineStr">
        <is>
          <t>Months since April (YTD)</t>
        </is>
      </c>
      <c r="E1" t="inlineStr">
        <is>
          <t>Calendar hours (h)</t>
        </is>
      </c>
      <c r="F1" t="inlineStr">
        <is>
          <t>Planned operating hours (h)</t>
        </is>
      </c>
      <c r="G1" t="inlineStr">
        <is>
          <t>Run hours (h)</t>
        </is>
      </c>
      <c r="H1" t="inlineStr">
        <is>
          <t>Unplanned downtime (h)</t>
        </is>
      </c>
      <c r="I1" t="inlineStr">
        <is>
          <t>Ideal output (t)</t>
        </is>
      </c>
      <c r="J1" t="inlineStr">
        <is>
          <t>Installed capacity (t)</t>
        </is>
      </c>
      <c r="K1" t="inlineStr">
        <is>
          <t>Planned production (t)</t>
        </is>
      </c>
      <c r="L1" t="inlineStr">
        <is>
          <t>Gross output (t)</t>
        </is>
      </c>
      <c r="M1" t="inlineStr">
        <is>
          <t>Good output (t)</t>
        </is>
      </c>
      <c r="N1" t="inlineStr">
        <is>
          <t>Feed input (t)</t>
        </is>
      </c>
      <c r="O1" t="inlineStr">
        <is>
          <t>Valuable content in feed (t)</t>
        </is>
      </c>
      <c r="P1" t="inlineStr">
        <is>
          <t>Valuable content recovered (t)</t>
        </is>
      </c>
      <c r="Q1" t="inlineStr">
        <is>
          <t>Production lost to downtime (t)</t>
        </is>
      </c>
      <c r="R1" t="inlineStr">
        <is>
          <t>Breakdowns (count)</t>
        </is>
      </c>
      <c r="S1" t="inlineStr">
        <is>
          <t>Repair hours (h)</t>
        </is>
      </c>
      <c r="T1" t="inlineStr">
        <is>
          <t>Preventive maintenance scheduled (count)</t>
        </is>
      </c>
      <c r="U1" t="inlineStr">
        <is>
          <t>Preventive maintenance completed (count)</t>
        </is>
      </c>
      <c r="V1" t="inlineStr">
        <is>
          <t>Variable cost (₹ thousand)</t>
        </is>
      </c>
      <c r="W1" t="inlineStr">
        <is>
          <t>Fuel cost (₹ thousand)</t>
        </is>
      </c>
      <c r="X1" t="inlineStr">
        <is>
          <t>Fixed cost (₹ thousand)</t>
        </is>
      </c>
      <c r="Y1" t="inlineStr">
        <is>
          <t>Water used (m³)</t>
        </is>
      </c>
      <c r="Z1" t="inlineStr">
        <is>
          <t>Emissions (t CO2e)</t>
        </is>
      </c>
      <c r="AA1" t="inlineStr">
        <is>
          <t>Energy used (GJ)</t>
        </is>
      </c>
      <c r="AB1" t="inlineStr">
        <is>
          <t>Production at risk (t)</t>
        </is>
      </c>
      <c r="AC1" t="inlineStr">
        <is>
          <t>Critical plant alerts (count)</t>
        </is>
      </c>
      <c r="AD1" t="inlineStr">
        <is>
          <t>Hours worked (h)</t>
        </is>
      </c>
      <c r="AE1" t="inlineStr">
        <is>
          <t>Recordable injuries (count)</t>
        </is>
      </c>
      <c r="AF1" t="inlineStr">
        <is>
          <t>Severity incidents (count)</t>
        </is>
      </c>
      <c r="AG1" t="inlineStr">
        <is>
          <t>Near misses (count)</t>
        </is>
      </c>
      <c r="AH1" t="inlineStr">
        <is>
          <t>Critical safety incidents (count)</t>
        </is>
      </c>
      <c r="AI1" t="inlineStr">
        <is>
          <t>Environmental excursions (count)</t>
        </is>
      </c>
      <c r="AJ1" t="inlineStr">
        <is>
          <t>Environmental violations (count)</t>
        </is>
      </c>
      <c r="AK1" t="inlineStr">
        <is>
          <t>Open EHS corrective actions (count)</t>
        </is>
      </c>
      <c r="AL1" t="inlineStr">
        <is>
          <t>Overdue EHS corrective actions (count)</t>
        </is>
      </c>
      <c r="AM1" t="inlineStr">
        <is>
          <t>EHS investigations due (count)</t>
        </is>
      </c>
      <c r="AN1" t="inlineStr">
        <is>
          <t>EHS investigations completed (count)</t>
        </is>
      </c>
      <c r="AO1" t="inlineStr">
        <is>
          <t>Critical materials at risk (count)</t>
        </is>
      </c>
      <c r="AP1" t="inlineStr">
        <is>
          <t>Dispatches (count)</t>
        </is>
      </c>
      <c r="AQ1" t="inlineStr">
        <is>
          <t>Delayed dispatches (count)</t>
        </is>
      </c>
      <c r="AR1" t="inlineStr">
        <is>
          <t>Days to permit expiry (days)</t>
        </is>
      </c>
      <c r="AS1" t="inlineStr">
        <is>
          <t>Sales volume (t)</t>
        </is>
      </c>
      <c r="AT1" t="inlineStr">
        <is>
          <t>Planned sales volume (t)</t>
        </is>
      </c>
      <c r="AU1" t="inlineStr">
        <is>
          <t>Revenue (₹ thousand)</t>
        </is>
      </c>
      <c r="AV1" t="inlineStr">
        <is>
          <t>Planned revenue (₹ thousand)</t>
        </is>
      </c>
      <c r="AW1" t="inlineStr">
        <is>
          <t>Power cost, part of variable cost (₹ thousand)</t>
        </is>
      </c>
      <c r="AX1" t="inlineStr">
        <is>
          <t>Depreciation and amortisation (₹ thousand)</t>
        </is>
      </c>
      <c r="AY1" t="inlineStr">
        <is>
          <t>Purchase-order lines due (count)</t>
        </is>
      </c>
      <c r="AZ1" t="inlineStr">
        <is>
          <t>Purchase-order lines delivered on time (count)</t>
        </is>
      </c>
      <c r="BA1" t="inlineStr">
        <is>
          <t>Quantity ordered from suppliers (t)</t>
        </is>
      </c>
      <c r="BB1" t="inlineStr">
        <is>
          <t>Quantity received (t)</t>
        </is>
      </c>
      <c r="BC1" t="inlineStr">
        <is>
          <t>Quantity rejected on quality (t)</t>
        </is>
      </c>
      <c r="BD1" t="inlineStr">
        <is>
          <t>Planned lead time, all deliveries (days)</t>
        </is>
      </c>
      <c r="BE1" t="inlineStr">
        <is>
          <t>Actual lead time, all deliveries (days)</t>
        </is>
      </c>
      <c r="BF1" t="inlineStr">
        <is>
          <t>Supplier spend (₹ thousand)</t>
        </is>
      </c>
      <c r="BG1" t="inlineStr">
        <is>
          <t>Spend with single-source suppliers (₹ thousand)</t>
        </is>
      </c>
      <c r="BH1" t="inlineStr">
        <is>
          <t>Supplier EHS incidents (count)</t>
        </is>
      </c>
      <c r="BI1" t="inlineStr">
        <is>
          <t>Regulatory filings pending (count)</t>
        </is>
      </c>
      <c r="BJ1" t="inlineStr">
        <is>
          <t>Regulatory deadlines in next 30 days (count)</t>
        </is>
      </c>
      <c r="BK1" t="inlineStr">
        <is>
          <t>Licences expiring in next 12 months (count)</t>
        </is>
      </c>
      <c r="BL1" t="inlineStr">
        <is>
          <t>Regulatory obligations due in next 30 days (count)</t>
        </is>
      </c>
      <c r="BM1" t="inlineStr">
        <is>
          <t>Regulatory obligations overdue (count)</t>
        </is>
      </c>
      <c r="BN1" t="inlineStr">
        <is>
          <t>Open regulatory actions (count)</t>
        </is>
      </c>
      <c r="BO1" t="inlineStr">
        <is>
          <t>Overdue compliance actions (count)</t>
        </is>
      </c>
      <c r="BP1" t="inlineStr">
        <is>
          <t>Regulatory breaches in the month (count)</t>
        </is>
      </c>
      <c r="BQ1" t="inlineStr">
        <is>
          <t>Events that trigger a disclosure clock (count)</t>
        </is>
      </c>
      <c r="BR1" t="inlineStr">
        <is>
          <t>EHS escalation clocks running (count)</t>
        </is>
      </c>
      <c r="BS1" t="inlineStr">
        <is>
          <t>Days until production plan is breached, forecast (days; 99 = not expected)</t>
        </is>
      </c>
      <c r="BT1" t="inlineStr">
        <is>
          <t>Planned production next month (t)</t>
        </is>
      </c>
      <c r="BU1" t="inlineStr">
        <is>
          <t>Forecast good output next month (t)</t>
        </is>
      </c>
      <c r="BV1" t="inlineStr">
        <is>
          <t>Forecast uncertainty next month (variance, t²)</t>
        </is>
      </c>
      <c r="BW1" t="inlineStr">
        <is>
          <t>Ideal output next month (t)</t>
        </is>
      </c>
      <c r="BX1" t="inlineStr">
        <is>
          <t>Forecast production lost to downtime next month (t)</t>
        </is>
      </c>
      <c r="BY1" t="inlineStr">
        <is>
          <t>Overheads, SG&amp;A (₹ thousand)</t>
        </is>
      </c>
      <c r="BZ1" t="inlineStr">
        <is>
          <t>Tax paid (₹ thousand)</t>
        </is>
      </c>
      <c r="CA1" t="inlineStr">
        <is>
          <t>Capital employed, month end (₹ thousand)</t>
        </is>
      </c>
      <c r="CB1" t="inlineStr">
        <is>
          <t>Gross debt, month end (₹ thousand)</t>
        </is>
      </c>
      <c r="CC1" t="inlineStr">
        <is>
          <t>Cash, month end (₹ thousand)</t>
        </is>
      </c>
      <c r="CD1" t="inlineStr">
        <is>
          <t>Undrawn committed facilities (₹ thousand)</t>
        </is>
      </c>
      <c r="CE1" t="inlineStr">
        <is>
          <t>Debt service in the month (₹ thousand)</t>
        </is>
      </c>
      <c r="CF1" t="inlineStr">
        <is>
          <t>Debt maturing in next 12 months (₹ thousand)</t>
        </is>
      </c>
      <c r="CG1" t="inlineStr">
        <is>
          <t>Floating-rate debt (₹ thousand)</t>
        </is>
      </c>
      <c r="CH1" t="inlineStr">
        <is>
          <t>EBITDA as reported in the Board pack (₹ thousand)</t>
        </is>
      </c>
      <c r="CI1" t="inlineStr">
        <is>
          <t>Revenue in the flash report (₹ thousand)</t>
        </is>
      </c>
      <c r="CJ1" t="inlineStr">
        <is>
          <t>Trade receivables, month end (₹ thousand)</t>
        </is>
      </c>
      <c r="CK1" t="inlineStr">
        <is>
          <t>Trade payables, month end (₹ thousand)</t>
        </is>
      </c>
      <c r="CL1" t="inlineStr">
        <is>
          <t>Inventory, month end (₹ thousand)</t>
        </is>
      </c>
      <c r="CM1" t="inlineStr">
        <is>
          <t>Cash collected from customers (₹ thousand)</t>
        </is>
      </c>
      <c r="CN1" t="inlineStr">
        <is>
          <t>Cash released by working-capital actions (₹ thousand)</t>
        </is>
      </c>
      <c r="CO1" t="inlineStr">
        <is>
          <t>Cash due to be upstreamed to Group, next 30 days (₹ thousand)</t>
        </is>
      </c>
      <c r="CP1" t="inlineStr">
        <is>
          <t>Of which covered by available cash (₹ thousand)</t>
        </is>
      </c>
      <c r="CQ1" t="inlineStr">
        <is>
          <t>Invoices collected (count)</t>
        </is>
      </c>
      <c r="CR1" t="inlineStr">
        <is>
          <t>Days taken to collect, all invoices (days)</t>
        </is>
      </c>
      <c r="CS1" t="inlineStr">
        <is>
          <t>Agreed payment terms, all invoices (days)</t>
        </is>
      </c>
      <c r="CT1" t="inlineStr">
        <is>
          <t>Customers more than 30 days overdue (count)</t>
        </is>
      </c>
      <c r="CU1" t="inlineStr">
        <is>
          <t>Forecast EBITDA, rest of year (₹ thousand)</t>
        </is>
      </c>
      <c r="CV1" t="inlineStr">
        <is>
          <t>Planned EBITDA, rest of year (₹ thousand)</t>
        </is>
      </c>
      <c r="CW1" t="inlineStr">
        <is>
          <t>Forecast net cash flow, next 90 days (₹ thousand)</t>
        </is>
      </c>
      <c r="CX1" t="inlineStr">
        <is>
          <t>Forecast net debt at quarter end (₹ thousand)</t>
        </is>
      </c>
      <c r="CY1" t="inlineStr">
        <is>
          <t>Forecast EBITDA, 12 months to quarter end (₹ thousand)</t>
        </is>
      </c>
      <c r="CZ1" t="inlineStr">
        <is>
          <t>Foreign-currency exposure, gross (₹ thousand)</t>
        </is>
      </c>
      <c r="DA1" t="inlineStr">
        <is>
          <t>Foreign-currency exposure hedged (₹ thousand)</t>
        </is>
      </c>
      <c r="DB1" t="inlineStr">
        <is>
          <t>USD exposure, gross (₹ thousand)</t>
        </is>
      </c>
      <c r="DC1" t="inlineStr">
        <is>
          <t>USD exposure hedged (₹ thousand)</t>
        </is>
      </c>
      <c r="DD1" t="inlineStr">
        <is>
          <t>Change in value of hedges (₹ thousand)</t>
        </is>
      </c>
      <c r="DE1" t="inlineStr">
        <is>
          <t>Change in value of hedged items (₹ thousand)</t>
        </is>
      </c>
      <c r="DF1" t="inlineStr">
        <is>
          <t>Forecast foreign-currency flows, next 6 months (₹ thousand)</t>
        </is>
      </c>
      <c r="DG1" t="inlineStr">
        <is>
          <t>Of which hedged (₹ thousand)</t>
        </is>
      </c>
      <c r="DH1" t="inlineStr">
        <is>
          <t>Approved capex budget, full year (₹ thousand)</t>
        </is>
      </c>
      <c r="DI1" t="inlineStr">
        <is>
          <t>Capex committed to date (₹ thousand)</t>
        </is>
      </c>
      <c r="DJ1" t="inlineStr">
        <is>
          <t>Capex spent in the month (₹ thousand)</t>
        </is>
      </c>
      <c r="DK1" t="inlineStr">
        <is>
          <t>Capex work completed, valued at budget (₹ thousand)</t>
        </is>
      </c>
      <c r="DL1" t="inlineStr">
        <is>
          <t>Budget of capex projects at risk (₹ thousand)</t>
        </is>
      </c>
      <c r="DM1" t="inlineStr">
        <is>
          <t>Capex projects on track (count)</t>
        </is>
      </c>
      <c r="DN1" t="inlineStr">
        <is>
          <t>Capex projects at risk (count)</t>
        </is>
      </c>
      <c r="DO1" t="inlineStr">
        <is>
          <t>Capex projects off track (count)</t>
        </is>
      </c>
      <c r="DP1" t="inlineStr">
        <is>
          <t>Capex projects delayed (count)</t>
        </is>
      </c>
      <c r="DQ1" t="inlineStr">
        <is>
          <t>Contractor milestones due (count)</t>
        </is>
      </c>
      <c r="DR1" t="inlineStr">
        <is>
          <t>Contractor days late, all milestones (days)</t>
        </is>
      </c>
      <c r="DS1" t="inlineStr">
        <is>
          <t>Transformation initiatives on track (count)</t>
        </is>
      </c>
      <c r="DT1" t="inlineStr">
        <is>
          <t>Transformation initiatives at risk (count)</t>
        </is>
      </c>
      <c r="DU1" t="inlineStr">
        <is>
          <t>Transformation initiatives delayed (count)</t>
        </is>
      </c>
      <c r="DV1" t="inlineStr">
        <is>
          <t>Transformation milestones in plan (count)</t>
        </is>
      </c>
      <c r="DW1" t="inlineStr">
        <is>
          <t>Transformation milestones completed (count)</t>
        </is>
      </c>
      <c r="DX1" t="inlineStr">
        <is>
          <t>Programme benefits planned in the month (₹ thousand)</t>
        </is>
      </c>
      <c r="DY1" t="inlineStr">
        <is>
          <t>Programme benefits delivered in the month (₹ thousand)</t>
        </is>
      </c>
      <c r="DZ1" t="inlineStr">
        <is>
          <t>EBITDA benefit delivered (₹ thousand)</t>
        </is>
      </c>
      <c r="EA1" t="inlineStr">
        <is>
          <t>Cash benefit delivered (₹ thousand)</t>
        </is>
      </c>
      <c r="EB1" t="inlineStr">
        <is>
          <t>Cost savings delivered (₹ thousand)</t>
        </is>
      </c>
      <c r="EC1" t="inlineStr">
        <is>
          <t>Active supply contracts (count)</t>
        </is>
      </c>
      <c r="ED1" t="inlineStr">
        <is>
          <t>Contracts fully compliant (count)</t>
        </is>
      </c>
      <c r="EE1" t="inlineStr">
        <is>
          <t>Contracts expiring in next 90 days (count)</t>
        </is>
      </c>
      <c r="EF1" t="inlineStr">
        <is>
          <t>Suppliers not meeting EHS requirements (count)</t>
        </is>
      </c>
      <c r="EG1" t="inlineStr">
        <is>
          <t>Critical single-source suppliers (count)</t>
        </is>
      </c>
      <c r="EH1" t="inlineStr">
        <is>
          <t>Control failures (count)</t>
        </is>
      </c>
      <c r="EI1" t="inlineStr">
        <is>
          <t>High-severity control failures (count)</t>
        </is>
      </c>
      <c r="EJ1" t="inlineStr">
        <is>
          <t>Assurance reviews planned (count)</t>
        </is>
      </c>
      <c r="EK1" t="inlineStr">
        <is>
          <t>Assurance reviews completed (count)</t>
        </is>
      </c>
      <c r="EL1" t="inlineStr">
        <is>
          <t>Policy exceptions (count)</t>
        </is>
      </c>
      <c r="EM1" t="inlineStr">
        <is>
          <t>Unauthorised vendor uses (count)</t>
        </is>
      </c>
      <c r="EN1" t="inlineStr">
        <is>
          <t>Segregation-of-duties exceptions (count)</t>
        </is>
      </c>
      <c r="EO1" t="inlineStr">
        <is>
          <t>Unauthorised access events (count)</t>
        </is>
      </c>
      <c r="EP1" t="inlineStr">
        <is>
          <t>Data-sharing exceptions (count)</t>
        </is>
      </c>
      <c r="EQ1" t="inlineStr">
        <is>
          <t>Manual operational or system overrides (count)</t>
        </is>
      </c>
      <c r="ER1" t="inlineStr">
        <is>
          <t>Certification approvals past due date (count)</t>
        </is>
      </c>
      <c r="ES1" t="inlineStr">
        <is>
          <t>KPI values overridden (count)</t>
        </is>
      </c>
      <c r="ET1" t="inlineStr">
        <is>
          <t>Recurring data-quality issues (count)</t>
        </is>
      </c>
      <c r="EU1" t="inlineStr">
        <is>
          <t>Open audit findings (count)</t>
        </is>
      </c>
      <c r="EV1" t="inlineStr">
        <is>
          <t>Overdue assurance actions (count)</t>
        </is>
      </c>
      <c r="EW1" t="inlineStr">
        <is>
          <t>Repeat audit findings (count)</t>
        </is>
      </c>
      <c r="EX1" t="inlineStr">
        <is>
          <t>Leadership KPIs affected by open findings (count)</t>
        </is>
      </c>
      <c r="EY1" t="inlineStr">
        <is>
          <t>Evidence items required (count)</t>
        </is>
      </c>
      <c r="EZ1" t="inlineStr">
        <is>
          <t>Evidence items complete (count)</t>
        </is>
      </c>
      <c r="FA1" t="inlineStr">
        <is>
          <t>Audit findings closed in the month (count)</t>
        </is>
      </c>
      <c r="FB1" t="inlineStr">
        <is>
          <t>Days taken to close those findings (days)</t>
        </is>
      </c>
      <c r="FC1" t="inlineStr">
        <is>
          <t>Leadership KPI values reported (count)</t>
        </is>
      </c>
      <c r="FD1" t="inlineStr">
        <is>
          <t>Of which certified (count)</t>
        </is>
      </c>
      <c r="FE1" t="inlineStr">
        <is>
          <t>Of which inside the certification process (count)</t>
        </is>
      </c>
      <c r="FF1" t="inlineStr">
        <is>
          <t>Certifications overdue (count)</t>
        </is>
      </c>
      <c r="FG1" t="inlineStr">
        <is>
          <t>Open reconciliation breaks (count)</t>
        </is>
      </c>
      <c r="FH1" t="inlineStr">
        <is>
          <t>Material reconciliation breaks (count)</t>
        </is>
      </c>
      <c r="FI1" t="inlineStr">
        <is>
          <t>Records loaded to the data lake (count)</t>
        </is>
      </c>
      <c r="FJ1" t="inlineStr">
        <is>
          <t>Records reconciled to source (count)</t>
        </is>
      </c>
      <c r="FK1" t="inlineStr">
        <is>
          <t>Flash report lines (count)</t>
        </is>
      </c>
      <c r="FL1" t="inlineStr">
        <is>
          <t>Flash lines matching MIS (count)</t>
        </is>
      </c>
      <c r="FM1" t="inlineStr">
        <is>
          <t>Open critical alerts (count)</t>
        </is>
      </c>
      <c r="FN1" t="inlineStr">
        <is>
          <t>Alerts with no accepted owner (count)</t>
        </is>
      </c>
      <c r="FO1" t="inlineStr">
        <is>
          <t>Overdue actions (count)</t>
        </is>
      </c>
      <c r="FP1" t="inlineStr">
        <is>
          <t>Alerts resolved in the month (count)</t>
        </is>
      </c>
      <c r="FQ1" t="inlineStr">
        <is>
          <t>Days taken to resolve those alerts (days)</t>
        </is>
      </c>
      <c r="FR1" t="inlineStr">
        <is>
          <t>Escalations closed in the month (count)</t>
        </is>
      </c>
      <c r="FS1" t="inlineStr">
        <is>
          <t>Repeat issues raised in the month (count)</t>
        </is>
      </c>
      <c r="FT1" t="inlineStr">
        <is>
          <t>Root causes identified (count)</t>
        </is>
      </c>
      <c r="FU1" t="inlineStr">
        <is>
          <t>Root causes eliminated (count)</t>
        </is>
      </c>
      <c r="FV1" t="inlineStr">
        <is>
          <t>EBITDA (₹ thousand)</t>
        </is>
      </c>
      <c r="FW1" t="inlineStr">
        <is>
          <t>EBIT (₹ thousand)</t>
        </is>
      </c>
      <c r="FX1" t="inlineStr">
        <is>
          <t>Net working capital (₹ thousand)</t>
        </is>
      </c>
      <c r="FY1" t="inlineStr">
        <is>
          <t>Change in net working capital (₹ thousand)</t>
        </is>
      </c>
      <c r="FZ1" t="inlineStr">
        <is>
          <t>Operating cash flow (₹ thousand)</t>
        </is>
      </c>
      <c r="GA1" t="inlineStr">
        <is>
          <t>Free cash flow (₹ thousand)</t>
        </is>
      </c>
      <c r="GB1" t="inlineStr">
        <is>
          <t>Net debt (₹ thousand)</t>
        </is>
      </c>
      <c r="GC1" t="inlineStr">
        <is>
          <t>EBITDA, annualised (₹ thousand)</t>
        </is>
      </c>
      <c r="GD1" t="inlineStr">
        <is>
          <t>DSO (days)</t>
        </is>
      </c>
      <c r="GE1" t="inlineStr">
        <is>
          <t>DPO (days)</t>
        </is>
      </c>
      <c r="GF1" t="inlineStr">
        <is>
          <t>Inventory days (days)</t>
        </is>
      </c>
      <c r="GG1" t="inlineStr">
        <is>
          <t>Realised price vs plan (%)</t>
        </is>
      </c>
      <c r="GH1" t="inlineStr">
        <is>
          <t>Full-time employees (FTE, count)</t>
        </is>
      </c>
      <c r="GI1" t="inlineStr">
        <is>
          <t>FCF plan, full year (₹ thousand)</t>
        </is>
      </c>
      <c r="GJ1" t="inlineStr">
        <is>
          <t>Forecast FCF, rest of year (₹ thousand)</t>
        </is>
      </c>
      <c r="GK1" t="inlineStr">
        <is>
          <t>Forecast EBIT, rest of year (₹ thousand)</t>
        </is>
      </c>
      <c r="GL1" t="inlineStr">
        <is>
          <t>Forecast capital employed at P12 (₹ thousand)</t>
        </is>
      </c>
      <c r="GM1" t="inlineStr">
        <is>
          <t>EBITDA plan, full year (₹ thousand)</t>
        </is>
      </c>
      <c r="GN1" t="inlineStr">
        <is>
          <t>EBITDA full-year forecast uncertainty, 1σ (₹ thousand)</t>
        </is>
      </c>
      <c r="GO1" t="inlineStr">
        <is>
          <t>Hours to nearest open disclosure deadline (999 = none)</t>
        </is>
      </c>
      <c r="GP1" t="inlineStr">
        <is>
          <t>Single-source suppliers with cover below lead time (count)</t>
        </is>
      </c>
      <c r="GQ1" t="inlineStr">
        <is>
          <t>RM-1 price index (external, same for every entity)</t>
        </is>
      </c>
      <c r="GR1" t="inlineStr">
        <is>
          <t>Supply lanes with a disruption flag (count)</t>
        </is>
      </c>
    </row>
    <row r="2">
      <c r="A2" t="inlineStr">
        <is>
          <t>group</t>
        </is>
      </c>
      <c r="B2" t="inlineStr">
        <is>
          <t>period</t>
        </is>
      </c>
      <c r="C2" t="inlineStr">
        <is>
          <t>days</t>
        </is>
      </c>
      <c r="D2" t="inlineStr">
        <is>
          <t>ytd_months</t>
        </is>
      </c>
      <c r="E2" t="inlineStr">
        <is>
          <t>calendar_hours</t>
        </is>
      </c>
      <c r="F2" t="inlineStr">
        <is>
          <t>planned_op_hours</t>
        </is>
      </c>
      <c r="G2" t="inlineStr">
        <is>
          <t>run_hours</t>
        </is>
      </c>
      <c r="H2" t="inlineStr">
        <is>
          <t>unplanned_downtime_hours</t>
        </is>
      </c>
      <c r="I2" t="inlineStr">
        <is>
          <t>ideal_output_t</t>
        </is>
      </c>
      <c r="J2" t="inlineStr">
        <is>
          <t>installed_capacity_t</t>
        </is>
      </c>
      <c r="K2" t="inlineStr">
        <is>
          <t>planned_production_t</t>
        </is>
      </c>
      <c r="L2" t="inlineStr">
        <is>
          <t>gross_output_t</t>
        </is>
      </c>
      <c r="M2" t="inlineStr">
        <is>
          <t>good_output_t</t>
        </is>
      </c>
      <c r="N2" t="inlineStr">
        <is>
          <t>feed_input_t</t>
        </is>
      </c>
      <c r="O2" t="inlineStr">
        <is>
          <t>feed_contained_t</t>
        </is>
      </c>
      <c r="P2" t="inlineStr">
        <is>
          <t>recovered_contained_t</t>
        </is>
      </c>
      <c r="Q2" t="inlineStr">
        <is>
          <t>prod_loss_downtime_t</t>
        </is>
      </c>
      <c r="R2" t="inlineStr">
        <is>
          <t>failures</t>
        </is>
      </c>
      <c r="S2" t="inlineStr">
        <is>
          <t>repair_hours</t>
        </is>
      </c>
      <c r="T2" t="inlineStr">
        <is>
          <t>pm_scheduled</t>
        </is>
      </c>
      <c r="U2" t="inlineStr">
        <is>
          <t>pm_completed</t>
        </is>
      </c>
      <c r="V2" t="inlineStr">
        <is>
          <t>variable_cost_k</t>
        </is>
      </c>
      <c r="W2" t="inlineStr">
        <is>
          <t>fuel_cost_k</t>
        </is>
      </c>
      <c r="X2" t="inlineStr">
        <is>
          <t>fixed_cost_k</t>
        </is>
      </c>
      <c r="Y2" t="inlineStr">
        <is>
          <t>water_m3</t>
        </is>
      </c>
      <c r="Z2" t="inlineStr">
        <is>
          <t>emissions_tco2e</t>
        </is>
      </c>
      <c r="AA2" t="inlineStr">
        <is>
          <t>energy_gj</t>
        </is>
      </c>
      <c r="AB2" t="inlineStr">
        <is>
          <t>production_at_risk_t</t>
        </is>
      </c>
      <c r="AC2" t="inlineStr">
        <is>
          <t>critical_plant_alerts</t>
        </is>
      </c>
      <c r="AD2" t="inlineStr">
        <is>
          <t>hours_worked</t>
        </is>
      </c>
      <c r="AE2" t="inlineStr">
        <is>
          <t>recordable_injuries</t>
        </is>
      </c>
      <c r="AF2" t="inlineStr">
        <is>
          <t>severity_incidents</t>
        </is>
      </c>
      <c r="AG2" t="inlineStr">
        <is>
          <t>near_misses</t>
        </is>
      </c>
      <c r="AH2" t="inlineStr">
        <is>
          <t>critical_safety_incidents</t>
        </is>
      </c>
      <c r="AI2" t="inlineStr">
        <is>
          <t>env_excursions</t>
        </is>
      </c>
      <c r="AJ2" t="inlineStr">
        <is>
          <t>env_violations</t>
        </is>
      </c>
      <c r="AK2" t="inlineStr">
        <is>
          <t>ehs_ca_open</t>
        </is>
      </c>
      <c r="AL2" t="inlineStr">
        <is>
          <t>ehs_ca_overdue</t>
        </is>
      </c>
      <c r="AM2" t="inlineStr">
        <is>
          <t>investigations_due</t>
        </is>
      </c>
      <c r="AN2" t="inlineStr">
        <is>
          <t>investigations_completed</t>
        </is>
      </c>
      <c r="AO2" t="inlineStr">
        <is>
          <t>critical_material_risks</t>
        </is>
      </c>
      <c r="AP2" t="inlineStr">
        <is>
          <t>dispatches_total</t>
        </is>
      </c>
      <c r="AQ2" t="inlineStr">
        <is>
          <t>dispatches_delayed</t>
        </is>
      </c>
      <c r="AR2" t="inlineStr">
        <is>
          <t>permit_days_to_expiry</t>
        </is>
      </c>
      <c r="AS2" t="inlineStr">
        <is>
          <t>sales_t</t>
        </is>
      </c>
      <c r="AT2" t="inlineStr">
        <is>
          <t>planned_sales_t</t>
        </is>
      </c>
      <c r="AU2" t="inlineStr">
        <is>
          <t>revenue_k</t>
        </is>
      </c>
      <c r="AV2" t="inlineStr">
        <is>
          <t>planned_revenue_k</t>
        </is>
      </c>
      <c r="AW2" t="inlineStr">
        <is>
          <t>power_cost_k</t>
        </is>
      </c>
      <c r="AX2" t="inlineStr">
        <is>
          <t>depreciation_k</t>
        </is>
      </c>
      <c r="AY2" t="inlineStr">
        <is>
          <t>po_lines_due</t>
        </is>
      </c>
      <c r="AZ2" t="inlineStr">
        <is>
          <t>po_lines_on_time</t>
        </is>
      </c>
      <c r="BA2" t="inlineStr">
        <is>
          <t>qty_ordered_t</t>
        </is>
      </c>
      <c r="BB2" t="inlineStr">
        <is>
          <t>qty_received_t</t>
        </is>
      </c>
      <c r="BC2" t="inlineStr">
        <is>
          <t>qty_rejected_t</t>
        </is>
      </c>
      <c r="BD2" t="inlineStr">
        <is>
          <t>lead_time_planned_days</t>
        </is>
      </c>
      <c r="BE2" t="inlineStr">
        <is>
          <t>lead_time_actual_days</t>
        </is>
      </c>
      <c r="BF2" t="inlineStr">
        <is>
          <t>supplier_spend_k</t>
        </is>
      </c>
      <c r="BG2" t="inlineStr">
        <is>
          <t>single_source_spend_k</t>
        </is>
      </c>
      <c r="BH2" t="inlineStr">
        <is>
          <t>supplier_ehs_incidents</t>
        </is>
      </c>
      <c r="BI2" t="inlineStr">
        <is>
          <t>pending_filings</t>
        </is>
      </c>
      <c r="BJ2" t="inlineStr">
        <is>
          <t>reg_deadlines_30d</t>
        </is>
      </c>
      <c r="BK2" t="inlineStr">
        <is>
          <t>licences_expiring_12m</t>
        </is>
      </c>
      <c r="BL2" t="inlineStr">
        <is>
          <t>reg_obligations_due_30d</t>
        </is>
      </c>
      <c r="BM2" t="inlineStr">
        <is>
          <t>reg_obligations_overdue</t>
        </is>
      </c>
      <c r="BN2" t="inlineStr">
        <is>
          <t>reg_actions_open</t>
        </is>
      </c>
      <c r="BO2" t="inlineStr">
        <is>
          <t>compliance_actions_overdue</t>
        </is>
      </c>
      <c r="BP2" t="inlineStr">
        <is>
          <t>reg_breaches</t>
        </is>
      </c>
      <c r="BQ2" t="inlineStr">
        <is>
          <t>disclosure_events_open</t>
        </is>
      </c>
      <c r="BR2" t="inlineStr">
        <is>
          <t>ehs_escalation_clocks</t>
        </is>
      </c>
      <c r="BS2" t="inlineStr">
        <is>
          <t>days_to_breach</t>
        </is>
      </c>
      <c r="BT2" t="inlineStr">
        <is>
          <t>planned_production_next_t</t>
        </is>
      </c>
      <c r="BU2" t="inlineStr">
        <is>
          <t>forecast_good_next_t</t>
        </is>
      </c>
      <c r="BV2" t="inlineStr">
        <is>
          <t>forecast_good_var_next</t>
        </is>
      </c>
      <c r="BW2" t="inlineStr">
        <is>
          <t>ideal_output_next_t</t>
        </is>
      </c>
      <c r="BX2" t="inlineStr">
        <is>
          <t>forecast_downtime_loss_next_t</t>
        </is>
      </c>
      <c r="BY2" t="inlineStr">
        <is>
          <t>overhead_k</t>
        </is>
      </c>
      <c r="BZ2" t="inlineStr">
        <is>
          <t>tax_paid_k</t>
        </is>
      </c>
      <c r="CA2" t="inlineStr">
        <is>
          <t>capital_employed_k</t>
        </is>
      </c>
      <c r="CB2" t="inlineStr">
        <is>
          <t>gross_debt_k</t>
        </is>
      </c>
      <c r="CC2" t="inlineStr">
        <is>
          <t>cash_k</t>
        </is>
      </c>
      <c r="CD2" t="inlineStr">
        <is>
          <t>undrawn_facilities_k</t>
        </is>
      </c>
      <c r="CE2" t="inlineStr">
        <is>
          <t>debt_service_k</t>
        </is>
      </c>
      <c r="CF2" t="inlineStr">
        <is>
          <t>debt_maturing_12m_k</t>
        </is>
      </c>
      <c r="CG2" t="inlineStr">
        <is>
          <t>floating_rate_debt_k</t>
        </is>
      </c>
      <c r="CH2" t="inlineStr">
        <is>
          <t>board_ebitda_k</t>
        </is>
      </c>
      <c r="CI2" t="inlineStr">
        <is>
          <t>flash_revenue_k</t>
        </is>
      </c>
      <c r="CJ2" t="inlineStr">
        <is>
          <t>receivables_k</t>
        </is>
      </c>
      <c r="CK2" t="inlineStr">
        <is>
          <t>payables_k</t>
        </is>
      </c>
      <c r="CL2" t="inlineStr">
        <is>
          <t>inventory_k</t>
        </is>
      </c>
      <c r="CM2" t="inlineStr">
        <is>
          <t>collections_k</t>
        </is>
      </c>
      <c r="CN2" t="inlineStr">
        <is>
          <t>cash_released_k</t>
        </is>
      </c>
      <c r="CO2" t="inlineStr">
        <is>
          <t>upstream_due_k</t>
        </is>
      </c>
      <c r="CP2" t="inlineStr">
        <is>
          <t>upstream_covered_k</t>
        </is>
      </c>
      <c r="CQ2" t="inlineStr">
        <is>
          <t>invoices_collected</t>
        </is>
      </c>
      <c r="CR2" t="inlineStr">
        <is>
          <t>collection_days</t>
        </is>
      </c>
      <c r="CS2" t="inlineStr">
        <is>
          <t>terms_days</t>
        </is>
      </c>
      <c r="CT2" t="inlineStr">
        <is>
          <t>customers_overdue</t>
        </is>
      </c>
      <c r="CU2" t="inlineStr">
        <is>
          <t>forecast_ebitda_rest_k</t>
        </is>
      </c>
      <c r="CV2" t="inlineStr">
        <is>
          <t>planned_ebitda_rest_k</t>
        </is>
      </c>
      <c r="CW2" t="inlineStr">
        <is>
          <t>forecast_net_cash_flow_90d_k</t>
        </is>
      </c>
      <c r="CX2" t="inlineStr">
        <is>
          <t>forecast_net_debt_k</t>
        </is>
      </c>
      <c r="CY2" t="inlineStr">
        <is>
          <t>forecast_ebitda_ltm_k</t>
        </is>
      </c>
      <c r="CZ2" t="inlineStr">
        <is>
          <t>fx_exposure_k</t>
        </is>
      </c>
      <c r="DA2" t="inlineStr">
        <is>
          <t>fx_hedged_k</t>
        </is>
      </c>
      <c r="DB2" t="inlineStr">
        <is>
          <t>usd_exposure_k</t>
        </is>
      </c>
      <c r="DC2" t="inlineStr">
        <is>
          <t>usd_hedged_k</t>
        </is>
      </c>
      <c r="DD2" t="inlineStr">
        <is>
          <t>hedge_value_change_k</t>
        </is>
      </c>
      <c r="DE2" t="inlineStr">
        <is>
          <t>hedged_item_value_change_k</t>
        </is>
      </c>
      <c r="DF2" t="inlineStr">
        <is>
          <t>fx_flows_6m_k</t>
        </is>
      </c>
      <c r="DG2" t="inlineStr">
        <is>
          <t>fx_hedged_6m_k</t>
        </is>
      </c>
      <c r="DH2" t="inlineStr">
        <is>
          <t>capex_budget_k</t>
        </is>
      </c>
      <c r="DI2" t="inlineStr">
        <is>
          <t>capex_committed_k</t>
        </is>
      </c>
      <c r="DJ2" t="inlineStr">
        <is>
          <t>capex_spend_k</t>
        </is>
      </c>
      <c r="DK2" t="inlineStr">
        <is>
          <t>capex_earned_value_k</t>
        </is>
      </c>
      <c r="DL2" t="inlineStr">
        <is>
          <t>capex_at_risk_k</t>
        </is>
      </c>
      <c r="DM2" t="inlineStr">
        <is>
          <t>projects_on_track</t>
        </is>
      </c>
      <c r="DN2" t="inlineStr">
        <is>
          <t>projects_at_risk</t>
        </is>
      </c>
      <c r="DO2" t="inlineStr">
        <is>
          <t>projects_off_track</t>
        </is>
      </c>
      <c r="DP2" t="inlineStr">
        <is>
          <t>projects_delayed</t>
        </is>
      </c>
      <c r="DQ2" t="inlineStr">
        <is>
          <t>contractor_milestones_due</t>
        </is>
      </c>
      <c r="DR2" t="inlineStr">
        <is>
          <t>contractor_days_late</t>
        </is>
      </c>
      <c r="DS2" t="inlineStr">
        <is>
          <t>initiatives_on_track</t>
        </is>
      </c>
      <c r="DT2" t="inlineStr">
        <is>
          <t>initiatives_at_risk</t>
        </is>
      </c>
      <c r="DU2" t="inlineStr">
        <is>
          <t>initiatives_delayed</t>
        </is>
      </c>
      <c r="DV2" t="inlineStr">
        <is>
          <t>milestones_total</t>
        </is>
      </c>
      <c r="DW2" t="inlineStr">
        <is>
          <t>milestones_done</t>
        </is>
      </c>
      <c r="DX2" t="inlineStr">
        <is>
          <t>benefits_planned_k</t>
        </is>
      </c>
      <c r="DY2" t="inlineStr">
        <is>
          <t>benefits_delivered_k</t>
        </is>
      </c>
      <c r="DZ2" t="inlineStr">
        <is>
          <t>ebitda_benefit_k</t>
        </is>
      </c>
      <c r="EA2" t="inlineStr">
        <is>
          <t>cash_benefit_k</t>
        </is>
      </c>
      <c r="EB2" t="inlineStr">
        <is>
          <t>cost_savings_k</t>
        </is>
      </c>
      <c r="EC2" t="inlineStr">
        <is>
          <t>contracts_total</t>
        </is>
      </c>
      <c r="ED2" t="inlineStr">
        <is>
          <t>contracts_compliant</t>
        </is>
      </c>
      <c r="EE2" t="inlineStr">
        <is>
          <t>contracts_expiring_90d</t>
        </is>
      </c>
      <c r="EF2" t="inlineStr">
        <is>
          <t>supplier_ehs_noncompliance</t>
        </is>
      </c>
      <c r="EG2" t="inlineStr">
        <is>
          <t>single_source_suppliers</t>
        </is>
      </c>
      <c r="EH2" t="inlineStr">
        <is>
          <t>control_failures</t>
        </is>
      </c>
      <c r="EI2" t="inlineStr">
        <is>
          <t>control_failures_high</t>
        </is>
      </c>
      <c r="EJ2" t="inlineStr">
        <is>
          <t>assurance_reviews_planned</t>
        </is>
      </c>
      <c r="EK2" t="inlineStr">
        <is>
          <t>assurance_reviews_done</t>
        </is>
      </c>
      <c r="EL2" t="inlineStr">
        <is>
          <t>policy_exceptions</t>
        </is>
      </c>
      <c r="EM2" t="inlineStr">
        <is>
          <t>unauthorized_vendor_uses</t>
        </is>
      </c>
      <c r="EN2" t="inlineStr">
        <is>
          <t>sod_exceptions</t>
        </is>
      </c>
      <c r="EO2" t="inlineStr">
        <is>
          <t>unauthorized_access_events</t>
        </is>
      </c>
      <c r="EP2" t="inlineStr">
        <is>
          <t>data_sharing_exceptions</t>
        </is>
      </c>
      <c r="EQ2" t="inlineStr">
        <is>
          <t>manual_overrides</t>
        </is>
      </c>
      <c r="ER2" t="inlineStr">
        <is>
          <t>cert_approvals_ageing</t>
        </is>
      </c>
      <c r="ES2" t="inlineStr">
        <is>
          <t>kpi_overrides</t>
        </is>
      </c>
      <c r="ET2" t="inlineStr">
        <is>
          <t>dq_issues_recurring</t>
        </is>
      </c>
      <c r="EU2" t="inlineStr">
        <is>
          <t>audit_findings_open</t>
        </is>
      </c>
      <c r="EV2" t="inlineStr">
        <is>
          <t>assurance_actions_overdue</t>
        </is>
      </c>
      <c r="EW2" t="inlineStr">
        <is>
          <t>repeat_findings</t>
        </is>
      </c>
      <c r="EX2" t="inlineStr">
        <is>
          <t>leadership_kpis_affected</t>
        </is>
      </c>
      <c r="EY2" t="inlineStr">
        <is>
          <t>evidence_required</t>
        </is>
      </c>
      <c r="EZ2" t="inlineStr">
        <is>
          <t>evidence_complete</t>
        </is>
      </c>
      <c r="FA2" t="inlineStr">
        <is>
          <t>findings_closed</t>
        </is>
      </c>
      <c r="FB2" t="inlineStr">
        <is>
          <t>finding_closure_days</t>
        </is>
      </c>
      <c r="FC2" t="inlineStr">
        <is>
          <t>kpis_leadership</t>
        </is>
      </c>
      <c r="FD2" t="inlineStr">
        <is>
          <t>kpis_certified</t>
        </is>
      </c>
      <c r="FE2" t="inlineStr">
        <is>
          <t>kpis_in_scope</t>
        </is>
      </c>
      <c r="FF2" t="inlineStr">
        <is>
          <t>certifications_overdue</t>
        </is>
      </c>
      <c r="FG2" t="inlineStr">
        <is>
          <t>recon_breaks_open</t>
        </is>
      </c>
      <c r="FH2" t="inlineStr">
        <is>
          <t>recon_breaks_material</t>
        </is>
      </c>
      <c r="FI2" t="inlineStr">
        <is>
          <t>lake_records_loaded</t>
        </is>
      </c>
      <c r="FJ2" t="inlineStr">
        <is>
          <t>lake_records_reconciled</t>
        </is>
      </c>
      <c r="FK2" t="inlineStr">
        <is>
          <t>mis_lines_total</t>
        </is>
      </c>
      <c r="FL2" t="inlineStr">
        <is>
          <t>mis_lines_matched</t>
        </is>
      </c>
      <c r="FM2" t="inlineStr">
        <is>
          <t>critical_alerts_open</t>
        </is>
      </c>
      <c r="FN2" t="inlineStr">
        <is>
          <t>alerts_unowned</t>
        </is>
      </c>
      <c r="FO2" t="inlineStr">
        <is>
          <t>actions_overdue</t>
        </is>
      </c>
      <c r="FP2" t="inlineStr">
        <is>
          <t>alerts_resolved</t>
        </is>
      </c>
      <c r="FQ2" t="inlineStr">
        <is>
          <t>alert_resolution_days</t>
        </is>
      </c>
      <c r="FR2" t="inlineStr">
        <is>
          <t>escalations_closed</t>
        </is>
      </c>
      <c r="FS2" t="inlineStr">
        <is>
          <t>repeat_issues</t>
        </is>
      </c>
      <c r="FT2" t="inlineStr">
        <is>
          <t>root_causes_identified</t>
        </is>
      </c>
      <c r="FU2" t="inlineStr">
        <is>
          <t>root_causes_eliminated</t>
        </is>
      </c>
      <c r="FV2" t="inlineStr">
        <is>
          <t>ebitda_k</t>
        </is>
      </c>
      <c r="FW2" t="inlineStr">
        <is>
          <t>ebit_k</t>
        </is>
      </c>
      <c r="FX2" t="inlineStr">
        <is>
          <t>nwc_k</t>
        </is>
      </c>
      <c r="FY2" t="inlineStr">
        <is>
          <t>nwc_change_k</t>
        </is>
      </c>
      <c r="FZ2" t="inlineStr">
        <is>
          <t>op_cash_flow_k</t>
        </is>
      </c>
      <c r="GA2" t="inlineStr">
        <is>
          <t>fcf_k</t>
        </is>
      </c>
      <c r="GB2" t="inlineStr">
        <is>
          <t>net_debt_k</t>
        </is>
      </c>
      <c r="GC2" t="inlineStr">
        <is>
          <t>ebitda_annualised_k</t>
        </is>
      </c>
      <c r="GD2" t="inlineStr">
        <is>
          <t>dso_d</t>
        </is>
      </c>
      <c r="GE2" t="inlineStr">
        <is>
          <t>dpo_d</t>
        </is>
      </c>
      <c r="GF2" t="inlineStr">
        <is>
          <t>dio_d</t>
        </is>
      </c>
      <c r="GG2" t="inlineStr">
        <is>
          <t>price_vs_plan_pct</t>
        </is>
      </c>
      <c r="GH2" t="inlineStr">
        <is>
          <t>fte</t>
        </is>
      </c>
      <c r="GI2" t="inlineStr">
        <is>
          <t>fcf_plan_fy_k</t>
        </is>
      </c>
      <c r="GJ2" t="inlineStr">
        <is>
          <t>forecast_fcf_rest_k</t>
        </is>
      </c>
      <c r="GK2" t="inlineStr">
        <is>
          <t>ebit_fcst_rest_k</t>
        </is>
      </c>
      <c r="GL2" t="inlineStr">
        <is>
          <t>capital_employed_p12_k</t>
        </is>
      </c>
      <c r="GM2" t="inlineStr">
        <is>
          <t>ebitda_plan_fy_k</t>
        </is>
      </c>
      <c r="GN2" t="inlineStr">
        <is>
          <t>ebitda_fy_sigma_k</t>
        </is>
      </c>
      <c r="GO2" t="inlineStr">
        <is>
          <t>disclosure_deadline_h</t>
        </is>
      </c>
      <c r="GP2" t="inlineStr">
        <is>
          <t>single_source_elevated</t>
        </is>
      </c>
      <c r="GQ2" t="inlineStr">
        <is>
          <t>rm1_price_index</t>
        </is>
      </c>
      <c r="GR2" t="inlineStr">
        <is>
          <t>freight_lanes_disrupted</t>
        </is>
      </c>
    </row>
    <row r="3">
      <c r="A3" t="inlineStr">
        <is>
          <t>Same layout as Group Inputs; inputs link to Plant Inputs (Plant 04). Entity-only inputs are blank, so KPIs that need them are not calculated at plant level.</t>
        </is>
      </c>
      <c r="E3" t="inlineStr">
        <is>
          <t>Sum of Entity A1 and Entity A2 (Entity Inputs sheet)</t>
        </is>
      </c>
      <c r="F3" t="inlineStr">
        <is>
          <t>Sum of Entity A1 and Entity A2 (Entity Inputs sheet)</t>
        </is>
      </c>
      <c r="G3" t="inlineStr">
        <is>
          <t>Sum of Entity A1 and Entity A2 (Entity Inputs sheet)</t>
        </is>
      </c>
      <c r="H3" t="inlineStr">
        <is>
          <t>Sum of Entity A1 and Entity A2 (Entity Inputs sheet)</t>
        </is>
      </c>
      <c r="I3" t="inlineStr">
        <is>
          <t>Sum of Entity A1 and Entity A2 (Entity Inputs sheet)</t>
        </is>
      </c>
      <c r="J3" t="inlineStr">
        <is>
          <t>Sum of Entity A1 and Entity A2 (Entity Inputs sheet)</t>
        </is>
      </c>
      <c r="K3" t="inlineStr">
        <is>
          <t>Sum of Entity A1 and Entity A2 (Entity Inputs sheet)</t>
        </is>
      </c>
      <c r="L3" t="inlineStr">
        <is>
          <t>Sum of Entity A1 and Entity A2 (Entity Inputs sheet)</t>
        </is>
      </c>
      <c r="M3" t="inlineStr">
        <is>
          <t>Sum of Entity A1 and Entity A2 (Entity Inputs sheet)</t>
        </is>
      </c>
      <c r="N3" t="inlineStr">
        <is>
          <t>Sum of Entity A1 and Entity A2 (Entity Inputs sheet)</t>
        </is>
      </c>
      <c r="O3" t="inlineStr">
        <is>
          <t>Sum of Entity A1 and Entity A2 (Entity Inputs sheet)</t>
        </is>
      </c>
      <c r="P3" t="inlineStr">
        <is>
          <t>Sum of Entity A1 and Entity A2 (Entity Inputs sheet)</t>
        </is>
      </c>
      <c r="Q3" t="inlineStr">
        <is>
          <t>Sum of Entity A1 and Entity A2 (Entity Inputs sheet)</t>
        </is>
      </c>
      <c r="R3" t="inlineStr">
        <is>
          <t>Sum of Entity A1 and Entity A2 (Entity Inputs sheet)</t>
        </is>
      </c>
      <c r="S3" t="inlineStr">
        <is>
          <t>Sum of Entity A1 and Entity A2 (Entity Inputs sheet)</t>
        </is>
      </c>
      <c r="T3" t="inlineStr">
        <is>
          <t>Sum of Entity A1 and Entity A2 (Entity Inputs sheet)</t>
        </is>
      </c>
      <c r="U3" t="inlineStr">
        <is>
          <t>Sum of Entity A1 and Entity A2 (Entity Inputs sheet)</t>
        </is>
      </c>
      <c r="V3" t="inlineStr">
        <is>
          <t>Sum of Entity A1 and Entity A2 (Entity Inputs sheet)</t>
        </is>
      </c>
      <c r="W3" t="inlineStr">
        <is>
          <t>Sum of Entity A1 and Entity A2 (Entity Inputs sheet)</t>
        </is>
      </c>
      <c r="X3" t="inlineStr">
        <is>
          <t>Sum of Entity A1 and Entity A2 (Entity Inputs sheet)</t>
        </is>
      </c>
      <c r="Y3" t="inlineStr">
        <is>
          <t>Sum of Entity A1 and Entity A2 (Entity Inputs sheet)</t>
        </is>
      </c>
      <c r="Z3" t="inlineStr">
        <is>
          <t>Sum of Entity A1 and Entity A2 (Entity Inputs sheet)</t>
        </is>
      </c>
      <c r="AA3" t="inlineStr">
        <is>
          <t>Sum of Entity A1 and Entity A2 (Entity Inputs sheet)</t>
        </is>
      </c>
      <c r="AB3" t="inlineStr">
        <is>
          <t>Sum of Entity A1 and Entity A2 (Entity Inputs sheet)</t>
        </is>
      </c>
      <c r="AC3" t="inlineStr">
        <is>
          <t>Sum of Entity A1 and Entity A2 (Entity Inputs sheet)</t>
        </is>
      </c>
      <c r="AD3" t="inlineStr">
        <is>
          <t>Sum of Entity A1 and Entity A2 (Entity Inputs sheet)</t>
        </is>
      </c>
      <c r="AE3" t="inlineStr">
        <is>
          <t>Sum of Entity A1 and Entity A2 (Entity Inputs sheet)</t>
        </is>
      </c>
      <c r="AF3" t="inlineStr">
        <is>
          <t>Sum of Entity A1 and Entity A2 (Entity Inputs sheet)</t>
        </is>
      </c>
      <c r="AG3" t="inlineStr">
        <is>
          <t>Sum of Entity A1 and Entity A2 (Entity Inputs sheet)</t>
        </is>
      </c>
      <c r="AH3" t="inlineStr">
        <is>
          <t>Sum of Entity A1 and Entity A2 (Entity Inputs sheet)</t>
        </is>
      </c>
      <c r="AI3" t="inlineStr">
        <is>
          <t>Sum of Entity A1 and Entity A2 (Entity Inputs sheet)</t>
        </is>
      </c>
      <c r="AJ3" t="inlineStr">
        <is>
          <t>Sum of Entity A1 and Entity A2 (Entity Inputs sheet)</t>
        </is>
      </c>
      <c r="AK3" t="inlineStr">
        <is>
          <t>Sum of Entity A1 and Entity A2 (Entity Inputs sheet)</t>
        </is>
      </c>
      <c r="AL3" t="inlineStr">
        <is>
          <t>Sum of Entity A1 and Entity A2 (Entity Inputs sheet)</t>
        </is>
      </c>
      <c r="AM3" t="inlineStr">
        <is>
          <t>Sum of Entity A1 and Entity A2 (Entity Inputs sheet)</t>
        </is>
      </c>
      <c r="AN3" t="inlineStr">
        <is>
          <t>Sum of Entity A1 and Entity A2 (Entity Inputs sheet)</t>
        </is>
      </c>
      <c r="AO3" t="inlineStr">
        <is>
          <t>Sum of Entity A1 and Entity A2 (Entity Inputs sheet)</t>
        </is>
      </c>
      <c r="AP3" t="inlineStr">
        <is>
          <t>Sum of Entity A1 and Entity A2 (Entity Inputs sheet)</t>
        </is>
      </c>
      <c r="AQ3" t="inlineStr">
        <is>
          <t>Sum of Entity A1 and Entity A2 (Entity Inputs sheet)</t>
        </is>
      </c>
      <c r="AR3" t="inlineStr">
        <is>
          <t>Lowest of Entity A1 and Entity A2 (Entity Inputs sheet)</t>
        </is>
      </c>
      <c r="AS3" t="inlineStr">
        <is>
          <t>Sum of Entity A1 and Entity A2 (Entity Inputs sheet)</t>
        </is>
      </c>
      <c r="AT3" t="inlineStr">
        <is>
          <t>Sum of Entity A1 and Entity A2 (Entity Inputs sheet)</t>
        </is>
      </c>
      <c r="AU3" t="inlineStr">
        <is>
          <t>Sum of Entity A1 and Entity A2 (Entity Inputs sheet)</t>
        </is>
      </c>
      <c r="AV3" t="inlineStr">
        <is>
          <t>Sum of Entity A1 and Entity A2 (Entity Inputs sheet)</t>
        </is>
      </c>
      <c r="AW3" t="inlineStr">
        <is>
          <t>Sum of Entity A1 and Entity A2 (Entity Inputs sheet)</t>
        </is>
      </c>
      <c r="AX3" t="inlineStr">
        <is>
          <t>Sum of Entity A1 and Entity A2 (Entity Inputs sheet)</t>
        </is>
      </c>
      <c r="AY3" t="inlineStr">
        <is>
          <t>Sum of Entity A1 and Entity A2 (Entity Inputs sheet)</t>
        </is>
      </c>
      <c r="AZ3" t="inlineStr">
        <is>
          <t>Sum of Entity A1 and Entity A2 (Entity Inputs sheet)</t>
        </is>
      </c>
      <c r="BA3" t="inlineStr">
        <is>
          <t>Sum of Entity A1 and Entity A2 (Entity Inputs sheet)</t>
        </is>
      </c>
      <c r="BB3" t="inlineStr">
        <is>
          <t>Sum of Entity A1 and Entity A2 (Entity Inputs sheet)</t>
        </is>
      </c>
      <c r="BC3" t="inlineStr">
        <is>
          <t>Sum of Entity A1 and Entity A2 (Entity Inputs sheet)</t>
        </is>
      </c>
      <c r="BD3" t="inlineStr">
        <is>
          <t>Sum of Entity A1 and Entity A2 (Entity Inputs sheet)</t>
        </is>
      </c>
      <c r="BE3" t="inlineStr">
        <is>
          <t>Sum of Entity A1 and Entity A2 (Entity Inputs sheet)</t>
        </is>
      </c>
      <c r="BF3" t="inlineStr">
        <is>
          <t>Sum of Entity A1 and Entity A2 (Entity Inputs sheet)</t>
        </is>
      </c>
      <c r="BG3" t="inlineStr">
        <is>
          <t>Sum of Entity A1 and Entity A2 (Entity Inputs sheet)</t>
        </is>
      </c>
      <c r="BH3" t="inlineStr">
        <is>
          <t>Sum of Entity A1 and Entity A2 (Entity Inputs sheet)</t>
        </is>
      </c>
      <c r="BI3" t="inlineStr">
        <is>
          <t>Sum of Entity A1 and Entity A2 (Entity Inputs sheet)</t>
        </is>
      </c>
      <c r="BJ3" t="inlineStr">
        <is>
          <t>Sum of Entity A1 and Entity A2 (Entity Inputs sheet)</t>
        </is>
      </c>
      <c r="BK3" t="inlineStr">
        <is>
          <t>Sum of Entity A1 and Entity A2 (Entity Inputs sheet)</t>
        </is>
      </c>
      <c r="BL3" t="inlineStr">
        <is>
          <t>Sum of Entity A1 and Entity A2 (Entity Inputs sheet)</t>
        </is>
      </c>
      <c r="BM3" t="inlineStr">
        <is>
          <t>Sum of Entity A1 and Entity A2 (Entity Inputs sheet)</t>
        </is>
      </c>
      <c r="BN3" t="inlineStr">
        <is>
          <t>Sum of Entity A1 and Entity A2 (Entity Inputs sheet)</t>
        </is>
      </c>
      <c r="BO3" t="inlineStr">
        <is>
          <t>Sum of Entity A1 and Entity A2 (Entity Inputs sheet)</t>
        </is>
      </c>
      <c r="BP3" t="inlineStr">
        <is>
          <t>Sum of Entity A1 and Entity A2 (Entity Inputs sheet)</t>
        </is>
      </c>
      <c r="BQ3" t="inlineStr">
        <is>
          <t>Sum of Entity A1 and Entity A2 (Entity Inputs sheet)</t>
        </is>
      </c>
      <c r="BR3" t="inlineStr">
        <is>
          <t>Sum of Entity A1 and Entity A2 (Entity Inputs sheet)</t>
        </is>
      </c>
      <c r="BS3" t="inlineStr">
        <is>
          <t>Lowest of Entity A1 and Entity A2 (Entity Inputs sheet)</t>
        </is>
      </c>
      <c r="BT3" t="inlineStr">
        <is>
          <t>Sum of Entity A1 and Entity A2 (Entity Inputs sheet)</t>
        </is>
      </c>
      <c r="BU3" t="inlineStr">
        <is>
          <t>Sum of Entity A1 and Entity A2 (Entity Inputs sheet)</t>
        </is>
      </c>
      <c r="BV3" t="inlineStr">
        <is>
          <t>Sum of Entity A1 and Entity A2 (Entity Inputs sheet)</t>
        </is>
      </c>
      <c r="BW3" t="inlineStr">
        <is>
          <t>Sum of Entity A1 and Entity A2 (Entity Inputs sheet)</t>
        </is>
      </c>
      <c r="BX3" t="inlineStr">
        <is>
          <t>Sum of Entity A1 and Entity A2 (Entity Inputs sheet)</t>
        </is>
      </c>
      <c r="BY3" t="inlineStr">
        <is>
          <t>Sum of Entity A1 and Entity A2 (Entity Inputs sheet)</t>
        </is>
      </c>
      <c r="BZ3" t="inlineStr">
        <is>
          <t>Sum of Entity A1 and Entity A2 (Entity Inputs sheet)</t>
        </is>
      </c>
      <c r="CA3" t="inlineStr">
        <is>
          <t>Sum of Entity A1 and Entity A2 (Entity Inputs sheet)</t>
        </is>
      </c>
      <c r="CB3" t="inlineStr">
        <is>
          <t>Sum of Entity A1 and Entity A2 (Entity Inputs sheet)</t>
        </is>
      </c>
      <c r="CC3" t="inlineStr">
        <is>
          <t>Sum of Entity A1 and Entity A2 (Entity Inputs sheet)</t>
        </is>
      </c>
      <c r="CD3" t="inlineStr">
        <is>
          <t>Sum of Entity A1 and Entity A2 (Entity Inputs sheet)</t>
        </is>
      </c>
      <c r="CE3" t="inlineStr">
        <is>
          <t>Sum of Entity A1 and Entity A2 (Entity Inputs sheet)</t>
        </is>
      </c>
      <c r="CF3" t="inlineStr">
        <is>
          <t>Sum of Entity A1 and Entity A2 (Entity Inputs sheet)</t>
        </is>
      </c>
      <c r="CG3" t="inlineStr">
        <is>
          <t>Sum of Entity A1 and Entity A2 (Entity Inputs sheet)</t>
        </is>
      </c>
      <c r="CH3" t="inlineStr">
        <is>
          <t>Sum of Entity A1 and Entity A2 (Entity Inputs sheet)</t>
        </is>
      </c>
      <c r="CI3" t="inlineStr">
        <is>
          <t>Sum of Entity A1 and Entity A2 (Entity Inputs sheet)</t>
        </is>
      </c>
      <c r="CJ3" t="inlineStr">
        <is>
          <t>Sum of Entity A1 and Entity A2 (Entity Inputs sheet)</t>
        </is>
      </c>
      <c r="CK3" t="inlineStr">
        <is>
          <t>Sum of Entity A1 and Entity A2 (Entity Inputs sheet)</t>
        </is>
      </c>
      <c r="CL3" t="inlineStr">
        <is>
          <t>Sum of Entity A1 and Entity A2 (Entity Inputs sheet)</t>
        </is>
      </c>
      <c r="CM3" t="inlineStr">
        <is>
          <t>Sum of Entity A1 and Entity A2 (Entity Inputs sheet)</t>
        </is>
      </c>
      <c r="CN3" t="inlineStr">
        <is>
          <t>Sum of Entity A1 and Entity A2 (Entity Inputs sheet)</t>
        </is>
      </c>
      <c r="CO3" t="inlineStr">
        <is>
          <t>Sum of Entity A1 and Entity A2 (Entity Inputs sheet)</t>
        </is>
      </c>
      <c r="CP3" t="inlineStr">
        <is>
          <t>Sum of Entity A1 and Entity A2 (Entity Inputs sheet)</t>
        </is>
      </c>
      <c r="CQ3" t="inlineStr">
        <is>
          <t>Sum of Entity A1 and Entity A2 (Entity Inputs sheet)</t>
        </is>
      </c>
      <c r="CR3" t="inlineStr">
        <is>
          <t>Sum of Entity A1 and Entity A2 (Entity Inputs sheet)</t>
        </is>
      </c>
      <c r="CS3" t="inlineStr">
        <is>
          <t>Sum of Entity A1 and Entity A2 (Entity Inputs sheet)</t>
        </is>
      </c>
      <c r="CT3" t="inlineStr">
        <is>
          <t>Sum of Entity A1 and Entity A2 (Entity Inputs sheet)</t>
        </is>
      </c>
      <c r="CU3" t="inlineStr">
        <is>
          <t>Sum of Entity A1 and Entity A2 (Entity Inputs sheet)</t>
        </is>
      </c>
      <c r="CV3" t="inlineStr">
        <is>
          <t>Sum of Entity A1 and Entity A2 (Entity Inputs sheet)</t>
        </is>
      </c>
      <c r="CW3" t="inlineStr">
        <is>
          <t>Sum of Entity A1 and Entity A2 (Entity Inputs sheet)</t>
        </is>
      </c>
      <c r="CX3" t="inlineStr">
        <is>
          <t>Sum of Entity A1 and Entity A2 (Entity Inputs sheet)</t>
        </is>
      </c>
      <c r="CY3" t="inlineStr">
        <is>
          <t>Sum of Entity A1 and Entity A2 (Entity Inputs sheet)</t>
        </is>
      </c>
      <c r="CZ3" t="inlineStr">
        <is>
          <t>Sum of Entity A1 and Entity A2 (Entity Inputs sheet)</t>
        </is>
      </c>
      <c r="DA3" t="inlineStr">
        <is>
          <t>Sum of Entity A1 and Entity A2 (Entity Inputs sheet)</t>
        </is>
      </c>
      <c r="DB3" t="inlineStr">
        <is>
          <t>Sum of Entity A1 and Entity A2 (Entity Inputs sheet)</t>
        </is>
      </c>
      <c r="DC3" t="inlineStr">
        <is>
          <t>Sum of Entity A1 and Entity A2 (Entity Inputs sheet)</t>
        </is>
      </c>
      <c r="DD3" t="inlineStr">
        <is>
          <t>Sum of Entity A1 and Entity A2 (Entity Inputs sheet)</t>
        </is>
      </c>
      <c r="DE3" t="inlineStr">
        <is>
          <t>Sum of Entity A1 and Entity A2 (Entity Inputs sheet)</t>
        </is>
      </c>
      <c r="DF3" t="inlineStr">
        <is>
          <t>Sum of Entity A1 and Entity A2 (Entity Inputs sheet)</t>
        </is>
      </c>
      <c r="DG3" t="inlineStr">
        <is>
          <t>Sum of Entity A1 and Entity A2 (Entity Inputs sheet)</t>
        </is>
      </c>
      <c r="DH3" t="inlineStr">
        <is>
          <t>Sum of Entity A1 and Entity A2 (Entity Inputs sheet)</t>
        </is>
      </c>
      <c r="DI3" t="inlineStr">
        <is>
          <t>Sum of Entity A1 and Entity A2 (Entity Inputs sheet)</t>
        </is>
      </c>
      <c r="DJ3" t="inlineStr">
        <is>
          <t>Sum of Entity A1 and Entity A2 (Entity Inputs sheet)</t>
        </is>
      </c>
      <c r="DK3" t="inlineStr">
        <is>
          <t>Sum of Entity A1 and Entity A2 (Entity Inputs sheet)</t>
        </is>
      </c>
      <c r="DL3" t="inlineStr">
        <is>
          <t>Sum of Entity A1 and Entity A2 (Entity Inputs sheet)</t>
        </is>
      </c>
      <c r="DM3" t="inlineStr">
        <is>
          <t>Sum of Entity A1 and Entity A2 (Entity Inputs sheet)</t>
        </is>
      </c>
      <c r="DN3" t="inlineStr">
        <is>
          <t>Sum of Entity A1 and Entity A2 (Entity Inputs sheet)</t>
        </is>
      </c>
      <c r="DO3" t="inlineStr">
        <is>
          <t>Sum of Entity A1 and Entity A2 (Entity Inputs sheet)</t>
        </is>
      </c>
      <c r="DP3" t="inlineStr">
        <is>
          <t>Sum of Entity A1 and Entity A2 (Entity Inputs sheet)</t>
        </is>
      </c>
      <c r="DQ3" t="inlineStr">
        <is>
          <t>Sum of Entity A1 and Entity A2 (Entity Inputs sheet)</t>
        </is>
      </c>
      <c r="DR3" t="inlineStr">
        <is>
          <t>Sum of Entity A1 and Entity A2 (Entity Inputs sheet)</t>
        </is>
      </c>
      <c r="DS3" t="inlineStr">
        <is>
          <t>Sum of Entity A1 and Entity A2 (Entity Inputs sheet)</t>
        </is>
      </c>
      <c r="DT3" t="inlineStr">
        <is>
          <t>Sum of Entity A1 and Entity A2 (Entity Inputs sheet)</t>
        </is>
      </c>
      <c r="DU3" t="inlineStr">
        <is>
          <t>Sum of Entity A1 and Entity A2 (Entity Inputs sheet)</t>
        </is>
      </c>
      <c r="DV3" t="inlineStr">
        <is>
          <t>Sum of Entity A1 and Entity A2 (Entity Inputs sheet)</t>
        </is>
      </c>
      <c r="DW3" t="inlineStr">
        <is>
          <t>Sum of Entity A1 and Entity A2 (Entity Inputs sheet)</t>
        </is>
      </c>
      <c r="DX3" t="inlineStr">
        <is>
          <t>Sum of Entity A1 and Entity A2 (Entity Inputs sheet)</t>
        </is>
      </c>
      <c r="DY3" t="inlineStr">
        <is>
          <t>Sum of Entity A1 and Entity A2 (Entity Inputs sheet)</t>
        </is>
      </c>
      <c r="DZ3" t="inlineStr">
        <is>
          <t>Sum of Entity A1 and Entity A2 (Entity Inputs sheet)</t>
        </is>
      </c>
      <c r="EA3" t="inlineStr">
        <is>
          <t>Sum of Entity A1 and Entity A2 (Entity Inputs sheet)</t>
        </is>
      </c>
      <c r="EB3" t="inlineStr">
        <is>
          <t>Sum of Entity A1 and Entity A2 (Entity Inputs sheet)</t>
        </is>
      </c>
      <c r="EC3" t="inlineStr">
        <is>
          <t>Sum of Entity A1 and Entity A2 (Entity Inputs sheet)</t>
        </is>
      </c>
      <c r="ED3" t="inlineStr">
        <is>
          <t>Sum of Entity A1 and Entity A2 (Entity Inputs sheet)</t>
        </is>
      </c>
      <c r="EE3" t="inlineStr">
        <is>
          <t>Sum of Entity A1 and Entity A2 (Entity Inputs sheet)</t>
        </is>
      </c>
      <c r="EF3" t="inlineStr">
        <is>
          <t>Sum of Entity A1 and Entity A2 (Entity Inputs sheet)</t>
        </is>
      </c>
      <c r="EG3" t="inlineStr">
        <is>
          <t>Sum of Entity A1 and Entity A2 (Entity Inputs sheet)</t>
        </is>
      </c>
      <c r="EH3" t="inlineStr">
        <is>
          <t>Sum of Entity A1 and Entity A2 (Entity Inputs sheet)</t>
        </is>
      </c>
      <c r="EI3" t="inlineStr">
        <is>
          <t>Sum of Entity A1 and Entity A2 (Entity Inputs sheet)</t>
        </is>
      </c>
      <c r="EJ3" t="inlineStr">
        <is>
          <t>Sum of Entity A1 and Entity A2 (Entity Inputs sheet)</t>
        </is>
      </c>
      <c r="EK3" t="inlineStr">
        <is>
          <t>Sum of Entity A1 and Entity A2 (Entity Inputs sheet)</t>
        </is>
      </c>
      <c r="EL3" t="inlineStr">
        <is>
          <t>Sum of Entity A1 and Entity A2 (Entity Inputs sheet)</t>
        </is>
      </c>
      <c r="EM3" t="inlineStr">
        <is>
          <t>Sum of Entity A1 and Entity A2 (Entity Inputs sheet)</t>
        </is>
      </c>
      <c r="EN3" t="inlineStr">
        <is>
          <t>Sum of Entity A1 and Entity A2 (Entity Inputs sheet)</t>
        </is>
      </c>
      <c r="EO3" t="inlineStr">
        <is>
          <t>Sum of Entity A1 and Entity A2 (Entity Inputs sheet)</t>
        </is>
      </c>
      <c r="EP3" t="inlineStr">
        <is>
          <t>Sum of Entity A1 and Entity A2 (Entity Inputs sheet)</t>
        </is>
      </c>
      <c r="EQ3" t="inlineStr">
        <is>
          <t>Sum of Entity A1 and Entity A2 (Entity Inputs sheet)</t>
        </is>
      </c>
      <c r="ER3" t="inlineStr">
        <is>
          <t>Sum of Entity A1 and Entity A2 (Entity Inputs sheet)</t>
        </is>
      </c>
      <c r="ES3" t="inlineStr">
        <is>
          <t>Sum of Entity A1 and Entity A2 (Entity Inputs sheet)</t>
        </is>
      </c>
      <c r="ET3" t="inlineStr">
        <is>
          <t>Sum of Entity A1 and Entity A2 (Entity Inputs sheet)</t>
        </is>
      </c>
      <c r="EU3" t="inlineStr">
        <is>
          <t>Sum of Entity A1 and Entity A2 (Entity Inputs sheet)</t>
        </is>
      </c>
      <c r="EV3" t="inlineStr">
        <is>
          <t>Sum of Entity A1 and Entity A2 (Entity Inputs sheet)</t>
        </is>
      </c>
      <c r="EW3" t="inlineStr">
        <is>
          <t>Sum of Entity A1 and Entity A2 (Entity Inputs sheet)</t>
        </is>
      </c>
      <c r="EX3" t="inlineStr">
        <is>
          <t>Sum of Entity A1 and Entity A2 (Entity Inputs sheet)</t>
        </is>
      </c>
      <c r="EY3" t="inlineStr">
        <is>
          <t>Sum of Entity A1 and Entity A2 (Entity Inputs sheet)</t>
        </is>
      </c>
      <c r="EZ3" t="inlineStr">
        <is>
          <t>Sum of Entity A1 and Entity A2 (Entity Inputs sheet)</t>
        </is>
      </c>
      <c r="FA3" t="inlineStr">
        <is>
          <t>Sum of Entity A1 and Entity A2 (Entity Inputs sheet)</t>
        </is>
      </c>
      <c r="FB3" t="inlineStr">
        <is>
          <t>Sum of Entity A1 and Entity A2 (Entity Inputs sheet)</t>
        </is>
      </c>
      <c r="FC3" t="inlineStr">
        <is>
          <t>Sum of Entity A1 and Entity A2 (Entity Inputs sheet)</t>
        </is>
      </c>
      <c r="FD3" t="inlineStr">
        <is>
          <t>Sum of Entity A1 and Entity A2 (Entity Inputs sheet)</t>
        </is>
      </c>
      <c r="FE3" t="inlineStr">
        <is>
          <t>Sum of Entity A1 and Entity A2 (Entity Inputs sheet)</t>
        </is>
      </c>
      <c r="FF3" t="inlineStr">
        <is>
          <t>Sum of Entity A1 and Entity A2 (Entity Inputs sheet)</t>
        </is>
      </c>
      <c r="FG3" t="inlineStr">
        <is>
          <t>Sum of Entity A1 and Entity A2 (Entity Inputs sheet)</t>
        </is>
      </c>
      <c r="FH3" t="inlineStr">
        <is>
          <t>Sum of Entity A1 and Entity A2 (Entity Inputs sheet)</t>
        </is>
      </c>
      <c r="FI3" t="inlineStr">
        <is>
          <t>Sum of Entity A1 and Entity A2 (Entity Inputs sheet)</t>
        </is>
      </c>
      <c r="FJ3" t="inlineStr">
        <is>
          <t>Sum of Entity A1 and Entity A2 (Entity Inputs sheet)</t>
        </is>
      </c>
      <c r="FK3" t="inlineStr">
        <is>
          <t>Sum of Entity A1 and Entity A2 (Entity Inputs sheet)</t>
        </is>
      </c>
      <c r="FL3" t="inlineStr">
        <is>
          <t>Sum of Entity A1 and Entity A2 (Entity Inputs sheet)</t>
        </is>
      </c>
      <c r="FM3" t="inlineStr">
        <is>
          <t>Sum of Entity A1 and Entity A2 (Entity Inputs sheet)</t>
        </is>
      </c>
      <c r="FN3" t="inlineStr">
        <is>
          <t>Sum of Entity A1 and Entity A2 (Entity Inputs sheet)</t>
        </is>
      </c>
      <c r="FO3" t="inlineStr">
        <is>
          <t>Sum of Entity A1 and Entity A2 (Entity Inputs sheet)</t>
        </is>
      </c>
      <c r="FP3" t="inlineStr">
        <is>
          <t>Sum of Entity A1 and Entity A2 (Entity Inputs sheet)</t>
        </is>
      </c>
      <c r="FQ3" t="inlineStr">
        <is>
          <t>Sum of Entity A1 and Entity A2 (Entity Inputs sheet)</t>
        </is>
      </c>
      <c r="FR3" t="inlineStr">
        <is>
          <t>Sum of Entity A1 and Entity A2 (Entity Inputs sheet)</t>
        </is>
      </c>
      <c r="FS3" t="inlineStr">
        <is>
          <t>Sum of Entity A1 and Entity A2 (Entity Inputs sheet)</t>
        </is>
      </c>
      <c r="FT3" t="inlineStr">
        <is>
          <t>Sum of Entity A1 and Entity A2 (Entity Inputs sheet)</t>
        </is>
      </c>
      <c r="FU3" t="inlineStr">
        <is>
          <t>Sum of Entity A1 and Entity A2 (Entity Inputs sheet)</t>
        </is>
      </c>
      <c r="FV3" t="inlineStr">
        <is>
          <t>Calculated: Revenue − Variable cost − Fixed cost − Overheads</t>
        </is>
      </c>
      <c r="FW3" t="inlineStr">
        <is>
          <t>Calculated: EBITDA − Depreciation and amortisation</t>
        </is>
      </c>
      <c r="FX3" t="inlineStr">
        <is>
          <t>Calculated: Trade receivables + Inventory − Trade payables</t>
        </is>
      </c>
      <c r="FY3" t="inlineStr">
        <is>
          <t>Calculated: Net working capital − last month's net working capital (April uses the 31 March balance on Parameters)</t>
        </is>
      </c>
      <c r="FZ3" t="inlineStr">
        <is>
          <t>Calculated: EBITDA − Tax paid − Change in net working capital</t>
        </is>
      </c>
      <c r="GA3" t="inlineStr">
        <is>
          <t>Calculated: Operating cash flow − Capex spent</t>
        </is>
      </c>
      <c r="GB3" t="inlineStr">
        <is>
          <t>Calculated: Gross debt − Cash</t>
        </is>
      </c>
      <c r="GC3" t="inlineStr">
        <is>
          <t>Calculated: EBITDA since April × 12 ÷ months elapsed</t>
        </is>
      </c>
      <c r="GD3" t="inlineStr">
        <is>
          <t>Calculated: Trade receivables ÷ Revenue × Days in month</t>
        </is>
      </c>
      <c r="GE3" t="inlineStr">
        <is>
          <t>Calculated: Trade payables ÷ Variable cost × Days in month</t>
        </is>
      </c>
      <c r="GF3" t="inlineStr">
        <is>
          <t>Calculated: Inventory ÷ Variable cost × Days in month</t>
        </is>
      </c>
      <c r="GG3" t="inlineStr">
        <is>
          <t>Calculated: (Revenue ÷ Sales volume) ÷ (Planned revenue ÷ Planned sales volume) − 1, as %</t>
        </is>
      </c>
      <c r="GH3" t="inlineStr">
        <is>
          <t>SUM of Entity A1 and Entity A2 (added)</t>
        </is>
      </c>
      <c r="GI3" t="inlineStr">
        <is>
          <t>SUM of Entity A1 and Entity A2 (added)</t>
        </is>
      </c>
      <c r="GJ3" t="inlineStr">
        <is>
          <t>SUM of Entity A1 and Entity A2 (added)</t>
        </is>
      </c>
      <c r="GK3" t="inlineStr">
        <is>
          <t>SUM of Entity A1 and Entity A2 (added)</t>
        </is>
      </c>
      <c r="GL3" t="inlineStr">
        <is>
          <t>SUM of Entity A1 and Entity A2 (added)</t>
        </is>
      </c>
      <c r="GM3" t="inlineStr">
        <is>
          <t>SUM of Entity A1 and Entity A2 (added)</t>
        </is>
      </c>
      <c r="GN3" t="inlineStr">
        <is>
          <t>SQRTSUMSQ of Entity A1 and Entity A2 (added)</t>
        </is>
      </c>
      <c r="GO3" t="inlineStr">
        <is>
          <t>MIN of Entity A1 and Entity A2 (added)</t>
        </is>
      </c>
      <c r="GP3" t="inlineStr">
        <is>
          <t>SUM of Entity A1 and Entity A2 (added)</t>
        </is>
      </c>
      <c r="GQ3" t="inlineStr">
        <is>
          <t>FIRST of Entity A1 and Entity A2 (added)</t>
        </is>
      </c>
      <c r="GR3" t="inlineStr">
        <is>
          <t>SUM of Entity A1 and Entity A2 (added)</t>
        </is>
      </c>
    </row>
    <row r="4">
      <c r="A4" t="inlineStr">
        <is>
          <t>Plant 04</t>
        </is>
      </c>
      <c r="B4" t="inlineStr">
        <is>
          <t>2026-04</t>
        </is>
      </c>
      <c r="C4" t="n">
        <v>30</v>
      </c>
      <c r="D4" t="n">
        <v>1</v>
      </c>
      <c r="E4">
        <f>'Plant Inputs'!F22</f>
        <v/>
      </c>
      <c r="F4">
        <f>'Plant Inputs'!G22</f>
        <v/>
      </c>
      <c r="G4">
        <f>'Plant Inputs'!H22</f>
        <v/>
      </c>
      <c r="H4">
        <f>'Plant Inputs'!I22</f>
        <v/>
      </c>
      <c r="I4">
        <f>'Plant Inputs'!J22</f>
        <v/>
      </c>
      <c r="J4">
        <f>'Plant Inputs'!K22</f>
        <v/>
      </c>
      <c r="K4">
        <f>'Plant Inputs'!L22</f>
        <v/>
      </c>
      <c r="L4">
        <f>'Plant Inputs'!M22</f>
        <v/>
      </c>
      <c r="M4">
        <f>'Plant Inputs'!N22</f>
        <v/>
      </c>
      <c r="N4">
        <f>'Plant Inputs'!O22</f>
        <v/>
      </c>
      <c r="O4">
        <f>'Plant Inputs'!P22</f>
        <v/>
      </c>
      <c r="P4">
        <f>'Plant Inputs'!Q22</f>
        <v/>
      </c>
      <c r="Q4">
        <f>'Plant Inputs'!R22</f>
        <v/>
      </c>
      <c r="R4">
        <f>'Plant Inputs'!S22</f>
        <v/>
      </c>
      <c r="S4">
        <f>'Plant Inputs'!T22</f>
        <v/>
      </c>
      <c r="T4">
        <f>'Plant Inputs'!U22</f>
        <v/>
      </c>
      <c r="U4">
        <f>'Plant Inputs'!V22</f>
        <v/>
      </c>
      <c r="V4">
        <f>'Plant Inputs'!W22</f>
        <v/>
      </c>
      <c r="W4">
        <f>'Plant Inputs'!X22</f>
        <v/>
      </c>
      <c r="X4">
        <f>'Plant Inputs'!Y22</f>
        <v/>
      </c>
      <c r="Y4">
        <f>'Plant Inputs'!Z22</f>
        <v/>
      </c>
      <c r="Z4">
        <f>'Plant Inputs'!AA22</f>
        <v/>
      </c>
      <c r="AA4">
        <f>'Plant Inputs'!AB22</f>
        <v/>
      </c>
      <c r="AB4">
        <f>'Plant Inputs'!AC22</f>
        <v/>
      </c>
      <c r="AC4">
        <f>'Plant Inputs'!AD22</f>
        <v/>
      </c>
      <c r="AD4">
        <f>'Plant Inputs'!AE22</f>
        <v/>
      </c>
      <c r="AE4">
        <f>'Plant Inputs'!AF22</f>
        <v/>
      </c>
      <c r="AF4">
        <f>'Plant Inputs'!AG22</f>
        <v/>
      </c>
      <c r="AG4">
        <f>'Plant Inputs'!AH22</f>
        <v/>
      </c>
      <c r="AH4">
        <f>'Plant Inputs'!AI22</f>
        <v/>
      </c>
      <c r="AI4">
        <f>'Plant Inputs'!AJ22</f>
        <v/>
      </c>
      <c r="AJ4">
        <f>'Plant Inputs'!AK22</f>
        <v/>
      </c>
      <c r="AK4">
        <f>'Plant Inputs'!AL22</f>
        <v/>
      </c>
      <c r="AL4">
        <f>'Plant Inputs'!AM22</f>
        <v/>
      </c>
      <c r="AM4">
        <f>'Plant Inputs'!AN22</f>
        <v/>
      </c>
      <c r="AN4">
        <f>'Plant Inputs'!AO22</f>
        <v/>
      </c>
      <c r="AO4">
        <f>'Plant Inputs'!AP22</f>
        <v/>
      </c>
      <c r="AP4">
        <f>'Plant Inputs'!AQ22</f>
        <v/>
      </c>
      <c r="AQ4">
        <f>'Plant Inputs'!AR22</f>
        <v/>
      </c>
      <c r="AR4">
        <f>'Plant Inputs'!AS22</f>
        <v/>
      </c>
      <c r="AS4">
        <f>'Plant Inputs'!AT22</f>
        <v/>
      </c>
      <c r="AT4">
        <f>'Plant Inputs'!AU22</f>
        <v/>
      </c>
      <c r="AU4">
        <f>'Plant Inputs'!AV22</f>
        <v/>
      </c>
      <c r="AV4">
        <f>'Plant Inputs'!AW22</f>
        <v/>
      </c>
      <c r="AW4">
        <f>'Plant Inputs'!AX22</f>
        <v/>
      </c>
      <c r="AX4">
        <f>'Plant Inputs'!AY22</f>
        <v/>
      </c>
      <c r="AY4">
        <f>'Plant Inputs'!AZ22</f>
        <v/>
      </c>
      <c r="AZ4">
        <f>'Plant Inputs'!BA22</f>
        <v/>
      </c>
      <c r="BA4">
        <f>'Plant Inputs'!BB22</f>
        <v/>
      </c>
      <c r="BB4">
        <f>'Plant Inputs'!BC22</f>
        <v/>
      </c>
      <c r="BC4">
        <f>'Plant Inputs'!BD22</f>
        <v/>
      </c>
      <c r="BD4">
        <f>'Plant Inputs'!BE22</f>
        <v/>
      </c>
      <c r="BE4">
        <f>'Plant Inputs'!BF22</f>
        <v/>
      </c>
      <c r="BF4">
        <f>'Plant Inputs'!BG22</f>
        <v/>
      </c>
      <c r="BG4">
        <f>'Plant Inputs'!BH22</f>
        <v/>
      </c>
      <c r="BH4">
        <f>'Plant Inputs'!BI22</f>
        <v/>
      </c>
      <c r="BI4">
        <f>'Plant Inputs'!BJ22</f>
        <v/>
      </c>
      <c r="BJ4">
        <f>'Plant Inputs'!BK22</f>
        <v/>
      </c>
      <c r="BK4">
        <f>'Plant Inputs'!BL22</f>
        <v/>
      </c>
      <c r="BL4">
        <f>'Plant Inputs'!BM22</f>
        <v/>
      </c>
      <c r="BM4">
        <f>'Plant Inputs'!BN22</f>
        <v/>
      </c>
      <c r="BN4">
        <f>'Plant Inputs'!BO22</f>
        <v/>
      </c>
      <c r="BO4">
        <f>'Plant Inputs'!BP22</f>
        <v/>
      </c>
      <c r="BP4">
        <f>'Plant Inputs'!BQ22</f>
        <v/>
      </c>
      <c r="BQ4">
        <f>'Plant Inputs'!BR22</f>
        <v/>
      </c>
      <c r="BR4">
        <f>'Plant Inputs'!BS22</f>
        <v/>
      </c>
      <c r="BS4">
        <f>'Plant Inputs'!BT22</f>
        <v/>
      </c>
      <c r="BT4">
        <f>'Plant Inputs'!BU22</f>
        <v/>
      </c>
      <c r="BU4">
        <f>'Plant Inputs'!BV22</f>
        <v/>
      </c>
      <c r="BV4">
        <f>'Plant Inputs'!BW22</f>
        <v/>
      </c>
      <c r="BW4">
        <f>'Plant Inputs'!BX22</f>
        <v/>
      </c>
      <c r="BX4">
        <f>'Plant Inputs'!BY22</f>
        <v/>
      </c>
      <c r="FV4">
        <f>AU4-V4-X4-BY4</f>
        <v/>
      </c>
      <c r="FW4">
        <f>FV4-AX4</f>
        <v/>
      </c>
      <c r="FX4">
        <f>CJ4+CL4-CK4</f>
        <v/>
      </c>
      <c r="FY4">
        <f>FX4-Parameters!$B$7</f>
        <v/>
      </c>
      <c r="FZ4">
        <f>FV4-BZ4-FY4</f>
        <v/>
      </c>
      <c r="GA4">
        <f>FZ4-DJ4</f>
        <v/>
      </c>
      <c r="GB4">
        <f>CB4-CC4</f>
        <v/>
      </c>
      <c r="GC4">
        <f>SUM(FV$4:FV4)*12/D4</f>
        <v/>
      </c>
      <c r="GD4">
        <f>IF(AU4=0,0,CJ4/AU4*C4)</f>
        <v/>
      </c>
      <c r="GE4">
        <f>IF(V4=0,0,CK4/V4*C4)</f>
        <v/>
      </c>
      <c r="GF4">
        <f>IF(V4=0,0,CL4/V4*C4)</f>
        <v/>
      </c>
      <c r="GG4">
        <f>IF(OR(AS4=0,AT4=0,AV4=0),0,100*((AU4/AS4)/(AV4/AT4)-1))</f>
        <v/>
      </c>
    </row>
    <row r="5">
      <c r="A5" t="inlineStr">
        <is>
          <t>Plant 04</t>
        </is>
      </c>
      <c r="B5" t="inlineStr">
        <is>
          <t>2026-05</t>
        </is>
      </c>
      <c r="C5" t="n">
        <v>31</v>
      </c>
      <c r="D5" t="n">
        <v>2</v>
      </c>
      <c r="E5">
        <f>'Plant Inputs'!F23</f>
        <v/>
      </c>
      <c r="F5">
        <f>'Plant Inputs'!G23</f>
        <v/>
      </c>
      <c r="G5">
        <f>'Plant Inputs'!H23</f>
        <v/>
      </c>
      <c r="H5">
        <f>'Plant Inputs'!I23</f>
        <v/>
      </c>
      <c r="I5">
        <f>'Plant Inputs'!J23</f>
        <v/>
      </c>
      <c r="J5">
        <f>'Plant Inputs'!K23</f>
        <v/>
      </c>
      <c r="K5">
        <f>'Plant Inputs'!L23</f>
        <v/>
      </c>
      <c r="L5">
        <f>'Plant Inputs'!M23</f>
        <v/>
      </c>
      <c r="M5">
        <f>'Plant Inputs'!N23</f>
        <v/>
      </c>
      <c r="N5">
        <f>'Plant Inputs'!O23</f>
        <v/>
      </c>
      <c r="O5">
        <f>'Plant Inputs'!P23</f>
        <v/>
      </c>
      <c r="P5">
        <f>'Plant Inputs'!Q23</f>
        <v/>
      </c>
      <c r="Q5">
        <f>'Plant Inputs'!R23</f>
        <v/>
      </c>
      <c r="R5">
        <f>'Plant Inputs'!S23</f>
        <v/>
      </c>
      <c r="S5">
        <f>'Plant Inputs'!T23</f>
        <v/>
      </c>
      <c r="T5">
        <f>'Plant Inputs'!U23</f>
        <v/>
      </c>
      <c r="U5">
        <f>'Plant Inputs'!V23</f>
        <v/>
      </c>
      <c r="V5">
        <f>'Plant Inputs'!W23</f>
        <v/>
      </c>
      <c r="W5">
        <f>'Plant Inputs'!X23</f>
        <v/>
      </c>
      <c r="X5">
        <f>'Plant Inputs'!Y23</f>
        <v/>
      </c>
      <c r="Y5">
        <f>'Plant Inputs'!Z23</f>
        <v/>
      </c>
      <c r="Z5">
        <f>'Plant Inputs'!AA23</f>
        <v/>
      </c>
      <c r="AA5">
        <f>'Plant Inputs'!AB23</f>
        <v/>
      </c>
      <c r="AB5">
        <f>'Plant Inputs'!AC23</f>
        <v/>
      </c>
      <c r="AC5">
        <f>'Plant Inputs'!AD23</f>
        <v/>
      </c>
      <c r="AD5">
        <f>'Plant Inputs'!AE23</f>
        <v/>
      </c>
      <c r="AE5">
        <f>'Plant Inputs'!AF23</f>
        <v/>
      </c>
      <c r="AF5">
        <f>'Plant Inputs'!AG23</f>
        <v/>
      </c>
      <c r="AG5">
        <f>'Plant Inputs'!AH23</f>
        <v/>
      </c>
      <c r="AH5">
        <f>'Plant Inputs'!AI23</f>
        <v/>
      </c>
      <c r="AI5">
        <f>'Plant Inputs'!AJ23</f>
        <v/>
      </c>
      <c r="AJ5">
        <f>'Plant Inputs'!AK23</f>
        <v/>
      </c>
      <c r="AK5">
        <f>'Plant Inputs'!AL23</f>
        <v/>
      </c>
      <c r="AL5">
        <f>'Plant Inputs'!AM23</f>
        <v/>
      </c>
      <c r="AM5">
        <f>'Plant Inputs'!AN23</f>
        <v/>
      </c>
      <c r="AN5">
        <f>'Plant Inputs'!AO23</f>
        <v/>
      </c>
      <c r="AO5">
        <f>'Plant Inputs'!AP23</f>
        <v/>
      </c>
      <c r="AP5">
        <f>'Plant Inputs'!AQ23</f>
        <v/>
      </c>
      <c r="AQ5">
        <f>'Plant Inputs'!AR23</f>
        <v/>
      </c>
      <c r="AR5">
        <f>'Plant Inputs'!AS23</f>
        <v/>
      </c>
      <c r="AS5">
        <f>'Plant Inputs'!AT23</f>
        <v/>
      </c>
      <c r="AT5">
        <f>'Plant Inputs'!AU23</f>
        <v/>
      </c>
      <c r="AU5">
        <f>'Plant Inputs'!AV23</f>
        <v/>
      </c>
      <c r="AV5">
        <f>'Plant Inputs'!AW23</f>
        <v/>
      </c>
      <c r="AW5">
        <f>'Plant Inputs'!AX23</f>
        <v/>
      </c>
      <c r="AX5">
        <f>'Plant Inputs'!AY23</f>
        <v/>
      </c>
      <c r="AY5">
        <f>'Plant Inputs'!AZ23</f>
        <v/>
      </c>
      <c r="AZ5">
        <f>'Plant Inputs'!BA23</f>
        <v/>
      </c>
      <c r="BA5">
        <f>'Plant Inputs'!BB23</f>
        <v/>
      </c>
      <c r="BB5">
        <f>'Plant Inputs'!BC23</f>
        <v/>
      </c>
      <c r="BC5">
        <f>'Plant Inputs'!BD23</f>
        <v/>
      </c>
      <c r="BD5">
        <f>'Plant Inputs'!BE23</f>
        <v/>
      </c>
      <c r="BE5">
        <f>'Plant Inputs'!BF23</f>
        <v/>
      </c>
      <c r="BF5">
        <f>'Plant Inputs'!BG23</f>
        <v/>
      </c>
      <c r="BG5">
        <f>'Plant Inputs'!BH23</f>
        <v/>
      </c>
      <c r="BH5">
        <f>'Plant Inputs'!BI23</f>
        <v/>
      </c>
      <c r="BI5">
        <f>'Plant Inputs'!BJ23</f>
        <v/>
      </c>
      <c r="BJ5">
        <f>'Plant Inputs'!BK23</f>
        <v/>
      </c>
      <c r="BK5">
        <f>'Plant Inputs'!BL23</f>
        <v/>
      </c>
      <c r="BL5">
        <f>'Plant Inputs'!BM23</f>
        <v/>
      </c>
      <c r="BM5">
        <f>'Plant Inputs'!BN23</f>
        <v/>
      </c>
      <c r="BN5">
        <f>'Plant Inputs'!BO23</f>
        <v/>
      </c>
      <c r="BO5">
        <f>'Plant Inputs'!BP23</f>
        <v/>
      </c>
      <c r="BP5">
        <f>'Plant Inputs'!BQ23</f>
        <v/>
      </c>
      <c r="BQ5">
        <f>'Plant Inputs'!BR23</f>
        <v/>
      </c>
      <c r="BR5">
        <f>'Plant Inputs'!BS23</f>
        <v/>
      </c>
      <c r="BS5">
        <f>'Plant Inputs'!BT23</f>
        <v/>
      </c>
      <c r="BT5">
        <f>'Plant Inputs'!BU23</f>
        <v/>
      </c>
      <c r="BU5">
        <f>'Plant Inputs'!BV23</f>
        <v/>
      </c>
      <c r="BV5">
        <f>'Plant Inputs'!BW23</f>
        <v/>
      </c>
      <c r="BW5">
        <f>'Plant Inputs'!BX23</f>
        <v/>
      </c>
      <c r="BX5">
        <f>'Plant Inputs'!BY23</f>
        <v/>
      </c>
      <c r="FV5">
        <f>AU5-V5-X5-BY5</f>
        <v/>
      </c>
      <c r="FW5">
        <f>FV5-AX5</f>
        <v/>
      </c>
      <c r="FX5">
        <f>CJ5+CL5-CK5</f>
        <v/>
      </c>
      <c r="FY5">
        <f>FX5-FX4</f>
        <v/>
      </c>
      <c r="FZ5">
        <f>FV5-BZ5-FY5</f>
        <v/>
      </c>
      <c r="GA5">
        <f>FZ5-DJ5</f>
        <v/>
      </c>
      <c r="GB5">
        <f>CB5-CC5</f>
        <v/>
      </c>
      <c r="GC5">
        <f>SUM(FV$4:FV5)*12/D5</f>
        <v/>
      </c>
      <c r="GD5">
        <f>IF(AU5=0,0,CJ5/AU5*C5)</f>
        <v/>
      </c>
      <c r="GE5">
        <f>IF(V5=0,0,CK5/V5*C5)</f>
        <v/>
      </c>
      <c r="GF5">
        <f>IF(V5=0,0,CL5/V5*C5)</f>
        <v/>
      </c>
      <c r="GG5">
        <f>IF(OR(AS5=0,AT5=0,AV5=0),0,100*((AU5/AS5)/(AV5/AT5)-1))</f>
        <v/>
      </c>
    </row>
    <row r="6">
      <c r="A6" t="inlineStr">
        <is>
          <t>Plant 04</t>
        </is>
      </c>
      <c r="B6" t="inlineStr">
        <is>
          <t>2026-06</t>
        </is>
      </c>
      <c r="C6" t="n">
        <v>30</v>
      </c>
      <c r="D6" t="n">
        <v>3</v>
      </c>
      <c r="E6">
        <f>'Plant Inputs'!F24</f>
        <v/>
      </c>
      <c r="F6">
        <f>'Plant Inputs'!G24</f>
        <v/>
      </c>
      <c r="G6">
        <f>'Plant Inputs'!H24</f>
        <v/>
      </c>
      <c r="H6">
        <f>'Plant Inputs'!I24</f>
        <v/>
      </c>
      <c r="I6">
        <f>'Plant Inputs'!J24</f>
        <v/>
      </c>
      <c r="J6">
        <f>'Plant Inputs'!K24</f>
        <v/>
      </c>
      <c r="K6">
        <f>'Plant Inputs'!L24</f>
        <v/>
      </c>
      <c r="L6">
        <f>'Plant Inputs'!M24</f>
        <v/>
      </c>
      <c r="M6">
        <f>'Plant Inputs'!N24</f>
        <v/>
      </c>
      <c r="N6">
        <f>'Plant Inputs'!O24</f>
        <v/>
      </c>
      <c r="O6">
        <f>'Plant Inputs'!P24</f>
        <v/>
      </c>
      <c r="P6">
        <f>'Plant Inputs'!Q24</f>
        <v/>
      </c>
      <c r="Q6">
        <f>'Plant Inputs'!R24</f>
        <v/>
      </c>
      <c r="R6">
        <f>'Plant Inputs'!S24</f>
        <v/>
      </c>
      <c r="S6">
        <f>'Plant Inputs'!T24</f>
        <v/>
      </c>
      <c r="T6">
        <f>'Plant Inputs'!U24</f>
        <v/>
      </c>
      <c r="U6">
        <f>'Plant Inputs'!V24</f>
        <v/>
      </c>
      <c r="V6">
        <f>'Plant Inputs'!W24</f>
        <v/>
      </c>
      <c r="W6">
        <f>'Plant Inputs'!X24</f>
        <v/>
      </c>
      <c r="X6">
        <f>'Plant Inputs'!Y24</f>
        <v/>
      </c>
      <c r="Y6">
        <f>'Plant Inputs'!Z24</f>
        <v/>
      </c>
      <c r="Z6">
        <f>'Plant Inputs'!AA24</f>
        <v/>
      </c>
      <c r="AA6">
        <f>'Plant Inputs'!AB24</f>
        <v/>
      </c>
      <c r="AB6">
        <f>'Plant Inputs'!AC24</f>
        <v/>
      </c>
      <c r="AC6">
        <f>'Plant Inputs'!AD24</f>
        <v/>
      </c>
      <c r="AD6">
        <f>'Plant Inputs'!AE24</f>
        <v/>
      </c>
      <c r="AE6">
        <f>'Plant Inputs'!AF24</f>
        <v/>
      </c>
      <c r="AF6">
        <f>'Plant Inputs'!AG24</f>
        <v/>
      </c>
      <c r="AG6">
        <f>'Plant Inputs'!AH24</f>
        <v/>
      </c>
      <c r="AH6">
        <f>'Plant Inputs'!AI24</f>
        <v/>
      </c>
      <c r="AI6">
        <f>'Plant Inputs'!AJ24</f>
        <v/>
      </c>
      <c r="AJ6">
        <f>'Plant Inputs'!AK24</f>
        <v/>
      </c>
      <c r="AK6">
        <f>'Plant Inputs'!AL24</f>
        <v/>
      </c>
      <c r="AL6">
        <f>'Plant Inputs'!AM24</f>
        <v/>
      </c>
      <c r="AM6">
        <f>'Plant Inputs'!AN24</f>
        <v/>
      </c>
      <c r="AN6">
        <f>'Plant Inputs'!AO24</f>
        <v/>
      </c>
      <c r="AO6">
        <f>'Plant Inputs'!AP24</f>
        <v/>
      </c>
      <c r="AP6">
        <f>'Plant Inputs'!AQ24</f>
        <v/>
      </c>
      <c r="AQ6">
        <f>'Plant Inputs'!AR24</f>
        <v/>
      </c>
      <c r="AR6">
        <f>'Plant Inputs'!AS24</f>
        <v/>
      </c>
      <c r="AS6">
        <f>'Plant Inputs'!AT24</f>
        <v/>
      </c>
      <c r="AT6">
        <f>'Plant Inputs'!AU24</f>
        <v/>
      </c>
      <c r="AU6">
        <f>'Plant Inputs'!AV24</f>
        <v/>
      </c>
      <c r="AV6">
        <f>'Plant Inputs'!AW24</f>
        <v/>
      </c>
      <c r="AW6">
        <f>'Plant Inputs'!AX24</f>
        <v/>
      </c>
      <c r="AX6">
        <f>'Plant Inputs'!AY24</f>
        <v/>
      </c>
      <c r="AY6">
        <f>'Plant Inputs'!AZ24</f>
        <v/>
      </c>
      <c r="AZ6">
        <f>'Plant Inputs'!BA24</f>
        <v/>
      </c>
      <c r="BA6">
        <f>'Plant Inputs'!BB24</f>
        <v/>
      </c>
      <c r="BB6">
        <f>'Plant Inputs'!BC24</f>
        <v/>
      </c>
      <c r="BC6">
        <f>'Plant Inputs'!BD24</f>
        <v/>
      </c>
      <c r="BD6">
        <f>'Plant Inputs'!BE24</f>
        <v/>
      </c>
      <c r="BE6">
        <f>'Plant Inputs'!BF24</f>
        <v/>
      </c>
      <c r="BF6">
        <f>'Plant Inputs'!BG24</f>
        <v/>
      </c>
      <c r="BG6">
        <f>'Plant Inputs'!BH24</f>
        <v/>
      </c>
      <c r="BH6">
        <f>'Plant Inputs'!BI24</f>
        <v/>
      </c>
      <c r="BI6">
        <f>'Plant Inputs'!BJ24</f>
        <v/>
      </c>
      <c r="BJ6">
        <f>'Plant Inputs'!BK24</f>
        <v/>
      </c>
      <c r="BK6">
        <f>'Plant Inputs'!BL24</f>
        <v/>
      </c>
      <c r="BL6">
        <f>'Plant Inputs'!BM24</f>
        <v/>
      </c>
      <c r="BM6">
        <f>'Plant Inputs'!BN24</f>
        <v/>
      </c>
      <c r="BN6">
        <f>'Plant Inputs'!BO24</f>
        <v/>
      </c>
      <c r="BO6">
        <f>'Plant Inputs'!BP24</f>
        <v/>
      </c>
      <c r="BP6">
        <f>'Plant Inputs'!BQ24</f>
        <v/>
      </c>
      <c r="BQ6">
        <f>'Plant Inputs'!BR24</f>
        <v/>
      </c>
      <c r="BR6">
        <f>'Plant Inputs'!BS24</f>
        <v/>
      </c>
      <c r="BS6">
        <f>'Plant Inputs'!BT24</f>
        <v/>
      </c>
      <c r="BT6">
        <f>'Plant Inputs'!BU24</f>
        <v/>
      </c>
      <c r="BU6">
        <f>'Plant Inputs'!BV24</f>
        <v/>
      </c>
      <c r="BV6">
        <f>'Plant Inputs'!BW24</f>
        <v/>
      </c>
      <c r="BW6">
        <f>'Plant Inputs'!BX24</f>
        <v/>
      </c>
      <c r="BX6">
        <f>'Plant Inputs'!BY24</f>
        <v/>
      </c>
      <c r="FV6">
        <f>AU6-V6-X6-BY6</f>
        <v/>
      </c>
      <c r="FW6">
        <f>FV6-AX6</f>
        <v/>
      </c>
      <c r="FX6">
        <f>CJ6+CL6-CK6</f>
        <v/>
      </c>
      <c r="FY6">
        <f>FX6-FX5</f>
        <v/>
      </c>
      <c r="FZ6">
        <f>FV6-BZ6-FY6</f>
        <v/>
      </c>
      <c r="GA6">
        <f>FZ6-DJ6</f>
        <v/>
      </c>
      <c r="GB6">
        <f>CB6-CC6</f>
        <v/>
      </c>
      <c r="GC6">
        <f>SUM(FV$4:FV6)*12/D6</f>
        <v/>
      </c>
      <c r="GD6">
        <f>IF(AU6=0,0,CJ6/AU6*C6)</f>
        <v/>
      </c>
      <c r="GE6">
        <f>IF(V6=0,0,CK6/V6*C6)</f>
        <v/>
      </c>
      <c r="GF6">
        <f>IF(V6=0,0,CL6/V6*C6)</f>
        <v/>
      </c>
      <c r="GG6">
        <f>IF(OR(AS6=0,AT6=0,AV6=0),0,100*((AU6/AS6)/(AV6/AT6)-1))</f>
        <v/>
      </c>
    </row>
    <row r="7">
      <c r="A7" t="inlineStr">
        <is>
          <t>Plant 04</t>
        </is>
      </c>
      <c r="B7" t="inlineStr">
        <is>
          <t>2026-07</t>
        </is>
      </c>
      <c r="C7" t="n">
        <v>31</v>
      </c>
      <c r="D7" t="n">
        <v>4</v>
      </c>
      <c r="E7">
        <f>'Plant Inputs'!F25</f>
        <v/>
      </c>
      <c r="F7">
        <f>'Plant Inputs'!G25</f>
        <v/>
      </c>
      <c r="G7">
        <f>'Plant Inputs'!H25</f>
        <v/>
      </c>
      <c r="H7">
        <f>'Plant Inputs'!I25</f>
        <v/>
      </c>
      <c r="I7">
        <f>'Plant Inputs'!J25</f>
        <v/>
      </c>
      <c r="J7">
        <f>'Plant Inputs'!K25</f>
        <v/>
      </c>
      <c r="K7">
        <f>'Plant Inputs'!L25</f>
        <v/>
      </c>
      <c r="L7">
        <f>'Plant Inputs'!M25</f>
        <v/>
      </c>
      <c r="M7">
        <f>'Plant Inputs'!N25</f>
        <v/>
      </c>
      <c r="N7">
        <f>'Plant Inputs'!O25</f>
        <v/>
      </c>
      <c r="O7">
        <f>'Plant Inputs'!P25</f>
        <v/>
      </c>
      <c r="P7">
        <f>'Plant Inputs'!Q25</f>
        <v/>
      </c>
      <c r="Q7">
        <f>'Plant Inputs'!R25</f>
        <v/>
      </c>
      <c r="R7">
        <f>'Plant Inputs'!S25</f>
        <v/>
      </c>
      <c r="S7">
        <f>'Plant Inputs'!T25</f>
        <v/>
      </c>
      <c r="T7">
        <f>'Plant Inputs'!U25</f>
        <v/>
      </c>
      <c r="U7">
        <f>'Plant Inputs'!V25</f>
        <v/>
      </c>
      <c r="V7">
        <f>'Plant Inputs'!W25</f>
        <v/>
      </c>
      <c r="W7">
        <f>'Plant Inputs'!X25</f>
        <v/>
      </c>
      <c r="X7">
        <f>'Plant Inputs'!Y25</f>
        <v/>
      </c>
      <c r="Y7">
        <f>'Plant Inputs'!Z25</f>
        <v/>
      </c>
      <c r="Z7">
        <f>'Plant Inputs'!AA25</f>
        <v/>
      </c>
      <c r="AA7">
        <f>'Plant Inputs'!AB25</f>
        <v/>
      </c>
      <c r="AB7">
        <f>'Plant Inputs'!AC25</f>
        <v/>
      </c>
      <c r="AC7">
        <f>'Plant Inputs'!AD25</f>
        <v/>
      </c>
      <c r="AD7">
        <f>'Plant Inputs'!AE25</f>
        <v/>
      </c>
      <c r="AE7">
        <f>'Plant Inputs'!AF25</f>
        <v/>
      </c>
      <c r="AF7">
        <f>'Plant Inputs'!AG25</f>
        <v/>
      </c>
      <c r="AG7">
        <f>'Plant Inputs'!AH25</f>
        <v/>
      </c>
      <c r="AH7">
        <f>'Plant Inputs'!AI25</f>
        <v/>
      </c>
      <c r="AI7">
        <f>'Plant Inputs'!AJ25</f>
        <v/>
      </c>
      <c r="AJ7">
        <f>'Plant Inputs'!AK25</f>
        <v/>
      </c>
      <c r="AK7">
        <f>'Plant Inputs'!AL25</f>
        <v/>
      </c>
      <c r="AL7">
        <f>'Plant Inputs'!AM25</f>
        <v/>
      </c>
      <c r="AM7">
        <f>'Plant Inputs'!AN25</f>
        <v/>
      </c>
      <c r="AN7">
        <f>'Plant Inputs'!AO25</f>
        <v/>
      </c>
      <c r="AO7">
        <f>'Plant Inputs'!AP25</f>
        <v/>
      </c>
      <c r="AP7">
        <f>'Plant Inputs'!AQ25</f>
        <v/>
      </c>
      <c r="AQ7">
        <f>'Plant Inputs'!AR25</f>
        <v/>
      </c>
      <c r="AR7">
        <f>'Plant Inputs'!AS25</f>
        <v/>
      </c>
      <c r="AS7">
        <f>'Plant Inputs'!AT25</f>
        <v/>
      </c>
      <c r="AT7">
        <f>'Plant Inputs'!AU25</f>
        <v/>
      </c>
      <c r="AU7">
        <f>'Plant Inputs'!AV25</f>
        <v/>
      </c>
      <c r="AV7">
        <f>'Plant Inputs'!AW25</f>
        <v/>
      </c>
      <c r="AW7">
        <f>'Plant Inputs'!AX25</f>
        <v/>
      </c>
      <c r="AX7">
        <f>'Plant Inputs'!AY25</f>
        <v/>
      </c>
      <c r="AY7">
        <f>'Plant Inputs'!AZ25</f>
        <v/>
      </c>
      <c r="AZ7">
        <f>'Plant Inputs'!BA25</f>
        <v/>
      </c>
      <c r="BA7">
        <f>'Plant Inputs'!BB25</f>
        <v/>
      </c>
      <c r="BB7">
        <f>'Plant Inputs'!BC25</f>
        <v/>
      </c>
      <c r="BC7">
        <f>'Plant Inputs'!BD25</f>
        <v/>
      </c>
      <c r="BD7">
        <f>'Plant Inputs'!BE25</f>
        <v/>
      </c>
      <c r="BE7">
        <f>'Plant Inputs'!BF25</f>
        <v/>
      </c>
      <c r="BF7">
        <f>'Plant Inputs'!BG25</f>
        <v/>
      </c>
      <c r="BG7">
        <f>'Plant Inputs'!BH25</f>
        <v/>
      </c>
      <c r="BH7">
        <f>'Plant Inputs'!BI25</f>
        <v/>
      </c>
      <c r="BI7">
        <f>'Plant Inputs'!BJ25</f>
        <v/>
      </c>
      <c r="BJ7">
        <f>'Plant Inputs'!BK25</f>
        <v/>
      </c>
      <c r="BK7">
        <f>'Plant Inputs'!BL25</f>
        <v/>
      </c>
      <c r="BL7">
        <f>'Plant Inputs'!BM25</f>
        <v/>
      </c>
      <c r="BM7">
        <f>'Plant Inputs'!BN25</f>
        <v/>
      </c>
      <c r="BN7">
        <f>'Plant Inputs'!BO25</f>
        <v/>
      </c>
      <c r="BO7">
        <f>'Plant Inputs'!BP25</f>
        <v/>
      </c>
      <c r="BP7">
        <f>'Plant Inputs'!BQ25</f>
        <v/>
      </c>
      <c r="BQ7">
        <f>'Plant Inputs'!BR25</f>
        <v/>
      </c>
      <c r="BR7">
        <f>'Plant Inputs'!BS25</f>
        <v/>
      </c>
      <c r="BS7">
        <f>'Plant Inputs'!BT25</f>
        <v/>
      </c>
      <c r="BT7">
        <f>'Plant Inputs'!BU25</f>
        <v/>
      </c>
      <c r="BU7">
        <f>'Plant Inputs'!BV25</f>
        <v/>
      </c>
      <c r="BV7">
        <f>'Plant Inputs'!BW25</f>
        <v/>
      </c>
      <c r="BW7">
        <f>'Plant Inputs'!BX25</f>
        <v/>
      </c>
      <c r="BX7">
        <f>'Plant Inputs'!BY25</f>
        <v/>
      </c>
      <c r="FV7">
        <f>AU7-V7-X7-BY7</f>
        <v/>
      </c>
      <c r="FW7">
        <f>FV7-AX7</f>
        <v/>
      </c>
      <c r="FX7">
        <f>CJ7+CL7-CK7</f>
        <v/>
      </c>
      <c r="FY7">
        <f>FX7-FX6</f>
        <v/>
      </c>
      <c r="FZ7">
        <f>FV7-BZ7-FY7</f>
        <v/>
      </c>
      <c r="GA7">
        <f>FZ7-DJ7</f>
        <v/>
      </c>
      <c r="GB7">
        <f>CB7-CC7</f>
        <v/>
      </c>
      <c r="GC7">
        <f>SUM(FV$4:FV7)*12/D7</f>
        <v/>
      </c>
      <c r="GD7">
        <f>IF(AU7=0,0,CJ7/AU7*C7)</f>
        <v/>
      </c>
      <c r="GE7">
        <f>IF(V7=0,0,CK7/V7*C7)</f>
        <v/>
      </c>
      <c r="GF7">
        <f>IF(V7=0,0,CL7/V7*C7)</f>
        <v/>
      </c>
      <c r="GG7">
        <f>IF(OR(AS7=0,AT7=0,AV7=0),0,100*((AU7/AS7)/(AV7/AT7)-1))</f>
        <v/>
      </c>
    </row>
    <row r="8">
      <c r="A8" t="inlineStr">
        <is>
          <t>Plant 04</t>
        </is>
      </c>
      <c r="B8" t="inlineStr">
        <is>
          <t>2026-08</t>
        </is>
      </c>
      <c r="C8" t="n">
        <v>31</v>
      </c>
      <c r="D8" t="n">
        <v>5</v>
      </c>
      <c r="E8">
        <f>'Plant Inputs'!F26</f>
        <v/>
      </c>
      <c r="F8">
        <f>'Plant Inputs'!G26</f>
        <v/>
      </c>
      <c r="G8">
        <f>'Plant Inputs'!H26</f>
        <v/>
      </c>
      <c r="H8">
        <f>'Plant Inputs'!I26</f>
        <v/>
      </c>
      <c r="I8">
        <f>'Plant Inputs'!J26</f>
        <v/>
      </c>
      <c r="J8">
        <f>'Plant Inputs'!K26</f>
        <v/>
      </c>
      <c r="K8">
        <f>'Plant Inputs'!L26</f>
        <v/>
      </c>
      <c r="L8">
        <f>'Plant Inputs'!M26</f>
        <v/>
      </c>
      <c r="M8">
        <f>'Plant Inputs'!N26</f>
        <v/>
      </c>
      <c r="N8">
        <f>'Plant Inputs'!O26</f>
        <v/>
      </c>
      <c r="O8">
        <f>'Plant Inputs'!P26</f>
        <v/>
      </c>
      <c r="P8">
        <f>'Plant Inputs'!Q26</f>
        <v/>
      </c>
      <c r="Q8">
        <f>'Plant Inputs'!R26</f>
        <v/>
      </c>
      <c r="R8">
        <f>'Plant Inputs'!S26</f>
        <v/>
      </c>
      <c r="S8">
        <f>'Plant Inputs'!T26</f>
        <v/>
      </c>
      <c r="T8">
        <f>'Plant Inputs'!U26</f>
        <v/>
      </c>
      <c r="U8">
        <f>'Plant Inputs'!V26</f>
        <v/>
      </c>
      <c r="V8">
        <f>'Plant Inputs'!W26</f>
        <v/>
      </c>
      <c r="W8">
        <f>'Plant Inputs'!X26</f>
        <v/>
      </c>
      <c r="X8">
        <f>'Plant Inputs'!Y26</f>
        <v/>
      </c>
      <c r="Y8">
        <f>'Plant Inputs'!Z26</f>
        <v/>
      </c>
      <c r="Z8">
        <f>'Plant Inputs'!AA26</f>
        <v/>
      </c>
      <c r="AA8">
        <f>'Plant Inputs'!AB26</f>
        <v/>
      </c>
      <c r="AB8">
        <f>'Plant Inputs'!AC26</f>
        <v/>
      </c>
      <c r="AC8">
        <f>'Plant Inputs'!AD26</f>
        <v/>
      </c>
      <c r="AD8">
        <f>'Plant Inputs'!AE26</f>
        <v/>
      </c>
      <c r="AE8">
        <f>'Plant Inputs'!AF26</f>
        <v/>
      </c>
      <c r="AF8">
        <f>'Plant Inputs'!AG26</f>
        <v/>
      </c>
      <c r="AG8">
        <f>'Plant Inputs'!AH26</f>
        <v/>
      </c>
      <c r="AH8">
        <f>'Plant Inputs'!AI26</f>
        <v/>
      </c>
      <c r="AI8">
        <f>'Plant Inputs'!AJ26</f>
        <v/>
      </c>
      <c r="AJ8">
        <f>'Plant Inputs'!AK26</f>
        <v/>
      </c>
      <c r="AK8">
        <f>'Plant Inputs'!AL26</f>
        <v/>
      </c>
      <c r="AL8">
        <f>'Plant Inputs'!AM26</f>
        <v/>
      </c>
      <c r="AM8">
        <f>'Plant Inputs'!AN26</f>
        <v/>
      </c>
      <c r="AN8">
        <f>'Plant Inputs'!AO26</f>
        <v/>
      </c>
      <c r="AO8">
        <f>'Plant Inputs'!AP26</f>
        <v/>
      </c>
      <c r="AP8">
        <f>'Plant Inputs'!AQ26</f>
        <v/>
      </c>
      <c r="AQ8">
        <f>'Plant Inputs'!AR26</f>
        <v/>
      </c>
      <c r="AR8">
        <f>'Plant Inputs'!AS26</f>
        <v/>
      </c>
      <c r="AS8">
        <f>'Plant Inputs'!AT26</f>
        <v/>
      </c>
      <c r="AT8">
        <f>'Plant Inputs'!AU26</f>
        <v/>
      </c>
      <c r="AU8">
        <f>'Plant Inputs'!AV26</f>
        <v/>
      </c>
      <c r="AV8">
        <f>'Plant Inputs'!AW26</f>
        <v/>
      </c>
      <c r="AW8">
        <f>'Plant Inputs'!AX26</f>
        <v/>
      </c>
      <c r="AX8">
        <f>'Plant Inputs'!AY26</f>
        <v/>
      </c>
      <c r="AY8">
        <f>'Plant Inputs'!AZ26</f>
        <v/>
      </c>
      <c r="AZ8">
        <f>'Plant Inputs'!BA26</f>
        <v/>
      </c>
      <c r="BA8">
        <f>'Plant Inputs'!BB26</f>
        <v/>
      </c>
      <c r="BB8">
        <f>'Plant Inputs'!BC26</f>
        <v/>
      </c>
      <c r="BC8">
        <f>'Plant Inputs'!BD26</f>
        <v/>
      </c>
      <c r="BD8">
        <f>'Plant Inputs'!BE26</f>
        <v/>
      </c>
      <c r="BE8">
        <f>'Plant Inputs'!BF26</f>
        <v/>
      </c>
      <c r="BF8">
        <f>'Plant Inputs'!BG26</f>
        <v/>
      </c>
      <c r="BG8">
        <f>'Plant Inputs'!BH26</f>
        <v/>
      </c>
      <c r="BH8">
        <f>'Plant Inputs'!BI26</f>
        <v/>
      </c>
      <c r="BI8">
        <f>'Plant Inputs'!BJ26</f>
        <v/>
      </c>
      <c r="BJ8">
        <f>'Plant Inputs'!BK26</f>
        <v/>
      </c>
      <c r="BK8">
        <f>'Plant Inputs'!BL26</f>
        <v/>
      </c>
      <c r="BL8">
        <f>'Plant Inputs'!BM26</f>
        <v/>
      </c>
      <c r="BM8">
        <f>'Plant Inputs'!BN26</f>
        <v/>
      </c>
      <c r="BN8">
        <f>'Plant Inputs'!BO26</f>
        <v/>
      </c>
      <c r="BO8">
        <f>'Plant Inputs'!BP26</f>
        <v/>
      </c>
      <c r="BP8">
        <f>'Plant Inputs'!BQ26</f>
        <v/>
      </c>
      <c r="BQ8">
        <f>'Plant Inputs'!BR26</f>
        <v/>
      </c>
      <c r="BR8">
        <f>'Plant Inputs'!BS26</f>
        <v/>
      </c>
      <c r="BS8">
        <f>'Plant Inputs'!BT26</f>
        <v/>
      </c>
      <c r="BT8">
        <f>'Plant Inputs'!BU26</f>
        <v/>
      </c>
      <c r="BU8">
        <f>'Plant Inputs'!BV26</f>
        <v/>
      </c>
      <c r="BV8">
        <f>'Plant Inputs'!BW26</f>
        <v/>
      </c>
      <c r="BW8">
        <f>'Plant Inputs'!BX26</f>
        <v/>
      </c>
      <c r="BX8">
        <f>'Plant Inputs'!BY26</f>
        <v/>
      </c>
      <c r="FV8">
        <f>AU8-V8-X8-BY8</f>
        <v/>
      </c>
      <c r="FW8">
        <f>FV8-AX8</f>
        <v/>
      </c>
      <c r="FX8">
        <f>CJ8+CL8-CK8</f>
        <v/>
      </c>
      <c r="FY8">
        <f>FX8-FX7</f>
        <v/>
      </c>
      <c r="FZ8">
        <f>FV8-BZ8-FY8</f>
        <v/>
      </c>
      <c r="GA8">
        <f>FZ8-DJ8</f>
        <v/>
      </c>
      <c r="GB8">
        <f>CB8-CC8</f>
        <v/>
      </c>
      <c r="GC8">
        <f>SUM(FV$4:FV8)*12/D8</f>
        <v/>
      </c>
      <c r="GD8">
        <f>IF(AU8=0,0,CJ8/AU8*C8)</f>
        <v/>
      </c>
      <c r="GE8">
        <f>IF(V8=0,0,CK8/V8*C8)</f>
        <v/>
      </c>
      <c r="GF8">
        <f>IF(V8=0,0,CL8/V8*C8)</f>
        <v/>
      </c>
      <c r="GG8">
        <f>IF(OR(AS8=0,AT8=0,AV8=0),0,100*((AU8/AS8)/(AV8/AT8)-1))</f>
        <v/>
      </c>
    </row>
    <row r="9">
      <c r="A9" t="inlineStr">
        <is>
          <t>Plant 04</t>
        </is>
      </c>
      <c r="B9" t="inlineStr">
        <is>
          <t>2026-09</t>
        </is>
      </c>
      <c r="C9" t="n">
        <v>30</v>
      </c>
      <c r="D9" t="n">
        <v>6</v>
      </c>
      <c r="E9">
        <f>'Plant Inputs'!F27</f>
        <v/>
      </c>
      <c r="F9">
        <f>'Plant Inputs'!G27</f>
        <v/>
      </c>
      <c r="G9">
        <f>'Plant Inputs'!H27</f>
        <v/>
      </c>
      <c r="H9">
        <f>'Plant Inputs'!I27</f>
        <v/>
      </c>
      <c r="I9">
        <f>'Plant Inputs'!J27</f>
        <v/>
      </c>
      <c r="J9">
        <f>'Plant Inputs'!K27</f>
        <v/>
      </c>
      <c r="K9">
        <f>'Plant Inputs'!L27</f>
        <v/>
      </c>
      <c r="L9">
        <f>'Plant Inputs'!M27</f>
        <v/>
      </c>
      <c r="M9">
        <f>'Plant Inputs'!N27</f>
        <v/>
      </c>
      <c r="N9">
        <f>'Plant Inputs'!O27</f>
        <v/>
      </c>
      <c r="O9">
        <f>'Plant Inputs'!P27</f>
        <v/>
      </c>
      <c r="P9">
        <f>'Plant Inputs'!Q27</f>
        <v/>
      </c>
      <c r="Q9">
        <f>'Plant Inputs'!R27</f>
        <v/>
      </c>
      <c r="R9">
        <f>'Plant Inputs'!S27</f>
        <v/>
      </c>
      <c r="S9">
        <f>'Plant Inputs'!T27</f>
        <v/>
      </c>
      <c r="T9">
        <f>'Plant Inputs'!U27</f>
        <v/>
      </c>
      <c r="U9">
        <f>'Plant Inputs'!V27</f>
        <v/>
      </c>
      <c r="V9">
        <f>'Plant Inputs'!W27</f>
        <v/>
      </c>
      <c r="W9">
        <f>'Plant Inputs'!X27</f>
        <v/>
      </c>
      <c r="X9">
        <f>'Plant Inputs'!Y27</f>
        <v/>
      </c>
      <c r="Y9">
        <f>'Plant Inputs'!Z27</f>
        <v/>
      </c>
      <c r="Z9">
        <f>'Plant Inputs'!AA27</f>
        <v/>
      </c>
      <c r="AA9">
        <f>'Plant Inputs'!AB27</f>
        <v/>
      </c>
      <c r="AB9">
        <f>'Plant Inputs'!AC27</f>
        <v/>
      </c>
      <c r="AC9">
        <f>'Plant Inputs'!AD27</f>
        <v/>
      </c>
      <c r="AD9">
        <f>'Plant Inputs'!AE27</f>
        <v/>
      </c>
      <c r="AE9">
        <f>'Plant Inputs'!AF27</f>
        <v/>
      </c>
      <c r="AF9">
        <f>'Plant Inputs'!AG27</f>
        <v/>
      </c>
      <c r="AG9">
        <f>'Plant Inputs'!AH27</f>
        <v/>
      </c>
      <c r="AH9">
        <f>'Plant Inputs'!AI27</f>
        <v/>
      </c>
      <c r="AI9">
        <f>'Plant Inputs'!AJ27</f>
        <v/>
      </c>
      <c r="AJ9">
        <f>'Plant Inputs'!AK27</f>
        <v/>
      </c>
      <c r="AK9">
        <f>'Plant Inputs'!AL27</f>
        <v/>
      </c>
      <c r="AL9">
        <f>'Plant Inputs'!AM27</f>
        <v/>
      </c>
      <c r="AM9">
        <f>'Plant Inputs'!AN27</f>
        <v/>
      </c>
      <c r="AN9">
        <f>'Plant Inputs'!AO27</f>
        <v/>
      </c>
      <c r="AO9">
        <f>'Plant Inputs'!AP27</f>
        <v/>
      </c>
      <c r="AP9">
        <f>'Plant Inputs'!AQ27</f>
        <v/>
      </c>
      <c r="AQ9">
        <f>'Plant Inputs'!AR27</f>
        <v/>
      </c>
      <c r="AR9">
        <f>'Plant Inputs'!AS27</f>
        <v/>
      </c>
      <c r="AS9">
        <f>'Plant Inputs'!AT27</f>
        <v/>
      </c>
      <c r="AT9">
        <f>'Plant Inputs'!AU27</f>
        <v/>
      </c>
      <c r="AU9">
        <f>'Plant Inputs'!AV27</f>
        <v/>
      </c>
      <c r="AV9">
        <f>'Plant Inputs'!AW27</f>
        <v/>
      </c>
      <c r="AW9">
        <f>'Plant Inputs'!AX27</f>
        <v/>
      </c>
      <c r="AX9">
        <f>'Plant Inputs'!AY27</f>
        <v/>
      </c>
      <c r="AY9">
        <f>'Plant Inputs'!AZ27</f>
        <v/>
      </c>
      <c r="AZ9">
        <f>'Plant Inputs'!BA27</f>
        <v/>
      </c>
      <c r="BA9">
        <f>'Plant Inputs'!BB27</f>
        <v/>
      </c>
      <c r="BB9">
        <f>'Plant Inputs'!BC27</f>
        <v/>
      </c>
      <c r="BC9">
        <f>'Plant Inputs'!BD27</f>
        <v/>
      </c>
      <c r="BD9">
        <f>'Plant Inputs'!BE27</f>
        <v/>
      </c>
      <c r="BE9">
        <f>'Plant Inputs'!BF27</f>
        <v/>
      </c>
      <c r="BF9">
        <f>'Plant Inputs'!BG27</f>
        <v/>
      </c>
      <c r="BG9">
        <f>'Plant Inputs'!BH27</f>
        <v/>
      </c>
      <c r="BH9">
        <f>'Plant Inputs'!BI27</f>
        <v/>
      </c>
      <c r="BI9">
        <f>'Plant Inputs'!BJ27</f>
        <v/>
      </c>
      <c r="BJ9">
        <f>'Plant Inputs'!BK27</f>
        <v/>
      </c>
      <c r="BK9">
        <f>'Plant Inputs'!BL27</f>
        <v/>
      </c>
      <c r="BL9">
        <f>'Plant Inputs'!BM27</f>
        <v/>
      </c>
      <c r="BM9">
        <f>'Plant Inputs'!BN27</f>
        <v/>
      </c>
      <c r="BN9">
        <f>'Plant Inputs'!BO27</f>
        <v/>
      </c>
      <c r="BO9">
        <f>'Plant Inputs'!BP27</f>
        <v/>
      </c>
      <c r="BP9">
        <f>'Plant Inputs'!BQ27</f>
        <v/>
      </c>
      <c r="BQ9">
        <f>'Plant Inputs'!BR27</f>
        <v/>
      </c>
      <c r="BR9">
        <f>'Plant Inputs'!BS27</f>
        <v/>
      </c>
      <c r="BS9">
        <f>'Plant Inputs'!BT27</f>
        <v/>
      </c>
      <c r="BT9">
        <f>'Plant Inputs'!BU27</f>
        <v/>
      </c>
      <c r="BU9">
        <f>'Plant Inputs'!BV27</f>
        <v/>
      </c>
      <c r="BV9">
        <f>'Plant Inputs'!BW27</f>
        <v/>
      </c>
      <c r="BW9">
        <f>'Plant Inputs'!BX27</f>
        <v/>
      </c>
      <c r="BX9">
        <f>'Plant Inputs'!BY27</f>
        <v/>
      </c>
      <c r="FV9">
        <f>AU9-V9-X9-BY9</f>
        <v/>
      </c>
      <c r="FW9">
        <f>FV9-AX9</f>
        <v/>
      </c>
      <c r="FX9">
        <f>CJ9+CL9-CK9</f>
        <v/>
      </c>
      <c r="FY9">
        <f>FX9-FX8</f>
        <v/>
      </c>
      <c r="FZ9">
        <f>FV9-BZ9-FY9</f>
        <v/>
      </c>
      <c r="GA9">
        <f>FZ9-DJ9</f>
        <v/>
      </c>
      <c r="GB9">
        <f>CB9-CC9</f>
        <v/>
      </c>
      <c r="GC9">
        <f>SUM(FV$4:FV9)*12/D9</f>
        <v/>
      </c>
      <c r="GD9">
        <f>IF(AU9=0,0,CJ9/AU9*C9)</f>
        <v/>
      </c>
      <c r="GE9">
        <f>IF(V9=0,0,CK9/V9*C9)</f>
        <v/>
      </c>
      <c r="GF9">
        <f>IF(V9=0,0,CL9/V9*C9)</f>
        <v/>
      </c>
      <c r="GG9">
        <f>IF(OR(AS9=0,AT9=0,AV9=0),0,100*((AU9/AS9)/(AV9/AT9)-1))</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R9"/>
  <sheetViews>
    <sheetView workbookViewId="0">
      <selection activeCell="A1" sqref="A1"/>
    </sheetView>
  </sheetViews>
  <sheetFormatPr baseColWidth="8" defaultRowHeight="15"/>
  <sheetData>
    <row r="1">
      <c r="A1" t="inlineStr">
        <is>
          <t>Group</t>
        </is>
      </c>
      <c r="B1" t="inlineStr">
        <is>
          <t>Month</t>
        </is>
      </c>
      <c r="C1" t="inlineStr">
        <is>
          <t>Days in month</t>
        </is>
      </c>
      <c r="D1" t="inlineStr">
        <is>
          <t>Months since April (YTD)</t>
        </is>
      </c>
      <c r="E1" t="inlineStr">
        <is>
          <t>Calendar hours (h)</t>
        </is>
      </c>
      <c r="F1" t="inlineStr">
        <is>
          <t>Planned operating hours (h)</t>
        </is>
      </c>
      <c r="G1" t="inlineStr">
        <is>
          <t>Run hours (h)</t>
        </is>
      </c>
      <c r="H1" t="inlineStr">
        <is>
          <t>Unplanned downtime (h)</t>
        </is>
      </c>
      <c r="I1" t="inlineStr">
        <is>
          <t>Ideal output (t)</t>
        </is>
      </c>
      <c r="J1" t="inlineStr">
        <is>
          <t>Installed capacity (t)</t>
        </is>
      </c>
      <c r="K1" t="inlineStr">
        <is>
          <t>Planned production (t)</t>
        </is>
      </c>
      <c r="L1" t="inlineStr">
        <is>
          <t>Gross output (t)</t>
        </is>
      </c>
      <c r="M1" t="inlineStr">
        <is>
          <t>Good output (t)</t>
        </is>
      </c>
      <c r="N1" t="inlineStr">
        <is>
          <t>Feed input (t)</t>
        </is>
      </c>
      <c r="O1" t="inlineStr">
        <is>
          <t>Valuable content in feed (t)</t>
        </is>
      </c>
      <c r="P1" t="inlineStr">
        <is>
          <t>Valuable content recovered (t)</t>
        </is>
      </c>
      <c r="Q1" t="inlineStr">
        <is>
          <t>Production lost to downtime (t)</t>
        </is>
      </c>
      <c r="R1" t="inlineStr">
        <is>
          <t>Breakdowns (count)</t>
        </is>
      </c>
      <c r="S1" t="inlineStr">
        <is>
          <t>Repair hours (h)</t>
        </is>
      </c>
      <c r="T1" t="inlineStr">
        <is>
          <t>Preventive maintenance scheduled (count)</t>
        </is>
      </c>
      <c r="U1" t="inlineStr">
        <is>
          <t>Preventive maintenance completed (count)</t>
        </is>
      </c>
      <c r="V1" t="inlineStr">
        <is>
          <t>Variable cost (₹ thousand)</t>
        </is>
      </c>
      <c r="W1" t="inlineStr">
        <is>
          <t>Fuel cost (₹ thousand)</t>
        </is>
      </c>
      <c r="X1" t="inlineStr">
        <is>
          <t>Fixed cost (₹ thousand)</t>
        </is>
      </c>
      <c r="Y1" t="inlineStr">
        <is>
          <t>Water used (m³)</t>
        </is>
      </c>
      <c r="Z1" t="inlineStr">
        <is>
          <t>Emissions (t CO2e)</t>
        </is>
      </c>
      <c r="AA1" t="inlineStr">
        <is>
          <t>Energy used (GJ)</t>
        </is>
      </c>
      <c r="AB1" t="inlineStr">
        <is>
          <t>Production at risk (t)</t>
        </is>
      </c>
      <c r="AC1" t="inlineStr">
        <is>
          <t>Critical plant alerts (count)</t>
        </is>
      </c>
      <c r="AD1" t="inlineStr">
        <is>
          <t>Hours worked (h)</t>
        </is>
      </c>
      <c r="AE1" t="inlineStr">
        <is>
          <t>Recordable injuries (count)</t>
        </is>
      </c>
      <c r="AF1" t="inlineStr">
        <is>
          <t>Severity incidents (count)</t>
        </is>
      </c>
      <c r="AG1" t="inlineStr">
        <is>
          <t>Near misses (count)</t>
        </is>
      </c>
      <c r="AH1" t="inlineStr">
        <is>
          <t>Critical safety incidents (count)</t>
        </is>
      </c>
      <c r="AI1" t="inlineStr">
        <is>
          <t>Environmental excursions (count)</t>
        </is>
      </c>
      <c r="AJ1" t="inlineStr">
        <is>
          <t>Environmental violations (count)</t>
        </is>
      </c>
      <c r="AK1" t="inlineStr">
        <is>
          <t>Open EHS corrective actions (count)</t>
        </is>
      </c>
      <c r="AL1" t="inlineStr">
        <is>
          <t>Overdue EHS corrective actions (count)</t>
        </is>
      </c>
      <c r="AM1" t="inlineStr">
        <is>
          <t>EHS investigations due (count)</t>
        </is>
      </c>
      <c r="AN1" t="inlineStr">
        <is>
          <t>EHS investigations completed (count)</t>
        </is>
      </c>
      <c r="AO1" t="inlineStr">
        <is>
          <t>Critical materials at risk (count)</t>
        </is>
      </c>
      <c r="AP1" t="inlineStr">
        <is>
          <t>Dispatches (count)</t>
        </is>
      </c>
      <c r="AQ1" t="inlineStr">
        <is>
          <t>Delayed dispatches (count)</t>
        </is>
      </c>
      <c r="AR1" t="inlineStr">
        <is>
          <t>Days to permit expiry (days)</t>
        </is>
      </c>
      <c r="AS1" t="inlineStr">
        <is>
          <t>Sales volume (t)</t>
        </is>
      </c>
      <c r="AT1" t="inlineStr">
        <is>
          <t>Planned sales volume (t)</t>
        </is>
      </c>
      <c r="AU1" t="inlineStr">
        <is>
          <t>Revenue (₹ thousand)</t>
        </is>
      </c>
      <c r="AV1" t="inlineStr">
        <is>
          <t>Planned revenue (₹ thousand)</t>
        </is>
      </c>
      <c r="AW1" t="inlineStr">
        <is>
          <t>Power cost, part of variable cost (₹ thousand)</t>
        </is>
      </c>
      <c r="AX1" t="inlineStr">
        <is>
          <t>Depreciation and amortisation (₹ thousand)</t>
        </is>
      </c>
      <c r="AY1" t="inlineStr">
        <is>
          <t>Purchase-order lines due (count)</t>
        </is>
      </c>
      <c r="AZ1" t="inlineStr">
        <is>
          <t>Purchase-order lines delivered on time (count)</t>
        </is>
      </c>
      <c r="BA1" t="inlineStr">
        <is>
          <t>Quantity ordered from suppliers (t)</t>
        </is>
      </c>
      <c r="BB1" t="inlineStr">
        <is>
          <t>Quantity received (t)</t>
        </is>
      </c>
      <c r="BC1" t="inlineStr">
        <is>
          <t>Quantity rejected on quality (t)</t>
        </is>
      </c>
      <c r="BD1" t="inlineStr">
        <is>
          <t>Planned lead time, all deliveries (days)</t>
        </is>
      </c>
      <c r="BE1" t="inlineStr">
        <is>
          <t>Actual lead time, all deliveries (days)</t>
        </is>
      </c>
      <c r="BF1" t="inlineStr">
        <is>
          <t>Supplier spend (₹ thousand)</t>
        </is>
      </c>
      <c r="BG1" t="inlineStr">
        <is>
          <t>Spend with single-source suppliers (₹ thousand)</t>
        </is>
      </c>
      <c r="BH1" t="inlineStr">
        <is>
          <t>Supplier EHS incidents (count)</t>
        </is>
      </c>
      <c r="BI1" t="inlineStr">
        <is>
          <t>Regulatory filings pending (count)</t>
        </is>
      </c>
      <c r="BJ1" t="inlineStr">
        <is>
          <t>Regulatory deadlines in next 30 days (count)</t>
        </is>
      </c>
      <c r="BK1" t="inlineStr">
        <is>
          <t>Licences expiring in next 12 months (count)</t>
        </is>
      </c>
      <c r="BL1" t="inlineStr">
        <is>
          <t>Regulatory obligations due in next 30 days (count)</t>
        </is>
      </c>
      <c r="BM1" t="inlineStr">
        <is>
          <t>Regulatory obligations overdue (count)</t>
        </is>
      </c>
      <c r="BN1" t="inlineStr">
        <is>
          <t>Open regulatory actions (count)</t>
        </is>
      </c>
      <c r="BO1" t="inlineStr">
        <is>
          <t>Overdue compliance actions (count)</t>
        </is>
      </c>
      <c r="BP1" t="inlineStr">
        <is>
          <t>Regulatory breaches in the month (count)</t>
        </is>
      </c>
      <c r="BQ1" t="inlineStr">
        <is>
          <t>Events that trigger a disclosure clock (count)</t>
        </is>
      </c>
      <c r="BR1" t="inlineStr">
        <is>
          <t>EHS escalation clocks running (count)</t>
        </is>
      </c>
      <c r="BS1" t="inlineStr">
        <is>
          <t>Days until production plan is breached, forecast (days; 99 = not expected)</t>
        </is>
      </c>
      <c r="BT1" t="inlineStr">
        <is>
          <t>Planned production next month (t)</t>
        </is>
      </c>
      <c r="BU1" t="inlineStr">
        <is>
          <t>Forecast good output next month (t)</t>
        </is>
      </c>
      <c r="BV1" t="inlineStr">
        <is>
          <t>Forecast uncertainty next month (variance, t²)</t>
        </is>
      </c>
      <c r="BW1" t="inlineStr">
        <is>
          <t>Ideal output next month (t)</t>
        </is>
      </c>
      <c r="BX1" t="inlineStr">
        <is>
          <t>Forecast production lost to downtime next month (t)</t>
        </is>
      </c>
      <c r="BY1" t="inlineStr">
        <is>
          <t>Overheads, SG&amp;A (₹ thousand)</t>
        </is>
      </c>
      <c r="BZ1" t="inlineStr">
        <is>
          <t>Tax paid (₹ thousand)</t>
        </is>
      </c>
      <c r="CA1" t="inlineStr">
        <is>
          <t>Capital employed, month end (₹ thousand)</t>
        </is>
      </c>
      <c r="CB1" t="inlineStr">
        <is>
          <t>Gross debt, month end (₹ thousand)</t>
        </is>
      </c>
      <c r="CC1" t="inlineStr">
        <is>
          <t>Cash, month end (₹ thousand)</t>
        </is>
      </c>
      <c r="CD1" t="inlineStr">
        <is>
          <t>Undrawn committed facilities (₹ thousand)</t>
        </is>
      </c>
      <c r="CE1" t="inlineStr">
        <is>
          <t>Debt service in the month (₹ thousand)</t>
        </is>
      </c>
      <c r="CF1" t="inlineStr">
        <is>
          <t>Debt maturing in next 12 months (₹ thousand)</t>
        </is>
      </c>
      <c r="CG1" t="inlineStr">
        <is>
          <t>Floating-rate debt (₹ thousand)</t>
        </is>
      </c>
      <c r="CH1" t="inlineStr">
        <is>
          <t>EBITDA as reported in the Board pack (₹ thousand)</t>
        </is>
      </c>
      <c r="CI1" t="inlineStr">
        <is>
          <t>Revenue in the flash report (₹ thousand)</t>
        </is>
      </c>
      <c r="CJ1" t="inlineStr">
        <is>
          <t>Trade receivables, month end (₹ thousand)</t>
        </is>
      </c>
      <c r="CK1" t="inlineStr">
        <is>
          <t>Trade payables, month end (₹ thousand)</t>
        </is>
      </c>
      <c r="CL1" t="inlineStr">
        <is>
          <t>Inventory, month end (₹ thousand)</t>
        </is>
      </c>
      <c r="CM1" t="inlineStr">
        <is>
          <t>Cash collected from customers (₹ thousand)</t>
        </is>
      </c>
      <c r="CN1" t="inlineStr">
        <is>
          <t>Cash released by working-capital actions (₹ thousand)</t>
        </is>
      </c>
      <c r="CO1" t="inlineStr">
        <is>
          <t>Cash due to be upstreamed to Group, next 30 days (₹ thousand)</t>
        </is>
      </c>
      <c r="CP1" t="inlineStr">
        <is>
          <t>Of which covered by available cash (₹ thousand)</t>
        </is>
      </c>
      <c r="CQ1" t="inlineStr">
        <is>
          <t>Invoices collected (count)</t>
        </is>
      </c>
      <c r="CR1" t="inlineStr">
        <is>
          <t>Days taken to collect, all invoices (days)</t>
        </is>
      </c>
      <c r="CS1" t="inlineStr">
        <is>
          <t>Agreed payment terms, all invoices (days)</t>
        </is>
      </c>
      <c r="CT1" t="inlineStr">
        <is>
          <t>Customers more than 30 days overdue (count)</t>
        </is>
      </c>
      <c r="CU1" t="inlineStr">
        <is>
          <t>Forecast EBITDA, rest of year (₹ thousand)</t>
        </is>
      </c>
      <c r="CV1" t="inlineStr">
        <is>
          <t>Planned EBITDA, rest of year (₹ thousand)</t>
        </is>
      </c>
      <c r="CW1" t="inlineStr">
        <is>
          <t>Forecast net cash flow, next 90 days (₹ thousand)</t>
        </is>
      </c>
      <c r="CX1" t="inlineStr">
        <is>
          <t>Forecast net debt at quarter end (₹ thousand)</t>
        </is>
      </c>
      <c r="CY1" t="inlineStr">
        <is>
          <t>Forecast EBITDA, 12 months to quarter end (₹ thousand)</t>
        </is>
      </c>
      <c r="CZ1" t="inlineStr">
        <is>
          <t>Foreign-currency exposure, gross (₹ thousand)</t>
        </is>
      </c>
      <c r="DA1" t="inlineStr">
        <is>
          <t>Foreign-currency exposure hedged (₹ thousand)</t>
        </is>
      </c>
      <c r="DB1" t="inlineStr">
        <is>
          <t>USD exposure, gross (₹ thousand)</t>
        </is>
      </c>
      <c r="DC1" t="inlineStr">
        <is>
          <t>USD exposure hedged (₹ thousand)</t>
        </is>
      </c>
      <c r="DD1" t="inlineStr">
        <is>
          <t>Change in value of hedges (₹ thousand)</t>
        </is>
      </c>
      <c r="DE1" t="inlineStr">
        <is>
          <t>Change in value of hedged items (₹ thousand)</t>
        </is>
      </c>
      <c r="DF1" t="inlineStr">
        <is>
          <t>Forecast foreign-currency flows, next 6 months (₹ thousand)</t>
        </is>
      </c>
      <c r="DG1" t="inlineStr">
        <is>
          <t>Of which hedged (₹ thousand)</t>
        </is>
      </c>
      <c r="DH1" t="inlineStr">
        <is>
          <t>Approved capex budget, full year (₹ thousand)</t>
        </is>
      </c>
      <c r="DI1" t="inlineStr">
        <is>
          <t>Capex committed to date (₹ thousand)</t>
        </is>
      </c>
      <c r="DJ1" t="inlineStr">
        <is>
          <t>Capex spent in the month (₹ thousand)</t>
        </is>
      </c>
      <c r="DK1" t="inlineStr">
        <is>
          <t>Capex work completed, valued at budget (₹ thousand)</t>
        </is>
      </c>
      <c r="DL1" t="inlineStr">
        <is>
          <t>Budget of capex projects at risk (₹ thousand)</t>
        </is>
      </c>
      <c r="DM1" t="inlineStr">
        <is>
          <t>Capex projects on track (count)</t>
        </is>
      </c>
      <c r="DN1" t="inlineStr">
        <is>
          <t>Capex projects at risk (count)</t>
        </is>
      </c>
      <c r="DO1" t="inlineStr">
        <is>
          <t>Capex projects off track (count)</t>
        </is>
      </c>
      <c r="DP1" t="inlineStr">
        <is>
          <t>Capex projects delayed (count)</t>
        </is>
      </c>
      <c r="DQ1" t="inlineStr">
        <is>
          <t>Contractor milestones due (count)</t>
        </is>
      </c>
      <c r="DR1" t="inlineStr">
        <is>
          <t>Contractor days late, all milestones (days)</t>
        </is>
      </c>
      <c r="DS1" t="inlineStr">
        <is>
          <t>Transformation initiatives on track (count)</t>
        </is>
      </c>
      <c r="DT1" t="inlineStr">
        <is>
          <t>Transformation initiatives at risk (count)</t>
        </is>
      </c>
      <c r="DU1" t="inlineStr">
        <is>
          <t>Transformation initiatives delayed (count)</t>
        </is>
      </c>
      <c r="DV1" t="inlineStr">
        <is>
          <t>Transformation milestones in plan (count)</t>
        </is>
      </c>
      <c r="DW1" t="inlineStr">
        <is>
          <t>Transformation milestones completed (count)</t>
        </is>
      </c>
      <c r="DX1" t="inlineStr">
        <is>
          <t>Programme benefits planned in the month (₹ thousand)</t>
        </is>
      </c>
      <c r="DY1" t="inlineStr">
        <is>
          <t>Programme benefits delivered in the month (₹ thousand)</t>
        </is>
      </c>
      <c r="DZ1" t="inlineStr">
        <is>
          <t>EBITDA benefit delivered (₹ thousand)</t>
        </is>
      </c>
      <c r="EA1" t="inlineStr">
        <is>
          <t>Cash benefit delivered (₹ thousand)</t>
        </is>
      </c>
      <c r="EB1" t="inlineStr">
        <is>
          <t>Cost savings delivered (₹ thousand)</t>
        </is>
      </c>
      <c r="EC1" t="inlineStr">
        <is>
          <t>Active supply contracts (count)</t>
        </is>
      </c>
      <c r="ED1" t="inlineStr">
        <is>
          <t>Contracts fully compliant (count)</t>
        </is>
      </c>
      <c r="EE1" t="inlineStr">
        <is>
          <t>Contracts expiring in next 90 days (count)</t>
        </is>
      </c>
      <c r="EF1" t="inlineStr">
        <is>
          <t>Suppliers not meeting EHS requirements (count)</t>
        </is>
      </c>
      <c r="EG1" t="inlineStr">
        <is>
          <t>Critical single-source suppliers (count)</t>
        </is>
      </c>
      <c r="EH1" t="inlineStr">
        <is>
          <t>Control failures (count)</t>
        </is>
      </c>
      <c r="EI1" t="inlineStr">
        <is>
          <t>High-severity control failures (count)</t>
        </is>
      </c>
      <c r="EJ1" t="inlineStr">
        <is>
          <t>Assurance reviews planned (count)</t>
        </is>
      </c>
      <c r="EK1" t="inlineStr">
        <is>
          <t>Assurance reviews completed (count)</t>
        </is>
      </c>
      <c r="EL1" t="inlineStr">
        <is>
          <t>Policy exceptions (count)</t>
        </is>
      </c>
      <c r="EM1" t="inlineStr">
        <is>
          <t>Unauthorised vendor uses (count)</t>
        </is>
      </c>
      <c r="EN1" t="inlineStr">
        <is>
          <t>Segregation-of-duties exceptions (count)</t>
        </is>
      </c>
      <c r="EO1" t="inlineStr">
        <is>
          <t>Unauthorised access events (count)</t>
        </is>
      </c>
      <c r="EP1" t="inlineStr">
        <is>
          <t>Data-sharing exceptions (count)</t>
        </is>
      </c>
      <c r="EQ1" t="inlineStr">
        <is>
          <t>Manual operational or system overrides (count)</t>
        </is>
      </c>
      <c r="ER1" t="inlineStr">
        <is>
          <t>Certification approvals past due date (count)</t>
        </is>
      </c>
      <c r="ES1" t="inlineStr">
        <is>
          <t>KPI values overridden (count)</t>
        </is>
      </c>
      <c r="ET1" t="inlineStr">
        <is>
          <t>Recurring data-quality issues (count)</t>
        </is>
      </c>
      <c r="EU1" t="inlineStr">
        <is>
          <t>Open audit findings (count)</t>
        </is>
      </c>
      <c r="EV1" t="inlineStr">
        <is>
          <t>Overdue assurance actions (count)</t>
        </is>
      </c>
      <c r="EW1" t="inlineStr">
        <is>
          <t>Repeat audit findings (count)</t>
        </is>
      </c>
      <c r="EX1" t="inlineStr">
        <is>
          <t>Leadership KPIs affected by open findings (count)</t>
        </is>
      </c>
      <c r="EY1" t="inlineStr">
        <is>
          <t>Evidence items required (count)</t>
        </is>
      </c>
      <c r="EZ1" t="inlineStr">
        <is>
          <t>Evidence items complete (count)</t>
        </is>
      </c>
      <c r="FA1" t="inlineStr">
        <is>
          <t>Audit findings closed in the month (count)</t>
        </is>
      </c>
      <c r="FB1" t="inlineStr">
        <is>
          <t>Days taken to close those findings (days)</t>
        </is>
      </c>
      <c r="FC1" t="inlineStr">
        <is>
          <t>Leadership KPI values reported (count)</t>
        </is>
      </c>
      <c r="FD1" t="inlineStr">
        <is>
          <t>Of which certified (count)</t>
        </is>
      </c>
      <c r="FE1" t="inlineStr">
        <is>
          <t>Of which inside the certification process (count)</t>
        </is>
      </c>
      <c r="FF1" t="inlineStr">
        <is>
          <t>Certifications overdue (count)</t>
        </is>
      </c>
      <c r="FG1" t="inlineStr">
        <is>
          <t>Open reconciliation breaks (count)</t>
        </is>
      </c>
      <c r="FH1" t="inlineStr">
        <is>
          <t>Material reconciliation breaks (count)</t>
        </is>
      </c>
      <c r="FI1" t="inlineStr">
        <is>
          <t>Records loaded to the data lake (count)</t>
        </is>
      </c>
      <c r="FJ1" t="inlineStr">
        <is>
          <t>Records reconciled to source (count)</t>
        </is>
      </c>
      <c r="FK1" t="inlineStr">
        <is>
          <t>Flash report lines (count)</t>
        </is>
      </c>
      <c r="FL1" t="inlineStr">
        <is>
          <t>Flash lines matching MIS (count)</t>
        </is>
      </c>
      <c r="FM1" t="inlineStr">
        <is>
          <t>Open critical alerts (count)</t>
        </is>
      </c>
      <c r="FN1" t="inlineStr">
        <is>
          <t>Alerts with no accepted owner (count)</t>
        </is>
      </c>
      <c r="FO1" t="inlineStr">
        <is>
          <t>Overdue actions (count)</t>
        </is>
      </c>
      <c r="FP1" t="inlineStr">
        <is>
          <t>Alerts resolved in the month (count)</t>
        </is>
      </c>
      <c r="FQ1" t="inlineStr">
        <is>
          <t>Days taken to resolve those alerts (days)</t>
        </is>
      </c>
      <c r="FR1" t="inlineStr">
        <is>
          <t>Escalations closed in the month (count)</t>
        </is>
      </c>
      <c r="FS1" t="inlineStr">
        <is>
          <t>Repeat issues raised in the month (count)</t>
        </is>
      </c>
      <c r="FT1" t="inlineStr">
        <is>
          <t>Root causes identified (count)</t>
        </is>
      </c>
      <c r="FU1" t="inlineStr">
        <is>
          <t>Root causes eliminated (count)</t>
        </is>
      </c>
      <c r="FV1" t="inlineStr">
        <is>
          <t>EBITDA (₹ thousand)</t>
        </is>
      </c>
      <c r="FW1" t="inlineStr">
        <is>
          <t>EBIT (₹ thousand)</t>
        </is>
      </c>
      <c r="FX1" t="inlineStr">
        <is>
          <t>Net working capital (₹ thousand)</t>
        </is>
      </c>
      <c r="FY1" t="inlineStr">
        <is>
          <t>Change in net working capital (₹ thousand)</t>
        </is>
      </c>
      <c r="FZ1" t="inlineStr">
        <is>
          <t>Operating cash flow (₹ thousand)</t>
        </is>
      </c>
      <c r="GA1" t="inlineStr">
        <is>
          <t>Free cash flow (₹ thousand)</t>
        </is>
      </c>
      <c r="GB1" t="inlineStr">
        <is>
          <t>Net debt (₹ thousand)</t>
        </is>
      </c>
      <c r="GC1" t="inlineStr">
        <is>
          <t>EBITDA, annualised (₹ thousand)</t>
        </is>
      </c>
      <c r="GD1" t="inlineStr">
        <is>
          <t>DSO (days)</t>
        </is>
      </c>
      <c r="GE1" t="inlineStr">
        <is>
          <t>DPO (days)</t>
        </is>
      </c>
      <c r="GF1" t="inlineStr">
        <is>
          <t>Inventory days (days)</t>
        </is>
      </c>
      <c r="GG1" t="inlineStr">
        <is>
          <t>Realised price vs plan (%)</t>
        </is>
      </c>
      <c r="GH1" t="inlineStr">
        <is>
          <t>Full-time employees (FTE, count)</t>
        </is>
      </c>
      <c r="GI1" t="inlineStr">
        <is>
          <t>FCF plan, full year (₹ thousand)</t>
        </is>
      </c>
      <c r="GJ1" t="inlineStr">
        <is>
          <t>Forecast FCF, rest of year (₹ thousand)</t>
        </is>
      </c>
      <c r="GK1" t="inlineStr">
        <is>
          <t>Forecast EBIT, rest of year (₹ thousand)</t>
        </is>
      </c>
      <c r="GL1" t="inlineStr">
        <is>
          <t>Forecast capital employed at P12 (₹ thousand)</t>
        </is>
      </c>
      <c r="GM1" t="inlineStr">
        <is>
          <t>EBITDA plan, full year (₹ thousand)</t>
        </is>
      </c>
      <c r="GN1" t="inlineStr">
        <is>
          <t>EBITDA full-year forecast uncertainty, 1σ (₹ thousand)</t>
        </is>
      </c>
      <c r="GO1" t="inlineStr">
        <is>
          <t>Hours to nearest open disclosure deadline (999 = none)</t>
        </is>
      </c>
      <c r="GP1" t="inlineStr">
        <is>
          <t>Single-source suppliers with cover below lead time (count)</t>
        </is>
      </c>
      <c r="GQ1" t="inlineStr">
        <is>
          <t>RM-1 price index (external, same for every entity)</t>
        </is>
      </c>
      <c r="GR1" t="inlineStr">
        <is>
          <t>Supply lanes with a disruption flag (count)</t>
        </is>
      </c>
    </row>
    <row r="2">
      <c r="A2" t="inlineStr">
        <is>
          <t>group</t>
        </is>
      </c>
      <c r="B2" t="inlineStr">
        <is>
          <t>period</t>
        </is>
      </c>
      <c r="C2" t="inlineStr">
        <is>
          <t>days</t>
        </is>
      </c>
      <c r="D2" t="inlineStr">
        <is>
          <t>ytd_months</t>
        </is>
      </c>
      <c r="E2" t="inlineStr">
        <is>
          <t>calendar_hours</t>
        </is>
      </c>
      <c r="F2" t="inlineStr">
        <is>
          <t>planned_op_hours</t>
        </is>
      </c>
      <c r="G2" t="inlineStr">
        <is>
          <t>run_hours</t>
        </is>
      </c>
      <c r="H2" t="inlineStr">
        <is>
          <t>unplanned_downtime_hours</t>
        </is>
      </c>
      <c r="I2" t="inlineStr">
        <is>
          <t>ideal_output_t</t>
        </is>
      </c>
      <c r="J2" t="inlineStr">
        <is>
          <t>installed_capacity_t</t>
        </is>
      </c>
      <c r="K2" t="inlineStr">
        <is>
          <t>planned_production_t</t>
        </is>
      </c>
      <c r="L2" t="inlineStr">
        <is>
          <t>gross_output_t</t>
        </is>
      </c>
      <c r="M2" t="inlineStr">
        <is>
          <t>good_output_t</t>
        </is>
      </c>
      <c r="N2" t="inlineStr">
        <is>
          <t>feed_input_t</t>
        </is>
      </c>
      <c r="O2" t="inlineStr">
        <is>
          <t>feed_contained_t</t>
        </is>
      </c>
      <c r="P2" t="inlineStr">
        <is>
          <t>recovered_contained_t</t>
        </is>
      </c>
      <c r="Q2" t="inlineStr">
        <is>
          <t>prod_loss_downtime_t</t>
        </is>
      </c>
      <c r="R2" t="inlineStr">
        <is>
          <t>failures</t>
        </is>
      </c>
      <c r="S2" t="inlineStr">
        <is>
          <t>repair_hours</t>
        </is>
      </c>
      <c r="T2" t="inlineStr">
        <is>
          <t>pm_scheduled</t>
        </is>
      </c>
      <c r="U2" t="inlineStr">
        <is>
          <t>pm_completed</t>
        </is>
      </c>
      <c r="V2" t="inlineStr">
        <is>
          <t>variable_cost_k</t>
        </is>
      </c>
      <c r="W2" t="inlineStr">
        <is>
          <t>fuel_cost_k</t>
        </is>
      </c>
      <c r="X2" t="inlineStr">
        <is>
          <t>fixed_cost_k</t>
        </is>
      </c>
      <c r="Y2" t="inlineStr">
        <is>
          <t>water_m3</t>
        </is>
      </c>
      <c r="Z2" t="inlineStr">
        <is>
          <t>emissions_tco2e</t>
        </is>
      </c>
      <c r="AA2" t="inlineStr">
        <is>
          <t>energy_gj</t>
        </is>
      </c>
      <c r="AB2" t="inlineStr">
        <is>
          <t>production_at_risk_t</t>
        </is>
      </c>
      <c r="AC2" t="inlineStr">
        <is>
          <t>critical_plant_alerts</t>
        </is>
      </c>
      <c r="AD2" t="inlineStr">
        <is>
          <t>hours_worked</t>
        </is>
      </c>
      <c r="AE2" t="inlineStr">
        <is>
          <t>recordable_injuries</t>
        </is>
      </c>
      <c r="AF2" t="inlineStr">
        <is>
          <t>severity_incidents</t>
        </is>
      </c>
      <c r="AG2" t="inlineStr">
        <is>
          <t>near_misses</t>
        </is>
      </c>
      <c r="AH2" t="inlineStr">
        <is>
          <t>critical_safety_incidents</t>
        </is>
      </c>
      <c r="AI2" t="inlineStr">
        <is>
          <t>env_excursions</t>
        </is>
      </c>
      <c r="AJ2" t="inlineStr">
        <is>
          <t>env_violations</t>
        </is>
      </c>
      <c r="AK2" t="inlineStr">
        <is>
          <t>ehs_ca_open</t>
        </is>
      </c>
      <c r="AL2" t="inlineStr">
        <is>
          <t>ehs_ca_overdue</t>
        </is>
      </c>
      <c r="AM2" t="inlineStr">
        <is>
          <t>investigations_due</t>
        </is>
      </c>
      <c r="AN2" t="inlineStr">
        <is>
          <t>investigations_completed</t>
        </is>
      </c>
      <c r="AO2" t="inlineStr">
        <is>
          <t>critical_material_risks</t>
        </is>
      </c>
      <c r="AP2" t="inlineStr">
        <is>
          <t>dispatches_total</t>
        </is>
      </c>
      <c r="AQ2" t="inlineStr">
        <is>
          <t>dispatches_delayed</t>
        </is>
      </c>
      <c r="AR2" t="inlineStr">
        <is>
          <t>permit_days_to_expiry</t>
        </is>
      </c>
      <c r="AS2" t="inlineStr">
        <is>
          <t>sales_t</t>
        </is>
      </c>
      <c r="AT2" t="inlineStr">
        <is>
          <t>planned_sales_t</t>
        </is>
      </c>
      <c r="AU2" t="inlineStr">
        <is>
          <t>revenue_k</t>
        </is>
      </c>
      <c r="AV2" t="inlineStr">
        <is>
          <t>planned_revenue_k</t>
        </is>
      </c>
      <c r="AW2" t="inlineStr">
        <is>
          <t>power_cost_k</t>
        </is>
      </c>
      <c r="AX2" t="inlineStr">
        <is>
          <t>depreciation_k</t>
        </is>
      </c>
      <c r="AY2" t="inlineStr">
        <is>
          <t>po_lines_due</t>
        </is>
      </c>
      <c r="AZ2" t="inlineStr">
        <is>
          <t>po_lines_on_time</t>
        </is>
      </c>
      <c r="BA2" t="inlineStr">
        <is>
          <t>qty_ordered_t</t>
        </is>
      </c>
      <c r="BB2" t="inlineStr">
        <is>
          <t>qty_received_t</t>
        </is>
      </c>
      <c r="BC2" t="inlineStr">
        <is>
          <t>qty_rejected_t</t>
        </is>
      </c>
      <c r="BD2" t="inlineStr">
        <is>
          <t>lead_time_planned_days</t>
        </is>
      </c>
      <c r="BE2" t="inlineStr">
        <is>
          <t>lead_time_actual_days</t>
        </is>
      </c>
      <c r="BF2" t="inlineStr">
        <is>
          <t>supplier_spend_k</t>
        </is>
      </c>
      <c r="BG2" t="inlineStr">
        <is>
          <t>single_source_spend_k</t>
        </is>
      </c>
      <c r="BH2" t="inlineStr">
        <is>
          <t>supplier_ehs_incidents</t>
        </is>
      </c>
      <c r="BI2" t="inlineStr">
        <is>
          <t>pending_filings</t>
        </is>
      </c>
      <c r="BJ2" t="inlineStr">
        <is>
          <t>reg_deadlines_30d</t>
        </is>
      </c>
      <c r="BK2" t="inlineStr">
        <is>
          <t>licences_expiring_12m</t>
        </is>
      </c>
      <c r="BL2" t="inlineStr">
        <is>
          <t>reg_obligations_due_30d</t>
        </is>
      </c>
      <c r="BM2" t="inlineStr">
        <is>
          <t>reg_obligations_overdue</t>
        </is>
      </c>
      <c r="BN2" t="inlineStr">
        <is>
          <t>reg_actions_open</t>
        </is>
      </c>
      <c r="BO2" t="inlineStr">
        <is>
          <t>compliance_actions_overdue</t>
        </is>
      </c>
      <c r="BP2" t="inlineStr">
        <is>
          <t>reg_breaches</t>
        </is>
      </c>
      <c r="BQ2" t="inlineStr">
        <is>
          <t>disclosure_events_open</t>
        </is>
      </c>
      <c r="BR2" t="inlineStr">
        <is>
          <t>ehs_escalation_clocks</t>
        </is>
      </c>
      <c r="BS2" t="inlineStr">
        <is>
          <t>days_to_breach</t>
        </is>
      </c>
      <c r="BT2" t="inlineStr">
        <is>
          <t>planned_production_next_t</t>
        </is>
      </c>
      <c r="BU2" t="inlineStr">
        <is>
          <t>forecast_good_next_t</t>
        </is>
      </c>
      <c r="BV2" t="inlineStr">
        <is>
          <t>forecast_good_var_next</t>
        </is>
      </c>
      <c r="BW2" t="inlineStr">
        <is>
          <t>ideal_output_next_t</t>
        </is>
      </c>
      <c r="BX2" t="inlineStr">
        <is>
          <t>forecast_downtime_loss_next_t</t>
        </is>
      </c>
      <c r="BY2" t="inlineStr">
        <is>
          <t>overhead_k</t>
        </is>
      </c>
      <c r="BZ2" t="inlineStr">
        <is>
          <t>tax_paid_k</t>
        </is>
      </c>
      <c r="CA2" t="inlineStr">
        <is>
          <t>capital_employed_k</t>
        </is>
      </c>
      <c r="CB2" t="inlineStr">
        <is>
          <t>gross_debt_k</t>
        </is>
      </c>
      <c r="CC2" t="inlineStr">
        <is>
          <t>cash_k</t>
        </is>
      </c>
      <c r="CD2" t="inlineStr">
        <is>
          <t>undrawn_facilities_k</t>
        </is>
      </c>
      <c r="CE2" t="inlineStr">
        <is>
          <t>debt_service_k</t>
        </is>
      </c>
      <c r="CF2" t="inlineStr">
        <is>
          <t>debt_maturing_12m_k</t>
        </is>
      </c>
      <c r="CG2" t="inlineStr">
        <is>
          <t>floating_rate_debt_k</t>
        </is>
      </c>
      <c r="CH2" t="inlineStr">
        <is>
          <t>board_ebitda_k</t>
        </is>
      </c>
      <c r="CI2" t="inlineStr">
        <is>
          <t>flash_revenue_k</t>
        </is>
      </c>
      <c r="CJ2" t="inlineStr">
        <is>
          <t>receivables_k</t>
        </is>
      </c>
      <c r="CK2" t="inlineStr">
        <is>
          <t>payables_k</t>
        </is>
      </c>
      <c r="CL2" t="inlineStr">
        <is>
          <t>inventory_k</t>
        </is>
      </c>
      <c r="CM2" t="inlineStr">
        <is>
          <t>collections_k</t>
        </is>
      </c>
      <c r="CN2" t="inlineStr">
        <is>
          <t>cash_released_k</t>
        </is>
      </c>
      <c r="CO2" t="inlineStr">
        <is>
          <t>upstream_due_k</t>
        </is>
      </c>
      <c r="CP2" t="inlineStr">
        <is>
          <t>upstream_covered_k</t>
        </is>
      </c>
      <c r="CQ2" t="inlineStr">
        <is>
          <t>invoices_collected</t>
        </is>
      </c>
      <c r="CR2" t="inlineStr">
        <is>
          <t>collection_days</t>
        </is>
      </c>
      <c r="CS2" t="inlineStr">
        <is>
          <t>terms_days</t>
        </is>
      </c>
      <c r="CT2" t="inlineStr">
        <is>
          <t>customers_overdue</t>
        </is>
      </c>
      <c r="CU2" t="inlineStr">
        <is>
          <t>forecast_ebitda_rest_k</t>
        </is>
      </c>
      <c r="CV2" t="inlineStr">
        <is>
          <t>planned_ebitda_rest_k</t>
        </is>
      </c>
      <c r="CW2" t="inlineStr">
        <is>
          <t>forecast_net_cash_flow_90d_k</t>
        </is>
      </c>
      <c r="CX2" t="inlineStr">
        <is>
          <t>forecast_net_debt_k</t>
        </is>
      </c>
      <c r="CY2" t="inlineStr">
        <is>
          <t>forecast_ebitda_ltm_k</t>
        </is>
      </c>
      <c r="CZ2" t="inlineStr">
        <is>
          <t>fx_exposure_k</t>
        </is>
      </c>
      <c r="DA2" t="inlineStr">
        <is>
          <t>fx_hedged_k</t>
        </is>
      </c>
      <c r="DB2" t="inlineStr">
        <is>
          <t>usd_exposure_k</t>
        </is>
      </c>
      <c r="DC2" t="inlineStr">
        <is>
          <t>usd_hedged_k</t>
        </is>
      </c>
      <c r="DD2" t="inlineStr">
        <is>
          <t>hedge_value_change_k</t>
        </is>
      </c>
      <c r="DE2" t="inlineStr">
        <is>
          <t>hedged_item_value_change_k</t>
        </is>
      </c>
      <c r="DF2" t="inlineStr">
        <is>
          <t>fx_flows_6m_k</t>
        </is>
      </c>
      <c r="DG2" t="inlineStr">
        <is>
          <t>fx_hedged_6m_k</t>
        </is>
      </c>
      <c r="DH2" t="inlineStr">
        <is>
          <t>capex_budget_k</t>
        </is>
      </c>
      <c r="DI2" t="inlineStr">
        <is>
          <t>capex_committed_k</t>
        </is>
      </c>
      <c r="DJ2" t="inlineStr">
        <is>
          <t>capex_spend_k</t>
        </is>
      </c>
      <c r="DK2" t="inlineStr">
        <is>
          <t>capex_earned_value_k</t>
        </is>
      </c>
      <c r="DL2" t="inlineStr">
        <is>
          <t>capex_at_risk_k</t>
        </is>
      </c>
      <c r="DM2" t="inlineStr">
        <is>
          <t>projects_on_track</t>
        </is>
      </c>
      <c r="DN2" t="inlineStr">
        <is>
          <t>projects_at_risk</t>
        </is>
      </c>
      <c r="DO2" t="inlineStr">
        <is>
          <t>projects_off_track</t>
        </is>
      </c>
      <c r="DP2" t="inlineStr">
        <is>
          <t>projects_delayed</t>
        </is>
      </c>
      <c r="DQ2" t="inlineStr">
        <is>
          <t>contractor_milestones_due</t>
        </is>
      </c>
      <c r="DR2" t="inlineStr">
        <is>
          <t>contractor_days_late</t>
        </is>
      </c>
      <c r="DS2" t="inlineStr">
        <is>
          <t>initiatives_on_track</t>
        </is>
      </c>
      <c r="DT2" t="inlineStr">
        <is>
          <t>initiatives_at_risk</t>
        </is>
      </c>
      <c r="DU2" t="inlineStr">
        <is>
          <t>initiatives_delayed</t>
        </is>
      </c>
      <c r="DV2" t="inlineStr">
        <is>
          <t>milestones_total</t>
        </is>
      </c>
      <c r="DW2" t="inlineStr">
        <is>
          <t>milestones_done</t>
        </is>
      </c>
      <c r="DX2" t="inlineStr">
        <is>
          <t>benefits_planned_k</t>
        </is>
      </c>
      <c r="DY2" t="inlineStr">
        <is>
          <t>benefits_delivered_k</t>
        </is>
      </c>
      <c r="DZ2" t="inlineStr">
        <is>
          <t>ebitda_benefit_k</t>
        </is>
      </c>
      <c r="EA2" t="inlineStr">
        <is>
          <t>cash_benefit_k</t>
        </is>
      </c>
      <c r="EB2" t="inlineStr">
        <is>
          <t>cost_savings_k</t>
        </is>
      </c>
      <c r="EC2" t="inlineStr">
        <is>
          <t>contracts_total</t>
        </is>
      </c>
      <c r="ED2" t="inlineStr">
        <is>
          <t>contracts_compliant</t>
        </is>
      </c>
      <c r="EE2" t="inlineStr">
        <is>
          <t>contracts_expiring_90d</t>
        </is>
      </c>
      <c r="EF2" t="inlineStr">
        <is>
          <t>supplier_ehs_noncompliance</t>
        </is>
      </c>
      <c r="EG2" t="inlineStr">
        <is>
          <t>single_source_suppliers</t>
        </is>
      </c>
      <c r="EH2" t="inlineStr">
        <is>
          <t>control_failures</t>
        </is>
      </c>
      <c r="EI2" t="inlineStr">
        <is>
          <t>control_failures_high</t>
        </is>
      </c>
      <c r="EJ2" t="inlineStr">
        <is>
          <t>assurance_reviews_planned</t>
        </is>
      </c>
      <c r="EK2" t="inlineStr">
        <is>
          <t>assurance_reviews_done</t>
        </is>
      </c>
      <c r="EL2" t="inlineStr">
        <is>
          <t>policy_exceptions</t>
        </is>
      </c>
      <c r="EM2" t="inlineStr">
        <is>
          <t>unauthorized_vendor_uses</t>
        </is>
      </c>
      <c r="EN2" t="inlineStr">
        <is>
          <t>sod_exceptions</t>
        </is>
      </c>
      <c r="EO2" t="inlineStr">
        <is>
          <t>unauthorized_access_events</t>
        </is>
      </c>
      <c r="EP2" t="inlineStr">
        <is>
          <t>data_sharing_exceptions</t>
        </is>
      </c>
      <c r="EQ2" t="inlineStr">
        <is>
          <t>manual_overrides</t>
        </is>
      </c>
      <c r="ER2" t="inlineStr">
        <is>
          <t>cert_approvals_ageing</t>
        </is>
      </c>
      <c r="ES2" t="inlineStr">
        <is>
          <t>kpi_overrides</t>
        </is>
      </c>
      <c r="ET2" t="inlineStr">
        <is>
          <t>dq_issues_recurring</t>
        </is>
      </c>
      <c r="EU2" t="inlineStr">
        <is>
          <t>audit_findings_open</t>
        </is>
      </c>
      <c r="EV2" t="inlineStr">
        <is>
          <t>assurance_actions_overdue</t>
        </is>
      </c>
      <c r="EW2" t="inlineStr">
        <is>
          <t>repeat_findings</t>
        </is>
      </c>
      <c r="EX2" t="inlineStr">
        <is>
          <t>leadership_kpis_affected</t>
        </is>
      </c>
      <c r="EY2" t="inlineStr">
        <is>
          <t>evidence_required</t>
        </is>
      </c>
      <c r="EZ2" t="inlineStr">
        <is>
          <t>evidence_complete</t>
        </is>
      </c>
      <c r="FA2" t="inlineStr">
        <is>
          <t>findings_closed</t>
        </is>
      </c>
      <c r="FB2" t="inlineStr">
        <is>
          <t>finding_closure_days</t>
        </is>
      </c>
      <c r="FC2" t="inlineStr">
        <is>
          <t>kpis_leadership</t>
        </is>
      </c>
      <c r="FD2" t="inlineStr">
        <is>
          <t>kpis_certified</t>
        </is>
      </c>
      <c r="FE2" t="inlineStr">
        <is>
          <t>kpis_in_scope</t>
        </is>
      </c>
      <c r="FF2" t="inlineStr">
        <is>
          <t>certifications_overdue</t>
        </is>
      </c>
      <c r="FG2" t="inlineStr">
        <is>
          <t>recon_breaks_open</t>
        </is>
      </c>
      <c r="FH2" t="inlineStr">
        <is>
          <t>recon_breaks_material</t>
        </is>
      </c>
      <c r="FI2" t="inlineStr">
        <is>
          <t>lake_records_loaded</t>
        </is>
      </c>
      <c r="FJ2" t="inlineStr">
        <is>
          <t>lake_records_reconciled</t>
        </is>
      </c>
      <c r="FK2" t="inlineStr">
        <is>
          <t>mis_lines_total</t>
        </is>
      </c>
      <c r="FL2" t="inlineStr">
        <is>
          <t>mis_lines_matched</t>
        </is>
      </c>
      <c r="FM2" t="inlineStr">
        <is>
          <t>critical_alerts_open</t>
        </is>
      </c>
      <c r="FN2" t="inlineStr">
        <is>
          <t>alerts_unowned</t>
        </is>
      </c>
      <c r="FO2" t="inlineStr">
        <is>
          <t>actions_overdue</t>
        </is>
      </c>
      <c r="FP2" t="inlineStr">
        <is>
          <t>alerts_resolved</t>
        </is>
      </c>
      <c r="FQ2" t="inlineStr">
        <is>
          <t>alert_resolution_days</t>
        </is>
      </c>
      <c r="FR2" t="inlineStr">
        <is>
          <t>escalations_closed</t>
        </is>
      </c>
      <c r="FS2" t="inlineStr">
        <is>
          <t>repeat_issues</t>
        </is>
      </c>
      <c r="FT2" t="inlineStr">
        <is>
          <t>root_causes_identified</t>
        </is>
      </c>
      <c r="FU2" t="inlineStr">
        <is>
          <t>root_causes_eliminated</t>
        </is>
      </c>
      <c r="FV2" t="inlineStr">
        <is>
          <t>ebitda_k</t>
        </is>
      </c>
      <c r="FW2" t="inlineStr">
        <is>
          <t>ebit_k</t>
        </is>
      </c>
      <c r="FX2" t="inlineStr">
        <is>
          <t>nwc_k</t>
        </is>
      </c>
      <c r="FY2" t="inlineStr">
        <is>
          <t>nwc_change_k</t>
        </is>
      </c>
      <c r="FZ2" t="inlineStr">
        <is>
          <t>op_cash_flow_k</t>
        </is>
      </c>
      <c r="GA2" t="inlineStr">
        <is>
          <t>fcf_k</t>
        </is>
      </c>
      <c r="GB2" t="inlineStr">
        <is>
          <t>net_debt_k</t>
        </is>
      </c>
      <c r="GC2" t="inlineStr">
        <is>
          <t>ebitda_annualised_k</t>
        </is>
      </c>
      <c r="GD2" t="inlineStr">
        <is>
          <t>dso_d</t>
        </is>
      </c>
      <c r="GE2" t="inlineStr">
        <is>
          <t>dpo_d</t>
        </is>
      </c>
      <c r="GF2" t="inlineStr">
        <is>
          <t>dio_d</t>
        </is>
      </c>
      <c r="GG2" t="inlineStr">
        <is>
          <t>price_vs_plan_pct</t>
        </is>
      </c>
      <c r="GH2" t="inlineStr">
        <is>
          <t>fte</t>
        </is>
      </c>
      <c r="GI2" t="inlineStr">
        <is>
          <t>fcf_plan_fy_k</t>
        </is>
      </c>
      <c r="GJ2" t="inlineStr">
        <is>
          <t>forecast_fcf_rest_k</t>
        </is>
      </c>
      <c r="GK2" t="inlineStr">
        <is>
          <t>ebit_fcst_rest_k</t>
        </is>
      </c>
      <c r="GL2" t="inlineStr">
        <is>
          <t>capital_employed_p12_k</t>
        </is>
      </c>
      <c r="GM2" t="inlineStr">
        <is>
          <t>ebitda_plan_fy_k</t>
        </is>
      </c>
      <c r="GN2" t="inlineStr">
        <is>
          <t>ebitda_fy_sigma_k</t>
        </is>
      </c>
      <c r="GO2" t="inlineStr">
        <is>
          <t>disclosure_deadline_h</t>
        </is>
      </c>
      <c r="GP2" t="inlineStr">
        <is>
          <t>single_source_elevated</t>
        </is>
      </c>
      <c r="GQ2" t="inlineStr">
        <is>
          <t>rm1_price_index</t>
        </is>
      </c>
      <c r="GR2" t="inlineStr">
        <is>
          <t>freight_lanes_disrupted</t>
        </is>
      </c>
    </row>
    <row r="3">
      <c r="A3" t="inlineStr">
        <is>
          <t>Same layout as Group Inputs; inputs link to Plant Inputs (Plant 05). Entity-only inputs are blank, so KPIs that need them are not calculated at plant level.</t>
        </is>
      </c>
      <c r="E3" t="inlineStr">
        <is>
          <t>Sum of Entity A1 and Entity A2 (Entity Inputs sheet)</t>
        </is>
      </c>
      <c r="F3" t="inlineStr">
        <is>
          <t>Sum of Entity A1 and Entity A2 (Entity Inputs sheet)</t>
        </is>
      </c>
      <c r="G3" t="inlineStr">
        <is>
          <t>Sum of Entity A1 and Entity A2 (Entity Inputs sheet)</t>
        </is>
      </c>
      <c r="H3" t="inlineStr">
        <is>
          <t>Sum of Entity A1 and Entity A2 (Entity Inputs sheet)</t>
        </is>
      </c>
      <c r="I3" t="inlineStr">
        <is>
          <t>Sum of Entity A1 and Entity A2 (Entity Inputs sheet)</t>
        </is>
      </c>
      <c r="J3" t="inlineStr">
        <is>
          <t>Sum of Entity A1 and Entity A2 (Entity Inputs sheet)</t>
        </is>
      </c>
      <c r="K3" t="inlineStr">
        <is>
          <t>Sum of Entity A1 and Entity A2 (Entity Inputs sheet)</t>
        </is>
      </c>
      <c r="L3" t="inlineStr">
        <is>
          <t>Sum of Entity A1 and Entity A2 (Entity Inputs sheet)</t>
        </is>
      </c>
      <c r="M3" t="inlineStr">
        <is>
          <t>Sum of Entity A1 and Entity A2 (Entity Inputs sheet)</t>
        </is>
      </c>
      <c r="N3" t="inlineStr">
        <is>
          <t>Sum of Entity A1 and Entity A2 (Entity Inputs sheet)</t>
        </is>
      </c>
      <c r="O3" t="inlineStr">
        <is>
          <t>Sum of Entity A1 and Entity A2 (Entity Inputs sheet)</t>
        </is>
      </c>
      <c r="P3" t="inlineStr">
        <is>
          <t>Sum of Entity A1 and Entity A2 (Entity Inputs sheet)</t>
        </is>
      </c>
      <c r="Q3" t="inlineStr">
        <is>
          <t>Sum of Entity A1 and Entity A2 (Entity Inputs sheet)</t>
        </is>
      </c>
      <c r="R3" t="inlineStr">
        <is>
          <t>Sum of Entity A1 and Entity A2 (Entity Inputs sheet)</t>
        </is>
      </c>
      <c r="S3" t="inlineStr">
        <is>
          <t>Sum of Entity A1 and Entity A2 (Entity Inputs sheet)</t>
        </is>
      </c>
      <c r="T3" t="inlineStr">
        <is>
          <t>Sum of Entity A1 and Entity A2 (Entity Inputs sheet)</t>
        </is>
      </c>
      <c r="U3" t="inlineStr">
        <is>
          <t>Sum of Entity A1 and Entity A2 (Entity Inputs sheet)</t>
        </is>
      </c>
      <c r="V3" t="inlineStr">
        <is>
          <t>Sum of Entity A1 and Entity A2 (Entity Inputs sheet)</t>
        </is>
      </c>
      <c r="W3" t="inlineStr">
        <is>
          <t>Sum of Entity A1 and Entity A2 (Entity Inputs sheet)</t>
        </is>
      </c>
      <c r="X3" t="inlineStr">
        <is>
          <t>Sum of Entity A1 and Entity A2 (Entity Inputs sheet)</t>
        </is>
      </c>
      <c r="Y3" t="inlineStr">
        <is>
          <t>Sum of Entity A1 and Entity A2 (Entity Inputs sheet)</t>
        </is>
      </c>
      <c r="Z3" t="inlineStr">
        <is>
          <t>Sum of Entity A1 and Entity A2 (Entity Inputs sheet)</t>
        </is>
      </c>
      <c r="AA3" t="inlineStr">
        <is>
          <t>Sum of Entity A1 and Entity A2 (Entity Inputs sheet)</t>
        </is>
      </c>
      <c r="AB3" t="inlineStr">
        <is>
          <t>Sum of Entity A1 and Entity A2 (Entity Inputs sheet)</t>
        </is>
      </c>
      <c r="AC3" t="inlineStr">
        <is>
          <t>Sum of Entity A1 and Entity A2 (Entity Inputs sheet)</t>
        </is>
      </c>
      <c r="AD3" t="inlineStr">
        <is>
          <t>Sum of Entity A1 and Entity A2 (Entity Inputs sheet)</t>
        </is>
      </c>
      <c r="AE3" t="inlineStr">
        <is>
          <t>Sum of Entity A1 and Entity A2 (Entity Inputs sheet)</t>
        </is>
      </c>
      <c r="AF3" t="inlineStr">
        <is>
          <t>Sum of Entity A1 and Entity A2 (Entity Inputs sheet)</t>
        </is>
      </c>
      <c r="AG3" t="inlineStr">
        <is>
          <t>Sum of Entity A1 and Entity A2 (Entity Inputs sheet)</t>
        </is>
      </c>
      <c r="AH3" t="inlineStr">
        <is>
          <t>Sum of Entity A1 and Entity A2 (Entity Inputs sheet)</t>
        </is>
      </c>
      <c r="AI3" t="inlineStr">
        <is>
          <t>Sum of Entity A1 and Entity A2 (Entity Inputs sheet)</t>
        </is>
      </c>
      <c r="AJ3" t="inlineStr">
        <is>
          <t>Sum of Entity A1 and Entity A2 (Entity Inputs sheet)</t>
        </is>
      </c>
      <c r="AK3" t="inlineStr">
        <is>
          <t>Sum of Entity A1 and Entity A2 (Entity Inputs sheet)</t>
        </is>
      </c>
      <c r="AL3" t="inlineStr">
        <is>
          <t>Sum of Entity A1 and Entity A2 (Entity Inputs sheet)</t>
        </is>
      </c>
      <c r="AM3" t="inlineStr">
        <is>
          <t>Sum of Entity A1 and Entity A2 (Entity Inputs sheet)</t>
        </is>
      </c>
      <c r="AN3" t="inlineStr">
        <is>
          <t>Sum of Entity A1 and Entity A2 (Entity Inputs sheet)</t>
        </is>
      </c>
      <c r="AO3" t="inlineStr">
        <is>
          <t>Sum of Entity A1 and Entity A2 (Entity Inputs sheet)</t>
        </is>
      </c>
      <c r="AP3" t="inlineStr">
        <is>
          <t>Sum of Entity A1 and Entity A2 (Entity Inputs sheet)</t>
        </is>
      </c>
      <c r="AQ3" t="inlineStr">
        <is>
          <t>Sum of Entity A1 and Entity A2 (Entity Inputs sheet)</t>
        </is>
      </c>
      <c r="AR3" t="inlineStr">
        <is>
          <t>Lowest of Entity A1 and Entity A2 (Entity Inputs sheet)</t>
        </is>
      </c>
      <c r="AS3" t="inlineStr">
        <is>
          <t>Sum of Entity A1 and Entity A2 (Entity Inputs sheet)</t>
        </is>
      </c>
      <c r="AT3" t="inlineStr">
        <is>
          <t>Sum of Entity A1 and Entity A2 (Entity Inputs sheet)</t>
        </is>
      </c>
      <c r="AU3" t="inlineStr">
        <is>
          <t>Sum of Entity A1 and Entity A2 (Entity Inputs sheet)</t>
        </is>
      </c>
      <c r="AV3" t="inlineStr">
        <is>
          <t>Sum of Entity A1 and Entity A2 (Entity Inputs sheet)</t>
        </is>
      </c>
      <c r="AW3" t="inlineStr">
        <is>
          <t>Sum of Entity A1 and Entity A2 (Entity Inputs sheet)</t>
        </is>
      </c>
      <c r="AX3" t="inlineStr">
        <is>
          <t>Sum of Entity A1 and Entity A2 (Entity Inputs sheet)</t>
        </is>
      </c>
      <c r="AY3" t="inlineStr">
        <is>
          <t>Sum of Entity A1 and Entity A2 (Entity Inputs sheet)</t>
        </is>
      </c>
      <c r="AZ3" t="inlineStr">
        <is>
          <t>Sum of Entity A1 and Entity A2 (Entity Inputs sheet)</t>
        </is>
      </c>
      <c r="BA3" t="inlineStr">
        <is>
          <t>Sum of Entity A1 and Entity A2 (Entity Inputs sheet)</t>
        </is>
      </c>
      <c r="BB3" t="inlineStr">
        <is>
          <t>Sum of Entity A1 and Entity A2 (Entity Inputs sheet)</t>
        </is>
      </c>
      <c r="BC3" t="inlineStr">
        <is>
          <t>Sum of Entity A1 and Entity A2 (Entity Inputs sheet)</t>
        </is>
      </c>
      <c r="BD3" t="inlineStr">
        <is>
          <t>Sum of Entity A1 and Entity A2 (Entity Inputs sheet)</t>
        </is>
      </c>
      <c r="BE3" t="inlineStr">
        <is>
          <t>Sum of Entity A1 and Entity A2 (Entity Inputs sheet)</t>
        </is>
      </c>
      <c r="BF3" t="inlineStr">
        <is>
          <t>Sum of Entity A1 and Entity A2 (Entity Inputs sheet)</t>
        </is>
      </c>
      <c r="BG3" t="inlineStr">
        <is>
          <t>Sum of Entity A1 and Entity A2 (Entity Inputs sheet)</t>
        </is>
      </c>
      <c r="BH3" t="inlineStr">
        <is>
          <t>Sum of Entity A1 and Entity A2 (Entity Inputs sheet)</t>
        </is>
      </c>
      <c r="BI3" t="inlineStr">
        <is>
          <t>Sum of Entity A1 and Entity A2 (Entity Inputs sheet)</t>
        </is>
      </c>
      <c r="BJ3" t="inlineStr">
        <is>
          <t>Sum of Entity A1 and Entity A2 (Entity Inputs sheet)</t>
        </is>
      </c>
      <c r="BK3" t="inlineStr">
        <is>
          <t>Sum of Entity A1 and Entity A2 (Entity Inputs sheet)</t>
        </is>
      </c>
      <c r="BL3" t="inlineStr">
        <is>
          <t>Sum of Entity A1 and Entity A2 (Entity Inputs sheet)</t>
        </is>
      </c>
      <c r="BM3" t="inlineStr">
        <is>
          <t>Sum of Entity A1 and Entity A2 (Entity Inputs sheet)</t>
        </is>
      </c>
      <c r="BN3" t="inlineStr">
        <is>
          <t>Sum of Entity A1 and Entity A2 (Entity Inputs sheet)</t>
        </is>
      </c>
      <c r="BO3" t="inlineStr">
        <is>
          <t>Sum of Entity A1 and Entity A2 (Entity Inputs sheet)</t>
        </is>
      </c>
      <c r="BP3" t="inlineStr">
        <is>
          <t>Sum of Entity A1 and Entity A2 (Entity Inputs sheet)</t>
        </is>
      </c>
      <c r="BQ3" t="inlineStr">
        <is>
          <t>Sum of Entity A1 and Entity A2 (Entity Inputs sheet)</t>
        </is>
      </c>
      <c r="BR3" t="inlineStr">
        <is>
          <t>Sum of Entity A1 and Entity A2 (Entity Inputs sheet)</t>
        </is>
      </c>
      <c r="BS3" t="inlineStr">
        <is>
          <t>Lowest of Entity A1 and Entity A2 (Entity Inputs sheet)</t>
        </is>
      </c>
      <c r="BT3" t="inlineStr">
        <is>
          <t>Sum of Entity A1 and Entity A2 (Entity Inputs sheet)</t>
        </is>
      </c>
      <c r="BU3" t="inlineStr">
        <is>
          <t>Sum of Entity A1 and Entity A2 (Entity Inputs sheet)</t>
        </is>
      </c>
      <c r="BV3" t="inlineStr">
        <is>
          <t>Sum of Entity A1 and Entity A2 (Entity Inputs sheet)</t>
        </is>
      </c>
      <c r="BW3" t="inlineStr">
        <is>
          <t>Sum of Entity A1 and Entity A2 (Entity Inputs sheet)</t>
        </is>
      </c>
      <c r="BX3" t="inlineStr">
        <is>
          <t>Sum of Entity A1 and Entity A2 (Entity Inputs sheet)</t>
        </is>
      </c>
      <c r="BY3" t="inlineStr">
        <is>
          <t>Sum of Entity A1 and Entity A2 (Entity Inputs sheet)</t>
        </is>
      </c>
      <c r="BZ3" t="inlineStr">
        <is>
          <t>Sum of Entity A1 and Entity A2 (Entity Inputs sheet)</t>
        </is>
      </c>
      <c r="CA3" t="inlineStr">
        <is>
          <t>Sum of Entity A1 and Entity A2 (Entity Inputs sheet)</t>
        </is>
      </c>
      <c r="CB3" t="inlineStr">
        <is>
          <t>Sum of Entity A1 and Entity A2 (Entity Inputs sheet)</t>
        </is>
      </c>
      <c r="CC3" t="inlineStr">
        <is>
          <t>Sum of Entity A1 and Entity A2 (Entity Inputs sheet)</t>
        </is>
      </c>
      <c r="CD3" t="inlineStr">
        <is>
          <t>Sum of Entity A1 and Entity A2 (Entity Inputs sheet)</t>
        </is>
      </c>
      <c r="CE3" t="inlineStr">
        <is>
          <t>Sum of Entity A1 and Entity A2 (Entity Inputs sheet)</t>
        </is>
      </c>
      <c r="CF3" t="inlineStr">
        <is>
          <t>Sum of Entity A1 and Entity A2 (Entity Inputs sheet)</t>
        </is>
      </c>
      <c r="CG3" t="inlineStr">
        <is>
          <t>Sum of Entity A1 and Entity A2 (Entity Inputs sheet)</t>
        </is>
      </c>
      <c r="CH3" t="inlineStr">
        <is>
          <t>Sum of Entity A1 and Entity A2 (Entity Inputs sheet)</t>
        </is>
      </c>
      <c r="CI3" t="inlineStr">
        <is>
          <t>Sum of Entity A1 and Entity A2 (Entity Inputs sheet)</t>
        </is>
      </c>
      <c r="CJ3" t="inlineStr">
        <is>
          <t>Sum of Entity A1 and Entity A2 (Entity Inputs sheet)</t>
        </is>
      </c>
      <c r="CK3" t="inlineStr">
        <is>
          <t>Sum of Entity A1 and Entity A2 (Entity Inputs sheet)</t>
        </is>
      </c>
      <c r="CL3" t="inlineStr">
        <is>
          <t>Sum of Entity A1 and Entity A2 (Entity Inputs sheet)</t>
        </is>
      </c>
      <c r="CM3" t="inlineStr">
        <is>
          <t>Sum of Entity A1 and Entity A2 (Entity Inputs sheet)</t>
        </is>
      </c>
      <c r="CN3" t="inlineStr">
        <is>
          <t>Sum of Entity A1 and Entity A2 (Entity Inputs sheet)</t>
        </is>
      </c>
      <c r="CO3" t="inlineStr">
        <is>
          <t>Sum of Entity A1 and Entity A2 (Entity Inputs sheet)</t>
        </is>
      </c>
      <c r="CP3" t="inlineStr">
        <is>
          <t>Sum of Entity A1 and Entity A2 (Entity Inputs sheet)</t>
        </is>
      </c>
      <c r="CQ3" t="inlineStr">
        <is>
          <t>Sum of Entity A1 and Entity A2 (Entity Inputs sheet)</t>
        </is>
      </c>
      <c r="CR3" t="inlineStr">
        <is>
          <t>Sum of Entity A1 and Entity A2 (Entity Inputs sheet)</t>
        </is>
      </c>
      <c r="CS3" t="inlineStr">
        <is>
          <t>Sum of Entity A1 and Entity A2 (Entity Inputs sheet)</t>
        </is>
      </c>
      <c r="CT3" t="inlineStr">
        <is>
          <t>Sum of Entity A1 and Entity A2 (Entity Inputs sheet)</t>
        </is>
      </c>
      <c r="CU3" t="inlineStr">
        <is>
          <t>Sum of Entity A1 and Entity A2 (Entity Inputs sheet)</t>
        </is>
      </c>
      <c r="CV3" t="inlineStr">
        <is>
          <t>Sum of Entity A1 and Entity A2 (Entity Inputs sheet)</t>
        </is>
      </c>
      <c r="CW3" t="inlineStr">
        <is>
          <t>Sum of Entity A1 and Entity A2 (Entity Inputs sheet)</t>
        </is>
      </c>
      <c r="CX3" t="inlineStr">
        <is>
          <t>Sum of Entity A1 and Entity A2 (Entity Inputs sheet)</t>
        </is>
      </c>
      <c r="CY3" t="inlineStr">
        <is>
          <t>Sum of Entity A1 and Entity A2 (Entity Inputs sheet)</t>
        </is>
      </c>
      <c r="CZ3" t="inlineStr">
        <is>
          <t>Sum of Entity A1 and Entity A2 (Entity Inputs sheet)</t>
        </is>
      </c>
      <c r="DA3" t="inlineStr">
        <is>
          <t>Sum of Entity A1 and Entity A2 (Entity Inputs sheet)</t>
        </is>
      </c>
      <c r="DB3" t="inlineStr">
        <is>
          <t>Sum of Entity A1 and Entity A2 (Entity Inputs sheet)</t>
        </is>
      </c>
      <c r="DC3" t="inlineStr">
        <is>
          <t>Sum of Entity A1 and Entity A2 (Entity Inputs sheet)</t>
        </is>
      </c>
      <c r="DD3" t="inlineStr">
        <is>
          <t>Sum of Entity A1 and Entity A2 (Entity Inputs sheet)</t>
        </is>
      </c>
      <c r="DE3" t="inlineStr">
        <is>
          <t>Sum of Entity A1 and Entity A2 (Entity Inputs sheet)</t>
        </is>
      </c>
      <c r="DF3" t="inlineStr">
        <is>
          <t>Sum of Entity A1 and Entity A2 (Entity Inputs sheet)</t>
        </is>
      </c>
      <c r="DG3" t="inlineStr">
        <is>
          <t>Sum of Entity A1 and Entity A2 (Entity Inputs sheet)</t>
        </is>
      </c>
      <c r="DH3" t="inlineStr">
        <is>
          <t>Sum of Entity A1 and Entity A2 (Entity Inputs sheet)</t>
        </is>
      </c>
      <c r="DI3" t="inlineStr">
        <is>
          <t>Sum of Entity A1 and Entity A2 (Entity Inputs sheet)</t>
        </is>
      </c>
      <c r="DJ3" t="inlineStr">
        <is>
          <t>Sum of Entity A1 and Entity A2 (Entity Inputs sheet)</t>
        </is>
      </c>
      <c r="DK3" t="inlineStr">
        <is>
          <t>Sum of Entity A1 and Entity A2 (Entity Inputs sheet)</t>
        </is>
      </c>
      <c r="DL3" t="inlineStr">
        <is>
          <t>Sum of Entity A1 and Entity A2 (Entity Inputs sheet)</t>
        </is>
      </c>
      <c r="DM3" t="inlineStr">
        <is>
          <t>Sum of Entity A1 and Entity A2 (Entity Inputs sheet)</t>
        </is>
      </c>
      <c r="DN3" t="inlineStr">
        <is>
          <t>Sum of Entity A1 and Entity A2 (Entity Inputs sheet)</t>
        </is>
      </c>
      <c r="DO3" t="inlineStr">
        <is>
          <t>Sum of Entity A1 and Entity A2 (Entity Inputs sheet)</t>
        </is>
      </c>
      <c r="DP3" t="inlineStr">
        <is>
          <t>Sum of Entity A1 and Entity A2 (Entity Inputs sheet)</t>
        </is>
      </c>
      <c r="DQ3" t="inlineStr">
        <is>
          <t>Sum of Entity A1 and Entity A2 (Entity Inputs sheet)</t>
        </is>
      </c>
      <c r="DR3" t="inlineStr">
        <is>
          <t>Sum of Entity A1 and Entity A2 (Entity Inputs sheet)</t>
        </is>
      </c>
      <c r="DS3" t="inlineStr">
        <is>
          <t>Sum of Entity A1 and Entity A2 (Entity Inputs sheet)</t>
        </is>
      </c>
      <c r="DT3" t="inlineStr">
        <is>
          <t>Sum of Entity A1 and Entity A2 (Entity Inputs sheet)</t>
        </is>
      </c>
      <c r="DU3" t="inlineStr">
        <is>
          <t>Sum of Entity A1 and Entity A2 (Entity Inputs sheet)</t>
        </is>
      </c>
      <c r="DV3" t="inlineStr">
        <is>
          <t>Sum of Entity A1 and Entity A2 (Entity Inputs sheet)</t>
        </is>
      </c>
      <c r="DW3" t="inlineStr">
        <is>
          <t>Sum of Entity A1 and Entity A2 (Entity Inputs sheet)</t>
        </is>
      </c>
      <c r="DX3" t="inlineStr">
        <is>
          <t>Sum of Entity A1 and Entity A2 (Entity Inputs sheet)</t>
        </is>
      </c>
      <c r="DY3" t="inlineStr">
        <is>
          <t>Sum of Entity A1 and Entity A2 (Entity Inputs sheet)</t>
        </is>
      </c>
      <c r="DZ3" t="inlineStr">
        <is>
          <t>Sum of Entity A1 and Entity A2 (Entity Inputs sheet)</t>
        </is>
      </c>
      <c r="EA3" t="inlineStr">
        <is>
          <t>Sum of Entity A1 and Entity A2 (Entity Inputs sheet)</t>
        </is>
      </c>
      <c r="EB3" t="inlineStr">
        <is>
          <t>Sum of Entity A1 and Entity A2 (Entity Inputs sheet)</t>
        </is>
      </c>
      <c r="EC3" t="inlineStr">
        <is>
          <t>Sum of Entity A1 and Entity A2 (Entity Inputs sheet)</t>
        </is>
      </c>
      <c r="ED3" t="inlineStr">
        <is>
          <t>Sum of Entity A1 and Entity A2 (Entity Inputs sheet)</t>
        </is>
      </c>
      <c r="EE3" t="inlineStr">
        <is>
          <t>Sum of Entity A1 and Entity A2 (Entity Inputs sheet)</t>
        </is>
      </c>
      <c r="EF3" t="inlineStr">
        <is>
          <t>Sum of Entity A1 and Entity A2 (Entity Inputs sheet)</t>
        </is>
      </c>
      <c r="EG3" t="inlineStr">
        <is>
          <t>Sum of Entity A1 and Entity A2 (Entity Inputs sheet)</t>
        </is>
      </c>
      <c r="EH3" t="inlineStr">
        <is>
          <t>Sum of Entity A1 and Entity A2 (Entity Inputs sheet)</t>
        </is>
      </c>
      <c r="EI3" t="inlineStr">
        <is>
          <t>Sum of Entity A1 and Entity A2 (Entity Inputs sheet)</t>
        </is>
      </c>
      <c r="EJ3" t="inlineStr">
        <is>
          <t>Sum of Entity A1 and Entity A2 (Entity Inputs sheet)</t>
        </is>
      </c>
      <c r="EK3" t="inlineStr">
        <is>
          <t>Sum of Entity A1 and Entity A2 (Entity Inputs sheet)</t>
        </is>
      </c>
      <c r="EL3" t="inlineStr">
        <is>
          <t>Sum of Entity A1 and Entity A2 (Entity Inputs sheet)</t>
        </is>
      </c>
      <c r="EM3" t="inlineStr">
        <is>
          <t>Sum of Entity A1 and Entity A2 (Entity Inputs sheet)</t>
        </is>
      </c>
      <c r="EN3" t="inlineStr">
        <is>
          <t>Sum of Entity A1 and Entity A2 (Entity Inputs sheet)</t>
        </is>
      </c>
      <c r="EO3" t="inlineStr">
        <is>
          <t>Sum of Entity A1 and Entity A2 (Entity Inputs sheet)</t>
        </is>
      </c>
      <c r="EP3" t="inlineStr">
        <is>
          <t>Sum of Entity A1 and Entity A2 (Entity Inputs sheet)</t>
        </is>
      </c>
      <c r="EQ3" t="inlineStr">
        <is>
          <t>Sum of Entity A1 and Entity A2 (Entity Inputs sheet)</t>
        </is>
      </c>
      <c r="ER3" t="inlineStr">
        <is>
          <t>Sum of Entity A1 and Entity A2 (Entity Inputs sheet)</t>
        </is>
      </c>
      <c r="ES3" t="inlineStr">
        <is>
          <t>Sum of Entity A1 and Entity A2 (Entity Inputs sheet)</t>
        </is>
      </c>
      <c r="ET3" t="inlineStr">
        <is>
          <t>Sum of Entity A1 and Entity A2 (Entity Inputs sheet)</t>
        </is>
      </c>
      <c r="EU3" t="inlineStr">
        <is>
          <t>Sum of Entity A1 and Entity A2 (Entity Inputs sheet)</t>
        </is>
      </c>
      <c r="EV3" t="inlineStr">
        <is>
          <t>Sum of Entity A1 and Entity A2 (Entity Inputs sheet)</t>
        </is>
      </c>
      <c r="EW3" t="inlineStr">
        <is>
          <t>Sum of Entity A1 and Entity A2 (Entity Inputs sheet)</t>
        </is>
      </c>
      <c r="EX3" t="inlineStr">
        <is>
          <t>Sum of Entity A1 and Entity A2 (Entity Inputs sheet)</t>
        </is>
      </c>
      <c r="EY3" t="inlineStr">
        <is>
          <t>Sum of Entity A1 and Entity A2 (Entity Inputs sheet)</t>
        </is>
      </c>
      <c r="EZ3" t="inlineStr">
        <is>
          <t>Sum of Entity A1 and Entity A2 (Entity Inputs sheet)</t>
        </is>
      </c>
      <c r="FA3" t="inlineStr">
        <is>
          <t>Sum of Entity A1 and Entity A2 (Entity Inputs sheet)</t>
        </is>
      </c>
      <c r="FB3" t="inlineStr">
        <is>
          <t>Sum of Entity A1 and Entity A2 (Entity Inputs sheet)</t>
        </is>
      </c>
      <c r="FC3" t="inlineStr">
        <is>
          <t>Sum of Entity A1 and Entity A2 (Entity Inputs sheet)</t>
        </is>
      </c>
      <c r="FD3" t="inlineStr">
        <is>
          <t>Sum of Entity A1 and Entity A2 (Entity Inputs sheet)</t>
        </is>
      </c>
      <c r="FE3" t="inlineStr">
        <is>
          <t>Sum of Entity A1 and Entity A2 (Entity Inputs sheet)</t>
        </is>
      </c>
      <c r="FF3" t="inlineStr">
        <is>
          <t>Sum of Entity A1 and Entity A2 (Entity Inputs sheet)</t>
        </is>
      </c>
      <c r="FG3" t="inlineStr">
        <is>
          <t>Sum of Entity A1 and Entity A2 (Entity Inputs sheet)</t>
        </is>
      </c>
      <c r="FH3" t="inlineStr">
        <is>
          <t>Sum of Entity A1 and Entity A2 (Entity Inputs sheet)</t>
        </is>
      </c>
      <c r="FI3" t="inlineStr">
        <is>
          <t>Sum of Entity A1 and Entity A2 (Entity Inputs sheet)</t>
        </is>
      </c>
      <c r="FJ3" t="inlineStr">
        <is>
          <t>Sum of Entity A1 and Entity A2 (Entity Inputs sheet)</t>
        </is>
      </c>
      <c r="FK3" t="inlineStr">
        <is>
          <t>Sum of Entity A1 and Entity A2 (Entity Inputs sheet)</t>
        </is>
      </c>
      <c r="FL3" t="inlineStr">
        <is>
          <t>Sum of Entity A1 and Entity A2 (Entity Inputs sheet)</t>
        </is>
      </c>
      <c r="FM3" t="inlineStr">
        <is>
          <t>Sum of Entity A1 and Entity A2 (Entity Inputs sheet)</t>
        </is>
      </c>
      <c r="FN3" t="inlineStr">
        <is>
          <t>Sum of Entity A1 and Entity A2 (Entity Inputs sheet)</t>
        </is>
      </c>
      <c r="FO3" t="inlineStr">
        <is>
          <t>Sum of Entity A1 and Entity A2 (Entity Inputs sheet)</t>
        </is>
      </c>
      <c r="FP3" t="inlineStr">
        <is>
          <t>Sum of Entity A1 and Entity A2 (Entity Inputs sheet)</t>
        </is>
      </c>
      <c r="FQ3" t="inlineStr">
        <is>
          <t>Sum of Entity A1 and Entity A2 (Entity Inputs sheet)</t>
        </is>
      </c>
      <c r="FR3" t="inlineStr">
        <is>
          <t>Sum of Entity A1 and Entity A2 (Entity Inputs sheet)</t>
        </is>
      </c>
      <c r="FS3" t="inlineStr">
        <is>
          <t>Sum of Entity A1 and Entity A2 (Entity Inputs sheet)</t>
        </is>
      </c>
      <c r="FT3" t="inlineStr">
        <is>
          <t>Sum of Entity A1 and Entity A2 (Entity Inputs sheet)</t>
        </is>
      </c>
      <c r="FU3" t="inlineStr">
        <is>
          <t>Sum of Entity A1 and Entity A2 (Entity Inputs sheet)</t>
        </is>
      </c>
      <c r="FV3" t="inlineStr">
        <is>
          <t>Calculated: Revenue − Variable cost − Fixed cost − Overheads</t>
        </is>
      </c>
      <c r="FW3" t="inlineStr">
        <is>
          <t>Calculated: EBITDA − Depreciation and amortisation</t>
        </is>
      </c>
      <c r="FX3" t="inlineStr">
        <is>
          <t>Calculated: Trade receivables + Inventory − Trade payables</t>
        </is>
      </c>
      <c r="FY3" t="inlineStr">
        <is>
          <t>Calculated: Net working capital − last month's net working capital (April uses the 31 March balance on Parameters)</t>
        </is>
      </c>
      <c r="FZ3" t="inlineStr">
        <is>
          <t>Calculated: EBITDA − Tax paid − Change in net working capital</t>
        </is>
      </c>
      <c r="GA3" t="inlineStr">
        <is>
          <t>Calculated: Operating cash flow − Capex spent</t>
        </is>
      </c>
      <c r="GB3" t="inlineStr">
        <is>
          <t>Calculated: Gross debt − Cash</t>
        </is>
      </c>
      <c r="GC3" t="inlineStr">
        <is>
          <t>Calculated: EBITDA since April × 12 ÷ months elapsed</t>
        </is>
      </c>
      <c r="GD3" t="inlineStr">
        <is>
          <t>Calculated: Trade receivables ÷ Revenue × Days in month</t>
        </is>
      </c>
      <c r="GE3" t="inlineStr">
        <is>
          <t>Calculated: Trade payables ÷ Variable cost × Days in month</t>
        </is>
      </c>
      <c r="GF3" t="inlineStr">
        <is>
          <t>Calculated: Inventory ÷ Variable cost × Days in month</t>
        </is>
      </c>
      <c r="GG3" t="inlineStr">
        <is>
          <t>Calculated: (Revenue ÷ Sales volume) ÷ (Planned revenue ÷ Planned sales volume) − 1, as %</t>
        </is>
      </c>
      <c r="GH3" t="inlineStr">
        <is>
          <t>SUM of Entity A1 and Entity A2 (added)</t>
        </is>
      </c>
      <c r="GI3" t="inlineStr">
        <is>
          <t>SUM of Entity A1 and Entity A2 (added)</t>
        </is>
      </c>
      <c r="GJ3" t="inlineStr">
        <is>
          <t>SUM of Entity A1 and Entity A2 (added)</t>
        </is>
      </c>
      <c r="GK3" t="inlineStr">
        <is>
          <t>SUM of Entity A1 and Entity A2 (added)</t>
        </is>
      </c>
      <c r="GL3" t="inlineStr">
        <is>
          <t>SUM of Entity A1 and Entity A2 (added)</t>
        </is>
      </c>
      <c r="GM3" t="inlineStr">
        <is>
          <t>SUM of Entity A1 and Entity A2 (added)</t>
        </is>
      </c>
      <c r="GN3" t="inlineStr">
        <is>
          <t>SQRTSUMSQ of Entity A1 and Entity A2 (added)</t>
        </is>
      </c>
      <c r="GO3" t="inlineStr">
        <is>
          <t>MIN of Entity A1 and Entity A2 (added)</t>
        </is>
      </c>
      <c r="GP3" t="inlineStr">
        <is>
          <t>SUM of Entity A1 and Entity A2 (added)</t>
        </is>
      </c>
      <c r="GQ3" t="inlineStr">
        <is>
          <t>FIRST of Entity A1 and Entity A2 (added)</t>
        </is>
      </c>
      <c r="GR3" t="inlineStr">
        <is>
          <t>SUM of Entity A1 and Entity A2 (added)</t>
        </is>
      </c>
    </row>
    <row r="4">
      <c r="A4" t="inlineStr">
        <is>
          <t>Plant 05</t>
        </is>
      </c>
      <c r="B4" t="inlineStr">
        <is>
          <t>2026-04</t>
        </is>
      </c>
      <c r="C4" t="n">
        <v>30</v>
      </c>
      <c r="D4" t="n">
        <v>1</v>
      </c>
      <c r="E4">
        <f>'Plant Inputs'!F28</f>
        <v/>
      </c>
      <c r="F4">
        <f>'Plant Inputs'!G28</f>
        <v/>
      </c>
      <c r="G4">
        <f>'Plant Inputs'!H28</f>
        <v/>
      </c>
      <c r="H4">
        <f>'Plant Inputs'!I28</f>
        <v/>
      </c>
      <c r="I4">
        <f>'Plant Inputs'!J28</f>
        <v/>
      </c>
      <c r="J4">
        <f>'Plant Inputs'!K28</f>
        <v/>
      </c>
      <c r="K4">
        <f>'Plant Inputs'!L28</f>
        <v/>
      </c>
      <c r="L4">
        <f>'Plant Inputs'!M28</f>
        <v/>
      </c>
      <c r="M4">
        <f>'Plant Inputs'!N28</f>
        <v/>
      </c>
      <c r="N4">
        <f>'Plant Inputs'!O28</f>
        <v/>
      </c>
      <c r="O4">
        <f>'Plant Inputs'!P28</f>
        <v/>
      </c>
      <c r="P4">
        <f>'Plant Inputs'!Q28</f>
        <v/>
      </c>
      <c r="Q4">
        <f>'Plant Inputs'!R28</f>
        <v/>
      </c>
      <c r="R4">
        <f>'Plant Inputs'!S28</f>
        <v/>
      </c>
      <c r="S4">
        <f>'Plant Inputs'!T28</f>
        <v/>
      </c>
      <c r="T4">
        <f>'Plant Inputs'!U28</f>
        <v/>
      </c>
      <c r="U4">
        <f>'Plant Inputs'!V28</f>
        <v/>
      </c>
      <c r="V4">
        <f>'Plant Inputs'!W28</f>
        <v/>
      </c>
      <c r="W4">
        <f>'Plant Inputs'!X28</f>
        <v/>
      </c>
      <c r="X4">
        <f>'Plant Inputs'!Y28</f>
        <v/>
      </c>
      <c r="Y4">
        <f>'Plant Inputs'!Z28</f>
        <v/>
      </c>
      <c r="Z4">
        <f>'Plant Inputs'!AA28</f>
        <v/>
      </c>
      <c r="AA4">
        <f>'Plant Inputs'!AB28</f>
        <v/>
      </c>
      <c r="AB4">
        <f>'Plant Inputs'!AC28</f>
        <v/>
      </c>
      <c r="AC4">
        <f>'Plant Inputs'!AD28</f>
        <v/>
      </c>
      <c r="AD4">
        <f>'Plant Inputs'!AE28</f>
        <v/>
      </c>
      <c r="AE4">
        <f>'Plant Inputs'!AF28</f>
        <v/>
      </c>
      <c r="AF4">
        <f>'Plant Inputs'!AG28</f>
        <v/>
      </c>
      <c r="AG4">
        <f>'Plant Inputs'!AH28</f>
        <v/>
      </c>
      <c r="AH4">
        <f>'Plant Inputs'!AI28</f>
        <v/>
      </c>
      <c r="AI4">
        <f>'Plant Inputs'!AJ28</f>
        <v/>
      </c>
      <c r="AJ4">
        <f>'Plant Inputs'!AK28</f>
        <v/>
      </c>
      <c r="AK4">
        <f>'Plant Inputs'!AL28</f>
        <v/>
      </c>
      <c r="AL4">
        <f>'Plant Inputs'!AM28</f>
        <v/>
      </c>
      <c r="AM4">
        <f>'Plant Inputs'!AN28</f>
        <v/>
      </c>
      <c r="AN4">
        <f>'Plant Inputs'!AO28</f>
        <v/>
      </c>
      <c r="AO4">
        <f>'Plant Inputs'!AP28</f>
        <v/>
      </c>
      <c r="AP4">
        <f>'Plant Inputs'!AQ28</f>
        <v/>
      </c>
      <c r="AQ4">
        <f>'Plant Inputs'!AR28</f>
        <v/>
      </c>
      <c r="AR4">
        <f>'Plant Inputs'!AS28</f>
        <v/>
      </c>
      <c r="AS4">
        <f>'Plant Inputs'!AT28</f>
        <v/>
      </c>
      <c r="AT4">
        <f>'Plant Inputs'!AU28</f>
        <v/>
      </c>
      <c r="AU4">
        <f>'Plant Inputs'!AV28</f>
        <v/>
      </c>
      <c r="AV4">
        <f>'Plant Inputs'!AW28</f>
        <v/>
      </c>
      <c r="AW4">
        <f>'Plant Inputs'!AX28</f>
        <v/>
      </c>
      <c r="AX4">
        <f>'Plant Inputs'!AY28</f>
        <v/>
      </c>
      <c r="AY4">
        <f>'Plant Inputs'!AZ28</f>
        <v/>
      </c>
      <c r="AZ4">
        <f>'Plant Inputs'!BA28</f>
        <v/>
      </c>
      <c r="BA4">
        <f>'Plant Inputs'!BB28</f>
        <v/>
      </c>
      <c r="BB4">
        <f>'Plant Inputs'!BC28</f>
        <v/>
      </c>
      <c r="BC4">
        <f>'Plant Inputs'!BD28</f>
        <v/>
      </c>
      <c r="BD4">
        <f>'Plant Inputs'!BE28</f>
        <v/>
      </c>
      <c r="BE4">
        <f>'Plant Inputs'!BF28</f>
        <v/>
      </c>
      <c r="BF4">
        <f>'Plant Inputs'!BG28</f>
        <v/>
      </c>
      <c r="BG4">
        <f>'Plant Inputs'!BH28</f>
        <v/>
      </c>
      <c r="BH4">
        <f>'Plant Inputs'!BI28</f>
        <v/>
      </c>
      <c r="BI4">
        <f>'Plant Inputs'!BJ28</f>
        <v/>
      </c>
      <c r="BJ4">
        <f>'Plant Inputs'!BK28</f>
        <v/>
      </c>
      <c r="BK4">
        <f>'Plant Inputs'!BL28</f>
        <v/>
      </c>
      <c r="BL4">
        <f>'Plant Inputs'!BM28</f>
        <v/>
      </c>
      <c r="BM4">
        <f>'Plant Inputs'!BN28</f>
        <v/>
      </c>
      <c r="BN4">
        <f>'Plant Inputs'!BO28</f>
        <v/>
      </c>
      <c r="BO4">
        <f>'Plant Inputs'!BP28</f>
        <v/>
      </c>
      <c r="BP4">
        <f>'Plant Inputs'!BQ28</f>
        <v/>
      </c>
      <c r="BQ4">
        <f>'Plant Inputs'!BR28</f>
        <v/>
      </c>
      <c r="BR4">
        <f>'Plant Inputs'!BS28</f>
        <v/>
      </c>
      <c r="BS4">
        <f>'Plant Inputs'!BT28</f>
        <v/>
      </c>
      <c r="BT4">
        <f>'Plant Inputs'!BU28</f>
        <v/>
      </c>
      <c r="BU4">
        <f>'Plant Inputs'!BV28</f>
        <v/>
      </c>
      <c r="BV4">
        <f>'Plant Inputs'!BW28</f>
        <v/>
      </c>
      <c r="BW4">
        <f>'Plant Inputs'!BX28</f>
        <v/>
      </c>
      <c r="BX4">
        <f>'Plant Inputs'!BY28</f>
        <v/>
      </c>
      <c r="FV4">
        <f>AU4-V4-X4-BY4</f>
        <v/>
      </c>
      <c r="FW4">
        <f>FV4-AX4</f>
        <v/>
      </c>
      <c r="FX4">
        <f>CJ4+CL4-CK4</f>
        <v/>
      </c>
      <c r="FY4">
        <f>FX4-Parameters!$B$7</f>
        <v/>
      </c>
      <c r="FZ4">
        <f>FV4-BZ4-FY4</f>
        <v/>
      </c>
      <c r="GA4">
        <f>FZ4-DJ4</f>
        <v/>
      </c>
      <c r="GB4">
        <f>CB4-CC4</f>
        <v/>
      </c>
      <c r="GC4">
        <f>SUM(FV$4:FV4)*12/D4</f>
        <v/>
      </c>
      <c r="GD4">
        <f>IF(AU4=0,0,CJ4/AU4*C4)</f>
        <v/>
      </c>
      <c r="GE4">
        <f>IF(V4=0,0,CK4/V4*C4)</f>
        <v/>
      </c>
      <c r="GF4">
        <f>IF(V4=0,0,CL4/V4*C4)</f>
        <v/>
      </c>
      <c r="GG4">
        <f>IF(OR(AS4=0,AT4=0,AV4=0),0,100*((AU4/AS4)/(AV4/AT4)-1))</f>
        <v/>
      </c>
    </row>
    <row r="5">
      <c r="A5" t="inlineStr">
        <is>
          <t>Plant 05</t>
        </is>
      </c>
      <c r="B5" t="inlineStr">
        <is>
          <t>2026-05</t>
        </is>
      </c>
      <c r="C5" t="n">
        <v>31</v>
      </c>
      <c r="D5" t="n">
        <v>2</v>
      </c>
      <c r="E5">
        <f>'Plant Inputs'!F29</f>
        <v/>
      </c>
      <c r="F5">
        <f>'Plant Inputs'!G29</f>
        <v/>
      </c>
      <c r="G5">
        <f>'Plant Inputs'!H29</f>
        <v/>
      </c>
      <c r="H5">
        <f>'Plant Inputs'!I29</f>
        <v/>
      </c>
      <c r="I5">
        <f>'Plant Inputs'!J29</f>
        <v/>
      </c>
      <c r="J5">
        <f>'Plant Inputs'!K29</f>
        <v/>
      </c>
      <c r="K5">
        <f>'Plant Inputs'!L29</f>
        <v/>
      </c>
      <c r="L5">
        <f>'Plant Inputs'!M29</f>
        <v/>
      </c>
      <c r="M5">
        <f>'Plant Inputs'!N29</f>
        <v/>
      </c>
      <c r="N5">
        <f>'Plant Inputs'!O29</f>
        <v/>
      </c>
      <c r="O5">
        <f>'Plant Inputs'!P29</f>
        <v/>
      </c>
      <c r="P5">
        <f>'Plant Inputs'!Q29</f>
        <v/>
      </c>
      <c r="Q5">
        <f>'Plant Inputs'!R29</f>
        <v/>
      </c>
      <c r="R5">
        <f>'Plant Inputs'!S29</f>
        <v/>
      </c>
      <c r="S5">
        <f>'Plant Inputs'!T29</f>
        <v/>
      </c>
      <c r="T5">
        <f>'Plant Inputs'!U29</f>
        <v/>
      </c>
      <c r="U5">
        <f>'Plant Inputs'!V29</f>
        <v/>
      </c>
      <c r="V5">
        <f>'Plant Inputs'!W29</f>
        <v/>
      </c>
      <c r="W5">
        <f>'Plant Inputs'!X29</f>
        <v/>
      </c>
      <c r="X5">
        <f>'Plant Inputs'!Y29</f>
        <v/>
      </c>
      <c r="Y5">
        <f>'Plant Inputs'!Z29</f>
        <v/>
      </c>
      <c r="Z5">
        <f>'Plant Inputs'!AA29</f>
        <v/>
      </c>
      <c r="AA5">
        <f>'Plant Inputs'!AB29</f>
        <v/>
      </c>
      <c r="AB5">
        <f>'Plant Inputs'!AC29</f>
        <v/>
      </c>
      <c r="AC5">
        <f>'Plant Inputs'!AD29</f>
        <v/>
      </c>
      <c r="AD5">
        <f>'Plant Inputs'!AE29</f>
        <v/>
      </c>
      <c r="AE5">
        <f>'Plant Inputs'!AF29</f>
        <v/>
      </c>
      <c r="AF5">
        <f>'Plant Inputs'!AG29</f>
        <v/>
      </c>
      <c r="AG5">
        <f>'Plant Inputs'!AH29</f>
        <v/>
      </c>
      <c r="AH5">
        <f>'Plant Inputs'!AI29</f>
        <v/>
      </c>
      <c r="AI5">
        <f>'Plant Inputs'!AJ29</f>
        <v/>
      </c>
      <c r="AJ5">
        <f>'Plant Inputs'!AK29</f>
        <v/>
      </c>
      <c r="AK5">
        <f>'Plant Inputs'!AL29</f>
        <v/>
      </c>
      <c r="AL5">
        <f>'Plant Inputs'!AM29</f>
        <v/>
      </c>
      <c r="AM5">
        <f>'Plant Inputs'!AN29</f>
        <v/>
      </c>
      <c r="AN5">
        <f>'Plant Inputs'!AO29</f>
        <v/>
      </c>
      <c r="AO5">
        <f>'Plant Inputs'!AP29</f>
        <v/>
      </c>
      <c r="AP5">
        <f>'Plant Inputs'!AQ29</f>
        <v/>
      </c>
      <c r="AQ5">
        <f>'Plant Inputs'!AR29</f>
        <v/>
      </c>
      <c r="AR5">
        <f>'Plant Inputs'!AS29</f>
        <v/>
      </c>
      <c r="AS5">
        <f>'Plant Inputs'!AT29</f>
        <v/>
      </c>
      <c r="AT5">
        <f>'Plant Inputs'!AU29</f>
        <v/>
      </c>
      <c r="AU5">
        <f>'Plant Inputs'!AV29</f>
        <v/>
      </c>
      <c r="AV5">
        <f>'Plant Inputs'!AW29</f>
        <v/>
      </c>
      <c r="AW5">
        <f>'Plant Inputs'!AX29</f>
        <v/>
      </c>
      <c r="AX5">
        <f>'Plant Inputs'!AY29</f>
        <v/>
      </c>
      <c r="AY5">
        <f>'Plant Inputs'!AZ29</f>
        <v/>
      </c>
      <c r="AZ5">
        <f>'Plant Inputs'!BA29</f>
        <v/>
      </c>
      <c r="BA5">
        <f>'Plant Inputs'!BB29</f>
        <v/>
      </c>
      <c r="BB5">
        <f>'Plant Inputs'!BC29</f>
        <v/>
      </c>
      <c r="BC5">
        <f>'Plant Inputs'!BD29</f>
        <v/>
      </c>
      <c r="BD5">
        <f>'Plant Inputs'!BE29</f>
        <v/>
      </c>
      <c r="BE5">
        <f>'Plant Inputs'!BF29</f>
        <v/>
      </c>
      <c r="BF5">
        <f>'Plant Inputs'!BG29</f>
        <v/>
      </c>
      <c r="BG5">
        <f>'Plant Inputs'!BH29</f>
        <v/>
      </c>
      <c r="BH5">
        <f>'Plant Inputs'!BI29</f>
        <v/>
      </c>
      <c r="BI5">
        <f>'Plant Inputs'!BJ29</f>
        <v/>
      </c>
      <c r="BJ5">
        <f>'Plant Inputs'!BK29</f>
        <v/>
      </c>
      <c r="BK5">
        <f>'Plant Inputs'!BL29</f>
        <v/>
      </c>
      <c r="BL5">
        <f>'Plant Inputs'!BM29</f>
        <v/>
      </c>
      <c r="BM5">
        <f>'Plant Inputs'!BN29</f>
        <v/>
      </c>
      <c r="BN5">
        <f>'Plant Inputs'!BO29</f>
        <v/>
      </c>
      <c r="BO5">
        <f>'Plant Inputs'!BP29</f>
        <v/>
      </c>
      <c r="BP5">
        <f>'Plant Inputs'!BQ29</f>
        <v/>
      </c>
      <c r="BQ5">
        <f>'Plant Inputs'!BR29</f>
        <v/>
      </c>
      <c r="BR5">
        <f>'Plant Inputs'!BS29</f>
        <v/>
      </c>
      <c r="BS5">
        <f>'Plant Inputs'!BT29</f>
        <v/>
      </c>
      <c r="BT5">
        <f>'Plant Inputs'!BU29</f>
        <v/>
      </c>
      <c r="BU5">
        <f>'Plant Inputs'!BV29</f>
        <v/>
      </c>
      <c r="BV5">
        <f>'Plant Inputs'!BW29</f>
        <v/>
      </c>
      <c r="BW5">
        <f>'Plant Inputs'!BX29</f>
        <v/>
      </c>
      <c r="BX5">
        <f>'Plant Inputs'!BY29</f>
        <v/>
      </c>
      <c r="FV5">
        <f>AU5-V5-X5-BY5</f>
        <v/>
      </c>
      <c r="FW5">
        <f>FV5-AX5</f>
        <v/>
      </c>
      <c r="FX5">
        <f>CJ5+CL5-CK5</f>
        <v/>
      </c>
      <c r="FY5">
        <f>FX5-FX4</f>
        <v/>
      </c>
      <c r="FZ5">
        <f>FV5-BZ5-FY5</f>
        <v/>
      </c>
      <c r="GA5">
        <f>FZ5-DJ5</f>
        <v/>
      </c>
      <c r="GB5">
        <f>CB5-CC5</f>
        <v/>
      </c>
      <c r="GC5">
        <f>SUM(FV$4:FV5)*12/D5</f>
        <v/>
      </c>
      <c r="GD5">
        <f>IF(AU5=0,0,CJ5/AU5*C5)</f>
        <v/>
      </c>
      <c r="GE5">
        <f>IF(V5=0,0,CK5/V5*C5)</f>
        <v/>
      </c>
      <c r="GF5">
        <f>IF(V5=0,0,CL5/V5*C5)</f>
        <v/>
      </c>
      <c r="GG5">
        <f>IF(OR(AS5=0,AT5=0,AV5=0),0,100*((AU5/AS5)/(AV5/AT5)-1))</f>
        <v/>
      </c>
    </row>
    <row r="6">
      <c r="A6" t="inlineStr">
        <is>
          <t>Plant 05</t>
        </is>
      </c>
      <c r="B6" t="inlineStr">
        <is>
          <t>2026-06</t>
        </is>
      </c>
      <c r="C6" t="n">
        <v>30</v>
      </c>
      <c r="D6" t="n">
        <v>3</v>
      </c>
      <c r="E6">
        <f>'Plant Inputs'!F30</f>
        <v/>
      </c>
      <c r="F6">
        <f>'Plant Inputs'!G30</f>
        <v/>
      </c>
      <c r="G6">
        <f>'Plant Inputs'!H30</f>
        <v/>
      </c>
      <c r="H6">
        <f>'Plant Inputs'!I30</f>
        <v/>
      </c>
      <c r="I6">
        <f>'Plant Inputs'!J30</f>
        <v/>
      </c>
      <c r="J6">
        <f>'Plant Inputs'!K30</f>
        <v/>
      </c>
      <c r="K6">
        <f>'Plant Inputs'!L30</f>
        <v/>
      </c>
      <c r="L6">
        <f>'Plant Inputs'!M30</f>
        <v/>
      </c>
      <c r="M6">
        <f>'Plant Inputs'!N30</f>
        <v/>
      </c>
      <c r="N6">
        <f>'Plant Inputs'!O30</f>
        <v/>
      </c>
      <c r="O6">
        <f>'Plant Inputs'!P30</f>
        <v/>
      </c>
      <c r="P6">
        <f>'Plant Inputs'!Q30</f>
        <v/>
      </c>
      <c r="Q6">
        <f>'Plant Inputs'!R30</f>
        <v/>
      </c>
      <c r="R6">
        <f>'Plant Inputs'!S30</f>
        <v/>
      </c>
      <c r="S6">
        <f>'Plant Inputs'!T30</f>
        <v/>
      </c>
      <c r="T6">
        <f>'Plant Inputs'!U30</f>
        <v/>
      </c>
      <c r="U6">
        <f>'Plant Inputs'!V30</f>
        <v/>
      </c>
      <c r="V6">
        <f>'Plant Inputs'!W30</f>
        <v/>
      </c>
      <c r="W6">
        <f>'Plant Inputs'!X30</f>
        <v/>
      </c>
      <c r="X6">
        <f>'Plant Inputs'!Y30</f>
        <v/>
      </c>
      <c r="Y6">
        <f>'Plant Inputs'!Z30</f>
        <v/>
      </c>
      <c r="Z6">
        <f>'Plant Inputs'!AA30</f>
        <v/>
      </c>
      <c r="AA6">
        <f>'Plant Inputs'!AB30</f>
        <v/>
      </c>
      <c r="AB6">
        <f>'Plant Inputs'!AC30</f>
        <v/>
      </c>
      <c r="AC6">
        <f>'Plant Inputs'!AD30</f>
        <v/>
      </c>
      <c r="AD6">
        <f>'Plant Inputs'!AE30</f>
        <v/>
      </c>
      <c r="AE6">
        <f>'Plant Inputs'!AF30</f>
        <v/>
      </c>
      <c r="AF6">
        <f>'Plant Inputs'!AG30</f>
        <v/>
      </c>
      <c r="AG6">
        <f>'Plant Inputs'!AH30</f>
        <v/>
      </c>
      <c r="AH6">
        <f>'Plant Inputs'!AI30</f>
        <v/>
      </c>
      <c r="AI6">
        <f>'Plant Inputs'!AJ30</f>
        <v/>
      </c>
      <c r="AJ6">
        <f>'Plant Inputs'!AK30</f>
        <v/>
      </c>
      <c r="AK6">
        <f>'Plant Inputs'!AL30</f>
        <v/>
      </c>
      <c r="AL6">
        <f>'Plant Inputs'!AM30</f>
        <v/>
      </c>
      <c r="AM6">
        <f>'Plant Inputs'!AN30</f>
        <v/>
      </c>
      <c r="AN6">
        <f>'Plant Inputs'!AO30</f>
        <v/>
      </c>
      <c r="AO6">
        <f>'Plant Inputs'!AP30</f>
        <v/>
      </c>
      <c r="AP6">
        <f>'Plant Inputs'!AQ30</f>
        <v/>
      </c>
      <c r="AQ6">
        <f>'Plant Inputs'!AR30</f>
        <v/>
      </c>
      <c r="AR6">
        <f>'Plant Inputs'!AS30</f>
        <v/>
      </c>
      <c r="AS6">
        <f>'Plant Inputs'!AT30</f>
        <v/>
      </c>
      <c r="AT6">
        <f>'Plant Inputs'!AU30</f>
        <v/>
      </c>
      <c r="AU6">
        <f>'Plant Inputs'!AV30</f>
        <v/>
      </c>
      <c r="AV6">
        <f>'Plant Inputs'!AW30</f>
        <v/>
      </c>
      <c r="AW6">
        <f>'Plant Inputs'!AX30</f>
        <v/>
      </c>
      <c r="AX6">
        <f>'Plant Inputs'!AY30</f>
        <v/>
      </c>
      <c r="AY6">
        <f>'Plant Inputs'!AZ30</f>
        <v/>
      </c>
      <c r="AZ6">
        <f>'Plant Inputs'!BA30</f>
        <v/>
      </c>
      <c r="BA6">
        <f>'Plant Inputs'!BB30</f>
        <v/>
      </c>
      <c r="BB6">
        <f>'Plant Inputs'!BC30</f>
        <v/>
      </c>
      <c r="BC6">
        <f>'Plant Inputs'!BD30</f>
        <v/>
      </c>
      <c r="BD6">
        <f>'Plant Inputs'!BE30</f>
        <v/>
      </c>
      <c r="BE6">
        <f>'Plant Inputs'!BF30</f>
        <v/>
      </c>
      <c r="BF6">
        <f>'Plant Inputs'!BG30</f>
        <v/>
      </c>
      <c r="BG6">
        <f>'Plant Inputs'!BH30</f>
        <v/>
      </c>
      <c r="BH6">
        <f>'Plant Inputs'!BI30</f>
        <v/>
      </c>
      <c r="BI6">
        <f>'Plant Inputs'!BJ30</f>
        <v/>
      </c>
      <c r="BJ6">
        <f>'Plant Inputs'!BK30</f>
        <v/>
      </c>
      <c r="BK6">
        <f>'Plant Inputs'!BL30</f>
        <v/>
      </c>
      <c r="BL6">
        <f>'Plant Inputs'!BM30</f>
        <v/>
      </c>
      <c r="BM6">
        <f>'Plant Inputs'!BN30</f>
        <v/>
      </c>
      <c r="BN6">
        <f>'Plant Inputs'!BO30</f>
        <v/>
      </c>
      <c r="BO6">
        <f>'Plant Inputs'!BP30</f>
        <v/>
      </c>
      <c r="BP6">
        <f>'Plant Inputs'!BQ30</f>
        <v/>
      </c>
      <c r="BQ6">
        <f>'Plant Inputs'!BR30</f>
        <v/>
      </c>
      <c r="BR6">
        <f>'Plant Inputs'!BS30</f>
        <v/>
      </c>
      <c r="BS6">
        <f>'Plant Inputs'!BT30</f>
        <v/>
      </c>
      <c r="BT6">
        <f>'Plant Inputs'!BU30</f>
        <v/>
      </c>
      <c r="BU6">
        <f>'Plant Inputs'!BV30</f>
        <v/>
      </c>
      <c r="BV6">
        <f>'Plant Inputs'!BW30</f>
        <v/>
      </c>
      <c r="BW6">
        <f>'Plant Inputs'!BX30</f>
        <v/>
      </c>
      <c r="BX6">
        <f>'Plant Inputs'!BY30</f>
        <v/>
      </c>
      <c r="FV6">
        <f>AU6-V6-X6-BY6</f>
        <v/>
      </c>
      <c r="FW6">
        <f>FV6-AX6</f>
        <v/>
      </c>
      <c r="FX6">
        <f>CJ6+CL6-CK6</f>
        <v/>
      </c>
      <c r="FY6">
        <f>FX6-FX5</f>
        <v/>
      </c>
      <c r="FZ6">
        <f>FV6-BZ6-FY6</f>
        <v/>
      </c>
      <c r="GA6">
        <f>FZ6-DJ6</f>
        <v/>
      </c>
      <c r="GB6">
        <f>CB6-CC6</f>
        <v/>
      </c>
      <c r="GC6">
        <f>SUM(FV$4:FV6)*12/D6</f>
        <v/>
      </c>
      <c r="GD6">
        <f>IF(AU6=0,0,CJ6/AU6*C6)</f>
        <v/>
      </c>
      <c r="GE6">
        <f>IF(V6=0,0,CK6/V6*C6)</f>
        <v/>
      </c>
      <c r="GF6">
        <f>IF(V6=0,0,CL6/V6*C6)</f>
        <v/>
      </c>
      <c r="GG6">
        <f>IF(OR(AS6=0,AT6=0,AV6=0),0,100*((AU6/AS6)/(AV6/AT6)-1))</f>
        <v/>
      </c>
    </row>
    <row r="7">
      <c r="A7" t="inlineStr">
        <is>
          <t>Plant 05</t>
        </is>
      </c>
      <c r="B7" t="inlineStr">
        <is>
          <t>2026-07</t>
        </is>
      </c>
      <c r="C7" t="n">
        <v>31</v>
      </c>
      <c r="D7" t="n">
        <v>4</v>
      </c>
      <c r="E7">
        <f>'Plant Inputs'!F31</f>
        <v/>
      </c>
      <c r="F7">
        <f>'Plant Inputs'!G31</f>
        <v/>
      </c>
      <c r="G7">
        <f>'Plant Inputs'!H31</f>
        <v/>
      </c>
      <c r="H7">
        <f>'Plant Inputs'!I31</f>
        <v/>
      </c>
      <c r="I7">
        <f>'Plant Inputs'!J31</f>
        <v/>
      </c>
      <c r="J7">
        <f>'Plant Inputs'!K31</f>
        <v/>
      </c>
      <c r="K7">
        <f>'Plant Inputs'!L31</f>
        <v/>
      </c>
      <c r="L7">
        <f>'Plant Inputs'!M31</f>
        <v/>
      </c>
      <c r="M7">
        <f>'Plant Inputs'!N31</f>
        <v/>
      </c>
      <c r="N7">
        <f>'Plant Inputs'!O31</f>
        <v/>
      </c>
      <c r="O7">
        <f>'Plant Inputs'!P31</f>
        <v/>
      </c>
      <c r="P7">
        <f>'Plant Inputs'!Q31</f>
        <v/>
      </c>
      <c r="Q7">
        <f>'Plant Inputs'!R31</f>
        <v/>
      </c>
      <c r="R7">
        <f>'Plant Inputs'!S31</f>
        <v/>
      </c>
      <c r="S7">
        <f>'Plant Inputs'!T31</f>
        <v/>
      </c>
      <c r="T7">
        <f>'Plant Inputs'!U31</f>
        <v/>
      </c>
      <c r="U7">
        <f>'Plant Inputs'!V31</f>
        <v/>
      </c>
      <c r="V7">
        <f>'Plant Inputs'!W31</f>
        <v/>
      </c>
      <c r="W7">
        <f>'Plant Inputs'!X31</f>
        <v/>
      </c>
      <c r="X7">
        <f>'Plant Inputs'!Y31</f>
        <v/>
      </c>
      <c r="Y7">
        <f>'Plant Inputs'!Z31</f>
        <v/>
      </c>
      <c r="Z7">
        <f>'Plant Inputs'!AA31</f>
        <v/>
      </c>
      <c r="AA7">
        <f>'Plant Inputs'!AB31</f>
        <v/>
      </c>
      <c r="AB7">
        <f>'Plant Inputs'!AC31</f>
        <v/>
      </c>
      <c r="AC7">
        <f>'Plant Inputs'!AD31</f>
        <v/>
      </c>
      <c r="AD7">
        <f>'Plant Inputs'!AE31</f>
        <v/>
      </c>
      <c r="AE7">
        <f>'Plant Inputs'!AF31</f>
        <v/>
      </c>
      <c r="AF7">
        <f>'Plant Inputs'!AG31</f>
        <v/>
      </c>
      <c r="AG7">
        <f>'Plant Inputs'!AH31</f>
        <v/>
      </c>
      <c r="AH7">
        <f>'Plant Inputs'!AI31</f>
        <v/>
      </c>
      <c r="AI7">
        <f>'Plant Inputs'!AJ31</f>
        <v/>
      </c>
      <c r="AJ7">
        <f>'Plant Inputs'!AK31</f>
        <v/>
      </c>
      <c r="AK7">
        <f>'Plant Inputs'!AL31</f>
        <v/>
      </c>
      <c r="AL7">
        <f>'Plant Inputs'!AM31</f>
        <v/>
      </c>
      <c r="AM7">
        <f>'Plant Inputs'!AN31</f>
        <v/>
      </c>
      <c r="AN7">
        <f>'Plant Inputs'!AO31</f>
        <v/>
      </c>
      <c r="AO7">
        <f>'Plant Inputs'!AP31</f>
        <v/>
      </c>
      <c r="AP7">
        <f>'Plant Inputs'!AQ31</f>
        <v/>
      </c>
      <c r="AQ7">
        <f>'Plant Inputs'!AR31</f>
        <v/>
      </c>
      <c r="AR7">
        <f>'Plant Inputs'!AS31</f>
        <v/>
      </c>
      <c r="AS7">
        <f>'Plant Inputs'!AT31</f>
        <v/>
      </c>
      <c r="AT7">
        <f>'Plant Inputs'!AU31</f>
        <v/>
      </c>
      <c r="AU7">
        <f>'Plant Inputs'!AV31</f>
        <v/>
      </c>
      <c r="AV7">
        <f>'Plant Inputs'!AW31</f>
        <v/>
      </c>
      <c r="AW7">
        <f>'Plant Inputs'!AX31</f>
        <v/>
      </c>
      <c r="AX7">
        <f>'Plant Inputs'!AY31</f>
        <v/>
      </c>
      <c r="AY7">
        <f>'Plant Inputs'!AZ31</f>
        <v/>
      </c>
      <c r="AZ7">
        <f>'Plant Inputs'!BA31</f>
        <v/>
      </c>
      <c r="BA7">
        <f>'Plant Inputs'!BB31</f>
        <v/>
      </c>
      <c r="BB7">
        <f>'Plant Inputs'!BC31</f>
        <v/>
      </c>
      <c r="BC7">
        <f>'Plant Inputs'!BD31</f>
        <v/>
      </c>
      <c r="BD7">
        <f>'Plant Inputs'!BE31</f>
        <v/>
      </c>
      <c r="BE7">
        <f>'Plant Inputs'!BF31</f>
        <v/>
      </c>
      <c r="BF7">
        <f>'Plant Inputs'!BG31</f>
        <v/>
      </c>
      <c r="BG7">
        <f>'Plant Inputs'!BH31</f>
        <v/>
      </c>
      <c r="BH7">
        <f>'Plant Inputs'!BI31</f>
        <v/>
      </c>
      <c r="BI7">
        <f>'Plant Inputs'!BJ31</f>
        <v/>
      </c>
      <c r="BJ7">
        <f>'Plant Inputs'!BK31</f>
        <v/>
      </c>
      <c r="BK7">
        <f>'Plant Inputs'!BL31</f>
        <v/>
      </c>
      <c r="BL7">
        <f>'Plant Inputs'!BM31</f>
        <v/>
      </c>
      <c r="BM7">
        <f>'Plant Inputs'!BN31</f>
        <v/>
      </c>
      <c r="BN7">
        <f>'Plant Inputs'!BO31</f>
        <v/>
      </c>
      <c r="BO7">
        <f>'Plant Inputs'!BP31</f>
        <v/>
      </c>
      <c r="BP7">
        <f>'Plant Inputs'!BQ31</f>
        <v/>
      </c>
      <c r="BQ7">
        <f>'Plant Inputs'!BR31</f>
        <v/>
      </c>
      <c r="BR7">
        <f>'Plant Inputs'!BS31</f>
        <v/>
      </c>
      <c r="BS7">
        <f>'Plant Inputs'!BT31</f>
        <v/>
      </c>
      <c r="BT7">
        <f>'Plant Inputs'!BU31</f>
        <v/>
      </c>
      <c r="BU7">
        <f>'Plant Inputs'!BV31</f>
        <v/>
      </c>
      <c r="BV7">
        <f>'Plant Inputs'!BW31</f>
        <v/>
      </c>
      <c r="BW7">
        <f>'Plant Inputs'!BX31</f>
        <v/>
      </c>
      <c r="BX7">
        <f>'Plant Inputs'!BY31</f>
        <v/>
      </c>
      <c r="FV7">
        <f>AU7-V7-X7-BY7</f>
        <v/>
      </c>
      <c r="FW7">
        <f>FV7-AX7</f>
        <v/>
      </c>
      <c r="FX7">
        <f>CJ7+CL7-CK7</f>
        <v/>
      </c>
      <c r="FY7">
        <f>FX7-FX6</f>
        <v/>
      </c>
      <c r="FZ7">
        <f>FV7-BZ7-FY7</f>
        <v/>
      </c>
      <c r="GA7">
        <f>FZ7-DJ7</f>
        <v/>
      </c>
      <c r="GB7">
        <f>CB7-CC7</f>
        <v/>
      </c>
      <c r="GC7">
        <f>SUM(FV$4:FV7)*12/D7</f>
        <v/>
      </c>
      <c r="GD7">
        <f>IF(AU7=0,0,CJ7/AU7*C7)</f>
        <v/>
      </c>
      <c r="GE7">
        <f>IF(V7=0,0,CK7/V7*C7)</f>
        <v/>
      </c>
      <c r="GF7">
        <f>IF(V7=0,0,CL7/V7*C7)</f>
        <v/>
      </c>
      <c r="GG7">
        <f>IF(OR(AS7=0,AT7=0,AV7=0),0,100*((AU7/AS7)/(AV7/AT7)-1))</f>
        <v/>
      </c>
    </row>
    <row r="8">
      <c r="A8" t="inlineStr">
        <is>
          <t>Plant 05</t>
        </is>
      </c>
      <c r="B8" t="inlineStr">
        <is>
          <t>2026-08</t>
        </is>
      </c>
      <c r="C8" t="n">
        <v>31</v>
      </c>
      <c r="D8" t="n">
        <v>5</v>
      </c>
      <c r="E8">
        <f>'Plant Inputs'!F32</f>
        <v/>
      </c>
      <c r="F8">
        <f>'Plant Inputs'!G32</f>
        <v/>
      </c>
      <c r="G8">
        <f>'Plant Inputs'!H32</f>
        <v/>
      </c>
      <c r="H8">
        <f>'Plant Inputs'!I32</f>
        <v/>
      </c>
      <c r="I8">
        <f>'Plant Inputs'!J32</f>
        <v/>
      </c>
      <c r="J8">
        <f>'Plant Inputs'!K32</f>
        <v/>
      </c>
      <c r="K8">
        <f>'Plant Inputs'!L32</f>
        <v/>
      </c>
      <c r="L8">
        <f>'Plant Inputs'!M32</f>
        <v/>
      </c>
      <c r="M8">
        <f>'Plant Inputs'!N32</f>
        <v/>
      </c>
      <c r="N8">
        <f>'Plant Inputs'!O32</f>
        <v/>
      </c>
      <c r="O8">
        <f>'Plant Inputs'!P32</f>
        <v/>
      </c>
      <c r="P8">
        <f>'Plant Inputs'!Q32</f>
        <v/>
      </c>
      <c r="Q8">
        <f>'Plant Inputs'!R32</f>
        <v/>
      </c>
      <c r="R8">
        <f>'Plant Inputs'!S32</f>
        <v/>
      </c>
      <c r="S8">
        <f>'Plant Inputs'!T32</f>
        <v/>
      </c>
      <c r="T8">
        <f>'Plant Inputs'!U32</f>
        <v/>
      </c>
      <c r="U8">
        <f>'Plant Inputs'!V32</f>
        <v/>
      </c>
      <c r="V8">
        <f>'Plant Inputs'!W32</f>
        <v/>
      </c>
      <c r="W8">
        <f>'Plant Inputs'!X32</f>
        <v/>
      </c>
      <c r="X8">
        <f>'Plant Inputs'!Y32</f>
        <v/>
      </c>
      <c r="Y8">
        <f>'Plant Inputs'!Z32</f>
        <v/>
      </c>
      <c r="Z8">
        <f>'Plant Inputs'!AA32</f>
        <v/>
      </c>
      <c r="AA8">
        <f>'Plant Inputs'!AB32</f>
        <v/>
      </c>
      <c r="AB8">
        <f>'Plant Inputs'!AC32</f>
        <v/>
      </c>
      <c r="AC8">
        <f>'Plant Inputs'!AD32</f>
        <v/>
      </c>
      <c r="AD8">
        <f>'Plant Inputs'!AE32</f>
        <v/>
      </c>
      <c r="AE8">
        <f>'Plant Inputs'!AF32</f>
        <v/>
      </c>
      <c r="AF8">
        <f>'Plant Inputs'!AG32</f>
        <v/>
      </c>
      <c r="AG8">
        <f>'Plant Inputs'!AH32</f>
        <v/>
      </c>
      <c r="AH8">
        <f>'Plant Inputs'!AI32</f>
        <v/>
      </c>
      <c r="AI8">
        <f>'Plant Inputs'!AJ32</f>
        <v/>
      </c>
      <c r="AJ8">
        <f>'Plant Inputs'!AK32</f>
        <v/>
      </c>
      <c r="AK8">
        <f>'Plant Inputs'!AL32</f>
        <v/>
      </c>
      <c r="AL8">
        <f>'Plant Inputs'!AM32</f>
        <v/>
      </c>
      <c r="AM8">
        <f>'Plant Inputs'!AN32</f>
        <v/>
      </c>
      <c r="AN8">
        <f>'Plant Inputs'!AO32</f>
        <v/>
      </c>
      <c r="AO8">
        <f>'Plant Inputs'!AP32</f>
        <v/>
      </c>
      <c r="AP8">
        <f>'Plant Inputs'!AQ32</f>
        <v/>
      </c>
      <c r="AQ8">
        <f>'Plant Inputs'!AR32</f>
        <v/>
      </c>
      <c r="AR8">
        <f>'Plant Inputs'!AS32</f>
        <v/>
      </c>
      <c r="AS8">
        <f>'Plant Inputs'!AT32</f>
        <v/>
      </c>
      <c r="AT8">
        <f>'Plant Inputs'!AU32</f>
        <v/>
      </c>
      <c r="AU8">
        <f>'Plant Inputs'!AV32</f>
        <v/>
      </c>
      <c r="AV8">
        <f>'Plant Inputs'!AW32</f>
        <v/>
      </c>
      <c r="AW8">
        <f>'Plant Inputs'!AX32</f>
        <v/>
      </c>
      <c r="AX8">
        <f>'Plant Inputs'!AY32</f>
        <v/>
      </c>
      <c r="AY8">
        <f>'Plant Inputs'!AZ32</f>
        <v/>
      </c>
      <c r="AZ8">
        <f>'Plant Inputs'!BA32</f>
        <v/>
      </c>
      <c r="BA8">
        <f>'Plant Inputs'!BB32</f>
        <v/>
      </c>
      <c r="BB8">
        <f>'Plant Inputs'!BC32</f>
        <v/>
      </c>
      <c r="BC8">
        <f>'Plant Inputs'!BD32</f>
        <v/>
      </c>
      <c r="BD8">
        <f>'Plant Inputs'!BE32</f>
        <v/>
      </c>
      <c r="BE8">
        <f>'Plant Inputs'!BF32</f>
        <v/>
      </c>
      <c r="BF8">
        <f>'Plant Inputs'!BG32</f>
        <v/>
      </c>
      <c r="BG8">
        <f>'Plant Inputs'!BH32</f>
        <v/>
      </c>
      <c r="BH8">
        <f>'Plant Inputs'!BI32</f>
        <v/>
      </c>
      <c r="BI8">
        <f>'Plant Inputs'!BJ32</f>
        <v/>
      </c>
      <c r="BJ8">
        <f>'Plant Inputs'!BK32</f>
        <v/>
      </c>
      <c r="BK8">
        <f>'Plant Inputs'!BL32</f>
        <v/>
      </c>
      <c r="BL8">
        <f>'Plant Inputs'!BM32</f>
        <v/>
      </c>
      <c r="BM8">
        <f>'Plant Inputs'!BN32</f>
        <v/>
      </c>
      <c r="BN8">
        <f>'Plant Inputs'!BO32</f>
        <v/>
      </c>
      <c r="BO8">
        <f>'Plant Inputs'!BP32</f>
        <v/>
      </c>
      <c r="BP8">
        <f>'Plant Inputs'!BQ32</f>
        <v/>
      </c>
      <c r="BQ8">
        <f>'Plant Inputs'!BR32</f>
        <v/>
      </c>
      <c r="BR8">
        <f>'Plant Inputs'!BS32</f>
        <v/>
      </c>
      <c r="BS8">
        <f>'Plant Inputs'!BT32</f>
        <v/>
      </c>
      <c r="BT8">
        <f>'Plant Inputs'!BU32</f>
        <v/>
      </c>
      <c r="BU8">
        <f>'Plant Inputs'!BV32</f>
        <v/>
      </c>
      <c r="BV8">
        <f>'Plant Inputs'!BW32</f>
        <v/>
      </c>
      <c r="BW8">
        <f>'Plant Inputs'!BX32</f>
        <v/>
      </c>
      <c r="BX8">
        <f>'Plant Inputs'!BY32</f>
        <v/>
      </c>
      <c r="FV8">
        <f>AU8-V8-X8-BY8</f>
        <v/>
      </c>
      <c r="FW8">
        <f>FV8-AX8</f>
        <v/>
      </c>
      <c r="FX8">
        <f>CJ8+CL8-CK8</f>
        <v/>
      </c>
      <c r="FY8">
        <f>FX8-FX7</f>
        <v/>
      </c>
      <c r="FZ8">
        <f>FV8-BZ8-FY8</f>
        <v/>
      </c>
      <c r="GA8">
        <f>FZ8-DJ8</f>
        <v/>
      </c>
      <c r="GB8">
        <f>CB8-CC8</f>
        <v/>
      </c>
      <c r="GC8">
        <f>SUM(FV$4:FV8)*12/D8</f>
        <v/>
      </c>
      <c r="GD8">
        <f>IF(AU8=0,0,CJ8/AU8*C8)</f>
        <v/>
      </c>
      <c r="GE8">
        <f>IF(V8=0,0,CK8/V8*C8)</f>
        <v/>
      </c>
      <c r="GF8">
        <f>IF(V8=0,0,CL8/V8*C8)</f>
        <v/>
      </c>
      <c r="GG8">
        <f>IF(OR(AS8=0,AT8=0,AV8=0),0,100*((AU8/AS8)/(AV8/AT8)-1))</f>
        <v/>
      </c>
    </row>
    <row r="9">
      <c r="A9" t="inlineStr">
        <is>
          <t>Plant 05</t>
        </is>
      </c>
      <c r="B9" t="inlineStr">
        <is>
          <t>2026-09</t>
        </is>
      </c>
      <c r="C9" t="n">
        <v>30</v>
      </c>
      <c r="D9" t="n">
        <v>6</v>
      </c>
      <c r="E9">
        <f>'Plant Inputs'!F33</f>
        <v/>
      </c>
      <c r="F9">
        <f>'Plant Inputs'!G33</f>
        <v/>
      </c>
      <c r="G9">
        <f>'Plant Inputs'!H33</f>
        <v/>
      </c>
      <c r="H9">
        <f>'Plant Inputs'!I33</f>
        <v/>
      </c>
      <c r="I9">
        <f>'Plant Inputs'!J33</f>
        <v/>
      </c>
      <c r="J9">
        <f>'Plant Inputs'!K33</f>
        <v/>
      </c>
      <c r="K9">
        <f>'Plant Inputs'!L33</f>
        <v/>
      </c>
      <c r="L9">
        <f>'Plant Inputs'!M33</f>
        <v/>
      </c>
      <c r="M9">
        <f>'Plant Inputs'!N33</f>
        <v/>
      </c>
      <c r="N9">
        <f>'Plant Inputs'!O33</f>
        <v/>
      </c>
      <c r="O9">
        <f>'Plant Inputs'!P33</f>
        <v/>
      </c>
      <c r="P9">
        <f>'Plant Inputs'!Q33</f>
        <v/>
      </c>
      <c r="Q9">
        <f>'Plant Inputs'!R33</f>
        <v/>
      </c>
      <c r="R9">
        <f>'Plant Inputs'!S33</f>
        <v/>
      </c>
      <c r="S9">
        <f>'Plant Inputs'!T33</f>
        <v/>
      </c>
      <c r="T9">
        <f>'Plant Inputs'!U33</f>
        <v/>
      </c>
      <c r="U9">
        <f>'Plant Inputs'!V33</f>
        <v/>
      </c>
      <c r="V9">
        <f>'Plant Inputs'!W33</f>
        <v/>
      </c>
      <c r="W9">
        <f>'Plant Inputs'!X33</f>
        <v/>
      </c>
      <c r="X9">
        <f>'Plant Inputs'!Y33</f>
        <v/>
      </c>
      <c r="Y9">
        <f>'Plant Inputs'!Z33</f>
        <v/>
      </c>
      <c r="Z9">
        <f>'Plant Inputs'!AA33</f>
        <v/>
      </c>
      <c r="AA9">
        <f>'Plant Inputs'!AB33</f>
        <v/>
      </c>
      <c r="AB9">
        <f>'Plant Inputs'!AC33</f>
        <v/>
      </c>
      <c r="AC9">
        <f>'Plant Inputs'!AD33</f>
        <v/>
      </c>
      <c r="AD9">
        <f>'Plant Inputs'!AE33</f>
        <v/>
      </c>
      <c r="AE9">
        <f>'Plant Inputs'!AF33</f>
        <v/>
      </c>
      <c r="AF9">
        <f>'Plant Inputs'!AG33</f>
        <v/>
      </c>
      <c r="AG9">
        <f>'Plant Inputs'!AH33</f>
        <v/>
      </c>
      <c r="AH9">
        <f>'Plant Inputs'!AI33</f>
        <v/>
      </c>
      <c r="AI9">
        <f>'Plant Inputs'!AJ33</f>
        <v/>
      </c>
      <c r="AJ9">
        <f>'Plant Inputs'!AK33</f>
        <v/>
      </c>
      <c r="AK9">
        <f>'Plant Inputs'!AL33</f>
        <v/>
      </c>
      <c r="AL9">
        <f>'Plant Inputs'!AM33</f>
        <v/>
      </c>
      <c r="AM9">
        <f>'Plant Inputs'!AN33</f>
        <v/>
      </c>
      <c r="AN9">
        <f>'Plant Inputs'!AO33</f>
        <v/>
      </c>
      <c r="AO9">
        <f>'Plant Inputs'!AP33</f>
        <v/>
      </c>
      <c r="AP9">
        <f>'Plant Inputs'!AQ33</f>
        <v/>
      </c>
      <c r="AQ9">
        <f>'Plant Inputs'!AR33</f>
        <v/>
      </c>
      <c r="AR9">
        <f>'Plant Inputs'!AS33</f>
        <v/>
      </c>
      <c r="AS9">
        <f>'Plant Inputs'!AT33</f>
        <v/>
      </c>
      <c r="AT9">
        <f>'Plant Inputs'!AU33</f>
        <v/>
      </c>
      <c r="AU9">
        <f>'Plant Inputs'!AV33</f>
        <v/>
      </c>
      <c r="AV9">
        <f>'Plant Inputs'!AW33</f>
        <v/>
      </c>
      <c r="AW9">
        <f>'Plant Inputs'!AX33</f>
        <v/>
      </c>
      <c r="AX9">
        <f>'Plant Inputs'!AY33</f>
        <v/>
      </c>
      <c r="AY9">
        <f>'Plant Inputs'!AZ33</f>
        <v/>
      </c>
      <c r="AZ9">
        <f>'Plant Inputs'!BA33</f>
        <v/>
      </c>
      <c r="BA9">
        <f>'Plant Inputs'!BB33</f>
        <v/>
      </c>
      <c r="BB9">
        <f>'Plant Inputs'!BC33</f>
        <v/>
      </c>
      <c r="BC9">
        <f>'Plant Inputs'!BD33</f>
        <v/>
      </c>
      <c r="BD9">
        <f>'Plant Inputs'!BE33</f>
        <v/>
      </c>
      <c r="BE9">
        <f>'Plant Inputs'!BF33</f>
        <v/>
      </c>
      <c r="BF9">
        <f>'Plant Inputs'!BG33</f>
        <v/>
      </c>
      <c r="BG9">
        <f>'Plant Inputs'!BH33</f>
        <v/>
      </c>
      <c r="BH9">
        <f>'Plant Inputs'!BI33</f>
        <v/>
      </c>
      <c r="BI9">
        <f>'Plant Inputs'!BJ33</f>
        <v/>
      </c>
      <c r="BJ9">
        <f>'Plant Inputs'!BK33</f>
        <v/>
      </c>
      <c r="BK9">
        <f>'Plant Inputs'!BL33</f>
        <v/>
      </c>
      <c r="BL9">
        <f>'Plant Inputs'!BM33</f>
        <v/>
      </c>
      <c r="BM9">
        <f>'Plant Inputs'!BN33</f>
        <v/>
      </c>
      <c r="BN9">
        <f>'Plant Inputs'!BO33</f>
        <v/>
      </c>
      <c r="BO9">
        <f>'Plant Inputs'!BP33</f>
        <v/>
      </c>
      <c r="BP9">
        <f>'Plant Inputs'!BQ33</f>
        <v/>
      </c>
      <c r="BQ9">
        <f>'Plant Inputs'!BR33</f>
        <v/>
      </c>
      <c r="BR9">
        <f>'Plant Inputs'!BS33</f>
        <v/>
      </c>
      <c r="BS9">
        <f>'Plant Inputs'!BT33</f>
        <v/>
      </c>
      <c r="BT9">
        <f>'Plant Inputs'!BU33</f>
        <v/>
      </c>
      <c r="BU9">
        <f>'Plant Inputs'!BV33</f>
        <v/>
      </c>
      <c r="BV9">
        <f>'Plant Inputs'!BW33</f>
        <v/>
      </c>
      <c r="BW9">
        <f>'Plant Inputs'!BX33</f>
        <v/>
      </c>
      <c r="BX9">
        <f>'Plant Inputs'!BY33</f>
        <v/>
      </c>
      <c r="FV9">
        <f>AU9-V9-X9-BY9</f>
        <v/>
      </c>
      <c r="FW9">
        <f>FV9-AX9</f>
        <v/>
      </c>
      <c r="FX9">
        <f>CJ9+CL9-CK9</f>
        <v/>
      </c>
      <c r="FY9">
        <f>FX9-FX8</f>
        <v/>
      </c>
      <c r="FZ9">
        <f>FV9-BZ9-FY9</f>
        <v/>
      </c>
      <c r="GA9">
        <f>FZ9-DJ9</f>
        <v/>
      </c>
      <c r="GB9">
        <f>CB9-CC9</f>
        <v/>
      </c>
      <c r="GC9">
        <f>SUM(FV$4:FV9)*12/D9</f>
        <v/>
      </c>
      <c r="GD9">
        <f>IF(AU9=0,0,CJ9/AU9*C9)</f>
        <v/>
      </c>
      <c r="GE9">
        <f>IF(V9=0,0,CK9/V9*C9)</f>
        <v/>
      </c>
      <c r="GF9">
        <f>IF(V9=0,0,CL9/V9*C9)</f>
        <v/>
      </c>
      <c r="GG9">
        <f>IF(OR(AS9=0,AT9=0,AV9=0),0,100*((AU9/AS9)/(AV9/AT9)-1))</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R9"/>
  <sheetViews>
    <sheetView workbookViewId="0">
      <selection activeCell="A1" sqref="A1"/>
    </sheetView>
  </sheetViews>
  <sheetFormatPr baseColWidth="8" defaultRowHeight="15"/>
  <sheetData>
    <row r="1">
      <c r="A1" t="inlineStr">
        <is>
          <t>Group</t>
        </is>
      </c>
      <c r="B1" t="inlineStr">
        <is>
          <t>Month</t>
        </is>
      </c>
      <c r="C1" t="inlineStr">
        <is>
          <t>Days in month</t>
        </is>
      </c>
      <c r="D1" t="inlineStr">
        <is>
          <t>Months since April (YTD)</t>
        </is>
      </c>
      <c r="E1" t="inlineStr">
        <is>
          <t>Calendar hours (h)</t>
        </is>
      </c>
      <c r="F1" t="inlineStr">
        <is>
          <t>Planned operating hours (h)</t>
        </is>
      </c>
      <c r="G1" t="inlineStr">
        <is>
          <t>Run hours (h)</t>
        </is>
      </c>
      <c r="H1" t="inlineStr">
        <is>
          <t>Unplanned downtime (h)</t>
        </is>
      </c>
      <c r="I1" t="inlineStr">
        <is>
          <t>Ideal output (t)</t>
        </is>
      </c>
      <c r="J1" t="inlineStr">
        <is>
          <t>Installed capacity (t)</t>
        </is>
      </c>
      <c r="K1" t="inlineStr">
        <is>
          <t>Planned production (t)</t>
        </is>
      </c>
      <c r="L1" t="inlineStr">
        <is>
          <t>Gross output (t)</t>
        </is>
      </c>
      <c r="M1" t="inlineStr">
        <is>
          <t>Good output (t)</t>
        </is>
      </c>
      <c r="N1" t="inlineStr">
        <is>
          <t>Feed input (t)</t>
        </is>
      </c>
      <c r="O1" t="inlineStr">
        <is>
          <t>Valuable content in feed (t)</t>
        </is>
      </c>
      <c r="P1" t="inlineStr">
        <is>
          <t>Valuable content recovered (t)</t>
        </is>
      </c>
      <c r="Q1" t="inlineStr">
        <is>
          <t>Production lost to downtime (t)</t>
        </is>
      </c>
      <c r="R1" t="inlineStr">
        <is>
          <t>Breakdowns (count)</t>
        </is>
      </c>
      <c r="S1" t="inlineStr">
        <is>
          <t>Repair hours (h)</t>
        </is>
      </c>
      <c r="T1" t="inlineStr">
        <is>
          <t>Preventive maintenance scheduled (count)</t>
        </is>
      </c>
      <c r="U1" t="inlineStr">
        <is>
          <t>Preventive maintenance completed (count)</t>
        </is>
      </c>
      <c r="V1" t="inlineStr">
        <is>
          <t>Variable cost (₹ thousand)</t>
        </is>
      </c>
      <c r="W1" t="inlineStr">
        <is>
          <t>Fuel cost (₹ thousand)</t>
        </is>
      </c>
      <c r="X1" t="inlineStr">
        <is>
          <t>Fixed cost (₹ thousand)</t>
        </is>
      </c>
      <c r="Y1" t="inlineStr">
        <is>
          <t>Water used (m³)</t>
        </is>
      </c>
      <c r="Z1" t="inlineStr">
        <is>
          <t>Emissions (t CO2e)</t>
        </is>
      </c>
      <c r="AA1" t="inlineStr">
        <is>
          <t>Energy used (GJ)</t>
        </is>
      </c>
      <c r="AB1" t="inlineStr">
        <is>
          <t>Production at risk (t)</t>
        </is>
      </c>
      <c r="AC1" t="inlineStr">
        <is>
          <t>Critical plant alerts (count)</t>
        </is>
      </c>
      <c r="AD1" t="inlineStr">
        <is>
          <t>Hours worked (h)</t>
        </is>
      </c>
      <c r="AE1" t="inlineStr">
        <is>
          <t>Recordable injuries (count)</t>
        </is>
      </c>
      <c r="AF1" t="inlineStr">
        <is>
          <t>Severity incidents (count)</t>
        </is>
      </c>
      <c r="AG1" t="inlineStr">
        <is>
          <t>Near misses (count)</t>
        </is>
      </c>
      <c r="AH1" t="inlineStr">
        <is>
          <t>Critical safety incidents (count)</t>
        </is>
      </c>
      <c r="AI1" t="inlineStr">
        <is>
          <t>Environmental excursions (count)</t>
        </is>
      </c>
      <c r="AJ1" t="inlineStr">
        <is>
          <t>Environmental violations (count)</t>
        </is>
      </c>
      <c r="AK1" t="inlineStr">
        <is>
          <t>Open EHS corrective actions (count)</t>
        </is>
      </c>
      <c r="AL1" t="inlineStr">
        <is>
          <t>Overdue EHS corrective actions (count)</t>
        </is>
      </c>
      <c r="AM1" t="inlineStr">
        <is>
          <t>EHS investigations due (count)</t>
        </is>
      </c>
      <c r="AN1" t="inlineStr">
        <is>
          <t>EHS investigations completed (count)</t>
        </is>
      </c>
      <c r="AO1" t="inlineStr">
        <is>
          <t>Critical materials at risk (count)</t>
        </is>
      </c>
      <c r="AP1" t="inlineStr">
        <is>
          <t>Dispatches (count)</t>
        </is>
      </c>
      <c r="AQ1" t="inlineStr">
        <is>
          <t>Delayed dispatches (count)</t>
        </is>
      </c>
      <c r="AR1" t="inlineStr">
        <is>
          <t>Days to permit expiry (days)</t>
        </is>
      </c>
      <c r="AS1" t="inlineStr">
        <is>
          <t>Sales volume (t)</t>
        </is>
      </c>
      <c r="AT1" t="inlineStr">
        <is>
          <t>Planned sales volume (t)</t>
        </is>
      </c>
      <c r="AU1" t="inlineStr">
        <is>
          <t>Revenue (₹ thousand)</t>
        </is>
      </c>
      <c r="AV1" t="inlineStr">
        <is>
          <t>Planned revenue (₹ thousand)</t>
        </is>
      </c>
      <c r="AW1" t="inlineStr">
        <is>
          <t>Power cost, part of variable cost (₹ thousand)</t>
        </is>
      </c>
      <c r="AX1" t="inlineStr">
        <is>
          <t>Depreciation and amortisation (₹ thousand)</t>
        </is>
      </c>
      <c r="AY1" t="inlineStr">
        <is>
          <t>Purchase-order lines due (count)</t>
        </is>
      </c>
      <c r="AZ1" t="inlineStr">
        <is>
          <t>Purchase-order lines delivered on time (count)</t>
        </is>
      </c>
      <c r="BA1" t="inlineStr">
        <is>
          <t>Quantity ordered from suppliers (t)</t>
        </is>
      </c>
      <c r="BB1" t="inlineStr">
        <is>
          <t>Quantity received (t)</t>
        </is>
      </c>
      <c r="BC1" t="inlineStr">
        <is>
          <t>Quantity rejected on quality (t)</t>
        </is>
      </c>
      <c r="BD1" t="inlineStr">
        <is>
          <t>Planned lead time, all deliveries (days)</t>
        </is>
      </c>
      <c r="BE1" t="inlineStr">
        <is>
          <t>Actual lead time, all deliveries (days)</t>
        </is>
      </c>
      <c r="BF1" t="inlineStr">
        <is>
          <t>Supplier spend (₹ thousand)</t>
        </is>
      </c>
      <c r="BG1" t="inlineStr">
        <is>
          <t>Spend with single-source suppliers (₹ thousand)</t>
        </is>
      </c>
      <c r="BH1" t="inlineStr">
        <is>
          <t>Supplier EHS incidents (count)</t>
        </is>
      </c>
      <c r="BI1" t="inlineStr">
        <is>
          <t>Regulatory filings pending (count)</t>
        </is>
      </c>
      <c r="BJ1" t="inlineStr">
        <is>
          <t>Regulatory deadlines in next 30 days (count)</t>
        </is>
      </c>
      <c r="BK1" t="inlineStr">
        <is>
          <t>Licences expiring in next 12 months (count)</t>
        </is>
      </c>
      <c r="BL1" t="inlineStr">
        <is>
          <t>Regulatory obligations due in next 30 days (count)</t>
        </is>
      </c>
      <c r="BM1" t="inlineStr">
        <is>
          <t>Regulatory obligations overdue (count)</t>
        </is>
      </c>
      <c r="BN1" t="inlineStr">
        <is>
          <t>Open regulatory actions (count)</t>
        </is>
      </c>
      <c r="BO1" t="inlineStr">
        <is>
          <t>Overdue compliance actions (count)</t>
        </is>
      </c>
      <c r="BP1" t="inlineStr">
        <is>
          <t>Regulatory breaches in the month (count)</t>
        </is>
      </c>
      <c r="BQ1" t="inlineStr">
        <is>
          <t>Events that trigger a disclosure clock (count)</t>
        </is>
      </c>
      <c r="BR1" t="inlineStr">
        <is>
          <t>EHS escalation clocks running (count)</t>
        </is>
      </c>
      <c r="BS1" t="inlineStr">
        <is>
          <t>Days until production plan is breached, forecast (days; 99 = not expected)</t>
        </is>
      </c>
      <c r="BT1" t="inlineStr">
        <is>
          <t>Planned production next month (t)</t>
        </is>
      </c>
      <c r="BU1" t="inlineStr">
        <is>
          <t>Forecast good output next month (t)</t>
        </is>
      </c>
      <c r="BV1" t="inlineStr">
        <is>
          <t>Forecast uncertainty next month (variance, t²)</t>
        </is>
      </c>
      <c r="BW1" t="inlineStr">
        <is>
          <t>Ideal output next month (t)</t>
        </is>
      </c>
      <c r="BX1" t="inlineStr">
        <is>
          <t>Forecast production lost to downtime next month (t)</t>
        </is>
      </c>
      <c r="BY1" t="inlineStr">
        <is>
          <t>Overheads, SG&amp;A (₹ thousand)</t>
        </is>
      </c>
      <c r="BZ1" t="inlineStr">
        <is>
          <t>Tax paid (₹ thousand)</t>
        </is>
      </c>
      <c r="CA1" t="inlineStr">
        <is>
          <t>Capital employed, month end (₹ thousand)</t>
        </is>
      </c>
      <c r="CB1" t="inlineStr">
        <is>
          <t>Gross debt, month end (₹ thousand)</t>
        </is>
      </c>
      <c r="CC1" t="inlineStr">
        <is>
          <t>Cash, month end (₹ thousand)</t>
        </is>
      </c>
      <c r="CD1" t="inlineStr">
        <is>
          <t>Undrawn committed facilities (₹ thousand)</t>
        </is>
      </c>
      <c r="CE1" t="inlineStr">
        <is>
          <t>Debt service in the month (₹ thousand)</t>
        </is>
      </c>
      <c r="CF1" t="inlineStr">
        <is>
          <t>Debt maturing in next 12 months (₹ thousand)</t>
        </is>
      </c>
      <c r="CG1" t="inlineStr">
        <is>
          <t>Floating-rate debt (₹ thousand)</t>
        </is>
      </c>
      <c r="CH1" t="inlineStr">
        <is>
          <t>EBITDA as reported in the Board pack (₹ thousand)</t>
        </is>
      </c>
      <c r="CI1" t="inlineStr">
        <is>
          <t>Revenue in the flash report (₹ thousand)</t>
        </is>
      </c>
      <c r="CJ1" t="inlineStr">
        <is>
          <t>Trade receivables, month end (₹ thousand)</t>
        </is>
      </c>
      <c r="CK1" t="inlineStr">
        <is>
          <t>Trade payables, month end (₹ thousand)</t>
        </is>
      </c>
      <c r="CL1" t="inlineStr">
        <is>
          <t>Inventory, month end (₹ thousand)</t>
        </is>
      </c>
      <c r="CM1" t="inlineStr">
        <is>
          <t>Cash collected from customers (₹ thousand)</t>
        </is>
      </c>
      <c r="CN1" t="inlineStr">
        <is>
          <t>Cash released by working-capital actions (₹ thousand)</t>
        </is>
      </c>
      <c r="CO1" t="inlineStr">
        <is>
          <t>Cash due to be upstreamed to Group, next 30 days (₹ thousand)</t>
        </is>
      </c>
      <c r="CP1" t="inlineStr">
        <is>
          <t>Of which covered by available cash (₹ thousand)</t>
        </is>
      </c>
      <c r="CQ1" t="inlineStr">
        <is>
          <t>Invoices collected (count)</t>
        </is>
      </c>
      <c r="CR1" t="inlineStr">
        <is>
          <t>Days taken to collect, all invoices (days)</t>
        </is>
      </c>
      <c r="CS1" t="inlineStr">
        <is>
          <t>Agreed payment terms, all invoices (days)</t>
        </is>
      </c>
      <c r="CT1" t="inlineStr">
        <is>
          <t>Customers more than 30 days overdue (count)</t>
        </is>
      </c>
      <c r="CU1" t="inlineStr">
        <is>
          <t>Forecast EBITDA, rest of year (₹ thousand)</t>
        </is>
      </c>
      <c r="CV1" t="inlineStr">
        <is>
          <t>Planned EBITDA, rest of year (₹ thousand)</t>
        </is>
      </c>
      <c r="CW1" t="inlineStr">
        <is>
          <t>Forecast net cash flow, next 90 days (₹ thousand)</t>
        </is>
      </c>
      <c r="CX1" t="inlineStr">
        <is>
          <t>Forecast net debt at quarter end (₹ thousand)</t>
        </is>
      </c>
      <c r="CY1" t="inlineStr">
        <is>
          <t>Forecast EBITDA, 12 months to quarter end (₹ thousand)</t>
        </is>
      </c>
      <c r="CZ1" t="inlineStr">
        <is>
          <t>Foreign-currency exposure, gross (₹ thousand)</t>
        </is>
      </c>
      <c r="DA1" t="inlineStr">
        <is>
          <t>Foreign-currency exposure hedged (₹ thousand)</t>
        </is>
      </c>
      <c r="DB1" t="inlineStr">
        <is>
          <t>USD exposure, gross (₹ thousand)</t>
        </is>
      </c>
      <c r="DC1" t="inlineStr">
        <is>
          <t>USD exposure hedged (₹ thousand)</t>
        </is>
      </c>
      <c r="DD1" t="inlineStr">
        <is>
          <t>Change in value of hedges (₹ thousand)</t>
        </is>
      </c>
      <c r="DE1" t="inlineStr">
        <is>
          <t>Change in value of hedged items (₹ thousand)</t>
        </is>
      </c>
      <c r="DF1" t="inlineStr">
        <is>
          <t>Forecast foreign-currency flows, next 6 months (₹ thousand)</t>
        </is>
      </c>
      <c r="DG1" t="inlineStr">
        <is>
          <t>Of which hedged (₹ thousand)</t>
        </is>
      </c>
      <c r="DH1" t="inlineStr">
        <is>
          <t>Approved capex budget, full year (₹ thousand)</t>
        </is>
      </c>
      <c r="DI1" t="inlineStr">
        <is>
          <t>Capex committed to date (₹ thousand)</t>
        </is>
      </c>
      <c r="DJ1" t="inlineStr">
        <is>
          <t>Capex spent in the month (₹ thousand)</t>
        </is>
      </c>
      <c r="DK1" t="inlineStr">
        <is>
          <t>Capex work completed, valued at budget (₹ thousand)</t>
        </is>
      </c>
      <c r="DL1" t="inlineStr">
        <is>
          <t>Budget of capex projects at risk (₹ thousand)</t>
        </is>
      </c>
      <c r="DM1" t="inlineStr">
        <is>
          <t>Capex projects on track (count)</t>
        </is>
      </c>
      <c r="DN1" t="inlineStr">
        <is>
          <t>Capex projects at risk (count)</t>
        </is>
      </c>
      <c r="DO1" t="inlineStr">
        <is>
          <t>Capex projects off track (count)</t>
        </is>
      </c>
      <c r="DP1" t="inlineStr">
        <is>
          <t>Capex projects delayed (count)</t>
        </is>
      </c>
      <c r="DQ1" t="inlineStr">
        <is>
          <t>Contractor milestones due (count)</t>
        </is>
      </c>
      <c r="DR1" t="inlineStr">
        <is>
          <t>Contractor days late, all milestones (days)</t>
        </is>
      </c>
      <c r="DS1" t="inlineStr">
        <is>
          <t>Transformation initiatives on track (count)</t>
        </is>
      </c>
      <c r="DT1" t="inlineStr">
        <is>
          <t>Transformation initiatives at risk (count)</t>
        </is>
      </c>
      <c r="DU1" t="inlineStr">
        <is>
          <t>Transformation initiatives delayed (count)</t>
        </is>
      </c>
      <c r="DV1" t="inlineStr">
        <is>
          <t>Transformation milestones in plan (count)</t>
        </is>
      </c>
      <c r="DW1" t="inlineStr">
        <is>
          <t>Transformation milestones completed (count)</t>
        </is>
      </c>
      <c r="DX1" t="inlineStr">
        <is>
          <t>Programme benefits planned in the month (₹ thousand)</t>
        </is>
      </c>
      <c r="DY1" t="inlineStr">
        <is>
          <t>Programme benefits delivered in the month (₹ thousand)</t>
        </is>
      </c>
      <c r="DZ1" t="inlineStr">
        <is>
          <t>EBITDA benefit delivered (₹ thousand)</t>
        </is>
      </c>
      <c r="EA1" t="inlineStr">
        <is>
          <t>Cash benefit delivered (₹ thousand)</t>
        </is>
      </c>
      <c r="EB1" t="inlineStr">
        <is>
          <t>Cost savings delivered (₹ thousand)</t>
        </is>
      </c>
      <c r="EC1" t="inlineStr">
        <is>
          <t>Active supply contracts (count)</t>
        </is>
      </c>
      <c r="ED1" t="inlineStr">
        <is>
          <t>Contracts fully compliant (count)</t>
        </is>
      </c>
      <c r="EE1" t="inlineStr">
        <is>
          <t>Contracts expiring in next 90 days (count)</t>
        </is>
      </c>
      <c r="EF1" t="inlineStr">
        <is>
          <t>Suppliers not meeting EHS requirements (count)</t>
        </is>
      </c>
      <c r="EG1" t="inlineStr">
        <is>
          <t>Critical single-source suppliers (count)</t>
        </is>
      </c>
      <c r="EH1" t="inlineStr">
        <is>
          <t>Control failures (count)</t>
        </is>
      </c>
      <c r="EI1" t="inlineStr">
        <is>
          <t>High-severity control failures (count)</t>
        </is>
      </c>
      <c r="EJ1" t="inlineStr">
        <is>
          <t>Assurance reviews planned (count)</t>
        </is>
      </c>
      <c r="EK1" t="inlineStr">
        <is>
          <t>Assurance reviews completed (count)</t>
        </is>
      </c>
      <c r="EL1" t="inlineStr">
        <is>
          <t>Policy exceptions (count)</t>
        </is>
      </c>
      <c r="EM1" t="inlineStr">
        <is>
          <t>Unauthorised vendor uses (count)</t>
        </is>
      </c>
      <c r="EN1" t="inlineStr">
        <is>
          <t>Segregation-of-duties exceptions (count)</t>
        </is>
      </c>
      <c r="EO1" t="inlineStr">
        <is>
          <t>Unauthorised access events (count)</t>
        </is>
      </c>
      <c r="EP1" t="inlineStr">
        <is>
          <t>Data-sharing exceptions (count)</t>
        </is>
      </c>
      <c r="EQ1" t="inlineStr">
        <is>
          <t>Manual operational or system overrides (count)</t>
        </is>
      </c>
      <c r="ER1" t="inlineStr">
        <is>
          <t>Certification approvals past due date (count)</t>
        </is>
      </c>
      <c r="ES1" t="inlineStr">
        <is>
          <t>KPI values overridden (count)</t>
        </is>
      </c>
      <c r="ET1" t="inlineStr">
        <is>
          <t>Recurring data-quality issues (count)</t>
        </is>
      </c>
      <c r="EU1" t="inlineStr">
        <is>
          <t>Open audit findings (count)</t>
        </is>
      </c>
      <c r="EV1" t="inlineStr">
        <is>
          <t>Overdue assurance actions (count)</t>
        </is>
      </c>
      <c r="EW1" t="inlineStr">
        <is>
          <t>Repeat audit findings (count)</t>
        </is>
      </c>
      <c r="EX1" t="inlineStr">
        <is>
          <t>Leadership KPIs affected by open findings (count)</t>
        </is>
      </c>
      <c r="EY1" t="inlineStr">
        <is>
          <t>Evidence items required (count)</t>
        </is>
      </c>
      <c r="EZ1" t="inlineStr">
        <is>
          <t>Evidence items complete (count)</t>
        </is>
      </c>
      <c r="FA1" t="inlineStr">
        <is>
          <t>Audit findings closed in the month (count)</t>
        </is>
      </c>
      <c r="FB1" t="inlineStr">
        <is>
          <t>Days taken to close those findings (days)</t>
        </is>
      </c>
      <c r="FC1" t="inlineStr">
        <is>
          <t>Leadership KPI values reported (count)</t>
        </is>
      </c>
      <c r="FD1" t="inlineStr">
        <is>
          <t>Of which certified (count)</t>
        </is>
      </c>
      <c r="FE1" t="inlineStr">
        <is>
          <t>Of which inside the certification process (count)</t>
        </is>
      </c>
      <c r="FF1" t="inlineStr">
        <is>
          <t>Certifications overdue (count)</t>
        </is>
      </c>
      <c r="FG1" t="inlineStr">
        <is>
          <t>Open reconciliation breaks (count)</t>
        </is>
      </c>
      <c r="FH1" t="inlineStr">
        <is>
          <t>Material reconciliation breaks (count)</t>
        </is>
      </c>
      <c r="FI1" t="inlineStr">
        <is>
          <t>Records loaded to the data lake (count)</t>
        </is>
      </c>
      <c r="FJ1" t="inlineStr">
        <is>
          <t>Records reconciled to source (count)</t>
        </is>
      </c>
      <c r="FK1" t="inlineStr">
        <is>
          <t>Flash report lines (count)</t>
        </is>
      </c>
      <c r="FL1" t="inlineStr">
        <is>
          <t>Flash lines matching MIS (count)</t>
        </is>
      </c>
      <c r="FM1" t="inlineStr">
        <is>
          <t>Open critical alerts (count)</t>
        </is>
      </c>
      <c r="FN1" t="inlineStr">
        <is>
          <t>Alerts with no accepted owner (count)</t>
        </is>
      </c>
      <c r="FO1" t="inlineStr">
        <is>
          <t>Overdue actions (count)</t>
        </is>
      </c>
      <c r="FP1" t="inlineStr">
        <is>
          <t>Alerts resolved in the month (count)</t>
        </is>
      </c>
      <c r="FQ1" t="inlineStr">
        <is>
          <t>Days taken to resolve those alerts (days)</t>
        </is>
      </c>
      <c r="FR1" t="inlineStr">
        <is>
          <t>Escalations closed in the month (count)</t>
        </is>
      </c>
      <c r="FS1" t="inlineStr">
        <is>
          <t>Repeat issues raised in the month (count)</t>
        </is>
      </c>
      <c r="FT1" t="inlineStr">
        <is>
          <t>Root causes identified (count)</t>
        </is>
      </c>
      <c r="FU1" t="inlineStr">
        <is>
          <t>Root causes eliminated (count)</t>
        </is>
      </c>
      <c r="FV1" t="inlineStr">
        <is>
          <t>EBITDA (₹ thousand)</t>
        </is>
      </c>
      <c r="FW1" t="inlineStr">
        <is>
          <t>EBIT (₹ thousand)</t>
        </is>
      </c>
      <c r="FX1" t="inlineStr">
        <is>
          <t>Net working capital (₹ thousand)</t>
        </is>
      </c>
      <c r="FY1" t="inlineStr">
        <is>
          <t>Change in net working capital (₹ thousand)</t>
        </is>
      </c>
      <c r="FZ1" t="inlineStr">
        <is>
          <t>Operating cash flow (₹ thousand)</t>
        </is>
      </c>
      <c r="GA1" t="inlineStr">
        <is>
          <t>Free cash flow (₹ thousand)</t>
        </is>
      </c>
      <c r="GB1" t="inlineStr">
        <is>
          <t>Net debt (₹ thousand)</t>
        </is>
      </c>
      <c r="GC1" t="inlineStr">
        <is>
          <t>EBITDA, annualised (₹ thousand)</t>
        </is>
      </c>
      <c r="GD1" t="inlineStr">
        <is>
          <t>DSO (days)</t>
        </is>
      </c>
      <c r="GE1" t="inlineStr">
        <is>
          <t>DPO (days)</t>
        </is>
      </c>
      <c r="GF1" t="inlineStr">
        <is>
          <t>Inventory days (days)</t>
        </is>
      </c>
      <c r="GG1" t="inlineStr">
        <is>
          <t>Realised price vs plan (%)</t>
        </is>
      </c>
      <c r="GH1" t="inlineStr">
        <is>
          <t>Full-time employees (FTE, count)</t>
        </is>
      </c>
      <c r="GI1" t="inlineStr">
        <is>
          <t>FCF plan, full year (₹ thousand)</t>
        </is>
      </c>
      <c r="GJ1" t="inlineStr">
        <is>
          <t>Forecast FCF, rest of year (₹ thousand)</t>
        </is>
      </c>
      <c r="GK1" t="inlineStr">
        <is>
          <t>Forecast EBIT, rest of year (₹ thousand)</t>
        </is>
      </c>
      <c r="GL1" t="inlineStr">
        <is>
          <t>Forecast capital employed at P12 (₹ thousand)</t>
        </is>
      </c>
      <c r="GM1" t="inlineStr">
        <is>
          <t>EBITDA plan, full year (₹ thousand)</t>
        </is>
      </c>
      <c r="GN1" t="inlineStr">
        <is>
          <t>EBITDA full-year forecast uncertainty, 1σ (₹ thousand)</t>
        </is>
      </c>
      <c r="GO1" t="inlineStr">
        <is>
          <t>Hours to nearest open disclosure deadline (999 = none)</t>
        </is>
      </c>
      <c r="GP1" t="inlineStr">
        <is>
          <t>Single-source suppliers with cover below lead time (count)</t>
        </is>
      </c>
      <c r="GQ1" t="inlineStr">
        <is>
          <t>RM-1 price index (external, same for every entity)</t>
        </is>
      </c>
      <c r="GR1" t="inlineStr">
        <is>
          <t>Supply lanes with a disruption flag (count)</t>
        </is>
      </c>
    </row>
    <row r="2">
      <c r="A2" t="inlineStr">
        <is>
          <t>group</t>
        </is>
      </c>
      <c r="B2" t="inlineStr">
        <is>
          <t>period</t>
        </is>
      </c>
      <c r="C2" t="inlineStr">
        <is>
          <t>days</t>
        </is>
      </c>
      <c r="D2" t="inlineStr">
        <is>
          <t>ytd_months</t>
        </is>
      </c>
      <c r="E2" t="inlineStr">
        <is>
          <t>calendar_hours</t>
        </is>
      </c>
      <c r="F2" t="inlineStr">
        <is>
          <t>planned_op_hours</t>
        </is>
      </c>
      <c r="G2" t="inlineStr">
        <is>
          <t>run_hours</t>
        </is>
      </c>
      <c r="H2" t="inlineStr">
        <is>
          <t>unplanned_downtime_hours</t>
        </is>
      </c>
      <c r="I2" t="inlineStr">
        <is>
          <t>ideal_output_t</t>
        </is>
      </c>
      <c r="J2" t="inlineStr">
        <is>
          <t>installed_capacity_t</t>
        </is>
      </c>
      <c r="K2" t="inlineStr">
        <is>
          <t>planned_production_t</t>
        </is>
      </c>
      <c r="L2" t="inlineStr">
        <is>
          <t>gross_output_t</t>
        </is>
      </c>
      <c r="M2" t="inlineStr">
        <is>
          <t>good_output_t</t>
        </is>
      </c>
      <c r="N2" t="inlineStr">
        <is>
          <t>feed_input_t</t>
        </is>
      </c>
      <c r="O2" t="inlineStr">
        <is>
          <t>feed_contained_t</t>
        </is>
      </c>
      <c r="P2" t="inlineStr">
        <is>
          <t>recovered_contained_t</t>
        </is>
      </c>
      <c r="Q2" t="inlineStr">
        <is>
          <t>prod_loss_downtime_t</t>
        </is>
      </c>
      <c r="R2" t="inlineStr">
        <is>
          <t>failures</t>
        </is>
      </c>
      <c r="S2" t="inlineStr">
        <is>
          <t>repair_hours</t>
        </is>
      </c>
      <c r="T2" t="inlineStr">
        <is>
          <t>pm_scheduled</t>
        </is>
      </c>
      <c r="U2" t="inlineStr">
        <is>
          <t>pm_completed</t>
        </is>
      </c>
      <c r="V2" t="inlineStr">
        <is>
          <t>variable_cost_k</t>
        </is>
      </c>
      <c r="W2" t="inlineStr">
        <is>
          <t>fuel_cost_k</t>
        </is>
      </c>
      <c r="X2" t="inlineStr">
        <is>
          <t>fixed_cost_k</t>
        </is>
      </c>
      <c r="Y2" t="inlineStr">
        <is>
          <t>water_m3</t>
        </is>
      </c>
      <c r="Z2" t="inlineStr">
        <is>
          <t>emissions_tco2e</t>
        </is>
      </c>
      <c r="AA2" t="inlineStr">
        <is>
          <t>energy_gj</t>
        </is>
      </c>
      <c r="AB2" t="inlineStr">
        <is>
          <t>production_at_risk_t</t>
        </is>
      </c>
      <c r="AC2" t="inlineStr">
        <is>
          <t>critical_plant_alerts</t>
        </is>
      </c>
      <c r="AD2" t="inlineStr">
        <is>
          <t>hours_worked</t>
        </is>
      </c>
      <c r="AE2" t="inlineStr">
        <is>
          <t>recordable_injuries</t>
        </is>
      </c>
      <c r="AF2" t="inlineStr">
        <is>
          <t>severity_incidents</t>
        </is>
      </c>
      <c r="AG2" t="inlineStr">
        <is>
          <t>near_misses</t>
        </is>
      </c>
      <c r="AH2" t="inlineStr">
        <is>
          <t>critical_safety_incidents</t>
        </is>
      </c>
      <c r="AI2" t="inlineStr">
        <is>
          <t>env_excursions</t>
        </is>
      </c>
      <c r="AJ2" t="inlineStr">
        <is>
          <t>env_violations</t>
        </is>
      </c>
      <c r="AK2" t="inlineStr">
        <is>
          <t>ehs_ca_open</t>
        </is>
      </c>
      <c r="AL2" t="inlineStr">
        <is>
          <t>ehs_ca_overdue</t>
        </is>
      </c>
      <c r="AM2" t="inlineStr">
        <is>
          <t>investigations_due</t>
        </is>
      </c>
      <c r="AN2" t="inlineStr">
        <is>
          <t>investigations_completed</t>
        </is>
      </c>
      <c r="AO2" t="inlineStr">
        <is>
          <t>critical_material_risks</t>
        </is>
      </c>
      <c r="AP2" t="inlineStr">
        <is>
          <t>dispatches_total</t>
        </is>
      </c>
      <c r="AQ2" t="inlineStr">
        <is>
          <t>dispatches_delayed</t>
        </is>
      </c>
      <c r="AR2" t="inlineStr">
        <is>
          <t>permit_days_to_expiry</t>
        </is>
      </c>
      <c r="AS2" t="inlineStr">
        <is>
          <t>sales_t</t>
        </is>
      </c>
      <c r="AT2" t="inlineStr">
        <is>
          <t>planned_sales_t</t>
        </is>
      </c>
      <c r="AU2" t="inlineStr">
        <is>
          <t>revenue_k</t>
        </is>
      </c>
      <c r="AV2" t="inlineStr">
        <is>
          <t>planned_revenue_k</t>
        </is>
      </c>
      <c r="AW2" t="inlineStr">
        <is>
          <t>power_cost_k</t>
        </is>
      </c>
      <c r="AX2" t="inlineStr">
        <is>
          <t>depreciation_k</t>
        </is>
      </c>
      <c r="AY2" t="inlineStr">
        <is>
          <t>po_lines_due</t>
        </is>
      </c>
      <c r="AZ2" t="inlineStr">
        <is>
          <t>po_lines_on_time</t>
        </is>
      </c>
      <c r="BA2" t="inlineStr">
        <is>
          <t>qty_ordered_t</t>
        </is>
      </c>
      <c r="BB2" t="inlineStr">
        <is>
          <t>qty_received_t</t>
        </is>
      </c>
      <c r="BC2" t="inlineStr">
        <is>
          <t>qty_rejected_t</t>
        </is>
      </c>
      <c r="BD2" t="inlineStr">
        <is>
          <t>lead_time_planned_days</t>
        </is>
      </c>
      <c r="BE2" t="inlineStr">
        <is>
          <t>lead_time_actual_days</t>
        </is>
      </c>
      <c r="BF2" t="inlineStr">
        <is>
          <t>supplier_spend_k</t>
        </is>
      </c>
      <c r="BG2" t="inlineStr">
        <is>
          <t>single_source_spend_k</t>
        </is>
      </c>
      <c r="BH2" t="inlineStr">
        <is>
          <t>supplier_ehs_incidents</t>
        </is>
      </c>
      <c r="BI2" t="inlineStr">
        <is>
          <t>pending_filings</t>
        </is>
      </c>
      <c r="BJ2" t="inlineStr">
        <is>
          <t>reg_deadlines_30d</t>
        </is>
      </c>
      <c r="BK2" t="inlineStr">
        <is>
          <t>licences_expiring_12m</t>
        </is>
      </c>
      <c r="BL2" t="inlineStr">
        <is>
          <t>reg_obligations_due_30d</t>
        </is>
      </c>
      <c r="BM2" t="inlineStr">
        <is>
          <t>reg_obligations_overdue</t>
        </is>
      </c>
      <c r="BN2" t="inlineStr">
        <is>
          <t>reg_actions_open</t>
        </is>
      </c>
      <c r="BO2" t="inlineStr">
        <is>
          <t>compliance_actions_overdue</t>
        </is>
      </c>
      <c r="BP2" t="inlineStr">
        <is>
          <t>reg_breaches</t>
        </is>
      </c>
      <c r="BQ2" t="inlineStr">
        <is>
          <t>disclosure_events_open</t>
        </is>
      </c>
      <c r="BR2" t="inlineStr">
        <is>
          <t>ehs_escalation_clocks</t>
        </is>
      </c>
      <c r="BS2" t="inlineStr">
        <is>
          <t>days_to_breach</t>
        </is>
      </c>
      <c r="BT2" t="inlineStr">
        <is>
          <t>planned_production_next_t</t>
        </is>
      </c>
      <c r="BU2" t="inlineStr">
        <is>
          <t>forecast_good_next_t</t>
        </is>
      </c>
      <c r="BV2" t="inlineStr">
        <is>
          <t>forecast_good_var_next</t>
        </is>
      </c>
      <c r="BW2" t="inlineStr">
        <is>
          <t>ideal_output_next_t</t>
        </is>
      </c>
      <c r="BX2" t="inlineStr">
        <is>
          <t>forecast_downtime_loss_next_t</t>
        </is>
      </c>
      <c r="BY2" t="inlineStr">
        <is>
          <t>overhead_k</t>
        </is>
      </c>
      <c r="BZ2" t="inlineStr">
        <is>
          <t>tax_paid_k</t>
        </is>
      </c>
      <c r="CA2" t="inlineStr">
        <is>
          <t>capital_employed_k</t>
        </is>
      </c>
      <c r="CB2" t="inlineStr">
        <is>
          <t>gross_debt_k</t>
        </is>
      </c>
      <c r="CC2" t="inlineStr">
        <is>
          <t>cash_k</t>
        </is>
      </c>
      <c r="CD2" t="inlineStr">
        <is>
          <t>undrawn_facilities_k</t>
        </is>
      </c>
      <c r="CE2" t="inlineStr">
        <is>
          <t>debt_service_k</t>
        </is>
      </c>
      <c r="CF2" t="inlineStr">
        <is>
          <t>debt_maturing_12m_k</t>
        </is>
      </c>
      <c r="CG2" t="inlineStr">
        <is>
          <t>floating_rate_debt_k</t>
        </is>
      </c>
      <c r="CH2" t="inlineStr">
        <is>
          <t>board_ebitda_k</t>
        </is>
      </c>
      <c r="CI2" t="inlineStr">
        <is>
          <t>flash_revenue_k</t>
        </is>
      </c>
      <c r="CJ2" t="inlineStr">
        <is>
          <t>receivables_k</t>
        </is>
      </c>
      <c r="CK2" t="inlineStr">
        <is>
          <t>payables_k</t>
        </is>
      </c>
      <c r="CL2" t="inlineStr">
        <is>
          <t>inventory_k</t>
        </is>
      </c>
      <c r="CM2" t="inlineStr">
        <is>
          <t>collections_k</t>
        </is>
      </c>
      <c r="CN2" t="inlineStr">
        <is>
          <t>cash_released_k</t>
        </is>
      </c>
      <c r="CO2" t="inlineStr">
        <is>
          <t>upstream_due_k</t>
        </is>
      </c>
      <c r="CP2" t="inlineStr">
        <is>
          <t>upstream_covered_k</t>
        </is>
      </c>
      <c r="CQ2" t="inlineStr">
        <is>
          <t>invoices_collected</t>
        </is>
      </c>
      <c r="CR2" t="inlineStr">
        <is>
          <t>collection_days</t>
        </is>
      </c>
      <c r="CS2" t="inlineStr">
        <is>
          <t>terms_days</t>
        </is>
      </c>
      <c r="CT2" t="inlineStr">
        <is>
          <t>customers_overdue</t>
        </is>
      </c>
      <c r="CU2" t="inlineStr">
        <is>
          <t>forecast_ebitda_rest_k</t>
        </is>
      </c>
      <c r="CV2" t="inlineStr">
        <is>
          <t>planned_ebitda_rest_k</t>
        </is>
      </c>
      <c r="CW2" t="inlineStr">
        <is>
          <t>forecast_net_cash_flow_90d_k</t>
        </is>
      </c>
      <c r="CX2" t="inlineStr">
        <is>
          <t>forecast_net_debt_k</t>
        </is>
      </c>
      <c r="CY2" t="inlineStr">
        <is>
          <t>forecast_ebitda_ltm_k</t>
        </is>
      </c>
      <c r="CZ2" t="inlineStr">
        <is>
          <t>fx_exposure_k</t>
        </is>
      </c>
      <c r="DA2" t="inlineStr">
        <is>
          <t>fx_hedged_k</t>
        </is>
      </c>
      <c r="DB2" t="inlineStr">
        <is>
          <t>usd_exposure_k</t>
        </is>
      </c>
      <c r="DC2" t="inlineStr">
        <is>
          <t>usd_hedged_k</t>
        </is>
      </c>
      <c r="DD2" t="inlineStr">
        <is>
          <t>hedge_value_change_k</t>
        </is>
      </c>
      <c r="DE2" t="inlineStr">
        <is>
          <t>hedged_item_value_change_k</t>
        </is>
      </c>
      <c r="DF2" t="inlineStr">
        <is>
          <t>fx_flows_6m_k</t>
        </is>
      </c>
      <c r="DG2" t="inlineStr">
        <is>
          <t>fx_hedged_6m_k</t>
        </is>
      </c>
      <c r="DH2" t="inlineStr">
        <is>
          <t>capex_budget_k</t>
        </is>
      </c>
      <c r="DI2" t="inlineStr">
        <is>
          <t>capex_committed_k</t>
        </is>
      </c>
      <c r="DJ2" t="inlineStr">
        <is>
          <t>capex_spend_k</t>
        </is>
      </c>
      <c r="DK2" t="inlineStr">
        <is>
          <t>capex_earned_value_k</t>
        </is>
      </c>
      <c r="DL2" t="inlineStr">
        <is>
          <t>capex_at_risk_k</t>
        </is>
      </c>
      <c r="DM2" t="inlineStr">
        <is>
          <t>projects_on_track</t>
        </is>
      </c>
      <c r="DN2" t="inlineStr">
        <is>
          <t>projects_at_risk</t>
        </is>
      </c>
      <c r="DO2" t="inlineStr">
        <is>
          <t>projects_off_track</t>
        </is>
      </c>
      <c r="DP2" t="inlineStr">
        <is>
          <t>projects_delayed</t>
        </is>
      </c>
      <c r="DQ2" t="inlineStr">
        <is>
          <t>contractor_milestones_due</t>
        </is>
      </c>
      <c r="DR2" t="inlineStr">
        <is>
          <t>contractor_days_late</t>
        </is>
      </c>
      <c r="DS2" t="inlineStr">
        <is>
          <t>initiatives_on_track</t>
        </is>
      </c>
      <c r="DT2" t="inlineStr">
        <is>
          <t>initiatives_at_risk</t>
        </is>
      </c>
      <c r="DU2" t="inlineStr">
        <is>
          <t>initiatives_delayed</t>
        </is>
      </c>
      <c r="DV2" t="inlineStr">
        <is>
          <t>milestones_total</t>
        </is>
      </c>
      <c r="DW2" t="inlineStr">
        <is>
          <t>milestones_done</t>
        </is>
      </c>
      <c r="DX2" t="inlineStr">
        <is>
          <t>benefits_planned_k</t>
        </is>
      </c>
      <c r="DY2" t="inlineStr">
        <is>
          <t>benefits_delivered_k</t>
        </is>
      </c>
      <c r="DZ2" t="inlineStr">
        <is>
          <t>ebitda_benefit_k</t>
        </is>
      </c>
      <c r="EA2" t="inlineStr">
        <is>
          <t>cash_benefit_k</t>
        </is>
      </c>
      <c r="EB2" t="inlineStr">
        <is>
          <t>cost_savings_k</t>
        </is>
      </c>
      <c r="EC2" t="inlineStr">
        <is>
          <t>contracts_total</t>
        </is>
      </c>
      <c r="ED2" t="inlineStr">
        <is>
          <t>contracts_compliant</t>
        </is>
      </c>
      <c r="EE2" t="inlineStr">
        <is>
          <t>contracts_expiring_90d</t>
        </is>
      </c>
      <c r="EF2" t="inlineStr">
        <is>
          <t>supplier_ehs_noncompliance</t>
        </is>
      </c>
      <c r="EG2" t="inlineStr">
        <is>
          <t>single_source_suppliers</t>
        </is>
      </c>
      <c r="EH2" t="inlineStr">
        <is>
          <t>control_failures</t>
        </is>
      </c>
      <c r="EI2" t="inlineStr">
        <is>
          <t>control_failures_high</t>
        </is>
      </c>
      <c r="EJ2" t="inlineStr">
        <is>
          <t>assurance_reviews_planned</t>
        </is>
      </c>
      <c r="EK2" t="inlineStr">
        <is>
          <t>assurance_reviews_done</t>
        </is>
      </c>
      <c r="EL2" t="inlineStr">
        <is>
          <t>policy_exceptions</t>
        </is>
      </c>
      <c r="EM2" t="inlineStr">
        <is>
          <t>unauthorized_vendor_uses</t>
        </is>
      </c>
      <c r="EN2" t="inlineStr">
        <is>
          <t>sod_exceptions</t>
        </is>
      </c>
      <c r="EO2" t="inlineStr">
        <is>
          <t>unauthorized_access_events</t>
        </is>
      </c>
      <c r="EP2" t="inlineStr">
        <is>
          <t>data_sharing_exceptions</t>
        </is>
      </c>
      <c r="EQ2" t="inlineStr">
        <is>
          <t>manual_overrides</t>
        </is>
      </c>
      <c r="ER2" t="inlineStr">
        <is>
          <t>cert_approvals_ageing</t>
        </is>
      </c>
      <c r="ES2" t="inlineStr">
        <is>
          <t>kpi_overrides</t>
        </is>
      </c>
      <c r="ET2" t="inlineStr">
        <is>
          <t>dq_issues_recurring</t>
        </is>
      </c>
      <c r="EU2" t="inlineStr">
        <is>
          <t>audit_findings_open</t>
        </is>
      </c>
      <c r="EV2" t="inlineStr">
        <is>
          <t>assurance_actions_overdue</t>
        </is>
      </c>
      <c r="EW2" t="inlineStr">
        <is>
          <t>repeat_findings</t>
        </is>
      </c>
      <c r="EX2" t="inlineStr">
        <is>
          <t>leadership_kpis_affected</t>
        </is>
      </c>
      <c r="EY2" t="inlineStr">
        <is>
          <t>evidence_required</t>
        </is>
      </c>
      <c r="EZ2" t="inlineStr">
        <is>
          <t>evidence_complete</t>
        </is>
      </c>
      <c r="FA2" t="inlineStr">
        <is>
          <t>findings_closed</t>
        </is>
      </c>
      <c r="FB2" t="inlineStr">
        <is>
          <t>finding_closure_days</t>
        </is>
      </c>
      <c r="FC2" t="inlineStr">
        <is>
          <t>kpis_leadership</t>
        </is>
      </c>
      <c r="FD2" t="inlineStr">
        <is>
          <t>kpis_certified</t>
        </is>
      </c>
      <c r="FE2" t="inlineStr">
        <is>
          <t>kpis_in_scope</t>
        </is>
      </c>
      <c r="FF2" t="inlineStr">
        <is>
          <t>certifications_overdue</t>
        </is>
      </c>
      <c r="FG2" t="inlineStr">
        <is>
          <t>recon_breaks_open</t>
        </is>
      </c>
      <c r="FH2" t="inlineStr">
        <is>
          <t>recon_breaks_material</t>
        </is>
      </c>
      <c r="FI2" t="inlineStr">
        <is>
          <t>lake_records_loaded</t>
        </is>
      </c>
      <c r="FJ2" t="inlineStr">
        <is>
          <t>lake_records_reconciled</t>
        </is>
      </c>
      <c r="FK2" t="inlineStr">
        <is>
          <t>mis_lines_total</t>
        </is>
      </c>
      <c r="FL2" t="inlineStr">
        <is>
          <t>mis_lines_matched</t>
        </is>
      </c>
      <c r="FM2" t="inlineStr">
        <is>
          <t>critical_alerts_open</t>
        </is>
      </c>
      <c r="FN2" t="inlineStr">
        <is>
          <t>alerts_unowned</t>
        </is>
      </c>
      <c r="FO2" t="inlineStr">
        <is>
          <t>actions_overdue</t>
        </is>
      </c>
      <c r="FP2" t="inlineStr">
        <is>
          <t>alerts_resolved</t>
        </is>
      </c>
      <c r="FQ2" t="inlineStr">
        <is>
          <t>alert_resolution_days</t>
        </is>
      </c>
      <c r="FR2" t="inlineStr">
        <is>
          <t>escalations_closed</t>
        </is>
      </c>
      <c r="FS2" t="inlineStr">
        <is>
          <t>repeat_issues</t>
        </is>
      </c>
      <c r="FT2" t="inlineStr">
        <is>
          <t>root_causes_identified</t>
        </is>
      </c>
      <c r="FU2" t="inlineStr">
        <is>
          <t>root_causes_eliminated</t>
        </is>
      </c>
      <c r="FV2" t="inlineStr">
        <is>
          <t>ebitda_k</t>
        </is>
      </c>
      <c r="FW2" t="inlineStr">
        <is>
          <t>ebit_k</t>
        </is>
      </c>
      <c r="FX2" t="inlineStr">
        <is>
          <t>nwc_k</t>
        </is>
      </c>
      <c r="FY2" t="inlineStr">
        <is>
          <t>nwc_change_k</t>
        </is>
      </c>
      <c r="FZ2" t="inlineStr">
        <is>
          <t>op_cash_flow_k</t>
        </is>
      </c>
      <c r="GA2" t="inlineStr">
        <is>
          <t>fcf_k</t>
        </is>
      </c>
      <c r="GB2" t="inlineStr">
        <is>
          <t>net_debt_k</t>
        </is>
      </c>
      <c r="GC2" t="inlineStr">
        <is>
          <t>ebitda_annualised_k</t>
        </is>
      </c>
      <c r="GD2" t="inlineStr">
        <is>
          <t>dso_d</t>
        </is>
      </c>
      <c r="GE2" t="inlineStr">
        <is>
          <t>dpo_d</t>
        </is>
      </c>
      <c r="GF2" t="inlineStr">
        <is>
          <t>dio_d</t>
        </is>
      </c>
      <c r="GG2" t="inlineStr">
        <is>
          <t>price_vs_plan_pct</t>
        </is>
      </c>
      <c r="GH2" t="inlineStr">
        <is>
          <t>fte</t>
        </is>
      </c>
      <c r="GI2" t="inlineStr">
        <is>
          <t>fcf_plan_fy_k</t>
        </is>
      </c>
      <c r="GJ2" t="inlineStr">
        <is>
          <t>forecast_fcf_rest_k</t>
        </is>
      </c>
      <c r="GK2" t="inlineStr">
        <is>
          <t>ebit_fcst_rest_k</t>
        </is>
      </c>
      <c r="GL2" t="inlineStr">
        <is>
          <t>capital_employed_p12_k</t>
        </is>
      </c>
      <c r="GM2" t="inlineStr">
        <is>
          <t>ebitda_plan_fy_k</t>
        </is>
      </c>
      <c r="GN2" t="inlineStr">
        <is>
          <t>ebitda_fy_sigma_k</t>
        </is>
      </c>
      <c r="GO2" t="inlineStr">
        <is>
          <t>disclosure_deadline_h</t>
        </is>
      </c>
      <c r="GP2" t="inlineStr">
        <is>
          <t>single_source_elevated</t>
        </is>
      </c>
      <c r="GQ2" t="inlineStr">
        <is>
          <t>rm1_price_index</t>
        </is>
      </c>
      <c r="GR2" t="inlineStr">
        <is>
          <t>freight_lanes_disrupted</t>
        </is>
      </c>
    </row>
    <row r="3">
      <c r="A3" t="inlineStr">
        <is>
          <t>Same layout as Group Inputs; inputs link to Plant Inputs (Plant 06). Entity-only inputs are blank, so KPIs that need them are not calculated at plant level.</t>
        </is>
      </c>
      <c r="E3" t="inlineStr">
        <is>
          <t>Sum of Entity A1 and Entity A2 (Entity Inputs sheet)</t>
        </is>
      </c>
      <c r="F3" t="inlineStr">
        <is>
          <t>Sum of Entity A1 and Entity A2 (Entity Inputs sheet)</t>
        </is>
      </c>
      <c r="G3" t="inlineStr">
        <is>
          <t>Sum of Entity A1 and Entity A2 (Entity Inputs sheet)</t>
        </is>
      </c>
      <c r="H3" t="inlineStr">
        <is>
          <t>Sum of Entity A1 and Entity A2 (Entity Inputs sheet)</t>
        </is>
      </c>
      <c r="I3" t="inlineStr">
        <is>
          <t>Sum of Entity A1 and Entity A2 (Entity Inputs sheet)</t>
        </is>
      </c>
      <c r="J3" t="inlineStr">
        <is>
          <t>Sum of Entity A1 and Entity A2 (Entity Inputs sheet)</t>
        </is>
      </c>
      <c r="K3" t="inlineStr">
        <is>
          <t>Sum of Entity A1 and Entity A2 (Entity Inputs sheet)</t>
        </is>
      </c>
      <c r="L3" t="inlineStr">
        <is>
          <t>Sum of Entity A1 and Entity A2 (Entity Inputs sheet)</t>
        </is>
      </c>
      <c r="M3" t="inlineStr">
        <is>
          <t>Sum of Entity A1 and Entity A2 (Entity Inputs sheet)</t>
        </is>
      </c>
      <c r="N3" t="inlineStr">
        <is>
          <t>Sum of Entity A1 and Entity A2 (Entity Inputs sheet)</t>
        </is>
      </c>
      <c r="O3" t="inlineStr">
        <is>
          <t>Sum of Entity A1 and Entity A2 (Entity Inputs sheet)</t>
        </is>
      </c>
      <c r="P3" t="inlineStr">
        <is>
          <t>Sum of Entity A1 and Entity A2 (Entity Inputs sheet)</t>
        </is>
      </c>
      <c r="Q3" t="inlineStr">
        <is>
          <t>Sum of Entity A1 and Entity A2 (Entity Inputs sheet)</t>
        </is>
      </c>
      <c r="R3" t="inlineStr">
        <is>
          <t>Sum of Entity A1 and Entity A2 (Entity Inputs sheet)</t>
        </is>
      </c>
      <c r="S3" t="inlineStr">
        <is>
          <t>Sum of Entity A1 and Entity A2 (Entity Inputs sheet)</t>
        </is>
      </c>
      <c r="T3" t="inlineStr">
        <is>
          <t>Sum of Entity A1 and Entity A2 (Entity Inputs sheet)</t>
        </is>
      </c>
      <c r="U3" t="inlineStr">
        <is>
          <t>Sum of Entity A1 and Entity A2 (Entity Inputs sheet)</t>
        </is>
      </c>
      <c r="V3" t="inlineStr">
        <is>
          <t>Sum of Entity A1 and Entity A2 (Entity Inputs sheet)</t>
        </is>
      </c>
      <c r="W3" t="inlineStr">
        <is>
          <t>Sum of Entity A1 and Entity A2 (Entity Inputs sheet)</t>
        </is>
      </c>
      <c r="X3" t="inlineStr">
        <is>
          <t>Sum of Entity A1 and Entity A2 (Entity Inputs sheet)</t>
        </is>
      </c>
      <c r="Y3" t="inlineStr">
        <is>
          <t>Sum of Entity A1 and Entity A2 (Entity Inputs sheet)</t>
        </is>
      </c>
      <c r="Z3" t="inlineStr">
        <is>
          <t>Sum of Entity A1 and Entity A2 (Entity Inputs sheet)</t>
        </is>
      </c>
      <c r="AA3" t="inlineStr">
        <is>
          <t>Sum of Entity A1 and Entity A2 (Entity Inputs sheet)</t>
        </is>
      </c>
      <c r="AB3" t="inlineStr">
        <is>
          <t>Sum of Entity A1 and Entity A2 (Entity Inputs sheet)</t>
        </is>
      </c>
      <c r="AC3" t="inlineStr">
        <is>
          <t>Sum of Entity A1 and Entity A2 (Entity Inputs sheet)</t>
        </is>
      </c>
      <c r="AD3" t="inlineStr">
        <is>
          <t>Sum of Entity A1 and Entity A2 (Entity Inputs sheet)</t>
        </is>
      </c>
      <c r="AE3" t="inlineStr">
        <is>
          <t>Sum of Entity A1 and Entity A2 (Entity Inputs sheet)</t>
        </is>
      </c>
      <c r="AF3" t="inlineStr">
        <is>
          <t>Sum of Entity A1 and Entity A2 (Entity Inputs sheet)</t>
        </is>
      </c>
      <c r="AG3" t="inlineStr">
        <is>
          <t>Sum of Entity A1 and Entity A2 (Entity Inputs sheet)</t>
        </is>
      </c>
      <c r="AH3" t="inlineStr">
        <is>
          <t>Sum of Entity A1 and Entity A2 (Entity Inputs sheet)</t>
        </is>
      </c>
      <c r="AI3" t="inlineStr">
        <is>
          <t>Sum of Entity A1 and Entity A2 (Entity Inputs sheet)</t>
        </is>
      </c>
      <c r="AJ3" t="inlineStr">
        <is>
          <t>Sum of Entity A1 and Entity A2 (Entity Inputs sheet)</t>
        </is>
      </c>
      <c r="AK3" t="inlineStr">
        <is>
          <t>Sum of Entity A1 and Entity A2 (Entity Inputs sheet)</t>
        </is>
      </c>
      <c r="AL3" t="inlineStr">
        <is>
          <t>Sum of Entity A1 and Entity A2 (Entity Inputs sheet)</t>
        </is>
      </c>
      <c r="AM3" t="inlineStr">
        <is>
          <t>Sum of Entity A1 and Entity A2 (Entity Inputs sheet)</t>
        </is>
      </c>
      <c r="AN3" t="inlineStr">
        <is>
          <t>Sum of Entity A1 and Entity A2 (Entity Inputs sheet)</t>
        </is>
      </c>
      <c r="AO3" t="inlineStr">
        <is>
          <t>Sum of Entity A1 and Entity A2 (Entity Inputs sheet)</t>
        </is>
      </c>
      <c r="AP3" t="inlineStr">
        <is>
          <t>Sum of Entity A1 and Entity A2 (Entity Inputs sheet)</t>
        </is>
      </c>
      <c r="AQ3" t="inlineStr">
        <is>
          <t>Sum of Entity A1 and Entity A2 (Entity Inputs sheet)</t>
        </is>
      </c>
      <c r="AR3" t="inlineStr">
        <is>
          <t>Lowest of Entity A1 and Entity A2 (Entity Inputs sheet)</t>
        </is>
      </c>
      <c r="AS3" t="inlineStr">
        <is>
          <t>Sum of Entity A1 and Entity A2 (Entity Inputs sheet)</t>
        </is>
      </c>
      <c r="AT3" t="inlineStr">
        <is>
          <t>Sum of Entity A1 and Entity A2 (Entity Inputs sheet)</t>
        </is>
      </c>
      <c r="AU3" t="inlineStr">
        <is>
          <t>Sum of Entity A1 and Entity A2 (Entity Inputs sheet)</t>
        </is>
      </c>
      <c r="AV3" t="inlineStr">
        <is>
          <t>Sum of Entity A1 and Entity A2 (Entity Inputs sheet)</t>
        </is>
      </c>
      <c r="AW3" t="inlineStr">
        <is>
          <t>Sum of Entity A1 and Entity A2 (Entity Inputs sheet)</t>
        </is>
      </c>
      <c r="AX3" t="inlineStr">
        <is>
          <t>Sum of Entity A1 and Entity A2 (Entity Inputs sheet)</t>
        </is>
      </c>
      <c r="AY3" t="inlineStr">
        <is>
          <t>Sum of Entity A1 and Entity A2 (Entity Inputs sheet)</t>
        </is>
      </c>
      <c r="AZ3" t="inlineStr">
        <is>
          <t>Sum of Entity A1 and Entity A2 (Entity Inputs sheet)</t>
        </is>
      </c>
      <c r="BA3" t="inlineStr">
        <is>
          <t>Sum of Entity A1 and Entity A2 (Entity Inputs sheet)</t>
        </is>
      </c>
      <c r="BB3" t="inlineStr">
        <is>
          <t>Sum of Entity A1 and Entity A2 (Entity Inputs sheet)</t>
        </is>
      </c>
      <c r="BC3" t="inlineStr">
        <is>
          <t>Sum of Entity A1 and Entity A2 (Entity Inputs sheet)</t>
        </is>
      </c>
      <c r="BD3" t="inlineStr">
        <is>
          <t>Sum of Entity A1 and Entity A2 (Entity Inputs sheet)</t>
        </is>
      </c>
      <c r="BE3" t="inlineStr">
        <is>
          <t>Sum of Entity A1 and Entity A2 (Entity Inputs sheet)</t>
        </is>
      </c>
      <c r="BF3" t="inlineStr">
        <is>
          <t>Sum of Entity A1 and Entity A2 (Entity Inputs sheet)</t>
        </is>
      </c>
      <c r="BG3" t="inlineStr">
        <is>
          <t>Sum of Entity A1 and Entity A2 (Entity Inputs sheet)</t>
        </is>
      </c>
      <c r="BH3" t="inlineStr">
        <is>
          <t>Sum of Entity A1 and Entity A2 (Entity Inputs sheet)</t>
        </is>
      </c>
      <c r="BI3" t="inlineStr">
        <is>
          <t>Sum of Entity A1 and Entity A2 (Entity Inputs sheet)</t>
        </is>
      </c>
      <c r="BJ3" t="inlineStr">
        <is>
          <t>Sum of Entity A1 and Entity A2 (Entity Inputs sheet)</t>
        </is>
      </c>
      <c r="BK3" t="inlineStr">
        <is>
          <t>Sum of Entity A1 and Entity A2 (Entity Inputs sheet)</t>
        </is>
      </c>
      <c r="BL3" t="inlineStr">
        <is>
          <t>Sum of Entity A1 and Entity A2 (Entity Inputs sheet)</t>
        </is>
      </c>
      <c r="BM3" t="inlineStr">
        <is>
          <t>Sum of Entity A1 and Entity A2 (Entity Inputs sheet)</t>
        </is>
      </c>
      <c r="BN3" t="inlineStr">
        <is>
          <t>Sum of Entity A1 and Entity A2 (Entity Inputs sheet)</t>
        </is>
      </c>
      <c r="BO3" t="inlineStr">
        <is>
          <t>Sum of Entity A1 and Entity A2 (Entity Inputs sheet)</t>
        </is>
      </c>
      <c r="BP3" t="inlineStr">
        <is>
          <t>Sum of Entity A1 and Entity A2 (Entity Inputs sheet)</t>
        </is>
      </c>
      <c r="BQ3" t="inlineStr">
        <is>
          <t>Sum of Entity A1 and Entity A2 (Entity Inputs sheet)</t>
        </is>
      </c>
      <c r="BR3" t="inlineStr">
        <is>
          <t>Sum of Entity A1 and Entity A2 (Entity Inputs sheet)</t>
        </is>
      </c>
      <c r="BS3" t="inlineStr">
        <is>
          <t>Lowest of Entity A1 and Entity A2 (Entity Inputs sheet)</t>
        </is>
      </c>
      <c r="BT3" t="inlineStr">
        <is>
          <t>Sum of Entity A1 and Entity A2 (Entity Inputs sheet)</t>
        </is>
      </c>
      <c r="BU3" t="inlineStr">
        <is>
          <t>Sum of Entity A1 and Entity A2 (Entity Inputs sheet)</t>
        </is>
      </c>
      <c r="BV3" t="inlineStr">
        <is>
          <t>Sum of Entity A1 and Entity A2 (Entity Inputs sheet)</t>
        </is>
      </c>
      <c r="BW3" t="inlineStr">
        <is>
          <t>Sum of Entity A1 and Entity A2 (Entity Inputs sheet)</t>
        </is>
      </c>
      <c r="BX3" t="inlineStr">
        <is>
          <t>Sum of Entity A1 and Entity A2 (Entity Inputs sheet)</t>
        </is>
      </c>
      <c r="BY3" t="inlineStr">
        <is>
          <t>Sum of Entity A1 and Entity A2 (Entity Inputs sheet)</t>
        </is>
      </c>
      <c r="BZ3" t="inlineStr">
        <is>
          <t>Sum of Entity A1 and Entity A2 (Entity Inputs sheet)</t>
        </is>
      </c>
      <c r="CA3" t="inlineStr">
        <is>
          <t>Sum of Entity A1 and Entity A2 (Entity Inputs sheet)</t>
        </is>
      </c>
      <c r="CB3" t="inlineStr">
        <is>
          <t>Sum of Entity A1 and Entity A2 (Entity Inputs sheet)</t>
        </is>
      </c>
      <c r="CC3" t="inlineStr">
        <is>
          <t>Sum of Entity A1 and Entity A2 (Entity Inputs sheet)</t>
        </is>
      </c>
      <c r="CD3" t="inlineStr">
        <is>
          <t>Sum of Entity A1 and Entity A2 (Entity Inputs sheet)</t>
        </is>
      </c>
      <c r="CE3" t="inlineStr">
        <is>
          <t>Sum of Entity A1 and Entity A2 (Entity Inputs sheet)</t>
        </is>
      </c>
      <c r="CF3" t="inlineStr">
        <is>
          <t>Sum of Entity A1 and Entity A2 (Entity Inputs sheet)</t>
        </is>
      </c>
      <c r="CG3" t="inlineStr">
        <is>
          <t>Sum of Entity A1 and Entity A2 (Entity Inputs sheet)</t>
        </is>
      </c>
      <c r="CH3" t="inlineStr">
        <is>
          <t>Sum of Entity A1 and Entity A2 (Entity Inputs sheet)</t>
        </is>
      </c>
      <c r="CI3" t="inlineStr">
        <is>
          <t>Sum of Entity A1 and Entity A2 (Entity Inputs sheet)</t>
        </is>
      </c>
      <c r="CJ3" t="inlineStr">
        <is>
          <t>Sum of Entity A1 and Entity A2 (Entity Inputs sheet)</t>
        </is>
      </c>
      <c r="CK3" t="inlineStr">
        <is>
          <t>Sum of Entity A1 and Entity A2 (Entity Inputs sheet)</t>
        </is>
      </c>
      <c r="CL3" t="inlineStr">
        <is>
          <t>Sum of Entity A1 and Entity A2 (Entity Inputs sheet)</t>
        </is>
      </c>
      <c r="CM3" t="inlineStr">
        <is>
          <t>Sum of Entity A1 and Entity A2 (Entity Inputs sheet)</t>
        </is>
      </c>
      <c r="CN3" t="inlineStr">
        <is>
          <t>Sum of Entity A1 and Entity A2 (Entity Inputs sheet)</t>
        </is>
      </c>
      <c r="CO3" t="inlineStr">
        <is>
          <t>Sum of Entity A1 and Entity A2 (Entity Inputs sheet)</t>
        </is>
      </c>
      <c r="CP3" t="inlineStr">
        <is>
          <t>Sum of Entity A1 and Entity A2 (Entity Inputs sheet)</t>
        </is>
      </c>
      <c r="CQ3" t="inlineStr">
        <is>
          <t>Sum of Entity A1 and Entity A2 (Entity Inputs sheet)</t>
        </is>
      </c>
      <c r="CR3" t="inlineStr">
        <is>
          <t>Sum of Entity A1 and Entity A2 (Entity Inputs sheet)</t>
        </is>
      </c>
      <c r="CS3" t="inlineStr">
        <is>
          <t>Sum of Entity A1 and Entity A2 (Entity Inputs sheet)</t>
        </is>
      </c>
      <c r="CT3" t="inlineStr">
        <is>
          <t>Sum of Entity A1 and Entity A2 (Entity Inputs sheet)</t>
        </is>
      </c>
      <c r="CU3" t="inlineStr">
        <is>
          <t>Sum of Entity A1 and Entity A2 (Entity Inputs sheet)</t>
        </is>
      </c>
      <c r="CV3" t="inlineStr">
        <is>
          <t>Sum of Entity A1 and Entity A2 (Entity Inputs sheet)</t>
        </is>
      </c>
      <c r="CW3" t="inlineStr">
        <is>
          <t>Sum of Entity A1 and Entity A2 (Entity Inputs sheet)</t>
        </is>
      </c>
      <c r="CX3" t="inlineStr">
        <is>
          <t>Sum of Entity A1 and Entity A2 (Entity Inputs sheet)</t>
        </is>
      </c>
      <c r="CY3" t="inlineStr">
        <is>
          <t>Sum of Entity A1 and Entity A2 (Entity Inputs sheet)</t>
        </is>
      </c>
      <c r="CZ3" t="inlineStr">
        <is>
          <t>Sum of Entity A1 and Entity A2 (Entity Inputs sheet)</t>
        </is>
      </c>
      <c r="DA3" t="inlineStr">
        <is>
          <t>Sum of Entity A1 and Entity A2 (Entity Inputs sheet)</t>
        </is>
      </c>
      <c r="DB3" t="inlineStr">
        <is>
          <t>Sum of Entity A1 and Entity A2 (Entity Inputs sheet)</t>
        </is>
      </c>
      <c r="DC3" t="inlineStr">
        <is>
          <t>Sum of Entity A1 and Entity A2 (Entity Inputs sheet)</t>
        </is>
      </c>
      <c r="DD3" t="inlineStr">
        <is>
          <t>Sum of Entity A1 and Entity A2 (Entity Inputs sheet)</t>
        </is>
      </c>
      <c r="DE3" t="inlineStr">
        <is>
          <t>Sum of Entity A1 and Entity A2 (Entity Inputs sheet)</t>
        </is>
      </c>
      <c r="DF3" t="inlineStr">
        <is>
          <t>Sum of Entity A1 and Entity A2 (Entity Inputs sheet)</t>
        </is>
      </c>
      <c r="DG3" t="inlineStr">
        <is>
          <t>Sum of Entity A1 and Entity A2 (Entity Inputs sheet)</t>
        </is>
      </c>
      <c r="DH3" t="inlineStr">
        <is>
          <t>Sum of Entity A1 and Entity A2 (Entity Inputs sheet)</t>
        </is>
      </c>
      <c r="DI3" t="inlineStr">
        <is>
          <t>Sum of Entity A1 and Entity A2 (Entity Inputs sheet)</t>
        </is>
      </c>
      <c r="DJ3" t="inlineStr">
        <is>
          <t>Sum of Entity A1 and Entity A2 (Entity Inputs sheet)</t>
        </is>
      </c>
      <c r="DK3" t="inlineStr">
        <is>
          <t>Sum of Entity A1 and Entity A2 (Entity Inputs sheet)</t>
        </is>
      </c>
      <c r="DL3" t="inlineStr">
        <is>
          <t>Sum of Entity A1 and Entity A2 (Entity Inputs sheet)</t>
        </is>
      </c>
      <c r="DM3" t="inlineStr">
        <is>
          <t>Sum of Entity A1 and Entity A2 (Entity Inputs sheet)</t>
        </is>
      </c>
      <c r="DN3" t="inlineStr">
        <is>
          <t>Sum of Entity A1 and Entity A2 (Entity Inputs sheet)</t>
        </is>
      </c>
      <c r="DO3" t="inlineStr">
        <is>
          <t>Sum of Entity A1 and Entity A2 (Entity Inputs sheet)</t>
        </is>
      </c>
      <c r="DP3" t="inlineStr">
        <is>
          <t>Sum of Entity A1 and Entity A2 (Entity Inputs sheet)</t>
        </is>
      </c>
      <c r="DQ3" t="inlineStr">
        <is>
          <t>Sum of Entity A1 and Entity A2 (Entity Inputs sheet)</t>
        </is>
      </c>
      <c r="DR3" t="inlineStr">
        <is>
          <t>Sum of Entity A1 and Entity A2 (Entity Inputs sheet)</t>
        </is>
      </c>
      <c r="DS3" t="inlineStr">
        <is>
          <t>Sum of Entity A1 and Entity A2 (Entity Inputs sheet)</t>
        </is>
      </c>
      <c r="DT3" t="inlineStr">
        <is>
          <t>Sum of Entity A1 and Entity A2 (Entity Inputs sheet)</t>
        </is>
      </c>
      <c r="DU3" t="inlineStr">
        <is>
          <t>Sum of Entity A1 and Entity A2 (Entity Inputs sheet)</t>
        </is>
      </c>
      <c r="DV3" t="inlineStr">
        <is>
          <t>Sum of Entity A1 and Entity A2 (Entity Inputs sheet)</t>
        </is>
      </c>
      <c r="DW3" t="inlineStr">
        <is>
          <t>Sum of Entity A1 and Entity A2 (Entity Inputs sheet)</t>
        </is>
      </c>
      <c r="DX3" t="inlineStr">
        <is>
          <t>Sum of Entity A1 and Entity A2 (Entity Inputs sheet)</t>
        </is>
      </c>
      <c r="DY3" t="inlineStr">
        <is>
          <t>Sum of Entity A1 and Entity A2 (Entity Inputs sheet)</t>
        </is>
      </c>
      <c r="DZ3" t="inlineStr">
        <is>
          <t>Sum of Entity A1 and Entity A2 (Entity Inputs sheet)</t>
        </is>
      </c>
      <c r="EA3" t="inlineStr">
        <is>
          <t>Sum of Entity A1 and Entity A2 (Entity Inputs sheet)</t>
        </is>
      </c>
      <c r="EB3" t="inlineStr">
        <is>
          <t>Sum of Entity A1 and Entity A2 (Entity Inputs sheet)</t>
        </is>
      </c>
      <c r="EC3" t="inlineStr">
        <is>
          <t>Sum of Entity A1 and Entity A2 (Entity Inputs sheet)</t>
        </is>
      </c>
      <c r="ED3" t="inlineStr">
        <is>
          <t>Sum of Entity A1 and Entity A2 (Entity Inputs sheet)</t>
        </is>
      </c>
      <c r="EE3" t="inlineStr">
        <is>
          <t>Sum of Entity A1 and Entity A2 (Entity Inputs sheet)</t>
        </is>
      </c>
      <c r="EF3" t="inlineStr">
        <is>
          <t>Sum of Entity A1 and Entity A2 (Entity Inputs sheet)</t>
        </is>
      </c>
      <c r="EG3" t="inlineStr">
        <is>
          <t>Sum of Entity A1 and Entity A2 (Entity Inputs sheet)</t>
        </is>
      </c>
      <c r="EH3" t="inlineStr">
        <is>
          <t>Sum of Entity A1 and Entity A2 (Entity Inputs sheet)</t>
        </is>
      </c>
      <c r="EI3" t="inlineStr">
        <is>
          <t>Sum of Entity A1 and Entity A2 (Entity Inputs sheet)</t>
        </is>
      </c>
      <c r="EJ3" t="inlineStr">
        <is>
          <t>Sum of Entity A1 and Entity A2 (Entity Inputs sheet)</t>
        </is>
      </c>
      <c r="EK3" t="inlineStr">
        <is>
          <t>Sum of Entity A1 and Entity A2 (Entity Inputs sheet)</t>
        </is>
      </c>
      <c r="EL3" t="inlineStr">
        <is>
          <t>Sum of Entity A1 and Entity A2 (Entity Inputs sheet)</t>
        </is>
      </c>
      <c r="EM3" t="inlineStr">
        <is>
          <t>Sum of Entity A1 and Entity A2 (Entity Inputs sheet)</t>
        </is>
      </c>
      <c r="EN3" t="inlineStr">
        <is>
          <t>Sum of Entity A1 and Entity A2 (Entity Inputs sheet)</t>
        </is>
      </c>
      <c r="EO3" t="inlineStr">
        <is>
          <t>Sum of Entity A1 and Entity A2 (Entity Inputs sheet)</t>
        </is>
      </c>
      <c r="EP3" t="inlineStr">
        <is>
          <t>Sum of Entity A1 and Entity A2 (Entity Inputs sheet)</t>
        </is>
      </c>
      <c r="EQ3" t="inlineStr">
        <is>
          <t>Sum of Entity A1 and Entity A2 (Entity Inputs sheet)</t>
        </is>
      </c>
      <c r="ER3" t="inlineStr">
        <is>
          <t>Sum of Entity A1 and Entity A2 (Entity Inputs sheet)</t>
        </is>
      </c>
      <c r="ES3" t="inlineStr">
        <is>
          <t>Sum of Entity A1 and Entity A2 (Entity Inputs sheet)</t>
        </is>
      </c>
      <c r="ET3" t="inlineStr">
        <is>
          <t>Sum of Entity A1 and Entity A2 (Entity Inputs sheet)</t>
        </is>
      </c>
      <c r="EU3" t="inlineStr">
        <is>
          <t>Sum of Entity A1 and Entity A2 (Entity Inputs sheet)</t>
        </is>
      </c>
      <c r="EV3" t="inlineStr">
        <is>
          <t>Sum of Entity A1 and Entity A2 (Entity Inputs sheet)</t>
        </is>
      </c>
      <c r="EW3" t="inlineStr">
        <is>
          <t>Sum of Entity A1 and Entity A2 (Entity Inputs sheet)</t>
        </is>
      </c>
      <c r="EX3" t="inlineStr">
        <is>
          <t>Sum of Entity A1 and Entity A2 (Entity Inputs sheet)</t>
        </is>
      </c>
      <c r="EY3" t="inlineStr">
        <is>
          <t>Sum of Entity A1 and Entity A2 (Entity Inputs sheet)</t>
        </is>
      </c>
      <c r="EZ3" t="inlineStr">
        <is>
          <t>Sum of Entity A1 and Entity A2 (Entity Inputs sheet)</t>
        </is>
      </c>
      <c r="FA3" t="inlineStr">
        <is>
          <t>Sum of Entity A1 and Entity A2 (Entity Inputs sheet)</t>
        </is>
      </c>
      <c r="FB3" t="inlineStr">
        <is>
          <t>Sum of Entity A1 and Entity A2 (Entity Inputs sheet)</t>
        </is>
      </c>
      <c r="FC3" t="inlineStr">
        <is>
          <t>Sum of Entity A1 and Entity A2 (Entity Inputs sheet)</t>
        </is>
      </c>
      <c r="FD3" t="inlineStr">
        <is>
          <t>Sum of Entity A1 and Entity A2 (Entity Inputs sheet)</t>
        </is>
      </c>
      <c r="FE3" t="inlineStr">
        <is>
          <t>Sum of Entity A1 and Entity A2 (Entity Inputs sheet)</t>
        </is>
      </c>
      <c r="FF3" t="inlineStr">
        <is>
          <t>Sum of Entity A1 and Entity A2 (Entity Inputs sheet)</t>
        </is>
      </c>
      <c r="FG3" t="inlineStr">
        <is>
          <t>Sum of Entity A1 and Entity A2 (Entity Inputs sheet)</t>
        </is>
      </c>
      <c r="FH3" t="inlineStr">
        <is>
          <t>Sum of Entity A1 and Entity A2 (Entity Inputs sheet)</t>
        </is>
      </c>
      <c r="FI3" t="inlineStr">
        <is>
          <t>Sum of Entity A1 and Entity A2 (Entity Inputs sheet)</t>
        </is>
      </c>
      <c r="FJ3" t="inlineStr">
        <is>
          <t>Sum of Entity A1 and Entity A2 (Entity Inputs sheet)</t>
        </is>
      </c>
      <c r="FK3" t="inlineStr">
        <is>
          <t>Sum of Entity A1 and Entity A2 (Entity Inputs sheet)</t>
        </is>
      </c>
      <c r="FL3" t="inlineStr">
        <is>
          <t>Sum of Entity A1 and Entity A2 (Entity Inputs sheet)</t>
        </is>
      </c>
      <c r="FM3" t="inlineStr">
        <is>
          <t>Sum of Entity A1 and Entity A2 (Entity Inputs sheet)</t>
        </is>
      </c>
      <c r="FN3" t="inlineStr">
        <is>
          <t>Sum of Entity A1 and Entity A2 (Entity Inputs sheet)</t>
        </is>
      </c>
      <c r="FO3" t="inlineStr">
        <is>
          <t>Sum of Entity A1 and Entity A2 (Entity Inputs sheet)</t>
        </is>
      </c>
      <c r="FP3" t="inlineStr">
        <is>
          <t>Sum of Entity A1 and Entity A2 (Entity Inputs sheet)</t>
        </is>
      </c>
      <c r="FQ3" t="inlineStr">
        <is>
          <t>Sum of Entity A1 and Entity A2 (Entity Inputs sheet)</t>
        </is>
      </c>
      <c r="FR3" t="inlineStr">
        <is>
          <t>Sum of Entity A1 and Entity A2 (Entity Inputs sheet)</t>
        </is>
      </c>
      <c r="FS3" t="inlineStr">
        <is>
          <t>Sum of Entity A1 and Entity A2 (Entity Inputs sheet)</t>
        </is>
      </c>
      <c r="FT3" t="inlineStr">
        <is>
          <t>Sum of Entity A1 and Entity A2 (Entity Inputs sheet)</t>
        </is>
      </c>
      <c r="FU3" t="inlineStr">
        <is>
          <t>Sum of Entity A1 and Entity A2 (Entity Inputs sheet)</t>
        </is>
      </c>
      <c r="FV3" t="inlineStr">
        <is>
          <t>Calculated: Revenue − Variable cost − Fixed cost − Overheads</t>
        </is>
      </c>
      <c r="FW3" t="inlineStr">
        <is>
          <t>Calculated: EBITDA − Depreciation and amortisation</t>
        </is>
      </c>
      <c r="FX3" t="inlineStr">
        <is>
          <t>Calculated: Trade receivables + Inventory − Trade payables</t>
        </is>
      </c>
      <c r="FY3" t="inlineStr">
        <is>
          <t>Calculated: Net working capital − last month's net working capital (April uses the 31 March balance on Parameters)</t>
        </is>
      </c>
      <c r="FZ3" t="inlineStr">
        <is>
          <t>Calculated: EBITDA − Tax paid − Change in net working capital</t>
        </is>
      </c>
      <c r="GA3" t="inlineStr">
        <is>
          <t>Calculated: Operating cash flow − Capex spent</t>
        </is>
      </c>
      <c r="GB3" t="inlineStr">
        <is>
          <t>Calculated: Gross debt − Cash</t>
        </is>
      </c>
      <c r="GC3" t="inlineStr">
        <is>
          <t>Calculated: EBITDA since April × 12 ÷ months elapsed</t>
        </is>
      </c>
      <c r="GD3" t="inlineStr">
        <is>
          <t>Calculated: Trade receivables ÷ Revenue × Days in month</t>
        </is>
      </c>
      <c r="GE3" t="inlineStr">
        <is>
          <t>Calculated: Trade payables ÷ Variable cost × Days in month</t>
        </is>
      </c>
      <c r="GF3" t="inlineStr">
        <is>
          <t>Calculated: Inventory ÷ Variable cost × Days in month</t>
        </is>
      </c>
      <c r="GG3" t="inlineStr">
        <is>
          <t>Calculated: (Revenue ÷ Sales volume) ÷ (Planned revenue ÷ Planned sales volume) − 1, as %</t>
        </is>
      </c>
      <c r="GH3" t="inlineStr">
        <is>
          <t>SUM of Entity A1 and Entity A2 (added)</t>
        </is>
      </c>
      <c r="GI3" t="inlineStr">
        <is>
          <t>SUM of Entity A1 and Entity A2 (added)</t>
        </is>
      </c>
      <c r="GJ3" t="inlineStr">
        <is>
          <t>SUM of Entity A1 and Entity A2 (added)</t>
        </is>
      </c>
      <c r="GK3" t="inlineStr">
        <is>
          <t>SUM of Entity A1 and Entity A2 (added)</t>
        </is>
      </c>
      <c r="GL3" t="inlineStr">
        <is>
          <t>SUM of Entity A1 and Entity A2 (added)</t>
        </is>
      </c>
      <c r="GM3" t="inlineStr">
        <is>
          <t>SUM of Entity A1 and Entity A2 (added)</t>
        </is>
      </c>
      <c r="GN3" t="inlineStr">
        <is>
          <t>SQRTSUMSQ of Entity A1 and Entity A2 (added)</t>
        </is>
      </c>
      <c r="GO3" t="inlineStr">
        <is>
          <t>MIN of Entity A1 and Entity A2 (added)</t>
        </is>
      </c>
      <c r="GP3" t="inlineStr">
        <is>
          <t>SUM of Entity A1 and Entity A2 (added)</t>
        </is>
      </c>
      <c r="GQ3" t="inlineStr">
        <is>
          <t>FIRST of Entity A1 and Entity A2 (added)</t>
        </is>
      </c>
      <c r="GR3" t="inlineStr">
        <is>
          <t>SUM of Entity A1 and Entity A2 (added)</t>
        </is>
      </c>
    </row>
    <row r="4">
      <c r="A4" t="inlineStr">
        <is>
          <t>Plant 06</t>
        </is>
      </c>
      <c r="B4" t="inlineStr">
        <is>
          <t>2026-04</t>
        </is>
      </c>
      <c r="C4" t="n">
        <v>30</v>
      </c>
      <c r="D4" t="n">
        <v>1</v>
      </c>
      <c r="E4">
        <f>'Plant Inputs'!F34</f>
        <v/>
      </c>
      <c r="F4">
        <f>'Plant Inputs'!G34</f>
        <v/>
      </c>
      <c r="G4">
        <f>'Plant Inputs'!H34</f>
        <v/>
      </c>
      <c r="H4">
        <f>'Plant Inputs'!I34</f>
        <v/>
      </c>
      <c r="I4">
        <f>'Plant Inputs'!J34</f>
        <v/>
      </c>
      <c r="J4">
        <f>'Plant Inputs'!K34</f>
        <v/>
      </c>
      <c r="K4">
        <f>'Plant Inputs'!L34</f>
        <v/>
      </c>
      <c r="L4">
        <f>'Plant Inputs'!M34</f>
        <v/>
      </c>
      <c r="M4">
        <f>'Plant Inputs'!N34</f>
        <v/>
      </c>
      <c r="N4">
        <f>'Plant Inputs'!O34</f>
        <v/>
      </c>
      <c r="O4">
        <f>'Plant Inputs'!P34</f>
        <v/>
      </c>
      <c r="P4">
        <f>'Plant Inputs'!Q34</f>
        <v/>
      </c>
      <c r="Q4">
        <f>'Plant Inputs'!R34</f>
        <v/>
      </c>
      <c r="R4">
        <f>'Plant Inputs'!S34</f>
        <v/>
      </c>
      <c r="S4">
        <f>'Plant Inputs'!T34</f>
        <v/>
      </c>
      <c r="T4">
        <f>'Plant Inputs'!U34</f>
        <v/>
      </c>
      <c r="U4">
        <f>'Plant Inputs'!V34</f>
        <v/>
      </c>
      <c r="V4">
        <f>'Plant Inputs'!W34</f>
        <v/>
      </c>
      <c r="W4">
        <f>'Plant Inputs'!X34</f>
        <v/>
      </c>
      <c r="X4">
        <f>'Plant Inputs'!Y34</f>
        <v/>
      </c>
      <c r="Y4">
        <f>'Plant Inputs'!Z34</f>
        <v/>
      </c>
      <c r="Z4">
        <f>'Plant Inputs'!AA34</f>
        <v/>
      </c>
      <c r="AA4">
        <f>'Plant Inputs'!AB34</f>
        <v/>
      </c>
      <c r="AB4">
        <f>'Plant Inputs'!AC34</f>
        <v/>
      </c>
      <c r="AC4">
        <f>'Plant Inputs'!AD34</f>
        <v/>
      </c>
      <c r="AD4">
        <f>'Plant Inputs'!AE34</f>
        <v/>
      </c>
      <c r="AE4">
        <f>'Plant Inputs'!AF34</f>
        <v/>
      </c>
      <c r="AF4">
        <f>'Plant Inputs'!AG34</f>
        <v/>
      </c>
      <c r="AG4">
        <f>'Plant Inputs'!AH34</f>
        <v/>
      </c>
      <c r="AH4">
        <f>'Plant Inputs'!AI34</f>
        <v/>
      </c>
      <c r="AI4">
        <f>'Plant Inputs'!AJ34</f>
        <v/>
      </c>
      <c r="AJ4">
        <f>'Plant Inputs'!AK34</f>
        <v/>
      </c>
      <c r="AK4">
        <f>'Plant Inputs'!AL34</f>
        <v/>
      </c>
      <c r="AL4">
        <f>'Plant Inputs'!AM34</f>
        <v/>
      </c>
      <c r="AM4">
        <f>'Plant Inputs'!AN34</f>
        <v/>
      </c>
      <c r="AN4">
        <f>'Plant Inputs'!AO34</f>
        <v/>
      </c>
      <c r="AO4">
        <f>'Plant Inputs'!AP34</f>
        <v/>
      </c>
      <c r="AP4">
        <f>'Plant Inputs'!AQ34</f>
        <v/>
      </c>
      <c r="AQ4">
        <f>'Plant Inputs'!AR34</f>
        <v/>
      </c>
      <c r="AR4">
        <f>'Plant Inputs'!AS34</f>
        <v/>
      </c>
      <c r="AS4">
        <f>'Plant Inputs'!AT34</f>
        <v/>
      </c>
      <c r="AT4">
        <f>'Plant Inputs'!AU34</f>
        <v/>
      </c>
      <c r="AU4">
        <f>'Plant Inputs'!AV34</f>
        <v/>
      </c>
      <c r="AV4">
        <f>'Plant Inputs'!AW34</f>
        <v/>
      </c>
      <c r="AW4">
        <f>'Plant Inputs'!AX34</f>
        <v/>
      </c>
      <c r="AX4">
        <f>'Plant Inputs'!AY34</f>
        <v/>
      </c>
      <c r="AY4">
        <f>'Plant Inputs'!AZ34</f>
        <v/>
      </c>
      <c r="AZ4">
        <f>'Plant Inputs'!BA34</f>
        <v/>
      </c>
      <c r="BA4">
        <f>'Plant Inputs'!BB34</f>
        <v/>
      </c>
      <c r="BB4">
        <f>'Plant Inputs'!BC34</f>
        <v/>
      </c>
      <c r="BC4">
        <f>'Plant Inputs'!BD34</f>
        <v/>
      </c>
      <c r="BD4">
        <f>'Plant Inputs'!BE34</f>
        <v/>
      </c>
      <c r="BE4">
        <f>'Plant Inputs'!BF34</f>
        <v/>
      </c>
      <c r="BF4">
        <f>'Plant Inputs'!BG34</f>
        <v/>
      </c>
      <c r="BG4">
        <f>'Plant Inputs'!BH34</f>
        <v/>
      </c>
      <c r="BH4">
        <f>'Plant Inputs'!BI34</f>
        <v/>
      </c>
      <c r="BI4">
        <f>'Plant Inputs'!BJ34</f>
        <v/>
      </c>
      <c r="BJ4">
        <f>'Plant Inputs'!BK34</f>
        <v/>
      </c>
      <c r="BK4">
        <f>'Plant Inputs'!BL34</f>
        <v/>
      </c>
      <c r="BL4">
        <f>'Plant Inputs'!BM34</f>
        <v/>
      </c>
      <c r="BM4">
        <f>'Plant Inputs'!BN34</f>
        <v/>
      </c>
      <c r="BN4">
        <f>'Plant Inputs'!BO34</f>
        <v/>
      </c>
      <c r="BO4">
        <f>'Plant Inputs'!BP34</f>
        <v/>
      </c>
      <c r="BP4">
        <f>'Plant Inputs'!BQ34</f>
        <v/>
      </c>
      <c r="BQ4">
        <f>'Plant Inputs'!BR34</f>
        <v/>
      </c>
      <c r="BR4">
        <f>'Plant Inputs'!BS34</f>
        <v/>
      </c>
      <c r="BS4">
        <f>'Plant Inputs'!BT34</f>
        <v/>
      </c>
      <c r="BT4">
        <f>'Plant Inputs'!BU34</f>
        <v/>
      </c>
      <c r="BU4">
        <f>'Plant Inputs'!BV34</f>
        <v/>
      </c>
      <c r="BV4">
        <f>'Plant Inputs'!BW34</f>
        <v/>
      </c>
      <c r="BW4">
        <f>'Plant Inputs'!BX34</f>
        <v/>
      </c>
      <c r="BX4">
        <f>'Plant Inputs'!BY34</f>
        <v/>
      </c>
      <c r="FV4">
        <f>AU4-V4-X4-BY4</f>
        <v/>
      </c>
      <c r="FW4">
        <f>FV4-AX4</f>
        <v/>
      </c>
      <c r="FX4">
        <f>CJ4+CL4-CK4</f>
        <v/>
      </c>
      <c r="FY4">
        <f>FX4-Parameters!$B$7</f>
        <v/>
      </c>
      <c r="FZ4">
        <f>FV4-BZ4-FY4</f>
        <v/>
      </c>
      <c r="GA4">
        <f>FZ4-DJ4</f>
        <v/>
      </c>
      <c r="GB4">
        <f>CB4-CC4</f>
        <v/>
      </c>
      <c r="GC4">
        <f>SUM(FV$4:FV4)*12/D4</f>
        <v/>
      </c>
      <c r="GD4">
        <f>IF(AU4=0,0,CJ4/AU4*C4)</f>
        <v/>
      </c>
      <c r="GE4">
        <f>IF(V4=0,0,CK4/V4*C4)</f>
        <v/>
      </c>
      <c r="GF4">
        <f>IF(V4=0,0,CL4/V4*C4)</f>
        <v/>
      </c>
      <c r="GG4">
        <f>IF(OR(AS4=0,AT4=0,AV4=0),0,100*((AU4/AS4)/(AV4/AT4)-1))</f>
        <v/>
      </c>
    </row>
    <row r="5">
      <c r="A5" t="inlineStr">
        <is>
          <t>Plant 06</t>
        </is>
      </c>
      <c r="B5" t="inlineStr">
        <is>
          <t>2026-05</t>
        </is>
      </c>
      <c r="C5" t="n">
        <v>31</v>
      </c>
      <c r="D5" t="n">
        <v>2</v>
      </c>
      <c r="E5">
        <f>'Plant Inputs'!F35</f>
        <v/>
      </c>
      <c r="F5">
        <f>'Plant Inputs'!G35</f>
        <v/>
      </c>
      <c r="G5">
        <f>'Plant Inputs'!H35</f>
        <v/>
      </c>
      <c r="H5">
        <f>'Plant Inputs'!I35</f>
        <v/>
      </c>
      <c r="I5">
        <f>'Plant Inputs'!J35</f>
        <v/>
      </c>
      <c r="J5">
        <f>'Plant Inputs'!K35</f>
        <v/>
      </c>
      <c r="K5">
        <f>'Plant Inputs'!L35</f>
        <v/>
      </c>
      <c r="L5">
        <f>'Plant Inputs'!M35</f>
        <v/>
      </c>
      <c r="M5">
        <f>'Plant Inputs'!N35</f>
        <v/>
      </c>
      <c r="N5">
        <f>'Plant Inputs'!O35</f>
        <v/>
      </c>
      <c r="O5">
        <f>'Plant Inputs'!P35</f>
        <v/>
      </c>
      <c r="P5">
        <f>'Plant Inputs'!Q35</f>
        <v/>
      </c>
      <c r="Q5">
        <f>'Plant Inputs'!R35</f>
        <v/>
      </c>
      <c r="R5">
        <f>'Plant Inputs'!S35</f>
        <v/>
      </c>
      <c r="S5">
        <f>'Plant Inputs'!T35</f>
        <v/>
      </c>
      <c r="T5">
        <f>'Plant Inputs'!U35</f>
        <v/>
      </c>
      <c r="U5">
        <f>'Plant Inputs'!V35</f>
        <v/>
      </c>
      <c r="V5">
        <f>'Plant Inputs'!W35</f>
        <v/>
      </c>
      <c r="W5">
        <f>'Plant Inputs'!X35</f>
        <v/>
      </c>
      <c r="X5">
        <f>'Plant Inputs'!Y35</f>
        <v/>
      </c>
      <c r="Y5">
        <f>'Plant Inputs'!Z35</f>
        <v/>
      </c>
      <c r="Z5">
        <f>'Plant Inputs'!AA35</f>
        <v/>
      </c>
      <c r="AA5">
        <f>'Plant Inputs'!AB35</f>
        <v/>
      </c>
      <c r="AB5">
        <f>'Plant Inputs'!AC35</f>
        <v/>
      </c>
      <c r="AC5">
        <f>'Plant Inputs'!AD35</f>
        <v/>
      </c>
      <c r="AD5">
        <f>'Plant Inputs'!AE35</f>
        <v/>
      </c>
      <c r="AE5">
        <f>'Plant Inputs'!AF35</f>
        <v/>
      </c>
      <c r="AF5">
        <f>'Plant Inputs'!AG35</f>
        <v/>
      </c>
      <c r="AG5">
        <f>'Plant Inputs'!AH35</f>
        <v/>
      </c>
      <c r="AH5">
        <f>'Plant Inputs'!AI35</f>
        <v/>
      </c>
      <c r="AI5">
        <f>'Plant Inputs'!AJ35</f>
        <v/>
      </c>
      <c r="AJ5">
        <f>'Plant Inputs'!AK35</f>
        <v/>
      </c>
      <c r="AK5">
        <f>'Plant Inputs'!AL35</f>
        <v/>
      </c>
      <c r="AL5">
        <f>'Plant Inputs'!AM35</f>
        <v/>
      </c>
      <c r="AM5">
        <f>'Plant Inputs'!AN35</f>
        <v/>
      </c>
      <c r="AN5">
        <f>'Plant Inputs'!AO35</f>
        <v/>
      </c>
      <c r="AO5">
        <f>'Plant Inputs'!AP35</f>
        <v/>
      </c>
      <c r="AP5">
        <f>'Plant Inputs'!AQ35</f>
        <v/>
      </c>
      <c r="AQ5">
        <f>'Plant Inputs'!AR35</f>
        <v/>
      </c>
      <c r="AR5">
        <f>'Plant Inputs'!AS35</f>
        <v/>
      </c>
      <c r="AS5">
        <f>'Plant Inputs'!AT35</f>
        <v/>
      </c>
      <c r="AT5">
        <f>'Plant Inputs'!AU35</f>
        <v/>
      </c>
      <c r="AU5">
        <f>'Plant Inputs'!AV35</f>
        <v/>
      </c>
      <c r="AV5">
        <f>'Plant Inputs'!AW35</f>
        <v/>
      </c>
      <c r="AW5">
        <f>'Plant Inputs'!AX35</f>
        <v/>
      </c>
      <c r="AX5">
        <f>'Plant Inputs'!AY35</f>
        <v/>
      </c>
      <c r="AY5">
        <f>'Plant Inputs'!AZ35</f>
        <v/>
      </c>
      <c r="AZ5">
        <f>'Plant Inputs'!BA35</f>
        <v/>
      </c>
      <c r="BA5">
        <f>'Plant Inputs'!BB35</f>
        <v/>
      </c>
      <c r="BB5">
        <f>'Plant Inputs'!BC35</f>
        <v/>
      </c>
      <c r="BC5">
        <f>'Plant Inputs'!BD35</f>
        <v/>
      </c>
      <c r="BD5">
        <f>'Plant Inputs'!BE35</f>
        <v/>
      </c>
      <c r="BE5">
        <f>'Plant Inputs'!BF35</f>
        <v/>
      </c>
      <c r="BF5">
        <f>'Plant Inputs'!BG35</f>
        <v/>
      </c>
      <c r="BG5">
        <f>'Plant Inputs'!BH35</f>
        <v/>
      </c>
      <c r="BH5">
        <f>'Plant Inputs'!BI35</f>
        <v/>
      </c>
      <c r="BI5">
        <f>'Plant Inputs'!BJ35</f>
        <v/>
      </c>
      <c r="BJ5">
        <f>'Plant Inputs'!BK35</f>
        <v/>
      </c>
      <c r="BK5">
        <f>'Plant Inputs'!BL35</f>
        <v/>
      </c>
      <c r="BL5">
        <f>'Plant Inputs'!BM35</f>
        <v/>
      </c>
      <c r="BM5">
        <f>'Plant Inputs'!BN35</f>
        <v/>
      </c>
      <c r="BN5">
        <f>'Plant Inputs'!BO35</f>
        <v/>
      </c>
      <c r="BO5">
        <f>'Plant Inputs'!BP35</f>
        <v/>
      </c>
      <c r="BP5">
        <f>'Plant Inputs'!BQ35</f>
        <v/>
      </c>
      <c r="BQ5">
        <f>'Plant Inputs'!BR35</f>
        <v/>
      </c>
      <c r="BR5">
        <f>'Plant Inputs'!BS35</f>
        <v/>
      </c>
      <c r="BS5">
        <f>'Plant Inputs'!BT35</f>
        <v/>
      </c>
      <c r="BT5">
        <f>'Plant Inputs'!BU35</f>
        <v/>
      </c>
      <c r="BU5">
        <f>'Plant Inputs'!BV35</f>
        <v/>
      </c>
      <c r="BV5">
        <f>'Plant Inputs'!BW35</f>
        <v/>
      </c>
      <c r="BW5">
        <f>'Plant Inputs'!BX35</f>
        <v/>
      </c>
      <c r="BX5">
        <f>'Plant Inputs'!BY35</f>
        <v/>
      </c>
      <c r="FV5">
        <f>AU5-V5-X5-BY5</f>
        <v/>
      </c>
      <c r="FW5">
        <f>FV5-AX5</f>
        <v/>
      </c>
      <c r="FX5">
        <f>CJ5+CL5-CK5</f>
        <v/>
      </c>
      <c r="FY5">
        <f>FX5-FX4</f>
        <v/>
      </c>
      <c r="FZ5">
        <f>FV5-BZ5-FY5</f>
        <v/>
      </c>
      <c r="GA5">
        <f>FZ5-DJ5</f>
        <v/>
      </c>
      <c r="GB5">
        <f>CB5-CC5</f>
        <v/>
      </c>
      <c r="GC5">
        <f>SUM(FV$4:FV5)*12/D5</f>
        <v/>
      </c>
      <c r="GD5">
        <f>IF(AU5=0,0,CJ5/AU5*C5)</f>
        <v/>
      </c>
      <c r="GE5">
        <f>IF(V5=0,0,CK5/V5*C5)</f>
        <v/>
      </c>
      <c r="GF5">
        <f>IF(V5=0,0,CL5/V5*C5)</f>
        <v/>
      </c>
      <c r="GG5">
        <f>IF(OR(AS5=0,AT5=0,AV5=0),0,100*((AU5/AS5)/(AV5/AT5)-1))</f>
        <v/>
      </c>
    </row>
    <row r="6">
      <c r="A6" t="inlineStr">
        <is>
          <t>Plant 06</t>
        </is>
      </c>
      <c r="B6" t="inlineStr">
        <is>
          <t>2026-06</t>
        </is>
      </c>
      <c r="C6" t="n">
        <v>30</v>
      </c>
      <c r="D6" t="n">
        <v>3</v>
      </c>
      <c r="E6">
        <f>'Plant Inputs'!F36</f>
        <v/>
      </c>
      <c r="F6">
        <f>'Plant Inputs'!G36</f>
        <v/>
      </c>
      <c r="G6">
        <f>'Plant Inputs'!H36</f>
        <v/>
      </c>
      <c r="H6">
        <f>'Plant Inputs'!I36</f>
        <v/>
      </c>
      <c r="I6">
        <f>'Plant Inputs'!J36</f>
        <v/>
      </c>
      <c r="J6">
        <f>'Plant Inputs'!K36</f>
        <v/>
      </c>
      <c r="K6">
        <f>'Plant Inputs'!L36</f>
        <v/>
      </c>
      <c r="L6">
        <f>'Plant Inputs'!M36</f>
        <v/>
      </c>
      <c r="M6">
        <f>'Plant Inputs'!N36</f>
        <v/>
      </c>
      <c r="N6">
        <f>'Plant Inputs'!O36</f>
        <v/>
      </c>
      <c r="O6">
        <f>'Plant Inputs'!P36</f>
        <v/>
      </c>
      <c r="P6">
        <f>'Plant Inputs'!Q36</f>
        <v/>
      </c>
      <c r="Q6">
        <f>'Plant Inputs'!R36</f>
        <v/>
      </c>
      <c r="R6">
        <f>'Plant Inputs'!S36</f>
        <v/>
      </c>
      <c r="S6">
        <f>'Plant Inputs'!T36</f>
        <v/>
      </c>
      <c r="T6">
        <f>'Plant Inputs'!U36</f>
        <v/>
      </c>
      <c r="U6">
        <f>'Plant Inputs'!V36</f>
        <v/>
      </c>
      <c r="V6">
        <f>'Plant Inputs'!W36</f>
        <v/>
      </c>
      <c r="W6">
        <f>'Plant Inputs'!X36</f>
        <v/>
      </c>
      <c r="X6">
        <f>'Plant Inputs'!Y36</f>
        <v/>
      </c>
      <c r="Y6">
        <f>'Plant Inputs'!Z36</f>
        <v/>
      </c>
      <c r="Z6">
        <f>'Plant Inputs'!AA36</f>
        <v/>
      </c>
      <c r="AA6">
        <f>'Plant Inputs'!AB36</f>
        <v/>
      </c>
      <c r="AB6">
        <f>'Plant Inputs'!AC36</f>
        <v/>
      </c>
      <c r="AC6">
        <f>'Plant Inputs'!AD36</f>
        <v/>
      </c>
      <c r="AD6">
        <f>'Plant Inputs'!AE36</f>
        <v/>
      </c>
      <c r="AE6">
        <f>'Plant Inputs'!AF36</f>
        <v/>
      </c>
      <c r="AF6">
        <f>'Plant Inputs'!AG36</f>
        <v/>
      </c>
      <c r="AG6">
        <f>'Plant Inputs'!AH36</f>
        <v/>
      </c>
      <c r="AH6">
        <f>'Plant Inputs'!AI36</f>
        <v/>
      </c>
      <c r="AI6">
        <f>'Plant Inputs'!AJ36</f>
        <v/>
      </c>
      <c r="AJ6">
        <f>'Plant Inputs'!AK36</f>
        <v/>
      </c>
      <c r="AK6">
        <f>'Plant Inputs'!AL36</f>
        <v/>
      </c>
      <c r="AL6">
        <f>'Plant Inputs'!AM36</f>
        <v/>
      </c>
      <c r="AM6">
        <f>'Plant Inputs'!AN36</f>
        <v/>
      </c>
      <c r="AN6">
        <f>'Plant Inputs'!AO36</f>
        <v/>
      </c>
      <c r="AO6">
        <f>'Plant Inputs'!AP36</f>
        <v/>
      </c>
      <c r="AP6">
        <f>'Plant Inputs'!AQ36</f>
        <v/>
      </c>
      <c r="AQ6">
        <f>'Plant Inputs'!AR36</f>
        <v/>
      </c>
      <c r="AR6">
        <f>'Plant Inputs'!AS36</f>
        <v/>
      </c>
      <c r="AS6">
        <f>'Plant Inputs'!AT36</f>
        <v/>
      </c>
      <c r="AT6">
        <f>'Plant Inputs'!AU36</f>
        <v/>
      </c>
      <c r="AU6">
        <f>'Plant Inputs'!AV36</f>
        <v/>
      </c>
      <c r="AV6">
        <f>'Plant Inputs'!AW36</f>
        <v/>
      </c>
      <c r="AW6">
        <f>'Plant Inputs'!AX36</f>
        <v/>
      </c>
      <c r="AX6">
        <f>'Plant Inputs'!AY36</f>
        <v/>
      </c>
      <c r="AY6">
        <f>'Plant Inputs'!AZ36</f>
        <v/>
      </c>
      <c r="AZ6">
        <f>'Plant Inputs'!BA36</f>
        <v/>
      </c>
      <c r="BA6">
        <f>'Plant Inputs'!BB36</f>
        <v/>
      </c>
      <c r="BB6">
        <f>'Plant Inputs'!BC36</f>
        <v/>
      </c>
      <c r="BC6">
        <f>'Plant Inputs'!BD36</f>
        <v/>
      </c>
      <c r="BD6">
        <f>'Plant Inputs'!BE36</f>
        <v/>
      </c>
      <c r="BE6">
        <f>'Plant Inputs'!BF36</f>
        <v/>
      </c>
      <c r="BF6">
        <f>'Plant Inputs'!BG36</f>
        <v/>
      </c>
      <c r="BG6">
        <f>'Plant Inputs'!BH36</f>
        <v/>
      </c>
      <c r="BH6">
        <f>'Plant Inputs'!BI36</f>
        <v/>
      </c>
      <c r="BI6">
        <f>'Plant Inputs'!BJ36</f>
        <v/>
      </c>
      <c r="BJ6">
        <f>'Plant Inputs'!BK36</f>
        <v/>
      </c>
      <c r="BK6">
        <f>'Plant Inputs'!BL36</f>
        <v/>
      </c>
      <c r="BL6">
        <f>'Plant Inputs'!BM36</f>
        <v/>
      </c>
      <c r="BM6">
        <f>'Plant Inputs'!BN36</f>
        <v/>
      </c>
      <c r="BN6">
        <f>'Plant Inputs'!BO36</f>
        <v/>
      </c>
      <c r="BO6">
        <f>'Plant Inputs'!BP36</f>
        <v/>
      </c>
      <c r="BP6">
        <f>'Plant Inputs'!BQ36</f>
        <v/>
      </c>
      <c r="BQ6">
        <f>'Plant Inputs'!BR36</f>
        <v/>
      </c>
      <c r="BR6">
        <f>'Plant Inputs'!BS36</f>
        <v/>
      </c>
      <c r="BS6">
        <f>'Plant Inputs'!BT36</f>
        <v/>
      </c>
      <c r="BT6">
        <f>'Plant Inputs'!BU36</f>
        <v/>
      </c>
      <c r="BU6">
        <f>'Plant Inputs'!BV36</f>
        <v/>
      </c>
      <c r="BV6">
        <f>'Plant Inputs'!BW36</f>
        <v/>
      </c>
      <c r="BW6">
        <f>'Plant Inputs'!BX36</f>
        <v/>
      </c>
      <c r="BX6">
        <f>'Plant Inputs'!BY36</f>
        <v/>
      </c>
      <c r="FV6">
        <f>AU6-V6-X6-BY6</f>
        <v/>
      </c>
      <c r="FW6">
        <f>FV6-AX6</f>
        <v/>
      </c>
      <c r="FX6">
        <f>CJ6+CL6-CK6</f>
        <v/>
      </c>
      <c r="FY6">
        <f>FX6-FX5</f>
        <v/>
      </c>
      <c r="FZ6">
        <f>FV6-BZ6-FY6</f>
        <v/>
      </c>
      <c r="GA6">
        <f>FZ6-DJ6</f>
        <v/>
      </c>
      <c r="GB6">
        <f>CB6-CC6</f>
        <v/>
      </c>
      <c r="GC6">
        <f>SUM(FV$4:FV6)*12/D6</f>
        <v/>
      </c>
      <c r="GD6">
        <f>IF(AU6=0,0,CJ6/AU6*C6)</f>
        <v/>
      </c>
      <c r="GE6">
        <f>IF(V6=0,0,CK6/V6*C6)</f>
        <v/>
      </c>
      <c r="GF6">
        <f>IF(V6=0,0,CL6/V6*C6)</f>
        <v/>
      </c>
      <c r="GG6">
        <f>IF(OR(AS6=0,AT6=0,AV6=0),0,100*((AU6/AS6)/(AV6/AT6)-1))</f>
        <v/>
      </c>
    </row>
    <row r="7">
      <c r="A7" t="inlineStr">
        <is>
          <t>Plant 06</t>
        </is>
      </c>
      <c r="B7" t="inlineStr">
        <is>
          <t>2026-07</t>
        </is>
      </c>
      <c r="C7" t="n">
        <v>31</v>
      </c>
      <c r="D7" t="n">
        <v>4</v>
      </c>
      <c r="E7">
        <f>'Plant Inputs'!F37</f>
        <v/>
      </c>
      <c r="F7">
        <f>'Plant Inputs'!G37</f>
        <v/>
      </c>
      <c r="G7">
        <f>'Plant Inputs'!H37</f>
        <v/>
      </c>
      <c r="H7">
        <f>'Plant Inputs'!I37</f>
        <v/>
      </c>
      <c r="I7">
        <f>'Plant Inputs'!J37</f>
        <v/>
      </c>
      <c r="J7">
        <f>'Plant Inputs'!K37</f>
        <v/>
      </c>
      <c r="K7">
        <f>'Plant Inputs'!L37</f>
        <v/>
      </c>
      <c r="L7">
        <f>'Plant Inputs'!M37</f>
        <v/>
      </c>
      <c r="M7">
        <f>'Plant Inputs'!N37</f>
        <v/>
      </c>
      <c r="N7">
        <f>'Plant Inputs'!O37</f>
        <v/>
      </c>
      <c r="O7">
        <f>'Plant Inputs'!P37</f>
        <v/>
      </c>
      <c r="P7">
        <f>'Plant Inputs'!Q37</f>
        <v/>
      </c>
      <c r="Q7">
        <f>'Plant Inputs'!R37</f>
        <v/>
      </c>
      <c r="R7">
        <f>'Plant Inputs'!S37</f>
        <v/>
      </c>
      <c r="S7">
        <f>'Plant Inputs'!T37</f>
        <v/>
      </c>
      <c r="T7">
        <f>'Plant Inputs'!U37</f>
        <v/>
      </c>
      <c r="U7">
        <f>'Plant Inputs'!V37</f>
        <v/>
      </c>
      <c r="V7">
        <f>'Plant Inputs'!W37</f>
        <v/>
      </c>
      <c r="W7">
        <f>'Plant Inputs'!X37</f>
        <v/>
      </c>
      <c r="X7">
        <f>'Plant Inputs'!Y37</f>
        <v/>
      </c>
      <c r="Y7">
        <f>'Plant Inputs'!Z37</f>
        <v/>
      </c>
      <c r="Z7">
        <f>'Plant Inputs'!AA37</f>
        <v/>
      </c>
      <c r="AA7">
        <f>'Plant Inputs'!AB37</f>
        <v/>
      </c>
      <c r="AB7">
        <f>'Plant Inputs'!AC37</f>
        <v/>
      </c>
      <c r="AC7">
        <f>'Plant Inputs'!AD37</f>
        <v/>
      </c>
      <c r="AD7">
        <f>'Plant Inputs'!AE37</f>
        <v/>
      </c>
      <c r="AE7">
        <f>'Plant Inputs'!AF37</f>
        <v/>
      </c>
      <c r="AF7">
        <f>'Plant Inputs'!AG37</f>
        <v/>
      </c>
      <c r="AG7">
        <f>'Plant Inputs'!AH37</f>
        <v/>
      </c>
      <c r="AH7">
        <f>'Plant Inputs'!AI37</f>
        <v/>
      </c>
      <c r="AI7">
        <f>'Plant Inputs'!AJ37</f>
        <v/>
      </c>
      <c r="AJ7">
        <f>'Plant Inputs'!AK37</f>
        <v/>
      </c>
      <c r="AK7">
        <f>'Plant Inputs'!AL37</f>
        <v/>
      </c>
      <c r="AL7">
        <f>'Plant Inputs'!AM37</f>
        <v/>
      </c>
      <c r="AM7">
        <f>'Plant Inputs'!AN37</f>
        <v/>
      </c>
      <c r="AN7">
        <f>'Plant Inputs'!AO37</f>
        <v/>
      </c>
      <c r="AO7">
        <f>'Plant Inputs'!AP37</f>
        <v/>
      </c>
      <c r="AP7">
        <f>'Plant Inputs'!AQ37</f>
        <v/>
      </c>
      <c r="AQ7">
        <f>'Plant Inputs'!AR37</f>
        <v/>
      </c>
      <c r="AR7">
        <f>'Plant Inputs'!AS37</f>
        <v/>
      </c>
      <c r="AS7">
        <f>'Plant Inputs'!AT37</f>
        <v/>
      </c>
      <c r="AT7">
        <f>'Plant Inputs'!AU37</f>
        <v/>
      </c>
      <c r="AU7">
        <f>'Plant Inputs'!AV37</f>
        <v/>
      </c>
      <c r="AV7">
        <f>'Plant Inputs'!AW37</f>
        <v/>
      </c>
      <c r="AW7">
        <f>'Plant Inputs'!AX37</f>
        <v/>
      </c>
      <c r="AX7">
        <f>'Plant Inputs'!AY37</f>
        <v/>
      </c>
      <c r="AY7">
        <f>'Plant Inputs'!AZ37</f>
        <v/>
      </c>
      <c r="AZ7">
        <f>'Plant Inputs'!BA37</f>
        <v/>
      </c>
      <c r="BA7">
        <f>'Plant Inputs'!BB37</f>
        <v/>
      </c>
      <c r="BB7">
        <f>'Plant Inputs'!BC37</f>
        <v/>
      </c>
      <c r="BC7">
        <f>'Plant Inputs'!BD37</f>
        <v/>
      </c>
      <c r="BD7">
        <f>'Plant Inputs'!BE37</f>
        <v/>
      </c>
      <c r="BE7">
        <f>'Plant Inputs'!BF37</f>
        <v/>
      </c>
      <c r="BF7">
        <f>'Plant Inputs'!BG37</f>
        <v/>
      </c>
      <c r="BG7">
        <f>'Plant Inputs'!BH37</f>
        <v/>
      </c>
      <c r="BH7">
        <f>'Plant Inputs'!BI37</f>
        <v/>
      </c>
      <c r="BI7">
        <f>'Plant Inputs'!BJ37</f>
        <v/>
      </c>
      <c r="BJ7">
        <f>'Plant Inputs'!BK37</f>
        <v/>
      </c>
      <c r="BK7">
        <f>'Plant Inputs'!BL37</f>
        <v/>
      </c>
      <c r="BL7">
        <f>'Plant Inputs'!BM37</f>
        <v/>
      </c>
      <c r="BM7">
        <f>'Plant Inputs'!BN37</f>
        <v/>
      </c>
      <c r="BN7">
        <f>'Plant Inputs'!BO37</f>
        <v/>
      </c>
      <c r="BO7">
        <f>'Plant Inputs'!BP37</f>
        <v/>
      </c>
      <c r="BP7">
        <f>'Plant Inputs'!BQ37</f>
        <v/>
      </c>
      <c r="BQ7">
        <f>'Plant Inputs'!BR37</f>
        <v/>
      </c>
      <c r="BR7">
        <f>'Plant Inputs'!BS37</f>
        <v/>
      </c>
      <c r="BS7">
        <f>'Plant Inputs'!BT37</f>
        <v/>
      </c>
      <c r="BT7">
        <f>'Plant Inputs'!BU37</f>
        <v/>
      </c>
      <c r="BU7">
        <f>'Plant Inputs'!BV37</f>
        <v/>
      </c>
      <c r="BV7">
        <f>'Plant Inputs'!BW37</f>
        <v/>
      </c>
      <c r="BW7">
        <f>'Plant Inputs'!BX37</f>
        <v/>
      </c>
      <c r="BX7">
        <f>'Plant Inputs'!BY37</f>
        <v/>
      </c>
      <c r="FV7">
        <f>AU7-V7-X7-BY7</f>
        <v/>
      </c>
      <c r="FW7">
        <f>FV7-AX7</f>
        <v/>
      </c>
      <c r="FX7">
        <f>CJ7+CL7-CK7</f>
        <v/>
      </c>
      <c r="FY7">
        <f>FX7-FX6</f>
        <v/>
      </c>
      <c r="FZ7">
        <f>FV7-BZ7-FY7</f>
        <v/>
      </c>
      <c r="GA7">
        <f>FZ7-DJ7</f>
        <v/>
      </c>
      <c r="GB7">
        <f>CB7-CC7</f>
        <v/>
      </c>
      <c r="GC7">
        <f>SUM(FV$4:FV7)*12/D7</f>
        <v/>
      </c>
      <c r="GD7">
        <f>IF(AU7=0,0,CJ7/AU7*C7)</f>
        <v/>
      </c>
      <c r="GE7">
        <f>IF(V7=0,0,CK7/V7*C7)</f>
        <v/>
      </c>
      <c r="GF7">
        <f>IF(V7=0,0,CL7/V7*C7)</f>
        <v/>
      </c>
      <c r="GG7">
        <f>IF(OR(AS7=0,AT7=0,AV7=0),0,100*((AU7/AS7)/(AV7/AT7)-1))</f>
        <v/>
      </c>
    </row>
    <row r="8">
      <c r="A8" t="inlineStr">
        <is>
          <t>Plant 06</t>
        </is>
      </c>
      <c r="B8" t="inlineStr">
        <is>
          <t>2026-08</t>
        </is>
      </c>
      <c r="C8" t="n">
        <v>31</v>
      </c>
      <c r="D8" t="n">
        <v>5</v>
      </c>
      <c r="E8">
        <f>'Plant Inputs'!F38</f>
        <v/>
      </c>
      <c r="F8">
        <f>'Plant Inputs'!G38</f>
        <v/>
      </c>
      <c r="G8">
        <f>'Plant Inputs'!H38</f>
        <v/>
      </c>
      <c r="H8">
        <f>'Plant Inputs'!I38</f>
        <v/>
      </c>
      <c r="I8">
        <f>'Plant Inputs'!J38</f>
        <v/>
      </c>
      <c r="J8">
        <f>'Plant Inputs'!K38</f>
        <v/>
      </c>
      <c r="K8">
        <f>'Plant Inputs'!L38</f>
        <v/>
      </c>
      <c r="L8">
        <f>'Plant Inputs'!M38</f>
        <v/>
      </c>
      <c r="M8">
        <f>'Plant Inputs'!N38</f>
        <v/>
      </c>
      <c r="N8">
        <f>'Plant Inputs'!O38</f>
        <v/>
      </c>
      <c r="O8">
        <f>'Plant Inputs'!P38</f>
        <v/>
      </c>
      <c r="P8">
        <f>'Plant Inputs'!Q38</f>
        <v/>
      </c>
      <c r="Q8">
        <f>'Plant Inputs'!R38</f>
        <v/>
      </c>
      <c r="R8">
        <f>'Plant Inputs'!S38</f>
        <v/>
      </c>
      <c r="S8">
        <f>'Plant Inputs'!T38</f>
        <v/>
      </c>
      <c r="T8">
        <f>'Plant Inputs'!U38</f>
        <v/>
      </c>
      <c r="U8">
        <f>'Plant Inputs'!V38</f>
        <v/>
      </c>
      <c r="V8">
        <f>'Plant Inputs'!W38</f>
        <v/>
      </c>
      <c r="W8">
        <f>'Plant Inputs'!X38</f>
        <v/>
      </c>
      <c r="X8">
        <f>'Plant Inputs'!Y38</f>
        <v/>
      </c>
      <c r="Y8">
        <f>'Plant Inputs'!Z38</f>
        <v/>
      </c>
      <c r="Z8">
        <f>'Plant Inputs'!AA38</f>
        <v/>
      </c>
      <c r="AA8">
        <f>'Plant Inputs'!AB38</f>
        <v/>
      </c>
      <c r="AB8">
        <f>'Plant Inputs'!AC38</f>
        <v/>
      </c>
      <c r="AC8">
        <f>'Plant Inputs'!AD38</f>
        <v/>
      </c>
      <c r="AD8">
        <f>'Plant Inputs'!AE38</f>
        <v/>
      </c>
      <c r="AE8">
        <f>'Plant Inputs'!AF38</f>
        <v/>
      </c>
      <c r="AF8">
        <f>'Plant Inputs'!AG38</f>
        <v/>
      </c>
      <c r="AG8">
        <f>'Plant Inputs'!AH38</f>
        <v/>
      </c>
      <c r="AH8">
        <f>'Plant Inputs'!AI38</f>
        <v/>
      </c>
      <c r="AI8">
        <f>'Plant Inputs'!AJ38</f>
        <v/>
      </c>
      <c r="AJ8">
        <f>'Plant Inputs'!AK38</f>
        <v/>
      </c>
      <c r="AK8">
        <f>'Plant Inputs'!AL38</f>
        <v/>
      </c>
      <c r="AL8">
        <f>'Plant Inputs'!AM38</f>
        <v/>
      </c>
      <c r="AM8">
        <f>'Plant Inputs'!AN38</f>
        <v/>
      </c>
      <c r="AN8">
        <f>'Plant Inputs'!AO38</f>
        <v/>
      </c>
      <c r="AO8">
        <f>'Plant Inputs'!AP38</f>
        <v/>
      </c>
      <c r="AP8">
        <f>'Plant Inputs'!AQ38</f>
        <v/>
      </c>
      <c r="AQ8">
        <f>'Plant Inputs'!AR38</f>
        <v/>
      </c>
      <c r="AR8">
        <f>'Plant Inputs'!AS38</f>
        <v/>
      </c>
      <c r="AS8">
        <f>'Plant Inputs'!AT38</f>
        <v/>
      </c>
      <c r="AT8">
        <f>'Plant Inputs'!AU38</f>
        <v/>
      </c>
      <c r="AU8">
        <f>'Plant Inputs'!AV38</f>
        <v/>
      </c>
      <c r="AV8">
        <f>'Plant Inputs'!AW38</f>
        <v/>
      </c>
      <c r="AW8">
        <f>'Plant Inputs'!AX38</f>
        <v/>
      </c>
      <c r="AX8">
        <f>'Plant Inputs'!AY38</f>
        <v/>
      </c>
      <c r="AY8">
        <f>'Plant Inputs'!AZ38</f>
        <v/>
      </c>
      <c r="AZ8">
        <f>'Plant Inputs'!BA38</f>
        <v/>
      </c>
      <c r="BA8">
        <f>'Plant Inputs'!BB38</f>
        <v/>
      </c>
      <c r="BB8">
        <f>'Plant Inputs'!BC38</f>
        <v/>
      </c>
      <c r="BC8">
        <f>'Plant Inputs'!BD38</f>
        <v/>
      </c>
      <c r="BD8">
        <f>'Plant Inputs'!BE38</f>
        <v/>
      </c>
      <c r="BE8">
        <f>'Plant Inputs'!BF38</f>
        <v/>
      </c>
      <c r="BF8">
        <f>'Plant Inputs'!BG38</f>
        <v/>
      </c>
      <c r="BG8">
        <f>'Plant Inputs'!BH38</f>
        <v/>
      </c>
      <c r="BH8">
        <f>'Plant Inputs'!BI38</f>
        <v/>
      </c>
      <c r="BI8">
        <f>'Plant Inputs'!BJ38</f>
        <v/>
      </c>
      <c r="BJ8">
        <f>'Plant Inputs'!BK38</f>
        <v/>
      </c>
      <c r="BK8">
        <f>'Plant Inputs'!BL38</f>
        <v/>
      </c>
      <c r="BL8">
        <f>'Plant Inputs'!BM38</f>
        <v/>
      </c>
      <c r="BM8">
        <f>'Plant Inputs'!BN38</f>
        <v/>
      </c>
      <c r="BN8">
        <f>'Plant Inputs'!BO38</f>
        <v/>
      </c>
      <c r="BO8">
        <f>'Plant Inputs'!BP38</f>
        <v/>
      </c>
      <c r="BP8">
        <f>'Plant Inputs'!BQ38</f>
        <v/>
      </c>
      <c r="BQ8">
        <f>'Plant Inputs'!BR38</f>
        <v/>
      </c>
      <c r="BR8">
        <f>'Plant Inputs'!BS38</f>
        <v/>
      </c>
      <c r="BS8">
        <f>'Plant Inputs'!BT38</f>
        <v/>
      </c>
      <c r="BT8">
        <f>'Plant Inputs'!BU38</f>
        <v/>
      </c>
      <c r="BU8">
        <f>'Plant Inputs'!BV38</f>
        <v/>
      </c>
      <c r="BV8">
        <f>'Plant Inputs'!BW38</f>
        <v/>
      </c>
      <c r="BW8">
        <f>'Plant Inputs'!BX38</f>
        <v/>
      </c>
      <c r="BX8">
        <f>'Plant Inputs'!BY38</f>
        <v/>
      </c>
      <c r="FV8">
        <f>AU8-V8-X8-BY8</f>
        <v/>
      </c>
      <c r="FW8">
        <f>FV8-AX8</f>
        <v/>
      </c>
      <c r="FX8">
        <f>CJ8+CL8-CK8</f>
        <v/>
      </c>
      <c r="FY8">
        <f>FX8-FX7</f>
        <v/>
      </c>
      <c r="FZ8">
        <f>FV8-BZ8-FY8</f>
        <v/>
      </c>
      <c r="GA8">
        <f>FZ8-DJ8</f>
        <v/>
      </c>
      <c r="GB8">
        <f>CB8-CC8</f>
        <v/>
      </c>
      <c r="GC8">
        <f>SUM(FV$4:FV8)*12/D8</f>
        <v/>
      </c>
      <c r="GD8">
        <f>IF(AU8=0,0,CJ8/AU8*C8)</f>
        <v/>
      </c>
      <c r="GE8">
        <f>IF(V8=0,0,CK8/V8*C8)</f>
        <v/>
      </c>
      <c r="GF8">
        <f>IF(V8=0,0,CL8/V8*C8)</f>
        <v/>
      </c>
      <c r="GG8">
        <f>IF(OR(AS8=0,AT8=0,AV8=0),0,100*((AU8/AS8)/(AV8/AT8)-1))</f>
        <v/>
      </c>
    </row>
    <row r="9">
      <c r="A9" t="inlineStr">
        <is>
          <t>Plant 06</t>
        </is>
      </c>
      <c r="B9" t="inlineStr">
        <is>
          <t>2026-09</t>
        </is>
      </c>
      <c r="C9" t="n">
        <v>30</v>
      </c>
      <c r="D9" t="n">
        <v>6</v>
      </c>
      <c r="E9">
        <f>'Plant Inputs'!F39</f>
        <v/>
      </c>
      <c r="F9">
        <f>'Plant Inputs'!G39</f>
        <v/>
      </c>
      <c r="G9">
        <f>'Plant Inputs'!H39</f>
        <v/>
      </c>
      <c r="H9">
        <f>'Plant Inputs'!I39</f>
        <v/>
      </c>
      <c r="I9">
        <f>'Plant Inputs'!J39</f>
        <v/>
      </c>
      <c r="J9">
        <f>'Plant Inputs'!K39</f>
        <v/>
      </c>
      <c r="K9">
        <f>'Plant Inputs'!L39</f>
        <v/>
      </c>
      <c r="L9">
        <f>'Plant Inputs'!M39</f>
        <v/>
      </c>
      <c r="M9">
        <f>'Plant Inputs'!N39</f>
        <v/>
      </c>
      <c r="N9">
        <f>'Plant Inputs'!O39</f>
        <v/>
      </c>
      <c r="O9">
        <f>'Plant Inputs'!P39</f>
        <v/>
      </c>
      <c r="P9">
        <f>'Plant Inputs'!Q39</f>
        <v/>
      </c>
      <c r="Q9">
        <f>'Plant Inputs'!R39</f>
        <v/>
      </c>
      <c r="R9">
        <f>'Plant Inputs'!S39</f>
        <v/>
      </c>
      <c r="S9">
        <f>'Plant Inputs'!T39</f>
        <v/>
      </c>
      <c r="T9">
        <f>'Plant Inputs'!U39</f>
        <v/>
      </c>
      <c r="U9">
        <f>'Plant Inputs'!V39</f>
        <v/>
      </c>
      <c r="V9">
        <f>'Plant Inputs'!W39</f>
        <v/>
      </c>
      <c r="W9">
        <f>'Plant Inputs'!X39</f>
        <v/>
      </c>
      <c r="X9">
        <f>'Plant Inputs'!Y39</f>
        <v/>
      </c>
      <c r="Y9">
        <f>'Plant Inputs'!Z39</f>
        <v/>
      </c>
      <c r="Z9">
        <f>'Plant Inputs'!AA39</f>
        <v/>
      </c>
      <c r="AA9">
        <f>'Plant Inputs'!AB39</f>
        <v/>
      </c>
      <c r="AB9">
        <f>'Plant Inputs'!AC39</f>
        <v/>
      </c>
      <c r="AC9">
        <f>'Plant Inputs'!AD39</f>
        <v/>
      </c>
      <c r="AD9">
        <f>'Plant Inputs'!AE39</f>
        <v/>
      </c>
      <c r="AE9">
        <f>'Plant Inputs'!AF39</f>
        <v/>
      </c>
      <c r="AF9">
        <f>'Plant Inputs'!AG39</f>
        <v/>
      </c>
      <c r="AG9">
        <f>'Plant Inputs'!AH39</f>
        <v/>
      </c>
      <c r="AH9">
        <f>'Plant Inputs'!AI39</f>
        <v/>
      </c>
      <c r="AI9">
        <f>'Plant Inputs'!AJ39</f>
        <v/>
      </c>
      <c r="AJ9">
        <f>'Plant Inputs'!AK39</f>
        <v/>
      </c>
      <c r="AK9">
        <f>'Plant Inputs'!AL39</f>
        <v/>
      </c>
      <c r="AL9">
        <f>'Plant Inputs'!AM39</f>
        <v/>
      </c>
      <c r="AM9">
        <f>'Plant Inputs'!AN39</f>
        <v/>
      </c>
      <c r="AN9">
        <f>'Plant Inputs'!AO39</f>
        <v/>
      </c>
      <c r="AO9">
        <f>'Plant Inputs'!AP39</f>
        <v/>
      </c>
      <c r="AP9">
        <f>'Plant Inputs'!AQ39</f>
        <v/>
      </c>
      <c r="AQ9">
        <f>'Plant Inputs'!AR39</f>
        <v/>
      </c>
      <c r="AR9">
        <f>'Plant Inputs'!AS39</f>
        <v/>
      </c>
      <c r="AS9">
        <f>'Plant Inputs'!AT39</f>
        <v/>
      </c>
      <c r="AT9">
        <f>'Plant Inputs'!AU39</f>
        <v/>
      </c>
      <c r="AU9">
        <f>'Plant Inputs'!AV39</f>
        <v/>
      </c>
      <c r="AV9">
        <f>'Plant Inputs'!AW39</f>
        <v/>
      </c>
      <c r="AW9">
        <f>'Plant Inputs'!AX39</f>
        <v/>
      </c>
      <c r="AX9">
        <f>'Plant Inputs'!AY39</f>
        <v/>
      </c>
      <c r="AY9">
        <f>'Plant Inputs'!AZ39</f>
        <v/>
      </c>
      <c r="AZ9">
        <f>'Plant Inputs'!BA39</f>
        <v/>
      </c>
      <c r="BA9">
        <f>'Plant Inputs'!BB39</f>
        <v/>
      </c>
      <c r="BB9">
        <f>'Plant Inputs'!BC39</f>
        <v/>
      </c>
      <c r="BC9">
        <f>'Plant Inputs'!BD39</f>
        <v/>
      </c>
      <c r="BD9">
        <f>'Plant Inputs'!BE39</f>
        <v/>
      </c>
      <c r="BE9">
        <f>'Plant Inputs'!BF39</f>
        <v/>
      </c>
      <c r="BF9">
        <f>'Plant Inputs'!BG39</f>
        <v/>
      </c>
      <c r="BG9">
        <f>'Plant Inputs'!BH39</f>
        <v/>
      </c>
      <c r="BH9">
        <f>'Plant Inputs'!BI39</f>
        <v/>
      </c>
      <c r="BI9">
        <f>'Plant Inputs'!BJ39</f>
        <v/>
      </c>
      <c r="BJ9">
        <f>'Plant Inputs'!BK39</f>
        <v/>
      </c>
      <c r="BK9">
        <f>'Plant Inputs'!BL39</f>
        <v/>
      </c>
      <c r="BL9">
        <f>'Plant Inputs'!BM39</f>
        <v/>
      </c>
      <c r="BM9">
        <f>'Plant Inputs'!BN39</f>
        <v/>
      </c>
      <c r="BN9">
        <f>'Plant Inputs'!BO39</f>
        <v/>
      </c>
      <c r="BO9">
        <f>'Plant Inputs'!BP39</f>
        <v/>
      </c>
      <c r="BP9">
        <f>'Plant Inputs'!BQ39</f>
        <v/>
      </c>
      <c r="BQ9">
        <f>'Plant Inputs'!BR39</f>
        <v/>
      </c>
      <c r="BR9">
        <f>'Plant Inputs'!BS39</f>
        <v/>
      </c>
      <c r="BS9">
        <f>'Plant Inputs'!BT39</f>
        <v/>
      </c>
      <c r="BT9">
        <f>'Plant Inputs'!BU39</f>
        <v/>
      </c>
      <c r="BU9">
        <f>'Plant Inputs'!BV39</f>
        <v/>
      </c>
      <c r="BV9">
        <f>'Plant Inputs'!BW39</f>
        <v/>
      </c>
      <c r="BW9">
        <f>'Plant Inputs'!BX39</f>
        <v/>
      </c>
      <c r="BX9">
        <f>'Plant Inputs'!BY39</f>
        <v/>
      </c>
      <c r="FV9">
        <f>AU9-V9-X9-BY9</f>
        <v/>
      </c>
      <c r="FW9">
        <f>FV9-AX9</f>
        <v/>
      </c>
      <c r="FX9">
        <f>CJ9+CL9-CK9</f>
        <v/>
      </c>
      <c r="FY9">
        <f>FX9-FX8</f>
        <v/>
      </c>
      <c r="FZ9">
        <f>FV9-BZ9-FY9</f>
        <v/>
      </c>
      <c r="GA9">
        <f>FZ9-DJ9</f>
        <v/>
      </c>
      <c r="GB9">
        <f>CB9-CC9</f>
        <v/>
      </c>
      <c r="GC9">
        <f>SUM(FV$4:FV9)*12/D9</f>
        <v/>
      </c>
      <c r="GD9">
        <f>IF(AU9=0,0,CJ9/AU9*C9)</f>
        <v/>
      </c>
      <c r="GE9">
        <f>IF(V9=0,0,CK9/V9*C9)</f>
        <v/>
      </c>
      <c r="GF9">
        <f>IF(V9=0,0,CL9/V9*C9)</f>
        <v/>
      </c>
      <c r="GG9">
        <f>IF(OR(AS9=0,AT9=0,AV9=0),0,100*((AU9/AS9)/(AV9/AT9)-1))</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7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10" customWidth="1" min="3" max="3"/>
    <col width="12" customWidth="1" min="4" max="4"/>
    <col width="60" customWidth="1" min="5" max="5"/>
  </cols>
  <sheetData>
    <row r="1">
      <c r="A1" s="26" t="inlineStr">
        <is>
          <t>KPI ID</t>
        </is>
      </c>
      <c r="B1" s="26" t="inlineStr">
        <is>
          <t>Measure</t>
        </is>
      </c>
      <c r="C1" s="26" t="inlineStr">
        <is>
          <t>Unit</t>
        </is>
      </c>
      <c r="D1" s="26" t="inlineStr">
        <is>
          <t>Time basis</t>
        </is>
      </c>
      <c r="E1" s="26" t="inlineStr">
        <is>
          <t>How it is calculated</t>
        </is>
      </c>
      <c r="F1" s="26" t="inlineStr">
        <is>
          <t>2026-04 (P01)</t>
        </is>
      </c>
      <c r="G1" s="26" t="inlineStr">
        <is>
          <t>2026-05 (P02)</t>
        </is>
      </c>
      <c r="H1" s="26" t="inlineStr">
        <is>
          <t>2026-06 (P03)</t>
        </is>
      </c>
      <c r="I1" s="26" t="inlineStr">
        <is>
          <t>2026-07 (P04)</t>
        </is>
      </c>
      <c r="J1" s="26" t="inlineStr">
        <is>
          <t>2026-08 (P05)</t>
        </is>
      </c>
      <c r="K1" s="26" t="inlineStr">
        <is>
          <t>2026-09 (P06)</t>
        </is>
      </c>
      <c r="L1" s="26" t="inlineStr">
        <is>
          <t>Inputs used</t>
        </is>
      </c>
    </row>
    <row r="2">
      <c r="A2" t="inlineStr">
        <is>
          <t>OPS-001</t>
        </is>
      </c>
      <c r="B2" t="inlineStr">
        <is>
          <t>Production vs plan</t>
        </is>
      </c>
      <c r="C2" t="inlineStr">
        <is>
          <t>%</t>
        </is>
      </c>
      <c r="D2" t="inlineStr">
        <is>
          <t>Month</t>
        </is>
      </c>
      <c r="E2" t="inlineStr">
        <is>
          <t>Good output ÷ Planned production × 100</t>
        </is>
      </c>
      <c r="F2">
        <f>ROUND(IFERROR(100*'A1 Inputs'!M4/'A1 Inputs'!K4,0),2)</f>
        <v/>
      </c>
      <c r="G2">
        <f>ROUND(IFERROR(100*'A1 Inputs'!M5/'A1 Inputs'!K5,0),2)</f>
        <v/>
      </c>
      <c r="H2">
        <f>ROUND(IFERROR(100*'A1 Inputs'!M6/'A1 Inputs'!K6,0),2)</f>
        <v/>
      </c>
      <c r="I2">
        <f>ROUND(IFERROR(100*'A1 Inputs'!M7/'A1 Inputs'!K7,0),2)</f>
        <v/>
      </c>
      <c r="J2">
        <f>ROUND(IFERROR(100*'A1 Inputs'!M8/'A1 Inputs'!K8,0),2)</f>
        <v/>
      </c>
      <c r="K2">
        <f>ROUND(IFERROR(100*'A1 Inputs'!M9/'A1 Inputs'!K9,0),2)</f>
        <v/>
      </c>
      <c r="L2" t="inlineStr">
        <is>
          <t>planned_production_t, good_output_t</t>
        </is>
      </c>
    </row>
    <row r="3">
      <c r="A3" t="inlineStr">
        <is>
          <t>OPS-003</t>
        </is>
      </c>
      <c r="B3" t="inlineStr">
        <is>
          <t>Capacity utilization</t>
        </is>
      </c>
      <c r="C3" t="inlineStr">
        <is>
          <t>%</t>
        </is>
      </c>
      <c r="D3" t="inlineStr">
        <is>
          <t>Month</t>
        </is>
      </c>
      <c r="E3" t="inlineStr">
        <is>
          <t>Good output ÷ Installed capacity × 100</t>
        </is>
      </c>
      <c r="F3">
        <f>ROUND(IFERROR(100*'A1 Inputs'!M4/'A1 Inputs'!J4,0),2)</f>
        <v/>
      </c>
      <c r="G3">
        <f>ROUND(IFERROR(100*'A1 Inputs'!M5/'A1 Inputs'!J5,0),2)</f>
        <v/>
      </c>
      <c r="H3">
        <f>ROUND(IFERROR(100*'A1 Inputs'!M6/'A1 Inputs'!J6,0),2)</f>
        <v/>
      </c>
      <c r="I3">
        <f>ROUND(IFERROR(100*'A1 Inputs'!M7/'A1 Inputs'!J7,0),2)</f>
        <v/>
      </c>
      <c r="J3">
        <f>ROUND(IFERROR(100*'A1 Inputs'!M8/'A1 Inputs'!J8,0),2)</f>
        <v/>
      </c>
      <c r="K3">
        <f>ROUND(IFERROR(100*'A1 Inputs'!M9/'A1 Inputs'!J9,0),2)</f>
        <v/>
      </c>
      <c r="L3" t="inlineStr">
        <is>
          <t>installed_capacity_t, good_output_t</t>
        </is>
      </c>
    </row>
    <row r="4">
      <c r="A4" t="inlineStr">
        <is>
          <t>PLT-001</t>
        </is>
      </c>
      <c r="B4" t="inlineStr">
        <is>
          <t>Asset utilization</t>
        </is>
      </c>
      <c r="C4" t="inlineStr">
        <is>
          <t>%</t>
        </is>
      </c>
      <c r="D4" t="inlineStr">
        <is>
          <t>Month</t>
        </is>
      </c>
      <c r="E4" t="inlineStr">
        <is>
          <t>Run hours ÷ Calendar hours × 100</t>
        </is>
      </c>
      <c r="F4">
        <f>ROUND(IFERROR(100*'A1 Inputs'!G4/'A1 Inputs'!E4,0),2)</f>
        <v/>
      </c>
      <c r="G4">
        <f>ROUND(IFERROR(100*'A1 Inputs'!G5/'A1 Inputs'!E5,0),2)</f>
        <v/>
      </c>
      <c r="H4">
        <f>ROUND(IFERROR(100*'A1 Inputs'!G6/'A1 Inputs'!E6,0),2)</f>
        <v/>
      </c>
      <c r="I4">
        <f>ROUND(IFERROR(100*'A1 Inputs'!G7/'A1 Inputs'!E7,0),2)</f>
        <v/>
      </c>
      <c r="J4">
        <f>ROUND(IFERROR(100*'A1 Inputs'!G8/'A1 Inputs'!E8,0),2)</f>
        <v/>
      </c>
      <c r="K4">
        <f>ROUND(IFERROR(100*'A1 Inputs'!G9/'A1 Inputs'!E9,0),2)</f>
        <v/>
      </c>
      <c r="L4" t="inlineStr">
        <is>
          <t>calendar_hours, run_hours</t>
        </is>
      </c>
    </row>
    <row r="5">
      <c r="A5" t="inlineStr">
        <is>
          <t>PLT-002</t>
        </is>
      </c>
      <c r="B5" t="inlineStr">
        <is>
          <t>OEE</t>
        </is>
      </c>
      <c r="C5" t="inlineStr">
        <is>
          <t>%</t>
        </is>
      </c>
      <c r="D5" t="inlineStr">
        <is>
          <t>Month</t>
        </is>
      </c>
      <c r="E5" t="inlineStr">
        <is>
          <t>Availability × Performance × Quality = Good output ÷ Ideal output × 100</t>
        </is>
      </c>
      <c r="F5">
        <f>ROUND(IFERROR(100*'A1 Inputs'!M4/'A1 Inputs'!I4,0),2)</f>
        <v/>
      </c>
      <c r="G5">
        <f>ROUND(IFERROR(100*'A1 Inputs'!M5/'A1 Inputs'!I5,0),2)</f>
        <v/>
      </c>
      <c r="H5">
        <f>ROUND(IFERROR(100*'A1 Inputs'!M6/'A1 Inputs'!I6,0),2)</f>
        <v/>
      </c>
      <c r="I5">
        <f>ROUND(IFERROR(100*'A1 Inputs'!M7/'A1 Inputs'!I7,0),2)</f>
        <v/>
      </c>
      <c r="J5">
        <f>ROUND(IFERROR(100*'A1 Inputs'!M8/'A1 Inputs'!I8,0),2)</f>
        <v/>
      </c>
      <c r="K5">
        <f>ROUND(IFERROR(100*'A1 Inputs'!M9/'A1 Inputs'!I9,0),2)</f>
        <v/>
      </c>
      <c r="L5" t="inlineStr">
        <is>
          <t>ideal_output_t, good_output_t</t>
        </is>
      </c>
    </row>
    <row r="6">
      <c r="A6" t="inlineStr">
        <is>
          <t>PLT-004</t>
        </is>
      </c>
      <c r="B6" t="inlineStr">
        <is>
          <t>Recovery percentage</t>
        </is>
      </c>
      <c r="C6" t="inlineStr">
        <is>
          <t>%</t>
        </is>
      </c>
      <c r="D6" t="inlineStr">
        <is>
          <t>Month</t>
        </is>
      </c>
      <c r="E6" t="inlineStr">
        <is>
          <t>Valuable content recovered ÷ Valuable content in feed × 100</t>
        </is>
      </c>
      <c r="F6">
        <f>ROUND(IFERROR(100*'A1 Inputs'!P4/'A1 Inputs'!O4,0),2)</f>
        <v/>
      </c>
      <c r="G6">
        <f>ROUND(IFERROR(100*'A1 Inputs'!P5/'A1 Inputs'!O5,0),2)</f>
        <v/>
      </c>
      <c r="H6">
        <f>ROUND(IFERROR(100*'A1 Inputs'!P6/'A1 Inputs'!O6,0),2)</f>
        <v/>
      </c>
      <c r="I6">
        <f>ROUND(IFERROR(100*'A1 Inputs'!P7/'A1 Inputs'!O7,0),2)</f>
        <v/>
      </c>
      <c r="J6">
        <f>ROUND(IFERROR(100*'A1 Inputs'!P8/'A1 Inputs'!O8,0),2)</f>
        <v/>
      </c>
      <c r="K6">
        <f>ROUND(IFERROR(100*'A1 Inputs'!P9/'A1 Inputs'!O9,0),2)</f>
        <v/>
      </c>
      <c r="L6" t="inlineStr">
        <is>
          <t>feed_contained_t, recovered_contained_t</t>
        </is>
      </c>
    </row>
    <row r="7">
      <c r="A7" t="inlineStr">
        <is>
          <t>PLT-005</t>
        </is>
      </c>
      <c r="B7" t="inlineStr">
        <is>
          <t>Yield</t>
        </is>
      </c>
      <c r="C7" t="inlineStr">
        <is>
          <t>%</t>
        </is>
      </c>
      <c r="D7" t="inlineStr">
        <is>
          <t>Month</t>
        </is>
      </c>
      <c r="E7" t="inlineStr">
        <is>
          <t>Good output ÷ Feed input × 100</t>
        </is>
      </c>
      <c r="F7">
        <f>ROUND(IFERROR(100*'A1 Inputs'!M4/'A1 Inputs'!N4,0),2)</f>
        <v/>
      </c>
      <c r="G7">
        <f>ROUND(IFERROR(100*'A1 Inputs'!M5/'A1 Inputs'!N5,0),2)</f>
        <v/>
      </c>
      <c r="H7">
        <f>ROUND(IFERROR(100*'A1 Inputs'!M6/'A1 Inputs'!N6,0),2)</f>
        <v/>
      </c>
      <c r="I7">
        <f>ROUND(IFERROR(100*'A1 Inputs'!M7/'A1 Inputs'!N7,0),2)</f>
        <v/>
      </c>
      <c r="J7">
        <f>ROUND(IFERROR(100*'A1 Inputs'!M8/'A1 Inputs'!N8,0),2)</f>
        <v/>
      </c>
      <c r="K7">
        <f>ROUND(IFERROR(100*'A1 Inputs'!M9/'A1 Inputs'!N9,0),2)</f>
        <v/>
      </c>
      <c r="L7" t="inlineStr">
        <is>
          <t>good_output_t, feed_input_t</t>
        </is>
      </c>
    </row>
    <row r="8">
      <c r="A8" t="inlineStr">
        <is>
          <t>REL-001</t>
        </is>
      </c>
      <c r="B8" t="inlineStr">
        <is>
          <t>MTBF</t>
        </is>
      </c>
      <c r="C8" t="inlineStr">
        <is>
          <t>h</t>
        </is>
      </c>
      <c r="D8" t="inlineStr">
        <is>
          <t>Month</t>
        </is>
      </c>
      <c r="E8" t="inlineStr">
        <is>
          <t>Run hours ÷ Breakdowns</t>
        </is>
      </c>
      <c r="F8">
        <f>ROUND(IFERROR('A1 Inputs'!G4/'A1 Inputs'!R4,0),2)</f>
        <v/>
      </c>
      <c r="G8">
        <f>ROUND(IFERROR('A1 Inputs'!G5/'A1 Inputs'!R5,0),2)</f>
        <v/>
      </c>
      <c r="H8">
        <f>ROUND(IFERROR('A1 Inputs'!G6/'A1 Inputs'!R6,0),2)</f>
        <v/>
      </c>
      <c r="I8">
        <f>ROUND(IFERROR('A1 Inputs'!G7/'A1 Inputs'!R7,0),2)</f>
        <v/>
      </c>
      <c r="J8">
        <f>ROUND(IFERROR('A1 Inputs'!G8/'A1 Inputs'!R8,0),2)</f>
        <v/>
      </c>
      <c r="K8">
        <f>ROUND(IFERROR('A1 Inputs'!G9/'A1 Inputs'!R9,0),2)</f>
        <v/>
      </c>
      <c r="L8" t="inlineStr">
        <is>
          <t>run_hours, failures</t>
        </is>
      </c>
    </row>
    <row r="9">
      <c r="A9" t="inlineStr">
        <is>
          <t>REL-002</t>
        </is>
      </c>
      <c r="B9" t="inlineStr">
        <is>
          <t>Mean Time to Repair</t>
        </is>
      </c>
      <c r="C9" t="inlineStr">
        <is>
          <t>h</t>
        </is>
      </c>
      <c r="D9" t="inlineStr">
        <is>
          <t>Month</t>
        </is>
      </c>
      <c r="E9" t="inlineStr">
        <is>
          <t>Repair hours ÷ Breakdowns</t>
        </is>
      </c>
      <c r="F9">
        <f>ROUND(IFERROR('A1 Inputs'!S4/'A1 Inputs'!R4,0),2)</f>
        <v/>
      </c>
      <c r="G9">
        <f>ROUND(IFERROR('A1 Inputs'!S5/'A1 Inputs'!R5,0),2)</f>
        <v/>
      </c>
      <c r="H9">
        <f>ROUND(IFERROR('A1 Inputs'!S6/'A1 Inputs'!R6,0),2)</f>
        <v/>
      </c>
      <c r="I9">
        <f>ROUND(IFERROR('A1 Inputs'!S7/'A1 Inputs'!R7,0),2)</f>
        <v/>
      </c>
      <c r="J9">
        <f>ROUND(IFERROR('A1 Inputs'!S8/'A1 Inputs'!R8,0),2)</f>
        <v/>
      </c>
      <c r="K9">
        <f>ROUND(IFERROR('A1 Inputs'!S9/'A1 Inputs'!R9,0),2)</f>
        <v/>
      </c>
      <c r="L9" t="inlineStr">
        <is>
          <t>failures, repair_hours</t>
        </is>
      </c>
    </row>
    <row r="10">
      <c r="A10" t="inlineStr">
        <is>
          <t>REL-003</t>
        </is>
      </c>
      <c r="B10" t="inlineStr">
        <is>
          <t>Unplanned downtime</t>
        </is>
      </c>
      <c r="C10" t="inlineStr">
        <is>
          <t>h</t>
        </is>
      </c>
      <c r="D10" t="inlineStr">
        <is>
          <t>Month</t>
        </is>
      </c>
      <c r="E10" t="inlineStr">
        <is>
          <t>Unplanned downtime</t>
        </is>
      </c>
      <c r="F10">
        <f>ROUND('A1 Inputs'!H4,2)</f>
        <v/>
      </c>
      <c r="G10">
        <f>ROUND('A1 Inputs'!H5,2)</f>
        <v/>
      </c>
      <c r="H10">
        <f>ROUND('A1 Inputs'!H6,2)</f>
        <v/>
      </c>
      <c r="I10">
        <f>ROUND('A1 Inputs'!H7,2)</f>
        <v/>
      </c>
      <c r="J10">
        <f>ROUND('A1 Inputs'!H8,2)</f>
        <v/>
      </c>
      <c r="K10">
        <f>ROUND('A1 Inputs'!H9,2)</f>
        <v/>
      </c>
      <c r="L10" t="inlineStr">
        <is>
          <t>unplanned_downtime_hours</t>
        </is>
      </c>
    </row>
    <row r="11">
      <c r="A11" t="inlineStr">
        <is>
          <t>REL-004</t>
        </is>
      </c>
      <c r="B11" t="inlineStr">
        <is>
          <t>Production loss from downtime</t>
        </is>
      </c>
      <c r="C11" t="inlineStr">
        <is>
          <t>t</t>
        </is>
      </c>
      <c r="D11" t="inlineStr">
        <is>
          <t>Month</t>
        </is>
      </c>
      <c r="E11" t="inlineStr">
        <is>
          <t>Production lost to downtime</t>
        </is>
      </c>
      <c r="F11">
        <f>ROUND('A1 Inputs'!Q4,2)</f>
        <v/>
      </c>
      <c r="G11">
        <f>ROUND('A1 Inputs'!Q5,2)</f>
        <v/>
      </c>
      <c r="H11">
        <f>ROUND('A1 Inputs'!Q6,2)</f>
        <v/>
      </c>
      <c r="I11">
        <f>ROUND('A1 Inputs'!Q7,2)</f>
        <v/>
      </c>
      <c r="J11">
        <f>ROUND('A1 Inputs'!Q8,2)</f>
        <v/>
      </c>
      <c r="K11">
        <f>ROUND('A1 Inputs'!Q9,2)</f>
        <v/>
      </c>
      <c r="L11" t="inlineStr">
        <is>
          <t>prod_loss_downtime_t</t>
        </is>
      </c>
    </row>
    <row r="12">
      <c r="A12" t="inlineStr">
        <is>
          <t>REL-005</t>
        </is>
      </c>
      <c r="B12" t="inlineStr">
        <is>
          <t>Preventive-maintenance compliance</t>
        </is>
      </c>
      <c r="C12" t="inlineStr">
        <is>
          <t>%</t>
        </is>
      </c>
      <c r="D12" t="inlineStr">
        <is>
          <t>Month</t>
        </is>
      </c>
      <c r="E12" t="inlineStr">
        <is>
          <t>Preventive maintenance completed ÷ Preventive maintenance scheduled × 100</t>
        </is>
      </c>
      <c r="F12">
        <f>ROUND(IFERROR(100*'A1 Inputs'!U4/'A1 Inputs'!T4,0),2)</f>
        <v/>
      </c>
      <c r="G12">
        <f>ROUND(IFERROR(100*'A1 Inputs'!U5/'A1 Inputs'!T5,0),2)</f>
        <v/>
      </c>
      <c r="H12">
        <f>ROUND(IFERROR(100*'A1 Inputs'!U6/'A1 Inputs'!T6,0),2)</f>
        <v/>
      </c>
      <c r="I12">
        <f>ROUND(IFERROR(100*'A1 Inputs'!U7/'A1 Inputs'!T7,0),2)</f>
        <v/>
      </c>
      <c r="J12">
        <f>ROUND(IFERROR(100*'A1 Inputs'!U8/'A1 Inputs'!T8,0),2)</f>
        <v/>
      </c>
      <c r="K12">
        <f>ROUND(IFERROR(100*'A1 Inputs'!U9/'A1 Inputs'!T9,0),2)</f>
        <v/>
      </c>
      <c r="L12" t="inlineStr">
        <is>
          <t>pm_scheduled, pm_completed</t>
        </is>
      </c>
    </row>
    <row r="13">
      <c r="A13" t="inlineStr">
        <is>
          <t>CST-001</t>
        </is>
      </c>
      <c r="B13" t="inlineStr">
        <is>
          <t>Cost per tonne</t>
        </is>
      </c>
      <c r="C13" t="inlineStr">
        <is>
          <t>₹/t</t>
        </is>
      </c>
      <c r="D13" t="inlineStr">
        <is>
          <t>Month</t>
        </is>
      </c>
      <c r="E13" t="inlineStr">
        <is>
          <t>(Variable cost + Fixed cost) × 1000 ÷ Good output</t>
        </is>
      </c>
      <c r="F13">
        <f>ROUND(IFERROR(1000*('A1 Inputs'!V4+'A1 Inputs'!X4)/'A1 Inputs'!M4,0),2)</f>
        <v/>
      </c>
      <c r="G13">
        <f>ROUND(IFERROR(1000*('A1 Inputs'!V5+'A1 Inputs'!X5)/'A1 Inputs'!M5,0),2)</f>
        <v/>
      </c>
      <c r="H13">
        <f>ROUND(IFERROR(1000*('A1 Inputs'!V6+'A1 Inputs'!X6)/'A1 Inputs'!M6,0),2)</f>
        <v/>
      </c>
      <c r="I13">
        <f>ROUND(IFERROR(1000*('A1 Inputs'!V7+'A1 Inputs'!X7)/'A1 Inputs'!M7,0),2)</f>
        <v/>
      </c>
      <c r="J13">
        <f>ROUND(IFERROR(1000*('A1 Inputs'!V8+'A1 Inputs'!X8)/'A1 Inputs'!M8,0),2)</f>
        <v/>
      </c>
      <c r="K13">
        <f>ROUND(IFERROR(1000*('A1 Inputs'!V9+'A1 Inputs'!X9)/'A1 Inputs'!M9,0),2)</f>
        <v/>
      </c>
      <c r="L13" t="inlineStr">
        <is>
          <t>good_output_t, variable_cost_k, fixed_cost_k</t>
        </is>
      </c>
    </row>
    <row r="14">
      <c r="A14" t="inlineStr">
        <is>
          <t>CST-002</t>
        </is>
      </c>
      <c r="B14" t="inlineStr">
        <is>
          <t>Variable cost</t>
        </is>
      </c>
      <c r="C14" t="inlineStr">
        <is>
          <t>₹ thousand</t>
        </is>
      </c>
      <c r="D14" t="inlineStr">
        <is>
          <t>Month</t>
        </is>
      </c>
      <c r="E14" t="inlineStr">
        <is>
          <t>Variable cost</t>
        </is>
      </c>
      <c r="F14">
        <f>ROUND('A1 Inputs'!V4,2)</f>
        <v/>
      </c>
      <c r="G14">
        <f>ROUND('A1 Inputs'!V5,2)</f>
        <v/>
      </c>
      <c r="H14">
        <f>ROUND('A1 Inputs'!V6,2)</f>
        <v/>
      </c>
      <c r="I14">
        <f>ROUND('A1 Inputs'!V7,2)</f>
        <v/>
      </c>
      <c r="J14">
        <f>ROUND('A1 Inputs'!V8,2)</f>
        <v/>
      </c>
      <c r="K14">
        <f>ROUND('A1 Inputs'!V9,2)</f>
        <v/>
      </c>
      <c r="L14" t="inlineStr">
        <is>
          <t>variable_cost_k</t>
        </is>
      </c>
    </row>
    <row r="15">
      <c r="A15" t="inlineStr">
        <is>
          <t>CST-003</t>
        </is>
      </c>
      <c r="B15" t="inlineStr">
        <is>
          <t>Fuel cost</t>
        </is>
      </c>
      <c r="C15" t="inlineStr">
        <is>
          <t>₹ thousand</t>
        </is>
      </c>
      <c r="D15" t="inlineStr">
        <is>
          <t>Month</t>
        </is>
      </c>
      <c r="E15" t="inlineStr">
        <is>
          <t>Fuel cost</t>
        </is>
      </c>
      <c r="F15">
        <f>ROUND('A1 Inputs'!W4,2)</f>
        <v/>
      </c>
      <c r="G15">
        <f>ROUND('A1 Inputs'!W5,2)</f>
        <v/>
      </c>
      <c r="H15">
        <f>ROUND('A1 Inputs'!W6,2)</f>
        <v/>
      </c>
      <c r="I15">
        <f>ROUND('A1 Inputs'!W7,2)</f>
        <v/>
      </c>
      <c r="J15">
        <f>ROUND('A1 Inputs'!W8,2)</f>
        <v/>
      </c>
      <c r="K15">
        <f>ROUND('A1 Inputs'!W9,2)</f>
        <v/>
      </c>
      <c r="L15" t="inlineStr">
        <is>
          <t>fuel_cost_k</t>
        </is>
      </c>
    </row>
    <row r="16">
      <c r="A16" t="inlineStr">
        <is>
          <t>SUS-001</t>
        </is>
      </c>
      <c r="B16" t="inlineStr">
        <is>
          <t>Water usage</t>
        </is>
      </c>
      <c r="C16" t="inlineStr">
        <is>
          <t>m3</t>
        </is>
      </c>
      <c r="D16" t="inlineStr">
        <is>
          <t>Month</t>
        </is>
      </c>
      <c r="E16" t="inlineStr">
        <is>
          <t>Water used</t>
        </is>
      </c>
      <c r="F16">
        <f>ROUND('A1 Inputs'!Y4,2)</f>
        <v/>
      </c>
      <c r="G16">
        <f>ROUND('A1 Inputs'!Y5,2)</f>
        <v/>
      </c>
      <c r="H16">
        <f>ROUND('A1 Inputs'!Y6,2)</f>
        <v/>
      </c>
      <c r="I16">
        <f>ROUND('A1 Inputs'!Y7,2)</f>
        <v/>
      </c>
      <c r="J16">
        <f>ROUND('A1 Inputs'!Y8,2)</f>
        <v/>
      </c>
      <c r="K16">
        <f>ROUND('A1 Inputs'!Y9,2)</f>
        <v/>
      </c>
      <c r="L16" t="inlineStr">
        <is>
          <t>water_m3</t>
        </is>
      </c>
    </row>
    <row r="17">
      <c r="A17" t="inlineStr">
        <is>
          <t>SUS-002</t>
        </is>
      </c>
      <c r="B17" t="inlineStr">
        <is>
          <t>Emissions</t>
        </is>
      </c>
      <c r="C17" t="inlineStr">
        <is>
          <t>tCO2e</t>
        </is>
      </c>
      <c r="D17" t="inlineStr">
        <is>
          <t>Month</t>
        </is>
      </c>
      <c r="E17" t="inlineStr">
        <is>
          <t>Emissions</t>
        </is>
      </c>
      <c r="F17">
        <f>ROUND('A1 Inputs'!Z4,2)</f>
        <v/>
      </c>
      <c r="G17">
        <f>ROUND('A1 Inputs'!Z5,2)</f>
        <v/>
      </c>
      <c r="H17">
        <f>ROUND('A1 Inputs'!Z6,2)</f>
        <v/>
      </c>
      <c r="I17">
        <f>ROUND('A1 Inputs'!Z7,2)</f>
        <v/>
      </c>
      <c r="J17">
        <f>ROUND('A1 Inputs'!Z8,2)</f>
        <v/>
      </c>
      <c r="K17">
        <f>ROUND('A1 Inputs'!Z9,2)</f>
        <v/>
      </c>
      <c r="L17" t="inlineStr">
        <is>
          <t>emissions_tco2e</t>
        </is>
      </c>
    </row>
    <row r="18">
      <c r="A18" t="inlineStr">
        <is>
          <t>SUS-003</t>
        </is>
      </c>
      <c r="B18" t="inlineStr">
        <is>
          <t>Energy intensity</t>
        </is>
      </c>
      <c r="C18" t="inlineStr">
        <is>
          <t>GJ/t</t>
        </is>
      </c>
      <c r="D18" t="inlineStr">
        <is>
          <t>Month</t>
        </is>
      </c>
      <c r="E18" t="inlineStr">
        <is>
          <t>Energy used ÷ Good output</t>
        </is>
      </c>
      <c r="F18">
        <f>ROUND(IFERROR('A1 Inputs'!AA4/'A1 Inputs'!M4,0),2)</f>
        <v/>
      </c>
      <c r="G18">
        <f>ROUND(IFERROR('A1 Inputs'!AA5/'A1 Inputs'!M5,0),2)</f>
        <v/>
      </c>
      <c r="H18">
        <f>ROUND(IFERROR('A1 Inputs'!AA6/'A1 Inputs'!M6,0),2)</f>
        <v/>
      </c>
      <c r="I18">
        <f>ROUND(IFERROR('A1 Inputs'!AA7/'A1 Inputs'!M7,0),2)</f>
        <v/>
      </c>
      <c r="J18">
        <f>ROUND(IFERROR('A1 Inputs'!AA8/'A1 Inputs'!M8,0),2)</f>
        <v/>
      </c>
      <c r="K18">
        <f>ROUND(IFERROR('A1 Inputs'!AA9/'A1 Inputs'!M9,0),2)</f>
        <v/>
      </c>
      <c r="L18" t="inlineStr">
        <is>
          <t>good_output_t, energy_gj</t>
        </is>
      </c>
    </row>
    <row r="19">
      <c r="A19" t="inlineStr">
        <is>
          <t>SIG-007</t>
        </is>
      </c>
      <c r="B19" t="inlineStr">
        <is>
          <t>Production at risk</t>
        </is>
      </c>
      <c r="C19" t="inlineStr">
        <is>
          <t>t</t>
        </is>
      </c>
      <c r="D19" t="inlineStr">
        <is>
          <t>Month</t>
        </is>
      </c>
      <c r="E19" t="inlineStr">
        <is>
          <t>Production at risk</t>
        </is>
      </c>
      <c r="F19">
        <f>ROUND('A1 Inputs'!AB4,2)</f>
        <v/>
      </c>
      <c r="G19">
        <f>ROUND('A1 Inputs'!AB5,2)</f>
        <v/>
      </c>
      <c r="H19">
        <f>ROUND('A1 Inputs'!AB6,2)</f>
        <v/>
      </c>
      <c r="I19">
        <f>ROUND('A1 Inputs'!AB7,2)</f>
        <v/>
      </c>
      <c r="J19">
        <f>ROUND('A1 Inputs'!AB8,2)</f>
        <v/>
      </c>
      <c r="K19">
        <f>ROUND('A1 Inputs'!AB9,2)</f>
        <v/>
      </c>
      <c r="L19" t="inlineStr">
        <is>
          <t>production_at_risk_t</t>
        </is>
      </c>
    </row>
    <row r="20">
      <c r="A20" t="inlineStr">
        <is>
          <t>SIG-008</t>
        </is>
      </c>
      <c r="B20" t="inlineStr">
        <is>
          <t>Critical plant-state alerts</t>
        </is>
      </c>
      <c r="C20" t="inlineStr">
        <is>
          <t>count</t>
        </is>
      </c>
      <c r="D20" t="inlineStr">
        <is>
          <t>Month</t>
        </is>
      </c>
      <c r="E20" t="inlineStr">
        <is>
          <t>Critical plant alerts</t>
        </is>
      </c>
      <c r="F20">
        <f>ROUND('A1 Inputs'!AC4,2)</f>
        <v/>
      </c>
      <c r="G20">
        <f>ROUND('A1 Inputs'!AC5,2)</f>
        <v/>
      </c>
      <c r="H20">
        <f>ROUND('A1 Inputs'!AC6,2)</f>
        <v/>
      </c>
      <c r="I20">
        <f>ROUND('A1 Inputs'!AC7,2)</f>
        <v/>
      </c>
      <c r="J20">
        <f>ROUND('A1 Inputs'!AC8,2)</f>
        <v/>
      </c>
      <c r="K20">
        <f>ROUND('A1 Inputs'!AC9,2)</f>
        <v/>
      </c>
      <c r="L20" t="inlineStr">
        <is>
          <t>critical_plant_alerts</t>
        </is>
      </c>
    </row>
    <row r="21">
      <c r="A21" t="inlineStr">
        <is>
          <t>SIG-009</t>
        </is>
      </c>
      <c r="B21" t="inlineStr">
        <is>
          <t>Critical-material shortage risk</t>
        </is>
      </c>
      <c r="C21" t="inlineStr">
        <is>
          <t>count</t>
        </is>
      </c>
      <c r="D21" t="inlineStr">
        <is>
          <t>Month</t>
        </is>
      </c>
      <c r="E21" t="inlineStr">
        <is>
          <t>Critical materials at risk</t>
        </is>
      </c>
      <c r="F21">
        <f>ROUND('A1 Inputs'!AO4,2)</f>
        <v/>
      </c>
      <c r="G21">
        <f>ROUND('A1 Inputs'!AO5,2)</f>
        <v/>
      </c>
      <c r="H21">
        <f>ROUND('A1 Inputs'!AO6,2)</f>
        <v/>
      </c>
      <c r="I21">
        <f>ROUND('A1 Inputs'!AO7,2)</f>
        <v/>
      </c>
      <c r="J21">
        <f>ROUND('A1 Inputs'!AO8,2)</f>
        <v/>
      </c>
      <c r="K21">
        <f>ROUND('A1 Inputs'!AO9,2)</f>
        <v/>
      </c>
      <c r="L21" t="inlineStr">
        <is>
          <t>critical_material_risks</t>
        </is>
      </c>
    </row>
    <row r="22">
      <c r="A22" t="inlineStr">
        <is>
          <t>SIG-012</t>
        </is>
      </c>
      <c r="B22" t="inlineStr">
        <is>
          <t>Dispatch delays</t>
        </is>
      </c>
      <c r="C22" t="inlineStr">
        <is>
          <t>%</t>
        </is>
      </c>
      <c r="D22" t="inlineStr">
        <is>
          <t>Month</t>
        </is>
      </c>
      <c r="E22" t="inlineStr">
        <is>
          <t>Delayed dispatches ÷ Dispatches × 100</t>
        </is>
      </c>
      <c r="F22">
        <f>ROUND(IFERROR(100*'A1 Inputs'!AQ4/'A1 Inputs'!AP4,0),2)</f>
        <v/>
      </c>
      <c r="G22">
        <f>ROUND(IFERROR(100*'A1 Inputs'!AQ5/'A1 Inputs'!AP5,0),2)</f>
        <v/>
      </c>
      <c r="H22">
        <f>ROUND(IFERROR(100*'A1 Inputs'!AQ6/'A1 Inputs'!AP6,0),2)</f>
        <v/>
      </c>
      <c r="I22">
        <f>ROUND(IFERROR(100*'A1 Inputs'!AQ7/'A1 Inputs'!AP7,0),2)</f>
        <v/>
      </c>
      <c r="J22">
        <f>ROUND(IFERROR(100*'A1 Inputs'!AQ8/'A1 Inputs'!AP8,0),2)</f>
        <v/>
      </c>
      <c r="K22">
        <f>ROUND(IFERROR(100*'A1 Inputs'!AQ9/'A1 Inputs'!AP9,0),2)</f>
        <v/>
      </c>
      <c r="L22" t="inlineStr">
        <is>
          <t>dispatches_total, dispatches_delayed</t>
        </is>
      </c>
    </row>
    <row r="23">
      <c r="A23" t="inlineStr">
        <is>
          <t>SIG-021</t>
        </is>
      </c>
      <c r="B23" t="inlineStr">
        <is>
          <t>Environmental violations</t>
        </is>
      </c>
      <c r="C23" t="inlineStr">
        <is>
          <t>count</t>
        </is>
      </c>
      <c r="D23" t="inlineStr">
        <is>
          <t>Month</t>
        </is>
      </c>
      <c r="E23" t="inlineStr">
        <is>
          <t>Environmental violations</t>
        </is>
      </c>
      <c r="F23">
        <f>ROUND('A1 Inputs'!AJ4,2)</f>
        <v/>
      </c>
      <c r="G23">
        <f>ROUND('A1 Inputs'!AJ5,2)</f>
        <v/>
      </c>
      <c r="H23">
        <f>ROUND('A1 Inputs'!AJ6,2)</f>
        <v/>
      </c>
      <c r="I23">
        <f>ROUND('A1 Inputs'!AJ7,2)</f>
        <v/>
      </c>
      <c r="J23">
        <f>ROUND('A1 Inputs'!AJ8,2)</f>
        <v/>
      </c>
      <c r="K23">
        <f>ROUND('A1 Inputs'!AJ9,2)</f>
        <v/>
      </c>
      <c r="L23" t="inlineStr">
        <is>
          <t>env_violations</t>
        </is>
      </c>
    </row>
    <row r="24">
      <c r="A24" t="inlineStr">
        <is>
          <t>EHS-001</t>
        </is>
      </c>
      <c r="B24" t="inlineStr">
        <is>
          <t>TRIR</t>
        </is>
      </c>
      <c r="C24" t="inlineStr">
        <is>
          <t>per 200,000 h</t>
        </is>
      </c>
      <c r="D24" t="inlineStr">
        <is>
          <t>Month</t>
        </is>
      </c>
      <c r="E24" t="inlineStr">
        <is>
          <t>Recordable injuries × 200,000 ÷ Hours worked</t>
        </is>
      </c>
      <c r="F24">
        <f>ROUND(IFERROR(200000*'A1 Inputs'!AE4/'A1 Inputs'!AD4,0),2)</f>
        <v/>
      </c>
      <c r="G24">
        <f>ROUND(IFERROR(200000*'A1 Inputs'!AE5/'A1 Inputs'!AD5,0),2)</f>
        <v/>
      </c>
      <c r="H24">
        <f>ROUND(IFERROR(200000*'A1 Inputs'!AE6/'A1 Inputs'!AD6,0),2)</f>
        <v/>
      </c>
      <c r="I24">
        <f>ROUND(IFERROR(200000*'A1 Inputs'!AE7/'A1 Inputs'!AD7,0),2)</f>
        <v/>
      </c>
      <c r="J24">
        <f>ROUND(IFERROR(200000*'A1 Inputs'!AE8/'A1 Inputs'!AD8,0),2)</f>
        <v/>
      </c>
      <c r="K24">
        <f>ROUND(IFERROR(200000*'A1 Inputs'!AE9/'A1 Inputs'!AD9,0),2)</f>
        <v/>
      </c>
      <c r="L24" t="inlineStr">
        <is>
          <t>hours_worked, recordable_injuries</t>
        </is>
      </c>
    </row>
    <row r="25">
      <c r="A25" t="inlineStr">
        <is>
          <t>EHS-002</t>
        </is>
      </c>
      <c r="B25" t="inlineStr">
        <is>
          <t>Severity incidents</t>
        </is>
      </c>
      <c r="C25" t="inlineStr">
        <is>
          <t>count</t>
        </is>
      </c>
      <c r="D25" t="inlineStr">
        <is>
          <t>Month</t>
        </is>
      </c>
      <c r="E25" t="inlineStr">
        <is>
          <t>Severity incidents</t>
        </is>
      </c>
      <c r="F25">
        <f>ROUND('A1 Inputs'!AF4,2)</f>
        <v/>
      </c>
      <c r="G25">
        <f>ROUND('A1 Inputs'!AF5,2)</f>
        <v/>
      </c>
      <c r="H25">
        <f>ROUND('A1 Inputs'!AF6,2)</f>
        <v/>
      </c>
      <c r="I25">
        <f>ROUND('A1 Inputs'!AF7,2)</f>
        <v/>
      </c>
      <c r="J25">
        <f>ROUND('A1 Inputs'!AF8,2)</f>
        <v/>
      </c>
      <c r="K25">
        <f>ROUND('A1 Inputs'!AF9,2)</f>
        <v/>
      </c>
      <c r="L25" t="inlineStr">
        <is>
          <t>severity_incidents</t>
        </is>
      </c>
    </row>
    <row r="26">
      <c r="A26" t="inlineStr">
        <is>
          <t>EHS-003</t>
        </is>
      </c>
      <c r="B26" t="inlineStr">
        <is>
          <t>Near misses</t>
        </is>
      </c>
      <c r="C26" t="inlineStr">
        <is>
          <t>count</t>
        </is>
      </c>
      <c r="D26" t="inlineStr">
        <is>
          <t>Month</t>
        </is>
      </c>
      <c r="E26" t="inlineStr">
        <is>
          <t>Near misses</t>
        </is>
      </c>
      <c r="F26">
        <f>ROUND('A1 Inputs'!AG4,2)</f>
        <v/>
      </c>
      <c r="G26">
        <f>ROUND('A1 Inputs'!AG5,2)</f>
        <v/>
      </c>
      <c r="H26">
        <f>ROUND('A1 Inputs'!AG6,2)</f>
        <v/>
      </c>
      <c r="I26">
        <f>ROUND('A1 Inputs'!AG7,2)</f>
        <v/>
      </c>
      <c r="J26">
        <f>ROUND('A1 Inputs'!AG8,2)</f>
        <v/>
      </c>
      <c r="K26">
        <f>ROUND('A1 Inputs'!AG9,2)</f>
        <v/>
      </c>
      <c r="L26" t="inlineStr">
        <is>
          <t>near_misses</t>
        </is>
      </c>
    </row>
    <row r="27">
      <c r="A27" t="inlineStr">
        <is>
          <t>EHS-004</t>
        </is>
      </c>
      <c r="B27" t="inlineStr">
        <is>
          <t>Critical safety incidents</t>
        </is>
      </c>
      <c r="C27" t="inlineStr">
        <is>
          <t>count</t>
        </is>
      </c>
      <c r="D27" t="inlineStr">
        <is>
          <t>Month</t>
        </is>
      </c>
      <c r="E27" t="inlineStr">
        <is>
          <t>Critical safety incidents</t>
        </is>
      </c>
      <c r="F27">
        <f>ROUND('A1 Inputs'!AH4,2)</f>
        <v/>
      </c>
      <c r="G27">
        <f>ROUND('A1 Inputs'!AH5,2)</f>
        <v/>
      </c>
      <c r="H27">
        <f>ROUND('A1 Inputs'!AH6,2)</f>
        <v/>
      </c>
      <c r="I27">
        <f>ROUND('A1 Inputs'!AH7,2)</f>
        <v/>
      </c>
      <c r="J27">
        <f>ROUND('A1 Inputs'!AH8,2)</f>
        <v/>
      </c>
      <c r="K27">
        <f>ROUND('A1 Inputs'!AH9,2)</f>
        <v/>
      </c>
      <c r="L27" t="inlineStr">
        <is>
          <t>critical_safety_incidents</t>
        </is>
      </c>
    </row>
    <row r="28">
      <c r="A28" t="inlineStr">
        <is>
          <t>EHS-005</t>
        </is>
      </c>
      <c r="B28" t="inlineStr">
        <is>
          <t>Environmental excursions</t>
        </is>
      </c>
      <c r="C28" t="inlineStr">
        <is>
          <t>count</t>
        </is>
      </c>
      <c r="D28" t="inlineStr">
        <is>
          <t>Month</t>
        </is>
      </c>
      <c r="E28" t="inlineStr">
        <is>
          <t>Environmental excursions</t>
        </is>
      </c>
      <c r="F28">
        <f>ROUND('A1 Inputs'!AI4,2)</f>
        <v/>
      </c>
      <c r="G28">
        <f>ROUND('A1 Inputs'!AI5,2)</f>
        <v/>
      </c>
      <c r="H28">
        <f>ROUND('A1 Inputs'!AI6,2)</f>
        <v/>
      </c>
      <c r="I28">
        <f>ROUND('A1 Inputs'!AI7,2)</f>
        <v/>
      </c>
      <c r="J28">
        <f>ROUND('A1 Inputs'!AI8,2)</f>
        <v/>
      </c>
      <c r="K28">
        <f>ROUND('A1 Inputs'!AI9,2)</f>
        <v/>
      </c>
      <c r="L28" t="inlineStr">
        <is>
          <t>env_excursions</t>
        </is>
      </c>
    </row>
    <row r="29">
      <c r="A29" t="inlineStr">
        <is>
          <t>EHS-006</t>
        </is>
      </c>
      <c r="B29" t="inlineStr">
        <is>
          <t>Open EHS corrective actions</t>
        </is>
      </c>
      <c r="C29" t="inlineStr">
        <is>
          <t>count</t>
        </is>
      </c>
      <c r="D29" t="inlineStr">
        <is>
          <t>Month</t>
        </is>
      </c>
      <c r="E29" t="inlineStr">
        <is>
          <t>Open EHS corrective actions</t>
        </is>
      </c>
      <c r="F29">
        <f>ROUND('A1 Inputs'!AK4,2)</f>
        <v/>
      </c>
      <c r="G29">
        <f>ROUND('A1 Inputs'!AK5,2)</f>
        <v/>
      </c>
      <c r="H29">
        <f>ROUND('A1 Inputs'!AK6,2)</f>
        <v/>
      </c>
      <c r="I29">
        <f>ROUND('A1 Inputs'!AK7,2)</f>
        <v/>
      </c>
      <c r="J29">
        <f>ROUND('A1 Inputs'!AK8,2)</f>
        <v/>
      </c>
      <c r="K29">
        <f>ROUND('A1 Inputs'!AK9,2)</f>
        <v/>
      </c>
      <c r="L29" t="inlineStr">
        <is>
          <t>ehs_ca_open</t>
        </is>
      </c>
    </row>
    <row r="30">
      <c r="A30" t="inlineStr">
        <is>
          <t>EHS-007</t>
        </is>
      </c>
      <c r="B30" t="inlineStr">
        <is>
          <t>Overdue EHS actions</t>
        </is>
      </c>
      <c r="C30" t="inlineStr">
        <is>
          <t>count</t>
        </is>
      </c>
      <c r="D30" t="inlineStr">
        <is>
          <t>Month</t>
        </is>
      </c>
      <c r="E30" t="inlineStr">
        <is>
          <t>Overdue EHS corrective actions</t>
        </is>
      </c>
      <c r="F30">
        <f>ROUND('A1 Inputs'!AL4,2)</f>
        <v/>
      </c>
      <c r="G30">
        <f>ROUND('A1 Inputs'!AL5,2)</f>
        <v/>
      </c>
      <c r="H30">
        <f>ROUND('A1 Inputs'!AL6,2)</f>
        <v/>
      </c>
      <c r="I30">
        <f>ROUND('A1 Inputs'!AL7,2)</f>
        <v/>
      </c>
      <c r="J30">
        <f>ROUND('A1 Inputs'!AL8,2)</f>
        <v/>
      </c>
      <c r="K30">
        <f>ROUND('A1 Inputs'!AL9,2)</f>
        <v/>
      </c>
      <c r="L30" t="inlineStr">
        <is>
          <t>ehs_ca_overdue</t>
        </is>
      </c>
    </row>
    <row r="31">
      <c r="A31" t="inlineStr">
        <is>
          <t>EHS-009</t>
        </is>
      </c>
      <c r="B31" t="inlineStr">
        <is>
          <t>EHS investigation completion</t>
        </is>
      </c>
      <c r="C31" t="inlineStr">
        <is>
          <t>%</t>
        </is>
      </c>
      <c r="D31" t="inlineStr">
        <is>
          <t>Month</t>
        </is>
      </c>
      <c r="E31" t="inlineStr">
        <is>
          <t>EHS investigations completed ÷ EHS investigations due × 100 (100 if none due)</t>
        </is>
      </c>
      <c r="F31">
        <f>ROUND(IF('A1 Inputs'!AM4=0,100,100*'A1 Inputs'!AN4/'A1 Inputs'!AM4),2)</f>
        <v/>
      </c>
      <c r="G31">
        <f>ROUND(IF('A1 Inputs'!AM5=0,100,100*'A1 Inputs'!AN5/'A1 Inputs'!AM5),2)</f>
        <v/>
      </c>
      <c r="H31">
        <f>ROUND(IF('A1 Inputs'!AM6=0,100,100*'A1 Inputs'!AN6/'A1 Inputs'!AM6),2)</f>
        <v/>
      </c>
      <c r="I31">
        <f>ROUND(IF('A1 Inputs'!AM7=0,100,100*'A1 Inputs'!AN7/'A1 Inputs'!AM7),2)</f>
        <v/>
      </c>
      <c r="J31">
        <f>ROUND(IF('A1 Inputs'!AM8=0,100,100*'A1 Inputs'!AN8/'A1 Inputs'!AM8),2)</f>
        <v/>
      </c>
      <c r="K31">
        <f>ROUND(IF('A1 Inputs'!AM9=0,100,100*'A1 Inputs'!AN9/'A1 Inputs'!AM9),2)</f>
        <v/>
      </c>
      <c r="L31" t="inlineStr">
        <is>
          <t>investigations_due, investigations_completed</t>
        </is>
      </c>
    </row>
    <row r="32">
      <c r="A32" t="inlineStr">
        <is>
          <t>REG-006</t>
        </is>
      </c>
      <c r="B32" t="inlineStr">
        <is>
          <t>Licence or permit expiry clock</t>
        </is>
      </c>
      <c r="C32" t="inlineStr">
        <is>
          <t>days</t>
        </is>
      </c>
      <c r="D32" t="inlineStr">
        <is>
          <t>Month</t>
        </is>
      </c>
      <c r="E32" t="inlineStr">
        <is>
          <t>Days to permit expiry (lowest plant)</t>
        </is>
      </c>
      <c r="F32">
        <f>ROUND('A1 Inputs'!AR4,2)</f>
        <v/>
      </c>
      <c r="G32">
        <f>ROUND('A1 Inputs'!AR5,2)</f>
        <v/>
      </c>
      <c r="H32">
        <f>ROUND('A1 Inputs'!AR6,2)</f>
        <v/>
      </c>
      <c r="I32">
        <f>ROUND('A1 Inputs'!AR7,2)</f>
        <v/>
      </c>
      <c r="J32">
        <f>ROUND('A1 Inputs'!AR8,2)</f>
        <v/>
      </c>
      <c r="K32">
        <f>ROUND('A1 Inputs'!AR9,2)</f>
        <v/>
      </c>
      <c r="L32" t="inlineStr">
        <is>
          <t>permit_days_to_expiry</t>
        </is>
      </c>
    </row>
    <row r="33">
      <c r="A33" t="inlineStr">
        <is>
          <t>OPS-005</t>
        </is>
      </c>
      <c r="B33" t="inlineStr">
        <is>
          <t>Capacity utilisation (same measure as OPS-003)</t>
        </is>
      </c>
      <c r="C33" t="inlineStr">
        <is>
          <t>%</t>
        </is>
      </c>
      <c r="D33" t="inlineStr">
        <is>
          <t>Month</t>
        </is>
      </c>
      <c r="E33" t="inlineStr">
        <is>
          <t>Good output ÷ Installed capacity × 100</t>
        </is>
      </c>
      <c r="F33">
        <f>ROUND(IFERROR(100*'A1 Inputs'!M4/'A1 Inputs'!J4,0),2)</f>
        <v/>
      </c>
      <c r="G33">
        <f>ROUND(IFERROR(100*'A1 Inputs'!M5/'A1 Inputs'!J5,0),2)</f>
        <v/>
      </c>
      <c r="H33">
        <f>ROUND(IFERROR(100*'A1 Inputs'!M6/'A1 Inputs'!J6,0),2)</f>
        <v/>
      </c>
      <c r="I33">
        <f>ROUND(IFERROR(100*'A1 Inputs'!M7/'A1 Inputs'!J7,0),2)</f>
        <v/>
      </c>
      <c r="J33">
        <f>ROUND(IFERROR(100*'A1 Inputs'!M8/'A1 Inputs'!J8,0),2)</f>
        <v/>
      </c>
      <c r="K33">
        <f>ROUND(IFERROR(100*'A1 Inputs'!M9/'A1 Inputs'!J9,0),2)</f>
        <v/>
      </c>
      <c r="L33" t="inlineStr">
        <is>
          <t>installed_capacity_t, good_output_t</t>
        </is>
      </c>
    </row>
    <row r="34">
      <c r="A34" t="inlineStr">
        <is>
          <t>OPS-006</t>
        </is>
      </c>
      <c r="B34" t="inlineStr">
        <is>
          <t>OEE · Group weighted (same measure as PLT-002)</t>
        </is>
      </c>
      <c r="C34" t="inlineStr">
        <is>
          <t>%</t>
        </is>
      </c>
      <c r="D34" t="inlineStr">
        <is>
          <t>Month</t>
        </is>
      </c>
      <c r="E34" t="inlineStr">
        <is>
          <t>Good output ÷ Ideal output × 100 (weighted by output, not an average of plants)</t>
        </is>
      </c>
      <c r="F34">
        <f>ROUND(IFERROR(100*'A1 Inputs'!M4/'A1 Inputs'!I4,0),2)</f>
        <v/>
      </c>
      <c r="G34">
        <f>ROUND(IFERROR(100*'A1 Inputs'!M5/'A1 Inputs'!I5,0),2)</f>
        <v/>
      </c>
      <c r="H34">
        <f>ROUND(IFERROR(100*'A1 Inputs'!M6/'A1 Inputs'!I6,0),2)</f>
        <v/>
      </c>
      <c r="I34">
        <f>ROUND(IFERROR(100*'A1 Inputs'!M7/'A1 Inputs'!I7,0),2)</f>
        <v/>
      </c>
      <c r="J34">
        <f>ROUND(IFERROR(100*'A1 Inputs'!M8/'A1 Inputs'!I8,0),2)</f>
        <v/>
      </c>
      <c r="K34">
        <f>ROUND(IFERROR(100*'A1 Inputs'!M9/'A1 Inputs'!I9,0),2)</f>
        <v/>
      </c>
      <c r="L34" t="inlineStr">
        <is>
          <t>ideal_output_t, good_output_t</t>
        </is>
      </c>
    </row>
    <row r="35">
      <c r="A35" t="inlineStr">
        <is>
          <t>OPS-002</t>
        </is>
      </c>
      <c r="B35" t="inlineStr">
        <is>
          <t>Sales vs plan</t>
        </is>
      </c>
      <c r="C35" t="inlineStr">
        <is>
          <t>%</t>
        </is>
      </c>
      <c r="D35" t="inlineStr">
        <is>
          <t>Month</t>
        </is>
      </c>
      <c r="E35" t="inlineStr">
        <is>
          <t>Sales volume ÷ Planned sales volume × 100</t>
        </is>
      </c>
      <c r="F35">
        <f>ROUND(IF('A1 Inputs'!AT4=0,0,100*'A1 Inputs'!AS4/'A1 Inputs'!AT4),2)</f>
        <v/>
      </c>
      <c r="G35">
        <f>ROUND(IF('A1 Inputs'!AT5=0,0,100*'A1 Inputs'!AS5/'A1 Inputs'!AT5),2)</f>
        <v/>
      </c>
      <c r="H35">
        <f>ROUND(IF('A1 Inputs'!AT6=0,0,100*'A1 Inputs'!AS6/'A1 Inputs'!AT6),2)</f>
        <v/>
      </c>
      <c r="I35">
        <f>ROUND(IF('A1 Inputs'!AT7=0,0,100*'A1 Inputs'!AS7/'A1 Inputs'!AT7),2)</f>
        <v/>
      </c>
      <c r="J35">
        <f>ROUND(IF('A1 Inputs'!AT8=0,0,100*'A1 Inputs'!AS8/'A1 Inputs'!AT8),2)</f>
        <v/>
      </c>
      <c r="K35">
        <f>ROUND(IF('A1 Inputs'!AT9=0,0,100*'A1 Inputs'!AS9/'A1 Inputs'!AT9),2)</f>
        <v/>
      </c>
      <c r="L35" t="inlineStr">
        <is>
          <t>sales_t, planned_sales_t</t>
        </is>
      </c>
    </row>
    <row r="36">
      <c r="A36" t="inlineStr">
        <is>
          <t>OPS-004</t>
        </is>
      </c>
      <c r="B36" t="inlineStr">
        <is>
          <t>Sales vs plan · Group (same measure as OPS-002)</t>
        </is>
      </c>
      <c r="C36" t="inlineStr">
        <is>
          <t>%</t>
        </is>
      </c>
      <c r="D36" t="inlineStr">
        <is>
          <t>Month</t>
        </is>
      </c>
      <c r="E36" t="inlineStr">
        <is>
          <t>Sales volume ÷ Planned sales volume × 100</t>
        </is>
      </c>
      <c r="F36">
        <f>ROUND(IF('A1 Inputs'!AT4=0,0,100*'A1 Inputs'!AS4/'A1 Inputs'!AT4),2)</f>
        <v/>
      </c>
      <c r="G36">
        <f>ROUND(IF('A1 Inputs'!AT5=0,0,100*'A1 Inputs'!AS5/'A1 Inputs'!AT5),2)</f>
        <v/>
      </c>
      <c r="H36">
        <f>ROUND(IF('A1 Inputs'!AT6=0,0,100*'A1 Inputs'!AS6/'A1 Inputs'!AT6),2)</f>
        <v/>
      </c>
      <c r="I36">
        <f>ROUND(IF('A1 Inputs'!AT7=0,0,100*'A1 Inputs'!AS7/'A1 Inputs'!AT7),2)</f>
        <v/>
      </c>
      <c r="J36">
        <f>ROUND(IF('A1 Inputs'!AT8=0,0,100*'A1 Inputs'!AS8/'A1 Inputs'!AT8),2)</f>
        <v/>
      </c>
      <c r="K36">
        <f>ROUND(IF('A1 Inputs'!AT9=0,0,100*'A1 Inputs'!AS9/'A1 Inputs'!AT9),2)</f>
        <v/>
      </c>
      <c r="L36" t="inlineStr">
        <is>
          <t>sales_t, planned_sales_t</t>
        </is>
      </c>
    </row>
    <row r="37">
      <c r="A37" t="inlineStr">
        <is>
          <t>CST-004</t>
        </is>
      </c>
      <c r="B37" t="inlineStr">
        <is>
          <t>Power cost per tonne</t>
        </is>
      </c>
      <c r="C37" t="inlineStr">
        <is>
          <t>₹/t</t>
        </is>
      </c>
      <c r="D37" t="inlineStr">
        <is>
          <t>Month</t>
        </is>
      </c>
      <c r="E37" t="inlineStr">
        <is>
          <t>Power cost × 1000 ÷ Good output</t>
        </is>
      </c>
      <c r="F37">
        <f>ROUND(IF('A1 Inputs'!M4=0,0,1000*'A1 Inputs'!AW4/'A1 Inputs'!M4),2)</f>
        <v/>
      </c>
      <c r="G37">
        <f>ROUND(IF('A1 Inputs'!M5=0,0,1000*'A1 Inputs'!AW5/'A1 Inputs'!M5),2)</f>
        <v/>
      </c>
      <c r="H37">
        <f>ROUND(IF('A1 Inputs'!M6=0,0,1000*'A1 Inputs'!AW6/'A1 Inputs'!M6),2)</f>
        <v/>
      </c>
      <c r="I37">
        <f>ROUND(IF('A1 Inputs'!M7=0,0,1000*'A1 Inputs'!AW7/'A1 Inputs'!M7),2)</f>
        <v/>
      </c>
      <c r="J37">
        <f>ROUND(IF('A1 Inputs'!M8=0,0,1000*'A1 Inputs'!AW8/'A1 Inputs'!M8),2)</f>
        <v/>
      </c>
      <c r="K37">
        <f>ROUND(IF('A1 Inputs'!M9=0,0,1000*'A1 Inputs'!AW9/'A1 Inputs'!M9),2)</f>
        <v/>
      </c>
      <c r="L37" t="inlineStr">
        <is>
          <t>good_output_t, power_cost_k</t>
        </is>
      </c>
    </row>
    <row r="38">
      <c r="A38" t="inlineStr">
        <is>
          <t>FIN-001</t>
        </is>
      </c>
      <c r="B38" t="inlineStr">
        <is>
          <t>EBITDA YTD</t>
        </is>
      </c>
      <c r="C38" t="inlineStr">
        <is>
          <t>₹ m</t>
        </is>
      </c>
      <c r="D38" t="inlineStr">
        <is>
          <t>Year to date</t>
        </is>
      </c>
      <c r="E38" t="inlineStr">
        <is>
          <t>Sum of monthly EBITDA since April ÷ 1000</t>
        </is>
      </c>
      <c r="F38">
        <f>ROUND(SUM('A1 Inputs'!FV$4:FV4)/1000,2)</f>
        <v/>
      </c>
      <c r="G38">
        <f>ROUND(SUM('A1 Inputs'!FV$4:FV5)/1000,2)</f>
        <v/>
      </c>
      <c r="H38">
        <f>ROUND(SUM('A1 Inputs'!FV$4:FV6)/1000,2)</f>
        <v/>
      </c>
      <c r="I38">
        <f>ROUND(SUM('A1 Inputs'!FV$4:FV7)/1000,2)</f>
        <v/>
      </c>
      <c r="J38">
        <f>ROUND(SUM('A1 Inputs'!FV$4:FV8)/1000,2)</f>
        <v/>
      </c>
      <c r="K38">
        <f>ROUND(SUM('A1 Inputs'!FV$4:FV9)/1000,2)</f>
        <v/>
      </c>
      <c r="L38" t="inlineStr">
        <is>
          <t>ebitda_k</t>
        </is>
      </c>
    </row>
    <row r="39">
      <c r="A39" t="inlineStr">
        <is>
          <t>FIN-002</t>
        </is>
      </c>
      <c r="B39" t="inlineStr">
        <is>
          <t>EBIT YTD</t>
        </is>
      </c>
      <c r="C39" t="inlineStr">
        <is>
          <t>₹ m</t>
        </is>
      </c>
      <c r="D39" t="inlineStr">
        <is>
          <t>Year to date</t>
        </is>
      </c>
      <c r="E39" t="inlineStr">
        <is>
          <t>Sum of monthly EBIT since April ÷ 1000</t>
        </is>
      </c>
      <c r="F39">
        <f>ROUND(SUM('A1 Inputs'!FW$4:FW4)/1000,2)</f>
        <v/>
      </c>
      <c r="G39">
        <f>ROUND(SUM('A1 Inputs'!FW$4:FW5)/1000,2)</f>
        <v/>
      </c>
      <c r="H39">
        <f>ROUND(SUM('A1 Inputs'!FW$4:FW6)/1000,2)</f>
        <v/>
      </c>
      <c r="I39">
        <f>ROUND(SUM('A1 Inputs'!FW$4:FW7)/1000,2)</f>
        <v/>
      </c>
      <c r="J39">
        <f>ROUND(SUM('A1 Inputs'!FW$4:FW8)/1000,2)</f>
        <v/>
      </c>
      <c r="K39">
        <f>ROUND(SUM('A1 Inputs'!FW$4:FW9)/1000,2)</f>
        <v/>
      </c>
      <c r="L39" t="inlineStr">
        <is>
          <t>ebit_k</t>
        </is>
      </c>
    </row>
    <row r="40">
      <c r="A40" t="inlineStr">
        <is>
          <t>FIN-003</t>
        </is>
      </c>
      <c r="B40" t="inlineStr">
        <is>
          <t>Revenue YTD</t>
        </is>
      </c>
      <c r="C40" t="inlineStr">
        <is>
          <t>₹ m</t>
        </is>
      </c>
      <c r="D40" t="inlineStr">
        <is>
          <t>Year to date</t>
        </is>
      </c>
      <c r="E40" t="inlineStr">
        <is>
          <t>Sum of monthly Revenue since April ÷ 1000</t>
        </is>
      </c>
      <c r="F40">
        <f>ROUND(SUM('A1 Inputs'!AU$4:AU4)/1000,2)</f>
        <v/>
      </c>
      <c r="G40">
        <f>ROUND(SUM('A1 Inputs'!AU$4:AU5)/1000,2)</f>
        <v/>
      </c>
      <c r="H40">
        <f>ROUND(SUM('A1 Inputs'!AU$4:AU6)/1000,2)</f>
        <v/>
      </c>
      <c r="I40">
        <f>ROUND(SUM('A1 Inputs'!AU$4:AU7)/1000,2)</f>
        <v/>
      </c>
      <c r="J40">
        <f>ROUND(SUM('A1 Inputs'!AU$4:AU8)/1000,2)</f>
        <v/>
      </c>
      <c r="K40">
        <f>ROUND(SUM('A1 Inputs'!AU$4:AU9)/1000,2)</f>
        <v/>
      </c>
      <c r="L40" t="inlineStr">
        <is>
          <t>revenue_k</t>
        </is>
      </c>
    </row>
    <row r="41">
      <c r="A41" t="inlineStr">
        <is>
          <t>FIN-004</t>
        </is>
      </c>
      <c r="B41" t="inlineStr">
        <is>
          <t>Free cash flow YTD</t>
        </is>
      </c>
      <c r="C41" t="inlineStr">
        <is>
          <t>₹ m</t>
        </is>
      </c>
      <c r="D41" t="inlineStr">
        <is>
          <t>Year to date</t>
        </is>
      </c>
      <c r="E41" t="inlineStr">
        <is>
          <t>Sum of monthly Free cash flow since April ÷ 1000</t>
        </is>
      </c>
      <c r="F41">
        <f>ROUND(SUM('A1 Inputs'!GA$4:GA4)/1000,2)</f>
        <v/>
      </c>
      <c r="G41">
        <f>ROUND(SUM('A1 Inputs'!GA$4:GA5)/1000,2)</f>
        <v/>
      </c>
      <c r="H41">
        <f>ROUND(SUM('A1 Inputs'!GA$4:GA6)/1000,2)</f>
        <v/>
      </c>
      <c r="I41">
        <f>ROUND(SUM('A1 Inputs'!GA$4:GA7)/1000,2)</f>
        <v/>
      </c>
      <c r="J41">
        <f>ROUND(SUM('A1 Inputs'!GA$4:GA8)/1000,2)</f>
        <v/>
      </c>
      <c r="K41">
        <f>ROUND(SUM('A1 Inputs'!GA$4:GA9)/1000,2)</f>
        <v/>
      </c>
      <c r="L41" t="inlineStr">
        <is>
          <t>fcf_k</t>
        </is>
      </c>
    </row>
    <row r="42">
      <c r="A42" t="inlineStr">
        <is>
          <t>FIN-005</t>
        </is>
      </c>
      <c r="B42" t="inlineStr">
        <is>
          <t>ROCE, annualised</t>
        </is>
      </c>
      <c r="C42" t="inlineStr">
        <is>
          <t>%</t>
        </is>
      </c>
      <c r="D42" t="inlineStr">
        <is>
          <t>Year to date</t>
        </is>
      </c>
      <c r="E42" t="inlineStr">
        <is>
          <t>EBIT since April × 12 ÷ months elapsed ÷ Capital employed × 100</t>
        </is>
      </c>
      <c r="F42">
        <f>ROUND(IF('A1 Inputs'!CA4=0,0,100*SUM('A1 Inputs'!FW$4:FW4)*12/'A1 Inputs'!D4/'A1 Inputs'!CA4),2)</f>
        <v/>
      </c>
      <c r="G42">
        <f>ROUND(IF('A1 Inputs'!CA5=0,0,100*SUM('A1 Inputs'!FW$4:FW5)*12/'A1 Inputs'!D5/'A1 Inputs'!CA5),2)</f>
        <v/>
      </c>
      <c r="H42">
        <f>ROUND(IF('A1 Inputs'!CA6=0,0,100*SUM('A1 Inputs'!FW$4:FW6)*12/'A1 Inputs'!D6/'A1 Inputs'!CA6),2)</f>
        <v/>
      </c>
      <c r="I42">
        <f>ROUND(IF('A1 Inputs'!CA7=0,0,100*SUM('A1 Inputs'!FW$4:FW7)*12/'A1 Inputs'!D7/'A1 Inputs'!CA7),2)</f>
        <v/>
      </c>
      <c r="J42">
        <f>ROUND(IF('A1 Inputs'!CA8=0,0,100*SUM('A1 Inputs'!FW$4:FW8)*12/'A1 Inputs'!D8/'A1 Inputs'!CA8),2)</f>
        <v/>
      </c>
      <c r="K42">
        <f>ROUND(IF('A1 Inputs'!CA9=0,0,100*SUM('A1 Inputs'!FW$4:FW9)*12/'A1 Inputs'!D9/'A1 Inputs'!CA9),2)</f>
        <v/>
      </c>
      <c r="L42" t="inlineStr">
        <is>
          <t>ytd_months, capital_employed_k, ebit_k</t>
        </is>
      </c>
    </row>
    <row r="43">
      <c r="A43" t="inlineStr">
        <is>
          <t>FIN-006</t>
        </is>
      </c>
      <c r="B43" t="inlineStr">
        <is>
          <t>Net debt</t>
        </is>
      </c>
      <c r="C43" t="inlineStr">
        <is>
          <t>₹ m</t>
        </is>
      </c>
      <c r="D43" t="inlineStr">
        <is>
          <t>Month end</t>
        </is>
      </c>
      <c r="E43" t="inlineStr">
        <is>
          <t>(Gross debt − Cash) ÷ 1000</t>
        </is>
      </c>
      <c r="F43">
        <f>ROUND('A1 Inputs'!GB4/1000,2)</f>
        <v/>
      </c>
      <c r="G43">
        <f>ROUND('A1 Inputs'!GB5/1000,2)</f>
        <v/>
      </c>
      <c r="H43">
        <f>ROUND('A1 Inputs'!GB6/1000,2)</f>
        <v/>
      </c>
      <c r="I43">
        <f>ROUND('A1 Inputs'!GB7/1000,2)</f>
        <v/>
      </c>
      <c r="J43">
        <f>ROUND('A1 Inputs'!GB8/1000,2)</f>
        <v/>
      </c>
      <c r="K43">
        <f>ROUND('A1 Inputs'!GB9/1000,2)</f>
        <v/>
      </c>
      <c r="L43" t="inlineStr">
        <is>
          <t>net_debt_k</t>
        </is>
      </c>
    </row>
    <row r="44">
      <c r="A44" t="inlineStr">
        <is>
          <t>FIN-007</t>
        </is>
      </c>
      <c r="B44" t="inlineStr">
        <is>
          <t>Shareholder-value indicator (economic profit YTD)</t>
        </is>
      </c>
      <c r="C44" t="inlineStr">
        <is>
          <t>₹ m</t>
        </is>
      </c>
      <c r="D44" t="inlineStr">
        <is>
          <t>Year to date</t>
        </is>
      </c>
      <c r="E44" t="inlineStr">
        <is>
          <t>(EBIT since April × (1 − Tax rate) − Capital employed × Cost of capital × months elapsed ÷ 12) ÷ 1000</t>
        </is>
      </c>
      <c r="F44">
        <f>ROUND((SUM('A1 Inputs'!FW$4:FW4)*(1-Parameters!$B$2)-'A1 Inputs'!CA4*Parameters!$B$3*'A1 Inputs'!D4/12)/1000,2)</f>
        <v/>
      </c>
      <c r="G44">
        <f>ROUND((SUM('A1 Inputs'!FW$4:FW5)*(1-Parameters!$B$2)-'A1 Inputs'!CA5*Parameters!$B$3*'A1 Inputs'!D5/12)/1000,2)</f>
        <v/>
      </c>
      <c r="H44">
        <f>ROUND((SUM('A1 Inputs'!FW$4:FW6)*(1-Parameters!$B$2)-'A1 Inputs'!CA6*Parameters!$B$3*'A1 Inputs'!D6/12)/1000,2)</f>
        <v/>
      </c>
      <c r="I44">
        <f>ROUND((SUM('A1 Inputs'!FW$4:FW7)*(1-Parameters!$B$2)-'A1 Inputs'!CA7*Parameters!$B$3*'A1 Inputs'!D7/12)/1000,2)</f>
        <v/>
      </c>
      <c r="J44">
        <f>ROUND((SUM('A1 Inputs'!FW$4:FW8)*(1-Parameters!$B$2)-'A1 Inputs'!CA8*Parameters!$B$3*'A1 Inputs'!D8/12)/1000,2)</f>
        <v/>
      </c>
      <c r="K44">
        <f>ROUND((SUM('A1 Inputs'!FW$4:FW9)*(1-Parameters!$B$2)-'A1 Inputs'!CA9*Parameters!$B$3*'A1 Inputs'!D9/12)/1000,2)</f>
        <v/>
      </c>
      <c r="L44" t="inlineStr">
        <is>
          <t>ytd_months, capital_employed_k, ebit_k</t>
        </is>
      </c>
    </row>
    <row r="45">
      <c r="A45" t="inlineStr">
        <is>
          <t>FIN-008</t>
        </is>
      </c>
      <c r="B45" t="inlineStr">
        <is>
          <t>FCF conversion (FCF ÷ EBITDA)</t>
        </is>
      </c>
      <c r="C45" t="inlineStr">
        <is>
          <t>%</t>
        </is>
      </c>
      <c r="D45" t="inlineStr">
        <is>
          <t>Year to date</t>
        </is>
      </c>
      <c r="E45" t="inlineStr">
        <is>
          <t>Free cash flow since April ÷ EBITDA since April × 100</t>
        </is>
      </c>
      <c r="F45">
        <f>ROUND(IF(SUM('A1 Inputs'!FV$4:FV4)=0,0,100*SUM('A1 Inputs'!GA$4:GA4)/SUM('A1 Inputs'!FV$4:FV4)),2)</f>
        <v/>
      </c>
      <c r="G45">
        <f>ROUND(IF(SUM('A1 Inputs'!FV$4:FV5)=0,0,100*SUM('A1 Inputs'!GA$4:GA5)/SUM('A1 Inputs'!FV$4:FV5)),2)</f>
        <v/>
      </c>
      <c r="H45">
        <f>ROUND(IF(SUM('A1 Inputs'!FV$4:FV6)=0,0,100*SUM('A1 Inputs'!GA$4:GA6)/SUM('A1 Inputs'!FV$4:FV6)),2)</f>
        <v/>
      </c>
      <c r="I45">
        <f>ROUND(IF(SUM('A1 Inputs'!FV$4:FV7)=0,0,100*SUM('A1 Inputs'!GA$4:GA7)/SUM('A1 Inputs'!FV$4:FV7)),2)</f>
        <v/>
      </c>
      <c r="J45">
        <f>ROUND(IF(SUM('A1 Inputs'!FV$4:FV8)=0,0,100*SUM('A1 Inputs'!GA$4:GA8)/SUM('A1 Inputs'!FV$4:FV8)),2)</f>
        <v/>
      </c>
      <c r="K45">
        <f>ROUND(IF(SUM('A1 Inputs'!FV$4:FV9)=0,0,100*SUM('A1 Inputs'!GA$4:GA9)/SUM('A1 Inputs'!FV$4:FV9)),2)</f>
        <v/>
      </c>
      <c r="L45" t="inlineStr">
        <is>
          <t>ebitda_k, fcf_k</t>
        </is>
      </c>
    </row>
    <row r="46">
      <c r="A46" t="inlineStr">
        <is>
          <t>CSH-001</t>
        </is>
      </c>
      <c r="B46" t="inlineStr">
        <is>
          <t>Cash position</t>
        </is>
      </c>
      <c r="C46" t="inlineStr">
        <is>
          <t>₹ m</t>
        </is>
      </c>
      <c r="D46" t="inlineStr">
        <is>
          <t>Month end</t>
        </is>
      </c>
      <c r="E46" t="inlineStr">
        <is>
          <t>Cash ÷ 1000</t>
        </is>
      </c>
      <c r="F46">
        <f>ROUND('A1 Inputs'!CC4/1000,2)</f>
        <v/>
      </c>
      <c r="G46">
        <f>ROUND('A1 Inputs'!CC5/1000,2)</f>
        <v/>
      </c>
      <c r="H46">
        <f>ROUND('A1 Inputs'!CC6/1000,2)</f>
        <v/>
      </c>
      <c r="I46">
        <f>ROUND('A1 Inputs'!CC7/1000,2)</f>
        <v/>
      </c>
      <c r="J46">
        <f>ROUND('A1 Inputs'!CC8/1000,2)</f>
        <v/>
      </c>
      <c r="K46">
        <f>ROUND('A1 Inputs'!CC9/1000,2)</f>
        <v/>
      </c>
      <c r="L46" t="inlineStr">
        <is>
          <t>cash_k</t>
        </is>
      </c>
    </row>
    <row r="47">
      <c r="A47" t="inlineStr">
        <is>
          <t>CSH-002</t>
        </is>
      </c>
      <c r="B47" t="inlineStr">
        <is>
          <t>Cash released YTD</t>
        </is>
      </c>
      <c r="C47" t="inlineStr">
        <is>
          <t>₹ m</t>
        </is>
      </c>
      <c r="D47" t="inlineStr">
        <is>
          <t>Year to date</t>
        </is>
      </c>
      <c r="E47" t="inlineStr">
        <is>
          <t>Sum of cash released since April ÷ 1000</t>
        </is>
      </c>
      <c r="F47">
        <f>ROUND(SUM('A1 Inputs'!CN$4:CN4)/1000,2)</f>
        <v/>
      </c>
      <c r="G47">
        <f>ROUND(SUM('A1 Inputs'!CN$4:CN5)/1000,2)</f>
        <v/>
      </c>
      <c r="H47">
        <f>ROUND(SUM('A1 Inputs'!CN$4:CN6)/1000,2)</f>
        <v/>
      </c>
      <c r="I47">
        <f>ROUND(SUM('A1 Inputs'!CN$4:CN7)/1000,2)</f>
        <v/>
      </c>
      <c r="J47">
        <f>ROUND(SUM('A1 Inputs'!CN$4:CN8)/1000,2)</f>
        <v/>
      </c>
      <c r="K47">
        <f>ROUND(SUM('A1 Inputs'!CN$4:CN9)/1000,2)</f>
        <v/>
      </c>
      <c r="L47" t="inlineStr">
        <is>
          <t>cash_released_k</t>
        </is>
      </c>
    </row>
    <row r="48">
      <c r="A48" t="inlineStr">
        <is>
          <t>CSH-003</t>
        </is>
      </c>
      <c r="B48" t="inlineStr">
        <is>
          <t>Daily collections</t>
        </is>
      </c>
      <c r="C48" t="inlineStr">
        <is>
          <t>₹ m per day</t>
        </is>
      </c>
      <c r="D48" t="inlineStr">
        <is>
          <t>Month</t>
        </is>
      </c>
      <c r="E48" t="inlineStr">
        <is>
          <t>Cash collected ÷ Days in month ÷ 1000</t>
        </is>
      </c>
      <c r="F48">
        <f>ROUND('A1 Inputs'!CM4/'A1 Inputs'!C4/1000,2)</f>
        <v/>
      </c>
      <c r="G48">
        <f>ROUND('A1 Inputs'!CM5/'A1 Inputs'!C5/1000,2)</f>
        <v/>
      </c>
      <c r="H48">
        <f>ROUND('A1 Inputs'!CM6/'A1 Inputs'!C6/1000,2)</f>
        <v/>
      </c>
      <c r="I48">
        <f>ROUND('A1 Inputs'!CM7/'A1 Inputs'!C7/1000,2)</f>
        <v/>
      </c>
      <c r="J48">
        <f>ROUND('A1 Inputs'!CM8/'A1 Inputs'!C8/1000,2)</f>
        <v/>
      </c>
      <c r="K48">
        <f>ROUND('A1 Inputs'!CM9/'A1 Inputs'!C9/1000,2)</f>
        <v/>
      </c>
      <c r="L48" t="inlineStr">
        <is>
          <t>days, collections_k</t>
        </is>
      </c>
    </row>
    <row r="49">
      <c r="A49" t="inlineStr">
        <is>
          <t>CSH-004</t>
        </is>
      </c>
      <c r="B49" t="inlineStr">
        <is>
          <t>Cash-conversion cycle</t>
        </is>
      </c>
      <c r="C49" t="inlineStr">
        <is>
          <t>days</t>
        </is>
      </c>
      <c r="D49" t="inlineStr">
        <is>
          <t>Month end</t>
        </is>
      </c>
      <c r="E49" t="inlineStr">
        <is>
          <t>DSO + Inventory days − DPO</t>
        </is>
      </c>
      <c r="F49">
        <f>ROUND('A1 Inputs'!GD4+'A1 Inputs'!GF4-'A1 Inputs'!GE4,2)</f>
        <v/>
      </c>
      <c r="G49">
        <f>ROUND('A1 Inputs'!GD5+'A1 Inputs'!GF5-'A1 Inputs'!GE5,2)</f>
        <v/>
      </c>
      <c r="H49">
        <f>ROUND('A1 Inputs'!GD6+'A1 Inputs'!GF6-'A1 Inputs'!GE6,2)</f>
        <v/>
      </c>
      <c r="I49">
        <f>ROUND('A1 Inputs'!GD7+'A1 Inputs'!GF7-'A1 Inputs'!GE7,2)</f>
        <v/>
      </c>
      <c r="J49">
        <f>ROUND('A1 Inputs'!GD8+'A1 Inputs'!GF8-'A1 Inputs'!GE8,2)</f>
        <v/>
      </c>
      <c r="K49">
        <f>ROUND('A1 Inputs'!GD9+'A1 Inputs'!GF9-'A1 Inputs'!GE9,2)</f>
        <v/>
      </c>
      <c r="L49" t="inlineStr">
        <is>
          <t>dso_d, dpo_d, dio_d</t>
        </is>
      </c>
    </row>
    <row r="50">
      <c r="A50" t="inlineStr">
        <is>
          <t>CSH-006</t>
        </is>
      </c>
      <c r="B50" t="inlineStr">
        <is>
          <t>Cash-upstream exposure</t>
        </is>
      </c>
      <c r="C50" t="inlineStr">
        <is>
          <t>₹ m</t>
        </is>
      </c>
      <c r="D50" t="inlineStr">
        <is>
          <t>Next 30 days</t>
        </is>
      </c>
      <c r="E50" t="inlineStr">
        <is>
          <t>(Cash due to be upstreamed − Amount covered by available cash) ÷ 1000</t>
        </is>
      </c>
      <c r="F50">
        <f>ROUND(('A1 Inputs'!CO4-'A1 Inputs'!CP4)/1000,2)</f>
        <v/>
      </c>
      <c r="G50">
        <f>ROUND(('A1 Inputs'!CO5-'A1 Inputs'!CP5)/1000,2)</f>
        <v/>
      </c>
      <c r="H50">
        <f>ROUND(('A1 Inputs'!CO6-'A1 Inputs'!CP6)/1000,2)</f>
        <v/>
      </c>
      <c r="I50">
        <f>ROUND(('A1 Inputs'!CO7-'A1 Inputs'!CP7)/1000,2)</f>
        <v/>
      </c>
      <c r="J50">
        <f>ROUND(('A1 Inputs'!CO8-'A1 Inputs'!CP8)/1000,2)</f>
        <v/>
      </c>
      <c r="K50">
        <f>ROUND(('A1 Inputs'!CO9-'A1 Inputs'!CP9)/1000,2)</f>
        <v/>
      </c>
      <c r="L50" t="inlineStr">
        <is>
          <t>upstream_due_k, upstream_covered_k</t>
        </is>
      </c>
    </row>
    <row r="51">
      <c r="A51" t="inlineStr">
        <is>
          <t>WCP-001</t>
        </is>
      </c>
      <c r="B51" t="inlineStr">
        <is>
          <t>DSO</t>
        </is>
      </c>
      <c r="C51" t="inlineStr">
        <is>
          <t>days</t>
        </is>
      </c>
      <c r="D51" t="inlineStr">
        <is>
          <t>Month end</t>
        </is>
      </c>
      <c r="E51" t="inlineStr">
        <is>
          <t>Trade receivables ÷ Revenue × Days in month</t>
        </is>
      </c>
      <c r="F51">
        <f>ROUND('A1 Inputs'!GD4,2)</f>
        <v/>
      </c>
      <c r="G51">
        <f>ROUND('A1 Inputs'!GD5,2)</f>
        <v/>
      </c>
      <c r="H51">
        <f>ROUND('A1 Inputs'!GD6,2)</f>
        <v/>
      </c>
      <c r="I51">
        <f>ROUND('A1 Inputs'!GD7,2)</f>
        <v/>
      </c>
      <c r="J51">
        <f>ROUND('A1 Inputs'!GD8,2)</f>
        <v/>
      </c>
      <c r="K51">
        <f>ROUND('A1 Inputs'!GD9,2)</f>
        <v/>
      </c>
      <c r="L51" t="inlineStr">
        <is>
          <t>dso_d</t>
        </is>
      </c>
    </row>
    <row r="52">
      <c r="A52" t="inlineStr">
        <is>
          <t>WCP-002</t>
        </is>
      </c>
      <c r="B52" t="inlineStr">
        <is>
          <t>DPO</t>
        </is>
      </c>
      <c r="C52" t="inlineStr">
        <is>
          <t>days</t>
        </is>
      </c>
      <c r="D52" t="inlineStr">
        <is>
          <t>Month end</t>
        </is>
      </c>
      <c r="E52" t="inlineStr">
        <is>
          <t>Trade payables ÷ Variable cost × Days in month</t>
        </is>
      </c>
      <c r="F52">
        <f>ROUND('A1 Inputs'!GE4,2)</f>
        <v/>
      </c>
      <c r="G52">
        <f>ROUND('A1 Inputs'!GE5,2)</f>
        <v/>
      </c>
      <c r="H52">
        <f>ROUND('A1 Inputs'!GE6,2)</f>
        <v/>
      </c>
      <c r="I52">
        <f>ROUND('A1 Inputs'!GE7,2)</f>
        <v/>
      </c>
      <c r="J52">
        <f>ROUND('A1 Inputs'!GE8,2)</f>
        <v/>
      </c>
      <c r="K52">
        <f>ROUND('A1 Inputs'!GE9,2)</f>
        <v/>
      </c>
      <c r="L52" t="inlineStr">
        <is>
          <t>dpo_d</t>
        </is>
      </c>
    </row>
    <row r="53">
      <c r="A53" t="inlineStr">
        <is>
          <t>WCP-003</t>
        </is>
      </c>
      <c r="B53" t="inlineStr">
        <is>
          <t>Inventory days</t>
        </is>
      </c>
      <c r="C53" t="inlineStr">
        <is>
          <t>days</t>
        </is>
      </c>
      <c r="D53" t="inlineStr">
        <is>
          <t>Month end</t>
        </is>
      </c>
      <c r="E53" t="inlineStr">
        <is>
          <t>Inventory ÷ Variable cost × Days in month</t>
        </is>
      </c>
      <c r="F53">
        <f>ROUND('A1 Inputs'!GF4,2)</f>
        <v/>
      </c>
      <c r="G53">
        <f>ROUND('A1 Inputs'!GF5,2)</f>
        <v/>
      </c>
      <c r="H53">
        <f>ROUND('A1 Inputs'!GF6,2)</f>
        <v/>
      </c>
      <c r="I53">
        <f>ROUND('A1 Inputs'!GF7,2)</f>
        <v/>
      </c>
      <c r="J53">
        <f>ROUND('A1 Inputs'!GF8,2)</f>
        <v/>
      </c>
      <c r="K53">
        <f>ROUND('A1 Inputs'!GF9,2)</f>
        <v/>
      </c>
      <c r="L53" t="inlineStr">
        <is>
          <t>dio_d</t>
        </is>
      </c>
    </row>
    <row r="54">
      <c r="A54" t="inlineStr">
        <is>
          <t>WCP-004</t>
        </is>
      </c>
      <c r="B54" t="inlineStr">
        <is>
          <t>Net working capital</t>
        </is>
      </c>
      <c r="C54" t="inlineStr">
        <is>
          <t>₹ m</t>
        </is>
      </c>
      <c r="D54" t="inlineStr">
        <is>
          <t>Month end</t>
        </is>
      </c>
      <c r="E54" t="inlineStr">
        <is>
          <t>(Trade receivables + Inventory − Trade payables) ÷ 1000</t>
        </is>
      </c>
      <c r="F54">
        <f>ROUND('A1 Inputs'!FX4/1000,2)</f>
        <v/>
      </c>
      <c r="G54">
        <f>ROUND('A1 Inputs'!FX5/1000,2)</f>
        <v/>
      </c>
      <c r="H54">
        <f>ROUND('A1 Inputs'!FX6/1000,2)</f>
        <v/>
      </c>
      <c r="I54">
        <f>ROUND('A1 Inputs'!FX7/1000,2)</f>
        <v/>
      </c>
      <c r="J54">
        <f>ROUND('A1 Inputs'!FX8/1000,2)</f>
        <v/>
      </c>
      <c r="K54">
        <f>ROUND('A1 Inputs'!FX9/1000,2)</f>
        <v/>
      </c>
      <c r="L54" t="inlineStr">
        <is>
          <t>nwc_k</t>
        </is>
      </c>
    </row>
    <row r="55">
      <c r="A55" t="inlineStr">
        <is>
          <t>WCP-005</t>
        </is>
      </c>
      <c r="B55" t="inlineStr">
        <is>
          <t>Working-capital movement</t>
        </is>
      </c>
      <c r="C55" t="inlineStr">
        <is>
          <t>₹ m</t>
        </is>
      </c>
      <c r="D55" t="inlineStr">
        <is>
          <t>Month</t>
        </is>
      </c>
      <c r="E55" t="inlineStr">
        <is>
          <t>(Net working capital − last month's net working capital) ÷ 1000; positive = cash tied up</t>
        </is>
      </c>
      <c r="F55">
        <f>ROUND('A1 Inputs'!FY4/1000,2)</f>
        <v/>
      </c>
      <c r="G55">
        <f>ROUND('A1 Inputs'!FY5/1000,2)</f>
        <v/>
      </c>
      <c r="H55">
        <f>ROUND('A1 Inputs'!FY6/1000,2)</f>
        <v/>
      </c>
      <c r="I55">
        <f>ROUND('A1 Inputs'!FY7/1000,2)</f>
        <v/>
      </c>
      <c r="J55">
        <f>ROUND('A1 Inputs'!FY8/1000,2)</f>
        <v/>
      </c>
      <c r="K55">
        <f>ROUND('A1 Inputs'!FY9/1000,2)</f>
        <v/>
      </c>
      <c r="L55" t="inlineStr">
        <is>
          <t>nwc_change_k</t>
        </is>
      </c>
    </row>
    <row r="56">
      <c r="A56" t="inlineStr">
        <is>
          <t>WCP-006</t>
        </is>
      </c>
      <c r="B56" t="inlineStr">
        <is>
          <t>Working-capital days</t>
        </is>
      </c>
      <c r="C56" t="inlineStr">
        <is>
          <t>days</t>
        </is>
      </c>
      <c r="D56" t="inlineStr">
        <is>
          <t>Month end</t>
        </is>
      </c>
      <c r="E56" t="inlineStr">
        <is>
          <t>Net working capital ÷ Revenue × Days in month</t>
        </is>
      </c>
      <c r="F56">
        <f>ROUND(IF('A1 Inputs'!AU4=0,0,'A1 Inputs'!FX4/'A1 Inputs'!AU4*'A1 Inputs'!C4),2)</f>
        <v/>
      </c>
      <c r="G56">
        <f>ROUND(IF('A1 Inputs'!AU5=0,0,'A1 Inputs'!FX5/'A1 Inputs'!AU5*'A1 Inputs'!C5),2)</f>
        <v/>
      </c>
      <c r="H56">
        <f>ROUND(IF('A1 Inputs'!AU6=0,0,'A1 Inputs'!FX6/'A1 Inputs'!AU6*'A1 Inputs'!C6),2)</f>
        <v/>
      </c>
      <c r="I56">
        <f>ROUND(IF('A1 Inputs'!AU7=0,0,'A1 Inputs'!FX7/'A1 Inputs'!AU7*'A1 Inputs'!C7),2)</f>
        <v/>
      </c>
      <c r="J56">
        <f>ROUND(IF('A1 Inputs'!AU8=0,0,'A1 Inputs'!FX8/'A1 Inputs'!AU8*'A1 Inputs'!C8),2)</f>
        <v/>
      </c>
      <c r="K56">
        <f>ROUND(IF('A1 Inputs'!AU9=0,0,'A1 Inputs'!FX9/'A1 Inputs'!AU9*'A1 Inputs'!C9),2)</f>
        <v/>
      </c>
      <c r="L56" t="inlineStr">
        <is>
          <t>days, revenue_k, nwc_k</t>
        </is>
      </c>
    </row>
    <row r="57">
      <c r="A57" t="inlineStr">
        <is>
          <t>LIQ-001</t>
        </is>
      </c>
      <c r="B57" t="inlineStr">
        <is>
          <t>Liquidity runway</t>
        </is>
      </c>
      <c r="C57" t="inlineStr">
        <is>
          <t>months</t>
        </is>
      </c>
      <c r="D57" t="inlineStr">
        <is>
          <t>Month end</t>
        </is>
      </c>
      <c r="E57" t="inlineStr">
        <is>
          <t>(Cash + Undrawn facilities) ÷ (Fixed cost + Overheads + Debt service) per month</t>
        </is>
      </c>
      <c r="F57">
        <f>ROUND(IF(('A1 Inputs'!X4+'A1 Inputs'!BY4+'A1 Inputs'!CE4)=0,0,('A1 Inputs'!CC4+'A1 Inputs'!CD4)/('A1 Inputs'!X4+'A1 Inputs'!BY4+'A1 Inputs'!CE4)),2)</f>
        <v/>
      </c>
      <c r="G57">
        <f>ROUND(IF(('A1 Inputs'!X5+'A1 Inputs'!BY5+'A1 Inputs'!CE5)=0,0,('A1 Inputs'!CC5+'A1 Inputs'!CD5)/('A1 Inputs'!X5+'A1 Inputs'!BY5+'A1 Inputs'!CE5)),2)</f>
        <v/>
      </c>
      <c r="H57">
        <f>ROUND(IF(('A1 Inputs'!X6+'A1 Inputs'!BY6+'A1 Inputs'!CE6)=0,0,('A1 Inputs'!CC6+'A1 Inputs'!CD6)/('A1 Inputs'!X6+'A1 Inputs'!BY6+'A1 Inputs'!CE6)),2)</f>
        <v/>
      </c>
      <c r="I57">
        <f>ROUND(IF(('A1 Inputs'!X7+'A1 Inputs'!BY7+'A1 Inputs'!CE7)=0,0,('A1 Inputs'!CC7+'A1 Inputs'!CD7)/('A1 Inputs'!X7+'A1 Inputs'!BY7+'A1 Inputs'!CE7)),2)</f>
        <v/>
      </c>
      <c r="J57">
        <f>ROUND(IF(('A1 Inputs'!X8+'A1 Inputs'!BY8+'A1 Inputs'!CE8)=0,0,('A1 Inputs'!CC8+'A1 Inputs'!CD8)/('A1 Inputs'!X8+'A1 Inputs'!BY8+'A1 Inputs'!CE8)),2)</f>
        <v/>
      </c>
      <c r="K57">
        <f>ROUND(IF(('A1 Inputs'!X9+'A1 Inputs'!BY9+'A1 Inputs'!CE9)=0,0,('A1 Inputs'!CC9+'A1 Inputs'!CD9)/('A1 Inputs'!X9+'A1 Inputs'!BY9+'A1 Inputs'!CE9)),2)</f>
        <v/>
      </c>
      <c r="L57" t="inlineStr">
        <is>
          <t>fixed_cost_k, overhead_k, cash_k, undrawn_facilities_k, debt_service_k</t>
        </is>
      </c>
    </row>
    <row r="58">
      <c r="A58" t="inlineStr">
        <is>
          <t>LIQ-002</t>
        </is>
      </c>
      <c r="B58" t="inlineStr">
        <is>
          <t>Covenant headroom</t>
        </is>
      </c>
      <c r="C58" t="inlineStr">
        <is>
          <t>%</t>
        </is>
      </c>
      <c r="D58" t="inlineStr">
        <is>
          <t>Month end</t>
        </is>
      </c>
      <c r="E58" t="inlineStr">
        <is>
          <t>(Covenant limit − Net debt ÷ Annualised EBITDA) ÷ Covenant limit × 100</t>
        </is>
      </c>
      <c r="F58">
        <f>ROUND(IF('A1 Inputs'!GC4=0,0,100*(Parameters!$B$4-'A1 Inputs'!GB4/'A1 Inputs'!GC4)/Parameters!$B$4),2)</f>
        <v/>
      </c>
      <c r="G58">
        <f>ROUND(IF('A1 Inputs'!GC5=0,0,100*(Parameters!$B$4-'A1 Inputs'!GB5/'A1 Inputs'!GC5)/Parameters!$B$4),2)</f>
        <v/>
      </c>
      <c r="H58">
        <f>ROUND(IF('A1 Inputs'!GC6=0,0,100*(Parameters!$B$4-'A1 Inputs'!GB6/'A1 Inputs'!GC6)/Parameters!$B$4),2)</f>
        <v/>
      </c>
      <c r="I58">
        <f>ROUND(IF('A1 Inputs'!GC7=0,0,100*(Parameters!$B$4-'A1 Inputs'!GB7/'A1 Inputs'!GC7)/Parameters!$B$4),2)</f>
        <v/>
      </c>
      <c r="J58">
        <f>ROUND(IF('A1 Inputs'!GC8=0,0,100*(Parameters!$B$4-'A1 Inputs'!GB8/'A1 Inputs'!GC8)/Parameters!$B$4),2)</f>
        <v/>
      </c>
      <c r="K58">
        <f>ROUND(IF('A1 Inputs'!GC9=0,0,100*(Parameters!$B$4-'A1 Inputs'!GB9/'A1 Inputs'!GC9)/Parameters!$B$4),2)</f>
        <v/>
      </c>
      <c r="L58" t="inlineStr">
        <is>
          <t>net_debt_k, ebitda_annualised_k</t>
        </is>
      </c>
    </row>
    <row r="59">
      <c r="A59" t="inlineStr">
        <is>
          <t>LIQ-003</t>
        </is>
      </c>
      <c r="B59" t="inlineStr">
        <is>
          <t>Debt-maturity exposure, next 12 months</t>
        </is>
      </c>
      <c r="C59" t="inlineStr">
        <is>
          <t>₹ m</t>
        </is>
      </c>
      <c r="D59" t="inlineStr">
        <is>
          <t>Month end</t>
        </is>
      </c>
      <c r="E59" t="inlineStr">
        <is>
          <t>Debt maturing in next 12 months ÷ 1000</t>
        </is>
      </c>
      <c r="F59">
        <f>ROUND('A1 Inputs'!CF4/1000,2)</f>
        <v/>
      </c>
      <c r="G59">
        <f>ROUND('A1 Inputs'!CF5/1000,2)</f>
        <v/>
      </c>
      <c r="H59">
        <f>ROUND('A1 Inputs'!CF6/1000,2)</f>
        <v/>
      </c>
      <c r="I59">
        <f>ROUND('A1 Inputs'!CF7/1000,2)</f>
        <v/>
      </c>
      <c r="J59">
        <f>ROUND('A1 Inputs'!CF8/1000,2)</f>
        <v/>
      </c>
      <c r="K59">
        <f>ROUND('A1 Inputs'!CF9/1000,2)</f>
        <v/>
      </c>
      <c r="L59" t="inlineStr">
        <is>
          <t>debt_maturing_12m_k</t>
        </is>
      </c>
    </row>
    <row r="60">
      <c r="A60" t="inlineStr">
        <is>
          <t>LIQ-004</t>
        </is>
      </c>
      <c r="B60" t="inlineStr">
        <is>
          <t>Financing exposure (floating-rate debt)</t>
        </is>
      </c>
      <c r="C60" t="inlineStr">
        <is>
          <t>₹ m</t>
        </is>
      </c>
      <c r="D60" t="inlineStr">
        <is>
          <t>Month end</t>
        </is>
      </c>
      <c r="E60" t="inlineStr">
        <is>
          <t>Floating-rate debt ÷ 1000</t>
        </is>
      </c>
      <c r="F60">
        <f>ROUND('A1 Inputs'!CG4/1000,2)</f>
        <v/>
      </c>
      <c r="G60">
        <f>ROUND('A1 Inputs'!CG5/1000,2)</f>
        <v/>
      </c>
      <c r="H60">
        <f>ROUND('A1 Inputs'!CG6/1000,2)</f>
        <v/>
      </c>
      <c r="I60">
        <f>ROUND('A1 Inputs'!CG7/1000,2)</f>
        <v/>
      </c>
      <c r="J60">
        <f>ROUND('A1 Inputs'!CG8/1000,2)</f>
        <v/>
      </c>
      <c r="K60">
        <f>ROUND('A1 Inputs'!CG9/1000,2)</f>
        <v/>
      </c>
      <c r="L60" t="inlineStr">
        <is>
          <t>floating_rate_debt_k</t>
        </is>
      </c>
    </row>
    <row r="61">
      <c r="A61" t="inlineStr">
        <is>
          <t>TRS-001</t>
        </is>
      </c>
      <c r="B61" t="inlineStr">
        <is>
          <t>FX exposure, unhedged</t>
        </is>
      </c>
      <c r="C61" t="inlineStr">
        <is>
          <t>₹ m</t>
        </is>
      </c>
      <c r="D61" t="inlineStr">
        <is>
          <t>Month end</t>
        </is>
      </c>
      <c r="E61" t="inlineStr">
        <is>
          <t>(Foreign-currency exposure − Amount hedged) ÷ 1000</t>
        </is>
      </c>
      <c r="F61">
        <f>ROUND(('A1 Inputs'!CZ4-'A1 Inputs'!DA4)/1000,2)</f>
        <v/>
      </c>
      <c r="G61">
        <f>ROUND(('A1 Inputs'!CZ5-'A1 Inputs'!DA5)/1000,2)</f>
        <v/>
      </c>
      <c r="H61">
        <f>ROUND(('A1 Inputs'!CZ6-'A1 Inputs'!DA6)/1000,2)</f>
        <v/>
      </c>
      <c r="I61">
        <f>ROUND(('A1 Inputs'!CZ7-'A1 Inputs'!DA7)/1000,2)</f>
        <v/>
      </c>
      <c r="J61">
        <f>ROUND(('A1 Inputs'!CZ8-'A1 Inputs'!DA8)/1000,2)</f>
        <v/>
      </c>
      <c r="K61">
        <f>ROUND(('A1 Inputs'!CZ9-'A1 Inputs'!DA9)/1000,2)</f>
        <v/>
      </c>
      <c r="L61" t="inlineStr">
        <is>
          <t>fx_exposure_k, fx_hedged_k</t>
        </is>
      </c>
    </row>
    <row r="62">
      <c r="A62" t="inlineStr">
        <is>
          <t>TRS-002</t>
        </is>
      </c>
      <c r="B62" t="inlineStr">
        <is>
          <t>Hedging effectiveness</t>
        </is>
      </c>
      <c r="C62" t="inlineStr">
        <is>
          <t>%</t>
        </is>
      </c>
      <c r="D62" t="inlineStr">
        <is>
          <t>Month</t>
        </is>
      </c>
      <c r="E62" t="inlineStr">
        <is>
          <t>Change in value of hedges ÷ Change in value of hedged items × 100</t>
        </is>
      </c>
      <c r="F62">
        <f>ROUND(IF('A1 Inputs'!DE4=0,0,100*'A1 Inputs'!DD4/'A1 Inputs'!DE4),2)</f>
        <v/>
      </c>
      <c r="G62">
        <f>ROUND(IF('A1 Inputs'!DE5=0,0,100*'A1 Inputs'!DD5/'A1 Inputs'!DE5),2)</f>
        <v/>
      </c>
      <c r="H62">
        <f>ROUND(IF('A1 Inputs'!DE6=0,0,100*'A1 Inputs'!DD6/'A1 Inputs'!DE6),2)</f>
        <v/>
      </c>
      <c r="I62">
        <f>ROUND(IF('A1 Inputs'!DE7=0,0,100*'A1 Inputs'!DD7/'A1 Inputs'!DE7),2)</f>
        <v/>
      </c>
      <c r="J62">
        <f>ROUND(IF('A1 Inputs'!DE8=0,0,100*'A1 Inputs'!DD8/'A1 Inputs'!DE8),2)</f>
        <v/>
      </c>
      <c r="K62">
        <f>ROUND(IF('A1 Inputs'!DE9=0,0,100*'A1 Inputs'!DD9/'A1 Inputs'!DE9),2)</f>
        <v/>
      </c>
      <c r="L62" t="inlineStr">
        <is>
          <t>hedge_value_change_k, hedged_item_value_change_k</t>
        </is>
      </c>
    </row>
    <row r="63">
      <c r="A63" t="inlineStr">
        <is>
          <t>TRS-003</t>
        </is>
      </c>
      <c r="B63" t="inlineStr">
        <is>
          <t>USD share of unhedged FX exposure</t>
        </is>
      </c>
      <c r="C63" t="inlineStr">
        <is>
          <t>%</t>
        </is>
      </c>
      <c r="D63" t="inlineStr">
        <is>
          <t>Month end</t>
        </is>
      </c>
      <c r="E63" t="inlineStr">
        <is>
          <t>(USD exposure − USD hedged) ÷ (FX exposure − FX hedged) × 100</t>
        </is>
      </c>
      <c r="F63">
        <f>ROUND(IF(('A1 Inputs'!CZ4-'A1 Inputs'!DA4)=0,0,100*('A1 Inputs'!DB4-'A1 Inputs'!DC4)/('A1 Inputs'!CZ4-'A1 Inputs'!DA4)),2)</f>
        <v/>
      </c>
      <c r="G63">
        <f>ROUND(IF(('A1 Inputs'!CZ5-'A1 Inputs'!DA5)=0,0,100*('A1 Inputs'!DB5-'A1 Inputs'!DC5)/('A1 Inputs'!CZ5-'A1 Inputs'!DA5)),2)</f>
        <v/>
      </c>
      <c r="H63">
        <f>ROUND(IF(('A1 Inputs'!CZ6-'A1 Inputs'!DA6)=0,0,100*('A1 Inputs'!DB6-'A1 Inputs'!DC6)/('A1 Inputs'!CZ6-'A1 Inputs'!DA6)),2)</f>
        <v/>
      </c>
      <c r="I63">
        <f>ROUND(IF(('A1 Inputs'!CZ7-'A1 Inputs'!DA7)=0,0,100*('A1 Inputs'!DB7-'A1 Inputs'!DC7)/('A1 Inputs'!CZ7-'A1 Inputs'!DA7)),2)</f>
        <v/>
      </c>
      <c r="J63">
        <f>ROUND(IF(('A1 Inputs'!CZ8-'A1 Inputs'!DA8)=0,0,100*('A1 Inputs'!DB8-'A1 Inputs'!DC8)/('A1 Inputs'!CZ8-'A1 Inputs'!DA8)),2)</f>
        <v/>
      </c>
      <c r="K63">
        <f>ROUND(IF(('A1 Inputs'!CZ9-'A1 Inputs'!DA9)=0,0,100*('A1 Inputs'!DB9-'A1 Inputs'!DC9)/('A1 Inputs'!CZ9-'A1 Inputs'!DA9)),2)</f>
        <v/>
      </c>
      <c r="L63" t="inlineStr">
        <is>
          <t>fx_exposure_k, fx_hedged_k, usd_exposure_k, usd_hedged_k</t>
        </is>
      </c>
    </row>
    <row r="64">
      <c r="A64" t="inlineStr">
        <is>
          <t>TRS-004</t>
        </is>
      </c>
      <c r="B64" t="inlineStr">
        <is>
          <t>Hedge cover, next 6 months</t>
        </is>
      </c>
      <c r="C64" t="inlineStr">
        <is>
          <t>%</t>
        </is>
      </c>
      <c r="D64" t="inlineStr">
        <is>
          <t>Next 6 months</t>
        </is>
      </c>
      <c r="E64" t="inlineStr">
        <is>
          <t>Foreign-currency flows hedged ÷ Forecast foreign-currency flows, next 6 months × 100</t>
        </is>
      </c>
      <c r="F64">
        <f>ROUND(IF('A1 Inputs'!DF4=0,0,100*'A1 Inputs'!DG4/'A1 Inputs'!DF4),2)</f>
        <v/>
      </c>
      <c r="G64">
        <f>ROUND(IF('A1 Inputs'!DF5=0,0,100*'A1 Inputs'!DG5/'A1 Inputs'!DF5),2)</f>
        <v/>
      </c>
      <c r="H64">
        <f>ROUND(IF('A1 Inputs'!DF6=0,0,100*'A1 Inputs'!DG6/'A1 Inputs'!DF6),2)</f>
        <v/>
      </c>
      <c r="I64">
        <f>ROUND(IF('A1 Inputs'!DF7=0,0,100*'A1 Inputs'!DG7/'A1 Inputs'!DF7),2)</f>
        <v/>
      </c>
      <c r="J64">
        <f>ROUND(IF('A1 Inputs'!DF8=0,0,100*'A1 Inputs'!DG8/'A1 Inputs'!DF8),2)</f>
        <v/>
      </c>
      <c r="K64">
        <f>ROUND(IF('A1 Inputs'!DF9=0,0,100*'A1 Inputs'!DG9/'A1 Inputs'!DF9),2)</f>
        <v/>
      </c>
      <c r="L64" t="inlineStr">
        <is>
          <t>fx_flows_6m_k, fx_hedged_6m_k</t>
        </is>
      </c>
    </row>
    <row r="65">
      <c r="A65" t="inlineStr">
        <is>
          <t>TRS-005</t>
        </is>
      </c>
      <c r="B65" t="inlineStr">
        <is>
          <t>FX sensitivity, 5% USD move</t>
        </is>
      </c>
      <c r="C65" t="inlineStr">
        <is>
          <t>₹ m</t>
        </is>
      </c>
      <c r="D65" t="inlineStr">
        <is>
          <t>Month end</t>
        </is>
      </c>
      <c r="E65" t="inlineStr">
        <is>
          <t>5% × (USD exposure − USD hedged) ÷ 1000</t>
        </is>
      </c>
      <c r="F65">
        <f>ROUND(0.05*('A1 Inputs'!DB4-'A1 Inputs'!DC4)/1000,2)</f>
        <v/>
      </c>
      <c r="G65">
        <f>ROUND(0.05*('A1 Inputs'!DB5-'A1 Inputs'!DC5)/1000,2)</f>
        <v/>
      </c>
      <c r="H65">
        <f>ROUND(0.05*('A1 Inputs'!DB6-'A1 Inputs'!DC6)/1000,2)</f>
        <v/>
      </c>
      <c r="I65">
        <f>ROUND(0.05*('A1 Inputs'!DB7-'A1 Inputs'!DC7)/1000,2)</f>
        <v/>
      </c>
      <c r="J65">
        <f>ROUND(0.05*('A1 Inputs'!DB8-'A1 Inputs'!DC8)/1000,2)</f>
        <v/>
      </c>
      <c r="K65">
        <f>ROUND(0.05*('A1 Inputs'!DB9-'A1 Inputs'!DC9)/1000,2)</f>
        <v/>
      </c>
      <c r="L65" t="inlineStr">
        <is>
          <t>usd_exposure_k, usd_hedged_k</t>
        </is>
      </c>
    </row>
    <row r="66">
      <c r="A66" t="inlineStr">
        <is>
          <t>CPX-001</t>
        </is>
      </c>
      <c r="B66" t="inlineStr">
        <is>
          <t>Approved capex budget</t>
        </is>
      </c>
      <c r="C66" t="inlineStr">
        <is>
          <t>₹ m</t>
        </is>
      </c>
      <c r="D66" t="inlineStr">
        <is>
          <t>Full year</t>
        </is>
      </c>
      <c r="E66" t="inlineStr">
        <is>
          <t>Approved capex budget ÷ 1000</t>
        </is>
      </c>
      <c r="F66">
        <f>ROUND('A1 Inputs'!DH4/1000,2)</f>
        <v/>
      </c>
      <c r="G66">
        <f>ROUND('A1 Inputs'!DH5/1000,2)</f>
        <v/>
      </c>
      <c r="H66">
        <f>ROUND('A1 Inputs'!DH6/1000,2)</f>
        <v/>
      </c>
      <c r="I66">
        <f>ROUND('A1 Inputs'!DH7/1000,2)</f>
        <v/>
      </c>
      <c r="J66">
        <f>ROUND('A1 Inputs'!DH8/1000,2)</f>
        <v/>
      </c>
      <c r="K66">
        <f>ROUND('A1 Inputs'!DH9/1000,2)</f>
        <v/>
      </c>
      <c r="L66" t="inlineStr">
        <is>
          <t>capex_budget_k</t>
        </is>
      </c>
    </row>
    <row r="67">
      <c r="A67" t="inlineStr">
        <is>
          <t>CPX-002</t>
        </is>
      </c>
      <c r="B67" t="inlineStr">
        <is>
          <t>Committed capex</t>
        </is>
      </c>
      <c r="C67" t="inlineStr">
        <is>
          <t>₹ m</t>
        </is>
      </c>
      <c r="D67" t="inlineStr">
        <is>
          <t>To date</t>
        </is>
      </c>
      <c r="E67" t="inlineStr">
        <is>
          <t>Capex committed to date ÷ 1000</t>
        </is>
      </c>
      <c r="F67">
        <f>ROUND('A1 Inputs'!DI4/1000,2)</f>
        <v/>
      </c>
      <c r="G67">
        <f>ROUND('A1 Inputs'!DI5/1000,2)</f>
        <v/>
      </c>
      <c r="H67">
        <f>ROUND('A1 Inputs'!DI6/1000,2)</f>
        <v/>
      </c>
      <c r="I67">
        <f>ROUND('A1 Inputs'!DI7/1000,2)</f>
        <v/>
      </c>
      <c r="J67">
        <f>ROUND('A1 Inputs'!DI8/1000,2)</f>
        <v/>
      </c>
      <c r="K67">
        <f>ROUND('A1 Inputs'!DI9/1000,2)</f>
        <v/>
      </c>
      <c r="L67" t="inlineStr">
        <is>
          <t>capex_committed_k</t>
        </is>
      </c>
    </row>
    <row r="68">
      <c r="A68" t="inlineStr">
        <is>
          <t>CPX-003</t>
        </is>
      </c>
      <c r="B68" t="inlineStr">
        <is>
          <t>Capex actual spend YTD</t>
        </is>
      </c>
      <c r="C68" t="inlineStr">
        <is>
          <t>₹ m</t>
        </is>
      </c>
      <c r="D68" t="inlineStr">
        <is>
          <t>Year to date</t>
        </is>
      </c>
      <c r="E68" t="inlineStr">
        <is>
          <t>Sum of capex spent since April ÷ 1000</t>
        </is>
      </c>
      <c r="F68">
        <f>ROUND(SUM('A1 Inputs'!DJ$4:DJ4)/1000,2)</f>
        <v/>
      </c>
      <c r="G68">
        <f>ROUND(SUM('A1 Inputs'!DJ$4:DJ5)/1000,2)</f>
        <v/>
      </c>
      <c r="H68">
        <f>ROUND(SUM('A1 Inputs'!DJ$4:DJ6)/1000,2)</f>
        <v/>
      </c>
      <c r="I68">
        <f>ROUND(SUM('A1 Inputs'!DJ$4:DJ7)/1000,2)</f>
        <v/>
      </c>
      <c r="J68">
        <f>ROUND(SUM('A1 Inputs'!DJ$4:DJ8)/1000,2)</f>
        <v/>
      </c>
      <c r="K68">
        <f>ROUND(SUM('A1 Inputs'!DJ$4:DJ9)/1000,2)</f>
        <v/>
      </c>
      <c r="L68" t="inlineStr">
        <is>
          <t>capex_spend_k</t>
        </is>
      </c>
    </row>
    <row r="69">
      <c r="A69" t="inlineStr">
        <is>
          <t>CPX-004</t>
        </is>
      </c>
      <c r="B69" t="inlineStr">
        <is>
          <t>Capex physical progress, weighted</t>
        </is>
      </c>
      <c r="C69" t="inlineStr">
        <is>
          <t>%</t>
        </is>
      </c>
      <c r="D69" t="inlineStr">
        <is>
          <t>To date</t>
        </is>
      </c>
      <c r="E69" t="inlineStr">
        <is>
          <t>Work completed valued at budget ÷ Approved budget × 100 (weights each project by its budget)</t>
        </is>
      </c>
      <c r="F69">
        <f>ROUND(IF('A1 Inputs'!DH4=0,0,100*'A1 Inputs'!DK4/'A1 Inputs'!DH4),2)</f>
        <v/>
      </c>
      <c r="G69">
        <f>ROUND(IF('A1 Inputs'!DH5=0,0,100*'A1 Inputs'!DK5/'A1 Inputs'!DH5),2)</f>
        <v/>
      </c>
      <c r="H69">
        <f>ROUND(IF('A1 Inputs'!DH6=0,0,100*'A1 Inputs'!DK6/'A1 Inputs'!DH6),2)</f>
        <v/>
      </c>
      <c r="I69">
        <f>ROUND(IF('A1 Inputs'!DH7=0,0,100*'A1 Inputs'!DK7/'A1 Inputs'!DH7),2)</f>
        <v/>
      </c>
      <c r="J69">
        <f>ROUND(IF('A1 Inputs'!DH8=0,0,100*'A1 Inputs'!DK8/'A1 Inputs'!DH8),2)</f>
        <v/>
      </c>
      <c r="K69">
        <f>ROUND(IF('A1 Inputs'!DH9=0,0,100*'A1 Inputs'!DK9/'A1 Inputs'!DH9),2)</f>
        <v/>
      </c>
      <c r="L69" t="inlineStr">
        <is>
          <t>capex_budget_k, capex_earned_value_k</t>
        </is>
      </c>
    </row>
    <row r="70">
      <c r="A70" t="inlineStr">
        <is>
          <t>SIG-011</t>
        </is>
      </c>
      <c r="B70" t="inlineStr">
        <is>
          <t>Capex value at risk</t>
        </is>
      </c>
      <c r="C70" t="inlineStr">
        <is>
          <t>₹ m</t>
        </is>
      </c>
      <c r="D70" t="inlineStr">
        <is>
          <t>Month end</t>
        </is>
      </c>
      <c r="E70" t="inlineStr">
        <is>
          <t>Budget of projects at risk ÷ 1000</t>
        </is>
      </c>
      <c r="F70">
        <f>ROUND('A1 Inputs'!DL4/1000,2)</f>
        <v/>
      </c>
      <c r="G70">
        <f>ROUND('A1 Inputs'!DL5/1000,2)</f>
        <v/>
      </c>
      <c r="H70">
        <f>ROUND('A1 Inputs'!DL6/1000,2)</f>
        <v/>
      </c>
      <c r="I70">
        <f>ROUND('A1 Inputs'!DL7/1000,2)</f>
        <v/>
      </c>
      <c r="J70">
        <f>ROUND('A1 Inputs'!DL8/1000,2)</f>
        <v/>
      </c>
      <c r="K70">
        <f>ROUND('A1 Inputs'!DL9/1000,2)</f>
        <v/>
      </c>
      <c r="L70" t="inlineStr">
        <is>
          <t>capex_at_risk_k</t>
        </is>
      </c>
    </row>
    <row r="71">
      <c r="A71" t="inlineStr">
        <is>
          <t>PRG-001</t>
        </is>
      </c>
      <c r="B71" t="inlineStr">
        <is>
          <t>Capex project status</t>
        </is>
      </c>
      <c r="C71" t="inlineStr">
        <is>
          <t>text</t>
        </is>
      </c>
      <c r="D71" t="inlineStr">
        <is>
          <t>Month end</t>
        </is>
      </c>
      <c r="E71" t="inlineStr">
        <is>
          <t>Count of projects by status</t>
        </is>
      </c>
      <c r="F71">
        <f>'A1 Inputs'!DM4&amp;" on track · "&amp;'A1 Inputs'!DN4&amp;" at risk · "&amp;'A1 Inputs'!DO4&amp;" off track"</f>
        <v/>
      </c>
      <c r="G71">
        <f>'A1 Inputs'!DM5&amp;" on track · "&amp;'A1 Inputs'!DN5&amp;" at risk · "&amp;'A1 Inputs'!DO5&amp;" off track"</f>
        <v/>
      </c>
      <c r="H71">
        <f>'A1 Inputs'!DM6&amp;" on track · "&amp;'A1 Inputs'!DN6&amp;" at risk · "&amp;'A1 Inputs'!DO6&amp;" off track"</f>
        <v/>
      </c>
      <c r="I71">
        <f>'A1 Inputs'!DM7&amp;" on track · "&amp;'A1 Inputs'!DN7&amp;" at risk · "&amp;'A1 Inputs'!DO7&amp;" off track"</f>
        <v/>
      </c>
      <c r="J71">
        <f>'A1 Inputs'!DM8&amp;" on track · "&amp;'A1 Inputs'!DN8&amp;" at risk · "&amp;'A1 Inputs'!DO8&amp;" off track"</f>
        <v/>
      </c>
      <c r="K71">
        <f>'A1 Inputs'!DM9&amp;" on track · "&amp;'A1 Inputs'!DN9&amp;" at risk · "&amp;'A1 Inputs'!DO9&amp;" off track"</f>
        <v/>
      </c>
      <c r="L71" t="inlineStr">
        <is>
          <t>projects_on_track, projects_at_risk, projects_off_track</t>
        </is>
      </c>
    </row>
    <row r="72">
      <c r="A72" t="inlineStr">
        <is>
          <t>PRG-002</t>
        </is>
      </c>
      <c r="B72" t="inlineStr">
        <is>
          <t>Benefits realisation</t>
        </is>
      </c>
      <c r="C72" t="inlineStr">
        <is>
          <t>%</t>
        </is>
      </c>
      <c r="D72" t="inlineStr">
        <is>
          <t>Year to date</t>
        </is>
      </c>
      <c r="E72" t="inlineStr">
        <is>
          <t>Benefits delivered since April ÷ Benefits planned since April × 100</t>
        </is>
      </c>
      <c r="F72">
        <f>ROUND(IF(SUM('A1 Inputs'!DX$4:DX4)=0,0,100*SUM('A1 Inputs'!DY$4:DY4)/SUM('A1 Inputs'!DX$4:DX4)),2)</f>
        <v/>
      </c>
      <c r="G72">
        <f>ROUND(IF(SUM('A1 Inputs'!DX$4:DX5)=0,0,100*SUM('A1 Inputs'!DY$4:DY5)/SUM('A1 Inputs'!DX$4:DX5)),2)</f>
        <v/>
      </c>
      <c r="H72">
        <f>ROUND(IF(SUM('A1 Inputs'!DX$4:DX6)=0,0,100*SUM('A1 Inputs'!DY$4:DY6)/SUM('A1 Inputs'!DX$4:DX6)),2)</f>
        <v/>
      </c>
      <c r="I72">
        <f>ROUND(IF(SUM('A1 Inputs'!DX$4:DX7)=0,0,100*SUM('A1 Inputs'!DY$4:DY7)/SUM('A1 Inputs'!DX$4:DX7)),2)</f>
        <v/>
      </c>
      <c r="J72">
        <f>ROUND(IF(SUM('A1 Inputs'!DX$4:DX8)=0,0,100*SUM('A1 Inputs'!DY$4:DY8)/SUM('A1 Inputs'!DX$4:DX8)),2)</f>
        <v/>
      </c>
      <c r="K72">
        <f>ROUND(IF(SUM('A1 Inputs'!DX$4:DX9)=0,0,100*SUM('A1 Inputs'!DY$4:DY9)/SUM('A1 Inputs'!DX$4:DX9)),2)</f>
        <v/>
      </c>
      <c r="L72" t="inlineStr">
        <is>
          <t>benefits_planned_k, benefits_delivered_k</t>
        </is>
      </c>
    </row>
    <row r="73">
      <c r="A73" t="inlineStr">
        <is>
          <t>PRG-003</t>
        </is>
      </c>
      <c r="B73" t="inlineStr">
        <is>
          <t>Delayed projects</t>
        </is>
      </c>
      <c r="C73" t="inlineStr">
        <is>
          <t>count</t>
        </is>
      </c>
      <c r="D73" t="inlineStr">
        <is>
          <t>Month end</t>
        </is>
      </c>
      <c r="E73" t="inlineStr">
        <is>
          <t>Capex projects delayed</t>
        </is>
      </c>
      <c r="F73">
        <f>ROUND('A1 Inputs'!DP4,2)</f>
        <v/>
      </c>
      <c r="G73">
        <f>ROUND('A1 Inputs'!DP5,2)</f>
        <v/>
      </c>
      <c r="H73">
        <f>ROUND('A1 Inputs'!DP6,2)</f>
        <v/>
      </c>
      <c r="I73">
        <f>ROUND('A1 Inputs'!DP7,2)</f>
        <v/>
      </c>
      <c r="J73">
        <f>ROUND('A1 Inputs'!DP8,2)</f>
        <v/>
      </c>
      <c r="K73">
        <f>ROUND('A1 Inputs'!DP9,2)</f>
        <v/>
      </c>
      <c r="L73" t="inlineStr">
        <is>
          <t>projects_delayed</t>
        </is>
      </c>
    </row>
    <row r="74">
      <c r="A74" t="inlineStr">
        <is>
          <t>PRG-004</t>
        </is>
      </c>
      <c r="B74" t="inlineStr">
        <is>
          <t>Capex / transformation progress (same measure as STR-002)</t>
        </is>
      </c>
      <c r="C74" t="inlineStr">
        <is>
          <t>%</t>
        </is>
      </c>
      <c r="D74" t="inlineStr">
        <is>
          <t>To date</t>
        </is>
      </c>
      <c r="E74" t="inlineStr">
        <is>
          <t>Transformation milestones completed ÷ Milestones in plan × 100</t>
        </is>
      </c>
      <c r="F74">
        <f>ROUND(IF('A1 Inputs'!DV4=0,0,100*'A1 Inputs'!DW4/'A1 Inputs'!DV4),2)</f>
        <v/>
      </c>
      <c r="G74">
        <f>ROUND(IF('A1 Inputs'!DV5=0,0,100*'A1 Inputs'!DW5/'A1 Inputs'!DV5),2)</f>
        <v/>
      </c>
      <c r="H74">
        <f>ROUND(IF('A1 Inputs'!DV6=0,0,100*'A1 Inputs'!DW6/'A1 Inputs'!DV6),2)</f>
        <v/>
      </c>
      <c r="I74">
        <f>ROUND(IF('A1 Inputs'!DV7=0,0,100*'A1 Inputs'!DW7/'A1 Inputs'!DV7),2)</f>
        <v/>
      </c>
      <c r="J74">
        <f>ROUND(IF('A1 Inputs'!DV8=0,0,100*'A1 Inputs'!DW8/'A1 Inputs'!DV8),2)</f>
        <v/>
      </c>
      <c r="K74">
        <f>ROUND(IF('A1 Inputs'!DV9=0,0,100*'A1 Inputs'!DW9/'A1 Inputs'!DV9),2)</f>
        <v/>
      </c>
      <c r="L74" t="inlineStr">
        <is>
          <t>milestones_total, milestones_done</t>
        </is>
      </c>
    </row>
    <row r="75">
      <c r="A75" t="inlineStr">
        <is>
          <t>STR-002</t>
        </is>
      </c>
      <c r="B75" t="inlineStr">
        <is>
          <t>Transformation progress</t>
        </is>
      </c>
      <c r="C75" t="inlineStr">
        <is>
          <t>%</t>
        </is>
      </c>
      <c r="D75" t="inlineStr">
        <is>
          <t>To date</t>
        </is>
      </c>
      <c r="E75" t="inlineStr">
        <is>
          <t>Transformation milestones completed ÷ Milestones in plan × 100</t>
        </is>
      </c>
      <c r="F75">
        <f>ROUND(IF('A1 Inputs'!DV4=0,0,100*'A1 Inputs'!DW4/'A1 Inputs'!DV4),2)</f>
        <v/>
      </c>
      <c r="G75">
        <f>ROUND(IF('A1 Inputs'!DV5=0,0,100*'A1 Inputs'!DW5/'A1 Inputs'!DV5),2)</f>
        <v/>
      </c>
      <c r="H75">
        <f>ROUND(IF('A1 Inputs'!DV6=0,0,100*'A1 Inputs'!DW6/'A1 Inputs'!DV6),2)</f>
        <v/>
      </c>
      <c r="I75">
        <f>ROUND(IF('A1 Inputs'!DV7=0,0,100*'A1 Inputs'!DW7/'A1 Inputs'!DV7),2)</f>
        <v/>
      </c>
      <c r="J75">
        <f>ROUND(IF('A1 Inputs'!DV8=0,0,100*'A1 Inputs'!DW8/'A1 Inputs'!DV8),2)</f>
        <v/>
      </c>
      <c r="K75">
        <f>ROUND(IF('A1 Inputs'!DV9=0,0,100*'A1 Inputs'!DW9/'A1 Inputs'!DV9),2)</f>
        <v/>
      </c>
      <c r="L75" t="inlineStr">
        <is>
          <t>milestones_total, milestones_done</t>
        </is>
      </c>
    </row>
    <row r="76">
      <c r="A76" t="inlineStr">
        <is>
          <t>PRG-005</t>
        </is>
      </c>
      <c r="B76" t="inlineStr">
        <is>
          <t>Transformation initiative status</t>
        </is>
      </c>
      <c r="C76" t="inlineStr">
        <is>
          <t>text</t>
        </is>
      </c>
      <c r="D76" t="inlineStr">
        <is>
          <t>Month end</t>
        </is>
      </c>
      <c r="E76" t="inlineStr">
        <is>
          <t>Count of transformation initiatives by status</t>
        </is>
      </c>
      <c r="F76">
        <f>'A1 Inputs'!DS4&amp;" on track · "&amp;'A1 Inputs'!DT4&amp;" at risk · "&amp;'A1 Inputs'!DU4&amp;" delayed"</f>
        <v/>
      </c>
      <c r="G76">
        <f>'A1 Inputs'!DS5&amp;" on track · "&amp;'A1 Inputs'!DT5&amp;" at risk · "&amp;'A1 Inputs'!DU5&amp;" delayed"</f>
        <v/>
      </c>
      <c r="H76">
        <f>'A1 Inputs'!DS6&amp;" on track · "&amp;'A1 Inputs'!DT6&amp;" at risk · "&amp;'A1 Inputs'!DU6&amp;" delayed"</f>
        <v/>
      </c>
      <c r="I76">
        <f>'A1 Inputs'!DS7&amp;" on track · "&amp;'A1 Inputs'!DT7&amp;" at risk · "&amp;'A1 Inputs'!DU7&amp;" delayed"</f>
        <v/>
      </c>
      <c r="J76">
        <f>'A1 Inputs'!DS8&amp;" on track · "&amp;'A1 Inputs'!DT8&amp;" at risk · "&amp;'A1 Inputs'!DU8&amp;" delayed"</f>
        <v/>
      </c>
      <c r="K76">
        <f>'A1 Inputs'!DS9&amp;" on track · "&amp;'A1 Inputs'!DT9&amp;" at risk · "&amp;'A1 Inputs'!DU9&amp;" delayed"</f>
        <v/>
      </c>
      <c r="L76" t="inlineStr">
        <is>
          <t>initiatives_on_track, initiatives_at_risk, initiatives_delayed</t>
        </is>
      </c>
    </row>
    <row r="77">
      <c r="A77" t="inlineStr">
        <is>
          <t>SUP-006</t>
        </is>
      </c>
      <c r="B77" t="inlineStr">
        <is>
          <t>Contractor slippage</t>
        </is>
      </c>
      <c r="C77" t="inlineStr">
        <is>
          <t>days</t>
        </is>
      </c>
      <c r="D77" t="inlineStr">
        <is>
          <t>Month</t>
        </is>
      </c>
      <c r="E77" t="inlineStr">
        <is>
          <t>Contractor days late ÷ Contractor milestones due (average days late per milestone)</t>
        </is>
      </c>
      <c r="F77">
        <f>ROUND(IF('A1 Inputs'!DQ4=0,0,'A1 Inputs'!DR4/'A1 Inputs'!DQ4),2)</f>
        <v/>
      </c>
      <c r="G77">
        <f>ROUND(IF('A1 Inputs'!DQ5=0,0,'A1 Inputs'!DR5/'A1 Inputs'!DQ5),2)</f>
        <v/>
      </c>
      <c r="H77">
        <f>ROUND(IF('A1 Inputs'!DQ6=0,0,'A1 Inputs'!DR6/'A1 Inputs'!DQ6),2)</f>
        <v/>
      </c>
      <c r="I77">
        <f>ROUND(IF('A1 Inputs'!DQ7=0,0,'A1 Inputs'!DR7/'A1 Inputs'!DQ7),2)</f>
        <v/>
      </c>
      <c r="J77">
        <f>ROUND(IF('A1 Inputs'!DQ8=0,0,'A1 Inputs'!DR8/'A1 Inputs'!DQ8),2)</f>
        <v/>
      </c>
      <c r="K77">
        <f>ROUND(IF('A1 Inputs'!DQ9=0,0,'A1 Inputs'!DR9/'A1 Inputs'!DQ9),2)</f>
        <v/>
      </c>
      <c r="L77" t="inlineStr">
        <is>
          <t>contractor_milestones_due, contractor_days_late</t>
        </is>
      </c>
    </row>
    <row r="78">
      <c r="A78" t="inlineStr">
        <is>
          <t>VAL-001</t>
        </is>
      </c>
      <c r="B78" t="inlineStr">
        <is>
          <t>EBITDA benefit YTD</t>
        </is>
      </c>
      <c r="C78" t="inlineStr">
        <is>
          <t>₹ m</t>
        </is>
      </c>
      <c r="D78" t="inlineStr">
        <is>
          <t>Year to date</t>
        </is>
      </c>
      <c r="E78" t="inlineStr">
        <is>
          <t>Sum of EBITDA benefit since April ÷ 1000</t>
        </is>
      </c>
      <c r="F78">
        <f>ROUND(SUM('A1 Inputs'!DZ$4:DZ4)/1000,2)</f>
        <v/>
      </c>
      <c r="G78">
        <f>ROUND(SUM('A1 Inputs'!DZ$4:DZ5)/1000,2)</f>
        <v/>
      </c>
      <c r="H78">
        <f>ROUND(SUM('A1 Inputs'!DZ$4:DZ6)/1000,2)</f>
        <v/>
      </c>
      <c r="I78">
        <f>ROUND(SUM('A1 Inputs'!DZ$4:DZ7)/1000,2)</f>
        <v/>
      </c>
      <c r="J78">
        <f>ROUND(SUM('A1 Inputs'!DZ$4:DZ8)/1000,2)</f>
        <v/>
      </c>
      <c r="K78">
        <f>ROUND(SUM('A1 Inputs'!DZ$4:DZ9)/1000,2)</f>
        <v/>
      </c>
      <c r="L78" t="inlineStr">
        <is>
          <t>ebitda_benefit_k</t>
        </is>
      </c>
    </row>
    <row r="79">
      <c r="A79" t="inlineStr">
        <is>
          <t>VAL-002</t>
        </is>
      </c>
      <c r="B79" t="inlineStr">
        <is>
          <t>Cash benefit YTD</t>
        </is>
      </c>
      <c r="C79" t="inlineStr">
        <is>
          <t>₹ m</t>
        </is>
      </c>
      <c r="D79" t="inlineStr">
        <is>
          <t>Year to date</t>
        </is>
      </c>
      <c r="E79" t="inlineStr">
        <is>
          <t>Sum of cash benefit since April ÷ 1000</t>
        </is>
      </c>
      <c r="F79">
        <f>ROUND(SUM('A1 Inputs'!EA$4:EA4)/1000,2)</f>
        <v/>
      </c>
      <c r="G79">
        <f>ROUND(SUM('A1 Inputs'!EA$4:EA5)/1000,2)</f>
        <v/>
      </c>
      <c r="H79">
        <f>ROUND(SUM('A1 Inputs'!EA$4:EA6)/1000,2)</f>
        <v/>
      </c>
      <c r="I79">
        <f>ROUND(SUM('A1 Inputs'!EA$4:EA7)/1000,2)</f>
        <v/>
      </c>
      <c r="J79">
        <f>ROUND(SUM('A1 Inputs'!EA$4:EA8)/1000,2)</f>
        <v/>
      </c>
      <c r="K79">
        <f>ROUND(SUM('A1 Inputs'!EA$4:EA9)/1000,2)</f>
        <v/>
      </c>
      <c r="L79" t="inlineStr">
        <is>
          <t>cash_benefit_k</t>
        </is>
      </c>
    </row>
    <row r="80">
      <c r="A80" t="inlineStr">
        <is>
          <t>VAL-003</t>
        </is>
      </c>
      <c r="B80" t="inlineStr">
        <is>
          <t>Cost savings delivered YTD</t>
        </is>
      </c>
      <c r="C80" t="inlineStr">
        <is>
          <t>₹ m</t>
        </is>
      </c>
      <c r="D80" t="inlineStr">
        <is>
          <t>Year to date</t>
        </is>
      </c>
      <c r="E80" t="inlineStr">
        <is>
          <t>Sum of cost savings since April ÷ 1000</t>
        </is>
      </c>
      <c r="F80">
        <f>ROUND(SUM('A1 Inputs'!EB$4:EB4)/1000,2)</f>
        <v/>
      </c>
      <c r="G80">
        <f>ROUND(SUM('A1 Inputs'!EB$4:EB5)/1000,2)</f>
        <v/>
      </c>
      <c r="H80">
        <f>ROUND(SUM('A1 Inputs'!EB$4:EB6)/1000,2)</f>
        <v/>
      </c>
      <c r="I80">
        <f>ROUND(SUM('A1 Inputs'!EB$4:EB7)/1000,2)</f>
        <v/>
      </c>
      <c r="J80">
        <f>ROUND(SUM('A1 Inputs'!EB$4:EB8)/1000,2)</f>
        <v/>
      </c>
      <c r="K80">
        <f>ROUND(SUM('A1 Inputs'!EB$4:EB9)/1000,2)</f>
        <v/>
      </c>
      <c r="L80" t="inlineStr">
        <is>
          <t>cost_savings_k</t>
        </is>
      </c>
    </row>
    <row r="81">
      <c r="A81" t="inlineStr">
        <is>
          <t>SUP-001</t>
        </is>
      </c>
      <c r="B81" t="inlineStr">
        <is>
          <t>Supplier on-time delivery</t>
        </is>
      </c>
      <c r="C81" t="inlineStr">
        <is>
          <t>%</t>
        </is>
      </c>
      <c r="D81" t="inlineStr">
        <is>
          <t>Month</t>
        </is>
      </c>
      <c r="E81" t="inlineStr">
        <is>
          <t>Purchase-order lines on time ÷ Lines due × 100</t>
        </is>
      </c>
      <c r="F81">
        <f>ROUND(IF('A1 Inputs'!AY4=0,0,100*'A1 Inputs'!AZ4/'A1 Inputs'!AY4),2)</f>
        <v/>
      </c>
      <c r="G81">
        <f>ROUND(IF('A1 Inputs'!AY5=0,0,100*'A1 Inputs'!AZ5/'A1 Inputs'!AY5),2)</f>
        <v/>
      </c>
      <c r="H81">
        <f>ROUND(IF('A1 Inputs'!AY6=0,0,100*'A1 Inputs'!AZ6/'A1 Inputs'!AY6),2)</f>
        <v/>
      </c>
      <c r="I81">
        <f>ROUND(IF('A1 Inputs'!AY7=0,0,100*'A1 Inputs'!AZ7/'A1 Inputs'!AY7),2)</f>
        <v/>
      </c>
      <c r="J81">
        <f>ROUND(IF('A1 Inputs'!AY8=0,0,100*'A1 Inputs'!AZ8/'A1 Inputs'!AY8),2)</f>
        <v/>
      </c>
      <c r="K81">
        <f>ROUND(IF('A1 Inputs'!AY9=0,0,100*'A1 Inputs'!AZ9/'A1 Inputs'!AY9),2)</f>
        <v/>
      </c>
      <c r="L81" t="inlineStr">
        <is>
          <t>po_lines_due, po_lines_on_time</t>
        </is>
      </c>
    </row>
    <row r="82">
      <c r="A82" t="inlineStr">
        <is>
          <t>SUP-002</t>
        </is>
      </c>
      <c r="B82" t="inlineStr">
        <is>
          <t>Supplier fill rate</t>
        </is>
      </c>
      <c r="C82" t="inlineStr">
        <is>
          <t>%</t>
        </is>
      </c>
      <c r="D82" t="inlineStr">
        <is>
          <t>Month</t>
        </is>
      </c>
      <c r="E82" t="inlineStr">
        <is>
          <t>Quantity received ÷ Quantity ordered × 100</t>
        </is>
      </c>
      <c r="F82">
        <f>ROUND(IF('A1 Inputs'!BA4=0,0,100*'A1 Inputs'!BB4/'A1 Inputs'!BA4),2)</f>
        <v/>
      </c>
      <c r="G82">
        <f>ROUND(IF('A1 Inputs'!BA5=0,0,100*'A1 Inputs'!BB5/'A1 Inputs'!BA5),2)</f>
        <v/>
      </c>
      <c r="H82">
        <f>ROUND(IF('A1 Inputs'!BA6=0,0,100*'A1 Inputs'!BB6/'A1 Inputs'!BA6),2)</f>
        <v/>
      </c>
      <c r="I82">
        <f>ROUND(IF('A1 Inputs'!BA7=0,0,100*'A1 Inputs'!BB7/'A1 Inputs'!BA7),2)</f>
        <v/>
      </c>
      <c r="J82">
        <f>ROUND(IF('A1 Inputs'!BA8=0,0,100*'A1 Inputs'!BB8/'A1 Inputs'!BA8),2)</f>
        <v/>
      </c>
      <c r="K82">
        <f>ROUND(IF('A1 Inputs'!BA9=0,0,100*'A1 Inputs'!BB9/'A1 Inputs'!BA9),2)</f>
        <v/>
      </c>
      <c r="L82" t="inlineStr">
        <is>
          <t>qty_ordered_t, qty_received_t</t>
        </is>
      </c>
    </row>
    <row r="83">
      <c r="A83" t="inlineStr">
        <is>
          <t>SUP-003</t>
        </is>
      </c>
      <c r="B83" t="inlineStr">
        <is>
          <t>Supplier quality-rejection rate</t>
        </is>
      </c>
      <c r="C83" t="inlineStr">
        <is>
          <t>%</t>
        </is>
      </c>
      <c r="D83" t="inlineStr">
        <is>
          <t>Month</t>
        </is>
      </c>
      <c r="E83" t="inlineStr">
        <is>
          <t>Quantity rejected ÷ Quantity received × 100</t>
        </is>
      </c>
      <c r="F83">
        <f>ROUND(IF('A1 Inputs'!BB4=0,0,100*'A1 Inputs'!BC4/'A1 Inputs'!BB4),2)</f>
        <v/>
      </c>
      <c r="G83">
        <f>ROUND(IF('A1 Inputs'!BB5=0,0,100*'A1 Inputs'!BC5/'A1 Inputs'!BB5),2)</f>
        <v/>
      </c>
      <c r="H83">
        <f>ROUND(IF('A1 Inputs'!BB6=0,0,100*'A1 Inputs'!BC6/'A1 Inputs'!BB6),2)</f>
        <v/>
      </c>
      <c r="I83">
        <f>ROUND(IF('A1 Inputs'!BB7=0,0,100*'A1 Inputs'!BC7/'A1 Inputs'!BB7),2)</f>
        <v/>
      </c>
      <c r="J83">
        <f>ROUND(IF('A1 Inputs'!BB8=0,0,100*'A1 Inputs'!BC8/'A1 Inputs'!BB8),2)</f>
        <v/>
      </c>
      <c r="K83">
        <f>ROUND(IF('A1 Inputs'!BB9=0,0,100*'A1 Inputs'!BC9/'A1 Inputs'!BB9),2)</f>
        <v/>
      </c>
      <c r="L83" t="inlineStr">
        <is>
          <t>qty_received_t, qty_rejected_t</t>
        </is>
      </c>
    </row>
    <row r="84">
      <c r="A84" t="inlineStr">
        <is>
          <t>SUP-004</t>
        </is>
      </c>
      <c r="B84" t="inlineStr">
        <is>
          <t>Supplier lead-time variance</t>
        </is>
      </c>
      <c r="C84" t="inlineStr">
        <is>
          <t>%</t>
        </is>
      </c>
      <c r="D84" t="inlineStr">
        <is>
          <t>Month</t>
        </is>
      </c>
      <c r="E84" t="inlineStr">
        <is>
          <t>(Actual lead time − Planned lead time) ÷ Planned lead time × 100</t>
        </is>
      </c>
      <c r="F84">
        <f>ROUND(IF('A1 Inputs'!BD4=0,0,100*('A1 Inputs'!BE4-'A1 Inputs'!BD4)/'A1 Inputs'!BD4),2)</f>
        <v/>
      </c>
      <c r="G84">
        <f>ROUND(IF('A1 Inputs'!BD5=0,0,100*('A1 Inputs'!BE5-'A1 Inputs'!BD5)/'A1 Inputs'!BD5),2)</f>
        <v/>
      </c>
      <c r="H84">
        <f>ROUND(IF('A1 Inputs'!BD6=0,0,100*('A1 Inputs'!BE6-'A1 Inputs'!BD6)/'A1 Inputs'!BD6),2)</f>
        <v/>
      </c>
      <c r="I84">
        <f>ROUND(IF('A1 Inputs'!BD7=0,0,100*('A1 Inputs'!BE7-'A1 Inputs'!BD7)/'A1 Inputs'!BD7),2)</f>
        <v/>
      </c>
      <c r="J84">
        <f>ROUND(IF('A1 Inputs'!BD8=0,0,100*('A1 Inputs'!BE8-'A1 Inputs'!BD8)/'A1 Inputs'!BD8),2)</f>
        <v/>
      </c>
      <c r="K84">
        <f>ROUND(IF('A1 Inputs'!BD9=0,0,100*('A1 Inputs'!BE9-'A1 Inputs'!BD9)/'A1 Inputs'!BD9),2)</f>
        <v/>
      </c>
      <c r="L84" t="inlineStr">
        <is>
          <t>lead_time_planned_days, lead_time_actual_days</t>
        </is>
      </c>
    </row>
    <row r="85">
      <c r="A85" t="inlineStr">
        <is>
          <t>SUP-005</t>
        </is>
      </c>
      <c r="B85" t="inlineStr">
        <is>
          <t>Critical supplier exposure</t>
        </is>
      </c>
      <c r="C85" t="inlineStr">
        <is>
          <t>count</t>
        </is>
      </c>
      <c r="D85" t="inlineStr">
        <is>
          <t>Month end</t>
        </is>
      </c>
      <c r="E85" t="inlineStr">
        <is>
          <t>Critical single-source suppliers</t>
        </is>
      </c>
      <c r="F85">
        <f>ROUND('A1 Inputs'!EG4,2)</f>
        <v/>
      </c>
      <c r="G85">
        <f>ROUND('A1 Inputs'!EG5,2)</f>
        <v/>
      </c>
      <c r="H85">
        <f>ROUND('A1 Inputs'!EG6,2)</f>
        <v/>
      </c>
      <c r="I85">
        <f>ROUND('A1 Inputs'!EG7,2)</f>
        <v/>
      </c>
      <c r="J85">
        <f>ROUND('A1 Inputs'!EG8,2)</f>
        <v/>
      </c>
      <c r="K85">
        <f>ROUND('A1 Inputs'!EG9,2)</f>
        <v/>
      </c>
      <c r="L85" t="inlineStr">
        <is>
          <t>single_source_suppliers</t>
        </is>
      </c>
    </row>
    <row r="86">
      <c r="A86" t="inlineStr">
        <is>
          <t>SUP-007</t>
        </is>
      </c>
      <c r="B86" t="inlineStr">
        <is>
          <t>Single-source spend share</t>
        </is>
      </c>
      <c r="C86" t="inlineStr">
        <is>
          <t>%</t>
        </is>
      </c>
      <c r="D86" t="inlineStr">
        <is>
          <t>Month</t>
        </is>
      </c>
      <c r="E86" t="inlineStr">
        <is>
          <t>Spend with single-source suppliers ÷ Supplier spend × 100</t>
        </is>
      </c>
      <c r="F86">
        <f>ROUND(IF('A1 Inputs'!BF4=0,0,100*'A1 Inputs'!BG4/'A1 Inputs'!BF4),2)</f>
        <v/>
      </c>
      <c r="G86">
        <f>ROUND(IF('A1 Inputs'!BF5=0,0,100*'A1 Inputs'!BG5/'A1 Inputs'!BF5),2)</f>
        <v/>
      </c>
      <c r="H86">
        <f>ROUND(IF('A1 Inputs'!BF6=0,0,100*'A1 Inputs'!BG6/'A1 Inputs'!BF6),2)</f>
        <v/>
      </c>
      <c r="I86">
        <f>ROUND(IF('A1 Inputs'!BF7=0,0,100*'A1 Inputs'!BG7/'A1 Inputs'!BF7),2)</f>
        <v/>
      </c>
      <c r="J86">
        <f>ROUND(IF('A1 Inputs'!BF8=0,0,100*'A1 Inputs'!BG8/'A1 Inputs'!BF8),2)</f>
        <v/>
      </c>
      <c r="K86">
        <f>ROUND(IF('A1 Inputs'!BF9=0,0,100*'A1 Inputs'!BG9/'A1 Inputs'!BF9),2)</f>
        <v/>
      </c>
      <c r="L86" t="inlineStr">
        <is>
          <t>supplier_spend_k, single_source_spend_k</t>
        </is>
      </c>
    </row>
    <row r="87">
      <c r="A87" t="inlineStr">
        <is>
          <t>SUP-008</t>
        </is>
      </c>
      <c r="B87" t="inlineStr">
        <is>
          <t>Supplier EHS incidents YTD</t>
        </is>
      </c>
      <c r="C87" t="inlineStr">
        <is>
          <t>count</t>
        </is>
      </c>
      <c r="D87" t="inlineStr">
        <is>
          <t>Year to date</t>
        </is>
      </c>
      <c r="E87" t="inlineStr">
        <is>
          <t>Sum of supplier EHS incidents since April</t>
        </is>
      </c>
      <c r="F87">
        <f>ROUND(SUM('A1 Inputs'!BH$4:BH4),2)</f>
        <v/>
      </c>
      <c r="G87">
        <f>ROUND(SUM('A1 Inputs'!BH$4:BH5),2)</f>
        <v/>
      </c>
      <c r="H87">
        <f>ROUND(SUM('A1 Inputs'!BH$4:BH6),2)</f>
        <v/>
      </c>
      <c r="I87">
        <f>ROUND(SUM('A1 Inputs'!BH$4:BH7),2)</f>
        <v/>
      </c>
      <c r="J87">
        <f>ROUND(SUM('A1 Inputs'!BH$4:BH8),2)</f>
        <v/>
      </c>
      <c r="K87">
        <f>ROUND(SUM('A1 Inputs'!BH$4:BH9),2)</f>
        <v/>
      </c>
      <c r="L87" t="inlineStr">
        <is>
          <t>supplier_ehs_incidents</t>
        </is>
      </c>
    </row>
    <row r="88">
      <c r="A88" t="inlineStr">
        <is>
          <t>CON-001</t>
        </is>
      </c>
      <c r="B88" t="inlineStr">
        <is>
          <t>Contracts expiring, next 90 days</t>
        </is>
      </c>
      <c r="C88" t="inlineStr">
        <is>
          <t>count</t>
        </is>
      </c>
      <c r="D88" t="inlineStr">
        <is>
          <t>Month end</t>
        </is>
      </c>
      <c r="E88" t="inlineStr">
        <is>
          <t>Contracts expiring in next 90 days</t>
        </is>
      </c>
      <c r="F88">
        <f>ROUND('A1 Inputs'!EE4,2)</f>
        <v/>
      </c>
      <c r="G88">
        <f>ROUND('A1 Inputs'!EE5,2)</f>
        <v/>
      </c>
      <c r="H88">
        <f>ROUND('A1 Inputs'!EE6,2)</f>
        <v/>
      </c>
      <c r="I88">
        <f>ROUND('A1 Inputs'!EE7,2)</f>
        <v/>
      </c>
      <c r="J88">
        <f>ROUND('A1 Inputs'!EE8,2)</f>
        <v/>
      </c>
      <c r="K88">
        <f>ROUND('A1 Inputs'!EE9,2)</f>
        <v/>
      </c>
      <c r="L88" t="inlineStr">
        <is>
          <t>contracts_expiring_90d</t>
        </is>
      </c>
    </row>
    <row r="89">
      <c r="A89" t="inlineStr">
        <is>
          <t>CON-002</t>
        </is>
      </c>
      <c r="B89" t="inlineStr">
        <is>
          <t>Contract-compliance rate</t>
        </is>
      </c>
      <c r="C89" t="inlineStr">
        <is>
          <t>%</t>
        </is>
      </c>
      <c r="D89" t="inlineStr">
        <is>
          <t>Month end</t>
        </is>
      </c>
      <c r="E89" t="inlineStr">
        <is>
          <t>Contracts fully compliant ÷ Active contracts × 100</t>
        </is>
      </c>
      <c r="F89">
        <f>ROUND(IF('A1 Inputs'!EC4=0,0,100*'A1 Inputs'!ED4/'A1 Inputs'!EC4),2)</f>
        <v/>
      </c>
      <c r="G89">
        <f>ROUND(IF('A1 Inputs'!EC5=0,0,100*'A1 Inputs'!ED5/'A1 Inputs'!EC5),2)</f>
        <v/>
      </c>
      <c r="H89">
        <f>ROUND(IF('A1 Inputs'!EC6=0,0,100*'A1 Inputs'!ED6/'A1 Inputs'!EC6),2)</f>
        <v/>
      </c>
      <c r="I89">
        <f>ROUND(IF('A1 Inputs'!EC7=0,0,100*'A1 Inputs'!ED7/'A1 Inputs'!EC7),2)</f>
        <v/>
      </c>
      <c r="J89">
        <f>ROUND(IF('A1 Inputs'!EC8=0,0,100*'A1 Inputs'!ED8/'A1 Inputs'!EC8),2)</f>
        <v/>
      </c>
      <c r="K89">
        <f>ROUND(IF('A1 Inputs'!EC9=0,0,100*'A1 Inputs'!ED9/'A1 Inputs'!EC9),2)</f>
        <v/>
      </c>
      <c r="L89" t="inlineStr">
        <is>
          <t>contracts_total, contracts_compliant</t>
        </is>
      </c>
    </row>
    <row r="90">
      <c r="A90" t="inlineStr">
        <is>
          <t>CON-003</t>
        </is>
      </c>
      <c r="B90" t="inlineStr">
        <is>
          <t>Supplier EHS non-compliance</t>
        </is>
      </c>
      <c r="C90" t="inlineStr">
        <is>
          <t>count</t>
        </is>
      </c>
      <c r="D90" t="inlineStr">
        <is>
          <t>Month end</t>
        </is>
      </c>
      <c r="E90" t="inlineStr">
        <is>
          <t>Suppliers not meeting EHS requirements</t>
        </is>
      </c>
      <c r="F90">
        <f>ROUND('A1 Inputs'!EF4,2)</f>
        <v/>
      </c>
      <c r="G90">
        <f>ROUND('A1 Inputs'!EF5,2)</f>
        <v/>
      </c>
      <c r="H90">
        <f>ROUND('A1 Inputs'!EF6,2)</f>
        <v/>
      </c>
      <c r="I90">
        <f>ROUND('A1 Inputs'!EF7,2)</f>
        <v/>
      </c>
      <c r="J90">
        <f>ROUND('A1 Inputs'!EF8,2)</f>
        <v/>
      </c>
      <c r="K90">
        <f>ROUND('A1 Inputs'!EF9,2)</f>
        <v/>
      </c>
      <c r="L90" t="inlineStr">
        <is>
          <t>supplier_ehs_noncompliance</t>
        </is>
      </c>
    </row>
    <row r="91">
      <c r="A91" t="inlineStr">
        <is>
          <t>REG-001</t>
        </is>
      </c>
      <c r="B91" t="inlineStr">
        <is>
          <t>Pending filings</t>
        </is>
      </c>
      <c r="C91" t="inlineStr">
        <is>
          <t>count</t>
        </is>
      </c>
      <c r="D91" t="inlineStr">
        <is>
          <t>Month end</t>
        </is>
      </c>
      <c r="E91" t="inlineStr">
        <is>
          <t>Regulatory filings pending</t>
        </is>
      </c>
      <c r="F91">
        <f>ROUND('A1 Inputs'!BI4,2)</f>
        <v/>
      </c>
      <c r="G91">
        <f>ROUND('A1 Inputs'!BI5,2)</f>
        <v/>
      </c>
      <c r="H91">
        <f>ROUND('A1 Inputs'!BI6,2)</f>
        <v/>
      </c>
      <c r="I91">
        <f>ROUND('A1 Inputs'!BI7,2)</f>
        <v/>
      </c>
      <c r="J91">
        <f>ROUND('A1 Inputs'!BI8,2)</f>
        <v/>
      </c>
      <c r="K91">
        <f>ROUND('A1 Inputs'!BI9,2)</f>
        <v/>
      </c>
      <c r="L91" t="inlineStr">
        <is>
          <t>pending_filings</t>
        </is>
      </c>
    </row>
    <row r="92">
      <c r="A92" t="inlineStr">
        <is>
          <t>REG-002</t>
        </is>
      </c>
      <c r="B92" t="inlineStr">
        <is>
          <t>Regulatory deadlines, next 30 days</t>
        </is>
      </c>
      <c r="C92" t="inlineStr">
        <is>
          <t>count</t>
        </is>
      </c>
      <c r="D92" t="inlineStr">
        <is>
          <t>Month end</t>
        </is>
      </c>
      <c r="E92" t="inlineStr">
        <is>
          <t>Regulatory deadlines in next 30 days</t>
        </is>
      </c>
      <c r="F92">
        <f>ROUND('A1 Inputs'!BJ4,2)</f>
        <v/>
      </c>
      <c r="G92">
        <f>ROUND('A1 Inputs'!BJ5,2)</f>
        <v/>
      </c>
      <c r="H92">
        <f>ROUND('A1 Inputs'!BJ6,2)</f>
        <v/>
      </c>
      <c r="I92">
        <f>ROUND('A1 Inputs'!BJ7,2)</f>
        <v/>
      </c>
      <c r="J92">
        <f>ROUND('A1 Inputs'!BJ8,2)</f>
        <v/>
      </c>
      <c r="K92">
        <f>ROUND('A1 Inputs'!BJ9,2)</f>
        <v/>
      </c>
      <c r="L92" t="inlineStr">
        <is>
          <t>reg_deadlines_30d</t>
        </is>
      </c>
    </row>
    <row r="93">
      <c r="A93" t="inlineStr">
        <is>
          <t>REG-003</t>
        </is>
      </c>
      <c r="B93" t="inlineStr">
        <is>
          <t>Licence expirations, next 12 months</t>
        </is>
      </c>
      <c r="C93" t="inlineStr">
        <is>
          <t>count</t>
        </is>
      </c>
      <c r="D93" t="inlineStr">
        <is>
          <t>Month end</t>
        </is>
      </c>
      <c r="E93" t="inlineStr">
        <is>
          <t>Licences expiring in next 12 months</t>
        </is>
      </c>
      <c r="F93">
        <f>ROUND('A1 Inputs'!BK4,2)</f>
        <v/>
      </c>
      <c r="G93">
        <f>ROUND('A1 Inputs'!BK5,2)</f>
        <v/>
      </c>
      <c r="H93">
        <f>ROUND('A1 Inputs'!BK6,2)</f>
        <v/>
      </c>
      <c r="I93">
        <f>ROUND('A1 Inputs'!BK7,2)</f>
        <v/>
      </c>
      <c r="J93">
        <f>ROUND('A1 Inputs'!BK8,2)</f>
        <v/>
      </c>
      <c r="K93">
        <f>ROUND('A1 Inputs'!BK9,2)</f>
        <v/>
      </c>
      <c r="L93" t="inlineStr">
        <is>
          <t>licences_expiring_12m</t>
        </is>
      </c>
    </row>
    <row r="94">
      <c r="A94" t="inlineStr">
        <is>
          <t>REG-004</t>
        </is>
      </c>
      <c r="B94" t="inlineStr">
        <is>
          <t>Regulatory obligations due, next 30 days</t>
        </is>
      </c>
      <c r="C94" t="inlineStr">
        <is>
          <t>count</t>
        </is>
      </c>
      <c r="D94" t="inlineStr">
        <is>
          <t>Month end</t>
        </is>
      </c>
      <c r="E94" t="inlineStr">
        <is>
          <t>Regulatory obligations due in next 30 days</t>
        </is>
      </c>
      <c r="F94">
        <f>ROUND('A1 Inputs'!BL4,2)</f>
        <v/>
      </c>
      <c r="G94">
        <f>ROUND('A1 Inputs'!BL5,2)</f>
        <v/>
      </c>
      <c r="H94">
        <f>ROUND('A1 Inputs'!BL6,2)</f>
        <v/>
      </c>
      <c r="I94">
        <f>ROUND('A1 Inputs'!BL7,2)</f>
        <v/>
      </c>
      <c r="J94">
        <f>ROUND('A1 Inputs'!BL8,2)</f>
        <v/>
      </c>
      <c r="K94">
        <f>ROUND('A1 Inputs'!BL9,2)</f>
        <v/>
      </c>
      <c r="L94" t="inlineStr">
        <is>
          <t>reg_obligations_due_30d</t>
        </is>
      </c>
    </row>
    <row r="95">
      <c r="A95" t="inlineStr">
        <is>
          <t>REG-005</t>
        </is>
      </c>
      <c r="B95" t="inlineStr">
        <is>
          <t>Overdue regulatory obligations</t>
        </is>
      </c>
      <c r="C95" t="inlineStr">
        <is>
          <t>count</t>
        </is>
      </c>
      <c r="D95" t="inlineStr">
        <is>
          <t>Month end</t>
        </is>
      </c>
      <c r="E95" t="inlineStr">
        <is>
          <t>Regulatory obligations overdue</t>
        </is>
      </c>
      <c r="F95">
        <f>ROUND('A1 Inputs'!BM4,2)</f>
        <v/>
      </c>
      <c r="G95">
        <f>ROUND('A1 Inputs'!BM5,2)</f>
        <v/>
      </c>
      <c r="H95">
        <f>ROUND('A1 Inputs'!BM6,2)</f>
        <v/>
      </c>
      <c r="I95">
        <f>ROUND('A1 Inputs'!BM7,2)</f>
        <v/>
      </c>
      <c r="J95">
        <f>ROUND('A1 Inputs'!BM8,2)</f>
        <v/>
      </c>
      <c r="K95">
        <f>ROUND('A1 Inputs'!BM9,2)</f>
        <v/>
      </c>
      <c r="L95" t="inlineStr">
        <is>
          <t>reg_obligations_overdue</t>
        </is>
      </c>
    </row>
    <row r="96">
      <c r="A96" t="inlineStr">
        <is>
          <t>REG-007</t>
        </is>
      </c>
      <c r="B96" t="inlineStr">
        <is>
          <t>Open regulatory actions</t>
        </is>
      </c>
      <c r="C96" t="inlineStr">
        <is>
          <t>count</t>
        </is>
      </c>
      <c r="D96" t="inlineStr">
        <is>
          <t>Month end</t>
        </is>
      </c>
      <c r="E96" t="inlineStr">
        <is>
          <t>Open regulatory actions</t>
        </is>
      </c>
      <c r="F96">
        <f>ROUND('A1 Inputs'!BN4,2)</f>
        <v/>
      </c>
      <c r="G96">
        <f>ROUND('A1 Inputs'!BN5,2)</f>
        <v/>
      </c>
      <c r="H96">
        <f>ROUND('A1 Inputs'!BN6,2)</f>
        <v/>
      </c>
      <c r="I96">
        <f>ROUND('A1 Inputs'!BN7,2)</f>
        <v/>
      </c>
      <c r="J96">
        <f>ROUND('A1 Inputs'!BN8,2)</f>
        <v/>
      </c>
      <c r="K96">
        <f>ROUND('A1 Inputs'!BN9,2)</f>
        <v/>
      </c>
      <c r="L96" t="inlineStr">
        <is>
          <t>reg_actions_open</t>
        </is>
      </c>
    </row>
    <row r="97">
      <c r="A97" t="inlineStr">
        <is>
          <t>REG-008</t>
        </is>
      </c>
      <c r="B97" t="inlineStr">
        <is>
          <t>Overdue compliance actions</t>
        </is>
      </c>
      <c r="C97" t="inlineStr">
        <is>
          <t>count</t>
        </is>
      </c>
      <c r="D97" t="inlineStr">
        <is>
          <t>Month end</t>
        </is>
      </c>
      <c r="E97" t="inlineStr">
        <is>
          <t>Overdue compliance actions</t>
        </is>
      </c>
      <c r="F97">
        <f>ROUND('A1 Inputs'!BO4,2)</f>
        <v/>
      </c>
      <c r="G97">
        <f>ROUND('A1 Inputs'!BO5,2)</f>
        <v/>
      </c>
      <c r="H97">
        <f>ROUND('A1 Inputs'!BO6,2)</f>
        <v/>
      </c>
      <c r="I97">
        <f>ROUND('A1 Inputs'!BO7,2)</f>
        <v/>
      </c>
      <c r="J97">
        <f>ROUND('A1 Inputs'!BO8,2)</f>
        <v/>
      </c>
      <c r="K97">
        <f>ROUND('A1 Inputs'!BO9,2)</f>
        <v/>
      </c>
      <c r="L97" t="inlineStr">
        <is>
          <t>compliance_actions_overdue</t>
        </is>
      </c>
    </row>
    <row r="98">
      <c r="A98" t="inlineStr">
        <is>
          <t>REG-009</t>
        </is>
      </c>
      <c r="B98" t="inlineStr">
        <is>
          <t>Disclosure-clock status</t>
        </is>
      </c>
      <c r="C98" t="inlineStr">
        <is>
          <t>text</t>
        </is>
      </c>
      <c r="D98" t="inlineStr">
        <is>
          <t>Month end</t>
        </is>
      </c>
      <c r="E98" t="inlineStr">
        <is>
          <t>Triggered if any event that needs disclosure is open, otherwise Not triggered</t>
        </is>
      </c>
      <c r="F98">
        <f>IF('A1 Inputs'!BQ4&gt;0,"Triggered","Not triggered")</f>
        <v/>
      </c>
      <c r="G98">
        <f>IF('A1 Inputs'!BQ5&gt;0,"Triggered","Not triggered")</f>
        <v/>
      </c>
      <c r="H98">
        <f>IF('A1 Inputs'!BQ6&gt;0,"Triggered","Not triggered")</f>
        <v/>
      </c>
      <c r="I98">
        <f>IF('A1 Inputs'!BQ7&gt;0,"Triggered","Not triggered")</f>
        <v/>
      </c>
      <c r="J98">
        <f>IF('A1 Inputs'!BQ8&gt;0,"Triggered","Not triggered")</f>
        <v/>
      </c>
      <c r="K98">
        <f>IF('A1 Inputs'!BQ9&gt;0,"Triggered","Not triggered")</f>
        <v/>
      </c>
      <c r="L98" t="inlineStr">
        <is>
          <t>disclosure_events_open</t>
        </is>
      </c>
    </row>
    <row r="99">
      <c r="A99" t="inlineStr">
        <is>
          <t>REG-010</t>
        </is>
      </c>
      <c r="B99" t="inlineStr">
        <is>
          <t>Regulatory breaches YTD</t>
        </is>
      </c>
      <c r="C99" t="inlineStr">
        <is>
          <t>count</t>
        </is>
      </c>
      <c r="D99" t="inlineStr">
        <is>
          <t>Year to date</t>
        </is>
      </c>
      <c r="E99" t="inlineStr">
        <is>
          <t>Sum of regulatory breaches since April</t>
        </is>
      </c>
      <c r="F99">
        <f>ROUND(SUM('A1 Inputs'!BP$4:BP4),2)</f>
        <v/>
      </c>
      <c r="G99">
        <f>ROUND(SUM('A1 Inputs'!BP$4:BP5),2)</f>
        <v/>
      </c>
      <c r="H99">
        <f>ROUND(SUM('A1 Inputs'!BP$4:BP6),2)</f>
        <v/>
      </c>
      <c r="I99">
        <f>ROUND(SUM('A1 Inputs'!BP$4:BP7),2)</f>
        <v/>
      </c>
      <c r="J99">
        <f>ROUND(SUM('A1 Inputs'!BP$4:BP8),2)</f>
        <v/>
      </c>
      <c r="K99">
        <f>ROUND(SUM('A1 Inputs'!BP$4:BP9),2)</f>
        <v/>
      </c>
      <c r="L99" t="inlineStr">
        <is>
          <t>reg_breaches</t>
        </is>
      </c>
    </row>
    <row r="100">
      <c r="A100" t="inlineStr">
        <is>
          <t>RSK-003</t>
        </is>
      </c>
      <c r="B100" t="inlineStr">
        <is>
          <t>Regulatory breaches YTD (same measure as REG-010)</t>
        </is>
      </c>
      <c r="C100" t="inlineStr">
        <is>
          <t>count</t>
        </is>
      </c>
      <c r="D100" t="inlineStr">
        <is>
          <t>Year to date</t>
        </is>
      </c>
      <c r="E100" t="inlineStr">
        <is>
          <t>Sum of regulatory breaches since April</t>
        </is>
      </c>
      <c r="F100">
        <f>ROUND(SUM('A1 Inputs'!BP$4:BP4),2)</f>
        <v/>
      </c>
      <c r="G100">
        <f>ROUND(SUM('A1 Inputs'!BP$4:BP5),2)</f>
        <v/>
      </c>
      <c r="H100">
        <f>ROUND(SUM('A1 Inputs'!BP$4:BP6),2)</f>
        <v/>
      </c>
      <c r="I100">
        <f>ROUND(SUM('A1 Inputs'!BP$4:BP7),2)</f>
        <v/>
      </c>
      <c r="J100">
        <f>ROUND(SUM('A1 Inputs'!BP$4:BP8),2)</f>
        <v/>
      </c>
      <c r="K100">
        <f>ROUND(SUM('A1 Inputs'!BP$4:BP9),2)</f>
        <v/>
      </c>
      <c r="L100" t="inlineStr">
        <is>
          <t>reg_breaches</t>
        </is>
      </c>
    </row>
    <row r="101">
      <c r="A101" t="inlineStr">
        <is>
          <t>CMP-005</t>
        </is>
      </c>
      <c r="B101" t="inlineStr">
        <is>
          <t>Regulatory breaches YTD (same measure as REG-010)</t>
        </is>
      </c>
      <c r="C101" t="inlineStr">
        <is>
          <t>count</t>
        </is>
      </c>
      <c r="D101" t="inlineStr">
        <is>
          <t>Year to date</t>
        </is>
      </c>
      <c r="E101" t="inlineStr">
        <is>
          <t>Sum of regulatory breaches since April</t>
        </is>
      </c>
      <c r="F101">
        <f>ROUND(SUM('A1 Inputs'!BP$4:BP4),2)</f>
        <v/>
      </c>
      <c r="G101">
        <f>ROUND(SUM('A1 Inputs'!BP$4:BP5),2)</f>
        <v/>
      </c>
      <c r="H101">
        <f>ROUND(SUM('A1 Inputs'!BP$4:BP6),2)</f>
        <v/>
      </c>
      <c r="I101">
        <f>ROUND(SUM('A1 Inputs'!BP$4:BP7),2)</f>
        <v/>
      </c>
      <c r="J101">
        <f>ROUND(SUM('A1 Inputs'!BP$4:BP8),2)</f>
        <v/>
      </c>
      <c r="K101">
        <f>ROUND(SUM('A1 Inputs'!BP$4:BP9),2)</f>
        <v/>
      </c>
      <c r="L101" t="inlineStr">
        <is>
          <t>reg_breaches</t>
        </is>
      </c>
    </row>
    <row r="102">
      <c r="A102" t="inlineStr">
        <is>
          <t>EHS-008</t>
        </is>
      </c>
      <c r="B102" t="inlineStr">
        <is>
          <t>EHS escalation clocks running</t>
        </is>
      </c>
      <c r="C102" t="inlineStr">
        <is>
          <t>count</t>
        </is>
      </c>
      <c r="D102" t="inlineStr">
        <is>
          <t>Month end</t>
        </is>
      </c>
      <c r="E102" t="inlineStr">
        <is>
          <t>EHS escalation clocks running</t>
        </is>
      </c>
      <c r="F102">
        <f>ROUND('A1 Inputs'!BR4,2)</f>
        <v/>
      </c>
      <c r="G102">
        <f>ROUND('A1 Inputs'!BR5,2)</f>
        <v/>
      </c>
      <c r="H102">
        <f>ROUND('A1 Inputs'!BR6,2)</f>
        <v/>
      </c>
      <c r="I102">
        <f>ROUND('A1 Inputs'!BR7,2)</f>
        <v/>
      </c>
      <c r="J102">
        <f>ROUND('A1 Inputs'!BR8,2)</f>
        <v/>
      </c>
      <c r="K102">
        <f>ROUND('A1 Inputs'!BR9,2)</f>
        <v/>
      </c>
      <c r="L102" t="inlineStr">
        <is>
          <t>ehs_escalation_clocks</t>
        </is>
      </c>
    </row>
    <row r="103">
      <c r="A103" t="inlineStr">
        <is>
          <t>EHS-010</t>
        </is>
      </c>
      <c r="B103" t="inlineStr">
        <is>
          <t>EHS investigation completion rate YTD</t>
        </is>
      </c>
      <c r="C103" t="inlineStr">
        <is>
          <t>%</t>
        </is>
      </c>
      <c r="D103" t="inlineStr">
        <is>
          <t>Year to date</t>
        </is>
      </c>
      <c r="E103" t="inlineStr">
        <is>
          <t>EHS investigations completed since April ÷ Investigations due since April × 100 (100 if none due)</t>
        </is>
      </c>
      <c r="F103">
        <f>ROUND(IF(SUM('A1 Inputs'!AM$4:AM4)=0,100,100*SUM('A1 Inputs'!AN$4:AN4)/SUM('A1 Inputs'!AM$4:AM4)),2)</f>
        <v/>
      </c>
      <c r="G103">
        <f>ROUND(IF(SUM('A1 Inputs'!AM$4:AM5)=0,100,100*SUM('A1 Inputs'!AN$4:AN5)/SUM('A1 Inputs'!AM$4:AM5)),2)</f>
        <v/>
      </c>
      <c r="H103">
        <f>ROUND(IF(SUM('A1 Inputs'!AM$4:AM6)=0,100,100*SUM('A1 Inputs'!AN$4:AN6)/SUM('A1 Inputs'!AM$4:AM6)),2)</f>
        <v/>
      </c>
      <c r="I103">
        <f>ROUND(IF(SUM('A1 Inputs'!AM$4:AM7)=0,100,100*SUM('A1 Inputs'!AN$4:AN7)/SUM('A1 Inputs'!AM$4:AM7)),2)</f>
        <v/>
      </c>
      <c r="J103">
        <f>ROUND(IF(SUM('A1 Inputs'!AM$4:AM8)=0,100,100*SUM('A1 Inputs'!AN$4:AN8)/SUM('A1 Inputs'!AM$4:AM8)),2)</f>
        <v/>
      </c>
      <c r="K103">
        <f>ROUND(IF(SUM('A1 Inputs'!AM$4:AM9)=0,100,100*SUM('A1 Inputs'!AN$4:AN9)/SUM('A1 Inputs'!AM$4:AM9)),2)</f>
        <v/>
      </c>
      <c r="L103" t="inlineStr">
        <is>
          <t>investigations_due, investigations_completed</t>
        </is>
      </c>
    </row>
    <row r="104">
      <c r="A104" t="inlineStr">
        <is>
          <t>CTL-002</t>
        </is>
      </c>
      <c r="B104" t="inlineStr">
        <is>
          <t>Control failures YTD</t>
        </is>
      </c>
      <c r="C104" t="inlineStr">
        <is>
          <t>count</t>
        </is>
      </c>
      <c r="D104" t="inlineStr">
        <is>
          <t>Year to date</t>
        </is>
      </c>
      <c r="E104" t="inlineStr">
        <is>
          <t>Sum of control failures since April</t>
        </is>
      </c>
      <c r="F104">
        <f>ROUND(SUM('A1 Inputs'!EH$4:EH4),2)</f>
        <v/>
      </c>
      <c r="G104">
        <f>ROUND(SUM('A1 Inputs'!EH$4:EH5),2)</f>
        <v/>
      </c>
      <c r="H104">
        <f>ROUND(SUM('A1 Inputs'!EH$4:EH6),2)</f>
        <v/>
      </c>
      <c r="I104">
        <f>ROUND(SUM('A1 Inputs'!EH$4:EH7),2)</f>
        <v/>
      </c>
      <c r="J104">
        <f>ROUND(SUM('A1 Inputs'!EH$4:EH8),2)</f>
        <v/>
      </c>
      <c r="K104">
        <f>ROUND(SUM('A1 Inputs'!EH$4:EH9),2)</f>
        <v/>
      </c>
      <c r="L104" t="inlineStr">
        <is>
          <t>control_failures</t>
        </is>
      </c>
    </row>
    <row r="105">
      <c r="A105" t="inlineStr">
        <is>
          <t>CTL-004</t>
        </is>
      </c>
      <c r="B105" t="inlineStr">
        <is>
          <t>High-severity control failures YTD</t>
        </is>
      </c>
      <c r="C105" t="inlineStr">
        <is>
          <t>count</t>
        </is>
      </c>
      <c r="D105" t="inlineStr">
        <is>
          <t>Year to date</t>
        </is>
      </c>
      <c r="E105" t="inlineStr">
        <is>
          <t>Sum of high-severity control failures since April</t>
        </is>
      </c>
      <c r="F105">
        <f>ROUND(SUM('A1 Inputs'!EI$4:EI4),2)</f>
        <v/>
      </c>
      <c r="G105">
        <f>ROUND(SUM('A1 Inputs'!EI$4:EI5),2)</f>
        <v/>
      </c>
      <c r="H105">
        <f>ROUND(SUM('A1 Inputs'!EI$4:EI6),2)</f>
        <v/>
      </c>
      <c r="I105">
        <f>ROUND(SUM('A1 Inputs'!EI$4:EI7),2)</f>
        <v/>
      </c>
      <c r="J105">
        <f>ROUND(SUM('A1 Inputs'!EI$4:EI8),2)</f>
        <v/>
      </c>
      <c r="K105">
        <f>ROUND(SUM('A1 Inputs'!EI$4:EI9),2)</f>
        <v/>
      </c>
      <c r="L105" t="inlineStr">
        <is>
          <t>control_failures_high</t>
        </is>
      </c>
    </row>
    <row r="106">
      <c r="A106" t="inlineStr">
        <is>
          <t>CTL-005</t>
        </is>
      </c>
      <c r="B106" t="inlineStr">
        <is>
          <t>Policy exceptions YTD</t>
        </is>
      </c>
      <c r="C106" t="inlineStr">
        <is>
          <t>count</t>
        </is>
      </c>
      <c r="D106" t="inlineStr">
        <is>
          <t>Year to date</t>
        </is>
      </c>
      <c r="E106" t="inlineStr">
        <is>
          <t>Sum of policy exceptions since April</t>
        </is>
      </c>
      <c r="F106">
        <f>ROUND(SUM('A1 Inputs'!EL$4:EL4),2)</f>
        <v/>
      </c>
      <c r="G106">
        <f>ROUND(SUM('A1 Inputs'!EL$4:EL5),2)</f>
        <v/>
      </c>
      <c r="H106">
        <f>ROUND(SUM('A1 Inputs'!EL$4:EL6),2)</f>
        <v/>
      </c>
      <c r="I106">
        <f>ROUND(SUM('A1 Inputs'!EL$4:EL7),2)</f>
        <v/>
      </c>
      <c r="J106">
        <f>ROUND(SUM('A1 Inputs'!EL$4:EL8),2)</f>
        <v/>
      </c>
      <c r="K106">
        <f>ROUND(SUM('A1 Inputs'!EL$4:EL9),2)</f>
        <v/>
      </c>
      <c r="L106" t="inlineStr">
        <is>
          <t>policy_exceptions</t>
        </is>
      </c>
    </row>
    <row r="107">
      <c r="A107" t="inlineStr">
        <is>
          <t>CTL-006</t>
        </is>
      </c>
      <c r="B107" t="inlineStr">
        <is>
          <t>Unauthorised-vendor usage YTD</t>
        </is>
      </c>
      <c r="C107" t="inlineStr">
        <is>
          <t>count</t>
        </is>
      </c>
      <c r="D107" t="inlineStr">
        <is>
          <t>Year to date</t>
        </is>
      </c>
      <c r="E107" t="inlineStr">
        <is>
          <t>Sum of unauthorised vendor uses since April</t>
        </is>
      </c>
      <c r="F107">
        <f>ROUND(SUM('A1 Inputs'!EM$4:EM4),2)</f>
        <v/>
      </c>
      <c r="G107">
        <f>ROUND(SUM('A1 Inputs'!EM$4:EM5),2)</f>
        <v/>
      </c>
      <c r="H107">
        <f>ROUND(SUM('A1 Inputs'!EM$4:EM6),2)</f>
        <v/>
      </c>
      <c r="I107">
        <f>ROUND(SUM('A1 Inputs'!EM$4:EM7),2)</f>
        <v/>
      </c>
      <c r="J107">
        <f>ROUND(SUM('A1 Inputs'!EM$4:EM8),2)</f>
        <v/>
      </c>
      <c r="K107">
        <f>ROUND(SUM('A1 Inputs'!EM$4:EM9),2)</f>
        <v/>
      </c>
      <c r="L107" t="inlineStr">
        <is>
          <t>unauthorized_vendor_uses</t>
        </is>
      </c>
    </row>
    <row r="108">
      <c r="A108" t="inlineStr">
        <is>
          <t>CTL-007</t>
        </is>
      </c>
      <c r="B108" t="inlineStr">
        <is>
          <t>Segregation-of-duties exceptions YTD</t>
        </is>
      </c>
      <c r="C108" t="inlineStr">
        <is>
          <t>count</t>
        </is>
      </c>
      <c r="D108" t="inlineStr">
        <is>
          <t>Year to date</t>
        </is>
      </c>
      <c r="E108" t="inlineStr">
        <is>
          <t>Sum of segregation-of-duties exceptions since April</t>
        </is>
      </c>
      <c r="F108">
        <f>ROUND(SUM('A1 Inputs'!EN$4:EN4),2)</f>
        <v/>
      </c>
      <c r="G108">
        <f>ROUND(SUM('A1 Inputs'!EN$4:EN5),2)</f>
        <v/>
      </c>
      <c r="H108">
        <f>ROUND(SUM('A1 Inputs'!EN$4:EN6),2)</f>
        <v/>
      </c>
      <c r="I108">
        <f>ROUND(SUM('A1 Inputs'!EN$4:EN7),2)</f>
        <v/>
      </c>
      <c r="J108">
        <f>ROUND(SUM('A1 Inputs'!EN$4:EN8),2)</f>
        <v/>
      </c>
      <c r="K108">
        <f>ROUND(SUM('A1 Inputs'!EN$4:EN9),2)</f>
        <v/>
      </c>
      <c r="L108" t="inlineStr">
        <is>
          <t>sod_exceptions</t>
        </is>
      </c>
    </row>
    <row r="109">
      <c r="A109" t="inlineStr">
        <is>
          <t>CTL-008</t>
        </is>
      </c>
      <c r="B109" t="inlineStr">
        <is>
          <t>Unauthorised-access events YTD</t>
        </is>
      </c>
      <c r="C109" t="inlineStr">
        <is>
          <t>count</t>
        </is>
      </c>
      <c r="D109" t="inlineStr">
        <is>
          <t>Year to date</t>
        </is>
      </c>
      <c r="E109" t="inlineStr">
        <is>
          <t>Sum of unauthorised access events since April</t>
        </is>
      </c>
      <c r="F109">
        <f>ROUND(SUM('A1 Inputs'!EO$4:EO4),2)</f>
        <v/>
      </c>
      <c r="G109">
        <f>ROUND(SUM('A1 Inputs'!EO$4:EO5),2)</f>
        <v/>
      </c>
      <c r="H109">
        <f>ROUND(SUM('A1 Inputs'!EO$4:EO6),2)</f>
        <v/>
      </c>
      <c r="I109">
        <f>ROUND(SUM('A1 Inputs'!EO$4:EO7),2)</f>
        <v/>
      </c>
      <c r="J109">
        <f>ROUND(SUM('A1 Inputs'!EO$4:EO8),2)</f>
        <v/>
      </c>
      <c r="K109">
        <f>ROUND(SUM('A1 Inputs'!EO$4:EO9),2)</f>
        <v/>
      </c>
      <c r="L109" t="inlineStr">
        <is>
          <t>unauthorized_access_events</t>
        </is>
      </c>
    </row>
    <row r="110">
      <c r="A110" t="inlineStr">
        <is>
          <t>CTL-009</t>
        </is>
      </c>
      <c r="B110" t="inlineStr">
        <is>
          <t>Data-sharing exceptions YTD</t>
        </is>
      </c>
      <c r="C110" t="inlineStr">
        <is>
          <t>count</t>
        </is>
      </c>
      <c r="D110" t="inlineStr">
        <is>
          <t>Year to date</t>
        </is>
      </c>
      <c r="E110" t="inlineStr">
        <is>
          <t>Sum of data-sharing exceptions since April</t>
        </is>
      </c>
      <c r="F110">
        <f>ROUND(SUM('A1 Inputs'!EP$4:EP4),2)</f>
        <v/>
      </c>
      <c r="G110">
        <f>ROUND(SUM('A1 Inputs'!EP$4:EP5),2)</f>
        <v/>
      </c>
      <c r="H110">
        <f>ROUND(SUM('A1 Inputs'!EP$4:EP6),2)</f>
        <v/>
      </c>
      <c r="I110">
        <f>ROUND(SUM('A1 Inputs'!EP$4:EP7),2)</f>
        <v/>
      </c>
      <c r="J110">
        <f>ROUND(SUM('A1 Inputs'!EP$4:EP8),2)</f>
        <v/>
      </c>
      <c r="K110">
        <f>ROUND(SUM('A1 Inputs'!EP$4:EP9),2)</f>
        <v/>
      </c>
      <c r="L110" t="inlineStr">
        <is>
          <t>data_sharing_exceptions</t>
        </is>
      </c>
    </row>
    <row r="111">
      <c r="A111" t="inlineStr">
        <is>
          <t>CTL-010</t>
        </is>
      </c>
      <c r="B111" t="inlineStr">
        <is>
          <t>Manual overrides YTD</t>
        </is>
      </c>
      <c r="C111" t="inlineStr">
        <is>
          <t>count</t>
        </is>
      </c>
      <c r="D111" t="inlineStr">
        <is>
          <t>Year to date</t>
        </is>
      </c>
      <c r="E111" t="inlineStr">
        <is>
          <t>Sum of manual operational or system overrides since April</t>
        </is>
      </c>
      <c r="F111">
        <f>ROUND(SUM('A1 Inputs'!EQ$4:EQ4),2)</f>
        <v/>
      </c>
      <c r="G111">
        <f>ROUND(SUM('A1 Inputs'!EQ$4:EQ5),2)</f>
        <v/>
      </c>
      <c r="H111">
        <f>ROUND(SUM('A1 Inputs'!EQ$4:EQ6),2)</f>
        <v/>
      </c>
      <c r="I111">
        <f>ROUND(SUM('A1 Inputs'!EQ$4:EQ7),2)</f>
        <v/>
      </c>
      <c r="J111">
        <f>ROUND(SUM('A1 Inputs'!EQ$4:EQ8),2)</f>
        <v/>
      </c>
      <c r="K111">
        <f>ROUND(SUM('A1 Inputs'!EQ$4:EQ9),2)</f>
        <v/>
      </c>
      <c r="L111" t="inlineStr">
        <is>
          <t>manual_overrides</t>
        </is>
      </c>
    </row>
    <row r="112">
      <c r="A112" t="inlineStr">
        <is>
          <t>CTL-003</t>
        </is>
      </c>
      <c r="B112" t="inlineStr">
        <is>
          <t>Assurance reviews completed</t>
        </is>
      </c>
      <c r="C112" t="inlineStr">
        <is>
          <t>text</t>
        </is>
      </c>
      <c r="D112" t="inlineStr">
        <is>
          <t>Year to date</t>
        </is>
      </c>
      <c r="E112" t="inlineStr">
        <is>
          <t>Assurance reviews completed since April, of those planned since April</t>
        </is>
      </c>
      <c r="F112">
        <f>SUM('A1 Inputs'!EK$4:EK4)&amp;" of "&amp;SUM('A1 Inputs'!EJ$4:EJ4)</f>
        <v/>
      </c>
      <c r="G112">
        <f>SUM('A1 Inputs'!EK$4:EK5)&amp;" of "&amp;SUM('A1 Inputs'!EJ$4:EJ5)</f>
        <v/>
      </c>
      <c r="H112">
        <f>SUM('A1 Inputs'!EK$4:EK6)&amp;" of "&amp;SUM('A1 Inputs'!EJ$4:EJ6)</f>
        <v/>
      </c>
      <c r="I112">
        <f>SUM('A1 Inputs'!EK$4:EK7)&amp;" of "&amp;SUM('A1 Inputs'!EJ$4:EJ7)</f>
        <v/>
      </c>
      <c r="J112">
        <f>SUM('A1 Inputs'!EK$4:EK8)&amp;" of "&amp;SUM('A1 Inputs'!EJ$4:EJ8)</f>
        <v/>
      </c>
      <c r="K112">
        <f>SUM('A1 Inputs'!EK$4:EK9)&amp;" of "&amp;SUM('A1 Inputs'!EJ$4:EJ9)</f>
        <v/>
      </c>
      <c r="L112" t="inlineStr">
        <is>
          <t>assurance_reviews_planned, assurance_reviews_done</t>
        </is>
      </c>
    </row>
    <row r="113">
      <c r="A113" t="inlineStr">
        <is>
          <t>GOV-001</t>
        </is>
      </c>
      <c r="B113" t="inlineStr">
        <is>
          <t>Ageing certification approvals</t>
        </is>
      </c>
      <c r="C113" t="inlineStr">
        <is>
          <t>count</t>
        </is>
      </c>
      <c r="D113" t="inlineStr">
        <is>
          <t>Month end</t>
        </is>
      </c>
      <c r="E113" t="inlineStr">
        <is>
          <t>Certification approvals past due date</t>
        </is>
      </c>
      <c r="F113">
        <f>ROUND('A1 Inputs'!ER4,2)</f>
        <v/>
      </c>
      <c r="G113">
        <f>ROUND('A1 Inputs'!ER5,2)</f>
        <v/>
      </c>
      <c r="H113">
        <f>ROUND('A1 Inputs'!ER6,2)</f>
        <v/>
      </c>
      <c r="I113">
        <f>ROUND('A1 Inputs'!ER7,2)</f>
        <v/>
      </c>
      <c r="J113">
        <f>ROUND('A1 Inputs'!ER8,2)</f>
        <v/>
      </c>
      <c r="K113">
        <f>ROUND('A1 Inputs'!ER9,2)</f>
        <v/>
      </c>
      <c r="L113" t="inlineStr">
        <is>
          <t>cert_approvals_ageing</t>
        </is>
      </c>
    </row>
    <row r="114">
      <c r="A114" t="inlineStr">
        <is>
          <t>GOV-002</t>
        </is>
      </c>
      <c r="B114" t="inlineStr">
        <is>
          <t>KPI overrides</t>
        </is>
      </c>
      <c r="C114" t="inlineStr">
        <is>
          <t>count</t>
        </is>
      </c>
      <c r="D114" t="inlineStr">
        <is>
          <t>Month end</t>
        </is>
      </c>
      <c r="E114" t="inlineStr">
        <is>
          <t>KPI values overridden</t>
        </is>
      </c>
      <c r="F114">
        <f>ROUND('A1 Inputs'!ES4,2)</f>
        <v/>
      </c>
      <c r="G114">
        <f>ROUND('A1 Inputs'!ES5,2)</f>
        <v/>
      </c>
      <c r="H114">
        <f>ROUND('A1 Inputs'!ES6,2)</f>
        <v/>
      </c>
      <c r="I114">
        <f>ROUND('A1 Inputs'!ES7,2)</f>
        <v/>
      </c>
      <c r="J114">
        <f>ROUND('A1 Inputs'!ES8,2)</f>
        <v/>
      </c>
      <c r="K114">
        <f>ROUND('A1 Inputs'!ES9,2)</f>
        <v/>
      </c>
      <c r="L114" t="inlineStr">
        <is>
          <t>kpi_overrides</t>
        </is>
      </c>
    </row>
    <row r="115">
      <c r="A115" t="inlineStr">
        <is>
          <t>GOV-003</t>
        </is>
      </c>
      <c r="B115" t="inlineStr">
        <is>
          <t>Recurring data-quality issues</t>
        </is>
      </c>
      <c r="C115" t="inlineStr">
        <is>
          <t>count</t>
        </is>
      </c>
      <c r="D115" t="inlineStr">
        <is>
          <t>Month end</t>
        </is>
      </c>
      <c r="E115" t="inlineStr">
        <is>
          <t>Recurring data-quality issues</t>
        </is>
      </c>
      <c r="F115">
        <f>ROUND('A1 Inputs'!ET4,2)</f>
        <v/>
      </c>
      <c r="G115">
        <f>ROUND('A1 Inputs'!ET5,2)</f>
        <v/>
      </c>
      <c r="H115">
        <f>ROUND('A1 Inputs'!ET6,2)</f>
        <v/>
      </c>
      <c r="I115">
        <f>ROUND('A1 Inputs'!ET7,2)</f>
        <v/>
      </c>
      <c r="J115">
        <f>ROUND('A1 Inputs'!ET8,2)</f>
        <v/>
      </c>
      <c r="K115">
        <f>ROUND('A1 Inputs'!ET9,2)</f>
        <v/>
      </c>
      <c r="L115" t="inlineStr">
        <is>
          <t>dq_issues_recurring</t>
        </is>
      </c>
    </row>
    <row r="116">
      <c r="A116" t="inlineStr">
        <is>
          <t>GOV-004</t>
        </is>
      </c>
      <c r="B116" t="inlineStr">
        <is>
          <t>Open audit findings</t>
        </is>
      </c>
      <c r="C116" t="inlineStr">
        <is>
          <t>count</t>
        </is>
      </c>
      <c r="D116" t="inlineStr">
        <is>
          <t>Month end</t>
        </is>
      </c>
      <c r="E116" t="inlineStr">
        <is>
          <t>Open audit findings</t>
        </is>
      </c>
      <c r="F116">
        <f>ROUND('A1 Inputs'!EU4,2)</f>
        <v/>
      </c>
      <c r="G116">
        <f>ROUND('A1 Inputs'!EU5,2)</f>
        <v/>
      </c>
      <c r="H116">
        <f>ROUND('A1 Inputs'!EU6,2)</f>
        <v/>
      </c>
      <c r="I116">
        <f>ROUND('A1 Inputs'!EU7,2)</f>
        <v/>
      </c>
      <c r="J116">
        <f>ROUND('A1 Inputs'!EU8,2)</f>
        <v/>
      </c>
      <c r="K116">
        <f>ROUND('A1 Inputs'!EU9,2)</f>
        <v/>
      </c>
      <c r="L116" t="inlineStr">
        <is>
          <t>audit_findings_open</t>
        </is>
      </c>
    </row>
    <row r="117">
      <c r="A117" t="inlineStr">
        <is>
          <t>GOV-005</t>
        </is>
      </c>
      <c r="B117" t="inlineStr">
        <is>
          <t>Overdue assurance actions</t>
        </is>
      </c>
      <c r="C117" t="inlineStr">
        <is>
          <t>count</t>
        </is>
      </c>
      <c r="D117" t="inlineStr">
        <is>
          <t>Month end</t>
        </is>
      </c>
      <c r="E117" t="inlineStr">
        <is>
          <t>Overdue assurance actions</t>
        </is>
      </c>
      <c r="F117">
        <f>ROUND('A1 Inputs'!EV4,2)</f>
        <v/>
      </c>
      <c r="G117">
        <f>ROUND('A1 Inputs'!EV5,2)</f>
        <v/>
      </c>
      <c r="H117">
        <f>ROUND('A1 Inputs'!EV6,2)</f>
        <v/>
      </c>
      <c r="I117">
        <f>ROUND('A1 Inputs'!EV7,2)</f>
        <v/>
      </c>
      <c r="J117">
        <f>ROUND('A1 Inputs'!EV8,2)</f>
        <v/>
      </c>
      <c r="K117">
        <f>ROUND('A1 Inputs'!EV9,2)</f>
        <v/>
      </c>
      <c r="L117" t="inlineStr">
        <is>
          <t>assurance_actions_overdue</t>
        </is>
      </c>
    </row>
    <row r="118">
      <c r="A118" t="inlineStr">
        <is>
          <t>GOV-006</t>
        </is>
      </c>
      <c r="B118" t="inlineStr">
        <is>
          <t>Repeat findings</t>
        </is>
      </c>
      <c r="C118" t="inlineStr">
        <is>
          <t>count</t>
        </is>
      </c>
      <c r="D118" t="inlineStr">
        <is>
          <t>Month end</t>
        </is>
      </c>
      <c r="E118" t="inlineStr">
        <is>
          <t>Repeat audit findings</t>
        </is>
      </c>
      <c r="F118">
        <f>ROUND('A1 Inputs'!EW4,2)</f>
        <v/>
      </c>
      <c r="G118">
        <f>ROUND('A1 Inputs'!EW5,2)</f>
        <v/>
      </c>
      <c r="H118">
        <f>ROUND('A1 Inputs'!EW6,2)</f>
        <v/>
      </c>
      <c r="I118">
        <f>ROUND('A1 Inputs'!EW7,2)</f>
        <v/>
      </c>
      <c r="J118">
        <f>ROUND('A1 Inputs'!EW8,2)</f>
        <v/>
      </c>
      <c r="K118">
        <f>ROUND('A1 Inputs'!EW9,2)</f>
        <v/>
      </c>
      <c r="L118" t="inlineStr">
        <is>
          <t>repeat_findings</t>
        </is>
      </c>
    </row>
    <row r="119">
      <c r="A119" t="inlineStr">
        <is>
          <t>GOV-007</t>
        </is>
      </c>
      <c r="B119" t="inlineStr">
        <is>
          <t>Leadership KPIs affected by findings</t>
        </is>
      </c>
      <c r="C119" t="inlineStr">
        <is>
          <t>count</t>
        </is>
      </c>
      <c r="D119" t="inlineStr">
        <is>
          <t>Month end</t>
        </is>
      </c>
      <c r="E119" t="inlineStr">
        <is>
          <t>Leadership KPIs affected by open findings</t>
        </is>
      </c>
      <c r="F119">
        <f>ROUND('A1 Inputs'!EX4,2)</f>
        <v/>
      </c>
      <c r="G119">
        <f>ROUND('A1 Inputs'!EX5,2)</f>
        <v/>
      </c>
      <c r="H119">
        <f>ROUND('A1 Inputs'!EX6,2)</f>
        <v/>
      </c>
      <c r="I119">
        <f>ROUND('A1 Inputs'!EX7,2)</f>
        <v/>
      </c>
      <c r="J119">
        <f>ROUND('A1 Inputs'!EX8,2)</f>
        <v/>
      </c>
      <c r="K119">
        <f>ROUND('A1 Inputs'!EX9,2)</f>
        <v/>
      </c>
      <c r="L119" t="inlineStr">
        <is>
          <t>leadership_kpis_affected</t>
        </is>
      </c>
    </row>
    <row r="120">
      <c r="A120" t="inlineStr">
        <is>
          <t>TRU-004</t>
        </is>
      </c>
      <c r="B120" t="inlineStr">
        <is>
          <t>Open reconciliation breaks</t>
        </is>
      </c>
      <c r="C120" t="inlineStr">
        <is>
          <t>count</t>
        </is>
      </c>
      <c r="D120" t="inlineStr">
        <is>
          <t>Month end</t>
        </is>
      </c>
      <c r="E120" t="inlineStr">
        <is>
          <t>Open reconciliation breaks</t>
        </is>
      </c>
      <c r="F120">
        <f>ROUND('A1 Inputs'!FG4,2)</f>
        <v/>
      </c>
      <c r="G120">
        <f>ROUND('A1 Inputs'!FG5,2)</f>
        <v/>
      </c>
      <c r="H120">
        <f>ROUND('A1 Inputs'!FG6,2)</f>
        <v/>
      </c>
      <c r="I120">
        <f>ROUND('A1 Inputs'!FG7,2)</f>
        <v/>
      </c>
      <c r="J120">
        <f>ROUND('A1 Inputs'!FG8,2)</f>
        <v/>
      </c>
      <c r="K120">
        <f>ROUND('A1 Inputs'!FG9,2)</f>
        <v/>
      </c>
      <c r="L120" t="inlineStr">
        <is>
          <t>recon_breaks_open</t>
        </is>
      </c>
    </row>
    <row r="121">
      <c r="A121" t="inlineStr">
        <is>
          <t>TRU-006</t>
        </is>
      </c>
      <c r="B121" t="inlineStr">
        <is>
          <t>Overdue certifications</t>
        </is>
      </c>
      <c r="C121" t="inlineStr">
        <is>
          <t>count</t>
        </is>
      </c>
      <c r="D121" t="inlineStr">
        <is>
          <t>Month end</t>
        </is>
      </c>
      <c r="E121" t="inlineStr">
        <is>
          <t>Certifications overdue</t>
        </is>
      </c>
      <c r="F121">
        <f>ROUND('A1 Inputs'!FF4,2)</f>
        <v/>
      </c>
      <c r="G121">
        <f>ROUND('A1 Inputs'!FF5,2)</f>
        <v/>
      </c>
      <c r="H121">
        <f>ROUND('A1 Inputs'!FF6,2)</f>
        <v/>
      </c>
      <c r="I121">
        <f>ROUND('A1 Inputs'!FF7,2)</f>
        <v/>
      </c>
      <c r="J121">
        <f>ROUND('A1 Inputs'!FF8,2)</f>
        <v/>
      </c>
      <c r="K121">
        <f>ROUND('A1 Inputs'!FF9,2)</f>
        <v/>
      </c>
      <c r="L121" t="inlineStr">
        <is>
          <t>certifications_overdue</t>
        </is>
      </c>
    </row>
    <row r="122">
      <c r="A122" t="inlineStr">
        <is>
          <t>TRU-007</t>
        </is>
      </c>
      <c r="B122" t="inlineStr">
        <is>
          <t>Material reconciliation breaks</t>
        </is>
      </c>
      <c r="C122" t="inlineStr">
        <is>
          <t>count</t>
        </is>
      </c>
      <c r="D122" t="inlineStr">
        <is>
          <t>Month end</t>
        </is>
      </c>
      <c r="E122" t="inlineStr">
        <is>
          <t>Material reconciliation breaks</t>
        </is>
      </c>
      <c r="F122">
        <f>ROUND('A1 Inputs'!FH4,2)</f>
        <v/>
      </c>
      <c r="G122">
        <f>ROUND('A1 Inputs'!FH5,2)</f>
        <v/>
      </c>
      <c r="H122">
        <f>ROUND('A1 Inputs'!FH6,2)</f>
        <v/>
      </c>
      <c r="I122">
        <f>ROUND('A1 Inputs'!FH7,2)</f>
        <v/>
      </c>
      <c r="J122">
        <f>ROUND('A1 Inputs'!FH8,2)</f>
        <v/>
      </c>
      <c r="K122">
        <f>ROUND('A1 Inputs'!FH9,2)</f>
        <v/>
      </c>
      <c r="L122" t="inlineStr">
        <is>
          <t>recon_breaks_material</t>
        </is>
      </c>
    </row>
    <row r="123">
      <c r="A123" t="inlineStr">
        <is>
          <t>GOV-008</t>
        </is>
      </c>
      <c r="B123" t="inlineStr">
        <is>
          <t>Evidence completeness rate</t>
        </is>
      </c>
      <c r="C123" t="inlineStr">
        <is>
          <t>%</t>
        </is>
      </c>
      <c r="D123" t="inlineStr">
        <is>
          <t>Month end</t>
        </is>
      </c>
      <c r="E123" t="inlineStr">
        <is>
          <t>Evidence items complete ÷ Evidence items required × 100</t>
        </is>
      </c>
      <c r="F123">
        <f>ROUND(IF('A1 Inputs'!EY4=0,0,100*'A1 Inputs'!EZ4/'A1 Inputs'!EY4),2)</f>
        <v/>
      </c>
      <c r="G123">
        <f>ROUND(IF('A1 Inputs'!EY5=0,0,100*'A1 Inputs'!EZ5/'A1 Inputs'!EY5),2)</f>
        <v/>
      </c>
      <c r="H123">
        <f>ROUND(IF('A1 Inputs'!EY6=0,0,100*'A1 Inputs'!EZ6/'A1 Inputs'!EY6),2)</f>
        <v/>
      </c>
      <c r="I123">
        <f>ROUND(IF('A1 Inputs'!EY7=0,0,100*'A1 Inputs'!EZ7/'A1 Inputs'!EY7),2)</f>
        <v/>
      </c>
      <c r="J123">
        <f>ROUND(IF('A1 Inputs'!EY8=0,0,100*'A1 Inputs'!EZ8/'A1 Inputs'!EY8),2)</f>
        <v/>
      </c>
      <c r="K123">
        <f>ROUND(IF('A1 Inputs'!EY9=0,0,100*'A1 Inputs'!EZ9/'A1 Inputs'!EY9),2)</f>
        <v/>
      </c>
      <c r="L123" t="inlineStr">
        <is>
          <t>evidence_required, evidence_complete</t>
        </is>
      </c>
    </row>
    <row r="124">
      <c r="A124" t="inlineStr">
        <is>
          <t>GOV-009</t>
        </is>
      </c>
      <c r="B124" t="inlineStr">
        <is>
          <t>Average finding-closure time</t>
        </is>
      </c>
      <c r="C124" t="inlineStr">
        <is>
          <t>days</t>
        </is>
      </c>
      <c r="D124" t="inlineStr">
        <is>
          <t>Year to date</t>
        </is>
      </c>
      <c r="E124" t="inlineStr">
        <is>
          <t>Days taken to close findings since April ÷ Findings closed since April</t>
        </is>
      </c>
      <c r="F124">
        <f>ROUND(IF(SUM('A1 Inputs'!FA$4:FA4)=0,0,SUM('A1 Inputs'!FB$4:FB4)/SUM('A1 Inputs'!FA$4:FA4)),2)</f>
        <v/>
      </c>
      <c r="G124">
        <f>ROUND(IF(SUM('A1 Inputs'!FA$4:FA5)=0,0,SUM('A1 Inputs'!FB$4:FB5)/SUM('A1 Inputs'!FA$4:FA5)),2)</f>
        <v/>
      </c>
      <c r="H124">
        <f>ROUND(IF(SUM('A1 Inputs'!FA$4:FA6)=0,0,SUM('A1 Inputs'!FB$4:FB6)/SUM('A1 Inputs'!FA$4:FA6)),2)</f>
        <v/>
      </c>
      <c r="I124">
        <f>ROUND(IF(SUM('A1 Inputs'!FA$4:FA7)=0,0,SUM('A1 Inputs'!FB$4:FB7)/SUM('A1 Inputs'!FA$4:FA7)),2)</f>
        <v/>
      </c>
      <c r="J124">
        <f>ROUND(IF(SUM('A1 Inputs'!FA$4:FA8)=0,0,SUM('A1 Inputs'!FB$4:FB8)/SUM('A1 Inputs'!FA$4:FA8)),2)</f>
        <v/>
      </c>
      <c r="K124">
        <f>ROUND(IF(SUM('A1 Inputs'!FA$4:FA9)=0,0,SUM('A1 Inputs'!FB$4:FB9)/SUM('A1 Inputs'!FA$4:FA9)),2)</f>
        <v/>
      </c>
      <c r="L124" t="inlineStr">
        <is>
          <t>findings_closed, finding_closure_days</t>
        </is>
      </c>
    </row>
    <row r="125">
      <c r="A125" t="inlineStr">
        <is>
          <t>TRU-001</t>
        </is>
      </c>
      <c r="B125" t="inlineStr">
        <is>
          <t>Certified KPI percentage</t>
        </is>
      </c>
      <c r="C125" t="inlineStr">
        <is>
          <t>%</t>
        </is>
      </c>
      <c r="D125" t="inlineStr">
        <is>
          <t>Month end</t>
        </is>
      </c>
      <c r="E125" t="inlineStr">
        <is>
          <t>Leadership KPI values certified ÷ Leadership KPI values reported × 100</t>
        </is>
      </c>
      <c r="F125">
        <f>ROUND(IF('A1 Inputs'!FC4=0,0,100*'A1 Inputs'!FD4/'A1 Inputs'!FC4),2)</f>
        <v/>
      </c>
      <c r="G125">
        <f>ROUND(IF('A1 Inputs'!FC5=0,0,100*'A1 Inputs'!FD5/'A1 Inputs'!FC5),2)</f>
        <v/>
      </c>
      <c r="H125">
        <f>ROUND(IF('A1 Inputs'!FC6=0,0,100*'A1 Inputs'!FD6/'A1 Inputs'!FC6),2)</f>
        <v/>
      </c>
      <c r="I125">
        <f>ROUND(IF('A1 Inputs'!FC7=0,0,100*'A1 Inputs'!FD7/'A1 Inputs'!FC7),2)</f>
        <v/>
      </c>
      <c r="J125">
        <f>ROUND(IF('A1 Inputs'!FC8=0,0,100*'A1 Inputs'!FD8/'A1 Inputs'!FC8),2)</f>
        <v/>
      </c>
      <c r="K125">
        <f>ROUND(IF('A1 Inputs'!FC9=0,0,100*'A1 Inputs'!FD9/'A1 Inputs'!FC9),2)</f>
        <v/>
      </c>
      <c r="L125" t="inlineStr">
        <is>
          <t>kpis_leadership, kpis_certified</t>
        </is>
      </c>
    </row>
    <row r="126">
      <c r="A126" t="inlineStr">
        <is>
          <t>TRU-002</t>
        </is>
      </c>
      <c r="B126" t="inlineStr">
        <is>
          <t>Uncertified KPI count</t>
        </is>
      </c>
      <c r="C126" t="inlineStr">
        <is>
          <t>count</t>
        </is>
      </c>
      <c r="D126" t="inlineStr">
        <is>
          <t>Month end</t>
        </is>
      </c>
      <c r="E126" t="inlineStr">
        <is>
          <t>Leadership KPI values reported − Values certified</t>
        </is>
      </c>
      <c r="F126">
        <f>ROUND('A1 Inputs'!FC4-'A1 Inputs'!FD4,2)</f>
        <v/>
      </c>
      <c r="G126">
        <f>ROUND('A1 Inputs'!FC5-'A1 Inputs'!FD5,2)</f>
        <v/>
      </c>
      <c r="H126">
        <f>ROUND('A1 Inputs'!FC6-'A1 Inputs'!FD6,2)</f>
        <v/>
      </c>
      <c r="I126">
        <f>ROUND('A1 Inputs'!FC7-'A1 Inputs'!FD7,2)</f>
        <v/>
      </c>
      <c r="J126">
        <f>ROUND('A1 Inputs'!FC8-'A1 Inputs'!FD8,2)</f>
        <v/>
      </c>
      <c r="K126">
        <f>ROUND('A1 Inputs'!FC9-'A1 Inputs'!FD9,2)</f>
        <v/>
      </c>
      <c r="L126" t="inlineStr">
        <is>
          <t>kpis_leadership, kpis_certified</t>
        </is>
      </c>
    </row>
    <row r="127">
      <c r="A127" t="inlineStr">
        <is>
          <t>TRU-005</t>
        </is>
      </c>
      <c r="B127" t="inlineStr">
        <is>
          <t>KPI certification coverage</t>
        </is>
      </c>
      <c r="C127" t="inlineStr">
        <is>
          <t>%</t>
        </is>
      </c>
      <c r="D127" t="inlineStr">
        <is>
          <t>Month end</t>
        </is>
      </c>
      <c r="E127" t="inlineStr">
        <is>
          <t>Leadership KPI values inside the certification process ÷ Values reported × 100</t>
        </is>
      </c>
      <c r="F127">
        <f>ROUND(IF('A1 Inputs'!FC4=0,0,100*'A1 Inputs'!FE4/'A1 Inputs'!FC4),2)</f>
        <v/>
      </c>
      <c r="G127">
        <f>ROUND(IF('A1 Inputs'!FC5=0,0,100*'A1 Inputs'!FE5/'A1 Inputs'!FC5),2)</f>
        <v/>
      </c>
      <c r="H127">
        <f>ROUND(IF('A1 Inputs'!FC6=0,0,100*'A1 Inputs'!FE6/'A1 Inputs'!FC6),2)</f>
        <v/>
      </c>
      <c r="I127">
        <f>ROUND(IF('A1 Inputs'!FC7=0,0,100*'A1 Inputs'!FE7/'A1 Inputs'!FC7),2)</f>
        <v/>
      </c>
      <c r="J127">
        <f>ROUND(IF('A1 Inputs'!FC8=0,0,100*'A1 Inputs'!FE8/'A1 Inputs'!FC8),2)</f>
        <v/>
      </c>
      <c r="K127">
        <f>ROUND(IF('A1 Inputs'!FC9=0,0,100*'A1 Inputs'!FE9/'A1 Inputs'!FC9),2)</f>
        <v/>
      </c>
      <c r="L127" t="inlineStr">
        <is>
          <t>kpis_leadership, kpis_in_scope</t>
        </is>
      </c>
    </row>
    <row r="128">
      <c r="A128" t="inlineStr">
        <is>
          <t>TRU-008</t>
        </is>
      </c>
      <c r="B128" t="inlineStr">
        <is>
          <t>Source-to-Lake reconciliation rate</t>
        </is>
      </c>
      <c r="C128" t="inlineStr">
        <is>
          <t>%</t>
        </is>
      </c>
      <c r="D128" t="inlineStr">
        <is>
          <t>Month</t>
        </is>
      </c>
      <c r="E128" t="inlineStr">
        <is>
          <t>Records reconciled to source ÷ Records loaded × 100</t>
        </is>
      </c>
      <c r="F128">
        <f>ROUND(IF('A1 Inputs'!FI4=0,0,100*'A1 Inputs'!FJ4/'A1 Inputs'!FI4),2)</f>
        <v/>
      </c>
      <c r="G128">
        <f>ROUND(IF('A1 Inputs'!FI5=0,0,100*'A1 Inputs'!FJ5/'A1 Inputs'!FI5),2)</f>
        <v/>
      </c>
      <c r="H128">
        <f>ROUND(IF('A1 Inputs'!FI6=0,0,100*'A1 Inputs'!FJ6/'A1 Inputs'!FI6),2)</f>
        <v/>
      </c>
      <c r="I128">
        <f>ROUND(IF('A1 Inputs'!FI7=0,0,100*'A1 Inputs'!FJ7/'A1 Inputs'!FI7),2)</f>
        <v/>
      </c>
      <c r="J128">
        <f>ROUND(IF('A1 Inputs'!FI8=0,0,100*'A1 Inputs'!FJ8/'A1 Inputs'!FI8),2)</f>
        <v/>
      </c>
      <c r="K128">
        <f>ROUND(IF('A1 Inputs'!FI9=0,0,100*'A1 Inputs'!FJ9/'A1 Inputs'!FI9),2)</f>
        <v/>
      </c>
      <c r="L128" t="inlineStr">
        <is>
          <t>lake_records_loaded, lake_records_reconciled</t>
        </is>
      </c>
    </row>
    <row r="129">
      <c r="A129" t="inlineStr">
        <is>
          <t>TRU-009</t>
        </is>
      </c>
      <c r="B129" t="inlineStr">
        <is>
          <t>Flash-to-MIS reconciliation rate</t>
        </is>
      </c>
      <c r="C129" t="inlineStr">
        <is>
          <t>%</t>
        </is>
      </c>
      <c r="D129" t="inlineStr">
        <is>
          <t>Month</t>
        </is>
      </c>
      <c r="E129" t="inlineStr">
        <is>
          <t>Flash lines matching MIS ÷ Flash report lines × 100</t>
        </is>
      </c>
      <c r="F129">
        <f>ROUND(IF('A1 Inputs'!FK4=0,0,100*'A1 Inputs'!FL4/'A1 Inputs'!FK4),2)</f>
        <v/>
      </c>
      <c r="G129">
        <f>ROUND(IF('A1 Inputs'!FK5=0,0,100*'A1 Inputs'!FL5/'A1 Inputs'!FK5),2)</f>
        <v/>
      </c>
      <c r="H129">
        <f>ROUND(IF('A1 Inputs'!FK6=0,0,100*'A1 Inputs'!FL6/'A1 Inputs'!FK6),2)</f>
        <v/>
      </c>
      <c r="I129">
        <f>ROUND(IF('A1 Inputs'!FK7=0,0,100*'A1 Inputs'!FL7/'A1 Inputs'!FK7),2)</f>
        <v/>
      </c>
      <c r="J129">
        <f>ROUND(IF('A1 Inputs'!FK8=0,0,100*'A1 Inputs'!FL8/'A1 Inputs'!FK8),2)</f>
        <v/>
      </c>
      <c r="K129">
        <f>ROUND(IF('A1 Inputs'!FK9=0,0,100*'A1 Inputs'!FL9/'A1 Inputs'!FK9),2)</f>
        <v/>
      </c>
      <c r="L129" t="inlineStr">
        <is>
          <t>mis_lines_total, mis_lines_matched</t>
        </is>
      </c>
    </row>
    <row r="130">
      <c r="A130" t="inlineStr">
        <is>
          <t>TRU-010</t>
        </is>
      </c>
      <c r="B130" t="inlineStr">
        <is>
          <t>Flash-to-close variance</t>
        </is>
      </c>
      <c r="C130" t="inlineStr">
        <is>
          <t>%</t>
        </is>
      </c>
      <c r="D130" t="inlineStr">
        <is>
          <t>Month</t>
        </is>
      </c>
      <c r="E130" t="inlineStr">
        <is>
          <t>|Flash revenue − Closed revenue| ÷ Closed revenue × 100</t>
        </is>
      </c>
      <c r="F130">
        <f>ROUND(IF('A1 Inputs'!AU4=0,0,100*ABS('A1 Inputs'!CI4-'A1 Inputs'!AU4)/'A1 Inputs'!AU4),2)</f>
        <v/>
      </c>
      <c r="G130">
        <f>ROUND(IF('A1 Inputs'!AU5=0,0,100*ABS('A1 Inputs'!CI5-'A1 Inputs'!AU5)/'A1 Inputs'!AU5),2)</f>
        <v/>
      </c>
      <c r="H130">
        <f>ROUND(IF('A1 Inputs'!AU6=0,0,100*ABS('A1 Inputs'!CI6-'A1 Inputs'!AU6)/'A1 Inputs'!AU6),2)</f>
        <v/>
      </c>
      <c r="I130">
        <f>ROUND(IF('A1 Inputs'!AU7=0,0,100*ABS('A1 Inputs'!CI7-'A1 Inputs'!AU7)/'A1 Inputs'!AU7),2)</f>
        <v/>
      </c>
      <c r="J130">
        <f>ROUND(IF('A1 Inputs'!AU8=0,0,100*ABS('A1 Inputs'!CI8-'A1 Inputs'!AU8)/'A1 Inputs'!AU8),2)</f>
        <v/>
      </c>
      <c r="K130">
        <f>ROUND(IF('A1 Inputs'!AU9=0,0,100*ABS('A1 Inputs'!CI9-'A1 Inputs'!AU9)/'A1 Inputs'!AU9),2)</f>
        <v/>
      </c>
      <c r="L130" t="inlineStr">
        <is>
          <t>revenue_k, flash_revenue_k</t>
        </is>
      </c>
    </row>
    <row r="131">
      <c r="A131" t="inlineStr">
        <is>
          <t>TRU-003</t>
        </is>
      </c>
      <c r="B131" t="inlineStr">
        <is>
          <t>Variance against Board number (EBITDA)</t>
        </is>
      </c>
      <c r="C131" t="inlineStr">
        <is>
          <t>%</t>
        </is>
      </c>
      <c r="D131" t="inlineStr">
        <is>
          <t>Month</t>
        </is>
      </c>
      <c r="E131" t="inlineStr">
        <is>
          <t>(Board-pack EBITDA − Certified EBITDA) ÷ Certified EBITDA × 100</t>
        </is>
      </c>
      <c r="F131">
        <f>ROUND(IF('A1 Inputs'!FV4=0,0,100*('A1 Inputs'!CH4-'A1 Inputs'!FV4)/'A1 Inputs'!FV4),2)</f>
        <v/>
      </c>
      <c r="G131">
        <f>ROUND(IF('A1 Inputs'!FV5=0,0,100*('A1 Inputs'!CH5-'A1 Inputs'!FV5)/'A1 Inputs'!FV5),2)</f>
        <v/>
      </c>
      <c r="H131">
        <f>ROUND(IF('A1 Inputs'!FV6=0,0,100*('A1 Inputs'!CH6-'A1 Inputs'!FV6)/'A1 Inputs'!FV6),2)</f>
        <v/>
      </c>
      <c r="I131">
        <f>ROUND(IF('A1 Inputs'!FV7=0,0,100*('A1 Inputs'!CH7-'A1 Inputs'!FV7)/'A1 Inputs'!FV7),2)</f>
        <v/>
      </c>
      <c r="J131">
        <f>ROUND(IF('A1 Inputs'!FV8=0,0,100*('A1 Inputs'!CH8-'A1 Inputs'!FV8)/'A1 Inputs'!FV8),2)</f>
        <v/>
      </c>
      <c r="K131">
        <f>ROUND(IF('A1 Inputs'!FV9=0,0,100*('A1 Inputs'!CH9-'A1 Inputs'!FV9)/'A1 Inputs'!FV9),2)</f>
        <v/>
      </c>
      <c r="L131" t="inlineStr">
        <is>
          <t>board_ebitda_k, ebitda_k</t>
        </is>
      </c>
    </row>
    <row r="132">
      <c r="A132" t="inlineStr">
        <is>
          <t>TRU-011</t>
        </is>
      </c>
      <c r="B132" t="inlineStr">
        <is>
          <t>Largest entity variance against Board numbers</t>
        </is>
      </c>
      <c r="C132" t="inlineStr">
        <is>
          <t>%</t>
        </is>
      </c>
      <c r="D132" t="inlineStr">
        <is>
          <t>Month</t>
        </is>
      </c>
      <c r="E132" t="inlineStr">
        <is>
          <t>Highest of the entities' |Board-pack EBITDA − Certified EBITDA| ÷ Certified EBITDA × 100</t>
        </is>
      </c>
      <c r="F132">
        <f>ROUND(MAX(IF(('Entity Inputs'!AU4-'Entity Inputs'!V4-'Entity Inputs'!X4-'Entity Inputs'!BY4)=0,0,100*ABS('Entity Inputs'!CH4-('Entity Inputs'!AU4-'Entity Inputs'!V4-'Entity Inputs'!X4-'Entity Inputs'!BY4))/('Entity Inputs'!AU4-'Entity Inputs'!V4-'Entity Inputs'!X4-'Entity Inputs'!BY4)),IF(('Entity Inputs'!AU10-'Entity Inputs'!V10-'Entity Inputs'!X10-'Entity Inputs'!BY10)=0,0,100*ABS('Entity Inputs'!CH10-('Entity Inputs'!AU10-'Entity Inputs'!V10-'Entity Inputs'!X10-'Entity Inputs'!BY10))/('Entity Inputs'!AU10-'Entity Inputs'!V10-'Entity Inputs'!X10-'Entity Inputs'!BY10))),2)</f>
        <v/>
      </c>
      <c r="G132">
        <f>ROUND(MAX(IF(('Entity Inputs'!AU5-'Entity Inputs'!V5-'Entity Inputs'!X5-'Entity Inputs'!BY5)=0,0,100*ABS('Entity Inputs'!CH5-('Entity Inputs'!AU5-'Entity Inputs'!V5-'Entity Inputs'!X5-'Entity Inputs'!BY5))/('Entity Inputs'!AU5-'Entity Inputs'!V5-'Entity Inputs'!X5-'Entity Inputs'!BY5)),IF(('Entity Inputs'!AU11-'Entity Inputs'!V11-'Entity Inputs'!X11-'Entity Inputs'!BY11)=0,0,100*ABS('Entity Inputs'!CH11-('Entity Inputs'!AU11-'Entity Inputs'!V11-'Entity Inputs'!X11-'Entity Inputs'!BY11))/('Entity Inputs'!AU11-'Entity Inputs'!V11-'Entity Inputs'!X11-'Entity Inputs'!BY11))),2)</f>
        <v/>
      </c>
      <c r="H132">
        <f>ROUND(MAX(IF(('Entity Inputs'!AU6-'Entity Inputs'!V6-'Entity Inputs'!X6-'Entity Inputs'!BY6)=0,0,100*ABS('Entity Inputs'!CH6-('Entity Inputs'!AU6-'Entity Inputs'!V6-'Entity Inputs'!X6-'Entity Inputs'!BY6))/('Entity Inputs'!AU6-'Entity Inputs'!V6-'Entity Inputs'!X6-'Entity Inputs'!BY6)),IF(('Entity Inputs'!AU12-'Entity Inputs'!V12-'Entity Inputs'!X12-'Entity Inputs'!BY12)=0,0,100*ABS('Entity Inputs'!CH12-('Entity Inputs'!AU12-'Entity Inputs'!V12-'Entity Inputs'!X12-'Entity Inputs'!BY12))/('Entity Inputs'!AU12-'Entity Inputs'!V12-'Entity Inputs'!X12-'Entity Inputs'!BY12))),2)</f>
        <v/>
      </c>
      <c r="I132">
        <f>ROUND(MAX(IF(('Entity Inputs'!AU7-'Entity Inputs'!V7-'Entity Inputs'!X7-'Entity Inputs'!BY7)=0,0,100*ABS('Entity Inputs'!CH7-('Entity Inputs'!AU7-'Entity Inputs'!V7-'Entity Inputs'!X7-'Entity Inputs'!BY7))/('Entity Inputs'!AU7-'Entity Inputs'!V7-'Entity Inputs'!X7-'Entity Inputs'!BY7)),IF(('Entity Inputs'!AU13-'Entity Inputs'!V13-'Entity Inputs'!X13-'Entity Inputs'!BY13)=0,0,100*ABS('Entity Inputs'!CH13-('Entity Inputs'!AU13-'Entity Inputs'!V13-'Entity Inputs'!X13-'Entity Inputs'!BY13))/('Entity Inputs'!AU13-'Entity Inputs'!V13-'Entity Inputs'!X13-'Entity Inputs'!BY13))),2)</f>
        <v/>
      </c>
      <c r="J132">
        <f>ROUND(MAX(IF(('Entity Inputs'!AU8-'Entity Inputs'!V8-'Entity Inputs'!X8-'Entity Inputs'!BY8)=0,0,100*ABS('Entity Inputs'!CH8-('Entity Inputs'!AU8-'Entity Inputs'!V8-'Entity Inputs'!X8-'Entity Inputs'!BY8))/('Entity Inputs'!AU8-'Entity Inputs'!V8-'Entity Inputs'!X8-'Entity Inputs'!BY8)),IF(('Entity Inputs'!AU14-'Entity Inputs'!V14-'Entity Inputs'!X14-'Entity Inputs'!BY14)=0,0,100*ABS('Entity Inputs'!CH14-('Entity Inputs'!AU14-'Entity Inputs'!V14-'Entity Inputs'!X14-'Entity Inputs'!BY14))/('Entity Inputs'!AU14-'Entity Inputs'!V14-'Entity Inputs'!X14-'Entity Inputs'!BY14))),2)</f>
        <v/>
      </c>
      <c r="K132">
        <f>ROUND(MAX(IF(('Entity Inputs'!AU9-'Entity Inputs'!V9-'Entity Inputs'!X9-'Entity Inputs'!BY9)=0,0,100*ABS('Entity Inputs'!CH9-('Entity Inputs'!AU9-'Entity Inputs'!V9-'Entity Inputs'!X9-'Entity Inputs'!BY9))/('Entity Inputs'!AU9-'Entity Inputs'!V9-'Entity Inputs'!X9-'Entity Inputs'!BY9)),IF(('Entity Inputs'!AU15-'Entity Inputs'!V15-'Entity Inputs'!X15-'Entity Inputs'!BY15)=0,0,100*ABS('Entity Inputs'!CH15-('Entity Inputs'!AU15-'Entity Inputs'!V15-'Entity Inputs'!X15-'Entity Inputs'!BY15))/('Entity Inputs'!AU15-'Entity Inputs'!V15-'Entity Inputs'!X15-'Entity Inputs'!BY15))),2)</f>
        <v/>
      </c>
      <c r="L132" t="inlineStr">
        <is>
          <t>variable_cost_k, fixed_cost_k, revenue_k, overhead_k, board_ebitda_k</t>
        </is>
      </c>
    </row>
    <row r="133">
      <c r="A133" t="inlineStr">
        <is>
          <t>EFF-002</t>
        </is>
      </c>
      <c r="B133" t="inlineStr">
        <is>
          <t>Open critical alerts</t>
        </is>
      </c>
      <c r="C133" t="inlineStr">
        <is>
          <t>count</t>
        </is>
      </c>
      <c r="D133" t="inlineStr">
        <is>
          <t>Month end</t>
        </is>
      </c>
      <c r="E133" t="inlineStr">
        <is>
          <t>Open critical alerts</t>
        </is>
      </c>
      <c r="F133">
        <f>ROUND('A1 Inputs'!FM4,2)</f>
        <v/>
      </c>
      <c r="G133">
        <f>ROUND('A1 Inputs'!FM5,2)</f>
        <v/>
      </c>
      <c r="H133">
        <f>ROUND('A1 Inputs'!FM6,2)</f>
        <v/>
      </c>
      <c r="I133">
        <f>ROUND('A1 Inputs'!FM7,2)</f>
        <v/>
      </c>
      <c r="J133">
        <f>ROUND('A1 Inputs'!FM8,2)</f>
        <v/>
      </c>
      <c r="K133">
        <f>ROUND('A1 Inputs'!FM9,2)</f>
        <v/>
      </c>
      <c r="L133" t="inlineStr">
        <is>
          <t>critical_alerts_open</t>
        </is>
      </c>
    </row>
    <row r="134">
      <c r="A134" t="inlineStr">
        <is>
          <t>EFF-006</t>
        </is>
      </c>
      <c r="B134" t="inlineStr">
        <is>
          <t>Alerts without accepted owners</t>
        </is>
      </c>
      <c r="C134" t="inlineStr">
        <is>
          <t>count</t>
        </is>
      </c>
      <c r="D134" t="inlineStr">
        <is>
          <t>Month end</t>
        </is>
      </c>
      <c r="E134" t="inlineStr">
        <is>
          <t>Alerts with no accepted owner</t>
        </is>
      </c>
      <c r="F134">
        <f>ROUND('A1 Inputs'!FN4,2)</f>
        <v/>
      </c>
      <c r="G134">
        <f>ROUND('A1 Inputs'!FN5,2)</f>
        <v/>
      </c>
      <c r="H134">
        <f>ROUND('A1 Inputs'!FN6,2)</f>
        <v/>
      </c>
      <c r="I134">
        <f>ROUND('A1 Inputs'!FN7,2)</f>
        <v/>
      </c>
      <c r="J134">
        <f>ROUND('A1 Inputs'!FN8,2)</f>
        <v/>
      </c>
      <c r="K134">
        <f>ROUND('A1 Inputs'!FN9,2)</f>
        <v/>
      </c>
      <c r="L134" t="inlineStr">
        <is>
          <t>alerts_unowned</t>
        </is>
      </c>
    </row>
    <row r="135">
      <c r="A135" t="inlineStr">
        <is>
          <t>EFF-007</t>
        </is>
      </c>
      <c r="B135" t="inlineStr">
        <is>
          <t>Overdue actions</t>
        </is>
      </c>
      <c r="C135" t="inlineStr">
        <is>
          <t>count</t>
        </is>
      </c>
      <c r="D135" t="inlineStr">
        <is>
          <t>Month end</t>
        </is>
      </c>
      <c r="E135" t="inlineStr">
        <is>
          <t>Overdue actions</t>
        </is>
      </c>
      <c r="F135">
        <f>ROUND('A1 Inputs'!FO4,2)</f>
        <v/>
      </c>
      <c r="G135">
        <f>ROUND('A1 Inputs'!FO5,2)</f>
        <v/>
      </c>
      <c r="H135">
        <f>ROUND('A1 Inputs'!FO6,2)</f>
        <v/>
      </c>
      <c r="I135">
        <f>ROUND('A1 Inputs'!FO7,2)</f>
        <v/>
      </c>
      <c r="J135">
        <f>ROUND('A1 Inputs'!FO8,2)</f>
        <v/>
      </c>
      <c r="K135">
        <f>ROUND('A1 Inputs'!FO9,2)</f>
        <v/>
      </c>
      <c r="L135" t="inlineStr">
        <is>
          <t>actions_overdue</t>
        </is>
      </c>
    </row>
    <row r="136">
      <c r="A136" t="inlineStr">
        <is>
          <t>EFF-008</t>
        </is>
      </c>
      <c r="B136" t="inlineStr">
        <is>
          <t>Average resolution time</t>
        </is>
      </c>
      <c r="C136" t="inlineStr">
        <is>
          <t>days</t>
        </is>
      </c>
      <c r="D136" t="inlineStr">
        <is>
          <t>Month</t>
        </is>
      </c>
      <c r="E136" t="inlineStr">
        <is>
          <t>Days taken to resolve alerts ÷ Alerts resolved</t>
        </is>
      </c>
      <c r="F136">
        <f>ROUND(IF('A1 Inputs'!FP4=0,0,'A1 Inputs'!FQ4/'A1 Inputs'!FP4),2)</f>
        <v/>
      </c>
      <c r="G136">
        <f>ROUND(IF('A1 Inputs'!FP5=0,0,'A1 Inputs'!FQ5/'A1 Inputs'!FP5),2)</f>
        <v/>
      </c>
      <c r="H136">
        <f>ROUND(IF('A1 Inputs'!FP6=0,0,'A1 Inputs'!FQ6/'A1 Inputs'!FP6),2)</f>
        <v/>
      </c>
      <c r="I136">
        <f>ROUND(IF('A1 Inputs'!FP7=0,0,'A1 Inputs'!FQ7/'A1 Inputs'!FP7),2)</f>
        <v/>
      </c>
      <c r="J136">
        <f>ROUND(IF('A1 Inputs'!FP8=0,0,'A1 Inputs'!FQ8/'A1 Inputs'!FP8),2)</f>
        <v/>
      </c>
      <c r="K136">
        <f>ROUND(IF('A1 Inputs'!FP9=0,0,'A1 Inputs'!FQ9/'A1 Inputs'!FP9),2)</f>
        <v/>
      </c>
      <c r="L136" t="inlineStr">
        <is>
          <t>alerts_resolved, alert_resolution_days</t>
        </is>
      </c>
    </row>
    <row r="137">
      <c r="A137" t="inlineStr">
        <is>
          <t>EFF-009</t>
        </is>
      </c>
      <c r="B137" t="inlineStr">
        <is>
          <t>Closed escalations, last 30 days</t>
        </is>
      </c>
      <c r="C137" t="inlineStr">
        <is>
          <t>count</t>
        </is>
      </c>
      <c r="D137" t="inlineStr">
        <is>
          <t>Month</t>
        </is>
      </c>
      <c r="E137" t="inlineStr">
        <is>
          <t>Escalations closed in the month</t>
        </is>
      </c>
      <c r="F137">
        <f>ROUND('A1 Inputs'!FR4,2)</f>
        <v/>
      </c>
      <c r="G137">
        <f>ROUND('A1 Inputs'!FR5,2)</f>
        <v/>
      </c>
      <c r="H137">
        <f>ROUND('A1 Inputs'!FR6,2)</f>
        <v/>
      </c>
      <c r="I137">
        <f>ROUND('A1 Inputs'!FR7,2)</f>
        <v/>
      </c>
      <c r="J137">
        <f>ROUND('A1 Inputs'!FR8,2)</f>
        <v/>
      </c>
      <c r="K137">
        <f>ROUND('A1 Inputs'!FR9,2)</f>
        <v/>
      </c>
      <c r="L137" t="inlineStr">
        <is>
          <t>escalations_closed</t>
        </is>
      </c>
    </row>
    <row r="138">
      <c r="A138" t="inlineStr">
        <is>
          <t>EFF-010</t>
        </is>
      </c>
      <c r="B138" t="inlineStr">
        <is>
          <t>Repeat issues, last 90 days</t>
        </is>
      </c>
      <c r="C138" t="inlineStr">
        <is>
          <t>count</t>
        </is>
      </c>
      <c r="D138" t="inlineStr">
        <is>
          <t>Last 3 months</t>
        </is>
      </c>
      <c r="E138" t="inlineStr">
        <is>
          <t>Sum of repeat issues over the last 3 months</t>
        </is>
      </c>
      <c r="F138">
        <f>ROUND(SUM('A1 Inputs'!FS4:FS4),2)</f>
        <v/>
      </c>
      <c r="G138">
        <f>ROUND(SUM('A1 Inputs'!FS4:FS5),2)</f>
        <v/>
      </c>
      <c r="H138">
        <f>ROUND(SUM('A1 Inputs'!FS4:FS6),2)</f>
        <v/>
      </c>
      <c r="I138">
        <f>ROUND(SUM('A1 Inputs'!FS5:FS7),2)</f>
        <v/>
      </c>
      <c r="J138">
        <f>ROUND(SUM('A1 Inputs'!FS6:FS8),2)</f>
        <v/>
      </c>
      <c r="K138">
        <f>ROUND(SUM('A1 Inputs'!FS7:FS9),2)</f>
        <v/>
      </c>
      <c r="L138" t="inlineStr">
        <is>
          <t>repeat_issues</t>
        </is>
      </c>
    </row>
    <row r="139">
      <c r="A139" t="inlineStr">
        <is>
          <t>EFF-011</t>
        </is>
      </c>
      <c r="B139" t="inlineStr">
        <is>
          <t>Root causes eliminated YTD</t>
        </is>
      </c>
      <c r="C139" t="inlineStr">
        <is>
          <t>text</t>
        </is>
      </c>
      <c r="D139" t="inlineStr">
        <is>
          <t>Year to date</t>
        </is>
      </c>
      <c r="E139" t="inlineStr">
        <is>
          <t>Root causes eliminated since April, of those identified since April</t>
        </is>
      </c>
      <c r="F139">
        <f>SUM('A1 Inputs'!FU$4:FU4)&amp;" of "&amp;SUM('A1 Inputs'!FT$4:FT4)</f>
        <v/>
      </c>
      <c r="G139">
        <f>SUM('A1 Inputs'!FU$4:FU5)&amp;" of "&amp;SUM('A1 Inputs'!FT$4:FT5)</f>
        <v/>
      </c>
      <c r="H139">
        <f>SUM('A1 Inputs'!FU$4:FU6)&amp;" of "&amp;SUM('A1 Inputs'!FT$4:FT6)</f>
        <v/>
      </c>
      <c r="I139">
        <f>SUM('A1 Inputs'!FU$4:FU7)&amp;" of "&amp;SUM('A1 Inputs'!FT$4:FT7)</f>
        <v/>
      </c>
      <c r="J139">
        <f>SUM('A1 Inputs'!FU$4:FU8)&amp;" of "&amp;SUM('A1 Inputs'!FT$4:FT8)</f>
        <v/>
      </c>
      <c r="K139">
        <f>SUM('A1 Inputs'!FU$4:FU9)&amp;" of "&amp;SUM('A1 Inputs'!FT$4:FT9)</f>
        <v/>
      </c>
      <c r="L139" t="inlineStr">
        <is>
          <t>root_causes_identified, root_causes_eliminated</t>
        </is>
      </c>
    </row>
    <row r="140">
      <c r="A140" t="inlineStr">
        <is>
          <t>SIG-004</t>
        </is>
      </c>
      <c r="B140" t="inlineStr">
        <is>
          <t>Collections slippage</t>
        </is>
      </c>
      <c r="C140" t="inlineStr">
        <is>
          <t>days</t>
        </is>
      </c>
      <c r="D140" t="inlineStr">
        <is>
          <t>Month</t>
        </is>
      </c>
      <c r="E140" t="inlineStr">
        <is>
          <t>(Days taken to collect − Agreed payment terms) ÷ Invoices collected (average days late)</t>
        </is>
      </c>
      <c r="F140">
        <f>ROUND(IF('A1 Inputs'!CQ4=0,0,('A1 Inputs'!CR4-'A1 Inputs'!CS4)/'A1 Inputs'!CQ4),2)</f>
        <v/>
      </c>
      <c r="G140">
        <f>ROUND(IF('A1 Inputs'!CQ5=0,0,('A1 Inputs'!CR5-'A1 Inputs'!CS5)/'A1 Inputs'!CQ5),2)</f>
        <v/>
      </c>
      <c r="H140">
        <f>ROUND(IF('A1 Inputs'!CQ6=0,0,('A1 Inputs'!CR6-'A1 Inputs'!CS6)/'A1 Inputs'!CQ6),2)</f>
        <v/>
      </c>
      <c r="I140">
        <f>ROUND(IF('A1 Inputs'!CQ7=0,0,('A1 Inputs'!CR7-'A1 Inputs'!CS7)/'A1 Inputs'!CQ7),2)</f>
        <v/>
      </c>
      <c r="J140">
        <f>ROUND(IF('A1 Inputs'!CQ8=0,0,('A1 Inputs'!CR8-'A1 Inputs'!CS8)/'A1 Inputs'!CQ8),2)</f>
        <v/>
      </c>
      <c r="K140">
        <f>ROUND(IF('A1 Inputs'!CQ9=0,0,('A1 Inputs'!CR9-'A1 Inputs'!CS9)/'A1 Inputs'!CQ9),2)</f>
        <v/>
      </c>
      <c r="L140" t="inlineStr">
        <is>
          <t>invoices_collected, collection_days, terms_days</t>
        </is>
      </c>
    </row>
    <row r="141">
      <c r="A141" t="inlineStr">
        <is>
          <t>SIG-005</t>
        </is>
      </c>
      <c r="B141" t="inlineStr">
        <is>
          <t>Payment delays</t>
        </is>
      </c>
      <c r="C141" t="inlineStr">
        <is>
          <t>customers</t>
        </is>
      </c>
      <c r="D141" t="inlineStr">
        <is>
          <t>Month end</t>
        </is>
      </c>
      <c r="E141" t="inlineStr">
        <is>
          <t>Customers more than 30 days overdue</t>
        </is>
      </c>
      <c r="F141">
        <f>ROUND('A1 Inputs'!CT4,2)</f>
        <v/>
      </c>
      <c r="G141">
        <f>ROUND('A1 Inputs'!CT5,2)</f>
        <v/>
      </c>
      <c r="H141">
        <f>ROUND('A1 Inputs'!CT6,2)</f>
        <v/>
      </c>
      <c r="I141">
        <f>ROUND('A1 Inputs'!CT7,2)</f>
        <v/>
      </c>
      <c r="J141">
        <f>ROUND('A1 Inputs'!CT8,2)</f>
        <v/>
      </c>
      <c r="K141">
        <f>ROUND('A1 Inputs'!CT9,2)</f>
        <v/>
      </c>
      <c r="L141" t="inlineStr">
        <is>
          <t>customers_overdue</t>
        </is>
      </c>
    </row>
    <row r="142">
      <c r="A142" t="inlineStr">
        <is>
          <t>SIG-006</t>
        </is>
      </c>
      <c r="B142" t="inlineStr">
        <is>
          <t>Cash burn signal</t>
        </is>
      </c>
      <c r="C142" t="inlineStr">
        <is>
          <t>text</t>
        </is>
      </c>
      <c r="D142" t="inlineStr">
        <is>
          <t>Month</t>
        </is>
      </c>
      <c r="E142" t="inlineStr">
        <is>
          <t>Triggered if operating cash flow in the month is negative</t>
        </is>
      </c>
      <c r="F142">
        <f>IF('A1 Inputs'!FZ4&lt;0,"Triggered","Not triggered")</f>
        <v/>
      </c>
      <c r="G142">
        <f>IF('A1 Inputs'!FZ5&lt;0,"Triggered","Not triggered")</f>
        <v/>
      </c>
      <c r="H142">
        <f>IF('A1 Inputs'!FZ6&lt;0,"Triggered","Not triggered")</f>
        <v/>
      </c>
      <c r="I142">
        <f>IF('A1 Inputs'!FZ7&lt;0,"Triggered","Not triggered")</f>
        <v/>
      </c>
      <c r="J142">
        <f>IF('A1 Inputs'!FZ8&lt;0,"Triggered","Not triggered")</f>
        <v/>
      </c>
      <c r="K142">
        <f>IF('A1 Inputs'!FZ9&lt;0,"Triggered","Not triggered")</f>
        <v/>
      </c>
      <c r="L142" t="inlineStr">
        <is>
          <t>op_cash_flow_k</t>
        </is>
      </c>
    </row>
    <row r="143">
      <c r="A143" t="inlineStr">
        <is>
          <t>SIG-013</t>
        </is>
      </c>
      <c r="B143" t="inlineStr">
        <is>
          <t>Pricing pressure</t>
        </is>
      </c>
      <c r="C143" t="inlineStr">
        <is>
          <t>text</t>
        </is>
      </c>
      <c r="D143" t="inlineStr">
        <is>
          <t>Month</t>
        </is>
      </c>
      <c r="E143" t="inlineStr">
        <is>
          <t>Realised price vs plan: Low if above −1%, Medium down to −3%, High below −3%</t>
        </is>
      </c>
      <c r="F143">
        <f>IF('A1 Inputs'!GG4&gt;=-1,"Low",IF('A1 Inputs'!GG4&gt;=-3,"Medium","High"))&amp;" ("&amp;ROUND('A1 Inputs'!GG4,1)&amp;"% vs plan price)"</f>
        <v/>
      </c>
      <c r="G143">
        <f>IF('A1 Inputs'!GG5&gt;=-1,"Low",IF('A1 Inputs'!GG5&gt;=-3,"Medium","High"))&amp;" ("&amp;ROUND('A1 Inputs'!GG5,1)&amp;"% vs plan price)"</f>
        <v/>
      </c>
      <c r="H143">
        <f>IF('A1 Inputs'!GG6&gt;=-1,"Low",IF('A1 Inputs'!GG6&gt;=-3,"Medium","High"))&amp;" ("&amp;ROUND('A1 Inputs'!GG6,1)&amp;"% vs plan price)"</f>
        <v/>
      </c>
      <c r="I143">
        <f>IF('A1 Inputs'!GG7&gt;=-1,"Low",IF('A1 Inputs'!GG7&gt;=-3,"Medium","High"))&amp;" ("&amp;ROUND('A1 Inputs'!GG7,1)&amp;"% vs plan price)"</f>
        <v/>
      </c>
      <c r="J143">
        <f>IF('A1 Inputs'!GG8&gt;=-1,"Low",IF('A1 Inputs'!GG8&gt;=-3,"Medium","High"))&amp;" ("&amp;ROUND('A1 Inputs'!GG8,1)&amp;"% vs plan price)"</f>
        <v/>
      </c>
      <c r="K143">
        <f>IF('A1 Inputs'!GG9&gt;=-1,"Low",IF('A1 Inputs'!GG9&gt;=-3,"Medium","High"))&amp;" ("&amp;ROUND('A1 Inputs'!GG9,1)&amp;"% vs plan price)"</f>
        <v/>
      </c>
      <c r="L143" t="inlineStr">
        <is>
          <t>price_vs_plan_pct</t>
        </is>
      </c>
    </row>
    <row r="144">
      <c r="A144" t="inlineStr">
        <is>
          <t>PRD-001</t>
        </is>
      </c>
      <c r="B144" t="inlineStr">
        <is>
          <t>Days to breach (earliest plant)</t>
        </is>
      </c>
      <c r="C144" t="inlineStr">
        <is>
          <t>days</t>
        </is>
      </c>
      <c r="D144" t="inlineStr">
        <is>
          <t>Forecast</t>
        </is>
      </c>
      <c r="E144" t="inlineStr">
        <is>
          <t>Lowest plant forecast of days until its production plan is breached (99 = not expected)</t>
        </is>
      </c>
      <c r="F144">
        <f>ROUND('A1 Inputs'!BS4,2)</f>
        <v/>
      </c>
      <c r="G144">
        <f>ROUND('A1 Inputs'!BS5,2)</f>
        <v/>
      </c>
      <c r="H144">
        <f>ROUND('A1 Inputs'!BS6,2)</f>
        <v/>
      </c>
      <c r="I144">
        <f>ROUND('A1 Inputs'!BS7,2)</f>
        <v/>
      </c>
      <c r="J144">
        <f>ROUND('A1 Inputs'!BS8,2)</f>
        <v/>
      </c>
      <c r="K144">
        <f>ROUND('A1 Inputs'!BS9,2)</f>
        <v/>
      </c>
      <c r="L144" t="inlineStr">
        <is>
          <t>days_to_breach</t>
        </is>
      </c>
    </row>
    <row r="145">
      <c r="A145" t="inlineStr">
        <is>
          <t>PRD-002</t>
        </is>
      </c>
      <c r="B145" t="inlineStr">
        <is>
          <t>Probability of production plan miss, next month</t>
        </is>
      </c>
      <c r="C145" t="inlineStr">
        <is>
          <t>%</t>
        </is>
      </c>
      <c r="D145" t="inlineStr">
        <is>
          <t>Next month</t>
        </is>
      </c>
      <c r="E145" t="inlineStr">
        <is>
          <t>Chance that output falls below plan: normal distribution with mean = Forecast good output, spread = √(sum of plant forecast variances)</t>
        </is>
      </c>
      <c r="F145">
        <f>ROUND(100*NORM.DIST('A1 Inputs'!BT4,'A1 Inputs'!BU4,SQRT('A1 Inputs'!BV4),TRUE),2)</f>
        <v/>
      </c>
      <c r="G145">
        <f>ROUND(100*NORM.DIST('A1 Inputs'!BT5,'A1 Inputs'!BU5,SQRT('A1 Inputs'!BV5),TRUE),2)</f>
        <v/>
      </c>
      <c r="H145">
        <f>ROUND(100*NORM.DIST('A1 Inputs'!BT6,'A1 Inputs'!BU6,SQRT('A1 Inputs'!BV6),TRUE),2)</f>
        <v/>
      </c>
      <c r="I145">
        <f>ROUND(100*NORM.DIST('A1 Inputs'!BT7,'A1 Inputs'!BU7,SQRT('A1 Inputs'!BV7),TRUE),2)</f>
        <v/>
      </c>
      <c r="J145">
        <f>ROUND(100*NORM.DIST('A1 Inputs'!BT8,'A1 Inputs'!BU8,SQRT('A1 Inputs'!BV8),TRUE),2)</f>
        <v/>
      </c>
      <c r="K145">
        <f>ROUND(100*NORM.DIST('A1 Inputs'!BT9,'A1 Inputs'!BU9,SQRT('A1 Inputs'!BV9),TRUE),2)</f>
        <v/>
      </c>
      <c r="L145" t="inlineStr">
        <is>
          <t>planned_production_next_t, forecast_good_next_t, forecast_good_var_next</t>
        </is>
      </c>
    </row>
    <row r="146">
      <c r="A146" t="inlineStr">
        <is>
          <t>PRD-003</t>
        </is>
      </c>
      <c r="B146" t="inlineStr">
        <is>
          <t>Projected EBITDA gap, rest of year</t>
        </is>
      </c>
      <c r="C146" t="inlineStr">
        <is>
          <t>₹ m</t>
        </is>
      </c>
      <c r="D146" t="inlineStr">
        <is>
          <t>Forecast</t>
        </is>
      </c>
      <c r="E146" t="inlineStr">
        <is>
          <t>(Forecast EBITDA − Planned EBITDA, rest of year) ÷ 1000</t>
        </is>
      </c>
      <c r="F146">
        <f>ROUND(('A1 Inputs'!CU4-'A1 Inputs'!CV4)/1000,2)</f>
        <v/>
      </c>
      <c r="G146">
        <f>ROUND(('A1 Inputs'!CU5-'A1 Inputs'!CV5)/1000,2)</f>
        <v/>
      </c>
      <c r="H146">
        <f>ROUND(('A1 Inputs'!CU6-'A1 Inputs'!CV6)/1000,2)</f>
        <v/>
      </c>
      <c r="I146">
        <f>ROUND(('A1 Inputs'!CU7-'A1 Inputs'!CV7)/1000,2)</f>
        <v/>
      </c>
      <c r="J146">
        <f>ROUND(('A1 Inputs'!CU8-'A1 Inputs'!CV8)/1000,2)</f>
        <v/>
      </c>
      <c r="K146">
        <f>ROUND(('A1 Inputs'!CU9-'A1 Inputs'!CV9)/1000,2)</f>
        <v/>
      </c>
      <c r="L146" t="inlineStr">
        <is>
          <t>forecast_ebitda_rest_k, planned_ebitda_rest_k</t>
        </is>
      </c>
    </row>
    <row r="147">
      <c r="A147" t="inlineStr">
        <is>
          <t>PRD-004</t>
        </is>
      </c>
      <c r="B147" t="inlineStr">
        <is>
          <t>Projected liquidity gap, next 90 days</t>
        </is>
      </c>
      <c r="C147" t="inlineStr">
        <is>
          <t>₹ m or text</t>
        </is>
      </c>
      <c r="D147" t="inlineStr">
        <is>
          <t>Next 90 days</t>
        </is>
      </c>
      <c r="E147" t="inlineStr">
        <is>
          <t>Cash + Undrawn facilities + Forecast net cash flow (90 days); 'None' if not negative</t>
        </is>
      </c>
      <c r="F147">
        <f>IF('A1 Inputs'!CC4+'A1 Inputs'!CD4+'A1 Inputs'!CW4&gt;=0,"None within 90 d",ROUND(('A1 Inputs'!CC4+'A1 Inputs'!CD4+'A1 Inputs'!CW4)/1000,1))</f>
        <v/>
      </c>
      <c r="G147">
        <f>IF('A1 Inputs'!CC5+'A1 Inputs'!CD5+'A1 Inputs'!CW5&gt;=0,"None within 90 d",ROUND(('A1 Inputs'!CC5+'A1 Inputs'!CD5+'A1 Inputs'!CW5)/1000,1))</f>
        <v/>
      </c>
      <c r="H147">
        <f>IF('A1 Inputs'!CC6+'A1 Inputs'!CD6+'A1 Inputs'!CW6&gt;=0,"None within 90 d",ROUND(('A1 Inputs'!CC6+'A1 Inputs'!CD6+'A1 Inputs'!CW6)/1000,1))</f>
        <v/>
      </c>
      <c r="I147">
        <f>IF('A1 Inputs'!CC7+'A1 Inputs'!CD7+'A1 Inputs'!CW7&gt;=0,"None within 90 d",ROUND(('A1 Inputs'!CC7+'A1 Inputs'!CD7+'A1 Inputs'!CW7)/1000,1))</f>
        <v/>
      </c>
      <c r="J147">
        <f>IF('A1 Inputs'!CC8+'A1 Inputs'!CD8+'A1 Inputs'!CW8&gt;=0,"None within 90 d",ROUND(('A1 Inputs'!CC8+'A1 Inputs'!CD8+'A1 Inputs'!CW8)/1000,1))</f>
        <v/>
      </c>
      <c r="K147">
        <f>IF('A1 Inputs'!CC9+'A1 Inputs'!CD9+'A1 Inputs'!CW9&gt;=0,"None within 90 d",ROUND(('A1 Inputs'!CC9+'A1 Inputs'!CD9+'A1 Inputs'!CW9)/1000,1))</f>
        <v/>
      </c>
      <c r="L147" t="inlineStr">
        <is>
          <t>cash_k, undrawn_facilities_k, forecast_net_cash_flow_90d_k</t>
        </is>
      </c>
    </row>
    <row r="148">
      <c r="A148" t="inlineStr">
        <is>
          <t>PRD-005</t>
        </is>
      </c>
      <c r="B148" t="inlineStr">
        <is>
          <t>Forecast covenant breach</t>
        </is>
      </c>
      <c r="C148" t="inlineStr">
        <is>
          <t>text</t>
        </is>
      </c>
      <c r="D148" t="inlineStr">
        <is>
          <t>Quarter end</t>
        </is>
      </c>
      <c r="E148" t="inlineStr">
        <is>
          <t>Breach forecast if Forecast net debt ÷ Forecast 12-month EBITDA exceeds the covenant limit</t>
        </is>
      </c>
      <c r="F148">
        <f>IF('A1 Inputs'!CY4=0,"No forecast",IF('A1 Inputs'!CX4/'A1 Inputs'!CY4&gt;Parameters!$B$4,"Breach forecast","Not forecast"))</f>
        <v/>
      </c>
      <c r="G148">
        <f>IF('A1 Inputs'!CY5=0,"No forecast",IF('A1 Inputs'!CX5/'A1 Inputs'!CY5&gt;Parameters!$B$4,"Breach forecast","Not forecast"))</f>
        <v/>
      </c>
      <c r="H148">
        <f>IF('A1 Inputs'!CY6=0,"No forecast",IF('A1 Inputs'!CX6/'A1 Inputs'!CY6&gt;Parameters!$B$4,"Breach forecast","Not forecast"))</f>
        <v/>
      </c>
      <c r="I148">
        <f>IF('A1 Inputs'!CY7=0,"No forecast",IF('A1 Inputs'!CX7/'A1 Inputs'!CY7&gt;Parameters!$B$4,"Breach forecast","Not forecast"))</f>
        <v/>
      </c>
      <c r="J148">
        <f>IF('A1 Inputs'!CY8=0,"No forecast",IF('A1 Inputs'!CX8/'A1 Inputs'!CY8&gt;Parameters!$B$4,"Breach forecast","Not forecast"))</f>
        <v/>
      </c>
      <c r="K148">
        <f>IF('A1 Inputs'!CY9=0,"No forecast",IF('A1 Inputs'!CX9/'A1 Inputs'!CY9&gt;Parameters!$B$4,"Breach forecast","Not forecast"))</f>
        <v/>
      </c>
      <c r="L148" t="inlineStr">
        <is>
          <t>forecast_net_debt_k, forecast_ebitda_ltm_k</t>
        </is>
      </c>
    </row>
    <row r="149">
      <c r="A149" t="inlineStr">
        <is>
          <t>PRD-006</t>
        </is>
      </c>
      <c r="B149" t="inlineStr">
        <is>
          <t>Production loss from downtime, next month</t>
        </is>
      </c>
      <c r="C149" t="inlineStr">
        <is>
          <t>kt</t>
        </is>
      </c>
      <c r="D149" t="inlineStr">
        <is>
          <t>Next month</t>
        </is>
      </c>
      <c r="E149" t="inlineStr">
        <is>
          <t>Forecast production lost to downtime next month ÷ 1000</t>
        </is>
      </c>
      <c r="F149">
        <f>ROUND('A1 Inputs'!BX4/1000,2)</f>
        <v/>
      </c>
      <c r="G149">
        <f>ROUND('A1 Inputs'!BX5/1000,2)</f>
        <v/>
      </c>
      <c r="H149">
        <f>ROUND('A1 Inputs'!BX6/1000,2)</f>
        <v/>
      </c>
      <c r="I149">
        <f>ROUND('A1 Inputs'!BX7/1000,2)</f>
        <v/>
      </c>
      <c r="J149">
        <f>ROUND('A1 Inputs'!BX8/1000,2)</f>
        <v/>
      </c>
      <c r="K149">
        <f>ROUND('A1 Inputs'!BX9/1000,2)</f>
        <v/>
      </c>
      <c r="L149" t="inlineStr">
        <is>
          <t>forecast_downtime_loss_next_t</t>
        </is>
      </c>
    </row>
    <row r="150">
      <c r="A150" t="inlineStr">
        <is>
          <t>PRD-007</t>
        </is>
      </c>
      <c r="B150" t="inlineStr">
        <is>
          <t>Probability OEE below 78%, next month</t>
        </is>
      </c>
      <c r="C150" t="inlineStr">
        <is>
          <t>%</t>
        </is>
      </c>
      <c r="D150" t="inlineStr">
        <is>
          <t>Next month</t>
        </is>
      </c>
      <c r="E150" t="inlineStr">
        <is>
          <t>Chance that Forecast good output &lt; 78% × Ideal output next month (same distribution as PRD-002)</t>
        </is>
      </c>
      <c r="F150">
        <f>ROUND(100*NORM.DIST(0.78*'A1 Inputs'!BW4,'A1 Inputs'!BU4,SQRT('A1 Inputs'!BV4),TRUE),2)</f>
        <v/>
      </c>
      <c r="G150">
        <f>ROUND(100*NORM.DIST(0.78*'A1 Inputs'!BW5,'A1 Inputs'!BU5,SQRT('A1 Inputs'!BV5),TRUE),2)</f>
        <v/>
      </c>
      <c r="H150">
        <f>ROUND(100*NORM.DIST(0.78*'A1 Inputs'!BW6,'A1 Inputs'!BU6,SQRT('A1 Inputs'!BV6),TRUE),2)</f>
        <v/>
      </c>
      <c r="I150">
        <f>ROUND(100*NORM.DIST(0.78*'A1 Inputs'!BW7,'A1 Inputs'!BU7,SQRT('A1 Inputs'!BV7),TRUE),2)</f>
        <v/>
      </c>
      <c r="J150">
        <f>ROUND(100*NORM.DIST(0.78*'A1 Inputs'!BW8,'A1 Inputs'!BU8,SQRT('A1 Inputs'!BV8),TRUE),2)</f>
        <v/>
      </c>
      <c r="K150">
        <f>ROUND(100*NORM.DIST(0.78*'A1 Inputs'!BW9,'A1 Inputs'!BU9,SQRT('A1 Inputs'!BV9),TRUE),2)</f>
        <v/>
      </c>
      <c r="L150" t="inlineStr">
        <is>
          <t>forecast_good_next_t, forecast_good_var_next, ideal_output_next_t</t>
        </is>
      </c>
    </row>
    <row r="151">
      <c r="A151" t="inlineStr">
        <is>
          <t>CST-005</t>
        </is>
      </c>
      <c r="B151" t="inlineStr">
        <is>
          <t>Fixed cost YTD</t>
        </is>
      </c>
      <c r="C151" t="inlineStr">
        <is>
          <t>₹ m</t>
        </is>
      </c>
      <c r="D151" t="inlineStr">
        <is>
          <t>Year to date</t>
        </is>
      </c>
      <c r="E151" t="inlineStr">
        <is>
          <t>Sum of monthly fixed cost since April ÷ 1000</t>
        </is>
      </c>
      <c r="F151">
        <f>ROUND(SUM('A1 Inputs'!X$4:X4)/1000,2)</f>
        <v/>
      </c>
      <c r="G151">
        <f>ROUND(SUM('A1 Inputs'!X$4:X5)/1000,2)</f>
        <v/>
      </c>
      <c r="H151">
        <f>ROUND(SUM('A1 Inputs'!X$4:X6)/1000,2)</f>
        <v/>
      </c>
      <c r="I151">
        <f>ROUND(SUM('A1 Inputs'!X$4:X7)/1000,2)</f>
        <v/>
      </c>
      <c r="J151">
        <f>ROUND(SUM('A1 Inputs'!X$4:X8)/1000,2)</f>
        <v/>
      </c>
      <c r="K151">
        <f>ROUND(SUM('A1 Inputs'!X$4:X9)/1000,2)</f>
        <v/>
      </c>
      <c r="L151" t="inlineStr">
        <is>
          <t>fixed_cost_k</t>
        </is>
      </c>
    </row>
    <row r="152">
      <c r="A152" t="inlineStr">
        <is>
          <t>PRD-008</t>
        </is>
      </c>
      <c r="B152" t="inlineStr">
        <is>
          <t>Projected FCF gap, full year</t>
        </is>
      </c>
      <c r="C152" t="inlineStr">
        <is>
          <t>₹ m</t>
        </is>
      </c>
      <c r="D152" t="inlineStr">
        <is>
          <t>Forecast</t>
        </is>
      </c>
      <c r="E152" t="inlineStr">
        <is>
          <t>(FCF YTD + forecast FCF rest of year − FY FCF plan) ÷ 1000</t>
        </is>
      </c>
      <c r="F152">
        <f>ROUND((SUM('A1 Inputs'!GA$4:GA4)+'A1 Inputs'!GJ4-'A1 Inputs'!GI4)/1000,2)</f>
        <v/>
      </c>
      <c r="G152">
        <f>ROUND((SUM('A1 Inputs'!GA$4:GA5)+'A1 Inputs'!GJ5-'A1 Inputs'!GI5)/1000,2)</f>
        <v/>
      </c>
      <c r="H152">
        <f>ROUND((SUM('A1 Inputs'!GA$4:GA6)+'A1 Inputs'!GJ6-'A1 Inputs'!GI6)/1000,2)</f>
        <v/>
      </c>
      <c r="I152">
        <f>ROUND((SUM('A1 Inputs'!GA$4:GA7)+'A1 Inputs'!GJ7-'A1 Inputs'!GI7)/1000,2)</f>
        <v/>
      </c>
      <c r="J152">
        <f>ROUND((SUM('A1 Inputs'!GA$4:GA8)+'A1 Inputs'!GJ8-'A1 Inputs'!GI8)/1000,2)</f>
        <v/>
      </c>
      <c r="K152">
        <f>ROUND((SUM('A1 Inputs'!GA$4:GA9)+'A1 Inputs'!GJ9-'A1 Inputs'!GI9)/1000,2)</f>
        <v/>
      </c>
      <c r="L152" t="inlineStr">
        <is>
          <t>fcf_k, fcf_plan_fy_k, forecast_fcf_rest_k</t>
        </is>
      </c>
    </row>
    <row r="153">
      <c r="A153" t="inlineStr">
        <is>
          <t>PRD-009</t>
        </is>
      </c>
      <c r="B153" t="inlineStr">
        <is>
          <t>ROCE at P12 (forecast)</t>
        </is>
      </c>
      <c r="C153" t="inlineStr">
        <is>
          <t>%</t>
        </is>
      </c>
      <c r="D153" t="inlineStr">
        <is>
          <t>Forecast</t>
        </is>
      </c>
      <c r="E153" t="inlineStr">
        <is>
          <t>(EBIT YTD + forecast EBIT rest of year) ÷ forecast capital employed at P12 × 100</t>
        </is>
      </c>
      <c r="F153">
        <f>ROUND(IF('A1 Inputs'!GL4=0,0,100*(SUM('A1 Inputs'!FW$4:FW4)+'A1 Inputs'!GK4)/'A1 Inputs'!GL4),2)</f>
        <v/>
      </c>
      <c r="G153">
        <f>ROUND(IF('A1 Inputs'!GL5=0,0,100*(SUM('A1 Inputs'!FW$4:FW5)+'A1 Inputs'!GK5)/'A1 Inputs'!GL5),2)</f>
        <v/>
      </c>
      <c r="H153">
        <f>ROUND(IF('A1 Inputs'!GL6=0,0,100*(SUM('A1 Inputs'!FW$4:FW6)+'A1 Inputs'!GK6)/'A1 Inputs'!GL6),2)</f>
        <v/>
      </c>
      <c r="I153">
        <f>ROUND(IF('A1 Inputs'!GL7=0,0,100*(SUM('A1 Inputs'!FW$4:FW7)+'A1 Inputs'!GK7)/'A1 Inputs'!GL7),2)</f>
        <v/>
      </c>
      <c r="J153">
        <f>ROUND(IF('A1 Inputs'!GL8=0,0,100*(SUM('A1 Inputs'!FW$4:FW8)+'A1 Inputs'!GK8)/'A1 Inputs'!GL8),2)</f>
        <v/>
      </c>
      <c r="K153">
        <f>ROUND(IF('A1 Inputs'!GL9=0,0,100*(SUM('A1 Inputs'!FW$4:FW9)+'A1 Inputs'!GK9)/'A1 Inputs'!GL9),2)</f>
        <v/>
      </c>
      <c r="L153" t="inlineStr">
        <is>
          <t>capital_employed_p12_k, ebit_fcst_rest_k, ebit_k</t>
        </is>
      </c>
    </row>
    <row r="154">
      <c r="A154" t="inlineStr">
        <is>
          <t>PRD-010</t>
        </is>
      </c>
      <c r="B154" t="inlineStr">
        <is>
          <t>Revenue per FTE YTD</t>
        </is>
      </c>
      <c r="C154" t="inlineStr">
        <is>
          <t>₹ m</t>
        </is>
      </c>
      <c r="D154" t="inlineStr">
        <is>
          <t>Year to date</t>
        </is>
      </c>
      <c r="E154" t="inlineStr">
        <is>
          <t>Revenue since April ÷ FTE ÷ 1000</t>
        </is>
      </c>
      <c r="F154">
        <f>ROUND(IF('A1 Inputs'!GH4=0,0,SUM('A1 Inputs'!AU$4:AU4)/'A1 Inputs'!GH4/1000),3)</f>
        <v/>
      </c>
      <c r="G154">
        <f>ROUND(IF('A1 Inputs'!GH5=0,0,SUM('A1 Inputs'!AU$4:AU5)/'A1 Inputs'!GH5/1000),3)</f>
        <v/>
      </c>
      <c r="H154">
        <f>ROUND(IF('A1 Inputs'!GH6=0,0,SUM('A1 Inputs'!AU$4:AU6)/'A1 Inputs'!GH6/1000),3)</f>
        <v/>
      </c>
      <c r="I154">
        <f>ROUND(IF('A1 Inputs'!GH7=0,0,SUM('A1 Inputs'!AU$4:AU7)/'A1 Inputs'!GH7/1000),3)</f>
        <v/>
      </c>
      <c r="J154">
        <f>ROUND(IF('A1 Inputs'!GH8=0,0,SUM('A1 Inputs'!AU$4:AU8)/'A1 Inputs'!GH8/1000),3)</f>
        <v/>
      </c>
      <c r="K154">
        <f>ROUND(IF('A1 Inputs'!GH9=0,0,SUM('A1 Inputs'!AU$4:AU9)/'A1 Inputs'!GH9/1000),3)</f>
        <v/>
      </c>
      <c r="L154" t="inlineStr">
        <is>
          <t>fte, revenue_k</t>
        </is>
      </c>
    </row>
    <row r="155">
      <c r="A155" t="inlineStr">
        <is>
          <t>PRD-011</t>
        </is>
      </c>
      <c r="B155" t="inlineStr">
        <is>
          <t>Tonnes per FTE</t>
        </is>
      </c>
      <c r="C155" t="inlineStr">
        <is>
          <t>t</t>
        </is>
      </c>
      <c r="D155" t="inlineStr">
        <is>
          <t>Month</t>
        </is>
      </c>
      <c r="E155" t="inlineStr">
        <is>
          <t>Good output ÷ FTE</t>
        </is>
      </c>
      <c r="F155">
        <f>ROUND(IF('A1 Inputs'!GH4=0,0,'A1 Inputs'!M4/'A1 Inputs'!GH4),1)</f>
        <v/>
      </c>
      <c r="G155">
        <f>ROUND(IF('A1 Inputs'!GH5=0,0,'A1 Inputs'!M5/'A1 Inputs'!GH5),1)</f>
        <v/>
      </c>
      <c r="H155">
        <f>ROUND(IF('A1 Inputs'!GH6=0,0,'A1 Inputs'!M6/'A1 Inputs'!GH6),1)</f>
        <v/>
      </c>
      <c r="I155">
        <f>ROUND(IF('A1 Inputs'!GH7=0,0,'A1 Inputs'!M7/'A1 Inputs'!GH7),1)</f>
        <v/>
      </c>
      <c r="J155">
        <f>ROUND(IF('A1 Inputs'!GH8=0,0,'A1 Inputs'!M8/'A1 Inputs'!GH8),1)</f>
        <v/>
      </c>
      <c r="K155">
        <f>ROUND(IF('A1 Inputs'!GH9=0,0,'A1 Inputs'!M9/'A1 Inputs'!GH9),1)</f>
        <v/>
      </c>
      <c r="L155" t="inlineStr">
        <is>
          <t>fte, good_output_t</t>
        </is>
      </c>
    </row>
    <row r="156">
      <c r="A156" t="inlineStr">
        <is>
          <t>PRD-012</t>
        </is>
      </c>
      <c r="B156" t="inlineStr">
        <is>
          <t>Probability of EBITDA plan miss, full year</t>
        </is>
      </c>
      <c r="C156" t="inlineStr">
        <is>
          <t>%</t>
        </is>
      </c>
      <c r="D156" t="inlineStr">
        <is>
          <t>Forecast</t>
        </is>
      </c>
      <c r="E156" t="inlineStr">
        <is>
          <t>P(FY EBITDA &lt; FY plan), FY EBITDA ~ Normal(EBITDA YTD + forecast rest of year, σ)</t>
        </is>
      </c>
      <c r="F156">
        <f>ROUND(100*NORM.DIST('A1 Inputs'!GM4,SUM('A1 Inputs'!FV$4:FV4)+'A1 Inputs'!CU4,'A1 Inputs'!GN4,TRUE),2)</f>
        <v/>
      </c>
      <c r="G156">
        <f>ROUND(100*NORM.DIST('A1 Inputs'!GM5,SUM('A1 Inputs'!FV$4:FV5)+'A1 Inputs'!CU5,'A1 Inputs'!GN5,TRUE),2)</f>
        <v/>
      </c>
      <c r="H156">
        <f>ROUND(100*NORM.DIST('A1 Inputs'!GM6,SUM('A1 Inputs'!FV$4:FV6)+'A1 Inputs'!CU6,'A1 Inputs'!GN6,TRUE),2)</f>
        <v/>
      </c>
      <c r="I156">
        <f>ROUND(100*NORM.DIST('A1 Inputs'!GM7,SUM('A1 Inputs'!FV$4:FV7)+'A1 Inputs'!CU7,'A1 Inputs'!GN7,TRUE),2)</f>
        <v/>
      </c>
      <c r="J156">
        <f>ROUND(100*NORM.DIST('A1 Inputs'!GM8,SUM('A1 Inputs'!FV$4:FV8)+'A1 Inputs'!CU8,'A1 Inputs'!GN8,TRUE),2)</f>
        <v/>
      </c>
      <c r="K156">
        <f>ROUND(100*NORM.DIST('A1 Inputs'!GM9,SUM('A1 Inputs'!FV$4:FV9)+'A1 Inputs'!CU9,'A1 Inputs'!GN9,TRUE),2)</f>
        <v/>
      </c>
      <c r="L156" t="inlineStr">
        <is>
          <t>ebitda_fy_sigma_k, ebitda_k, ebitda_plan_fy_k, forecast_ebitda_rest_k</t>
        </is>
      </c>
    </row>
    <row r="157">
      <c r="A157" t="inlineStr">
        <is>
          <t>REG-011</t>
        </is>
      </c>
      <c r="B157" t="inlineStr">
        <is>
          <t>Disclosure clock, hours remaining</t>
        </is>
      </c>
      <c r="C157" t="inlineStr">
        <is>
          <t>h</t>
        </is>
      </c>
      <c r="D157" t="inlineStr">
        <is>
          <t>Month end</t>
        </is>
      </c>
      <c r="E157" t="inlineStr">
        <is>
          <t>Hours to the nearest open disclosure deadline (999 = none running)</t>
        </is>
      </c>
      <c r="F157">
        <f>ROUND('A1 Inputs'!GO4,0)</f>
        <v/>
      </c>
      <c r="G157">
        <f>ROUND('A1 Inputs'!GO5,0)</f>
        <v/>
      </c>
      <c r="H157">
        <f>ROUND('A1 Inputs'!GO6,0)</f>
        <v/>
      </c>
      <c r="I157">
        <f>ROUND('A1 Inputs'!GO7,0)</f>
        <v/>
      </c>
      <c r="J157">
        <f>ROUND('A1 Inputs'!GO8,0)</f>
        <v/>
      </c>
      <c r="K157">
        <f>ROUND('A1 Inputs'!GO9,0)</f>
        <v/>
      </c>
      <c r="L157" t="inlineStr">
        <is>
          <t>disclosure_deadline_h</t>
        </is>
      </c>
    </row>
    <row r="158">
      <c r="A158" t="inlineStr">
        <is>
          <t>SIG-010</t>
        </is>
      </c>
      <c r="B158" t="inlineStr">
        <is>
          <t>Single-source supply risk</t>
        </is>
      </c>
      <c r="C158" t="inlineStr">
        <is>
          <t>count</t>
        </is>
      </c>
      <c r="D158" t="inlineStr">
        <is>
          <t>Month end</t>
        </is>
      </c>
      <c r="E158" t="inlineStr">
        <is>
          <t>Single-source suppliers with cover below lead time</t>
        </is>
      </c>
      <c r="F158">
        <f>ROUND('A1 Inputs'!GP4,0)</f>
        <v/>
      </c>
      <c r="G158">
        <f>ROUND('A1 Inputs'!GP5,0)</f>
        <v/>
      </c>
      <c r="H158">
        <f>ROUND('A1 Inputs'!GP6,0)</f>
        <v/>
      </c>
      <c r="I158">
        <f>ROUND('A1 Inputs'!GP7,0)</f>
        <v/>
      </c>
      <c r="J158">
        <f>ROUND('A1 Inputs'!GP8,0)</f>
        <v/>
      </c>
      <c r="K158">
        <f>ROUND('A1 Inputs'!GP9,0)</f>
        <v/>
      </c>
      <c r="L158" t="inlineStr">
        <is>
          <t>single_source_elevated</t>
        </is>
      </c>
    </row>
    <row r="159">
      <c r="A159" t="inlineStr">
        <is>
          <t>SIG-014</t>
        </is>
      </c>
      <c r="B159" t="inlineStr">
        <is>
          <t>Commodity-price movement (RM-1 index)</t>
        </is>
      </c>
      <c r="C159" t="inlineStr">
        <is>
          <t>%</t>
        </is>
      </c>
      <c r="D159" t="inlineStr">
        <is>
          <t>Month</t>
        </is>
      </c>
      <c r="E159" t="inlineStr">
        <is>
          <t>RM-1 price index ÷ last month's index − 1, as %</t>
        </is>
      </c>
      <c r="F159">
        <f>ROUND(IF('A1 Inputs'!GQ4=0,0,100*('A1 Inputs'!GQ4/'A1 Inputs'!GQ4-1)),2)</f>
        <v/>
      </c>
      <c r="G159">
        <f>ROUND(IF('A1 Inputs'!GQ4=0,0,100*('A1 Inputs'!GQ5/'A1 Inputs'!GQ4-1)),2)</f>
        <v/>
      </c>
      <c r="H159">
        <f>ROUND(IF('A1 Inputs'!GQ5=0,0,100*('A1 Inputs'!GQ6/'A1 Inputs'!GQ5-1)),2)</f>
        <v/>
      </c>
      <c r="I159">
        <f>ROUND(IF('A1 Inputs'!GQ6=0,0,100*('A1 Inputs'!GQ7/'A1 Inputs'!GQ6-1)),2)</f>
        <v/>
      </c>
      <c r="J159">
        <f>ROUND(IF('A1 Inputs'!GQ7=0,0,100*('A1 Inputs'!GQ8/'A1 Inputs'!GQ7-1)),2)</f>
        <v/>
      </c>
      <c r="K159">
        <f>ROUND(IF('A1 Inputs'!GQ8=0,0,100*('A1 Inputs'!GQ9/'A1 Inputs'!GQ8-1)),2)</f>
        <v/>
      </c>
      <c r="L159" t="inlineStr">
        <is>
          <t>rm1_price_index</t>
        </is>
      </c>
    </row>
    <row r="160">
      <c r="A160" t="inlineStr">
        <is>
          <t>SIG-016</t>
        </is>
      </c>
      <c r="B160" t="inlineStr">
        <is>
          <t>Freight exposure (lanes disrupted)</t>
        </is>
      </c>
      <c r="C160" t="inlineStr">
        <is>
          <t>count</t>
        </is>
      </c>
      <c r="D160" t="inlineStr">
        <is>
          <t>Month end</t>
        </is>
      </c>
      <c r="E160" t="inlineStr">
        <is>
          <t>Supply lanes with a disruption flag</t>
        </is>
      </c>
      <c r="F160">
        <f>ROUND('A1 Inputs'!GR4,0)</f>
        <v/>
      </c>
      <c r="G160">
        <f>ROUND('A1 Inputs'!GR5,0)</f>
        <v/>
      </c>
      <c r="H160">
        <f>ROUND('A1 Inputs'!GR6,0)</f>
        <v/>
      </c>
      <c r="I160">
        <f>ROUND('A1 Inputs'!GR7,0)</f>
        <v/>
      </c>
      <c r="J160">
        <f>ROUND('A1 Inputs'!GR8,0)</f>
        <v/>
      </c>
      <c r="K160">
        <f>ROUND('A1 Inputs'!GR9,0)</f>
        <v/>
      </c>
      <c r="L160" t="inlineStr">
        <is>
          <t>freight_lanes_disrupted</t>
        </is>
      </c>
    </row>
    <row r="161">
      <c r="A161" t="inlineStr">
        <is>
          <t>SIG-017</t>
        </is>
      </c>
      <c r="B161" t="inlineStr">
        <is>
          <t>Fuel exposure (fuel cost per tonne, MoM)</t>
        </is>
      </c>
      <c r="C161" t="inlineStr">
        <is>
          <t>%</t>
        </is>
      </c>
      <c r="D161" t="inlineStr">
        <is>
          <t>Month</t>
        </is>
      </c>
      <c r="E161" t="inlineStr">
        <is>
          <t>(Fuel cost ÷ good output) ÷ last month's − 1, as %</t>
        </is>
      </c>
      <c r="F161">
        <f>ROUND(IF(OR('A1 Inputs'!M4=0,'A1 Inputs'!W4=0,'A1 Inputs'!M4=0),0,100*(('A1 Inputs'!W4/'A1 Inputs'!M4)/('A1 Inputs'!W4/'A1 Inputs'!M4)-1)),2)</f>
        <v/>
      </c>
      <c r="G161">
        <f>ROUND(IF(OR('A1 Inputs'!M4=0,'A1 Inputs'!W4=0,'A1 Inputs'!M5=0),0,100*(('A1 Inputs'!W5/'A1 Inputs'!M5)/('A1 Inputs'!W4/'A1 Inputs'!M4)-1)),2)</f>
        <v/>
      </c>
      <c r="H161">
        <f>ROUND(IF(OR('A1 Inputs'!M5=0,'A1 Inputs'!W5=0,'A1 Inputs'!M6=0),0,100*(('A1 Inputs'!W6/'A1 Inputs'!M6)/('A1 Inputs'!W5/'A1 Inputs'!M5)-1)),2)</f>
        <v/>
      </c>
      <c r="I161">
        <f>ROUND(IF(OR('A1 Inputs'!M6=0,'A1 Inputs'!W6=0,'A1 Inputs'!M7=0),0,100*(('A1 Inputs'!W7/'A1 Inputs'!M7)/('A1 Inputs'!W6/'A1 Inputs'!M6)-1)),2)</f>
        <v/>
      </c>
      <c r="J161">
        <f>ROUND(IF(OR('A1 Inputs'!M7=0,'A1 Inputs'!W7=0,'A1 Inputs'!M8=0),0,100*(('A1 Inputs'!W8/'A1 Inputs'!M8)/('A1 Inputs'!W7/'A1 Inputs'!M7)-1)),2)</f>
        <v/>
      </c>
      <c r="K161">
        <f>ROUND(IF(OR('A1 Inputs'!M8=0,'A1 Inputs'!W8=0,'A1 Inputs'!M9=0),0,100*(('A1 Inputs'!W9/'A1 Inputs'!M9)/('A1 Inputs'!W8/'A1 Inputs'!M8)-1)),2)</f>
        <v/>
      </c>
      <c r="L161" t="inlineStr">
        <is>
          <t>fuel_cost_k, good_output_t</t>
        </is>
      </c>
    </row>
    <row r="162">
      <c r="A162" t="inlineStr">
        <is>
          <t>SIG-018</t>
        </is>
      </c>
      <c r="B162" t="inlineStr">
        <is>
          <t>Power-cost exposure (power cost per tonne, MoM)</t>
        </is>
      </c>
      <c r="C162" t="inlineStr">
        <is>
          <t>%</t>
        </is>
      </c>
      <c r="D162" t="inlineStr">
        <is>
          <t>Month</t>
        </is>
      </c>
      <c r="E162" t="inlineStr">
        <is>
          <t>(Power cost ÷ good output) ÷ last month's − 1, as %</t>
        </is>
      </c>
      <c r="F162">
        <f>ROUND(IF(OR('A1 Inputs'!M4=0,'A1 Inputs'!AW4=0,'A1 Inputs'!M4=0),0,100*(('A1 Inputs'!AW4/'A1 Inputs'!M4)/('A1 Inputs'!AW4/'A1 Inputs'!M4)-1)),2)</f>
        <v/>
      </c>
      <c r="G162">
        <f>ROUND(IF(OR('A1 Inputs'!M4=0,'A1 Inputs'!AW4=0,'A1 Inputs'!M5=0),0,100*(('A1 Inputs'!AW5/'A1 Inputs'!M5)/('A1 Inputs'!AW4/'A1 Inputs'!M4)-1)),2)</f>
        <v/>
      </c>
      <c r="H162">
        <f>ROUND(IF(OR('A1 Inputs'!M5=0,'A1 Inputs'!AW5=0,'A1 Inputs'!M6=0),0,100*(('A1 Inputs'!AW6/'A1 Inputs'!M6)/('A1 Inputs'!AW5/'A1 Inputs'!M5)-1)),2)</f>
        <v/>
      </c>
      <c r="I162">
        <f>ROUND(IF(OR('A1 Inputs'!M6=0,'A1 Inputs'!AW6=0,'A1 Inputs'!M7=0),0,100*(('A1 Inputs'!AW7/'A1 Inputs'!M7)/('A1 Inputs'!AW6/'A1 Inputs'!M6)-1)),2)</f>
        <v/>
      </c>
      <c r="J162">
        <f>ROUND(IF(OR('A1 Inputs'!M7=0,'A1 Inputs'!AW7=0,'A1 Inputs'!M8=0),0,100*(('A1 Inputs'!AW8/'A1 Inputs'!M8)/('A1 Inputs'!AW7/'A1 Inputs'!M7)-1)),2)</f>
        <v/>
      </c>
      <c r="K162">
        <f>ROUND(IF(OR('A1 Inputs'!M8=0,'A1 Inputs'!AW8=0,'A1 Inputs'!M9=0),0,100*(('A1 Inputs'!AW9/'A1 Inputs'!M9)/('A1 Inputs'!AW8/'A1 Inputs'!M8)-1)),2)</f>
        <v/>
      </c>
      <c r="L162" t="inlineStr">
        <is>
          <t>good_output_t, power_cost_k</t>
        </is>
      </c>
    </row>
    <row r="163">
      <c r="A163" t="inlineStr">
        <is>
          <t>SIG-001</t>
        </is>
      </c>
      <c r="B163" t="inlineStr">
        <is>
          <t>Unplanned downtime (same measure as REL-003)</t>
        </is>
      </c>
      <c r="C163" t="inlineStr">
        <is>
          <t>h</t>
        </is>
      </c>
      <c r="D163" t="inlineStr">
        <is>
          <t>Month</t>
        </is>
      </c>
      <c r="E163" t="inlineStr">
        <is>
          <t>Alias of REL-003: same value</t>
        </is>
      </c>
      <c r="F163">
        <f>F10</f>
        <v/>
      </c>
      <c r="G163">
        <f>G10</f>
        <v/>
      </c>
      <c r="H163">
        <f>H10</f>
        <v/>
      </c>
      <c r="I163">
        <f>I10</f>
        <v/>
      </c>
      <c r="J163">
        <f>J10</f>
        <v/>
      </c>
      <c r="K163">
        <f>K10</f>
        <v/>
      </c>
      <c r="L163" t="inlineStr">
        <is>
          <t>unplanned_downtime_hours</t>
        </is>
      </c>
    </row>
    <row r="164">
      <c r="A164" t="inlineStr">
        <is>
          <t>SIG-002</t>
        </is>
      </c>
      <c r="B164" t="inlineStr">
        <is>
          <t>Yield (same measure as PLT-005)</t>
        </is>
      </c>
      <c r="C164" t="inlineStr">
        <is>
          <t>%</t>
        </is>
      </c>
      <c r="D164" t="inlineStr">
        <is>
          <t>Month</t>
        </is>
      </c>
      <c r="E164" t="inlineStr">
        <is>
          <t>Alias of PLT-005: same value</t>
        </is>
      </c>
      <c r="F164">
        <f>F7</f>
        <v/>
      </c>
      <c r="G164">
        <f>G7</f>
        <v/>
      </c>
      <c r="H164">
        <f>H7</f>
        <v/>
      </c>
      <c r="I164">
        <f>I7</f>
        <v/>
      </c>
      <c r="J164">
        <f>J7</f>
        <v/>
      </c>
      <c r="K164">
        <f>K7</f>
        <v/>
      </c>
      <c r="L164" t="inlineStr">
        <is>
          <t>good_output_t, feed_input_t</t>
        </is>
      </c>
    </row>
    <row r="165">
      <c r="A165" t="inlineStr">
        <is>
          <t>SIG-003</t>
        </is>
      </c>
      <c r="B165" t="inlineStr">
        <is>
          <t>Recovery percentage (same measure as PLT-004)</t>
        </is>
      </c>
      <c r="C165" t="inlineStr">
        <is>
          <t>%</t>
        </is>
      </c>
      <c r="D165" t="inlineStr">
        <is>
          <t>Month</t>
        </is>
      </c>
      <c r="E165" t="inlineStr">
        <is>
          <t>Alias of PLT-004: same value</t>
        </is>
      </c>
      <c r="F165">
        <f>F6</f>
        <v/>
      </c>
      <c r="G165">
        <f>G6</f>
        <v/>
      </c>
      <c r="H165">
        <f>H6</f>
        <v/>
      </c>
      <c r="I165">
        <f>I6</f>
        <v/>
      </c>
      <c r="J165">
        <f>J6</f>
        <v/>
      </c>
      <c r="K165">
        <f>K6</f>
        <v/>
      </c>
      <c r="L165" t="inlineStr">
        <is>
          <t>feed_contained_t, recovered_contained_t</t>
        </is>
      </c>
    </row>
    <row r="166">
      <c r="A166" t="inlineStr">
        <is>
          <t>SIG-015</t>
        </is>
      </c>
      <c r="B166" t="inlineStr">
        <is>
          <t>FX exposure, unhedged (same measure as TRS-001)</t>
        </is>
      </c>
      <c r="C166" t="inlineStr">
        <is>
          <t>₹ m</t>
        </is>
      </c>
      <c r="D166" t="inlineStr">
        <is>
          <t>Month end</t>
        </is>
      </c>
      <c r="E166" t="inlineStr">
        <is>
          <t>Alias of TRS-001: same value</t>
        </is>
      </c>
      <c r="F166">
        <f>F61</f>
        <v/>
      </c>
      <c r="G166">
        <f>G61</f>
        <v/>
      </c>
      <c r="H166">
        <f>H61</f>
        <v/>
      </c>
      <c r="I166">
        <f>I61</f>
        <v/>
      </c>
      <c r="J166">
        <f>J61</f>
        <v/>
      </c>
      <c r="K166">
        <f>K61</f>
        <v/>
      </c>
      <c r="L166" t="inlineStr">
        <is>
          <t>fx_exposure_k, fx_hedged_k</t>
        </is>
      </c>
    </row>
    <row r="167">
      <c r="A167" t="inlineStr">
        <is>
          <t>SIG-019</t>
        </is>
      </c>
      <c r="B167" t="inlineStr">
        <is>
          <t>Regulatory deadlines, next 30 days (same measure as REG-002)</t>
        </is>
      </c>
      <c r="C167" t="inlineStr">
        <is>
          <t>count</t>
        </is>
      </c>
      <c r="D167" t="inlineStr">
        <is>
          <t>Month end</t>
        </is>
      </c>
      <c r="E167" t="inlineStr">
        <is>
          <t>Alias of REG-002: same value</t>
        </is>
      </c>
      <c r="F167">
        <f>F92</f>
        <v/>
      </c>
      <c r="G167">
        <f>G92</f>
        <v/>
      </c>
      <c r="H167">
        <f>H92</f>
        <v/>
      </c>
      <c r="I167">
        <f>I92</f>
        <v/>
      </c>
      <c r="J167">
        <f>J92</f>
        <v/>
      </c>
      <c r="K167">
        <f>K92</f>
        <v/>
      </c>
      <c r="L167" t="inlineStr">
        <is>
          <t>reg_deadlines_30d</t>
        </is>
      </c>
    </row>
    <row r="168">
      <c r="A168" t="inlineStr">
        <is>
          <t>SIG-020</t>
        </is>
      </c>
      <c r="B168" t="inlineStr">
        <is>
          <t>Licence expirations, next 12 months (same measure as REG-003)</t>
        </is>
      </c>
      <c r="C168" t="inlineStr">
        <is>
          <t>count</t>
        </is>
      </c>
      <c r="D168" t="inlineStr">
        <is>
          <t>Month end</t>
        </is>
      </c>
      <c r="E168" t="inlineStr">
        <is>
          <t>Alias of REG-003: same value</t>
        </is>
      </c>
      <c r="F168">
        <f>F93</f>
        <v/>
      </c>
      <c r="G168">
        <f>G93</f>
        <v/>
      </c>
      <c r="H168">
        <f>H93</f>
        <v/>
      </c>
      <c r="I168">
        <f>I93</f>
        <v/>
      </c>
      <c r="J168">
        <f>J93</f>
        <v/>
      </c>
      <c r="K168">
        <f>K93</f>
        <v/>
      </c>
      <c r="L168" t="inlineStr">
        <is>
          <t>licences_expiring_12m</t>
        </is>
      </c>
    </row>
    <row r="169">
      <c r="A169" t="inlineStr">
        <is>
          <t>RSK-001</t>
        </is>
      </c>
      <c r="B169" t="inlineStr">
        <is>
          <t>Open critical alerts (same measure as EFF-002)</t>
        </is>
      </c>
      <c r="C169" t="inlineStr">
        <is>
          <t>count</t>
        </is>
      </c>
      <c r="D169" t="inlineStr">
        <is>
          <t>Month end</t>
        </is>
      </c>
      <c r="E169" t="inlineStr">
        <is>
          <t>Alias of EFF-002: same value</t>
        </is>
      </c>
      <c r="F169">
        <f>F133</f>
        <v/>
      </c>
      <c r="G169">
        <f>G133</f>
        <v/>
      </c>
      <c r="H169">
        <f>H133</f>
        <v/>
      </c>
      <c r="I169">
        <f>I133</f>
        <v/>
      </c>
      <c r="J169">
        <f>J133</f>
        <v/>
      </c>
      <c r="K169">
        <f>K133</f>
        <v/>
      </c>
      <c r="L169" t="inlineStr">
        <is>
          <t>critical_alerts_open</t>
        </is>
      </c>
    </row>
    <row r="170">
      <c r="A170" t="inlineStr">
        <is>
          <t>RSK-002</t>
        </is>
      </c>
      <c r="B170" t="inlineStr">
        <is>
          <t>Severity incidents (same measure as EHS-002)</t>
        </is>
      </c>
      <c r="C170" t="inlineStr">
        <is>
          <t>count</t>
        </is>
      </c>
      <c r="D170" t="inlineStr">
        <is>
          <t>Month</t>
        </is>
      </c>
      <c r="E170" t="inlineStr">
        <is>
          <t>Alias of EHS-002: same value</t>
        </is>
      </c>
      <c r="F170">
        <f>F25</f>
        <v/>
      </c>
      <c r="G170">
        <f>G25</f>
        <v/>
      </c>
      <c r="H170">
        <f>H25</f>
        <v/>
      </c>
      <c r="I170">
        <f>I25</f>
        <v/>
      </c>
      <c r="J170">
        <f>J25</f>
        <v/>
      </c>
      <c r="K170">
        <f>K25</f>
        <v/>
      </c>
      <c r="L170" t="inlineStr">
        <is>
          <t>severity_incidents</t>
        </is>
      </c>
    </row>
    <row r="171">
      <c r="A171" t="inlineStr">
        <is>
          <t>STR-001</t>
        </is>
      </c>
      <c r="B171" t="inlineStr">
        <is>
          <t>Capex physical progress, weighted (same measure as CPX-004)</t>
        </is>
      </c>
      <c r="C171" t="inlineStr">
        <is>
          <t>%</t>
        </is>
      </c>
      <c r="D171" t="inlineStr">
        <is>
          <t>To date</t>
        </is>
      </c>
      <c r="E171" t="inlineStr">
        <is>
          <t>Alias of CPX-004: same value</t>
        </is>
      </c>
      <c r="F171">
        <f>F69</f>
        <v/>
      </c>
      <c r="G171">
        <f>G69</f>
        <v/>
      </c>
      <c r="H171">
        <f>H69</f>
        <v/>
      </c>
      <c r="I171">
        <f>I69</f>
        <v/>
      </c>
      <c r="J171">
        <f>J69</f>
        <v/>
      </c>
      <c r="K171">
        <f>K69</f>
        <v/>
      </c>
      <c r="L171" t="inlineStr">
        <is>
          <t>capex_budget_k, capex_earned_value_k</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7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10" customWidth="1" min="3" max="3"/>
    <col width="12" customWidth="1" min="4" max="4"/>
    <col width="60" customWidth="1" min="5" max="5"/>
  </cols>
  <sheetData>
    <row r="1">
      <c r="A1" s="26" t="inlineStr">
        <is>
          <t>KPI ID</t>
        </is>
      </c>
      <c r="B1" s="26" t="inlineStr">
        <is>
          <t>Measure</t>
        </is>
      </c>
      <c r="C1" s="26" t="inlineStr">
        <is>
          <t>Unit</t>
        </is>
      </c>
      <c r="D1" s="26" t="inlineStr">
        <is>
          <t>Time basis</t>
        </is>
      </c>
      <c r="E1" s="26" t="inlineStr">
        <is>
          <t>How it is calculated</t>
        </is>
      </c>
      <c r="F1" s="26" t="inlineStr">
        <is>
          <t>2026-04 (P01)</t>
        </is>
      </c>
      <c r="G1" s="26" t="inlineStr">
        <is>
          <t>2026-05 (P02)</t>
        </is>
      </c>
      <c r="H1" s="26" t="inlineStr">
        <is>
          <t>2026-06 (P03)</t>
        </is>
      </c>
      <c r="I1" s="26" t="inlineStr">
        <is>
          <t>2026-07 (P04)</t>
        </is>
      </c>
      <c r="J1" s="26" t="inlineStr">
        <is>
          <t>2026-08 (P05)</t>
        </is>
      </c>
      <c r="K1" s="26" t="inlineStr">
        <is>
          <t>2026-09 (P06)</t>
        </is>
      </c>
      <c r="L1" s="26" t="inlineStr">
        <is>
          <t>Inputs used</t>
        </is>
      </c>
    </row>
    <row r="2">
      <c r="A2" t="inlineStr">
        <is>
          <t>OPS-001</t>
        </is>
      </c>
      <c r="B2" t="inlineStr">
        <is>
          <t>Production vs plan</t>
        </is>
      </c>
      <c r="C2" t="inlineStr">
        <is>
          <t>%</t>
        </is>
      </c>
      <c r="D2" t="inlineStr">
        <is>
          <t>Month</t>
        </is>
      </c>
      <c r="E2" t="inlineStr">
        <is>
          <t>Good output ÷ Planned production × 100</t>
        </is>
      </c>
      <c r="F2">
        <f>ROUND(IFERROR(100*'A2 Inputs'!M4/'A2 Inputs'!K4,0),2)</f>
        <v/>
      </c>
      <c r="G2">
        <f>ROUND(IFERROR(100*'A2 Inputs'!M5/'A2 Inputs'!K5,0),2)</f>
        <v/>
      </c>
      <c r="H2">
        <f>ROUND(IFERROR(100*'A2 Inputs'!M6/'A2 Inputs'!K6,0),2)</f>
        <v/>
      </c>
      <c r="I2">
        <f>ROUND(IFERROR(100*'A2 Inputs'!M7/'A2 Inputs'!K7,0),2)</f>
        <v/>
      </c>
      <c r="J2">
        <f>ROUND(IFERROR(100*'A2 Inputs'!M8/'A2 Inputs'!K8,0),2)</f>
        <v/>
      </c>
      <c r="K2">
        <f>ROUND(IFERROR(100*'A2 Inputs'!M9/'A2 Inputs'!K9,0),2)</f>
        <v/>
      </c>
      <c r="L2" t="inlineStr">
        <is>
          <t>planned_production_t, good_output_t</t>
        </is>
      </c>
    </row>
    <row r="3">
      <c r="A3" t="inlineStr">
        <is>
          <t>OPS-003</t>
        </is>
      </c>
      <c r="B3" t="inlineStr">
        <is>
          <t>Capacity utilization</t>
        </is>
      </c>
      <c r="C3" t="inlineStr">
        <is>
          <t>%</t>
        </is>
      </c>
      <c r="D3" t="inlineStr">
        <is>
          <t>Month</t>
        </is>
      </c>
      <c r="E3" t="inlineStr">
        <is>
          <t>Good output ÷ Installed capacity × 100</t>
        </is>
      </c>
      <c r="F3">
        <f>ROUND(IFERROR(100*'A2 Inputs'!M4/'A2 Inputs'!J4,0),2)</f>
        <v/>
      </c>
      <c r="G3">
        <f>ROUND(IFERROR(100*'A2 Inputs'!M5/'A2 Inputs'!J5,0),2)</f>
        <v/>
      </c>
      <c r="H3">
        <f>ROUND(IFERROR(100*'A2 Inputs'!M6/'A2 Inputs'!J6,0),2)</f>
        <v/>
      </c>
      <c r="I3">
        <f>ROUND(IFERROR(100*'A2 Inputs'!M7/'A2 Inputs'!J7,0),2)</f>
        <v/>
      </c>
      <c r="J3">
        <f>ROUND(IFERROR(100*'A2 Inputs'!M8/'A2 Inputs'!J8,0),2)</f>
        <v/>
      </c>
      <c r="K3">
        <f>ROUND(IFERROR(100*'A2 Inputs'!M9/'A2 Inputs'!J9,0),2)</f>
        <v/>
      </c>
      <c r="L3" t="inlineStr">
        <is>
          <t>installed_capacity_t, good_output_t</t>
        </is>
      </c>
    </row>
    <row r="4">
      <c r="A4" t="inlineStr">
        <is>
          <t>PLT-001</t>
        </is>
      </c>
      <c r="B4" t="inlineStr">
        <is>
          <t>Asset utilization</t>
        </is>
      </c>
      <c r="C4" t="inlineStr">
        <is>
          <t>%</t>
        </is>
      </c>
      <c r="D4" t="inlineStr">
        <is>
          <t>Month</t>
        </is>
      </c>
      <c r="E4" t="inlineStr">
        <is>
          <t>Run hours ÷ Calendar hours × 100</t>
        </is>
      </c>
      <c r="F4">
        <f>ROUND(IFERROR(100*'A2 Inputs'!G4/'A2 Inputs'!E4,0),2)</f>
        <v/>
      </c>
      <c r="G4">
        <f>ROUND(IFERROR(100*'A2 Inputs'!G5/'A2 Inputs'!E5,0),2)</f>
        <v/>
      </c>
      <c r="H4">
        <f>ROUND(IFERROR(100*'A2 Inputs'!G6/'A2 Inputs'!E6,0),2)</f>
        <v/>
      </c>
      <c r="I4">
        <f>ROUND(IFERROR(100*'A2 Inputs'!G7/'A2 Inputs'!E7,0),2)</f>
        <v/>
      </c>
      <c r="J4">
        <f>ROUND(IFERROR(100*'A2 Inputs'!G8/'A2 Inputs'!E8,0),2)</f>
        <v/>
      </c>
      <c r="K4">
        <f>ROUND(IFERROR(100*'A2 Inputs'!G9/'A2 Inputs'!E9,0),2)</f>
        <v/>
      </c>
      <c r="L4" t="inlineStr">
        <is>
          <t>calendar_hours, run_hours</t>
        </is>
      </c>
    </row>
    <row r="5">
      <c r="A5" t="inlineStr">
        <is>
          <t>PLT-002</t>
        </is>
      </c>
      <c r="B5" t="inlineStr">
        <is>
          <t>OEE</t>
        </is>
      </c>
      <c r="C5" t="inlineStr">
        <is>
          <t>%</t>
        </is>
      </c>
      <c r="D5" t="inlineStr">
        <is>
          <t>Month</t>
        </is>
      </c>
      <c r="E5" t="inlineStr">
        <is>
          <t>Availability × Performance × Quality = Good output ÷ Ideal output × 100</t>
        </is>
      </c>
      <c r="F5">
        <f>ROUND(IFERROR(100*'A2 Inputs'!M4/'A2 Inputs'!I4,0),2)</f>
        <v/>
      </c>
      <c r="G5">
        <f>ROUND(IFERROR(100*'A2 Inputs'!M5/'A2 Inputs'!I5,0),2)</f>
        <v/>
      </c>
      <c r="H5">
        <f>ROUND(IFERROR(100*'A2 Inputs'!M6/'A2 Inputs'!I6,0),2)</f>
        <v/>
      </c>
      <c r="I5">
        <f>ROUND(IFERROR(100*'A2 Inputs'!M7/'A2 Inputs'!I7,0),2)</f>
        <v/>
      </c>
      <c r="J5">
        <f>ROUND(IFERROR(100*'A2 Inputs'!M8/'A2 Inputs'!I8,0),2)</f>
        <v/>
      </c>
      <c r="K5">
        <f>ROUND(IFERROR(100*'A2 Inputs'!M9/'A2 Inputs'!I9,0),2)</f>
        <v/>
      </c>
      <c r="L5" t="inlineStr">
        <is>
          <t>ideal_output_t, good_output_t</t>
        </is>
      </c>
    </row>
    <row r="6">
      <c r="A6" t="inlineStr">
        <is>
          <t>PLT-004</t>
        </is>
      </c>
      <c r="B6" t="inlineStr">
        <is>
          <t>Recovery percentage</t>
        </is>
      </c>
      <c r="C6" t="inlineStr">
        <is>
          <t>%</t>
        </is>
      </c>
      <c r="D6" t="inlineStr">
        <is>
          <t>Month</t>
        </is>
      </c>
      <c r="E6" t="inlineStr">
        <is>
          <t>Valuable content recovered ÷ Valuable content in feed × 100</t>
        </is>
      </c>
      <c r="F6">
        <f>ROUND(IFERROR(100*'A2 Inputs'!P4/'A2 Inputs'!O4,0),2)</f>
        <v/>
      </c>
      <c r="G6">
        <f>ROUND(IFERROR(100*'A2 Inputs'!P5/'A2 Inputs'!O5,0),2)</f>
        <v/>
      </c>
      <c r="H6">
        <f>ROUND(IFERROR(100*'A2 Inputs'!P6/'A2 Inputs'!O6,0),2)</f>
        <v/>
      </c>
      <c r="I6">
        <f>ROUND(IFERROR(100*'A2 Inputs'!P7/'A2 Inputs'!O7,0),2)</f>
        <v/>
      </c>
      <c r="J6">
        <f>ROUND(IFERROR(100*'A2 Inputs'!P8/'A2 Inputs'!O8,0),2)</f>
        <v/>
      </c>
      <c r="K6">
        <f>ROUND(IFERROR(100*'A2 Inputs'!P9/'A2 Inputs'!O9,0),2)</f>
        <v/>
      </c>
      <c r="L6" t="inlineStr">
        <is>
          <t>feed_contained_t, recovered_contained_t</t>
        </is>
      </c>
    </row>
    <row r="7">
      <c r="A7" t="inlineStr">
        <is>
          <t>PLT-005</t>
        </is>
      </c>
      <c r="B7" t="inlineStr">
        <is>
          <t>Yield</t>
        </is>
      </c>
      <c r="C7" t="inlineStr">
        <is>
          <t>%</t>
        </is>
      </c>
      <c r="D7" t="inlineStr">
        <is>
          <t>Month</t>
        </is>
      </c>
      <c r="E7" t="inlineStr">
        <is>
          <t>Good output ÷ Feed input × 100</t>
        </is>
      </c>
      <c r="F7">
        <f>ROUND(IFERROR(100*'A2 Inputs'!M4/'A2 Inputs'!N4,0),2)</f>
        <v/>
      </c>
      <c r="G7">
        <f>ROUND(IFERROR(100*'A2 Inputs'!M5/'A2 Inputs'!N5,0),2)</f>
        <v/>
      </c>
      <c r="H7">
        <f>ROUND(IFERROR(100*'A2 Inputs'!M6/'A2 Inputs'!N6,0),2)</f>
        <v/>
      </c>
      <c r="I7">
        <f>ROUND(IFERROR(100*'A2 Inputs'!M7/'A2 Inputs'!N7,0),2)</f>
        <v/>
      </c>
      <c r="J7">
        <f>ROUND(IFERROR(100*'A2 Inputs'!M8/'A2 Inputs'!N8,0),2)</f>
        <v/>
      </c>
      <c r="K7">
        <f>ROUND(IFERROR(100*'A2 Inputs'!M9/'A2 Inputs'!N9,0),2)</f>
        <v/>
      </c>
      <c r="L7" t="inlineStr">
        <is>
          <t>good_output_t, feed_input_t</t>
        </is>
      </c>
    </row>
    <row r="8">
      <c r="A8" t="inlineStr">
        <is>
          <t>REL-001</t>
        </is>
      </c>
      <c r="B8" t="inlineStr">
        <is>
          <t>MTBF</t>
        </is>
      </c>
      <c r="C8" t="inlineStr">
        <is>
          <t>h</t>
        </is>
      </c>
      <c r="D8" t="inlineStr">
        <is>
          <t>Month</t>
        </is>
      </c>
      <c r="E8" t="inlineStr">
        <is>
          <t>Run hours ÷ Breakdowns</t>
        </is>
      </c>
      <c r="F8">
        <f>ROUND(IFERROR('A2 Inputs'!G4/'A2 Inputs'!R4,0),2)</f>
        <v/>
      </c>
      <c r="G8">
        <f>ROUND(IFERROR('A2 Inputs'!G5/'A2 Inputs'!R5,0),2)</f>
        <v/>
      </c>
      <c r="H8">
        <f>ROUND(IFERROR('A2 Inputs'!G6/'A2 Inputs'!R6,0),2)</f>
        <v/>
      </c>
      <c r="I8">
        <f>ROUND(IFERROR('A2 Inputs'!G7/'A2 Inputs'!R7,0),2)</f>
        <v/>
      </c>
      <c r="J8">
        <f>ROUND(IFERROR('A2 Inputs'!G8/'A2 Inputs'!R8,0),2)</f>
        <v/>
      </c>
      <c r="K8">
        <f>ROUND(IFERROR('A2 Inputs'!G9/'A2 Inputs'!R9,0),2)</f>
        <v/>
      </c>
      <c r="L8" t="inlineStr">
        <is>
          <t>run_hours, failures</t>
        </is>
      </c>
    </row>
    <row r="9">
      <c r="A9" t="inlineStr">
        <is>
          <t>REL-002</t>
        </is>
      </c>
      <c r="B9" t="inlineStr">
        <is>
          <t>Mean Time to Repair</t>
        </is>
      </c>
      <c r="C9" t="inlineStr">
        <is>
          <t>h</t>
        </is>
      </c>
      <c r="D9" t="inlineStr">
        <is>
          <t>Month</t>
        </is>
      </c>
      <c r="E9" t="inlineStr">
        <is>
          <t>Repair hours ÷ Breakdowns</t>
        </is>
      </c>
      <c r="F9">
        <f>ROUND(IFERROR('A2 Inputs'!S4/'A2 Inputs'!R4,0),2)</f>
        <v/>
      </c>
      <c r="G9">
        <f>ROUND(IFERROR('A2 Inputs'!S5/'A2 Inputs'!R5,0),2)</f>
        <v/>
      </c>
      <c r="H9">
        <f>ROUND(IFERROR('A2 Inputs'!S6/'A2 Inputs'!R6,0),2)</f>
        <v/>
      </c>
      <c r="I9">
        <f>ROUND(IFERROR('A2 Inputs'!S7/'A2 Inputs'!R7,0),2)</f>
        <v/>
      </c>
      <c r="J9">
        <f>ROUND(IFERROR('A2 Inputs'!S8/'A2 Inputs'!R8,0),2)</f>
        <v/>
      </c>
      <c r="K9">
        <f>ROUND(IFERROR('A2 Inputs'!S9/'A2 Inputs'!R9,0),2)</f>
        <v/>
      </c>
      <c r="L9" t="inlineStr">
        <is>
          <t>failures, repair_hours</t>
        </is>
      </c>
    </row>
    <row r="10">
      <c r="A10" t="inlineStr">
        <is>
          <t>REL-003</t>
        </is>
      </c>
      <c r="B10" t="inlineStr">
        <is>
          <t>Unplanned downtime</t>
        </is>
      </c>
      <c r="C10" t="inlineStr">
        <is>
          <t>h</t>
        </is>
      </c>
      <c r="D10" t="inlineStr">
        <is>
          <t>Month</t>
        </is>
      </c>
      <c r="E10" t="inlineStr">
        <is>
          <t>Unplanned downtime</t>
        </is>
      </c>
      <c r="F10">
        <f>ROUND('A2 Inputs'!H4,2)</f>
        <v/>
      </c>
      <c r="G10">
        <f>ROUND('A2 Inputs'!H5,2)</f>
        <v/>
      </c>
      <c r="H10">
        <f>ROUND('A2 Inputs'!H6,2)</f>
        <v/>
      </c>
      <c r="I10">
        <f>ROUND('A2 Inputs'!H7,2)</f>
        <v/>
      </c>
      <c r="J10">
        <f>ROUND('A2 Inputs'!H8,2)</f>
        <v/>
      </c>
      <c r="K10">
        <f>ROUND('A2 Inputs'!H9,2)</f>
        <v/>
      </c>
      <c r="L10" t="inlineStr">
        <is>
          <t>unplanned_downtime_hours</t>
        </is>
      </c>
    </row>
    <row r="11">
      <c r="A11" t="inlineStr">
        <is>
          <t>REL-004</t>
        </is>
      </c>
      <c r="B11" t="inlineStr">
        <is>
          <t>Production loss from downtime</t>
        </is>
      </c>
      <c r="C11" t="inlineStr">
        <is>
          <t>t</t>
        </is>
      </c>
      <c r="D11" t="inlineStr">
        <is>
          <t>Month</t>
        </is>
      </c>
      <c r="E11" t="inlineStr">
        <is>
          <t>Production lost to downtime</t>
        </is>
      </c>
      <c r="F11">
        <f>ROUND('A2 Inputs'!Q4,2)</f>
        <v/>
      </c>
      <c r="G11">
        <f>ROUND('A2 Inputs'!Q5,2)</f>
        <v/>
      </c>
      <c r="H11">
        <f>ROUND('A2 Inputs'!Q6,2)</f>
        <v/>
      </c>
      <c r="I11">
        <f>ROUND('A2 Inputs'!Q7,2)</f>
        <v/>
      </c>
      <c r="J11">
        <f>ROUND('A2 Inputs'!Q8,2)</f>
        <v/>
      </c>
      <c r="K11">
        <f>ROUND('A2 Inputs'!Q9,2)</f>
        <v/>
      </c>
      <c r="L11" t="inlineStr">
        <is>
          <t>prod_loss_downtime_t</t>
        </is>
      </c>
    </row>
    <row r="12">
      <c r="A12" t="inlineStr">
        <is>
          <t>REL-005</t>
        </is>
      </c>
      <c r="B12" t="inlineStr">
        <is>
          <t>Preventive-maintenance compliance</t>
        </is>
      </c>
      <c r="C12" t="inlineStr">
        <is>
          <t>%</t>
        </is>
      </c>
      <c r="D12" t="inlineStr">
        <is>
          <t>Month</t>
        </is>
      </c>
      <c r="E12" t="inlineStr">
        <is>
          <t>Preventive maintenance completed ÷ Preventive maintenance scheduled × 100</t>
        </is>
      </c>
      <c r="F12">
        <f>ROUND(IFERROR(100*'A2 Inputs'!U4/'A2 Inputs'!T4,0),2)</f>
        <v/>
      </c>
      <c r="G12">
        <f>ROUND(IFERROR(100*'A2 Inputs'!U5/'A2 Inputs'!T5,0),2)</f>
        <v/>
      </c>
      <c r="H12">
        <f>ROUND(IFERROR(100*'A2 Inputs'!U6/'A2 Inputs'!T6,0),2)</f>
        <v/>
      </c>
      <c r="I12">
        <f>ROUND(IFERROR(100*'A2 Inputs'!U7/'A2 Inputs'!T7,0),2)</f>
        <v/>
      </c>
      <c r="J12">
        <f>ROUND(IFERROR(100*'A2 Inputs'!U8/'A2 Inputs'!T8,0),2)</f>
        <v/>
      </c>
      <c r="K12">
        <f>ROUND(IFERROR(100*'A2 Inputs'!U9/'A2 Inputs'!T9,0),2)</f>
        <v/>
      </c>
      <c r="L12" t="inlineStr">
        <is>
          <t>pm_scheduled, pm_completed</t>
        </is>
      </c>
    </row>
    <row r="13">
      <c r="A13" t="inlineStr">
        <is>
          <t>CST-001</t>
        </is>
      </c>
      <c r="B13" t="inlineStr">
        <is>
          <t>Cost per tonne</t>
        </is>
      </c>
      <c r="C13" t="inlineStr">
        <is>
          <t>₹/t</t>
        </is>
      </c>
      <c r="D13" t="inlineStr">
        <is>
          <t>Month</t>
        </is>
      </c>
      <c r="E13" t="inlineStr">
        <is>
          <t>(Variable cost + Fixed cost) × 1000 ÷ Good output</t>
        </is>
      </c>
      <c r="F13">
        <f>ROUND(IFERROR(1000*('A2 Inputs'!V4+'A2 Inputs'!X4)/'A2 Inputs'!M4,0),2)</f>
        <v/>
      </c>
      <c r="G13">
        <f>ROUND(IFERROR(1000*('A2 Inputs'!V5+'A2 Inputs'!X5)/'A2 Inputs'!M5,0),2)</f>
        <v/>
      </c>
      <c r="H13">
        <f>ROUND(IFERROR(1000*('A2 Inputs'!V6+'A2 Inputs'!X6)/'A2 Inputs'!M6,0),2)</f>
        <v/>
      </c>
      <c r="I13">
        <f>ROUND(IFERROR(1000*('A2 Inputs'!V7+'A2 Inputs'!X7)/'A2 Inputs'!M7,0),2)</f>
        <v/>
      </c>
      <c r="J13">
        <f>ROUND(IFERROR(1000*('A2 Inputs'!V8+'A2 Inputs'!X8)/'A2 Inputs'!M8,0),2)</f>
        <v/>
      </c>
      <c r="K13">
        <f>ROUND(IFERROR(1000*('A2 Inputs'!V9+'A2 Inputs'!X9)/'A2 Inputs'!M9,0),2)</f>
        <v/>
      </c>
      <c r="L13" t="inlineStr">
        <is>
          <t>good_output_t, variable_cost_k, fixed_cost_k</t>
        </is>
      </c>
    </row>
    <row r="14">
      <c r="A14" t="inlineStr">
        <is>
          <t>CST-002</t>
        </is>
      </c>
      <c r="B14" t="inlineStr">
        <is>
          <t>Variable cost</t>
        </is>
      </c>
      <c r="C14" t="inlineStr">
        <is>
          <t>₹ thousand</t>
        </is>
      </c>
      <c r="D14" t="inlineStr">
        <is>
          <t>Month</t>
        </is>
      </c>
      <c r="E14" t="inlineStr">
        <is>
          <t>Variable cost</t>
        </is>
      </c>
      <c r="F14">
        <f>ROUND('A2 Inputs'!V4,2)</f>
        <v/>
      </c>
      <c r="G14">
        <f>ROUND('A2 Inputs'!V5,2)</f>
        <v/>
      </c>
      <c r="H14">
        <f>ROUND('A2 Inputs'!V6,2)</f>
        <v/>
      </c>
      <c r="I14">
        <f>ROUND('A2 Inputs'!V7,2)</f>
        <v/>
      </c>
      <c r="J14">
        <f>ROUND('A2 Inputs'!V8,2)</f>
        <v/>
      </c>
      <c r="K14">
        <f>ROUND('A2 Inputs'!V9,2)</f>
        <v/>
      </c>
      <c r="L14" t="inlineStr">
        <is>
          <t>variable_cost_k</t>
        </is>
      </c>
    </row>
    <row r="15">
      <c r="A15" t="inlineStr">
        <is>
          <t>CST-003</t>
        </is>
      </c>
      <c r="B15" t="inlineStr">
        <is>
          <t>Fuel cost</t>
        </is>
      </c>
      <c r="C15" t="inlineStr">
        <is>
          <t>₹ thousand</t>
        </is>
      </c>
      <c r="D15" t="inlineStr">
        <is>
          <t>Month</t>
        </is>
      </c>
      <c r="E15" t="inlineStr">
        <is>
          <t>Fuel cost</t>
        </is>
      </c>
      <c r="F15">
        <f>ROUND('A2 Inputs'!W4,2)</f>
        <v/>
      </c>
      <c r="G15">
        <f>ROUND('A2 Inputs'!W5,2)</f>
        <v/>
      </c>
      <c r="H15">
        <f>ROUND('A2 Inputs'!W6,2)</f>
        <v/>
      </c>
      <c r="I15">
        <f>ROUND('A2 Inputs'!W7,2)</f>
        <v/>
      </c>
      <c r="J15">
        <f>ROUND('A2 Inputs'!W8,2)</f>
        <v/>
      </c>
      <c r="K15">
        <f>ROUND('A2 Inputs'!W9,2)</f>
        <v/>
      </c>
      <c r="L15" t="inlineStr">
        <is>
          <t>fuel_cost_k</t>
        </is>
      </c>
    </row>
    <row r="16">
      <c r="A16" t="inlineStr">
        <is>
          <t>SUS-001</t>
        </is>
      </c>
      <c r="B16" t="inlineStr">
        <is>
          <t>Water usage</t>
        </is>
      </c>
      <c r="C16" t="inlineStr">
        <is>
          <t>m3</t>
        </is>
      </c>
      <c r="D16" t="inlineStr">
        <is>
          <t>Month</t>
        </is>
      </c>
      <c r="E16" t="inlineStr">
        <is>
          <t>Water used</t>
        </is>
      </c>
      <c r="F16">
        <f>ROUND('A2 Inputs'!Y4,2)</f>
        <v/>
      </c>
      <c r="G16">
        <f>ROUND('A2 Inputs'!Y5,2)</f>
        <v/>
      </c>
      <c r="H16">
        <f>ROUND('A2 Inputs'!Y6,2)</f>
        <v/>
      </c>
      <c r="I16">
        <f>ROUND('A2 Inputs'!Y7,2)</f>
        <v/>
      </c>
      <c r="J16">
        <f>ROUND('A2 Inputs'!Y8,2)</f>
        <v/>
      </c>
      <c r="K16">
        <f>ROUND('A2 Inputs'!Y9,2)</f>
        <v/>
      </c>
      <c r="L16" t="inlineStr">
        <is>
          <t>water_m3</t>
        </is>
      </c>
    </row>
    <row r="17">
      <c r="A17" t="inlineStr">
        <is>
          <t>SUS-002</t>
        </is>
      </c>
      <c r="B17" t="inlineStr">
        <is>
          <t>Emissions</t>
        </is>
      </c>
      <c r="C17" t="inlineStr">
        <is>
          <t>tCO2e</t>
        </is>
      </c>
      <c r="D17" t="inlineStr">
        <is>
          <t>Month</t>
        </is>
      </c>
      <c r="E17" t="inlineStr">
        <is>
          <t>Emissions</t>
        </is>
      </c>
      <c r="F17">
        <f>ROUND('A2 Inputs'!Z4,2)</f>
        <v/>
      </c>
      <c r="G17">
        <f>ROUND('A2 Inputs'!Z5,2)</f>
        <v/>
      </c>
      <c r="H17">
        <f>ROUND('A2 Inputs'!Z6,2)</f>
        <v/>
      </c>
      <c r="I17">
        <f>ROUND('A2 Inputs'!Z7,2)</f>
        <v/>
      </c>
      <c r="J17">
        <f>ROUND('A2 Inputs'!Z8,2)</f>
        <v/>
      </c>
      <c r="K17">
        <f>ROUND('A2 Inputs'!Z9,2)</f>
        <v/>
      </c>
      <c r="L17" t="inlineStr">
        <is>
          <t>emissions_tco2e</t>
        </is>
      </c>
    </row>
    <row r="18">
      <c r="A18" t="inlineStr">
        <is>
          <t>SUS-003</t>
        </is>
      </c>
      <c r="B18" t="inlineStr">
        <is>
          <t>Energy intensity</t>
        </is>
      </c>
      <c r="C18" t="inlineStr">
        <is>
          <t>GJ/t</t>
        </is>
      </c>
      <c r="D18" t="inlineStr">
        <is>
          <t>Month</t>
        </is>
      </c>
      <c r="E18" t="inlineStr">
        <is>
          <t>Energy used ÷ Good output</t>
        </is>
      </c>
      <c r="F18">
        <f>ROUND(IFERROR('A2 Inputs'!AA4/'A2 Inputs'!M4,0),2)</f>
        <v/>
      </c>
      <c r="G18">
        <f>ROUND(IFERROR('A2 Inputs'!AA5/'A2 Inputs'!M5,0),2)</f>
        <v/>
      </c>
      <c r="H18">
        <f>ROUND(IFERROR('A2 Inputs'!AA6/'A2 Inputs'!M6,0),2)</f>
        <v/>
      </c>
      <c r="I18">
        <f>ROUND(IFERROR('A2 Inputs'!AA7/'A2 Inputs'!M7,0),2)</f>
        <v/>
      </c>
      <c r="J18">
        <f>ROUND(IFERROR('A2 Inputs'!AA8/'A2 Inputs'!M8,0),2)</f>
        <v/>
      </c>
      <c r="K18">
        <f>ROUND(IFERROR('A2 Inputs'!AA9/'A2 Inputs'!M9,0),2)</f>
        <v/>
      </c>
      <c r="L18" t="inlineStr">
        <is>
          <t>good_output_t, energy_gj</t>
        </is>
      </c>
    </row>
    <row r="19">
      <c r="A19" t="inlineStr">
        <is>
          <t>SIG-007</t>
        </is>
      </c>
      <c r="B19" t="inlineStr">
        <is>
          <t>Production at risk</t>
        </is>
      </c>
      <c r="C19" t="inlineStr">
        <is>
          <t>t</t>
        </is>
      </c>
      <c r="D19" t="inlineStr">
        <is>
          <t>Month</t>
        </is>
      </c>
      <c r="E19" t="inlineStr">
        <is>
          <t>Production at risk</t>
        </is>
      </c>
      <c r="F19">
        <f>ROUND('A2 Inputs'!AB4,2)</f>
        <v/>
      </c>
      <c r="G19">
        <f>ROUND('A2 Inputs'!AB5,2)</f>
        <v/>
      </c>
      <c r="H19">
        <f>ROUND('A2 Inputs'!AB6,2)</f>
        <v/>
      </c>
      <c r="I19">
        <f>ROUND('A2 Inputs'!AB7,2)</f>
        <v/>
      </c>
      <c r="J19">
        <f>ROUND('A2 Inputs'!AB8,2)</f>
        <v/>
      </c>
      <c r="K19">
        <f>ROUND('A2 Inputs'!AB9,2)</f>
        <v/>
      </c>
      <c r="L19" t="inlineStr">
        <is>
          <t>production_at_risk_t</t>
        </is>
      </c>
    </row>
    <row r="20">
      <c r="A20" t="inlineStr">
        <is>
          <t>SIG-008</t>
        </is>
      </c>
      <c r="B20" t="inlineStr">
        <is>
          <t>Critical plant-state alerts</t>
        </is>
      </c>
      <c r="C20" t="inlineStr">
        <is>
          <t>count</t>
        </is>
      </c>
      <c r="D20" t="inlineStr">
        <is>
          <t>Month</t>
        </is>
      </c>
      <c r="E20" t="inlineStr">
        <is>
          <t>Critical plant alerts</t>
        </is>
      </c>
      <c r="F20">
        <f>ROUND('A2 Inputs'!AC4,2)</f>
        <v/>
      </c>
      <c r="G20">
        <f>ROUND('A2 Inputs'!AC5,2)</f>
        <v/>
      </c>
      <c r="H20">
        <f>ROUND('A2 Inputs'!AC6,2)</f>
        <v/>
      </c>
      <c r="I20">
        <f>ROUND('A2 Inputs'!AC7,2)</f>
        <v/>
      </c>
      <c r="J20">
        <f>ROUND('A2 Inputs'!AC8,2)</f>
        <v/>
      </c>
      <c r="K20">
        <f>ROUND('A2 Inputs'!AC9,2)</f>
        <v/>
      </c>
      <c r="L20" t="inlineStr">
        <is>
          <t>critical_plant_alerts</t>
        </is>
      </c>
    </row>
    <row r="21">
      <c r="A21" t="inlineStr">
        <is>
          <t>SIG-009</t>
        </is>
      </c>
      <c r="B21" t="inlineStr">
        <is>
          <t>Critical-material shortage risk</t>
        </is>
      </c>
      <c r="C21" t="inlineStr">
        <is>
          <t>count</t>
        </is>
      </c>
      <c r="D21" t="inlineStr">
        <is>
          <t>Month</t>
        </is>
      </c>
      <c r="E21" t="inlineStr">
        <is>
          <t>Critical materials at risk</t>
        </is>
      </c>
      <c r="F21">
        <f>ROUND('A2 Inputs'!AO4,2)</f>
        <v/>
      </c>
      <c r="G21">
        <f>ROUND('A2 Inputs'!AO5,2)</f>
        <v/>
      </c>
      <c r="H21">
        <f>ROUND('A2 Inputs'!AO6,2)</f>
        <v/>
      </c>
      <c r="I21">
        <f>ROUND('A2 Inputs'!AO7,2)</f>
        <v/>
      </c>
      <c r="J21">
        <f>ROUND('A2 Inputs'!AO8,2)</f>
        <v/>
      </c>
      <c r="K21">
        <f>ROUND('A2 Inputs'!AO9,2)</f>
        <v/>
      </c>
      <c r="L21" t="inlineStr">
        <is>
          <t>critical_material_risks</t>
        </is>
      </c>
    </row>
    <row r="22">
      <c r="A22" t="inlineStr">
        <is>
          <t>SIG-012</t>
        </is>
      </c>
      <c r="B22" t="inlineStr">
        <is>
          <t>Dispatch delays</t>
        </is>
      </c>
      <c r="C22" t="inlineStr">
        <is>
          <t>%</t>
        </is>
      </c>
      <c r="D22" t="inlineStr">
        <is>
          <t>Month</t>
        </is>
      </c>
      <c r="E22" t="inlineStr">
        <is>
          <t>Delayed dispatches ÷ Dispatches × 100</t>
        </is>
      </c>
      <c r="F22">
        <f>ROUND(IFERROR(100*'A2 Inputs'!AQ4/'A2 Inputs'!AP4,0),2)</f>
        <v/>
      </c>
      <c r="G22">
        <f>ROUND(IFERROR(100*'A2 Inputs'!AQ5/'A2 Inputs'!AP5,0),2)</f>
        <v/>
      </c>
      <c r="H22">
        <f>ROUND(IFERROR(100*'A2 Inputs'!AQ6/'A2 Inputs'!AP6,0),2)</f>
        <v/>
      </c>
      <c r="I22">
        <f>ROUND(IFERROR(100*'A2 Inputs'!AQ7/'A2 Inputs'!AP7,0),2)</f>
        <v/>
      </c>
      <c r="J22">
        <f>ROUND(IFERROR(100*'A2 Inputs'!AQ8/'A2 Inputs'!AP8,0),2)</f>
        <v/>
      </c>
      <c r="K22">
        <f>ROUND(IFERROR(100*'A2 Inputs'!AQ9/'A2 Inputs'!AP9,0),2)</f>
        <v/>
      </c>
      <c r="L22" t="inlineStr">
        <is>
          <t>dispatches_total, dispatches_delayed</t>
        </is>
      </c>
    </row>
    <row r="23">
      <c r="A23" t="inlineStr">
        <is>
          <t>SIG-021</t>
        </is>
      </c>
      <c r="B23" t="inlineStr">
        <is>
          <t>Environmental violations</t>
        </is>
      </c>
      <c r="C23" t="inlineStr">
        <is>
          <t>count</t>
        </is>
      </c>
      <c r="D23" t="inlineStr">
        <is>
          <t>Month</t>
        </is>
      </c>
      <c r="E23" t="inlineStr">
        <is>
          <t>Environmental violations</t>
        </is>
      </c>
      <c r="F23">
        <f>ROUND('A2 Inputs'!AJ4,2)</f>
        <v/>
      </c>
      <c r="G23">
        <f>ROUND('A2 Inputs'!AJ5,2)</f>
        <v/>
      </c>
      <c r="H23">
        <f>ROUND('A2 Inputs'!AJ6,2)</f>
        <v/>
      </c>
      <c r="I23">
        <f>ROUND('A2 Inputs'!AJ7,2)</f>
        <v/>
      </c>
      <c r="J23">
        <f>ROUND('A2 Inputs'!AJ8,2)</f>
        <v/>
      </c>
      <c r="K23">
        <f>ROUND('A2 Inputs'!AJ9,2)</f>
        <v/>
      </c>
      <c r="L23" t="inlineStr">
        <is>
          <t>env_violations</t>
        </is>
      </c>
    </row>
    <row r="24">
      <c r="A24" t="inlineStr">
        <is>
          <t>EHS-001</t>
        </is>
      </c>
      <c r="B24" t="inlineStr">
        <is>
          <t>TRIR</t>
        </is>
      </c>
      <c r="C24" t="inlineStr">
        <is>
          <t>per 200,000 h</t>
        </is>
      </c>
      <c r="D24" t="inlineStr">
        <is>
          <t>Month</t>
        </is>
      </c>
      <c r="E24" t="inlineStr">
        <is>
          <t>Recordable injuries × 200,000 ÷ Hours worked</t>
        </is>
      </c>
      <c r="F24">
        <f>ROUND(IFERROR(200000*'A2 Inputs'!AE4/'A2 Inputs'!AD4,0),2)</f>
        <v/>
      </c>
      <c r="G24">
        <f>ROUND(IFERROR(200000*'A2 Inputs'!AE5/'A2 Inputs'!AD5,0),2)</f>
        <v/>
      </c>
      <c r="H24">
        <f>ROUND(IFERROR(200000*'A2 Inputs'!AE6/'A2 Inputs'!AD6,0),2)</f>
        <v/>
      </c>
      <c r="I24">
        <f>ROUND(IFERROR(200000*'A2 Inputs'!AE7/'A2 Inputs'!AD7,0),2)</f>
        <v/>
      </c>
      <c r="J24">
        <f>ROUND(IFERROR(200000*'A2 Inputs'!AE8/'A2 Inputs'!AD8,0),2)</f>
        <v/>
      </c>
      <c r="K24">
        <f>ROUND(IFERROR(200000*'A2 Inputs'!AE9/'A2 Inputs'!AD9,0),2)</f>
        <v/>
      </c>
      <c r="L24" t="inlineStr">
        <is>
          <t>hours_worked, recordable_injuries</t>
        </is>
      </c>
    </row>
    <row r="25">
      <c r="A25" t="inlineStr">
        <is>
          <t>EHS-002</t>
        </is>
      </c>
      <c r="B25" t="inlineStr">
        <is>
          <t>Severity incidents</t>
        </is>
      </c>
      <c r="C25" t="inlineStr">
        <is>
          <t>count</t>
        </is>
      </c>
      <c r="D25" t="inlineStr">
        <is>
          <t>Month</t>
        </is>
      </c>
      <c r="E25" t="inlineStr">
        <is>
          <t>Severity incidents</t>
        </is>
      </c>
      <c r="F25">
        <f>ROUND('A2 Inputs'!AF4,2)</f>
        <v/>
      </c>
      <c r="G25">
        <f>ROUND('A2 Inputs'!AF5,2)</f>
        <v/>
      </c>
      <c r="H25">
        <f>ROUND('A2 Inputs'!AF6,2)</f>
        <v/>
      </c>
      <c r="I25">
        <f>ROUND('A2 Inputs'!AF7,2)</f>
        <v/>
      </c>
      <c r="J25">
        <f>ROUND('A2 Inputs'!AF8,2)</f>
        <v/>
      </c>
      <c r="K25">
        <f>ROUND('A2 Inputs'!AF9,2)</f>
        <v/>
      </c>
      <c r="L25" t="inlineStr">
        <is>
          <t>severity_incidents</t>
        </is>
      </c>
    </row>
    <row r="26">
      <c r="A26" t="inlineStr">
        <is>
          <t>EHS-003</t>
        </is>
      </c>
      <c r="B26" t="inlineStr">
        <is>
          <t>Near misses</t>
        </is>
      </c>
      <c r="C26" t="inlineStr">
        <is>
          <t>count</t>
        </is>
      </c>
      <c r="D26" t="inlineStr">
        <is>
          <t>Month</t>
        </is>
      </c>
      <c r="E26" t="inlineStr">
        <is>
          <t>Near misses</t>
        </is>
      </c>
      <c r="F26">
        <f>ROUND('A2 Inputs'!AG4,2)</f>
        <v/>
      </c>
      <c r="G26">
        <f>ROUND('A2 Inputs'!AG5,2)</f>
        <v/>
      </c>
      <c r="H26">
        <f>ROUND('A2 Inputs'!AG6,2)</f>
        <v/>
      </c>
      <c r="I26">
        <f>ROUND('A2 Inputs'!AG7,2)</f>
        <v/>
      </c>
      <c r="J26">
        <f>ROUND('A2 Inputs'!AG8,2)</f>
        <v/>
      </c>
      <c r="K26">
        <f>ROUND('A2 Inputs'!AG9,2)</f>
        <v/>
      </c>
      <c r="L26" t="inlineStr">
        <is>
          <t>near_misses</t>
        </is>
      </c>
    </row>
    <row r="27">
      <c r="A27" t="inlineStr">
        <is>
          <t>EHS-004</t>
        </is>
      </c>
      <c r="B27" t="inlineStr">
        <is>
          <t>Critical safety incidents</t>
        </is>
      </c>
      <c r="C27" t="inlineStr">
        <is>
          <t>count</t>
        </is>
      </c>
      <c r="D27" t="inlineStr">
        <is>
          <t>Month</t>
        </is>
      </c>
      <c r="E27" t="inlineStr">
        <is>
          <t>Critical safety incidents</t>
        </is>
      </c>
      <c r="F27">
        <f>ROUND('A2 Inputs'!AH4,2)</f>
        <v/>
      </c>
      <c r="G27">
        <f>ROUND('A2 Inputs'!AH5,2)</f>
        <v/>
      </c>
      <c r="H27">
        <f>ROUND('A2 Inputs'!AH6,2)</f>
        <v/>
      </c>
      <c r="I27">
        <f>ROUND('A2 Inputs'!AH7,2)</f>
        <v/>
      </c>
      <c r="J27">
        <f>ROUND('A2 Inputs'!AH8,2)</f>
        <v/>
      </c>
      <c r="K27">
        <f>ROUND('A2 Inputs'!AH9,2)</f>
        <v/>
      </c>
      <c r="L27" t="inlineStr">
        <is>
          <t>critical_safety_incidents</t>
        </is>
      </c>
    </row>
    <row r="28">
      <c r="A28" t="inlineStr">
        <is>
          <t>EHS-005</t>
        </is>
      </c>
      <c r="B28" t="inlineStr">
        <is>
          <t>Environmental excursions</t>
        </is>
      </c>
      <c r="C28" t="inlineStr">
        <is>
          <t>count</t>
        </is>
      </c>
      <c r="D28" t="inlineStr">
        <is>
          <t>Month</t>
        </is>
      </c>
      <c r="E28" t="inlineStr">
        <is>
          <t>Environmental excursions</t>
        </is>
      </c>
      <c r="F28">
        <f>ROUND('A2 Inputs'!AI4,2)</f>
        <v/>
      </c>
      <c r="G28">
        <f>ROUND('A2 Inputs'!AI5,2)</f>
        <v/>
      </c>
      <c r="H28">
        <f>ROUND('A2 Inputs'!AI6,2)</f>
        <v/>
      </c>
      <c r="I28">
        <f>ROUND('A2 Inputs'!AI7,2)</f>
        <v/>
      </c>
      <c r="J28">
        <f>ROUND('A2 Inputs'!AI8,2)</f>
        <v/>
      </c>
      <c r="K28">
        <f>ROUND('A2 Inputs'!AI9,2)</f>
        <v/>
      </c>
      <c r="L28" t="inlineStr">
        <is>
          <t>env_excursions</t>
        </is>
      </c>
    </row>
    <row r="29">
      <c r="A29" t="inlineStr">
        <is>
          <t>EHS-006</t>
        </is>
      </c>
      <c r="B29" t="inlineStr">
        <is>
          <t>Open EHS corrective actions</t>
        </is>
      </c>
      <c r="C29" t="inlineStr">
        <is>
          <t>count</t>
        </is>
      </c>
      <c r="D29" t="inlineStr">
        <is>
          <t>Month</t>
        </is>
      </c>
      <c r="E29" t="inlineStr">
        <is>
          <t>Open EHS corrective actions</t>
        </is>
      </c>
      <c r="F29">
        <f>ROUND('A2 Inputs'!AK4,2)</f>
        <v/>
      </c>
      <c r="G29">
        <f>ROUND('A2 Inputs'!AK5,2)</f>
        <v/>
      </c>
      <c r="H29">
        <f>ROUND('A2 Inputs'!AK6,2)</f>
        <v/>
      </c>
      <c r="I29">
        <f>ROUND('A2 Inputs'!AK7,2)</f>
        <v/>
      </c>
      <c r="J29">
        <f>ROUND('A2 Inputs'!AK8,2)</f>
        <v/>
      </c>
      <c r="K29">
        <f>ROUND('A2 Inputs'!AK9,2)</f>
        <v/>
      </c>
      <c r="L29" t="inlineStr">
        <is>
          <t>ehs_ca_open</t>
        </is>
      </c>
    </row>
    <row r="30">
      <c r="A30" t="inlineStr">
        <is>
          <t>EHS-007</t>
        </is>
      </c>
      <c r="B30" t="inlineStr">
        <is>
          <t>Overdue EHS actions</t>
        </is>
      </c>
      <c r="C30" t="inlineStr">
        <is>
          <t>count</t>
        </is>
      </c>
      <c r="D30" t="inlineStr">
        <is>
          <t>Month</t>
        </is>
      </c>
      <c r="E30" t="inlineStr">
        <is>
          <t>Overdue EHS corrective actions</t>
        </is>
      </c>
      <c r="F30">
        <f>ROUND('A2 Inputs'!AL4,2)</f>
        <v/>
      </c>
      <c r="G30">
        <f>ROUND('A2 Inputs'!AL5,2)</f>
        <v/>
      </c>
      <c r="H30">
        <f>ROUND('A2 Inputs'!AL6,2)</f>
        <v/>
      </c>
      <c r="I30">
        <f>ROUND('A2 Inputs'!AL7,2)</f>
        <v/>
      </c>
      <c r="J30">
        <f>ROUND('A2 Inputs'!AL8,2)</f>
        <v/>
      </c>
      <c r="K30">
        <f>ROUND('A2 Inputs'!AL9,2)</f>
        <v/>
      </c>
      <c r="L30" t="inlineStr">
        <is>
          <t>ehs_ca_overdue</t>
        </is>
      </c>
    </row>
    <row r="31">
      <c r="A31" t="inlineStr">
        <is>
          <t>EHS-009</t>
        </is>
      </c>
      <c r="B31" t="inlineStr">
        <is>
          <t>EHS investigation completion</t>
        </is>
      </c>
      <c r="C31" t="inlineStr">
        <is>
          <t>%</t>
        </is>
      </c>
      <c r="D31" t="inlineStr">
        <is>
          <t>Month</t>
        </is>
      </c>
      <c r="E31" t="inlineStr">
        <is>
          <t>EHS investigations completed ÷ EHS investigations due × 100 (100 if none due)</t>
        </is>
      </c>
      <c r="F31">
        <f>ROUND(IF('A2 Inputs'!AM4=0,100,100*'A2 Inputs'!AN4/'A2 Inputs'!AM4),2)</f>
        <v/>
      </c>
      <c r="G31">
        <f>ROUND(IF('A2 Inputs'!AM5=0,100,100*'A2 Inputs'!AN5/'A2 Inputs'!AM5),2)</f>
        <v/>
      </c>
      <c r="H31">
        <f>ROUND(IF('A2 Inputs'!AM6=0,100,100*'A2 Inputs'!AN6/'A2 Inputs'!AM6),2)</f>
        <v/>
      </c>
      <c r="I31">
        <f>ROUND(IF('A2 Inputs'!AM7=0,100,100*'A2 Inputs'!AN7/'A2 Inputs'!AM7),2)</f>
        <v/>
      </c>
      <c r="J31">
        <f>ROUND(IF('A2 Inputs'!AM8=0,100,100*'A2 Inputs'!AN8/'A2 Inputs'!AM8),2)</f>
        <v/>
      </c>
      <c r="K31">
        <f>ROUND(IF('A2 Inputs'!AM9=0,100,100*'A2 Inputs'!AN9/'A2 Inputs'!AM9),2)</f>
        <v/>
      </c>
      <c r="L31" t="inlineStr">
        <is>
          <t>investigations_due, investigations_completed</t>
        </is>
      </c>
    </row>
    <row r="32">
      <c r="A32" t="inlineStr">
        <is>
          <t>REG-006</t>
        </is>
      </c>
      <c r="B32" t="inlineStr">
        <is>
          <t>Licence or permit expiry clock</t>
        </is>
      </c>
      <c r="C32" t="inlineStr">
        <is>
          <t>days</t>
        </is>
      </c>
      <c r="D32" t="inlineStr">
        <is>
          <t>Month</t>
        </is>
      </c>
      <c r="E32" t="inlineStr">
        <is>
          <t>Days to permit expiry (lowest plant)</t>
        </is>
      </c>
      <c r="F32">
        <f>ROUND('A2 Inputs'!AR4,2)</f>
        <v/>
      </c>
      <c r="G32">
        <f>ROUND('A2 Inputs'!AR5,2)</f>
        <v/>
      </c>
      <c r="H32">
        <f>ROUND('A2 Inputs'!AR6,2)</f>
        <v/>
      </c>
      <c r="I32">
        <f>ROUND('A2 Inputs'!AR7,2)</f>
        <v/>
      </c>
      <c r="J32">
        <f>ROUND('A2 Inputs'!AR8,2)</f>
        <v/>
      </c>
      <c r="K32">
        <f>ROUND('A2 Inputs'!AR9,2)</f>
        <v/>
      </c>
      <c r="L32" t="inlineStr">
        <is>
          <t>permit_days_to_expiry</t>
        </is>
      </c>
    </row>
    <row r="33">
      <c r="A33" t="inlineStr">
        <is>
          <t>OPS-005</t>
        </is>
      </c>
      <c r="B33" t="inlineStr">
        <is>
          <t>Capacity utilisation (same measure as OPS-003)</t>
        </is>
      </c>
      <c r="C33" t="inlineStr">
        <is>
          <t>%</t>
        </is>
      </c>
      <c r="D33" t="inlineStr">
        <is>
          <t>Month</t>
        </is>
      </c>
      <c r="E33" t="inlineStr">
        <is>
          <t>Good output ÷ Installed capacity × 100</t>
        </is>
      </c>
      <c r="F33">
        <f>ROUND(IFERROR(100*'A2 Inputs'!M4/'A2 Inputs'!J4,0),2)</f>
        <v/>
      </c>
      <c r="G33">
        <f>ROUND(IFERROR(100*'A2 Inputs'!M5/'A2 Inputs'!J5,0),2)</f>
        <v/>
      </c>
      <c r="H33">
        <f>ROUND(IFERROR(100*'A2 Inputs'!M6/'A2 Inputs'!J6,0),2)</f>
        <v/>
      </c>
      <c r="I33">
        <f>ROUND(IFERROR(100*'A2 Inputs'!M7/'A2 Inputs'!J7,0),2)</f>
        <v/>
      </c>
      <c r="J33">
        <f>ROUND(IFERROR(100*'A2 Inputs'!M8/'A2 Inputs'!J8,0),2)</f>
        <v/>
      </c>
      <c r="K33">
        <f>ROUND(IFERROR(100*'A2 Inputs'!M9/'A2 Inputs'!J9,0),2)</f>
        <v/>
      </c>
      <c r="L33" t="inlineStr">
        <is>
          <t>installed_capacity_t, good_output_t</t>
        </is>
      </c>
    </row>
    <row r="34">
      <c r="A34" t="inlineStr">
        <is>
          <t>OPS-006</t>
        </is>
      </c>
      <c r="B34" t="inlineStr">
        <is>
          <t>OEE · Group weighted (same measure as PLT-002)</t>
        </is>
      </c>
      <c r="C34" t="inlineStr">
        <is>
          <t>%</t>
        </is>
      </c>
      <c r="D34" t="inlineStr">
        <is>
          <t>Month</t>
        </is>
      </c>
      <c r="E34" t="inlineStr">
        <is>
          <t>Good output ÷ Ideal output × 100 (weighted by output, not an average of plants)</t>
        </is>
      </c>
      <c r="F34">
        <f>ROUND(IFERROR(100*'A2 Inputs'!M4/'A2 Inputs'!I4,0),2)</f>
        <v/>
      </c>
      <c r="G34">
        <f>ROUND(IFERROR(100*'A2 Inputs'!M5/'A2 Inputs'!I5,0),2)</f>
        <v/>
      </c>
      <c r="H34">
        <f>ROUND(IFERROR(100*'A2 Inputs'!M6/'A2 Inputs'!I6,0),2)</f>
        <v/>
      </c>
      <c r="I34">
        <f>ROUND(IFERROR(100*'A2 Inputs'!M7/'A2 Inputs'!I7,0),2)</f>
        <v/>
      </c>
      <c r="J34">
        <f>ROUND(IFERROR(100*'A2 Inputs'!M8/'A2 Inputs'!I8,0),2)</f>
        <v/>
      </c>
      <c r="K34">
        <f>ROUND(IFERROR(100*'A2 Inputs'!M9/'A2 Inputs'!I9,0),2)</f>
        <v/>
      </c>
      <c r="L34" t="inlineStr">
        <is>
          <t>ideal_output_t, good_output_t</t>
        </is>
      </c>
    </row>
    <row r="35">
      <c r="A35" t="inlineStr">
        <is>
          <t>OPS-002</t>
        </is>
      </c>
      <c r="B35" t="inlineStr">
        <is>
          <t>Sales vs plan</t>
        </is>
      </c>
      <c r="C35" t="inlineStr">
        <is>
          <t>%</t>
        </is>
      </c>
      <c r="D35" t="inlineStr">
        <is>
          <t>Month</t>
        </is>
      </c>
      <c r="E35" t="inlineStr">
        <is>
          <t>Sales volume ÷ Planned sales volume × 100</t>
        </is>
      </c>
      <c r="F35">
        <f>ROUND(IF('A2 Inputs'!AT4=0,0,100*'A2 Inputs'!AS4/'A2 Inputs'!AT4),2)</f>
        <v/>
      </c>
      <c r="G35">
        <f>ROUND(IF('A2 Inputs'!AT5=0,0,100*'A2 Inputs'!AS5/'A2 Inputs'!AT5),2)</f>
        <v/>
      </c>
      <c r="H35">
        <f>ROUND(IF('A2 Inputs'!AT6=0,0,100*'A2 Inputs'!AS6/'A2 Inputs'!AT6),2)</f>
        <v/>
      </c>
      <c r="I35">
        <f>ROUND(IF('A2 Inputs'!AT7=0,0,100*'A2 Inputs'!AS7/'A2 Inputs'!AT7),2)</f>
        <v/>
      </c>
      <c r="J35">
        <f>ROUND(IF('A2 Inputs'!AT8=0,0,100*'A2 Inputs'!AS8/'A2 Inputs'!AT8),2)</f>
        <v/>
      </c>
      <c r="K35">
        <f>ROUND(IF('A2 Inputs'!AT9=0,0,100*'A2 Inputs'!AS9/'A2 Inputs'!AT9),2)</f>
        <v/>
      </c>
      <c r="L35" t="inlineStr">
        <is>
          <t>sales_t, planned_sales_t</t>
        </is>
      </c>
    </row>
    <row r="36">
      <c r="A36" t="inlineStr">
        <is>
          <t>OPS-004</t>
        </is>
      </c>
      <c r="B36" t="inlineStr">
        <is>
          <t>Sales vs plan · Group (same measure as OPS-002)</t>
        </is>
      </c>
      <c r="C36" t="inlineStr">
        <is>
          <t>%</t>
        </is>
      </c>
      <c r="D36" t="inlineStr">
        <is>
          <t>Month</t>
        </is>
      </c>
      <c r="E36" t="inlineStr">
        <is>
          <t>Sales volume ÷ Planned sales volume × 100</t>
        </is>
      </c>
      <c r="F36">
        <f>ROUND(IF('A2 Inputs'!AT4=0,0,100*'A2 Inputs'!AS4/'A2 Inputs'!AT4),2)</f>
        <v/>
      </c>
      <c r="G36">
        <f>ROUND(IF('A2 Inputs'!AT5=0,0,100*'A2 Inputs'!AS5/'A2 Inputs'!AT5),2)</f>
        <v/>
      </c>
      <c r="H36">
        <f>ROUND(IF('A2 Inputs'!AT6=0,0,100*'A2 Inputs'!AS6/'A2 Inputs'!AT6),2)</f>
        <v/>
      </c>
      <c r="I36">
        <f>ROUND(IF('A2 Inputs'!AT7=0,0,100*'A2 Inputs'!AS7/'A2 Inputs'!AT7),2)</f>
        <v/>
      </c>
      <c r="J36">
        <f>ROUND(IF('A2 Inputs'!AT8=0,0,100*'A2 Inputs'!AS8/'A2 Inputs'!AT8),2)</f>
        <v/>
      </c>
      <c r="K36">
        <f>ROUND(IF('A2 Inputs'!AT9=0,0,100*'A2 Inputs'!AS9/'A2 Inputs'!AT9),2)</f>
        <v/>
      </c>
      <c r="L36" t="inlineStr">
        <is>
          <t>sales_t, planned_sales_t</t>
        </is>
      </c>
    </row>
    <row r="37">
      <c r="A37" t="inlineStr">
        <is>
          <t>CST-004</t>
        </is>
      </c>
      <c r="B37" t="inlineStr">
        <is>
          <t>Power cost per tonne</t>
        </is>
      </c>
      <c r="C37" t="inlineStr">
        <is>
          <t>₹/t</t>
        </is>
      </c>
      <c r="D37" t="inlineStr">
        <is>
          <t>Month</t>
        </is>
      </c>
      <c r="E37" t="inlineStr">
        <is>
          <t>Power cost × 1000 ÷ Good output</t>
        </is>
      </c>
      <c r="F37">
        <f>ROUND(IF('A2 Inputs'!M4=0,0,1000*'A2 Inputs'!AW4/'A2 Inputs'!M4),2)</f>
        <v/>
      </c>
      <c r="G37">
        <f>ROUND(IF('A2 Inputs'!M5=0,0,1000*'A2 Inputs'!AW5/'A2 Inputs'!M5),2)</f>
        <v/>
      </c>
      <c r="H37">
        <f>ROUND(IF('A2 Inputs'!M6=0,0,1000*'A2 Inputs'!AW6/'A2 Inputs'!M6),2)</f>
        <v/>
      </c>
      <c r="I37">
        <f>ROUND(IF('A2 Inputs'!M7=0,0,1000*'A2 Inputs'!AW7/'A2 Inputs'!M7),2)</f>
        <v/>
      </c>
      <c r="J37">
        <f>ROUND(IF('A2 Inputs'!M8=0,0,1000*'A2 Inputs'!AW8/'A2 Inputs'!M8),2)</f>
        <v/>
      </c>
      <c r="K37">
        <f>ROUND(IF('A2 Inputs'!M9=0,0,1000*'A2 Inputs'!AW9/'A2 Inputs'!M9),2)</f>
        <v/>
      </c>
      <c r="L37" t="inlineStr">
        <is>
          <t>good_output_t, power_cost_k</t>
        </is>
      </c>
    </row>
    <row r="38">
      <c r="A38" t="inlineStr">
        <is>
          <t>FIN-001</t>
        </is>
      </c>
      <c r="B38" t="inlineStr">
        <is>
          <t>EBITDA YTD</t>
        </is>
      </c>
      <c r="C38" t="inlineStr">
        <is>
          <t>₹ m</t>
        </is>
      </c>
      <c r="D38" t="inlineStr">
        <is>
          <t>Year to date</t>
        </is>
      </c>
      <c r="E38" t="inlineStr">
        <is>
          <t>Sum of monthly EBITDA since April ÷ 1000</t>
        </is>
      </c>
      <c r="F38">
        <f>ROUND(SUM('A2 Inputs'!FV$4:FV4)/1000,2)</f>
        <v/>
      </c>
      <c r="G38">
        <f>ROUND(SUM('A2 Inputs'!FV$4:FV5)/1000,2)</f>
        <v/>
      </c>
      <c r="H38">
        <f>ROUND(SUM('A2 Inputs'!FV$4:FV6)/1000,2)</f>
        <v/>
      </c>
      <c r="I38">
        <f>ROUND(SUM('A2 Inputs'!FV$4:FV7)/1000,2)</f>
        <v/>
      </c>
      <c r="J38">
        <f>ROUND(SUM('A2 Inputs'!FV$4:FV8)/1000,2)</f>
        <v/>
      </c>
      <c r="K38">
        <f>ROUND(SUM('A2 Inputs'!FV$4:FV9)/1000,2)</f>
        <v/>
      </c>
      <c r="L38" t="inlineStr">
        <is>
          <t>ebitda_k</t>
        </is>
      </c>
    </row>
    <row r="39">
      <c r="A39" t="inlineStr">
        <is>
          <t>FIN-002</t>
        </is>
      </c>
      <c r="B39" t="inlineStr">
        <is>
          <t>EBIT YTD</t>
        </is>
      </c>
      <c r="C39" t="inlineStr">
        <is>
          <t>₹ m</t>
        </is>
      </c>
      <c r="D39" t="inlineStr">
        <is>
          <t>Year to date</t>
        </is>
      </c>
      <c r="E39" t="inlineStr">
        <is>
          <t>Sum of monthly EBIT since April ÷ 1000</t>
        </is>
      </c>
      <c r="F39">
        <f>ROUND(SUM('A2 Inputs'!FW$4:FW4)/1000,2)</f>
        <v/>
      </c>
      <c r="G39">
        <f>ROUND(SUM('A2 Inputs'!FW$4:FW5)/1000,2)</f>
        <v/>
      </c>
      <c r="H39">
        <f>ROUND(SUM('A2 Inputs'!FW$4:FW6)/1000,2)</f>
        <v/>
      </c>
      <c r="I39">
        <f>ROUND(SUM('A2 Inputs'!FW$4:FW7)/1000,2)</f>
        <v/>
      </c>
      <c r="J39">
        <f>ROUND(SUM('A2 Inputs'!FW$4:FW8)/1000,2)</f>
        <v/>
      </c>
      <c r="K39">
        <f>ROUND(SUM('A2 Inputs'!FW$4:FW9)/1000,2)</f>
        <v/>
      </c>
      <c r="L39" t="inlineStr">
        <is>
          <t>ebit_k</t>
        </is>
      </c>
    </row>
    <row r="40">
      <c r="A40" t="inlineStr">
        <is>
          <t>FIN-003</t>
        </is>
      </c>
      <c r="B40" t="inlineStr">
        <is>
          <t>Revenue YTD</t>
        </is>
      </c>
      <c r="C40" t="inlineStr">
        <is>
          <t>₹ m</t>
        </is>
      </c>
      <c r="D40" t="inlineStr">
        <is>
          <t>Year to date</t>
        </is>
      </c>
      <c r="E40" t="inlineStr">
        <is>
          <t>Sum of monthly Revenue since April ÷ 1000</t>
        </is>
      </c>
      <c r="F40">
        <f>ROUND(SUM('A2 Inputs'!AU$4:AU4)/1000,2)</f>
        <v/>
      </c>
      <c r="G40">
        <f>ROUND(SUM('A2 Inputs'!AU$4:AU5)/1000,2)</f>
        <v/>
      </c>
      <c r="H40">
        <f>ROUND(SUM('A2 Inputs'!AU$4:AU6)/1000,2)</f>
        <v/>
      </c>
      <c r="I40">
        <f>ROUND(SUM('A2 Inputs'!AU$4:AU7)/1000,2)</f>
        <v/>
      </c>
      <c r="J40">
        <f>ROUND(SUM('A2 Inputs'!AU$4:AU8)/1000,2)</f>
        <v/>
      </c>
      <c r="K40">
        <f>ROUND(SUM('A2 Inputs'!AU$4:AU9)/1000,2)</f>
        <v/>
      </c>
      <c r="L40" t="inlineStr">
        <is>
          <t>revenue_k</t>
        </is>
      </c>
    </row>
    <row r="41">
      <c r="A41" t="inlineStr">
        <is>
          <t>FIN-004</t>
        </is>
      </c>
      <c r="B41" t="inlineStr">
        <is>
          <t>Free cash flow YTD</t>
        </is>
      </c>
      <c r="C41" t="inlineStr">
        <is>
          <t>₹ m</t>
        </is>
      </c>
      <c r="D41" t="inlineStr">
        <is>
          <t>Year to date</t>
        </is>
      </c>
      <c r="E41" t="inlineStr">
        <is>
          <t>Sum of monthly Free cash flow since April ÷ 1000</t>
        </is>
      </c>
      <c r="F41">
        <f>ROUND(SUM('A2 Inputs'!GA$4:GA4)/1000,2)</f>
        <v/>
      </c>
      <c r="G41">
        <f>ROUND(SUM('A2 Inputs'!GA$4:GA5)/1000,2)</f>
        <v/>
      </c>
      <c r="H41">
        <f>ROUND(SUM('A2 Inputs'!GA$4:GA6)/1000,2)</f>
        <v/>
      </c>
      <c r="I41">
        <f>ROUND(SUM('A2 Inputs'!GA$4:GA7)/1000,2)</f>
        <v/>
      </c>
      <c r="J41">
        <f>ROUND(SUM('A2 Inputs'!GA$4:GA8)/1000,2)</f>
        <v/>
      </c>
      <c r="K41">
        <f>ROUND(SUM('A2 Inputs'!GA$4:GA9)/1000,2)</f>
        <v/>
      </c>
      <c r="L41" t="inlineStr">
        <is>
          <t>fcf_k</t>
        </is>
      </c>
    </row>
    <row r="42">
      <c r="A42" t="inlineStr">
        <is>
          <t>FIN-005</t>
        </is>
      </c>
      <c r="B42" t="inlineStr">
        <is>
          <t>ROCE, annualised</t>
        </is>
      </c>
      <c r="C42" t="inlineStr">
        <is>
          <t>%</t>
        </is>
      </c>
      <c r="D42" t="inlineStr">
        <is>
          <t>Year to date</t>
        </is>
      </c>
      <c r="E42" t="inlineStr">
        <is>
          <t>EBIT since April × 12 ÷ months elapsed ÷ Capital employed × 100</t>
        </is>
      </c>
      <c r="F42">
        <f>ROUND(IF('A2 Inputs'!CA4=0,0,100*SUM('A2 Inputs'!FW$4:FW4)*12/'A2 Inputs'!D4/'A2 Inputs'!CA4),2)</f>
        <v/>
      </c>
      <c r="G42">
        <f>ROUND(IF('A2 Inputs'!CA5=0,0,100*SUM('A2 Inputs'!FW$4:FW5)*12/'A2 Inputs'!D5/'A2 Inputs'!CA5),2)</f>
        <v/>
      </c>
      <c r="H42">
        <f>ROUND(IF('A2 Inputs'!CA6=0,0,100*SUM('A2 Inputs'!FW$4:FW6)*12/'A2 Inputs'!D6/'A2 Inputs'!CA6),2)</f>
        <v/>
      </c>
      <c r="I42">
        <f>ROUND(IF('A2 Inputs'!CA7=0,0,100*SUM('A2 Inputs'!FW$4:FW7)*12/'A2 Inputs'!D7/'A2 Inputs'!CA7),2)</f>
        <v/>
      </c>
      <c r="J42">
        <f>ROUND(IF('A2 Inputs'!CA8=0,0,100*SUM('A2 Inputs'!FW$4:FW8)*12/'A2 Inputs'!D8/'A2 Inputs'!CA8),2)</f>
        <v/>
      </c>
      <c r="K42">
        <f>ROUND(IF('A2 Inputs'!CA9=0,0,100*SUM('A2 Inputs'!FW$4:FW9)*12/'A2 Inputs'!D9/'A2 Inputs'!CA9),2)</f>
        <v/>
      </c>
      <c r="L42" t="inlineStr">
        <is>
          <t>ytd_months, capital_employed_k, ebit_k</t>
        </is>
      </c>
    </row>
    <row r="43">
      <c r="A43" t="inlineStr">
        <is>
          <t>FIN-006</t>
        </is>
      </c>
      <c r="B43" t="inlineStr">
        <is>
          <t>Net debt</t>
        </is>
      </c>
      <c r="C43" t="inlineStr">
        <is>
          <t>₹ m</t>
        </is>
      </c>
      <c r="D43" t="inlineStr">
        <is>
          <t>Month end</t>
        </is>
      </c>
      <c r="E43" t="inlineStr">
        <is>
          <t>(Gross debt − Cash) ÷ 1000</t>
        </is>
      </c>
      <c r="F43">
        <f>ROUND('A2 Inputs'!GB4/1000,2)</f>
        <v/>
      </c>
      <c r="G43">
        <f>ROUND('A2 Inputs'!GB5/1000,2)</f>
        <v/>
      </c>
      <c r="H43">
        <f>ROUND('A2 Inputs'!GB6/1000,2)</f>
        <v/>
      </c>
      <c r="I43">
        <f>ROUND('A2 Inputs'!GB7/1000,2)</f>
        <v/>
      </c>
      <c r="J43">
        <f>ROUND('A2 Inputs'!GB8/1000,2)</f>
        <v/>
      </c>
      <c r="K43">
        <f>ROUND('A2 Inputs'!GB9/1000,2)</f>
        <v/>
      </c>
      <c r="L43" t="inlineStr">
        <is>
          <t>net_debt_k</t>
        </is>
      </c>
    </row>
    <row r="44">
      <c r="A44" t="inlineStr">
        <is>
          <t>FIN-007</t>
        </is>
      </c>
      <c r="B44" t="inlineStr">
        <is>
          <t>Shareholder-value indicator (economic profit YTD)</t>
        </is>
      </c>
      <c r="C44" t="inlineStr">
        <is>
          <t>₹ m</t>
        </is>
      </c>
      <c r="D44" t="inlineStr">
        <is>
          <t>Year to date</t>
        </is>
      </c>
      <c r="E44" t="inlineStr">
        <is>
          <t>(EBIT since April × (1 − Tax rate) − Capital employed × Cost of capital × months elapsed ÷ 12) ÷ 1000</t>
        </is>
      </c>
      <c r="F44">
        <f>ROUND((SUM('A2 Inputs'!FW$4:FW4)*(1-Parameters!$B$2)-'A2 Inputs'!CA4*Parameters!$B$3*'A2 Inputs'!D4/12)/1000,2)</f>
        <v/>
      </c>
      <c r="G44">
        <f>ROUND((SUM('A2 Inputs'!FW$4:FW5)*(1-Parameters!$B$2)-'A2 Inputs'!CA5*Parameters!$B$3*'A2 Inputs'!D5/12)/1000,2)</f>
        <v/>
      </c>
      <c r="H44">
        <f>ROUND((SUM('A2 Inputs'!FW$4:FW6)*(1-Parameters!$B$2)-'A2 Inputs'!CA6*Parameters!$B$3*'A2 Inputs'!D6/12)/1000,2)</f>
        <v/>
      </c>
      <c r="I44">
        <f>ROUND((SUM('A2 Inputs'!FW$4:FW7)*(1-Parameters!$B$2)-'A2 Inputs'!CA7*Parameters!$B$3*'A2 Inputs'!D7/12)/1000,2)</f>
        <v/>
      </c>
      <c r="J44">
        <f>ROUND((SUM('A2 Inputs'!FW$4:FW8)*(1-Parameters!$B$2)-'A2 Inputs'!CA8*Parameters!$B$3*'A2 Inputs'!D8/12)/1000,2)</f>
        <v/>
      </c>
      <c r="K44">
        <f>ROUND((SUM('A2 Inputs'!FW$4:FW9)*(1-Parameters!$B$2)-'A2 Inputs'!CA9*Parameters!$B$3*'A2 Inputs'!D9/12)/1000,2)</f>
        <v/>
      </c>
      <c r="L44" t="inlineStr">
        <is>
          <t>ytd_months, capital_employed_k, ebit_k</t>
        </is>
      </c>
    </row>
    <row r="45">
      <c r="A45" t="inlineStr">
        <is>
          <t>FIN-008</t>
        </is>
      </c>
      <c r="B45" t="inlineStr">
        <is>
          <t>FCF conversion (FCF ÷ EBITDA)</t>
        </is>
      </c>
      <c r="C45" t="inlineStr">
        <is>
          <t>%</t>
        </is>
      </c>
      <c r="D45" t="inlineStr">
        <is>
          <t>Year to date</t>
        </is>
      </c>
      <c r="E45" t="inlineStr">
        <is>
          <t>Free cash flow since April ÷ EBITDA since April × 100</t>
        </is>
      </c>
      <c r="F45">
        <f>ROUND(IF(SUM('A2 Inputs'!FV$4:FV4)=0,0,100*SUM('A2 Inputs'!GA$4:GA4)/SUM('A2 Inputs'!FV$4:FV4)),2)</f>
        <v/>
      </c>
      <c r="G45">
        <f>ROUND(IF(SUM('A2 Inputs'!FV$4:FV5)=0,0,100*SUM('A2 Inputs'!GA$4:GA5)/SUM('A2 Inputs'!FV$4:FV5)),2)</f>
        <v/>
      </c>
      <c r="H45">
        <f>ROUND(IF(SUM('A2 Inputs'!FV$4:FV6)=0,0,100*SUM('A2 Inputs'!GA$4:GA6)/SUM('A2 Inputs'!FV$4:FV6)),2)</f>
        <v/>
      </c>
      <c r="I45">
        <f>ROUND(IF(SUM('A2 Inputs'!FV$4:FV7)=0,0,100*SUM('A2 Inputs'!GA$4:GA7)/SUM('A2 Inputs'!FV$4:FV7)),2)</f>
        <v/>
      </c>
      <c r="J45">
        <f>ROUND(IF(SUM('A2 Inputs'!FV$4:FV8)=0,0,100*SUM('A2 Inputs'!GA$4:GA8)/SUM('A2 Inputs'!FV$4:FV8)),2)</f>
        <v/>
      </c>
      <c r="K45">
        <f>ROUND(IF(SUM('A2 Inputs'!FV$4:FV9)=0,0,100*SUM('A2 Inputs'!GA$4:GA9)/SUM('A2 Inputs'!FV$4:FV9)),2)</f>
        <v/>
      </c>
      <c r="L45" t="inlineStr">
        <is>
          <t>ebitda_k, fcf_k</t>
        </is>
      </c>
    </row>
    <row r="46">
      <c r="A46" t="inlineStr">
        <is>
          <t>CSH-001</t>
        </is>
      </c>
      <c r="B46" t="inlineStr">
        <is>
          <t>Cash position</t>
        </is>
      </c>
      <c r="C46" t="inlineStr">
        <is>
          <t>₹ m</t>
        </is>
      </c>
      <c r="D46" t="inlineStr">
        <is>
          <t>Month end</t>
        </is>
      </c>
      <c r="E46" t="inlineStr">
        <is>
          <t>Cash ÷ 1000</t>
        </is>
      </c>
      <c r="F46">
        <f>ROUND('A2 Inputs'!CC4/1000,2)</f>
        <v/>
      </c>
      <c r="G46">
        <f>ROUND('A2 Inputs'!CC5/1000,2)</f>
        <v/>
      </c>
      <c r="H46">
        <f>ROUND('A2 Inputs'!CC6/1000,2)</f>
        <v/>
      </c>
      <c r="I46">
        <f>ROUND('A2 Inputs'!CC7/1000,2)</f>
        <v/>
      </c>
      <c r="J46">
        <f>ROUND('A2 Inputs'!CC8/1000,2)</f>
        <v/>
      </c>
      <c r="K46">
        <f>ROUND('A2 Inputs'!CC9/1000,2)</f>
        <v/>
      </c>
      <c r="L46" t="inlineStr">
        <is>
          <t>cash_k</t>
        </is>
      </c>
    </row>
    <row r="47">
      <c r="A47" t="inlineStr">
        <is>
          <t>CSH-002</t>
        </is>
      </c>
      <c r="B47" t="inlineStr">
        <is>
          <t>Cash released YTD</t>
        </is>
      </c>
      <c r="C47" t="inlineStr">
        <is>
          <t>₹ m</t>
        </is>
      </c>
      <c r="D47" t="inlineStr">
        <is>
          <t>Year to date</t>
        </is>
      </c>
      <c r="E47" t="inlineStr">
        <is>
          <t>Sum of cash released since April ÷ 1000</t>
        </is>
      </c>
      <c r="F47">
        <f>ROUND(SUM('A2 Inputs'!CN$4:CN4)/1000,2)</f>
        <v/>
      </c>
      <c r="G47">
        <f>ROUND(SUM('A2 Inputs'!CN$4:CN5)/1000,2)</f>
        <v/>
      </c>
      <c r="H47">
        <f>ROUND(SUM('A2 Inputs'!CN$4:CN6)/1000,2)</f>
        <v/>
      </c>
      <c r="I47">
        <f>ROUND(SUM('A2 Inputs'!CN$4:CN7)/1000,2)</f>
        <v/>
      </c>
      <c r="J47">
        <f>ROUND(SUM('A2 Inputs'!CN$4:CN8)/1000,2)</f>
        <v/>
      </c>
      <c r="K47">
        <f>ROUND(SUM('A2 Inputs'!CN$4:CN9)/1000,2)</f>
        <v/>
      </c>
      <c r="L47" t="inlineStr">
        <is>
          <t>cash_released_k</t>
        </is>
      </c>
    </row>
    <row r="48">
      <c r="A48" t="inlineStr">
        <is>
          <t>CSH-003</t>
        </is>
      </c>
      <c r="B48" t="inlineStr">
        <is>
          <t>Daily collections</t>
        </is>
      </c>
      <c r="C48" t="inlineStr">
        <is>
          <t>₹ m per day</t>
        </is>
      </c>
      <c r="D48" t="inlineStr">
        <is>
          <t>Month</t>
        </is>
      </c>
      <c r="E48" t="inlineStr">
        <is>
          <t>Cash collected ÷ Days in month ÷ 1000</t>
        </is>
      </c>
      <c r="F48">
        <f>ROUND('A2 Inputs'!CM4/'A2 Inputs'!C4/1000,2)</f>
        <v/>
      </c>
      <c r="G48">
        <f>ROUND('A2 Inputs'!CM5/'A2 Inputs'!C5/1000,2)</f>
        <v/>
      </c>
      <c r="H48">
        <f>ROUND('A2 Inputs'!CM6/'A2 Inputs'!C6/1000,2)</f>
        <v/>
      </c>
      <c r="I48">
        <f>ROUND('A2 Inputs'!CM7/'A2 Inputs'!C7/1000,2)</f>
        <v/>
      </c>
      <c r="J48">
        <f>ROUND('A2 Inputs'!CM8/'A2 Inputs'!C8/1000,2)</f>
        <v/>
      </c>
      <c r="K48">
        <f>ROUND('A2 Inputs'!CM9/'A2 Inputs'!C9/1000,2)</f>
        <v/>
      </c>
      <c r="L48" t="inlineStr">
        <is>
          <t>days, collections_k</t>
        </is>
      </c>
    </row>
    <row r="49">
      <c r="A49" t="inlineStr">
        <is>
          <t>CSH-004</t>
        </is>
      </c>
      <c r="B49" t="inlineStr">
        <is>
          <t>Cash-conversion cycle</t>
        </is>
      </c>
      <c r="C49" t="inlineStr">
        <is>
          <t>days</t>
        </is>
      </c>
      <c r="D49" t="inlineStr">
        <is>
          <t>Month end</t>
        </is>
      </c>
      <c r="E49" t="inlineStr">
        <is>
          <t>DSO + Inventory days − DPO</t>
        </is>
      </c>
      <c r="F49">
        <f>ROUND('A2 Inputs'!GD4+'A2 Inputs'!GF4-'A2 Inputs'!GE4,2)</f>
        <v/>
      </c>
      <c r="G49">
        <f>ROUND('A2 Inputs'!GD5+'A2 Inputs'!GF5-'A2 Inputs'!GE5,2)</f>
        <v/>
      </c>
      <c r="H49">
        <f>ROUND('A2 Inputs'!GD6+'A2 Inputs'!GF6-'A2 Inputs'!GE6,2)</f>
        <v/>
      </c>
      <c r="I49">
        <f>ROUND('A2 Inputs'!GD7+'A2 Inputs'!GF7-'A2 Inputs'!GE7,2)</f>
        <v/>
      </c>
      <c r="J49">
        <f>ROUND('A2 Inputs'!GD8+'A2 Inputs'!GF8-'A2 Inputs'!GE8,2)</f>
        <v/>
      </c>
      <c r="K49">
        <f>ROUND('A2 Inputs'!GD9+'A2 Inputs'!GF9-'A2 Inputs'!GE9,2)</f>
        <v/>
      </c>
      <c r="L49" t="inlineStr">
        <is>
          <t>dso_d, dpo_d, dio_d</t>
        </is>
      </c>
    </row>
    <row r="50">
      <c r="A50" t="inlineStr">
        <is>
          <t>CSH-006</t>
        </is>
      </c>
      <c r="B50" t="inlineStr">
        <is>
          <t>Cash-upstream exposure</t>
        </is>
      </c>
      <c r="C50" t="inlineStr">
        <is>
          <t>₹ m</t>
        </is>
      </c>
      <c r="D50" t="inlineStr">
        <is>
          <t>Next 30 days</t>
        </is>
      </c>
      <c r="E50" t="inlineStr">
        <is>
          <t>(Cash due to be upstreamed − Amount covered by available cash) ÷ 1000</t>
        </is>
      </c>
      <c r="F50">
        <f>ROUND(('A2 Inputs'!CO4-'A2 Inputs'!CP4)/1000,2)</f>
        <v/>
      </c>
      <c r="G50">
        <f>ROUND(('A2 Inputs'!CO5-'A2 Inputs'!CP5)/1000,2)</f>
        <v/>
      </c>
      <c r="H50">
        <f>ROUND(('A2 Inputs'!CO6-'A2 Inputs'!CP6)/1000,2)</f>
        <v/>
      </c>
      <c r="I50">
        <f>ROUND(('A2 Inputs'!CO7-'A2 Inputs'!CP7)/1000,2)</f>
        <v/>
      </c>
      <c r="J50">
        <f>ROUND(('A2 Inputs'!CO8-'A2 Inputs'!CP8)/1000,2)</f>
        <v/>
      </c>
      <c r="K50">
        <f>ROUND(('A2 Inputs'!CO9-'A2 Inputs'!CP9)/1000,2)</f>
        <v/>
      </c>
      <c r="L50" t="inlineStr">
        <is>
          <t>upstream_due_k, upstream_covered_k</t>
        </is>
      </c>
    </row>
    <row r="51">
      <c r="A51" t="inlineStr">
        <is>
          <t>WCP-001</t>
        </is>
      </c>
      <c r="B51" t="inlineStr">
        <is>
          <t>DSO</t>
        </is>
      </c>
      <c r="C51" t="inlineStr">
        <is>
          <t>days</t>
        </is>
      </c>
      <c r="D51" t="inlineStr">
        <is>
          <t>Month end</t>
        </is>
      </c>
      <c r="E51" t="inlineStr">
        <is>
          <t>Trade receivables ÷ Revenue × Days in month</t>
        </is>
      </c>
      <c r="F51">
        <f>ROUND('A2 Inputs'!GD4,2)</f>
        <v/>
      </c>
      <c r="G51">
        <f>ROUND('A2 Inputs'!GD5,2)</f>
        <v/>
      </c>
      <c r="H51">
        <f>ROUND('A2 Inputs'!GD6,2)</f>
        <v/>
      </c>
      <c r="I51">
        <f>ROUND('A2 Inputs'!GD7,2)</f>
        <v/>
      </c>
      <c r="J51">
        <f>ROUND('A2 Inputs'!GD8,2)</f>
        <v/>
      </c>
      <c r="K51">
        <f>ROUND('A2 Inputs'!GD9,2)</f>
        <v/>
      </c>
      <c r="L51" t="inlineStr">
        <is>
          <t>dso_d</t>
        </is>
      </c>
    </row>
    <row r="52">
      <c r="A52" t="inlineStr">
        <is>
          <t>WCP-002</t>
        </is>
      </c>
      <c r="B52" t="inlineStr">
        <is>
          <t>DPO</t>
        </is>
      </c>
      <c r="C52" t="inlineStr">
        <is>
          <t>days</t>
        </is>
      </c>
      <c r="D52" t="inlineStr">
        <is>
          <t>Month end</t>
        </is>
      </c>
      <c r="E52" t="inlineStr">
        <is>
          <t>Trade payables ÷ Variable cost × Days in month</t>
        </is>
      </c>
      <c r="F52">
        <f>ROUND('A2 Inputs'!GE4,2)</f>
        <v/>
      </c>
      <c r="G52">
        <f>ROUND('A2 Inputs'!GE5,2)</f>
        <v/>
      </c>
      <c r="H52">
        <f>ROUND('A2 Inputs'!GE6,2)</f>
        <v/>
      </c>
      <c r="I52">
        <f>ROUND('A2 Inputs'!GE7,2)</f>
        <v/>
      </c>
      <c r="J52">
        <f>ROUND('A2 Inputs'!GE8,2)</f>
        <v/>
      </c>
      <c r="K52">
        <f>ROUND('A2 Inputs'!GE9,2)</f>
        <v/>
      </c>
      <c r="L52" t="inlineStr">
        <is>
          <t>dpo_d</t>
        </is>
      </c>
    </row>
    <row r="53">
      <c r="A53" t="inlineStr">
        <is>
          <t>WCP-003</t>
        </is>
      </c>
      <c r="B53" t="inlineStr">
        <is>
          <t>Inventory days</t>
        </is>
      </c>
      <c r="C53" t="inlineStr">
        <is>
          <t>days</t>
        </is>
      </c>
      <c r="D53" t="inlineStr">
        <is>
          <t>Month end</t>
        </is>
      </c>
      <c r="E53" t="inlineStr">
        <is>
          <t>Inventory ÷ Variable cost × Days in month</t>
        </is>
      </c>
      <c r="F53">
        <f>ROUND('A2 Inputs'!GF4,2)</f>
        <v/>
      </c>
      <c r="G53">
        <f>ROUND('A2 Inputs'!GF5,2)</f>
        <v/>
      </c>
      <c r="H53">
        <f>ROUND('A2 Inputs'!GF6,2)</f>
        <v/>
      </c>
      <c r="I53">
        <f>ROUND('A2 Inputs'!GF7,2)</f>
        <v/>
      </c>
      <c r="J53">
        <f>ROUND('A2 Inputs'!GF8,2)</f>
        <v/>
      </c>
      <c r="K53">
        <f>ROUND('A2 Inputs'!GF9,2)</f>
        <v/>
      </c>
      <c r="L53" t="inlineStr">
        <is>
          <t>dio_d</t>
        </is>
      </c>
    </row>
    <row r="54">
      <c r="A54" t="inlineStr">
        <is>
          <t>WCP-004</t>
        </is>
      </c>
      <c r="B54" t="inlineStr">
        <is>
          <t>Net working capital</t>
        </is>
      </c>
      <c r="C54" t="inlineStr">
        <is>
          <t>₹ m</t>
        </is>
      </c>
      <c r="D54" t="inlineStr">
        <is>
          <t>Month end</t>
        </is>
      </c>
      <c r="E54" t="inlineStr">
        <is>
          <t>(Trade receivables + Inventory − Trade payables) ÷ 1000</t>
        </is>
      </c>
      <c r="F54">
        <f>ROUND('A2 Inputs'!FX4/1000,2)</f>
        <v/>
      </c>
      <c r="G54">
        <f>ROUND('A2 Inputs'!FX5/1000,2)</f>
        <v/>
      </c>
      <c r="H54">
        <f>ROUND('A2 Inputs'!FX6/1000,2)</f>
        <v/>
      </c>
      <c r="I54">
        <f>ROUND('A2 Inputs'!FX7/1000,2)</f>
        <v/>
      </c>
      <c r="J54">
        <f>ROUND('A2 Inputs'!FX8/1000,2)</f>
        <v/>
      </c>
      <c r="K54">
        <f>ROUND('A2 Inputs'!FX9/1000,2)</f>
        <v/>
      </c>
      <c r="L54" t="inlineStr">
        <is>
          <t>nwc_k</t>
        </is>
      </c>
    </row>
    <row r="55">
      <c r="A55" t="inlineStr">
        <is>
          <t>WCP-005</t>
        </is>
      </c>
      <c r="B55" t="inlineStr">
        <is>
          <t>Working-capital movement</t>
        </is>
      </c>
      <c r="C55" t="inlineStr">
        <is>
          <t>₹ m</t>
        </is>
      </c>
      <c r="D55" t="inlineStr">
        <is>
          <t>Month</t>
        </is>
      </c>
      <c r="E55" t="inlineStr">
        <is>
          <t>(Net working capital − last month's net working capital) ÷ 1000; positive = cash tied up</t>
        </is>
      </c>
      <c r="F55">
        <f>ROUND('A2 Inputs'!FY4/1000,2)</f>
        <v/>
      </c>
      <c r="G55">
        <f>ROUND('A2 Inputs'!FY5/1000,2)</f>
        <v/>
      </c>
      <c r="H55">
        <f>ROUND('A2 Inputs'!FY6/1000,2)</f>
        <v/>
      </c>
      <c r="I55">
        <f>ROUND('A2 Inputs'!FY7/1000,2)</f>
        <v/>
      </c>
      <c r="J55">
        <f>ROUND('A2 Inputs'!FY8/1000,2)</f>
        <v/>
      </c>
      <c r="K55">
        <f>ROUND('A2 Inputs'!FY9/1000,2)</f>
        <v/>
      </c>
      <c r="L55" t="inlineStr">
        <is>
          <t>nwc_change_k</t>
        </is>
      </c>
    </row>
    <row r="56">
      <c r="A56" t="inlineStr">
        <is>
          <t>WCP-006</t>
        </is>
      </c>
      <c r="B56" t="inlineStr">
        <is>
          <t>Working-capital days</t>
        </is>
      </c>
      <c r="C56" t="inlineStr">
        <is>
          <t>days</t>
        </is>
      </c>
      <c r="D56" t="inlineStr">
        <is>
          <t>Month end</t>
        </is>
      </c>
      <c r="E56" t="inlineStr">
        <is>
          <t>Net working capital ÷ Revenue × Days in month</t>
        </is>
      </c>
      <c r="F56">
        <f>ROUND(IF('A2 Inputs'!AU4=0,0,'A2 Inputs'!FX4/'A2 Inputs'!AU4*'A2 Inputs'!C4),2)</f>
        <v/>
      </c>
      <c r="G56">
        <f>ROUND(IF('A2 Inputs'!AU5=0,0,'A2 Inputs'!FX5/'A2 Inputs'!AU5*'A2 Inputs'!C5),2)</f>
        <v/>
      </c>
      <c r="H56">
        <f>ROUND(IF('A2 Inputs'!AU6=0,0,'A2 Inputs'!FX6/'A2 Inputs'!AU6*'A2 Inputs'!C6),2)</f>
        <v/>
      </c>
      <c r="I56">
        <f>ROUND(IF('A2 Inputs'!AU7=0,0,'A2 Inputs'!FX7/'A2 Inputs'!AU7*'A2 Inputs'!C7),2)</f>
        <v/>
      </c>
      <c r="J56">
        <f>ROUND(IF('A2 Inputs'!AU8=0,0,'A2 Inputs'!FX8/'A2 Inputs'!AU8*'A2 Inputs'!C8),2)</f>
        <v/>
      </c>
      <c r="K56">
        <f>ROUND(IF('A2 Inputs'!AU9=0,0,'A2 Inputs'!FX9/'A2 Inputs'!AU9*'A2 Inputs'!C9),2)</f>
        <v/>
      </c>
      <c r="L56" t="inlineStr">
        <is>
          <t>days, revenue_k, nwc_k</t>
        </is>
      </c>
    </row>
    <row r="57">
      <c r="A57" t="inlineStr">
        <is>
          <t>LIQ-001</t>
        </is>
      </c>
      <c r="B57" t="inlineStr">
        <is>
          <t>Liquidity runway</t>
        </is>
      </c>
      <c r="C57" t="inlineStr">
        <is>
          <t>months</t>
        </is>
      </c>
      <c r="D57" t="inlineStr">
        <is>
          <t>Month end</t>
        </is>
      </c>
      <c r="E57" t="inlineStr">
        <is>
          <t>(Cash + Undrawn facilities) ÷ (Fixed cost + Overheads + Debt service) per month</t>
        </is>
      </c>
      <c r="F57">
        <f>ROUND(IF(('A2 Inputs'!X4+'A2 Inputs'!BY4+'A2 Inputs'!CE4)=0,0,('A2 Inputs'!CC4+'A2 Inputs'!CD4)/('A2 Inputs'!X4+'A2 Inputs'!BY4+'A2 Inputs'!CE4)),2)</f>
        <v/>
      </c>
      <c r="G57">
        <f>ROUND(IF(('A2 Inputs'!X5+'A2 Inputs'!BY5+'A2 Inputs'!CE5)=0,0,('A2 Inputs'!CC5+'A2 Inputs'!CD5)/('A2 Inputs'!X5+'A2 Inputs'!BY5+'A2 Inputs'!CE5)),2)</f>
        <v/>
      </c>
      <c r="H57">
        <f>ROUND(IF(('A2 Inputs'!X6+'A2 Inputs'!BY6+'A2 Inputs'!CE6)=0,0,('A2 Inputs'!CC6+'A2 Inputs'!CD6)/('A2 Inputs'!X6+'A2 Inputs'!BY6+'A2 Inputs'!CE6)),2)</f>
        <v/>
      </c>
      <c r="I57">
        <f>ROUND(IF(('A2 Inputs'!X7+'A2 Inputs'!BY7+'A2 Inputs'!CE7)=0,0,('A2 Inputs'!CC7+'A2 Inputs'!CD7)/('A2 Inputs'!X7+'A2 Inputs'!BY7+'A2 Inputs'!CE7)),2)</f>
        <v/>
      </c>
      <c r="J57">
        <f>ROUND(IF(('A2 Inputs'!X8+'A2 Inputs'!BY8+'A2 Inputs'!CE8)=0,0,('A2 Inputs'!CC8+'A2 Inputs'!CD8)/('A2 Inputs'!X8+'A2 Inputs'!BY8+'A2 Inputs'!CE8)),2)</f>
        <v/>
      </c>
      <c r="K57">
        <f>ROUND(IF(('A2 Inputs'!X9+'A2 Inputs'!BY9+'A2 Inputs'!CE9)=0,0,('A2 Inputs'!CC9+'A2 Inputs'!CD9)/('A2 Inputs'!X9+'A2 Inputs'!BY9+'A2 Inputs'!CE9)),2)</f>
        <v/>
      </c>
      <c r="L57" t="inlineStr">
        <is>
          <t>fixed_cost_k, overhead_k, cash_k, undrawn_facilities_k, debt_service_k</t>
        </is>
      </c>
    </row>
    <row r="58">
      <c r="A58" t="inlineStr">
        <is>
          <t>LIQ-002</t>
        </is>
      </c>
      <c r="B58" t="inlineStr">
        <is>
          <t>Covenant headroom</t>
        </is>
      </c>
      <c r="C58" t="inlineStr">
        <is>
          <t>%</t>
        </is>
      </c>
      <c r="D58" t="inlineStr">
        <is>
          <t>Month end</t>
        </is>
      </c>
      <c r="E58" t="inlineStr">
        <is>
          <t>(Covenant limit − Net debt ÷ Annualised EBITDA) ÷ Covenant limit × 100</t>
        </is>
      </c>
      <c r="F58">
        <f>ROUND(IF('A2 Inputs'!GC4=0,0,100*(Parameters!$B$4-'A2 Inputs'!GB4/'A2 Inputs'!GC4)/Parameters!$B$4),2)</f>
        <v/>
      </c>
      <c r="G58">
        <f>ROUND(IF('A2 Inputs'!GC5=0,0,100*(Parameters!$B$4-'A2 Inputs'!GB5/'A2 Inputs'!GC5)/Parameters!$B$4),2)</f>
        <v/>
      </c>
      <c r="H58">
        <f>ROUND(IF('A2 Inputs'!GC6=0,0,100*(Parameters!$B$4-'A2 Inputs'!GB6/'A2 Inputs'!GC6)/Parameters!$B$4),2)</f>
        <v/>
      </c>
      <c r="I58">
        <f>ROUND(IF('A2 Inputs'!GC7=0,0,100*(Parameters!$B$4-'A2 Inputs'!GB7/'A2 Inputs'!GC7)/Parameters!$B$4),2)</f>
        <v/>
      </c>
      <c r="J58">
        <f>ROUND(IF('A2 Inputs'!GC8=0,0,100*(Parameters!$B$4-'A2 Inputs'!GB8/'A2 Inputs'!GC8)/Parameters!$B$4),2)</f>
        <v/>
      </c>
      <c r="K58">
        <f>ROUND(IF('A2 Inputs'!GC9=0,0,100*(Parameters!$B$4-'A2 Inputs'!GB9/'A2 Inputs'!GC9)/Parameters!$B$4),2)</f>
        <v/>
      </c>
      <c r="L58" t="inlineStr">
        <is>
          <t>net_debt_k, ebitda_annualised_k</t>
        </is>
      </c>
    </row>
    <row r="59">
      <c r="A59" t="inlineStr">
        <is>
          <t>LIQ-003</t>
        </is>
      </c>
      <c r="B59" t="inlineStr">
        <is>
          <t>Debt-maturity exposure, next 12 months</t>
        </is>
      </c>
      <c r="C59" t="inlineStr">
        <is>
          <t>₹ m</t>
        </is>
      </c>
      <c r="D59" t="inlineStr">
        <is>
          <t>Month end</t>
        </is>
      </c>
      <c r="E59" t="inlineStr">
        <is>
          <t>Debt maturing in next 12 months ÷ 1000</t>
        </is>
      </c>
      <c r="F59">
        <f>ROUND('A2 Inputs'!CF4/1000,2)</f>
        <v/>
      </c>
      <c r="G59">
        <f>ROUND('A2 Inputs'!CF5/1000,2)</f>
        <v/>
      </c>
      <c r="H59">
        <f>ROUND('A2 Inputs'!CF6/1000,2)</f>
        <v/>
      </c>
      <c r="I59">
        <f>ROUND('A2 Inputs'!CF7/1000,2)</f>
        <v/>
      </c>
      <c r="J59">
        <f>ROUND('A2 Inputs'!CF8/1000,2)</f>
        <v/>
      </c>
      <c r="K59">
        <f>ROUND('A2 Inputs'!CF9/1000,2)</f>
        <v/>
      </c>
      <c r="L59" t="inlineStr">
        <is>
          <t>debt_maturing_12m_k</t>
        </is>
      </c>
    </row>
    <row r="60">
      <c r="A60" t="inlineStr">
        <is>
          <t>LIQ-004</t>
        </is>
      </c>
      <c r="B60" t="inlineStr">
        <is>
          <t>Financing exposure (floating-rate debt)</t>
        </is>
      </c>
      <c r="C60" t="inlineStr">
        <is>
          <t>₹ m</t>
        </is>
      </c>
      <c r="D60" t="inlineStr">
        <is>
          <t>Month end</t>
        </is>
      </c>
      <c r="E60" t="inlineStr">
        <is>
          <t>Floating-rate debt ÷ 1000</t>
        </is>
      </c>
      <c r="F60">
        <f>ROUND('A2 Inputs'!CG4/1000,2)</f>
        <v/>
      </c>
      <c r="G60">
        <f>ROUND('A2 Inputs'!CG5/1000,2)</f>
        <v/>
      </c>
      <c r="H60">
        <f>ROUND('A2 Inputs'!CG6/1000,2)</f>
        <v/>
      </c>
      <c r="I60">
        <f>ROUND('A2 Inputs'!CG7/1000,2)</f>
        <v/>
      </c>
      <c r="J60">
        <f>ROUND('A2 Inputs'!CG8/1000,2)</f>
        <v/>
      </c>
      <c r="K60">
        <f>ROUND('A2 Inputs'!CG9/1000,2)</f>
        <v/>
      </c>
      <c r="L60" t="inlineStr">
        <is>
          <t>floating_rate_debt_k</t>
        </is>
      </c>
    </row>
    <row r="61">
      <c r="A61" t="inlineStr">
        <is>
          <t>TRS-001</t>
        </is>
      </c>
      <c r="B61" t="inlineStr">
        <is>
          <t>FX exposure, unhedged</t>
        </is>
      </c>
      <c r="C61" t="inlineStr">
        <is>
          <t>₹ m</t>
        </is>
      </c>
      <c r="D61" t="inlineStr">
        <is>
          <t>Month end</t>
        </is>
      </c>
      <c r="E61" t="inlineStr">
        <is>
          <t>(Foreign-currency exposure − Amount hedged) ÷ 1000</t>
        </is>
      </c>
      <c r="F61">
        <f>ROUND(('A2 Inputs'!CZ4-'A2 Inputs'!DA4)/1000,2)</f>
        <v/>
      </c>
      <c r="G61">
        <f>ROUND(('A2 Inputs'!CZ5-'A2 Inputs'!DA5)/1000,2)</f>
        <v/>
      </c>
      <c r="H61">
        <f>ROUND(('A2 Inputs'!CZ6-'A2 Inputs'!DA6)/1000,2)</f>
        <v/>
      </c>
      <c r="I61">
        <f>ROUND(('A2 Inputs'!CZ7-'A2 Inputs'!DA7)/1000,2)</f>
        <v/>
      </c>
      <c r="J61">
        <f>ROUND(('A2 Inputs'!CZ8-'A2 Inputs'!DA8)/1000,2)</f>
        <v/>
      </c>
      <c r="K61">
        <f>ROUND(('A2 Inputs'!CZ9-'A2 Inputs'!DA9)/1000,2)</f>
        <v/>
      </c>
      <c r="L61" t="inlineStr">
        <is>
          <t>fx_exposure_k, fx_hedged_k</t>
        </is>
      </c>
    </row>
    <row r="62">
      <c r="A62" t="inlineStr">
        <is>
          <t>TRS-002</t>
        </is>
      </c>
      <c r="B62" t="inlineStr">
        <is>
          <t>Hedging effectiveness</t>
        </is>
      </c>
      <c r="C62" t="inlineStr">
        <is>
          <t>%</t>
        </is>
      </c>
      <c r="D62" t="inlineStr">
        <is>
          <t>Month</t>
        </is>
      </c>
      <c r="E62" t="inlineStr">
        <is>
          <t>Change in value of hedges ÷ Change in value of hedged items × 100</t>
        </is>
      </c>
      <c r="F62">
        <f>ROUND(IF('A2 Inputs'!DE4=0,0,100*'A2 Inputs'!DD4/'A2 Inputs'!DE4),2)</f>
        <v/>
      </c>
      <c r="G62">
        <f>ROUND(IF('A2 Inputs'!DE5=0,0,100*'A2 Inputs'!DD5/'A2 Inputs'!DE5),2)</f>
        <v/>
      </c>
      <c r="H62">
        <f>ROUND(IF('A2 Inputs'!DE6=0,0,100*'A2 Inputs'!DD6/'A2 Inputs'!DE6),2)</f>
        <v/>
      </c>
      <c r="I62">
        <f>ROUND(IF('A2 Inputs'!DE7=0,0,100*'A2 Inputs'!DD7/'A2 Inputs'!DE7),2)</f>
        <v/>
      </c>
      <c r="J62">
        <f>ROUND(IF('A2 Inputs'!DE8=0,0,100*'A2 Inputs'!DD8/'A2 Inputs'!DE8),2)</f>
        <v/>
      </c>
      <c r="K62">
        <f>ROUND(IF('A2 Inputs'!DE9=0,0,100*'A2 Inputs'!DD9/'A2 Inputs'!DE9),2)</f>
        <v/>
      </c>
      <c r="L62" t="inlineStr">
        <is>
          <t>hedge_value_change_k, hedged_item_value_change_k</t>
        </is>
      </c>
    </row>
    <row r="63">
      <c r="A63" t="inlineStr">
        <is>
          <t>TRS-003</t>
        </is>
      </c>
      <c r="B63" t="inlineStr">
        <is>
          <t>USD share of unhedged FX exposure</t>
        </is>
      </c>
      <c r="C63" t="inlineStr">
        <is>
          <t>%</t>
        </is>
      </c>
      <c r="D63" t="inlineStr">
        <is>
          <t>Month end</t>
        </is>
      </c>
      <c r="E63" t="inlineStr">
        <is>
          <t>(USD exposure − USD hedged) ÷ (FX exposure − FX hedged) × 100</t>
        </is>
      </c>
      <c r="F63">
        <f>ROUND(IF(('A2 Inputs'!CZ4-'A2 Inputs'!DA4)=0,0,100*('A2 Inputs'!DB4-'A2 Inputs'!DC4)/('A2 Inputs'!CZ4-'A2 Inputs'!DA4)),2)</f>
        <v/>
      </c>
      <c r="G63">
        <f>ROUND(IF(('A2 Inputs'!CZ5-'A2 Inputs'!DA5)=0,0,100*('A2 Inputs'!DB5-'A2 Inputs'!DC5)/('A2 Inputs'!CZ5-'A2 Inputs'!DA5)),2)</f>
        <v/>
      </c>
      <c r="H63">
        <f>ROUND(IF(('A2 Inputs'!CZ6-'A2 Inputs'!DA6)=0,0,100*('A2 Inputs'!DB6-'A2 Inputs'!DC6)/('A2 Inputs'!CZ6-'A2 Inputs'!DA6)),2)</f>
        <v/>
      </c>
      <c r="I63">
        <f>ROUND(IF(('A2 Inputs'!CZ7-'A2 Inputs'!DA7)=0,0,100*('A2 Inputs'!DB7-'A2 Inputs'!DC7)/('A2 Inputs'!CZ7-'A2 Inputs'!DA7)),2)</f>
        <v/>
      </c>
      <c r="J63">
        <f>ROUND(IF(('A2 Inputs'!CZ8-'A2 Inputs'!DA8)=0,0,100*('A2 Inputs'!DB8-'A2 Inputs'!DC8)/('A2 Inputs'!CZ8-'A2 Inputs'!DA8)),2)</f>
        <v/>
      </c>
      <c r="K63">
        <f>ROUND(IF(('A2 Inputs'!CZ9-'A2 Inputs'!DA9)=0,0,100*('A2 Inputs'!DB9-'A2 Inputs'!DC9)/('A2 Inputs'!CZ9-'A2 Inputs'!DA9)),2)</f>
        <v/>
      </c>
      <c r="L63" t="inlineStr">
        <is>
          <t>fx_exposure_k, fx_hedged_k, usd_exposure_k, usd_hedged_k</t>
        </is>
      </c>
    </row>
    <row r="64">
      <c r="A64" t="inlineStr">
        <is>
          <t>TRS-004</t>
        </is>
      </c>
      <c r="B64" t="inlineStr">
        <is>
          <t>Hedge cover, next 6 months</t>
        </is>
      </c>
      <c r="C64" t="inlineStr">
        <is>
          <t>%</t>
        </is>
      </c>
      <c r="D64" t="inlineStr">
        <is>
          <t>Next 6 months</t>
        </is>
      </c>
      <c r="E64" t="inlineStr">
        <is>
          <t>Foreign-currency flows hedged ÷ Forecast foreign-currency flows, next 6 months × 100</t>
        </is>
      </c>
      <c r="F64">
        <f>ROUND(IF('A2 Inputs'!DF4=0,0,100*'A2 Inputs'!DG4/'A2 Inputs'!DF4),2)</f>
        <v/>
      </c>
      <c r="G64">
        <f>ROUND(IF('A2 Inputs'!DF5=0,0,100*'A2 Inputs'!DG5/'A2 Inputs'!DF5),2)</f>
        <v/>
      </c>
      <c r="H64">
        <f>ROUND(IF('A2 Inputs'!DF6=0,0,100*'A2 Inputs'!DG6/'A2 Inputs'!DF6),2)</f>
        <v/>
      </c>
      <c r="I64">
        <f>ROUND(IF('A2 Inputs'!DF7=0,0,100*'A2 Inputs'!DG7/'A2 Inputs'!DF7),2)</f>
        <v/>
      </c>
      <c r="J64">
        <f>ROUND(IF('A2 Inputs'!DF8=0,0,100*'A2 Inputs'!DG8/'A2 Inputs'!DF8),2)</f>
        <v/>
      </c>
      <c r="K64">
        <f>ROUND(IF('A2 Inputs'!DF9=0,0,100*'A2 Inputs'!DG9/'A2 Inputs'!DF9),2)</f>
        <v/>
      </c>
      <c r="L64" t="inlineStr">
        <is>
          <t>fx_flows_6m_k, fx_hedged_6m_k</t>
        </is>
      </c>
    </row>
    <row r="65">
      <c r="A65" t="inlineStr">
        <is>
          <t>TRS-005</t>
        </is>
      </c>
      <c r="B65" t="inlineStr">
        <is>
          <t>FX sensitivity, 5% USD move</t>
        </is>
      </c>
      <c r="C65" t="inlineStr">
        <is>
          <t>₹ m</t>
        </is>
      </c>
      <c r="D65" t="inlineStr">
        <is>
          <t>Month end</t>
        </is>
      </c>
      <c r="E65" t="inlineStr">
        <is>
          <t>5% × (USD exposure − USD hedged) ÷ 1000</t>
        </is>
      </c>
      <c r="F65">
        <f>ROUND(0.05*('A2 Inputs'!DB4-'A2 Inputs'!DC4)/1000,2)</f>
        <v/>
      </c>
      <c r="G65">
        <f>ROUND(0.05*('A2 Inputs'!DB5-'A2 Inputs'!DC5)/1000,2)</f>
        <v/>
      </c>
      <c r="H65">
        <f>ROUND(0.05*('A2 Inputs'!DB6-'A2 Inputs'!DC6)/1000,2)</f>
        <v/>
      </c>
      <c r="I65">
        <f>ROUND(0.05*('A2 Inputs'!DB7-'A2 Inputs'!DC7)/1000,2)</f>
        <v/>
      </c>
      <c r="J65">
        <f>ROUND(0.05*('A2 Inputs'!DB8-'A2 Inputs'!DC8)/1000,2)</f>
        <v/>
      </c>
      <c r="K65">
        <f>ROUND(0.05*('A2 Inputs'!DB9-'A2 Inputs'!DC9)/1000,2)</f>
        <v/>
      </c>
      <c r="L65" t="inlineStr">
        <is>
          <t>usd_exposure_k, usd_hedged_k</t>
        </is>
      </c>
    </row>
    <row r="66">
      <c r="A66" t="inlineStr">
        <is>
          <t>CPX-001</t>
        </is>
      </c>
      <c r="B66" t="inlineStr">
        <is>
          <t>Approved capex budget</t>
        </is>
      </c>
      <c r="C66" t="inlineStr">
        <is>
          <t>₹ m</t>
        </is>
      </c>
      <c r="D66" t="inlineStr">
        <is>
          <t>Full year</t>
        </is>
      </c>
      <c r="E66" t="inlineStr">
        <is>
          <t>Approved capex budget ÷ 1000</t>
        </is>
      </c>
      <c r="F66">
        <f>ROUND('A2 Inputs'!DH4/1000,2)</f>
        <v/>
      </c>
      <c r="G66">
        <f>ROUND('A2 Inputs'!DH5/1000,2)</f>
        <v/>
      </c>
      <c r="H66">
        <f>ROUND('A2 Inputs'!DH6/1000,2)</f>
        <v/>
      </c>
      <c r="I66">
        <f>ROUND('A2 Inputs'!DH7/1000,2)</f>
        <v/>
      </c>
      <c r="J66">
        <f>ROUND('A2 Inputs'!DH8/1000,2)</f>
        <v/>
      </c>
      <c r="K66">
        <f>ROUND('A2 Inputs'!DH9/1000,2)</f>
        <v/>
      </c>
      <c r="L66" t="inlineStr">
        <is>
          <t>capex_budget_k</t>
        </is>
      </c>
    </row>
    <row r="67">
      <c r="A67" t="inlineStr">
        <is>
          <t>CPX-002</t>
        </is>
      </c>
      <c r="B67" t="inlineStr">
        <is>
          <t>Committed capex</t>
        </is>
      </c>
      <c r="C67" t="inlineStr">
        <is>
          <t>₹ m</t>
        </is>
      </c>
      <c r="D67" t="inlineStr">
        <is>
          <t>To date</t>
        </is>
      </c>
      <c r="E67" t="inlineStr">
        <is>
          <t>Capex committed to date ÷ 1000</t>
        </is>
      </c>
      <c r="F67">
        <f>ROUND('A2 Inputs'!DI4/1000,2)</f>
        <v/>
      </c>
      <c r="G67">
        <f>ROUND('A2 Inputs'!DI5/1000,2)</f>
        <v/>
      </c>
      <c r="H67">
        <f>ROUND('A2 Inputs'!DI6/1000,2)</f>
        <v/>
      </c>
      <c r="I67">
        <f>ROUND('A2 Inputs'!DI7/1000,2)</f>
        <v/>
      </c>
      <c r="J67">
        <f>ROUND('A2 Inputs'!DI8/1000,2)</f>
        <v/>
      </c>
      <c r="K67">
        <f>ROUND('A2 Inputs'!DI9/1000,2)</f>
        <v/>
      </c>
      <c r="L67" t="inlineStr">
        <is>
          <t>capex_committed_k</t>
        </is>
      </c>
    </row>
    <row r="68">
      <c r="A68" t="inlineStr">
        <is>
          <t>CPX-003</t>
        </is>
      </c>
      <c r="B68" t="inlineStr">
        <is>
          <t>Capex actual spend YTD</t>
        </is>
      </c>
      <c r="C68" t="inlineStr">
        <is>
          <t>₹ m</t>
        </is>
      </c>
      <c r="D68" t="inlineStr">
        <is>
          <t>Year to date</t>
        </is>
      </c>
      <c r="E68" t="inlineStr">
        <is>
          <t>Sum of capex spent since April ÷ 1000</t>
        </is>
      </c>
      <c r="F68">
        <f>ROUND(SUM('A2 Inputs'!DJ$4:DJ4)/1000,2)</f>
        <v/>
      </c>
      <c r="G68">
        <f>ROUND(SUM('A2 Inputs'!DJ$4:DJ5)/1000,2)</f>
        <v/>
      </c>
      <c r="H68">
        <f>ROUND(SUM('A2 Inputs'!DJ$4:DJ6)/1000,2)</f>
        <v/>
      </c>
      <c r="I68">
        <f>ROUND(SUM('A2 Inputs'!DJ$4:DJ7)/1000,2)</f>
        <v/>
      </c>
      <c r="J68">
        <f>ROUND(SUM('A2 Inputs'!DJ$4:DJ8)/1000,2)</f>
        <v/>
      </c>
      <c r="K68">
        <f>ROUND(SUM('A2 Inputs'!DJ$4:DJ9)/1000,2)</f>
        <v/>
      </c>
      <c r="L68" t="inlineStr">
        <is>
          <t>capex_spend_k</t>
        </is>
      </c>
    </row>
    <row r="69">
      <c r="A69" t="inlineStr">
        <is>
          <t>CPX-004</t>
        </is>
      </c>
      <c r="B69" t="inlineStr">
        <is>
          <t>Capex physical progress, weighted</t>
        </is>
      </c>
      <c r="C69" t="inlineStr">
        <is>
          <t>%</t>
        </is>
      </c>
      <c r="D69" t="inlineStr">
        <is>
          <t>To date</t>
        </is>
      </c>
      <c r="E69" t="inlineStr">
        <is>
          <t>Work completed valued at budget ÷ Approved budget × 100 (weights each project by its budget)</t>
        </is>
      </c>
      <c r="F69">
        <f>ROUND(IF('A2 Inputs'!DH4=0,0,100*'A2 Inputs'!DK4/'A2 Inputs'!DH4),2)</f>
        <v/>
      </c>
      <c r="G69">
        <f>ROUND(IF('A2 Inputs'!DH5=0,0,100*'A2 Inputs'!DK5/'A2 Inputs'!DH5),2)</f>
        <v/>
      </c>
      <c r="H69">
        <f>ROUND(IF('A2 Inputs'!DH6=0,0,100*'A2 Inputs'!DK6/'A2 Inputs'!DH6),2)</f>
        <v/>
      </c>
      <c r="I69">
        <f>ROUND(IF('A2 Inputs'!DH7=0,0,100*'A2 Inputs'!DK7/'A2 Inputs'!DH7),2)</f>
        <v/>
      </c>
      <c r="J69">
        <f>ROUND(IF('A2 Inputs'!DH8=0,0,100*'A2 Inputs'!DK8/'A2 Inputs'!DH8),2)</f>
        <v/>
      </c>
      <c r="K69">
        <f>ROUND(IF('A2 Inputs'!DH9=0,0,100*'A2 Inputs'!DK9/'A2 Inputs'!DH9),2)</f>
        <v/>
      </c>
      <c r="L69" t="inlineStr">
        <is>
          <t>capex_budget_k, capex_earned_value_k</t>
        </is>
      </c>
    </row>
    <row r="70">
      <c r="A70" t="inlineStr">
        <is>
          <t>SIG-011</t>
        </is>
      </c>
      <c r="B70" t="inlineStr">
        <is>
          <t>Capex value at risk</t>
        </is>
      </c>
      <c r="C70" t="inlineStr">
        <is>
          <t>₹ m</t>
        </is>
      </c>
      <c r="D70" t="inlineStr">
        <is>
          <t>Month end</t>
        </is>
      </c>
      <c r="E70" t="inlineStr">
        <is>
          <t>Budget of projects at risk ÷ 1000</t>
        </is>
      </c>
      <c r="F70">
        <f>ROUND('A2 Inputs'!DL4/1000,2)</f>
        <v/>
      </c>
      <c r="G70">
        <f>ROUND('A2 Inputs'!DL5/1000,2)</f>
        <v/>
      </c>
      <c r="H70">
        <f>ROUND('A2 Inputs'!DL6/1000,2)</f>
        <v/>
      </c>
      <c r="I70">
        <f>ROUND('A2 Inputs'!DL7/1000,2)</f>
        <v/>
      </c>
      <c r="J70">
        <f>ROUND('A2 Inputs'!DL8/1000,2)</f>
        <v/>
      </c>
      <c r="K70">
        <f>ROUND('A2 Inputs'!DL9/1000,2)</f>
        <v/>
      </c>
      <c r="L70" t="inlineStr">
        <is>
          <t>capex_at_risk_k</t>
        </is>
      </c>
    </row>
    <row r="71">
      <c r="A71" t="inlineStr">
        <is>
          <t>PRG-001</t>
        </is>
      </c>
      <c r="B71" t="inlineStr">
        <is>
          <t>Capex project status</t>
        </is>
      </c>
      <c r="C71" t="inlineStr">
        <is>
          <t>text</t>
        </is>
      </c>
      <c r="D71" t="inlineStr">
        <is>
          <t>Month end</t>
        </is>
      </c>
      <c r="E71" t="inlineStr">
        <is>
          <t>Count of projects by status</t>
        </is>
      </c>
      <c r="F71">
        <f>'A2 Inputs'!DM4&amp;" on track · "&amp;'A2 Inputs'!DN4&amp;" at risk · "&amp;'A2 Inputs'!DO4&amp;" off track"</f>
        <v/>
      </c>
      <c r="G71">
        <f>'A2 Inputs'!DM5&amp;" on track · "&amp;'A2 Inputs'!DN5&amp;" at risk · "&amp;'A2 Inputs'!DO5&amp;" off track"</f>
        <v/>
      </c>
      <c r="H71">
        <f>'A2 Inputs'!DM6&amp;" on track · "&amp;'A2 Inputs'!DN6&amp;" at risk · "&amp;'A2 Inputs'!DO6&amp;" off track"</f>
        <v/>
      </c>
      <c r="I71">
        <f>'A2 Inputs'!DM7&amp;" on track · "&amp;'A2 Inputs'!DN7&amp;" at risk · "&amp;'A2 Inputs'!DO7&amp;" off track"</f>
        <v/>
      </c>
      <c r="J71">
        <f>'A2 Inputs'!DM8&amp;" on track · "&amp;'A2 Inputs'!DN8&amp;" at risk · "&amp;'A2 Inputs'!DO8&amp;" off track"</f>
        <v/>
      </c>
      <c r="K71">
        <f>'A2 Inputs'!DM9&amp;" on track · "&amp;'A2 Inputs'!DN9&amp;" at risk · "&amp;'A2 Inputs'!DO9&amp;" off track"</f>
        <v/>
      </c>
      <c r="L71" t="inlineStr">
        <is>
          <t>projects_on_track, projects_at_risk, projects_off_track</t>
        </is>
      </c>
    </row>
    <row r="72">
      <c r="A72" t="inlineStr">
        <is>
          <t>PRG-002</t>
        </is>
      </c>
      <c r="B72" t="inlineStr">
        <is>
          <t>Benefits realisation</t>
        </is>
      </c>
      <c r="C72" t="inlineStr">
        <is>
          <t>%</t>
        </is>
      </c>
      <c r="D72" t="inlineStr">
        <is>
          <t>Year to date</t>
        </is>
      </c>
      <c r="E72" t="inlineStr">
        <is>
          <t>Benefits delivered since April ÷ Benefits planned since April × 100</t>
        </is>
      </c>
      <c r="F72">
        <f>ROUND(IF(SUM('A2 Inputs'!DX$4:DX4)=0,0,100*SUM('A2 Inputs'!DY$4:DY4)/SUM('A2 Inputs'!DX$4:DX4)),2)</f>
        <v/>
      </c>
      <c r="G72">
        <f>ROUND(IF(SUM('A2 Inputs'!DX$4:DX5)=0,0,100*SUM('A2 Inputs'!DY$4:DY5)/SUM('A2 Inputs'!DX$4:DX5)),2)</f>
        <v/>
      </c>
      <c r="H72">
        <f>ROUND(IF(SUM('A2 Inputs'!DX$4:DX6)=0,0,100*SUM('A2 Inputs'!DY$4:DY6)/SUM('A2 Inputs'!DX$4:DX6)),2)</f>
        <v/>
      </c>
      <c r="I72">
        <f>ROUND(IF(SUM('A2 Inputs'!DX$4:DX7)=0,0,100*SUM('A2 Inputs'!DY$4:DY7)/SUM('A2 Inputs'!DX$4:DX7)),2)</f>
        <v/>
      </c>
      <c r="J72">
        <f>ROUND(IF(SUM('A2 Inputs'!DX$4:DX8)=0,0,100*SUM('A2 Inputs'!DY$4:DY8)/SUM('A2 Inputs'!DX$4:DX8)),2)</f>
        <v/>
      </c>
      <c r="K72">
        <f>ROUND(IF(SUM('A2 Inputs'!DX$4:DX9)=0,0,100*SUM('A2 Inputs'!DY$4:DY9)/SUM('A2 Inputs'!DX$4:DX9)),2)</f>
        <v/>
      </c>
      <c r="L72" t="inlineStr">
        <is>
          <t>benefits_planned_k, benefits_delivered_k</t>
        </is>
      </c>
    </row>
    <row r="73">
      <c r="A73" t="inlineStr">
        <is>
          <t>PRG-003</t>
        </is>
      </c>
      <c r="B73" t="inlineStr">
        <is>
          <t>Delayed projects</t>
        </is>
      </c>
      <c r="C73" t="inlineStr">
        <is>
          <t>count</t>
        </is>
      </c>
      <c r="D73" t="inlineStr">
        <is>
          <t>Month end</t>
        </is>
      </c>
      <c r="E73" t="inlineStr">
        <is>
          <t>Capex projects delayed</t>
        </is>
      </c>
      <c r="F73">
        <f>ROUND('A2 Inputs'!DP4,2)</f>
        <v/>
      </c>
      <c r="G73">
        <f>ROUND('A2 Inputs'!DP5,2)</f>
        <v/>
      </c>
      <c r="H73">
        <f>ROUND('A2 Inputs'!DP6,2)</f>
        <v/>
      </c>
      <c r="I73">
        <f>ROUND('A2 Inputs'!DP7,2)</f>
        <v/>
      </c>
      <c r="J73">
        <f>ROUND('A2 Inputs'!DP8,2)</f>
        <v/>
      </c>
      <c r="K73">
        <f>ROUND('A2 Inputs'!DP9,2)</f>
        <v/>
      </c>
      <c r="L73" t="inlineStr">
        <is>
          <t>projects_delayed</t>
        </is>
      </c>
    </row>
    <row r="74">
      <c r="A74" t="inlineStr">
        <is>
          <t>PRG-004</t>
        </is>
      </c>
      <c r="B74" t="inlineStr">
        <is>
          <t>Capex / transformation progress (same measure as STR-002)</t>
        </is>
      </c>
      <c r="C74" t="inlineStr">
        <is>
          <t>%</t>
        </is>
      </c>
      <c r="D74" t="inlineStr">
        <is>
          <t>To date</t>
        </is>
      </c>
      <c r="E74" t="inlineStr">
        <is>
          <t>Transformation milestones completed ÷ Milestones in plan × 100</t>
        </is>
      </c>
      <c r="F74">
        <f>ROUND(IF('A2 Inputs'!DV4=0,0,100*'A2 Inputs'!DW4/'A2 Inputs'!DV4),2)</f>
        <v/>
      </c>
      <c r="G74">
        <f>ROUND(IF('A2 Inputs'!DV5=0,0,100*'A2 Inputs'!DW5/'A2 Inputs'!DV5),2)</f>
        <v/>
      </c>
      <c r="H74">
        <f>ROUND(IF('A2 Inputs'!DV6=0,0,100*'A2 Inputs'!DW6/'A2 Inputs'!DV6),2)</f>
        <v/>
      </c>
      <c r="I74">
        <f>ROUND(IF('A2 Inputs'!DV7=0,0,100*'A2 Inputs'!DW7/'A2 Inputs'!DV7),2)</f>
        <v/>
      </c>
      <c r="J74">
        <f>ROUND(IF('A2 Inputs'!DV8=0,0,100*'A2 Inputs'!DW8/'A2 Inputs'!DV8),2)</f>
        <v/>
      </c>
      <c r="K74">
        <f>ROUND(IF('A2 Inputs'!DV9=0,0,100*'A2 Inputs'!DW9/'A2 Inputs'!DV9),2)</f>
        <v/>
      </c>
      <c r="L74" t="inlineStr">
        <is>
          <t>milestones_total, milestones_done</t>
        </is>
      </c>
    </row>
    <row r="75">
      <c r="A75" t="inlineStr">
        <is>
          <t>STR-002</t>
        </is>
      </c>
      <c r="B75" t="inlineStr">
        <is>
          <t>Transformation progress</t>
        </is>
      </c>
      <c r="C75" t="inlineStr">
        <is>
          <t>%</t>
        </is>
      </c>
      <c r="D75" t="inlineStr">
        <is>
          <t>To date</t>
        </is>
      </c>
      <c r="E75" t="inlineStr">
        <is>
          <t>Transformation milestones completed ÷ Milestones in plan × 100</t>
        </is>
      </c>
      <c r="F75">
        <f>ROUND(IF('A2 Inputs'!DV4=0,0,100*'A2 Inputs'!DW4/'A2 Inputs'!DV4),2)</f>
        <v/>
      </c>
      <c r="G75">
        <f>ROUND(IF('A2 Inputs'!DV5=0,0,100*'A2 Inputs'!DW5/'A2 Inputs'!DV5),2)</f>
        <v/>
      </c>
      <c r="H75">
        <f>ROUND(IF('A2 Inputs'!DV6=0,0,100*'A2 Inputs'!DW6/'A2 Inputs'!DV6),2)</f>
        <v/>
      </c>
      <c r="I75">
        <f>ROUND(IF('A2 Inputs'!DV7=0,0,100*'A2 Inputs'!DW7/'A2 Inputs'!DV7),2)</f>
        <v/>
      </c>
      <c r="J75">
        <f>ROUND(IF('A2 Inputs'!DV8=0,0,100*'A2 Inputs'!DW8/'A2 Inputs'!DV8),2)</f>
        <v/>
      </c>
      <c r="K75">
        <f>ROUND(IF('A2 Inputs'!DV9=0,0,100*'A2 Inputs'!DW9/'A2 Inputs'!DV9),2)</f>
        <v/>
      </c>
      <c r="L75" t="inlineStr">
        <is>
          <t>milestones_total, milestones_done</t>
        </is>
      </c>
    </row>
    <row r="76">
      <c r="A76" t="inlineStr">
        <is>
          <t>PRG-005</t>
        </is>
      </c>
      <c r="B76" t="inlineStr">
        <is>
          <t>Transformation initiative status</t>
        </is>
      </c>
      <c r="C76" t="inlineStr">
        <is>
          <t>text</t>
        </is>
      </c>
      <c r="D76" t="inlineStr">
        <is>
          <t>Month end</t>
        </is>
      </c>
      <c r="E76" t="inlineStr">
        <is>
          <t>Count of transformation initiatives by status</t>
        </is>
      </c>
      <c r="F76">
        <f>'A2 Inputs'!DS4&amp;" on track · "&amp;'A2 Inputs'!DT4&amp;" at risk · "&amp;'A2 Inputs'!DU4&amp;" delayed"</f>
        <v/>
      </c>
      <c r="G76">
        <f>'A2 Inputs'!DS5&amp;" on track · "&amp;'A2 Inputs'!DT5&amp;" at risk · "&amp;'A2 Inputs'!DU5&amp;" delayed"</f>
        <v/>
      </c>
      <c r="H76">
        <f>'A2 Inputs'!DS6&amp;" on track · "&amp;'A2 Inputs'!DT6&amp;" at risk · "&amp;'A2 Inputs'!DU6&amp;" delayed"</f>
        <v/>
      </c>
      <c r="I76">
        <f>'A2 Inputs'!DS7&amp;" on track · "&amp;'A2 Inputs'!DT7&amp;" at risk · "&amp;'A2 Inputs'!DU7&amp;" delayed"</f>
        <v/>
      </c>
      <c r="J76">
        <f>'A2 Inputs'!DS8&amp;" on track · "&amp;'A2 Inputs'!DT8&amp;" at risk · "&amp;'A2 Inputs'!DU8&amp;" delayed"</f>
        <v/>
      </c>
      <c r="K76">
        <f>'A2 Inputs'!DS9&amp;" on track · "&amp;'A2 Inputs'!DT9&amp;" at risk · "&amp;'A2 Inputs'!DU9&amp;" delayed"</f>
        <v/>
      </c>
      <c r="L76" t="inlineStr">
        <is>
          <t>initiatives_on_track, initiatives_at_risk, initiatives_delayed</t>
        </is>
      </c>
    </row>
    <row r="77">
      <c r="A77" t="inlineStr">
        <is>
          <t>SUP-006</t>
        </is>
      </c>
      <c r="B77" t="inlineStr">
        <is>
          <t>Contractor slippage</t>
        </is>
      </c>
      <c r="C77" t="inlineStr">
        <is>
          <t>days</t>
        </is>
      </c>
      <c r="D77" t="inlineStr">
        <is>
          <t>Month</t>
        </is>
      </c>
      <c r="E77" t="inlineStr">
        <is>
          <t>Contractor days late ÷ Contractor milestones due (average days late per milestone)</t>
        </is>
      </c>
      <c r="F77">
        <f>ROUND(IF('A2 Inputs'!DQ4=0,0,'A2 Inputs'!DR4/'A2 Inputs'!DQ4),2)</f>
        <v/>
      </c>
      <c r="G77">
        <f>ROUND(IF('A2 Inputs'!DQ5=0,0,'A2 Inputs'!DR5/'A2 Inputs'!DQ5),2)</f>
        <v/>
      </c>
      <c r="H77">
        <f>ROUND(IF('A2 Inputs'!DQ6=0,0,'A2 Inputs'!DR6/'A2 Inputs'!DQ6),2)</f>
        <v/>
      </c>
      <c r="I77">
        <f>ROUND(IF('A2 Inputs'!DQ7=0,0,'A2 Inputs'!DR7/'A2 Inputs'!DQ7),2)</f>
        <v/>
      </c>
      <c r="J77">
        <f>ROUND(IF('A2 Inputs'!DQ8=0,0,'A2 Inputs'!DR8/'A2 Inputs'!DQ8),2)</f>
        <v/>
      </c>
      <c r="K77">
        <f>ROUND(IF('A2 Inputs'!DQ9=0,0,'A2 Inputs'!DR9/'A2 Inputs'!DQ9),2)</f>
        <v/>
      </c>
      <c r="L77" t="inlineStr">
        <is>
          <t>contractor_milestones_due, contractor_days_late</t>
        </is>
      </c>
    </row>
    <row r="78">
      <c r="A78" t="inlineStr">
        <is>
          <t>VAL-001</t>
        </is>
      </c>
      <c r="B78" t="inlineStr">
        <is>
          <t>EBITDA benefit YTD</t>
        </is>
      </c>
      <c r="C78" t="inlineStr">
        <is>
          <t>₹ m</t>
        </is>
      </c>
      <c r="D78" t="inlineStr">
        <is>
          <t>Year to date</t>
        </is>
      </c>
      <c r="E78" t="inlineStr">
        <is>
          <t>Sum of EBITDA benefit since April ÷ 1000</t>
        </is>
      </c>
      <c r="F78">
        <f>ROUND(SUM('A2 Inputs'!DZ$4:DZ4)/1000,2)</f>
        <v/>
      </c>
      <c r="G78">
        <f>ROUND(SUM('A2 Inputs'!DZ$4:DZ5)/1000,2)</f>
        <v/>
      </c>
      <c r="H78">
        <f>ROUND(SUM('A2 Inputs'!DZ$4:DZ6)/1000,2)</f>
        <v/>
      </c>
      <c r="I78">
        <f>ROUND(SUM('A2 Inputs'!DZ$4:DZ7)/1000,2)</f>
        <v/>
      </c>
      <c r="J78">
        <f>ROUND(SUM('A2 Inputs'!DZ$4:DZ8)/1000,2)</f>
        <v/>
      </c>
      <c r="K78">
        <f>ROUND(SUM('A2 Inputs'!DZ$4:DZ9)/1000,2)</f>
        <v/>
      </c>
      <c r="L78" t="inlineStr">
        <is>
          <t>ebitda_benefit_k</t>
        </is>
      </c>
    </row>
    <row r="79">
      <c r="A79" t="inlineStr">
        <is>
          <t>VAL-002</t>
        </is>
      </c>
      <c r="B79" t="inlineStr">
        <is>
          <t>Cash benefit YTD</t>
        </is>
      </c>
      <c r="C79" t="inlineStr">
        <is>
          <t>₹ m</t>
        </is>
      </c>
      <c r="D79" t="inlineStr">
        <is>
          <t>Year to date</t>
        </is>
      </c>
      <c r="E79" t="inlineStr">
        <is>
          <t>Sum of cash benefit since April ÷ 1000</t>
        </is>
      </c>
      <c r="F79">
        <f>ROUND(SUM('A2 Inputs'!EA$4:EA4)/1000,2)</f>
        <v/>
      </c>
      <c r="G79">
        <f>ROUND(SUM('A2 Inputs'!EA$4:EA5)/1000,2)</f>
        <v/>
      </c>
      <c r="H79">
        <f>ROUND(SUM('A2 Inputs'!EA$4:EA6)/1000,2)</f>
        <v/>
      </c>
      <c r="I79">
        <f>ROUND(SUM('A2 Inputs'!EA$4:EA7)/1000,2)</f>
        <v/>
      </c>
      <c r="J79">
        <f>ROUND(SUM('A2 Inputs'!EA$4:EA8)/1000,2)</f>
        <v/>
      </c>
      <c r="K79">
        <f>ROUND(SUM('A2 Inputs'!EA$4:EA9)/1000,2)</f>
        <v/>
      </c>
      <c r="L79" t="inlineStr">
        <is>
          <t>cash_benefit_k</t>
        </is>
      </c>
    </row>
    <row r="80">
      <c r="A80" t="inlineStr">
        <is>
          <t>VAL-003</t>
        </is>
      </c>
      <c r="B80" t="inlineStr">
        <is>
          <t>Cost savings delivered YTD</t>
        </is>
      </c>
      <c r="C80" t="inlineStr">
        <is>
          <t>₹ m</t>
        </is>
      </c>
      <c r="D80" t="inlineStr">
        <is>
          <t>Year to date</t>
        </is>
      </c>
      <c r="E80" t="inlineStr">
        <is>
          <t>Sum of cost savings since April ÷ 1000</t>
        </is>
      </c>
      <c r="F80">
        <f>ROUND(SUM('A2 Inputs'!EB$4:EB4)/1000,2)</f>
        <v/>
      </c>
      <c r="G80">
        <f>ROUND(SUM('A2 Inputs'!EB$4:EB5)/1000,2)</f>
        <v/>
      </c>
      <c r="H80">
        <f>ROUND(SUM('A2 Inputs'!EB$4:EB6)/1000,2)</f>
        <v/>
      </c>
      <c r="I80">
        <f>ROUND(SUM('A2 Inputs'!EB$4:EB7)/1000,2)</f>
        <v/>
      </c>
      <c r="J80">
        <f>ROUND(SUM('A2 Inputs'!EB$4:EB8)/1000,2)</f>
        <v/>
      </c>
      <c r="K80">
        <f>ROUND(SUM('A2 Inputs'!EB$4:EB9)/1000,2)</f>
        <v/>
      </c>
      <c r="L80" t="inlineStr">
        <is>
          <t>cost_savings_k</t>
        </is>
      </c>
    </row>
    <row r="81">
      <c r="A81" t="inlineStr">
        <is>
          <t>SUP-001</t>
        </is>
      </c>
      <c r="B81" t="inlineStr">
        <is>
          <t>Supplier on-time delivery</t>
        </is>
      </c>
      <c r="C81" t="inlineStr">
        <is>
          <t>%</t>
        </is>
      </c>
      <c r="D81" t="inlineStr">
        <is>
          <t>Month</t>
        </is>
      </c>
      <c r="E81" t="inlineStr">
        <is>
          <t>Purchase-order lines on time ÷ Lines due × 100</t>
        </is>
      </c>
      <c r="F81">
        <f>ROUND(IF('A2 Inputs'!AY4=0,0,100*'A2 Inputs'!AZ4/'A2 Inputs'!AY4),2)</f>
        <v/>
      </c>
      <c r="G81">
        <f>ROUND(IF('A2 Inputs'!AY5=0,0,100*'A2 Inputs'!AZ5/'A2 Inputs'!AY5),2)</f>
        <v/>
      </c>
      <c r="H81">
        <f>ROUND(IF('A2 Inputs'!AY6=0,0,100*'A2 Inputs'!AZ6/'A2 Inputs'!AY6),2)</f>
        <v/>
      </c>
      <c r="I81">
        <f>ROUND(IF('A2 Inputs'!AY7=0,0,100*'A2 Inputs'!AZ7/'A2 Inputs'!AY7),2)</f>
        <v/>
      </c>
      <c r="J81">
        <f>ROUND(IF('A2 Inputs'!AY8=0,0,100*'A2 Inputs'!AZ8/'A2 Inputs'!AY8),2)</f>
        <v/>
      </c>
      <c r="K81">
        <f>ROUND(IF('A2 Inputs'!AY9=0,0,100*'A2 Inputs'!AZ9/'A2 Inputs'!AY9),2)</f>
        <v/>
      </c>
      <c r="L81" t="inlineStr">
        <is>
          <t>po_lines_due, po_lines_on_time</t>
        </is>
      </c>
    </row>
    <row r="82">
      <c r="A82" t="inlineStr">
        <is>
          <t>SUP-002</t>
        </is>
      </c>
      <c r="B82" t="inlineStr">
        <is>
          <t>Supplier fill rate</t>
        </is>
      </c>
      <c r="C82" t="inlineStr">
        <is>
          <t>%</t>
        </is>
      </c>
      <c r="D82" t="inlineStr">
        <is>
          <t>Month</t>
        </is>
      </c>
      <c r="E82" t="inlineStr">
        <is>
          <t>Quantity received ÷ Quantity ordered × 100</t>
        </is>
      </c>
      <c r="F82">
        <f>ROUND(IF('A2 Inputs'!BA4=0,0,100*'A2 Inputs'!BB4/'A2 Inputs'!BA4),2)</f>
        <v/>
      </c>
      <c r="G82">
        <f>ROUND(IF('A2 Inputs'!BA5=0,0,100*'A2 Inputs'!BB5/'A2 Inputs'!BA5),2)</f>
        <v/>
      </c>
      <c r="H82">
        <f>ROUND(IF('A2 Inputs'!BA6=0,0,100*'A2 Inputs'!BB6/'A2 Inputs'!BA6),2)</f>
        <v/>
      </c>
      <c r="I82">
        <f>ROUND(IF('A2 Inputs'!BA7=0,0,100*'A2 Inputs'!BB7/'A2 Inputs'!BA7),2)</f>
        <v/>
      </c>
      <c r="J82">
        <f>ROUND(IF('A2 Inputs'!BA8=0,0,100*'A2 Inputs'!BB8/'A2 Inputs'!BA8),2)</f>
        <v/>
      </c>
      <c r="K82">
        <f>ROUND(IF('A2 Inputs'!BA9=0,0,100*'A2 Inputs'!BB9/'A2 Inputs'!BA9),2)</f>
        <v/>
      </c>
      <c r="L82" t="inlineStr">
        <is>
          <t>qty_ordered_t, qty_received_t</t>
        </is>
      </c>
    </row>
    <row r="83">
      <c r="A83" t="inlineStr">
        <is>
          <t>SUP-003</t>
        </is>
      </c>
      <c r="B83" t="inlineStr">
        <is>
          <t>Supplier quality-rejection rate</t>
        </is>
      </c>
      <c r="C83" t="inlineStr">
        <is>
          <t>%</t>
        </is>
      </c>
      <c r="D83" t="inlineStr">
        <is>
          <t>Month</t>
        </is>
      </c>
      <c r="E83" t="inlineStr">
        <is>
          <t>Quantity rejected ÷ Quantity received × 100</t>
        </is>
      </c>
      <c r="F83">
        <f>ROUND(IF('A2 Inputs'!BB4=0,0,100*'A2 Inputs'!BC4/'A2 Inputs'!BB4),2)</f>
        <v/>
      </c>
      <c r="G83">
        <f>ROUND(IF('A2 Inputs'!BB5=0,0,100*'A2 Inputs'!BC5/'A2 Inputs'!BB5),2)</f>
        <v/>
      </c>
      <c r="H83">
        <f>ROUND(IF('A2 Inputs'!BB6=0,0,100*'A2 Inputs'!BC6/'A2 Inputs'!BB6),2)</f>
        <v/>
      </c>
      <c r="I83">
        <f>ROUND(IF('A2 Inputs'!BB7=0,0,100*'A2 Inputs'!BC7/'A2 Inputs'!BB7),2)</f>
        <v/>
      </c>
      <c r="J83">
        <f>ROUND(IF('A2 Inputs'!BB8=0,0,100*'A2 Inputs'!BC8/'A2 Inputs'!BB8),2)</f>
        <v/>
      </c>
      <c r="K83">
        <f>ROUND(IF('A2 Inputs'!BB9=0,0,100*'A2 Inputs'!BC9/'A2 Inputs'!BB9),2)</f>
        <v/>
      </c>
      <c r="L83" t="inlineStr">
        <is>
          <t>qty_received_t, qty_rejected_t</t>
        </is>
      </c>
    </row>
    <row r="84">
      <c r="A84" t="inlineStr">
        <is>
          <t>SUP-004</t>
        </is>
      </c>
      <c r="B84" t="inlineStr">
        <is>
          <t>Supplier lead-time variance</t>
        </is>
      </c>
      <c r="C84" t="inlineStr">
        <is>
          <t>%</t>
        </is>
      </c>
      <c r="D84" t="inlineStr">
        <is>
          <t>Month</t>
        </is>
      </c>
      <c r="E84" t="inlineStr">
        <is>
          <t>(Actual lead time − Planned lead time) ÷ Planned lead time × 100</t>
        </is>
      </c>
      <c r="F84">
        <f>ROUND(IF('A2 Inputs'!BD4=0,0,100*('A2 Inputs'!BE4-'A2 Inputs'!BD4)/'A2 Inputs'!BD4),2)</f>
        <v/>
      </c>
      <c r="G84">
        <f>ROUND(IF('A2 Inputs'!BD5=0,0,100*('A2 Inputs'!BE5-'A2 Inputs'!BD5)/'A2 Inputs'!BD5),2)</f>
        <v/>
      </c>
      <c r="H84">
        <f>ROUND(IF('A2 Inputs'!BD6=0,0,100*('A2 Inputs'!BE6-'A2 Inputs'!BD6)/'A2 Inputs'!BD6),2)</f>
        <v/>
      </c>
      <c r="I84">
        <f>ROUND(IF('A2 Inputs'!BD7=0,0,100*('A2 Inputs'!BE7-'A2 Inputs'!BD7)/'A2 Inputs'!BD7),2)</f>
        <v/>
      </c>
      <c r="J84">
        <f>ROUND(IF('A2 Inputs'!BD8=0,0,100*('A2 Inputs'!BE8-'A2 Inputs'!BD8)/'A2 Inputs'!BD8),2)</f>
        <v/>
      </c>
      <c r="K84">
        <f>ROUND(IF('A2 Inputs'!BD9=0,0,100*('A2 Inputs'!BE9-'A2 Inputs'!BD9)/'A2 Inputs'!BD9),2)</f>
        <v/>
      </c>
      <c r="L84" t="inlineStr">
        <is>
          <t>lead_time_planned_days, lead_time_actual_days</t>
        </is>
      </c>
    </row>
    <row r="85">
      <c r="A85" t="inlineStr">
        <is>
          <t>SUP-005</t>
        </is>
      </c>
      <c r="B85" t="inlineStr">
        <is>
          <t>Critical supplier exposure</t>
        </is>
      </c>
      <c r="C85" t="inlineStr">
        <is>
          <t>count</t>
        </is>
      </c>
      <c r="D85" t="inlineStr">
        <is>
          <t>Month end</t>
        </is>
      </c>
      <c r="E85" t="inlineStr">
        <is>
          <t>Critical single-source suppliers</t>
        </is>
      </c>
      <c r="F85">
        <f>ROUND('A2 Inputs'!EG4,2)</f>
        <v/>
      </c>
      <c r="G85">
        <f>ROUND('A2 Inputs'!EG5,2)</f>
        <v/>
      </c>
      <c r="H85">
        <f>ROUND('A2 Inputs'!EG6,2)</f>
        <v/>
      </c>
      <c r="I85">
        <f>ROUND('A2 Inputs'!EG7,2)</f>
        <v/>
      </c>
      <c r="J85">
        <f>ROUND('A2 Inputs'!EG8,2)</f>
        <v/>
      </c>
      <c r="K85">
        <f>ROUND('A2 Inputs'!EG9,2)</f>
        <v/>
      </c>
      <c r="L85" t="inlineStr">
        <is>
          <t>single_source_suppliers</t>
        </is>
      </c>
    </row>
    <row r="86">
      <c r="A86" t="inlineStr">
        <is>
          <t>SUP-007</t>
        </is>
      </c>
      <c r="B86" t="inlineStr">
        <is>
          <t>Single-source spend share</t>
        </is>
      </c>
      <c r="C86" t="inlineStr">
        <is>
          <t>%</t>
        </is>
      </c>
      <c r="D86" t="inlineStr">
        <is>
          <t>Month</t>
        </is>
      </c>
      <c r="E86" t="inlineStr">
        <is>
          <t>Spend with single-source suppliers ÷ Supplier spend × 100</t>
        </is>
      </c>
      <c r="F86">
        <f>ROUND(IF('A2 Inputs'!BF4=0,0,100*'A2 Inputs'!BG4/'A2 Inputs'!BF4),2)</f>
        <v/>
      </c>
      <c r="G86">
        <f>ROUND(IF('A2 Inputs'!BF5=0,0,100*'A2 Inputs'!BG5/'A2 Inputs'!BF5),2)</f>
        <v/>
      </c>
      <c r="H86">
        <f>ROUND(IF('A2 Inputs'!BF6=0,0,100*'A2 Inputs'!BG6/'A2 Inputs'!BF6),2)</f>
        <v/>
      </c>
      <c r="I86">
        <f>ROUND(IF('A2 Inputs'!BF7=0,0,100*'A2 Inputs'!BG7/'A2 Inputs'!BF7),2)</f>
        <v/>
      </c>
      <c r="J86">
        <f>ROUND(IF('A2 Inputs'!BF8=0,0,100*'A2 Inputs'!BG8/'A2 Inputs'!BF8),2)</f>
        <v/>
      </c>
      <c r="K86">
        <f>ROUND(IF('A2 Inputs'!BF9=0,0,100*'A2 Inputs'!BG9/'A2 Inputs'!BF9),2)</f>
        <v/>
      </c>
      <c r="L86" t="inlineStr">
        <is>
          <t>supplier_spend_k, single_source_spend_k</t>
        </is>
      </c>
    </row>
    <row r="87">
      <c r="A87" t="inlineStr">
        <is>
          <t>SUP-008</t>
        </is>
      </c>
      <c r="B87" t="inlineStr">
        <is>
          <t>Supplier EHS incidents YTD</t>
        </is>
      </c>
      <c r="C87" t="inlineStr">
        <is>
          <t>count</t>
        </is>
      </c>
      <c r="D87" t="inlineStr">
        <is>
          <t>Year to date</t>
        </is>
      </c>
      <c r="E87" t="inlineStr">
        <is>
          <t>Sum of supplier EHS incidents since April</t>
        </is>
      </c>
      <c r="F87">
        <f>ROUND(SUM('A2 Inputs'!BH$4:BH4),2)</f>
        <v/>
      </c>
      <c r="G87">
        <f>ROUND(SUM('A2 Inputs'!BH$4:BH5),2)</f>
        <v/>
      </c>
      <c r="H87">
        <f>ROUND(SUM('A2 Inputs'!BH$4:BH6),2)</f>
        <v/>
      </c>
      <c r="I87">
        <f>ROUND(SUM('A2 Inputs'!BH$4:BH7),2)</f>
        <v/>
      </c>
      <c r="J87">
        <f>ROUND(SUM('A2 Inputs'!BH$4:BH8),2)</f>
        <v/>
      </c>
      <c r="K87">
        <f>ROUND(SUM('A2 Inputs'!BH$4:BH9),2)</f>
        <v/>
      </c>
      <c r="L87" t="inlineStr">
        <is>
          <t>supplier_ehs_incidents</t>
        </is>
      </c>
    </row>
    <row r="88">
      <c r="A88" t="inlineStr">
        <is>
          <t>CON-001</t>
        </is>
      </c>
      <c r="B88" t="inlineStr">
        <is>
          <t>Contracts expiring, next 90 days</t>
        </is>
      </c>
      <c r="C88" t="inlineStr">
        <is>
          <t>count</t>
        </is>
      </c>
      <c r="D88" t="inlineStr">
        <is>
          <t>Month end</t>
        </is>
      </c>
      <c r="E88" t="inlineStr">
        <is>
          <t>Contracts expiring in next 90 days</t>
        </is>
      </c>
      <c r="F88">
        <f>ROUND('A2 Inputs'!EE4,2)</f>
        <v/>
      </c>
      <c r="G88">
        <f>ROUND('A2 Inputs'!EE5,2)</f>
        <v/>
      </c>
      <c r="H88">
        <f>ROUND('A2 Inputs'!EE6,2)</f>
        <v/>
      </c>
      <c r="I88">
        <f>ROUND('A2 Inputs'!EE7,2)</f>
        <v/>
      </c>
      <c r="J88">
        <f>ROUND('A2 Inputs'!EE8,2)</f>
        <v/>
      </c>
      <c r="K88">
        <f>ROUND('A2 Inputs'!EE9,2)</f>
        <v/>
      </c>
      <c r="L88" t="inlineStr">
        <is>
          <t>contracts_expiring_90d</t>
        </is>
      </c>
    </row>
    <row r="89">
      <c r="A89" t="inlineStr">
        <is>
          <t>CON-002</t>
        </is>
      </c>
      <c r="B89" t="inlineStr">
        <is>
          <t>Contract-compliance rate</t>
        </is>
      </c>
      <c r="C89" t="inlineStr">
        <is>
          <t>%</t>
        </is>
      </c>
      <c r="D89" t="inlineStr">
        <is>
          <t>Month end</t>
        </is>
      </c>
      <c r="E89" t="inlineStr">
        <is>
          <t>Contracts fully compliant ÷ Active contracts × 100</t>
        </is>
      </c>
      <c r="F89">
        <f>ROUND(IF('A2 Inputs'!EC4=0,0,100*'A2 Inputs'!ED4/'A2 Inputs'!EC4),2)</f>
        <v/>
      </c>
      <c r="G89">
        <f>ROUND(IF('A2 Inputs'!EC5=0,0,100*'A2 Inputs'!ED5/'A2 Inputs'!EC5),2)</f>
        <v/>
      </c>
      <c r="H89">
        <f>ROUND(IF('A2 Inputs'!EC6=0,0,100*'A2 Inputs'!ED6/'A2 Inputs'!EC6),2)</f>
        <v/>
      </c>
      <c r="I89">
        <f>ROUND(IF('A2 Inputs'!EC7=0,0,100*'A2 Inputs'!ED7/'A2 Inputs'!EC7),2)</f>
        <v/>
      </c>
      <c r="J89">
        <f>ROUND(IF('A2 Inputs'!EC8=0,0,100*'A2 Inputs'!ED8/'A2 Inputs'!EC8),2)</f>
        <v/>
      </c>
      <c r="K89">
        <f>ROUND(IF('A2 Inputs'!EC9=0,0,100*'A2 Inputs'!ED9/'A2 Inputs'!EC9),2)</f>
        <v/>
      </c>
      <c r="L89" t="inlineStr">
        <is>
          <t>contracts_total, contracts_compliant</t>
        </is>
      </c>
    </row>
    <row r="90">
      <c r="A90" t="inlineStr">
        <is>
          <t>CON-003</t>
        </is>
      </c>
      <c r="B90" t="inlineStr">
        <is>
          <t>Supplier EHS non-compliance</t>
        </is>
      </c>
      <c r="C90" t="inlineStr">
        <is>
          <t>count</t>
        </is>
      </c>
      <c r="D90" t="inlineStr">
        <is>
          <t>Month end</t>
        </is>
      </c>
      <c r="E90" t="inlineStr">
        <is>
          <t>Suppliers not meeting EHS requirements</t>
        </is>
      </c>
      <c r="F90">
        <f>ROUND('A2 Inputs'!EF4,2)</f>
        <v/>
      </c>
      <c r="G90">
        <f>ROUND('A2 Inputs'!EF5,2)</f>
        <v/>
      </c>
      <c r="H90">
        <f>ROUND('A2 Inputs'!EF6,2)</f>
        <v/>
      </c>
      <c r="I90">
        <f>ROUND('A2 Inputs'!EF7,2)</f>
        <v/>
      </c>
      <c r="J90">
        <f>ROUND('A2 Inputs'!EF8,2)</f>
        <v/>
      </c>
      <c r="K90">
        <f>ROUND('A2 Inputs'!EF9,2)</f>
        <v/>
      </c>
      <c r="L90" t="inlineStr">
        <is>
          <t>supplier_ehs_noncompliance</t>
        </is>
      </c>
    </row>
    <row r="91">
      <c r="A91" t="inlineStr">
        <is>
          <t>REG-001</t>
        </is>
      </c>
      <c r="B91" t="inlineStr">
        <is>
          <t>Pending filings</t>
        </is>
      </c>
      <c r="C91" t="inlineStr">
        <is>
          <t>count</t>
        </is>
      </c>
      <c r="D91" t="inlineStr">
        <is>
          <t>Month end</t>
        </is>
      </c>
      <c r="E91" t="inlineStr">
        <is>
          <t>Regulatory filings pending</t>
        </is>
      </c>
      <c r="F91">
        <f>ROUND('A2 Inputs'!BI4,2)</f>
        <v/>
      </c>
      <c r="G91">
        <f>ROUND('A2 Inputs'!BI5,2)</f>
        <v/>
      </c>
      <c r="H91">
        <f>ROUND('A2 Inputs'!BI6,2)</f>
        <v/>
      </c>
      <c r="I91">
        <f>ROUND('A2 Inputs'!BI7,2)</f>
        <v/>
      </c>
      <c r="J91">
        <f>ROUND('A2 Inputs'!BI8,2)</f>
        <v/>
      </c>
      <c r="K91">
        <f>ROUND('A2 Inputs'!BI9,2)</f>
        <v/>
      </c>
      <c r="L91" t="inlineStr">
        <is>
          <t>pending_filings</t>
        </is>
      </c>
    </row>
    <row r="92">
      <c r="A92" t="inlineStr">
        <is>
          <t>REG-002</t>
        </is>
      </c>
      <c r="B92" t="inlineStr">
        <is>
          <t>Regulatory deadlines, next 30 days</t>
        </is>
      </c>
      <c r="C92" t="inlineStr">
        <is>
          <t>count</t>
        </is>
      </c>
      <c r="D92" t="inlineStr">
        <is>
          <t>Month end</t>
        </is>
      </c>
      <c r="E92" t="inlineStr">
        <is>
          <t>Regulatory deadlines in next 30 days</t>
        </is>
      </c>
      <c r="F92">
        <f>ROUND('A2 Inputs'!BJ4,2)</f>
        <v/>
      </c>
      <c r="G92">
        <f>ROUND('A2 Inputs'!BJ5,2)</f>
        <v/>
      </c>
      <c r="H92">
        <f>ROUND('A2 Inputs'!BJ6,2)</f>
        <v/>
      </c>
      <c r="I92">
        <f>ROUND('A2 Inputs'!BJ7,2)</f>
        <v/>
      </c>
      <c r="J92">
        <f>ROUND('A2 Inputs'!BJ8,2)</f>
        <v/>
      </c>
      <c r="K92">
        <f>ROUND('A2 Inputs'!BJ9,2)</f>
        <v/>
      </c>
      <c r="L92" t="inlineStr">
        <is>
          <t>reg_deadlines_30d</t>
        </is>
      </c>
    </row>
    <row r="93">
      <c r="A93" t="inlineStr">
        <is>
          <t>REG-003</t>
        </is>
      </c>
      <c r="B93" t="inlineStr">
        <is>
          <t>Licence expirations, next 12 months</t>
        </is>
      </c>
      <c r="C93" t="inlineStr">
        <is>
          <t>count</t>
        </is>
      </c>
      <c r="D93" t="inlineStr">
        <is>
          <t>Month end</t>
        </is>
      </c>
      <c r="E93" t="inlineStr">
        <is>
          <t>Licences expiring in next 12 months</t>
        </is>
      </c>
      <c r="F93">
        <f>ROUND('A2 Inputs'!BK4,2)</f>
        <v/>
      </c>
      <c r="G93">
        <f>ROUND('A2 Inputs'!BK5,2)</f>
        <v/>
      </c>
      <c r="H93">
        <f>ROUND('A2 Inputs'!BK6,2)</f>
        <v/>
      </c>
      <c r="I93">
        <f>ROUND('A2 Inputs'!BK7,2)</f>
        <v/>
      </c>
      <c r="J93">
        <f>ROUND('A2 Inputs'!BK8,2)</f>
        <v/>
      </c>
      <c r="K93">
        <f>ROUND('A2 Inputs'!BK9,2)</f>
        <v/>
      </c>
      <c r="L93" t="inlineStr">
        <is>
          <t>licences_expiring_12m</t>
        </is>
      </c>
    </row>
    <row r="94">
      <c r="A94" t="inlineStr">
        <is>
          <t>REG-004</t>
        </is>
      </c>
      <c r="B94" t="inlineStr">
        <is>
          <t>Regulatory obligations due, next 30 days</t>
        </is>
      </c>
      <c r="C94" t="inlineStr">
        <is>
          <t>count</t>
        </is>
      </c>
      <c r="D94" t="inlineStr">
        <is>
          <t>Month end</t>
        </is>
      </c>
      <c r="E94" t="inlineStr">
        <is>
          <t>Regulatory obligations due in next 30 days</t>
        </is>
      </c>
      <c r="F94">
        <f>ROUND('A2 Inputs'!BL4,2)</f>
        <v/>
      </c>
      <c r="G94">
        <f>ROUND('A2 Inputs'!BL5,2)</f>
        <v/>
      </c>
      <c r="H94">
        <f>ROUND('A2 Inputs'!BL6,2)</f>
        <v/>
      </c>
      <c r="I94">
        <f>ROUND('A2 Inputs'!BL7,2)</f>
        <v/>
      </c>
      <c r="J94">
        <f>ROUND('A2 Inputs'!BL8,2)</f>
        <v/>
      </c>
      <c r="K94">
        <f>ROUND('A2 Inputs'!BL9,2)</f>
        <v/>
      </c>
      <c r="L94" t="inlineStr">
        <is>
          <t>reg_obligations_due_30d</t>
        </is>
      </c>
    </row>
    <row r="95">
      <c r="A95" t="inlineStr">
        <is>
          <t>REG-005</t>
        </is>
      </c>
      <c r="B95" t="inlineStr">
        <is>
          <t>Overdue regulatory obligations</t>
        </is>
      </c>
      <c r="C95" t="inlineStr">
        <is>
          <t>count</t>
        </is>
      </c>
      <c r="D95" t="inlineStr">
        <is>
          <t>Month end</t>
        </is>
      </c>
      <c r="E95" t="inlineStr">
        <is>
          <t>Regulatory obligations overdue</t>
        </is>
      </c>
      <c r="F95">
        <f>ROUND('A2 Inputs'!BM4,2)</f>
        <v/>
      </c>
      <c r="G95">
        <f>ROUND('A2 Inputs'!BM5,2)</f>
        <v/>
      </c>
      <c r="H95">
        <f>ROUND('A2 Inputs'!BM6,2)</f>
        <v/>
      </c>
      <c r="I95">
        <f>ROUND('A2 Inputs'!BM7,2)</f>
        <v/>
      </c>
      <c r="J95">
        <f>ROUND('A2 Inputs'!BM8,2)</f>
        <v/>
      </c>
      <c r="K95">
        <f>ROUND('A2 Inputs'!BM9,2)</f>
        <v/>
      </c>
      <c r="L95" t="inlineStr">
        <is>
          <t>reg_obligations_overdue</t>
        </is>
      </c>
    </row>
    <row r="96">
      <c r="A96" t="inlineStr">
        <is>
          <t>REG-007</t>
        </is>
      </c>
      <c r="B96" t="inlineStr">
        <is>
          <t>Open regulatory actions</t>
        </is>
      </c>
      <c r="C96" t="inlineStr">
        <is>
          <t>count</t>
        </is>
      </c>
      <c r="D96" t="inlineStr">
        <is>
          <t>Month end</t>
        </is>
      </c>
      <c r="E96" t="inlineStr">
        <is>
          <t>Open regulatory actions</t>
        </is>
      </c>
      <c r="F96">
        <f>ROUND('A2 Inputs'!BN4,2)</f>
        <v/>
      </c>
      <c r="G96">
        <f>ROUND('A2 Inputs'!BN5,2)</f>
        <v/>
      </c>
      <c r="H96">
        <f>ROUND('A2 Inputs'!BN6,2)</f>
        <v/>
      </c>
      <c r="I96">
        <f>ROUND('A2 Inputs'!BN7,2)</f>
        <v/>
      </c>
      <c r="J96">
        <f>ROUND('A2 Inputs'!BN8,2)</f>
        <v/>
      </c>
      <c r="K96">
        <f>ROUND('A2 Inputs'!BN9,2)</f>
        <v/>
      </c>
      <c r="L96" t="inlineStr">
        <is>
          <t>reg_actions_open</t>
        </is>
      </c>
    </row>
    <row r="97">
      <c r="A97" t="inlineStr">
        <is>
          <t>REG-008</t>
        </is>
      </c>
      <c r="B97" t="inlineStr">
        <is>
          <t>Overdue compliance actions</t>
        </is>
      </c>
      <c r="C97" t="inlineStr">
        <is>
          <t>count</t>
        </is>
      </c>
      <c r="D97" t="inlineStr">
        <is>
          <t>Month end</t>
        </is>
      </c>
      <c r="E97" t="inlineStr">
        <is>
          <t>Overdue compliance actions</t>
        </is>
      </c>
      <c r="F97">
        <f>ROUND('A2 Inputs'!BO4,2)</f>
        <v/>
      </c>
      <c r="G97">
        <f>ROUND('A2 Inputs'!BO5,2)</f>
        <v/>
      </c>
      <c r="H97">
        <f>ROUND('A2 Inputs'!BO6,2)</f>
        <v/>
      </c>
      <c r="I97">
        <f>ROUND('A2 Inputs'!BO7,2)</f>
        <v/>
      </c>
      <c r="J97">
        <f>ROUND('A2 Inputs'!BO8,2)</f>
        <v/>
      </c>
      <c r="K97">
        <f>ROUND('A2 Inputs'!BO9,2)</f>
        <v/>
      </c>
      <c r="L97" t="inlineStr">
        <is>
          <t>compliance_actions_overdue</t>
        </is>
      </c>
    </row>
    <row r="98">
      <c r="A98" t="inlineStr">
        <is>
          <t>REG-009</t>
        </is>
      </c>
      <c r="B98" t="inlineStr">
        <is>
          <t>Disclosure-clock status</t>
        </is>
      </c>
      <c r="C98" t="inlineStr">
        <is>
          <t>text</t>
        </is>
      </c>
      <c r="D98" t="inlineStr">
        <is>
          <t>Month end</t>
        </is>
      </c>
      <c r="E98" t="inlineStr">
        <is>
          <t>Triggered if any event that needs disclosure is open, otherwise Not triggered</t>
        </is>
      </c>
      <c r="F98">
        <f>IF('A2 Inputs'!BQ4&gt;0,"Triggered","Not triggered")</f>
        <v/>
      </c>
      <c r="G98">
        <f>IF('A2 Inputs'!BQ5&gt;0,"Triggered","Not triggered")</f>
        <v/>
      </c>
      <c r="H98">
        <f>IF('A2 Inputs'!BQ6&gt;0,"Triggered","Not triggered")</f>
        <v/>
      </c>
      <c r="I98">
        <f>IF('A2 Inputs'!BQ7&gt;0,"Triggered","Not triggered")</f>
        <v/>
      </c>
      <c r="J98">
        <f>IF('A2 Inputs'!BQ8&gt;0,"Triggered","Not triggered")</f>
        <v/>
      </c>
      <c r="K98">
        <f>IF('A2 Inputs'!BQ9&gt;0,"Triggered","Not triggered")</f>
        <v/>
      </c>
      <c r="L98" t="inlineStr">
        <is>
          <t>disclosure_events_open</t>
        </is>
      </c>
    </row>
    <row r="99">
      <c r="A99" t="inlineStr">
        <is>
          <t>REG-010</t>
        </is>
      </c>
      <c r="B99" t="inlineStr">
        <is>
          <t>Regulatory breaches YTD</t>
        </is>
      </c>
      <c r="C99" t="inlineStr">
        <is>
          <t>count</t>
        </is>
      </c>
      <c r="D99" t="inlineStr">
        <is>
          <t>Year to date</t>
        </is>
      </c>
      <c r="E99" t="inlineStr">
        <is>
          <t>Sum of regulatory breaches since April</t>
        </is>
      </c>
      <c r="F99">
        <f>ROUND(SUM('A2 Inputs'!BP$4:BP4),2)</f>
        <v/>
      </c>
      <c r="G99">
        <f>ROUND(SUM('A2 Inputs'!BP$4:BP5),2)</f>
        <v/>
      </c>
      <c r="H99">
        <f>ROUND(SUM('A2 Inputs'!BP$4:BP6),2)</f>
        <v/>
      </c>
      <c r="I99">
        <f>ROUND(SUM('A2 Inputs'!BP$4:BP7),2)</f>
        <v/>
      </c>
      <c r="J99">
        <f>ROUND(SUM('A2 Inputs'!BP$4:BP8),2)</f>
        <v/>
      </c>
      <c r="K99">
        <f>ROUND(SUM('A2 Inputs'!BP$4:BP9),2)</f>
        <v/>
      </c>
      <c r="L99" t="inlineStr">
        <is>
          <t>reg_breaches</t>
        </is>
      </c>
    </row>
    <row r="100">
      <c r="A100" t="inlineStr">
        <is>
          <t>RSK-003</t>
        </is>
      </c>
      <c r="B100" t="inlineStr">
        <is>
          <t>Regulatory breaches YTD (same measure as REG-010)</t>
        </is>
      </c>
      <c r="C100" t="inlineStr">
        <is>
          <t>count</t>
        </is>
      </c>
      <c r="D100" t="inlineStr">
        <is>
          <t>Year to date</t>
        </is>
      </c>
      <c r="E100" t="inlineStr">
        <is>
          <t>Sum of regulatory breaches since April</t>
        </is>
      </c>
      <c r="F100">
        <f>ROUND(SUM('A2 Inputs'!BP$4:BP4),2)</f>
        <v/>
      </c>
      <c r="G100">
        <f>ROUND(SUM('A2 Inputs'!BP$4:BP5),2)</f>
        <v/>
      </c>
      <c r="H100">
        <f>ROUND(SUM('A2 Inputs'!BP$4:BP6),2)</f>
        <v/>
      </c>
      <c r="I100">
        <f>ROUND(SUM('A2 Inputs'!BP$4:BP7),2)</f>
        <v/>
      </c>
      <c r="J100">
        <f>ROUND(SUM('A2 Inputs'!BP$4:BP8),2)</f>
        <v/>
      </c>
      <c r="K100">
        <f>ROUND(SUM('A2 Inputs'!BP$4:BP9),2)</f>
        <v/>
      </c>
      <c r="L100" t="inlineStr">
        <is>
          <t>reg_breaches</t>
        </is>
      </c>
    </row>
    <row r="101">
      <c r="A101" t="inlineStr">
        <is>
          <t>CMP-005</t>
        </is>
      </c>
      <c r="B101" t="inlineStr">
        <is>
          <t>Regulatory breaches YTD (same measure as REG-010)</t>
        </is>
      </c>
      <c r="C101" t="inlineStr">
        <is>
          <t>count</t>
        </is>
      </c>
      <c r="D101" t="inlineStr">
        <is>
          <t>Year to date</t>
        </is>
      </c>
      <c r="E101" t="inlineStr">
        <is>
          <t>Sum of regulatory breaches since April</t>
        </is>
      </c>
      <c r="F101">
        <f>ROUND(SUM('A2 Inputs'!BP$4:BP4),2)</f>
        <v/>
      </c>
      <c r="G101">
        <f>ROUND(SUM('A2 Inputs'!BP$4:BP5),2)</f>
        <v/>
      </c>
      <c r="H101">
        <f>ROUND(SUM('A2 Inputs'!BP$4:BP6),2)</f>
        <v/>
      </c>
      <c r="I101">
        <f>ROUND(SUM('A2 Inputs'!BP$4:BP7),2)</f>
        <v/>
      </c>
      <c r="J101">
        <f>ROUND(SUM('A2 Inputs'!BP$4:BP8),2)</f>
        <v/>
      </c>
      <c r="K101">
        <f>ROUND(SUM('A2 Inputs'!BP$4:BP9),2)</f>
        <v/>
      </c>
      <c r="L101" t="inlineStr">
        <is>
          <t>reg_breaches</t>
        </is>
      </c>
    </row>
    <row r="102">
      <c r="A102" t="inlineStr">
        <is>
          <t>EHS-008</t>
        </is>
      </c>
      <c r="B102" t="inlineStr">
        <is>
          <t>EHS escalation clocks running</t>
        </is>
      </c>
      <c r="C102" t="inlineStr">
        <is>
          <t>count</t>
        </is>
      </c>
      <c r="D102" t="inlineStr">
        <is>
          <t>Month end</t>
        </is>
      </c>
      <c r="E102" t="inlineStr">
        <is>
          <t>EHS escalation clocks running</t>
        </is>
      </c>
      <c r="F102">
        <f>ROUND('A2 Inputs'!BR4,2)</f>
        <v/>
      </c>
      <c r="G102">
        <f>ROUND('A2 Inputs'!BR5,2)</f>
        <v/>
      </c>
      <c r="H102">
        <f>ROUND('A2 Inputs'!BR6,2)</f>
        <v/>
      </c>
      <c r="I102">
        <f>ROUND('A2 Inputs'!BR7,2)</f>
        <v/>
      </c>
      <c r="J102">
        <f>ROUND('A2 Inputs'!BR8,2)</f>
        <v/>
      </c>
      <c r="K102">
        <f>ROUND('A2 Inputs'!BR9,2)</f>
        <v/>
      </c>
      <c r="L102" t="inlineStr">
        <is>
          <t>ehs_escalation_clocks</t>
        </is>
      </c>
    </row>
    <row r="103">
      <c r="A103" t="inlineStr">
        <is>
          <t>EHS-010</t>
        </is>
      </c>
      <c r="B103" t="inlineStr">
        <is>
          <t>EHS investigation completion rate YTD</t>
        </is>
      </c>
      <c r="C103" t="inlineStr">
        <is>
          <t>%</t>
        </is>
      </c>
      <c r="D103" t="inlineStr">
        <is>
          <t>Year to date</t>
        </is>
      </c>
      <c r="E103" t="inlineStr">
        <is>
          <t>EHS investigations completed since April ÷ Investigations due since April × 100 (100 if none due)</t>
        </is>
      </c>
      <c r="F103">
        <f>ROUND(IF(SUM('A2 Inputs'!AM$4:AM4)=0,100,100*SUM('A2 Inputs'!AN$4:AN4)/SUM('A2 Inputs'!AM$4:AM4)),2)</f>
        <v/>
      </c>
      <c r="G103">
        <f>ROUND(IF(SUM('A2 Inputs'!AM$4:AM5)=0,100,100*SUM('A2 Inputs'!AN$4:AN5)/SUM('A2 Inputs'!AM$4:AM5)),2)</f>
        <v/>
      </c>
      <c r="H103">
        <f>ROUND(IF(SUM('A2 Inputs'!AM$4:AM6)=0,100,100*SUM('A2 Inputs'!AN$4:AN6)/SUM('A2 Inputs'!AM$4:AM6)),2)</f>
        <v/>
      </c>
      <c r="I103">
        <f>ROUND(IF(SUM('A2 Inputs'!AM$4:AM7)=0,100,100*SUM('A2 Inputs'!AN$4:AN7)/SUM('A2 Inputs'!AM$4:AM7)),2)</f>
        <v/>
      </c>
      <c r="J103">
        <f>ROUND(IF(SUM('A2 Inputs'!AM$4:AM8)=0,100,100*SUM('A2 Inputs'!AN$4:AN8)/SUM('A2 Inputs'!AM$4:AM8)),2)</f>
        <v/>
      </c>
      <c r="K103">
        <f>ROUND(IF(SUM('A2 Inputs'!AM$4:AM9)=0,100,100*SUM('A2 Inputs'!AN$4:AN9)/SUM('A2 Inputs'!AM$4:AM9)),2)</f>
        <v/>
      </c>
      <c r="L103" t="inlineStr">
        <is>
          <t>investigations_due, investigations_completed</t>
        </is>
      </c>
    </row>
    <row r="104">
      <c r="A104" t="inlineStr">
        <is>
          <t>CTL-002</t>
        </is>
      </c>
      <c r="B104" t="inlineStr">
        <is>
          <t>Control failures YTD</t>
        </is>
      </c>
      <c r="C104" t="inlineStr">
        <is>
          <t>count</t>
        </is>
      </c>
      <c r="D104" t="inlineStr">
        <is>
          <t>Year to date</t>
        </is>
      </c>
      <c r="E104" t="inlineStr">
        <is>
          <t>Sum of control failures since April</t>
        </is>
      </c>
      <c r="F104">
        <f>ROUND(SUM('A2 Inputs'!EH$4:EH4),2)</f>
        <v/>
      </c>
      <c r="G104">
        <f>ROUND(SUM('A2 Inputs'!EH$4:EH5),2)</f>
        <v/>
      </c>
      <c r="H104">
        <f>ROUND(SUM('A2 Inputs'!EH$4:EH6),2)</f>
        <v/>
      </c>
      <c r="I104">
        <f>ROUND(SUM('A2 Inputs'!EH$4:EH7),2)</f>
        <v/>
      </c>
      <c r="J104">
        <f>ROUND(SUM('A2 Inputs'!EH$4:EH8),2)</f>
        <v/>
      </c>
      <c r="K104">
        <f>ROUND(SUM('A2 Inputs'!EH$4:EH9),2)</f>
        <v/>
      </c>
      <c r="L104" t="inlineStr">
        <is>
          <t>control_failures</t>
        </is>
      </c>
    </row>
    <row r="105">
      <c r="A105" t="inlineStr">
        <is>
          <t>CTL-004</t>
        </is>
      </c>
      <c r="B105" t="inlineStr">
        <is>
          <t>High-severity control failures YTD</t>
        </is>
      </c>
      <c r="C105" t="inlineStr">
        <is>
          <t>count</t>
        </is>
      </c>
      <c r="D105" t="inlineStr">
        <is>
          <t>Year to date</t>
        </is>
      </c>
      <c r="E105" t="inlineStr">
        <is>
          <t>Sum of high-severity control failures since April</t>
        </is>
      </c>
      <c r="F105">
        <f>ROUND(SUM('A2 Inputs'!EI$4:EI4),2)</f>
        <v/>
      </c>
      <c r="G105">
        <f>ROUND(SUM('A2 Inputs'!EI$4:EI5),2)</f>
        <v/>
      </c>
      <c r="H105">
        <f>ROUND(SUM('A2 Inputs'!EI$4:EI6),2)</f>
        <v/>
      </c>
      <c r="I105">
        <f>ROUND(SUM('A2 Inputs'!EI$4:EI7),2)</f>
        <v/>
      </c>
      <c r="J105">
        <f>ROUND(SUM('A2 Inputs'!EI$4:EI8),2)</f>
        <v/>
      </c>
      <c r="K105">
        <f>ROUND(SUM('A2 Inputs'!EI$4:EI9),2)</f>
        <v/>
      </c>
      <c r="L105" t="inlineStr">
        <is>
          <t>control_failures_high</t>
        </is>
      </c>
    </row>
    <row r="106">
      <c r="A106" t="inlineStr">
        <is>
          <t>CTL-005</t>
        </is>
      </c>
      <c r="B106" t="inlineStr">
        <is>
          <t>Policy exceptions YTD</t>
        </is>
      </c>
      <c r="C106" t="inlineStr">
        <is>
          <t>count</t>
        </is>
      </c>
      <c r="D106" t="inlineStr">
        <is>
          <t>Year to date</t>
        </is>
      </c>
      <c r="E106" t="inlineStr">
        <is>
          <t>Sum of policy exceptions since April</t>
        </is>
      </c>
      <c r="F106">
        <f>ROUND(SUM('A2 Inputs'!EL$4:EL4),2)</f>
        <v/>
      </c>
      <c r="G106">
        <f>ROUND(SUM('A2 Inputs'!EL$4:EL5),2)</f>
        <v/>
      </c>
      <c r="H106">
        <f>ROUND(SUM('A2 Inputs'!EL$4:EL6),2)</f>
        <v/>
      </c>
      <c r="I106">
        <f>ROUND(SUM('A2 Inputs'!EL$4:EL7),2)</f>
        <v/>
      </c>
      <c r="J106">
        <f>ROUND(SUM('A2 Inputs'!EL$4:EL8),2)</f>
        <v/>
      </c>
      <c r="K106">
        <f>ROUND(SUM('A2 Inputs'!EL$4:EL9),2)</f>
        <v/>
      </c>
      <c r="L106" t="inlineStr">
        <is>
          <t>policy_exceptions</t>
        </is>
      </c>
    </row>
    <row r="107">
      <c r="A107" t="inlineStr">
        <is>
          <t>CTL-006</t>
        </is>
      </c>
      <c r="B107" t="inlineStr">
        <is>
          <t>Unauthorised-vendor usage YTD</t>
        </is>
      </c>
      <c r="C107" t="inlineStr">
        <is>
          <t>count</t>
        </is>
      </c>
      <c r="D107" t="inlineStr">
        <is>
          <t>Year to date</t>
        </is>
      </c>
      <c r="E107" t="inlineStr">
        <is>
          <t>Sum of unauthorised vendor uses since April</t>
        </is>
      </c>
      <c r="F107">
        <f>ROUND(SUM('A2 Inputs'!EM$4:EM4),2)</f>
        <v/>
      </c>
      <c r="G107">
        <f>ROUND(SUM('A2 Inputs'!EM$4:EM5),2)</f>
        <v/>
      </c>
      <c r="H107">
        <f>ROUND(SUM('A2 Inputs'!EM$4:EM6),2)</f>
        <v/>
      </c>
      <c r="I107">
        <f>ROUND(SUM('A2 Inputs'!EM$4:EM7),2)</f>
        <v/>
      </c>
      <c r="J107">
        <f>ROUND(SUM('A2 Inputs'!EM$4:EM8),2)</f>
        <v/>
      </c>
      <c r="K107">
        <f>ROUND(SUM('A2 Inputs'!EM$4:EM9),2)</f>
        <v/>
      </c>
      <c r="L107" t="inlineStr">
        <is>
          <t>unauthorized_vendor_uses</t>
        </is>
      </c>
    </row>
    <row r="108">
      <c r="A108" t="inlineStr">
        <is>
          <t>CTL-007</t>
        </is>
      </c>
      <c r="B108" t="inlineStr">
        <is>
          <t>Segregation-of-duties exceptions YTD</t>
        </is>
      </c>
      <c r="C108" t="inlineStr">
        <is>
          <t>count</t>
        </is>
      </c>
      <c r="D108" t="inlineStr">
        <is>
          <t>Year to date</t>
        </is>
      </c>
      <c r="E108" t="inlineStr">
        <is>
          <t>Sum of segregation-of-duties exceptions since April</t>
        </is>
      </c>
      <c r="F108">
        <f>ROUND(SUM('A2 Inputs'!EN$4:EN4),2)</f>
        <v/>
      </c>
      <c r="G108">
        <f>ROUND(SUM('A2 Inputs'!EN$4:EN5),2)</f>
        <v/>
      </c>
      <c r="H108">
        <f>ROUND(SUM('A2 Inputs'!EN$4:EN6),2)</f>
        <v/>
      </c>
      <c r="I108">
        <f>ROUND(SUM('A2 Inputs'!EN$4:EN7),2)</f>
        <v/>
      </c>
      <c r="J108">
        <f>ROUND(SUM('A2 Inputs'!EN$4:EN8),2)</f>
        <v/>
      </c>
      <c r="K108">
        <f>ROUND(SUM('A2 Inputs'!EN$4:EN9),2)</f>
        <v/>
      </c>
      <c r="L108" t="inlineStr">
        <is>
          <t>sod_exceptions</t>
        </is>
      </c>
    </row>
    <row r="109">
      <c r="A109" t="inlineStr">
        <is>
          <t>CTL-008</t>
        </is>
      </c>
      <c r="B109" t="inlineStr">
        <is>
          <t>Unauthorised-access events YTD</t>
        </is>
      </c>
      <c r="C109" t="inlineStr">
        <is>
          <t>count</t>
        </is>
      </c>
      <c r="D109" t="inlineStr">
        <is>
          <t>Year to date</t>
        </is>
      </c>
      <c r="E109" t="inlineStr">
        <is>
          <t>Sum of unauthorised access events since April</t>
        </is>
      </c>
      <c r="F109">
        <f>ROUND(SUM('A2 Inputs'!EO$4:EO4),2)</f>
        <v/>
      </c>
      <c r="G109">
        <f>ROUND(SUM('A2 Inputs'!EO$4:EO5),2)</f>
        <v/>
      </c>
      <c r="H109">
        <f>ROUND(SUM('A2 Inputs'!EO$4:EO6),2)</f>
        <v/>
      </c>
      <c r="I109">
        <f>ROUND(SUM('A2 Inputs'!EO$4:EO7),2)</f>
        <v/>
      </c>
      <c r="J109">
        <f>ROUND(SUM('A2 Inputs'!EO$4:EO8),2)</f>
        <v/>
      </c>
      <c r="K109">
        <f>ROUND(SUM('A2 Inputs'!EO$4:EO9),2)</f>
        <v/>
      </c>
      <c r="L109" t="inlineStr">
        <is>
          <t>unauthorized_access_events</t>
        </is>
      </c>
    </row>
    <row r="110">
      <c r="A110" t="inlineStr">
        <is>
          <t>CTL-009</t>
        </is>
      </c>
      <c r="B110" t="inlineStr">
        <is>
          <t>Data-sharing exceptions YTD</t>
        </is>
      </c>
      <c r="C110" t="inlineStr">
        <is>
          <t>count</t>
        </is>
      </c>
      <c r="D110" t="inlineStr">
        <is>
          <t>Year to date</t>
        </is>
      </c>
      <c r="E110" t="inlineStr">
        <is>
          <t>Sum of data-sharing exceptions since April</t>
        </is>
      </c>
      <c r="F110">
        <f>ROUND(SUM('A2 Inputs'!EP$4:EP4),2)</f>
        <v/>
      </c>
      <c r="G110">
        <f>ROUND(SUM('A2 Inputs'!EP$4:EP5),2)</f>
        <v/>
      </c>
      <c r="H110">
        <f>ROUND(SUM('A2 Inputs'!EP$4:EP6),2)</f>
        <v/>
      </c>
      <c r="I110">
        <f>ROUND(SUM('A2 Inputs'!EP$4:EP7),2)</f>
        <v/>
      </c>
      <c r="J110">
        <f>ROUND(SUM('A2 Inputs'!EP$4:EP8),2)</f>
        <v/>
      </c>
      <c r="K110">
        <f>ROUND(SUM('A2 Inputs'!EP$4:EP9),2)</f>
        <v/>
      </c>
      <c r="L110" t="inlineStr">
        <is>
          <t>data_sharing_exceptions</t>
        </is>
      </c>
    </row>
    <row r="111">
      <c r="A111" t="inlineStr">
        <is>
          <t>CTL-010</t>
        </is>
      </c>
      <c r="B111" t="inlineStr">
        <is>
          <t>Manual overrides YTD</t>
        </is>
      </c>
      <c r="C111" t="inlineStr">
        <is>
          <t>count</t>
        </is>
      </c>
      <c r="D111" t="inlineStr">
        <is>
          <t>Year to date</t>
        </is>
      </c>
      <c r="E111" t="inlineStr">
        <is>
          <t>Sum of manual operational or system overrides since April</t>
        </is>
      </c>
      <c r="F111">
        <f>ROUND(SUM('A2 Inputs'!EQ$4:EQ4),2)</f>
        <v/>
      </c>
      <c r="G111">
        <f>ROUND(SUM('A2 Inputs'!EQ$4:EQ5),2)</f>
        <v/>
      </c>
      <c r="H111">
        <f>ROUND(SUM('A2 Inputs'!EQ$4:EQ6),2)</f>
        <v/>
      </c>
      <c r="I111">
        <f>ROUND(SUM('A2 Inputs'!EQ$4:EQ7),2)</f>
        <v/>
      </c>
      <c r="J111">
        <f>ROUND(SUM('A2 Inputs'!EQ$4:EQ8),2)</f>
        <v/>
      </c>
      <c r="K111">
        <f>ROUND(SUM('A2 Inputs'!EQ$4:EQ9),2)</f>
        <v/>
      </c>
      <c r="L111" t="inlineStr">
        <is>
          <t>manual_overrides</t>
        </is>
      </c>
    </row>
    <row r="112">
      <c r="A112" t="inlineStr">
        <is>
          <t>CTL-003</t>
        </is>
      </c>
      <c r="B112" t="inlineStr">
        <is>
          <t>Assurance reviews completed</t>
        </is>
      </c>
      <c r="C112" t="inlineStr">
        <is>
          <t>text</t>
        </is>
      </c>
      <c r="D112" t="inlineStr">
        <is>
          <t>Year to date</t>
        </is>
      </c>
      <c r="E112" t="inlineStr">
        <is>
          <t>Assurance reviews completed since April, of those planned since April</t>
        </is>
      </c>
      <c r="F112">
        <f>SUM('A2 Inputs'!EK$4:EK4)&amp;" of "&amp;SUM('A2 Inputs'!EJ$4:EJ4)</f>
        <v/>
      </c>
      <c r="G112">
        <f>SUM('A2 Inputs'!EK$4:EK5)&amp;" of "&amp;SUM('A2 Inputs'!EJ$4:EJ5)</f>
        <v/>
      </c>
      <c r="H112">
        <f>SUM('A2 Inputs'!EK$4:EK6)&amp;" of "&amp;SUM('A2 Inputs'!EJ$4:EJ6)</f>
        <v/>
      </c>
      <c r="I112">
        <f>SUM('A2 Inputs'!EK$4:EK7)&amp;" of "&amp;SUM('A2 Inputs'!EJ$4:EJ7)</f>
        <v/>
      </c>
      <c r="J112">
        <f>SUM('A2 Inputs'!EK$4:EK8)&amp;" of "&amp;SUM('A2 Inputs'!EJ$4:EJ8)</f>
        <v/>
      </c>
      <c r="K112">
        <f>SUM('A2 Inputs'!EK$4:EK9)&amp;" of "&amp;SUM('A2 Inputs'!EJ$4:EJ9)</f>
        <v/>
      </c>
      <c r="L112" t="inlineStr">
        <is>
          <t>assurance_reviews_planned, assurance_reviews_done</t>
        </is>
      </c>
    </row>
    <row r="113">
      <c r="A113" t="inlineStr">
        <is>
          <t>GOV-001</t>
        </is>
      </c>
      <c r="B113" t="inlineStr">
        <is>
          <t>Ageing certification approvals</t>
        </is>
      </c>
      <c r="C113" t="inlineStr">
        <is>
          <t>count</t>
        </is>
      </c>
      <c r="D113" t="inlineStr">
        <is>
          <t>Month end</t>
        </is>
      </c>
      <c r="E113" t="inlineStr">
        <is>
          <t>Certification approvals past due date</t>
        </is>
      </c>
      <c r="F113">
        <f>ROUND('A2 Inputs'!ER4,2)</f>
        <v/>
      </c>
      <c r="G113">
        <f>ROUND('A2 Inputs'!ER5,2)</f>
        <v/>
      </c>
      <c r="H113">
        <f>ROUND('A2 Inputs'!ER6,2)</f>
        <v/>
      </c>
      <c r="I113">
        <f>ROUND('A2 Inputs'!ER7,2)</f>
        <v/>
      </c>
      <c r="J113">
        <f>ROUND('A2 Inputs'!ER8,2)</f>
        <v/>
      </c>
      <c r="K113">
        <f>ROUND('A2 Inputs'!ER9,2)</f>
        <v/>
      </c>
      <c r="L113" t="inlineStr">
        <is>
          <t>cert_approvals_ageing</t>
        </is>
      </c>
    </row>
    <row r="114">
      <c r="A114" t="inlineStr">
        <is>
          <t>GOV-002</t>
        </is>
      </c>
      <c r="B114" t="inlineStr">
        <is>
          <t>KPI overrides</t>
        </is>
      </c>
      <c r="C114" t="inlineStr">
        <is>
          <t>count</t>
        </is>
      </c>
      <c r="D114" t="inlineStr">
        <is>
          <t>Month end</t>
        </is>
      </c>
      <c r="E114" t="inlineStr">
        <is>
          <t>KPI values overridden</t>
        </is>
      </c>
      <c r="F114">
        <f>ROUND('A2 Inputs'!ES4,2)</f>
        <v/>
      </c>
      <c r="G114">
        <f>ROUND('A2 Inputs'!ES5,2)</f>
        <v/>
      </c>
      <c r="H114">
        <f>ROUND('A2 Inputs'!ES6,2)</f>
        <v/>
      </c>
      <c r="I114">
        <f>ROUND('A2 Inputs'!ES7,2)</f>
        <v/>
      </c>
      <c r="J114">
        <f>ROUND('A2 Inputs'!ES8,2)</f>
        <v/>
      </c>
      <c r="K114">
        <f>ROUND('A2 Inputs'!ES9,2)</f>
        <v/>
      </c>
      <c r="L114" t="inlineStr">
        <is>
          <t>kpi_overrides</t>
        </is>
      </c>
    </row>
    <row r="115">
      <c r="A115" t="inlineStr">
        <is>
          <t>GOV-003</t>
        </is>
      </c>
      <c r="B115" t="inlineStr">
        <is>
          <t>Recurring data-quality issues</t>
        </is>
      </c>
      <c r="C115" t="inlineStr">
        <is>
          <t>count</t>
        </is>
      </c>
      <c r="D115" t="inlineStr">
        <is>
          <t>Month end</t>
        </is>
      </c>
      <c r="E115" t="inlineStr">
        <is>
          <t>Recurring data-quality issues</t>
        </is>
      </c>
      <c r="F115">
        <f>ROUND('A2 Inputs'!ET4,2)</f>
        <v/>
      </c>
      <c r="G115">
        <f>ROUND('A2 Inputs'!ET5,2)</f>
        <v/>
      </c>
      <c r="H115">
        <f>ROUND('A2 Inputs'!ET6,2)</f>
        <v/>
      </c>
      <c r="I115">
        <f>ROUND('A2 Inputs'!ET7,2)</f>
        <v/>
      </c>
      <c r="J115">
        <f>ROUND('A2 Inputs'!ET8,2)</f>
        <v/>
      </c>
      <c r="K115">
        <f>ROUND('A2 Inputs'!ET9,2)</f>
        <v/>
      </c>
      <c r="L115" t="inlineStr">
        <is>
          <t>dq_issues_recurring</t>
        </is>
      </c>
    </row>
    <row r="116">
      <c r="A116" t="inlineStr">
        <is>
          <t>GOV-004</t>
        </is>
      </c>
      <c r="B116" t="inlineStr">
        <is>
          <t>Open audit findings</t>
        </is>
      </c>
      <c r="C116" t="inlineStr">
        <is>
          <t>count</t>
        </is>
      </c>
      <c r="D116" t="inlineStr">
        <is>
          <t>Month end</t>
        </is>
      </c>
      <c r="E116" t="inlineStr">
        <is>
          <t>Open audit findings</t>
        </is>
      </c>
      <c r="F116">
        <f>ROUND('A2 Inputs'!EU4,2)</f>
        <v/>
      </c>
      <c r="G116">
        <f>ROUND('A2 Inputs'!EU5,2)</f>
        <v/>
      </c>
      <c r="H116">
        <f>ROUND('A2 Inputs'!EU6,2)</f>
        <v/>
      </c>
      <c r="I116">
        <f>ROUND('A2 Inputs'!EU7,2)</f>
        <v/>
      </c>
      <c r="J116">
        <f>ROUND('A2 Inputs'!EU8,2)</f>
        <v/>
      </c>
      <c r="K116">
        <f>ROUND('A2 Inputs'!EU9,2)</f>
        <v/>
      </c>
      <c r="L116" t="inlineStr">
        <is>
          <t>audit_findings_open</t>
        </is>
      </c>
    </row>
    <row r="117">
      <c r="A117" t="inlineStr">
        <is>
          <t>GOV-005</t>
        </is>
      </c>
      <c r="B117" t="inlineStr">
        <is>
          <t>Overdue assurance actions</t>
        </is>
      </c>
      <c r="C117" t="inlineStr">
        <is>
          <t>count</t>
        </is>
      </c>
      <c r="D117" t="inlineStr">
        <is>
          <t>Month end</t>
        </is>
      </c>
      <c r="E117" t="inlineStr">
        <is>
          <t>Overdue assurance actions</t>
        </is>
      </c>
      <c r="F117">
        <f>ROUND('A2 Inputs'!EV4,2)</f>
        <v/>
      </c>
      <c r="G117">
        <f>ROUND('A2 Inputs'!EV5,2)</f>
        <v/>
      </c>
      <c r="H117">
        <f>ROUND('A2 Inputs'!EV6,2)</f>
        <v/>
      </c>
      <c r="I117">
        <f>ROUND('A2 Inputs'!EV7,2)</f>
        <v/>
      </c>
      <c r="J117">
        <f>ROUND('A2 Inputs'!EV8,2)</f>
        <v/>
      </c>
      <c r="K117">
        <f>ROUND('A2 Inputs'!EV9,2)</f>
        <v/>
      </c>
      <c r="L117" t="inlineStr">
        <is>
          <t>assurance_actions_overdue</t>
        </is>
      </c>
    </row>
    <row r="118">
      <c r="A118" t="inlineStr">
        <is>
          <t>GOV-006</t>
        </is>
      </c>
      <c r="B118" t="inlineStr">
        <is>
          <t>Repeat findings</t>
        </is>
      </c>
      <c r="C118" t="inlineStr">
        <is>
          <t>count</t>
        </is>
      </c>
      <c r="D118" t="inlineStr">
        <is>
          <t>Month end</t>
        </is>
      </c>
      <c r="E118" t="inlineStr">
        <is>
          <t>Repeat audit findings</t>
        </is>
      </c>
      <c r="F118">
        <f>ROUND('A2 Inputs'!EW4,2)</f>
        <v/>
      </c>
      <c r="G118">
        <f>ROUND('A2 Inputs'!EW5,2)</f>
        <v/>
      </c>
      <c r="H118">
        <f>ROUND('A2 Inputs'!EW6,2)</f>
        <v/>
      </c>
      <c r="I118">
        <f>ROUND('A2 Inputs'!EW7,2)</f>
        <v/>
      </c>
      <c r="J118">
        <f>ROUND('A2 Inputs'!EW8,2)</f>
        <v/>
      </c>
      <c r="K118">
        <f>ROUND('A2 Inputs'!EW9,2)</f>
        <v/>
      </c>
      <c r="L118" t="inlineStr">
        <is>
          <t>repeat_findings</t>
        </is>
      </c>
    </row>
    <row r="119">
      <c r="A119" t="inlineStr">
        <is>
          <t>GOV-007</t>
        </is>
      </c>
      <c r="B119" t="inlineStr">
        <is>
          <t>Leadership KPIs affected by findings</t>
        </is>
      </c>
      <c r="C119" t="inlineStr">
        <is>
          <t>count</t>
        </is>
      </c>
      <c r="D119" t="inlineStr">
        <is>
          <t>Month end</t>
        </is>
      </c>
      <c r="E119" t="inlineStr">
        <is>
          <t>Leadership KPIs affected by open findings</t>
        </is>
      </c>
      <c r="F119">
        <f>ROUND('A2 Inputs'!EX4,2)</f>
        <v/>
      </c>
      <c r="G119">
        <f>ROUND('A2 Inputs'!EX5,2)</f>
        <v/>
      </c>
      <c r="H119">
        <f>ROUND('A2 Inputs'!EX6,2)</f>
        <v/>
      </c>
      <c r="I119">
        <f>ROUND('A2 Inputs'!EX7,2)</f>
        <v/>
      </c>
      <c r="J119">
        <f>ROUND('A2 Inputs'!EX8,2)</f>
        <v/>
      </c>
      <c r="K119">
        <f>ROUND('A2 Inputs'!EX9,2)</f>
        <v/>
      </c>
      <c r="L119" t="inlineStr">
        <is>
          <t>leadership_kpis_affected</t>
        </is>
      </c>
    </row>
    <row r="120">
      <c r="A120" t="inlineStr">
        <is>
          <t>TRU-004</t>
        </is>
      </c>
      <c r="B120" t="inlineStr">
        <is>
          <t>Open reconciliation breaks</t>
        </is>
      </c>
      <c r="C120" t="inlineStr">
        <is>
          <t>count</t>
        </is>
      </c>
      <c r="D120" t="inlineStr">
        <is>
          <t>Month end</t>
        </is>
      </c>
      <c r="E120" t="inlineStr">
        <is>
          <t>Open reconciliation breaks</t>
        </is>
      </c>
      <c r="F120">
        <f>ROUND('A2 Inputs'!FG4,2)</f>
        <v/>
      </c>
      <c r="G120">
        <f>ROUND('A2 Inputs'!FG5,2)</f>
        <v/>
      </c>
      <c r="H120">
        <f>ROUND('A2 Inputs'!FG6,2)</f>
        <v/>
      </c>
      <c r="I120">
        <f>ROUND('A2 Inputs'!FG7,2)</f>
        <v/>
      </c>
      <c r="J120">
        <f>ROUND('A2 Inputs'!FG8,2)</f>
        <v/>
      </c>
      <c r="K120">
        <f>ROUND('A2 Inputs'!FG9,2)</f>
        <v/>
      </c>
      <c r="L120" t="inlineStr">
        <is>
          <t>recon_breaks_open</t>
        </is>
      </c>
    </row>
    <row r="121">
      <c r="A121" t="inlineStr">
        <is>
          <t>TRU-006</t>
        </is>
      </c>
      <c r="B121" t="inlineStr">
        <is>
          <t>Overdue certifications</t>
        </is>
      </c>
      <c r="C121" t="inlineStr">
        <is>
          <t>count</t>
        </is>
      </c>
      <c r="D121" t="inlineStr">
        <is>
          <t>Month end</t>
        </is>
      </c>
      <c r="E121" t="inlineStr">
        <is>
          <t>Certifications overdue</t>
        </is>
      </c>
      <c r="F121">
        <f>ROUND('A2 Inputs'!FF4,2)</f>
        <v/>
      </c>
      <c r="G121">
        <f>ROUND('A2 Inputs'!FF5,2)</f>
        <v/>
      </c>
      <c r="H121">
        <f>ROUND('A2 Inputs'!FF6,2)</f>
        <v/>
      </c>
      <c r="I121">
        <f>ROUND('A2 Inputs'!FF7,2)</f>
        <v/>
      </c>
      <c r="J121">
        <f>ROUND('A2 Inputs'!FF8,2)</f>
        <v/>
      </c>
      <c r="K121">
        <f>ROUND('A2 Inputs'!FF9,2)</f>
        <v/>
      </c>
      <c r="L121" t="inlineStr">
        <is>
          <t>certifications_overdue</t>
        </is>
      </c>
    </row>
    <row r="122">
      <c r="A122" t="inlineStr">
        <is>
          <t>TRU-007</t>
        </is>
      </c>
      <c r="B122" t="inlineStr">
        <is>
          <t>Material reconciliation breaks</t>
        </is>
      </c>
      <c r="C122" t="inlineStr">
        <is>
          <t>count</t>
        </is>
      </c>
      <c r="D122" t="inlineStr">
        <is>
          <t>Month end</t>
        </is>
      </c>
      <c r="E122" t="inlineStr">
        <is>
          <t>Material reconciliation breaks</t>
        </is>
      </c>
      <c r="F122">
        <f>ROUND('A2 Inputs'!FH4,2)</f>
        <v/>
      </c>
      <c r="G122">
        <f>ROUND('A2 Inputs'!FH5,2)</f>
        <v/>
      </c>
      <c r="H122">
        <f>ROUND('A2 Inputs'!FH6,2)</f>
        <v/>
      </c>
      <c r="I122">
        <f>ROUND('A2 Inputs'!FH7,2)</f>
        <v/>
      </c>
      <c r="J122">
        <f>ROUND('A2 Inputs'!FH8,2)</f>
        <v/>
      </c>
      <c r="K122">
        <f>ROUND('A2 Inputs'!FH9,2)</f>
        <v/>
      </c>
      <c r="L122" t="inlineStr">
        <is>
          <t>recon_breaks_material</t>
        </is>
      </c>
    </row>
    <row r="123">
      <c r="A123" t="inlineStr">
        <is>
          <t>GOV-008</t>
        </is>
      </c>
      <c r="B123" t="inlineStr">
        <is>
          <t>Evidence completeness rate</t>
        </is>
      </c>
      <c r="C123" t="inlineStr">
        <is>
          <t>%</t>
        </is>
      </c>
      <c r="D123" t="inlineStr">
        <is>
          <t>Month end</t>
        </is>
      </c>
      <c r="E123" t="inlineStr">
        <is>
          <t>Evidence items complete ÷ Evidence items required × 100</t>
        </is>
      </c>
      <c r="F123">
        <f>ROUND(IF('A2 Inputs'!EY4=0,0,100*'A2 Inputs'!EZ4/'A2 Inputs'!EY4),2)</f>
        <v/>
      </c>
      <c r="G123">
        <f>ROUND(IF('A2 Inputs'!EY5=0,0,100*'A2 Inputs'!EZ5/'A2 Inputs'!EY5),2)</f>
        <v/>
      </c>
      <c r="H123">
        <f>ROUND(IF('A2 Inputs'!EY6=0,0,100*'A2 Inputs'!EZ6/'A2 Inputs'!EY6),2)</f>
        <v/>
      </c>
      <c r="I123">
        <f>ROUND(IF('A2 Inputs'!EY7=0,0,100*'A2 Inputs'!EZ7/'A2 Inputs'!EY7),2)</f>
        <v/>
      </c>
      <c r="J123">
        <f>ROUND(IF('A2 Inputs'!EY8=0,0,100*'A2 Inputs'!EZ8/'A2 Inputs'!EY8),2)</f>
        <v/>
      </c>
      <c r="K123">
        <f>ROUND(IF('A2 Inputs'!EY9=0,0,100*'A2 Inputs'!EZ9/'A2 Inputs'!EY9),2)</f>
        <v/>
      </c>
      <c r="L123" t="inlineStr">
        <is>
          <t>evidence_required, evidence_complete</t>
        </is>
      </c>
    </row>
    <row r="124">
      <c r="A124" t="inlineStr">
        <is>
          <t>GOV-009</t>
        </is>
      </c>
      <c r="B124" t="inlineStr">
        <is>
          <t>Average finding-closure time</t>
        </is>
      </c>
      <c r="C124" t="inlineStr">
        <is>
          <t>days</t>
        </is>
      </c>
      <c r="D124" t="inlineStr">
        <is>
          <t>Year to date</t>
        </is>
      </c>
      <c r="E124" t="inlineStr">
        <is>
          <t>Days taken to close findings since April ÷ Findings closed since April</t>
        </is>
      </c>
      <c r="F124">
        <f>ROUND(IF(SUM('A2 Inputs'!FA$4:FA4)=0,0,SUM('A2 Inputs'!FB$4:FB4)/SUM('A2 Inputs'!FA$4:FA4)),2)</f>
        <v/>
      </c>
      <c r="G124">
        <f>ROUND(IF(SUM('A2 Inputs'!FA$4:FA5)=0,0,SUM('A2 Inputs'!FB$4:FB5)/SUM('A2 Inputs'!FA$4:FA5)),2)</f>
        <v/>
      </c>
      <c r="H124">
        <f>ROUND(IF(SUM('A2 Inputs'!FA$4:FA6)=0,0,SUM('A2 Inputs'!FB$4:FB6)/SUM('A2 Inputs'!FA$4:FA6)),2)</f>
        <v/>
      </c>
      <c r="I124">
        <f>ROUND(IF(SUM('A2 Inputs'!FA$4:FA7)=0,0,SUM('A2 Inputs'!FB$4:FB7)/SUM('A2 Inputs'!FA$4:FA7)),2)</f>
        <v/>
      </c>
      <c r="J124">
        <f>ROUND(IF(SUM('A2 Inputs'!FA$4:FA8)=0,0,SUM('A2 Inputs'!FB$4:FB8)/SUM('A2 Inputs'!FA$4:FA8)),2)</f>
        <v/>
      </c>
      <c r="K124">
        <f>ROUND(IF(SUM('A2 Inputs'!FA$4:FA9)=0,0,SUM('A2 Inputs'!FB$4:FB9)/SUM('A2 Inputs'!FA$4:FA9)),2)</f>
        <v/>
      </c>
      <c r="L124" t="inlineStr">
        <is>
          <t>findings_closed, finding_closure_days</t>
        </is>
      </c>
    </row>
    <row r="125">
      <c r="A125" t="inlineStr">
        <is>
          <t>TRU-001</t>
        </is>
      </c>
      <c r="B125" t="inlineStr">
        <is>
          <t>Certified KPI percentage</t>
        </is>
      </c>
      <c r="C125" t="inlineStr">
        <is>
          <t>%</t>
        </is>
      </c>
      <c r="D125" t="inlineStr">
        <is>
          <t>Month end</t>
        </is>
      </c>
      <c r="E125" t="inlineStr">
        <is>
          <t>Leadership KPI values certified ÷ Leadership KPI values reported × 100</t>
        </is>
      </c>
      <c r="F125">
        <f>ROUND(IF('A2 Inputs'!FC4=0,0,100*'A2 Inputs'!FD4/'A2 Inputs'!FC4),2)</f>
        <v/>
      </c>
      <c r="G125">
        <f>ROUND(IF('A2 Inputs'!FC5=0,0,100*'A2 Inputs'!FD5/'A2 Inputs'!FC5),2)</f>
        <v/>
      </c>
      <c r="H125">
        <f>ROUND(IF('A2 Inputs'!FC6=0,0,100*'A2 Inputs'!FD6/'A2 Inputs'!FC6),2)</f>
        <v/>
      </c>
      <c r="I125">
        <f>ROUND(IF('A2 Inputs'!FC7=0,0,100*'A2 Inputs'!FD7/'A2 Inputs'!FC7),2)</f>
        <v/>
      </c>
      <c r="J125">
        <f>ROUND(IF('A2 Inputs'!FC8=0,0,100*'A2 Inputs'!FD8/'A2 Inputs'!FC8),2)</f>
        <v/>
      </c>
      <c r="K125">
        <f>ROUND(IF('A2 Inputs'!FC9=0,0,100*'A2 Inputs'!FD9/'A2 Inputs'!FC9),2)</f>
        <v/>
      </c>
      <c r="L125" t="inlineStr">
        <is>
          <t>kpis_leadership, kpis_certified</t>
        </is>
      </c>
    </row>
    <row r="126">
      <c r="A126" t="inlineStr">
        <is>
          <t>TRU-002</t>
        </is>
      </c>
      <c r="B126" t="inlineStr">
        <is>
          <t>Uncertified KPI count</t>
        </is>
      </c>
      <c r="C126" t="inlineStr">
        <is>
          <t>count</t>
        </is>
      </c>
      <c r="D126" t="inlineStr">
        <is>
          <t>Month end</t>
        </is>
      </c>
      <c r="E126" t="inlineStr">
        <is>
          <t>Leadership KPI values reported − Values certified</t>
        </is>
      </c>
      <c r="F126">
        <f>ROUND('A2 Inputs'!FC4-'A2 Inputs'!FD4,2)</f>
        <v/>
      </c>
      <c r="G126">
        <f>ROUND('A2 Inputs'!FC5-'A2 Inputs'!FD5,2)</f>
        <v/>
      </c>
      <c r="H126">
        <f>ROUND('A2 Inputs'!FC6-'A2 Inputs'!FD6,2)</f>
        <v/>
      </c>
      <c r="I126">
        <f>ROUND('A2 Inputs'!FC7-'A2 Inputs'!FD7,2)</f>
        <v/>
      </c>
      <c r="J126">
        <f>ROUND('A2 Inputs'!FC8-'A2 Inputs'!FD8,2)</f>
        <v/>
      </c>
      <c r="K126">
        <f>ROUND('A2 Inputs'!FC9-'A2 Inputs'!FD9,2)</f>
        <v/>
      </c>
      <c r="L126" t="inlineStr">
        <is>
          <t>kpis_leadership, kpis_certified</t>
        </is>
      </c>
    </row>
    <row r="127">
      <c r="A127" t="inlineStr">
        <is>
          <t>TRU-005</t>
        </is>
      </c>
      <c r="B127" t="inlineStr">
        <is>
          <t>KPI certification coverage</t>
        </is>
      </c>
      <c r="C127" t="inlineStr">
        <is>
          <t>%</t>
        </is>
      </c>
      <c r="D127" t="inlineStr">
        <is>
          <t>Month end</t>
        </is>
      </c>
      <c r="E127" t="inlineStr">
        <is>
          <t>Leadership KPI values inside the certification process ÷ Values reported × 100</t>
        </is>
      </c>
      <c r="F127">
        <f>ROUND(IF('A2 Inputs'!FC4=0,0,100*'A2 Inputs'!FE4/'A2 Inputs'!FC4),2)</f>
        <v/>
      </c>
      <c r="G127">
        <f>ROUND(IF('A2 Inputs'!FC5=0,0,100*'A2 Inputs'!FE5/'A2 Inputs'!FC5),2)</f>
        <v/>
      </c>
      <c r="H127">
        <f>ROUND(IF('A2 Inputs'!FC6=0,0,100*'A2 Inputs'!FE6/'A2 Inputs'!FC6),2)</f>
        <v/>
      </c>
      <c r="I127">
        <f>ROUND(IF('A2 Inputs'!FC7=0,0,100*'A2 Inputs'!FE7/'A2 Inputs'!FC7),2)</f>
        <v/>
      </c>
      <c r="J127">
        <f>ROUND(IF('A2 Inputs'!FC8=0,0,100*'A2 Inputs'!FE8/'A2 Inputs'!FC8),2)</f>
        <v/>
      </c>
      <c r="K127">
        <f>ROUND(IF('A2 Inputs'!FC9=0,0,100*'A2 Inputs'!FE9/'A2 Inputs'!FC9),2)</f>
        <v/>
      </c>
      <c r="L127" t="inlineStr">
        <is>
          <t>kpis_leadership, kpis_in_scope</t>
        </is>
      </c>
    </row>
    <row r="128">
      <c r="A128" t="inlineStr">
        <is>
          <t>TRU-008</t>
        </is>
      </c>
      <c r="B128" t="inlineStr">
        <is>
          <t>Source-to-Lake reconciliation rate</t>
        </is>
      </c>
      <c r="C128" t="inlineStr">
        <is>
          <t>%</t>
        </is>
      </c>
      <c r="D128" t="inlineStr">
        <is>
          <t>Month</t>
        </is>
      </c>
      <c r="E128" t="inlineStr">
        <is>
          <t>Records reconciled to source ÷ Records loaded × 100</t>
        </is>
      </c>
      <c r="F128">
        <f>ROUND(IF('A2 Inputs'!FI4=0,0,100*'A2 Inputs'!FJ4/'A2 Inputs'!FI4),2)</f>
        <v/>
      </c>
      <c r="G128">
        <f>ROUND(IF('A2 Inputs'!FI5=0,0,100*'A2 Inputs'!FJ5/'A2 Inputs'!FI5),2)</f>
        <v/>
      </c>
      <c r="H128">
        <f>ROUND(IF('A2 Inputs'!FI6=0,0,100*'A2 Inputs'!FJ6/'A2 Inputs'!FI6),2)</f>
        <v/>
      </c>
      <c r="I128">
        <f>ROUND(IF('A2 Inputs'!FI7=0,0,100*'A2 Inputs'!FJ7/'A2 Inputs'!FI7),2)</f>
        <v/>
      </c>
      <c r="J128">
        <f>ROUND(IF('A2 Inputs'!FI8=0,0,100*'A2 Inputs'!FJ8/'A2 Inputs'!FI8),2)</f>
        <v/>
      </c>
      <c r="K128">
        <f>ROUND(IF('A2 Inputs'!FI9=0,0,100*'A2 Inputs'!FJ9/'A2 Inputs'!FI9),2)</f>
        <v/>
      </c>
      <c r="L128" t="inlineStr">
        <is>
          <t>lake_records_loaded, lake_records_reconciled</t>
        </is>
      </c>
    </row>
    <row r="129">
      <c r="A129" t="inlineStr">
        <is>
          <t>TRU-009</t>
        </is>
      </c>
      <c r="B129" t="inlineStr">
        <is>
          <t>Flash-to-MIS reconciliation rate</t>
        </is>
      </c>
      <c r="C129" t="inlineStr">
        <is>
          <t>%</t>
        </is>
      </c>
      <c r="D129" t="inlineStr">
        <is>
          <t>Month</t>
        </is>
      </c>
      <c r="E129" t="inlineStr">
        <is>
          <t>Flash lines matching MIS ÷ Flash report lines × 100</t>
        </is>
      </c>
      <c r="F129">
        <f>ROUND(IF('A2 Inputs'!FK4=0,0,100*'A2 Inputs'!FL4/'A2 Inputs'!FK4),2)</f>
        <v/>
      </c>
      <c r="G129">
        <f>ROUND(IF('A2 Inputs'!FK5=0,0,100*'A2 Inputs'!FL5/'A2 Inputs'!FK5),2)</f>
        <v/>
      </c>
      <c r="H129">
        <f>ROUND(IF('A2 Inputs'!FK6=0,0,100*'A2 Inputs'!FL6/'A2 Inputs'!FK6),2)</f>
        <v/>
      </c>
      <c r="I129">
        <f>ROUND(IF('A2 Inputs'!FK7=0,0,100*'A2 Inputs'!FL7/'A2 Inputs'!FK7),2)</f>
        <v/>
      </c>
      <c r="J129">
        <f>ROUND(IF('A2 Inputs'!FK8=0,0,100*'A2 Inputs'!FL8/'A2 Inputs'!FK8),2)</f>
        <v/>
      </c>
      <c r="K129">
        <f>ROUND(IF('A2 Inputs'!FK9=0,0,100*'A2 Inputs'!FL9/'A2 Inputs'!FK9),2)</f>
        <v/>
      </c>
      <c r="L129" t="inlineStr">
        <is>
          <t>mis_lines_total, mis_lines_matched</t>
        </is>
      </c>
    </row>
    <row r="130">
      <c r="A130" t="inlineStr">
        <is>
          <t>TRU-010</t>
        </is>
      </c>
      <c r="B130" t="inlineStr">
        <is>
          <t>Flash-to-close variance</t>
        </is>
      </c>
      <c r="C130" t="inlineStr">
        <is>
          <t>%</t>
        </is>
      </c>
      <c r="D130" t="inlineStr">
        <is>
          <t>Month</t>
        </is>
      </c>
      <c r="E130" t="inlineStr">
        <is>
          <t>|Flash revenue − Closed revenue| ÷ Closed revenue × 100</t>
        </is>
      </c>
      <c r="F130">
        <f>ROUND(IF('A2 Inputs'!AU4=0,0,100*ABS('A2 Inputs'!CI4-'A2 Inputs'!AU4)/'A2 Inputs'!AU4),2)</f>
        <v/>
      </c>
      <c r="G130">
        <f>ROUND(IF('A2 Inputs'!AU5=0,0,100*ABS('A2 Inputs'!CI5-'A2 Inputs'!AU5)/'A2 Inputs'!AU5),2)</f>
        <v/>
      </c>
      <c r="H130">
        <f>ROUND(IF('A2 Inputs'!AU6=0,0,100*ABS('A2 Inputs'!CI6-'A2 Inputs'!AU6)/'A2 Inputs'!AU6),2)</f>
        <v/>
      </c>
      <c r="I130">
        <f>ROUND(IF('A2 Inputs'!AU7=0,0,100*ABS('A2 Inputs'!CI7-'A2 Inputs'!AU7)/'A2 Inputs'!AU7),2)</f>
        <v/>
      </c>
      <c r="J130">
        <f>ROUND(IF('A2 Inputs'!AU8=0,0,100*ABS('A2 Inputs'!CI8-'A2 Inputs'!AU8)/'A2 Inputs'!AU8),2)</f>
        <v/>
      </c>
      <c r="K130">
        <f>ROUND(IF('A2 Inputs'!AU9=0,0,100*ABS('A2 Inputs'!CI9-'A2 Inputs'!AU9)/'A2 Inputs'!AU9),2)</f>
        <v/>
      </c>
      <c r="L130" t="inlineStr">
        <is>
          <t>revenue_k, flash_revenue_k</t>
        </is>
      </c>
    </row>
    <row r="131">
      <c r="A131" t="inlineStr">
        <is>
          <t>TRU-003</t>
        </is>
      </c>
      <c r="B131" t="inlineStr">
        <is>
          <t>Variance against Board number (EBITDA)</t>
        </is>
      </c>
      <c r="C131" t="inlineStr">
        <is>
          <t>%</t>
        </is>
      </c>
      <c r="D131" t="inlineStr">
        <is>
          <t>Month</t>
        </is>
      </c>
      <c r="E131" t="inlineStr">
        <is>
          <t>(Board-pack EBITDA − Certified EBITDA) ÷ Certified EBITDA × 100</t>
        </is>
      </c>
      <c r="F131">
        <f>ROUND(IF('A2 Inputs'!FV4=0,0,100*('A2 Inputs'!CH4-'A2 Inputs'!FV4)/'A2 Inputs'!FV4),2)</f>
        <v/>
      </c>
      <c r="G131">
        <f>ROUND(IF('A2 Inputs'!FV5=0,0,100*('A2 Inputs'!CH5-'A2 Inputs'!FV5)/'A2 Inputs'!FV5),2)</f>
        <v/>
      </c>
      <c r="H131">
        <f>ROUND(IF('A2 Inputs'!FV6=0,0,100*('A2 Inputs'!CH6-'A2 Inputs'!FV6)/'A2 Inputs'!FV6),2)</f>
        <v/>
      </c>
      <c r="I131">
        <f>ROUND(IF('A2 Inputs'!FV7=0,0,100*('A2 Inputs'!CH7-'A2 Inputs'!FV7)/'A2 Inputs'!FV7),2)</f>
        <v/>
      </c>
      <c r="J131">
        <f>ROUND(IF('A2 Inputs'!FV8=0,0,100*('A2 Inputs'!CH8-'A2 Inputs'!FV8)/'A2 Inputs'!FV8),2)</f>
        <v/>
      </c>
      <c r="K131">
        <f>ROUND(IF('A2 Inputs'!FV9=0,0,100*('A2 Inputs'!CH9-'A2 Inputs'!FV9)/'A2 Inputs'!FV9),2)</f>
        <v/>
      </c>
      <c r="L131" t="inlineStr">
        <is>
          <t>board_ebitda_k, ebitda_k</t>
        </is>
      </c>
    </row>
    <row r="132">
      <c r="A132" t="inlineStr">
        <is>
          <t>TRU-011</t>
        </is>
      </c>
      <c r="B132" t="inlineStr">
        <is>
          <t>Largest entity variance against Board numbers</t>
        </is>
      </c>
      <c r="C132" t="inlineStr">
        <is>
          <t>%</t>
        </is>
      </c>
      <c r="D132" t="inlineStr">
        <is>
          <t>Month</t>
        </is>
      </c>
      <c r="E132" t="inlineStr">
        <is>
          <t>Highest of the entities' |Board-pack EBITDA − Certified EBITDA| ÷ Certified EBITDA × 100</t>
        </is>
      </c>
      <c r="F132">
        <f>ROUND(MAX(IF(('Entity Inputs'!AU4-'Entity Inputs'!V4-'Entity Inputs'!X4-'Entity Inputs'!BY4)=0,0,100*ABS('Entity Inputs'!CH4-('Entity Inputs'!AU4-'Entity Inputs'!V4-'Entity Inputs'!X4-'Entity Inputs'!BY4))/('Entity Inputs'!AU4-'Entity Inputs'!V4-'Entity Inputs'!X4-'Entity Inputs'!BY4)),IF(('Entity Inputs'!AU10-'Entity Inputs'!V10-'Entity Inputs'!X10-'Entity Inputs'!BY10)=0,0,100*ABS('Entity Inputs'!CH10-('Entity Inputs'!AU10-'Entity Inputs'!V10-'Entity Inputs'!X10-'Entity Inputs'!BY10))/('Entity Inputs'!AU10-'Entity Inputs'!V10-'Entity Inputs'!X10-'Entity Inputs'!BY10))),2)</f>
        <v/>
      </c>
      <c r="G132">
        <f>ROUND(MAX(IF(('Entity Inputs'!AU5-'Entity Inputs'!V5-'Entity Inputs'!X5-'Entity Inputs'!BY5)=0,0,100*ABS('Entity Inputs'!CH5-('Entity Inputs'!AU5-'Entity Inputs'!V5-'Entity Inputs'!X5-'Entity Inputs'!BY5))/('Entity Inputs'!AU5-'Entity Inputs'!V5-'Entity Inputs'!X5-'Entity Inputs'!BY5)),IF(('Entity Inputs'!AU11-'Entity Inputs'!V11-'Entity Inputs'!X11-'Entity Inputs'!BY11)=0,0,100*ABS('Entity Inputs'!CH11-('Entity Inputs'!AU11-'Entity Inputs'!V11-'Entity Inputs'!X11-'Entity Inputs'!BY11))/('Entity Inputs'!AU11-'Entity Inputs'!V11-'Entity Inputs'!X11-'Entity Inputs'!BY11))),2)</f>
        <v/>
      </c>
      <c r="H132">
        <f>ROUND(MAX(IF(('Entity Inputs'!AU6-'Entity Inputs'!V6-'Entity Inputs'!X6-'Entity Inputs'!BY6)=0,0,100*ABS('Entity Inputs'!CH6-('Entity Inputs'!AU6-'Entity Inputs'!V6-'Entity Inputs'!X6-'Entity Inputs'!BY6))/('Entity Inputs'!AU6-'Entity Inputs'!V6-'Entity Inputs'!X6-'Entity Inputs'!BY6)),IF(('Entity Inputs'!AU12-'Entity Inputs'!V12-'Entity Inputs'!X12-'Entity Inputs'!BY12)=0,0,100*ABS('Entity Inputs'!CH12-('Entity Inputs'!AU12-'Entity Inputs'!V12-'Entity Inputs'!X12-'Entity Inputs'!BY12))/('Entity Inputs'!AU12-'Entity Inputs'!V12-'Entity Inputs'!X12-'Entity Inputs'!BY12))),2)</f>
        <v/>
      </c>
      <c r="I132">
        <f>ROUND(MAX(IF(('Entity Inputs'!AU7-'Entity Inputs'!V7-'Entity Inputs'!X7-'Entity Inputs'!BY7)=0,0,100*ABS('Entity Inputs'!CH7-('Entity Inputs'!AU7-'Entity Inputs'!V7-'Entity Inputs'!X7-'Entity Inputs'!BY7))/('Entity Inputs'!AU7-'Entity Inputs'!V7-'Entity Inputs'!X7-'Entity Inputs'!BY7)),IF(('Entity Inputs'!AU13-'Entity Inputs'!V13-'Entity Inputs'!X13-'Entity Inputs'!BY13)=0,0,100*ABS('Entity Inputs'!CH13-('Entity Inputs'!AU13-'Entity Inputs'!V13-'Entity Inputs'!X13-'Entity Inputs'!BY13))/('Entity Inputs'!AU13-'Entity Inputs'!V13-'Entity Inputs'!X13-'Entity Inputs'!BY13))),2)</f>
        <v/>
      </c>
      <c r="J132">
        <f>ROUND(MAX(IF(('Entity Inputs'!AU8-'Entity Inputs'!V8-'Entity Inputs'!X8-'Entity Inputs'!BY8)=0,0,100*ABS('Entity Inputs'!CH8-('Entity Inputs'!AU8-'Entity Inputs'!V8-'Entity Inputs'!X8-'Entity Inputs'!BY8))/('Entity Inputs'!AU8-'Entity Inputs'!V8-'Entity Inputs'!X8-'Entity Inputs'!BY8)),IF(('Entity Inputs'!AU14-'Entity Inputs'!V14-'Entity Inputs'!X14-'Entity Inputs'!BY14)=0,0,100*ABS('Entity Inputs'!CH14-('Entity Inputs'!AU14-'Entity Inputs'!V14-'Entity Inputs'!X14-'Entity Inputs'!BY14))/('Entity Inputs'!AU14-'Entity Inputs'!V14-'Entity Inputs'!X14-'Entity Inputs'!BY14))),2)</f>
        <v/>
      </c>
      <c r="K132">
        <f>ROUND(MAX(IF(('Entity Inputs'!AU9-'Entity Inputs'!V9-'Entity Inputs'!X9-'Entity Inputs'!BY9)=0,0,100*ABS('Entity Inputs'!CH9-('Entity Inputs'!AU9-'Entity Inputs'!V9-'Entity Inputs'!X9-'Entity Inputs'!BY9))/('Entity Inputs'!AU9-'Entity Inputs'!V9-'Entity Inputs'!X9-'Entity Inputs'!BY9)),IF(('Entity Inputs'!AU15-'Entity Inputs'!V15-'Entity Inputs'!X15-'Entity Inputs'!BY15)=0,0,100*ABS('Entity Inputs'!CH15-('Entity Inputs'!AU15-'Entity Inputs'!V15-'Entity Inputs'!X15-'Entity Inputs'!BY15))/('Entity Inputs'!AU15-'Entity Inputs'!V15-'Entity Inputs'!X15-'Entity Inputs'!BY15))),2)</f>
        <v/>
      </c>
      <c r="L132" t="inlineStr">
        <is>
          <t>variable_cost_k, fixed_cost_k, revenue_k, overhead_k, board_ebitda_k</t>
        </is>
      </c>
    </row>
    <row r="133">
      <c r="A133" t="inlineStr">
        <is>
          <t>EFF-002</t>
        </is>
      </c>
      <c r="B133" t="inlineStr">
        <is>
          <t>Open critical alerts</t>
        </is>
      </c>
      <c r="C133" t="inlineStr">
        <is>
          <t>count</t>
        </is>
      </c>
      <c r="D133" t="inlineStr">
        <is>
          <t>Month end</t>
        </is>
      </c>
      <c r="E133" t="inlineStr">
        <is>
          <t>Open critical alerts</t>
        </is>
      </c>
      <c r="F133">
        <f>ROUND('A2 Inputs'!FM4,2)</f>
        <v/>
      </c>
      <c r="G133">
        <f>ROUND('A2 Inputs'!FM5,2)</f>
        <v/>
      </c>
      <c r="H133">
        <f>ROUND('A2 Inputs'!FM6,2)</f>
        <v/>
      </c>
      <c r="I133">
        <f>ROUND('A2 Inputs'!FM7,2)</f>
        <v/>
      </c>
      <c r="J133">
        <f>ROUND('A2 Inputs'!FM8,2)</f>
        <v/>
      </c>
      <c r="K133">
        <f>ROUND('A2 Inputs'!FM9,2)</f>
        <v/>
      </c>
      <c r="L133" t="inlineStr">
        <is>
          <t>critical_alerts_open</t>
        </is>
      </c>
    </row>
    <row r="134">
      <c r="A134" t="inlineStr">
        <is>
          <t>EFF-006</t>
        </is>
      </c>
      <c r="B134" t="inlineStr">
        <is>
          <t>Alerts without accepted owners</t>
        </is>
      </c>
      <c r="C134" t="inlineStr">
        <is>
          <t>count</t>
        </is>
      </c>
      <c r="D134" t="inlineStr">
        <is>
          <t>Month end</t>
        </is>
      </c>
      <c r="E134" t="inlineStr">
        <is>
          <t>Alerts with no accepted owner</t>
        </is>
      </c>
      <c r="F134">
        <f>ROUND('A2 Inputs'!FN4,2)</f>
        <v/>
      </c>
      <c r="G134">
        <f>ROUND('A2 Inputs'!FN5,2)</f>
        <v/>
      </c>
      <c r="H134">
        <f>ROUND('A2 Inputs'!FN6,2)</f>
        <v/>
      </c>
      <c r="I134">
        <f>ROUND('A2 Inputs'!FN7,2)</f>
        <v/>
      </c>
      <c r="J134">
        <f>ROUND('A2 Inputs'!FN8,2)</f>
        <v/>
      </c>
      <c r="K134">
        <f>ROUND('A2 Inputs'!FN9,2)</f>
        <v/>
      </c>
      <c r="L134" t="inlineStr">
        <is>
          <t>alerts_unowned</t>
        </is>
      </c>
    </row>
    <row r="135">
      <c r="A135" t="inlineStr">
        <is>
          <t>EFF-007</t>
        </is>
      </c>
      <c r="B135" t="inlineStr">
        <is>
          <t>Overdue actions</t>
        </is>
      </c>
      <c r="C135" t="inlineStr">
        <is>
          <t>count</t>
        </is>
      </c>
      <c r="D135" t="inlineStr">
        <is>
          <t>Month end</t>
        </is>
      </c>
      <c r="E135" t="inlineStr">
        <is>
          <t>Overdue actions</t>
        </is>
      </c>
      <c r="F135">
        <f>ROUND('A2 Inputs'!FO4,2)</f>
        <v/>
      </c>
      <c r="G135">
        <f>ROUND('A2 Inputs'!FO5,2)</f>
        <v/>
      </c>
      <c r="H135">
        <f>ROUND('A2 Inputs'!FO6,2)</f>
        <v/>
      </c>
      <c r="I135">
        <f>ROUND('A2 Inputs'!FO7,2)</f>
        <v/>
      </c>
      <c r="J135">
        <f>ROUND('A2 Inputs'!FO8,2)</f>
        <v/>
      </c>
      <c r="K135">
        <f>ROUND('A2 Inputs'!FO9,2)</f>
        <v/>
      </c>
      <c r="L135" t="inlineStr">
        <is>
          <t>actions_overdue</t>
        </is>
      </c>
    </row>
    <row r="136">
      <c r="A136" t="inlineStr">
        <is>
          <t>EFF-008</t>
        </is>
      </c>
      <c r="B136" t="inlineStr">
        <is>
          <t>Average resolution time</t>
        </is>
      </c>
      <c r="C136" t="inlineStr">
        <is>
          <t>days</t>
        </is>
      </c>
      <c r="D136" t="inlineStr">
        <is>
          <t>Month</t>
        </is>
      </c>
      <c r="E136" t="inlineStr">
        <is>
          <t>Days taken to resolve alerts ÷ Alerts resolved</t>
        </is>
      </c>
      <c r="F136">
        <f>ROUND(IF('A2 Inputs'!FP4=0,0,'A2 Inputs'!FQ4/'A2 Inputs'!FP4),2)</f>
        <v/>
      </c>
      <c r="G136">
        <f>ROUND(IF('A2 Inputs'!FP5=0,0,'A2 Inputs'!FQ5/'A2 Inputs'!FP5),2)</f>
        <v/>
      </c>
      <c r="H136">
        <f>ROUND(IF('A2 Inputs'!FP6=0,0,'A2 Inputs'!FQ6/'A2 Inputs'!FP6),2)</f>
        <v/>
      </c>
      <c r="I136">
        <f>ROUND(IF('A2 Inputs'!FP7=0,0,'A2 Inputs'!FQ7/'A2 Inputs'!FP7),2)</f>
        <v/>
      </c>
      <c r="J136">
        <f>ROUND(IF('A2 Inputs'!FP8=0,0,'A2 Inputs'!FQ8/'A2 Inputs'!FP8),2)</f>
        <v/>
      </c>
      <c r="K136">
        <f>ROUND(IF('A2 Inputs'!FP9=0,0,'A2 Inputs'!FQ9/'A2 Inputs'!FP9),2)</f>
        <v/>
      </c>
      <c r="L136" t="inlineStr">
        <is>
          <t>alerts_resolved, alert_resolution_days</t>
        </is>
      </c>
    </row>
    <row r="137">
      <c r="A137" t="inlineStr">
        <is>
          <t>EFF-009</t>
        </is>
      </c>
      <c r="B137" t="inlineStr">
        <is>
          <t>Closed escalations, last 30 days</t>
        </is>
      </c>
      <c r="C137" t="inlineStr">
        <is>
          <t>count</t>
        </is>
      </c>
      <c r="D137" t="inlineStr">
        <is>
          <t>Month</t>
        </is>
      </c>
      <c r="E137" t="inlineStr">
        <is>
          <t>Escalations closed in the month</t>
        </is>
      </c>
      <c r="F137">
        <f>ROUND('A2 Inputs'!FR4,2)</f>
        <v/>
      </c>
      <c r="G137">
        <f>ROUND('A2 Inputs'!FR5,2)</f>
        <v/>
      </c>
      <c r="H137">
        <f>ROUND('A2 Inputs'!FR6,2)</f>
        <v/>
      </c>
      <c r="I137">
        <f>ROUND('A2 Inputs'!FR7,2)</f>
        <v/>
      </c>
      <c r="J137">
        <f>ROUND('A2 Inputs'!FR8,2)</f>
        <v/>
      </c>
      <c r="K137">
        <f>ROUND('A2 Inputs'!FR9,2)</f>
        <v/>
      </c>
      <c r="L137" t="inlineStr">
        <is>
          <t>escalations_closed</t>
        </is>
      </c>
    </row>
    <row r="138">
      <c r="A138" t="inlineStr">
        <is>
          <t>EFF-010</t>
        </is>
      </c>
      <c r="B138" t="inlineStr">
        <is>
          <t>Repeat issues, last 90 days</t>
        </is>
      </c>
      <c r="C138" t="inlineStr">
        <is>
          <t>count</t>
        </is>
      </c>
      <c r="D138" t="inlineStr">
        <is>
          <t>Last 3 months</t>
        </is>
      </c>
      <c r="E138" t="inlineStr">
        <is>
          <t>Sum of repeat issues over the last 3 months</t>
        </is>
      </c>
      <c r="F138">
        <f>ROUND(SUM('A2 Inputs'!FS4:FS4),2)</f>
        <v/>
      </c>
      <c r="G138">
        <f>ROUND(SUM('A2 Inputs'!FS4:FS5),2)</f>
        <v/>
      </c>
      <c r="H138">
        <f>ROUND(SUM('A2 Inputs'!FS4:FS6),2)</f>
        <v/>
      </c>
      <c r="I138">
        <f>ROUND(SUM('A2 Inputs'!FS5:FS7),2)</f>
        <v/>
      </c>
      <c r="J138">
        <f>ROUND(SUM('A2 Inputs'!FS6:FS8),2)</f>
        <v/>
      </c>
      <c r="K138">
        <f>ROUND(SUM('A2 Inputs'!FS7:FS9),2)</f>
        <v/>
      </c>
      <c r="L138" t="inlineStr">
        <is>
          <t>repeat_issues</t>
        </is>
      </c>
    </row>
    <row r="139">
      <c r="A139" t="inlineStr">
        <is>
          <t>EFF-011</t>
        </is>
      </c>
      <c r="B139" t="inlineStr">
        <is>
          <t>Root causes eliminated YTD</t>
        </is>
      </c>
      <c r="C139" t="inlineStr">
        <is>
          <t>text</t>
        </is>
      </c>
      <c r="D139" t="inlineStr">
        <is>
          <t>Year to date</t>
        </is>
      </c>
      <c r="E139" t="inlineStr">
        <is>
          <t>Root causes eliminated since April, of those identified since April</t>
        </is>
      </c>
      <c r="F139">
        <f>SUM('A2 Inputs'!FU$4:FU4)&amp;" of "&amp;SUM('A2 Inputs'!FT$4:FT4)</f>
        <v/>
      </c>
      <c r="G139">
        <f>SUM('A2 Inputs'!FU$4:FU5)&amp;" of "&amp;SUM('A2 Inputs'!FT$4:FT5)</f>
        <v/>
      </c>
      <c r="H139">
        <f>SUM('A2 Inputs'!FU$4:FU6)&amp;" of "&amp;SUM('A2 Inputs'!FT$4:FT6)</f>
        <v/>
      </c>
      <c r="I139">
        <f>SUM('A2 Inputs'!FU$4:FU7)&amp;" of "&amp;SUM('A2 Inputs'!FT$4:FT7)</f>
        <v/>
      </c>
      <c r="J139">
        <f>SUM('A2 Inputs'!FU$4:FU8)&amp;" of "&amp;SUM('A2 Inputs'!FT$4:FT8)</f>
        <v/>
      </c>
      <c r="K139">
        <f>SUM('A2 Inputs'!FU$4:FU9)&amp;" of "&amp;SUM('A2 Inputs'!FT$4:FT9)</f>
        <v/>
      </c>
      <c r="L139" t="inlineStr">
        <is>
          <t>root_causes_identified, root_causes_eliminated</t>
        </is>
      </c>
    </row>
    <row r="140">
      <c r="A140" t="inlineStr">
        <is>
          <t>SIG-004</t>
        </is>
      </c>
      <c r="B140" t="inlineStr">
        <is>
          <t>Collections slippage</t>
        </is>
      </c>
      <c r="C140" t="inlineStr">
        <is>
          <t>days</t>
        </is>
      </c>
      <c r="D140" t="inlineStr">
        <is>
          <t>Month</t>
        </is>
      </c>
      <c r="E140" t="inlineStr">
        <is>
          <t>(Days taken to collect − Agreed payment terms) ÷ Invoices collected (average days late)</t>
        </is>
      </c>
      <c r="F140">
        <f>ROUND(IF('A2 Inputs'!CQ4=0,0,('A2 Inputs'!CR4-'A2 Inputs'!CS4)/'A2 Inputs'!CQ4),2)</f>
        <v/>
      </c>
      <c r="G140">
        <f>ROUND(IF('A2 Inputs'!CQ5=0,0,('A2 Inputs'!CR5-'A2 Inputs'!CS5)/'A2 Inputs'!CQ5),2)</f>
        <v/>
      </c>
      <c r="H140">
        <f>ROUND(IF('A2 Inputs'!CQ6=0,0,('A2 Inputs'!CR6-'A2 Inputs'!CS6)/'A2 Inputs'!CQ6),2)</f>
        <v/>
      </c>
      <c r="I140">
        <f>ROUND(IF('A2 Inputs'!CQ7=0,0,('A2 Inputs'!CR7-'A2 Inputs'!CS7)/'A2 Inputs'!CQ7),2)</f>
        <v/>
      </c>
      <c r="J140">
        <f>ROUND(IF('A2 Inputs'!CQ8=0,0,('A2 Inputs'!CR8-'A2 Inputs'!CS8)/'A2 Inputs'!CQ8),2)</f>
        <v/>
      </c>
      <c r="K140">
        <f>ROUND(IF('A2 Inputs'!CQ9=0,0,('A2 Inputs'!CR9-'A2 Inputs'!CS9)/'A2 Inputs'!CQ9),2)</f>
        <v/>
      </c>
      <c r="L140" t="inlineStr">
        <is>
          <t>invoices_collected, collection_days, terms_days</t>
        </is>
      </c>
    </row>
    <row r="141">
      <c r="A141" t="inlineStr">
        <is>
          <t>SIG-005</t>
        </is>
      </c>
      <c r="B141" t="inlineStr">
        <is>
          <t>Payment delays</t>
        </is>
      </c>
      <c r="C141" t="inlineStr">
        <is>
          <t>customers</t>
        </is>
      </c>
      <c r="D141" t="inlineStr">
        <is>
          <t>Month end</t>
        </is>
      </c>
      <c r="E141" t="inlineStr">
        <is>
          <t>Customers more than 30 days overdue</t>
        </is>
      </c>
      <c r="F141">
        <f>ROUND('A2 Inputs'!CT4,2)</f>
        <v/>
      </c>
      <c r="G141">
        <f>ROUND('A2 Inputs'!CT5,2)</f>
        <v/>
      </c>
      <c r="H141">
        <f>ROUND('A2 Inputs'!CT6,2)</f>
        <v/>
      </c>
      <c r="I141">
        <f>ROUND('A2 Inputs'!CT7,2)</f>
        <v/>
      </c>
      <c r="J141">
        <f>ROUND('A2 Inputs'!CT8,2)</f>
        <v/>
      </c>
      <c r="K141">
        <f>ROUND('A2 Inputs'!CT9,2)</f>
        <v/>
      </c>
      <c r="L141" t="inlineStr">
        <is>
          <t>customers_overdue</t>
        </is>
      </c>
    </row>
    <row r="142">
      <c r="A142" t="inlineStr">
        <is>
          <t>SIG-006</t>
        </is>
      </c>
      <c r="B142" t="inlineStr">
        <is>
          <t>Cash burn signal</t>
        </is>
      </c>
      <c r="C142" t="inlineStr">
        <is>
          <t>text</t>
        </is>
      </c>
      <c r="D142" t="inlineStr">
        <is>
          <t>Month</t>
        </is>
      </c>
      <c r="E142" t="inlineStr">
        <is>
          <t>Triggered if operating cash flow in the month is negative</t>
        </is>
      </c>
      <c r="F142">
        <f>IF('A2 Inputs'!FZ4&lt;0,"Triggered","Not triggered")</f>
        <v/>
      </c>
      <c r="G142">
        <f>IF('A2 Inputs'!FZ5&lt;0,"Triggered","Not triggered")</f>
        <v/>
      </c>
      <c r="H142">
        <f>IF('A2 Inputs'!FZ6&lt;0,"Triggered","Not triggered")</f>
        <v/>
      </c>
      <c r="I142">
        <f>IF('A2 Inputs'!FZ7&lt;0,"Triggered","Not triggered")</f>
        <v/>
      </c>
      <c r="J142">
        <f>IF('A2 Inputs'!FZ8&lt;0,"Triggered","Not triggered")</f>
        <v/>
      </c>
      <c r="K142">
        <f>IF('A2 Inputs'!FZ9&lt;0,"Triggered","Not triggered")</f>
        <v/>
      </c>
      <c r="L142" t="inlineStr">
        <is>
          <t>op_cash_flow_k</t>
        </is>
      </c>
    </row>
    <row r="143">
      <c r="A143" t="inlineStr">
        <is>
          <t>SIG-013</t>
        </is>
      </c>
      <c r="B143" t="inlineStr">
        <is>
          <t>Pricing pressure</t>
        </is>
      </c>
      <c r="C143" t="inlineStr">
        <is>
          <t>text</t>
        </is>
      </c>
      <c r="D143" t="inlineStr">
        <is>
          <t>Month</t>
        </is>
      </c>
      <c r="E143" t="inlineStr">
        <is>
          <t>Realised price vs plan: Low if above −1%, Medium down to −3%, High below −3%</t>
        </is>
      </c>
      <c r="F143">
        <f>IF('A2 Inputs'!GG4&gt;=-1,"Low",IF('A2 Inputs'!GG4&gt;=-3,"Medium","High"))&amp;" ("&amp;ROUND('A2 Inputs'!GG4,1)&amp;"% vs plan price)"</f>
        <v/>
      </c>
      <c r="G143">
        <f>IF('A2 Inputs'!GG5&gt;=-1,"Low",IF('A2 Inputs'!GG5&gt;=-3,"Medium","High"))&amp;" ("&amp;ROUND('A2 Inputs'!GG5,1)&amp;"% vs plan price)"</f>
        <v/>
      </c>
      <c r="H143">
        <f>IF('A2 Inputs'!GG6&gt;=-1,"Low",IF('A2 Inputs'!GG6&gt;=-3,"Medium","High"))&amp;" ("&amp;ROUND('A2 Inputs'!GG6,1)&amp;"% vs plan price)"</f>
        <v/>
      </c>
      <c r="I143">
        <f>IF('A2 Inputs'!GG7&gt;=-1,"Low",IF('A2 Inputs'!GG7&gt;=-3,"Medium","High"))&amp;" ("&amp;ROUND('A2 Inputs'!GG7,1)&amp;"% vs plan price)"</f>
        <v/>
      </c>
      <c r="J143">
        <f>IF('A2 Inputs'!GG8&gt;=-1,"Low",IF('A2 Inputs'!GG8&gt;=-3,"Medium","High"))&amp;" ("&amp;ROUND('A2 Inputs'!GG8,1)&amp;"% vs plan price)"</f>
        <v/>
      </c>
      <c r="K143">
        <f>IF('A2 Inputs'!GG9&gt;=-1,"Low",IF('A2 Inputs'!GG9&gt;=-3,"Medium","High"))&amp;" ("&amp;ROUND('A2 Inputs'!GG9,1)&amp;"% vs plan price)"</f>
        <v/>
      </c>
      <c r="L143" t="inlineStr">
        <is>
          <t>price_vs_plan_pct</t>
        </is>
      </c>
    </row>
    <row r="144">
      <c r="A144" t="inlineStr">
        <is>
          <t>PRD-001</t>
        </is>
      </c>
      <c r="B144" t="inlineStr">
        <is>
          <t>Days to breach (earliest plant)</t>
        </is>
      </c>
      <c r="C144" t="inlineStr">
        <is>
          <t>days</t>
        </is>
      </c>
      <c r="D144" t="inlineStr">
        <is>
          <t>Forecast</t>
        </is>
      </c>
      <c r="E144" t="inlineStr">
        <is>
          <t>Lowest plant forecast of days until its production plan is breached (99 = not expected)</t>
        </is>
      </c>
      <c r="F144">
        <f>ROUND('A2 Inputs'!BS4,2)</f>
        <v/>
      </c>
      <c r="G144">
        <f>ROUND('A2 Inputs'!BS5,2)</f>
        <v/>
      </c>
      <c r="H144">
        <f>ROUND('A2 Inputs'!BS6,2)</f>
        <v/>
      </c>
      <c r="I144">
        <f>ROUND('A2 Inputs'!BS7,2)</f>
        <v/>
      </c>
      <c r="J144">
        <f>ROUND('A2 Inputs'!BS8,2)</f>
        <v/>
      </c>
      <c r="K144">
        <f>ROUND('A2 Inputs'!BS9,2)</f>
        <v/>
      </c>
      <c r="L144" t="inlineStr">
        <is>
          <t>days_to_breach</t>
        </is>
      </c>
    </row>
    <row r="145">
      <c r="A145" t="inlineStr">
        <is>
          <t>PRD-002</t>
        </is>
      </c>
      <c r="B145" t="inlineStr">
        <is>
          <t>Probability of production plan miss, next month</t>
        </is>
      </c>
      <c r="C145" t="inlineStr">
        <is>
          <t>%</t>
        </is>
      </c>
      <c r="D145" t="inlineStr">
        <is>
          <t>Next month</t>
        </is>
      </c>
      <c r="E145" t="inlineStr">
        <is>
          <t>Chance that output falls below plan: normal distribution with mean = Forecast good output, spread = √(sum of plant forecast variances)</t>
        </is>
      </c>
      <c r="F145">
        <f>ROUND(100*NORM.DIST('A2 Inputs'!BT4,'A2 Inputs'!BU4,SQRT('A2 Inputs'!BV4),TRUE),2)</f>
        <v/>
      </c>
      <c r="G145">
        <f>ROUND(100*NORM.DIST('A2 Inputs'!BT5,'A2 Inputs'!BU5,SQRT('A2 Inputs'!BV5),TRUE),2)</f>
        <v/>
      </c>
      <c r="H145">
        <f>ROUND(100*NORM.DIST('A2 Inputs'!BT6,'A2 Inputs'!BU6,SQRT('A2 Inputs'!BV6),TRUE),2)</f>
        <v/>
      </c>
      <c r="I145">
        <f>ROUND(100*NORM.DIST('A2 Inputs'!BT7,'A2 Inputs'!BU7,SQRT('A2 Inputs'!BV7),TRUE),2)</f>
        <v/>
      </c>
      <c r="J145">
        <f>ROUND(100*NORM.DIST('A2 Inputs'!BT8,'A2 Inputs'!BU8,SQRT('A2 Inputs'!BV8),TRUE),2)</f>
        <v/>
      </c>
      <c r="K145">
        <f>ROUND(100*NORM.DIST('A2 Inputs'!BT9,'A2 Inputs'!BU9,SQRT('A2 Inputs'!BV9),TRUE),2)</f>
        <v/>
      </c>
      <c r="L145" t="inlineStr">
        <is>
          <t>planned_production_next_t, forecast_good_next_t, forecast_good_var_next</t>
        </is>
      </c>
    </row>
    <row r="146">
      <c r="A146" t="inlineStr">
        <is>
          <t>PRD-003</t>
        </is>
      </c>
      <c r="B146" t="inlineStr">
        <is>
          <t>Projected EBITDA gap, rest of year</t>
        </is>
      </c>
      <c r="C146" t="inlineStr">
        <is>
          <t>₹ m</t>
        </is>
      </c>
      <c r="D146" t="inlineStr">
        <is>
          <t>Forecast</t>
        </is>
      </c>
      <c r="E146" t="inlineStr">
        <is>
          <t>(Forecast EBITDA − Planned EBITDA, rest of year) ÷ 1000</t>
        </is>
      </c>
      <c r="F146">
        <f>ROUND(('A2 Inputs'!CU4-'A2 Inputs'!CV4)/1000,2)</f>
        <v/>
      </c>
      <c r="G146">
        <f>ROUND(('A2 Inputs'!CU5-'A2 Inputs'!CV5)/1000,2)</f>
        <v/>
      </c>
      <c r="H146">
        <f>ROUND(('A2 Inputs'!CU6-'A2 Inputs'!CV6)/1000,2)</f>
        <v/>
      </c>
      <c r="I146">
        <f>ROUND(('A2 Inputs'!CU7-'A2 Inputs'!CV7)/1000,2)</f>
        <v/>
      </c>
      <c r="J146">
        <f>ROUND(('A2 Inputs'!CU8-'A2 Inputs'!CV8)/1000,2)</f>
        <v/>
      </c>
      <c r="K146">
        <f>ROUND(('A2 Inputs'!CU9-'A2 Inputs'!CV9)/1000,2)</f>
        <v/>
      </c>
      <c r="L146" t="inlineStr">
        <is>
          <t>forecast_ebitda_rest_k, planned_ebitda_rest_k</t>
        </is>
      </c>
    </row>
    <row r="147">
      <c r="A147" t="inlineStr">
        <is>
          <t>PRD-004</t>
        </is>
      </c>
      <c r="B147" t="inlineStr">
        <is>
          <t>Projected liquidity gap, next 90 days</t>
        </is>
      </c>
      <c r="C147" t="inlineStr">
        <is>
          <t>₹ m or text</t>
        </is>
      </c>
      <c r="D147" t="inlineStr">
        <is>
          <t>Next 90 days</t>
        </is>
      </c>
      <c r="E147" t="inlineStr">
        <is>
          <t>Cash + Undrawn facilities + Forecast net cash flow (90 days); 'None' if not negative</t>
        </is>
      </c>
      <c r="F147">
        <f>IF('A2 Inputs'!CC4+'A2 Inputs'!CD4+'A2 Inputs'!CW4&gt;=0,"None within 90 d",ROUND(('A2 Inputs'!CC4+'A2 Inputs'!CD4+'A2 Inputs'!CW4)/1000,1))</f>
        <v/>
      </c>
      <c r="G147">
        <f>IF('A2 Inputs'!CC5+'A2 Inputs'!CD5+'A2 Inputs'!CW5&gt;=0,"None within 90 d",ROUND(('A2 Inputs'!CC5+'A2 Inputs'!CD5+'A2 Inputs'!CW5)/1000,1))</f>
        <v/>
      </c>
      <c r="H147">
        <f>IF('A2 Inputs'!CC6+'A2 Inputs'!CD6+'A2 Inputs'!CW6&gt;=0,"None within 90 d",ROUND(('A2 Inputs'!CC6+'A2 Inputs'!CD6+'A2 Inputs'!CW6)/1000,1))</f>
        <v/>
      </c>
      <c r="I147">
        <f>IF('A2 Inputs'!CC7+'A2 Inputs'!CD7+'A2 Inputs'!CW7&gt;=0,"None within 90 d",ROUND(('A2 Inputs'!CC7+'A2 Inputs'!CD7+'A2 Inputs'!CW7)/1000,1))</f>
        <v/>
      </c>
      <c r="J147">
        <f>IF('A2 Inputs'!CC8+'A2 Inputs'!CD8+'A2 Inputs'!CW8&gt;=0,"None within 90 d",ROUND(('A2 Inputs'!CC8+'A2 Inputs'!CD8+'A2 Inputs'!CW8)/1000,1))</f>
        <v/>
      </c>
      <c r="K147">
        <f>IF('A2 Inputs'!CC9+'A2 Inputs'!CD9+'A2 Inputs'!CW9&gt;=0,"None within 90 d",ROUND(('A2 Inputs'!CC9+'A2 Inputs'!CD9+'A2 Inputs'!CW9)/1000,1))</f>
        <v/>
      </c>
      <c r="L147" t="inlineStr">
        <is>
          <t>cash_k, undrawn_facilities_k, forecast_net_cash_flow_90d_k</t>
        </is>
      </c>
    </row>
    <row r="148">
      <c r="A148" t="inlineStr">
        <is>
          <t>PRD-005</t>
        </is>
      </c>
      <c r="B148" t="inlineStr">
        <is>
          <t>Forecast covenant breach</t>
        </is>
      </c>
      <c r="C148" t="inlineStr">
        <is>
          <t>text</t>
        </is>
      </c>
      <c r="D148" t="inlineStr">
        <is>
          <t>Quarter end</t>
        </is>
      </c>
      <c r="E148" t="inlineStr">
        <is>
          <t>Breach forecast if Forecast net debt ÷ Forecast 12-month EBITDA exceeds the covenant limit</t>
        </is>
      </c>
      <c r="F148">
        <f>IF('A2 Inputs'!CY4=0,"No forecast",IF('A2 Inputs'!CX4/'A2 Inputs'!CY4&gt;Parameters!$B$4,"Breach forecast","Not forecast"))</f>
        <v/>
      </c>
      <c r="G148">
        <f>IF('A2 Inputs'!CY5=0,"No forecast",IF('A2 Inputs'!CX5/'A2 Inputs'!CY5&gt;Parameters!$B$4,"Breach forecast","Not forecast"))</f>
        <v/>
      </c>
      <c r="H148">
        <f>IF('A2 Inputs'!CY6=0,"No forecast",IF('A2 Inputs'!CX6/'A2 Inputs'!CY6&gt;Parameters!$B$4,"Breach forecast","Not forecast"))</f>
        <v/>
      </c>
      <c r="I148">
        <f>IF('A2 Inputs'!CY7=0,"No forecast",IF('A2 Inputs'!CX7/'A2 Inputs'!CY7&gt;Parameters!$B$4,"Breach forecast","Not forecast"))</f>
        <v/>
      </c>
      <c r="J148">
        <f>IF('A2 Inputs'!CY8=0,"No forecast",IF('A2 Inputs'!CX8/'A2 Inputs'!CY8&gt;Parameters!$B$4,"Breach forecast","Not forecast"))</f>
        <v/>
      </c>
      <c r="K148">
        <f>IF('A2 Inputs'!CY9=0,"No forecast",IF('A2 Inputs'!CX9/'A2 Inputs'!CY9&gt;Parameters!$B$4,"Breach forecast","Not forecast"))</f>
        <v/>
      </c>
      <c r="L148" t="inlineStr">
        <is>
          <t>forecast_net_debt_k, forecast_ebitda_ltm_k</t>
        </is>
      </c>
    </row>
    <row r="149">
      <c r="A149" t="inlineStr">
        <is>
          <t>PRD-006</t>
        </is>
      </c>
      <c r="B149" t="inlineStr">
        <is>
          <t>Production loss from downtime, next month</t>
        </is>
      </c>
      <c r="C149" t="inlineStr">
        <is>
          <t>kt</t>
        </is>
      </c>
      <c r="D149" t="inlineStr">
        <is>
          <t>Next month</t>
        </is>
      </c>
      <c r="E149" t="inlineStr">
        <is>
          <t>Forecast production lost to downtime next month ÷ 1000</t>
        </is>
      </c>
      <c r="F149">
        <f>ROUND('A2 Inputs'!BX4/1000,2)</f>
        <v/>
      </c>
      <c r="G149">
        <f>ROUND('A2 Inputs'!BX5/1000,2)</f>
        <v/>
      </c>
      <c r="H149">
        <f>ROUND('A2 Inputs'!BX6/1000,2)</f>
        <v/>
      </c>
      <c r="I149">
        <f>ROUND('A2 Inputs'!BX7/1000,2)</f>
        <v/>
      </c>
      <c r="J149">
        <f>ROUND('A2 Inputs'!BX8/1000,2)</f>
        <v/>
      </c>
      <c r="K149">
        <f>ROUND('A2 Inputs'!BX9/1000,2)</f>
        <v/>
      </c>
      <c r="L149" t="inlineStr">
        <is>
          <t>forecast_downtime_loss_next_t</t>
        </is>
      </c>
    </row>
    <row r="150">
      <c r="A150" t="inlineStr">
        <is>
          <t>PRD-007</t>
        </is>
      </c>
      <c r="B150" t="inlineStr">
        <is>
          <t>Probability OEE below 78%, next month</t>
        </is>
      </c>
      <c r="C150" t="inlineStr">
        <is>
          <t>%</t>
        </is>
      </c>
      <c r="D150" t="inlineStr">
        <is>
          <t>Next month</t>
        </is>
      </c>
      <c r="E150" t="inlineStr">
        <is>
          <t>Chance that Forecast good output &lt; 78% × Ideal output next month (same distribution as PRD-002)</t>
        </is>
      </c>
      <c r="F150">
        <f>ROUND(100*NORM.DIST(0.78*'A2 Inputs'!BW4,'A2 Inputs'!BU4,SQRT('A2 Inputs'!BV4),TRUE),2)</f>
        <v/>
      </c>
      <c r="G150">
        <f>ROUND(100*NORM.DIST(0.78*'A2 Inputs'!BW5,'A2 Inputs'!BU5,SQRT('A2 Inputs'!BV5),TRUE),2)</f>
        <v/>
      </c>
      <c r="H150">
        <f>ROUND(100*NORM.DIST(0.78*'A2 Inputs'!BW6,'A2 Inputs'!BU6,SQRT('A2 Inputs'!BV6),TRUE),2)</f>
        <v/>
      </c>
      <c r="I150">
        <f>ROUND(100*NORM.DIST(0.78*'A2 Inputs'!BW7,'A2 Inputs'!BU7,SQRT('A2 Inputs'!BV7),TRUE),2)</f>
        <v/>
      </c>
      <c r="J150">
        <f>ROUND(100*NORM.DIST(0.78*'A2 Inputs'!BW8,'A2 Inputs'!BU8,SQRT('A2 Inputs'!BV8),TRUE),2)</f>
        <v/>
      </c>
      <c r="K150">
        <f>ROUND(100*NORM.DIST(0.78*'A2 Inputs'!BW9,'A2 Inputs'!BU9,SQRT('A2 Inputs'!BV9),TRUE),2)</f>
        <v/>
      </c>
      <c r="L150" t="inlineStr">
        <is>
          <t>forecast_good_next_t, forecast_good_var_next, ideal_output_next_t</t>
        </is>
      </c>
    </row>
    <row r="151">
      <c r="A151" t="inlineStr">
        <is>
          <t>CST-005</t>
        </is>
      </c>
      <c r="B151" t="inlineStr">
        <is>
          <t>Fixed cost YTD</t>
        </is>
      </c>
      <c r="C151" t="inlineStr">
        <is>
          <t>₹ m</t>
        </is>
      </c>
      <c r="D151" t="inlineStr">
        <is>
          <t>Year to date</t>
        </is>
      </c>
      <c r="E151" t="inlineStr">
        <is>
          <t>Sum of monthly fixed cost since April ÷ 1000</t>
        </is>
      </c>
      <c r="F151">
        <f>ROUND(SUM('A2 Inputs'!X$4:X4)/1000,2)</f>
        <v/>
      </c>
      <c r="G151">
        <f>ROUND(SUM('A2 Inputs'!X$4:X5)/1000,2)</f>
        <v/>
      </c>
      <c r="H151">
        <f>ROUND(SUM('A2 Inputs'!X$4:X6)/1000,2)</f>
        <v/>
      </c>
      <c r="I151">
        <f>ROUND(SUM('A2 Inputs'!X$4:X7)/1000,2)</f>
        <v/>
      </c>
      <c r="J151">
        <f>ROUND(SUM('A2 Inputs'!X$4:X8)/1000,2)</f>
        <v/>
      </c>
      <c r="K151">
        <f>ROUND(SUM('A2 Inputs'!X$4:X9)/1000,2)</f>
        <v/>
      </c>
      <c r="L151" t="inlineStr">
        <is>
          <t>fixed_cost_k</t>
        </is>
      </c>
    </row>
    <row r="152">
      <c r="A152" t="inlineStr">
        <is>
          <t>PRD-008</t>
        </is>
      </c>
      <c r="B152" t="inlineStr">
        <is>
          <t>Projected FCF gap, full year</t>
        </is>
      </c>
      <c r="C152" t="inlineStr">
        <is>
          <t>₹ m</t>
        </is>
      </c>
      <c r="D152" t="inlineStr">
        <is>
          <t>Forecast</t>
        </is>
      </c>
      <c r="E152" t="inlineStr">
        <is>
          <t>(FCF YTD + forecast FCF rest of year − FY FCF plan) ÷ 1000</t>
        </is>
      </c>
      <c r="F152">
        <f>ROUND((SUM('A2 Inputs'!GA$4:GA4)+'A2 Inputs'!GJ4-'A2 Inputs'!GI4)/1000,2)</f>
        <v/>
      </c>
      <c r="G152">
        <f>ROUND((SUM('A2 Inputs'!GA$4:GA5)+'A2 Inputs'!GJ5-'A2 Inputs'!GI5)/1000,2)</f>
        <v/>
      </c>
      <c r="H152">
        <f>ROUND((SUM('A2 Inputs'!GA$4:GA6)+'A2 Inputs'!GJ6-'A2 Inputs'!GI6)/1000,2)</f>
        <v/>
      </c>
      <c r="I152">
        <f>ROUND((SUM('A2 Inputs'!GA$4:GA7)+'A2 Inputs'!GJ7-'A2 Inputs'!GI7)/1000,2)</f>
        <v/>
      </c>
      <c r="J152">
        <f>ROUND((SUM('A2 Inputs'!GA$4:GA8)+'A2 Inputs'!GJ8-'A2 Inputs'!GI8)/1000,2)</f>
        <v/>
      </c>
      <c r="K152">
        <f>ROUND((SUM('A2 Inputs'!GA$4:GA9)+'A2 Inputs'!GJ9-'A2 Inputs'!GI9)/1000,2)</f>
        <v/>
      </c>
      <c r="L152" t="inlineStr">
        <is>
          <t>fcf_k, fcf_plan_fy_k, forecast_fcf_rest_k</t>
        </is>
      </c>
    </row>
    <row r="153">
      <c r="A153" t="inlineStr">
        <is>
          <t>PRD-009</t>
        </is>
      </c>
      <c r="B153" t="inlineStr">
        <is>
          <t>ROCE at P12 (forecast)</t>
        </is>
      </c>
      <c r="C153" t="inlineStr">
        <is>
          <t>%</t>
        </is>
      </c>
      <c r="D153" t="inlineStr">
        <is>
          <t>Forecast</t>
        </is>
      </c>
      <c r="E153" t="inlineStr">
        <is>
          <t>(EBIT YTD + forecast EBIT rest of year) ÷ forecast capital employed at P12 × 100</t>
        </is>
      </c>
      <c r="F153">
        <f>ROUND(IF('A2 Inputs'!GL4=0,0,100*(SUM('A2 Inputs'!FW$4:FW4)+'A2 Inputs'!GK4)/'A2 Inputs'!GL4),2)</f>
        <v/>
      </c>
      <c r="G153">
        <f>ROUND(IF('A2 Inputs'!GL5=0,0,100*(SUM('A2 Inputs'!FW$4:FW5)+'A2 Inputs'!GK5)/'A2 Inputs'!GL5),2)</f>
        <v/>
      </c>
      <c r="H153">
        <f>ROUND(IF('A2 Inputs'!GL6=0,0,100*(SUM('A2 Inputs'!FW$4:FW6)+'A2 Inputs'!GK6)/'A2 Inputs'!GL6),2)</f>
        <v/>
      </c>
      <c r="I153">
        <f>ROUND(IF('A2 Inputs'!GL7=0,0,100*(SUM('A2 Inputs'!FW$4:FW7)+'A2 Inputs'!GK7)/'A2 Inputs'!GL7),2)</f>
        <v/>
      </c>
      <c r="J153">
        <f>ROUND(IF('A2 Inputs'!GL8=0,0,100*(SUM('A2 Inputs'!FW$4:FW8)+'A2 Inputs'!GK8)/'A2 Inputs'!GL8),2)</f>
        <v/>
      </c>
      <c r="K153">
        <f>ROUND(IF('A2 Inputs'!GL9=0,0,100*(SUM('A2 Inputs'!FW$4:FW9)+'A2 Inputs'!GK9)/'A2 Inputs'!GL9),2)</f>
        <v/>
      </c>
      <c r="L153" t="inlineStr">
        <is>
          <t>capital_employed_p12_k, ebit_fcst_rest_k, ebit_k</t>
        </is>
      </c>
    </row>
    <row r="154">
      <c r="A154" t="inlineStr">
        <is>
          <t>PRD-010</t>
        </is>
      </c>
      <c r="B154" t="inlineStr">
        <is>
          <t>Revenue per FTE YTD</t>
        </is>
      </c>
      <c r="C154" t="inlineStr">
        <is>
          <t>₹ m</t>
        </is>
      </c>
      <c r="D154" t="inlineStr">
        <is>
          <t>Year to date</t>
        </is>
      </c>
      <c r="E154" t="inlineStr">
        <is>
          <t>Revenue since April ÷ FTE ÷ 1000</t>
        </is>
      </c>
      <c r="F154">
        <f>ROUND(IF('A2 Inputs'!GH4=0,0,SUM('A2 Inputs'!AU$4:AU4)/'A2 Inputs'!GH4/1000),3)</f>
        <v/>
      </c>
      <c r="G154">
        <f>ROUND(IF('A2 Inputs'!GH5=0,0,SUM('A2 Inputs'!AU$4:AU5)/'A2 Inputs'!GH5/1000),3)</f>
        <v/>
      </c>
      <c r="H154">
        <f>ROUND(IF('A2 Inputs'!GH6=0,0,SUM('A2 Inputs'!AU$4:AU6)/'A2 Inputs'!GH6/1000),3)</f>
        <v/>
      </c>
      <c r="I154">
        <f>ROUND(IF('A2 Inputs'!GH7=0,0,SUM('A2 Inputs'!AU$4:AU7)/'A2 Inputs'!GH7/1000),3)</f>
        <v/>
      </c>
      <c r="J154">
        <f>ROUND(IF('A2 Inputs'!GH8=0,0,SUM('A2 Inputs'!AU$4:AU8)/'A2 Inputs'!GH8/1000),3)</f>
        <v/>
      </c>
      <c r="K154">
        <f>ROUND(IF('A2 Inputs'!GH9=0,0,SUM('A2 Inputs'!AU$4:AU9)/'A2 Inputs'!GH9/1000),3)</f>
        <v/>
      </c>
      <c r="L154" t="inlineStr">
        <is>
          <t>fte, revenue_k</t>
        </is>
      </c>
    </row>
    <row r="155">
      <c r="A155" t="inlineStr">
        <is>
          <t>PRD-011</t>
        </is>
      </c>
      <c r="B155" t="inlineStr">
        <is>
          <t>Tonnes per FTE</t>
        </is>
      </c>
      <c r="C155" t="inlineStr">
        <is>
          <t>t</t>
        </is>
      </c>
      <c r="D155" t="inlineStr">
        <is>
          <t>Month</t>
        </is>
      </c>
      <c r="E155" t="inlineStr">
        <is>
          <t>Good output ÷ FTE</t>
        </is>
      </c>
      <c r="F155">
        <f>ROUND(IF('A2 Inputs'!GH4=0,0,'A2 Inputs'!M4/'A2 Inputs'!GH4),1)</f>
        <v/>
      </c>
      <c r="G155">
        <f>ROUND(IF('A2 Inputs'!GH5=0,0,'A2 Inputs'!M5/'A2 Inputs'!GH5),1)</f>
        <v/>
      </c>
      <c r="H155">
        <f>ROUND(IF('A2 Inputs'!GH6=0,0,'A2 Inputs'!M6/'A2 Inputs'!GH6),1)</f>
        <v/>
      </c>
      <c r="I155">
        <f>ROUND(IF('A2 Inputs'!GH7=0,0,'A2 Inputs'!M7/'A2 Inputs'!GH7),1)</f>
        <v/>
      </c>
      <c r="J155">
        <f>ROUND(IF('A2 Inputs'!GH8=0,0,'A2 Inputs'!M8/'A2 Inputs'!GH8),1)</f>
        <v/>
      </c>
      <c r="K155">
        <f>ROUND(IF('A2 Inputs'!GH9=0,0,'A2 Inputs'!M9/'A2 Inputs'!GH9),1)</f>
        <v/>
      </c>
      <c r="L155" t="inlineStr">
        <is>
          <t>fte, good_output_t</t>
        </is>
      </c>
    </row>
    <row r="156">
      <c r="A156" t="inlineStr">
        <is>
          <t>PRD-012</t>
        </is>
      </c>
      <c r="B156" t="inlineStr">
        <is>
          <t>Probability of EBITDA plan miss, full year</t>
        </is>
      </c>
      <c r="C156" t="inlineStr">
        <is>
          <t>%</t>
        </is>
      </c>
      <c r="D156" t="inlineStr">
        <is>
          <t>Forecast</t>
        </is>
      </c>
      <c r="E156" t="inlineStr">
        <is>
          <t>P(FY EBITDA &lt; FY plan), FY EBITDA ~ Normal(EBITDA YTD + forecast rest of year, σ)</t>
        </is>
      </c>
      <c r="F156">
        <f>ROUND(100*NORM.DIST('A2 Inputs'!GM4,SUM('A2 Inputs'!FV$4:FV4)+'A2 Inputs'!CU4,'A2 Inputs'!GN4,TRUE),2)</f>
        <v/>
      </c>
      <c r="G156">
        <f>ROUND(100*NORM.DIST('A2 Inputs'!GM5,SUM('A2 Inputs'!FV$4:FV5)+'A2 Inputs'!CU5,'A2 Inputs'!GN5,TRUE),2)</f>
        <v/>
      </c>
      <c r="H156">
        <f>ROUND(100*NORM.DIST('A2 Inputs'!GM6,SUM('A2 Inputs'!FV$4:FV6)+'A2 Inputs'!CU6,'A2 Inputs'!GN6,TRUE),2)</f>
        <v/>
      </c>
      <c r="I156">
        <f>ROUND(100*NORM.DIST('A2 Inputs'!GM7,SUM('A2 Inputs'!FV$4:FV7)+'A2 Inputs'!CU7,'A2 Inputs'!GN7,TRUE),2)</f>
        <v/>
      </c>
      <c r="J156">
        <f>ROUND(100*NORM.DIST('A2 Inputs'!GM8,SUM('A2 Inputs'!FV$4:FV8)+'A2 Inputs'!CU8,'A2 Inputs'!GN8,TRUE),2)</f>
        <v/>
      </c>
      <c r="K156">
        <f>ROUND(100*NORM.DIST('A2 Inputs'!GM9,SUM('A2 Inputs'!FV$4:FV9)+'A2 Inputs'!CU9,'A2 Inputs'!GN9,TRUE),2)</f>
        <v/>
      </c>
      <c r="L156" t="inlineStr">
        <is>
          <t>ebitda_fy_sigma_k, ebitda_k, ebitda_plan_fy_k, forecast_ebitda_rest_k</t>
        </is>
      </c>
    </row>
    <row r="157">
      <c r="A157" t="inlineStr">
        <is>
          <t>REG-011</t>
        </is>
      </c>
      <c r="B157" t="inlineStr">
        <is>
          <t>Disclosure clock, hours remaining</t>
        </is>
      </c>
      <c r="C157" t="inlineStr">
        <is>
          <t>h</t>
        </is>
      </c>
      <c r="D157" t="inlineStr">
        <is>
          <t>Month end</t>
        </is>
      </c>
      <c r="E157" t="inlineStr">
        <is>
          <t>Hours to the nearest open disclosure deadline (999 = none running)</t>
        </is>
      </c>
      <c r="F157">
        <f>ROUND('A2 Inputs'!GO4,0)</f>
        <v/>
      </c>
      <c r="G157">
        <f>ROUND('A2 Inputs'!GO5,0)</f>
        <v/>
      </c>
      <c r="H157">
        <f>ROUND('A2 Inputs'!GO6,0)</f>
        <v/>
      </c>
      <c r="I157">
        <f>ROUND('A2 Inputs'!GO7,0)</f>
        <v/>
      </c>
      <c r="J157">
        <f>ROUND('A2 Inputs'!GO8,0)</f>
        <v/>
      </c>
      <c r="K157">
        <f>ROUND('A2 Inputs'!GO9,0)</f>
        <v/>
      </c>
      <c r="L157" t="inlineStr">
        <is>
          <t>disclosure_deadline_h</t>
        </is>
      </c>
    </row>
    <row r="158">
      <c r="A158" t="inlineStr">
        <is>
          <t>SIG-010</t>
        </is>
      </c>
      <c r="B158" t="inlineStr">
        <is>
          <t>Single-source supply risk</t>
        </is>
      </c>
      <c r="C158" t="inlineStr">
        <is>
          <t>count</t>
        </is>
      </c>
      <c r="D158" t="inlineStr">
        <is>
          <t>Month end</t>
        </is>
      </c>
      <c r="E158" t="inlineStr">
        <is>
          <t>Single-source suppliers with cover below lead time</t>
        </is>
      </c>
      <c r="F158">
        <f>ROUND('A2 Inputs'!GP4,0)</f>
        <v/>
      </c>
      <c r="G158">
        <f>ROUND('A2 Inputs'!GP5,0)</f>
        <v/>
      </c>
      <c r="H158">
        <f>ROUND('A2 Inputs'!GP6,0)</f>
        <v/>
      </c>
      <c r="I158">
        <f>ROUND('A2 Inputs'!GP7,0)</f>
        <v/>
      </c>
      <c r="J158">
        <f>ROUND('A2 Inputs'!GP8,0)</f>
        <v/>
      </c>
      <c r="K158">
        <f>ROUND('A2 Inputs'!GP9,0)</f>
        <v/>
      </c>
      <c r="L158" t="inlineStr">
        <is>
          <t>single_source_elevated</t>
        </is>
      </c>
    </row>
    <row r="159">
      <c r="A159" t="inlineStr">
        <is>
          <t>SIG-014</t>
        </is>
      </c>
      <c r="B159" t="inlineStr">
        <is>
          <t>Commodity-price movement (RM-1 index)</t>
        </is>
      </c>
      <c r="C159" t="inlineStr">
        <is>
          <t>%</t>
        </is>
      </c>
      <c r="D159" t="inlineStr">
        <is>
          <t>Month</t>
        </is>
      </c>
      <c r="E159" t="inlineStr">
        <is>
          <t>RM-1 price index ÷ last month's index − 1, as %</t>
        </is>
      </c>
      <c r="F159">
        <f>ROUND(IF('A2 Inputs'!GQ4=0,0,100*('A2 Inputs'!GQ4/'A2 Inputs'!GQ4-1)),2)</f>
        <v/>
      </c>
      <c r="G159">
        <f>ROUND(IF('A2 Inputs'!GQ4=0,0,100*('A2 Inputs'!GQ5/'A2 Inputs'!GQ4-1)),2)</f>
        <v/>
      </c>
      <c r="H159">
        <f>ROUND(IF('A2 Inputs'!GQ5=0,0,100*('A2 Inputs'!GQ6/'A2 Inputs'!GQ5-1)),2)</f>
        <v/>
      </c>
      <c r="I159">
        <f>ROUND(IF('A2 Inputs'!GQ6=0,0,100*('A2 Inputs'!GQ7/'A2 Inputs'!GQ6-1)),2)</f>
        <v/>
      </c>
      <c r="J159">
        <f>ROUND(IF('A2 Inputs'!GQ7=0,0,100*('A2 Inputs'!GQ8/'A2 Inputs'!GQ7-1)),2)</f>
        <v/>
      </c>
      <c r="K159">
        <f>ROUND(IF('A2 Inputs'!GQ8=0,0,100*('A2 Inputs'!GQ9/'A2 Inputs'!GQ8-1)),2)</f>
        <v/>
      </c>
      <c r="L159" t="inlineStr">
        <is>
          <t>rm1_price_index</t>
        </is>
      </c>
    </row>
    <row r="160">
      <c r="A160" t="inlineStr">
        <is>
          <t>SIG-016</t>
        </is>
      </c>
      <c r="B160" t="inlineStr">
        <is>
          <t>Freight exposure (lanes disrupted)</t>
        </is>
      </c>
      <c r="C160" t="inlineStr">
        <is>
          <t>count</t>
        </is>
      </c>
      <c r="D160" t="inlineStr">
        <is>
          <t>Month end</t>
        </is>
      </c>
      <c r="E160" t="inlineStr">
        <is>
          <t>Supply lanes with a disruption flag</t>
        </is>
      </c>
      <c r="F160">
        <f>ROUND('A2 Inputs'!GR4,0)</f>
        <v/>
      </c>
      <c r="G160">
        <f>ROUND('A2 Inputs'!GR5,0)</f>
        <v/>
      </c>
      <c r="H160">
        <f>ROUND('A2 Inputs'!GR6,0)</f>
        <v/>
      </c>
      <c r="I160">
        <f>ROUND('A2 Inputs'!GR7,0)</f>
        <v/>
      </c>
      <c r="J160">
        <f>ROUND('A2 Inputs'!GR8,0)</f>
        <v/>
      </c>
      <c r="K160">
        <f>ROUND('A2 Inputs'!GR9,0)</f>
        <v/>
      </c>
      <c r="L160" t="inlineStr">
        <is>
          <t>freight_lanes_disrupted</t>
        </is>
      </c>
    </row>
    <row r="161">
      <c r="A161" t="inlineStr">
        <is>
          <t>SIG-017</t>
        </is>
      </c>
      <c r="B161" t="inlineStr">
        <is>
          <t>Fuel exposure (fuel cost per tonne, MoM)</t>
        </is>
      </c>
      <c r="C161" t="inlineStr">
        <is>
          <t>%</t>
        </is>
      </c>
      <c r="D161" t="inlineStr">
        <is>
          <t>Month</t>
        </is>
      </c>
      <c r="E161" t="inlineStr">
        <is>
          <t>(Fuel cost ÷ good output) ÷ last month's − 1, as %</t>
        </is>
      </c>
      <c r="F161">
        <f>ROUND(IF(OR('A2 Inputs'!M4=0,'A2 Inputs'!W4=0,'A2 Inputs'!M4=0),0,100*(('A2 Inputs'!W4/'A2 Inputs'!M4)/('A2 Inputs'!W4/'A2 Inputs'!M4)-1)),2)</f>
        <v/>
      </c>
      <c r="G161">
        <f>ROUND(IF(OR('A2 Inputs'!M4=0,'A2 Inputs'!W4=0,'A2 Inputs'!M5=0),0,100*(('A2 Inputs'!W5/'A2 Inputs'!M5)/('A2 Inputs'!W4/'A2 Inputs'!M4)-1)),2)</f>
        <v/>
      </c>
      <c r="H161">
        <f>ROUND(IF(OR('A2 Inputs'!M5=0,'A2 Inputs'!W5=0,'A2 Inputs'!M6=0),0,100*(('A2 Inputs'!W6/'A2 Inputs'!M6)/('A2 Inputs'!W5/'A2 Inputs'!M5)-1)),2)</f>
        <v/>
      </c>
      <c r="I161">
        <f>ROUND(IF(OR('A2 Inputs'!M6=0,'A2 Inputs'!W6=0,'A2 Inputs'!M7=0),0,100*(('A2 Inputs'!W7/'A2 Inputs'!M7)/('A2 Inputs'!W6/'A2 Inputs'!M6)-1)),2)</f>
        <v/>
      </c>
      <c r="J161">
        <f>ROUND(IF(OR('A2 Inputs'!M7=0,'A2 Inputs'!W7=0,'A2 Inputs'!M8=0),0,100*(('A2 Inputs'!W8/'A2 Inputs'!M8)/('A2 Inputs'!W7/'A2 Inputs'!M7)-1)),2)</f>
        <v/>
      </c>
      <c r="K161">
        <f>ROUND(IF(OR('A2 Inputs'!M8=0,'A2 Inputs'!W8=0,'A2 Inputs'!M9=0),0,100*(('A2 Inputs'!W9/'A2 Inputs'!M9)/('A2 Inputs'!W8/'A2 Inputs'!M8)-1)),2)</f>
        <v/>
      </c>
      <c r="L161" t="inlineStr">
        <is>
          <t>fuel_cost_k, good_output_t</t>
        </is>
      </c>
    </row>
    <row r="162">
      <c r="A162" t="inlineStr">
        <is>
          <t>SIG-018</t>
        </is>
      </c>
      <c r="B162" t="inlineStr">
        <is>
          <t>Power-cost exposure (power cost per tonne, MoM)</t>
        </is>
      </c>
      <c r="C162" t="inlineStr">
        <is>
          <t>%</t>
        </is>
      </c>
      <c r="D162" t="inlineStr">
        <is>
          <t>Month</t>
        </is>
      </c>
      <c r="E162" t="inlineStr">
        <is>
          <t>(Power cost ÷ good output) ÷ last month's − 1, as %</t>
        </is>
      </c>
      <c r="F162">
        <f>ROUND(IF(OR('A2 Inputs'!M4=0,'A2 Inputs'!AW4=0,'A2 Inputs'!M4=0),0,100*(('A2 Inputs'!AW4/'A2 Inputs'!M4)/('A2 Inputs'!AW4/'A2 Inputs'!M4)-1)),2)</f>
        <v/>
      </c>
      <c r="G162">
        <f>ROUND(IF(OR('A2 Inputs'!M4=0,'A2 Inputs'!AW4=0,'A2 Inputs'!M5=0),0,100*(('A2 Inputs'!AW5/'A2 Inputs'!M5)/('A2 Inputs'!AW4/'A2 Inputs'!M4)-1)),2)</f>
        <v/>
      </c>
      <c r="H162">
        <f>ROUND(IF(OR('A2 Inputs'!M5=0,'A2 Inputs'!AW5=0,'A2 Inputs'!M6=0),0,100*(('A2 Inputs'!AW6/'A2 Inputs'!M6)/('A2 Inputs'!AW5/'A2 Inputs'!M5)-1)),2)</f>
        <v/>
      </c>
      <c r="I162">
        <f>ROUND(IF(OR('A2 Inputs'!M6=0,'A2 Inputs'!AW6=0,'A2 Inputs'!M7=0),0,100*(('A2 Inputs'!AW7/'A2 Inputs'!M7)/('A2 Inputs'!AW6/'A2 Inputs'!M6)-1)),2)</f>
        <v/>
      </c>
      <c r="J162">
        <f>ROUND(IF(OR('A2 Inputs'!M7=0,'A2 Inputs'!AW7=0,'A2 Inputs'!M8=0),0,100*(('A2 Inputs'!AW8/'A2 Inputs'!M8)/('A2 Inputs'!AW7/'A2 Inputs'!M7)-1)),2)</f>
        <v/>
      </c>
      <c r="K162">
        <f>ROUND(IF(OR('A2 Inputs'!M8=0,'A2 Inputs'!AW8=0,'A2 Inputs'!M9=0),0,100*(('A2 Inputs'!AW9/'A2 Inputs'!M9)/('A2 Inputs'!AW8/'A2 Inputs'!M8)-1)),2)</f>
        <v/>
      </c>
      <c r="L162" t="inlineStr">
        <is>
          <t>good_output_t, power_cost_k</t>
        </is>
      </c>
    </row>
    <row r="163">
      <c r="A163" t="inlineStr">
        <is>
          <t>SIG-001</t>
        </is>
      </c>
      <c r="B163" t="inlineStr">
        <is>
          <t>Unplanned downtime (same measure as REL-003)</t>
        </is>
      </c>
      <c r="C163" t="inlineStr">
        <is>
          <t>h</t>
        </is>
      </c>
      <c r="D163" t="inlineStr">
        <is>
          <t>Month</t>
        </is>
      </c>
      <c r="E163" t="inlineStr">
        <is>
          <t>Alias of REL-003: same value</t>
        </is>
      </c>
      <c r="F163">
        <f>F10</f>
        <v/>
      </c>
      <c r="G163">
        <f>G10</f>
        <v/>
      </c>
      <c r="H163">
        <f>H10</f>
        <v/>
      </c>
      <c r="I163">
        <f>I10</f>
        <v/>
      </c>
      <c r="J163">
        <f>J10</f>
        <v/>
      </c>
      <c r="K163">
        <f>K10</f>
        <v/>
      </c>
      <c r="L163" t="inlineStr">
        <is>
          <t>unplanned_downtime_hours</t>
        </is>
      </c>
    </row>
    <row r="164">
      <c r="A164" t="inlineStr">
        <is>
          <t>SIG-002</t>
        </is>
      </c>
      <c r="B164" t="inlineStr">
        <is>
          <t>Yield (same measure as PLT-005)</t>
        </is>
      </c>
      <c r="C164" t="inlineStr">
        <is>
          <t>%</t>
        </is>
      </c>
      <c r="D164" t="inlineStr">
        <is>
          <t>Month</t>
        </is>
      </c>
      <c r="E164" t="inlineStr">
        <is>
          <t>Alias of PLT-005: same value</t>
        </is>
      </c>
      <c r="F164">
        <f>F7</f>
        <v/>
      </c>
      <c r="G164">
        <f>G7</f>
        <v/>
      </c>
      <c r="H164">
        <f>H7</f>
        <v/>
      </c>
      <c r="I164">
        <f>I7</f>
        <v/>
      </c>
      <c r="J164">
        <f>J7</f>
        <v/>
      </c>
      <c r="K164">
        <f>K7</f>
        <v/>
      </c>
      <c r="L164" t="inlineStr">
        <is>
          <t>good_output_t, feed_input_t</t>
        </is>
      </c>
    </row>
    <row r="165">
      <c r="A165" t="inlineStr">
        <is>
          <t>SIG-003</t>
        </is>
      </c>
      <c r="B165" t="inlineStr">
        <is>
          <t>Recovery percentage (same measure as PLT-004)</t>
        </is>
      </c>
      <c r="C165" t="inlineStr">
        <is>
          <t>%</t>
        </is>
      </c>
      <c r="D165" t="inlineStr">
        <is>
          <t>Month</t>
        </is>
      </c>
      <c r="E165" t="inlineStr">
        <is>
          <t>Alias of PLT-004: same value</t>
        </is>
      </c>
      <c r="F165">
        <f>F6</f>
        <v/>
      </c>
      <c r="G165">
        <f>G6</f>
        <v/>
      </c>
      <c r="H165">
        <f>H6</f>
        <v/>
      </c>
      <c r="I165">
        <f>I6</f>
        <v/>
      </c>
      <c r="J165">
        <f>J6</f>
        <v/>
      </c>
      <c r="K165">
        <f>K6</f>
        <v/>
      </c>
      <c r="L165" t="inlineStr">
        <is>
          <t>feed_contained_t, recovered_contained_t</t>
        </is>
      </c>
    </row>
    <row r="166">
      <c r="A166" t="inlineStr">
        <is>
          <t>SIG-015</t>
        </is>
      </c>
      <c r="B166" t="inlineStr">
        <is>
          <t>FX exposure, unhedged (same measure as TRS-001)</t>
        </is>
      </c>
      <c r="C166" t="inlineStr">
        <is>
          <t>₹ m</t>
        </is>
      </c>
      <c r="D166" t="inlineStr">
        <is>
          <t>Month end</t>
        </is>
      </c>
      <c r="E166" t="inlineStr">
        <is>
          <t>Alias of TRS-001: same value</t>
        </is>
      </c>
      <c r="F166">
        <f>F61</f>
        <v/>
      </c>
      <c r="G166">
        <f>G61</f>
        <v/>
      </c>
      <c r="H166">
        <f>H61</f>
        <v/>
      </c>
      <c r="I166">
        <f>I61</f>
        <v/>
      </c>
      <c r="J166">
        <f>J61</f>
        <v/>
      </c>
      <c r="K166">
        <f>K61</f>
        <v/>
      </c>
      <c r="L166" t="inlineStr">
        <is>
          <t>fx_exposure_k, fx_hedged_k</t>
        </is>
      </c>
    </row>
    <row r="167">
      <c r="A167" t="inlineStr">
        <is>
          <t>SIG-019</t>
        </is>
      </c>
      <c r="B167" t="inlineStr">
        <is>
          <t>Regulatory deadlines, next 30 days (same measure as REG-002)</t>
        </is>
      </c>
      <c r="C167" t="inlineStr">
        <is>
          <t>count</t>
        </is>
      </c>
      <c r="D167" t="inlineStr">
        <is>
          <t>Month end</t>
        </is>
      </c>
      <c r="E167" t="inlineStr">
        <is>
          <t>Alias of REG-002: same value</t>
        </is>
      </c>
      <c r="F167">
        <f>F92</f>
        <v/>
      </c>
      <c r="G167">
        <f>G92</f>
        <v/>
      </c>
      <c r="H167">
        <f>H92</f>
        <v/>
      </c>
      <c r="I167">
        <f>I92</f>
        <v/>
      </c>
      <c r="J167">
        <f>J92</f>
        <v/>
      </c>
      <c r="K167">
        <f>K92</f>
        <v/>
      </c>
      <c r="L167" t="inlineStr">
        <is>
          <t>reg_deadlines_30d</t>
        </is>
      </c>
    </row>
    <row r="168">
      <c r="A168" t="inlineStr">
        <is>
          <t>SIG-020</t>
        </is>
      </c>
      <c r="B168" t="inlineStr">
        <is>
          <t>Licence expirations, next 12 months (same measure as REG-003)</t>
        </is>
      </c>
      <c r="C168" t="inlineStr">
        <is>
          <t>count</t>
        </is>
      </c>
      <c r="D168" t="inlineStr">
        <is>
          <t>Month end</t>
        </is>
      </c>
      <c r="E168" t="inlineStr">
        <is>
          <t>Alias of REG-003: same value</t>
        </is>
      </c>
      <c r="F168">
        <f>F93</f>
        <v/>
      </c>
      <c r="G168">
        <f>G93</f>
        <v/>
      </c>
      <c r="H168">
        <f>H93</f>
        <v/>
      </c>
      <c r="I168">
        <f>I93</f>
        <v/>
      </c>
      <c r="J168">
        <f>J93</f>
        <v/>
      </c>
      <c r="K168">
        <f>K93</f>
        <v/>
      </c>
      <c r="L168" t="inlineStr">
        <is>
          <t>licences_expiring_12m</t>
        </is>
      </c>
    </row>
    <row r="169">
      <c r="A169" t="inlineStr">
        <is>
          <t>RSK-001</t>
        </is>
      </c>
      <c r="B169" t="inlineStr">
        <is>
          <t>Open critical alerts (same measure as EFF-002)</t>
        </is>
      </c>
      <c r="C169" t="inlineStr">
        <is>
          <t>count</t>
        </is>
      </c>
      <c r="D169" t="inlineStr">
        <is>
          <t>Month end</t>
        </is>
      </c>
      <c r="E169" t="inlineStr">
        <is>
          <t>Alias of EFF-002: same value</t>
        </is>
      </c>
      <c r="F169">
        <f>F133</f>
        <v/>
      </c>
      <c r="G169">
        <f>G133</f>
        <v/>
      </c>
      <c r="H169">
        <f>H133</f>
        <v/>
      </c>
      <c r="I169">
        <f>I133</f>
        <v/>
      </c>
      <c r="J169">
        <f>J133</f>
        <v/>
      </c>
      <c r="K169">
        <f>K133</f>
        <v/>
      </c>
      <c r="L169" t="inlineStr">
        <is>
          <t>critical_alerts_open</t>
        </is>
      </c>
    </row>
    <row r="170">
      <c r="A170" t="inlineStr">
        <is>
          <t>RSK-002</t>
        </is>
      </c>
      <c r="B170" t="inlineStr">
        <is>
          <t>Severity incidents (same measure as EHS-002)</t>
        </is>
      </c>
      <c r="C170" t="inlineStr">
        <is>
          <t>count</t>
        </is>
      </c>
      <c r="D170" t="inlineStr">
        <is>
          <t>Month</t>
        </is>
      </c>
      <c r="E170" t="inlineStr">
        <is>
          <t>Alias of EHS-002: same value</t>
        </is>
      </c>
      <c r="F170">
        <f>F25</f>
        <v/>
      </c>
      <c r="G170">
        <f>G25</f>
        <v/>
      </c>
      <c r="H170">
        <f>H25</f>
        <v/>
      </c>
      <c r="I170">
        <f>I25</f>
        <v/>
      </c>
      <c r="J170">
        <f>J25</f>
        <v/>
      </c>
      <c r="K170">
        <f>K25</f>
        <v/>
      </c>
      <c r="L170" t="inlineStr">
        <is>
          <t>severity_incidents</t>
        </is>
      </c>
    </row>
    <row r="171">
      <c r="A171" t="inlineStr">
        <is>
          <t>STR-001</t>
        </is>
      </c>
      <c r="B171" t="inlineStr">
        <is>
          <t>Capex physical progress, weighted (same measure as CPX-004)</t>
        </is>
      </c>
      <c r="C171" t="inlineStr">
        <is>
          <t>%</t>
        </is>
      </c>
      <c r="D171" t="inlineStr">
        <is>
          <t>To date</t>
        </is>
      </c>
      <c r="E171" t="inlineStr">
        <is>
          <t>Alias of CPX-004: same value</t>
        </is>
      </c>
      <c r="F171">
        <f>F69</f>
        <v/>
      </c>
      <c r="G171">
        <f>G69</f>
        <v/>
      </c>
      <c r="H171">
        <f>H69</f>
        <v/>
      </c>
      <c r="I171">
        <f>I69</f>
        <v/>
      </c>
      <c r="J171">
        <f>J69</f>
        <v/>
      </c>
      <c r="K171">
        <f>K69</f>
        <v/>
      </c>
      <c r="L171" t="inlineStr">
        <is>
          <t>capex_budget_k, capex_earned_value_k</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7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10" customWidth="1" min="3" max="3"/>
    <col width="12" customWidth="1" min="4" max="4"/>
    <col width="60" customWidth="1" min="5" max="5"/>
  </cols>
  <sheetData>
    <row r="1">
      <c r="A1" s="26" t="inlineStr">
        <is>
          <t>KPI ID</t>
        </is>
      </c>
      <c r="B1" s="26" t="inlineStr">
        <is>
          <t>Measure</t>
        </is>
      </c>
      <c r="C1" s="26" t="inlineStr">
        <is>
          <t>Unit</t>
        </is>
      </c>
      <c r="D1" s="26" t="inlineStr">
        <is>
          <t>Time basis</t>
        </is>
      </c>
      <c r="E1" s="26" t="inlineStr">
        <is>
          <t>How it is calculated</t>
        </is>
      </c>
      <c r="F1" s="26" t="inlineStr">
        <is>
          <t>2026-04 (P01)</t>
        </is>
      </c>
      <c r="G1" s="26" t="inlineStr">
        <is>
          <t>2026-05 (P02)</t>
        </is>
      </c>
      <c r="H1" s="26" t="inlineStr">
        <is>
          <t>2026-06 (P03)</t>
        </is>
      </c>
      <c r="I1" s="26" t="inlineStr">
        <is>
          <t>2026-07 (P04)</t>
        </is>
      </c>
      <c r="J1" s="26" t="inlineStr">
        <is>
          <t>2026-08 (P05)</t>
        </is>
      </c>
      <c r="K1" s="26" t="inlineStr">
        <is>
          <t>2026-09 (P06)</t>
        </is>
      </c>
      <c r="L1" s="26" t="inlineStr">
        <is>
          <t>Inputs used</t>
        </is>
      </c>
    </row>
    <row r="2">
      <c r="A2" t="inlineStr">
        <is>
          <t>OPS-001</t>
        </is>
      </c>
      <c r="B2" t="inlineStr">
        <is>
          <t>Production vs plan</t>
        </is>
      </c>
      <c r="C2" t="inlineStr">
        <is>
          <t>%</t>
        </is>
      </c>
      <c r="D2" t="inlineStr">
        <is>
          <t>Month</t>
        </is>
      </c>
      <c r="E2" t="inlineStr">
        <is>
          <t>Good output ÷ Planned production × 100</t>
        </is>
      </c>
      <c r="F2">
        <f>ROUND(IFERROR(100*'Plant01 Inputs'!M4/'Plant01 Inputs'!K4,0),2)</f>
        <v/>
      </c>
      <c r="G2">
        <f>ROUND(IFERROR(100*'Plant01 Inputs'!M5/'Plant01 Inputs'!K5,0),2)</f>
        <v/>
      </c>
      <c r="H2">
        <f>ROUND(IFERROR(100*'Plant01 Inputs'!M6/'Plant01 Inputs'!K6,0),2)</f>
        <v/>
      </c>
      <c r="I2">
        <f>ROUND(IFERROR(100*'Plant01 Inputs'!M7/'Plant01 Inputs'!K7,0),2)</f>
        <v/>
      </c>
      <c r="J2">
        <f>ROUND(IFERROR(100*'Plant01 Inputs'!M8/'Plant01 Inputs'!K8,0),2)</f>
        <v/>
      </c>
      <c r="K2">
        <f>ROUND(IFERROR(100*'Plant01 Inputs'!M9/'Plant01 Inputs'!K9,0),2)</f>
        <v/>
      </c>
      <c r="L2" t="inlineStr">
        <is>
          <t>planned_production_t, good_output_t</t>
        </is>
      </c>
    </row>
    <row r="3">
      <c r="A3" t="inlineStr">
        <is>
          <t>OPS-003</t>
        </is>
      </c>
      <c r="B3" t="inlineStr">
        <is>
          <t>Capacity utilization</t>
        </is>
      </c>
      <c r="C3" t="inlineStr">
        <is>
          <t>%</t>
        </is>
      </c>
      <c r="D3" t="inlineStr">
        <is>
          <t>Month</t>
        </is>
      </c>
      <c r="E3" t="inlineStr">
        <is>
          <t>Good output ÷ Installed capacity × 100</t>
        </is>
      </c>
      <c r="F3">
        <f>ROUND(IFERROR(100*'Plant01 Inputs'!M4/'Plant01 Inputs'!J4,0),2)</f>
        <v/>
      </c>
      <c r="G3">
        <f>ROUND(IFERROR(100*'Plant01 Inputs'!M5/'Plant01 Inputs'!J5,0),2)</f>
        <v/>
      </c>
      <c r="H3">
        <f>ROUND(IFERROR(100*'Plant01 Inputs'!M6/'Plant01 Inputs'!J6,0),2)</f>
        <v/>
      </c>
      <c r="I3">
        <f>ROUND(IFERROR(100*'Plant01 Inputs'!M7/'Plant01 Inputs'!J7,0),2)</f>
        <v/>
      </c>
      <c r="J3">
        <f>ROUND(IFERROR(100*'Plant01 Inputs'!M8/'Plant01 Inputs'!J8,0),2)</f>
        <v/>
      </c>
      <c r="K3">
        <f>ROUND(IFERROR(100*'Plant01 Inputs'!M9/'Plant01 Inputs'!J9,0),2)</f>
        <v/>
      </c>
      <c r="L3" t="inlineStr">
        <is>
          <t>installed_capacity_t, good_output_t</t>
        </is>
      </c>
    </row>
    <row r="4">
      <c r="A4" t="inlineStr">
        <is>
          <t>PLT-001</t>
        </is>
      </c>
      <c r="B4" t="inlineStr">
        <is>
          <t>Asset utilization</t>
        </is>
      </c>
      <c r="C4" t="inlineStr">
        <is>
          <t>%</t>
        </is>
      </c>
      <c r="D4" t="inlineStr">
        <is>
          <t>Month</t>
        </is>
      </c>
      <c r="E4" t="inlineStr">
        <is>
          <t>Run hours ÷ Calendar hours × 100</t>
        </is>
      </c>
      <c r="F4">
        <f>ROUND(IFERROR(100*'Plant01 Inputs'!G4/'Plant01 Inputs'!E4,0),2)</f>
        <v/>
      </c>
      <c r="G4">
        <f>ROUND(IFERROR(100*'Plant01 Inputs'!G5/'Plant01 Inputs'!E5,0),2)</f>
        <v/>
      </c>
      <c r="H4">
        <f>ROUND(IFERROR(100*'Plant01 Inputs'!G6/'Plant01 Inputs'!E6,0),2)</f>
        <v/>
      </c>
      <c r="I4">
        <f>ROUND(IFERROR(100*'Plant01 Inputs'!G7/'Plant01 Inputs'!E7,0),2)</f>
        <v/>
      </c>
      <c r="J4">
        <f>ROUND(IFERROR(100*'Plant01 Inputs'!G8/'Plant01 Inputs'!E8,0),2)</f>
        <v/>
      </c>
      <c r="K4">
        <f>ROUND(IFERROR(100*'Plant01 Inputs'!G9/'Plant01 Inputs'!E9,0),2)</f>
        <v/>
      </c>
      <c r="L4" t="inlineStr">
        <is>
          <t>calendar_hours, run_hours</t>
        </is>
      </c>
    </row>
    <row r="5">
      <c r="A5" t="inlineStr">
        <is>
          <t>PLT-002</t>
        </is>
      </c>
      <c r="B5" t="inlineStr">
        <is>
          <t>OEE</t>
        </is>
      </c>
      <c r="C5" t="inlineStr">
        <is>
          <t>%</t>
        </is>
      </c>
      <c r="D5" t="inlineStr">
        <is>
          <t>Month</t>
        </is>
      </c>
      <c r="E5" t="inlineStr">
        <is>
          <t>Availability × Performance × Quality = Good output ÷ Ideal output × 100</t>
        </is>
      </c>
      <c r="F5">
        <f>ROUND(IFERROR(100*'Plant01 Inputs'!M4/'Plant01 Inputs'!I4,0),2)</f>
        <v/>
      </c>
      <c r="G5">
        <f>ROUND(IFERROR(100*'Plant01 Inputs'!M5/'Plant01 Inputs'!I5,0),2)</f>
        <v/>
      </c>
      <c r="H5">
        <f>ROUND(IFERROR(100*'Plant01 Inputs'!M6/'Plant01 Inputs'!I6,0),2)</f>
        <v/>
      </c>
      <c r="I5">
        <f>ROUND(IFERROR(100*'Plant01 Inputs'!M7/'Plant01 Inputs'!I7,0),2)</f>
        <v/>
      </c>
      <c r="J5">
        <f>ROUND(IFERROR(100*'Plant01 Inputs'!M8/'Plant01 Inputs'!I8,0),2)</f>
        <v/>
      </c>
      <c r="K5">
        <f>ROUND(IFERROR(100*'Plant01 Inputs'!M9/'Plant01 Inputs'!I9,0),2)</f>
        <v/>
      </c>
      <c r="L5" t="inlineStr">
        <is>
          <t>ideal_output_t, good_output_t</t>
        </is>
      </c>
    </row>
    <row r="6">
      <c r="A6" t="inlineStr">
        <is>
          <t>PLT-004</t>
        </is>
      </c>
      <c r="B6" t="inlineStr">
        <is>
          <t>Recovery percentage</t>
        </is>
      </c>
      <c r="C6" t="inlineStr">
        <is>
          <t>%</t>
        </is>
      </c>
      <c r="D6" t="inlineStr">
        <is>
          <t>Month</t>
        </is>
      </c>
      <c r="E6" t="inlineStr">
        <is>
          <t>Valuable content recovered ÷ Valuable content in feed × 100</t>
        </is>
      </c>
      <c r="F6">
        <f>ROUND(IFERROR(100*'Plant01 Inputs'!P4/'Plant01 Inputs'!O4,0),2)</f>
        <v/>
      </c>
      <c r="G6">
        <f>ROUND(IFERROR(100*'Plant01 Inputs'!P5/'Plant01 Inputs'!O5,0),2)</f>
        <v/>
      </c>
      <c r="H6">
        <f>ROUND(IFERROR(100*'Plant01 Inputs'!P6/'Plant01 Inputs'!O6,0),2)</f>
        <v/>
      </c>
      <c r="I6">
        <f>ROUND(IFERROR(100*'Plant01 Inputs'!P7/'Plant01 Inputs'!O7,0),2)</f>
        <v/>
      </c>
      <c r="J6">
        <f>ROUND(IFERROR(100*'Plant01 Inputs'!P8/'Plant01 Inputs'!O8,0),2)</f>
        <v/>
      </c>
      <c r="K6">
        <f>ROUND(IFERROR(100*'Plant01 Inputs'!P9/'Plant01 Inputs'!O9,0),2)</f>
        <v/>
      </c>
      <c r="L6" t="inlineStr">
        <is>
          <t>feed_contained_t, recovered_contained_t</t>
        </is>
      </c>
    </row>
    <row r="7">
      <c r="A7" t="inlineStr">
        <is>
          <t>PLT-005</t>
        </is>
      </c>
      <c r="B7" t="inlineStr">
        <is>
          <t>Yield</t>
        </is>
      </c>
      <c r="C7" t="inlineStr">
        <is>
          <t>%</t>
        </is>
      </c>
      <c r="D7" t="inlineStr">
        <is>
          <t>Month</t>
        </is>
      </c>
      <c r="E7" t="inlineStr">
        <is>
          <t>Good output ÷ Feed input × 100</t>
        </is>
      </c>
      <c r="F7">
        <f>ROUND(IFERROR(100*'Plant01 Inputs'!M4/'Plant01 Inputs'!N4,0),2)</f>
        <v/>
      </c>
      <c r="G7">
        <f>ROUND(IFERROR(100*'Plant01 Inputs'!M5/'Plant01 Inputs'!N5,0),2)</f>
        <v/>
      </c>
      <c r="H7">
        <f>ROUND(IFERROR(100*'Plant01 Inputs'!M6/'Plant01 Inputs'!N6,0),2)</f>
        <v/>
      </c>
      <c r="I7">
        <f>ROUND(IFERROR(100*'Plant01 Inputs'!M7/'Plant01 Inputs'!N7,0),2)</f>
        <v/>
      </c>
      <c r="J7">
        <f>ROUND(IFERROR(100*'Plant01 Inputs'!M8/'Plant01 Inputs'!N8,0),2)</f>
        <v/>
      </c>
      <c r="K7">
        <f>ROUND(IFERROR(100*'Plant01 Inputs'!M9/'Plant01 Inputs'!N9,0),2)</f>
        <v/>
      </c>
      <c r="L7" t="inlineStr">
        <is>
          <t>good_output_t, feed_input_t</t>
        </is>
      </c>
    </row>
    <row r="8">
      <c r="A8" t="inlineStr">
        <is>
          <t>REL-001</t>
        </is>
      </c>
      <c r="B8" t="inlineStr">
        <is>
          <t>MTBF</t>
        </is>
      </c>
      <c r="C8" t="inlineStr">
        <is>
          <t>h</t>
        </is>
      </c>
      <c r="D8" t="inlineStr">
        <is>
          <t>Month</t>
        </is>
      </c>
      <c r="E8" t="inlineStr">
        <is>
          <t>Run hours ÷ Breakdowns</t>
        </is>
      </c>
      <c r="F8">
        <f>ROUND(IFERROR('Plant01 Inputs'!G4/'Plant01 Inputs'!R4,0),2)</f>
        <v/>
      </c>
      <c r="G8">
        <f>ROUND(IFERROR('Plant01 Inputs'!G5/'Plant01 Inputs'!R5,0),2)</f>
        <v/>
      </c>
      <c r="H8">
        <f>ROUND(IFERROR('Plant01 Inputs'!G6/'Plant01 Inputs'!R6,0),2)</f>
        <v/>
      </c>
      <c r="I8">
        <f>ROUND(IFERROR('Plant01 Inputs'!G7/'Plant01 Inputs'!R7,0),2)</f>
        <v/>
      </c>
      <c r="J8">
        <f>ROUND(IFERROR('Plant01 Inputs'!G8/'Plant01 Inputs'!R8,0),2)</f>
        <v/>
      </c>
      <c r="K8">
        <f>ROUND(IFERROR('Plant01 Inputs'!G9/'Plant01 Inputs'!R9,0),2)</f>
        <v/>
      </c>
      <c r="L8" t="inlineStr">
        <is>
          <t>run_hours, failures</t>
        </is>
      </c>
    </row>
    <row r="9">
      <c r="A9" t="inlineStr">
        <is>
          <t>REL-002</t>
        </is>
      </c>
      <c r="B9" t="inlineStr">
        <is>
          <t>Mean Time to Repair</t>
        </is>
      </c>
      <c r="C9" t="inlineStr">
        <is>
          <t>h</t>
        </is>
      </c>
      <c r="D9" t="inlineStr">
        <is>
          <t>Month</t>
        </is>
      </c>
      <c r="E9" t="inlineStr">
        <is>
          <t>Repair hours ÷ Breakdowns</t>
        </is>
      </c>
      <c r="F9">
        <f>ROUND(IFERROR('Plant01 Inputs'!S4/'Plant01 Inputs'!R4,0),2)</f>
        <v/>
      </c>
      <c r="G9">
        <f>ROUND(IFERROR('Plant01 Inputs'!S5/'Plant01 Inputs'!R5,0),2)</f>
        <v/>
      </c>
      <c r="H9">
        <f>ROUND(IFERROR('Plant01 Inputs'!S6/'Plant01 Inputs'!R6,0),2)</f>
        <v/>
      </c>
      <c r="I9">
        <f>ROUND(IFERROR('Plant01 Inputs'!S7/'Plant01 Inputs'!R7,0),2)</f>
        <v/>
      </c>
      <c r="J9">
        <f>ROUND(IFERROR('Plant01 Inputs'!S8/'Plant01 Inputs'!R8,0),2)</f>
        <v/>
      </c>
      <c r="K9">
        <f>ROUND(IFERROR('Plant01 Inputs'!S9/'Plant01 Inputs'!R9,0),2)</f>
        <v/>
      </c>
      <c r="L9" t="inlineStr">
        <is>
          <t>failures, repair_hours</t>
        </is>
      </c>
    </row>
    <row r="10">
      <c r="A10" t="inlineStr">
        <is>
          <t>REL-003</t>
        </is>
      </c>
      <c r="B10" t="inlineStr">
        <is>
          <t>Unplanned downtime</t>
        </is>
      </c>
      <c r="C10" t="inlineStr">
        <is>
          <t>h</t>
        </is>
      </c>
      <c r="D10" t="inlineStr">
        <is>
          <t>Month</t>
        </is>
      </c>
      <c r="E10" t="inlineStr">
        <is>
          <t>Unplanned downtime</t>
        </is>
      </c>
      <c r="F10">
        <f>ROUND('Plant01 Inputs'!H4,2)</f>
        <v/>
      </c>
      <c r="G10">
        <f>ROUND('Plant01 Inputs'!H5,2)</f>
        <v/>
      </c>
      <c r="H10">
        <f>ROUND('Plant01 Inputs'!H6,2)</f>
        <v/>
      </c>
      <c r="I10">
        <f>ROUND('Plant01 Inputs'!H7,2)</f>
        <v/>
      </c>
      <c r="J10">
        <f>ROUND('Plant01 Inputs'!H8,2)</f>
        <v/>
      </c>
      <c r="K10">
        <f>ROUND('Plant01 Inputs'!H9,2)</f>
        <v/>
      </c>
      <c r="L10" t="inlineStr">
        <is>
          <t>unplanned_downtime_hours</t>
        </is>
      </c>
    </row>
    <row r="11">
      <c r="A11" t="inlineStr">
        <is>
          <t>REL-004</t>
        </is>
      </c>
      <c r="B11" t="inlineStr">
        <is>
          <t>Production loss from downtime</t>
        </is>
      </c>
      <c r="C11" t="inlineStr">
        <is>
          <t>t</t>
        </is>
      </c>
      <c r="D11" t="inlineStr">
        <is>
          <t>Month</t>
        </is>
      </c>
      <c r="E11" t="inlineStr">
        <is>
          <t>Production lost to downtime</t>
        </is>
      </c>
      <c r="F11">
        <f>ROUND('Plant01 Inputs'!Q4,2)</f>
        <v/>
      </c>
      <c r="G11">
        <f>ROUND('Plant01 Inputs'!Q5,2)</f>
        <v/>
      </c>
      <c r="H11">
        <f>ROUND('Plant01 Inputs'!Q6,2)</f>
        <v/>
      </c>
      <c r="I11">
        <f>ROUND('Plant01 Inputs'!Q7,2)</f>
        <v/>
      </c>
      <c r="J11">
        <f>ROUND('Plant01 Inputs'!Q8,2)</f>
        <v/>
      </c>
      <c r="K11">
        <f>ROUND('Plant01 Inputs'!Q9,2)</f>
        <v/>
      </c>
      <c r="L11" t="inlineStr">
        <is>
          <t>prod_loss_downtime_t</t>
        </is>
      </c>
    </row>
    <row r="12">
      <c r="A12" t="inlineStr">
        <is>
          <t>REL-005</t>
        </is>
      </c>
      <c r="B12" t="inlineStr">
        <is>
          <t>Preventive-maintenance compliance</t>
        </is>
      </c>
      <c r="C12" t="inlineStr">
        <is>
          <t>%</t>
        </is>
      </c>
      <c r="D12" t="inlineStr">
        <is>
          <t>Month</t>
        </is>
      </c>
      <c r="E12" t="inlineStr">
        <is>
          <t>Preventive maintenance completed ÷ Preventive maintenance scheduled × 100</t>
        </is>
      </c>
      <c r="F12">
        <f>ROUND(IFERROR(100*'Plant01 Inputs'!U4/'Plant01 Inputs'!T4,0),2)</f>
        <v/>
      </c>
      <c r="G12">
        <f>ROUND(IFERROR(100*'Plant01 Inputs'!U5/'Plant01 Inputs'!T5,0),2)</f>
        <v/>
      </c>
      <c r="H12">
        <f>ROUND(IFERROR(100*'Plant01 Inputs'!U6/'Plant01 Inputs'!T6,0),2)</f>
        <v/>
      </c>
      <c r="I12">
        <f>ROUND(IFERROR(100*'Plant01 Inputs'!U7/'Plant01 Inputs'!T7,0),2)</f>
        <v/>
      </c>
      <c r="J12">
        <f>ROUND(IFERROR(100*'Plant01 Inputs'!U8/'Plant01 Inputs'!T8,0),2)</f>
        <v/>
      </c>
      <c r="K12">
        <f>ROUND(IFERROR(100*'Plant01 Inputs'!U9/'Plant01 Inputs'!T9,0),2)</f>
        <v/>
      </c>
      <c r="L12" t="inlineStr">
        <is>
          <t>pm_scheduled, pm_completed</t>
        </is>
      </c>
    </row>
    <row r="13">
      <c r="A13" t="inlineStr">
        <is>
          <t>CST-001</t>
        </is>
      </c>
      <c r="B13" t="inlineStr">
        <is>
          <t>Cost per tonne</t>
        </is>
      </c>
      <c r="C13" t="inlineStr">
        <is>
          <t>₹/t</t>
        </is>
      </c>
      <c r="D13" t="inlineStr">
        <is>
          <t>Month</t>
        </is>
      </c>
      <c r="E13" t="inlineStr">
        <is>
          <t>(Variable cost + Fixed cost) × 1000 ÷ Good output</t>
        </is>
      </c>
      <c r="F13">
        <f>ROUND(IFERROR(1000*('Plant01 Inputs'!V4+'Plant01 Inputs'!X4)/'Plant01 Inputs'!M4,0),2)</f>
        <v/>
      </c>
      <c r="G13">
        <f>ROUND(IFERROR(1000*('Plant01 Inputs'!V5+'Plant01 Inputs'!X5)/'Plant01 Inputs'!M5,0),2)</f>
        <v/>
      </c>
      <c r="H13">
        <f>ROUND(IFERROR(1000*('Plant01 Inputs'!V6+'Plant01 Inputs'!X6)/'Plant01 Inputs'!M6,0),2)</f>
        <v/>
      </c>
      <c r="I13">
        <f>ROUND(IFERROR(1000*('Plant01 Inputs'!V7+'Plant01 Inputs'!X7)/'Plant01 Inputs'!M7,0),2)</f>
        <v/>
      </c>
      <c r="J13">
        <f>ROUND(IFERROR(1000*('Plant01 Inputs'!V8+'Plant01 Inputs'!X8)/'Plant01 Inputs'!M8,0),2)</f>
        <v/>
      </c>
      <c r="K13">
        <f>ROUND(IFERROR(1000*('Plant01 Inputs'!V9+'Plant01 Inputs'!X9)/'Plant01 Inputs'!M9,0),2)</f>
        <v/>
      </c>
      <c r="L13" t="inlineStr">
        <is>
          <t>good_output_t, variable_cost_k, fixed_cost_k</t>
        </is>
      </c>
    </row>
    <row r="14">
      <c r="A14" t="inlineStr">
        <is>
          <t>CST-002</t>
        </is>
      </c>
      <c r="B14" t="inlineStr">
        <is>
          <t>Variable cost</t>
        </is>
      </c>
      <c r="C14" t="inlineStr">
        <is>
          <t>₹ thousand</t>
        </is>
      </c>
      <c r="D14" t="inlineStr">
        <is>
          <t>Month</t>
        </is>
      </c>
      <c r="E14" t="inlineStr">
        <is>
          <t>Variable cost</t>
        </is>
      </c>
      <c r="F14">
        <f>ROUND('Plant01 Inputs'!V4,2)</f>
        <v/>
      </c>
      <c r="G14">
        <f>ROUND('Plant01 Inputs'!V5,2)</f>
        <v/>
      </c>
      <c r="H14">
        <f>ROUND('Plant01 Inputs'!V6,2)</f>
        <v/>
      </c>
      <c r="I14">
        <f>ROUND('Plant01 Inputs'!V7,2)</f>
        <v/>
      </c>
      <c r="J14">
        <f>ROUND('Plant01 Inputs'!V8,2)</f>
        <v/>
      </c>
      <c r="K14">
        <f>ROUND('Plant01 Inputs'!V9,2)</f>
        <v/>
      </c>
      <c r="L14" t="inlineStr">
        <is>
          <t>variable_cost_k</t>
        </is>
      </c>
    </row>
    <row r="15">
      <c r="A15" t="inlineStr">
        <is>
          <t>CST-003</t>
        </is>
      </c>
      <c r="B15" t="inlineStr">
        <is>
          <t>Fuel cost</t>
        </is>
      </c>
      <c r="C15" t="inlineStr">
        <is>
          <t>₹ thousand</t>
        </is>
      </c>
      <c r="D15" t="inlineStr">
        <is>
          <t>Month</t>
        </is>
      </c>
      <c r="E15" t="inlineStr">
        <is>
          <t>Fuel cost</t>
        </is>
      </c>
      <c r="F15">
        <f>ROUND('Plant01 Inputs'!W4,2)</f>
        <v/>
      </c>
      <c r="G15">
        <f>ROUND('Plant01 Inputs'!W5,2)</f>
        <v/>
      </c>
      <c r="H15">
        <f>ROUND('Plant01 Inputs'!W6,2)</f>
        <v/>
      </c>
      <c r="I15">
        <f>ROUND('Plant01 Inputs'!W7,2)</f>
        <v/>
      </c>
      <c r="J15">
        <f>ROUND('Plant01 Inputs'!W8,2)</f>
        <v/>
      </c>
      <c r="K15">
        <f>ROUND('Plant01 Inputs'!W9,2)</f>
        <v/>
      </c>
      <c r="L15" t="inlineStr">
        <is>
          <t>fuel_cost_k</t>
        </is>
      </c>
    </row>
    <row r="16">
      <c r="A16" t="inlineStr">
        <is>
          <t>SUS-001</t>
        </is>
      </c>
      <c r="B16" t="inlineStr">
        <is>
          <t>Water usage</t>
        </is>
      </c>
      <c r="C16" t="inlineStr">
        <is>
          <t>m3</t>
        </is>
      </c>
      <c r="D16" t="inlineStr">
        <is>
          <t>Month</t>
        </is>
      </c>
      <c r="E16" t="inlineStr">
        <is>
          <t>Water used</t>
        </is>
      </c>
      <c r="F16">
        <f>ROUND('Plant01 Inputs'!Y4,2)</f>
        <v/>
      </c>
      <c r="G16">
        <f>ROUND('Plant01 Inputs'!Y5,2)</f>
        <v/>
      </c>
      <c r="H16">
        <f>ROUND('Plant01 Inputs'!Y6,2)</f>
        <v/>
      </c>
      <c r="I16">
        <f>ROUND('Plant01 Inputs'!Y7,2)</f>
        <v/>
      </c>
      <c r="J16">
        <f>ROUND('Plant01 Inputs'!Y8,2)</f>
        <v/>
      </c>
      <c r="K16">
        <f>ROUND('Plant01 Inputs'!Y9,2)</f>
        <v/>
      </c>
      <c r="L16" t="inlineStr">
        <is>
          <t>water_m3</t>
        </is>
      </c>
    </row>
    <row r="17">
      <c r="A17" t="inlineStr">
        <is>
          <t>SUS-002</t>
        </is>
      </c>
      <c r="B17" t="inlineStr">
        <is>
          <t>Emissions</t>
        </is>
      </c>
      <c r="C17" t="inlineStr">
        <is>
          <t>tCO2e</t>
        </is>
      </c>
      <c r="D17" t="inlineStr">
        <is>
          <t>Month</t>
        </is>
      </c>
      <c r="E17" t="inlineStr">
        <is>
          <t>Emissions</t>
        </is>
      </c>
      <c r="F17">
        <f>ROUND('Plant01 Inputs'!Z4,2)</f>
        <v/>
      </c>
      <c r="G17">
        <f>ROUND('Plant01 Inputs'!Z5,2)</f>
        <v/>
      </c>
      <c r="H17">
        <f>ROUND('Plant01 Inputs'!Z6,2)</f>
        <v/>
      </c>
      <c r="I17">
        <f>ROUND('Plant01 Inputs'!Z7,2)</f>
        <v/>
      </c>
      <c r="J17">
        <f>ROUND('Plant01 Inputs'!Z8,2)</f>
        <v/>
      </c>
      <c r="K17">
        <f>ROUND('Plant01 Inputs'!Z9,2)</f>
        <v/>
      </c>
      <c r="L17" t="inlineStr">
        <is>
          <t>emissions_tco2e</t>
        </is>
      </c>
    </row>
    <row r="18">
      <c r="A18" t="inlineStr">
        <is>
          <t>SUS-003</t>
        </is>
      </c>
      <c r="B18" t="inlineStr">
        <is>
          <t>Energy intensity</t>
        </is>
      </c>
      <c r="C18" t="inlineStr">
        <is>
          <t>GJ/t</t>
        </is>
      </c>
      <c r="D18" t="inlineStr">
        <is>
          <t>Month</t>
        </is>
      </c>
      <c r="E18" t="inlineStr">
        <is>
          <t>Energy used ÷ Good output</t>
        </is>
      </c>
      <c r="F18">
        <f>ROUND(IFERROR('Plant01 Inputs'!AA4/'Plant01 Inputs'!M4,0),2)</f>
        <v/>
      </c>
      <c r="G18">
        <f>ROUND(IFERROR('Plant01 Inputs'!AA5/'Plant01 Inputs'!M5,0),2)</f>
        <v/>
      </c>
      <c r="H18">
        <f>ROUND(IFERROR('Plant01 Inputs'!AA6/'Plant01 Inputs'!M6,0),2)</f>
        <v/>
      </c>
      <c r="I18">
        <f>ROUND(IFERROR('Plant01 Inputs'!AA7/'Plant01 Inputs'!M7,0),2)</f>
        <v/>
      </c>
      <c r="J18">
        <f>ROUND(IFERROR('Plant01 Inputs'!AA8/'Plant01 Inputs'!M8,0),2)</f>
        <v/>
      </c>
      <c r="K18">
        <f>ROUND(IFERROR('Plant01 Inputs'!AA9/'Plant01 Inputs'!M9,0),2)</f>
        <v/>
      </c>
      <c r="L18" t="inlineStr">
        <is>
          <t>good_output_t, energy_gj</t>
        </is>
      </c>
    </row>
    <row r="19">
      <c r="A19" t="inlineStr">
        <is>
          <t>SIG-007</t>
        </is>
      </c>
      <c r="B19" t="inlineStr">
        <is>
          <t>Production at risk</t>
        </is>
      </c>
      <c r="C19" t="inlineStr">
        <is>
          <t>t</t>
        </is>
      </c>
      <c r="D19" t="inlineStr">
        <is>
          <t>Month</t>
        </is>
      </c>
      <c r="E19" t="inlineStr">
        <is>
          <t>Production at risk</t>
        </is>
      </c>
      <c r="F19">
        <f>ROUND('Plant01 Inputs'!AB4,2)</f>
        <v/>
      </c>
      <c r="G19">
        <f>ROUND('Plant01 Inputs'!AB5,2)</f>
        <v/>
      </c>
      <c r="H19">
        <f>ROUND('Plant01 Inputs'!AB6,2)</f>
        <v/>
      </c>
      <c r="I19">
        <f>ROUND('Plant01 Inputs'!AB7,2)</f>
        <v/>
      </c>
      <c r="J19">
        <f>ROUND('Plant01 Inputs'!AB8,2)</f>
        <v/>
      </c>
      <c r="K19">
        <f>ROUND('Plant01 Inputs'!AB9,2)</f>
        <v/>
      </c>
      <c r="L19" t="inlineStr">
        <is>
          <t>production_at_risk_t</t>
        </is>
      </c>
    </row>
    <row r="20">
      <c r="A20" t="inlineStr">
        <is>
          <t>SIG-008</t>
        </is>
      </c>
      <c r="B20" t="inlineStr">
        <is>
          <t>Critical plant-state alerts</t>
        </is>
      </c>
      <c r="C20" t="inlineStr">
        <is>
          <t>count</t>
        </is>
      </c>
      <c r="D20" t="inlineStr">
        <is>
          <t>Month</t>
        </is>
      </c>
      <c r="E20" t="inlineStr">
        <is>
          <t>Critical plant alerts</t>
        </is>
      </c>
      <c r="F20">
        <f>ROUND('Plant01 Inputs'!AC4,2)</f>
        <v/>
      </c>
      <c r="G20">
        <f>ROUND('Plant01 Inputs'!AC5,2)</f>
        <v/>
      </c>
      <c r="H20">
        <f>ROUND('Plant01 Inputs'!AC6,2)</f>
        <v/>
      </c>
      <c r="I20">
        <f>ROUND('Plant01 Inputs'!AC7,2)</f>
        <v/>
      </c>
      <c r="J20">
        <f>ROUND('Plant01 Inputs'!AC8,2)</f>
        <v/>
      </c>
      <c r="K20">
        <f>ROUND('Plant01 Inputs'!AC9,2)</f>
        <v/>
      </c>
      <c r="L20" t="inlineStr">
        <is>
          <t>critical_plant_alerts</t>
        </is>
      </c>
    </row>
    <row r="21">
      <c r="A21" t="inlineStr">
        <is>
          <t>SIG-009</t>
        </is>
      </c>
      <c r="B21" t="inlineStr">
        <is>
          <t>Critical-material shortage risk</t>
        </is>
      </c>
      <c r="C21" t="inlineStr">
        <is>
          <t>count</t>
        </is>
      </c>
      <c r="D21" t="inlineStr">
        <is>
          <t>Month</t>
        </is>
      </c>
      <c r="E21" t="inlineStr">
        <is>
          <t>Critical materials at risk</t>
        </is>
      </c>
      <c r="F21">
        <f>ROUND('Plant01 Inputs'!AO4,2)</f>
        <v/>
      </c>
      <c r="G21">
        <f>ROUND('Plant01 Inputs'!AO5,2)</f>
        <v/>
      </c>
      <c r="H21">
        <f>ROUND('Plant01 Inputs'!AO6,2)</f>
        <v/>
      </c>
      <c r="I21">
        <f>ROUND('Plant01 Inputs'!AO7,2)</f>
        <v/>
      </c>
      <c r="J21">
        <f>ROUND('Plant01 Inputs'!AO8,2)</f>
        <v/>
      </c>
      <c r="K21">
        <f>ROUND('Plant01 Inputs'!AO9,2)</f>
        <v/>
      </c>
      <c r="L21" t="inlineStr">
        <is>
          <t>critical_material_risks</t>
        </is>
      </c>
    </row>
    <row r="22">
      <c r="A22" t="inlineStr">
        <is>
          <t>SIG-012</t>
        </is>
      </c>
      <c r="B22" t="inlineStr">
        <is>
          <t>Dispatch delays</t>
        </is>
      </c>
      <c r="C22" t="inlineStr">
        <is>
          <t>%</t>
        </is>
      </c>
      <c r="D22" t="inlineStr">
        <is>
          <t>Month</t>
        </is>
      </c>
      <c r="E22" t="inlineStr">
        <is>
          <t>Delayed dispatches ÷ Dispatches × 100</t>
        </is>
      </c>
      <c r="F22">
        <f>ROUND(IFERROR(100*'Plant01 Inputs'!AQ4/'Plant01 Inputs'!AP4,0),2)</f>
        <v/>
      </c>
      <c r="G22">
        <f>ROUND(IFERROR(100*'Plant01 Inputs'!AQ5/'Plant01 Inputs'!AP5,0),2)</f>
        <v/>
      </c>
      <c r="H22">
        <f>ROUND(IFERROR(100*'Plant01 Inputs'!AQ6/'Plant01 Inputs'!AP6,0),2)</f>
        <v/>
      </c>
      <c r="I22">
        <f>ROUND(IFERROR(100*'Plant01 Inputs'!AQ7/'Plant01 Inputs'!AP7,0),2)</f>
        <v/>
      </c>
      <c r="J22">
        <f>ROUND(IFERROR(100*'Plant01 Inputs'!AQ8/'Plant01 Inputs'!AP8,0),2)</f>
        <v/>
      </c>
      <c r="K22">
        <f>ROUND(IFERROR(100*'Plant01 Inputs'!AQ9/'Plant01 Inputs'!AP9,0),2)</f>
        <v/>
      </c>
      <c r="L22" t="inlineStr">
        <is>
          <t>dispatches_total, dispatches_delayed</t>
        </is>
      </c>
    </row>
    <row r="23">
      <c r="A23" t="inlineStr">
        <is>
          <t>SIG-021</t>
        </is>
      </c>
      <c r="B23" t="inlineStr">
        <is>
          <t>Environmental violations</t>
        </is>
      </c>
      <c r="C23" t="inlineStr">
        <is>
          <t>count</t>
        </is>
      </c>
      <c r="D23" t="inlineStr">
        <is>
          <t>Month</t>
        </is>
      </c>
      <c r="E23" t="inlineStr">
        <is>
          <t>Environmental violations</t>
        </is>
      </c>
      <c r="F23">
        <f>ROUND('Plant01 Inputs'!AJ4,2)</f>
        <v/>
      </c>
      <c r="G23">
        <f>ROUND('Plant01 Inputs'!AJ5,2)</f>
        <v/>
      </c>
      <c r="H23">
        <f>ROUND('Plant01 Inputs'!AJ6,2)</f>
        <v/>
      </c>
      <c r="I23">
        <f>ROUND('Plant01 Inputs'!AJ7,2)</f>
        <v/>
      </c>
      <c r="J23">
        <f>ROUND('Plant01 Inputs'!AJ8,2)</f>
        <v/>
      </c>
      <c r="K23">
        <f>ROUND('Plant01 Inputs'!AJ9,2)</f>
        <v/>
      </c>
      <c r="L23" t="inlineStr">
        <is>
          <t>env_violations</t>
        </is>
      </c>
    </row>
    <row r="24">
      <c r="A24" t="inlineStr">
        <is>
          <t>EHS-001</t>
        </is>
      </c>
      <c r="B24" t="inlineStr">
        <is>
          <t>TRIR</t>
        </is>
      </c>
      <c r="C24" t="inlineStr">
        <is>
          <t>per 200,000 h</t>
        </is>
      </c>
      <c r="D24" t="inlineStr">
        <is>
          <t>Month</t>
        </is>
      </c>
      <c r="E24" t="inlineStr">
        <is>
          <t>Recordable injuries × 200,000 ÷ Hours worked</t>
        </is>
      </c>
      <c r="F24">
        <f>ROUND(IFERROR(200000*'Plant01 Inputs'!AE4/'Plant01 Inputs'!AD4,0),2)</f>
        <v/>
      </c>
      <c r="G24">
        <f>ROUND(IFERROR(200000*'Plant01 Inputs'!AE5/'Plant01 Inputs'!AD5,0),2)</f>
        <v/>
      </c>
      <c r="H24">
        <f>ROUND(IFERROR(200000*'Plant01 Inputs'!AE6/'Plant01 Inputs'!AD6,0),2)</f>
        <v/>
      </c>
      <c r="I24">
        <f>ROUND(IFERROR(200000*'Plant01 Inputs'!AE7/'Plant01 Inputs'!AD7,0),2)</f>
        <v/>
      </c>
      <c r="J24">
        <f>ROUND(IFERROR(200000*'Plant01 Inputs'!AE8/'Plant01 Inputs'!AD8,0),2)</f>
        <v/>
      </c>
      <c r="K24">
        <f>ROUND(IFERROR(200000*'Plant01 Inputs'!AE9/'Plant01 Inputs'!AD9,0),2)</f>
        <v/>
      </c>
      <c r="L24" t="inlineStr">
        <is>
          <t>hours_worked, recordable_injuries</t>
        </is>
      </c>
    </row>
    <row r="25">
      <c r="A25" t="inlineStr">
        <is>
          <t>EHS-002</t>
        </is>
      </c>
      <c r="B25" t="inlineStr">
        <is>
          <t>Severity incidents</t>
        </is>
      </c>
      <c r="C25" t="inlineStr">
        <is>
          <t>count</t>
        </is>
      </c>
      <c r="D25" t="inlineStr">
        <is>
          <t>Month</t>
        </is>
      </c>
      <c r="E25" t="inlineStr">
        <is>
          <t>Severity incidents</t>
        </is>
      </c>
      <c r="F25">
        <f>ROUND('Plant01 Inputs'!AF4,2)</f>
        <v/>
      </c>
      <c r="G25">
        <f>ROUND('Plant01 Inputs'!AF5,2)</f>
        <v/>
      </c>
      <c r="H25">
        <f>ROUND('Plant01 Inputs'!AF6,2)</f>
        <v/>
      </c>
      <c r="I25">
        <f>ROUND('Plant01 Inputs'!AF7,2)</f>
        <v/>
      </c>
      <c r="J25">
        <f>ROUND('Plant01 Inputs'!AF8,2)</f>
        <v/>
      </c>
      <c r="K25">
        <f>ROUND('Plant01 Inputs'!AF9,2)</f>
        <v/>
      </c>
      <c r="L25" t="inlineStr">
        <is>
          <t>severity_incidents</t>
        </is>
      </c>
    </row>
    <row r="26">
      <c r="A26" t="inlineStr">
        <is>
          <t>EHS-003</t>
        </is>
      </c>
      <c r="B26" t="inlineStr">
        <is>
          <t>Near misses</t>
        </is>
      </c>
      <c r="C26" t="inlineStr">
        <is>
          <t>count</t>
        </is>
      </c>
      <c r="D26" t="inlineStr">
        <is>
          <t>Month</t>
        </is>
      </c>
      <c r="E26" t="inlineStr">
        <is>
          <t>Near misses</t>
        </is>
      </c>
      <c r="F26">
        <f>ROUND('Plant01 Inputs'!AG4,2)</f>
        <v/>
      </c>
      <c r="G26">
        <f>ROUND('Plant01 Inputs'!AG5,2)</f>
        <v/>
      </c>
      <c r="H26">
        <f>ROUND('Plant01 Inputs'!AG6,2)</f>
        <v/>
      </c>
      <c r="I26">
        <f>ROUND('Plant01 Inputs'!AG7,2)</f>
        <v/>
      </c>
      <c r="J26">
        <f>ROUND('Plant01 Inputs'!AG8,2)</f>
        <v/>
      </c>
      <c r="K26">
        <f>ROUND('Plant01 Inputs'!AG9,2)</f>
        <v/>
      </c>
      <c r="L26" t="inlineStr">
        <is>
          <t>near_misses</t>
        </is>
      </c>
    </row>
    <row r="27">
      <c r="A27" t="inlineStr">
        <is>
          <t>EHS-004</t>
        </is>
      </c>
      <c r="B27" t="inlineStr">
        <is>
          <t>Critical safety incidents</t>
        </is>
      </c>
      <c r="C27" t="inlineStr">
        <is>
          <t>count</t>
        </is>
      </c>
      <c r="D27" t="inlineStr">
        <is>
          <t>Month</t>
        </is>
      </c>
      <c r="E27" t="inlineStr">
        <is>
          <t>Critical safety incidents</t>
        </is>
      </c>
      <c r="F27">
        <f>ROUND('Plant01 Inputs'!AH4,2)</f>
        <v/>
      </c>
      <c r="G27">
        <f>ROUND('Plant01 Inputs'!AH5,2)</f>
        <v/>
      </c>
      <c r="H27">
        <f>ROUND('Plant01 Inputs'!AH6,2)</f>
        <v/>
      </c>
      <c r="I27">
        <f>ROUND('Plant01 Inputs'!AH7,2)</f>
        <v/>
      </c>
      <c r="J27">
        <f>ROUND('Plant01 Inputs'!AH8,2)</f>
        <v/>
      </c>
      <c r="K27">
        <f>ROUND('Plant01 Inputs'!AH9,2)</f>
        <v/>
      </c>
      <c r="L27" t="inlineStr">
        <is>
          <t>critical_safety_incidents</t>
        </is>
      </c>
    </row>
    <row r="28">
      <c r="A28" t="inlineStr">
        <is>
          <t>EHS-005</t>
        </is>
      </c>
      <c r="B28" t="inlineStr">
        <is>
          <t>Environmental excursions</t>
        </is>
      </c>
      <c r="C28" t="inlineStr">
        <is>
          <t>count</t>
        </is>
      </c>
      <c r="D28" t="inlineStr">
        <is>
          <t>Month</t>
        </is>
      </c>
      <c r="E28" t="inlineStr">
        <is>
          <t>Environmental excursions</t>
        </is>
      </c>
      <c r="F28">
        <f>ROUND('Plant01 Inputs'!AI4,2)</f>
        <v/>
      </c>
      <c r="G28">
        <f>ROUND('Plant01 Inputs'!AI5,2)</f>
        <v/>
      </c>
      <c r="H28">
        <f>ROUND('Plant01 Inputs'!AI6,2)</f>
        <v/>
      </c>
      <c r="I28">
        <f>ROUND('Plant01 Inputs'!AI7,2)</f>
        <v/>
      </c>
      <c r="J28">
        <f>ROUND('Plant01 Inputs'!AI8,2)</f>
        <v/>
      </c>
      <c r="K28">
        <f>ROUND('Plant01 Inputs'!AI9,2)</f>
        <v/>
      </c>
      <c r="L28" t="inlineStr">
        <is>
          <t>env_excursions</t>
        </is>
      </c>
    </row>
    <row r="29">
      <c r="A29" t="inlineStr">
        <is>
          <t>EHS-006</t>
        </is>
      </c>
      <c r="B29" t="inlineStr">
        <is>
          <t>Open EHS corrective actions</t>
        </is>
      </c>
      <c r="C29" t="inlineStr">
        <is>
          <t>count</t>
        </is>
      </c>
      <c r="D29" t="inlineStr">
        <is>
          <t>Month</t>
        </is>
      </c>
      <c r="E29" t="inlineStr">
        <is>
          <t>Open EHS corrective actions</t>
        </is>
      </c>
      <c r="F29">
        <f>ROUND('Plant01 Inputs'!AK4,2)</f>
        <v/>
      </c>
      <c r="G29">
        <f>ROUND('Plant01 Inputs'!AK5,2)</f>
        <v/>
      </c>
      <c r="H29">
        <f>ROUND('Plant01 Inputs'!AK6,2)</f>
        <v/>
      </c>
      <c r="I29">
        <f>ROUND('Plant01 Inputs'!AK7,2)</f>
        <v/>
      </c>
      <c r="J29">
        <f>ROUND('Plant01 Inputs'!AK8,2)</f>
        <v/>
      </c>
      <c r="K29">
        <f>ROUND('Plant01 Inputs'!AK9,2)</f>
        <v/>
      </c>
      <c r="L29" t="inlineStr">
        <is>
          <t>ehs_ca_open</t>
        </is>
      </c>
    </row>
    <row r="30">
      <c r="A30" t="inlineStr">
        <is>
          <t>EHS-007</t>
        </is>
      </c>
      <c r="B30" t="inlineStr">
        <is>
          <t>Overdue EHS actions</t>
        </is>
      </c>
      <c r="C30" t="inlineStr">
        <is>
          <t>count</t>
        </is>
      </c>
      <c r="D30" t="inlineStr">
        <is>
          <t>Month</t>
        </is>
      </c>
      <c r="E30" t="inlineStr">
        <is>
          <t>Overdue EHS corrective actions</t>
        </is>
      </c>
      <c r="F30">
        <f>ROUND('Plant01 Inputs'!AL4,2)</f>
        <v/>
      </c>
      <c r="G30">
        <f>ROUND('Plant01 Inputs'!AL5,2)</f>
        <v/>
      </c>
      <c r="H30">
        <f>ROUND('Plant01 Inputs'!AL6,2)</f>
        <v/>
      </c>
      <c r="I30">
        <f>ROUND('Plant01 Inputs'!AL7,2)</f>
        <v/>
      </c>
      <c r="J30">
        <f>ROUND('Plant01 Inputs'!AL8,2)</f>
        <v/>
      </c>
      <c r="K30">
        <f>ROUND('Plant01 Inputs'!AL9,2)</f>
        <v/>
      </c>
      <c r="L30" t="inlineStr">
        <is>
          <t>ehs_ca_overdue</t>
        </is>
      </c>
    </row>
    <row r="31">
      <c r="A31" t="inlineStr">
        <is>
          <t>EHS-009</t>
        </is>
      </c>
      <c r="B31" t="inlineStr">
        <is>
          <t>EHS investigation completion</t>
        </is>
      </c>
      <c r="C31" t="inlineStr">
        <is>
          <t>%</t>
        </is>
      </c>
      <c r="D31" t="inlineStr">
        <is>
          <t>Month</t>
        </is>
      </c>
      <c r="E31" t="inlineStr">
        <is>
          <t>EHS investigations completed ÷ EHS investigations due × 100 (100 if none due)</t>
        </is>
      </c>
      <c r="F31">
        <f>ROUND(IF('Plant01 Inputs'!AM4=0,100,100*'Plant01 Inputs'!AN4/'Plant01 Inputs'!AM4),2)</f>
        <v/>
      </c>
      <c r="G31">
        <f>ROUND(IF('Plant01 Inputs'!AM5=0,100,100*'Plant01 Inputs'!AN5/'Plant01 Inputs'!AM5),2)</f>
        <v/>
      </c>
      <c r="H31">
        <f>ROUND(IF('Plant01 Inputs'!AM6=0,100,100*'Plant01 Inputs'!AN6/'Plant01 Inputs'!AM6),2)</f>
        <v/>
      </c>
      <c r="I31">
        <f>ROUND(IF('Plant01 Inputs'!AM7=0,100,100*'Plant01 Inputs'!AN7/'Plant01 Inputs'!AM7),2)</f>
        <v/>
      </c>
      <c r="J31">
        <f>ROUND(IF('Plant01 Inputs'!AM8=0,100,100*'Plant01 Inputs'!AN8/'Plant01 Inputs'!AM8),2)</f>
        <v/>
      </c>
      <c r="K31">
        <f>ROUND(IF('Plant01 Inputs'!AM9=0,100,100*'Plant01 Inputs'!AN9/'Plant01 Inputs'!AM9),2)</f>
        <v/>
      </c>
      <c r="L31" t="inlineStr">
        <is>
          <t>investigations_due, investigations_completed</t>
        </is>
      </c>
    </row>
    <row r="32">
      <c r="A32" t="inlineStr">
        <is>
          <t>REG-006</t>
        </is>
      </c>
      <c r="B32" t="inlineStr">
        <is>
          <t>Licence or permit expiry clock</t>
        </is>
      </c>
      <c r="C32" t="inlineStr">
        <is>
          <t>days</t>
        </is>
      </c>
      <c r="D32" t="inlineStr">
        <is>
          <t>Month</t>
        </is>
      </c>
      <c r="E32" t="inlineStr">
        <is>
          <t>Days to permit expiry (lowest plant)</t>
        </is>
      </c>
      <c r="F32">
        <f>ROUND('Plant01 Inputs'!AR4,2)</f>
        <v/>
      </c>
      <c r="G32">
        <f>ROUND('Plant01 Inputs'!AR5,2)</f>
        <v/>
      </c>
      <c r="H32">
        <f>ROUND('Plant01 Inputs'!AR6,2)</f>
        <v/>
      </c>
      <c r="I32">
        <f>ROUND('Plant01 Inputs'!AR7,2)</f>
        <v/>
      </c>
      <c r="J32">
        <f>ROUND('Plant01 Inputs'!AR8,2)</f>
        <v/>
      </c>
      <c r="K32">
        <f>ROUND('Plant01 Inputs'!AR9,2)</f>
        <v/>
      </c>
      <c r="L32" t="inlineStr">
        <is>
          <t>permit_days_to_expiry</t>
        </is>
      </c>
    </row>
    <row r="33">
      <c r="A33" t="inlineStr">
        <is>
          <t>OPS-005</t>
        </is>
      </c>
      <c r="B33" t="inlineStr">
        <is>
          <t>Capacity utilisation (same measure as OPS-003)</t>
        </is>
      </c>
      <c r="C33" t="inlineStr">
        <is>
          <t>%</t>
        </is>
      </c>
      <c r="D33" t="inlineStr">
        <is>
          <t>Month</t>
        </is>
      </c>
      <c r="E33" t="inlineStr">
        <is>
          <t>Good output ÷ Installed capacity × 100</t>
        </is>
      </c>
      <c r="F33">
        <f>ROUND(IFERROR(100*'Plant01 Inputs'!M4/'Plant01 Inputs'!J4,0),2)</f>
        <v/>
      </c>
      <c r="G33">
        <f>ROUND(IFERROR(100*'Plant01 Inputs'!M5/'Plant01 Inputs'!J5,0),2)</f>
        <v/>
      </c>
      <c r="H33">
        <f>ROUND(IFERROR(100*'Plant01 Inputs'!M6/'Plant01 Inputs'!J6,0),2)</f>
        <v/>
      </c>
      <c r="I33">
        <f>ROUND(IFERROR(100*'Plant01 Inputs'!M7/'Plant01 Inputs'!J7,0),2)</f>
        <v/>
      </c>
      <c r="J33">
        <f>ROUND(IFERROR(100*'Plant01 Inputs'!M8/'Plant01 Inputs'!J8,0),2)</f>
        <v/>
      </c>
      <c r="K33">
        <f>ROUND(IFERROR(100*'Plant01 Inputs'!M9/'Plant01 Inputs'!J9,0),2)</f>
        <v/>
      </c>
      <c r="L33" t="inlineStr">
        <is>
          <t>installed_capacity_t, good_output_t</t>
        </is>
      </c>
    </row>
    <row r="34">
      <c r="A34" t="inlineStr">
        <is>
          <t>OPS-006</t>
        </is>
      </c>
      <c r="B34" t="inlineStr">
        <is>
          <t>OEE · Group weighted (same measure as PLT-002)</t>
        </is>
      </c>
      <c r="C34" t="inlineStr">
        <is>
          <t>%</t>
        </is>
      </c>
      <c r="D34" t="inlineStr">
        <is>
          <t>Month</t>
        </is>
      </c>
      <c r="E34" t="inlineStr">
        <is>
          <t>Good output ÷ Ideal output × 100 (weighted by output, not an average of plants)</t>
        </is>
      </c>
      <c r="F34">
        <f>ROUND(IFERROR(100*'Plant01 Inputs'!M4/'Plant01 Inputs'!I4,0),2)</f>
        <v/>
      </c>
      <c r="G34">
        <f>ROUND(IFERROR(100*'Plant01 Inputs'!M5/'Plant01 Inputs'!I5,0),2)</f>
        <v/>
      </c>
      <c r="H34">
        <f>ROUND(IFERROR(100*'Plant01 Inputs'!M6/'Plant01 Inputs'!I6,0),2)</f>
        <v/>
      </c>
      <c r="I34">
        <f>ROUND(IFERROR(100*'Plant01 Inputs'!M7/'Plant01 Inputs'!I7,0),2)</f>
        <v/>
      </c>
      <c r="J34">
        <f>ROUND(IFERROR(100*'Plant01 Inputs'!M8/'Plant01 Inputs'!I8,0),2)</f>
        <v/>
      </c>
      <c r="K34">
        <f>ROUND(IFERROR(100*'Plant01 Inputs'!M9/'Plant01 Inputs'!I9,0),2)</f>
        <v/>
      </c>
      <c r="L34" t="inlineStr">
        <is>
          <t>ideal_output_t, good_output_t</t>
        </is>
      </c>
    </row>
    <row r="35">
      <c r="A35" t="inlineStr">
        <is>
          <t>OPS-002</t>
        </is>
      </c>
      <c r="B35" t="inlineStr">
        <is>
          <t>Sales vs plan</t>
        </is>
      </c>
      <c r="C35" t="inlineStr">
        <is>
          <t>%</t>
        </is>
      </c>
      <c r="D35" t="inlineStr">
        <is>
          <t>Month</t>
        </is>
      </c>
      <c r="E35" t="inlineStr">
        <is>
          <t>Sales volume ÷ Planned sales volume × 100</t>
        </is>
      </c>
      <c r="F35">
        <f>ROUND(IF('Plant01 Inputs'!AT4=0,0,100*'Plant01 Inputs'!AS4/'Plant01 Inputs'!AT4),2)</f>
        <v/>
      </c>
      <c r="G35">
        <f>ROUND(IF('Plant01 Inputs'!AT5=0,0,100*'Plant01 Inputs'!AS5/'Plant01 Inputs'!AT5),2)</f>
        <v/>
      </c>
      <c r="H35">
        <f>ROUND(IF('Plant01 Inputs'!AT6=0,0,100*'Plant01 Inputs'!AS6/'Plant01 Inputs'!AT6),2)</f>
        <v/>
      </c>
      <c r="I35">
        <f>ROUND(IF('Plant01 Inputs'!AT7=0,0,100*'Plant01 Inputs'!AS7/'Plant01 Inputs'!AT7),2)</f>
        <v/>
      </c>
      <c r="J35">
        <f>ROUND(IF('Plant01 Inputs'!AT8=0,0,100*'Plant01 Inputs'!AS8/'Plant01 Inputs'!AT8),2)</f>
        <v/>
      </c>
      <c r="K35">
        <f>ROUND(IF('Plant01 Inputs'!AT9=0,0,100*'Plant01 Inputs'!AS9/'Plant01 Inputs'!AT9),2)</f>
        <v/>
      </c>
      <c r="L35" t="inlineStr">
        <is>
          <t>sales_t, planned_sales_t</t>
        </is>
      </c>
    </row>
    <row r="36">
      <c r="A36" t="inlineStr">
        <is>
          <t>OPS-004</t>
        </is>
      </c>
      <c r="B36" t="inlineStr">
        <is>
          <t>Sales vs plan · Group (same measure as OPS-002)</t>
        </is>
      </c>
      <c r="C36" t="inlineStr">
        <is>
          <t>%</t>
        </is>
      </c>
      <c r="D36" t="inlineStr">
        <is>
          <t>Month</t>
        </is>
      </c>
      <c r="E36" t="inlineStr">
        <is>
          <t>Sales volume ÷ Planned sales volume × 100</t>
        </is>
      </c>
      <c r="F36">
        <f>ROUND(IF('Plant01 Inputs'!AT4=0,0,100*'Plant01 Inputs'!AS4/'Plant01 Inputs'!AT4),2)</f>
        <v/>
      </c>
      <c r="G36">
        <f>ROUND(IF('Plant01 Inputs'!AT5=0,0,100*'Plant01 Inputs'!AS5/'Plant01 Inputs'!AT5),2)</f>
        <v/>
      </c>
      <c r="H36">
        <f>ROUND(IF('Plant01 Inputs'!AT6=0,0,100*'Plant01 Inputs'!AS6/'Plant01 Inputs'!AT6),2)</f>
        <v/>
      </c>
      <c r="I36">
        <f>ROUND(IF('Plant01 Inputs'!AT7=0,0,100*'Plant01 Inputs'!AS7/'Plant01 Inputs'!AT7),2)</f>
        <v/>
      </c>
      <c r="J36">
        <f>ROUND(IF('Plant01 Inputs'!AT8=0,0,100*'Plant01 Inputs'!AS8/'Plant01 Inputs'!AT8),2)</f>
        <v/>
      </c>
      <c r="K36">
        <f>ROUND(IF('Plant01 Inputs'!AT9=0,0,100*'Plant01 Inputs'!AS9/'Plant01 Inputs'!AT9),2)</f>
        <v/>
      </c>
      <c r="L36" t="inlineStr">
        <is>
          <t>sales_t, planned_sales_t</t>
        </is>
      </c>
    </row>
    <row r="37">
      <c r="A37" t="inlineStr">
        <is>
          <t>CST-004</t>
        </is>
      </c>
      <c r="B37" t="inlineStr">
        <is>
          <t>Power cost per tonne</t>
        </is>
      </c>
      <c r="C37" t="inlineStr">
        <is>
          <t>₹/t</t>
        </is>
      </c>
      <c r="D37" t="inlineStr">
        <is>
          <t>Month</t>
        </is>
      </c>
      <c r="E37" t="inlineStr">
        <is>
          <t>Power cost × 1000 ÷ Good output</t>
        </is>
      </c>
      <c r="F37">
        <f>ROUND(IF('Plant01 Inputs'!M4=0,0,1000*'Plant01 Inputs'!AW4/'Plant01 Inputs'!M4),2)</f>
        <v/>
      </c>
      <c r="G37">
        <f>ROUND(IF('Plant01 Inputs'!M5=0,0,1000*'Plant01 Inputs'!AW5/'Plant01 Inputs'!M5),2)</f>
        <v/>
      </c>
      <c r="H37">
        <f>ROUND(IF('Plant01 Inputs'!M6=0,0,1000*'Plant01 Inputs'!AW6/'Plant01 Inputs'!M6),2)</f>
        <v/>
      </c>
      <c r="I37">
        <f>ROUND(IF('Plant01 Inputs'!M7=0,0,1000*'Plant01 Inputs'!AW7/'Plant01 Inputs'!M7),2)</f>
        <v/>
      </c>
      <c r="J37">
        <f>ROUND(IF('Plant01 Inputs'!M8=0,0,1000*'Plant01 Inputs'!AW8/'Plant01 Inputs'!M8),2)</f>
        <v/>
      </c>
      <c r="K37">
        <f>ROUND(IF('Plant01 Inputs'!M9=0,0,1000*'Plant01 Inputs'!AW9/'Plant01 Inputs'!M9),2)</f>
        <v/>
      </c>
      <c r="L37" t="inlineStr">
        <is>
          <t>good_output_t, power_cost_k</t>
        </is>
      </c>
    </row>
    <row r="38">
      <c r="A38" t="inlineStr">
        <is>
          <t>FIN-003</t>
        </is>
      </c>
      <c r="B38" t="inlineStr">
        <is>
          <t>Revenue YTD</t>
        </is>
      </c>
      <c r="C38" t="inlineStr">
        <is>
          <t>₹ m</t>
        </is>
      </c>
      <c r="D38" t="inlineStr">
        <is>
          <t>Year to date</t>
        </is>
      </c>
      <c r="E38" t="inlineStr">
        <is>
          <t>Sum of monthly Revenue since April ÷ 1000</t>
        </is>
      </c>
      <c r="F38">
        <f>ROUND(SUM('Plant01 Inputs'!AU$4:AU4)/1000,2)</f>
        <v/>
      </c>
      <c r="G38">
        <f>ROUND(SUM('Plant01 Inputs'!AU$4:AU5)/1000,2)</f>
        <v/>
      </c>
      <c r="H38">
        <f>ROUND(SUM('Plant01 Inputs'!AU$4:AU6)/1000,2)</f>
        <v/>
      </c>
      <c r="I38">
        <f>ROUND(SUM('Plant01 Inputs'!AU$4:AU7)/1000,2)</f>
        <v/>
      </c>
      <c r="J38">
        <f>ROUND(SUM('Plant01 Inputs'!AU$4:AU8)/1000,2)</f>
        <v/>
      </c>
      <c r="K38">
        <f>ROUND(SUM('Plant01 Inputs'!AU$4:AU9)/1000,2)</f>
        <v/>
      </c>
      <c r="L38" t="inlineStr">
        <is>
          <t>revenue_k</t>
        </is>
      </c>
    </row>
    <row r="39">
      <c r="A39" t="inlineStr">
        <is>
          <t>SUP-001</t>
        </is>
      </c>
      <c r="B39" t="inlineStr">
        <is>
          <t>Supplier on-time delivery</t>
        </is>
      </c>
      <c r="C39" t="inlineStr">
        <is>
          <t>%</t>
        </is>
      </c>
      <c r="D39" t="inlineStr">
        <is>
          <t>Month</t>
        </is>
      </c>
      <c r="E39" t="inlineStr">
        <is>
          <t>Purchase-order lines on time ÷ Lines due × 100</t>
        </is>
      </c>
      <c r="F39">
        <f>ROUND(IF('Plant01 Inputs'!AY4=0,0,100*'Plant01 Inputs'!AZ4/'Plant01 Inputs'!AY4),2)</f>
        <v/>
      </c>
      <c r="G39">
        <f>ROUND(IF('Plant01 Inputs'!AY5=0,0,100*'Plant01 Inputs'!AZ5/'Plant01 Inputs'!AY5),2)</f>
        <v/>
      </c>
      <c r="H39">
        <f>ROUND(IF('Plant01 Inputs'!AY6=0,0,100*'Plant01 Inputs'!AZ6/'Plant01 Inputs'!AY6),2)</f>
        <v/>
      </c>
      <c r="I39">
        <f>ROUND(IF('Plant01 Inputs'!AY7=0,0,100*'Plant01 Inputs'!AZ7/'Plant01 Inputs'!AY7),2)</f>
        <v/>
      </c>
      <c r="J39">
        <f>ROUND(IF('Plant01 Inputs'!AY8=0,0,100*'Plant01 Inputs'!AZ8/'Plant01 Inputs'!AY8),2)</f>
        <v/>
      </c>
      <c r="K39">
        <f>ROUND(IF('Plant01 Inputs'!AY9=0,0,100*'Plant01 Inputs'!AZ9/'Plant01 Inputs'!AY9),2)</f>
        <v/>
      </c>
      <c r="L39" t="inlineStr">
        <is>
          <t>po_lines_due, po_lines_on_time</t>
        </is>
      </c>
    </row>
    <row r="40">
      <c r="A40" t="inlineStr">
        <is>
          <t>SUP-002</t>
        </is>
      </c>
      <c r="B40" t="inlineStr">
        <is>
          <t>Supplier fill rate</t>
        </is>
      </c>
      <c r="C40" t="inlineStr">
        <is>
          <t>%</t>
        </is>
      </c>
      <c r="D40" t="inlineStr">
        <is>
          <t>Month</t>
        </is>
      </c>
      <c r="E40" t="inlineStr">
        <is>
          <t>Quantity received ÷ Quantity ordered × 100</t>
        </is>
      </c>
      <c r="F40">
        <f>ROUND(IF('Plant01 Inputs'!BA4=0,0,100*'Plant01 Inputs'!BB4/'Plant01 Inputs'!BA4),2)</f>
        <v/>
      </c>
      <c r="G40">
        <f>ROUND(IF('Plant01 Inputs'!BA5=0,0,100*'Plant01 Inputs'!BB5/'Plant01 Inputs'!BA5),2)</f>
        <v/>
      </c>
      <c r="H40">
        <f>ROUND(IF('Plant01 Inputs'!BA6=0,0,100*'Plant01 Inputs'!BB6/'Plant01 Inputs'!BA6),2)</f>
        <v/>
      </c>
      <c r="I40">
        <f>ROUND(IF('Plant01 Inputs'!BA7=0,0,100*'Plant01 Inputs'!BB7/'Plant01 Inputs'!BA7),2)</f>
        <v/>
      </c>
      <c r="J40">
        <f>ROUND(IF('Plant01 Inputs'!BA8=0,0,100*'Plant01 Inputs'!BB8/'Plant01 Inputs'!BA8),2)</f>
        <v/>
      </c>
      <c r="K40">
        <f>ROUND(IF('Plant01 Inputs'!BA9=0,0,100*'Plant01 Inputs'!BB9/'Plant01 Inputs'!BA9),2)</f>
        <v/>
      </c>
      <c r="L40" t="inlineStr">
        <is>
          <t>qty_ordered_t, qty_received_t</t>
        </is>
      </c>
    </row>
    <row r="41">
      <c r="A41" t="inlineStr">
        <is>
          <t>SUP-003</t>
        </is>
      </c>
      <c r="B41" t="inlineStr">
        <is>
          <t>Supplier quality-rejection rate</t>
        </is>
      </c>
      <c r="C41" t="inlineStr">
        <is>
          <t>%</t>
        </is>
      </c>
      <c r="D41" t="inlineStr">
        <is>
          <t>Month</t>
        </is>
      </c>
      <c r="E41" t="inlineStr">
        <is>
          <t>Quantity rejected ÷ Quantity received × 100</t>
        </is>
      </c>
      <c r="F41">
        <f>ROUND(IF('Plant01 Inputs'!BB4=0,0,100*'Plant01 Inputs'!BC4/'Plant01 Inputs'!BB4),2)</f>
        <v/>
      </c>
      <c r="G41">
        <f>ROUND(IF('Plant01 Inputs'!BB5=0,0,100*'Plant01 Inputs'!BC5/'Plant01 Inputs'!BB5),2)</f>
        <v/>
      </c>
      <c r="H41">
        <f>ROUND(IF('Plant01 Inputs'!BB6=0,0,100*'Plant01 Inputs'!BC6/'Plant01 Inputs'!BB6),2)</f>
        <v/>
      </c>
      <c r="I41">
        <f>ROUND(IF('Plant01 Inputs'!BB7=0,0,100*'Plant01 Inputs'!BC7/'Plant01 Inputs'!BB7),2)</f>
        <v/>
      </c>
      <c r="J41">
        <f>ROUND(IF('Plant01 Inputs'!BB8=0,0,100*'Plant01 Inputs'!BC8/'Plant01 Inputs'!BB8),2)</f>
        <v/>
      </c>
      <c r="K41">
        <f>ROUND(IF('Plant01 Inputs'!BB9=0,0,100*'Plant01 Inputs'!BC9/'Plant01 Inputs'!BB9),2)</f>
        <v/>
      </c>
      <c r="L41" t="inlineStr">
        <is>
          <t>qty_received_t, qty_rejected_t</t>
        </is>
      </c>
    </row>
    <row r="42">
      <c r="A42" t="inlineStr">
        <is>
          <t>SUP-004</t>
        </is>
      </c>
      <c r="B42" t="inlineStr">
        <is>
          <t>Supplier lead-time variance</t>
        </is>
      </c>
      <c r="C42" t="inlineStr">
        <is>
          <t>%</t>
        </is>
      </c>
      <c r="D42" t="inlineStr">
        <is>
          <t>Month</t>
        </is>
      </c>
      <c r="E42" t="inlineStr">
        <is>
          <t>(Actual lead time − Planned lead time) ÷ Planned lead time × 100</t>
        </is>
      </c>
      <c r="F42">
        <f>ROUND(IF('Plant01 Inputs'!BD4=0,0,100*('Plant01 Inputs'!BE4-'Plant01 Inputs'!BD4)/'Plant01 Inputs'!BD4),2)</f>
        <v/>
      </c>
      <c r="G42">
        <f>ROUND(IF('Plant01 Inputs'!BD5=0,0,100*('Plant01 Inputs'!BE5-'Plant01 Inputs'!BD5)/'Plant01 Inputs'!BD5),2)</f>
        <v/>
      </c>
      <c r="H42">
        <f>ROUND(IF('Plant01 Inputs'!BD6=0,0,100*('Plant01 Inputs'!BE6-'Plant01 Inputs'!BD6)/'Plant01 Inputs'!BD6),2)</f>
        <v/>
      </c>
      <c r="I42">
        <f>ROUND(IF('Plant01 Inputs'!BD7=0,0,100*('Plant01 Inputs'!BE7-'Plant01 Inputs'!BD7)/'Plant01 Inputs'!BD7),2)</f>
        <v/>
      </c>
      <c r="J42">
        <f>ROUND(IF('Plant01 Inputs'!BD8=0,0,100*('Plant01 Inputs'!BE8-'Plant01 Inputs'!BD8)/'Plant01 Inputs'!BD8),2)</f>
        <v/>
      </c>
      <c r="K42">
        <f>ROUND(IF('Plant01 Inputs'!BD9=0,0,100*('Plant01 Inputs'!BE9-'Plant01 Inputs'!BD9)/'Plant01 Inputs'!BD9),2)</f>
        <v/>
      </c>
      <c r="L42" t="inlineStr">
        <is>
          <t>lead_time_planned_days, lead_time_actual_days</t>
        </is>
      </c>
    </row>
    <row r="43">
      <c r="A43" t="inlineStr">
        <is>
          <t>SUP-007</t>
        </is>
      </c>
      <c r="B43" t="inlineStr">
        <is>
          <t>Single-source spend share</t>
        </is>
      </c>
      <c r="C43" t="inlineStr">
        <is>
          <t>%</t>
        </is>
      </c>
      <c r="D43" t="inlineStr">
        <is>
          <t>Month</t>
        </is>
      </c>
      <c r="E43" t="inlineStr">
        <is>
          <t>Spend with single-source suppliers ÷ Supplier spend × 100</t>
        </is>
      </c>
      <c r="F43">
        <f>ROUND(IF('Plant01 Inputs'!BF4=0,0,100*'Plant01 Inputs'!BG4/'Plant01 Inputs'!BF4),2)</f>
        <v/>
      </c>
      <c r="G43">
        <f>ROUND(IF('Plant01 Inputs'!BF5=0,0,100*'Plant01 Inputs'!BG5/'Plant01 Inputs'!BF5),2)</f>
        <v/>
      </c>
      <c r="H43">
        <f>ROUND(IF('Plant01 Inputs'!BF6=0,0,100*'Plant01 Inputs'!BG6/'Plant01 Inputs'!BF6),2)</f>
        <v/>
      </c>
      <c r="I43">
        <f>ROUND(IF('Plant01 Inputs'!BF7=0,0,100*'Plant01 Inputs'!BG7/'Plant01 Inputs'!BF7),2)</f>
        <v/>
      </c>
      <c r="J43">
        <f>ROUND(IF('Plant01 Inputs'!BF8=0,0,100*'Plant01 Inputs'!BG8/'Plant01 Inputs'!BF8),2)</f>
        <v/>
      </c>
      <c r="K43">
        <f>ROUND(IF('Plant01 Inputs'!BF9=0,0,100*'Plant01 Inputs'!BG9/'Plant01 Inputs'!BF9),2)</f>
        <v/>
      </c>
      <c r="L43" t="inlineStr">
        <is>
          <t>supplier_spend_k, single_source_spend_k</t>
        </is>
      </c>
    </row>
    <row r="44">
      <c r="A44" t="inlineStr">
        <is>
          <t>SUP-008</t>
        </is>
      </c>
      <c r="B44" t="inlineStr">
        <is>
          <t>Supplier EHS incidents YTD</t>
        </is>
      </c>
      <c r="C44" t="inlineStr">
        <is>
          <t>count</t>
        </is>
      </c>
      <c r="D44" t="inlineStr">
        <is>
          <t>Year to date</t>
        </is>
      </c>
      <c r="E44" t="inlineStr">
        <is>
          <t>Sum of supplier EHS incidents since April</t>
        </is>
      </c>
      <c r="F44">
        <f>ROUND(SUM('Plant01 Inputs'!BH$4:BH4),2)</f>
        <v/>
      </c>
      <c r="G44">
        <f>ROUND(SUM('Plant01 Inputs'!BH$4:BH5),2)</f>
        <v/>
      </c>
      <c r="H44">
        <f>ROUND(SUM('Plant01 Inputs'!BH$4:BH6),2)</f>
        <v/>
      </c>
      <c r="I44">
        <f>ROUND(SUM('Plant01 Inputs'!BH$4:BH7),2)</f>
        <v/>
      </c>
      <c r="J44">
        <f>ROUND(SUM('Plant01 Inputs'!BH$4:BH8),2)</f>
        <v/>
      </c>
      <c r="K44">
        <f>ROUND(SUM('Plant01 Inputs'!BH$4:BH9),2)</f>
        <v/>
      </c>
      <c r="L44" t="inlineStr">
        <is>
          <t>supplier_ehs_incidents</t>
        </is>
      </c>
    </row>
    <row r="45">
      <c r="A45" t="inlineStr">
        <is>
          <t>REG-001</t>
        </is>
      </c>
      <c r="B45" t="inlineStr">
        <is>
          <t>Pending filings</t>
        </is>
      </c>
      <c r="C45" t="inlineStr">
        <is>
          <t>count</t>
        </is>
      </c>
      <c r="D45" t="inlineStr">
        <is>
          <t>Month end</t>
        </is>
      </c>
      <c r="E45" t="inlineStr">
        <is>
          <t>Regulatory filings pending</t>
        </is>
      </c>
      <c r="F45">
        <f>ROUND('Plant01 Inputs'!BI4,2)</f>
        <v/>
      </c>
      <c r="G45">
        <f>ROUND('Plant01 Inputs'!BI5,2)</f>
        <v/>
      </c>
      <c r="H45">
        <f>ROUND('Plant01 Inputs'!BI6,2)</f>
        <v/>
      </c>
      <c r="I45">
        <f>ROUND('Plant01 Inputs'!BI7,2)</f>
        <v/>
      </c>
      <c r="J45">
        <f>ROUND('Plant01 Inputs'!BI8,2)</f>
        <v/>
      </c>
      <c r="K45">
        <f>ROUND('Plant01 Inputs'!BI9,2)</f>
        <v/>
      </c>
      <c r="L45" t="inlineStr">
        <is>
          <t>pending_filings</t>
        </is>
      </c>
    </row>
    <row r="46">
      <c r="A46" t="inlineStr">
        <is>
          <t>REG-002</t>
        </is>
      </c>
      <c r="B46" t="inlineStr">
        <is>
          <t>Regulatory deadlines, next 30 days</t>
        </is>
      </c>
      <c r="C46" t="inlineStr">
        <is>
          <t>count</t>
        </is>
      </c>
      <c r="D46" t="inlineStr">
        <is>
          <t>Month end</t>
        </is>
      </c>
      <c r="E46" t="inlineStr">
        <is>
          <t>Regulatory deadlines in next 30 days</t>
        </is>
      </c>
      <c r="F46">
        <f>ROUND('Plant01 Inputs'!BJ4,2)</f>
        <v/>
      </c>
      <c r="G46">
        <f>ROUND('Plant01 Inputs'!BJ5,2)</f>
        <v/>
      </c>
      <c r="H46">
        <f>ROUND('Plant01 Inputs'!BJ6,2)</f>
        <v/>
      </c>
      <c r="I46">
        <f>ROUND('Plant01 Inputs'!BJ7,2)</f>
        <v/>
      </c>
      <c r="J46">
        <f>ROUND('Plant01 Inputs'!BJ8,2)</f>
        <v/>
      </c>
      <c r="K46">
        <f>ROUND('Plant01 Inputs'!BJ9,2)</f>
        <v/>
      </c>
      <c r="L46" t="inlineStr">
        <is>
          <t>reg_deadlines_30d</t>
        </is>
      </c>
    </row>
    <row r="47">
      <c r="A47" t="inlineStr">
        <is>
          <t>REG-003</t>
        </is>
      </c>
      <c r="B47" t="inlineStr">
        <is>
          <t>Licence expirations, next 12 months</t>
        </is>
      </c>
      <c r="C47" t="inlineStr">
        <is>
          <t>count</t>
        </is>
      </c>
      <c r="D47" t="inlineStr">
        <is>
          <t>Month end</t>
        </is>
      </c>
      <c r="E47" t="inlineStr">
        <is>
          <t>Licences expiring in next 12 months</t>
        </is>
      </c>
      <c r="F47">
        <f>ROUND('Plant01 Inputs'!BK4,2)</f>
        <v/>
      </c>
      <c r="G47">
        <f>ROUND('Plant01 Inputs'!BK5,2)</f>
        <v/>
      </c>
      <c r="H47">
        <f>ROUND('Plant01 Inputs'!BK6,2)</f>
        <v/>
      </c>
      <c r="I47">
        <f>ROUND('Plant01 Inputs'!BK7,2)</f>
        <v/>
      </c>
      <c r="J47">
        <f>ROUND('Plant01 Inputs'!BK8,2)</f>
        <v/>
      </c>
      <c r="K47">
        <f>ROUND('Plant01 Inputs'!BK9,2)</f>
        <v/>
      </c>
      <c r="L47" t="inlineStr">
        <is>
          <t>licences_expiring_12m</t>
        </is>
      </c>
    </row>
    <row r="48">
      <c r="A48" t="inlineStr">
        <is>
          <t>REG-004</t>
        </is>
      </c>
      <c r="B48" t="inlineStr">
        <is>
          <t>Regulatory obligations due, next 30 days</t>
        </is>
      </c>
      <c r="C48" t="inlineStr">
        <is>
          <t>count</t>
        </is>
      </c>
      <c r="D48" t="inlineStr">
        <is>
          <t>Month end</t>
        </is>
      </c>
      <c r="E48" t="inlineStr">
        <is>
          <t>Regulatory obligations due in next 30 days</t>
        </is>
      </c>
      <c r="F48">
        <f>ROUND('Plant01 Inputs'!BL4,2)</f>
        <v/>
      </c>
      <c r="G48">
        <f>ROUND('Plant01 Inputs'!BL5,2)</f>
        <v/>
      </c>
      <c r="H48">
        <f>ROUND('Plant01 Inputs'!BL6,2)</f>
        <v/>
      </c>
      <c r="I48">
        <f>ROUND('Plant01 Inputs'!BL7,2)</f>
        <v/>
      </c>
      <c r="J48">
        <f>ROUND('Plant01 Inputs'!BL8,2)</f>
        <v/>
      </c>
      <c r="K48">
        <f>ROUND('Plant01 Inputs'!BL9,2)</f>
        <v/>
      </c>
      <c r="L48" t="inlineStr">
        <is>
          <t>reg_obligations_due_30d</t>
        </is>
      </c>
    </row>
    <row r="49">
      <c r="A49" t="inlineStr">
        <is>
          <t>REG-005</t>
        </is>
      </c>
      <c r="B49" t="inlineStr">
        <is>
          <t>Overdue regulatory obligations</t>
        </is>
      </c>
      <c r="C49" t="inlineStr">
        <is>
          <t>count</t>
        </is>
      </c>
      <c r="D49" t="inlineStr">
        <is>
          <t>Month end</t>
        </is>
      </c>
      <c r="E49" t="inlineStr">
        <is>
          <t>Regulatory obligations overdue</t>
        </is>
      </c>
      <c r="F49">
        <f>ROUND('Plant01 Inputs'!BM4,2)</f>
        <v/>
      </c>
      <c r="G49">
        <f>ROUND('Plant01 Inputs'!BM5,2)</f>
        <v/>
      </c>
      <c r="H49">
        <f>ROUND('Plant01 Inputs'!BM6,2)</f>
        <v/>
      </c>
      <c r="I49">
        <f>ROUND('Plant01 Inputs'!BM7,2)</f>
        <v/>
      </c>
      <c r="J49">
        <f>ROUND('Plant01 Inputs'!BM8,2)</f>
        <v/>
      </c>
      <c r="K49">
        <f>ROUND('Plant01 Inputs'!BM9,2)</f>
        <v/>
      </c>
      <c r="L49" t="inlineStr">
        <is>
          <t>reg_obligations_overdue</t>
        </is>
      </c>
    </row>
    <row r="50">
      <c r="A50" t="inlineStr">
        <is>
          <t>REG-007</t>
        </is>
      </c>
      <c r="B50" t="inlineStr">
        <is>
          <t>Open regulatory actions</t>
        </is>
      </c>
      <c r="C50" t="inlineStr">
        <is>
          <t>count</t>
        </is>
      </c>
      <c r="D50" t="inlineStr">
        <is>
          <t>Month end</t>
        </is>
      </c>
      <c r="E50" t="inlineStr">
        <is>
          <t>Open regulatory actions</t>
        </is>
      </c>
      <c r="F50">
        <f>ROUND('Plant01 Inputs'!BN4,2)</f>
        <v/>
      </c>
      <c r="G50">
        <f>ROUND('Plant01 Inputs'!BN5,2)</f>
        <v/>
      </c>
      <c r="H50">
        <f>ROUND('Plant01 Inputs'!BN6,2)</f>
        <v/>
      </c>
      <c r="I50">
        <f>ROUND('Plant01 Inputs'!BN7,2)</f>
        <v/>
      </c>
      <c r="J50">
        <f>ROUND('Plant01 Inputs'!BN8,2)</f>
        <v/>
      </c>
      <c r="K50">
        <f>ROUND('Plant01 Inputs'!BN9,2)</f>
        <v/>
      </c>
      <c r="L50" t="inlineStr">
        <is>
          <t>reg_actions_open</t>
        </is>
      </c>
    </row>
    <row r="51">
      <c r="A51" t="inlineStr">
        <is>
          <t>REG-008</t>
        </is>
      </c>
      <c r="B51" t="inlineStr">
        <is>
          <t>Overdue compliance actions</t>
        </is>
      </c>
      <c r="C51" t="inlineStr">
        <is>
          <t>count</t>
        </is>
      </c>
      <c r="D51" t="inlineStr">
        <is>
          <t>Month end</t>
        </is>
      </c>
      <c r="E51" t="inlineStr">
        <is>
          <t>Overdue compliance actions</t>
        </is>
      </c>
      <c r="F51">
        <f>ROUND('Plant01 Inputs'!BO4,2)</f>
        <v/>
      </c>
      <c r="G51">
        <f>ROUND('Plant01 Inputs'!BO5,2)</f>
        <v/>
      </c>
      <c r="H51">
        <f>ROUND('Plant01 Inputs'!BO6,2)</f>
        <v/>
      </c>
      <c r="I51">
        <f>ROUND('Plant01 Inputs'!BO7,2)</f>
        <v/>
      </c>
      <c r="J51">
        <f>ROUND('Plant01 Inputs'!BO8,2)</f>
        <v/>
      </c>
      <c r="K51">
        <f>ROUND('Plant01 Inputs'!BO9,2)</f>
        <v/>
      </c>
      <c r="L51" t="inlineStr">
        <is>
          <t>compliance_actions_overdue</t>
        </is>
      </c>
    </row>
    <row r="52">
      <c r="A52" t="inlineStr">
        <is>
          <t>REG-009</t>
        </is>
      </c>
      <c r="B52" t="inlineStr">
        <is>
          <t>Disclosure-clock status</t>
        </is>
      </c>
      <c r="C52" t="inlineStr">
        <is>
          <t>text</t>
        </is>
      </c>
      <c r="D52" t="inlineStr">
        <is>
          <t>Month end</t>
        </is>
      </c>
      <c r="E52" t="inlineStr">
        <is>
          <t>Triggered if any event that needs disclosure is open, otherwise Not triggered</t>
        </is>
      </c>
      <c r="F52">
        <f>IF('Plant01 Inputs'!BQ4&gt;0,"Triggered","Not triggered")</f>
        <v/>
      </c>
      <c r="G52">
        <f>IF('Plant01 Inputs'!BQ5&gt;0,"Triggered","Not triggered")</f>
        <v/>
      </c>
      <c r="H52">
        <f>IF('Plant01 Inputs'!BQ6&gt;0,"Triggered","Not triggered")</f>
        <v/>
      </c>
      <c r="I52">
        <f>IF('Plant01 Inputs'!BQ7&gt;0,"Triggered","Not triggered")</f>
        <v/>
      </c>
      <c r="J52">
        <f>IF('Plant01 Inputs'!BQ8&gt;0,"Triggered","Not triggered")</f>
        <v/>
      </c>
      <c r="K52">
        <f>IF('Plant01 Inputs'!BQ9&gt;0,"Triggered","Not triggered")</f>
        <v/>
      </c>
      <c r="L52" t="inlineStr">
        <is>
          <t>disclosure_events_open</t>
        </is>
      </c>
    </row>
    <row r="53">
      <c r="A53" t="inlineStr">
        <is>
          <t>REG-010</t>
        </is>
      </c>
      <c r="B53" t="inlineStr">
        <is>
          <t>Regulatory breaches YTD</t>
        </is>
      </c>
      <c r="C53" t="inlineStr">
        <is>
          <t>count</t>
        </is>
      </c>
      <c r="D53" t="inlineStr">
        <is>
          <t>Year to date</t>
        </is>
      </c>
      <c r="E53" t="inlineStr">
        <is>
          <t>Sum of regulatory breaches since April</t>
        </is>
      </c>
      <c r="F53">
        <f>ROUND(SUM('Plant01 Inputs'!BP$4:BP4),2)</f>
        <v/>
      </c>
      <c r="G53">
        <f>ROUND(SUM('Plant01 Inputs'!BP$4:BP5),2)</f>
        <v/>
      </c>
      <c r="H53">
        <f>ROUND(SUM('Plant01 Inputs'!BP$4:BP6),2)</f>
        <v/>
      </c>
      <c r="I53">
        <f>ROUND(SUM('Plant01 Inputs'!BP$4:BP7),2)</f>
        <v/>
      </c>
      <c r="J53">
        <f>ROUND(SUM('Plant01 Inputs'!BP$4:BP8),2)</f>
        <v/>
      </c>
      <c r="K53">
        <f>ROUND(SUM('Plant01 Inputs'!BP$4:BP9),2)</f>
        <v/>
      </c>
      <c r="L53" t="inlineStr">
        <is>
          <t>reg_breaches</t>
        </is>
      </c>
    </row>
    <row r="54">
      <c r="A54" t="inlineStr">
        <is>
          <t>RSK-003</t>
        </is>
      </c>
      <c r="B54" t="inlineStr">
        <is>
          <t>Regulatory breaches YTD (same measure as REG-010)</t>
        </is>
      </c>
      <c r="C54" t="inlineStr">
        <is>
          <t>count</t>
        </is>
      </c>
      <c r="D54" t="inlineStr">
        <is>
          <t>Year to date</t>
        </is>
      </c>
      <c r="E54" t="inlineStr">
        <is>
          <t>Sum of regulatory breaches since April</t>
        </is>
      </c>
      <c r="F54">
        <f>ROUND(SUM('Plant01 Inputs'!BP$4:BP4),2)</f>
        <v/>
      </c>
      <c r="G54">
        <f>ROUND(SUM('Plant01 Inputs'!BP$4:BP5),2)</f>
        <v/>
      </c>
      <c r="H54">
        <f>ROUND(SUM('Plant01 Inputs'!BP$4:BP6),2)</f>
        <v/>
      </c>
      <c r="I54">
        <f>ROUND(SUM('Plant01 Inputs'!BP$4:BP7),2)</f>
        <v/>
      </c>
      <c r="J54">
        <f>ROUND(SUM('Plant01 Inputs'!BP$4:BP8),2)</f>
        <v/>
      </c>
      <c r="K54">
        <f>ROUND(SUM('Plant01 Inputs'!BP$4:BP9),2)</f>
        <v/>
      </c>
      <c r="L54" t="inlineStr">
        <is>
          <t>reg_breaches</t>
        </is>
      </c>
    </row>
    <row r="55">
      <c r="A55" t="inlineStr">
        <is>
          <t>CMP-005</t>
        </is>
      </c>
      <c r="B55" t="inlineStr">
        <is>
          <t>Regulatory breaches YTD (same measure as REG-010)</t>
        </is>
      </c>
      <c r="C55" t="inlineStr">
        <is>
          <t>count</t>
        </is>
      </c>
      <c r="D55" t="inlineStr">
        <is>
          <t>Year to date</t>
        </is>
      </c>
      <c r="E55" t="inlineStr">
        <is>
          <t>Sum of regulatory breaches since April</t>
        </is>
      </c>
      <c r="F55">
        <f>ROUND(SUM('Plant01 Inputs'!BP$4:BP4),2)</f>
        <v/>
      </c>
      <c r="G55">
        <f>ROUND(SUM('Plant01 Inputs'!BP$4:BP5),2)</f>
        <v/>
      </c>
      <c r="H55">
        <f>ROUND(SUM('Plant01 Inputs'!BP$4:BP6),2)</f>
        <v/>
      </c>
      <c r="I55">
        <f>ROUND(SUM('Plant01 Inputs'!BP$4:BP7),2)</f>
        <v/>
      </c>
      <c r="J55">
        <f>ROUND(SUM('Plant01 Inputs'!BP$4:BP8),2)</f>
        <v/>
      </c>
      <c r="K55">
        <f>ROUND(SUM('Plant01 Inputs'!BP$4:BP9),2)</f>
        <v/>
      </c>
      <c r="L55" t="inlineStr">
        <is>
          <t>reg_breaches</t>
        </is>
      </c>
    </row>
    <row r="56">
      <c r="A56" t="inlineStr">
        <is>
          <t>EHS-008</t>
        </is>
      </c>
      <c r="B56" t="inlineStr">
        <is>
          <t>EHS escalation clocks running</t>
        </is>
      </c>
      <c r="C56" t="inlineStr">
        <is>
          <t>count</t>
        </is>
      </c>
      <c r="D56" t="inlineStr">
        <is>
          <t>Month end</t>
        </is>
      </c>
      <c r="E56" t="inlineStr">
        <is>
          <t>EHS escalation clocks running</t>
        </is>
      </c>
      <c r="F56">
        <f>ROUND('Plant01 Inputs'!BR4,2)</f>
        <v/>
      </c>
      <c r="G56">
        <f>ROUND('Plant01 Inputs'!BR5,2)</f>
        <v/>
      </c>
      <c r="H56">
        <f>ROUND('Plant01 Inputs'!BR6,2)</f>
        <v/>
      </c>
      <c r="I56">
        <f>ROUND('Plant01 Inputs'!BR7,2)</f>
        <v/>
      </c>
      <c r="J56">
        <f>ROUND('Plant01 Inputs'!BR8,2)</f>
        <v/>
      </c>
      <c r="K56">
        <f>ROUND('Plant01 Inputs'!BR9,2)</f>
        <v/>
      </c>
      <c r="L56" t="inlineStr">
        <is>
          <t>ehs_escalation_clocks</t>
        </is>
      </c>
    </row>
    <row r="57">
      <c r="A57" t="inlineStr">
        <is>
          <t>EHS-010</t>
        </is>
      </c>
      <c r="B57" t="inlineStr">
        <is>
          <t>EHS investigation completion rate YTD</t>
        </is>
      </c>
      <c r="C57" t="inlineStr">
        <is>
          <t>%</t>
        </is>
      </c>
      <c r="D57" t="inlineStr">
        <is>
          <t>Year to date</t>
        </is>
      </c>
      <c r="E57" t="inlineStr">
        <is>
          <t>EHS investigations completed since April ÷ Investigations due since April × 100 (100 if none due)</t>
        </is>
      </c>
      <c r="F57">
        <f>ROUND(IF(SUM('Plant01 Inputs'!AM$4:AM4)=0,100,100*SUM('Plant01 Inputs'!AN$4:AN4)/SUM('Plant01 Inputs'!AM$4:AM4)),2)</f>
        <v/>
      </c>
      <c r="G57">
        <f>ROUND(IF(SUM('Plant01 Inputs'!AM$4:AM5)=0,100,100*SUM('Plant01 Inputs'!AN$4:AN5)/SUM('Plant01 Inputs'!AM$4:AM5)),2)</f>
        <v/>
      </c>
      <c r="H57">
        <f>ROUND(IF(SUM('Plant01 Inputs'!AM$4:AM6)=0,100,100*SUM('Plant01 Inputs'!AN$4:AN6)/SUM('Plant01 Inputs'!AM$4:AM6)),2)</f>
        <v/>
      </c>
      <c r="I57">
        <f>ROUND(IF(SUM('Plant01 Inputs'!AM$4:AM7)=0,100,100*SUM('Plant01 Inputs'!AN$4:AN7)/SUM('Plant01 Inputs'!AM$4:AM7)),2)</f>
        <v/>
      </c>
      <c r="J57">
        <f>ROUND(IF(SUM('Plant01 Inputs'!AM$4:AM8)=0,100,100*SUM('Plant01 Inputs'!AN$4:AN8)/SUM('Plant01 Inputs'!AM$4:AM8)),2)</f>
        <v/>
      </c>
      <c r="K57">
        <f>ROUND(IF(SUM('Plant01 Inputs'!AM$4:AM9)=0,100,100*SUM('Plant01 Inputs'!AN$4:AN9)/SUM('Plant01 Inputs'!AM$4:AM9)),2)</f>
        <v/>
      </c>
      <c r="L57" t="inlineStr">
        <is>
          <t>investigations_due, investigations_completed</t>
        </is>
      </c>
    </row>
    <row r="58">
      <c r="A58" t="inlineStr">
        <is>
          <t>SIG-013</t>
        </is>
      </c>
      <c r="B58" t="inlineStr">
        <is>
          <t>Pricing pressure</t>
        </is>
      </c>
      <c r="C58" t="inlineStr">
        <is>
          <t>text</t>
        </is>
      </c>
      <c r="D58" t="inlineStr">
        <is>
          <t>Month</t>
        </is>
      </c>
      <c r="E58" t="inlineStr">
        <is>
          <t>Realised price vs plan: Low if above −1%, Medium down to −3%, High below −3%</t>
        </is>
      </c>
      <c r="F58">
        <f>IF('Plant01 Inputs'!GG4&gt;=-1,"Low",IF('Plant01 Inputs'!GG4&gt;=-3,"Medium","High"))&amp;" ("&amp;ROUND('Plant01 Inputs'!GG4,1)&amp;"% vs plan price)"</f>
        <v/>
      </c>
      <c r="G58">
        <f>IF('Plant01 Inputs'!GG5&gt;=-1,"Low",IF('Plant01 Inputs'!GG5&gt;=-3,"Medium","High"))&amp;" ("&amp;ROUND('Plant01 Inputs'!GG5,1)&amp;"% vs plan price)"</f>
        <v/>
      </c>
      <c r="H58">
        <f>IF('Plant01 Inputs'!GG6&gt;=-1,"Low",IF('Plant01 Inputs'!GG6&gt;=-3,"Medium","High"))&amp;" ("&amp;ROUND('Plant01 Inputs'!GG6,1)&amp;"% vs plan price)"</f>
        <v/>
      </c>
      <c r="I58">
        <f>IF('Plant01 Inputs'!GG7&gt;=-1,"Low",IF('Plant01 Inputs'!GG7&gt;=-3,"Medium","High"))&amp;" ("&amp;ROUND('Plant01 Inputs'!GG7,1)&amp;"% vs plan price)"</f>
        <v/>
      </c>
      <c r="J58">
        <f>IF('Plant01 Inputs'!GG8&gt;=-1,"Low",IF('Plant01 Inputs'!GG8&gt;=-3,"Medium","High"))&amp;" ("&amp;ROUND('Plant01 Inputs'!GG8,1)&amp;"% vs plan price)"</f>
        <v/>
      </c>
      <c r="K58">
        <f>IF('Plant01 Inputs'!GG9&gt;=-1,"Low",IF('Plant01 Inputs'!GG9&gt;=-3,"Medium","High"))&amp;" ("&amp;ROUND('Plant01 Inputs'!GG9,1)&amp;"% vs plan price)"</f>
        <v/>
      </c>
      <c r="L58" t="inlineStr">
        <is>
          <t>price_vs_plan_pct</t>
        </is>
      </c>
    </row>
    <row r="59">
      <c r="A59" t="inlineStr">
        <is>
          <t>PRD-001</t>
        </is>
      </c>
      <c r="B59" t="inlineStr">
        <is>
          <t>Days to breach (earliest plant)</t>
        </is>
      </c>
      <c r="C59" t="inlineStr">
        <is>
          <t>days</t>
        </is>
      </c>
      <c r="D59" t="inlineStr">
        <is>
          <t>Forecast</t>
        </is>
      </c>
      <c r="E59" t="inlineStr">
        <is>
          <t>Lowest plant forecast of days until its production plan is breached (99 = not expected)</t>
        </is>
      </c>
      <c r="F59">
        <f>ROUND('Plant01 Inputs'!BS4,2)</f>
        <v/>
      </c>
      <c r="G59">
        <f>ROUND('Plant01 Inputs'!BS5,2)</f>
        <v/>
      </c>
      <c r="H59">
        <f>ROUND('Plant01 Inputs'!BS6,2)</f>
        <v/>
      </c>
      <c r="I59">
        <f>ROUND('Plant01 Inputs'!BS7,2)</f>
        <v/>
      </c>
      <c r="J59">
        <f>ROUND('Plant01 Inputs'!BS8,2)</f>
        <v/>
      </c>
      <c r="K59">
        <f>ROUND('Plant01 Inputs'!BS9,2)</f>
        <v/>
      </c>
      <c r="L59" t="inlineStr">
        <is>
          <t>days_to_breach</t>
        </is>
      </c>
    </row>
    <row r="60">
      <c r="A60" t="inlineStr">
        <is>
          <t>PRD-002</t>
        </is>
      </c>
      <c r="B60" t="inlineStr">
        <is>
          <t>Probability of production plan miss, next month</t>
        </is>
      </c>
      <c r="C60" t="inlineStr">
        <is>
          <t>%</t>
        </is>
      </c>
      <c r="D60" t="inlineStr">
        <is>
          <t>Next month</t>
        </is>
      </c>
      <c r="E60" t="inlineStr">
        <is>
          <t>Chance that output falls below plan: normal distribution with mean = Forecast good output, spread = √(sum of plant forecast variances)</t>
        </is>
      </c>
      <c r="F60">
        <f>ROUND(100*NORM.DIST('Plant01 Inputs'!BT4,'Plant01 Inputs'!BU4,SQRT('Plant01 Inputs'!BV4),TRUE),2)</f>
        <v/>
      </c>
      <c r="G60">
        <f>ROUND(100*NORM.DIST('Plant01 Inputs'!BT5,'Plant01 Inputs'!BU5,SQRT('Plant01 Inputs'!BV5),TRUE),2)</f>
        <v/>
      </c>
      <c r="H60">
        <f>ROUND(100*NORM.DIST('Plant01 Inputs'!BT6,'Plant01 Inputs'!BU6,SQRT('Plant01 Inputs'!BV6),TRUE),2)</f>
        <v/>
      </c>
      <c r="I60">
        <f>ROUND(100*NORM.DIST('Plant01 Inputs'!BT7,'Plant01 Inputs'!BU7,SQRT('Plant01 Inputs'!BV7),TRUE),2)</f>
        <v/>
      </c>
      <c r="J60">
        <f>ROUND(100*NORM.DIST('Plant01 Inputs'!BT8,'Plant01 Inputs'!BU8,SQRT('Plant01 Inputs'!BV8),TRUE),2)</f>
        <v/>
      </c>
      <c r="K60">
        <f>ROUND(100*NORM.DIST('Plant01 Inputs'!BT9,'Plant01 Inputs'!BU9,SQRT('Plant01 Inputs'!BV9),TRUE),2)</f>
        <v/>
      </c>
      <c r="L60" t="inlineStr">
        <is>
          <t>planned_production_next_t, forecast_good_next_t, forecast_good_var_next</t>
        </is>
      </c>
    </row>
    <row r="61">
      <c r="A61" t="inlineStr">
        <is>
          <t>PRD-006</t>
        </is>
      </c>
      <c r="B61" t="inlineStr">
        <is>
          <t>Production loss from downtime, next month</t>
        </is>
      </c>
      <c r="C61" t="inlineStr">
        <is>
          <t>kt</t>
        </is>
      </c>
      <c r="D61" t="inlineStr">
        <is>
          <t>Next month</t>
        </is>
      </c>
      <c r="E61" t="inlineStr">
        <is>
          <t>Forecast production lost to downtime next month ÷ 1000</t>
        </is>
      </c>
      <c r="F61">
        <f>ROUND('Plant01 Inputs'!BX4/1000,2)</f>
        <v/>
      </c>
      <c r="G61">
        <f>ROUND('Plant01 Inputs'!BX5/1000,2)</f>
        <v/>
      </c>
      <c r="H61">
        <f>ROUND('Plant01 Inputs'!BX6/1000,2)</f>
        <v/>
      </c>
      <c r="I61">
        <f>ROUND('Plant01 Inputs'!BX7/1000,2)</f>
        <v/>
      </c>
      <c r="J61">
        <f>ROUND('Plant01 Inputs'!BX8/1000,2)</f>
        <v/>
      </c>
      <c r="K61">
        <f>ROUND('Plant01 Inputs'!BX9/1000,2)</f>
        <v/>
      </c>
      <c r="L61" t="inlineStr">
        <is>
          <t>forecast_downtime_loss_next_t</t>
        </is>
      </c>
    </row>
    <row r="62">
      <c r="A62" t="inlineStr">
        <is>
          <t>PRD-007</t>
        </is>
      </c>
      <c r="B62" t="inlineStr">
        <is>
          <t>Probability OEE below 78%, next month</t>
        </is>
      </c>
      <c r="C62" t="inlineStr">
        <is>
          <t>%</t>
        </is>
      </c>
      <c r="D62" t="inlineStr">
        <is>
          <t>Next month</t>
        </is>
      </c>
      <c r="E62" t="inlineStr">
        <is>
          <t>Chance that Forecast good output &lt; 78% × Ideal output next month (same distribution as PRD-002)</t>
        </is>
      </c>
      <c r="F62">
        <f>ROUND(100*NORM.DIST(0.78*'Plant01 Inputs'!BW4,'Plant01 Inputs'!BU4,SQRT('Plant01 Inputs'!BV4),TRUE),2)</f>
        <v/>
      </c>
      <c r="G62">
        <f>ROUND(100*NORM.DIST(0.78*'Plant01 Inputs'!BW5,'Plant01 Inputs'!BU5,SQRT('Plant01 Inputs'!BV5),TRUE),2)</f>
        <v/>
      </c>
      <c r="H62">
        <f>ROUND(100*NORM.DIST(0.78*'Plant01 Inputs'!BW6,'Plant01 Inputs'!BU6,SQRT('Plant01 Inputs'!BV6),TRUE),2)</f>
        <v/>
      </c>
      <c r="I62">
        <f>ROUND(100*NORM.DIST(0.78*'Plant01 Inputs'!BW7,'Plant01 Inputs'!BU7,SQRT('Plant01 Inputs'!BV7),TRUE),2)</f>
        <v/>
      </c>
      <c r="J62">
        <f>ROUND(100*NORM.DIST(0.78*'Plant01 Inputs'!BW8,'Plant01 Inputs'!BU8,SQRT('Plant01 Inputs'!BV8),TRUE),2)</f>
        <v/>
      </c>
      <c r="K62">
        <f>ROUND(100*NORM.DIST(0.78*'Plant01 Inputs'!BW9,'Plant01 Inputs'!BU9,SQRT('Plant01 Inputs'!BV9),TRUE),2)</f>
        <v/>
      </c>
      <c r="L62" t="inlineStr">
        <is>
          <t>forecast_good_next_t, forecast_good_var_next, ideal_output_next_t</t>
        </is>
      </c>
    </row>
    <row r="63">
      <c r="A63" t="inlineStr">
        <is>
          <t>CST-005</t>
        </is>
      </c>
      <c r="B63" t="inlineStr">
        <is>
          <t>Fixed cost YTD</t>
        </is>
      </c>
      <c r="C63" t="inlineStr">
        <is>
          <t>₹ m</t>
        </is>
      </c>
      <c r="D63" t="inlineStr">
        <is>
          <t>Year to date</t>
        </is>
      </c>
      <c r="E63" t="inlineStr">
        <is>
          <t>Sum of monthly fixed cost since April ÷ 1000</t>
        </is>
      </c>
      <c r="F63">
        <f>ROUND(SUM('Plant01 Inputs'!X$4:X4)/1000,2)</f>
        <v/>
      </c>
      <c r="G63">
        <f>ROUND(SUM('Plant01 Inputs'!X$4:X5)/1000,2)</f>
        <v/>
      </c>
      <c r="H63">
        <f>ROUND(SUM('Plant01 Inputs'!X$4:X6)/1000,2)</f>
        <v/>
      </c>
      <c r="I63">
        <f>ROUND(SUM('Plant01 Inputs'!X$4:X7)/1000,2)</f>
        <v/>
      </c>
      <c r="J63">
        <f>ROUND(SUM('Plant01 Inputs'!X$4:X8)/1000,2)</f>
        <v/>
      </c>
      <c r="K63">
        <f>ROUND(SUM('Plant01 Inputs'!X$4:X9)/1000,2)</f>
        <v/>
      </c>
      <c r="L63" t="inlineStr">
        <is>
          <t>fixed_cost_k</t>
        </is>
      </c>
    </row>
    <row r="64">
      <c r="A64" t="inlineStr">
        <is>
          <t>SIG-017</t>
        </is>
      </c>
      <c r="B64" t="inlineStr">
        <is>
          <t>Fuel exposure (fuel cost per tonne, MoM)</t>
        </is>
      </c>
      <c r="C64" t="inlineStr">
        <is>
          <t>%</t>
        </is>
      </c>
      <c r="D64" t="inlineStr">
        <is>
          <t>Month</t>
        </is>
      </c>
      <c r="E64" t="inlineStr">
        <is>
          <t>(Fuel cost ÷ good output) ÷ last month's − 1, as %</t>
        </is>
      </c>
      <c r="F64">
        <f>ROUND(IF(OR('Plant01 Inputs'!M4=0,'Plant01 Inputs'!W4=0,'Plant01 Inputs'!M4=0),0,100*(('Plant01 Inputs'!W4/'Plant01 Inputs'!M4)/('Plant01 Inputs'!W4/'Plant01 Inputs'!M4)-1)),2)</f>
        <v/>
      </c>
      <c r="G64">
        <f>ROUND(IF(OR('Plant01 Inputs'!M4=0,'Plant01 Inputs'!W4=0,'Plant01 Inputs'!M5=0),0,100*(('Plant01 Inputs'!W5/'Plant01 Inputs'!M5)/('Plant01 Inputs'!W4/'Plant01 Inputs'!M4)-1)),2)</f>
        <v/>
      </c>
      <c r="H64">
        <f>ROUND(IF(OR('Plant01 Inputs'!M5=0,'Plant01 Inputs'!W5=0,'Plant01 Inputs'!M6=0),0,100*(('Plant01 Inputs'!W6/'Plant01 Inputs'!M6)/('Plant01 Inputs'!W5/'Plant01 Inputs'!M5)-1)),2)</f>
        <v/>
      </c>
      <c r="I64">
        <f>ROUND(IF(OR('Plant01 Inputs'!M6=0,'Plant01 Inputs'!W6=0,'Plant01 Inputs'!M7=0),0,100*(('Plant01 Inputs'!W7/'Plant01 Inputs'!M7)/('Plant01 Inputs'!W6/'Plant01 Inputs'!M6)-1)),2)</f>
        <v/>
      </c>
      <c r="J64">
        <f>ROUND(IF(OR('Plant01 Inputs'!M7=0,'Plant01 Inputs'!W7=0,'Plant01 Inputs'!M8=0),0,100*(('Plant01 Inputs'!W8/'Plant01 Inputs'!M8)/('Plant01 Inputs'!W7/'Plant01 Inputs'!M7)-1)),2)</f>
        <v/>
      </c>
      <c r="K64">
        <f>ROUND(IF(OR('Plant01 Inputs'!M8=0,'Plant01 Inputs'!W8=0,'Plant01 Inputs'!M9=0),0,100*(('Plant01 Inputs'!W9/'Plant01 Inputs'!M9)/('Plant01 Inputs'!W8/'Plant01 Inputs'!M8)-1)),2)</f>
        <v/>
      </c>
      <c r="L64" t="inlineStr">
        <is>
          <t>fuel_cost_k, good_output_t</t>
        </is>
      </c>
    </row>
    <row r="65">
      <c r="A65" t="inlineStr">
        <is>
          <t>SIG-018</t>
        </is>
      </c>
      <c r="B65" t="inlineStr">
        <is>
          <t>Power-cost exposure (power cost per tonne, MoM)</t>
        </is>
      </c>
      <c r="C65" t="inlineStr">
        <is>
          <t>%</t>
        </is>
      </c>
      <c r="D65" t="inlineStr">
        <is>
          <t>Month</t>
        </is>
      </c>
      <c r="E65" t="inlineStr">
        <is>
          <t>(Power cost ÷ good output) ÷ last month's − 1, as %</t>
        </is>
      </c>
      <c r="F65">
        <f>ROUND(IF(OR('Plant01 Inputs'!M4=0,'Plant01 Inputs'!AW4=0,'Plant01 Inputs'!M4=0),0,100*(('Plant01 Inputs'!AW4/'Plant01 Inputs'!M4)/('Plant01 Inputs'!AW4/'Plant01 Inputs'!M4)-1)),2)</f>
        <v/>
      </c>
      <c r="G65">
        <f>ROUND(IF(OR('Plant01 Inputs'!M4=0,'Plant01 Inputs'!AW4=0,'Plant01 Inputs'!M5=0),0,100*(('Plant01 Inputs'!AW5/'Plant01 Inputs'!M5)/('Plant01 Inputs'!AW4/'Plant01 Inputs'!M4)-1)),2)</f>
        <v/>
      </c>
      <c r="H65">
        <f>ROUND(IF(OR('Plant01 Inputs'!M5=0,'Plant01 Inputs'!AW5=0,'Plant01 Inputs'!M6=0),0,100*(('Plant01 Inputs'!AW6/'Plant01 Inputs'!M6)/('Plant01 Inputs'!AW5/'Plant01 Inputs'!M5)-1)),2)</f>
        <v/>
      </c>
      <c r="I65">
        <f>ROUND(IF(OR('Plant01 Inputs'!M6=0,'Plant01 Inputs'!AW6=0,'Plant01 Inputs'!M7=0),0,100*(('Plant01 Inputs'!AW7/'Plant01 Inputs'!M7)/('Plant01 Inputs'!AW6/'Plant01 Inputs'!M6)-1)),2)</f>
        <v/>
      </c>
      <c r="J65">
        <f>ROUND(IF(OR('Plant01 Inputs'!M7=0,'Plant01 Inputs'!AW7=0,'Plant01 Inputs'!M8=0),0,100*(('Plant01 Inputs'!AW8/'Plant01 Inputs'!M8)/('Plant01 Inputs'!AW7/'Plant01 Inputs'!M7)-1)),2)</f>
        <v/>
      </c>
      <c r="K65">
        <f>ROUND(IF(OR('Plant01 Inputs'!M8=0,'Plant01 Inputs'!AW8=0,'Plant01 Inputs'!M9=0),0,100*(('Plant01 Inputs'!AW9/'Plant01 Inputs'!M9)/('Plant01 Inputs'!AW8/'Plant01 Inputs'!M8)-1)),2)</f>
        <v/>
      </c>
      <c r="L65" t="inlineStr">
        <is>
          <t>good_output_t, power_cost_k</t>
        </is>
      </c>
    </row>
    <row r="66">
      <c r="A66" t="inlineStr">
        <is>
          <t>SIG-001</t>
        </is>
      </c>
      <c r="B66" t="inlineStr">
        <is>
          <t>Unplanned downtime (same measure as REL-003)</t>
        </is>
      </c>
      <c r="C66" t="inlineStr">
        <is>
          <t>h</t>
        </is>
      </c>
      <c r="D66" t="inlineStr">
        <is>
          <t>Month</t>
        </is>
      </c>
      <c r="E66" t="inlineStr">
        <is>
          <t>Alias of REL-003: same value</t>
        </is>
      </c>
      <c r="F66">
        <f>F10</f>
        <v/>
      </c>
      <c r="G66">
        <f>G10</f>
        <v/>
      </c>
      <c r="H66">
        <f>H10</f>
        <v/>
      </c>
      <c r="I66">
        <f>I10</f>
        <v/>
      </c>
      <c r="J66">
        <f>J10</f>
        <v/>
      </c>
      <c r="K66">
        <f>K10</f>
        <v/>
      </c>
      <c r="L66" t="inlineStr">
        <is>
          <t>unplanned_downtime_hours</t>
        </is>
      </c>
    </row>
    <row r="67">
      <c r="A67" t="inlineStr">
        <is>
          <t>SIG-002</t>
        </is>
      </c>
      <c r="B67" t="inlineStr">
        <is>
          <t>Yield (same measure as PLT-005)</t>
        </is>
      </c>
      <c r="C67" t="inlineStr">
        <is>
          <t>%</t>
        </is>
      </c>
      <c r="D67" t="inlineStr">
        <is>
          <t>Month</t>
        </is>
      </c>
      <c r="E67" t="inlineStr">
        <is>
          <t>Alias of PLT-005: same value</t>
        </is>
      </c>
      <c r="F67">
        <f>F7</f>
        <v/>
      </c>
      <c r="G67">
        <f>G7</f>
        <v/>
      </c>
      <c r="H67">
        <f>H7</f>
        <v/>
      </c>
      <c r="I67">
        <f>I7</f>
        <v/>
      </c>
      <c r="J67">
        <f>J7</f>
        <v/>
      </c>
      <c r="K67">
        <f>K7</f>
        <v/>
      </c>
      <c r="L67" t="inlineStr">
        <is>
          <t>good_output_t, feed_input_t</t>
        </is>
      </c>
    </row>
    <row r="68">
      <c r="A68" t="inlineStr">
        <is>
          <t>SIG-003</t>
        </is>
      </c>
      <c r="B68" t="inlineStr">
        <is>
          <t>Recovery percentage (same measure as PLT-004)</t>
        </is>
      </c>
      <c r="C68" t="inlineStr">
        <is>
          <t>%</t>
        </is>
      </c>
      <c r="D68" t="inlineStr">
        <is>
          <t>Month</t>
        </is>
      </c>
      <c r="E68" t="inlineStr">
        <is>
          <t>Alias of PLT-004: same value</t>
        </is>
      </c>
      <c r="F68">
        <f>F6</f>
        <v/>
      </c>
      <c r="G68">
        <f>G6</f>
        <v/>
      </c>
      <c r="H68">
        <f>H6</f>
        <v/>
      </c>
      <c r="I68">
        <f>I6</f>
        <v/>
      </c>
      <c r="J68">
        <f>J6</f>
        <v/>
      </c>
      <c r="K68">
        <f>K6</f>
        <v/>
      </c>
      <c r="L68" t="inlineStr">
        <is>
          <t>feed_contained_t, recovered_contained_t</t>
        </is>
      </c>
    </row>
    <row r="69">
      <c r="A69" t="inlineStr">
        <is>
          <t>SIG-019</t>
        </is>
      </c>
      <c r="B69" t="inlineStr">
        <is>
          <t>Regulatory deadlines, next 30 days (same measure as REG-002)</t>
        </is>
      </c>
      <c r="C69" t="inlineStr">
        <is>
          <t>count</t>
        </is>
      </c>
      <c r="D69" t="inlineStr">
        <is>
          <t>Month end</t>
        </is>
      </c>
      <c r="E69" t="inlineStr">
        <is>
          <t>Alias of REG-002: same value</t>
        </is>
      </c>
      <c r="F69">
        <f>F46</f>
        <v/>
      </c>
      <c r="G69">
        <f>G46</f>
        <v/>
      </c>
      <c r="H69">
        <f>H46</f>
        <v/>
      </c>
      <c r="I69">
        <f>I46</f>
        <v/>
      </c>
      <c r="J69">
        <f>J46</f>
        <v/>
      </c>
      <c r="K69">
        <f>K46</f>
        <v/>
      </c>
      <c r="L69" t="inlineStr">
        <is>
          <t>reg_deadlines_30d</t>
        </is>
      </c>
    </row>
    <row r="70">
      <c r="A70" t="inlineStr">
        <is>
          <t>SIG-020</t>
        </is>
      </c>
      <c r="B70" t="inlineStr">
        <is>
          <t>Licence expirations, next 12 months (same measure as REG-003)</t>
        </is>
      </c>
      <c r="C70" t="inlineStr">
        <is>
          <t>count</t>
        </is>
      </c>
      <c r="D70" t="inlineStr">
        <is>
          <t>Month end</t>
        </is>
      </c>
      <c r="E70" t="inlineStr">
        <is>
          <t>Alias of REG-003: same value</t>
        </is>
      </c>
      <c r="F70">
        <f>F47</f>
        <v/>
      </c>
      <c r="G70">
        <f>G47</f>
        <v/>
      </c>
      <c r="H70">
        <f>H47</f>
        <v/>
      </c>
      <c r="I70">
        <f>I47</f>
        <v/>
      </c>
      <c r="J70">
        <f>J47</f>
        <v/>
      </c>
      <c r="K70">
        <f>K47</f>
        <v/>
      </c>
      <c r="L70" t="inlineStr">
        <is>
          <t>licences_expiring_12m</t>
        </is>
      </c>
    </row>
    <row r="71">
      <c r="A71" t="inlineStr">
        <is>
          <t>RSK-002</t>
        </is>
      </c>
      <c r="B71" t="inlineStr">
        <is>
          <t>Severity incidents (same measure as EHS-002)</t>
        </is>
      </c>
      <c r="C71" t="inlineStr">
        <is>
          <t>count</t>
        </is>
      </c>
      <c r="D71" t="inlineStr">
        <is>
          <t>Month</t>
        </is>
      </c>
      <c r="E71" t="inlineStr">
        <is>
          <t>Alias of EHS-002: same value</t>
        </is>
      </c>
      <c r="F71">
        <f>F25</f>
        <v/>
      </c>
      <c r="G71">
        <f>G25</f>
        <v/>
      </c>
      <c r="H71">
        <f>H25</f>
        <v/>
      </c>
      <c r="I71">
        <f>I25</f>
        <v/>
      </c>
      <c r="J71">
        <f>J25</f>
        <v/>
      </c>
      <c r="K71">
        <f>K25</f>
        <v/>
      </c>
      <c r="L71" t="inlineStr">
        <is>
          <t>severity_incidents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7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10" customWidth="1" min="3" max="3"/>
    <col width="12" customWidth="1" min="4" max="4"/>
    <col width="60" customWidth="1" min="5" max="5"/>
  </cols>
  <sheetData>
    <row r="1">
      <c r="A1" s="26" t="inlineStr">
        <is>
          <t>KPI ID</t>
        </is>
      </c>
      <c r="B1" s="26" t="inlineStr">
        <is>
          <t>Measure</t>
        </is>
      </c>
      <c r="C1" s="26" t="inlineStr">
        <is>
          <t>Unit</t>
        </is>
      </c>
      <c r="D1" s="26" t="inlineStr">
        <is>
          <t>Time basis</t>
        </is>
      </c>
      <c r="E1" s="26" t="inlineStr">
        <is>
          <t>How it is calculated</t>
        </is>
      </c>
      <c r="F1" s="26" t="inlineStr">
        <is>
          <t>2026-04 (P01)</t>
        </is>
      </c>
      <c r="G1" s="26" t="inlineStr">
        <is>
          <t>2026-05 (P02)</t>
        </is>
      </c>
      <c r="H1" s="26" t="inlineStr">
        <is>
          <t>2026-06 (P03)</t>
        </is>
      </c>
      <c r="I1" s="26" t="inlineStr">
        <is>
          <t>2026-07 (P04)</t>
        </is>
      </c>
      <c r="J1" s="26" t="inlineStr">
        <is>
          <t>2026-08 (P05)</t>
        </is>
      </c>
      <c r="K1" s="26" t="inlineStr">
        <is>
          <t>2026-09 (P06)</t>
        </is>
      </c>
      <c r="L1" s="26" t="inlineStr">
        <is>
          <t>Inputs used</t>
        </is>
      </c>
    </row>
    <row r="2">
      <c r="A2" t="inlineStr">
        <is>
          <t>OPS-001</t>
        </is>
      </c>
      <c r="B2" t="inlineStr">
        <is>
          <t>Production vs plan</t>
        </is>
      </c>
      <c r="C2" t="inlineStr">
        <is>
          <t>%</t>
        </is>
      </c>
      <c r="D2" t="inlineStr">
        <is>
          <t>Month</t>
        </is>
      </c>
      <c r="E2" t="inlineStr">
        <is>
          <t>Good output ÷ Planned production × 100</t>
        </is>
      </c>
      <c r="F2">
        <f>ROUND(IFERROR(100*'Plant02 Inputs'!M4/'Plant02 Inputs'!K4,0),2)</f>
        <v/>
      </c>
      <c r="G2">
        <f>ROUND(IFERROR(100*'Plant02 Inputs'!M5/'Plant02 Inputs'!K5,0),2)</f>
        <v/>
      </c>
      <c r="H2">
        <f>ROUND(IFERROR(100*'Plant02 Inputs'!M6/'Plant02 Inputs'!K6,0),2)</f>
        <v/>
      </c>
      <c r="I2">
        <f>ROUND(IFERROR(100*'Plant02 Inputs'!M7/'Plant02 Inputs'!K7,0),2)</f>
        <v/>
      </c>
      <c r="J2">
        <f>ROUND(IFERROR(100*'Plant02 Inputs'!M8/'Plant02 Inputs'!K8,0),2)</f>
        <v/>
      </c>
      <c r="K2">
        <f>ROUND(IFERROR(100*'Plant02 Inputs'!M9/'Plant02 Inputs'!K9,0),2)</f>
        <v/>
      </c>
      <c r="L2" t="inlineStr">
        <is>
          <t>planned_production_t, good_output_t</t>
        </is>
      </c>
    </row>
    <row r="3">
      <c r="A3" t="inlineStr">
        <is>
          <t>OPS-003</t>
        </is>
      </c>
      <c r="B3" t="inlineStr">
        <is>
          <t>Capacity utilization</t>
        </is>
      </c>
      <c r="C3" t="inlineStr">
        <is>
          <t>%</t>
        </is>
      </c>
      <c r="D3" t="inlineStr">
        <is>
          <t>Month</t>
        </is>
      </c>
      <c r="E3" t="inlineStr">
        <is>
          <t>Good output ÷ Installed capacity × 100</t>
        </is>
      </c>
      <c r="F3">
        <f>ROUND(IFERROR(100*'Plant02 Inputs'!M4/'Plant02 Inputs'!J4,0),2)</f>
        <v/>
      </c>
      <c r="G3">
        <f>ROUND(IFERROR(100*'Plant02 Inputs'!M5/'Plant02 Inputs'!J5,0),2)</f>
        <v/>
      </c>
      <c r="H3">
        <f>ROUND(IFERROR(100*'Plant02 Inputs'!M6/'Plant02 Inputs'!J6,0),2)</f>
        <v/>
      </c>
      <c r="I3">
        <f>ROUND(IFERROR(100*'Plant02 Inputs'!M7/'Plant02 Inputs'!J7,0),2)</f>
        <v/>
      </c>
      <c r="J3">
        <f>ROUND(IFERROR(100*'Plant02 Inputs'!M8/'Plant02 Inputs'!J8,0),2)</f>
        <v/>
      </c>
      <c r="K3">
        <f>ROUND(IFERROR(100*'Plant02 Inputs'!M9/'Plant02 Inputs'!J9,0),2)</f>
        <v/>
      </c>
      <c r="L3" t="inlineStr">
        <is>
          <t>installed_capacity_t, good_output_t</t>
        </is>
      </c>
    </row>
    <row r="4">
      <c r="A4" t="inlineStr">
        <is>
          <t>PLT-001</t>
        </is>
      </c>
      <c r="B4" t="inlineStr">
        <is>
          <t>Asset utilization</t>
        </is>
      </c>
      <c r="C4" t="inlineStr">
        <is>
          <t>%</t>
        </is>
      </c>
      <c r="D4" t="inlineStr">
        <is>
          <t>Month</t>
        </is>
      </c>
      <c r="E4" t="inlineStr">
        <is>
          <t>Run hours ÷ Calendar hours × 100</t>
        </is>
      </c>
      <c r="F4">
        <f>ROUND(IFERROR(100*'Plant02 Inputs'!G4/'Plant02 Inputs'!E4,0),2)</f>
        <v/>
      </c>
      <c r="G4">
        <f>ROUND(IFERROR(100*'Plant02 Inputs'!G5/'Plant02 Inputs'!E5,0),2)</f>
        <v/>
      </c>
      <c r="H4">
        <f>ROUND(IFERROR(100*'Plant02 Inputs'!G6/'Plant02 Inputs'!E6,0),2)</f>
        <v/>
      </c>
      <c r="I4">
        <f>ROUND(IFERROR(100*'Plant02 Inputs'!G7/'Plant02 Inputs'!E7,0),2)</f>
        <v/>
      </c>
      <c r="J4">
        <f>ROUND(IFERROR(100*'Plant02 Inputs'!G8/'Plant02 Inputs'!E8,0),2)</f>
        <v/>
      </c>
      <c r="K4">
        <f>ROUND(IFERROR(100*'Plant02 Inputs'!G9/'Plant02 Inputs'!E9,0),2)</f>
        <v/>
      </c>
      <c r="L4" t="inlineStr">
        <is>
          <t>calendar_hours, run_hours</t>
        </is>
      </c>
    </row>
    <row r="5">
      <c r="A5" t="inlineStr">
        <is>
          <t>PLT-002</t>
        </is>
      </c>
      <c r="B5" t="inlineStr">
        <is>
          <t>OEE</t>
        </is>
      </c>
      <c r="C5" t="inlineStr">
        <is>
          <t>%</t>
        </is>
      </c>
      <c r="D5" t="inlineStr">
        <is>
          <t>Month</t>
        </is>
      </c>
      <c r="E5" t="inlineStr">
        <is>
          <t>Availability × Performance × Quality = Good output ÷ Ideal output × 100</t>
        </is>
      </c>
      <c r="F5">
        <f>ROUND(IFERROR(100*'Plant02 Inputs'!M4/'Plant02 Inputs'!I4,0),2)</f>
        <v/>
      </c>
      <c r="G5">
        <f>ROUND(IFERROR(100*'Plant02 Inputs'!M5/'Plant02 Inputs'!I5,0),2)</f>
        <v/>
      </c>
      <c r="H5">
        <f>ROUND(IFERROR(100*'Plant02 Inputs'!M6/'Plant02 Inputs'!I6,0),2)</f>
        <v/>
      </c>
      <c r="I5">
        <f>ROUND(IFERROR(100*'Plant02 Inputs'!M7/'Plant02 Inputs'!I7,0),2)</f>
        <v/>
      </c>
      <c r="J5">
        <f>ROUND(IFERROR(100*'Plant02 Inputs'!M8/'Plant02 Inputs'!I8,0),2)</f>
        <v/>
      </c>
      <c r="K5">
        <f>ROUND(IFERROR(100*'Plant02 Inputs'!M9/'Plant02 Inputs'!I9,0),2)</f>
        <v/>
      </c>
      <c r="L5" t="inlineStr">
        <is>
          <t>ideal_output_t, good_output_t</t>
        </is>
      </c>
    </row>
    <row r="6">
      <c r="A6" t="inlineStr">
        <is>
          <t>PLT-004</t>
        </is>
      </c>
      <c r="B6" t="inlineStr">
        <is>
          <t>Recovery percentage</t>
        </is>
      </c>
      <c r="C6" t="inlineStr">
        <is>
          <t>%</t>
        </is>
      </c>
      <c r="D6" t="inlineStr">
        <is>
          <t>Month</t>
        </is>
      </c>
      <c r="E6" t="inlineStr">
        <is>
          <t>Valuable content recovered ÷ Valuable content in feed × 100</t>
        </is>
      </c>
      <c r="F6">
        <f>ROUND(IFERROR(100*'Plant02 Inputs'!P4/'Plant02 Inputs'!O4,0),2)</f>
        <v/>
      </c>
      <c r="G6">
        <f>ROUND(IFERROR(100*'Plant02 Inputs'!P5/'Plant02 Inputs'!O5,0),2)</f>
        <v/>
      </c>
      <c r="H6">
        <f>ROUND(IFERROR(100*'Plant02 Inputs'!P6/'Plant02 Inputs'!O6,0),2)</f>
        <v/>
      </c>
      <c r="I6">
        <f>ROUND(IFERROR(100*'Plant02 Inputs'!P7/'Plant02 Inputs'!O7,0),2)</f>
        <v/>
      </c>
      <c r="J6">
        <f>ROUND(IFERROR(100*'Plant02 Inputs'!P8/'Plant02 Inputs'!O8,0),2)</f>
        <v/>
      </c>
      <c r="K6">
        <f>ROUND(IFERROR(100*'Plant02 Inputs'!P9/'Plant02 Inputs'!O9,0),2)</f>
        <v/>
      </c>
      <c r="L6" t="inlineStr">
        <is>
          <t>feed_contained_t, recovered_contained_t</t>
        </is>
      </c>
    </row>
    <row r="7">
      <c r="A7" t="inlineStr">
        <is>
          <t>PLT-005</t>
        </is>
      </c>
      <c r="B7" t="inlineStr">
        <is>
          <t>Yield</t>
        </is>
      </c>
      <c r="C7" t="inlineStr">
        <is>
          <t>%</t>
        </is>
      </c>
      <c r="D7" t="inlineStr">
        <is>
          <t>Month</t>
        </is>
      </c>
      <c r="E7" t="inlineStr">
        <is>
          <t>Good output ÷ Feed input × 100</t>
        </is>
      </c>
      <c r="F7">
        <f>ROUND(IFERROR(100*'Plant02 Inputs'!M4/'Plant02 Inputs'!N4,0),2)</f>
        <v/>
      </c>
      <c r="G7">
        <f>ROUND(IFERROR(100*'Plant02 Inputs'!M5/'Plant02 Inputs'!N5,0),2)</f>
        <v/>
      </c>
      <c r="H7">
        <f>ROUND(IFERROR(100*'Plant02 Inputs'!M6/'Plant02 Inputs'!N6,0),2)</f>
        <v/>
      </c>
      <c r="I7">
        <f>ROUND(IFERROR(100*'Plant02 Inputs'!M7/'Plant02 Inputs'!N7,0),2)</f>
        <v/>
      </c>
      <c r="J7">
        <f>ROUND(IFERROR(100*'Plant02 Inputs'!M8/'Plant02 Inputs'!N8,0),2)</f>
        <v/>
      </c>
      <c r="K7">
        <f>ROUND(IFERROR(100*'Plant02 Inputs'!M9/'Plant02 Inputs'!N9,0),2)</f>
        <v/>
      </c>
      <c r="L7" t="inlineStr">
        <is>
          <t>good_output_t, feed_input_t</t>
        </is>
      </c>
    </row>
    <row r="8">
      <c r="A8" t="inlineStr">
        <is>
          <t>REL-001</t>
        </is>
      </c>
      <c r="B8" t="inlineStr">
        <is>
          <t>MTBF</t>
        </is>
      </c>
      <c r="C8" t="inlineStr">
        <is>
          <t>h</t>
        </is>
      </c>
      <c r="D8" t="inlineStr">
        <is>
          <t>Month</t>
        </is>
      </c>
      <c r="E8" t="inlineStr">
        <is>
          <t>Run hours ÷ Breakdowns</t>
        </is>
      </c>
      <c r="F8">
        <f>ROUND(IFERROR('Plant02 Inputs'!G4/'Plant02 Inputs'!R4,0),2)</f>
        <v/>
      </c>
      <c r="G8">
        <f>ROUND(IFERROR('Plant02 Inputs'!G5/'Plant02 Inputs'!R5,0),2)</f>
        <v/>
      </c>
      <c r="H8">
        <f>ROUND(IFERROR('Plant02 Inputs'!G6/'Plant02 Inputs'!R6,0),2)</f>
        <v/>
      </c>
      <c r="I8">
        <f>ROUND(IFERROR('Plant02 Inputs'!G7/'Plant02 Inputs'!R7,0),2)</f>
        <v/>
      </c>
      <c r="J8">
        <f>ROUND(IFERROR('Plant02 Inputs'!G8/'Plant02 Inputs'!R8,0),2)</f>
        <v/>
      </c>
      <c r="K8">
        <f>ROUND(IFERROR('Plant02 Inputs'!G9/'Plant02 Inputs'!R9,0),2)</f>
        <v/>
      </c>
      <c r="L8" t="inlineStr">
        <is>
          <t>run_hours, failures</t>
        </is>
      </c>
    </row>
    <row r="9">
      <c r="A9" t="inlineStr">
        <is>
          <t>REL-002</t>
        </is>
      </c>
      <c r="B9" t="inlineStr">
        <is>
          <t>Mean Time to Repair</t>
        </is>
      </c>
      <c r="C9" t="inlineStr">
        <is>
          <t>h</t>
        </is>
      </c>
      <c r="D9" t="inlineStr">
        <is>
          <t>Month</t>
        </is>
      </c>
      <c r="E9" t="inlineStr">
        <is>
          <t>Repair hours ÷ Breakdowns</t>
        </is>
      </c>
      <c r="F9">
        <f>ROUND(IFERROR('Plant02 Inputs'!S4/'Plant02 Inputs'!R4,0),2)</f>
        <v/>
      </c>
      <c r="G9">
        <f>ROUND(IFERROR('Plant02 Inputs'!S5/'Plant02 Inputs'!R5,0),2)</f>
        <v/>
      </c>
      <c r="H9">
        <f>ROUND(IFERROR('Plant02 Inputs'!S6/'Plant02 Inputs'!R6,0),2)</f>
        <v/>
      </c>
      <c r="I9">
        <f>ROUND(IFERROR('Plant02 Inputs'!S7/'Plant02 Inputs'!R7,0),2)</f>
        <v/>
      </c>
      <c r="J9">
        <f>ROUND(IFERROR('Plant02 Inputs'!S8/'Plant02 Inputs'!R8,0),2)</f>
        <v/>
      </c>
      <c r="K9">
        <f>ROUND(IFERROR('Plant02 Inputs'!S9/'Plant02 Inputs'!R9,0),2)</f>
        <v/>
      </c>
      <c r="L9" t="inlineStr">
        <is>
          <t>failures, repair_hours</t>
        </is>
      </c>
    </row>
    <row r="10">
      <c r="A10" t="inlineStr">
        <is>
          <t>REL-003</t>
        </is>
      </c>
      <c r="B10" t="inlineStr">
        <is>
          <t>Unplanned downtime</t>
        </is>
      </c>
      <c r="C10" t="inlineStr">
        <is>
          <t>h</t>
        </is>
      </c>
      <c r="D10" t="inlineStr">
        <is>
          <t>Month</t>
        </is>
      </c>
      <c r="E10" t="inlineStr">
        <is>
          <t>Unplanned downtime</t>
        </is>
      </c>
      <c r="F10">
        <f>ROUND('Plant02 Inputs'!H4,2)</f>
        <v/>
      </c>
      <c r="G10">
        <f>ROUND('Plant02 Inputs'!H5,2)</f>
        <v/>
      </c>
      <c r="H10">
        <f>ROUND('Plant02 Inputs'!H6,2)</f>
        <v/>
      </c>
      <c r="I10">
        <f>ROUND('Plant02 Inputs'!H7,2)</f>
        <v/>
      </c>
      <c r="J10">
        <f>ROUND('Plant02 Inputs'!H8,2)</f>
        <v/>
      </c>
      <c r="K10">
        <f>ROUND('Plant02 Inputs'!H9,2)</f>
        <v/>
      </c>
      <c r="L10" t="inlineStr">
        <is>
          <t>unplanned_downtime_hours</t>
        </is>
      </c>
    </row>
    <row r="11">
      <c r="A11" t="inlineStr">
        <is>
          <t>REL-004</t>
        </is>
      </c>
      <c r="B11" t="inlineStr">
        <is>
          <t>Production loss from downtime</t>
        </is>
      </c>
      <c r="C11" t="inlineStr">
        <is>
          <t>t</t>
        </is>
      </c>
      <c r="D11" t="inlineStr">
        <is>
          <t>Month</t>
        </is>
      </c>
      <c r="E11" t="inlineStr">
        <is>
          <t>Production lost to downtime</t>
        </is>
      </c>
      <c r="F11">
        <f>ROUND('Plant02 Inputs'!Q4,2)</f>
        <v/>
      </c>
      <c r="G11">
        <f>ROUND('Plant02 Inputs'!Q5,2)</f>
        <v/>
      </c>
      <c r="H11">
        <f>ROUND('Plant02 Inputs'!Q6,2)</f>
        <v/>
      </c>
      <c r="I11">
        <f>ROUND('Plant02 Inputs'!Q7,2)</f>
        <v/>
      </c>
      <c r="J11">
        <f>ROUND('Plant02 Inputs'!Q8,2)</f>
        <v/>
      </c>
      <c r="K11">
        <f>ROUND('Plant02 Inputs'!Q9,2)</f>
        <v/>
      </c>
      <c r="L11" t="inlineStr">
        <is>
          <t>prod_loss_downtime_t</t>
        </is>
      </c>
    </row>
    <row r="12">
      <c r="A12" t="inlineStr">
        <is>
          <t>REL-005</t>
        </is>
      </c>
      <c r="B12" t="inlineStr">
        <is>
          <t>Preventive-maintenance compliance</t>
        </is>
      </c>
      <c r="C12" t="inlineStr">
        <is>
          <t>%</t>
        </is>
      </c>
      <c r="D12" t="inlineStr">
        <is>
          <t>Month</t>
        </is>
      </c>
      <c r="E12" t="inlineStr">
        <is>
          <t>Preventive maintenance completed ÷ Preventive maintenance scheduled × 100</t>
        </is>
      </c>
      <c r="F12">
        <f>ROUND(IFERROR(100*'Plant02 Inputs'!U4/'Plant02 Inputs'!T4,0),2)</f>
        <v/>
      </c>
      <c r="G12">
        <f>ROUND(IFERROR(100*'Plant02 Inputs'!U5/'Plant02 Inputs'!T5,0),2)</f>
        <v/>
      </c>
      <c r="H12">
        <f>ROUND(IFERROR(100*'Plant02 Inputs'!U6/'Plant02 Inputs'!T6,0),2)</f>
        <v/>
      </c>
      <c r="I12">
        <f>ROUND(IFERROR(100*'Plant02 Inputs'!U7/'Plant02 Inputs'!T7,0),2)</f>
        <v/>
      </c>
      <c r="J12">
        <f>ROUND(IFERROR(100*'Plant02 Inputs'!U8/'Plant02 Inputs'!T8,0),2)</f>
        <v/>
      </c>
      <c r="K12">
        <f>ROUND(IFERROR(100*'Plant02 Inputs'!U9/'Plant02 Inputs'!T9,0),2)</f>
        <v/>
      </c>
      <c r="L12" t="inlineStr">
        <is>
          <t>pm_scheduled, pm_completed</t>
        </is>
      </c>
    </row>
    <row r="13">
      <c r="A13" t="inlineStr">
        <is>
          <t>CST-001</t>
        </is>
      </c>
      <c r="B13" t="inlineStr">
        <is>
          <t>Cost per tonne</t>
        </is>
      </c>
      <c r="C13" t="inlineStr">
        <is>
          <t>₹/t</t>
        </is>
      </c>
      <c r="D13" t="inlineStr">
        <is>
          <t>Month</t>
        </is>
      </c>
      <c r="E13" t="inlineStr">
        <is>
          <t>(Variable cost + Fixed cost) × 1000 ÷ Good output</t>
        </is>
      </c>
      <c r="F13">
        <f>ROUND(IFERROR(1000*('Plant02 Inputs'!V4+'Plant02 Inputs'!X4)/'Plant02 Inputs'!M4,0),2)</f>
        <v/>
      </c>
      <c r="G13">
        <f>ROUND(IFERROR(1000*('Plant02 Inputs'!V5+'Plant02 Inputs'!X5)/'Plant02 Inputs'!M5,0),2)</f>
        <v/>
      </c>
      <c r="H13">
        <f>ROUND(IFERROR(1000*('Plant02 Inputs'!V6+'Plant02 Inputs'!X6)/'Plant02 Inputs'!M6,0),2)</f>
        <v/>
      </c>
      <c r="I13">
        <f>ROUND(IFERROR(1000*('Plant02 Inputs'!V7+'Plant02 Inputs'!X7)/'Plant02 Inputs'!M7,0),2)</f>
        <v/>
      </c>
      <c r="J13">
        <f>ROUND(IFERROR(1000*('Plant02 Inputs'!V8+'Plant02 Inputs'!X8)/'Plant02 Inputs'!M8,0),2)</f>
        <v/>
      </c>
      <c r="K13">
        <f>ROUND(IFERROR(1000*('Plant02 Inputs'!V9+'Plant02 Inputs'!X9)/'Plant02 Inputs'!M9,0),2)</f>
        <v/>
      </c>
      <c r="L13" t="inlineStr">
        <is>
          <t>good_output_t, variable_cost_k, fixed_cost_k</t>
        </is>
      </c>
    </row>
    <row r="14">
      <c r="A14" t="inlineStr">
        <is>
          <t>CST-002</t>
        </is>
      </c>
      <c r="B14" t="inlineStr">
        <is>
          <t>Variable cost</t>
        </is>
      </c>
      <c r="C14" t="inlineStr">
        <is>
          <t>₹ thousand</t>
        </is>
      </c>
      <c r="D14" t="inlineStr">
        <is>
          <t>Month</t>
        </is>
      </c>
      <c r="E14" t="inlineStr">
        <is>
          <t>Variable cost</t>
        </is>
      </c>
      <c r="F14">
        <f>ROUND('Plant02 Inputs'!V4,2)</f>
        <v/>
      </c>
      <c r="G14">
        <f>ROUND('Plant02 Inputs'!V5,2)</f>
        <v/>
      </c>
      <c r="H14">
        <f>ROUND('Plant02 Inputs'!V6,2)</f>
        <v/>
      </c>
      <c r="I14">
        <f>ROUND('Plant02 Inputs'!V7,2)</f>
        <v/>
      </c>
      <c r="J14">
        <f>ROUND('Plant02 Inputs'!V8,2)</f>
        <v/>
      </c>
      <c r="K14">
        <f>ROUND('Plant02 Inputs'!V9,2)</f>
        <v/>
      </c>
      <c r="L14" t="inlineStr">
        <is>
          <t>variable_cost_k</t>
        </is>
      </c>
    </row>
    <row r="15">
      <c r="A15" t="inlineStr">
        <is>
          <t>CST-003</t>
        </is>
      </c>
      <c r="B15" t="inlineStr">
        <is>
          <t>Fuel cost</t>
        </is>
      </c>
      <c r="C15" t="inlineStr">
        <is>
          <t>₹ thousand</t>
        </is>
      </c>
      <c r="D15" t="inlineStr">
        <is>
          <t>Month</t>
        </is>
      </c>
      <c r="E15" t="inlineStr">
        <is>
          <t>Fuel cost</t>
        </is>
      </c>
      <c r="F15">
        <f>ROUND('Plant02 Inputs'!W4,2)</f>
        <v/>
      </c>
      <c r="G15">
        <f>ROUND('Plant02 Inputs'!W5,2)</f>
        <v/>
      </c>
      <c r="H15">
        <f>ROUND('Plant02 Inputs'!W6,2)</f>
        <v/>
      </c>
      <c r="I15">
        <f>ROUND('Plant02 Inputs'!W7,2)</f>
        <v/>
      </c>
      <c r="J15">
        <f>ROUND('Plant02 Inputs'!W8,2)</f>
        <v/>
      </c>
      <c r="K15">
        <f>ROUND('Plant02 Inputs'!W9,2)</f>
        <v/>
      </c>
      <c r="L15" t="inlineStr">
        <is>
          <t>fuel_cost_k</t>
        </is>
      </c>
    </row>
    <row r="16">
      <c r="A16" t="inlineStr">
        <is>
          <t>SUS-001</t>
        </is>
      </c>
      <c r="B16" t="inlineStr">
        <is>
          <t>Water usage</t>
        </is>
      </c>
      <c r="C16" t="inlineStr">
        <is>
          <t>m3</t>
        </is>
      </c>
      <c r="D16" t="inlineStr">
        <is>
          <t>Month</t>
        </is>
      </c>
      <c r="E16" t="inlineStr">
        <is>
          <t>Water used</t>
        </is>
      </c>
      <c r="F16">
        <f>ROUND('Plant02 Inputs'!Y4,2)</f>
        <v/>
      </c>
      <c r="G16">
        <f>ROUND('Plant02 Inputs'!Y5,2)</f>
        <v/>
      </c>
      <c r="H16">
        <f>ROUND('Plant02 Inputs'!Y6,2)</f>
        <v/>
      </c>
      <c r="I16">
        <f>ROUND('Plant02 Inputs'!Y7,2)</f>
        <v/>
      </c>
      <c r="J16">
        <f>ROUND('Plant02 Inputs'!Y8,2)</f>
        <v/>
      </c>
      <c r="K16">
        <f>ROUND('Plant02 Inputs'!Y9,2)</f>
        <v/>
      </c>
      <c r="L16" t="inlineStr">
        <is>
          <t>water_m3</t>
        </is>
      </c>
    </row>
    <row r="17">
      <c r="A17" t="inlineStr">
        <is>
          <t>SUS-002</t>
        </is>
      </c>
      <c r="B17" t="inlineStr">
        <is>
          <t>Emissions</t>
        </is>
      </c>
      <c r="C17" t="inlineStr">
        <is>
          <t>tCO2e</t>
        </is>
      </c>
      <c r="D17" t="inlineStr">
        <is>
          <t>Month</t>
        </is>
      </c>
      <c r="E17" t="inlineStr">
        <is>
          <t>Emissions</t>
        </is>
      </c>
      <c r="F17">
        <f>ROUND('Plant02 Inputs'!Z4,2)</f>
        <v/>
      </c>
      <c r="G17">
        <f>ROUND('Plant02 Inputs'!Z5,2)</f>
        <v/>
      </c>
      <c r="H17">
        <f>ROUND('Plant02 Inputs'!Z6,2)</f>
        <v/>
      </c>
      <c r="I17">
        <f>ROUND('Plant02 Inputs'!Z7,2)</f>
        <v/>
      </c>
      <c r="J17">
        <f>ROUND('Plant02 Inputs'!Z8,2)</f>
        <v/>
      </c>
      <c r="K17">
        <f>ROUND('Plant02 Inputs'!Z9,2)</f>
        <v/>
      </c>
      <c r="L17" t="inlineStr">
        <is>
          <t>emissions_tco2e</t>
        </is>
      </c>
    </row>
    <row r="18">
      <c r="A18" t="inlineStr">
        <is>
          <t>SUS-003</t>
        </is>
      </c>
      <c r="B18" t="inlineStr">
        <is>
          <t>Energy intensity</t>
        </is>
      </c>
      <c r="C18" t="inlineStr">
        <is>
          <t>GJ/t</t>
        </is>
      </c>
      <c r="D18" t="inlineStr">
        <is>
          <t>Month</t>
        </is>
      </c>
      <c r="E18" t="inlineStr">
        <is>
          <t>Energy used ÷ Good output</t>
        </is>
      </c>
      <c r="F18">
        <f>ROUND(IFERROR('Plant02 Inputs'!AA4/'Plant02 Inputs'!M4,0),2)</f>
        <v/>
      </c>
      <c r="G18">
        <f>ROUND(IFERROR('Plant02 Inputs'!AA5/'Plant02 Inputs'!M5,0),2)</f>
        <v/>
      </c>
      <c r="H18">
        <f>ROUND(IFERROR('Plant02 Inputs'!AA6/'Plant02 Inputs'!M6,0),2)</f>
        <v/>
      </c>
      <c r="I18">
        <f>ROUND(IFERROR('Plant02 Inputs'!AA7/'Plant02 Inputs'!M7,0),2)</f>
        <v/>
      </c>
      <c r="J18">
        <f>ROUND(IFERROR('Plant02 Inputs'!AA8/'Plant02 Inputs'!M8,0),2)</f>
        <v/>
      </c>
      <c r="K18">
        <f>ROUND(IFERROR('Plant02 Inputs'!AA9/'Plant02 Inputs'!M9,0),2)</f>
        <v/>
      </c>
      <c r="L18" t="inlineStr">
        <is>
          <t>good_output_t, energy_gj</t>
        </is>
      </c>
    </row>
    <row r="19">
      <c r="A19" t="inlineStr">
        <is>
          <t>SIG-007</t>
        </is>
      </c>
      <c r="B19" t="inlineStr">
        <is>
          <t>Production at risk</t>
        </is>
      </c>
      <c r="C19" t="inlineStr">
        <is>
          <t>t</t>
        </is>
      </c>
      <c r="D19" t="inlineStr">
        <is>
          <t>Month</t>
        </is>
      </c>
      <c r="E19" t="inlineStr">
        <is>
          <t>Production at risk</t>
        </is>
      </c>
      <c r="F19">
        <f>ROUND('Plant02 Inputs'!AB4,2)</f>
        <v/>
      </c>
      <c r="G19">
        <f>ROUND('Plant02 Inputs'!AB5,2)</f>
        <v/>
      </c>
      <c r="H19">
        <f>ROUND('Plant02 Inputs'!AB6,2)</f>
        <v/>
      </c>
      <c r="I19">
        <f>ROUND('Plant02 Inputs'!AB7,2)</f>
        <v/>
      </c>
      <c r="J19">
        <f>ROUND('Plant02 Inputs'!AB8,2)</f>
        <v/>
      </c>
      <c r="K19">
        <f>ROUND('Plant02 Inputs'!AB9,2)</f>
        <v/>
      </c>
      <c r="L19" t="inlineStr">
        <is>
          <t>production_at_risk_t</t>
        </is>
      </c>
    </row>
    <row r="20">
      <c r="A20" t="inlineStr">
        <is>
          <t>SIG-008</t>
        </is>
      </c>
      <c r="B20" t="inlineStr">
        <is>
          <t>Critical plant-state alerts</t>
        </is>
      </c>
      <c r="C20" t="inlineStr">
        <is>
          <t>count</t>
        </is>
      </c>
      <c r="D20" t="inlineStr">
        <is>
          <t>Month</t>
        </is>
      </c>
      <c r="E20" t="inlineStr">
        <is>
          <t>Critical plant alerts</t>
        </is>
      </c>
      <c r="F20">
        <f>ROUND('Plant02 Inputs'!AC4,2)</f>
        <v/>
      </c>
      <c r="G20">
        <f>ROUND('Plant02 Inputs'!AC5,2)</f>
        <v/>
      </c>
      <c r="H20">
        <f>ROUND('Plant02 Inputs'!AC6,2)</f>
        <v/>
      </c>
      <c r="I20">
        <f>ROUND('Plant02 Inputs'!AC7,2)</f>
        <v/>
      </c>
      <c r="J20">
        <f>ROUND('Plant02 Inputs'!AC8,2)</f>
        <v/>
      </c>
      <c r="K20">
        <f>ROUND('Plant02 Inputs'!AC9,2)</f>
        <v/>
      </c>
      <c r="L20" t="inlineStr">
        <is>
          <t>critical_plant_alerts</t>
        </is>
      </c>
    </row>
    <row r="21">
      <c r="A21" t="inlineStr">
        <is>
          <t>SIG-009</t>
        </is>
      </c>
      <c r="B21" t="inlineStr">
        <is>
          <t>Critical-material shortage risk</t>
        </is>
      </c>
      <c r="C21" t="inlineStr">
        <is>
          <t>count</t>
        </is>
      </c>
      <c r="D21" t="inlineStr">
        <is>
          <t>Month</t>
        </is>
      </c>
      <c r="E21" t="inlineStr">
        <is>
          <t>Critical materials at risk</t>
        </is>
      </c>
      <c r="F21">
        <f>ROUND('Plant02 Inputs'!AO4,2)</f>
        <v/>
      </c>
      <c r="G21">
        <f>ROUND('Plant02 Inputs'!AO5,2)</f>
        <v/>
      </c>
      <c r="H21">
        <f>ROUND('Plant02 Inputs'!AO6,2)</f>
        <v/>
      </c>
      <c r="I21">
        <f>ROUND('Plant02 Inputs'!AO7,2)</f>
        <v/>
      </c>
      <c r="J21">
        <f>ROUND('Plant02 Inputs'!AO8,2)</f>
        <v/>
      </c>
      <c r="K21">
        <f>ROUND('Plant02 Inputs'!AO9,2)</f>
        <v/>
      </c>
      <c r="L21" t="inlineStr">
        <is>
          <t>critical_material_risks</t>
        </is>
      </c>
    </row>
    <row r="22">
      <c r="A22" t="inlineStr">
        <is>
          <t>SIG-012</t>
        </is>
      </c>
      <c r="B22" t="inlineStr">
        <is>
          <t>Dispatch delays</t>
        </is>
      </c>
      <c r="C22" t="inlineStr">
        <is>
          <t>%</t>
        </is>
      </c>
      <c r="D22" t="inlineStr">
        <is>
          <t>Month</t>
        </is>
      </c>
      <c r="E22" t="inlineStr">
        <is>
          <t>Delayed dispatches ÷ Dispatches × 100</t>
        </is>
      </c>
      <c r="F22">
        <f>ROUND(IFERROR(100*'Plant02 Inputs'!AQ4/'Plant02 Inputs'!AP4,0),2)</f>
        <v/>
      </c>
      <c r="G22">
        <f>ROUND(IFERROR(100*'Plant02 Inputs'!AQ5/'Plant02 Inputs'!AP5,0),2)</f>
        <v/>
      </c>
      <c r="H22">
        <f>ROUND(IFERROR(100*'Plant02 Inputs'!AQ6/'Plant02 Inputs'!AP6,0),2)</f>
        <v/>
      </c>
      <c r="I22">
        <f>ROUND(IFERROR(100*'Plant02 Inputs'!AQ7/'Plant02 Inputs'!AP7,0),2)</f>
        <v/>
      </c>
      <c r="J22">
        <f>ROUND(IFERROR(100*'Plant02 Inputs'!AQ8/'Plant02 Inputs'!AP8,0),2)</f>
        <v/>
      </c>
      <c r="K22">
        <f>ROUND(IFERROR(100*'Plant02 Inputs'!AQ9/'Plant02 Inputs'!AP9,0),2)</f>
        <v/>
      </c>
      <c r="L22" t="inlineStr">
        <is>
          <t>dispatches_total, dispatches_delayed</t>
        </is>
      </c>
    </row>
    <row r="23">
      <c r="A23" t="inlineStr">
        <is>
          <t>SIG-021</t>
        </is>
      </c>
      <c r="B23" t="inlineStr">
        <is>
          <t>Environmental violations</t>
        </is>
      </c>
      <c r="C23" t="inlineStr">
        <is>
          <t>count</t>
        </is>
      </c>
      <c r="D23" t="inlineStr">
        <is>
          <t>Month</t>
        </is>
      </c>
      <c r="E23" t="inlineStr">
        <is>
          <t>Environmental violations</t>
        </is>
      </c>
      <c r="F23">
        <f>ROUND('Plant02 Inputs'!AJ4,2)</f>
        <v/>
      </c>
      <c r="G23">
        <f>ROUND('Plant02 Inputs'!AJ5,2)</f>
        <v/>
      </c>
      <c r="H23">
        <f>ROUND('Plant02 Inputs'!AJ6,2)</f>
        <v/>
      </c>
      <c r="I23">
        <f>ROUND('Plant02 Inputs'!AJ7,2)</f>
        <v/>
      </c>
      <c r="J23">
        <f>ROUND('Plant02 Inputs'!AJ8,2)</f>
        <v/>
      </c>
      <c r="K23">
        <f>ROUND('Plant02 Inputs'!AJ9,2)</f>
        <v/>
      </c>
      <c r="L23" t="inlineStr">
        <is>
          <t>env_violations</t>
        </is>
      </c>
    </row>
    <row r="24">
      <c r="A24" t="inlineStr">
        <is>
          <t>EHS-001</t>
        </is>
      </c>
      <c r="B24" t="inlineStr">
        <is>
          <t>TRIR</t>
        </is>
      </c>
      <c r="C24" t="inlineStr">
        <is>
          <t>per 200,000 h</t>
        </is>
      </c>
      <c r="D24" t="inlineStr">
        <is>
          <t>Month</t>
        </is>
      </c>
      <c r="E24" t="inlineStr">
        <is>
          <t>Recordable injuries × 200,000 ÷ Hours worked</t>
        </is>
      </c>
      <c r="F24">
        <f>ROUND(IFERROR(200000*'Plant02 Inputs'!AE4/'Plant02 Inputs'!AD4,0),2)</f>
        <v/>
      </c>
      <c r="G24">
        <f>ROUND(IFERROR(200000*'Plant02 Inputs'!AE5/'Plant02 Inputs'!AD5,0),2)</f>
        <v/>
      </c>
      <c r="H24">
        <f>ROUND(IFERROR(200000*'Plant02 Inputs'!AE6/'Plant02 Inputs'!AD6,0),2)</f>
        <v/>
      </c>
      <c r="I24">
        <f>ROUND(IFERROR(200000*'Plant02 Inputs'!AE7/'Plant02 Inputs'!AD7,0),2)</f>
        <v/>
      </c>
      <c r="J24">
        <f>ROUND(IFERROR(200000*'Plant02 Inputs'!AE8/'Plant02 Inputs'!AD8,0),2)</f>
        <v/>
      </c>
      <c r="K24">
        <f>ROUND(IFERROR(200000*'Plant02 Inputs'!AE9/'Plant02 Inputs'!AD9,0),2)</f>
        <v/>
      </c>
      <c r="L24" t="inlineStr">
        <is>
          <t>hours_worked, recordable_injuries</t>
        </is>
      </c>
    </row>
    <row r="25">
      <c r="A25" t="inlineStr">
        <is>
          <t>EHS-002</t>
        </is>
      </c>
      <c r="B25" t="inlineStr">
        <is>
          <t>Severity incidents</t>
        </is>
      </c>
      <c r="C25" t="inlineStr">
        <is>
          <t>count</t>
        </is>
      </c>
      <c r="D25" t="inlineStr">
        <is>
          <t>Month</t>
        </is>
      </c>
      <c r="E25" t="inlineStr">
        <is>
          <t>Severity incidents</t>
        </is>
      </c>
      <c r="F25">
        <f>ROUND('Plant02 Inputs'!AF4,2)</f>
        <v/>
      </c>
      <c r="G25">
        <f>ROUND('Plant02 Inputs'!AF5,2)</f>
        <v/>
      </c>
      <c r="H25">
        <f>ROUND('Plant02 Inputs'!AF6,2)</f>
        <v/>
      </c>
      <c r="I25">
        <f>ROUND('Plant02 Inputs'!AF7,2)</f>
        <v/>
      </c>
      <c r="J25">
        <f>ROUND('Plant02 Inputs'!AF8,2)</f>
        <v/>
      </c>
      <c r="K25">
        <f>ROUND('Plant02 Inputs'!AF9,2)</f>
        <v/>
      </c>
      <c r="L25" t="inlineStr">
        <is>
          <t>severity_incidents</t>
        </is>
      </c>
    </row>
    <row r="26">
      <c r="A26" t="inlineStr">
        <is>
          <t>EHS-003</t>
        </is>
      </c>
      <c r="B26" t="inlineStr">
        <is>
          <t>Near misses</t>
        </is>
      </c>
      <c r="C26" t="inlineStr">
        <is>
          <t>count</t>
        </is>
      </c>
      <c r="D26" t="inlineStr">
        <is>
          <t>Month</t>
        </is>
      </c>
      <c r="E26" t="inlineStr">
        <is>
          <t>Near misses</t>
        </is>
      </c>
      <c r="F26">
        <f>ROUND('Plant02 Inputs'!AG4,2)</f>
        <v/>
      </c>
      <c r="G26">
        <f>ROUND('Plant02 Inputs'!AG5,2)</f>
        <v/>
      </c>
      <c r="H26">
        <f>ROUND('Plant02 Inputs'!AG6,2)</f>
        <v/>
      </c>
      <c r="I26">
        <f>ROUND('Plant02 Inputs'!AG7,2)</f>
        <v/>
      </c>
      <c r="J26">
        <f>ROUND('Plant02 Inputs'!AG8,2)</f>
        <v/>
      </c>
      <c r="K26">
        <f>ROUND('Plant02 Inputs'!AG9,2)</f>
        <v/>
      </c>
      <c r="L26" t="inlineStr">
        <is>
          <t>near_misses</t>
        </is>
      </c>
    </row>
    <row r="27">
      <c r="A27" t="inlineStr">
        <is>
          <t>EHS-004</t>
        </is>
      </c>
      <c r="B27" t="inlineStr">
        <is>
          <t>Critical safety incidents</t>
        </is>
      </c>
      <c r="C27" t="inlineStr">
        <is>
          <t>count</t>
        </is>
      </c>
      <c r="D27" t="inlineStr">
        <is>
          <t>Month</t>
        </is>
      </c>
      <c r="E27" t="inlineStr">
        <is>
          <t>Critical safety incidents</t>
        </is>
      </c>
      <c r="F27">
        <f>ROUND('Plant02 Inputs'!AH4,2)</f>
        <v/>
      </c>
      <c r="G27">
        <f>ROUND('Plant02 Inputs'!AH5,2)</f>
        <v/>
      </c>
      <c r="H27">
        <f>ROUND('Plant02 Inputs'!AH6,2)</f>
        <v/>
      </c>
      <c r="I27">
        <f>ROUND('Plant02 Inputs'!AH7,2)</f>
        <v/>
      </c>
      <c r="J27">
        <f>ROUND('Plant02 Inputs'!AH8,2)</f>
        <v/>
      </c>
      <c r="K27">
        <f>ROUND('Plant02 Inputs'!AH9,2)</f>
        <v/>
      </c>
      <c r="L27" t="inlineStr">
        <is>
          <t>critical_safety_incidents</t>
        </is>
      </c>
    </row>
    <row r="28">
      <c r="A28" t="inlineStr">
        <is>
          <t>EHS-005</t>
        </is>
      </c>
      <c r="B28" t="inlineStr">
        <is>
          <t>Environmental excursions</t>
        </is>
      </c>
      <c r="C28" t="inlineStr">
        <is>
          <t>count</t>
        </is>
      </c>
      <c r="D28" t="inlineStr">
        <is>
          <t>Month</t>
        </is>
      </c>
      <c r="E28" t="inlineStr">
        <is>
          <t>Environmental excursions</t>
        </is>
      </c>
      <c r="F28">
        <f>ROUND('Plant02 Inputs'!AI4,2)</f>
        <v/>
      </c>
      <c r="G28">
        <f>ROUND('Plant02 Inputs'!AI5,2)</f>
        <v/>
      </c>
      <c r="H28">
        <f>ROUND('Plant02 Inputs'!AI6,2)</f>
        <v/>
      </c>
      <c r="I28">
        <f>ROUND('Plant02 Inputs'!AI7,2)</f>
        <v/>
      </c>
      <c r="J28">
        <f>ROUND('Plant02 Inputs'!AI8,2)</f>
        <v/>
      </c>
      <c r="K28">
        <f>ROUND('Plant02 Inputs'!AI9,2)</f>
        <v/>
      </c>
      <c r="L28" t="inlineStr">
        <is>
          <t>env_excursions</t>
        </is>
      </c>
    </row>
    <row r="29">
      <c r="A29" t="inlineStr">
        <is>
          <t>EHS-006</t>
        </is>
      </c>
      <c r="B29" t="inlineStr">
        <is>
          <t>Open EHS corrective actions</t>
        </is>
      </c>
      <c r="C29" t="inlineStr">
        <is>
          <t>count</t>
        </is>
      </c>
      <c r="D29" t="inlineStr">
        <is>
          <t>Month</t>
        </is>
      </c>
      <c r="E29" t="inlineStr">
        <is>
          <t>Open EHS corrective actions</t>
        </is>
      </c>
      <c r="F29">
        <f>ROUND('Plant02 Inputs'!AK4,2)</f>
        <v/>
      </c>
      <c r="G29">
        <f>ROUND('Plant02 Inputs'!AK5,2)</f>
        <v/>
      </c>
      <c r="H29">
        <f>ROUND('Plant02 Inputs'!AK6,2)</f>
        <v/>
      </c>
      <c r="I29">
        <f>ROUND('Plant02 Inputs'!AK7,2)</f>
        <v/>
      </c>
      <c r="J29">
        <f>ROUND('Plant02 Inputs'!AK8,2)</f>
        <v/>
      </c>
      <c r="K29">
        <f>ROUND('Plant02 Inputs'!AK9,2)</f>
        <v/>
      </c>
      <c r="L29" t="inlineStr">
        <is>
          <t>ehs_ca_open</t>
        </is>
      </c>
    </row>
    <row r="30">
      <c r="A30" t="inlineStr">
        <is>
          <t>EHS-007</t>
        </is>
      </c>
      <c r="B30" t="inlineStr">
        <is>
          <t>Overdue EHS actions</t>
        </is>
      </c>
      <c r="C30" t="inlineStr">
        <is>
          <t>count</t>
        </is>
      </c>
      <c r="D30" t="inlineStr">
        <is>
          <t>Month</t>
        </is>
      </c>
      <c r="E30" t="inlineStr">
        <is>
          <t>Overdue EHS corrective actions</t>
        </is>
      </c>
      <c r="F30">
        <f>ROUND('Plant02 Inputs'!AL4,2)</f>
        <v/>
      </c>
      <c r="G30">
        <f>ROUND('Plant02 Inputs'!AL5,2)</f>
        <v/>
      </c>
      <c r="H30">
        <f>ROUND('Plant02 Inputs'!AL6,2)</f>
        <v/>
      </c>
      <c r="I30">
        <f>ROUND('Plant02 Inputs'!AL7,2)</f>
        <v/>
      </c>
      <c r="J30">
        <f>ROUND('Plant02 Inputs'!AL8,2)</f>
        <v/>
      </c>
      <c r="K30">
        <f>ROUND('Plant02 Inputs'!AL9,2)</f>
        <v/>
      </c>
      <c r="L30" t="inlineStr">
        <is>
          <t>ehs_ca_overdue</t>
        </is>
      </c>
    </row>
    <row r="31">
      <c r="A31" t="inlineStr">
        <is>
          <t>EHS-009</t>
        </is>
      </c>
      <c r="B31" t="inlineStr">
        <is>
          <t>EHS investigation completion</t>
        </is>
      </c>
      <c r="C31" t="inlineStr">
        <is>
          <t>%</t>
        </is>
      </c>
      <c r="D31" t="inlineStr">
        <is>
          <t>Month</t>
        </is>
      </c>
      <c r="E31" t="inlineStr">
        <is>
          <t>EHS investigations completed ÷ EHS investigations due × 100 (100 if none due)</t>
        </is>
      </c>
      <c r="F31">
        <f>ROUND(IF('Plant02 Inputs'!AM4=0,100,100*'Plant02 Inputs'!AN4/'Plant02 Inputs'!AM4),2)</f>
        <v/>
      </c>
      <c r="G31">
        <f>ROUND(IF('Plant02 Inputs'!AM5=0,100,100*'Plant02 Inputs'!AN5/'Plant02 Inputs'!AM5),2)</f>
        <v/>
      </c>
      <c r="H31">
        <f>ROUND(IF('Plant02 Inputs'!AM6=0,100,100*'Plant02 Inputs'!AN6/'Plant02 Inputs'!AM6),2)</f>
        <v/>
      </c>
      <c r="I31">
        <f>ROUND(IF('Plant02 Inputs'!AM7=0,100,100*'Plant02 Inputs'!AN7/'Plant02 Inputs'!AM7),2)</f>
        <v/>
      </c>
      <c r="J31">
        <f>ROUND(IF('Plant02 Inputs'!AM8=0,100,100*'Plant02 Inputs'!AN8/'Plant02 Inputs'!AM8),2)</f>
        <v/>
      </c>
      <c r="K31">
        <f>ROUND(IF('Plant02 Inputs'!AM9=0,100,100*'Plant02 Inputs'!AN9/'Plant02 Inputs'!AM9),2)</f>
        <v/>
      </c>
      <c r="L31" t="inlineStr">
        <is>
          <t>investigations_due, investigations_completed</t>
        </is>
      </c>
    </row>
    <row r="32">
      <c r="A32" t="inlineStr">
        <is>
          <t>REG-006</t>
        </is>
      </c>
      <c r="B32" t="inlineStr">
        <is>
          <t>Licence or permit expiry clock</t>
        </is>
      </c>
      <c r="C32" t="inlineStr">
        <is>
          <t>days</t>
        </is>
      </c>
      <c r="D32" t="inlineStr">
        <is>
          <t>Month</t>
        </is>
      </c>
      <c r="E32" t="inlineStr">
        <is>
          <t>Days to permit expiry (lowest plant)</t>
        </is>
      </c>
      <c r="F32">
        <f>ROUND('Plant02 Inputs'!AR4,2)</f>
        <v/>
      </c>
      <c r="G32">
        <f>ROUND('Plant02 Inputs'!AR5,2)</f>
        <v/>
      </c>
      <c r="H32">
        <f>ROUND('Plant02 Inputs'!AR6,2)</f>
        <v/>
      </c>
      <c r="I32">
        <f>ROUND('Plant02 Inputs'!AR7,2)</f>
        <v/>
      </c>
      <c r="J32">
        <f>ROUND('Plant02 Inputs'!AR8,2)</f>
        <v/>
      </c>
      <c r="K32">
        <f>ROUND('Plant02 Inputs'!AR9,2)</f>
        <v/>
      </c>
      <c r="L32" t="inlineStr">
        <is>
          <t>permit_days_to_expiry</t>
        </is>
      </c>
    </row>
    <row r="33">
      <c r="A33" t="inlineStr">
        <is>
          <t>OPS-005</t>
        </is>
      </c>
      <c r="B33" t="inlineStr">
        <is>
          <t>Capacity utilisation (same measure as OPS-003)</t>
        </is>
      </c>
      <c r="C33" t="inlineStr">
        <is>
          <t>%</t>
        </is>
      </c>
      <c r="D33" t="inlineStr">
        <is>
          <t>Month</t>
        </is>
      </c>
      <c r="E33" t="inlineStr">
        <is>
          <t>Good output ÷ Installed capacity × 100</t>
        </is>
      </c>
      <c r="F33">
        <f>ROUND(IFERROR(100*'Plant02 Inputs'!M4/'Plant02 Inputs'!J4,0),2)</f>
        <v/>
      </c>
      <c r="G33">
        <f>ROUND(IFERROR(100*'Plant02 Inputs'!M5/'Plant02 Inputs'!J5,0),2)</f>
        <v/>
      </c>
      <c r="H33">
        <f>ROUND(IFERROR(100*'Plant02 Inputs'!M6/'Plant02 Inputs'!J6,0),2)</f>
        <v/>
      </c>
      <c r="I33">
        <f>ROUND(IFERROR(100*'Plant02 Inputs'!M7/'Plant02 Inputs'!J7,0),2)</f>
        <v/>
      </c>
      <c r="J33">
        <f>ROUND(IFERROR(100*'Plant02 Inputs'!M8/'Plant02 Inputs'!J8,0),2)</f>
        <v/>
      </c>
      <c r="K33">
        <f>ROUND(IFERROR(100*'Plant02 Inputs'!M9/'Plant02 Inputs'!J9,0),2)</f>
        <v/>
      </c>
      <c r="L33" t="inlineStr">
        <is>
          <t>installed_capacity_t, good_output_t</t>
        </is>
      </c>
    </row>
    <row r="34">
      <c r="A34" t="inlineStr">
        <is>
          <t>OPS-006</t>
        </is>
      </c>
      <c r="B34" t="inlineStr">
        <is>
          <t>OEE · Group weighted (same measure as PLT-002)</t>
        </is>
      </c>
      <c r="C34" t="inlineStr">
        <is>
          <t>%</t>
        </is>
      </c>
      <c r="D34" t="inlineStr">
        <is>
          <t>Month</t>
        </is>
      </c>
      <c r="E34" t="inlineStr">
        <is>
          <t>Good output ÷ Ideal output × 100 (weighted by output, not an average of plants)</t>
        </is>
      </c>
      <c r="F34">
        <f>ROUND(IFERROR(100*'Plant02 Inputs'!M4/'Plant02 Inputs'!I4,0),2)</f>
        <v/>
      </c>
      <c r="G34">
        <f>ROUND(IFERROR(100*'Plant02 Inputs'!M5/'Plant02 Inputs'!I5,0),2)</f>
        <v/>
      </c>
      <c r="H34">
        <f>ROUND(IFERROR(100*'Plant02 Inputs'!M6/'Plant02 Inputs'!I6,0),2)</f>
        <v/>
      </c>
      <c r="I34">
        <f>ROUND(IFERROR(100*'Plant02 Inputs'!M7/'Plant02 Inputs'!I7,0),2)</f>
        <v/>
      </c>
      <c r="J34">
        <f>ROUND(IFERROR(100*'Plant02 Inputs'!M8/'Plant02 Inputs'!I8,0),2)</f>
        <v/>
      </c>
      <c r="K34">
        <f>ROUND(IFERROR(100*'Plant02 Inputs'!M9/'Plant02 Inputs'!I9,0),2)</f>
        <v/>
      </c>
      <c r="L34" t="inlineStr">
        <is>
          <t>ideal_output_t, good_output_t</t>
        </is>
      </c>
    </row>
    <row r="35">
      <c r="A35" t="inlineStr">
        <is>
          <t>OPS-002</t>
        </is>
      </c>
      <c r="B35" t="inlineStr">
        <is>
          <t>Sales vs plan</t>
        </is>
      </c>
      <c r="C35" t="inlineStr">
        <is>
          <t>%</t>
        </is>
      </c>
      <c r="D35" t="inlineStr">
        <is>
          <t>Month</t>
        </is>
      </c>
      <c r="E35" t="inlineStr">
        <is>
          <t>Sales volume ÷ Planned sales volume × 100</t>
        </is>
      </c>
      <c r="F35">
        <f>ROUND(IF('Plant02 Inputs'!AT4=0,0,100*'Plant02 Inputs'!AS4/'Plant02 Inputs'!AT4),2)</f>
        <v/>
      </c>
      <c r="G35">
        <f>ROUND(IF('Plant02 Inputs'!AT5=0,0,100*'Plant02 Inputs'!AS5/'Plant02 Inputs'!AT5),2)</f>
        <v/>
      </c>
      <c r="H35">
        <f>ROUND(IF('Plant02 Inputs'!AT6=0,0,100*'Plant02 Inputs'!AS6/'Plant02 Inputs'!AT6),2)</f>
        <v/>
      </c>
      <c r="I35">
        <f>ROUND(IF('Plant02 Inputs'!AT7=0,0,100*'Plant02 Inputs'!AS7/'Plant02 Inputs'!AT7),2)</f>
        <v/>
      </c>
      <c r="J35">
        <f>ROUND(IF('Plant02 Inputs'!AT8=0,0,100*'Plant02 Inputs'!AS8/'Plant02 Inputs'!AT8),2)</f>
        <v/>
      </c>
      <c r="K35">
        <f>ROUND(IF('Plant02 Inputs'!AT9=0,0,100*'Plant02 Inputs'!AS9/'Plant02 Inputs'!AT9),2)</f>
        <v/>
      </c>
      <c r="L35" t="inlineStr">
        <is>
          <t>sales_t, planned_sales_t</t>
        </is>
      </c>
    </row>
    <row r="36">
      <c r="A36" t="inlineStr">
        <is>
          <t>OPS-004</t>
        </is>
      </c>
      <c r="B36" t="inlineStr">
        <is>
          <t>Sales vs plan · Group (same measure as OPS-002)</t>
        </is>
      </c>
      <c r="C36" t="inlineStr">
        <is>
          <t>%</t>
        </is>
      </c>
      <c r="D36" t="inlineStr">
        <is>
          <t>Month</t>
        </is>
      </c>
      <c r="E36" t="inlineStr">
        <is>
          <t>Sales volume ÷ Planned sales volume × 100</t>
        </is>
      </c>
      <c r="F36">
        <f>ROUND(IF('Plant02 Inputs'!AT4=0,0,100*'Plant02 Inputs'!AS4/'Plant02 Inputs'!AT4),2)</f>
        <v/>
      </c>
      <c r="G36">
        <f>ROUND(IF('Plant02 Inputs'!AT5=0,0,100*'Plant02 Inputs'!AS5/'Plant02 Inputs'!AT5),2)</f>
        <v/>
      </c>
      <c r="H36">
        <f>ROUND(IF('Plant02 Inputs'!AT6=0,0,100*'Plant02 Inputs'!AS6/'Plant02 Inputs'!AT6),2)</f>
        <v/>
      </c>
      <c r="I36">
        <f>ROUND(IF('Plant02 Inputs'!AT7=0,0,100*'Plant02 Inputs'!AS7/'Plant02 Inputs'!AT7),2)</f>
        <v/>
      </c>
      <c r="J36">
        <f>ROUND(IF('Plant02 Inputs'!AT8=0,0,100*'Plant02 Inputs'!AS8/'Plant02 Inputs'!AT8),2)</f>
        <v/>
      </c>
      <c r="K36">
        <f>ROUND(IF('Plant02 Inputs'!AT9=0,0,100*'Plant02 Inputs'!AS9/'Plant02 Inputs'!AT9),2)</f>
        <v/>
      </c>
      <c r="L36" t="inlineStr">
        <is>
          <t>sales_t, planned_sales_t</t>
        </is>
      </c>
    </row>
    <row r="37">
      <c r="A37" t="inlineStr">
        <is>
          <t>CST-004</t>
        </is>
      </c>
      <c r="B37" t="inlineStr">
        <is>
          <t>Power cost per tonne</t>
        </is>
      </c>
      <c r="C37" t="inlineStr">
        <is>
          <t>₹/t</t>
        </is>
      </c>
      <c r="D37" t="inlineStr">
        <is>
          <t>Month</t>
        </is>
      </c>
      <c r="E37" t="inlineStr">
        <is>
          <t>Power cost × 1000 ÷ Good output</t>
        </is>
      </c>
      <c r="F37">
        <f>ROUND(IF('Plant02 Inputs'!M4=0,0,1000*'Plant02 Inputs'!AW4/'Plant02 Inputs'!M4),2)</f>
        <v/>
      </c>
      <c r="G37">
        <f>ROUND(IF('Plant02 Inputs'!M5=0,0,1000*'Plant02 Inputs'!AW5/'Plant02 Inputs'!M5),2)</f>
        <v/>
      </c>
      <c r="H37">
        <f>ROUND(IF('Plant02 Inputs'!M6=0,0,1000*'Plant02 Inputs'!AW6/'Plant02 Inputs'!M6),2)</f>
        <v/>
      </c>
      <c r="I37">
        <f>ROUND(IF('Plant02 Inputs'!M7=0,0,1000*'Plant02 Inputs'!AW7/'Plant02 Inputs'!M7),2)</f>
        <v/>
      </c>
      <c r="J37">
        <f>ROUND(IF('Plant02 Inputs'!M8=0,0,1000*'Plant02 Inputs'!AW8/'Plant02 Inputs'!M8),2)</f>
        <v/>
      </c>
      <c r="K37">
        <f>ROUND(IF('Plant02 Inputs'!M9=0,0,1000*'Plant02 Inputs'!AW9/'Plant02 Inputs'!M9),2)</f>
        <v/>
      </c>
      <c r="L37" t="inlineStr">
        <is>
          <t>good_output_t, power_cost_k</t>
        </is>
      </c>
    </row>
    <row r="38">
      <c r="A38" t="inlineStr">
        <is>
          <t>FIN-003</t>
        </is>
      </c>
      <c r="B38" t="inlineStr">
        <is>
          <t>Revenue YTD</t>
        </is>
      </c>
      <c r="C38" t="inlineStr">
        <is>
          <t>₹ m</t>
        </is>
      </c>
      <c r="D38" t="inlineStr">
        <is>
          <t>Year to date</t>
        </is>
      </c>
      <c r="E38" t="inlineStr">
        <is>
          <t>Sum of monthly Revenue since April ÷ 1000</t>
        </is>
      </c>
      <c r="F38">
        <f>ROUND(SUM('Plant02 Inputs'!AU$4:AU4)/1000,2)</f>
        <v/>
      </c>
      <c r="G38">
        <f>ROUND(SUM('Plant02 Inputs'!AU$4:AU5)/1000,2)</f>
        <v/>
      </c>
      <c r="H38">
        <f>ROUND(SUM('Plant02 Inputs'!AU$4:AU6)/1000,2)</f>
        <v/>
      </c>
      <c r="I38">
        <f>ROUND(SUM('Plant02 Inputs'!AU$4:AU7)/1000,2)</f>
        <v/>
      </c>
      <c r="J38">
        <f>ROUND(SUM('Plant02 Inputs'!AU$4:AU8)/1000,2)</f>
        <v/>
      </c>
      <c r="K38">
        <f>ROUND(SUM('Plant02 Inputs'!AU$4:AU9)/1000,2)</f>
        <v/>
      </c>
      <c r="L38" t="inlineStr">
        <is>
          <t>revenue_k</t>
        </is>
      </c>
    </row>
    <row r="39">
      <c r="A39" t="inlineStr">
        <is>
          <t>SUP-001</t>
        </is>
      </c>
      <c r="B39" t="inlineStr">
        <is>
          <t>Supplier on-time delivery</t>
        </is>
      </c>
      <c r="C39" t="inlineStr">
        <is>
          <t>%</t>
        </is>
      </c>
      <c r="D39" t="inlineStr">
        <is>
          <t>Month</t>
        </is>
      </c>
      <c r="E39" t="inlineStr">
        <is>
          <t>Purchase-order lines on time ÷ Lines due × 100</t>
        </is>
      </c>
      <c r="F39">
        <f>ROUND(IF('Plant02 Inputs'!AY4=0,0,100*'Plant02 Inputs'!AZ4/'Plant02 Inputs'!AY4),2)</f>
        <v/>
      </c>
      <c r="G39">
        <f>ROUND(IF('Plant02 Inputs'!AY5=0,0,100*'Plant02 Inputs'!AZ5/'Plant02 Inputs'!AY5),2)</f>
        <v/>
      </c>
      <c r="H39">
        <f>ROUND(IF('Plant02 Inputs'!AY6=0,0,100*'Plant02 Inputs'!AZ6/'Plant02 Inputs'!AY6),2)</f>
        <v/>
      </c>
      <c r="I39">
        <f>ROUND(IF('Plant02 Inputs'!AY7=0,0,100*'Plant02 Inputs'!AZ7/'Plant02 Inputs'!AY7),2)</f>
        <v/>
      </c>
      <c r="J39">
        <f>ROUND(IF('Plant02 Inputs'!AY8=0,0,100*'Plant02 Inputs'!AZ8/'Plant02 Inputs'!AY8),2)</f>
        <v/>
      </c>
      <c r="K39">
        <f>ROUND(IF('Plant02 Inputs'!AY9=0,0,100*'Plant02 Inputs'!AZ9/'Plant02 Inputs'!AY9),2)</f>
        <v/>
      </c>
      <c r="L39" t="inlineStr">
        <is>
          <t>po_lines_due, po_lines_on_time</t>
        </is>
      </c>
    </row>
    <row r="40">
      <c r="A40" t="inlineStr">
        <is>
          <t>SUP-002</t>
        </is>
      </c>
      <c r="B40" t="inlineStr">
        <is>
          <t>Supplier fill rate</t>
        </is>
      </c>
      <c r="C40" t="inlineStr">
        <is>
          <t>%</t>
        </is>
      </c>
      <c r="D40" t="inlineStr">
        <is>
          <t>Month</t>
        </is>
      </c>
      <c r="E40" t="inlineStr">
        <is>
          <t>Quantity received ÷ Quantity ordered × 100</t>
        </is>
      </c>
      <c r="F40">
        <f>ROUND(IF('Plant02 Inputs'!BA4=0,0,100*'Plant02 Inputs'!BB4/'Plant02 Inputs'!BA4),2)</f>
        <v/>
      </c>
      <c r="G40">
        <f>ROUND(IF('Plant02 Inputs'!BA5=0,0,100*'Plant02 Inputs'!BB5/'Plant02 Inputs'!BA5),2)</f>
        <v/>
      </c>
      <c r="H40">
        <f>ROUND(IF('Plant02 Inputs'!BA6=0,0,100*'Plant02 Inputs'!BB6/'Plant02 Inputs'!BA6),2)</f>
        <v/>
      </c>
      <c r="I40">
        <f>ROUND(IF('Plant02 Inputs'!BA7=0,0,100*'Plant02 Inputs'!BB7/'Plant02 Inputs'!BA7),2)</f>
        <v/>
      </c>
      <c r="J40">
        <f>ROUND(IF('Plant02 Inputs'!BA8=0,0,100*'Plant02 Inputs'!BB8/'Plant02 Inputs'!BA8),2)</f>
        <v/>
      </c>
      <c r="K40">
        <f>ROUND(IF('Plant02 Inputs'!BA9=0,0,100*'Plant02 Inputs'!BB9/'Plant02 Inputs'!BA9),2)</f>
        <v/>
      </c>
      <c r="L40" t="inlineStr">
        <is>
          <t>qty_ordered_t, qty_received_t</t>
        </is>
      </c>
    </row>
    <row r="41">
      <c r="A41" t="inlineStr">
        <is>
          <t>SUP-003</t>
        </is>
      </c>
      <c r="B41" t="inlineStr">
        <is>
          <t>Supplier quality-rejection rate</t>
        </is>
      </c>
      <c r="C41" t="inlineStr">
        <is>
          <t>%</t>
        </is>
      </c>
      <c r="D41" t="inlineStr">
        <is>
          <t>Month</t>
        </is>
      </c>
      <c r="E41" t="inlineStr">
        <is>
          <t>Quantity rejected ÷ Quantity received × 100</t>
        </is>
      </c>
      <c r="F41">
        <f>ROUND(IF('Plant02 Inputs'!BB4=0,0,100*'Plant02 Inputs'!BC4/'Plant02 Inputs'!BB4),2)</f>
        <v/>
      </c>
      <c r="G41">
        <f>ROUND(IF('Plant02 Inputs'!BB5=0,0,100*'Plant02 Inputs'!BC5/'Plant02 Inputs'!BB5),2)</f>
        <v/>
      </c>
      <c r="H41">
        <f>ROUND(IF('Plant02 Inputs'!BB6=0,0,100*'Plant02 Inputs'!BC6/'Plant02 Inputs'!BB6),2)</f>
        <v/>
      </c>
      <c r="I41">
        <f>ROUND(IF('Plant02 Inputs'!BB7=0,0,100*'Plant02 Inputs'!BC7/'Plant02 Inputs'!BB7),2)</f>
        <v/>
      </c>
      <c r="J41">
        <f>ROUND(IF('Plant02 Inputs'!BB8=0,0,100*'Plant02 Inputs'!BC8/'Plant02 Inputs'!BB8),2)</f>
        <v/>
      </c>
      <c r="K41">
        <f>ROUND(IF('Plant02 Inputs'!BB9=0,0,100*'Plant02 Inputs'!BC9/'Plant02 Inputs'!BB9),2)</f>
        <v/>
      </c>
      <c r="L41" t="inlineStr">
        <is>
          <t>qty_received_t, qty_rejected_t</t>
        </is>
      </c>
    </row>
    <row r="42">
      <c r="A42" t="inlineStr">
        <is>
          <t>SUP-004</t>
        </is>
      </c>
      <c r="B42" t="inlineStr">
        <is>
          <t>Supplier lead-time variance</t>
        </is>
      </c>
      <c r="C42" t="inlineStr">
        <is>
          <t>%</t>
        </is>
      </c>
      <c r="D42" t="inlineStr">
        <is>
          <t>Month</t>
        </is>
      </c>
      <c r="E42" t="inlineStr">
        <is>
          <t>(Actual lead time − Planned lead time) ÷ Planned lead time × 100</t>
        </is>
      </c>
      <c r="F42">
        <f>ROUND(IF('Plant02 Inputs'!BD4=0,0,100*('Plant02 Inputs'!BE4-'Plant02 Inputs'!BD4)/'Plant02 Inputs'!BD4),2)</f>
        <v/>
      </c>
      <c r="G42">
        <f>ROUND(IF('Plant02 Inputs'!BD5=0,0,100*('Plant02 Inputs'!BE5-'Plant02 Inputs'!BD5)/'Plant02 Inputs'!BD5),2)</f>
        <v/>
      </c>
      <c r="H42">
        <f>ROUND(IF('Plant02 Inputs'!BD6=0,0,100*('Plant02 Inputs'!BE6-'Plant02 Inputs'!BD6)/'Plant02 Inputs'!BD6),2)</f>
        <v/>
      </c>
      <c r="I42">
        <f>ROUND(IF('Plant02 Inputs'!BD7=0,0,100*('Plant02 Inputs'!BE7-'Plant02 Inputs'!BD7)/'Plant02 Inputs'!BD7),2)</f>
        <v/>
      </c>
      <c r="J42">
        <f>ROUND(IF('Plant02 Inputs'!BD8=0,0,100*('Plant02 Inputs'!BE8-'Plant02 Inputs'!BD8)/'Plant02 Inputs'!BD8),2)</f>
        <v/>
      </c>
      <c r="K42">
        <f>ROUND(IF('Plant02 Inputs'!BD9=0,0,100*('Plant02 Inputs'!BE9-'Plant02 Inputs'!BD9)/'Plant02 Inputs'!BD9),2)</f>
        <v/>
      </c>
      <c r="L42" t="inlineStr">
        <is>
          <t>lead_time_planned_days, lead_time_actual_days</t>
        </is>
      </c>
    </row>
    <row r="43">
      <c r="A43" t="inlineStr">
        <is>
          <t>SUP-007</t>
        </is>
      </c>
      <c r="B43" t="inlineStr">
        <is>
          <t>Single-source spend share</t>
        </is>
      </c>
      <c r="C43" t="inlineStr">
        <is>
          <t>%</t>
        </is>
      </c>
      <c r="D43" t="inlineStr">
        <is>
          <t>Month</t>
        </is>
      </c>
      <c r="E43" t="inlineStr">
        <is>
          <t>Spend with single-source suppliers ÷ Supplier spend × 100</t>
        </is>
      </c>
      <c r="F43">
        <f>ROUND(IF('Plant02 Inputs'!BF4=0,0,100*'Plant02 Inputs'!BG4/'Plant02 Inputs'!BF4),2)</f>
        <v/>
      </c>
      <c r="G43">
        <f>ROUND(IF('Plant02 Inputs'!BF5=0,0,100*'Plant02 Inputs'!BG5/'Plant02 Inputs'!BF5),2)</f>
        <v/>
      </c>
      <c r="H43">
        <f>ROUND(IF('Plant02 Inputs'!BF6=0,0,100*'Plant02 Inputs'!BG6/'Plant02 Inputs'!BF6),2)</f>
        <v/>
      </c>
      <c r="I43">
        <f>ROUND(IF('Plant02 Inputs'!BF7=0,0,100*'Plant02 Inputs'!BG7/'Plant02 Inputs'!BF7),2)</f>
        <v/>
      </c>
      <c r="J43">
        <f>ROUND(IF('Plant02 Inputs'!BF8=0,0,100*'Plant02 Inputs'!BG8/'Plant02 Inputs'!BF8),2)</f>
        <v/>
      </c>
      <c r="K43">
        <f>ROUND(IF('Plant02 Inputs'!BF9=0,0,100*'Plant02 Inputs'!BG9/'Plant02 Inputs'!BF9),2)</f>
        <v/>
      </c>
      <c r="L43" t="inlineStr">
        <is>
          <t>supplier_spend_k, single_source_spend_k</t>
        </is>
      </c>
    </row>
    <row r="44">
      <c r="A44" t="inlineStr">
        <is>
          <t>SUP-008</t>
        </is>
      </c>
      <c r="B44" t="inlineStr">
        <is>
          <t>Supplier EHS incidents YTD</t>
        </is>
      </c>
      <c r="C44" t="inlineStr">
        <is>
          <t>count</t>
        </is>
      </c>
      <c r="D44" t="inlineStr">
        <is>
          <t>Year to date</t>
        </is>
      </c>
      <c r="E44" t="inlineStr">
        <is>
          <t>Sum of supplier EHS incidents since April</t>
        </is>
      </c>
      <c r="F44">
        <f>ROUND(SUM('Plant02 Inputs'!BH$4:BH4),2)</f>
        <v/>
      </c>
      <c r="G44">
        <f>ROUND(SUM('Plant02 Inputs'!BH$4:BH5),2)</f>
        <v/>
      </c>
      <c r="H44">
        <f>ROUND(SUM('Plant02 Inputs'!BH$4:BH6),2)</f>
        <v/>
      </c>
      <c r="I44">
        <f>ROUND(SUM('Plant02 Inputs'!BH$4:BH7),2)</f>
        <v/>
      </c>
      <c r="J44">
        <f>ROUND(SUM('Plant02 Inputs'!BH$4:BH8),2)</f>
        <v/>
      </c>
      <c r="K44">
        <f>ROUND(SUM('Plant02 Inputs'!BH$4:BH9),2)</f>
        <v/>
      </c>
      <c r="L44" t="inlineStr">
        <is>
          <t>supplier_ehs_incidents</t>
        </is>
      </c>
    </row>
    <row r="45">
      <c r="A45" t="inlineStr">
        <is>
          <t>REG-001</t>
        </is>
      </c>
      <c r="B45" t="inlineStr">
        <is>
          <t>Pending filings</t>
        </is>
      </c>
      <c r="C45" t="inlineStr">
        <is>
          <t>count</t>
        </is>
      </c>
      <c r="D45" t="inlineStr">
        <is>
          <t>Month end</t>
        </is>
      </c>
      <c r="E45" t="inlineStr">
        <is>
          <t>Regulatory filings pending</t>
        </is>
      </c>
      <c r="F45">
        <f>ROUND('Plant02 Inputs'!BI4,2)</f>
        <v/>
      </c>
      <c r="G45">
        <f>ROUND('Plant02 Inputs'!BI5,2)</f>
        <v/>
      </c>
      <c r="H45">
        <f>ROUND('Plant02 Inputs'!BI6,2)</f>
        <v/>
      </c>
      <c r="I45">
        <f>ROUND('Plant02 Inputs'!BI7,2)</f>
        <v/>
      </c>
      <c r="J45">
        <f>ROUND('Plant02 Inputs'!BI8,2)</f>
        <v/>
      </c>
      <c r="K45">
        <f>ROUND('Plant02 Inputs'!BI9,2)</f>
        <v/>
      </c>
      <c r="L45" t="inlineStr">
        <is>
          <t>pending_filings</t>
        </is>
      </c>
    </row>
    <row r="46">
      <c r="A46" t="inlineStr">
        <is>
          <t>REG-002</t>
        </is>
      </c>
      <c r="B46" t="inlineStr">
        <is>
          <t>Regulatory deadlines, next 30 days</t>
        </is>
      </c>
      <c r="C46" t="inlineStr">
        <is>
          <t>count</t>
        </is>
      </c>
      <c r="D46" t="inlineStr">
        <is>
          <t>Month end</t>
        </is>
      </c>
      <c r="E46" t="inlineStr">
        <is>
          <t>Regulatory deadlines in next 30 days</t>
        </is>
      </c>
      <c r="F46">
        <f>ROUND('Plant02 Inputs'!BJ4,2)</f>
        <v/>
      </c>
      <c r="G46">
        <f>ROUND('Plant02 Inputs'!BJ5,2)</f>
        <v/>
      </c>
      <c r="H46">
        <f>ROUND('Plant02 Inputs'!BJ6,2)</f>
        <v/>
      </c>
      <c r="I46">
        <f>ROUND('Plant02 Inputs'!BJ7,2)</f>
        <v/>
      </c>
      <c r="J46">
        <f>ROUND('Plant02 Inputs'!BJ8,2)</f>
        <v/>
      </c>
      <c r="K46">
        <f>ROUND('Plant02 Inputs'!BJ9,2)</f>
        <v/>
      </c>
      <c r="L46" t="inlineStr">
        <is>
          <t>reg_deadlines_30d</t>
        </is>
      </c>
    </row>
    <row r="47">
      <c r="A47" t="inlineStr">
        <is>
          <t>REG-003</t>
        </is>
      </c>
      <c r="B47" t="inlineStr">
        <is>
          <t>Licence expirations, next 12 months</t>
        </is>
      </c>
      <c r="C47" t="inlineStr">
        <is>
          <t>count</t>
        </is>
      </c>
      <c r="D47" t="inlineStr">
        <is>
          <t>Month end</t>
        </is>
      </c>
      <c r="E47" t="inlineStr">
        <is>
          <t>Licences expiring in next 12 months</t>
        </is>
      </c>
      <c r="F47">
        <f>ROUND('Plant02 Inputs'!BK4,2)</f>
        <v/>
      </c>
      <c r="G47">
        <f>ROUND('Plant02 Inputs'!BK5,2)</f>
        <v/>
      </c>
      <c r="H47">
        <f>ROUND('Plant02 Inputs'!BK6,2)</f>
        <v/>
      </c>
      <c r="I47">
        <f>ROUND('Plant02 Inputs'!BK7,2)</f>
        <v/>
      </c>
      <c r="J47">
        <f>ROUND('Plant02 Inputs'!BK8,2)</f>
        <v/>
      </c>
      <c r="K47">
        <f>ROUND('Plant02 Inputs'!BK9,2)</f>
        <v/>
      </c>
      <c r="L47" t="inlineStr">
        <is>
          <t>licences_expiring_12m</t>
        </is>
      </c>
    </row>
    <row r="48">
      <c r="A48" t="inlineStr">
        <is>
          <t>REG-004</t>
        </is>
      </c>
      <c r="B48" t="inlineStr">
        <is>
          <t>Regulatory obligations due, next 30 days</t>
        </is>
      </c>
      <c r="C48" t="inlineStr">
        <is>
          <t>count</t>
        </is>
      </c>
      <c r="D48" t="inlineStr">
        <is>
          <t>Month end</t>
        </is>
      </c>
      <c r="E48" t="inlineStr">
        <is>
          <t>Regulatory obligations due in next 30 days</t>
        </is>
      </c>
      <c r="F48">
        <f>ROUND('Plant02 Inputs'!BL4,2)</f>
        <v/>
      </c>
      <c r="G48">
        <f>ROUND('Plant02 Inputs'!BL5,2)</f>
        <v/>
      </c>
      <c r="H48">
        <f>ROUND('Plant02 Inputs'!BL6,2)</f>
        <v/>
      </c>
      <c r="I48">
        <f>ROUND('Plant02 Inputs'!BL7,2)</f>
        <v/>
      </c>
      <c r="J48">
        <f>ROUND('Plant02 Inputs'!BL8,2)</f>
        <v/>
      </c>
      <c r="K48">
        <f>ROUND('Plant02 Inputs'!BL9,2)</f>
        <v/>
      </c>
      <c r="L48" t="inlineStr">
        <is>
          <t>reg_obligations_due_30d</t>
        </is>
      </c>
    </row>
    <row r="49">
      <c r="A49" t="inlineStr">
        <is>
          <t>REG-005</t>
        </is>
      </c>
      <c r="B49" t="inlineStr">
        <is>
          <t>Overdue regulatory obligations</t>
        </is>
      </c>
      <c r="C49" t="inlineStr">
        <is>
          <t>count</t>
        </is>
      </c>
      <c r="D49" t="inlineStr">
        <is>
          <t>Month end</t>
        </is>
      </c>
      <c r="E49" t="inlineStr">
        <is>
          <t>Regulatory obligations overdue</t>
        </is>
      </c>
      <c r="F49">
        <f>ROUND('Plant02 Inputs'!BM4,2)</f>
        <v/>
      </c>
      <c r="G49">
        <f>ROUND('Plant02 Inputs'!BM5,2)</f>
        <v/>
      </c>
      <c r="H49">
        <f>ROUND('Plant02 Inputs'!BM6,2)</f>
        <v/>
      </c>
      <c r="I49">
        <f>ROUND('Plant02 Inputs'!BM7,2)</f>
        <v/>
      </c>
      <c r="J49">
        <f>ROUND('Plant02 Inputs'!BM8,2)</f>
        <v/>
      </c>
      <c r="K49">
        <f>ROUND('Plant02 Inputs'!BM9,2)</f>
        <v/>
      </c>
      <c r="L49" t="inlineStr">
        <is>
          <t>reg_obligations_overdue</t>
        </is>
      </c>
    </row>
    <row r="50">
      <c r="A50" t="inlineStr">
        <is>
          <t>REG-007</t>
        </is>
      </c>
      <c r="B50" t="inlineStr">
        <is>
          <t>Open regulatory actions</t>
        </is>
      </c>
      <c r="C50" t="inlineStr">
        <is>
          <t>count</t>
        </is>
      </c>
      <c r="D50" t="inlineStr">
        <is>
          <t>Month end</t>
        </is>
      </c>
      <c r="E50" t="inlineStr">
        <is>
          <t>Open regulatory actions</t>
        </is>
      </c>
      <c r="F50">
        <f>ROUND('Plant02 Inputs'!BN4,2)</f>
        <v/>
      </c>
      <c r="G50">
        <f>ROUND('Plant02 Inputs'!BN5,2)</f>
        <v/>
      </c>
      <c r="H50">
        <f>ROUND('Plant02 Inputs'!BN6,2)</f>
        <v/>
      </c>
      <c r="I50">
        <f>ROUND('Plant02 Inputs'!BN7,2)</f>
        <v/>
      </c>
      <c r="J50">
        <f>ROUND('Plant02 Inputs'!BN8,2)</f>
        <v/>
      </c>
      <c r="K50">
        <f>ROUND('Plant02 Inputs'!BN9,2)</f>
        <v/>
      </c>
      <c r="L50" t="inlineStr">
        <is>
          <t>reg_actions_open</t>
        </is>
      </c>
    </row>
    <row r="51">
      <c r="A51" t="inlineStr">
        <is>
          <t>REG-008</t>
        </is>
      </c>
      <c r="B51" t="inlineStr">
        <is>
          <t>Overdue compliance actions</t>
        </is>
      </c>
      <c r="C51" t="inlineStr">
        <is>
          <t>count</t>
        </is>
      </c>
      <c r="D51" t="inlineStr">
        <is>
          <t>Month end</t>
        </is>
      </c>
      <c r="E51" t="inlineStr">
        <is>
          <t>Overdue compliance actions</t>
        </is>
      </c>
      <c r="F51">
        <f>ROUND('Plant02 Inputs'!BO4,2)</f>
        <v/>
      </c>
      <c r="G51">
        <f>ROUND('Plant02 Inputs'!BO5,2)</f>
        <v/>
      </c>
      <c r="H51">
        <f>ROUND('Plant02 Inputs'!BO6,2)</f>
        <v/>
      </c>
      <c r="I51">
        <f>ROUND('Plant02 Inputs'!BO7,2)</f>
        <v/>
      </c>
      <c r="J51">
        <f>ROUND('Plant02 Inputs'!BO8,2)</f>
        <v/>
      </c>
      <c r="K51">
        <f>ROUND('Plant02 Inputs'!BO9,2)</f>
        <v/>
      </c>
      <c r="L51" t="inlineStr">
        <is>
          <t>compliance_actions_overdue</t>
        </is>
      </c>
    </row>
    <row r="52">
      <c r="A52" t="inlineStr">
        <is>
          <t>REG-009</t>
        </is>
      </c>
      <c r="B52" t="inlineStr">
        <is>
          <t>Disclosure-clock status</t>
        </is>
      </c>
      <c r="C52" t="inlineStr">
        <is>
          <t>text</t>
        </is>
      </c>
      <c r="D52" t="inlineStr">
        <is>
          <t>Month end</t>
        </is>
      </c>
      <c r="E52" t="inlineStr">
        <is>
          <t>Triggered if any event that needs disclosure is open, otherwise Not triggered</t>
        </is>
      </c>
      <c r="F52">
        <f>IF('Plant02 Inputs'!BQ4&gt;0,"Triggered","Not triggered")</f>
        <v/>
      </c>
      <c r="G52">
        <f>IF('Plant02 Inputs'!BQ5&gt;0,"Triggered","Not triggered")</f>
        <v/>
      </c>
      <c r="H52">
        <f>IF('Plant02 Inputs'!BQ6&gt;0,"Triggered","Not triggered")</f>
        <v/>
      </c>
      <c r="I52">
        <f>IF('Plant02 Inputs'!BQ7&gt;0,"Triggered","Not triggered")</f>
        <v/>
      </c>
      <c r="J52">
        <f>IF('Plant02 Inputs'!BQ8&gt;0,"Triggered","Not triggered")</f>
        <v/>
      </c>
      <c r="K52">
        <f>IF('Plant02 Inputs'!BQ9&gt;0,"Triggered","Not triggered")</f>
        <v/>
      </c>
      <c r="L52" t="inlineStr">
        <is>
          <t>disclosure_events_open</t>
        </is>
      </c>
    </row>
    <row r="53">
      <c r="A53" t="inlineStr">
        <is>
          <t>REG-010</t>
        </is>
      </c>
      <c r="B53" t="inlineStr">
        <is>
          <t>Regulatory breaches YTD</t>
        </is>
      </c>
      <c r="C53" t="inlineStr">
        <is>
          <t>count</t>
        </is>
      </c>
      <c r="D53" t="inlineStr">
        <is>
          <t>Year to date</t>
        </is>
      </c>
      <c r="E53" t="inlineStr">
        <is>
          <t>Sum of regulatory breaches since April</t>
        </is>
      </c>
      <c r="F53">
        <f>ROUND(SUM('Plant02 Inputs'!BP$4:BP4),2)</f>
        <v/>
      </c>
      <c r="G53">
        <f>ROUND(SUM('Plant02 Inputs'!BP$4:BP5),2)</f>
        <v/>
      </c>
      <c r="H53">
        <f>ROUND(SUM('Plant02 Inputs'!BP$4:BP6),2)</f>
        <v/>
      </c>
      <c r="I53">
        <f>ROUND(SUM('Plant02 Inputs'!BP$4:BP7),2)</f>
        <v/>
      </c>
      <c r="J53">
        <f>ROUND(SUM('Plant02 Inputs'!BP$4:BP8),2)</f>
        <v/>
      </c>
      <c r="K53">
        <f>ROUND(SUM('Plant02 Inputs'!BP$4:BP9),2)</f>
        <v/>
      </c>
      <c r="L53" t="inlineStr">
        <is>
          <t>reg_breaches</t>
        </is>
      </c>
    </row>
    <row r="54">
      <c r="A54" t="inlineStr">
        <is>
          <t>RSK-003</t>
        </is>
      </c>
      <c r="B54" t="inlineStr">
        <is>
          <t>Regulatory breaches YTD (same measure as REG-010)</t>
        </is>
      </c>
      <c r="C54" t="inlineStr">
        <is>
          <t>count</t>
        </is>
      </c>
      <c r="D54" t="inlineStr">
        <is>
          <t>Year to date</t>
        </is>
      </c>
      <c r="E54" t="inlineStr">
        <is>
          <t>Sum of regulatory breaches since April</t>
        </is>
      </c>
      <c r="F54">
        <f>ROUND(SUM('Plant02 Inputs'!BP$4:BP4),2)</f>
        <v/>
      </c>
      <c r="G54">
        <f>ROUND(SUM('Plant02 Inputs'!BP$4:BP5),2)</f>
        <v/>
      </c>
      <c r="H54">
        <f>ROUND(SUM('Plant02 Inputs'!BP$4:BP6),2)</f>
        <v/>
      </c>
      <c r="I54">
        <f>ROUND(SUM('Plant02 Inputs'!BP$4:BP7),2)</f>
        <v/>
      </c>
      <c r="J54">
        <f>ROUND(SUM('Plant02 Inputs'!BP$4:BP8),2)</f>
        <v/>
      </c>
      <c r="K54">
        <f>ROUND(SUM('Plant02 Inputs'!BP$4:BP9),2)</f>
        <v/>
      </c>
      <c r="L54" t="inlineStr">
        <is>
          <t>reg_breaches</t>
        </is>
      </c>
    </row>
    <row r="55">
      <c r="A55" t="inlineStr">
        <is>
          <t>CMP-005</t>
        </is>
      </c>
      <c r="B55" t="inlineStr">
        <is>
          <t>Regulatory breaches YTD (same measure as REG-010)</t>
        </is>
      </c>
      <c r="C55" t="inlineStr">
        <is>
          <t>count</t>
        </is>
      </c>
      <c r="D55" t="inlineStr">
        <is>
          <t>Year to date</t>
        </is>
      </c>
      <c r="E55" t="inlineStr">
        <is>
          <t>Sum of regulatory breaches since April</t>
        </is>
      </c>
      <c r="F55">
        <f>ROUND(SUM('Plant02 Inputs'!BP$4:BP4),2)</f>
        <v/>
      </c>
      <c r="G55">
        <f>ROUND(SUM('Plant02 Inputs'!BP$4:BP5),2)</f>
        <v/>
      </c>
      <c r="H55">
        <f>ROUND(SUM('Plant02 Inputs'!BP$4:BP6),2)</f>
        <v/>
      </c>
      <c r="I55">
        <f>ROUND(SUM('Plant02 Inputs'!BP$4:BP7),2)</f>
        <v/>
      </c>
      <c r="J55">
        <f>ROUND(SUM('Plant02 Inputs'!BP$4:BP8),2)</f>
        <v/>
      </c>
      <c r="K55">
        <f>ROUND(SUM('Plant02 Inputs'!BP$4:BP9),2)</f>
        <v/>
      </c>
      <c r="L55" t="inlineStr">
        <is>
          <t>reg_breaches</t>
        </is>
      </c>
    </row>
    <row r="56">
      <c r="A56" t="inlineStr">
        <is>
          <t>EHS-008</t>
        </is>
      </c>
      <c r="B56" t="inlineStr">
        <is>
          <t>EHS escalation clocks running</t>
        </is>
      </c>
      <c r="C56" t="inlineStr">
        <is>
          <t>count</t>
        </is>
      </c>
      <c r="D56" t="inlineStr">
        <is>
          <t>Month end</t>
        </is>
      </c>
      <c r="E56" t="inlineStr">
        <is>
          <t>EHS escalation clocks running</t>
        </is>
      </c>
      <c r="F56">
        <f>ROUND('Plant02 Inputs'!BR4,2)</f>
        <v/>
      </c>
      <c r="G56">
        <f>ROUND('Plant02 Inputs'!BR5,2)</f>
        <v/>
      </c>
      <c r="H56">
        <f>ROUND('Plant02 Inputs'!BR6,2)</f>
        <v/>
      </c>
      <c r="I56">
        <f>ROUND('Plant02 Inputs'!BR7,2)</f>
        <v/>
      </c>
      <c r="J56">
        <f>ROUND('Plant02 Inputs'!BR8,2)</f>
        <v/>
      </c>
      <c r="K56">
        <f>ROUND('Plant02 Inputs'!BR9,2)</f>
        <v/>
      </c>
      <c r="L56" t="inlineStr">
        <is>
          <t>ehs_escalation_clocks</t>
        </is>
      </c>
    </row>
    <row r="57">
      <c r="A57" t="inlineStr">
        <is>
          <t>EHS-010</t>
        </is>
      </c>
      <c r="B57" t="inlineStr">
        <is>
          <t>EHS investigation completion rate YTD</t>
        </is>
      </c>
      <c r="C57" t="inlineStr">
        <is>
          <t>%</t>
        </is>
      </c>
      <c r="D57" t="inlineStr">
        <is>
          <t>Year to date</t>
        </is>
      </c>
      <c r="E57" t="inlineStr">
        <is>
          <t>EHS investigations completed since April ÷ Investigations due since April × 100 (100 if none due)</t>
        </is>
      </c>
      <c r="F57">
        <f>ROUND(IF(SUM('Plant02 Inputs'!AM$4:AM4)=0,100,100*SUM('Plant02 Inputs'!AN$4:AN4)/SUM('Plant02 Inputs'!AM$4:AM4)),2)</f>
        <v/>
      </c>
      <c r="G57">
        <f>ROUND(IF(SUM('Plant02 Inputs'!AM$4:AM5)=0,100,100*SUM('Plant02 Inputs'!AN$4:AN5)/SUM('Plant02 Inputs'!AM$4:AM5)),2)</f>
        <v/>
      </c>
      <c r="H57">
        <f>ROUND(IF(SUM('Plant02 Inputs'!AM$4:AM6)=0,100,100*SUM('Plant02 Inputs'!AN$4:AN6)/SUM('Plant02 Inputs'!AM$4:AM6)),2)</f>
        <v/>
      </c>
      <c r="I57">
        <f>ROUND(IF(SUM('Plant02 Inputs'!AM$4:AM7)=0,100,100*SUM('Plant02 Inputs'!AN$4:AN7)/SUM('Plant02 Inputs'!AM$4:AM7)),2)</f>
        <v/>
      </c>
      <c r="J57">
        <f>ROUND(IF(SUM('Plant02 Inputs'!AM$4:AM8)=0,100,100*SUM('Plant02 Inputs'!AN$4:AN8)/SUM('Plant02 Inputs'!AM$4:AM8)),2)</f>
        <v/>
      </c>
      <c r="K57">
        <f>ROUND(IF(SUM('Plant02 Inputs'!AM$4:AM9)=0,100,100*SUM('Plant02 Inputs'!AN$4:AN9)/SUM('Plant02 Inputs'!AM$4:AM9)),2)</f>
        <v/>
      </c>
      <c r="L57" t="inlineStr">
        <is>
          <t>investigations_due, investigations_completed</t>
        </is>
      </c>
    </row>
    <row r="58">
      <c r="A58" t="inlineStr">
        <is>
          <t>SIG-013</t>
        </is>
      </c>
      <c r="B58" t="inlineStr">
        <is>
          <t>Pricing pressure</t>
        </is>
      </c>
      <c r="C58" t="inlineStr">
        <is>
          <t>text</t>
        </is>
      </c>
      <c r="D58" t="inlineStr">
        <is>
          <t>Month</t>
        </is>
      </c>
      <c r="E58" t="inlineStr">
        <is>
          <t>Realised price vs plan: Low if above −1%, Medium down to −3%, High below −3%</t>
        </is>
      </c>
      <c r="F58">
        <f>IF('Plant02 Inputs'!GG4&gt;=-1,"Low",IF('Plant02 Inputs'!GG4&gt;=-3,"Medium","High"))&amp;" ("&amp;ROUND('Plant02 Inputs'!GG4,1)&amp;"% vs plan price)"</f>
        <v/>
      </c>
      <c r="G58">
        <f>IF('Plant02 Inputs'!GG5&gt;=-1,"Low",IF('Plant02 Inputs'!GG5&gt;=-3,"Medium","High"))&amp;" ("&amp;ROUND('Plant02 Inputs'!GG5,1)&amp;"% vs plan price)"</f>
        <v/>
      </c>
      <c r="H58">
        <f>IF('Plant02 Inputs'!GG6&gt;=-1,"Low",IF('Plant02 Inputs'!GG6&gt;=-3,"Medium","High"))&amp;" ("&amp;ROUND('Plant02 Inputs'!GG6,1)&amp;"% vs plan price)"</f>
        <v/>
      </c>
      <c r="I58">
        <f>IF('Plant02 Inputs'!GG7&gt;=-1,"Low",IF('Plant02 Inputs'!GG7&gt;=-3,"Medium","High"))&amp;" ("&amp;ROUND('Plant02 Inputs'!GG7,1)&amp;"% vs plan price)"</f>
        <v/>
      </c>
      <c r="J58">
        <f>IF('Plant02 Inputs'!GG8&gt;=-1,"Low",IF('Plant02 Inputs'!GG8&gt;=-3,"Medium","High"))&amp;" ("&amp;ROUND('Plant02 Inputs'!GG8,1)&amp;"% vs plan price)"</f>
        <v/>
      </c>
      <c r="K58">
        <f>IF('Plant02 Inputs'!GG9&gt;=-1,"Low",IF('Plant02 Inputs'!GG9&gt;=-3,"Medium","High"))&amp;" ("&amp;ROUND('Plant02 Inputs'!GG9,1)&amp;"% vs plan price)"</f>
        <v/>
      </c>
      <c r="L58" t="inlineStr">
        <is>
          <t>price_vs_plan_pct</t>
        </is>
      </c>
    </row>
    <row r="59">
      <c r="A59" t="inlineStr">
        <is>
          <t>PRD-001</t>
        </is>
      </c>
      <c r="B59" t="inlineStr">
        <is>
          <t>Days to breach (earliest plant)</t>
        </is>
      </c>
      <c r="C59" t="inlineStr">
        <is>
          <t>days</t>
        </is>
      </c>
      <c r="D59" t="inlineStr">
        <is>
          <t>Forecast</t>
        </is>
      </c>
      <c r="E59" t="inlineStr">
        <is>
          <t>Lowest plant forecast of days until its production plan is breached (99 = not expected)</t>
        </is>
      </c>
      <c r="F59">
        <f>ROUND('Plant02 Inputs'!BS4,2)</f>
        <v/>
      </c>
      <c r="G59">
        <f>ROUND('Plant02 Inputs'!BS5,2)</f>
        <v/>
      </c>
      <c r="H59">
        <f>ROUND('Plant02 Inputs'!BS6,2)</f>
        <v/>
      </c>
      <c r="I59">
        <f>ROUND('Plant02 Inputs'!BS7,2)</f>
        <v/>
      </c>
      <c r="J59">
        <f>ROUND('Plant02 Inputs'!BS8,2)</f>
        <v/>
      </c>
      <c r="K59">
        <f>ROUND('Plant02 Inputs'!BS9,2)</f>
        <v/>
      </c>
      <c r="L59" t="inlineStr">
        <is>
          <t>days_to_breach</t>
        </is>
      </c>
    </row>
    <row r="60">
      <c r="A60" t="inlineStr">
        <is>
          <t>PRD-002</t>
        </is>
      </c>
      <c r="B60" t="inlineStr">
        <is>
          <t>Probability of production plan miss, next month</t>
        </is>
      </c>
      <c r="C60" t="inlineStr">
        <is>
          <t>%</t>
        </is>
      </c>
      <c r="D60" t="inlineStr">
        <is>
          <t>Next month</t>
        </is>
      </c>
      <c r="E60" t="inlineStr">
        <is>
          <t>Chance that output falls below plan: normal distribution with mean = Forecast good output, spread = √(sum of plant forecast variances)</t>
        </is>
      </c>
      <c r="F60">
        <f>ROUND(100*NORM.DIST('Plant02 Inputs'!BT4,'Plant02 Inputs'!BU4,SQRT('Plant02 Inputs'!BV4),TRUE),2)</f>
        <v/>
      </c>
      <c r="G60">
        <f>ROUND(100*NORM.DIST('Plant02 Inputs'!BT5,'Plant02 Inputs'!BU5,SQRT('Plant02 Inputs'!BV5),TRUE),2)</f>
        <v/>
      </c>
      <c r="H60">
        <f>ROUND(100*NORM.DIST('Plant02 Inputs'!BT6,'Plant02 Inputs'!BU6,SQRT('Plant02 Inputs'!BV6),TRUE),2)</f>
        <v/>
      </c>
      <c r="I60">
        <f>ROUND(100*NORM.DIST('Plant02 Inputs'!BT7,'Plant02 Inputs'!BU7,SQRT('Plant02 Inputs'!BV7),TRUE),2)</f>
        <v/>
      </c>
      <c r="J60">
        <f>ROUND(100*NORM.DIST('Plant02 Inputs'!BT8,'Plant02 Inputs'!BU8,SQRT('Plant02 Inputs'!BV8),TRUE),2)</f>
        <v/>
      </c>
      <c r="K60">
        <f>ROUND(100*NORM.DIST('Plant02 Inputs'!BT9,'Plant02 Inputs'!BU9,SQRT('Plant02 Inputs'!BV9),TRUE),2)</f>
        <v/>
      </c>
      <c r="L60" t="inlineStr">
        <is>
          <t>planned_production_next_t, forecast_good_next_t, forecast_good_var_next</t>
        </is>
      </c>
    </row>
    <row r="61">
      <c r="A61" t="inlineStr">
        <is>
          <t>PRD-006</t>
        </is>
      </c>
      <c r="B61" t="inlineStr">
        <is>
          <t>Production loss from downtime, next month</t>
        </is>
      </c>
      <c r="C61" t="inlineStr">
        <is>
          <t>kt</t>
        </is>
      </c>
      <c r="D61" t="inlineStr">
        <is>
          <t>Next month</t>
        </is>
      </c>
      <c r="E61" t="inlineStr">
        <is>
          <t>Forecast production lost to downtime next month ÷ 1000</t>
        </is>
      </c>
      <c r="F61">
        <f>ROUND('Plant02 Inputs'!BX4/1000,2)</f>
        <v/>
      </c>
      <c r="G61">
        <f>ROUND('Plant02 Inputs'!BX5/1000,2)</f>
        <v/>
      </c>
      <c r="H61">
        <f>ROUND('Plant02 Inputs'!BX6/1000,2)</f>
        <v/>
      </c>
      <c r="I61">
        <f>ROUND('Plant02 Inputs'!BX7/1000,2)</f>
        <v/>
      </c>
      <c r="J61">
        <f>ROUND('Plant02 Inputs'!BX8/1000,2)</f>
        <v/>
      </c>
      <c r="K61">
        <f>ROUND('Plant02 Inputs'!BX9/1000,2)</f>
        <v/>
      </c>
      <c r="L61" t="inlineStr">
        <is>
          <t>forecast_downtime_loss_next_t</t>
        </is>
      </c>
    </row>
    <row r="62">
      <c r="A62" t="inlineStr">
        <is>
          <t>PRD-007</t>
        </is>
      </c>
      <c r="B62" t="inlineStr">
        <is>
          <t>Probability OEE below 78%, next month</t>
        </is>
      </c>
      <c r="C62" t="inlineStr">
        <is>
          <t>%</t>
        </is>
      </c>
      <c r="D62" t="inlineStr">
        <is>
          <t>Next month</t>
        </is>
      </c>
      <c r="E62" t="inlineStr">
        <is>
          <t>Chance that Forecast good output &lt; 78% × Ideal output next month (same distribution as PRD-002)</t>
        </is>
      </c>
      <c r="F62">
        <f>ROUND(100*NORM.DIST(0.78*'Plant02 Inputs'!BW4,'Plant02 Inputs'!BU4,SQRT('Plant02 Inputs'!BV4),TRUE),2)</f>
        <v/>
      </c>
      <c r="G62">
        <f>ROUND(100*NORM.DIST(0.78*'Plant02 Inputs'!BW5,'Plant02 Inputs'!BU5,SQRT('Plant02 Inputs'!BV5),TRUE),2)</f>
        <v/>
      </c>
      <c r="H62">
        <f>ROUND(100*NORM.DIST(0.78*'Plant02 Inputs'!BW6,'Plant02 Inputs'!BU6,SQRT('Plant02 Inputs'!BV6),TRUE),2)</f>
        <v/>
      </c>
      <c r="I62">
        <f>ROUND(100*NORM.DIST(0.78*'Plant02 Inputs'!BW7,'Plant02 Inputs'!BU7,SQRT('Plant02 Inputs'!BV7),TRUE),2)</f>
        <v/>
      </c>
      <c r="J62">
        <f>ROUND(100*NORM.DIST(0.78*'Plant02 Inputs'!BW8,'Plant02 Inputs'!BU8,SQRT('Plant02 Inputs'!BV8),TRUE),2)</f>
        <v/>
      </c>
      <c r="K62">
        <f>ROUND(100*NORM.DIST(0.78*'Plant02 Inputs'!BW9,'Plant02 Inputs'!BU9,SQRT('Plant02 Inputs'!BV9),TRUE),2)</f>
        <v/>
      </c>
      <c r="L62" t="inlineStr">
        <is>
          <t>forecast_good_next_t, forecast_good_var_next, ideal_output_next_t</t>
        </is>
      </c>
    </row>
    <row r="63">
      <c r="A63" t="inlineStr">
        <is>
          <t>CST-005</t>
        </is>
      </c>
      <c r="B63" t="inlineStr">
        <is>
          <t>Fixed cost YTD</t>
        </is>
      </c>
      <c r="C63" t="inlineStr">
        <is>
          <t>₹ m</t>
        </is>
      </c>
      <c r="D63" t="inlineStr">
        <is>
          <t>Year to date</t>
        </is>
      </c>
      <c r="E63" t="inlineStr">
        <is>
          <t>Sum of monthly fixed cost since April ÷ 1000</t>
        </is>
      </c>
      <c r="F63">
        <f>ROUND(SUM('Plant02 Inputs'!X$4:X4)/1000,2)</f>
        <v/>
      </c>
      <c r="G63">
        <f>ROUND(SUM('Plant02 Inputs'!X$4:X5)/1000,2)</f>
        <v/>
      </c>
      <c r="H63">
        <f>ROUND(SUM('Plant02 Inputs'!X$4:X6)/1000,2)</f>
        <v/>
      </c>
      <c r="I63">
        <f>ROUND(SUM('Plant02 Inputs'!X$4:X7)/1000,2)</f>
        <v/>
      </c>
      <c r="J63">
        <f>ROUND(SUM('Plant02 Inputs'!X$4:X8)/1000,2)</f>
        <v/>
      </c>
      <c r="K63">
        <f>ROUND(SUM('Plant02 Inputs'!X$4:X9)/1000,2)</f>
        <v/>
      </c>
      <c r="L63" t="inlineStr">
        <is>
          <t>fixed_cost_k</t>
        </is>
      </c>
    </row>
    <row r="64">
      <c r="A64" t="inlineStr">
        <is>
          <t>SIG-017</t>
        </is>
      </c>
      <c r="B64" t="inlineStr">
        <is>
          <t>Fuel exposure (fuel cost per tonne, MoM)</t>
        </is>
      </c>
      <c r="C64" t="inlineStr">
        <is>
          <t>%</t>
        </is>
      </c>
      <c r="D64" t="inlineStr">
        <is>
          <t>Month</t>
        </is>
      </c>
      <c r="E64" t="inlineStr">
        <is>
          <t>(Fuel cost ÷ good output) ÷ last month's − 1, as %</t>
        </is>
      </c>
      <c r="F64">
        <f>ROUND(IF(OR('Plant02 Inputs'!M4=0,'Plant02 Inputs'!W4=0,'Plant02 Inputs'!M4=0),0,100*(('Plant02 Inputs'!W4/'Plant02 Inputs'!M4)/('Plant02 Inputs'!W4/'Plant02 Inputs'!M4)-1)),2)</f>
        <v/>
      </c>
      <c r="G64">
        <f>ROUND(IF(OR('Plant02 Inputs'!M4=0,'Plant02 Inputs'!W4=0,'Plant02 Inputs'!M5=0),0,100*(('Plant02 Inputs'!W5/'Plant02 Inputs'!M5)/('Plant02 Inputs'!W4/'Plant02 Inputs'!M4)-1)),2)</f>
        <v/>
      </c>
      <c r="H64">
        <f>ROUND(IF(OR('Plant02 Inputs'!M5=0,'Plant02 Inputs'!W5=0,'Plant02 Inputs'!M6=0),0,100*(('Plant02 Inputs'!W6/'Plant02 Inputs'!M6)/('Plant02 Inputs'!W5/'Plant02 Inputs'!M5)-1)),2)</f>
        <v/>
      </c>
      <c r="I64">
        <f>ROUND(IF(OR('Plant02 Inputs'!M6=0,'Plant02 Inputs'!W6=0,'Plant02 Inputs'!M7=0),0,100*(('Plant02 Inputs'!W7/'Plant02 Inputs'!M7)/('Plant02 Inputs'!W6/'Plant02 Inputs'!M6)-1)),2)</f>
        <v/>
      </c>
      <c r="J64">
        <f>ROUND(IF(OR('Plant02 Inputs'!M7=0,'Plant02 Inputs'!W7=0,'Plant02 Inputs'!M8=0),0,100*(('Plant02 Inputs'!W8/'Plant02 Inputs'!M8)/('Plant02 Inputs'!W7/'Plant02 Inputs'!M7)-1)),2)</f>
        <v/>
      </c>
      <c r="K64">
        <f>ROUND(IF(OR('Plant02 Inputs'!M8=0,'Plant02 Inputs'!W8=0,'Plant02 Inputs'!M9=0),0,100*(('Plant02 Inputs'!W9/'Plant02 Inputs'!M9)/('Plant02 Inputs'!W8/'Plant02 Inputs'!M8)-1)),2)</f>
        <v/>
      </c>
      <c r="L64" t="inlineStr">
        <is>
          <t>fuel_cost_k, good_output_t</t>
        </is>
      </c>
    </row>
    <row r="65">
      <c r="A65" t="inlineStr">
        <is>
          <t>SIG-018</t>
        </is>
      </c>
      <c r="B65" t="inlineStr">
        <is>
          <t>Power-cost exposure (power cost per tonne, MoM)</t>
        </is>
      </c>
      <c r="C65" t="inlineStr">
        <is>
          <t>%</t>
        </is>
      </c>
      <c r="D65" t="inlineStr">
        <is>
          <t>Month</t>
        </is>
      </c>
      <c r="E65" t="inlineStr">
        <is>
          <t>(Power cost ÷ good output) ÷ last month's − 1, as %</t>
        </is>
      </c>
      <c r="F65">
        <f>ROUND(IF(OR('Plant02 Inputs'!M4=0,'Plant02 Inputs'!AW4=0,'Plant02 Inputs'!M4=0),0,100*(('Plant02 Inputs'!AW4/'Plant02 Inputs'!M4)/('Plant02 Inputs'!AW4/'Plant02 Inputs'!M4)-1)),2)</f>
        <v/>
      </c>
      <c r="G65">
        <f>ROUND(IF(OR('Plant02 Inputs'!M4=0,'Plant02 Inputs'!AW4=0,'Plant02 Inputs'!M5=0),0,100*(('Plant02 Inputs'!AW5/'Plant02 Inputs'!M5)/('Plant02 Inputs'!AW4/'Plant02 Inputs'!M4)-1)),2)</f>
        <v/>
      </c>
      <c r="H65">
        <f>ROUND(IF(OR('Plant02 Inputs'!M5=0,'Plant02 Inputs'!AW5=0,'Plant02 Inputs'!M6=0),0,100*(('Plant02 Inputs'!AW6/'Plant02 Inputs'!M6)/('Plant02 Inputs'!AW5/'Plant02 Inputs'!M5)-1)),2)</f>
        <v/>
      </c>
      <c r="I65">
        <f>ROUND(IF(OR('Plant02 Inputs'!M6=0,'Plant02 Inputs'!AW6=0,'Plant02 Inputs'!M7=0),0,100*(('Plant02 Inputs'!AW7/'Plant02 Inputs'!M7)/('Plant02 Inputs'!AW6/'Plant02 Inputs'!M6)-1)),2)</f>
        <v/>
      </c>
      <c r="J65">
        <f>ROUND(IF(OR('Plant02 Inputs'!M7=0,'Plant02 Inputs'!AW7=0,'Plant02 Inputs'!M8=0),0,100*(('Plant02 Inputs'!AW8/'Plant02 Inputs'!M8)/('Plant02 Inputs'!AW7/'Plant02 Inputs'!M7)-1)),2)</f>
        <v/>
      </c>
      <c r="K65">
        <f>ROUND(IF(OR('Plant02 Inputs'!M8=0,'Plant02 Inputs'!AW8=0,'Plant02 Inputs'!M9=0),0,100*(('Plant02 Inputs'!AW9/'Plant02 Inputs'!M9)/('Plant02 Inputs'!AW8/'Plant02 Inputs'!M8)-1)),2)</f>
        <v/>
      </c>
      <c r="L65" t="inlineStr">
        <is>
          <t>good_output_t, power_cost_k</t>
        </is>
      </c>
    </row>
    <row r="66">
      <c r="A66" t="inlineStr">
        <is>
          <t>SIG-001</t>
        </is>
      </c>
      <c r="B66" t="inlineStr">
        <is>
          <t>Unplanned downtime (same measure as REL-003)</t>
        </is>
      </c>
      <c r="C66" t="inlineStr">
        <is>
          <t>h</t>
        </is>
      </c>
      <c r="D66" t="inlineStr">
        <is>
          <t>Month</t>
        </is>
      </c>
      <c r="E66" t="inlineStr">
        <is>
          <t>Alias of REL-003: same value</t>
        </is>
      </c>
      <c r="F66">
        <f>F10</f>
        <v/>
      </c>
      <c r="G66">
        <f>G10</f>
        <v/>
      </c>
      <c r="H66">
        <f>H10</f>
        <v/>
      </c>
      <c r="I66">
        <f>I10</f>
        <v/>
      </c>
      <c r="J66">
        <f>J10</f>
        <v/>
      </c>
      <c r="K66">
        <f>K10</f>
        <v/>
      </c>
      <c r="L66" t="inlineStr">
        <is>
          <t>unplanned_downtime_hours</t>
        </is>
      </c>
    </row>
    <row r="67">
      <c r="A67" t="inlineStr">
        <is>
          <t>SIG-002</t>
        </is>
      </c>
      <c r="B67" t="inlineStr">
        <is>
          <t>Yield (same measure as PLT-005)</t>
        </is>
      </c>
      <c r="C67" t="inlineStr">
        <is>
          <t>%</t>
        </is>
      </c>
      <c r="D67" t="inlineStr">
        <is>
          <t>Month</t>
        </is>
      </c>
      <c r="E67" t="inlineStr">
        <is>
          <t>Alias of PLT-005: same value</t>
        </is>
      </c>
      <c r="F67">
        <f>F7</f>
        <v/>
      </c>
      <c r="G67">
        <f>G7</f>
        <v/>
      </c>
      <c r="H67">
        <f>H7</f>
        <v/>
      </c>
      <c r="I67">
        <f>I7</f>
        <v/>
      </c>
      <c r="J67">
        <f>J7</f>
        <v/>
      </c>
      <c r="K67">
        <f>K7</f>
        <v/>
      </c>
      <c r="L67" t="inlineStr">
        <is>
          <t>good_output_t, feed_input_t</t>
        </is>
      </c>
    </row>
    <row r="68">
      <c r="A68" t="inlineStr">
        <is>
          <t>SIG-003</t>
        </is>
      </c>
      <c r="B68" t="inlineStr">
        <is>
          <t>Recovery percentage (same measure as PLT-004)</t>
        </is>
      </c>
      <c r="C68" t="inlineStr">
        <is>
          <t>%</t>
        </is>
      </c>
      <c r="D68" t="inlineStr">
        <is>
          <t>Month</t>
        </is>
      </c>
      <c r="E68" t="inlineStr">
        <is>
          <t>Alias of PLT-004: same value</t>
        </is>
      </c>
      <c r="F68">
        <f>F6</f>
        <v/>
      </c>
      <c r="G68">
        <f>G6</f>
        <v/>
      </c>
      <c r="H68">
        <f>H6</f>
        <v/>
      </c>
      <c r="I68">
        <f>I6</f>
        <v/>
      </c>
      <c r="J68">
        <f>J6</f>
        <v/>
      </c>
      <c r="K68">
        <f>K6</f>
        <v/>
      </c>
      <c r="L68" t="inlineStr">
        <is>
          <t>feed_contained_t, recovered_contained_t</t>
        </is>
      </c>
    </row>
    <row r="69">
      <c r="A69" t="inlineStr">
        <is>
          <t>SIG-019</t>
        </is>
      </c>
      <c r="B69" t="inlineStr">
        <is>
          <t>Regulatory deadlines, next 30 days (same measure as REG-002)</t>
        </is>
      </c>
      <c r="C69" t="inlineStr">
        <is>
          <t>count</t>
        </is>
      </c>
      <c r="D69" t="inlineStr">
        <is>
          <t>Month end</t>
        </is>
      </c>
      <c r="E69" t="inlineStr">
        <is>
          <t>Alias of REG-002: same value</t>
        </is>
      </c>
      <c r="F69">
        <f>F46</f>
        <v/>
      </c>
      <c r="G69">
        <f>G46</f>
        <v/>
      </c>
      <c r="H69">
        <f>H46</f>
        <v/>
      </c>
      <c r="I69">
        <f>I46</f>
        <v/>
      </c>
      <c r="J69">
        <f>J46</f>
        <v/>
      </c>
      <c r="K69">
        <f>K46</f>
        <v/>
      </c>
      <c r="L69" t="inlineStr">
        <is>
          <t>reg_deadlines_30d</t>
        </is>
      </c>
    </row>
    <row r="70">
      <c r="A70" t="inlineStr">
        <is>
          <t>SIG-020</t>
        </is>
      </c>
      <c r="B70" t="inlineStr">
        <is>
          <t>Licence expirations, next 12 months (same measure as REG-003)</t>
        </is>
      </c>
      <c r="C70" t="inlineStr">
        <is>
          <t>count</t>
        </is>
      </c>
      <c r="D70" t="inlineStr">
        <is>
          <t>Month end</t>
        </is>
      </c>
      <c r="E70" t="inlineStr">
        <is>
          <t>Alias of REG-003: same value</t>
        </is>
      </c>
      <c r="F70">
        <f>F47</f>
        <v/>
      </c>
      <c r="G70">
        <f>G47</f>
        <v/>
      </c>
      <c r="H70">
        <f>H47</f>
        <v/>
      </c>
      <c r="I70">
        <f>I47</f>
        <v/>
      </c>
      <c r="J70">
        <f>J47</f>
        <v/>
      </c>
      <c r="K70">
        <f>K47</f>
        <v/>
      </c>
      <c r="L70" t="inlineStr">
        <is>
          <t>licences_expiring_12m</t>
        </is>
      </c>
    </row>
    <row r="71">
      <c r="A71" t="inlineStr">
        <is>
          <t>RSK-002</t>
        </is>
      </c>
      <c r="B71" t="inlineStr">
        <is>
          <t>Severity incidents (same measure as EHS-002)</t>
        </is>
      </c>
      <c r="C71" t="inlineStr">
        <is>
          <t>count</t>
        </is>
      </c>
      <c r="D71" t="inlineStr">
        <is>
          <t>Month</t>
        </is>
      </c>
      <c r="E71" t="inlineStr">
        <is>
          <t>Alias of EHS-002: same value</t>
        </is>
      </c>
      <c r="F71">
        <f>F25</f>
        <v/>
      </c>
      <c r="G71">
        <f>G25</f>
        <v/>
      </c>
      <c r="H71">
        <f>H25</f>
        <v/>
      </c>
      <c r="I71">
        <f>I25</f>
        <v/>
      </c>
      <c r="J71">
        <f>J25</f>
        <v/>
      </c>
      <c r="K71">
        <f>K25</f>
        <v/>
      </c>
      <c r="L71" t="inlineStr">
        <is>
          <t>severity_incidents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7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10" customWidth="1" min="3" max="3"/>
    <col width="12" customWidth="1" min="4" max="4"/>
    <col width="60" customWidth="1" min="5" max="5"/>
  </cols>
  <sheetData>
    <row r="1">
      <c r="A1" s="26" t="inlineStr">
        <is>
          <t>KPI ID</t>
        </is>
      </c>
      <c r="B1" s="26" t="inlineStr">
        <is>
          <t>Measure</t>
        </is>
      </c>
      <c r="C1" s="26" t="inlineStr">
        <is>
          <t>Unit</t>
        </is>
      </c>
      <c r="D1" s="26" t="inlineStr">
        <is>
          <t>Time basis</t>
        </is>
      </c>
      <c r="E1" s="26" t="inlineStr">
        <is>
          <t>How it is calculated</t>
        </is>
      </c>
      <c r="F1" s="26" t="inlineStr">
        <is>
          <t>2026-04 (P01)</t>
        </is>
      </c>
      <c r="G1" s="26" t="inlineStr">
        <is>
          <t>2026-05 (P02)</t>
        </is>
      </c>
      <c r="H1" s="26" t="inlineStr">
        <is>
          <t>2026-06 (P03)</t>
        </is>
      </c>
      <c r="I1" s="26" t="inlineStr">
        <is>
          <t>2026-07 (P04)</t>
        </is>
      </c>
      <c r="J1" s="26" t="inlineStr">
        <is>
          <t>2026-08 (P05)</t>
        </is>
      </c>
      <c r="K1" s="26" t="inlineStr">
        <is>
          <t>2026-09 (P06)</t>
        </is>
      </c>
      <c r="L1" s="26" t="inlineStr">
        <is>
          <t>Inputs used</t>
        </is>
      </c>
    </row>
    <row r="2">
      <c r="A2" t="inlineStr">
        <is>
          <t>OPS-001</t>
        </is>
      </c>
      <c r="B2" t="inlineStr">
        <is>
          <t>Production vs plan</t>
        </is>
      </c>
      <c r="C2" t="inlineStr">
        <is>
          <t>%</t>
        </is>
      </c>
      <c r="D2" t="inlineStr">
        <is>
          <t>Month</t>
        </is>
      </c>
      <c r="E2" t="inlineStr">
        <is>
          <t>Good output ÷ Planned production × 100</t>
        </is>
      </c>
      <c r="F2">
        <f>ROUND(IFERROR(100*'Plant03 Inputs'!M4/'Plant03 Inputs'!K4,0),2)</f>
        <v/>
      </c>
      <c r="G2">
        <f>ROUND(IFERROR(100*'Plant03 Inputs'!M5/'Plant03 Inputs'!K5,0),2)</f>
        <v/>
      </c>
      <c r="H2">
        <f>ROUND(IFERROR(100*'Plant03 Inputs'!M6/'Plant03 Inputs'!K6,0),2)</f>
        <v/>
      </c>
      <c r="I2">
        <f>ROUND(IFERROR(100*'Plant03 Inputs'!M7/'Plant03 Inputs'!K7,0),2)</f>
        <v/>
      </c>
      <c r="J2">
        <f>ROUND(IFERROR(100*'Plant03 Inputs'!M8/'Plant03 Inputs'!K8,0),2)</f>
        <v/>
      </c>
      <c r="K2">
        <f>ROUND(IFERROR(100*'Plant03 Inputs'!M9/'Plant03 Inputs'!K9,0),2)</f>
        <v/>
      </c>
      <c r="L2" t="inlineStr">
        <is>
          <t>planned_production_t, good_output_t</t>
        </is>
      </c>
    </row>
    <row r="3">
      <c r="A3" t="inlineStr">
        <is>
          <t>OPS-003</t>
        </is>
      </c>
      <c r="B3" t="inlineStr">
        <is>
          <t>Capacity utilization</t>
        </is>
      </c>
      <c r="C3" t="inlineStr">
        <is>
          <t>%</t>
        </is>
      </c>
      <c r="D3" t="inlineStr">
        <is>
          <t>Month</t>
        </is>
      </c>
      <c r="E3" t="inlineStr">
        <is>
          <t>Good output ÷ Installed capacity × 100</t>
        </is>
      </c>
      <c r="F3">
        <f>ROUND(IFERROR(100*'Plant03 Inputs'!M4/'Plant03 Inputs'!J4,0),2)</f>
        <v/>
      </c>
      <c r="G3">
        <f>ROUND(IFERROR(100*'Plant03 Inputs'!M5/'Plant03 Inputs'!J5,0),2)</f>
        <v/>
      </c>
      <c r="H3">
        <f>ROUND(IFERROR(100*'Plant03 Inputs'!M6/'Plant03 Inputs'!J6,0),2)</f>
        <v/>
      </c>
      <c r="I3">
        <f>ROUND(IFERROR(100*'Plant03 Inputs'!M7/'Plant03 Inputs'!J7,0),2)</f>
        <v/>
      </c>
      <c r="J3">
        <f>ROUND(IFERROR(100*'Plant03 Inputs'!M8/'Plant03 Inputs'!J8,0),2)</f>
        <v/>
      </c>
      <c r="K3">
        <f>ROUND(IFERROR(100*'Plant03 Inputs'!M9/'Plant03 Inputs'!J9,0),2)</f>
        <v/>
      </c>
      <c r="L3" t="inlineStr">
        <is>
          <t>installed_capacity_t, good_output_t</t>
        </is>
      </c>
    </row>
    <row r="4">
      <c r="A4" t="inlineStr">
        <is>
          <t>PLT-001</t>
        </is>
      </c>
      <c r="B4" t="inlineStr">
        <is>
          <t>Asset utilization</t>
        </is>
      </c>
      <c r="C4" t="inlineStr">
        <is>
          <t>%</t>
        </is>
      </c>
      <c r="D4" t="inlineStr">
        <is>
          <t>Month</t>
        </is>
      </c>
      <c r="E4" t="inlineStr">
        <is>
          <t>Run hours ÷ Calendar hours × 100</t>
        </is>
      </c>
      <c r="F4">
        <f>ROUND(IFERROR(100*'Plant03 Inputs'!G4/'Plant03 Inputs'!E4,0),2)</f>
        <v/>
      </c>
      <c r="G4">
        <f>ROUND(IFERROR(100*'Plant03 Inputs'!G5/'Plant03 Inputs'!E5,0),2)</f>
        <v/>
      </c>
      <c r="H4">
        <f>ROUND(IFERROR(100*'Plant03 Inputs'!G6/'Plant03 Inputs'!E6,0),2)</f>
        <v/>
      </c>
      <c r="I4">
        <f>ROUND(IFERROR(100*'Plant03 Inputs'!G7/'Plant03 Inputs'!E7,0),2)</f>
        <v/>
      </c>
      <c r="J4">
        <f>ROUND(IFERROR(100*'Plant03 Inputs'!G8/'Plant03 Inputs'!E8,0),2)</f>
        <v/>
      </c>
      <c r="K4">
        <f>ROUND(IFERROR(100*'Plant03 Inputs'!G9/'Plant03 Inputs'!E9,0),2)</f>
        <v/>
      </c>
      <c r="L4" t="inlineStr">
        <is>
          <t>calendar_hours, run_hours</t>
        </is>
      </c>
    </row>
    <row r="5">
      <c r="A5" t="inlineStr">
        <is>
          <t>PLT-002</t>
        </is>
      </c>
      <c r="B5" t="inlineStr">
        <is>
          <t>OEE</t>
        </is>
      </c>
      <c r="C5" t="inlineStr">
        <is>
          <t>%</t>
        </is>
      </c>
      <c r="D5" t="inlineStr">
        <is>
          <t>Month</t>
        </is>
      </c>
      <c r="E5" t="inlineStr">
        <is>
          <t>Availability × Performance × Quality = Good output ÷ Ideal output × 100</t>
        </is>
      </c>
      <c r="F5">
        <f>ROUND(IFERROR(100*'Plant03 Inputs'!M4/'Plant03 Inputs'!I4,0),2)</f>
        <v/>
      </c>
      <c r="G5">
        <f>ROUND(IFERROR(100*'Plant03 Inputs'!M5/'Plant03 Inputs'!I5,0),2)</f>
        <v/>
      </c>
      <c r="H5">
        <f>ROUND(IFERROR(100*'Plant03 Inputs'!M6/'Plant03 Inputs'!I6,0),2)</f>
        <v/>
      </c>
      <c r="I5">
        <f>ROUND(IFERROR(100*'Plant03 Inputs'!M7/'Plant03 Inputs'!I7,0),2)</f>
        <v/>
      </c>
      <c r="J5">
        <f>ROUND(IFERROR(100*'Plant03 Inputs'!M8/'Plant03 Inputs'!I8,0),2)</f>
        <v/>
      </c>
      <c r="K5">
        <f>ROUND(IFERROR(100*'Plant03 Inputs'!M9/'Plant03 Inputs'!I9,0),2)</f>
        <v/>
      </c>
      <c r="L5" t="inlineStr">
        <is>
          <t>ideal_output_t, good_output_t</t>
        </is>
      </c>
    </row>
    <row r="6">
      <c r="A6" t="inlineStr">
        <is>
          <t>PLT-004</t>
        </is>
      </c>
      <c r="B6" t="inlineStr">
        <is>
          <t>Recovery percentage</t>
        </is>
      </c>
      <c r="C6" t="inlineStr">
        <is>
          <t>%</t>
        </is>
      </c>
      <c r="D6" t="inlineStr">
        <is>
          <t>Month</t>
        </is>
      </c>
      <c r="E6" t="inlineStr">
        <is>
          <t>Valuable content recovered ÷ Valuable content in feed × 100</t>
        </is>
      </c>
      <c r="F6">
        <f>ROUND(IFERROR(100*'Plant03 Inputs'!P4/'Plant03 Inputs'!O4,0),2)</f>
        <v/>
      </c>
      <c r="G6">
        <f>ROUND(IFERROR(100*'Plant03 Inputs'!P5/'Plant03 Inputs'!O5,0),2)</f>
        <v/>
      </c>
      <c r="H6">
        <f>ROUND(IFERROR(100*'Plant03 Inputs'!P6/'Plant03 Inputs'!O6,0),2)</f>
        <v/>
      </c>
      <c r="I6">
        <f>ROUND(IFERROR(100*'Plant03 Inputs'!P7/'Plant03 Inputs'!O7,0),2)</f>
        <v/>
      </c>
      <c r="J6">
        <f>ROUND(IFERROR(100*'Plant03 Inputs'!P8/'Plant03 Inputs'!O8,0),2)</f>
        <v/>
      </c>
      <c r="K6">
        <f>ROUND(IFERROR(100*'Plant03 Inputs'!P9/'Plant03 Inputs'!O9,0),2)</f>
        <v/>
      </c>
      <c r="L6" t="inlineStr">
        <is>
          <t>feed_contained_t, recovered_contained_t</t>
        </is>
      </c>
    </row>
    <row r="7">
      <c r="A7" t="inlineStr">
        <is>
          <t>PLT-005</t>
        </is>
      </c>
      <c r="B7" t="inlineStr">
        <is>
          <t>Yield</t>
        </is>
      </c>
      <c r="C7" t="inlineStr">
        <is>
          <t>%</t>
        </is>
      </c>
      <c r="D7" t="inlineStr">
        <is>
          <t>Month</t>
        </is>
      </c>
      <c r="E7" t="inlineStr">
        <is>
          <t>Good output ÷ Feed input × 100</t>
        </is>
      </c>
      <c r="F7">
        <f>ROUND(IFERROR(100*'Plant03 Inputs'!M4/'Plant03 Inputs'!N4,0),2)</f>
        <v/>
      </c>
      <c r="G7">
        <f>ROUND(IFERROR(100*'Plant03 Inputs'!M5/'Plant03 Inputs'!N5,0),2)</f>
        <v/>
      </c>
      <c r="H7">
        <f>ROUND(IFERROR(100*'Plant03 Inputs'!M6/'Plant03 Inputs'!N6,0),2)</f>
        <v/>
      </c>
      <c r="I7">
        <f>ROUND(IFERROR(100*'Plant03 Inputs'!M7/'Plant03 Inputs'!N7,0),2)</f>
        <v/>
      </c>
      <c r="J7">
        <f>ROUND(IFERROR(100*'Plant03 Inputs'!M8/'Plant03 Inputs'!N8,0),2)</f>
        <v/>
      </c>
      <c r="K7">
        <f>ROUND(IFERROR(100*'Plant03 Inputs'!M9/'Plant03 Inputs'!N9,0),2)</f>
        <v/>
      </c>
      <c r="L7" t="inlineStr">
        <is>
          <t>good_output_t, feed_input_t</t>
        </is>
      </c>
    </row>
    <row r="8">
      <c r="A8" t="inlineStr">
        <is>
          <t>REL-001</t>
        </is>
      </c>
      <c r="B8" t="inlineStr">
        <is>
          <t>MTBF</t>
        </is>
      </c>
      <c r="C8" t="inlineStr">
        <is>
          <t>h</t>
        </is>
      </c>
      <c r="D8" t="inlineStr">
        <is>
          <t>Month</t>
        </is>
      </c>
      <c r="E8" t="inlineStr">
        <is>
          <t>Run hours ÷ Breakdowns</t>
        </is>
      </c>
      <c r="F8">
        <f>ROUND(IFERROR('Plant03 Inputs'!G4/'Plant03 Inputs'!R4,0),2)</f>
        <v/>
      </c>
      <c r="G8">
        <f>ROUND(IFERROR('Plant03 Inputs'!G5/'Plant03 Inputs'!R5,0),2)</f>
        <v/>
      </c>
      <c r="H8">
        <f>ROUND(IFERROR('Plant03 Inputs'!G6/'Plant03 Inputs'!R6,0),2)</f>
        <v/>
      </c>
      <c r="I8">
        <f>ROUND(IFERROR('Plant03 Inputs'!G7/'Plant03 Inputs'!R7,0),2)</f>
        <v/>
      </c>
      <c r="J8">
        <f>ROUND(IFERROR('Plant03 Inputs'!G8/'Plant03 Inputs'!R8,0),2)</f>
        <v/>
      </c>
      <c r="K8">
        <f>ROUND(IFERROR('Plant03 Inputs'!G9/'Plant03 Inputs'!R9,0),2)</f>
        <v/>
      </c>
      <c r="L8" t="inlineStr">
        <is>
          <t>run_hours, failures</t>
        </is>
      </c>
    </row>
    <row r="9">
      <c r="A9" t="inlineStr">
        <is>
          <t>REL-002</t>
        </is>
      </c>
      <c r="B9" t="inlineStr">
        <is>
          <t>Mean Time to Repair</t>
        </is>
      </c>
      <c r="C9" t="inlineStr">
        <is>
          <t>h</t>
        </is>
      </c>
      <c r="D9" t="inlineStr">
        <is>
          <t>Month</t>
        </is>
      </c>
      <c r="E9" t="inlineStr">
        <is>
          <t>Repair hours ÷ Breakdowns</t>
        </is>
      </c>
      <c r="F9">
        <f>ROUND(IFERROR('Plant03 Inputs'!S4/'Plant03 Inputs'!R4,0),2)</f>
        <v/>
      </c>
      <c r="G9">
        <f>ROUND(IFERROR('Plant03 Inputs'!S5/'Plant03 Inputs'!R5,0),2)</f>
        <v/>
      </c>
      <c r="H9">
        <f>ROUND(IFERROR('Plant03 Inputs'!S6/'Plant03 Inputs'!R6,0),2)</f>
        <v/>
      </c>
      <c r="I9">
        <f>ROUND(IFERROR('Plant03 Inputs'!S7/'Plant03 Inputs'!R7,0),2)</f>
        <v/>
      </c>
      <c r="J9">
        <f>ROUND(IFERROR('Plant03 Inputs'!S8/'Plant03 Inputs'!R8,0),2)</f>
        <v/>
      </c>
      <c r="K9">
        <f>ROUND(IFERROR('Plant03 Inputs'!S9/'Plant03 Inputs'!R9,0),2)</f>
        <v/>
      </c>
      <c r="L9" t="inlineStr">
        <is>
          <t>failures, repair_hours</t>
        </is>
      </c>
    </row>
    <row r="10">
      <c r="A10" t="inlineStr">
        <is>
          <t>REL-003</t>
        </is>
      </c>
      <c r="B10" t="inlineStr">
        <is>
          <t>Unplanned downtime</t>
        </is>
      </c>
      <c r="C10" t="inlineStr">
        <is>
          <t>h</t>
        </is>
      </c>
      <c r="D10" t="inlineStr">
        <is>
          <t>Month</t>
        </is>
      </c>
      <c r="E10" t="inlineStr">
        <is>
          <t>Unplanned downtime</t>
        </is>
      </c>
      <c r="F10">
        <f>ROUND('Plant03 Inputs'!H4,2)</f>
        <v/>
      </c>
      <c r="G10">
        <f>ROUND('Plant03 Inputs'!H5,2)</f>
        <v/>
      </c>
      <c r="H10">
        <f>ROUND('Plant03 Inputs'!H6,2)</f>
        <v/>
      </c>
      <c r="I10">
        <f>ROUND('Plant03 Inputs'!H7,2)</f>
        <v/>
      </c>
      <c r="J10">
        <f>ROUND('Plant03 Inputs'!H8,2)</f>
        <v/>
      </c>
      <c r="K10">
        <f>ROUND('Plant03 Inputs'!H9,2)</f>
        <v/>
      </c>
      <c r="L10" t="inlineStr">
        <is>
          <t>unplanned_downtime_hours</t>
        </is>
      </c>
    </row>
    <row r="11">
      <c r="A11" t="inlineStr">
        <is>
          <t>REL-004</t>
        </is>
      </c>
      <c r="B11" t="inlineStr">
        <is>
          <t>Production loss from downtime</t>
        </is>
      </c>
      <c r="C11" t="inlineStr">
        <is>
          <t>t</t>
        </is>
      </c>
      <c r="D11" t="inlineStr">
        <is>
          <t>Month</t>
        </is>
      </c>
      <c r="E11" t="inlineStr">
        <is>
          <t>Production lost to downtime</t>
        </is>
      </c>
      <c r="F11">
        <f>ROUND('Plant03 Inputs'!Q4,2)</f>
        <v/>
      </c>
      <c r="G11">
        <f>ROUND('Plant03 Inputs'!Q5,2)</f>
        <v/>
      </c>
      <c r="H11">
        <f>ROUND('Plant03 Inputs'!Q6,2)</f>
        <v/>
      </c>
      <c r="I11">
        <f>ROUND('Plant03 Inputs'!Q7,2)</f>
        <v/>
      </c>
      <c r="J11">
        <f>ROUND('Plant03 Inputs'!Q8,2)</f>
        <v/>
      </c>
      <c r="K11">
        <f>ROUND('Plant03 Inputs'!Q9,2)</f>
        <v/>
      </c>
      <c r="L11" t="inlineStr">
        <is>
          <t>prod_loss_downtime_t</t>
        </is>
      </c>
    </row>
    <row r="12">
      <c r="A12" t="inlineStr">
        <is>
          <t>REL-005</t>
        </is>
      </c>
      <c r="B12" t="inlineStr">
        <is>
          <t>Preventive-maintenance compliance</t>
        </is>
      </c>
      <c r="C12" t="inlineStr">
        <is>
          <t>%</t>
        </is>
      </c>
      <c r="D12" t="inlineStr">
        <is>
          <t>Month</t>
        </is>
      </c>
      <c r="E12" t="inlineStr">
        <is>
          <t>Preventive maintenance completed ÷ Preventive maintenance scheduled × 100</t>
        </is>
      </c>
      <c r="F12">
        <f>ROUND(IFERROR(100*'Plant03 Inputs'!U4/'Plant03 Inputs'!T4,0),2)</f>
        <v/>
      </c>
      <c r="G12">
        <f>ROUND(IFERROR(100*'Plant03 Inputs'!U5/'Plant03 Inputs'!T5,0),2)</f>
        <v/>
      </c>
      <c r="H12">
        <f>ROUND(IFERROR(100*'Plant03 Inputs'!U6/'Plant03 Inputs'!T6,0),2)</f>
        <v/>
      </c>
      <c r="I12">
        <f>ROUND(IFERROR(100*'Plant03 Inputs'!U7/'Plant03 Inputs'!T7,0),2)</f>
        <v/>
      </c>
      <c r="J12">
        <f>ROUND(IFERROR(100*'Plant03 Inputs'!U8/'Plant03 Inputs'!T8,0),2)</f>
        <v/>
      </c>
      <c r="K12">
        <f>ROUND(IFERROR(100*'Plant03 Inputs'!U9/'Plant03 Inputs'!T9,0),2)</f>
        <v/>
      </c>
      <c r="L12" t="inlineStr">
        <is>
          <t>pm_scheduled, pm_completed</t>
        </is>
      </c>
    </row>
    <row r="13">
      <c r="A13" t="inlineStr">
        <is>
          <t>CST-001</t>
        </is>
      </c>
      <c r="B13" t="inlineStr">
        <is>
          <t>Cost per tonne</t>
        </is>
      </c>
      <c r="C13" t="inlineStr">
        <is>
          <t>₹/t</t>
        </is>
      </c>
      <c r="D13" t="inlineStr">
        <is>
          <t>Month</t>
        </is>
      </c>
      <c r="E13" t="inlineStr">
        <is>
          <t>(Variable cost + Fixed cost) × 1000 ÷ Good output</t>
        </is>
      </c>
      <c r="F13">
        <f>ROUND(IFERROR(1000*('Plant03 Inputs'!V4+'Plant03 Inputs'!X4)/'Plant03 Inputs'!M4,0),2)</f>
        <v/>
      </c>
      <c r="G13">
        <f>ROUND(IFERROR(1000*('Plant03 Inputs'!V5+'Plant03 Inputs'!X5)/'Plant03 Inputs'!M5,0),2)</f>
        <v/>
      </c>
      <c r="H13">
        <f>ROUND(IFERROR(1000*('Plant03 Inputs'!V6+'Plant03 Inputs'!X6)/'Plant03 Inputs'!M6,0),2)</f>
        <v/>
      </c>
      <c r="I13">
        <f>ROUND(IFERROR(1000*('Plant03 Inputs'!V7+'Plant03 Inputs'!X7)/'Plant03 Inputs'!M7,0),2)</f>
        <v/>
      </c>
      <c r="J13">
        <f>ROUND(IFERROR(1000*('Plant03 Inputs'!V8+'Plant03 Inputs'!X8)/'Plant03 Inputs'!M8,0),2)</f>
        <v/>
      </c>
      <c r="K13">
        <f>ROUND(IFERROR(1000*('Plant03 Inputs'!V9+'Plant03 Inputs'!X9)/'Plant03 Inputs'!M9,0),2)</f>
        <v/>
      </c>
      <c r="L13" t="inlineStr">
        <is>
          <t>good_output_t, variable_cost_k, fixed_cost_k</t>
        </is>
      </c>
    </row>
    <row r="14">
      <c r="A14" t="inlineStr">
        <is>
          <t>CST-002</t>
        </is>
      </c>
      <c r="B14" t="inlineStr">
        <is>
          <t>Variable cost</t>
        </is>
      </c>
      <c r="C14" t="inlineStr">
        <is>
          <t>₹ thousand</t>
        </is>
      </c>
      <c r="D14" t="inlineStr">
        <is>
          <t>Month</t>
        </is>
      </c>
      <c r="E14" t="inlineStr">
        <is>
          <t>Variable cost</t>
        </is>
      </c>
      <c r="F14">
        <f>ROUND('Plant03 Inputs'!V4,2)</f>
        <v/>
      </c>
      <c r="G14">
        <f>ROUND('Plant03 Inputs'!V5,2)</f>
        <v/>
      </c>
      <c r="H14">
        <f>ROUND('Plant03 Inputs'!V6,2)</f>
        <v/>
      </c>
      <c r="I14">
        <f>ROUND('Plant03 Inputs'!V7,2)</f>
        <v/>
      </c>
      <c r="J14">
        <f>ROUND('Plant03 Inputs'!V8,2)</f>
        <v/>
      </c>
      <c r="K14">
        <f>ROUND('Plant03 Inputs'!V9,2)</f>
        <v/>
      </c>
      <c r="L14" t="inlineStr">
        <is>
          <t>variable_cost_k</t>
        </is>
      </c>
    </row>
    <row r="15">
      <c r="A15" t="inlineStr">
        <is>
          <t>CST-003</t>
        </is>
      </c>
      <c r="B15" t="inlineStr">
        <is>
          <t>Fuel cost</t>
        </is>
      </c>
      <c r="C15" t="inlineStr">
        <is>
          <t>₹ thousand</t>
        </is>
      </c>
      <c r="D15" t="inlineStr">
        <is>
          <t>Month</t>
        </is>
      </c>
      <c r="E15" t="inlineStr">
        <is>
          <t>Fuel cost</t>
        </is>
      </c>
      <c r="F15">
        <f>ROUND('Plant03 Inputs'!W4,2)</f>
        <v/>
      </c>
      <c r="G15">
        <f>ROUND('Plant03 Inputs'!W5,2)</f>
        <v/>
      </c>
      <c r="H15">
        <f>ROUND('Plant03 Inputs'!W6,2)</f>
        <v/>
      </c>
      <c r="I15">
        <f>ROUND('Plant03 Inputs'!W7,2)</f>
        <v/>
      </c>
      <c r="J15">
        <f>ROUND('Plant03 Inputs'!W8,2)</f>
        <v/>
      </c>
      <c r="K15">
        <f>ROUND('Plant03 Inputs'!W9,2)</f>
        <v/>
      </c>
      <c r="L15" t="inlineStr">
        <is>
          <t>fuel_cost_k</t>
        </is>
      </c>
    </row>
    <row r="16">
      <c r="A16" t="inlineStr">
        <is>
          <t>SUS-001</t>
        </is>
      </c>
      <c r="B16" t="inlineStr">
        <is>
          <t>Water usage</t>
        </is>
      </c>
      <c r="C16" t="inlineStr">
        <is>
          <t>m3</t>
        </is>
      </c>
      <c r="D16" t="inlineStr">
        <is>
          <t>Month</t>
        </is>
      </c>
      <c r="E16" t="inlineStr">
        <is>
          <t>Water used</t>
        </is>
      </c>
      <c r="F16">
        <f>ROUND('Plant03 Inputs'!Y4,2)</f>
        <v/>
      </c>
      <c r="G16">
        <f>ROUND('Plant03 Inputs'!Y5,2)</f>
        <v/>
      </c>
      <c r="H16">
        <f>ROUND('Plant03 Inputs'!Y6,2)</f>
        <v/>
      </c>
      <c r="I16">
        <f>ROUND('Plant03 Inputs'!Y7,2)</f>
        <v/>
      </c>
      <c r="J16">
        <f>ROUND('Plant03 Inputs'!Y8,2)</f>
        <v/>
      </c>
      <c r="K16">
        <f>ROUND('Plant03 Inputs'!Y9,2)</f>
        <v/>
      </c>
      <c r="L16" t="inlineStr">
        <is>
          <t>water_m3</t>
        </is>
      </c>
    </row>
    <row r="17">
      <c r="A17" t="inlineStr">
        <is>
          <t>SUS-002</t>
        </is>
      </c>
      <c r="B17" t="inlineStr">
        <is>
          <t>Emissions</t>
        </is>
      </c>
      <c r="C17" t="inlineStr">
        <is>
          <t>tCO2e</t>
        </is>
      </c>
      <c r="D17" t="inlineStr">
        <is>
          <t>Month</t>
        </is>
      </c>
      <c r="E17" t="inlineStr">
        <is>
          <t>Emissions</t>
        </is>
      </c>
      <c r="F17">
        <f>ROUND('Plant03 Inputs'!Z4,2)</f>
        <v/>
      </c>
      <c r="G17">
        <f>ROUND('Plant03 Inputs'!Z5,2)</f>
        <v/>
      </c>
      <c r="H17">
        <f>ROUND('Plant03 Inputs'!Z6,2)</f>
        <v/>
      </c>
      <c r="I17">
        <f>ROUND('Plant03 Inputs'!Z7,2)</f>
        <v/>
      </c>
      <c r="J17">
        <f>ROUND('Plant03 Inputs'!Z8,2)</f>
        <v/>
      </c>
      <c r="K17">
        <f>ROUND('Plant03 Inputs'!Z9,2)</f>
        <v/>
      </c>
      <c r="L17" t="inlineStr">
        <is>
          <t>emissions_tco2e</t>
        </is>
      </c>
    </row>
    <row r="18">
      <c r="A18" t="inlineStr">
        <is>
          <t>SUS-003</t>
        </is>
      </c>
      <c r="B18" t="inlineStr">
        <is>
          <t>Energy intensity</t>
        </is>
      </c>
      <c r="C18" t="inlineStr">
        <is>
          <t>GJ/t</t>
        </is>
      </c>
      <c r="D18" t="inlineStr">
        <is>
          <t>Month</t>
        </is>
      </c>
      <c r="E18" t="inlineStr">
        <is>
          <t>Energy used ÷ Good output</t>
        </is>
      </c>
      <c r="F18">
        <f>ROUND(IFERROR('Plant03 Inputs'!AA4/'Plant03 Inputs'!M4,0),2)</f>
        <v/>
      </c>
      <c r="G18">
        <f>ROUND(IFERROR('Plant03 Inputs'!AA5/'Plant03 Inputs'!M5,0),2)</f>
        <v/>
      </c>
      <c r="H18">
        <f>ROUND(IFERROR('Plant03 Inputs'!AA6/'Plant03 Inputs'!M6,0),2)</f>
        <v/>
      </c>
      <c r="I18">
        <f>ROUND(IFERROR('Plant03 Inputs'!AA7/'Plant03 Inputs'!M7,0),2)</f>
        <v/>
      </c>
      <c r="J18">
        <f>ROUND(IFERROR('Plant03 Inputs'!AA8/'Plant03 Inputs'!M8,0),2)</f>
        <v/>
      </c>
      <c r="K18">
        <f>ROUND(IFERROR('Plant03 Inputs'!AA9/'Plant03 Inputs'!M9,0),2)</f>
        <v/>
      </c>
      <c r="L18" t="inlineStr">
        <is>
          <t>good_output_t, energy_gj</t>
        </is>
      </c>
    </row>
    <row r="19">
      <c r="A19" t="inlineStr">
        <is>
          <t>SIG-007</t>
        </is>
      </c>
      <c r="B19" t="inlineStr">
        <is>
          <t>Production at risk</t>
        </is>
      </c>
      <c r="C19" t="inlineStr">
        <is>
          <t>t</t>
        </is>
      </c>
      <c r="D19" t="inlineStr">
        <is>
          <t>Month</t>
        </is>
      </c>
      <c r="E19" t="inlineStr">
        <is>
          <t>Production at risk</t>
        </is>
      </c>
      <c r="F19">
        <f>ROUND('Plant03 Inputs'!AB4,2)</f>
        <v/>
      </c>
      <c r="G19">
        <f>ROUND('Plant03 Inputs'!AB5,2)</f>
        <v/>
      </c>
      <c r="H19">
        <f>ROUND('Plant03 Inputs'!AB6,2)</f>
        <v/>
      </c>
      <c r="I19">
        <f>ROUND('Plant03 Inputs'!AB7,2)</f>
        <v/>
      </c>
      <c r="J19">
        <f>ROUND('Plant03 Inputs'!AB8,2)</f>
        <v/>
      </c>
      <c r="K19">
        <f>ROUND('Plant03 Inputs'!AB9,2)</f>
        <v/>
      </c>
      <c r="L19" t="inlineStr">
        <is>
          <t>production_at_risk_t</t>
        </is>
      </c>
    </row>
    <row r="20">
      <c r="A20" t="inlineStr">
        <is>
          <t>SIG-008</t>
        </is>
      </c>
      <c r="B20" t="inlineStr">
        <is>
          <t>Critical plant-state alerts</t>
        </is>
      </c>
      <c r="C20" t="inlineStr">
        <is>
          <t>count</t>
        </is>
      </c>
      <c r="D20" t="inlineStr">
        <is>
          <t>Month</t>
        </is>
      </c>
      <c r="E20" t="inlineStr">
        <is>
          <t>Critical plant alerts</t>
        </is>
      </c>
      <c r="F20">
        <f>ROUND('Plant03 Inputs'!AC4,2)</f>
        <v/>
      </c>
      <c r="G20">
        <f>ROUND('Plant03 Inputs'!AC5,2)</f>
        <v/>
      </c>
      <c r="H20">
        <f>ROUND('Plant03 Inputs'!AC6,2)</f>
        <v/>
      </c>
      <c r="I20">
        <f>ROUND('Plant03 Inputs'!AC7,2)</f>
        <v/>
      </c>
      <c r="J20">
        <f>ROUND('Plant03 Inputs'!AC8,2)</f>
        <v/>
      </c>
      <c r="K20">
        <f>ROUND('Plant03 Inputs'!AC9,2)</f>
        <v/>
      </c>
      <c r="L20" t="inlineStr">
        <is>
          <t>critical_plant_alerts</t>
        </is>
      </c>
    </row>
    <row r="21">
      <c r="A21" t="inlineStr">
        <is>
          <t>SIG-009</t>
        </is>
      </c>
      <c r="B21" t="inlineStr">
        <is>
          <t>Critical-material shortage risk</t>
        </is>
      </c>
      <c r="C21" t="inlineStr">
        <is>
          <t>count</t>
        </is>
      </c>
      <c r="D21" t="inlineStr">
        <is>
          <t>Month</t>
        </is>
      </c>
      <c r="E21" t="inlineStr">
        <is>
          <t>Critical materials at risk</t>
        </is>
      </c>
      <c r="F21">
        <f>ROUND('Plant03 Inputs'!AO4,2)</f>
        <v/>
      </c>
      <c r="G21">
        <f>ROUND('Plant03 Inputs'!AO5,2)</f>
        <v/>
      </c>
      <c r="H21">
        <f>ROUND('Plant03 Inputs'!AO6,2)</f>
        <v/>
      </c>
      <c r="I21">
        <f>ROUND('Plant03 Inputs'!AO7,2)</f>
        <v/>
      </c>
      <c r="J21">
        <f>ROUND('Plant03 Inputs'!AO8,2)</f>
        <v/>
      </c>
      <c r="K21">
        <f>ROUND('Plant03 Inputs'!AO9,2)</f>
        <v/>
      </c>
      <c r="L21" t="inlineStr">
        <is>
          <t>critical_material_risks</t>
        </is>
      </c>
    </row>
    <row r="22">
      <c r="A22" t="inlineStr">
        <is>
          <t>SIG-012</t>
        </is>
      </c>
      <c r="B22" t="inlineStr">
        <is>
          <t>Dispatch delays</t>
        </is>
      </c>
      <c r="C22" t="inlineStr">
        <is>
          <t>%</t>
        </is>
      </c>
      <c r="D22" t="inlineStr">
        <is>
          <t>Month</t>
        </is>
      </c>
      <c r="E22" t="inlineStr">
        <is>
          <t>Delayed dispatches ÷ Dispatches × 100</t>
        </is>
      </c>
      <c r="F22">
        <f>ROUND(IFERROR(100*'Plant03 Inputs'!AQ4/'Plant03 Inputs'!AP4,0),2)</f>
        <v/>
      </c>
      <c r="G22">
        <f>ROUND(IFERROR(100*'Plant03 Inputs'!AQ5/'Plant03 Inputs'!AP5,0),2)</f>
        <v/>
      </c>
      <c r="H22">
        <f>ROUND(IFERROR(100*'Plant03 Inputs'!AQ6/'Plant03 Inputs'!AP6,0),2)</f>
        <v/>
      </c>
      <c r="I22">
        <f>ROUND(IFERROR(100*'Plant03 Inputs'!AQ7/'Plant03 Inputs'!AP7,0),2)</f>
        <v/>
      </c>
      <c r="J22">
        <f>ROUND(IFERROR(100*'Plant03 Inputs'!AQ8/'Plant03 Inputs'!AP8,0),2)</f>
        <v/>
      </c>
      <c r="K22">
        <f>ROUND(IFERROR(100*'Plant03 Inputs'!AQ9/'Plant03 Inputs'!AP9,0),2)</f>
        <v/>
      </c>
      <c r="L22" t="inlineStr">
        <is>
          <t>dispatches_total, dispatches_delayed</t>
        </is>
      </c>
    </row>
    <row r="23">
      <c r="A23" t="inlineStr">
        <is>
          <t>SIG-021</t>
        </is>
      </c>
      <c r="B23" t="inlineStr">
        <is>
          <t>Environmental violations</t>
        </is>
      </c>
      <c r="C23" t="inlineStr">
        <is>
          <t>count</t>
        </is>
      </c>
      <c r="D23" t="inlineStr">
        <is>
          <t>Month</t>
        </is>
      </c>
      <c r="E23" t="inlineStr">
        <is>
          <t>Environmental violations</t>
        </is>
      </c>
      <c r="F23">
        <f>ROUND('Plant03 Inputs'!AJ4,2)</f>
        <v/>
      </c>
      <c r="G23">
        <f>ROUND('Plant03 Inputs'!AJ5,2)</f>
        <v/>
      </c>
      <c r="H23">
        <f>ROUND('Plant03 Inputs'!AJ6,2)</f>
        <v/>
      </c>
      <c r="I23">
        <f>ROUND('Plant03 Inputs'!AJ7,2)</f>
        <v/>
      </c>
      <c r="J23">
        <f>ROUND('Plant03 Inputs'!AJ8,2)</f>
        <v/>
      </c>
      <c r="K23">
        <f>ROUND('Plant03 Inputs'!AJ9,2)</f>
        <v/>
      </c>
      <c r="L23" t="inlineStr">
        <is>
          <t>env_violations</t>
        </is>
      </c>
    </row>
    <row r="24">
      <c r="A24" t="inlineStr">
        <is>
          <t>EHS-001</t>
        </is>
      </c>
      <c r="B24" t="inlineStr">
        <is>
          <t>TRIR</t>
        </is>
      </c>
      <c r="C24" t="inlineStr">
        <is>
          <t>per 200,000 h</t>
        </is>
      </c>
      <c r="D24" t="inlineStr">
        <is>
          <t>Month</t>
        </is>
      </c>
      <c r="E24" t="inlineStr">
        <is>
          <t>Recordable injuries × 200,000 ÷ Hours worked</t>
        </is>
      </c>
      <c r="F24">
        <f>ROUND(IFERROR(200000*'Plant03 Inputs'!AE4/'Plant03 Inputs'!AD4,0),2)</f>
        <v/>
      </c>
      <c r="G24">
        <f>ROUND(IFERROR(200000*'Plant03 Inputs'!AE5/'Plant03 Inputs'!AD5,0),2)</f>
        <v/>
      </c>
      <c r="H24">
        <f>ROUND(IFERROR(200000*'Plant03 Inputs'!AE6/'Plant03 Inputs'!AD6,0),2)</f>
        <v/>
      </c>
      <c r="I24">
        <f>ROUND(IFERROR(200000*'Plant03 Inputs'!AE7/'Plant03 Inputs'!AD7,0),2)</f>
        <v/>
      </c>
      <c r="J24">
        <f>ROUND(IFERROR(200000*'Plant03 Inputs'!AE8/'Plant03 Inputs'!AD8,0),2)</f>
        <v/>
      </c>
      <c r="K24">
        <f>ROUND(IFERROR(200000*'Plant03 Inputs'!AE9/'Plant03 Inputs'!AD9,0),2)</f>
        <v/>
      </c>
      <c r="L24" t="inlineStr">
        <is>
          <t>hours_worked, recordable_injuries</t>
        </is>
      </c>
    </row>
    <row r="25">
      <c r="A25" t="inlineStr">
        <is>
          <t>EHS-002</t>
        </is>
      </c>
      <c r="B25" t="inlineStr">
        <is>
          <t>Severity incidents</t>
        </is>
      </c>
      <c r="C25" t="inlineStr">
        <is>
          <t>count</t>
        </is>
      </c>
      <c r="D25" t="inlineStr">
        <is>
          <t>Month</t>
        </is>
      </c>
      <c r="E25" t="inlineStr">
        <is>
          <t>Severity incidents</t>
        </is>
      </c>
      <c r="F25">
        <f>ROUND('Plant03 Inputs'!AF4,2)</f>
        <v/>
      </c>
      <c r="G25">
        <f>ROUND('Plant03 Inputs'!AF5,2)</f>
        <v/>
      </c>
      <c r="H25">
        <f>ROUND('Plant03 Inputs'!AF6,2)</f>
        <v/>
      </c>
      <c r="I25">
        <f>ROUND('Plant03 Inputs'!AF7,2)</f>
        <v/>
      </c>
      <c r="J25">
        <f>ROUND('Plant03 Inputs'!AF8,2)</f>
        <v/>
      </c>
      <c r="K25">
        <f>ROUND('Plant03 Inputs'!AF9,2)</f>
        <v/>
      </c>
      <c r="L25" t="inlineStr">
        <is>
          <t>severity_incidents</t>
        </is>
      </c>
    </row>
    <row r="26">
      <c r="A26" t="inlineStr">
        <is>
          <t>EHS-003</t>
        </is>
      </c>
      <c r="B26" t="inlineStr">
        <is>
          <t>Near misses</t>
        </is>
      </c>
      <c r="C26" t="inlineStr">
        <is>
          <t>count</t>
        </is>
      </c>
      <c r="D26" t="inlineStr">
        <is>
          <t>Month</t>
        </is>
      </c>
      <c r="E26" t="inlineStr">
        <is>
          <t>Near misses</t>
        </is>
      </c>
      <c r="F26">
        <f>ROUND('Plant03 Inputs'!AG4,2)</f>
        <v/>
      </c>
      <c r="G26">
        <f>ROUND('Plant03 Inputs'!AG5,2)</f>
        <v/>
      </c>
      <c r="H26">
        <f>ROUND('Plant03 Inputs'!AG6,2)</f>
        <v/>
      </c>
      <c r="I26">
        <f>ROUND('Plant03 Inputs'!AG7,2)</f>
        <v/>
      </c>
      <c r="J26">
        <f>ROUND('Plant03 Inputs'!AG8,2)</f>
        <v/>
      </c>
      <c r="K26">
        <f>ROUND('Plant03 Inputs'!AG9,2)</f>
        <v/>
      </c>
      <c r="L26" t="inlineStr">
        <is>
          <t>near_misses</t>
        </is>
      </c>
    </row>
    <row r="27">
      <c r="A27" t="inlineStr">
        <is>
          <t>EHS-004</t>
        </is>
      </c>
      <c r="B27" t="inlineStr">
        <is>
          <t>Critical safety incidents</t>
        </is>
      </c>
      <c r="C27" t="inlineStr">
        <is>
          <t>count</t>
        </is>
      </c>
      <c r="D27" t="inlineStr">
        <is>
          <t>Month</t>
        </is>
      </c>
      <c r="E27" t="inlineStr">
        <is>
          <t>Critical safety incidents</t>
        </is>
      </c>
      <c r="F27">
        <f>ROUND('Plant03 Inputs'!AH4,2)</f>
        <v/>
      </c>
      <c r="G27">
        <f>ROUND('Plant03 Inputs'!AH5,2)</f>
        <v/>
      </c>
      <c r="H27">
        <f>ROUND('Plant03 Inputs'!AH6,2)</f>
        <v/>
      </c>
      <c r="I27">
        <f>ROUND('Plant03 Inputs'!AH7,2)</f>
        <v/>
      </c>
      <c r="J27">
        <f>ROUND('Plant03 Inputs'!AH8,2)</f>
        <v/>
      </c>
      <c r="K27">
        <f>ROUND('Plant03 Inputs'!AH9,2)</f>
        <v/>
      </c>
      <c r="L27" t="inlineStr">
        <is>
          <t>critical_safety_incidents</t>
        </is>
      </c>
    </row>
    <row r="28">
      <c r="A28" t="inlineStr">
        <is>
          <t>EHS-005</t>
        </is>
      </c>
      <c r="B28" t="inlineStr">
        <is>
          <t>Environmental excursions</t>
        </is>
      </c>
      <c r="C28" t="inlineStr">
        <is>
          <t>count</t>
        </is>
      </c>
      <c r="D28" t="inlineStr">
        <is>
          <t>Month</t>
        </is>
      </c>
      <c r="E28" t="inlineStr">
        <is>
          <t>Environmental excursions</t>
        </is>
      </c>
      <c r="F28">
        <f>ROUND('Plant03 Inputs'!AI4,2)</f>
        <v/>
      </c>
      <c r="G28">
        <f>ROUND('Plant03 Inputs'!AI5,2)</f>
        <v/>
      </c>
      <c r="H28">
        <f>ROUND('Plant03 Inputs'!AI6,2)</f>
        <v/>
      </c>
      <c r="I28">
        <f>ROUND('Plant03 Inputs'!AI7,2)</f>
        <v/>
      </c>
      <c r="J28">
        <f>ROUND('Plant03 Inputs'!AI8,2)</f>
        <v/>
      </c>
      <c r="K28">
        <f>ROUND('Plant03 Inputs'!AI9,2)</f>
        <v/>
      </c>
      <c r="L28" t="inlineStr">
        <is>
          <t>env_excursions</t>
        </is>
      </c>
    </row>
    <row r="29">
      <c r="A29" t="inlineStr">
        <is>
          <t>EHS-006</t>
        </is>
      </c>
      <c r="B29" t="inlineStr">
        <is>
          <t>Open EHS corrective actions</t>
        </is>
      </c>
      <c r="C29" t="inlineStr">
        <is>
          <t>count</t>
        </is>
      </c>
      <c r="D29" t="inlineStr">
        <is>
          <t>Month</t>
        </is>
      </c>
      <c r="E29" t="inlineStr">
        <is>
          <t>Open EHS corrective actions</t>
        </is>
      </c>
      <c r="F29">
        <f>ROUND('Plant03 Inputs'!AK4,2)</f>
        <v/>
      </c>
      <c r="G29">
        <f>ROUND('Plant03 Inputs'!AK5,2)</f>
        <v/>
      </c>
      <c r="H29">
        <f>ROUND('Plant03 Inputs'!AK6,2)</f>
        <v/>
      </c>
      <c r="I29">
        <f>ROUND('Plant03 Inputs'!AK7,2)</f>
        <v/>
      </c>
      <c r="J29">
        <f>ROUND('Plant03 Inputs'!AK8,2)</f>
        <v/>
      </c>
      <c r="K29">
        <f>ROUND('Plant03 Inputs'!AK9,2)</f>
        <v/>
      </c>
      <c r="L29" t="inlineStr">
        <is>
          <t>ehs_ca_open</t>
        </is>
      </c>
    </row>
    <row r="30">
      <c r="A30" t="inlineStr">
        <is>
          <t>EHS-007</t>
        </is>
      </c>
      <c r="B30" t="inlineStr">
        <is>
          <t>Overdue EHS actions</t>
        </is>
      </c>
      <c r="C30" t="inlineStr">
        <is>
          <t>count</t>
        </is>
      </c>
      <c r="D30" t="inlineStr">
        <is>
          <t>Month</t>
        </is>
      </c>
      <c r="E30" t="inlineStr">
        <is>
          <t>Overdue EHS corrective actions</t>
        </is>
      </c>
      <c r="F30">
        <f>ROUND('Plant03 Inputs'!AL4,2)</f>
        <v/>
      </c>
      <c r="G30">
        <f>ROUND('Plant03 Inputs'!AL5,2)</f>
        <v/>
      </c>
      <c r="H30">
        <f>ROUND('Plant03 Inputs'!AL6,2)</f>
        <v/>
      </c>
      <c r="I30">
        <f>ROUND('Plant03 Inputs'!AL7,2)</f>
        <v/>
      </c>
      <c r="J30">
        <f>ROUND('Plant03 Inputs'!AL8,2)</f>
        <v/>
      </c>
      <c r="K30">
        <f>ROUND('Plant03 Inputs'!AL9,2)</f>
        <v/>
      </c>
      <c r="L30" t="inlineStr">
        <is>
          <t>ehs_ca_overdue</t>
        </is>
      </c>
    </row>
    <row r="31">
      <c r="A31" t="inlineStr">
        <is>
          <t>EHS-009</t>
        </is>
      </c>
      <c r="B31" t="inlineStr">
        <is>
          <t>EHS investigation completion</t>
        </is>
      </c>
      <c r="C31" t="inlineStr">
        <is>
          <t>%</t>
        </is>
      </c>
      <c r="D31" t="inlineStr">
        <is>
          <t>Month</t>
        </is>
      </c>
      <c r="E31" t="inlineStr">
        <is>
          <t>EHS investigations completed ÷ EHS investigations due × 100 (100 if none due)</t>
        </is>
      </c>
      <c r="F31">
        <f>ROUND(IF('Plant03 Inputs'!AM4=0,100,100*'Plant03 Inputs'!AN4/'Plant03 Inputs'!AM4),2)</f>
        <v/>
      </c>
      <c r="G31">
        <f>ROUND(IF('Plant03 Inputs'!AM5=0,100,100*'Plant03 Inputs'!AN5/'Plant03 Inputs'!AM5),2)</f>
        <v/>
      </c>
      <c r="H31">
        <f>ROUND(IF('Plant03 Inputs'!AM6=0,100,100*'Plant03 Inputs'!AN6/'Plant03 Inputs'!AM6),2)</f>
        <v/>
      </c>
      <c r="I31">
        <f>ROUND(IF('Plant03 Inputs'!AM7=0,100,100*'Plant03 Inputs'!AN7/'Plant03 Inputs'!AM7),2)</f>
        <v/>
      </c>
      <c r="J31">
        <f>ROUND(IF('Plant03 Inputs'!AM8=0,100,100*'Plant03 Inputs'!AN8/'Plant03 Inputs'!AM8),2)</f>
        <v/>
      </c>
      <c r="K31">
        <f>ROUND(IF('Plant03 Inputs'!AM9=0,100,100*'Plant03 Inputs'!AN9/'Plant03 Inputs'!AM9),2)</f>
        <v/>
      </c>
      <c r="L31" t="inlineStr">
        <is>
          <t>investigations_due, investigations_completed</t>
        </is>
      </c>
    </row>
    <row r="32">
      <c r="A32" t="inlineStr">
        <is>
          <t>REG-006</t>
        </is>
      </c>
      <c r="B32" t="inlineStr">
        <is>
          <t>Licence or permit expiry clock</t>
        </is>
      </c>
      <c r="C32" t="inlineStr">
        <is>
          <t>days</t>
        </is>
      </c>
      <c r="D32" t="inlineStr">
        <is>
          <t>Month</t>
        </is>
      </c>
      <c r="E32" t="inlineStr">
        <is>
          <t>Days to permit expiry (lowest plant)</t>
        </is>
      </c>
      <c r="F32">
        <f>ROUND('Plant03 Inputs'!AR4,2)</f>
        <v/>
      </c>
      <c r="G32">
        <f>ROUND('Plant03 Inputs'!AR5,2)</f>
        <v/>
      </c>
      <c r="H32">
        <f>ROUND('Plant03 Inputs'!AR6,2)</f>
        <v/>
      </c>
      <c r="I32">
        <f>ROUND('Plant03 Inputs'!AR7,2)</f>
        <v/>
      </c>
      <c r="J32">
        <f>ROUND('Plant03 Inputs'!AR8,2)</f>
        <v/>
      </c>
      <c r="K32">
        <f>ROUND('Plant03 Inputs'!AR9,2)</f>
        <v/>
      </c>
      <c r="L32" t="inlineStr">
        <is>
          <t>permit_days_to_expiry</t>
        </is>
      </c>
    </row>
    <row r="33">
      <c r="A33" t="inlineStr">
        <is>
          <t>OPS-005</t>
        </is>
      </c>
      <c r="B33" t="inlineStr">
        <is>
          <t>Capacity utilisation (same measure as OPS-003)</t>
        </is>
      </c>
      <c r="C33" t="inlineStr">
        <is>
          <t>%</t>
        </is>
      </c>
      <c r="D33" t="inlineStr">
        <is>
          <t>Month</t>
        </is>
      </c>
      <c r="E33" t="inlineStr">
        <is>
          <t>Good output ÷ Installed capacity × 100</t>
        </is>
      </c>
      <c r="F33">
        <f>ROUND(IFERROR(100*'Plant03 Inputs'!M4/'Plant03 Inputs'!J4,0),2)</f>
        <v/>
      </c>
      <c r="G33">
        <f>ROUND(IFERROR(100*'Plant03 Inputs'!M5/'Plant03 Inputs'!J5,0),2)</f>
        <v/>
      </c>
      <c r="H33">
        <f>ROUND(IFERROR(100*'Plant03 Inputs'!M6/'Plant03 Inputs'!J6,0),2)</f>
        <v/>
      </c>
      <c r="I33">
        <f>ROUND(IFERROR(100*'Plant03 Inputs'!M7/'Plant03 Inputs'!J7,0),2)</f>
        <v/>
      </c>
      <c r="J33">
        <f>ROUND(IFERROR(100*'Plant03 Inputs'!M8/'Plant03 Inputs'!J8,0),2)</f>
        <v/>
      </c>
      <c r="K33">
        <f>ROUND(IFERROR(100*'Plant03 Inputs'!M9/'Plant03 Inputs'!J9,0),2)</f>
        <v/>
      </c>
      <c r="L33" t="inlineStr">
        <is>
          <t>installed_capacity_t, good_output_t</t>
        </is>
      </c>
    </row>
    <row r="34">
      <c r="A34" t="inlineStr">
        <is>
          <t>OPS-006</t>
        </is>
      </c>
      <c r="B34" t="inlineStr">
        <is>
          <t>OEE · Group weighted (same measure as PLT-002)</t>
        </is>
      </c>
      <c r="C34" t="inlineStr">
        <is>
          <t>%</t>
        </is>
      </c>
      <c r="D34" t="inlineStr">
        <is>
          <t>Month</t>
        </is>
      </c>
      <c r="E34" t="inlineStr">
        <is>
          <t>Good output ÷ Ideal output × 100 (weighted by output, not an average of plants)</t>
        </is>
      </c>
      <c r="F34">
        <f>ROUND(IFERROR(100*'Plant03 Inputs'!M4/'Plant03 Inputs'!I4,0),2)</f>
        <v/>
      </c>
      <c r="G34">
        <f>ROUND(IFERROR(100*'Plant03 Inputs'!M5/'Plant03 Inputs'!I5,0),2)</f>
        <v/>
      </c>
      <c r="H34">
        <f>ROUND(IFERROR(100*'Plant03 Inputs'!M6/'Plant03 Inputs'!I6,0),2)</f>
        <v/>
      </c>
      <c r="I34">
        <f>ROUND(IFERROR(100*'Plant03 Inputs'!M7/'Plant03 Inputs'!I7,0),2)</f>
        <v/>
      </c>
      <c r="J34">
        <f>ROUND(IFERROR(100*'Plant03 Inputs'!M8/'Plant03 Inputs'!I8,0),2)</f>
        <v/>
      </c>
      <c r="K34">
        <f>ROUND(IFERROR(100*'Plant03 Inputs'!M9/'Plant03 Inputs'!I9,0),2)</f>
        <v/>
      </c>
      <c r="L34" t="inlineStr">
        <is>
          <t>ideal_output_t, good_output_t</t>
        </is>
      </c>
    </row>
    <row r="35">
      <c r="A35" t="inlineStr">
        <is>
          <t>OPS-002</t>
        </is>
      </c>
      <c r="B35" t="inlineStr">
        <is>
          <t>Sales vs plan</t>
        </is>
      </c>
      <c r="C35" t="inlineStr">
        <is>
          <t>%</t>
        </is>
      </c>
      <c r="D35" t="inlineStr">
        <is>
          <t>Month</t>
        </is>
      </c>
      <c r="E35" t="inlineStr">
        <is>
          <t>Sales volume ÷ Planned sales volume × 100</t>
        </is>
      </c>
      <c r="F35">
        <f>ROUND(IF('Plant03 Inputs'!AT4=0,0,100*'Plant03 Inputs'!AS4/'Plant03 Inputs'!AT4),2)</f>
        <v/>
      </c>
      <c r="G35">
        <f>ROUND(IF('Plant03 Inputs'!AT5=0,0,100*'Plant03 Inputs'!AS5/'Plant03 Inputs'!AT5),2)</f>
        <v/>
      </c>
      <c r="H35">
        <f>ROUND(IF('Plant03 Inputs'!AT6=0,0,100*'Plant03 Inputs'!AS6/'Plant03 Inputs'!AT6),2)</f>
        <v/>
      </c>
      <c r="I35">
        <f>ROUND(IF('Plant03 Inputs'!AT7=0,0,100*'Plant03 Inputs'!AS7/'Plant03 Inputs'!AT7),2)</f>
        <v/>
      </c>
      <c r="J35">
        <f>ROUND(IF('Plant03 Inputs'!AT8=0,0,100*'Plant03 Inputs'!AS8/'Plant03 Inputs'!AT8),2)</f>
        <v/>
      </c>
      <c r="K35">
        <f>ROUND(IF('Plant03 Inputs'!AT9=0,0,100*'Plant03 Inputs'!AS9/'Plant03 Inputs'!AT9),2)</f>
        <v/>
      </c>
      <c r="L35" t="inlineStr">
        <is>
          <t>sales_t, planned_sales_t</t>
        </is>
      </c>
    </row>
    <row r="36">
      <c r="A36" t="inlineStr">
        <is>
          <t>OPS-004</t>
        </is>
      </c>
      <c r="B36" t="inlineStr">
        <is>
          <t>Sales vs plan · Group (same measure as OPS-002)</t>
        </is>
      </c>
      <c r="C36" t="inlineStr">
        <is>
          <t>%</t>
        </is>
      </c>
      <c r="D36" t="inlineStr">
        <is>
          <t>Month</t>
        </is>
      </c>
      <c r="E36" t="inlineStr">
        <is>
          <t>Sales volume ÷ Planned sales volume × 100</t>
        </is>
      </c>
      <c r="F36">
        <f>ROUND(IF('Plant03 Inputs'!AT4=0,0,100*'Plant03 Inputs'!AS4/'Plant03 Inputs'!AT4),2)</f>
        <v/>
      </c>
      <c r="G36">
        <f>ROUND(IF('Plant03 Inputs'!AT5=0,0,100*'Plant03 Inputs'!AS5/'Plant03 Inputs'!AT5),2)</f>
        <v/>
      </c>
      <c r="H36">
        <f>ROUND(IF('Plant03 Inputs'!AT6=0,0,100*'Plant03 Inputs'!AS6/'Plant03 Inputs'!AT6),2)</f>
        <v/>
      </c>
      <c r="I36">
        <f>ROUND(IF('Plant03 Inputs'!AT7=0,0,100*'Plant03 Inputs'!AS7/'Plant03 Inputs'!AT7),2)</f>
        <v/>
      </c>
      <c r="J36">
        <f>ROUND(IF('Plant03 Inputs'!AT8=0,0,100*'Plant03 Inputs'!AS8/'Plant03 Inputs'!AT8),2)</f>
        <v/>
      </c>
      <c r="K36">
        <f>ROUND(IF('Plant03 Inputs'!AT9=0,0,100*'Plant03 Inputs'!AS9/'Plant03 Inputs'!AT9),2)</f>
        <v/>
      </c>
      <c r="L36" t="inlineStr">
        <is>
          <t>sales_t, planned_sales_t</t>
        </is>
      </c>
    </row>
    <row r="37">
      <c r="A37" t="inlineStr">
        <is>
          <t>CST-004</t>
        </is>
      </c>
      <c r="B37" t="inlineStr">
        <is>
          <t>Power cost per tonne</t>
        </is>
      </c>
      <c r="C37" t="inlineStr">
        <is>
          <t>₹/t</t>
        </is>
      </c>
      <c r="D37" t="inlineStr">
        <is>
          <t>Month</t>
        </is>
      </c>
      <c r="E37" t="inlineStr">
        <is>
          <t>Power cost × 1000 ÷ Good output</t>
        </is>
      </c>
      <c r="F37">
        <f>ROUND(IF('Plant03 Inputs'!M4=0,0,1000*'Plant03 Inputs'!AW4/'Plant03 Inputs'!M4),2)</f>
        <v/>
      </c>
      <c r="G37">
        <f>ROUND(IF('Plant03 Inputs'!M5=0,0,1000*'Plant03 Inputs'!AW5/'Plant03 Inputs'!M5),2)</f>
        <v/>
      </c>
      <c r="H37">
        <f>ROUND(IF('Plant03 Inputs'!M6=0,0,1000*'Plant03 Inputs'!AW6/'Plant03 Inputs'!M6),2)</f>
        <v/>
      </c>
      <c r="I37">
        <f>ROUND(IF('Plant03 Inputs'!M7=0,0,1000*'Plant03 Inputs'!AW7/'Plant03 Inputs'!M7),2)</f>
        <v/>
      </c>
      <c r="J37">
        <f>ROUND(IF('Plant03 Inputs'!M8=0,0,1000*'Plant03 Inputs'!AW8/'Plant03 Inputs'!M8),2)</f>
        <v/>
      </c>
      <c r="K37">
        <f>ROUND(IF('Plant03 Inputs'!M9=0,0,1000*'Plant03 Inputs'!AW9/'Plant03 Inputs'!M9),2)</f>
        <v/>
      </c>
      <c r="L37" t="inlineStr">
        <is>
          <t>good_output_t, power_cost_k</t>
        </is>
      </c>
    </row>
    <row r="38">
      <c r="A38" t="inlineStr">
        <is>
          <t>FIN-003</t>
        </is>
      </c>
      <c r="B38" t="inlineStr">
        <is>
          <t>Revenue YTD</t>
        </is>
      </c>
      <c r="C38" t="inlineStr">
        <is>
          <t>₹ m</t>
        </is>
      </c>
      <c r="D38" t="inlineStr">
        <is>
          <t>Year to date</t>
        </is>
      </c>
      <c r="E38" t="inlineStr">
        <is>
          <t>Sum of monthly Revenue since April ÷ 1000</t>
        </is>
      </c>
      <c r="F38">
        <f>ROUND(SUM('Plant03 Inputs'!AU$4:AU4)/1000,2)</f>
        <v/>
      </c>
      <c r="G38">
        <f>ROUND(SUM('Plant03 Inputs'!AU$4:AU5)/1000,2)</f>
        <v/>
      </c>
      <c r="H38">
        <f>ROUND(SUM('Plant03 Inputs'!AU$4:AU6)/1000,2)</f>
        <v/>
      </c>
      <c r="I38">
        <f>ROUND(SUM('Plant03 Inputs'!AU$4:AU7)/1000,2)</f>
        <v/>
      </c>
      <c r="J38">
        <f>ROUND(SUM('Plant03 Inputs'!AU$4:AU8)/1000,2)</f>
        <v/>
      </c>
      <c r="K38">
        <f>ROUND(SUM('Plant03 Inputs'!AU$4:AU9)/1000,2)</f>
        <v/>
      </c>
      <c r="L38" t="inlineStr">
        <is>
          <t>revenue_k</t>
        </is>
      </c>
    </row>
    <row r="39">
      <c r="A39" t="inlineStr">
        <is>
          <t>SUP-001</t>
        </is>
      </c>
      <c r="B39" t="inlineStr">
        <is>
          <t>Supplier on-time delivery</t>
        </is>
      </c>
      <c r="C39" t="inlineStr">
        <is>
          <t>%</t>
        </is>
      </c>
      <c r="D39" t="inlineStr">
        <is>
          <t>Month</t>
        </is>
      </c>
      <c r="E39" t="inlineStr">
        <is>
          <t>Purchase-order lines on time ÷ Lines due × 100</t>
        </is>
      </c>
      <c r="F39">
        <f>ROUND(IF('Plant03 Inputs'!AY4=0,0,100*'Plant03 Inputs'!AZ4/'Plant03 Inputs'!AY4),2)</f>
        <v/>
      </c>
      <c r="G39">
        <f>ROUND(IF('Plant03 Inputs'!AY5=0,0,100*'Plant03 Inputs'!AZ5/'Plant03 Inputs'!AY5),2)</f>
        <v/>
      </c>
      <c r="H39">
        <f>ROUND(IF('Plant03 Inputs'!AY6=0,0,100*'Plant03 Inputs'!AZ6/'Plant03 Inputs'!AY6),2)</f>
        <v/>
      </c>
      <c r="I39">
        <f>ROUND(IF('Plant03 Inputs'!AY7=0,0,100*'Plant03 Inputs'!AZ7/'Plant03 Inputs'!AY7),2)</f>
        <v/>
      </c>
      <c r="J39">
        <f>ROUND(IF('Plant03 Inputs'!AY8=0,0,100*'Plant03 Inputs'!AZ8/'Plant03 Inputs'!AY8),2)</f>
        <v/>
      </c>
      <c r="K39">
        <f>ROUND(IF('Plant03 Inputs'!AY9=0,0,100*'Plant03 Inputs'!AZ9/'Plant03 Inputs'!AY9),2)</f>
        <v/>
      </c>
      <c r="L39" t="inlineStr">
        <is>
          <t>po_lines_due, po_lines_on_time</t>
        </is>
      </c>
    </row>
    <row r="40">
      <c r="A40" t="inlineStr">
        <is>
          <t>SUP-002</t>
        </is>
      </c>
      <c r="B40" t="inlineStr">
        <is>
          <t>Supplier fill rate</t>
        </is>
      </c>
      <c r="C40" t="inlineStr">
        <is>
          <t>%</t>
        </is>
      </c>
      <c r="D40" t="inlineStr">
        <is>
          <t>Month</t>
        </is>
      </c>
      <c r="E40" t="inlineStr">
        <is>
          <t>Quantity received ÷ Quantity ordered × 100</t>
        </is>
      </c>
      <c r="F40">
        <f>ROUND(IF('Plant03 Inputs'!BA4=0,0,100*'Plant03 Inputs'!BB4/'Plant03 Inputs'!BA4),2)</f>
        <v/>
      </c>
      <c r="G40">
        <f>ROUND(IF('Plant03 Inputs'!BA5=0,0,100*'Plant03 Inputs'!BB5/'Plant03 Inputs'!BA5),2)</f>
        <v/>
      </c>
      <c r="H40">
        <f>ROUND(IF('Plant03 Inputs'!BA6=0,0,100*'Plant03 Inputs'!BB6/'Plant03 Inputs'!BA6),2)</f>
        <v/>
      </c>
      <c r="I40">
        <f>ROUND(IF('Plant03 Inputs'!BA7=0,0,100*'Plant03 Inputs'!BB7/'Plant03 Inputs'!BA7),2)</f>
        <v/>
      </c>
      <c r="J40">
        <f>ROUND(IF('Plant03 Inputs'!BA8=0,0,100*'Plant03 Inputs'!BB8/'Plant03 Inputs'!BA8),2)</f>
        <v/>
      </c>
      <c r="K40">
        <f>ROUND(IF('Plant03 Inputs'!BA9=0,0,100*'Plant03 Inputs'!BB9/'Plant03 Inputs'!BA9),2)</f>
        <v/>
      </c>
      <c r="L40" t="inlineStr">
        <is>
          <t>qty_ordered_t, qty_received_t</t>
        </is>
      </c>
    </row>
    <row r="41">
      <c r="A41" t="inlineStr">
        <is>
          <t>SUP-003</t>
        </is>
      </c>
      <c r="B41" t="inlineStr">
        <is>
          <t>Supplier quality-rejection rate</t>
        </is>
      </c>
      <c r="C41" t="inlineStr">
        <is>
          <t>%</t>
        </is>
      </c>
      <c r="D41" t="inlineStr">
        <is>
          <t>Month</t>
        </is>
      </c>
      <c r="E41" t="inlineStr">
        <is>
          <t>Quantity rejected ÷ Quantity received × 100</t>
        </is>
      </c>
      <c r="F41">
        <f>ROUND(IF('Plant03 Inputs'!BB4=0,0,100*'Plant03 Inputs'!BC4/'Plant03 Inputs'!BB4),2)</f>
        <v/>
      </c>
      <c r="G41">
        <f>ROUND(IF('Plant03 Inputs'!BB5=0,0,100*'Plant03 Inputs'!BC5/'Plant03 Inputs'!BB5),2)</f>
        <v/>
      </c>
      <c r="H41">
        <f>ROUND(IF('Plant03 Inputs'!BB6=0,0,100*'Plant03 Inputs'!BC6/'Plant03 Inputs'!BB6),2)</f>
        <v/>
      </c>
      <c r="I41">
        <f>ROUND(IF('Plant03 Inputs'!BB7=0,0,100*'Plant03 Inputs'!BC7/'Plant03 Inputs'!BB7),2)</f>
        <v/>
      </c>
      <c r="J41">
        <f>ROUND(IF('Plant03 Inputs'!BB8=0,0,100*'Plant03 Inputs'!BC8/'Plant03 Inputs'!BB8),2)</f>
        <v/>
      </c>
      <c r="K41">
        <f>ROUND(IF('Plant03 Inputs'!BB9=0,0,100*'Plant03 Inputs'!BC9/'Plant03 Inputs'!BB9),2)</f>
        <v/>
      </c>
      <c r="L41" t="inlineStr">
        <is>
          <t>qty_received_t, qty_rejected_t</t>
        </is>
      </c>
    </row>
    <row r="42">
      <c r="A42" t="inlineStr">
        <is>
          <t>SUP-004</t>
        </is>
      </c>
      <c r="B42" t="inlineStr">
        <is>
          <t>Supplier lead-time variance</t>
        </is>
      </c>
      <c r="C42" t="inlineStr">
        <is>
          <t>%</t>
        </is>
      </c>
      <c r="D42" t="inlineStr">
        <is>
          <t>Month</t>
        </is>
      </c>
      <c r="E42" t="inlineStr">
        <is>
          <t>(Actual lead time − Planned lead time) ÷ Planned lead time × 100</t>
        </is>
      </c>
      <c r="F42">
        <f>ROUND(IF('Plant03 Inputs'!BD4=0,0,100*('Plant03 Inputs'!BE4-'Plant03 Inputs'!BD4)/'Plant03 Inputs'!BD4),2)</f>
        <v/>
      </c>
      <c r="G42">
        <f>ROUND(IF('Plant03 Inputs'!BD5=0,0,100*('Plant03 Inputs'!BE5-'Plant03 Inputs'!BD5)/'Plant03 Inputs'!BD5),2)</f>
        <v/>
      </c>
      <c r="H42">
        <f>ROUND(IF('Plant03 Inputs'!BD6=0,0,100*('Plant03 Inputs'!BE6-'Plant03 Inputs'!BD6)/'Plant03 Inputs'!BD6),2)</f>
        <v/>
      </c>
      <c r="I42">
        <f>ROUND(IF('Plant03 Inputs'!BD7=0,0,100*('Plant03 Inputs'!BE7-'Plant03 Inputs'!BD7)/'Plant03 Inputs'!BD7),2)</f>
        <v/>
      </c>
      <c r="J42">
        <f>ROUND(IF('Plant03 Inputs'!BD8=0,0,100*('Plant03 Inputs'!BE8-'Plant03 Inputs'!BD8)/'Plant03 Inputs'!BD8),2)</f>
        <v/>
      </c>
      <c r="K42">
        <f>ROUND(IF('Plant03 Inputs'!BD9=0,0,100*('Plant03 Inputs'!BE9-'Plant03 Inputs'!BD9)/'Plant03 Inputs'!BD9),2)</f>
        <v/>
      </c>
      <c r="L42" t="inlineStr">
        <is>
          <t>lead_time_planned_days, lead_time_actual_days</t>
        </is>
      </c>
    </row>
    <row r="43">
      <c r="A43" t="inlineStr">
        <is>
          <t>SUP-007</t>
        </is>
      </c>
      <c r="B43" t="inlineStr">
        <is>
          <t>Single-source spend share</t>
        </is>
      </c>
      <c r="C43" t="inlineStr">
        <is>
          <t>%</t>
        </is>
      </c>
      <c r="D43" t="inlineStr">
        <is>
          <t>Month</t>
        </is>
      </c>
      <c r="E43" t="inlineStr">
        <is>
          <t>Spend with single-source suppliers ÷ Supplier spend × 100</t>
        </is>
      </c>
      <c r="F43">
        <f>ROUND(IF('Plant03 Inputs'!BF4=0,0,100*'Plant03 Inputs'!BG4/'Plant03 Inputs'!BF4),2)</f>
        <v/>
      </c>
      <c r="G43">
        <f>ROUND(IF('Plant03 Inputs'!BF5=0,0,100*'Plant03 Inputs'!BG5/'Plant03 Inputs'!BF5),2)</f>
        <v/>
      </c>
      <c r="H43">
        <f>ROUND(IF('Plant03 Inputs'!BF6=0,0,100*'Plant03 Inputs'!BG6/'Plant03 Inputs'!BF6),2)</f>
        <v/>
      </c>
      <c r="I43">
        <f>ROUND(IF('Plant03 Inputs'!BF7=0,0,100*'Plant03 Inputs'!BG7/'Plant03 Inputs'!BF7),2)</f>
        <v/>
      </c>
      <c r="J43">
        <f>ROUND(IF('Plant03 Inputs'!BF8=0,0,100*'Plant03 Inputs'!BG8/'Plant03 Inputs'!BF8),2)</f>
        <v/>
      </c>
      <c r="K43">
        <f>ROUND(IF('Plant03 Inputs'!BF9=0,0,100*'Plant03 Inputs'!BG9/'Plant03 Inputs'!BF9),2)</f>
        <v/>
      </c>
      <c r="L43" t="inlineStr">
        <is>
          <t>supplier_spend_k, single_source_spend_k</t>
        </is>
      </c>
    </row>
    <row r="44">
      <c r="A44" t="inlineStr">
        <is>
          <t>SUP-008</t>
        </is>
      </c>
      <c r="B44" t="inlineStr">
        <is>
          <t>Supplier EHS incidents YTD</t>
        </is>
      </c>
      <c r="C44" t="inlineStr">
        <is>
          <t>count</t>
        </is>
      </c>
      <c r="D44" t="inlineStr">
        <is>
          <t>Year to date</t>
        </is>
      </c>
      <c r="E44" t="inlineStr">
        <is>
          <t>Sum of supplier EHS incidents since April</t>
        </is>
      </c>
      <c r="F44">
        <f>ROUND(SUM('Plant03 Inputs'!BH$4:BH4),2)</f>
        <v/>
      </c>
      <c r="G44">
        <f>ROUND(SUM('Plant03 Inputs'!BH$4:BH5),2)</f>
        <v/>
      </c>
      <c r="H44">
        <f>ROUND(SUM('Plant03 Inputs'!BH$4:BH6),2)</f>
        <v/>
      </c>
      <c r="I44">
        <f>ROUND(SUM('Plant03 Inputs'!BH$4:BH7),2)</f>
        <v/>
      </c>
      <c r="J44">
        <f>ROUND(SUM('Plant03 Inputs'!BH$4:BH8),2)</f>
        <v/>
      </c>
      <c r="K44">
        <f>ROUND(SUM('Plant03 Inputs'!BH$4:BH9),2)</f>
        <v/>
      </c>
      <c r="L44" t="inlineStr">
        <is>
          <t>supplier_ehs_incidents</t>
        </is>
      </c>
    </row>
    <row r="45">
      <c r="A45" t="inlineStr">
        <is>
          <t>REG-001</t>
        </is>
      </c>
      <c r="B45" t="inlineStr">
        <is>
          <t>Pending filings</t>
        </is>
      </c>
      <c r="C45" t="inlineStr">
        <is>
          <t>count</t>
        </is>
      </c>
      <c r="D45" t="inlineStr">
        <is>
          <t>Month end</t>
        </is>
      </c>
      <c r="E45" t="inlineStr">
        <is>
          <t>Regulatory filings pending</t>
        </is>
      </c>
      <c r="F45">
        <f>ROUND('Plant03 Inputs'!BI4,2)</f>
        <v/>
      </c>
      <c r="G45">
        <f>ROUND('Plant03 Inputs'!BI5,2)</f>
        <v/>
      </c>
      <c r="H45">
        <f>ROUND('Plant03 Inputs'!BI6,2)</f>
        <v/>
      </c>
      <c r="I45">
        <f>ROUND('Plant03 Inputs'!BI7,2)</f>
        <v/>
      </c>
      <c r="J45">
        <f>ROUND('Plant03 Inputs'!BI8,2)</f>
        <v/>
      </c>
      <c r="K45">
        <f>ROUND('Plant03 Inputs'!BI9,2)</f>
        <v/>
      </c>
      <c r="L45" t="inlineStr">
        <is>
          <t>pending_filings</t>
        </is>
      </c>
    </row>
    <row r="46">
      <c r="A46" t="inlineStr">
        <is>
          <t>REG-002</t>
        </is>
      </c>
      <c r="B46" t="inlineStr">
        <is>
          <t>Regulatory deadlines, next 30 days</t>
        </is>
      </c>
      <c r="C46" t="inlineStr">
        <is>
          <t>count</t>
        </is>
      </c>
      <c r="D46" t="inlineStr">
        <is>
          <t>Month end</t>
        </is>
      </c>
      <c r="E46" t="inlineStr">
        <is>
          <t>Regulatory deadlines in next 30 days</t>
        </is>
      </c>
      <c r="F46">
        <f>ROUND('Plant03 Inputs'!BJ4,2)</f>
        <v/>
      </c>
      <c r="G46">
        <f>ROUND('Plant03 Inputs'!BJ5,2)</f>
        <v/>
      </c>
      <c r="H46">
        <f>ROUND('Plant03 Inputs'!BJ6,2)</f>
        <v/>
      </c>
      <c r="I46">
        <f>ROUND('Plant03 Inputs'!BJ7,2)</f>
        <v/>
      </c>
      <c r="J46">
        <f>ROUND('Plant03 Inputs'!BJ8,2)</f>
        <v/>
      </c>
      <c r="K46">
        <f>ROUND('Plant03 Inputs'!BJ9,2)</f>
        <v/>
      </c>
      <c r="L46" t="inlineStr">
        <is>
          <t>reg_deadlines_30d</t>
        </is>
      </c>
    </row>
    <row r="47">
      <c r="A47" t="inlineStr">
        <is>
          <t>REG-003</t>
        </is>
      </c>
      <c r="B47" t="inlineStr">
        <is>
          <t>Licence expirations, next 12 months</t>
        </is>
      </c>
      <c r="C47" t="inlineStr">
        <is>
          <t>count</t>
        </is>
      </c>
      <c r="D47" t="inlineStr">
        <is>
          <t>Month end</t>
        </is>
      </c>
      <c r="E47" t="inlineStr">
        <is>
          <t>Licences expiring in next 12 months</t>
        </is>
      </c>
      <c r="F47">
        <f>ROUND('Plant03 Inputs'!BK4,2)</f>
        <v/>
      </c>
      <c r="G47">
        <f>ROUND('Plant03 Inputs'!BK5,2)</f>
        <v/>
      </c>
      <c r="H47">
        <f>ROUND('Plant03 Inputs'!BK6,2)</f>
        <v/>
      </c>
      <c r="I47">
        <f>ROUND('Plant03 Inputs'!BK7,2)</f>
        <v/>
      </c>
      <c r="J47">
        <f>ROUND('Plant03 Inputs'!BK8,2)</f>
        <v/>
      </c>
      <c r="K47">
        <f>ROUND('Plant03 Inputs'!BK9,2)</f>
        <v/>
      </c>
      <c r="L47" t="inlineStr">
        <is>
          <t>licences_expiring_12m</t>
        </is>
      </c>
    </row>
    <row r="48">
      <c r="A48" t="inlineStr">
        <is>
          <t>REG-004</t>
        </is>
      </c>
      <c r="B48" t="inlineStr">
        <is>
          <t>Regulatory obligations due, next 30 days</t>
        </is>
      </c>
      <c r="C48" t="inlineStr">
        <is>
          <t>count</t>
        </is>
      </c>
      <c r="D48" t="inlineStr">
        <is>
          <t>Month end</t>
        </is>
      </c>
      <c r="E48" t="inlineStr">
        <is>
          <t>Regulatory obligations due in next 30 days</t>
        </is>
      </c>
      <c r="F48">
        <f>ROUND('Plant03 Inputs'!BL4,2)</f>
        <v/>
      </c>
      <c r="G48">
        <f>ROUND('Plant03 Inputs'!BL5,2)</f>
        <v/>
      </c>
      <c r="H48">
        <f>ROUND('Plant03 Inputs'!BL6,2)</f>
        <v/>
      </c>
      <c r="I48">
        <f>ROUND('Plant03 Inputs'!BL7,2)</f>
        <v/>
      </c>
      <c r="J48">
        <f>ROUND('Plant03 Inputs'!BL8,2)</f>
        <v/>
      </c>
      <c r="K48">
        <f>ROUND('Plant03 Inputs'!BL9,2)</f>
        <v/>
      </c>
      <c r="L48" t="inlineStr">
        <is>
          <t>reg_obligations_due_30d</t>
        </is>
      </c>
    </row>
    <row r="49">
      <c r="A49" t="inlineStr">
        <is>
          <t>REG-005</t>
        </is>
      </c>
      <c r="B49" t="inlineStr">
        <is>
          <t>Overdue regulatory obligations</t>
        </is>
      </c>
      <c r="C49" t="inlineStr">
        <is>
          <t>count</t>
        </is>
      </c>
      <c r="D49" t="inlineStr">
        <is>
          <t>Month end</t>
        </is>
      </c>
      <c r="E49" t="inlineStr">
        <is>
          <t>Regulatory obligations overdue</t>
        </is>
      </c>
      <c r="F49">
        <f>ROUND('Plant03 Inputs'!BM4,2)</f>
        <v/>
      </c>
      <c r="G49">
        <f>ROUND('Plant03 Inputs'!BM5,2)</f>
        <v/>
      </c>
      <c r="H49">
        <f>ROUND('Plant03 Inputs'!BM6,2)</f>
        <v/>
      </c>
      <c r="I49">
        <f>ROUND('Plant03 Inputs'!BM7,2)</f>
        <v/>
      </c>
      <c r="J49">
        <f>ROUND('Plant03 Inputs'!BM8,2)</f>
        <v/>
      </c>
      <c r="K49">
        <f>ROUND('Plant03 Inputs'!BM9,2)</f>
        <v/>
      </c>
      <c r="L49" t="inlineStr">
        <is>
          <t>reg_obligations_overdue</t>
        </is>
      </c>
    </row>
    <row r="50">
      <c r="A50" t="inlineStr">
        <is>
          <t>REG-007</t>
        </is>
      </c>
      <c r="B50" t="inlineStr">
        <is>
          <t>Open regulatory actions</t>
        </is>
      </c>
      <c r="C50" t="inlineStr">
        <is>
          <t>count</t>
        </is>
      </c>
      <c r="D50" t="inlineStr">
        <is>
          <t>Month end</t>
        </is>
      </c>
      <c r="E50" t="inlineStr">
        <is>
          <t>Open regulatory actions</t>
        </is>
      </c>
      <c r="F50">
        <f>ROUND('Plant03 Inputs'!BN4,2)</f>
        <v/>
      </c>
      <c r="G50">
        <f>ROUND('Plant03 Inputs'!BN5,2)</f>
        <v/>
      </c>
      <c r="H50">
        <f>ROUND('Plant03 Inputs'!BN6,2)</f>
        <v/>
      </c>
      <c r="I50">
        <f>ROUND('Plant03 Inputs'!BN7,2)</f>
        <v/>
      </c>
      <c r="J50">
        <f>ROUND('Plant03 Inputs'!BN8,2)</f>
        <v/>
      </c>
      <c r="K50">
        <f>ROUND('Plant03 Inputs'!BN9,2)</f>
        <v/>
      </c>
      <c r="L50" t="inlineStr">
        <is>
          <t>reg_actions_open</t>
        </is>
      </c>
    </row>
    <row r="51">
      <c r="A51" t="inlineStr">
        <is>
          <t>REG-008</t>
        </is>
      </c>
      <c r="B51" t="inlineStr">
        <is>
          <t>Overdue compliance actions</t>
        </is>
      </c>
      <c r="C51" t="inlineStr">
        <is>
          <t>count</t>
        </is>
      </c>
      <c r="D51" t="inlineStr">
        <is>
          <t>Month end</t>
        </is>
      </c>
      <c r="E51" t="inlineStr">
        <is>
          <t>Overdue compliance actions</t>
        </is>
      </c>
      <c r="F51">
        <f>ROUND('Plant03 Inputs'!BO4,2)</f>
        <v/>
      </c>
      <c r="G51">
        <f>ROUND('Plant03 Inputs'!BO5,2)</f>
        <v/>
      </c>
      <c r="H51">
        <f>ROUND('Plant03 Inputs'!BO6,2)</f>
        <v/>
      </c>
      <c r="I51">
        <f>ROUND('Plant03 Inputs'!BO7,2)</f>
        <v/>
      </c>
      <c r="J51">
        <f>ROUND('Plant03 Inputs'!BO8,2)</f>
        <v/>
      </c>
      <c r="K51">
        <f>ROUND('Plant03 Inputs'!BO9,2)</f>
        <v/>
      </c>
      <c r="L51" t="inlineStr">
        <is>
          <t>compliance_actions_overdue</t>
        </is>
      </c>
    </row>
    <row r="52">
      <c r="A52" t="inlineStr">
        <is>
          <t>REG-009</t>
        </is>
      </c>
      <c r="B52" t="inlineStr">
        <is>
          <t>Disclosure-clock status</t>
        </is>
      </c>
      <c r="C52" t="inlineStr">
        <is>
          <t>text</t>
        </is>
      </c>
      <c r="D52" t="inlineStr">
        <is>
          <t>Month end</t>
        </is>
      </c>
      <c r="E52" t="inlineStr">
        <is>
          <t>Triggered if any event that needs disclosure is open, otherwise Not triggered</t>
        </is>
      </c>
      <c r="F52">
        <f>IF('Plant03 Inputs'!BQ4&gt;0,"Triggered","Not triggered")</f>
        <v/>
      </c>
      <c r="G52">
        <f>IF('Plant03 Inputs'!BQ5&gt;0,"Triggered","Not triggered")</f>
        <v/>
      </c>
      <c r="H52">
        <f>IF('Plant03 Inputs'!BQ6&gt;0,"Triggered","Not triggered")</f>
        <v/>
      </c>
      <c r="I52">
        <f>IF('Plant03 Inputs'!BQ7&gt;0,"Triggered","Not triggered")</f>
        <v/>
      </c>
      <c r="J52">
        <f>IF('Plant03 Inputs'!BQ8&gt;0,"Triggered","Not triggered")</f>
        <v/>
      </c>
      <c r="K52">
        <f>IF('Plant03 Inputs'!BQ9&gt;0,"Triggered","Not triggered")</f>
        <v/>
      </c>
      <c r="L52" t="inlineStr">
        <is>
          <t>disclosure_events_open</t>
        </is>
      </c>
    </row>
    <row r="53">
      <c r="A53" t="inlineStr">
        <is>
          <t>REG-010</t>
        </is>
      </c>
      <c r="B53" t="inlineStr">
        <is>
          <t>Regulatory breaches YTD</t>
        </is>
      </c>
      <c r="C53" t="inlineStr">
        <is>
          <t>count</t>
        </is>
      </c>
      <c r="D53" t="inlineStr">
        <is>
          <t>Year to date</t>
        </is>
      </c>
      <c r="E53" t="inlineStr">
        <is>
          <t>Sum of regulatory breaches since April</t>
        </is>
      </c>
      <c r="F53">
        <f>ROUND(SUM('Plant03 Inputs'!BP$4:BP4),2)</f>
        <v/>
      </c>
      <c r="G53">
        <f>ROUND(SUM('Plant03 Inputs'!BP$4:BP5),2)</f>
        <v/>
      </c>
      <c r="H53">
        <f>ROUND(SUM('Plant03 Inputs'!BP$4:BP6),2)</f>
        <v/>
      </c>
      <c r="I53">
        <f>ROUND(SUM('Plant03 Inputs'!BP$4:BP7),2)</f>
        <v/>
      </c>
      <c r="J53">
        <f>ROUND(SUM('Plant03 Inputs'!BP$4:BP8),2)</f>
        <v/>
      </c>
      <c r="K53">
        <f>ROUND(SUM('Plant03 Inputs'!BP$4:BP9),2)</f>
        <v/>
      </c>
      <c r="L53" t="inlineStr">
        <is>
          <t>reg_breaches</t>
        </is>
      </c>
    </row>
    <row r="54">
      <c r="A54" t="inlineStr">
        <is>
          <t>RSK-003</t>
        </is>
      </c>
      <c r="B54" t="inlineStr">
        <is>
          <t>Regulatory breaches YTD (same measure as REG-010)</t>
        </is>
      </c>
      <c r="C54" t="inlineStr">
        <is>
          <t>count</t>
        </is>
      </c>
      <c r="D54" t="inlineStr">
        <is>
          <t>Year to date</t>
        </is>
      </c>
      <c r="E54" t="inlineStr">
        <is>
          <t>Sum of regulatory breaches since April</t>
        </is>
      </c>
      <c r="F54">
        <f>ROUND(SUM('Plant03 Inputs'!BP$4:BP4),2)</f>
        <v/>
      </c>
      <c r="G54">
        <f>ROUND(SUM('Plant03 Inputs'!BP$4:BP5),2)</f>
        <v/>
      </c>
      <c r="H54">
        <f>ROUND(SUM('Plant03 Inputs'!BP$4:BP6),2)</f>
        <v/>
      </c>
      <c r="I54">
        <f>ROUND(SUM('Plant03 Inputs'!BP$4:BP7),2)</f>
        <v/>
      </c>
      <c r="J54">
        <f>ROUND(SUM('Plant03 Inputs'!BP$4:BP8),2)</f>
        <v/>
      </c>
      <c r="K54">
        <f>ROUND(SUM('Plant03 Inputs'!BP$4:BP9),2)</f>
        <v/>
      </c>
      <c r="L54" t="inlineStr">
        <is>
          <t>reg_breaches</t>
        </is>
      </c>
    </row>
    <row r="55">
      <c r="A55" t="inlineStr">
        <is>
          <t>CMP-005</t>
        </is>
      </c>
      <c r="B55" t="inlineStr">
        <is>
          <t>Regulatory breaches YTD (same measure as REG-010)</t>
        </is>
      </c>
      <c r="C55" t="inlineStr">
        <is>
          <t>count</t>
        </is>
      </c>
      <c r="D55" t="inlineStr">
        <is>
          <t>Year to date</t>
        </is>
      </c>
      <c r="E55" t="inlineStr">
        <is>
          <t>Sum of regulatory breaches since April</t>
        </is>
      </c>
      <c r="F55">
        <f>ROUND(SUM('Plant03 Inputs'!BP$4:BP4),2)</f>
        <v/>
      </c>
      <c r="G55">
        <f>ROUND(SUM('Plant03 Inputs'!BP$4:BP5),2)</f>
        <v/>
      </c>
      <c r="H55">
        <f>ROUND(SUM('Plant03 Inputs'!BP$4:BP6),2)</f>
        <v/>
      </c>
      <c r="I55">
        <f>ROUND(SUM('Plant03 Inputs'!BP$4:BP7),2)</f>
        <v/>
      </c>
      <c r="J55">
        <f>ROUND(SUM('Plant03 Inputs'!BP$4:BP8),2)</f>
        <v/>
      </c>
      <c r="K55">
        <f>ROUND(SUM('Plant03 Inputs'!BP$4:BP9),2)</f>
        <v/>
      </c>
      <c r="L55" t="inlineStr">
        <is>
          <t>reg_breaches</t>
        </is>
      </c>
    </row>
    <row r="56">
      <c r="A56" t="inlineStr">
        <is>
          <t>EHS-008</t>
        </is>
      </c>
      <c r="B56" t="inlineStr">
        <is>
          <t>EHS escalation clocks running</t>
        </is>
      </c>
      <c r="C56" t="inlineStr">
        <is>
          <t>count</t>
        </is>
      </c>
      <c r="D56" t="inlineStr">
        <is>
          <t>Month end</t>
        </is>
      </c>
      <c r="E56" t="inlineStr">
        <is>
          <t>EHS escalation clocks running</t>
        </is>
      </c>
      <c r="F56">
        <f>ROUND('Plant03 Inputs'!BR4,2)</f>
        <v/>
      </c>
      <c r="G56">
        <f>ROUND('Plant03 Inputs'!BR5,2)</f>
        <v/>
      </c>
      <c r="H56">
        <f>ROUND('Plant03 Inputs'!BR6,2)</f>
        <v/>
      </c>
      <c r="I56">
        <f>ROUND('Plant03 Inputs'!BR7,2)</f>
        <v/>
      </c>
      <c r="J56">
        <f>ROUND('Plant03 Inputs'!BR8,2)</f>
        <v/>
      </c>
      <c r="K56">
        <f>ROUND('Plant03 Inputs'!BR9,2)</f>
        <v/>
      </c>
      <c r="L56" t="inlineStr">
        <is>
          <t>ehs_escalation_clocks</t>
        </is>
      </c>
    </row>
    <row r="57">
      <c r="A57" t="inlineStr">
        <is>
          <t>EHS-010</t>
        </is>
      </c>
      <c r="B57" t="inlineStr">
        <is>
          <t>EHS investigation completion rate YTD</t>
        </is>
      </c>
      <c r="C57" t="inlineStr">
        <is>
          <t>%</t>
        </is>
      </c>
      <c r="D57" t="inlineStr">
        <is>
          <t>Year to date</t>
        </is>
      </c>
      <c r="E57" t="inlineStr">
        <is>
          <t>EHS investigations completed since April ÷ Investigations due since April × 100 (100 if none due)</t>
        </is>
      </c>
      <c r="F57">
        <f>ROUND(IF(SUM('Plant03 Inputs'!AM$4:AM4)=0,100,100*SUM('Plant03 Inputs'!AN$4:AN4)/SUM('Plant03 Inputs'!AM$4:AM4)),2)</f>
        <v/>
      </c>
      <c r="G57">
        <f>ROUND(IF(SUM('Plant03 Inputs'!AM$4:AM5)=0,100,100*SUM('Plant03 Inputs'!AN$4:AN5)/SUM('Plant03 Inputs'!AM$4:AM5)),2)</f>
        <v/>
      </c>
      <c r="H57">
        <f>ROUND(IF(SUM('Plant03 Inputs'!AM$4:AM6)=0,100,100*SUM('Plant03 Inputs'!AN$4:AN6)/SUM('Plant03 Inputs'!AM$4:AM6)),2)</f>
        <v/>
      </c>
      <c r="I57">
        <f>ROUND(IF(SUM('Plant03 Inputs'!AM$4:AM7)=0,100,100*SUM('Plant03 Inputs'!AN$4:AN7)/SUM('Plant03 Inputs'!AM$4:AM7)),2)</f>
        <v/>
      </c>
      <c r="J57">
        <f>ROUND(IF(SUM('Plant03 Inputs'!AM$4:AM8)=0,100,100*SUM('Plant03 Inputs'!AN$4:AN8)/SUM('Plant03 Inputs'!AM$4:AM8)),2)</f>
        <v/>
      </c>
      <c r="K57">
        <f>ROUND(IF(SUM('Plant03 Inputs'!AM$4:AM9)=0,100,100*SUM('Plant03 Inputs'!AN$4:AN9)/SUM('Plant03 Inputs'!AM$4:AM9)),2)</f>
        <v/>
      </c>
      <c r="L57" t="inlineStr">
        <is>
          <t>investigations_due, investigations_completed</t>
        </is>
      </c>
    </row>
    <row r="58">
      <c r="A58" t="inlineStr">
        <is>
          <t>SIG-013</t>
        </is>
      </c>
      <c r="B58" t="inlineStr">
        <is>
          <t>Pricing pressure</t>
        </is>
      </c>
      <c r="C58" t="inlineStr">
        <is>
          <t>text</t>
        </is>
      </c>
      <c r="D58" t="inlineStr">
        <is>
          <t>Month</t>
        </is>
      </c>
      <c r="E58" t="inlineStr">
        <is>
          <t>Realised price vs plan: Low if above −1%, Medium down to −3%, High below −3%</t>
        </is>
      </c>
      <c r="F58">
        <f>IF('Plant03 Inputs'!GG4&gt;=-1,"Low",IF('Plant03 Inputs'!GG4&gt;=-3,"Medium","High"))&amp;" ("&amp;ROUND('Plant03 Inputs'!GG4,1)&amp;"% vs plan price)"</f>
        <v/>
      </c>
      <c r="G58">
        <f>IF('Plant03 Inputs'!GG5&gt;=-1,"Low",IF('Plant03 Inputs'!GG5&gt;=-3,"Medium","High"))&amp;" ("&amp;ROUND('Plant03 Inputs'!GG5,1)&amp;"% vs plan price)"</f>
        <v/>
      </c>
      <c r="H58">
        <f>IF('Plant03 Inputs'!GG6&gt;=-1,"Low",IF('Plant03 Inputs'!GG6&gt;=-3,"Medium","High"))&amp;" ("&amp;ROUND('Plant03 Inputs'!GG6,1)&amp;"% vs plan price)"</f>
        <v/>
      </c>
      <c r="I58">
        <f>IF('Plant03 Inputs'!GG7&gt;=-1,"Low",IF('Plant03 Inputs'!GG7&gt;=-3,"Medium","High"))&amp;" ("&amp;ROUND('Plant03 Inputs'!GG7,1)&amp;"% vs plan price)"</f>
        <v/>
      </c>
      <c r="J58">
        <f>IF('Plant03 Inputs'!GG8&gt;=-1,"Low",IF('Plant03 Inputs'!GG8&gt;=-3,"Medium","High"))&amp;" ("&amp;ROUND('Plant03 Inputs'!GG8,1)&amp;"% vs plan price)"</f>
        <v/>
      </c>
      <c r="K58">
        <f>IF('Plant03 Inputs'!GG9&gt;=-1,"Low",IF('Plant03 Inputs'!GG9&gt;=-3,"Medium","High"))&amp;" ("&amp;ROUND('Plant03 Inputs'!GG9,1)&amp;"% vs plan price)"</f>
        <v/>
      </c>
      <c r="L58" t="inlineStr">
        <is>
          <t>price_vs_plan_pct</t>
        </is>
      </c>
    </row>
    <row r="59">
      <c r="A59" t="inlineStr">
        <is>
          <t>PRD-001</t>
        </is>
      </c>
      <c r="B59" t="inlineStr">
        <is>
          <t>Days to breach (earliest plant)</t>
        </is>
      </c>
      <c r="C59" t="inlineStr">
        <is>
          <t>days</t>
        </is>
      </c>
      <c r="D59" t="inlineStr">
        <is>
          <t>Forecast</t>
        </is>
      </c>
      <c r="E59" t="inlineStr">
        <is>
          <t>Lowest plant forecast of days until its production plan is breached (99 = not expected)</t>
        </is>
      </c>
      <c r="F59">
        <f>ROUND('Plant03 Inputs'!BS4,2)</f>
        <v/>
      </c>
      <c r="G59">
        <f>ROUND('Plant03 Inputs'!BS5,2)</f>
        <v/>
      </c>
      <c r="H59">
        <f>ROUND('Plant03 Inputs'!BS6,2)</f>
        <v/>
      </c>
      <c r="I59">
        <f>ROUND('Plant03 Inputs'!BS7,2)</f>
        <v/>
      </c>
      <c r="J59">
        <f>ROUND('Plant03 Inputs'!BS8,2)</f>
        <v/>
      </c>
      <c r="K59">
        <f>ROUND('Plant03 Inputs'!BS9,2)</f>
        <v/>
      </c>
      <c r="L59" t="inlineStr">
        <is>
          <t>days_to_breach</t>
        </is>
      </c>
    </row>
    <row r="60">
      <c r="A60" t="inlineStr">
        <is>
          <t>PRD-002</t>
        </is>
      </c>
      <c r="B60" t="inlineStr">
        <is>
          <t>Probability of production plan miss, next month</t>
        </is>
      </c>
      <c r="C60" t="inlineStr">
        <is>
          <t>%</t>
        </is>
      </c>
      <c r="D60" t="inlineStr">
        <is>
          <t>Next month</t>
        </is>
      </c>
      <c r="E60" t="inlineStr">
        <is>
          <t>Chance that output falls below plan: normal distribution with mean = Forecast good output, spread = √(sum of plant forecast variances)</t>
        </is>
      </c>
      <c r="F60">
        <f>ROUND(100*NORM.DIST('Plant03 Inputs'!BT4,'Plant03 Inputs'!BU4,SQRT('Plant03 Inputs'!BV4),TRUE),2)</f>
        <v/>
      </c>
      <c r="G60">
        <f>ROUND(100*NORM.DIST('Plant03 Inputs'!BT5,'Plant03 Inputs'!BU5,SQRT('Plant03 Inputs'!BV5),TRUE),2)</f>
        <v/>
      </c>
      <c r="H60">
        <f>ROUND(100*NORM.DIST('Plant03 Inputs'!BT6,'Plant03 Inputs'!BU6,SQRT('Plant03 Inputs'!BV6),TRUE),2)</f>
        <v/>
      </c>
      <c r="I60">
        <f>ROUND(100*NORM.DIST('Plant03 Inputs'!BT7,'Plant03 Inputs'!BU7,SQRT('Plant03 Inputs'!BV7),TRUE),2)</f>
        <v/>
      </c>
      <c r="J60">
        <f>ROUND(100*NORM.DIST('Plant03 Inputs'!BT8,'Plant03 Inputs'!BU8,SQRT('Plant03 Inputs'!BV8),TRUE),2)</f>
        <v/>
      </c>
      <c r="K60">
        <f>ROUND(100*NORM.DIST('Plant03 Inputs'!BT9,'Plant03 Inputs'!BU9,SQRT('Plant03 Inputs'!BV9),TRUE),2)</f>
        <v/>
      </c>
      <c r="L60" t="inlineStr">
        <is>
          <t>planned_production_next_t, forecast_good_next_t, forecast_good_var_next</t>
        </is>
      </c>
    </row>
    <row r="61">
      <c r="A61" t="inlineStr">
        <is>
          <t>PRD-006</t>
        </is>
      </c>
      <c r="B61" t="inlineStr">
        <is>
          <t>Production loss from downtime, next month</t>
        </is>
      </c>
      <c r="C61" t="inlineStr">
        <is>
          <t>kt</t>
        </is>
      </c>
      <c r="D61" t="inlineStr">
        <is>
          <t>Next month</t>
        </is>
      </c>
      <c r="E61" t="inlineStr">
        <is>
          <t>Forecast production lost to downtime next month ÷ 1000</t>
        </is>
      </c>
      <c r="F61">
        <f>ROUND('Plant03 Inputs'!BX4/1000,2)</f>
        <v/>
      </c>
      <c r="G61">
        <f>ROUND('Plant03 Inputs'!BX5/1000,2)</f>
        <v/>
      </c>
      <c r="H61">
        <f>ROUND('Plant03 Inputs'!BX6/1000,2)</f>
        <v/>
      </c>
      <c r="I61">
        <f>ROUND('Plant03 Inputs'!BX7/1000,2)</f>
        <v/>
      </c>
      <c r="J61">
        <f>ROUND('Plant03 Inputs'!BX8/1000,2)</f>
        <v/>
      </c>
      <c r="K61">
        <f>ROUND('Plant03 Inputs'!BX9/1000,2)</f>
        <v/>
      </c>
      <c r="L61" t="inlineStr">
        <is>
          <t>forecast_downtime_loss_next_t</t>
        </is>
      </c>
    </row>
    <row r="62">
      <c r="A62" t="inlineStr">
        <is>
          <t>PRD-007</t>
        </is>
      </c>
      <c r="B62" t="inlineStr">
        <is>
          <t>Probability OEE below 78%, next month</t>
        </is>
      </c>
      <c r="C62" t="inlineStr">
        <is>
          <t>%</t>
        </is>
      </c>
      <c r="D62" t="inlineStr">
        <is>
          <t>Next month</t>
        </is>
      </c>
      <c r="E62" t="inlineStr">
        <is>
          <t>Chance that Forecast good output &lt; 78% × Ideal output next month (same distribution as PRD-002)</t>
        </is>
      </c>
      <c r="F62">
        <f>ROUND(100*NORM.DIST(0.78*'Plant03 Inputs'!BW4,'Plant03 Inputs'!BU4,SQRT('Plant03 Inputs'!BV4),TRUE),2)</f>
        <v/>
      </c>
      <c r="G62">
        <f>ROUND(100*NORM.DIST(0.78*'Plant03 Inputs'!BW5,'Plant03 Inputs'!BU5,SQRT('Plant03 Inputs'!BV5),TRUE),2)</f>
        <v/>
      </c>
      <c r="H62">
        <f>ROUND(100*NORM.DIST(0.78*'Plant03 Inputs'!BW6,'Plant03 Inputs'!BU6,SQRT('Plant03 Inputs'!BV6),TRUE),2)</f>
        <v/>
      </c>
      <c r="I62">
        <f>ROUND(100*NORM.DIST(0.78*'Plant03 Inputs'!BW7,'Plant03 Inputs'!BU7,SQRT('Plant03 Inputs'!BV7),TRUE),2)</f>
        <v/>
      </c>
      <c r="J62">
        <f>ROUND(100*NORM.DIST(0.78*'Plant03 Inputs'!BW8,'Plant03 Inputs'!BU8,SQRT('Plant03 Inputs'!BV8),TRUE),2)</f>
        <v/>
      </c>
      <c r="K62">
        <f>ROUND(100*NORM.DIST(0.78*'Plant03 Inputs'!BW9,'Plant03 Inputs'!BU9,SQRT('Plant03 Inputs'!BV9),TRUE),2)</f>
        <v/>
      </c>
      <c r="L62" t="inlineStr">
        <is>
          <t>forecast_good_next_t, forecast_good_var_next, ideal_output_next_t</t>
        </is>
      </c>
    </row>
    <row r="63">
      <c r="A63" t="inlineStr">
        <is>
          <t>CST-005</t>
        </is>
      </c>
      <c r="B63" t="inlineStr">
        <is>
          <t>Fixed cost YTD</t>
        </is>
      </c>
      <c r="C63" t="inlineStr">
        <is>
          <t>₹ m</t>
        </is>
      </c>
      <c r="D63" t="inlineStr">
        <is>
          <t>Year to date</t>
        </is>
      </c>
      <c r="E63" t="inlineStr">
        <is>
          <t>Sum of monthly fixed cost since April ÷ 1000</t>
        </is>
      </c>
      <c r="F63">
        <f>ROUND(SUM('Plant03 Inputs'!X$4:X4)/1000,2)</f>
        <v/>
      </c>
      <c r="G63">
        <f>ROUND(SUM('Plant03 Inputs'!X$4:X5)/1000,2)</f>
        <v/>
      </c>
      <c r="H63">
        <f>ROUND(SUM('Plant03 Inputs'!X$4:X6)/1000,2)</f>
        <v/>
      </c>
      <c r="I63">
        <f>ROUND(SUM('Plant03 Inputs'!X$4:X7)/1000,2)</f>
        <v/>
      </c>
      <c r="J63">
        <f>ROUND(SUM('Plant03 Inputs'!X$4:X8)/1000,2)</f>
        <v/>
      </c>
      <c r="K63">
        <f>ROUND(SUM('Plant03 Inputs'!X$4:X9)/1000,2)</f>
        <v/>
      </c>
      <c r="L63" t="inlineStr">
        <is>
          <t>fixed_cost_k</t>
        </is>
      </c>
    </row>
    <row r="64">
      <c r="A64" t="inlineStr">
        <is>
          <t>SIG-017</t>
        </is>
      </c>
      <c r="B64" t="inlineStr">
        <is>
          <t>Fuel exposure (fuel cost per tonne, MoM)</t>
        </is>
      </c>
      <c r="C64" t="inlineStr">
        <is>
          <t>%</t>
        </is>
      </c>
      <c r="D64" t="inlineStr">
        <is>
          <t>Month</t>
        </is>
      </c>
      <c r="E64" t="inlineStr">
        <is>
          <t>(Fuel cost ÷ good output) ÷ last month's − 1, as %</t>
        </is>
      </c>
      <c r="F64">
        <f>ROUND(IF(OR('Plant03 Inputs'!M4=0,'Plant03 Inputs'!W4=0,'Plant03 Inputs'!M4=0),0,100*(('Plant03 Inputs'!W4/'Plant03 Inputs'!M4)/('Plant03 Inputs'!W4/'Plant03 Inputs'!M4)-1)),2)</f>
        <v/>
      </c>
      <c r="G64">
        <f>ROUND(IF(OR('Plant03 Inputs'!M4=0,'Plant03 Inputs'!W4=0,'Plant03 Inputs'!M5=0),0,100*(('Plant03 Inputs'!W5/'Plant03 Inputs'!M5)/('Plant03 Inputs'!W4/'Plant03 Inputs'!M4)-1)),2)</f>
        <v/>
      </c>
      <c r="H64">
        <f>ROUND(IF(OR('Plant03 Inputs'!M5=0,'Plant03 Inputs'!W5=0,'Plant03 Inputs'!M6=0),0,100*(('Plant03 Inputs'!W6/'Plant03 Inputs'!M6)/('Plant03 Inputs'!W5/'Plant03 Inputs'!M5)-1)),2)</f>
        <v/>
      </c>
      <c r="I64">
        <f>ROUND(IF(OR('Plant03 Inputs'!M6=0,'Plant03 Inputs'!W6=0,'Plant03 Inputs'!M7=0),0,100*(('Plant03 Inputs'!W7/'Plant03 Inputs'!M7)/('Plant03 Inputs'!W6/'Plant03 Inputs'!M6)-1)),2)</f>
        <v/>
      </c>
      <c r="J64">
        <f>ROUND(IF(OR('Plant03 Inputs'!M7=0,'Plant03 Inputs'!W7=0,'Plant03 Inputs'!M8=0),0,100*(('Plant03 Inputs'!W8/'Plant03 Inputs'!M8)/('Plant03 Inputs'!W7/'Plant03 Inputs'!M7)-1)),2)</f>
        <v/>
      </c>
      <c r="K64">
        <f>ROUND(IF(OR('Plant03 Inputs'!M8=0,'Plant03 Inputs'!W8=0,'Plant03 Inputs'!M9=0),0,100*(('Plant03 Inputs'!W9/'Plant03 Inputs'!M9)/('Plant03 Inputs'!W8/'Plant03 Inputs'!M8)-1)),2)</f>
        <v/>
      </c>
      <c r="L64" t="inlineStr">
        <is>
          <t>fuel_cost_k, good_output_t</t>
        </is>
      </c>
    </row>
    <row r="65">
      <c r="A65" t="inlineStr">
        <is>
          <t>SIG-018</t>
        </is>
      </c>
      <c r="B65" t="inlineStr">
        <is>
          <t>Power-cost exposure (power cost per tonne, MoM)</t>
        </is>
      </c>
      <c r="C65" t="inlineStr">
        <is>
          <t>%</t>
        </is>
      </c>
      <c r="D65" t="inlineStr">
        <is>
          <t>Month</t>
        </is>
      </c>
      <c r="E65" t="inlineStr">
        <is>
          <t>(Power cost ÷ good output) ÷ last month's − 1, as %</t>
        </is>
      </c>
      <c r="F65">
        <f>ROUND(IF(OR('Plant03 Inputs'!M4=0,'Plant03 Inputs'!AW4=0,'Plant03 Inputs'!M4=0),0,100*(('Plant03 Inputs'!AW4/'Plant03 Inputs'!M4)/('Plant03 Inputs'!AW4/'Plant03 Inputs'!M4)-1)),2)</f>
        <v/>
      </c>
      <c r="G65">
        <f>ROUND(IF(OR('Plant03 Inputs'!M4=0,'Plant03 Inputs'!AW4=0,'Plant03 Inputs'!M5=0),0,100*(('Plant03 Inputs'!AW5/'Plant03 Inputs'!M5)/('Plant03 Inputs'!AW4/'Plant03 Inputs'!M4)-1)),2)</f>
        <v/>
      </c>
      <c r="H65">
        <f>ROUND(IF(OR('Plant03 Inputs'!M5=0,'Plant03 Inputs'!AW5=0,'Plant03 Inputs'!M6=0),0,100*(('Plant03 Inputs'!AW6/'Plant03 Inputs'!M6)/('Plant03 Inputs'!AW5/'Plant03 Inputs'!M5)-1)),2)</f>
        <v/>
      </c>
      <c r="I65">
        <f>ROUND(IF(OR('Plant03 Inputs'!M6=0,'Plant03 Inputs'!AW6=0,'Plant03 Inputs'!M7=0),0,100*(('Plant03 Inputs'!AW7/'Plant03 Inputs'!M7)/('Plant03 Inputs'!AW6/'Plant03 Inputs'!M6)-1)),2)</f>
        <v/>
      </c>
      <c r="J65">
        <f>ROUND(IF(OR('Plant03 Inputs'!M7=0,'Plant03 Inputs'!AW7=0,'Plant03 Inputs'!M8=0),0,100*(('Plant03 Inputs'!AW8/'Plant03 Inputs'!M8)/('Plant03 Inputs'!AW7/'Plant03 Inputs'!M7)-1)),2)</f>
        <v/>
      </c>
      <c r="K65">
        <f>ROUND(IF(OR('Plant03 Inputs'!M8=0,'Plant03 Inputs'!AW8=0,'Plant03 Inputs'!M9=0),0,100*(('Plant03 Inputs'!AW9/'Plant03 Inputs'!M9)/('Plant03 Inputs'!AW8/'Plant03 Inputs'!M8)-1)),2)</f>
        <v/>
      </c>
      <c r="L65" t="inlineStr">
        <is>
          <t>good_output_t, power_cost_k</t>
        </is>
      </c>
    </row>
    <row r="66">
      <c r="A66" t="inlineStr">
        <is>
          <t>SIG-001</t>
        </is>
      </c>
      <c r="B66" t="inlineStr">
        <is>
          <t>Unplanned downtime (same measure as REL-003)</t>
        </is>
      </c>
      <c r="C66" t="inlineStr">
        <is>
          <t>h</t>
        </is>
      </c>
      <c r="D66" t="inlineStr">
        <is>
          <t>Month</t>
        </is>
      </c>
      <c r="E66" t="inlineStr">
        <is>
          <t>Alias of REL-003: same value</t>
        </is>
      </c>
      <c r="F66">
        <f>F10</f>
        <v/>
      </c>
      <c r="G66">
        <f>G10</f>
        <v/>
      </c>
      <c r="H66">
        <f>H10</f>
        <v/>
      </c>
      <c r="I66">
        <f>I10</f>
        <v/>
      </c>
      <c r="J66">
        <f>J10</f>
        <v/>
      </c>
      <c r="K66">
        <f>K10</f>
        <v/>
      </c>
      <c r="L66" t="inlineStr">
        <is>
          <t>unplanned_downtime_hours</t>
        </is>
      </c>
    </row>
    <row r="67">
      <c r="A67" t="inlineStr">
        <is>
          <t>SIG-002</t>
        </is>
      </c>
      <c r="B67" t="inlineStr">
        <is>
          <t>Yield (same measure as PLT-005)</t>
        </is>
      </c>
      <c r="C67" t="inlineStr">
        <is>
          <t>%</t>
        </is>
      </c>
      <c r="D67" t="inlineStr">
        <is>
          <t>Month</t>
        </is>
      </c>
      <c r="E67" t="inlineStr">
        <is>
          <t>Alias of PLT-005: same value</t>
        </is>
      </c>
      <c r="F67">
        <f>F7</f>
        <v/>
      </c>
      <c r="G67">
        <f>G7</f>
        <v/>
      </c>
      <c r="H67">
        <f>H7</f>
        <v/>
      </c>
      <c r="I67">
        <f>I7</f>
        <v/>
      </c>
      <c r="J67">
        <f>J7</f>
        <v/>
      </c>
      <c r="K67">
        <f>K7</f>
        <v/>
      </c>
      <c r="L67" t="inlineStr">
        <is>
          <t>good_output_t, feed_input_t</t>
        </is>
      </c>
    </row>
    <row r="68">
      <c r="A68" t="inlineStr">
        <is>
          <t>SIG-003</t>
        </is>
      </c>
      <c r="B68" t="inlineStr">
        <is>
          <t>Recovery percentage (same measure as PLT-004)</t>
        </is>
      </c>
      <c r="C68" t="inlineStr">
        <is>
          <t>%</t>
        </is>
      </c>
      <c r="D68" t="inlineStr">
        <is>
          <t>Month</t>
        </is>
      </c>
      <c r="E68" t="inlineStr">
        <is>
          <t>Alias of PLT-004: same value</t>
        </is>
      </c>
      <c r="F68">
        <f>F6</f>
        <v/>
      </c>
      <c r="G68">
        <f>G6</f>
        <v/>
      </c>
      <c r="H68">
        <f>H6</f>
        <v/>
      </c>
      <c r="I68">
        <f>I6</f>
        <v/>
      </c>
      <c r="J68">
        <f>J6</f>
        <v/>
      </c>
      <c r="K68">
        <f>K6</f>
        <v/>
      </c>
      <c r="L68" t="inlineStr">
        <is>
          <t>feed_contained_t, recovered_contained_t</t>
        </is>
      </c>
    </row>
    <row r="69">
      <c r="A69" t="inlineStr">
        <is>
          <t>SIG-019</t>
        </is>
      </c>
      <c r="B69" t="inlineStr">
        <is>
          <t>Regulatory deadlines, next 30 days (same measure as REG-002)</t>
        </is>
      </c>
      <c r="C69" t="inlineStr">
        <is>
          <t>count</t>
        </is>
      </c>
      <c r="D69" t="inlineStr">
        <is>
          <t>Month end</t>
        </is>
      </c>
      <c r="E69" t="inlineStr">
        <is>
          <t>Alias of REG-002: same value</t>
        </is>
      </c>
      <c r="F69">
        <f>F46</f>
        <v/>
      </c>
      <c r="G69">
        <f>G46</f>
        <v/>
      </c>
      <c r="H69">
        <f>H46</f>
        <v/>
      </c>
      <c r="I69">
        <f>I46</f>
        <v/>
      </c>
      <c r="J69">
        <f>J46</f>
        <v/>
      </c>
      <c r="K69">
        <f>K46</f>
        <v/>
      </c>
      <c r="L69" t="inlineStr">
        <is>
          <t>reg_deadlines_30d</t>
        </is>
      </c>
    </row>
    <row r="70">
      <c r="A70" t="inlineStr">
        <is>
          <t>SIG-020</t>
        </is>
      </c>
      <c r="B70" t="inlineStr">
        <is>
          <t>Licence expirations, next 12 months (same measure as REG-003)</t>
        </is>
      </c>
      <c r="C70" t="inlineStr">
        <is>
          <t>count</t>
        </is>
      </c>
      <c r="D70" t="inlineStr">
        <is>
          <t>Month end</t>
        </is>
      </c>
      <c r="E70" t="inlineStr">
        <is>
          <t>Alias of REG-003: same value</t>
        </is>
      </c>
      <c r="F70">
        <f>F47</f>
        <v/>
      </c>
      <c r="G70">
        <f>G47</f>
        <v/>
      </c>
      <c r="H70">
        <f>H47</f>
        <v/>
      </c>
      <c r="I70">
        <f>I47</f>
        <v/>
      </c>
      <c r="J70">
        <f>J47</f>
        <v/>
      </c>
      <c r="K70">
        <f>K47</f>
        <v/>
      </c>
      <c r="L70" t="inlineStr">
        <is>
          <t>licences_expiring_12m</t>
        </is>
      </c>
    </row>
    <row r="71">
      <c r="A71" t="inlineStr">
        <is>
          <t>RSK-002</t>
        </is>
      </c>
      <c r="B71" t="inlineStr">
        <is>
          <t>Severity incidents (same measure as EHS-002)</t>
        </is>
      </c>
      <c r="C71" t="inlineStr">
        <is>
          <t>count</t>
        </is>
      </c>
      <c r="D71" t="inlineStr">
        <is>
          <t>Month</t>
        </is>
      </c>
      <c r="E71" t="inlineStr">
        <is>
          <t>Alias of EHS-002: same value</t>
        </is>
      </c>
      <c r="F71">
        <f>F25</f>
        <v/>
      </c>
      <c r="G71">
        <f>G25</f>
        <v/>
      </c>
      <c r="H71">
        <f>H25</f>
        <v/>
      </c>
      <c r="I71">
        <f>I25</f>
        <v/>
      </c>
      <c r="J71">
        <f>J25</f>
        <v/>
      </c>
      <c r="K71">
        <f>K25</f>
        <v/>
      </c>
      <c r="L71" t="inlineStr">
        <is>
          <t>severity_incidents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7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10" customWidth="1" min="3" max="3"/>
    <col width="12" customWidth="1" min="4" max="4"/>
    <col width="60" customWidth="1" min="5" max="5"/>
  </cols>
  <sheetData>
    <row r="1">
      <c r="A1" s="26" t="inlineStr">
        <is>
          <t>KPI ID</t>
        </is>
      </c>
      <c r="B1" s="26" t="inlineStr">
        <is>
          <t>Measure</t>
        </is>
      </c>
      <c r="C1" s="26" t="inlineStr">
        <is>
          <t>Unit</t>
        </is>
      </c>
      <c r="D1" s="26" t="inlineStr">
        <is>
          <t>Time basis</t>
        </is>
      </c>
      <c r="E1" s="26" t="inlineStr">
        <is>
          <t>How it is calculated</t>
        </is>
      </c>
      <c r="F1" s="26" t="inlineStr">
        <is>
          <t>2026-04 (P01)</t>
        </is>
      </c>
      <c r="G1" s="26" t="inlineStr">
        <is>
          <t>2026-05 (P02)</t>
        </is>
      </c>
      <c r="H1" s="26" t="inlineStr">
        <is>
          <t>2026-06 (P03)</t>
        </is>
      </c>
      <c r="I1" s="26" t="inlineStr">
        <is>
          <t>2026-07 (P04)</t>
        </is>
      </c>
      <c r="J1" s="26" t="inlineStr">
        <is>
          <t>2026-08 (P05)</t>
        </is>
      </c>
      <c r="K1" s="26" t="inlineStr">
        <is>
          <t>2026-09 (P06)</t>
        </is>
      </c>
      <c r="L1" s="26" t="inlineStr">
        <is>
          <t>Inputs used</t>
        </is>
      </c>
    </row>
    <row r="2">
      <c r="A2" t="inlineStr">
        <is>
          <t>OPS-001</t>
        </is>
      </c>
      <c r="B2" t="inlineStr">
        <is>
          <t>Production vs plan</t>
        </is>
      </c>
      <c r="C2" t="inlineStr">
        <is>
          <t>%</t>
        </is>
      </c>
      <c r="D2" t="inlineStr">
        <is>
          <t>Month</t>
        </is>
      </c>
      <c r="E2" t="inlineStr">
        <is>
          <t>Good output ÷ Planned production × 100</t>
        </is>
      </c>
      <c r="F2">
        <f>ROUND(IFERROR(100*'Plant04 Inputs'!M4/'Plant04 Inputs'!K4,0),2)</f>
        <v/>
      </c>
      <c r="G2">
        <f>ROUND(IFERROR(100*'Plant04 Inputs'!M5/'Plant04 Inputs'!K5,0),2)</f>
        <v/>
      </c>
      <c r="H2">
        <f>ROUND(IFERROR(100*'Plant04 Inputs'!M6/'Plant04 Inputs'!K6,0),2)</f>
        <v/>
      </c>
      <c r="I2">
        <f>ROUND(IFERROR(100*'Plant04 Inputs'!M7/'Plant04 Inputs'!K7,0),2)</f>
        <v/>
      </c>
      <c r="J2">
        <f>ROUND(IFERROR(100*'Plant04 Inputs'!M8/'Plant04 Inputs'!K8,0),2)</f>
        <v/>
      </c>
      <c r="K2">
        <f>ROUND(IFERROR(100*'Plant04 Inputs'!M9/'Plant04 Inputs'!K9,0),2)</f>
        <v/>
      </c>
      <c r="L2" t="inlineStr">
        <is>
          <t>planned_production_t, good_output_t</t>
        </is>
      </c>
    </row>
    <row r="3">
      <c r="A3" t="inlineStr">
        <is>
          <t>OPS-003</t>
        </is>
      </c>
      <c r="B3" t="inlineStr">
        <is>
          <t>Capacity utilization</t>
        </is>
      </c>
      <c r="C3" t="inlineStr">
        <is>
          <t>%</t>
        </is>
      </c>
      <c r="D3" t="inlineStr">
        <is>
          <t>Month</t>
        </is>
      </c>
      <c r="E3" t="inlineStr">
        <is>
          <t>Good output ÷ Installed capacity × 100</t>
        </is>
      </c>
      <c r="F3">
        <f>ROUND(IFERROR(100*'Plant04 Inputs'!M4/'Plant04 Inputs'!J4,0),2)</f>
        <v/>
      </c>
      <c r="G3">
        <f>ROUND(IFERROR(100*'Plant04 Inputs'!M5/'Plant04 Inputs'!J5,0),2)</f>
        <v/>
      </c>
      <c r="H3">
        <f>ROUND(IFERROR(100*'Plant04 Inputs'!M6/'Plant04 Inputs'!J6,0),2)</f>
        <v/>
      </c>
      <c r="I3">
        <f>ROUND(IFERROR(100*'Plant04 Inputs'!M7/'Plant04 Inputs'!J7,0),2)</f>
        <v/>
      </c>
      <c r="J3">
        <f>ROUND(IFERROR(100*'Plant04 Inputs'!M8/'Plant04 Inputs'!J8,0),2)</f>
        <v/>
      </c>
      <c r="K3">
        <f>ROUND(IFERROR(100*'Plant04 Inputs'!M9/'Plant04 Inputs'!J9,0),2)</f>
        <v/>
      </c>
      <c r="L3" t="inlineStr">
        <is>
          <t>installed_capacity_t, good_output_t</t>
        </is>
      </c>
    </row>
    <row r="4">
      <c r="A4" t="inlineStr">
        <is>
          <t>PLT-001</t>
        </is>
      </c>
      <c r="B4" t="inlineStr">
        <is>
          <t>Asset utilization</t>
        </is>
      </c>
      <c r="C4" t="inlineStr">
        <is>
          <t>%</t>
        </is>
      </c>
      <c r="D4" t="inlineStr">
        <is>
          <t>Month</t>
        </is>
      </c>
      <c r="E4" t="inlineStr">
        <is>
          <t>Run hours ÷ Calendar hours × 100</t>
        </is>
      </c>
      <c r="F4">
        <f>ROUND(IFERROR(100*'Plant04 Inputs'!G4/'Plant04 Inputs'!E4,0),2)</f>
        <v/>
      </c>
      <c r="G4">
        <f>ROUND(IFERROR(100*'Plant04 Inputs'!G5/'Plant04 Inputs'!E5,0),2)</f>
        <v/>
      </c>
      <c r="H4">
        <f>ROUND(IFERROR(100*'Plant04 Inputs'!G6/'Plant04 Inputs'!E6,0),2)</f>
        <v/>
      </c>
      <c r="I4">
        <f>ROUND(IFERROR(100*'Plant04 Inputs'!G7/'Plant04 Inputs'!E7,0),2)</f>
        <v/>
      </c>
      <c r="J4">
        <f>ROUND(IFERROR(100*'Plant04 Inputs'!G8/'Plant04 Inputs'!E8,0),2)</f>
        <v/>
      </c>
      <c r="K4">
        <f>ROUND(IFERROR(100*'Plant04 Inputs'!G9/'Plant04 Inputs'!E9,0),2)</f>
        <v/>
      </c>
      <c r="L4" t="inlineStr">
        <is>
          <t>calendar_hours, run_hours</t>
        </is>
      </c>
    </row>
    <row r="5">
      <c r="A5" t="inlineStr">
        <is>
          <t>PLT-002</t>
        </is>
      </c>
      <c r="B5" t="inlineStr">
        <is>
          <t>OEE</t>
        </is>
      </c>
      <c r="C5" t="inlineStr">
        <is>
          <t>%</t>
        </is>
      </c>
      <c r="D5" t="inlineStr">
        <is>
          <t>Month</t>
        </is>
      </c>
      <c r="E5" t="inlineStr">
        <is>
          <t>Availability × Performance × Quality = Good output ÷ Ideal output × 100</t>
        </is>
      </c>
      <c r="F5">
        <f>ROUND(IFERROR(100*'Plant04 Inputs'!M4/'Plant04 Inputs'!I4,0),2)</f>
        <v/>
      </c>
      <c r="G5">
        <f>ROUND(IFERROR(100*'Plant04 Inputs'!M5/'Plant04 Inputs'!I5,0),2)</f>
        <v/>
      </c>
      <c r="H5">
        <f>ROUND(IFERROR(100*'Plant04 Inputs'!M6/'Plant04 Inputs'!I6,0),2)</f>
        <v/>
      </c>
      <c r="I5">
        <f>ROUND(IFERROR(100*'Plant04 Inputs'!M7/'Plant04 Inputs'!I7,0),2)</f>
        <v/>
      </c>
      <c r="J5">
        <f>ROUND(IFERROR(100*'Plant04 Inputs'!M8/'Plant04 Inputs'!I8,0),2)</f>
        <v/>
      </c>
      <c r="K5">
        <f>ROUND(IFERROR(100*'Plant04 Inputs'!M9/'Plant04 Inputs'!I9,0),2)</f>
        <v/>
      </c>
      <c r="L5" t="inlineStr">
        <is>
          <t>ideal_output_t, good_output_t</t>
        </is>
      </c>
    </row>
    <row r="6">
      <c r="A6" t="inlineStr">
        <is>
          <t>PLT-004</t>
        </is>
      </c>
      <c r="B6" t="inlineStr">
        <is>
          <t>Recovery percentage</t>
        </is>
      </c>
      <c r="C6" t="inlineStr">
        <is>
          <t>%</t>
        </is>
      </c>
      <c r="D6" t="inlineStr">
        <is>
          <t>Month</t>
        </is>
      </c>
      <c r="E6" t="inlineStr">
        <is>
          <t>Valuable content recovered ÷ Valuable content in feed × 100</t>
        </is>
      </c>
      <c r="F6">
        <f>ROUND(IFERROR(100*'Plant04 Inputs'!P4/'Plant04 Inputs'!O4,0),2)</f>
        <v/>
      </c>
      <c r="G6">
        <f>ROUND(IFERROR(100*'Plant04 Inputs'!P5/'Plant04 Inputs'!O5,0),2)</f>
        <v/>
      </c>
      <c r="H6">
        <f>ROUND(IFERROR(100*'Plant04 Inputs'!P6/'Plant04 Inputs'!O6,0),2)</f>
        <v/>
      </c>
      <c r="I6">
        <f>ROUND(IFERROR(100*'Plant04 Inputs'!P7/'Plant04 Inputs'!O7,0),2)</f>
        <v/>
      </c>
      <c r="J6">
        <f>ROUND(IFERROR(100*'Plant04 Inputs'!P8/'Plant04 Inputs'!O8,0),2)</f>
        <v/>
      </c>
      <c r="K6">
        <f>ROUND(IFERROR(100*'Plant04 Inputs'!P9/'Plant04 Inputs'!O9,0),2)</f>
        <v/>
      </c>
      <c r="L6" t="inlineStr">
        <is>
          <t>feed_contained_t, recovered_contained_t</t>
        </is>
      </c>
    </row>
    <row r="7">
      <c r="A7" t="inlineStr">
        <is>
          <t>PLT-005</t>
        </is>
      </c>
      <c r="B7" t="inlineStr">
        <is>
          <t>Yield</t>
        </is>
      </c>
      <c r="C7" t="inlineStr">
        <is>
          <t>%</t>
        </is>
      </c>
      <c r="D7" t="inlineStr">
        <is>
          <t>Month</t>
        </is>
      </c>
      <c r="E7" t="inlineStr">
        <is>
          <t>Good output ÷ Feed input × 100</t>
        </is>
      </c>
      <c r="F7">
        <f>ROUND(IFERROR(100*'Plant04 Inputs'!M4/'Plant04 Inputs'!N4,0),2)</f>
        <v/>
      </c>
      <c r="G7">
        <f>ROUND(IFERROR(100*'Plant04 Inputs'!M5/'Plant04 Inputs'!N5,0),2)</f>
        <v/>
      </c>
      <c r="H7">
        <f>ROUND(IFERROR(100*'Plant04 Inputs'!M6/'Plant04 Inputs'!N6,0),2)</f>
        <v/>
      </c>
      <c r="I7">
        <f>ROUND(IFERROR(100*'Plant04 Inputs'!M7/'Plant04 Inputs'!N7,0),2)</f>
        <v/>
      </c>
      <c r="J7">
        <f>ROUND(IFERROR(100*'Plant04 Inputs'!M8/'Plant04 Inputs'!N8,0),2)</f>
        <v/>
      </c>
      <c r="K7">
        <f>ROUND(IFERROR(100*'Plant04 Inputs'!M9/'Plant04 Inputs'!N9,0),2)</f>
        <v/>
      </c>
      <c r="L7" t="inlineStr">
        <is>
          <t>good_output_t, feed_input_t</t>
        </is>
      </c>
    </row>
    <row r="8">
      <c r="A8" t="inlineStr">
        <is>
          <t>REL-001</t>
        </is>
      </c>
      <c r="B8" t="inlineStr">
        <is>
          <t>MTBF</t>
        </is>
      </c>
      <c r="C8" t="inlineStr">
        <is>
          <t>h</t>
        </is>
      </c>
      <c r="D8" t="inlineStr">
        <is>
          <t>Month</t>
        </is>
      </c>
      <c r="E8" t="inlineStr">
        <is>
          <t>Run hours ÷ Breakdowns</t>
        </is>
      </c>
      <c r="F8">
        <f>ROUND(IFERROR('Plant04 Inputs'!G4/'Plant04 Inputs'!R4,0),2)</f>
        <v/>
      </c>
      <c r="G8">
        <f>ROUND(IFERROR('Plant04 Inputs'!G5/'Plant04 Inputs'!R5,0),2)</f>
        <v/>
      </c>
      <c r="H8">
        <f>ROUND(IFERROR('Plant04 Inputs'!G6/'Plant04 Inputs'!R6,0),2)</f>
        <v/>
      </c>
      <c r="I8">
        <f>ROUND(IFERROR('Plant04 Inputs'!G7/'Plant04 Inputs'!R7,0),2)</f>
        <v/>
      </c>
      <c r="J8">
        <f>ROUND(IFERROR('Plant04 Inputs'!G8/'Plant04 Inputs'!R8,0),2)</f>
        <v/>
      </c>
      <c r="K8">
        <f>ROUND(IFERROR('Plant04 Inputs'!G9/'Plant04 Inputs'!R9,0),2)</f>
        <v/>
      </c>
      <c r="L8" t="inlineStr">
        <is>
          <t>run_hours, failures</t>
        </is>
      </c>
    </row>
    <row r="9">
      <c r="A9" t="inlineStr">
        <is>
          <t>REL-002</t>
        </is>
      </c>
      <c r="B9" t="inlineStr">
        <is>
          <t>Mean Time to Repair</t>
        </is>
      </c>
      <c r="C9" t="inlineStr">
        <is>
          <t>h</t>
        </is>
      </c>
      <c r="D9" t="inlineStr">
        <is>
          <t>Month</t>
        </is>
      </c>
      <c r="E9" t="inlineStr">
        <is>
          <t>Repair hours ÷ Breakdowns</t>
        </is>
      </c>
      <c r="F9">
        <f>ROUND(IFERROR('Plant04 Inputs'!S4/'Plant04 Inputs'!R4,0),2)</f>
        <v/>
      </c>
      <c r="G9">
        <f>ROUND(IFERROR('Plant04 Inputs'!S5/'Plant04 Inputs'!R5,0),2)</f>
        <v/>
      </c>
      <c r="H9">
        <f>ROUND(IFERROR('Plant04 Inputs'!S6/'Plant04 Inputs'!R6,0),2)</f>
        <v/>
      </c>
      <c r="I9">
        <f>ROUND(IFERROR('Plant04 Inputs'!S7/'Plant04 Inputs'!R7,0),2)</f>
        <v/>
      </c>
      <c r="J9">
        <f>ROUND(IFERROR('Plant04 Inputs'!S8/'Plant04 Inputs'!R8,0),2)</f>
        <v/>
      </c>
      <c r="K9">
        <f>ROUND(IFERROR('Plant04 Inputs'!S9/'Plant04 Inputs'!R9,0),2)</f>
        <v/>
      </c>
      <c r="L9" t="inlineStr">
        <is>
          <t>failures, repair_hours</t>
        </is>
      </c>
    </row>
    <row r="10">
      <c r="A10" t="inlineStr">
        <is>
          <t>REL-003</t>
        </is>
      </c>
      <c r="B10" t="inlineStr">
        <is>
          <t>Unplanned downtime</t>
        </is>
      </c>
      <c r="C10" t="inlineStr">
        <is>
          <t>h</t>
        </is>
      </c>
      <c r="D10" t="inlineStr">
        <is>
          <t>Month</t>
        </is>
      </c>
      <c r="E10" t="inlineStr">
        <is>
          <t>Unplanned downtime</t>
        </is>
      </c>
      <c r="F10">
        <f>ROUND('Plant04 Inputs'!H4,2)</f>
        <v/>
      </c>
      <c r="G10">
        <f>ROUND('Plant04 Inputs'!H5,2)</f>
        <v/>
      </c>
      <c r="H10">
        <f>ROUND('Plant04 Inputs'!H6,2)</f>
        <v/>
      </c>
      <c r="I10">
        <f>ROUND('Plant04 Inputs'!H7,2)</f>
        <v/>
      </c>
      <c r="J10">
        <f>ROUND('Plant04 Inputs'!H8,2)</f>
        <v/>
      </c>
      <c r="K10">
        <f>ROUND('Plant04 Inputs'!H9,2)</f>
        <v/>
      </c>
      <c r="L10" t="inlineStr">
        <is>
          <t>unplanned_downtime_hours</t>
        </is>
      </c>
    </row>
    <row r="11">
      <c r="A11" t="inlineStr">
        <is>
          <t>REL-004</t>
        </is>
      </c>
      <c r="B11" t="inlineStr">
        <is>
          <t>Production loss from downtime</t>
        </is>
      </c>
      <c r="C11" t="inlineStr">
        <is>
          <t>t</t>
        </is>
      </c>
      <c r="D11" t="inlineStr">
        <is>
          <t>Month</t>
        </is>
      </c>
      <c r="E11" t="inlineStr">
        <is>
          <t>Production lost to downtime</t>
        </is>
      </c>
      <c r="F11">
        <f>ROUND('Plant04 Inputs'!Q4,2)</f>
        <v/>
      </c>
      <c r="G11">
        <f>ROUND('Plant04 Inputs'!Q5,2)</f>
        <v/>
      </c>
      <c r="H11">
        <f>ROUND('Plant04 Inputs'!Q6,2)</f>
        <v/>
      </c>
      <c r="I11">
        <f>ROUND('Plant04 Inputs'!Q7,2)</f>
        <v/>
      </c>
      <c r="J11">
        <f>ROUND('Plant04 Inputs'!Q8,2)</f>
        <v/>
      </c>
      <c r="K11">
        <f>ROUND('Plant04 Inputs'!Q9,2)</f>
        <v/>
      </c>
      <c r="L11" t="inlineStr">
        <is>
          <t>prod_loss_downtime_t</t>
        </is>
      </c>
    </row>
    <row r="12">
      <c r="A12" t="inlineStr">
        <is>
          <t>REL-005</t>
        </is>
      </c>
      <c r="B12" t="inlineStr">
        <is>
          <t>Preventive-maintenance compliance</t>
        </is>
      </c>
      <c r="C12" t="inlineStr">
        <is>
          <t>%</t>
        </is>
      </c>
      <c r="D12" t="inlineStr">
        <is>
          <t>Month</t>
        </is>
      </c>
      <c r="E12" t="inlineStr">
        <is>
          <t>Preventive maintenance completed ÷ Preventive maintenance scheduled × 100</t>
        </is>
      </c>
      <c r="F12">
        <f>ROUND(IFERROR(100*'Plant04 Inputs'!U4/'Plant04 Inputs'!T4,0),2)</f>
        <v/>
      </c>
      <c r="G12">
        <f>ROUND(IFERROR(100*'Plant04 Inputs'!U5/'Plant04 Inputs'!T5,0),2)</f>
        <v/>
      </c>
      <c r="H12">
        <f>ROUND(IFERROR(100*'Plant04 Inputs'!U6/'Plant04 Inputs'!T6,0),2)</f>
        <v/>
      </c>
      <c r="I12">
        <f>ROUND(IFERROR(100*'Plant04 Inputs'!U7/'Plant04 Inputs'!T7,0),2)</f>
        <v/>
      </c>
      <c r="J12">
        <f>ROUND(IFERROR(100*'Plant04 Inputs'!U8/'Plant04 Inputs'!T8,0),2)</f>
        <v/>
      </c>
      <c r="K12">
        <f>ROUND(IFERROR(100*'Plant04 Inputs'!U9/'Plant04 Inputs'!T9,0),2)</f>
        <v/>
      </c>
      <c r="L12" t="inlineStr">
        <is>
          <t>pm_scheduled, pm_completed</t>
        </is>
      </c>
    </row>
    <row r="13">
      <c r="A13" t="inlineStr">
        <is>
          <t>CST-001</t>
        </is>
      </c>
      <c r="B13" t="inlineStr">
        <is>
          <t>Cost per tonne</t>
        </is>
      </c>
      <c r="C13" t="inlineStr">
        <is>
          <t>₹/t</t>
        </is>
      </c>
      <c r="D13" t="inlineStr">
        <is>
          <t>Month</t>
        </is>
      </c>
      <c r="E13" t="inlineStr">
        <is>
          <t>(Variable cost + Fixed cost) × 1000 ÷ Good output</t>
        </is>
      </c>
      <c r="F13">
        <f>ROUND(IFERROR(1000*('Plant04 Inputs'!V4+'Plant04 Inputs'!X4)/'Plant04 Inputs'!M4,0),2)</f>
        <v/>
      </c>
      <c r="G13">
        <f>ROUND(IFERROR(1000*('Plant04 Inputs'!V5+'Plant04 Inputs'!X5)/'Plant04 Inputs'!M5,0),2)</f>
        <v/>
      </c>
      <c r="H13">
        <f>ROUND(IFERROR(1000*('Plant04 Inputs'!V6+'Plant04 Inputs'!X6)/'Plant04 Inputs'!M6,0),2)</f>
        <v/>
      </c>
      <c r="I13">
        <f>ROUND(IFERROR(1000*('Plant04 Inputs'!V7+'Plant04 Inputs'!X7)/'Plant04 Inputs'!M7,0),2)</f>
        <v/>
      </c>
      <c r="J13">
        <f>ROUND(IFERROR(1000*('Plant04 Inputs'!V8+'Plant04 Inputs'!X8)/'Plant04 Inputs'!M8,0),2)</f>
        <v/>
      </c>
      <c r="K13">
        <f>ROUND(IFERROR(1000*('Plant04 Inputs'!V9+'Plant04 Inputs'!X9)/'Plant04 Inputs'!M9,0),2)</f>
        <v/>
      </c>
      <c r="L13" t="inlineStr">
        <is>
          <t>good_output_t, variable_cost_k, fixed_cost_k</t>
        </is>
      </c>
    </row>
    <row r="14">
      <c r="A14" t="inlineStr">
        <is>
          <t>CST-002</t>
        </is>
      </c>
      <c r="B14" t="inlineStr">
        <is>
          <t>Variable cost</t>
        </is>
      </c>
      <c r="C14" t="inlineStr">
        <is>
          <t>₹ thousand</t>
        </is>
      </c>
      <c r="D14" t="inlineStr">
        <is>
          <t>Month</t>
        </is>
      </c>
      <c r="E14" t="inlineStr">
        <is>
          <t>Variable cost</t>
        </is>
      </c>
      <c r="F14">
        <f>ROUND('Plant04 Inputs'!V4,2)</f>
        <v/>
      </c>
      <c r="G14">
        <f>ROUND('Plant04 Inputs'!V5,2)</f>
        <v/>
      </c>
      <c r="H14">
        <f>ROUND('Plant04 Inputs'!V6,2)</f>
        <v/>
      </c>
      <c r="I14">
        <f>ROUND('Plant04 Inputs'!V7,2)</f>
        <v/>
      </c>
      <c r="J14">
        <f>ROUND('Plant04 Inputs'!V8,2)</f>
        <v/>
      </c>
      <c r="K14">
        <f>ROUND('Plant04 Inputs'!V9,2)</f>
        <v/>
      </c>
      <c r="L14" t="inlineStr">
        <is>
          <t>variable_cost_k</t>
        </is>
      </c>
    </row>
    <row r="15">
      <c r="A15" t="inlineStr">
        <is>
          <t>CST-003</t>
        </is>
      </c>
      <c r="B15" t="inlineStr">
        <is>
          <t>Fuel cost</t>
        </is>
      </c>
      <c r="C15" t="inlineStr">
        <is>
          <t>₹ thousand</t>
        </is>
      </c>
      <c r="D15" t="inlineStr">
        <is>
          <t>Month</t>
        </is>
      </c>
      <c r="E15" t="inlineStr">
        <is>
          <t>Fuel cost</t>
        </is>
      </c>
      <c r="F15">
        <f>ROUND('Plant04 Inputs'!W4,2)</f>
        <v/>
      </c>
      <c r="G15">
        <f>ROUND('Plant04 Inputs'!W5,2)</f>
        <v/>
      </c>
      <c r="H15">
        <f>ROUND('Plant04 Inputs'!W6,2)</f>
        <v/>
      </c>
      <c r="I15">
        <f>ROUND('Plant04 Inputs'!W7,2)</f>
        <v/>
      </c>
      <c r="J15">
        <f>ROUND('Plant04 Inputs'!W8,2)</f>
        <v/>
      </c>
      <c r="K15">
        <f>ROUND('Plant04 Inputs'!W9,2)</f>
        <v/>
      </c>
      <c r="L15" t="inlineStr">
        <is>
          <t>fuel_cost_k</t>
        </is>
      </c>
    </row>
    <row r="16">
      <c r="A16" t="inlineStr">
        <is>
          <t>SUS-001</t>
        </is>
      </c>
      <c r="B16" t="inlineStr">
        <is>
          <t>Water usage</t>
        </is>
      </c>
      <c r="C16" t="inlineStr">
        <is>
          <t>m3</t>
        </is>
      </c>
      <c r="D16" t="inlineStr">
        <is>
          <t>Month</t>
        </is>
      </c>
      <c r="E16" t="inlineStr">
        <is>
          <t>Water used</t>
        </is>
      </c>
      <c r="F16">
        <f>ROUND('Plant04 Inputs'!Y4,2)</f>
        <v/>
      </c>
      <c r="G16">
        <f>ROUND('Plant04 Inputs'!Y5,2)</f>
        <v/>
      </c>
      <c r="H16">
        <f>ROUND('Plant04 Inputs'!Y6,2)</f>
        <v/>
      </c>
      <c r="I16">
        <f>ROUND('Plant04 Inputs'!Y7,2)</f>
        <v/>
      </c>
      <c r="J16">
        <f>ROUND('Plant04 Inputs'!Y8,2)</f>
        <v/>
      </c>
      <c r="K16">
        <f>ROUND('Plant04 Inputs'!Y9,2)</f>
        <v/>
      </c>
      <c r="L16" t="inlineStr">
        <is>
          <t>water_m3</t>
        </is>
      </c>
    </row>
    <row r="17">
      <c r="A17" t="inlineStr">
        <is>
          <t>SUS-002</t>
        </is>
      </c>
      <c r="B17" t="inlineStr">
        <is>
          <t>Emissions</t>
        </is>
      </c>
      <c r="C17" t="inlineStr">
        <is>
          <t>tCO2e</t>
        </is>
      </c>
      <c r="D17" t="inlineStr">
        <is>
          <t>Month</t>
        </is>
      </c>
      <c r="E17" t="inlineStr">
        <is>
          <t>Emissions</t>
        </is>
      </c>
      <c r="F17">
        <f>ROUND('Plant04 Inputs'!Z4,2)</f>
        <v/>
      </c>
      <c r="G17">
        <f>ROUND('Plant04 Inputs'!Z5,2)</f>
        <v/>
      </c>
      <c r="H17">
        <f>ROUND('Plant04 Inputs'!Z6,2)</f>
        <v/>
      </c>
      <c r="I17">
        <f>ROUND('Plant04 Inputs'!Z7,2)</f>
        <v/>
      </c>
      <c r="J17">
        <f>ROUND('Plant04 Inputs'!Z8,2)</f>
        <v/>
      </c>
      <c r="K17">
        <f>ROUND('Plant04 Inputs'!Z9,2)</f>
        <v/>
      </c>
      <c r="L17" t="inlineStr">
        <is>
          <t>emissions_tco2e</t>
        </is>
      </c>
    </row>
    <row r="18">
      <c r="A18" t="inlineStr">
        <is>
          <t>SUS-003</t>
        </is>
      </c>
      <c r="B18" t="inlineStr">
        <is>
          <t>Energy intensity</t>
        </is>
      </c>
      <c r="C18" t="inlineStr">
        <is>
          <t>GJ/t</t>
        </is>
      </c>
      <c r="D18" t="inlineStr">
        <is>
          <t>Month</t>
        </is>
      </c>
      <c r="E18" t="inlineStr">
        <is>
          <t>Energy used ÷ Good output</t>
        </is>
      </c>
      <c r="F18">
        <f>ROUND(IFERROR('Plant04 Inputs'!AA4/'Plant04 Inputs'!M4,0),2)</f>
        <v/>
      </c>
      <c r="G18">
        <f>ROUND(IFERROR('Plant04 Inputs'!AA5/'Plant04 Inputs'!M5,0),2)</f>
        <v/>
      </c>
      <c r="H18">
        <f>ROUND(IFERROR('Plant04 Inputs'!AA6/'Plant04 Inputs'!M6,0),2)</f>
        <v/>
      </c>
      <c r="I18">
        <f>ROUND(IFERROR('Plant04 Inputs'!AA7/'Plant04 Inputs'!M7,0),2)</f>
        <v/>
      </c>
      <c r="J18">
        <f>ROUND(IFERROR('Plant04 Inputs'!AA8/'Plant04 Inputs'!M8,0),2)</f>
        <v/>
      </c>
      <c r="K18">
        <f>ROUND(IFERROR('Plant04 Inputs'!AA9/'Plant04 Inputs'!M9,0),2)</f>
        <v/>
      </c>
      <c r="L18" t="inlineStr">
        <is>
          <t>good_output_t, energy_gj</t>
        </is>
      </c>
    </row>
    <row r="19">
      <c r="A19" t="inlineStr">
        <is>
          <t>SIG-007</t>
        </is>
      </c>
      <c r="B19" t="inlineStr">
        <is>
          <t>Production at risk</t>
        </is>
      </c>
      <c r="C19" t="inlineStr">
        <is>
          <t>t</t>
        </is>
      </c>
      <c r="D19" t="inlineStr">
        <is>
          <t>Month</t>
        </is>
      </c>
      <c r="E19" t="inlineStr">
        <is>
          <t>Production at risk</t>
        </is>
      </c>
      <c r="F19">
        <f>ROUND('Plant04 Inputs'!AB4,2)</f>
        <v/>
      </c>
      <c r="G19">
        <f>ROUND('Plant04 Inputs'!AB5,2)</f>
        <v/>
      </c>
      <c r="H19">
        <f>ROUND('Plant04 Inputs'!AB6,2)</f>
        <v/>
      </c>
      <c r="I19">
        <f>ROUND('Plant04 Inputs'!AB7,2)</f>
        <v/>
      </c>
      <c r="J19">
        <f>ROUND('Plant04 Inputs'!AB8,2)</f>
        <v/>
      </c>
      <c r="K19">
        <f>ROUND('Plant04 Inputs'!AB9,2)</f>
        <v/>
      </c>
      <c r="L19" t="inlineStr">
        <is>
          <t>production_at_risk_t</t>
        </is>
      </c>
    </row>
    <row r="20">
      <c r="A20" t="inlineStr">
        <is>
          <t>SIG-008</t>
        </is>
      </c>
      <c r="B20" t="inlineStr">
        <is>
          <t>Critical plant-state alerts</t>
        </is>
      </c>
      <c r="C20" t="inlineStr">
        <is>
          <t>count</t>
        </is>
      </c>
      <c r="D20" t="inlineStr">
        <is>
          <t>Month</t>
        </is>
      </c>
      <c r="E20" t="inlineStr">
        <is>
          <t>Critical plant alerts</t>
        </is>
      </c>
      <c r="F20">
        <f>ROUND('Plant04 Inputs'!AC4,2)</f>
        <v/>
      </c>
      <c r="G20">
        <f>ROUND('Plant04 Inputs'!AC5,2)</f>
        <v/>
      </c>
      <c r="H20">
        <f>ROUND('Plant04 Inputs'!AC6,2)</f>
        <v/>
      </c>
      <c r="I20">
        <f>ROUND('Plant04 Inputs'!AC7,2)</f>
        <v/>
      </c>
      <c r="J20">
        <f>ROUND('Plant04 Inputs'!AC8,2)</f>
        <v/>
      </c>
      <c r="K20">
        <f>ROUND('Plant04 Inputs'!AC9,2)</f>
        <v/>
      </c>
      <c r="L20" t="inlineStr">
        <is>
          <t>critical_plant_alerts</t>
        </is>
      </c>
    </row>
    <row r="21">
      <c r="A21" t="inlineStr">
        <is>
          <t>SIG-009</t>
        </is>
      </c>
      <c r="B21" t="inlineStr">
        <is>
          <t>Critical-material shortage risk</t>
        </is>
      </c>
      <c r="C21" t="inlineStr">
        <is>
          <t>count</t>
        </is>
      </c>
      <c r="D21" t="inlineStr">
        <is>
          <t>Month</t>
        </is>
      </c>
      <c r="E21" t="inlineStr">
        <is>
          <t>Critical materials at risk</t>
        </is>
      </c>
      <c r="F21">
        <f>ROUND('Plant04 Inputs'!AO4,2)</f>
        <v/>
      </c>
      <c r="G21">
        <f>ROUND('Plant04 Inputs'!AO5,2)</f>
        <v/>
      </c>
      <c r="H21">
        <f>ROUND('Plant04 Inputs'!AO6,2)</f>
        <v/>
      </c>
      <c r="I21">
        <f>ROUND('Plant04 Inputs'!AO7,2)</f>
        <v/>
      </c>
      <c r="J21">
        <f>ROUND('Plant04 Inputs'!AO8,2)</f>
        <v/>
      </c>
      <c r="K21">
        <f>ROUND('Plant04 Inputs'!AO9,2)</f>
        <v/>
      </c>
      <c r="L21" t="inlineStr">
        <is>
          <t>critical_material_risks</t>
        </is>
      </c>
    </row>
    <row r="22">
      <c r="A22" t="inlineStr">
        <is>
          <t>SIG-012</t>
        </is>
      </c>
      <c r="B22" t="inlineStr">
        <is>
          <t>Dispatch delays</t>
        </is>
      </c>
      <c r="C22" t="inlineStr">
        <is>
          <t>%</t>
        </is>
      </c>
      <c r="D22" t="inlineStr">
        <is>
          <t>Month</t>
        </is>
      </c>
      <c r="E22" t="inlineStr">
        <is>
          <t>Delayed dispatches ÷ Dispatches × 100</t>
        </is>
      </c>
      <c r="F22">
        <f>ROUND(IFERROR(100*'Plant04 Inputs'!AQ4/'Plant04 Inputs'!AP4,0),2)</f>
        <v/>
      </c>
      <c r="G22">
        <f>ROUND(IFERROR(100*'Plant04 Inputs'!AQ5/'Plant04 Inputs'!AP5,0),2)</f>
        <v/>
      </c>
      <c r="H22">
        <f>ROUND(IFERROR(100*'Plant04 Inputs'!AQ6/'Plant04 Inputs'!AP6,0),2)</f>
        <v/>
      </c>
      <c r="I22">
        <f>ROUND(IFERROR(100*'Plant04 Inputs'!AQ7/'Plant04 Inputs'!AP7,0),2)</f>
        <v/>
      </c>
      <c r="J22">
        <f>ROUND(IFERROR(100*'Plant04 Inputs'!AQ8/'Plant04 Inputs'!AP8,0),2)</f>
        <v/>
      </c>
      <c r="K22">
        <f>ROUND(IFERROR(100*'Plant04 Inputs'!AQ9/'Plant04 Inputs'!AP9,0),2)</f>
        <v/>
      </c>
      <c r="L22" t="inlineStr">
        <is>
          <t>dispatches_total, dispatches_delayed</t>
        </is>
      </c>
    </row>
    <row r="23">
      <c r="A23" t="inlineStr">
        <is>
          <t>SIG-021</t>
        </is>
      </c>
      <c r="B23" t="inlineStr">
        <is>
          <t>Environmental violations</t>
        </is>
      </c>
      <c r="C23" t="inlineStr">
        <is>
          <t>count</t>
        </is>
      </c>
      <c r="D23" t="inlineStr">
        <is>
          <t>Month</t>
        </is>
      </c>
      <c r="E23" t="inlineStr">
        <is>
          <t>Environmental violations</t>
        </is>
      </c>
      <c r="F23">
        <f>ROUND('Plant04 Inputs'!AJ4,2)</f>
        <v/>
      </c>
      <c r="G23">
        <f>ROUND('Plant04 Inputs'!AJ5,2)</f>
        <v/>
      </c>
      <c r="H23">
        <f>ROUND('Plant04 Inputs'!AJ6,2)</f>
        <v/>
      </c>
      <c r="I23">
        <f>ROUND('Plant04 Inputs'!AJ7,2)</f>
        <v/>
      </c>
      <c r="J23">
        <f>ROUND('Plant04 Inputs'!AJ8,2)</f>
        <v/>
      </c>
      <c r="K23">
        <f>ROUND('Plant04 Inputs'!AJ9,2)</f>
        <v/>
      </c>
      <c r="L23" t="inlineStr">
        <is>
          <t>env_violations</t>
        </is>
      </c>
    </row>
    <row r="24">
      <c r="A24" t="inlineStr">
        <is>
          <t>EHS-001</t>
        </is>
      </c>
      <c r="B24" t="inlineStr">
        <is>
          <t>TRIR</t>
        </is>
      </c>
      <c r="C24" t="inlineStr">
        <is>
          <t>per 200,000 h</t>
        </is>
      </c>
      <c r="D24" t="inlineStr">
        <is>
          <t>Month</t>
        </is>
      </c>
      <c r="E24" t="inlineStr">
        <is>
          <t>Recordable injuries × 200,000 ÷ Hours worked</t>
        </is>
      </c>
      <c r="F24">
        <f>ROUND(IFERROR(200000*'Plant04 Inputs'!AE4/'Plant04 Inputs'!AD4,0),2)</f>
        <v/>
      </c>
      <c r="G24">
        <f>ROUND(IFERROR(200000*'Plant04 Inputs'!AE5/'Plant04 Inputs'!AD5,0),2)</f>
        <v/>
      </c>
      <c r="H24">
        <f>ROUND(IFERROR(200000*'Plant04 Inputs'!AE6/'Plant04 Inputs'!AD6,0),2)</f>
        <v/>
      </c>
      <c r="I24">
        <f>ROUND(IFERROR(200000*'Plant04 Inputs'!AE7/'Plant04 Inputs'!AD7,0),2)</f>
        <v/>
      </c>
      <c r="J24">
        <f>ROUND(IFERROR(200000*'Plant04 Inputs'!AE8/'Plant04 Inputs'!AD8,0),2)</f>
        <v/>
      </c>
      <c r="K24">
        <f>ROUND(IFERROR(200000*'Plant04 Inputs'!AE9/'Plant04 Inputs'!AD9,0),2)</f>
        <v/>
      </c>
      <c r="L24" t="inlineStr">
        <is>
          <t>hours_worked, recordable_injuries</t>
        </is>
      </c>
    </row>
    <row r="25">
      <c r="A25" t="inlineStr">
        <is>
          <t>EHS-002</t>
        </is>
      </c>
      <c r="B25" t="inlineStr">
        <is>
          <t>Severity incidents</t>
        </is>
      </c>
      <c r="C25" t="inlineStr">
        <is>
          <t>count</t>
        </is>
      </c>
      <c r="D25" t="inlineStr">
        <is>
          <t>Month</t>
        </is>
      </c>
      <c r="E25" t="inlineStr">
        <is>
          <t>Severity incidents</t>
        </is>
      </c>
      <c r="F25">
        <f>ROUND('Plant04 Inputs'!AF4,2)</f>
        <v/>
      </c>
      <c r="G25">
        <f>ROUND('Plant04 Inputs'!AF5,2)</f>
        <v/>
      </c>
      <c r="H25">
        <f>ROUND('Plant04 Inputs'!AF6,2)</f>
        <v/>
      </c>
      <c r="I25">
        <f>ROUND('Plant04 Inputs'!AF7,2)</f>
        <v/>
      </c>
      <c r="J25">
        <f>ROUND('Plant04 Inputs'!AF8,2)</f>
        <v/>
      </c>
      <c r="K25">
        <f>ROUND('Plant04 Inputs'!AF9,2)</f>
        <v/>
      </c>
      <c r="L25" t="inlineStr">
        <is>
          <t>severity_incidents</t>
        </is>
      </c>
    </row>
    <row r="26">
      <c r="A26" t="inlineStr">
        <is>
          <t>EHS-003</t>
        </is>
      </c>
      <c r="B26" t="inlineStr">
        <is>
          <t>Near misses</t>
        </is>
      </c>
      <c r="C26" t="inlineStr">
        <is>
          <t>count</t>
        </is>
      </c>
      <c r="D26" t="inlineStr">
        <is>
          <t>Month</t>
        </is>
      </c>
      <c r="E26" t="inlineStr">
        <is>
          <t>Near misses</t>
        </is>
      </c>
      <c r="F26">
        <f>ROUND('Plant04 Inputs'!AG4,2)</f>
        <v/>
      </c>
      <c r="G26">
        <f>ROUND('Plant04 Inputs'!AG5,2)</f>
        <v/>
      </c>
      <c r="H26">
        <f>ROUND('Plant04 Inputs'!AG6,2)</f>
        <v/>
      </c>
      <c r="I26">
        <f>ROUND('Plant04 Inputs'!AG7,2)</f>
        <v/>
      </c>
      <c r="J26">
        <f>ROUND('Plant04 Inputs'!AG8,2)</f>
        <v/>
      </c>
      <c r="K26">
        <f>ROUND('Plant04 Inputs'!AG9,2)</f>
        <v/>
      </c>
      <c r="L26" t="inlineStr">
        <is>
          <t>near_misses</t>
        </is>
      </c>
    </row>
    <row r="27">
      <c r="A27" t="inlineStr">
        <is>
          <t>EHS-004</t>
        </is>
      </c>
      <c r="B27" t="inlineStr">
        <is>
          <t>Critical safety incidents</t>
        </is>
      </c>
      <c r="C27" t="inlineStr">
        <is>
          <t>count</t>
        </is>
      </c>
      <c r="D27" t="inlineStr">
        <is>
          <t>Month</t>
        </is>
      </c>
      <c r="E27" t="inlineStr">
        <is>
          <t>Critical safety incidents</t>
        </is>
      </c>
      <c r="F27">
        <f>ROUND('Plant04 Inputs'!AH4,2)</f>
        <v/>
      </c>
      <c r="G27">
        <f>ROUND('Plant04 Inputs'!AH5,2)</f>
        <v/>
      </c>
      <c r="H27">
        <f>ROUND('Plant04 Inputs'!AH6,2)</f>
        <v/>
      </c>
      <c r="I27">
        <f>ROUND('Plant04 Inputs'!AH7,2)</f>
        <v/>
      </c>
      <c r="J27">
        <f>ROUND('Plant04 Inputs'!AH8,2)</f>
        <v/>
      </c>
      <c r="K27">
        <f>ROUND('Plant04 Inputs'!AH9,2)</f>
        <v/>
      </c>
      <c r="L27" t="inlineStr">
        <is>
          <t>critical_safety_incidents</t>
        </is>
      </c>
    </row>
    <row r="28">
      <c r="A28" t="inlineStr">
        <is>
          <t>EHS-005</t>
        </is>
      </c>
      <c r="B28" t="inlineStr">
        <is>
          <t>Environmental excursions</t>
        </is>
      </c>
      <c r="C28" t="inlineStr">
        <is>
          <t>count</t>
        </is>
      </c>
      <c r="D28" t="inlineStr">
        <is>
          <t>Month</t>
        </is>
      </c>
      <c r="E28" t="inlineStr">
        <is>
          <t>Environmental excursions</t>
        </is>
      </c>
      <c r="F28">
        <f>ROUND('Plant04 Inputs'!AI4,2)</f>
        <v/>
      </c>
      <c r="G28">
        <f>ROUND('Plant04 Inputs'!AI5,2)</f>
        <v/>
      </c>
      <c r="H28">
        <f>ROUND('Plant04 Inputs'!AI6,2)</f>
        <v/>
      </c>
      <c r="I28">
        <f>ROUND('Plant04 Inputs'!AI7,2)</f>
        <v/>
      </c>
      <c r="J28">
        <f>ROUND('Plant04 Inputs'!AI8,2)</f>
        <v/>
      </c>
      <c r="K28">
        <f>ROUND('Plant04 Inputs'!AI9,2)</f>
        <v/>
      </c>
      <c r="L28" t="inlineStr">
        <is>
          <t>env_excursions</t>
        </is>
      </c>
    </row>
    <row r="29">
      <c r="A29" t="inlineStr">
        <is>
          <t>EHS-006</t>
        </is>
      </c>
      <c r="B29" t="inlineStr">
        <is>
          <t>Open EHS corrective actions</t>
        </is>
      </c>
      <c r="C29" t="inlineStr">
        <is>
          <t>count</t>
        </is>
      </c>
      <c r="D29" t="inlineStr">
        <is>
          <t>Month</t>
        </is>
      </c>
      <c r="E29" t="inlineStr">
        <is>
          <t>Open EHS corrective actions</t>
        </is>
      </c>
      <c r="F29">
        <f>ROUND('Plant04 Inputs'!AK4,2)</f>
        <v/>
      </c>
      <c r="G29">
        <f>ROUND('Plant04 Inputs'!AK5,2)</f>
        <v/>
      </c>
      <c r="H29">
        <f>ROUND('Plant04 Inputs'!AK6,2)</f>
        <v/>
      </c>
      <c r="I29">
        <f>ROUND('Plant04 Inputs'!AK7,2)</f>
        <v/>
      </c>
      <c r="J29">
        <f>ROUND('Plant04 Inputs'!AK8,2)</f>
        <v/>
      </c>
      <c r="K29">
        <f>ROUND('Plant04 Inputs'!AK9,2)</f>
        <v/>
      </c>
      <c r="L29" t="inlineStr">
        <is>
          <t>ehs_ca_open</t>
        </is>
      </c>
    </row>
    <row r="30">
      <c r="A30" t="inlineStr">
        <is>
          <t>EHS-007</t>
        </is>
      </c>
      <c r="B30" t="inlineStr">
        <is>
          <t>Overdue EHS actions</t>
        </is>
      </c>
      <c r="C30" t="inlineStr">
        <is>
          <t>count</t>
        </is>
      </c>
      <c r="D30" t="inlineStr">
        <is>
          <t>Month</t>
        </is>
      </c>
      <c r="E30" t="inlineStr">
        <is>
          <t>Overdue EHS corrective actions</t>
        </is>
      </c>
      <c r="F30">
        <f>ROUND('Plant04 Inputs'!AL4,2)</f>
        <v/>
      </c>
      <c r="G30">
        <f>ROUND('Plant04 Inputs'!AL5,2)</f>
        <v/>
      </c>
      <c r="H30">
        <f>ROUND('Plant04 Inputs'!AL6,2)</f>
        <v/>
      </c>
      <c r="I30">
        <f>ROUND('Plant04 Inputs'!AL7,2)</f>
        <v/>
      </c>
      <c r="J30">
        <f>ROUND('Plant04 Inputs'!AL8,2)</f>
        <v/>
      </c>
      <c r="K30">
        <f>ROUND('Plant04 Inputs'!AL9,2)</f>
        <v/>
      </c>
      <c r="L30" t="inlineStr">
        <is>
          <t>ehs_ca_overdue</t>
        </is>
      </c>
    </row>
    <row r="31">
      <c r="A31" t="inlineStr">
        <is>
          <t>EHS-009</t>
        </is>
      </c>
      <c r="B31" t="inlineStr">
        <is>
          <t>EHS investigation completion</t>
        </is>
      </c>
      <c r="C31" t="inlineStr">
        <is>
          <t>%</t>
        </is>
      </c>
      <c r="D31" t="inlineStr">
        <is>
          <t>Month</t>
        </is>
      </c>
      <c r="E31" t="inlineStr">
        <is>
          <t>EHS investigations completed ÷ EHS investigations due × 100 (100 if none due)</t>
        </is>
      </c>
      <c r="F31">
        <f>ROUND(IF('Plant04 Inputs'!AM4=0,100,100*'Plant04 Inputs'!AN4/'Plant04 Inputs'!AM4),2)</f>
        <v/>
      </c>
      <c r="G31">
        <f>ROUND(IF('Plant04 Inputs'!AM5=0,100,100*'Plant04 Inputs'!AN5/'Plant04 Inputs'!AM5),2)</f>
        <v/>
      </c>
      <c r="H31">
        <f>ROUND(IF('Plant04 Inputs'!AM6=0,100,100*'Plant04 Inputs'!AN6/'Plant04 Inputs'!AM6),2)</f>
        <v/>
      </c>
      <c r="I31">
        <f>ROUND(IF('Plant04 Inputs'!AM7=0,100,100*'Plant04 Inputs'!AN7/'Plant04 Inputs'!AM7),2)</f>
        <v/>
      </c>
      <c r="J31">
        <f>ROUND(IF('Plant04 Inputs'!AM8=0,100,100*'Plant04 Inputs'!AN8/'Plant04 Inputs'!AM8),2)</f>
        <v/>
      </c>
      <c r="K31">
        <f>ROUND(IF('Plant04 Inputs'!AM9=0,100,100*'Plant04 Inputs'!AN9/'Plant04 Inputs'!AM9),2)</f>
        <v/>
      </c>
      <c r="L31" t="inlineStr">
        <is>
          <t>investigations_due, investigations_completed</t>
        </is>
      </c>
    </row>
    <row r="32">
      <c r="A32" t="inlineStr">
        <is>
          <t>REG-006</t>
        </is>
      </c>
      <c r="B32" t="inlineStr">
        <is>
          <t>Licence or permit expiry clock</t>
        </is>
      </c>
      <c r="C32" t="inlineStr">
        <is>
          <t>days</t>
        </is>
      </c>
      <c r="D32" t="inlineStr">
        <is>
          <t>Month</t>
        </is>
      </c>
      <c r="E32" t="inlineStr">
        <is>
          <t>Days to permit expiry (lowest plant)</t>
        </is>
      </c>
      <c r="F32">
        <f>ROUND('Plant04 Inputs'!AR4,2)</f>
        <v/>
      </c>
      <c r="G32">
        <f>ROUND('Plant04 Inputs'!AR5,2)</f>
        <v/>
      </c>
      <c r="H32">
        <f>ROUND('Plant04 Inputs'!AR6,2)</f>
        <v/>
      </c>
      <c r="I32">
        <f>ROUND('Plant04 Inputs'!AR7,2)</f>
        <v/>
      </c>
      <c r="J32">
        <f>ROUND('Plant04 Inputs'!AR8,2)</f>
        <v/>
      </c>
      <c r="K32">
        <f>ROUND('Plant04 Inputs'!AR9,2)</f>
        <v/>
      </c>
      <c r="L32" t="inlineStr">
        <is>
          <t>permit_days_to_expiry</t>
        </is>
      </c>
    </row>
    <row r="33">
      <c r="A33" t="inlineStr">
        <is>
          <t>OPS-005</t>
        </is>
      </c>
      <c r="B33" t="inlineStr">
        <is>
          <t>Capacity utilisation (same measure as OPS-003)</t>
        </is>
      </c>
      <c r="C33" t="inlineStr">
        <is>
          <t>%</t>
        </is>
      </c>
      <c r="D33" t="inlineStr">
        <is>
          <t>Month</t>
        </is>
      </c>
      <c r="E33" t="inlineStr">
        <is>
          <t>Good output ÷ Installed capacity × 100</t>
        </is>
      </c>
      <c r="F33">
        <f>ROUND(IFERROR(100*'Plant04 Inputs'!M4/'Plant04 Inputs'!J4,0),2)</f>
        <v/>
      </c>
      <c r="G33">
        <f>ROUND(IFERROR(100*'Plant04 Inputs'!M5/'Plant04 Inputs'!J5,0),2)</f>
        <v/>
      </c>
      <c r="H33">
        <f>ROUND(IFERROR(100*'Plant04 Inputs'!M6/'Plant04 Inputs'!J6,0),2)</f>
        <v/>
      </c>
      <c r="I33">
        <f>ROUND(IFERROR(100*'Plant04 Inputs'!M7/'Plant04 Inputs'!J7,0),2)</f>
        <v/>
      </c>
      <c r="J33">
        <f>ROUND(IFERROR(100*'Plant04 Inputs'!M8/'Plant04 Inputs'!J8,0),2)</f>
        <v/>
      </c>
      <c r="K33">
        <f>ROUND(IFERROR(100*'Plant04 Inputs'!M9/'Plant04 Inputs'!J9,0),2)</f>
        <v/>
      </c>
      <c r="L33" t="inlineStr">
        <is>
          <t>installed_capacity_t, good_output_t</t>
        </is>
      </c>
    </row>
    <row r="34">
      <c r="A34" t="inlineStr">
        <is>
          <t>OPS-006</t>
        </is>
      </c>
      <c r="B34" t="inlineStr">
        <is>
          <t>OEE · Group weighted (same measure as PLT-002)</t>
        </is>
      </c>
      <c r="C34" t="inlineStr">
        <is>
          <t>%</t>
        </is>
      </c>
      <c r="D34" t="inlineStr">
        <is>
          <t>Month</t>
        </is>
      </c>
      <c r="E34" t="inlineStr">
        <is>
          <t>Good output ÷ Ideal output × 100 (weighted by output, not an average of plants)</t>
        </is>
      </c>
      <c r="F34">
        <f>ROUND(IFERROR(100*'Plant04 Inputs'!M4/'Plant04 Inputs'!I4,0),2)</f>
        <v/>
      </c>
      <c r="G34">
        <f>ROUND(IFERROR(100*'Plant04 Inputs'!M5/'Plant04 Inputs'!I5,0),2)</f>
        <v/>
      </c>
      <c r="H34">
        <f>ROUND(IFERROR(100*'Plant04 Inputs'!M6/'Plant04 Inputs'!I6,0),2)</f>
        <v/>
      </c>
      <c r="I34">
        <f>ROUND(IFERROR(100*'Plant04 Inputs'!M7/'Plant04 Inputs'!I7,0),2)</f>
        <v/>
      </c>
      <c r="J34">
        <f>ROUND(IFERROR(100*'Plant04 Inputs'!M8/'Plant04 Inputs'!I8,0),2)</f>
        <v/>
      </c>
      <c r="K34">
        <f>ROUND(IFERROR(100*'Plant04 Inputs'!M9/'Plant04 Inputs'!I9,0),2)</f>
        <v/>
      </c>
      <c r="L34" t="inlineStr">
        <is>
          <t>ideal_output_t, good_output_t</t>
        </is>
      </c>
    </row>
    <row r="35">
      <c r="A35" t="inlineStr">
        <is>
          <t>OPS-002</t>
        </is>
      </c>
      <c r="B35" t="inlineStr">
        <is>
          <t>Sales vs plan</t>
        </is>
      </c>
      <c r="C35" t="inlineStr">
        <is>
          <t>%</t>
        </is>
      </c>
      <c r="D35" t="inlineStr">
        <is>
          <t>Month</t>
        </is>
      </c>
      <c r="E35" t="inlineStr">
        <is>
          <t>Sales volume ÷ Planned sales volume × 100</t>
        </is>
      </c>
      <c r="F35">
        <f>ROUND(IF('Plant04 Inputs'!AT4=0,0,100*'Plant04 Inputs'!AS4/'Plant04 Inputs'!AT4),2)</f>
        <v/>
      </c>
      <c r="G35">
        <f>ROUND(IF('Plant04 Inputs'!AT5=0,0,100*'Plant04 Inputs'!AS5/'Plant04 Inputs'!AT5),2)</f>
        <v/>
      </c>
      <c r="H35">
        <f>ROUND(IF('Plant04 Inputs'!AT6=0,0,100*'Plant04 Inputs'!AS6/'Plant04 Inputs'!AT6),2)</f>
        <v/>
      </c>
      <c r="I35">
        <f>ROUND(IF('Plant04 Inputs'!AT7=0,0,100*'Plant04 Inputs'!AS7/'Plant04 Inputs'!AT7),2)</f>
        <v/>
      </c>
      <c r="J35">
        <f>ROUND(IF('Plant04 Inputs'!AT8=0,0,100*'Plant04 Inputs'!AS8/'Plant04 Inputs'!AT8),2)</f>
        <v/>
      </c>
      <c r="K35">
        <f>ROUND(IF('Plant04 Inputs'!AT9=0,0,100*'Plant04 Inputs'!AS9/'Plant04 Inputs'!AT9),2)</f>
        <v/>
      </c>
      <c r="L35" t="inlineStr">
        <is>
          <t>sales_t, planned_sales_t</t>
        </is>
      </c>
    </row>
    <row r="36">
      <c r="A36" t="inlineStr">
        <is>
          <t>OPS-004</t>
        </is>
      </c>
      <c r="B36" t="inlineStr">
        <is>
          <t>Sales vs plan · Group (same measure as OPS-002)</t>
        </is>
      </c>
      <c r="C36" t="inlineStr">
        <is>
          <t>%</t>
        </is>
      </c>
      <c r="D36" t="inlineStr">
        <is>
          <t>Month</t>
        </is>
      </c>
      <c r="E36" t="inlineStr">
        <is>
          <t>Sales volume ÷ Planned sales volume × 100</t>
        </is>
      </c>
      <c r="F36">
        <f>ROUND(IF('Plant04 Inputs'!AT4=0,0,100*'Plant04 Inputs'!AS4/'Plant04 Inputs'!AT4),2)</f>
        <v/>
      </c>
      <c r="G36">
        <f>ROUND(IF('Plant04 Inputs'!AT5=0,0,100*'Plant04 Inputs'!AS5/'Plant04 Inputs'!AT5),2)</f>
        <v/>
      </c>
      <c r="H36">
        <f>ROUND(IF('Plant04 Inputs'!AT6=0,0,100*'Plant04 Inputs'!AS6/'Plant04 Inputs'!AT6),2)</f>
        <v/>
      </c>
      <c r="I36">
        <f>ROUND(IF('Plant04 Inputs'!AT7=0,0,100*'Plant04 Inputs'!AS7/'Plant04 Inputs'!AT7),2)</f>
        <v/>
      </c>
      <c r="J36">
        <f>ROUND(IF('Plant04 Inputs'!AT8=0,0,100*'Plant04 Inputs'!AS8/'Plant04 Inputs'!AT8),2)</f>
        <v/>
      </c>
      <c r="K36">
        <f>ROUND(IF('Plant04 Inputs'!AT9=0,0,100*'Plant04 Inputs'!AS9/'Plant04 Inputs'!AT9),2)</f>
        <v/>
      </c>
      <c r="L36" t="inlineStr">
        <is>
          <t>sales_t, planned_sales_t</t>
        </is>
      </c>
    </row>
    <row r="37">
      <c r="A37" t="inlineStr">
        <is>
          <t>CST-004</t>
        </is>
      </c>
      <c r="B37" t="inlineStr">
        <is>
          <t>Power cost per tonne</t>
        </is>
      </c>
      <c r="C37" t="inlineStr">
        <is>
          <t>₹/t</t>
        </is>
      </c>
      <c r="D37" t="inlineStr">
        <is>
          <t>Month</t>
        </is>
      </c>
      <c r="E37" t="inlineStr">
        <is>
          <t>Power cost × 1000 ÷ Good output</t>
        </is>
      </c>
      <c r="F37">
        <f>ROUND(IF('Plant04 Inputs'!M4=0,0,1000*'Plant04 Inputs'!AW4/'Plant04 Inputs'!M4),2)</f>
        <v/>
      </c>
      <c r="G37">
        <f>ROUND(IF('Plant04 Inputs'!M5=0,0,1000*'Plant04 Inputs'!AW5/'Plant04 Inputs'!M5),2)</f>
        <v/>
      </c>
      <c r="H37">
        <f>ROUND(IF('Plant04 Inputs'!M6=0,0,1000*'Plant04 Inputs'!AW6/'Plant04 Inputs'!M6),2)</f>
        <v/>
      </c>
      <c r="I37">
        <f>ROUND(IF('Plant04 Inputs'!M7=0,0,1000*'Plant04 Inputs'!AW7/'Plant04 Inputs'!M7),2)</f>
        <v/>
      </c>
      <c r="J37">
        <f>ROUND(IF('Plant04 Inputs'!M8=0,0,1000*'Plant04 Inputs'!AW8/'Plant04 Inputs'!M8),2)</f>
        <v/>
      </c>
      <c r="K37">
        <f>ROUND(IF('Plant04 Inputs'!M9=0,0,1000*'Plant04 Inputs'!AW9/'Plant04 Inputs'!M9),2)</f>
        <v/>
      </c>
      <c r="L37" t="inlineStr">
        <is>
          <t>good_output_t, power_cost_k</t>
        </is>
      </c>
    </row>
    <row r="38">
      <c r="A38" t="inlineStr">
        <is>
          <t>FIN-003</t>
        </is>
      </c>
      <c r="B38" t="inlineStr">
        <is>
          <t>Revenue YTD</t>
        </is>
      </c>
      <c r="C38" t="inlineStr">
        <is>
          <t>₹ m</t>
        </is>
      </c>
      <c r="D38" t="inlineStr">
        <is>
          <t>Year to date</t>
        </is>
      </c>
      <c r="E38" t="inlineStr">
        <is>
          <t>Sum of monthly Revenue since April ÷ 1000</t>
        </is>
      </c>
      <c r="F38">
        <f>ROUND(SUM('Plant04 Inputs'!AU$4:AU4)/1000,2)</f>
        <v/>
      </c>
      <c r="G38">
        <f>ROUND(SUM('Plant04 Inputs'!AU$4:AU5)/1000,2)</f>
        <v/>
      </c>
      <c r="H38">
        <f>ROUND(SUM('Plant04 Inputs'!AU$4:AU6)/1000,2)</f>
        <v/>
      </c>
      <c r="I38">
        <f>ROUND(SUM('Plant04 Inputs'!AU$4:AU7)/1000,2)</f>
        <v/>
      </c>
      <c r="J38">
        <f>ROUND(SUM('Plant04 Inputs'!AU$4:AU8)/1000,2)</f>
        <v/>
      </c>
      <c r="K38">
        <f>ROUND(SUM('Plant04 Inputs'!AU$4:AU9)/1000,2)</f>
        <v/>
      </c>
      <c r="L38" t="inlineStr">
        <is>
          <t>revenue_k</t>
        </is>
      </c>
    </row>
    <row r="39">
      <c r="A39" t="inlineStr">
        <is>
          <t>SUP-001</t>
        </is>
      </c>
      <c r="B39" t="inlineStr">
        <is>
          <t>Supplier on-time delivery</t>
        </is>
      </c>
      <c r="C39" t="inlineStr">
        <is>
          <t>%</t>
        </is>
      </c>
      <c r="D39" t="inlineStr">
        <is>
          <t>Month</t>
        </is>
      </c>
      <c r="E39" t="inlineStr">
        <is>
          <t>Purchase-order lines on time ÷ Lines due × 100</t>
        </is>
      </c>
      <c r="F39">
        <f>ROUND(IF('Plant04 Inputs'!AY4=0,0,100*'Plant04 Inputs'!AZ4/'Plant04 Inputs'!AY4),2)</f>
        <v/>
      </c>
      <c r="G39">
        <f>ROUND(IF('Plant04 Inputs'!AY5=0,0,100*'Plant04 Inputs'!AZ5/'Plant04 Inputs'!AY5),2)</f>
        <v/>
      </c>
      <c r="H39">
        <f>ROUND(IF('Plant04 Inputs'!AY6=0,0,100*'Plant04 Inputs'!AZ6/'Plant04 Inputs'!AY6),2)</f>
        <v/>
      </c>
      <c r="I39">
        <f>ROUND(IF('Plant04 Inputs'!AY7=0,0,100*'Plant04 Inputs'!AZ7/'Plant04 Inputs'!AY7),2)</f>
        <v/>
      </c>
      <c r="J39">
        <f>ROUND(IF('Plant04 Inputs'!AY8=0,0,100*'Plant04 Inputs'!AZ8/'Plant04 Inputs'!AY8),2)</f>
        <v/>
      </c>
      <c r="K39">
        <f>ROUND(IF('Plant04 Inputs'!AY9=0,0,100*'Plant04 Inputs'!AZ9/'Plant04 Inputs'!AY9),2)</f>
        <v/>
      </c>
      <c r="L39" t="inlineStr">
        <is>
          <t>po_lines_due, po_lines_on_time</t>
        </is>
      </c>
    </row>
    <row r="40">
      <c r="A40" t="inlineStr">
        <is>
          <t>SUP-002</t>
        </is>
      </c>
      <c r="B40" t="inlineStr">
        <is>
          <t>Supplier fill rate</t>
        </is>
      </c>
      <c r="C40" t="inlineStr">
        <is>
          <t>%</t>
        </is>
      </c>
      <c r="D40" t="inlineStr">
        <is>
          <t>Month</t>
        </is>
      </c>
      <c r="E40" t="inlineStr">
        <is>
          <t>Quantity received ÷ Quantity ordered × 100</t>
        </is>
      </c>
      <c r="F40">
        <f>ROUND(IF('Plant04 Inputs'!BA4=0,0,100*'Plant04 Inputs'!BB4/'Plant04 Inputs'!BA4),2)</f>
        <v/>
      </c>
      <c r="G40">
        <f>ROUND(IF('Plant04 Inputs'!BA5=0,0,100*'Plant04 Inputs'!BB5/'Plant04 Inputs'!BA5),2)</f>
        <v/>
      </c>
      <c r="H40">
        <f>ROUND(IF('Plant04 Inputs'!BA6=0,0,100*'Plant04 Inputs'!BB6/'Plant04 Inputs'!BA6),2)</f>
        <v/>
      </c>
      <c r="I40">
        <f>ROUND(IF('Plant04 Inputs'!BA7=0,0,100*'Plant04 Inputs'!BB7/'Plant04 Inputs'!BA7),2)</f>
        <v/>
      </c>
      <c r="J40">
        <f>ROUND(IF('Plant04 Inputs'!BA8=0,0,100*'Plant04 Inputs'!BB8/'Plant04 Inputs'!BA8),2)</f>
        <v/>
      </c>
      <c r="K40">
        <f>ROUND(IF('Plant04 Inputs'!BA9=0,0,100*'Plant04 Inputs'!BB9/'Plant04 Inputs'!BA9),2)</f>
        <v/>
      </c>
      <c r="L40" t="inlineStr">
        <is>
          <t>qty_ordered_t, qty_received_t</t>
        </is>
      </c>
    </row>
    <row r="41">
      <c r="A41" t="inlineStr">
        <is>
          <t>SUP-003</t>
        </is>
      </c>
      <c r="B41" t="inlineStr">
        <is>
          <t>Supplier quality-rejection rate</t>
        </is>
      </c>
      <c r="C41" t="inlineStr">
        <is>
          <t>%</t>
        </is>
      </c>
      <c r="D41" t="inlineStr">
        <is>
          <t>Month</t>
        </is>
      </c>
      <c r="E41" t="inlineStr">
        <is>
          <t>Quantity rejected ÷ Quantity received × 100</t>
        </is>
      </c>
      <c r="F41">
        <f>ROUND(IF('Plant04 Inputs'!BB4=0,0,100*'Plant04 Inputs'!BC4/'Plant04 Inputs'!BB4),2)</f>
        <v/>
      </c>
      <c r="G41">
        <f>ROUND(IF('Plant04 Inputs'!BB5=0,0,100*'Plant04 Inputs'!BC5/'Plant04 Inputs'!BB5),2)</f>
        <v/>
      </c>
      <c r="H41">
        <f>ROUND(IF('Plant04 Inputs'!BB6=0,0,100*'Plant04 Inputs'!BC6/'Plant04 Inputs'!BB6),2)</f>
        <v/>
      </c>
      <c r="I41">
        <f>ROUND(IF('Plant04 Inputs'!BB7=0,0,100*'Plant04 Inputs'!BC7/'Plant04 Inputs'!BB7),2)</f>
        <v/>
      </c>
      <c r="J41">
        <f>ROUND(IF('Plant04 Inputs'!BB8=0,0,100*'Plant04 Inputs'!BC8/'Plant04 Inputs'!BB8),2)</f>
        <v/>
      </c>
      <c r="K41">
        <f>ROUND(IF('Plant04 Inputs'!BB9=0,0,100*'Plant04 Inputs'!BC9/'Plant04 Inputs'!BB9),2)</f>
        <v/>
      </c>
      <c r="L41" t="inlineStr">
        <is>
          <t>qty_received_t, qty_rejected_t</t>
        </is>
      </c>
    </row>
    <row r="42">
      <c r="A42" t="inlineStr">
        <is>
          <t>SUP-004</t>
        </is>
      </c>
      <c r="B42" t="inlineStr">
        <is>
          <t>Supplier lead-time variance</t>
        </is>
      </c>
      <c r="C42" t="inlineStr">
        <is>
          <t>%</t>
        </is>
      </c>
      <c r="D42" t="inlineStr">
        <is>
          <t>Month</t>
        </is>
      </c>
      <c r="E42" t="inlineStr">
        <is>
          <t>(Actual lead time − Planned lead time) ÷ Planned lead time × 100</t>
        </is>
      </c>
      <c r="F42">
        <f>ROUND(IF('Plant04 Inputs'!BD4=0,0,100*('Plant04 Inputs'!BE4-'Plant04 Inputs'!BD4)/'Plant04 Inputs'!BD4),2)</f>
        <v/>
      </c>
      <c r="G42">
        <f>ROUND(IF('Plant04 Inputs'!BD5=0,0,100*('Plant04 Inputs'!BE5-'Plant04 Inputs'!BD5)/'Plant04 Inputs'!BD5),2)</f>
        <v/>
      </c>
      <c r="H42">
        <f>ROUND(IF('Plant04 Inputs'!BD6=0,0,100*('Plant04 Inputs'!BE6-'Plant04 Inputs'!BD6)/'Plant04 Inputs'!BD6),2)</f>
        <v/>
      </c>
      <c r="I42">
        <f>ROUND(IF('Plant04 Inputs'!BD7=0,0,100*('Plant04 Inputs'!BE7-'Plant04 Inputs'!BD7)/'Plant04 Inputs'!BD7),2)</f>
        <v/>
      </c>
      <c r="J42">
        <f>ROUND(IF('Plant04 Inputs'!BD8=0,0,100*('Plant04 Inputs'!BE8-'Plant04 Inputs'!BD8)/'Plant04 Inputs'!BD8),2)</f>
        <v/>
      </c>
      <c r="K42">
        <f>ROUND(IF('Plant04 Inputs'!BD9=0,0,100*('Plant04 Inputs'!BE9-'Plant04 Inputs'!BD9)/'Plant04 Inputs'!BD9),2)</f>
        <v/>
      </c>
      <c r="L42" t="inlineStr">
        <is>
          <t>lead_time_planned_days, lead_time_actual_days</t>
        </is>
      </c>
    </row>
    <row r="43">
      <c r="A43" t="inlineStr">
        <is>
          <t>SUP-007</t>
        </is>
      </c>
      <c r="B43" t="inlineStr">
        <is>
          <t>Single-source spend share</t>
        </is>
      </c>
      <c r="C43" t="inlineStr">
        <is>
          <t>%</t>
        </is>
      </c>
      <c r="D43" t="inlineStr">
        <is>
          <t>Month</t>
        </is>
      </c>
      <c r="E43" t="inlineStr">
        <is>
          <t>Spend with single-source suppliers ÷ Supplier spend × 100</t>
        </is>
      </c>
      <c r="F43">
        <f>ROUND(IF('Plant04 Inputs'!BF4=0,0,100*'Plant04 Inputs'!BG4/'Plant04 Inputs'!BF4),2)</f>
        <v/>
      </c>
      <c r="G43">
        <f>ROUND(IF('Plant04 Inputs'!BF5=0,0,100*'Plant04 Inputs'!BG5/'Plant04 Inputs'!BF5),2)</f>
        <v/>
      </c>
      <c r="H43">
        <f>ROUND(IF('Plant04 Inputs'!BF6=0,0,100*'Plant04 Inputs'!BG6/'Plant04 Inputs'!BF6),2)</f>
        <v/>
      </c>
      <c r="I43">
        <f>ROUND(IF('Plant04 Inputs'!BF7=0,0,100*'Plant04 Inputs'!BG7/'Plant04 Inputs'!BF7),2)</f>
        <v/>
      </c>
      <c r="J43">
        <f>ROUND(IF('Plant04 Inputs'!BF8=0,0,100*'Plant04 Inputs'!BG8/'Plant04 Inputs'!BF8),2)</f>
        <v/>
      </c>
      <c r="K43">
        <f>ROUND(IF('Plant04 Inputs'!BF9=0,0,100*'Plant04 Inputs'!BG9/'Plant04 Inputs'!BF9),2)</f>
        <v/>
      </c>
      <c r="L43" t="inlineStr">
        <is>
          <t>supplier_spend_k, single_source_spend_k</t>
        </is>
      </c>
    </row>
    <row r="44">
      <c r="A44" t="inlineStr">
        <is>
          <t>SUP-008</t>
        </is>
      </c>
      <c r="B44" t="inlineStr">
        <is>
          <t>Supplier EHS incidents YTD</t>
        </is>
      </c>
      <c r="C44" t="inlineStr">
        <is>
          <t>count</t>
        </is>
      </c>
      <c r="D44" t="inlineStr">
        <is>
          <t>Year to date</t>
        </is>
      </c>
      <c r="E44" t="inlineStr">
        <is>
          <t>Sum of supplier EHS incidents since April</t>
        </is>
      </c>
      <c r="F44">
        <f>ROUND(SUM('Plant04 Inputs'!BH$4:BH4),2)</f>
        <v/>
      </c>
      <c r="G44">
        <f>ROUND(SUM('Plant04 Inputs'!BH$4:BH5),2)</f>
        <v/>
      </c>
      <c r="H44">
        <f>ROUND(SUM('Plant04 Inputs'!BH$4:BH6),2)</f>
        <v/>
      </c>
      <c r="I44">
        <f>ROUND(SUM('Plant04 Inputs'!BH$4:BH7),2)</f>
        <v/>
      </c>
      <c r="J44">
        <f>ROUND(SUM('Plant04 Inputs'!BH$4:BH8),2)</f>
        <v/>
      </c>
      <c r="K44">
        <f>ROUND(SUM('Plant04 Inputs'!BH$4:BH9),2)</f>
        <v/>
      </c>
      <c r="L44" t="inlineStr">
        <is>
          <t>supplier_ehs_incidents</t>
        </is>
      </c>
    </row>
    <row r="45">
      <c r="A45" t="inlineStr">
        <is>
          <t>REG-001</t>
        </is>
      </c>
      <c r="B45" t="inlineStr">
        <is>
          <t>Pending filings</t>
        </is>
      </c>
      <c r="C45" t="inlineStr">
        <is>
          <t>count</t>
        </is>
      </c>
      <c r="D45" t="inlineStr">
        <is>
          <t>Month end</t>
        </is>
      </c>
      <c r="E45" t="inlineStr">
        <is>
          <t>Regulatory filings pending</t>
        </is>
      </c>
      <c r="F45">
        <f>ROUND('Plant04 Inputs'!BI4,2)</f>
        <v/>
      </c>
      <c r="G45">
        <f>ROUND('Plant04 Inputs'!BI5,2)</f>
        <v/>
      </c>
      <c r="H45">
        <f>ROUND('Plant04 Inputs'!BI6,2)</f>
        <v/>
      </c>
      <c r="I45">
        <f>ROUND('Plant04 Inputs'!BI7,2)</f>
        <v/>
      </c>
      <c r="J45">
        <f>ROUND('Plant04 Inputs'!BI8,2)</f>
        <v/>
      </c>
      <c r="K45">
        <f>ROUND('Plant04 Inputs'!BI9,2)</f>
        <v/>
      </c>
      <c r="L45" t="inlineStr">
        <is>
          <t>pending_filings</t>
        </is>
      </c>
    </row>
    <row r="46">
      <c r="A46" t="inlineStr">
        <is>
          <t>REG-002</t>
        </is>
      </c>
      <c r="B46" t="inlineStr">
        <is>
          <t>Regulatory deadlines, next 30 days</t>
        </is>
      </c>
      <c r="C46" t="inlineStr">
        <is>
          <t>count</t>
        </is>
      </c>
      <c r="D46" t="inlineStr">
        <is>
          <t>Month end</t>
        </is>
      </c>
      <c r="E46" t="inlineStr">
        <is>
          <t>Regulatory deadlines in next 30 days</t>
        </is>
      </c>
      <c r="F46">
        <f>ROUND('Plant04 Inputs'!BJ4,2)</f>
        <v/>
      </c>
      <c r="G46">
        <f>ROUND('Plant04 Inputs'!BJ5,2)</f>
        <v/>
      </c>
      <c r="H46">
        <f>ROUND('Plant04 Inputs'!BJ6,2)</f>
        <v/>
      </c>
      <c r="I46">
        <f>ROUND('Plant04 Inputs'!BJ7,2)</f>
        <v/>
      </c>
      <c r="J46">
        <f>ROUND('Plant04 Inputs'!BJ8,2)</f>
        <v/>
      </c>
      <c r="K46">
        <f>ROUND('Plant04 Inputs'!BJ9,2)</f>
        <v/>
      </c>
      <c r="L46" t="inlineStr">
        <is>
          <t>reg_deadlines_30d</t>
        </is>
      </c>
    </row>
    <row r="47">
      <c r="A47" t="inlineStr">
        <is>
          <t>REG-003</t>
        </is>
      </c>
      <c r="B47" t="inlineStr">
        <is>
          <t>Licence expirations, next 12 months</t>
        </is>
      </c>
      <c r="C47" t="inlineStr">
        <is>
          <t>count</t>
        </is>
      </c>
      <c r="D47" t="inlineStr">
        <is>
          <t>Month end</t>
        </is>
      </c>
      <c r="E47" t="inlineStr">
        <is>
          <t>Licences expiring in next 12 months</t>
        </is>
      </c>
      <c r="F47">
        <f>ROUND('Plant04 Inputs'!BK4,2)</f>
        <v/>
      </c>
      <c r="G47">
        <f>ROUND('Plant04 Inputs'!BK5,2)</f>
        <v/>
      </c>
      <c r="H47">
        <f>ROUND('Plant04 Inputs'!BK6,2)</f>
        <v/>
      </c>
      <c r="I47">
        <f>ROUND('Plant04 Inputs'!BK7,2)</f>
        <v/>
      </c>
      <c r="J47">
        <f>ROUND('Plant04 Inputs'!BK8,2)</f>
        <v/>
      </c>
      <c r="K47">
        <f>ROUND('Plant04 Inputs'!BK9,2)</f>
        <v/>
      </c>
      <c r="L47" t="inlineStr">
        <is>
          <t>licences_expiring_12m</t>
        </is>
      </c>
    </row>
    <row r="48">
      <c r="A48" t="inlineStr">
        <is>
          <t>REG-004</t>
        </is>
      </c>
      <c r="B48" t="inlineStr">
        <is>
          <t>Regulatory obligations due, next 30 days</t>
        </is>
      </c>
      <c r="C48" t="inlineStr">
        <is>
          <t>count</t>
        </is>
      </c>
      <c r="D48" t="inlineStr">
        <is>
          <t>Month end</t>
        </is>
      </c>
      <c r="E48" t="inlineStr">
        <is>
          <t>Regulatory obligations due in next 30 days</t>
        </is>
      </c>
      <c r="F48">
        <f>ROUND('Plant04 Inputs'!BL4,2)</f>
        <v/>
      </c>
      <c r="G48">
        <f>ROUND('Plant04 Inputs'!BL5,2)</f>
        <v/>
      </c>
      <c r="H48">
        <f>ROUND('Plant04 Inputs'!BL6,2)</f>
        <v/>
      </c>
      <c r="I48">
        <f>ROUND('Plant04 Inputs'!BL7,2)</f>
        <v/>
      </c>
      <c r="J48">
        <f>ROUND('Plant04 Inputs'!BL8,2)</f>
        <v/>
      </c>
      <c r="K48">
        <f>ROUND('Plant04 Inputs'!BL9,2)</f>
        <v/>
      </c>
      <c r="L48" t="inlineStr">
        <is>
          <t>reg_obligations_due_30d</t>
        </is>
      </c>
    </row>
    <row r="49">
      <c r="A49" t="inlineStr">
        <is>
          <t>REG-005</t>
        </is>
      </c>
      <c r="B49" t="inlineStr">
        <is>
          <t>Overdue regulatory obligations</t>
        </is>
      </c>
      <c r="C49" t="inlineStr">
        <is>
          <t>count</t>
        </is>
      </c>
      <c r="D49" t="inlineStr">
        <is>
          <t>Month end</t>
        </is>
      </c>
      <c r="E49" t="inlineStr">
        <is>
          <t>Regulatory obligations overdue</t>
        </is>
      </c>
      <c r="F49">
        <f>ROUND('Plant04 Inputs'!BM4,2)</f>
        <v/>
      </c>
      <c r="G49">
        <f>ROUND('Plant04 Inputs'!BM5,2)</f>
        <v/>
      </c>
      <c r="H49">
        <f>ROUND('Plant04 Inputs'!BM6,2)</f>
        <v/>
      </c>
      <c r="I49">
        <f>ROUND('Plant04 Inputs'!BM7,2)</f>
        <v/>
      </c>
      <c r="J49">
        <f>ROUND('Plant04 Inputs'!BM8,2)</f>
        <v/>
      </c>
      <c r="K49">
        <f>ROUND('Plant04 Inputs'!BM9,2)</f>
        <v/>
      </c>
      <c r="L49" t="inlineStr">
        <is>
          <t>reg_obligations_overdue</t>
        </is>
      </c>
    </row>
    <row r="50">
      <c r="A50" t="inlineStr">
        <is>
          <t>REG-007</t>
        </is>
      </c>
      <c r="B50" t="inlineStr">
        <is>
          <t>Open regulatory actions</t>
        </is>
      </c>
      <c r="C50" t="inlineStr">
        <is>
          <t>count</t>
        </is>
      </c>
      <c r="D50" t="inlineStr">
        <is>
          <t>Month end</t>
        </is>
      </c>
      <c r="E50" t="inlineStr">
        <is>
          <t>Open regulatory actions</t>
        </is>
      </c>
      <c r="F50">
        <f>ROUND('Plant04 Inputs'!BN4,2)</f>
        <v/>
      </c>
      <c r="G50">
        <f>ROUND('Plant04 Inputs'!BN5,2)</f>
        <v/>
      </c>
      <c r="H50">
        <f>ROUND('Plant04 Inputs'!BN6,2)</f>
        <v/>
      </c>
      <c r="I50">
        <f>ROUND('Plant04 Inputs'!BN7,2)</f>
        <v/>
      </c>
      <c r="J50">
        <f>ROUND('Plant04 Inputs'!BN8,2)</f>
        <v/>
      </c>
      <c r="K50">
        <f>ROUND('Plant04 Inputs'!BN9,2)</f>
        <v/>
      </c>
      <c r="L50" t="inlineStr">
        <is>
          <t>reg_actions_open</t>
        </is>
      </c>
    </row>
    <row r="51">
      <c r="A51" t="inlineStr">
        <is>
          <t>REG-008</t>
        </is>
      </c>
      <c r="B51" t="inlineStr">
        <is>
          <t>Overdue compliance actions</t>
        </is>
      </c>
      <c r="C51" t="inlineStr">
        <is>
          <t>count</t>
        </is>
      </c>
      <c r="D51" t="inlineStr">
        <is>
          <t>Month end</t>
        </is>
      </c>
      <c r="E51" t="inlineStr">
        <is>
          <t>Overdue compliance actions</t>
        </is>
      </c>
      <c r="F51">
        <f>ROUND('Plant04 Inputs'!BO4,2)</f>
        <v/>
      </c>
      <c r="G51">
        <f>ROUND('Plant04 Inputs'!BO5,2)</f>
        <v/>
      </c>
      <c r="H51">
        <f>ROUND('Plant04 Inputs'!BO6,2)</f>
        <v/>
      </c>
      <c r="I51">
        <f>ROUND('Plant04 Inputs'!BO7,2)</f>
        <v/>
      </c>
      <c r="J51">
        <f>ROUND('Plant04 Inputs'!BO8,2)</f>
        <v/>
      </c>
      <c r="K51">
        <f>ROUND('Plant04 Inputs'!BO9,2)</f>
        <v/>
      </c>
      <c r="L51" t="inlineStr">
        <is>
          <t>compliance_actions_overdue</t>
        </is>
      </c>
    </row>
    <row r="52">
      <c r="A52" t="inlineStr">
        <is>
          <t>REG-009</t>
        </is>
      </c>
      <c r="B52" t="inlineStr">
        <is>
          <t>Disclosure-clock status</t>
        </is>
      </c>
      <c r="C52" t="inlineStr">
        <is>
          <t>text</t>
        </is>
      </c>
      <c r="D52" t="inlineStr">
        <is>
          <t>Month end</t>
        </is>
      </c>
      <c r="E52" t="inlineStr">
        <is>
          <t>Triggered if any event that needs disclosure is open, otherwise Not triggered</t>
        </is>
      </c>
      <c r="F52">
        <f>IF('Plant04 Inputs'!BQ4&gt;0,"Triggered","Not triggered")</f>
        <v/>
      </c>
      <c r="G52">
        <f>IF('Plant04 Inputs'!BQ5&gt;0,"Triggered","Not triggered")</f>
        <v/>
      </c>
      <c r="H52">
        <f>IF('Plant04 Inputs'!BQ6&gt;0,"Triggered","Not triggered")</f>
        <v/>
      </c>
      <c r="I52">
        <f>IF('Plant04 Inputs'!BQ7&gt;0,"Triggered","Not triggered")</f>
        <v/>
      </c>
      <c r="J52">
        <f>IF('Plant04 Inputs'!BQ8&gt;0,"Triggered","Not triggered")</f>
        <v/>
      </c>
      <c r="K52">
        <f>IF('Plant04 Inputs'!BQ9&gt;0,"Triggered","Not triggered")</f>
        <v/>
      </c>
      <c r="L52" t="inlineStr">
        <is>
          <t>disclosure_events_open</t>
        </is>
      </c>
    </row>
    <row r="53">
      <c r="A53" t="inlineStr">
        <is>
          <t>REG-010</t>
        </is>
      </c>
      <c r="B53" t="inlineStr">
        <is>
          <t>Regulatory breaches YTD</t>
        </is>
      </c>
      <c r="C53" t="inlineStr">
        <is>
          <t>count</t>
        </is>
      </c>
      <c r="D53" t="inlineStr">
        <is>
          <t>Year to date</t>
        </is>
      </c>
      <c r="E53" t="inlineStr">
        <is>
          <t>Sum of regulatory breaches since April</t>
        </is>
      </c>
      <c r="F53">
        <f>ROUND(SUM('Plant04 Inputs'!BP$4:BP4),2)</f>
        <v/>
      </c>
      <c r="G53">
        <f>ROUND(SUM('Plant04 Inputs'!BP$4:BP5),2)</f>
        <v/>
      </c>
      <c r="H53">
        <f>ROUND(SUM('Plant04 Inputs'!BP$4:BP6),2)</f>
        <v/>
      </c>
      <c r="I53">
        <f>ROUND(SUM('Plant04 Inputs'!BP$4:BP7),2)</f>
        <v/>
      </c>
      <c r="J53">
        <f>ROUND(SUM('Plant04 Inputs'!BP$4:BP8),2)</f>
        <v/>
      </c>
      <c r="K53">
        <f>ROUND(SUM('Plant04 Inputs'!BP$4:BP9),2)</f>
        <v/>
      </c>
      <c r="L53" t="inlineStr">
        <is>
          <t>reg_breaches</t>
        </is>
      </c>
    </row>
    <row r="54">
      <c r="A54" t="inlineStr">
        <is>
          <t>RSK-003</t>
        </is>
      </c>
      <c r="B54" t="inlineStr">
        <is>
          <t>Regulatory breaches YTD (same measure as REG-010)</t>
        </is>
      </c>
      <c r="C54" t="inlineStr">
        <is>
          <t>count</t>
        </is>
      </c>
      <c r="D54" t="inlineStr">
        <is>
          <t>Year to date</t>
        </is>
      </c>
      <c r="E54" t="inlineStr">
        <is>
          <t>Sum of regulatory breaches since April</t>
        </is>
      </c>
      <c r="F54">
        <f>ROUND(SUM('Plant04 Inputs'!BP$4:BP4),2)</f>
        <v/>
      </c>
      <c r="G54">
        <f>ROUND(SUM('Plant04 Inputs'!BP$4:BP5),2)</f>
        <v/>
      </c>
      <c r="H54">
        <f>ROUND(SUM('Plant04 Inputs'!BP$4:BP6),2)</f>
        <v/>
      </c>
      <c r="I54">
        <f>ROUND(SUM('Plant04 Inputs'!BP$4:BP7),2)</f>
        <v/>
      </c>
      <c r="J54">
        <f>ROUND(SUM('Plant04 Inputs'!BP$4:BP8),2)</f>
        <v/>
      </c>
      <c r="K54">
        <f>ROUND(SUM('Plant04 Inputs'!BP$4:BP9),2)</f>
        <v/>
      </c>
      <c r="L54" t="inlineStr">
        <is>
          <t>reg_breaches</t>
        </is>
      </c>
    </row>
    <row r="55">
      <c r="A55" t="inlineStr">
        <is>
          <t>CMP-005</t>
        </is>
      </c>
      <c r="B55" t="inlineStr">
        <is>
          <t>Regulatory breaches YTD (same measure as REG-010)</t>
        </is>
      </c>
      <c r="C55" t="inlineStr">
        <is>
          <t>count</t>
        </is>
      </c>
      <c r="D55" t="inlineStr">
        <is>
          <t>Year to date</t>
        </is>
      </c>
      <c r="E55" t="inlineStr">
        <is>
          <t>Sum of regulatory breaches since April</t>
        </is>
      </c>
      <c r="F55">
        <f>ROUND(SUM('Plant04 Inputs'!BP$4:BP4),2)</f>
        <v/>
      </c>
      <c r="G55">
        <f>ROUND(SUM('Plant04 Inputs'!BP$4:BP5),2)</f>
        <v/>
      </c>
      <c r="H55">
        <f>ROUND(SUM('Plant04 Inputs'!BP$4:BP6),2)</f>
        <v/>
      </c>
      <c r="I55">
        <f>ROUND(SUM('Plant04 Inputs'!BP$4:BP7),2)</f>
        <v/>
      </c>
      <c r="J55">
        <f>ROUND(SUM('Plant04 Inputs'!BP$4:BP8),2)</f>
        <v/>
      </c>
      <c r="K55">
        <f>ROUND(SUM('Plant04 Inputs'!BP$4:BP9),2)</f>
        <v/>
      </c>
      <c r="L55" t="inlineStr">
        <is>
          <t>reg_breaches</t>
        </is>
      </c>
    </row>
    <row r="56">
      <c r="A56" t="inlineStr">
        <is>
          <t>EHS-008</t>
        </is>
      </c>
      <c r="B56" t="inlineStr">
        <is>
          <t>EHS escalation clocks running</t>
        </is>
      </c>
      <c r="C56" t="inlineStr">
        <is>
          <t>count</t>
        </is>
      </c>
      <c r="D56" t="inlineStr">
        <is>
          <t>Month end</t>
        </is>
      </c>
      <c r="E56" t="inlineStr">
        <is>
          <t>EHS escalation clocks running</t>
        </is>
      </c>
      <c r="F56">
        <f>ROUND('Plant04 Inputs'!BR4,2)</f>
        <v/>
      </c>
      <c r="G56">
        <f>ROUND('Plant04 Inputs'!BR5,2)</f>
        <v/>
      </c>
      <c r="H56">
        <f>ROUND('Plant04 Inputs'!BR6,2)</f>
        <v/>
      </c>
      <c r="I56">
        <f>ROUND('Plant04 Inputs'!BR7,2)</f>
        <v/>
      </c>
      <c r="J56">
        <f>ROUND('Plant04 Inputs'!BR8,2)</f>
        <v/>
      </c>
      <c r="K56">
        <f>ROUND('Plant04 Inputs'!BR9,2)</f>
        <v/>
      </c>
      <c r="L56" t="inlineStr">
        <is>
          <t>ehs_escalation_clocks</t>
        </is>
      </c>
    </row>
    <row r="57">
      <c r="A57" t="inlineStr">
        <is>
          <t>EHS-010</t>
        </is>
      </c>
      <c r="B57" t="inlineStr">
        <is>
          <t>EHS investigation completion rate YTD</t>
        </is>
      </c>
      <c r="C57" t="inlineStr">
        <is>
          <t>%</t>
        </is>
      </c>
      <c r="D57" t="inlineStr">
        <is>
          <t>Year to date</t>
        </is>
      </c>
      <c r="E57" t="inlineStr">
        <is>
          <t>EHS investigations completed since April ÷ Investigations due since April × 100 (100 if none due)</t>
        </is>
      </c>
      <c r="F57">
        <f>ROUND(IF(SUM('Plant04 Inputs'!AM$4:AM4)=0,100,100*SUM('Plant04 Inputs'!AN$4:AN4)/SUM('Plant04 Inputs'!AM$4:AM4)),2)</f>
        <v/>
      </c>
      <c r="G57">
        <f>ROUND(IF(SUM('Plant04 Inputs'!AM$4:AM5)=0,100,100*SUM('Plant04 Inputs'!AN$4:AN5)/SUM('Plant04 Inputs'!AM$4:AM5)),2)</f>
        <v/>
      </c>
      <c r="H57">
        <f>ROUND(IF(SUM('Plant04 Inputs'!AM$4:AM6)=0,100,100*SUM('Plant04 Inputs'!AN$4:AN6)/SUM('Plant04 Inputs'!AM$4:AM6)),2)</f>
        <v/>
      </c>
      <c r="I57">
        <f>ROUND(IF(SUM('Plant04 Inputs'!AM$4:AM7)=0,100,100*SUM('Plant04 Inputs'!AN$4:AN7)/SUM('Plant04 Inputs'!AM$4:AM7)),2)</f>
        <v/>
      </c>
      <c r="J57">
        <f>ROUND(IF(SUM('Plant04 Inputs'!AM$4:AM8)=0,100,100*SUM('Plant04 Inputs'!AN$4:AN8)/SUM('Plant04 Inputs'!AM$4:AM8)),2)</f>
        <v/>
      </c>
      <c r="K57">
        <f>ROUND(IF(SUM('Plant04 Inputs'!AM$4:AM9)=0,100,100*SUM('Plant04 Inputs'!AN$4:AN9)/SUM('Plant04 Inputs'!AM$4:AM9)),2)</f>
        <v/>
      </c>
      <c r="L57" t="inlineStr">
        <is>
          <t>investigations_due, investigations_completed</t>
        </is>
      </c>
    </row>
    <row r="58">
      <c r="A58" t="inlineStr">
        <is>
          <t>SIG-013</t>
        </is>
      </c>
      <c r="B58" t="inlineStr">
        <is>
          <t>Pricing pressure</t>
        </is>
      </c>
      <c r="C58" t="inlineStr">
        <is>
          <t>text</t>
        </is>
      </c>
      <c r="D58" t="inlineStr">
        <is>
          <t>Month</t>
        </is>
      </c>
      <c r="E58" t="inlineStr">
        <is>
          <t>Realised price vs plan: Low if above −1%, Medium down to −3%, High below −3%</t>
        </is>
      </c>
      <c r="F58">
        <f>IF('Plant04 Inputs'!GG4&gt;=-1,"Low",IF('Plant04 Inputs'!GG4&gt;=-3,"Medium","High"))&amp;" ("&amp;ROUND('Plant04 Inputs'!GG4,1)&amp;"% vs plan price)"</f>
        <v/>
      </c>
      <c r="G58">
        <f>IF('Plant04 Inputs'!GG5&gt;=-1,"Low",IF('Plant04 Inputs'!GG5&gt;=-3,"Medium","High"))&amp;" ("&amp;ROUND('Plant04 Inputs'!GG5,1)&amp;"% vs plan price)"</f>
        <v/>
      </c>
      <c r="H58">
        <f>IF('Plant04 Inputs'!GG6&gt;=-1,"Low",IF('Plant04 Inputs'!GG6&gt;=-3,"Medium","High"))&amp;" ("&amp;ROUND('Plant04 Inputs'!GG6,1)&amp;"% vs plan price)"</f>
        <v/>
      </c>
      <c r="I58">
        <f>IF('Plant04 Inputs'!GG7&gt;=-1,"Low",IF('Plant04 Inputs'!GG7&gt;=-3,"Medium","High"))&amp;" ("&amp;ROUND('Plant04 Inputs'!GG7,1)&amp;"% vs plan price)"</f>
        <v/>
      </c>
      <c r="J58">
        <f>IF('Plant04 Inputs'!GG8&gt;=-1,"Low",IF('Plant04 Inputs'!GG8&gt;=-3,"Medium","High"))&amp;" ("&amp;ROUND('Plant04 Inputs'!GG8,1)&amp;"% vs plan price)"</f>
        <v/>
      </c>
      <c r="K58">
        <f>IF('Plant04 Inputs'!GG9&gt;=-1,"Low",IF('Plant04 Inputs'!GG9&gt;=-3,"Medium","High"))&amp;" ("&amp;ROUND('Plant04 Inputs'!GG9,1)&amp;"% vs plan price)"</f>
        <v/>
      </c>
      <c r="L58" t="inlineStr">
        <is>
          <t>price_vs_plan_pct</t>
        </is>
      </c>
    </row>
    <row r="59">
      <c r="A59" t="inlineStr">
        <is>
          <t>PRD-001</t>
        </is>
      </c>
      <c r="B59" t="inlineStr">
        <is>
          <t>Days to breach (earliest plant)</t>
        </is>
      </c>
      <c r="C59" t="inlineStr">
        <is>
          <t>days</t>
        </is>
      </c>
      <c r="D59" t="inlineStr">
        <is>
          <t>Forecast</t>
        </is>
      </c>
      <c r="E59" t="inlineStr">
        <is>
          <t>Lowest plant forecast of days until its production plan is breached (99 = not expected)</t>
        </is>
      </c>
      <c r="F59">
        <f>ROUND('Plant04 Inputs'!BS4,2)</f>
        <v/>
      </c>
      <c r="G59">
        <f>ROUND('Plant04 Inputs'!BS5,2)</f>
        <v/>
      </c>
      <c r="H59">
        <f>ROUND('Plant04 Inputs'!BS6,2)</f>
        <v/>
      </c>
      <c r="I59">
        <f>ROUND('Plant04 Inputs'!BS7,2)</f>
        <v/>
      </c>
      <c r="J59">
        <f>ROUND('Plant04 Inputs'!BS8,2)</f>
        <v/>
      </c>
      <c r="K59">
        <f>ROUND('Plant04 Inputs'!BS9,2)</f>
        <v/>
      </c>
      <c r="L59" t="inlineStr">
        <is>
          <t>days_to_breach</t>
        </is>
      </c>
    </row>
    <row r="60">
      <c r="A60" t="inlineStr">
        <is>
          <t>PRD-002</t>
        </is>
      </c>
      <c r="B60" t="inlineStr">
        <is>
          <t>Probability of production plan miss, next month</t>
        </is>
      </c>
      <c r="C60" t="inlineStr">
        <is>
          <t>%</t>
        </is>
      </c>
      <c r="D60" t="inlineStr">
        <is>
          <t>Next month</t>
        </is>
      </c>
      <c r="E60" t="inlineStr">
        <is>
          <t>Chance that output falls below plan: normal distribution with mean = Forecast good output, spread = √(sum of plant forecast variances)</t>
        </is>
      </c>
      <c r="F60">
        <f>ROUND(100*NORM.DIST('Plant04 Inputs'!BT4,'Plant04 Inputs'!BU4,SQRT('Plant04 Inputs'!BV4),TRUE),2)</f>
        <v/>
      </c>
      <c r="G60">
        <f>ROUND(100*NORM.DIST('Plant04 Inputs'!BT5,'Plant04 Inputs'!BU5,SQRT('Plant04 Inputs'!BV5),TRUE),2)</f>
        <v/>
      </c>
      <c r="H60">
        <f>ROUND(100*NORM.DIST('Plant04 Inputs'!BT6,'Plant04 Inputs'!BU6,SQRT('Plant04 Inputs'!BV6),TRUE),2)</f>
        <v/>
      </c>
      <c r="I60">
        <f>ROUND(100*NORM.DIST('Plant04 Inputs'!BT7,'Plant04 Inputs'!BU7,SQRT('Plant04 Inputs'!BV7),TRUE),2)</f>
        <v/>
      </c>
      <c r="J60">
        <f>ROUND(100*NORM.DIST('Plant04 Inputs'!BT8,'Plant04 Inputs'!BU8,SQRT('Plant04 Inputs'!BV8),TRUE),2)</f>
        <v/>
      </c>
      <c r="K60">
        <f>ROUND(100*NORM.DIST('Plant04 Inputs'!BT9,'Plant04 Inputs'!BU9,SQRT('Plant04 Inputs'!BV9),TRUE),2)</f>
        <v/>
      </c>
      <c r="L60" t="inlineStr">
        <is>
          <t>planned_production_next_t, forecast_good_next_t, forecast_good_var_next</t>
        </is>
      </c>
    </row>
    <row r="61">
      <c r="A61" t="inlineStr">
        <is>
          <t>PRD-006</t>
        </is>
      </c>
      <c r="B61" t="inlineStr">
        <is>
          <t>Production loss from downtime, next month</t>
        </is>
      </c>
      <c r="C61" t="inlineStr">
        <is>
          <t>kt</t>
        </is>
      </c>
      <c r="D61" t="inlineStr">
        <is>
          <t>Next month</t>
        </is>
      </c>
      <c r="E61" t="inlineStr">
        <is>
          <t>Forecast production lost to downtime next month ÷ 1000</t>
        </is>
      </c>
      <c r="F61">
        <f>ROUND('Plant04 Inputs'!BX4/1000,2)</f>
        <v/>
      </c>
      <c r="G61">
        <f>ROUND('Plant04 Inputs'!BX5/1000,2)</f>
        <v/>
      </c>
      <c r="H61">
        <f>ROUND('Plant04 Inputs'!BX6/1000,2)</f>
        <v/>
      </c>
      <c r="I61">
        <f>ROUND('Plant04 Inputs'!BX7/1000,2)</f>
        <v/>
      </c>
      <c r="J61">
        <f>ROUND('Plant04 Inputs'!BX8/1000,2)</f>
        <v/>
      </c>
      <c r="K61">
        <f>ROUND('Plant04 Inputs'!BX9/1000,2)</f>
        <v/>
      </c>
      <c r="L61" t="inlineStr">
        <is>
          <t>forecast_downtime_loss_next_t</t>
        </is>
      </c>
    </row>
    <row r="62">
      <c r="A62" t="inlineStr">
        <is>
          <t>PRD-007</t>
        </is>
      </c>
      <c r="B62" t="inlineStr">
        <is>
          <t>Probability OEE below 78%, next month</t>
        </is>
      </c>
      <c r="C62" t="inlineStr">
        <is>
          <t>%</t>
        </is>
      </c>
      <c r="D62" t="inlineStr">
        <is>
          <t>Next month</t>
        </is>
      </c>
      <c r="E62" t="inlineStr">
        <is>
          <t>Chance that Forecast good output &lt; 78% × Ideal output next month (same distribution as PRD-002)</t>
        </is>
      </c>
      <c r="F62">
        <f>ROUND(100*NORM.DIST(0.78*'Plant04 Inputs'!BW4,'Plant04 Inputs'!BU4,SQRT('Plant04 Inputs'!BV4),TRUE),2)</f>
        <v/>
      </c>
      <c r="G62">
        <f>ROUND(100*NORM.DIST(0.78*'Plant04 Inputs'!BW5,'Plant04 Inputs'!BU5,SQRT('Plant04 Inputs'!BV5),TRUE),2)</f>
        <v/>
      </c>
      <c r="H62">
        <f>ROUND(100*NORM.DIST(0.78*'Plant04 Inputs'!BW6,'Plant04 Inputs'!BU6,SQRT('Plant04 Inputs'!BV6),TRUE),2)</f>
        <v/>
      </c>
      <c r="I62">
        <f>ROUND(100*NORM.DIST(0.78*'Plant04 Inputs'!BW7,'Plant04 Inputs'!BU7,SQRT('Plant04 Inputs'!BV7),TRUE),2)</f>
        <v/>
      </c>
      <c r="J62">
        <f>ROUND(100*NORM.DIST(0.78*'Plant04 Inputs'!BW8,'Plant04 Inputs'!BU8,SQRT('Plant04 Inputs'!BV8),TRUE),2)</f>
        <v/>
      </c>
      <c r="K62">
        <f>ROUND(100*NORM.DIST(0.78*'Plant04 Inputs'!BW9,'Plant04 Inputs'!BU9,SQRT('Plant04 Inputs'!BV9),TRUE),2)</f>
        <v/>
      </c>
      <c r="L62" t="inlineStr">
        <is>
          <t>forecast_good_next_t, forecast_good_var_next, ideal_output_next_t</t>
        </is>
      </c>
    </row>
    <row r="63">
      <c r="A63" t="inlineStr">
        <is>
          <t>CST-005</t>
        </is>
      </c>
      <c r="B63" t="inlineStr">
        <is>
          <t>Fixed cost YTD</t>
        </is>
      </c>
      <c r="C63" t="inlineStr">
        <is>
          <t>₹ m</t>
        </is>
      </c>
      <c r="D63" t="inlineStr">
        <is>
          <t>Year to date</t>
        </is>
      </c>
      <c r="E63" t="inlineStr">
        <is>
          <t>Sum of monthly fixed cost since April ÷ 1000</t>
        </is>
      </c>
      <c r="F63">
        <f>ROUND(SUM('Plant04 Inputs'!X$4:X4)/1000,2)</f>
        <v/>
      </c>
      <c r="G63">
        <f>ROUND(SUM('Plant04 Inputs'!X$4:X5)/1000,2)</f>
        <v/>
      </c>
      <c r="H63">
        <f>ROUND(SUM('Plant04 Inputs'!X$4:X6)/1000,2)</f>
        <v/>
      </c>
      <c r="I63">
        <f>ROUND(SUM('Plant04 Inputs'!X$4:X7)/1000,2)</f>
        <v/>
      </c>
      <c r="J63">
        <f>ROUND(SUM('Plant04 Inputs'!X$4:X8)/1000,2)</f>
        <v/>
      </c>
      <c r="K63">
        <f>ROUND(SUM('Plant04 Inputs'!X$4:X9)/1000,2)</f>
        <v/>
      </c>
      <c r="L63" t="inlineStr">
        <is>
          <t>fixed_cost_k</t>
        </is>
      </c>
    </row>
    <row r="64">
      <c r="A64" t="inlineStr">
        <is>
          <t>SIG-017</t>
        </is>
      </c>
      <c r="B64" t="inlineStr">
        <is>
          <t>Fuel exposure (fuel cost per tonne, MoM)</t>
        </is>
      </c>
      <c r="C64" t="inlineStr">
        <is>
          <t>%</t>
        </is>
      </c>
      <c r="D64" t="inlineStr">
        <is>
          <t>Month</t>
        </is>
      </c>
      <c r="E64" t="inlineStr">
        <is>
          <t>(Fuel cost ÷ good output) ÷ last month's − 1, as %</t>
        </is>
      </c>
      <c r="F64">
        <f>ROUND(IF(OR('Plant04 Inputs'!M4=0,'Plant04 Inputs'!W4=0,'Plant04 Inputs'!M4=0),0,100*(('Plant04 Inputs'!W4/'Plant04 Inputs'!M4)/('Plant04 Inputs'!W4/'Plant04 Inputs'!M4)-1)),2)</f>
        <v/>
      </c>
      <c r="G64">
        <f>ROUND(IF(OR('Plant04 Inputs'!M4=0,'Plant04 Inputs'!W4=0,'Plant04 Inputs'!M5=0),0,100*(('Plant04 Inputs'!W5/'Plant04 Inputs'!M5)/('Plant04 Inputs'!W4/'Plant04 Inputs'!M4)-1)),2)</f>
        <v/>
      </c>
      <c r="H64">
        <f>ROUND(IF(OR('Plant04 Inputs'!M5=0,'Plant04 Inputs'!W5=0,'Plant04 Inputs'!M6=0),0,100*(('Plant04 Inputs'!W6/'Plant04 Inputs'!M6)/('Plant04 Inputs'!W5/'Plant04 Inputs'!M5)-1)),2)</f>
        <v/>
      </c>
      <c r="I64">
        <f>ROUND(IF(OR('Plant04 Inputs'!M6=0,'Plant04 Inputs'!W6=0,'Plant04 Inputs'!M7=0),0,100*(('Plant04 Inputs'!W7/'Plant04 Inputs'!M7)/('Plant04 Inputs'!W6/'Plant04 Inputs'!M6)-1)),2)</f>
        <v/>
      </c>
      <c r="J64">
        <f>ROUND(IF(OR('Plant04 Inputs'!M7=0,'Plant04 Inputs'!W7=0,'Plant04 Inputs'!M8=0),0,100*(('Plant04 Inputs'!W8/'Plant04 Inputs'!M8)/('Plant04 Inputs'!W7/'Plant04 Inputs'!M7)-1)),2)</f>
        <v/>
      </c>
      <c r="K64">
        <f>ROUND(IF(OR('Plant04 Inputs'!M8=0,'Plant04 Inputs'!W8=0,'Plant04 Inputs'!M9=0),0,100*(('Plant04 Inputs'!W9/'Plant04 Inputs'!M9)/('Plant04 Inputs'!W8/'Plant04 Inputs'!M8)-1)),2)</f>
        <v/>
      </c>
      <c r="L64" t="inlineStr">
        <is>
          <t>fuel_cost_k, good_output_t</t>
        </is>
      </c>
    </row>
    <row r="65">
      <c r="A65" t="inlineStr">
        <is>
          <t>SIG-018</t>
        </is>
      </c>
      <c r="B65" t="inlineStr">
        <is>
          <t>Power-cost exposure (power cost per tonne, MoM)</t>
        </is>
      </c>
      <c r="C65" t="inlineStr">
        <is>
          <t>%</t>
        </is>
      </c>
      <c r="D65" t="inlineStr">
        <is>
          <t>Month</t>
        </is>
      </c>
      <c r="E65" t="inlineStr">
        <is>
          <t>(Power cost ÷ good output) ÷ last month's − 1, as %</t>
        </is>
      </c>
      <c r="F65">
        <f>ROUND(IF(OR('Plant04 Inputs'!M4=0,'Plant04 Inputs'!AW4=0,'Plant04 Inputs'!M4=0),0,100*(('Plant04 Inputs'!AW4/'Plant04 Inputs'!M4)/('Plant04 Inputs'!AW4/'Plant04 Inputs'!M4)-1)),2)</f>
        <v/>
      </c>
      <c r="G65">
        <f>ROUND(IF(OR('Plant04 Inputs'!M4=0,'Plant04 Inputs'!AW4=0,'Plant04 Inputs'!M5=0),0,100*(('Plant04 Inputs'!AW5/'Plant04 Inputs'!M5)/('Plant04 Inputs'!AW4/'Plant04 Inputs'!M4)-1)),2)</f>
        <v/>
      </c>
      <c r="H65">
        <f>ROUND(IF(OR('Plant04 Inputs'!M5=0,'Plant04 Inputs'!AW5=0,'Plant04 Inputs'!M6=0),0,100*(('Plant04 Inputs'!AW6/'Plant04 Inputs'!M6)/('Plant04 Inputs'!AW5/'Plant04 Inputs'!M5)-1)),2)</f>
        <v/>
      </c>
      <c r="I65">
        <f>ROUND(IF(OR('Plant04 Inputs'!M6=0,'Plant04 Inputs'!AW6=0,'Plant04 Inputs'!M7=0),0,100*(('Plant04 Inputs'!AW7/'Plant04 Inputs'!M7)/('Plant04 Inputs'!AW6/'Plant04 Inputs'!M6)-1)),2)</f>
        <v/>
      </c>
      <c r="J65">
        <f>ROUND(IF(OR('Plant04 Inputs'!M7=0,'Plant04 Inputs'!AW7=0,'Plant04 Inputs'!M8=0),0,100*(('Plant04 Inputs'!AW8/'Plant04 Inputs'!M8)/('Plant04 Inputs'!AW7/'Plant04 Inputs'!M7)-1)),2)</f>
        <v/>
      </c>
      <c r="K65">
        <f>ROUND(IF(OR('Plant04 Inputs'!M8=0,'Plant04 Inputs'!AW8=0,'Plant04 Inputs'!M9=0),0,100*(('Plant04 Inputs'!AW9/'Plant04 Inputs'!M9)/('Plant04 Inputs'!AW8/'Plant04 Inputs'!M8)-1)),2)</f>
        <v/>
      </c>
      <c r="L65" t="inlineStr">
        <is>
          <t>good_output_t, power_cost_k</t>
        </is>
      </c>
    </row>
    <row r="66">
      <c r="A66" t="inlineStr">
        <is>
          <t>SIG-001</t>
        </is>
      </c>
      <c r="B66" t="inlineStr">
        <is>
          <t>Unplanned downtime (same measure as REL-003)</t>
        </is>
      </c>
      <c r="C66" t="inlineStr">
        <is>
          <t>h</t>
        </is>
      </c>
      <c r="D66" t="inlineStr">
        <is>
          <t>Month</t>
        </is>
      </c>
      <c r="E66" t="inlineStr">
        <is>
          <t>Alias of REL-003: same value</t>
        </is>
      </c>
      <c r="F66">
        <f>F10</f>
        <v/>
      </c>
      <c r="G66">
        <f>G10</f>
        <v/>
      </c>
      <c r="H66">
        <f>H10</f>
        <v/>
      </c>
      <c r="I66">
        <f>I10</f>
        <v/>
      </c>
      <c r="J66">
        <f>J10</f>
        <v/>
      </c>
      <c r="K66">
        <f>K10</f>
        <v/>
      </c>
      <c r="L66" t="inlineStr">
        <is>
          <t>unplanned_downtime_hours</t>
        </is>
      </c>
    </row>
    <row r="67">
      <c r="A67" t="inlineStr">
        <is>
          <t>SIG-002</t>
        </is>
      </c>
      <c r="B67" t="inlineStr">
        <is>
          <t>Yield (same measure as PLT-005)</t>
        </is>
      </c>
      <c r="C67" t="inlineStr">
        <is>
          <t>%</t>
        </is>
      </c>
      <c r="D67" t="inlineStr">
        <is>
          <t>Month</t>
        </is>
      </c>
      <c r="E67" t="inlineStr">
        <is>
          <t>Alias of PLT-005: same value</t>
        </is>
      </c>
      <c r="F67">
        <f>F7</f>
        <v/>
      </c>
      <c r="G67">
        <f>G7</f>
        <v/>
      </c>
      <c r="H67">
        <f>H7</f>
        <v/>
      </c>
      <c r="I67">
        <f>I7</f>
        <v/>
      </c>
      <c r="J67">
        <f>J7</f>
        <v/>
      </c>
      <c r="K67">
        <f>K7</f>
        <v/>
      </c>
      <c r="L67" t="inlineStr">
        <is>
          <t>good_output_t, feed_input_t</t>
        </is>
      </c>
    </row>
    <row r="68">
      <c r="A68" t="inlineStr">
        <is>
          <t>SIG-003</t>
        </is>
      </c>
      <c r="B68" t="inlineStr">
        <is>
          <t>Recovery percentage (same measure as PLT-004)</t>
        </is>
      </c>
      <c r="C68" t="inlineStr">
        <is>
          <t>%</t>
        </is>
      </c>
      <c r="D68" t="inlineStr">
        <is>
          <t>Month</t>
        </is>
      </c>
      <c r="E68" t="inlineStr">
        <is>
          <t>Alias of PLT-004: same value</t>
        </is>
      </c>
      <c r="F68">
        <f>F6</f>
        <v/>
      </c>
      <c r="G68">
        <f>G6</f>
        <v/>
      </c>
      <c r="H68">
        <f>H6</f>
        <v/>
      </c>
      <c r="I68">
        <f>I6</f>
        <v/>
      </c>
      <c r="J68">
        <f>J6</f>
        <v/>
      </c>
      <c r="K68">
        <f>K6</f>
        <v/>
      </c>
      <c r="L68" t="inlineStr">
        <is>
          <t>feed_contained_t, recovered_contained_t</t>
        </is>
      </c>
    </row>
    <row r="69">
      <c r="A69" t="inlineStr">
        <is>
          <t>SIG-019</t>
        </is>
      </c>
      <c r="B69" t="inlineStr">
        <is>
          <t>Regulatory deadlines, next 30 days (same measure as REG-002)</t>
        </is>
      </c>
      <c r="C69" t="inlineStr">
        <is>
          <t>count</t>
        </is>
      </c>
      <c r="D69" t="inlineStr">
        <is>
          <t>Month end</t>
        </is>
      </c>
      <c r="E69" t="inlineStr">
        <is>
          <t>Alias of REG-002: same value</t>
        </is>
      </c>
      <c r="F69">
        <f>F46</f>
        <v/>
      </c>
      <c r="G69">
        <f>G46</f>
        <v/>
      </c>
      <c r="H69">
        <f>H46</f>
        <v/>
      </c>
      <c r="I69">
        <f>I46</f>
        <v/>
      </c>
      <c r="J69">
        <f>J46</f>
        <v/>
      </c>
      <c r="K69">
        <f>K46</f>
        <v/>
      </c>
      <c r="L69" t="inlineStr">
        <is>
          <t>reg_deadlines_30d</t>
        </is>
      </c>
    </row>
    <row r="70">
      <c r="A70" t="inlineStr">
        <is>
          <t>SIG-020</t>
        </is>
      </c>
      <c r="B70" t="inlineStr">
        <is>
          <t>Licence expirations, next 12 months (same measure as REG-003)</t>
        </is>
      </c>
      <c r="C70" t="inlineStr">
        <is>
          <t>count</t>
        </is>
      </c>
      <c r="D70" t="inlineStr">
        <is>
          <t>Month end</t>
        </is>
      </c>
      <c r="E70" t="inlineStr">
        <is>
          <t>Alias of REG-003: same value</t>
        </is>
      </c>
      <c r="F70">
        <f>F47</f>
        <v/>
      </c>
      <c r="G70">
        <f>G47</f>
        <v/>
      </c>
      <c r="H70">
        <f>H47</f>
        <v/>
      </c>
      <c r="I70">
        <f>I47</f>
        <v/>
      </c>
      <c r="J70">
        <f>J47</f>
        <v/>
      </c>
      <c r="K70">
        <f>K47</f>
        <v/>
      </c>
      <c r="L70" t="inlineStr">
        <is>
          <t>licences_expiring_12m</t>
        </is>
      </c>
    </row>
    <row r="71">
      <c r="A71" t="inlineStr">
        <is>
          <t>RSK-002</t>
        </is>
      </c>
      <c r="B71" t="inlineStr">
        <is>
          <t>Severity incidents (same measure as EHS-002)</t>
        </is>
      </c>
      <c r="C71" t="inlineStr">
        <is>
          <t>count</t>
        </is>
      </c>
      <c r="D71" t="inlineStr">
        <is>
          <t>Month</t>
        </is>
      </c>
      <c r="E71" t="inlineStr">
        <is>
          <t>Alias of EHS-002: same value</t>
        </is>
      </c>
      <c r="F71">
        <f>F25</f>
        <v/>
      </c>
      <c r="G71">
        <f>G25</f>
        <v/>
      </c>
      <c r="H71">
        <f>H25</f>
        <v/>
      </c>
      <c r="I71">
        <f>I25</f>
        <v/>
      </c>
      <c r="J71">
        <f>J25</f>
        <v/>
      </c>
      <c r="K71">
        <f>K25</f>
        <v/>
      </c>
      <c r="L71" t="inlineStr">
        <is>
          <t>severity_incidents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7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10" customWidth="1" min="3" max="3"/>
    <col width="12" customWidth="1" min="4" max="4"/>
    <col width="60" customWidth="1" min="5" max="5"/>
  </cols>
  <sheetData>
    <row r="1">
      <c r="A1" s="26" t="inlineStr">
        <is>
          <t>KPI ID</t>
        </is>
      </c>
      <c r="B1" s="26" t="inlineStr">
        <is>
          <t>Measure</t>
        </is>
      </c>
      <c r="C1" s="26" t="inlineStr">
        <is>
          <t>Unit</t>
        </is>
      </c>
      <c r="D1" s="26" t="inlineStr">
        <is>
          <t>Time basis</t>
        </is>
      </c>
      <c r="E1" s="26" t="inlineStr">
        <is>
          <t>How it is calculated</t>
        </is>
      </c>
      <c r="F1" s="26" t="inlineStr">
        <is>
          <t>2026-04 (P01)</t>
        </is>
      </c>
      <c r="G1" s="26" t="inlineStr">
        <is>
          <t>2026-05 (P02)</t>
        </is>
      </c>
      <c r="H1" s="26" t="inlineStr">
        <is>
          <t>2026-06 (P03)</t>
        </is>
      </c>
      <c r="I1" s="26" t="inlineStr">
        <is>
          <t>2026-07 (P04)</t>
        </is>
      </c>
      <c r="J1" s="26" t="inlineStr">
        <is>
          <t>2026-08 (P05)</t>
        </is>
      </c>
      <c r="K1" s="26" t="inlineStr">
        <is>
          <t>2026-09 (P06)</t>
        </is>
      </c>
      <c r="L1" s="26" t="inlineStr">
        <is>
          <t>Inputs used</t>
        </is>
      </c>
    </row>
    <row r="2">
      <c r="A2" t="inlineStr">
        <is>
          <t>OPS-001</t>
        </is>
      </c>
      <c r="B2" t="inlineStr">
        <is>
          <t>Production vs plan</t>
        </is>
      </c>
      <c r="C2" t="inlineStr">
        <is>
          <t>%</t>
        </is>
      </c>
      <c r="D2" t="inlineStr">
        <is>
          <t>Month</t>
        </is>
      </c>
      <c r="E2" t="inlineStr">
        <is>
          <t>Good output ÷ Planned production × 100</t>
        </is>
      </c>
      <c r="F2">
        <f>ROUND(IFERROR(100*'Plant05 Inputs'!M4/'Plant05 Inputs'!K4,0),2)</f>
        <v/>
      </c>
      <c r="G2">
        <f>ROUND(IFERROR(100*'Plant05 Inputs'!M5/'Plant05 Inputs'!K5,0),2)</f>
        <v/>
      </c>
      <c r="H2">
        <f>ROUND(IFERROR(100*'Plant05 Inputs'!M6/'Plant05 Inputs'!K6,0),2)</f>
        <v/>
      </c>
      <c r="I2">
        <f>ROUND(IFERROR(100*'Plant05 Inputs'!M7/'Plant05 Inputs'!K7,0),2)</f>
        <v/>
      </c>
      <c r="J2">
        <f>ROUND(IFERROR(100*'Plant05 Inputs'!M8/'Plant05 Inputs'!K8,0),2)</f>
        <v/>
      </c>
      <c r="K2">
        <f>ROUND(IFERROR(100*'Plant05 Inputs'!M9/'Plant05 Inputs'!K9,0),2)</f>
        <v/>
      </c>
      <c r="L2" t="inlineStr">
        <is>
          <t>planned_production_t, good_output_t</t>
        </is>
      </c>
    </row>
    <row r="3">
      <c r="A3" t="inlineStr">
        <is>
          <t>OPS-003</t>
        </is>
      </c>
      <c r="B3" t="inlineStr">
        <is>
          <t>Capacity utilization</t>
        </is>
      </c>
      <c r="C3" t="inlineStr">
        <is>
          <t>%</t>
        </is>
      </c>
      <c r="D3" t="inlineStr">
        <is>
          <t>Month</t>
        </is>
      </c>
      <c r="E3" t="inlineStr">
        <is>
          <t>Good output ÷ Installed capacity × 100</t>
        </is>
      </c>
      <c r="F3">
        <f>ROUND(IFERROR(100*'Plant05 Inputs'!M4/'Plant05 Inputs'!J4,0),2)</f>
        <v/>
      </c>
      <c r="G3">
        <f>ROUND(IFERROR(100*'Plant05 Inputs'!M5/'Plant05 Inputs'!J5,0),2)</f>
        <v/>
      </c>
      <c r="H3">
        <f>ROUND(IFERROR(100*'Plant05 Inputs'!M6/'Plant05 Inputs'!J6,0),2)</f>
        <v/>
      </c>
      <c r="I3">
        <f>ROUND(IFERROR(100*'Plant05 Inputs'!M7/'Plant05 Inputs'!J7,0),2)</f>
        <v/>
      </c>
      <c r="J3">
        <f>ROUND(IFERROR(100*'Plant05 Inputs'!M8/'Plant05 Inputs'!J8,0),2)</f>
        <v/>
      </c>
      <c r="K3">
        <f>ROUND(IFERROR(100*'Plant05 Inputs'!M9/'Plant05 Inputs'!J9,0),2)</f>
        <v/>
      </c>
      <c r="L3" t="inlineStr">
        <is>
          <t>installed_capacity_t, good_output_t</t>
        </is>
      </c>
    </row>
    <row r="4">
      <c r="A4" t="inlineStr">
        <is>
          <t>PLT-001</t>
        </is>
      </c>
      <c r="B4" t="inlineStr">
        <is>
          <t>Asset utilization</t>
        </is>
      </c>
      <c r="C4" t="inlineStr">
        <is>
          <t>%</t>
        </is>
      </c>
      <c r="D4" t="inlineStr">
        <is>
          <t>Month</t>
        </is>
      </c>
      <c r="E4" t="inlineStr">
        <is>
          <t>Run hours ÷ Calendar hours × 100</t>
        </is>
      </c>
      <c r="F4">
        <f>ROUND(IFERROR(100*'Plant05 Inputs'!G4/'Plant05 Inputs'!E4,0),2)</f>
        <v/>
      </c>
      <c r="G4">
        <f>ROUND(IFERROR(100*'Plant05 Inputs'!G5/'Plant05 Inputs'!E5,0),2)</f>
        <v/>
      </c>
      <c r="H4">
        <f>ROUND(IFERROR(100*'Plant05 Inputs'!G6/'Plant05 Inputs'!E6,0),2)</f>
        <v/>
      </c>
      <c r="I4">
        <f>ROUND(IFERROR(100*'Plant05 Inputs'!G7/'Plant05 Inputs'!E7,0),2)</f>
        <v/>
      </c>
      <c r="J4">
        <f>ROUND(IFERROR(100*'Plant05 Inputs'!G8/'Plant05 Inputs'!E8,0),2)</f>
        <v/>
      </c>
      <c r="K4">
        <f>ROUND(IFERROR(100*'Plant05 Inputs'!G9/'Plant05 Inputs'!E9,0),2)</f>
        <v/>
      </c>
      <c r="L4" t="inlineStr">
        <is>
          <t>calendar_hours, run_hours</t>
        </is>
      </c>
    </row>
    <row r="5">
      <c r="A5" t="inlineStr">
        <is>
          <t>PLT-002</t>
        </is>
      </c>
      <c r="B5" t="inlineStr">
        <is>
          <t>OEE</t>
        </is>
      </c>
      <c r="C5" t="inlineStr">
        <is>
          <t>%</t>
        </is>
      </c>
      <c r="D5" t="inlineStr">
        <is>
          <t>Month</t>
        </is>
      </c>
      <c r="E5" t="inlineStr">
        <is>
          <t>Availability × Performance × Quality = Good output ÷ Ideal output × 100</t>
        </is>
      </c>
      <c r="F5">
        <f>ROUND(IFERROR(100*'Plant05 Inputs'!M4/'Plant05 Inputs'!I4,0),2)</f>
        <v/>
      </c>
      <c r="G5">
        <f>ROUND(IFERROR(100*'Plant05 Inputs'!M5/'Plant05 Inputs'!I5,0),2)</f>
        <v/>
      </c>
      <c r="H5">
        <f>ROUND(IFERROR(100*'Plant05 Inputs'!M6/'Plant05 Inputs'!I6,0),2)</f>
        <v/>
      </c>
      <c r="I5">
        <f>ROUND(IFERROR(100*'Plant05 Inputs'!M7/'Plant05 Inputs'!I7,0),2)</f>
        <v/>
      </c>
      <c r="J5">
        <f>ROUND(IFERROR(100*'Plant05 Inputs'!M8/'Plant05 Inputs'!I8,0),2)</f>
        <v/>
      </c>
      <c r="K5">
        <f>ROUND(IFERROR(100*'Plant05 Inputs'!M9/'Plant05 Inputs'!I9,0),2)</f>
        <v/>
      </c>
      <c r="L5" t="inlineStr">
        <is>
          <t>ideal_output_t, good_output_t</t>
        </is>
      </c>
    </row>
    <row r="6">
      <c r="A6" t="inlineStr">
        <is>
          <t>PLT-004</t>
        </is>
      </c>
      <c r="B6" t="inlineStr">
        <is>
          <t>Recovery percentage</t>
        </is>
      </c>
      <c r="C6" t="inlineStr">
        <is>
          <t>%</t>
        </is>
      </c>
      <c r="D6" t="inlineStr">
        <is>
          <t>Month</t>
        </is>
      </c>
      <c r="E6" t="inlineStr">
        <is>
          <t>Valuable content recovered ÷ Valuable content in feed × 100</t>
        </is>
      </c>
      <c r="F6">
        <f>ROUND(IFERROR(100*'Plant05 Inputs'!P4/'Plant05 Inputs'!O4,0),2)</f>
        <v/>
      </c>
      <c r="G6">
        <f>ROUND(IFERROR(100*'Plant05 Inputs'!P5/'Plant05 Inputs'!O5,0),2)</f>
        <v/>
      </c>
      <c r="H6">
        <f>ROUND(IFERROR(100*'Plant05 Inputs'!P6/'Plant05 Inputs'!O6,0),2)</f>
        <v/>
      </c>
      <c r="I6">
        <f>ROUND(IFERROR(100*'Plant05 Inputs'!P7/'Plant05 Inputs'!O7,0),2)</f>
        <v/>
      </c>
      <c r="J6">
        <f>ROUND(IFERROR(100*'Plant05 Inputs'!P8/'Plant05 Inputs'!O8,0),2)</f>
        <v/>
      </c>
      <c r="K6">
        <f>ROUND(IFERROR(100*'Plant05 Inputs'!P9/'Plant05 Inputs'!O9,0),2)</f>
        <v/>
      </c>
      <c r="L6" t="inlineStr">
        <is>
          <t>feed_contained_t, recovered_contained_t</t>
        </is>
      </c>
    </row>
    <row r="7">
      <c r="A7" t="inlineStr">
        <is>
          <t>PLT-005</t>
        </is>
      </c>
      <c r="B7" t="inlineStr">
        <is>
          <t>Yield</t>
        </is>
      </c>
      <c r="C7" t="inlineStr">
        <is>
          <t>%</t>
        </is>
      </c>
      <c r="D7" t="inlineStr">
        <is>
          <t>Month</t>
        </is>
      </c>
      <c r="E7" t="inlineStr">
        <is>
          <t>Good output ÷ Feed input × 100</t>
        </is>
      </c>
      <c r="F7">
        <f>ROUND(IFERROR(100*'Plant05 Inputs'!M4/'Plant05 Inputs'!N4,0),2)</f>
        <v/>
      </c>
      <c r="G7">
        <f>ROUND(IFERROR(100*'Plant05 Inputs'!M5/'Plant05 Inputs'!N5,0),2)</f>
        <v/>
      </c>
      <c r="H7">
        <f>ROUND(IFERROR(100*'Plant05 Inputs'!M6/'Plant05 Inputs'!N6,0),2)</f>
        <v/>
      </c>
      <c r="I7">
        <f>ROUND(IFERROR(100*'Plant05 Inputs'!M7/'Plant05 Inputs'!N7,0),2)</f>
        <v/>
      </c>
      <c r="J7">
        <f>ROUND(IFERROR(100*'Plant05 Inputs'!M8/'Plant05 Inputs'!N8,0),2)</f>
        <v/>
      </c>
      <c r="K7">
        <f>ROUND(IFERROR(100*'Plant05 Inputs'!M9/'Plant05 Inputs'!N9,0),2)</f>
        <v/>
      </c>
      <c r="L7" t="inlineStr">
        <is>
          <t>good_output_t, feed_input_t</t>
        </is>
      </c>
    </row>
    <row r="8">
      <c r="A8" t="inlineStr">
        <is>
          <t>REL-001</t>
        </is>
      </c>
      <c r="B8" t="inlineStr">
        <is>
          <t>MTBF</t>
        </is>
      </c>
      <c r="C8" t="inlineStr">
        <is>
          <t>h</t>
        </is>
      </c>
      <c r="D8" t="inlineStr">
        <is>
          <t>Month</t>
        </is>
      </c>
      <c r="E8" t="inlineStr">
        <is>
          <t>Run hours ÷ Breakdowns</t>
        </is>
      </c>
      <c r="F8">
        <f>ROUND(IFERROR('Plant05 Inputs'!G4/'Plant05 Inputs'!R4,0),2)</f>
        <v/>
      </c>
      <c r="G8">
        <f>ROUND(IFERROR('Plant05 Inputs'!G5/'Plant05 Inputs'!R5,0),2)</f>
        <v/>
      </c>
      <c r="H8">
        <f>ROUND(IFERROR('Plant05 Inputs'!G6/'Plant05 Inputs'!R6,0),2)</f>
        <v/>
      </c>
      <c r="I8">
        <f>ROUND(IFERROR('Plant05 Inputs'!G7/'Plant05 Inputs'!R7,0),2)</f>
        <v/>
      </c>
      <c r="J8">
        <f>ROUND(IFERROR('Plant05 Inputs'!G8/'Plant05 Inputs'!R8,0),2)</f>
        <v/>
      </c>
      <c r="K8">
        <f>ROUND(IFERROR('Plant05 Inputs'!G9/'Plant05 Inputs'!R9,0),2)</f>
        <v/>
      </c>
      <c r="L8" t="inlineStr">
        <is>
          <t>run_hours, failures</t>
        </is>
      </c>
    </row>
    <row r="9">
      <c r="A9" t="inlineStr">
        <is>
          <t>REL-002</t>
        </is>
      </c>
      <c r="B9" t="inlineStr">
        <is>
          <t>Mean Time to Repair</t>
        </is>
      </c>
      <c r="C9" t="inlineStr">
        <is>
          <t>h</t>
        </is>
      </c>
      <c r="D9" t="inlineStr">
        <is>
          <t>Month</t>
        </is>
      </c>
      <c r="E9" t="inlineStr">
        <is>
          <t>Repair hours ÷ Breakdowns</t>
        </is>
      </c>
      <c r="F9">
        <f>ROUND(IFERROR('Plant05 Inputs'!S4/'Plant05 Inputs'!R4,0),2)</f>
        <v/>
      </c>
      <c r="G9">
        <f>ROUND(IFERROR('Plant05 Inputs'!S5/'Plant05 Inputs'!R5,0),2)</f>
        <v/>
      </c>
      <c r="H9">
        <f>ROUND(IFERROR('Plant05 Inputs'!S6/'Plant05 Inputs'!R6,0),2)</f>
        <v/>
      </c>
      <c r="I9">
        <f>ROUND(IFERROR('Plant05 Inputs'!S7/'Plant05 Inputs'!R7,0),2)</f>
        <v/>
      </c>
      <c r="J9">
        <f>ROUND(IFERROR('Plant05 Inputs'!S8/'Plant05 Inputs'!R8,0),2)</f>
        <v/>
      </c>
      <c r="K9">
        <f>ROUND(IFERROR('Plant05 Inputs'!S9/'Plant05 Inputs'!R9,0),2)</f>
        <v/>
      </c>
      <c r="L9" t="inlineStr">
        <is>
          <t>failures, repair_hours</t>
        </is>
      </c>
    </row>
    <row r="10">
      <c r="A10" t="inlineStr">
        <is>
          <t>REL-003</t>
        </is>
      </c>
      <c r="B10" t="inlineStr">
        <is>
          <t>Unplanned downtime</t>
        </is>
      </c>
      <c r="C10" t="inlineStr">
        <is>
          <t>h</t>
        </is>
      </c>
      <c r="D10" t="inlineStr">
        <is>
          <t>Month</t>
        </is>
      </c>
      <c r="E10" t="inlineStr">
        <is>
          <t>Unplanned downtime</t>
        </is>
      </c>
      <c r="F10">
        <f>ROUND('Plant05 Inputs'!H4,2)</f>
        <v/>
      </c>
      <c r="G10">
        <f>ROUND('Plant05 Inputs'!H5,2)</f>
        <v/>
      </c>
      <c r="H10">
        <f>ROUND('Plant05 Inputs'!H6,2)</f>
        <v/>
      </c>
      <c r="I10">
        <f>ROUND('Plant05 Inputs'!H7,2)</f>
        <v/>
      </c>
      <c r="J10">
        <f>ROUND('Plant05 Inputs'!H8,2)</f>
        <v/>
      </c>
      <c r="K10">
        <f>ROUND('Plant05 Inputs'!H9,2)</f>
        <v/>
      </c>
      <c r="L10" t="inlineStr">
        <is>
          <t>unplanned_downtime_hours</t>
        </is>
      </c>
    </row>
    <row r="11">
      <c r="A11" t="inlineStr">
        <is>
          <t>REL-004</t>
        </is>
      </c>
      <c r="B11" t="inlineStr">
        <is>
          <t>Production loss from downtime</t>
        </is>
      </c>
      <c r="C11" t="inlineStr">
        <is>
          <t>t</t>
        </is>
      </c>
      <c r="D11" t="inlineStr">
        <is>
          <t>Month</t>
        </is>
      </c>
      <c r="E11" t="inlineStr">
        <is>
          <t>Production lost to downtime</t>
        </is>
      </c>
      <c r="F11">
        <f>ROUND('Plant05 Inputs'!Q4,2)</f>
        <v/>
      </c>
      <c r="G11">
        <f>ROUND('Plant05 Inputs'!Q5,2)</f>
        <v/>
      </c>
      <c r="H11">
        <f>ROUND('Plant05 Inputs'!Q6,2)</f>
        <v/>
      </c>
      <c r="I11">
        <f>ROUND('Plant05 Inputs'!Q7,2)</f>
        <v/>
      </c>
      <c r="J11">
        <f>ROUND('Plant05 Inputs'!Q8,2)</f>
        <v/>
      </c>
      <c r="K11">
        <f>ROUND('Plant05 Inputs'!Q9,2)</f>
        <v/>
      </c>
      <c r="L11" t="inlineStr">
        <is>
          <t>prod_loss_downtime_t</t>
        </is>
      </c>
    </row>
    <row r="12">
      <c r="A12" t="inlineStr">
        <is>
          <t>REL-005</t>
        </is>
      </c>
      <c r="B12" t="inlineStr">
        <is>
          <t>Preventive-maintenance compliance</t>
        </is>
      </c>
      <c r="C12" t="inlineStr">
        <is>
          <t>%</t>
        </is>
      </c>
      <c r="D12" t="inlineStr">
        <is>
          <t>Month</t>
        </is>
      </c>
      <c r="E12" t="inlineStr">
        <is>
          <t>Preventive maintenance completed ÷ Preventive maintenance scheduled × 100</t>
        </is>
      </c>
      <c r="F12">
        <f>ROUND(IFERROR(100*'Plant05 Inputs'!U4/'Plant05 Inputs'!T4,0),2)</f>
        <v/>
      </c>
      <c r="G12">
        <f>ROUND(IFERROR(100*'Plant05 Inputs'!U5/'Plant05 Inputs'!T5,0),2)</f>
        <v/>
      </c>
      <c r="H12">
        <f>ROUND(IFERROR(100*'Plant05 Inputs'!U6/'Plant05 Inputs'!T6,0),2)</f>
        <v/>
      </c>
      <c r="I12">
        <f>ROUND(IFERROR(100*'Plant05 Inputs'!U7/'Plant05 Inputs'!T7,0),2)</f>
        <v/>
      </c>
      <c r="J12">
        <f>ROUND(IFERROR(100*'Plant05 Inputs'!U8/'Plant05 Inputs'!T8,0),2)</f>
        <v/>
      </c>
      <c r="K12">
        <f>ROUND(IFERROR(100*'Plant05 Inputs'!U9/'Plant05 Inputs'!T9,0),2)</f>
        <v/>
      </c>
      <c r="L12" t="inlineStr">
        <is>
          <t>pm_scheduled, pm_completed</t>
        </is>
      </c>
    </row>
    <row r="13">
      <c r="A13" t="inlineStr">
        <is>
          <t>CST-001</t>
        </is>
      </c>
      <c r="B13" t="inlineStr">
        <is>
          <t>Cost per tonne</t>
        </is>
      </c>
      <c r="C13" t="inlineStr">
        <is>
          <t>₹/t</t>
        </is>
      </c>
      <c r="D13" t="inlineStr">
        <is>
          <t>Month</t>
        </is>
      </c>
      <c r="E13" t="inlineStr">
        <is>
          <t>(Variable cost + Fixed cost) × 1000 ÷ Good output</t>
        </is>
      </c>
      <c r="F13">
        <f>ROUND(IFERROR(1000*('Plant05 Inputs'!V4+'Plant05 Inputs'!X4)/'Plant05 Inputs'!M4,0),2)</f>
        <v/>
      </c>
      <c r="G13">
        <f>ROUND(IFERROR(1000*('Plant05 Inputs'!V5+'Plant05 Inputs'!X5)/'Plant05 Inputs'!M5,0),2)</f>
        <v/>
      </c>
      <c r="H13">
        <f>ROUND(IFERROR(1000*('Plant05 Inputs'!V6+'Plant05 Inputs'!X6)/'Plant05 Inputs'!M6,0),2)</f>
        <v/>
      </c>
      <c r="I13">
        <f>ROUND(IFERROR(1000*('Plant05 Inputs'!V7+'Plant05 Inputs'!X7)/'Plant05 Inputs'!M7,0),2)</f>
        <v/>
      </c>
      <c r="J13">
        <f>ROUND(IFERROR(1000*('Plant05 Inputs'!V8+'Plant05 Inputs'!X8)/'Plant05 Inputs'!M8,0),2)</f>
        <v/>
      </c>
      <c r="K13">
        <f>ROUND(IFERROR(1000*('Plant05 Inputs'!V9+'Plant05 Inputs'!X9)/'Plant05 Inputs'!M9,0),2)</f>
        <v/>
      </c>
      <c r="L13" t="inlineStr">
        <is>
          <t>good_output_t, variable_cost_k, fixed_cost_k</t>
        </is>
      </c>
    </row>
    <row r="14">
      <c r="A14" t="inlineStr">
        <is>
          <t>CST-002</t>
        </is>
      </c>
      <c r="B14" t="inlineStr">
        <is>
          <t>Variable cost</t>
        </is>
      </c>
      <c r="C14" t="inlineStr">
        <is>
          <t>₹ thousand</t>
        </is>
      </c>
      <c r="D14" t="inlineStr">
        <is>
          <t>Month</t>
        </is>
      </c>
      <c r="E14" t="inlineStr">
        <is>
          <t>Variable cost</t>
        </is>
      </c>
      <c r="F14">
        <f>ROUND('Plant05 Inputs'!V4,2)</f>
        <v/>
      </c>
      <c r="G14">
        <f>ROUND('Plant05 Inputs'!V5,2)</f>
        <v/>
      </c>
      <c r="H14">
        <f>ROUND('Plant05 Inputs'!V6,2)</f>
        <v/>
      </c>
      <c r="I14">
        <f>ROUND('Plant05 Inputs'!V7,2)</f>
        <v/>
      </c>
      <c r="J14">
        <f>ROUND('Plant05 Inputs'!V8,2)</f>
        <v/>
      </c>
      <c r="K14">
        <f>ROUND('Plant05 Inputs'!V9,2)</f>
        <v/>
      </c>
      <c r="L14" t="inlineStr">
        <is>
          <t>variable_cost_k</t>
        </is>
      </c>
    </row>
    <row r="15">
      <c r="A15" t="inlineStr">
        <is>
          <t>CST-003</t>
        </is>
      </c>
      <c r="B15" t="inlineStr">
        <is>
          <t>Fuel cost</t>
        </is>
      </c>
      <c r="C15" t="inlineStr">
        <is>
          <t>₹ thousand</t>
        </is>
      </c>
      <c r="D15" t="inlineStr">
        <is>
          <t>Month</t>
        </is>
      </c>
      <c r="E15" t="inlineStr">
        <is>
          <t>Fuel cost</t>
        </is>
      </c>
      <c r="F15">
        <f>ROUND('Plant05 Inputs'!W4,2)</f>
        <v/>
      </c>
      <c r="G15">
        <f>ROUND('Plant05 Inputs'!W5,2)</f>
        <v/>
      </c>
      <c r="H15">
        <f>ROUND('Plant05 Inputs'!W6,2)</f>
        <v/>
      </c>
      <c r="I15">
        <f>ROUND('Plant05 Inputs'!W7,2)</f>
        <v/>
      </c>
      <c r="J15">
        <f>ROUND('Plant05 Inputs'!W8,2)</f>
        <v/>
      </c>
      <c r="K15">
        <f>ROUND('Plant05 Inputs'!W9,2)</f>
        <v/>
      </c>
      <c r="L15" t="inlineStr">
        <is>
          <t>fuel_cost_k</t>
        </is>
      </c>
    </row>
    <row r="16">
      <c r="A16" t="inlineStr">
        <is>
          <t>SUS-001</t>
        </is>
      </c>
      <c r="B16" t="inlineStr">
        <is>
          <t>Water usage</t>
        </is>
      </c>
      <c r="C16" t="inlineStr">
        <is>
          <t>m3</t>
        </is>
      </c>
      <c r="D16" t="inlineStr">
        <is>
          <t>Month</t>
        </is>
      </c>
      <c r="E16" t="inlineStr">
        <is>
          <t>Water used</t>
        </is>
      </c>
      <c r="F16">
        <f>ROUND('Plant05 Inputs'!Y4,2)</f>
        <v/>
      </c>
      <c r="G16">
        <f>ROUND('Plant05 Inputs'!Y5,2)</f>
        <v/>
      </c>
      <c r="H16">
        <f>ROUND('Plant05 Inputs'!Y6,2)</f>
        <v/>
      </c>
      <c r="I16">
        <f>ROUND('Plant05 Inputs'!Y7,2)</f>
        <v/>
      </c>
      <c r="J16">
        <f>ROUND('Plant05 Inputs'!Y8,2)</f>
        <v/>
      </c>
      <c r="K16">
        <f>ROUND('Plant05 Inputs'!Y9,2)</f>
        <v/>
      </c>
      <c r="L16" t="inlineStr">
        <is>
          <t>water_m3</t>
        </is>
      </c>
    </row>
    <row r="17">
      <c r="A17" t="inlineStr">
        <is>
          <t>SUS-002</t>
        </is>
      </c>
      <c r="B17" t="inlineStr">
        <is>
          <t>Emissions</t>
        </is>
      </c>
      <c r="C17" t="inlineStr">
        <is>
          <t>tCO2e</t>
        </is>
      </c>
      <c r="D17" t="inlineStr">
        <is>
          <t>Month</t>
        </is>
      </c>
      <c r="E17" t="inlineStr">
        <is>
          <t>Emissions</t>
        </is>
      </c>
      <c r="F17">
        <f>ROUND('Plant05 Inputs'!Z4,2)</f>
        <v/>
      </c>
      <c r="G17">
        <f>ROUND('Plant05 Inputs'!Z5,2)</f>
        <v/>
      </c>
      <c r="H17">
        <f>ROUND('Plant05 Inputs'!Z6,2)</f>
        <v/>
      </c>
      <c r="I17">
        <f>ROUND('Plant05 Inputs'!Z7,2)</f>
        <v/>
      </c>
      <c r="J17">
        <f>ROUND('Plant05 Inputs'!Z8,2)</f>
        <v/>
      </c>
      <c r="K17">
        <f>ROUND('Plant05 Inputs'!Z9,2)</f>
        <v/>
      </c>
      <c r="L17" t="inlineStr">
        <is>
          <t>emissions_tco2e</t>
        </is>
      </c>
    </row>
    <row r="18">
      <c r="A18" t="inlineStr">
        <is>
          <t>SUS-003</t>
        </is>
      </c>
      <c r="B18" t="inlineStr">
        <is>
          <t>Energy intensity</t>
        </is>
      </c>
      <c r="C18" t="inlineStr">
        <is>
          <t>GJ/t</t>
        </is>
      </c>
      <c r="D18" t="inlineStr">
        <is>
          <t>Month</t>
        </is>
      </c>
      <c r="E18" t="inlineStr">
        <is>
          <t>Energy used ÷ Good output</t>
        </is>
      </c>
      <c r="F18">
        <f>ROUND(IFERROR('Plant05 Inputs'!AA4/'Plant05 Inputs'!M4,0),2)</f>
        <v/>
      </c>
      <c r="G18">
        <f>ROUND(IFERROR('Plant05 Inputs'!AA5/'Plant05 Inputs'!M5,0),2)</f>
        <v/>
      </c>
      <c r="H18">
        <f>ROUND(IFERROR('Plant05 Inputs'!AA6/'Plant05 Inputs'!M6,0),2)</f>
        <v/>
      </c>
      <c r="I18">
        <f>ROUND(IFERROR('Plant05 Inputs'!AA7/'Plant05 Inputs'!M7,0),2)</f>
        <v/>
      </c>
      <c r="J18">
        <f>ROUND(IFERROR('Plant05 Inputs'!AA8/'Plant05 Inputs'!M8,0),2)</f>
        <v/>
      </c>
      <c r="K18">
        <f>ROUND(IFERROR('Plant05 Inputs'!AA9/'Plant05 Inputs'!M9,0),2)</f>
        <v/>
      </c>
      <c r="L18" t="inlineStr">
        <is>
          <t>good_output_t, energy_gj</t>
        </is>
      </c>
    </row>
    <row r="19">
      <c r="A19" t="inlineStr">
        <is>
          <t>SIG-007</t>
        </is>
      </c>
      <c r="B19" t="inlineStr">
        <is>
          <t>Production at risk</t>
        </is>
      </c>
      <c r="C19" t="inlineStr">
        <is>
          <t>t</t>
        </is>
      </c>
      <c r="D19" t="inlineStr">
        <is>
          <t>Month</t>
        </is>
      </c>
      <c r="E19" t="inlineStr">
        <is>
          <t>Production at risk</t>
        </is>
      </c>
      <c r="F19">
        <f>ROUND('Plant05 Inputs'!AB4,2)</f>
        <v/>
      </c>
      <c r="G19">
        <f>ROUND('Plant05 Inputs'!AB5,2)</f>
        <v/>
      </c>
      <c r="H19">
        <f>ROUND('Plant05 Inputs'!AB6,2)</f>
        <v/>
      </c>
      <c r="I19">
        <f>ROUND('Plant05 Inputs'!AB7,2)</f>
        <v/>
      </c>
      <c r="J19">
        <f>ROUND('Plant05 Inputs'!AB8,2)</f>
        <v/>
      </c>
      <c r="K19">
        <f>ROUND('Plant05 Inputs'!AB9,2)</f>
        <v/>
      </c>
      <c r="L19" t="inlineStr">
        <is>
          <t>production_at_risk_t</t>
        </is>
      </c>
    </row>
    <row r="20">
      <c r="A20" t="inlineStr">
        <is>
          <t>SIG-008</t>
        </is>
      </c>
      <c r="B20" t="inlineStr">
        <is>
          <t>Critical plant-state alerts</t>
        </is>
      </c>
      <c r="C20" t="inlineStr">
        <is>
          <t>count</t>
        </is>
      </c>
      <c r="D20" t="inlineStr">
        <is>
          <t>Month</t>
        </is>
      </c>
      <c r="E20" t="inlineStr">
        <is>
          <t>Critical plant alerts</t>
        </is>
      </c>
      <c r="F20">
        <f>ROUND('Plant05 Inputs'!AC4,2)</f>
        <v/>
      </c>
      <c r="G20">
        <f>ROUND('Plant05 Inputs'!AC5,2)</f>
        <v/>
      </c>
      <c r="H20">
        <f>ROUND('Plant05 Inputs'!AC6,2)</f>
        <v/>
      </c>
      <c r="I20">
        <f>ROUND('Plant05 Inputs'!AC7,2)</f>
        <v/>
      </c>
      <c r="J20">
        <f>ROUND('Plant05 Inputs'!AC8,2)</f>
        <v/>
      </c>
      <c r="K20">
        <f>ROUND('Plant05 Inputs'!AC9,2)</f>
        <v/>
      </c>
      <c r="L20" t="inlineStr">
        <is>
          <t>critical_plant_alerts</t>
        </is>
      </c>
    </row>
    <row r="21">
      <c r="A21" t="inlineStr">
        <is>
          <t>SIG-009</t>
        </is>
      </c>
      <c r="B21" t="inlineStr">
        <is>
          <t>Critical-material shortage risk</t>
        </is>
      </c>
      <c r="C21" t="inlineStr">
        <is>
          <t>count</t>
        </is>
      </c>
      <c r="D21" t="inlineStr">
        <is>
          <t>Month</t>
        </is>
      </c>
      <c r="E21" t="inlineStr">
        <is>
          <t>Critical materials at risk</t>
        </is>
      </c>
      <c r="F21">
        <f>ROUND('Plant05 Inputs'!AO4,2)</f>
        <v/>
      </c>
      <c r="G21">
        <f>ROUND('Plant05 Inputs'!AO5,2)</f>
        <v/>
      </c>
      <c r="H21">
        <f>ROUND('Plant05 Inputs'!AO6,2)</f>
        <v/>
      </c>
      <c r="I21">
        <f>ROUND('Plant05 Inputs'!AO7,2)</f>
        <v/>
      </c>
      <c r="J21">
        <f>ROUND('Plant05 Inputs'!AO8,2)</f>
        <v/>
      </c>
      <c r="K21">
        <f>ROUND('Plant05 Inputs'!AO9,2)</f>
        <v/>
      </c>
      <c r="L21" t="inlineStr">
        <is>
          <t>critical_material_risks</t>
        </is>
      </c>
    </row>
    <row r="22">
      <c r="A22" t="inlineStr">
        <is>
          <t>SIG-012</t>
        </is>
      </c>
      <c r="B22" t="inlineStr">
        <is>
          <t>Dispatch delays</t>
        </is>
      </c>
      <c r="C22" t="inlineStr">
        <is>
          <t>%</t>
        </is>
      </c>
      <c r="D22" t="inlineStr">
        <is>
          <t>Month</t>
        </is>
      </c>
      <c r="E22" t="inlineStr">
        <is>
          <t>Delayed dispatches ÷ Dispatches × 100</t>
        </is>
      </c>
      <c r="F22">
        <f>ROUND(IFERROR(100*'Plant05 Inputs'!AQ4/'Plant05 Inputs'!AP4,0),2)</f>
        <v/>
      </c>
      <c r="G22">
        <f>ROUND(IFERROR(100*'Plant05 Inputs'!AQ5/'Plant05 Inputs'!AP5,0),2)</f>
        <v/>
      </c>
      <c r="H22">
        <f>ROUND(IFERROR(100*'Plant05 Inputs'!AQ6/'Plant05 Inputs'!AP6,0),2)</f>
        <v/>
      </c>
      <c r="I22">
        <f>ROUND(IFERROR(100*'Plant05 Inputs'!AQ7/'Plant05 Inputs'!AP7,0),2)</f>
        <v/>
      </c>
      <c r="J22">
        <f>ROUND(IFERROR(100*'Plant05 Inputs'!AQ8/'Plant05 Inputs'!AP8,0),2)</f>
        <v/>
      </c>
      <c r="K22">
        <f>ROUND(IFERROR(100*'Plant05 Inputs'!AQ9/'Plant05 Inputs'!AP9,0),2)</f>
        <v/>
      </c>
      <c r="L22" t="inlineStr">
        <is>
          <t>dispatches_total, dispatches_delayed</t>
        </is>
      </c>
    </row>
    <row r="23">
      <c r="A23" t="inlineStr">
        <is>
          <t>SIG-021</t>
        </is>
      </c>
      <c r="B23" t="inlineStr">
        <is>
          <t>Environmental violations</t>
        </is>
      </c>
      <c r="C23" t="inlineStr">
        <is>
          <t>count</t>
        </is>
      </c>
      <c r="D23" t="inlineStr">
        <is>
          <t>Month</t>
        </is>
      </c>
      <c r="E23" t="inlineStr">
        <is>
          <t>Environmental violations</t>
        </is>
      </c>
      <c r="F23">
        <f>ROUND('Plant05 Inputs'!AJ4,2)</f>
        <v/>
      </c>
      <c r="G23">
        <f>ROUND('Plant05 Inputs'!AJ5,2)</f>
        <v/>
      </c>
      <c r="H23">
        <f>ROUND('Plant05 Inputs'!AJ6,2)</f>
        <v/>
      </c>
      <c r="I23">
        <f>ROUND('Plant05 Inputs'!AJ7,2)</f>
        <v/>
      </c>
      <c r="J23">
        <f>ROUND('Plant05 Inputs'!AJ8,2)</f>
        <v/>
      </c>
      <c r="K23">
        <f>ROUND('Plant05 Inputs'!AJ9,2)</f>
        <v/>
      </c>
      <c r="L23" t="inlineStr">
        <is>
          <t>env_violations</t>
        </is>
      </c>
    </row>
    <row r="24">
      <c r="A24" t="inlineStr">
        <is>
          <t>EHS-001</t>
        </is>
      </c>
      <c r="B24" t="inlineStr">
        <is>
          <t>TRIR</t>
        </is>
      </c>
      <c r="C24" t="inlineStr">
        <is>
          <t>per 200,000 h</t>
        </is>
      </c>
      <c r="D24" t="inlineStr">
        <is>
          <t>Month</t>
        </is>
      </c>
      <c r="E24" t="inlineStr">
        <is>
          <t>Recordable injuries × 200,000 ÷ Hours worked</t>
        </is>
      </c>
      <c r="F24">
        <f>ROUND(IFERROR(200000*'Plant05 Inputs'!AE4/'Plant05 Inputs'!AD4,0),2)</f>
        <v/>
      </c>
      <c r="G24">
        <f>ROUND(IFERROR(200000*'Plant05 Inputs'!AE5/'Plant05 Inputs'!AD5,0),2)</f>
        <v/>
      </c>
      <c r="H24">
        <f>ROUND(IFERROR(200000*'Plant05 Inputs'!AE6/'Plant05 Inputs'!AD6,0),2)</f>
        <v/>
      </c>
      <c r="I24">
        <f>ROUND(IFERROR(200000*'Plant05 Inputs'!AE7/'Plant05 Inputs'!AD7,0),2)</f>
        <v/>
      </c>
      <c r="J24">
        <f>ROUND(IFERROR(200000*'Plant05 Inputs'!AE8/'Plant05 Inputs'!AD8,0),2)</f>
        <v/>
      </c>
      <c r="K24">
        <f>ROUND(IFERROR(200000*'Plant05 Inputs'!AE9/'Plant05 Inputs'!AD9,0),2)</f>
        <v/>
      </c>
      <c r="L24" t="inlineStr">
        <is>
          <t>hours_worked, recordable_injuries</t>
        </is>
      </c>
    </row>
    <row r="25">
      <c r="A25" t="inlineStr">
        <is>
          <t>EHS-002</t>
        </is>
      </c>
      <c r="B25" t="inlineStr">
        <is>
          <t>Severity incidents</t>
        </is>
      </c>
      <c r="C25" t="inlineStr">
        <is>
          <t>count</t>
        </is>
      </c>
      <c r="D25" t="inlineStr">
        <is>
          <t>Month</t>
        </is>
      </c>
      <c r="E25" t="inlineStr">
        <is>
          <t>Severity incidents</t>
        </is>
      </c>
      <c r="F25">
        <f>ROUND('Plant05 Inputs'!AF4,2)</f>
        <v/>
      </c>
      <c r="G25">
        <f>ROUND('Plant05 Inputs'!AF5,2)</f>
        <v/>
      </c>
      <c r="H25">
        <f>ROUND('Plant05 Inputs'!AF6,2)</f>
        <v/>
      </c>
      <c r="I25">
        <f>ROUND('Plant05 Inputs'!AF7,2)</f>
        <v/>
      </c>
      <c r="J25">
        <f>ROUND('Plant05 Inputs'!AF8,2)</f>
        <v/>
      </c>
      <c r="K25">
        <f>ROUND('Plant05 Inputs'!AF9,2)</f>
        <v/>
      </c>
      <c r="L25" t="inlineStr">
        <is>
          <t>severity_incidents</t>
        </is>
      </c>
    </row>
    <row r="26">
      <c r="A26" t="inlineStr">
        <is>
          <t>EHS-003</t>
        </is>
      </c>
      <c r="B26" t="inlineStr">
        <is>
          <t>Near misses</t>
        </is>
      </c>
      <c r="C26" t="inlineStr">
        <is>
          <t>count</t>
        </is>
      </c>
      <c r="D26" t="inlineStr">
        <is>
          <t>Month</t>
        </is>
      </c>
      <c r="E26" t="inlineStr">
        <is>
          <t>Near misses</t>
        </is>
      </c>
      <c r="F26">
        <f>ROUND('Plant05 Inputs'!AG4,2)</f>
        <v/>
      </c>
      <c r="G26">
        <f>ROUND('Plant05 Inputs'!AG5,2)</f>
        <v/>
      </c>
      <c r="H26">
        <f>ROUND('Plant05 Inputs'!AG6,2)</f>
        <v/>
      </c>
      <c r="I26">
        <f>ROUND('Plant05 Inputs'!AG7,2)</f>
        <v/>
      </c>
      <c r="J26">
        <f>ROUND('Plant05 Inputs'!AG8,2)</f>
        <v/>
      </c>
      <c r="K26">
        <f>ROUND('Plant05 Inputs'!AG9,2)</f>
        <v/>
      </c>
      <c r="L26" t="inlineStr">
        <is>
          <t>near_misses</t>
        </is>
      </c>
    </row>
    <row r="27">
      <c r="A27" t="inlineStr">
        <is>
          <t>EHS-004</t>
        </is>
      </c>
      <c r="B27" t="inlineStr">
        <is>
          <t>Critical safety incidents</t>
        </is>
      </c>
      <c r="C27" t="inlineStr">
        <is>
          <t>count</t>
        </is>
      </c>
      <c r="D27" t="inlineStr">
        <is>
          <t>Month</t>
        </is>
      </c>
      <c r="E27" t="inlineStr">
        <is>
          <t>Critical safety incidents</t>
        </is>
      </c>
      <c r="F27">
        <f>ROUND('Plant05 Inputs'!AH4,2)</f>
        <v/>
      </c>
      <c r="G27">
        <f>ROUND('Plant05 Inputs'!AH5,2)</f>
        <v/>
      </c>
      <c r="H27">
        <f>ROUND('Plant05 Inputs'!AH6,2)</f>
        <v/>
      </c>
      <c r="I27">
        <f>ROUND('Plant05 Inputs'!AH7,2)</f>
        <v/>
      </c>
      <c r="J27">
        <f>ROUND('Plant05 Inputs'!AH8,2)</f>
        <v/>
      </c>
      <c r="K27">
        <f>ROUND('Plant05 Inputs'!AH9,2)</f>
        <v/>
      </c>
      <c r="L27" t="inlineStr">
        <is>
          <t>critical_safety_incidents</t>
        </is>
      </c>
    </row>
    <row r="28">
      <c r="A28" t="inlineStr">
        <is>
          <t>EHS-005</t>
        </is>
      </c>
      <c r="B28" t="inlineStr">
        <is>
          <t>Environmental excursions</t>
        </is>
      </c>
      <c r="C28" t="inlineStr">
        <is>
          <t>count</t>
        </is>
      </c>
      <c r="D28" t="inlineStr">
        <is>
          <t>Month</t>
        </is>
      </c>
      <c r="E28" t="inlineStr">
        <is>
          <t>Environmental excursions</t>
        </is>
      </c>
      <c r="F28">
        <f>ROUND('Plant05 Inputs'!AI4,2)</f>
        <v/>
      </c>
      <c r="G28">
        <f>ROUND('Plant05 Inputs'!AI5,2)</f>
        <v/>
      </c>
      <c r="H28">
        <f>ROUND('Plant05 Inputs'!AI6,2)</f>
        <v/>
      </c>
      <c r="I28">
        <f>ROUND('Plant05 Inputs'!AI7,2)</f>
        <v/>
      </c>
      <c r="J28">
        <f>ROUND('Plant05 Inputs'!AI8,2)</f>
        <v/>
      </c>
      <c r="K28">
        <f>ROUND('Plant05 Inputs'!AI9,2)</f>
        <v/>
      </c>
      <c r="L28" t="inlineStr">
        <is>
          <t>env_excursions</t>
        </is>
      </c>
    </row>
    <row r="29">
      <c r="A29" t="inlineStr">
        <is>
          <t>EHS-006</t>
        </is>
      </c>
      <c r="B29" t="inlineStr">
        <is>
          <t>Open EHS corrective actions</t>
        </is>
      </c>
      <c r="C29" t="inlineStr">
        <is>
          <t>count</t>
        </is>
      </c>
      <c r="D29" t="inlineStr">
        <is>
          <t>Month</t>
        </is>
      </c>
      <c r="E29" t="inlineStr">
        <is>
          <t>Open EHS corrective actions</t>
        </is>
      </c>
      <c r="F29">
        <f>ROUND('Plant05 Inputs'!AK4,2)</f>
        <v/>
      </c>
      <c r="G29">
        <f>ROUND('Plant05 Inputs'!AK5,2)</f>
        <v/>
      </c>
      <c r="H29">
        <f>ROUND('Plant05 Inputs'!AK6,2)</f>
        <v/>
      </c>
      <c r="I29">
        <f>ROUND('Plant05 Inputs'!AK7,2)</f>
        <v/>
      </c>
      <c r="J29">
        <f>ROUND('Plant05 Inputs'!AK8,2)</f>
        <v/>
      </c>
      <c r="K29">
        <f>ROUND('Plant05 Inputs'!AK9,2)</f>
        <v/>
      </c>
      <c r="L29" t="inlineStr">
        <is>
          <t>ehs_ca_open</t>
        </is>
      </c>
    </row>
    <row r="30">
      <c r="A30" t="inlineStr">
        <is>
          <t>EHS-007</t>
        </is>
      </c>
      <c r="B30" t="inlineStr">
        <is>
          <t>Overdue EHS actions</t>
        </is>
      </c>
      <c r="C30" t="inlineStr">
        <is>
          <t>count</t>
        </is>
      </c>
      <c r="D30" t="inlineStr">
        <is>
          <t>Month</t>
        </is>
      </c>
      <c r="E30" t="inlineStr">
        <is>
          <t>Overdue EHS corrective actions</t>
        </is>
      </c>
      <c r="F30">
        <f>ROUND('Plant05 Inputs'!AL4,2)</f>
        <v/>
      </c>
      <c r="G30">
        <f>ROUND('Plant05 Inputs'!AL5,2)</f>
        <v/>
      </c>
      <c r="H30">
        <f>ROUND('Plant05 Inputs'!AL6,2)</f>
        <v/>
      </c>
      <c r="I30">
        <f>ROUND('Plant05 Inputs'!AL7,2)</f>
        <v/>
      </c>
      <c r="J30">
        <f>ROUND('Plant05 Inputs'!AL8,2)</f>
        <v/>
      </c>
      <c r="K30">
        <f>ROUND('Plant05 Inputs'!AL9,2)</f>
        <v/>
      </c>
      <c r="L30" t="inlineStr">
        <is>
          <t>ehs_ca_overdue</t>
        </is>
      </c>
    </row>
    <row r="31">
      <c r="A31" t="inlineStr">
        <is>
          <t>EHS-009</t>
        </is>
      </c>
      <c r="B31" t="inlineStr">
        <is>
          <t>EHS investigation completion</t>
        </is>
      </c>
      <c r="C31" t="inlineStr">
        <is>
          <t>%</t>
        </is>
      </c>
      <c r="D31" t="inlineStr">
        <is>
          <t>Month</t>
        </is>
      </c>
      <c r="E31" t="inlineStr">
        <is>
          <t>EHS investigations completed ÷ EHS investigations due × 100 (100 if none due)</t>
        </is>
      </c>
      <c r="F31">
        <f>ROUND(IF('Plant05 Inputs'!AM4=0,100,100*'Plant05 Inputs'!AN4/'Plant05 Inputs'!AM4),2)</f>
        <v/>
      </c>
      <c r="G31">
        <f>ROUND(IF('Plant05 Inputs'!AM5=0,100,100*'Plant05 Inputs'!AN5/'Plant05 Inputs'!AM5),2)</f>
        <v/>
      </c>
      <c r="H31">
        <f>ROUND(IF('Plant05 Inputs'!AM6=0,100,100*'Plant05 Inputs'!AN6/'Plant05 Inputs'!AM6),2)</f>
        <v/>
      </c>
      <c r="I31">
        <f>ROUND(IF('Plant05 Inputs'!AM7=0,100,100*'Plant05 Inputs'!AN7/'Plant05 Inputs'!AM7),2)</f>
        <v/>
      </c>
      <c r="J31">
        <f>ROUND(IF('Plant05 Inputs'!AM8=0,100,100*'Plant05 Inputs'!AN8/'Plant05 Inputs'!AM8),2)</f>
        <v/>
      </c>
      <c r="K31">
        <f>ROUND(IF('Plant05 Inputs'!AM9=0,100,100*'Plant05 Inputs'!AN9/'Plant05 Inputs'!AM9),2)</f>
        <v/>
      </c>
      <c r="L31" t="inlineStr">
        <is>
          <t>investigations_due, investigations_completed</t>
        </is>
      </c>
    </row>
    <row r="32">
      <c r="A32" t="inlineStr">
        <is>
          <t>REG-006</t>
        </is>
      </c>
      <c r="B32" t="inlineStr">
        <is>
          <t>Licence or permit expiry clock</t>
        </is>
      </c>
      <c r="C32" t="inlineStr">
        <is>
          <t>days</t>
        </is>
      </c>
      <c r="D32" t="inlineStr">
        <is>
          <t>Month</t>
        </is>
      </c>
      <c r="E32" t="inlineStr">
        <is>
          <t>Days to permit expiry (lowest plant)</t>
        </is>
      </c>
      <c r="F32">
        <f>ROUND('Plant05 Inputs'!AR4,2)</f>
        <v/>
      </c>
      <c r="G32">
        <f>ROUND('Plant05 Inputs'!AR5,2)</f>
        <v/>
      </c>
      <c r="H32">
        <f>ROUND('Plant05 Inputs'!AR6,2)</f>
        <v/>
      </c>
      <c r="I32">
        <f>ROUND('Plant05 Inputs'!AR7,2)</f>
        <v/>
      </c>
      <c r="J32">
        <f>ROUND('Plant05 Inputs'!AR8,2)</f>
        <v/>
      </c>
      <c r="K32">
        <f>ROUND('Plant05 Inputs'!AR9,2)</f>
        <v/>
      </c>
      <c r="L32" t="inlineStr">
        <is>
          <t>permit_days_to_expiry</t>
        </is>
      </c>
    </row>
    <row r="33">
      <c r="A33" t="inlineStr">
        <is>
          <t>OPS-005</t>
        </is>
      </c>
      <c r="B33" t="inlineStr">
        <is>
          <t>Capacity utilisation (same measure as OPS-003)</t>
        </is>
      </c>
      <c r="C33" t="inlineStr">
        <is>
          <t>%</t>
        </is>
      </c>
      <c r="D33" t="inlineStr">
        <is>
          <t>Month</t>
        </is>
      </c>
      <c r="E33" t="inlineStr">
        <is>
          <t>Good output ÷ Installed capacity × 100</t>
        </is>
      </c>
      <c r="F33">
        <f>ROUND(IFERROR(100*'Plant05 Inputs'!M4/'Plant05 Inputs'!J4,0),2)</f>
        <v/>
      </c>
      <c r="G33">
        <f>ROUND(IFERROR(100*'Plant05 Inputs'!M5/'Plant05 Inputs'!J5,0),2)</f>
        <v/>
      </c>
      <c r="H33">
        <f>ROUND(IFERROR(100*'Plant05 Inputs'!M6/'Plant05 Inputs'!J6,0),2)</f>
        <v/>
      </c>
      <c r="I33">
        <f>ROUND(IFERROR(100*'Plant05 Inputs'!M7/'Plant05 Inputs'!J7,0),2)</f>
        <v/>
      </c>
      <c r="J33">
        <f>ROUND(IFERROR(100*'Plant05 Inputs'!M8/'Plant05 Inputs'!J8,0),2)</f>
        <v/>
      </c>
      <c r="K33">
        <f>ROUND(IFERROR(100*'Plant05 Inputs'!M9/'Plant05 Inputs'!J9,0),2)</f>
        <v/>
      </c>
      <c r="L33" t="inlineStr">
        <is>
          <t>installed_capacity_t, good_output_t</t>
        </is>
      </c>
    </row>
    <row r="34">
      <c r="A34" t="inlineStr">
        <is>
          <t>OPS-006</t>
        </is>
      </c>
      <c r="B34" t="inlineStr">
        <is>
          <t>OEE · Group weighted (same measure as PLT-002)</t>
        </is>
      </c>
      <c r="C34" t="inlineStr">
        <is>
          <t>%</t>
        </is>
      </c>
      <c r="D34" t="inlineStr">
        <is>
          <t>Month</t>
        </is>
      </c>
      <c r="E34" t="inlineStr">
        <is>
          <t>Good output ÷ Ideal output × 100 (weighted by output, not an average of plants)</t>
        </is>
      </c>
      <c r="F34">
        <f>ROUND(IFERROR(100*'Plant05 Inputs'!M4/'Plant05 Inputs'!I4,0),2)</f>
        <v/>
      </c>
      <c r="G34">
        <f>ROUND(IFERROR(100*'Plant05 Inputs'!M5/'Plant05 Inputs'!I5,0),2)</f>
        <v/>
      </c>
      <c r="H34">
        <f>ROUND(IFERROR(100*'Plant05 Inputs'!M6/'Plant05 Inputs'!I6,0),2)</f>
        <v/>
      </c>
      <c r="I34">
        <f>ROUND(IFERROR(100*'Plant05 Inputs'!M7/'Plant05 Inputs'!I7,0),2)</f>
        <v/>
      </c>
      <c r="J34">
        <f>ROUND(IFERROR(100*'Plant05 Inputs'!M8/'Plant05 Inputs'!I8,0),2)</f>
        <v/>
      </c>
      <c r="K34">
        <f>ROUND(IFERROR(100*'Plant05 Inputs'!M9/'Plant05 Inputs'!I9,0),2)</f>
        <v/>
      </c>
      <c r="L34" t="inlineStr">
        <is>
          <t>ideal_output_t, good_output_t</t>
        </is>
      </c>
    </row>
    <row r="35">
      <c r="A35" t="inlineStr">
        <is>
          <t>OPS-002</t>
        </is>
      </c>
      <c r="B35" t="inlineStr">
        <is>
          <t>Sales vs plan</t>
        </is>
      </c>
      <c r="C35" t="inlineStr">
        <is>
          <t>%</t>
        </is>
      </c>
      <c r="D35" t="inlineStr">
        <is>
          <t>Month</t>
        </is>
      </c>
      <c r="E35" t="inlineStr">
        <is>
          <t>Sales volume ÷ Planned sales volume × 100</t>
        </is>
      </c>
      <c r="F35">
        <f>ROUND(IF('Plant05 Inputs'!AT4=0,0,100*'Plant05 Inputs'!AS4/'Plant05 Inputs'!AT4),2)</f>
        <v/>
      </c>
      <c r="G35">
        <f>ROUND(IF('Plant05 Inputs'!AT5=0,0,100*'Plant05 Inputs'!AS5/'Plant05 Inputs'!AT5),2)</f>
        <v/>
      </c>
      <c r="H35">
        <f>ROUND(IF('Plant05 Inputs'!AT6=0,0,100*'Plant05 Inputs'!AS6/'Plant05 Inputs'!AT6),2)</f>
        <v/>
      </c>
      <c r="I35">
        <f>ROUND(IF('Plant05 Inputs'!AT7=0,0,100*'Plant05 Inputs'!AS7/'Plant05 Inputs'!AT7),2)</f>
        <v/>
      </c>
      <c r="J35">
        <f>ROUND(IF('Plant05 Inputs'!AT8=0,0,100*'Plant05 Inputs'!AS8/'Plant05 Inputs'!AT8),2)</f>
        <v/>
      </c>
      <c r="K35">
        <f>ROUND(IF('Plant05 Inputs'!AT9=0,0,100*'Plant05 Inputs'!AS9/'Plant05 Inputs'!AT9),2)</f>
        <v/>
      </c>
      <c r="L35" t="inlineStr">
        <is>
          <t>sales_t, planned_sales_t</t>
        </is>
      </c>
    </row>
    <row r="36">
      <c r="A36" t="inlineStr">
        <is>
          <t>OPS-004</t>
        </is>
      </c>
      <c r="B36" t="inlineStr">
        <is>
          <t>Sales vs plan · Group (same measure as OPS-002)</t>
        </is>
      </c>
      <c r="C36" t="inlineStr">
        <is>
          <t>%</t>
        </is>
      </c>
      <c r="D36" t="inlineStr">
        <is>
          <t>Month</t>
        </is>
      </c>
      <c r="E36" t="inlineStr">
        <is>
          <t>Sales volume ÷ Planned sales volume × 100</t>
        </is>
      </c>
      <c r="F36">
        <f>ROUND(IF('Plant05 Inputs'!AT4=0,0,100*'Plant05 Inputs'!AS4/'Plant05 Inputs'!AT4),2)</f>
        <v/>
      </c>
      <c r="G36">
        <f>ROUND(IF('Plant05 Inputs'!AT5=0,0,100*'Plant05 Inputs'!AS5/'Plant05 Inputs'!AT5),2)</f>
        <v/>
      </c>
      <c r="H36">
        <f>ROUND(IF('Plant05 Inputs'!AT6=0,0,100*'Plant05 Inputs'!AS6/'Plant05 Inputs'!AT6),2)</f>
        <v/>
      </c>
      <c r="I36">
        <f>ROUND(IF('Plant05 Inputs'!AT7=0,0,100*'Plant05 Inputs'!AS7/'Plant05 Inputs'!AT7),2)</f>
        <v/>
      </c>
      <c r="J36">
        <f>ROUND(IF('Plant05 Inputs'!AT8=0,0,100*'Plant05 Inputs'!AS8/'Plant05 Inputs'!AT8),2)</f>
        <v/>
      </c>
      <c r="K36">
        <f>ROUND(IF('Plant05 Inputs'!AT9=0,0,100*'Plant05 Inputs'!AS9/'Plant05 Inputs'!AT9),2)</f>
        <v/>
      </c>
      <c r="L36" t="inlineStr">
        <is>
          <t>sales_t, planned_sales_t</t>
        </is>
      </c>
    </row>
    <row r="37">
      <c r="A37" t="inlineStr">
        <is>
          <t>CST-004</t>
        </is>
      </c>
      <c r="B37" t="inlineStr">
        <is>
          <t>Power cost per tonne</t>
        </is>
      </c>
      <c r="C37" t="inlineStr">
        <is>
          <t>₹/t</t>
        </is>
      </c>
      <c r="D37" t="inlineStr">
        <is>
          <t>Month</t>
        </is>
      </c>
      <c r="E37" t="inlineStr">
        <is>
          <t>Power cost × 1000 ÷ Good output</t>
        </is>
      </c>
      <c r="F37">
        <f>ROUND(IF('Plant05 Inputs'!M4=0,0,1000*'Plant05 Inputs'!AW4/'Plant05 Inputs'!M4),2)</f>
        <v/>
      </c>
      <c r="G37">
        <f>ROUND(IF('Plant05 Inputs'!M5=0,0,1000*'Plant05 Inputs'!AW5/'Plant05 Inputs'!M5),2)</f>
        <v/>
      </c>
      <c r="H37">
        <f>ROUND(IF('Plant05 Inputs'!M6=0,0,1000*'Plant05 Inputs'!AW6/'Plant05 Inputs'!M6),2)</f>
        <v/>
      </c>
      <c r="I37">
        <f>ROUND(IF('Plant05 Inputs'!M7=0,0,1000*'Plant05 Inputs'!AW7/'Plant05 Inputs'!M7),2)</f>
        <v/>
      </c>
      <c r="J37">
        <f>ROUND(IF('Plant05 Inputs'!M8=0,0,1000*'Plant05 Inputs'!AW8/'Plant05 Inputs'!M8),2)</f>
        <v/>
      </c>
      <c r="K37">
        <f>ROUND(IF('Plant05 Inputs'!M9=0,0,1000*'Plant05 Inputs'!AW9/'Plant05 Inputs'!M9),2)</f>
        <v/>
      </c>
      <c r="L37" t="inlineStr">
        <is>
          <t>good_output_t, power_cost_k</t>
        </is>
      </c>
    </row>
    <row r="38">
      <c r="A38" t="inlineStr">
        <is>
          <t>FIN-003</t>
        </is>
      </c>
      <c r="B38" t="inlineStr">
        <is>
          <t>Revenue YTD</t>
        </is>
      </c>
      <c r="C38" t="inlineStr">
        <is>
          <t>₹ m</t>
        </is>
      </c>
      <c r="D38" t="inlineStr">
        <is>
          <t>Year to date</t>
        </is>
      </c>
      <c r="E38" t="inlineStr">
        <is>
          <t>Sum of monthly Revenue since April ÷ 1000</t>
        </is>
      </c>
      <c r="F38">
        <f>ROUND(SUM('Plant05 Inputs'!AU$4:AU4)/1000,2)</f>
        <v/>
      </c>
      <c r="G38">
        <f>ROUND(SUM('Plant05 Inputs'!AU$4:AU5)/1000,2)</f>
        <v/>
      </c>
      <c r="H38">
        <f>ROUND(SUM('Plant05 Inputs'!AU$4:AU6)/1000,2)</f>
        <v/>
      </c>
      <c r="I38">
        <f>ROUND(SUM('Plant05 Inputs'!AU$4:AU7)/1000,2)</f>
        <v/>
      </c>
      <c r="J38">
        <f>ROUND(SUM('Plant05 Inputs'!AU$4:AU8)/1000,2)</f>
        <v/>
      </c>
      <c r="K38">
        <f>ROUND(SUM('Plant05 Inputs'!AU$4:AU9)/1000,2)</f>
        <v/>
      </c>
      <c r="L38" t="inlineStr">
        <is>
          <t>revenue_k</t>
        </is>
      </c>
    </row>
    <row r="39">
      <c r="A39" t="inlineStr">
        <is>
          <t>SUP-001</t>
        </is>
      </c>
      <c r="B39" t="inlineStr">
        <is>
          <t>Supplier on-time delivery</t>
        </is>
      </c>
      <c r="C39" t="inlineStr">
        <is>
          <t>%</t>
        </is>
      </c>
      <c r="D39" t="inlineStr">
        <is>
          <t>Month</t>
        </is>
      </c>
      <c r="E39" t="inlineStr">
        <is>
          <t>Purchase-order lines on time ÷ Lines due × 100</t>
        </is>
      </c>
      <c r="F39">
        <f>ROUND(IF('Plant05 Inputs'!AY4=0,0,100*'Plant05 Inputs'!AZ4/'Plant05 Inputs'!AY4),2)</f>
        <v/>
      </c>
      <c r="G39">
        <f>ROUND(IF('Plant05 Inputs'!AY5=0,0,100*'Plant05 Inputs'!AZ5/'Plant05 Inputs'!AY5),2)</f>
        <v/>
      </c>
      <c r="H39">
        <f>ROUND(IF('Plant05 Inputs'!AY6=0,0,100*'Plant05 Inputs'!AZ6/'Plant05 Inputs'!AY6),2)</f>
        <v/>
      </c>
      <c r="I39">
        <f>ROUND(IF('Plant05 Inputs'!AY7=0,0,100*'Plant05 Inputs'!AZ7/'Plant05 Inputs'!AY7),2)</f>
        <v/>
      </c>
      <c r="J39">
        <f>ROUND(IF('Plant05 Inputs'!AY8=0,0,100*'Plant05 Inputs'!AZ8/'Plant05 Inputs'!AY8),2)</f>
        <v/>
      </c>
      <c r="K39">
        <f>ROUND(IF('Plant05 Inputs'!AY9=0,0,100*'Plant05 Inputs'!AZ9/'Plant05 Inputs'!AY9),2)</f>
        <v/>
      </c>
      <c r="L39" t="inlineStr">
        <is>
          <t>po_lines_due, po_lines_on_time</t>
        </is>
      </c>
    </row>
    <row r="40">
      <c r="A40" t="inlineStr">
        <is>
          <t>SUP-002</t>
        </is>
      </c>
      <c r="B40" t="inlineStr">
        <is>
          <t>Supplier fill rate</t>
        </is>
      </c>
      <c r="C40" t="inlineStr">
        <is>
          <t>%</t>
        </is>
      </c>
      <c r="D40" t="inlineStr">
        <is>
          <t>Month</t>
        </is>
      </c>
      <c r="E40" t="inlineStr">
        <is>
          <t>Quantity received ÷ Quantity ordered × 100</t>
        </is>
      </c>
      <c r="F40">
        <f>ROUND(IF('Plant05 Inputs'!BA4=0,0,100*'Plant05 Inputs'!BB4/'Plant05 Inputs'!BA4),2)</f>
        <v/>
      </c>
      <c r="G40">
        <f>ROUND(IF('Plant05 Inputs'!BA5=0,0,100*'Plant05 Inputs'!BB5/'Plant05 Inputs'!BA5),2)</f>
        <v/>
      </c>
      <c r="H40">
        <f>ROUND(IF('Plant05 Inputs'!BA6=0,0,100*'Plant05 Inputs'!BB6/'Plant05 Inputs'!BA6),2)</f>
        <v/>
      </c>
      <c r="I40">
        <f>ROUND(IF('Plant05 Inputs'!BA7=0,0,100*'Plant05 Inputs'!BB7/'Plant05 Inputs'!BA7),2)</f>
        <v/>
      </c>
      <c r="J40">
        <f>ROUND(IF('Plant05 Inputs'!BA8=0,0,100*'Plant05 Inputs'!BB8/'Plant05 Inputs'!BA8),2)</f>
        <v/>
      </c>
      <c r="K40">
        <f>ROUND(IF('Plant05 Inputs'!BA9=0,0,100*'Plant05 Inputs'!BB9/'Plant05 Inputs'!BA9),2)</f>
        <v/>
      </c>
      <c r="L40" t="inlineStr">
        <is>
          <t>qty_ordered_t, qty_received_t</t>
        </is>
      </c>
    </row>
    <row r="41">
      <c r="A41" t="inlineStr">
        <is>
          <t>SUP-003</t>
        </is>
      </c>
      <c r="B41" t="inlineStr">
        <is>
          <t>Supplier quality-rejection rate</t>
        </is>
      </c>
      <c r="C41" t="inlineStr">
        <is>
          <t>%</t>
        </is>
      </c>
      <c r="D41" t="inlineStr">
        <is>
          <t>Month</t>
        </is>
      </c>
      <c r="E41" t="inlineStr">
        <is>
          <t>Quantity rejected ÷ Quantity received × 100</t>
        </is>
      </c>
      <c r="F41">
        <f>ROUND(IF('Plant05 Inputs'!BB4=0,0,100*'Plant05 Inputs'!BC4/'Plant05 Inputs'!BB4),2)</f>
        <v/>
      </c>
      <c r="G41">
        <f>ROUND(IF('Plant05 Inputs'!BB5=0,0,100*'Plant05 Inputs'!BC5/'Plant05 Inputs'!BB5),2)</f>
        <v/>
      </c>
      <c r="H41">
        <f>ROUND(IF('Plant05 Inputs'!BB6=0,0,100*'Plant05 Inputs'!BC6/'Plant05 Inputs'!BB6),2)</f>
        <v/>
      </c>
      <c r="I41">
        <f>ROUND(IF('Plant05 Inputs'!BB7=0,0,100*'Plant05 Inputs'!BC7/'Plant05 Inputs'!BB7),2)</f>
        <v/>
      </c>
      <c r="J41">
        <f>ROUND(IF('Plant05 Inputs'!BB8=0,0,100*'Plant05 Inputs'!BC8/'Plant05 Inputs'!BB8),2)</f>
        <v/>
      </c>
      <c r="K41">
        <f>ROUND(IF('Plant05 Inputs'!BB9=0,0,100*'Plant05 Inputs'!BC9/'Plant05 Inputs'!BB9),2)</f>
        <v/>
      </c>
      <c r="L41" t="inlineStr">
        <is>
          <t>qty_received_t, qty_rejected_t</t>
        </is>
      </c>
    </row>
    <row r="42">
      <c r="A42" t="inlineStr">
        <is>
          <t>SUP-004</t>
        </is>
      </c>
      <c r="B42" t="inlineStr">
        <is>
          <t>Supplier lead-time variance</t>
        </is>
      </c>
      <c r="C42" t="inlineStr">
        <is>
          <t>%</t>
        </is>
      </c>
      <c r="D42" t="inlineStr">
        <is>
          <t>Month</t>
        </is>
      </c>
      <c r="E42" t="inlineStr">
        <is>
          <t>(Actual lead time − Planned lead time) ÷ Planned lead time × 100</t>
        </is>
      </c>
      <c r="F42">
        <f>ROUND(IF('Plant05 Inputs'!BD4=0,0,100*('Plant05 Inputs'!BE4-'Plant05 Inputs'!BD4)/'Plant05 Inputs'!BD4),2)</f>
        <v/>
      </c>
      <c r="G42">
        <f>ROUND(IF('Plant05 Inputs'!BD5=0,0,100*('Plant05 Inputs'!BE5-'Plant05 Inputs'!BD5)/'Plant05 Inputs'!BD5),2)</f>
        <v/>
      </c>
      <c r="H42">
        <f>ROUND(IF('Plant05 Inputs'!BD6=0,0,100*('Plant05 Inputs'!BE6-'Plant05 Inputs'!BD6)/'Plant05 Inputs'!BD6),2)</f>
        <v/>
      </c>
      <c r="I42">
        <f>ROUND(IF('Plant05 Inputs'!BD7=0,0,100*('Plant05 Inputs'!BE7-'Plant05 Inputs'!BD7)/'Plant05 Inputs'!BD7),2)</f>
        <v/>
      </c>
      <c r="J42">
        <f>ROUND(IF('Plant05 Inputs'!BD8=0,0,100*('Plant05 Inputs'!BE8-'Plant05 Inputs'!BD8)/'Plant05 Inputs'!BD8),2)</f>
        <v/>
      </c>
      <c r="K42">
        <f>ROUND(IF('Plant05 Inputs'!BD9=0,0,100*('Plant05 Inputs'!BE9-'Plant05 Inputs'!BD9)/'Plant05 Inputs'!BD9),2)</f>
        <v/>
      </c>
      <c r="L42" t="inlineStr">
        <is>
          <t>lead_time_planned_days, lead_time_actual_days</t>
        </is>
      </c>
    </row>
    <row r="43">
      <c r="A43" t="inlineStr">
        <is>
          <t>SUP-007</t>
        </is>
      </c>
      <c r="B43" t="inlineStr">
        <is>
          <t>Single-source spend share</t>
        </is>
      </c>
      <c r="C43" t="inlineStr">
        <is>
          <t>%</t>
        </is>
      </c>
      <c r="D43" t="inlineStr">
        <is>
          <t>Month</t>
        </is>
      </c>
      <c r="E43" t="inlineStr">
        <is>
          <t>Spend with single-source suppliers ÷ Supplier spend × 100</t>
        </is>
      </c>
      <c r="F43">
        <f>ROUND(IF('Plant05 Inputs'!BF4=0,0,100*'Plant05 Inputs'!BG4/'Plant05 Inputs'!BF4),2)</f>
        <v/>
      </c>
      <c r="G43">
        <f>ROUND(IF('Plant05 Inputs'!BF5=0,0,100*'Plant05 Inputs'!BG5/'Plant05 Inputs'!BF5),2)</f>
        <v/>
      </c>
      <c r="H43">
        <f>ROUND(IF('Plant05 Inputs'!BF6=0,0,100*'Plant05 Inputs'!BG6/'Plant05 Inputs'!BF6),2)</f>
        <v/>
      </c>
      <c r="I43">
        <f>ROUND(IF('Plant05 Inputs'!BF7=0,0,100*'Plant05 Inputs'!BG7/'Plant05 Inputs'!BF7),2)</f>
        <v/>
      </c>
      <c r="J43">
        <f>ROUND(IF('Plant05 Inputs'!BF8=0,0,100*'Plant05 Inputs'!BG8/'Plant05 Inputs'!BF8),2)</f>
        <v/>
      </c>
      <c r="K43">
        <f>ROUND(IF('Plant05 Inputs'!BF9=0,0,100*'Plant05 Inputs'!BG9/'Plant05 Inputs'!BF9),2)</f>
        <v/>
      </c>
      <c r="L43" t="inlineStr">
        <is>
          <t>supplier_spend_k, single_source_spend_k</t>
        </is>
      </c>
    </row>
    <row r="44">
      <c r="A44" t="inlineStr">
        <is>
          <t>SUP-008</t>
        </is>
      </c>
      <c r="B44" t="inlineStr">
        <is>
          <t>Supplier EHS incidents YTD</t>
        </is>
      </c>
      <c r="C44" t="inlineStr">
        <is>
          <t>count</t>
        </is>
      </c>
      <c r="D44" t="inlineStr">
        <is>
          <t>Year to date</t>
        </is>
      </c>
      <c r="E44" t="inlineStr">
        <is>
          <t>Sum of supplier EHS incidents since April</t>
        </is>
      </c>
      <c r="F44">
        <f>ROUND(SUM('Plant05 Inputs'!BH$4:BH4),2)</f>
        <v/>
      </c>
      <c r="G44">
        <f>ROUND(SUM('Plant05 Inputs'!BH$4:BH5),2)</f>
        <v/>
      </c>
      <c r="H44">
        <f>ROUND(SUM('Plant05 Inputs'!BH$4:BH6),2)</f>
        <v/>
      </c>
      <c r="I44">
        <f>ROUND(SUM('Plant05 Inputs'!BH$4:BH7),2)</f>
        <v/>
      </c>
      <c r="J44">
        <f>ROUND(SUM('Plant05 Inputs'!BH$4:BH8),2)</f>
        <v/>
      </c>
      <c r="K44">
        <f>ROUND(SUM('Plant05 Inputs'!BH$4:BH9),2)</f>
        <v/>
      </c>
      <c r="L44" t="inlineStr">
        <is>
          <t>supplier_ehs_incidents</t>
        </is>
      </c>
    </row>
    <row r="45">
      <c r="A45" t="inlineStr">
        <is>
          <t>REG-001</t>
        </is>
      </c>
      <c r="B45" t="inlineStr">
        <is>
          <t>Pending filings</t>
        </is>
      </c>
      <c r="C45" t="inlineStr">
        <is>
          <t>count</t>
        </is>
      </c>
      <c r="D45" t="inlineStr">
        <is>
          <t>Month end</t>
        </is>
      </c>
      <c r="E45" t="inlineStr">
        <is>
          <t>Regulatory filings pending</t>
        </is>
      </c>
      <c r="F45">
        <f>ROUND('Plant05 Inputs'!BI4,2)</f>
        <v/>
      </c>
      <c r="G45">
        <f>ROUND('Plant05 Inputs'!BI5,2)</f>
        <v/>
      </c>
      <c r="H45">
        <f>ROUND('Plant05 Inputs'!BI6,2)</f>
        <v/>
      </c>
      <c r="I45">
        <f>ROUND('Plant05 Inputs'!BI7,2)</f>
        <v/>
      </c>
      <c r="J45">
        <f>ROUND('Plant05 Inputs'!BI8,2)</f>
        <v/>
      </c>
      <c r="K45">
        <f>ROUND('Plant05 Inputs'!BI9,2)</f>
        <v/>
      </c>
      <c r="L45" t="inlineStr">
        <is>
          <t>pending_filings</t>
        </is>
      </c>
    </row>
    <row r="46">
      <c r="A46" t="inlineStr">
        <is>
          <t>REG-002</t>
        </is>
      </c>
      <c r="B46" t="inlineStr">
        <is>
          <t>Regulatory deadlines, next 30 days</t>
        </is>
      </c>
      <c r="C46" t="inlineStr">
        <is>
          <t>count</t>
        </is>
      </c>
      <c r="D46" t="inlineStr">
        <is>
          <t>Month end</t>
        </is>
      </c>
      <c r="E46" t="inlineStr">
        <is>
          <t>Regulatory deadlines in next 30 days</t>
        </is>
      </c>
      <c r="F46">
        <f>ROUND('Plant05 Inputs'!BJ4,2)</f>
        <v/>
      </c>
      <c r="G46">
        <f>ROUND('Plant05 Inputs'!BJ5,2)</f>
        <v/>
      </c>
      <c r="H46">
        <f>ROUND('Plant05 Inputs'!BJ6,2)</f>
        <v/>
      </c>
      <c r="I46">
        <f>ROUND('Plant05 Inputs'!BJ7,2)</f>
        <v/>
      </c>
      <c r="J46">
        <f>ROUND('Plant05 Inputs'!BJ8,2)</f>
        <v/>
      </c>
      <c r="K46">
        <f>ROUND('Plant05 Inputs'!BJ9,2)</f>
        <v/>
      </c>
      <c r="L46" t="inlineStr">
        <is>
          <t>reg_deadlines_30d</t>
        </is>
      </c>
    </row>
    <row r="47">
      <c r="A47" t="inlineStr">
        <is>
          <t>REG-003</t>
        </is>
      </c>
      <c r="B47" t="inlineStr">
        <is>
          <t>Licence expirations, next 12 months</t>
        </is>
      </c>
      <c r="C47" t="inlineStr">
        <is>
          <t>count</t>
        </is>
      </c>
      <c r="D47" t="inlineStr">
        <is>
          <t>Month end</t>
        </is>
      </c>
      <c r="E47" t="inlineStr">
        <is>
          <t>Licences expiring in next 12 months</t>
        </is>
      </c>
      <c r="F47">
        <f>ROUND('Plant05 Inputs'!BK4,2)</f>
        <v/>
      </c>
      <c r="G47">
        <f>ROUND('Plant05 Inputs'!BK5,2)</f>
        <v/>
      </c>
      <c r="H47">
        <f>ROUND('Plant05 Inputs'!BK6,2)</f>
        <v/>
      </c>
      <c r="I47">
        <f>ROUND('Plant05 Inputs'!BK7,2)</f>
        <v/>
      </c>
      <c r="J47">
        <f>ROUND('Plant05 Inputs'!BK8,2)</f>
        <v/>
      </c>
      <c r="K47">
        <f>ROUND('Plant05 Inputs'!BK9,2)</f>
        <v/>
      </c>
      <c r="L47" t="inlineStr">
        <is>
          <t>licences_expiring_12m</t>
        </is>
      </c>
    </row>
    <row r="48">
      <c r="A48" t="inlineStr">
        <is>
          <t>REG-004</t>
        </is>
      </c>
      <c r="B48" t="inlineStr">
        <is>
          <t>Regulatory obligations due, next 30 days</t>
        </is>
      </c>
      <c r="C48" t="inlineStr">
        <is>
          <t>count</t>
        </is>
      </c>
      <c r="D48" t="inlineStr">
        <is>
          <t>Month end</t>
        </is>
      </c>
      <c r="E48" t="inlineStr">
        <is>
          <t>Regulatory obligations due in next 30 days</t>
        </is>
      </c>
      <c r="F48">
        <f>ROUND('Plant05 Inputs'!BL4,2)</f>
        <v/>
      </c>
      <c r="G48">
        <f>ROUND('Plant05 Inputs'!BL5,2)</f>
        <v/>
      </c>
      <c r="H48">
        <f>ROUND('Plant05 Inputs'!BL6,2)</f>
        <v/>
      </c>
      <c r="I48">
        <f>ROUND('Plant05 Inputs'!BL7,2)</f>
        <v/>
      </c>
      <c r="J48">
        <f>ROUND('Plant05 Inputs'!BL8,2)</f>
        <v/>
      </c>
      <c r="K48">
        <f>ROUND('Plant05 Inputs'!BL9,2)</f>
        <v/>
      </c>
      <c r="L48" t="inlineStr">
        <is>
          <t>reg_obligations_due_30d</t>
        </is>
      </c>
    </row>
    <row r="49">
      <c r="A49" t="inlineStr">
        <is>
          <t>REG-005</t>
        </is>
      </c>
      <c r="B49" t="inlineStr">
        <is>
          <t>Overdue regulatory obligations</t>
        </is>
      </c>
      <c r="C49" t="inlineStr">
        <is>
          <t>count</t>
        </is>
      </c>
      <c r="D49" t="inlineStr">
        <is>
          <t>Month end</t>
        </is>
      </c>
      <c r="E49" t="inlineStr">
        <is>
          <t>Regulatory obligations overdue</t>
        </is>
      </c>
      <c r="F49">
        <f>ROUND('Plant05 Inputs'!BM4,2)</f>
        <v/>
      </c>
      <c r="G49">
        <f>ROUND('Plant05 Inputs'!BM5,2)</f>
        <v/>
      </c>
      <c r="H49">
        <f>ROUND('Plant05 Inputs'!BM6,2)</f>
        <v/>
      </c>
      <c r="I49">
        <f>ROUND('Plant05 Inputs'!BM7,2)</f>
        <v/>
      </c>
      <c r="J49">
        <f>ROUND('Plant05 Inputs'!BM8,2)</f>
        <v/>
      </c>
      <c r="K49">
        <f>ROUND('Plant05 Inputs'!BM9,2)</f>
        <v/>
      </c>
      <c r="L49" t="inlineStr">
        <is>
          <t>reg_obligations_overdue</t>
        </is>
      </c>
    </row>
    <row r="50">
      <c r="A50" t="inlineStr">
        <is>
          <t>REG-007</t>
        </is>
      </c>
      <c r="B50" t="inlineStr">
        <is>
          <t>Open regulatory actions</t>
        </is>
      </c>
      <c r="C50" t="inlineStr">
        <is>
          <t>count</t>
        </is>
      </c>
      <c r="D50" t="inlineStr">
        <is>
          <t>Month end</t>
        </is>
      </c>
      <c r="E50" t="inlineStr">
        <is>
          <t>Open regulatory actions</t>
        </is>
      </c>
      <c r="F50">
        <f>ROUND('Plant05 Inputs'!BN4,2)</f>
        <v/>
      </c>
      <c r="G50">
        <f>ROUND('Plant05 Inputs'!BN5,2)</f>
        <v/>
      </c>
      <c r="H50">
        <f>ROUND('Plant05 Inputs'!BN6,2)</f>
        <v/>
      </c>
      <c r="I50">
        <f>ROUND('Plant05 Inputs'!BN7,2)</f>
        <v/>
      </c>
      <c r="J50">
        <f>ROUND('Plant05 Inputs'!BN8,2)</f>
        <v/>
      </c>
      <c r="K50">
        <f>ROUND('Plant05 Inputs'!BN9,2)</f>
        <v/>
      </c>
      <c r="L50" t="inlineStr">
        <is>
          <t>reg_actions_open</t>
        </is>
      </c>
    </row>
    <row r="51">
      <c r="A51" t="inlineStr">
        <is>
          <t>REG-008</t>
        </is>
      </c>
      <c r="B51" t="inlineStr">
        <is>
          <t>Overdue compliance actions</t>
        </is>
      </c>
      <c r="C51" t="inlineStr">
        <is>
          <t>count</t>
        </is>
      </c>
      <c r="D51" t="inlineStr">
        <is>
          <t>Month end</t>
        </is>
      </c>
      <c r="E51" t="inlineStr">
        <is>
          <t>Overdue compliance actions</t>
        </is>
      </c>
      <c r="F51">
        <f>ROUND('Plant05 Inputs'!BO4,2)</f>
        <v/>
      </c>
      <c r="G51">
        <f>ROUND('Plant05 Inputs'!BO5,2)</f>
        <v/>
      </c>
      <c r="H51">
        <f>ROUND('Plant05 Inputs'!BO6,2)</f>
        <v/>
      </c>
      <c r="I51">
        <f>ROUND('Plant05 Inputs'!BO7,2)</f>
        <v/>
      </c>
      <c r="J51">
        <f>ROUND('Plant05 Inputs'!BO8,2)</f>
        <v/>
      </c>
      <c r="K51">
        <f>ROUND('Plant05 Inputs'!BO9,2)</f>
        <v/>
      </c>
      <c r="L51" t="inlineStr">
        <is>
          <t>compliance_actions_overdue</t>
        </is>
      </c>
    </row>
    <row r="52">
      <c r="A52" t="inlineStr">
        <is>
          <t>REG-009</t>
        </is>
      </c>
      <c r="B52" t="inlineStr">
        <is>
          <t>Disclosure-clock status</t>
        </is>
      </c>
      <c r="C52" t="inlineStr">
        <is>
          <t>text</t>
        </is>
      </c>
      <c r="D52" t="inlineStr">
        <is>
          <t>Month end</t>
        </is>
      </c>
      <c r="E52" t="inlineStr">
        <is>
          <t>Triggered if any event that needs disclosure is open, otherwise Not triggered</t>
        </is>
      </c>
      <c r="F52">
        <f>IF('Plant05 Inputs'!BQ4&gt;0,"Triggered","Not triggered")</f>
        <v/>
      </c>
      <c r="G52">
        <f>IF('Plant05 Inputs'!BQ5&gt;0,"Triggered","Not triggered")</f>
        <v/>
      </c>
      <c r="H52">
        <f>IF('Plant05 Inputs'!BQ6&gt;0,"Triggered","Not triggered")</f>
        <v/>
      </c>
      <c r="I52">
        <f>IF('Plant05 Inputs'!BQ7&gt;0,"Triggered","Not triggered")</f>
        <v/>
      </c>
      <c r="J52">
        <f>IF('Plant05 Inputs'!BQ8&gt;0,"Triggered","Not triggered")</f>
        <v/>
      </c>
      <c r="K52">
        <f>IF('Plant05 Inputs'!BQ9&gt;0,"Triggered","Not triggered")</f>
        <v/>
      </c>
      <c r="L52" t="inlineStr">
        <is>
          <t>disclosure_events_open</t>
        </is>
      </c>
    </row>
    <row r="53">
      <c r="A53" t="inlineStr">
        <is>
          <t>REG-010</t>
        </is>
      </c>
      <c r="B53" t="inlineStr">
        <is>
          <t>Regulatory breaches YTD</t>
        </is>
      </c>
      <c r="C53" t="inlineStr">
        <is>
          <t>count</t>
        </is>
      </c>
      <c r="D53" t="inlineStr">
        <is>
          <t>Year to date</t>
        </is>
      </c>
      <c r="E53" t="inlineStr">
        <is>
          <t>Sum of regulatory breaches since April</t>
        </is>
      </c>
      <c r="F53">
        <f>ROUND(SUM('Plant05 Inputs'!BP$4:BP4),2)</f>
        <v/>
      </c>
      <c r="G53">
        <f>ROUND(SUM('Plant05 Inputs'!BP$4:BP5),2)</f>
        <v/>
      </c>
      <c r="H53">
        <f>ROUND(SUM('Plant05 Inputs'!BP$4:BP6),2)</f>
        <v/>
      </c>
      <c r="I53">
        <f>ROUND(SUM('Plant05 Inputs'!BP$4:BP7),2)</f>
        <v/>
      </c>
      <c r="J53">
        <f>ROUND(SUM('Plant05 Inputs'!BP$4:BP8),2)</f>
        <v/>
      </c>
      <c r="K53">
        <f>ROUND(SUM('Plant05 Inputs'!BP$4:BP9),2)</f>
        <v/>
      </c>
      <c r="L53" t="inlineStr">
        <is>
          <t>reg_breaches</t>
        </is>
      </c>
    </row>
    <row r="54">
      <c r="A54" t="inlineStr">
        <is>
          <t>RSK-003</t>
        </is>
      </c>
      <c r="B54" t="inlineStr">
        <is>
          <t>Regulatory breaches YTD (same measure as REG-010)</t>
        </is>
      </c>
      <c r="C54" t="inlineStr">
        <is>
          <t>count</t>
        </is>
      </c>
      <c r="D54" t="inlineStr">
        <is>
          <t>Year to date</t>
        </is>
      </c>
      <c r="E54" t="inlineStr">
        <is>
          <t>Sum of regulatory breaches since April</t>
        </is>
      </c>
      <c r="F54">
        <f>ROUND(SUM('Plant05 Inputs'!BP$4:BP4),2)</f>
        <v/>
      </c>
      <c r="G54">
        <f>ROUND(SUM('Plant05 Inputs'!BP$4:BP5),2)</f>
        <v/>
      </c>
      <c r="H54">
        <f>ROUND(SUM('Plant05 Inputs'!BP$4:BP6),2)</f>
        <v/>
      </c>
      <c r="I54">
        <f>ROUND(SUM('Plant05 Inputs'!BP$4:BP7),2)</f>
        <v/>
      </c>
      <c r="J54">
        <f>ROUND(SUM('Plant05 Inputs'!BP$4:BP8),2)</f>
        <v/>
      </c>
      <c r="K54">
        <f>ROUND(SUM('Plant05 Inputs'!BP$4:BP9),2)</f>
        <v/>
      </c>
      <c r="L54" t="inlineStr">
        <is>
          <t>reg_breaches</t>
        </is>
      </c>
    </row>
    <row r="55">
      <c r="A55" t="inlineStr">
        <is>
          <t>CMP-005</t>
        </is>
      </c>
      <c r="B55" t="inlineStr">
        <is>
          <t>Regulatory breaches YTD (same measure as REG-010)</t>
        </is>
      </c>
      <c r="C55" t="inlineStr">
        <is>
          <t>count</t>
        </is>
      </c>
      <c r="D55" t="inlineStr">
        <is>
          <t>Year to date</t>
        </is>
      </c>
      <c r="E55" t="inlineStr">
        <is>
          <t>Sum of regulatory breaches since April</t>
        </is>
      </c>
      <c r="F55">
        <f>ROUND(SUM('Plant05 Inputs'!BP$4:BP4),2)</f>
        <v/>
      </c>
      <c r="G55">
        <f>ROUND(SUM('Plant05 Inputs'!BP$4:BP5),2)</f>
        <v/>
      </c>
      <c r="H55">
        <f>ROUND(SUM('Plant05 Inputs'!BP$4:BP6),2)</f>
        <v/>
      </c>
      <c r="I55">
        <f>ROUND(SUM('Plant05 Inputs'!BP$4:BP7),2)</f>
        <v/>
      </c>
      <c r="J55">
        <f>ROUND(SUM('Plant05 Inputs'!BP$4:BP8),2)</f>
        <v/>
      </c>
      <c r="K55">
        <f>ROUND(SUM('Plant05 Inputs'!BP$4:BP9),2)</f>
        <v/>
      </c>
      <c r="L55" t="inlineStr">
        <is>
          <t>reg_breaches</t>
        </is>
      </c>
    </row>
    <row r="56">
      <c r="A56" t="inlineStr">
        <is>
          <t>EHS-008</t>
        </is>
      </c>
      <c r="B56" t="inlineStr">
        <is>
          <t>EHS escalation clocks running</t>
        </is>
      </c>
      <c r="C56" t="inlineStr">
        <is>
          <t>count</t>
        </is>
      </c>
      <c r="D56" t="inlineStr">
        <is>
          <t>Month end</t>
        </is>
      </c>
      <c r="E56" t="inlineStr">
        <is>
          <t>EHS escalation clocks running</t>
        </is>
      </c>
      <c r="F56">
        <f>ROUND('Plant05 Inputs'!BR4,2)</f>
        <v/>
      </c>
      <c r="G56">
        <f>ROUND('Plant05 Inputs'!BR5,2)</f>
        <v/>
      </c>
      <c r="H56">
        <f>ROUND('Plant05 Inputs'!BR6,2)</f>
        <v/>
      </c>
      <c r="I56">
        <f>ROUND('Plant05 Inputs'!BR7,2)</f>
        <v/>
      </c>
      <c r="J56">
        <f>ROUND('Plant05 Inputs'!BR8,2)</f>
        <v/>
      </c>
      <c r="K56">
        <f>ROUND('Plant05 Inputs'!BR9,2)</f>
        <v/>
      </c>
      <c r="L56" t="inlineStr">
        <is>
          <t>ehs_escalation_clocks</t>
        </is>
      </c>
    </row>
    <row r="57">
      <c r="A57" t="inlineStr">
        <is>
          <t>EHS-010</t>
        </is>
      </c>
      <c r="B57" t="inlineStr">
        <is>
          <t>EHS investigation completion rate YTD</t>
        </is>
      </c>
      <c r="C57" t="inlineStr">
        <is>
          <t>%</t>
        </is>
      </c>
      <c r="D57" t="inlineStr">
        <is>
          <t>Year to date</t>
        </is>
      </c>
      <c r="E57" t="inlineStr">
        <is>
          <t>EHS investigations completed since April ÷ Investigations due since April × 100 (100 if none due)</t>
        </is>
      </c>
      <c r="F57">
        <f>ROUND(IF(SUM('Plant05 Inputs'!AM$4:AM4)=0,100,100*SUM('Plant05 Inputs'!AN$4:AN4)/SUM('Plant05 Inputs'!AM$4:AM4)),2)</f>
        <v/>
      </c>
      <c r="G57">
        <f>ROUND(IF(SUM('Plant05 Inputs'!AM$4:AM5)=0,100,100*SUM('Plant05 Inputs'!AN$4:AN5)/SUM('Plant05 Inputs'!AM$4:AM5)),2)</f>
        <v/>
      </c>
      <c r="H57">
        <f>ROUND(IF(SUM('Plant05 Inputs'!AM$4:AM6)=0,100,100*SUM('Plant05 Inputs'!AN$4:AN6)/SUM('Plant05 Inputs'!AM$4:AM6)),2)</f>
        <v/>
      </c>
      <c r="I57">
        <f>ROUND(IF(SUM('Plant05 Inputs'!AM$4:AM7)=0,100,100*SUM('Plant05 Inputs'!AN$4:AN7)/SUM('Plant05 Inputs'!AM$4:AM7)),2)</f>
        <v/>
      </c>
      <c r="J57">
        <f>ROUND(IF(SUM('Plant05 Inputs'!AM$4:AM8)=0,100,100*SUM('Plant05 Inputs'!AN$4:AN8)/SUM('Plant05 Inputs'!AM$4:AM8)),2)</f>
        <v/>
      </c>
      <c r="K57">
        <f>ROUND(IF(SUM('Plant05 Inputs'!AM$4:AM9)=0,100,100*SUM('Plant05 Inputs'!AN$4:AN9)/SUM('Plant05 Inputs'!AM$4:AM9)),2)</f>
        <v/>
      </c>
      <c r="L57" t="inlineStr">
        <is>
          <t>investigations_due, investigations_completed</t>
        </is>
      </c>
    </row>
    <row r="58">
      <c r="A58" t="inlineStr">
        <is>
          <t>SIG-013</t>
        </is>
      </c>
      <c r="B58" t="inlineStr">
        <is>
          <t>Pricing pressure</t>
        </is>
      </c>
      <c r="C58" t="inlineStr">
        <is>
          <t>text</t>
        </is>
      </c>
      <c r="D58" t="inlineStr">
        <is>
          <t>Month</t>
        </is>
      </c>
      <c r="E58" t="inlineStr">
        <is>
          <t>Realised price vs plan: Low if above −1%, Medium down to −3%, High below −3%</t>
        </is>
      </c>
      <c r="F58">
        <f>IF('Plant05 Inputs'!GG4&gt;=-1,"Low",IF('Plant05 Inputs'!GG4&gt;=-3,"Medium","High"))&amp;" ("&amp;ROUND('Plant05 Inputs'!GG4,1)&amp;"% vs plan price)"</f>
        <v/>
      </c>
      <c r="G58">
        <f>IF('Plant05 Inputs'!GG5&gt;=-1,"Low",IF('Plant05 Inputs'!GG5&gt;=-3,"Medium","High"))&amp;" ("&amp;ROUND('Plant05 Inputs'!GG5,1)&amp;"% vs plan price)"</f>
        <v/>
      </c>
      <c r="H58">
        <f>IF('Plant05 Inputs'!GG6&gt;=-1,"Low",IF('Plant05 Inputs'!GG6&gt;=-3,"Medium","High"))&amp;" ("&amp;ROUND('Plant05 Inputs'!GG6,1)&amp;"% vs plan price)"</f>
        <v/>
      </c>
      <c r="I58">
        <f>IF('Plant05 Inputs'!GG7&gt;=-1,"Low",IF('Plant05 Inputs'!GG7&gt;=-3,"Medium","High"))&amp;" ("&amp;ROUND('Plant05 Inputs'!GG7,1)&amp;"% vs plan price)"</f>
        <v/>
      </c>
      <c r="J58">
        <f>IF('Plant05 Inputs'!GG8&gt;=-1,"Low",IF('Plant05 Inputs'!GG8&gt;=-3,"Medium","High"))&amp;" ("&amp;ROUND('Plant05 Inputs'!GG8,1)&amp;"% vs plan price)"</f>
        <v/>
      </c>
      <c r="K58">
        <f>IF('Plant05 Inputs'!GG9&gt;=-1,"Low",IF('Plant05 Inputs'!GG9&gt;=-3,"Medium","High"))&amp;" ("&amp;ROUND('Plant05 Inputs'!GG9,1)&amp;"% vs plan price)"</f>
        <v/>
      </c>
      <c r="L58" t="inlineStr">
        <is>
          <t>price_vs_plan_pct</t>
        </is>
      </c>
    </row>
    <row r="59">
      <c r="A59" t="inlineStr">
        <is>
          <t>PRD-001</t>
        </is>
      </c>
      <c r="B59" t="inlineStr">
        <is>
          <t>Days to breach (earliest plant)</t>
        </is>
      </c>
      <c r="C59" t="inlineStr">
        <is>
          <t>days</t>
        </is>
      </c>
      <c r="D59" t="inlineStr">
        <is>
          <t>Forecast</t>
        </is>
      </c>
      <c r="E59" t="inlineStr">
        <is>
          <t>Lowest plant forecast of days until its production plan is breached (99 = not expected)</t>
        </is>
      </c>
      <c r="F59">
        <f>ROUND('Plant05 Inputs'!BS4,2)</f>
        <v/>
      </c>
      <c r="G59">
        <f>ROUND('Plant05 Inputs'!BS5,2)</f>
        <v/>
      </c>
      <c r="H59">
        <f>ROUND('Plant05 Inputs'!BS6,2)</f>
        <v/>
      </c>
      <c r="I59">
        <f>ROUND('Plant05 Inputs'!BS7,2)</f>
        <v/>
      </c>
      <c r="J59">
        <f>ROUND('Plant05 Inputs'!BS8,2)</f>
        <v/>
      </c>
      <c r="K59">
        <f>ROUND('Plant05 Inputs'!BS9,2)</f>
        <v/>
      </c>
      <c r="L59" t="inlineStr">
        <is>
          <t>days_to_breach</t>
        </is>
      </c>
    </row>
    <row r="60">
      <c r="A60" t="inlineStr">
        <is>
          <t>PRD-002</t>
        </is>
      </c>
      <c r="B60" t="inlineStr">
        <is>
          <t>Probability of production plan miss, next month</t>
        </is>
      </c>
      <c r="C60" t="inlineStr">
        <is>
          <t>%</t>
        </is>
      </c>
      <c r="D60" t="inlineStr">
        <is>
          <t>Next month</t>
        </is>
      </c>
      <c r="E60" t="inlineStr">
        <is>
          <t>Chance that output falls below plan: normal distribution with mean = Forecast good output, spread = √(sum of plant forecast variances)</t>
        </is>
      </c>
      <c r="F60">
        <f>ROUND(100*NORM.DIST('Plant05 Inputs'!BT4,'Plant05 Inputs'!BU4,SQRT('Plant05 Inputs'!BV4),TRUE),2)</f>
        <v/>
      </c>
      <c r="G60">
        <f>ROUND(100*NORM.DIST('Plant05 Inputs'!BT5,'Plant05 Inputs'!BU5,SQRT('Plant05 Inputs'!BV5),TRUE),2)</f>
        <v/>
      </c>
      <c r="H60">
        <f>ROUND(100*NORM.DIST('Plant05 Inputs'!BT6,'Plant05 Inputs'!BU6,SQRT('Plant05 Inputs'!BV6),TRUE),2)</f>
        <v/>
      </c>
      <c r="I60">
        <f>ROUND(100*NORM.DIST('Plant05 Inputs'!BT7,'Plant05 Inputs'!BU7,SQRT('Plant05 Inputs'!BV7),TRUE),2)</f>
        <v/>
      </c>
      <c r="J60">
        <f>ROUND(100*NORM.DIST('Plant05 Inputs'!BT8,'Plant05 Inputs'!BU8,SQRT('Plant05 Inputs'!BV8),TRUE),2)</f>
        <v/>
      </c>
      <c r="K60">
        <f>ROUND(100*NORM.DIST('Plant05 Inputs'!BT9,'Plant05 Inputs'!BU9,SQRT('Plant05 Inputs'!BV9),TRUE),2)</f>
        <v/>
      </c>
      <c r="L60" t="inlineStr">
        <is>
          <t>planned_production_next_t, forecast_good_next_t, forecast_good_var_next</t>
        </is>
      </c>
    </row>
    <row r="61">
      <c r="A61" t="inlineStr">
        <is>
          <t>PRD-006</t>
        </is>
      </c>
      <c r="B61" t="inlineStr">
        <is>
          <t>Production loss from downtime, next month</t>
        </is>
      </c>
      <c r="C61" t="inlineStr">
        <is>
          <t>kt</t>
        </is>
      </c>
      <c r="D61" t="inlineStr">
        <is>
          <t>Next month</t>
        </is>
      </c>
      <c r="E61" t="inlineStr">
        <is>
          <t>Forecast production lost to downtime next month ÷ 1000</t>
        </is>
      </c>
      <c r="F61">
        <f>ROUND('Plant05 Inputs'!BX4/1000,2)</f>
        <v/>
      </c>
      <c r="G61">
        <f>ROUND('Plant05 Inputs'!BX5/1000,2)</f>
        <v/>
      </c>
      <c r="H61">
        <f>ROUND('Plant05 Inputs'!BX6/1000,2)</f>
        <v/>
      </c>
      <c r="I61">
        <f>ROUND('Plant05 Inputs'!BX7/1000,2)</f>
        <v/>
      </c>
      <c r="J61">
        <f>ROUND('Plant05 Inputs'!BX8/1000,2)</f>
        <v/>
      </c>
      <c r="K61">
        <f>ROUND('Plant05 Inputs'!BX9/1000,2)</f>
        <v/>
      </c>
      <c r="L61" t="inlineStr">
        <is>
          <t>forecast_downtime_loss_next_t</t>
        </is>
      </c>
    </row>
    <row r="62">
      <c r="A62" t="inlineStr">
        <is>
          <t>PRD-007</t>
        </is>
      </c>
      <c r="B62" t="inlineStr">
        <is>
          <t>Probability OEE below 78%, next month</t>
        </is>
      </c>
      <c r="C62" t="inlineStr">
        <is>
          <t>%</t>
        </is>
      </c>
      <c r="D62" t="inlineStr">
        <is>
          <t>Next month</t>
        </is>
      </c>
      <c r="E62" t="inlineStr">
        <is>
          <t>Chance that Forecast good output &lt; 78% × Ideal output next month (same distribution as PRD-002)</t>
        </is>
      </c>
      <c r="F62">
        <f>ROUND(100*NORM.DIST(0.78*'Plant05 Inputs'!BW4,'Plant05 Inputs'!BU4,SQRT('Plant05 Inputs'!BV4),TRUE),2)</f>
        <v/>
      </c>
      <c r="G62">
        <f>ROUND(100*NORM.DIST(0.78*'Plant05 Inputs'!BW5,'Plant05 Inputs'!BU5,SQRT('Plant05 Inputs'!BV5),TRUE),2)</f>
        <v/>
      </c>
      <c r="H62">
        <f>ROUND(100*NORM.DIST(0.78*'Plant05 Inputs'!BW6,'Plant05 Inputs'!BU6,SQRT('Plant05 Inputs'!BV6),TRUE),2)</f>
        <v/>
      </c>
      <c r="I62">
        <f>ROUND(100*NORM.DIST(0.78*'Plant05 Inputs'!BW7,'Plant05 Inputs'!BU7,SQRT('Plant05 Inputs'!BV7),TRUE),2)</f>
        <v/>
      </c>
      <c r="J62">
        <f>ROUND(100*NORM.DIST(0.78*'Plant05 Inputs'!BW8,'Plant05 Inputs'!BU8,SQRT('Plant05 Inputs'!BV8),TRUE),2)</f>
        <v/>
      </c>
      <c r="K62">
        <f>ROUND(100*NORM.DIST(0.78*'Plant05 Inputs'!BW9,'Plant05 Inputs'!BU9,SQRT('Plant05 Inputs'!BV9),TRUE),2)</f>
        <v/>
      </c>
      <c r="L62" t="inlineStr">
        <is>
          <t>forecast_good_next_t, forecast_good_var_next, ideal_output_next_t</t>
        </is>
      </c>
    </row>
    <row r="63">
      <c r="A63" t="inlineStr">
        <is>
          <t>CST-005</t>
        </is>
      </c>
      <c r="B63" t="inlineStr">
        <is>
          <t>Fixed cost YTD</t>
        </is>
      </c>
      <c r="C63" t="inlineStr">
        <is>
          <t>₹ m</t>
        </is>
      </c>
      <c r="D63" t="inlineStr">
        <is>
          <t>Year to date</t>
        </is>
      </c>
      <c r="E63" t="inlineStr">
        <is>
          <t>Sum of monthly fixed cost since April ÷ 1000</t>
        </is>
      </c>
      <c r="F63">
        <f>ROUND(SUM('Plant05 Inputs'!X$4:X4)/1000,2)</f>
        <v/>
      </c>
      <c r="G63">
        <f>ROUND(SUM('Plant05 Inputs'!X$4:X5)/1000,2)</f>
        <v/>
      </c>
      <c r="H63">
        <f>ROUND(SUM('Plant05 Inputs'!X$4:X6)/1000,2)</f>
        <v/>
      </c>
      <c r="I63">
        <f>ROUND(SUM('Plant05 Inputs'!X$4:X7)/1000,2)</f>
        <v/>
      </c>
      <c r="J63">
        <f>ROUND(SUM('Plant05 Inputs'!X$4:X8)/1000,2)</f>
        <v/>
      </c>
      <c r="K63">
        <f>ROUND(SUM('Plant05 Inputs'!X$4:X9)/1000,2)</f>
        <v/>
      </c>
      <c r="L63" t="inlineStr">
        <is>
          <t>fixed_cost_k</t>
        </is>
      </c>
    </row>
    <row r="64">
      <c r="A64" t="inlineStr">
        <is>
          <t>SIG-017</t>
        </is>
      </c>
      <c r="B64" t="inlineStr">
        <is>
          <t>Fuel exposure (fuel cost per tonne, MoM)</t>
        </is>
      </c>
      <c r="C64" t="inlineStr">
        <is>
          <t>%</t>
        </is>
      </c>
      <c r="D64" t="inlineStr">
        <is>
          <t>Month</t>
        </is>
      </c>
      <c r="E64" t="inlineStr">
        <is>
          <t>(Fuel cost ÷ good output) ÷ last month's − 1, as %</t>
        </is>
      </c>
      <c r="F64">
        <f>ROUND(IF(OR('Plant05 Inputs'!M4=0,'Plant05 Inputs'!W4=0,'Plant05 Inputs'!M4=0),0,100*(('Plant05 Inputs'!W4/'Plant05 Inputs'!M4)/('Plant05 Inputs'!W4/'Plant05 Inputs'!M4)-1)),2)</f>
        <v/>
      </c>
      <c r="G64">
        <f>ROUND(IF(OR('Plant05 Inputs'!M4=0,'Plant05 Inputs'!W4=0,'Plant05 Inputs'!M5=0),0,100*(('Plant05 Inputs'!W5/'Plant05 Inputs'!M5)/('Plant05 Inputs'!W4/'Plant05 Inputs'!M4)-1)),2)</f>
        <v/>
      </c>
      <c r="H64">
        <f>ROUND(IF(OR('Plant05 Inputs'!M5=0,'Plant05 Inputs'!W5=0,'Plant05 Inputs'!M6=0),0,100*(('Plant05 Inputs'!W6/'Plant05 Inputs'!M6)/('Plant05 Inputs'!W5/'Plant05 Inputs'!M5)-1)),2)</f>
        <v/>
      </c>
      <c r="I64">
        <f>ROUND(IF(OR('Plant05 Inputs'!M6=0,'Plant05 Inputs'!W6=0,'Plant05 Inputs'!M7=0),0,100*(('Plant05 Inputs'!W7/'Plant05 Inputs'!M7)/('Plant05 Inputs'!W6/'Plant05 Inputs'!M6)-1)),2)</f>
        <v/>
      </c>
      <c r="J64">
        <f>ROUND(IF(OR('Plant05 Inputs'!M7=0,'Plant05 Inputs'!W7=0,'Plant05 Inputs'!M8=0),0,100*(('Plant05 Inputs'!W8/'Plant05 Inputs'!M8)/('Plant05 Inputs'!W7/'Plant05 Inputs'!M7)-1)),2)</f>
        <v/>
      </c>
      <c r="K64">
        <f>ROUND(IF(OR('Plant05 Inputs'!M8=0,'Plant05 Inputs'!W8=0,'Plant05 Inputs'!M9=0),0,100*(('Plant05 Inputs'!W9/'Plant05 Inputs'!M9)/('Plant05 Inputs'!W8/'Plant05 Inputs'!M8)-1)),2)</f>
        <v/>
      </c>
      <c r="L64" t="inlineStr">
        <is>
          <t>fuel_cost_k, good_output_t</t>
        </is>
      </c>
    </row>
    <row r="65">
      <c r="A65" t="inlineStr">
        <is>
          <t>SIG-018</t>
        </is>
      </c>
      <c r="B65" t="inlineStr">
        <is>
          <t>Power-cost exposure (power cost per tonne, MoM)</t>
        </is>
      </c>
      <c r="C65" t="inlineStr">
        <is>
          <t>%</t>
        </is>
      </c>
      <c r="D65" t="inlineStr">
        <is>
          <t>Month</t>
        </is>
      </c>
      <c r="E65" t="inlineStr">
        <is>
          <t>(Power cost ÷ good output) ÷ last month's − 1, as %</t>
        </is>
      </c>
      <c r="F65">
        <f>ROUND(IF(OR('Plant05 Inputs'!M4=0,'Plant05 Inputs'!AW4=0,'Plant05 Inputs'!M4=0),0,100*(('Plant05 Inputs'!AW4/'Plant05 Inputs'!M4)/('Plant05 Inputs'!AW4/'Plant05 Inputs'!M4)-1)),2)</f>
        <v/>
      </c>
      <c r="G65">
        <f>ROUND(IF(OR('Plant05 Inputs'!M4=0,'Plant05 Inputs'!AW4=0,'Plant05 Inputs'!M5=0),0,100*(('Plant05 Inputs'!AW5/'Plant05 Inputs'!M5)/('Plant05 Inputs'!AW4/'Plant05 Inputs'!M4)-1)),2)</f>
        <v/>
      </c>
      <c r="H65">
        <f>ROUND(IF(OR('Plant05 Inputs'!M5=0,'Plant05 Inputs'!AW5=0,'Plant05 Inputs'!M6=0),0,100*(('Plant05 Inputs'!AW6/'Plant05 Inputs'!M6)/('Plant05 Inputs'!AW5/'Plant05 Inputs'!M5)-1)),2)</f>
        <v/>
      </c>
      <c r="I65">
        <f>ROUND(IF(OR('Plant05 Inputs'!M6=0,'Plant05 Inputs'!AW6=0,'Plant05 Inputs'!M7=0),0,100*(('Plant05 Inputs'!AW7/'Plant05 Inputs'!M7)/('Plant05 Inputs'!AW6/'Plant05 Inputs'!M6)-1)),2)</f>
        <v/>
      </c>
      <c r="J65">
        <f>ROUND(IF(OR('Plant05 Inputs'!M7=0,'Plant05 Inputs'!AW7=0,'Plant05 Inputs'!M8=0),0,100*(('Plant05 Inputs'!AW8/'Plant05 Inputs'!M8)/('Plant05 Inputs'!AW7/'Plant05 Inputs'!M7)-1)),2)</f>
        <v/>
      </c>
      <c r="K65">
        <f>ROUND(IF(OR('Plant05 Inputs'!M8=0,'Plant05 Inputs'!AW8=0,'Plant05 Inputs'!M9=0),0,100*(('Plant05 Inputs'!AW9/'Plant05 Inputs'!M9)/('Plant05 Inputs'!AW8/'Plant05 Inputs'!M8)-1)),2)</f>
        <v/>
      </c>
      <c r="L65" t="inlineStr">
        <is>
          <t>good_output_t, power_cost_k</t>
        </is>
      </c>
    </row>
    <row r="66">
      <c r="A66" t="inlineStr">
        <is>
          <t>SIG-001</t>
        </is>
      </c>
      <c r="B66" t="inlineStr">
        <is>
          <t>Unplanned downtime (same measure as REL-003)</t>
        </is>
      </c>
      <c r="C66" t="inlineStr">
        <is>
          <t>h</t>
        </is>
      </c>
      <c r="D66" t="inlineStr">
        <is>
          <t>Month</t>
        </is>
      </c>
      <c r="E66" t="inlineStr">
        <is>
          <t>Alias of REL-003: same value</t>
        </is>
      </c>
      <c r="F66">
        <f>F10</f>
        <v/>
      </c>
      <c r="G66">
        <f>G10</f>
        <v/>
      </c>
      <c r="H66">
        <f>H10</f>
        <v/>
      </c>
      <c r="I66">
        <f>I10</f>
        <v/>
      </c>
      <c r="J66">
        <f>J10</f>
        <v/>
      </c>
      <c r="K66">
        <f>K10</f>
        <v/>
      </c>
      <c r="L66" t="inlineStr">
        <is>
          <t>unplanned_downtime_hours</t>
        </is>
      </c>
    </row>
    <row r="67">
      <c r="A67" t="inlineStr">
        <is>
          <t>SIG-002</t>
        </is>
      </c>
      <c r="B67" t="inlineStr">
        <is>
          <t>Yield (same measure as PLT-005)</t>
        </is>
      </c>
      <c r="C67" t="inlineStr">
        <is>
          <t>%</t>
        </is>
      </c>
      <c r="D67" t="inlineStr">
        <is>
          <t>Month</t>
        </is>
      </c>
      <c r="E67" t="inlineStr">
        <is>
          <t>Alias of PLT-005: same value</t>
        </is>
      </c>
      <c r="F67">
        <f>F7</f>
        <v/>
      </c>
      <c r="G67">
        <f>G7</f>
        <v/>
      </c>
      <c r="H67">
        <f>H7</f>
        <v/>
      </c>
      <c r="I67">
        <f>I7</f>
        <v/>
      </c>
      <c r="J67">
        <f>J7</f>
        <v/>
      </c>
      <c r="K67">
        <f>K7</f>
        <v/>
      </c>
      <c r="L67" t="inlineStr">
        <is>
          <t>good_output_t, feed_input_t</t>
        </is>
      </c>
    </row>
    <row r="68">
      <c r="A68" t="inlineStr">
        <is>
          <t>SIG-003</t>
        </is>
      </c>
      <c r="B68" t="inlineStr">
        <is>
          <t>Recovery percentage (same measure as PLT-004)</t>
        </is>
      </c>
      <c r="C68" t="inlineStr">
        <is>
          <t>%</t>
        </is>
      </c>
      <c r="D68" t="inlineStr">
        <is>
          <t>Month</t>
        </is>
      </c>
      <c r="E68" t="inlineStr">
        <is>
          <t>Alias of PLT-004: same value</t>
        </is>
      </c>
      <c r="F68">
        <f>F6</f>
        <v/>
      </c>
      <c r="G68">
        <f>G6</f>
        <v/>
      </c>
      <c r="H68">
        <f>H6</f>
        <v/>
      </c>
      <c r="I68">
        <f>I6</f>
        <v/>
      </c>
      <c r="J68">
        <f>J6</f>
        <v/>
      </c>
      <c r="K68">
        <f>K6</f>
        <v/>
      </c>
      <c r="L68" t="inlineStr">
        <is>
          <t>feed_contained_t, recovered_contained_t</t>
        </is>
      </c>
    </row>
    <row r="69">
      <c r="A69" t="inlineStr">
        <is>
          <t>SIG-019</t>
        </is>
      </c>
      <c r="B69" t="inlineStr">
        <is>
          <t>Regulatory deadlines, next 30 days (same measure as REG-002)</t>
        </is>
      </c>
      <c r="C69" t="inlineStr">
        <is>
          <t>count</t>
        </is>
      </c>
      <c r="D69" t="inlineStr">
        <is>
          <t>Month end</t>
        </is>
      </c>
      <c r="E69" t="inlineStr">
        <is>
          <t>Alias of REG-002: same value</t>
        </is>
      </c>
      <c r="F69">
        <f>F46</f>
        <v/>
      </c>
      <c r="G69">
        <f>G46</f>
        <v/>
      </c>
      <c r="H69">
        <f>H46</f>
        <v/>
      </c>
      <c r="I69">
        <f>I46</f>
        <v/>
      </c>
      <c r="J69">
        <f>J46</f>
        <v/>
      </c>
      <c r="K69">
        <f>K46</f>
        <v/>
      </c>
      <c r="L69" t="inlineStr">
        <is>
          <t>reg_deadlines_30d</t>
        </is>
      </c>
    </row>
    <row r="70">
      <c r="A70" t="inlineStr">
        <is>
          <t>SIG-020</t>
        </is>
      </c>
      <c r="B70" t="inlineStr">
        <is>
          <t>Licence expirations, next 12 months (same measure as REG-003)</t>
        </is>
      </c>
      <c r="C70" t="inlineStr">
        <is>
          <t>count</t>
        </is>
      </c>
      <c r="D70" t="inlineStr">
        <is>
          <t>Month end</t>
        </is>
      </c>
      <c r="E70" t="inlineStr">
        <is>
          <t>Alias of REG-003: same value</t>
        </is>
      </c>
      <c r="F70">
        <f>F47</f>
        <v/>
      </c>
      <c r="G70">
        <f>G47</f>
        <v/>
      </c>
      <c r="H70">
        <f>H47</f>
        <v/>
      </c>
      <c r="I70">
        <f>I47</f>
        <v/>
      </c>
      <c r="J70">
        <f>J47</f>
        <v/>
      </c>
      <c r="K70">
        <f>K47</f>
        <v/>
      </c>
      <c r="L70" t="inlineStr">
        <is>
          <t>licences_expiring_12m</t>
        </is>
      </c>
    </row>
    <row r="71">
      <c r="A71" t="inlineStr">
        <is>
          <t>RSK-002</t>
        </is>
      </c>
      <c r="B71" t="inlineStr">
        <is>
          <t>Severity incidents (same measure as EHS-002)</t>
        </is>
      </c>
      <c r="C71" t="inlineStr">
        <is>
          <t>count</t>
        </is>
      </c>
      <c r="D71" t="inlineStr">
        <is>
          <t>Month</t>
        </is>
      </c>
      <c r="E71" t="inlineStr">
        <is>
          <t>Alias of EHS-002: same value</t>
        </is>
      </c>
      <c r="F71">
        <f>F25</f>
        <v/>
      </c>
      <c r="G71">
        <f>G25</f>
        <v/>
      </c>
      <c r="H71">
        <f>H25</f>
        <v/>
      </c>
      <c r="I71">
        <f>I25</f>
        <v/>
      </c>
      <c r="J71">
        <f>J25</f>
        <v/>
      </c>
      <c r="K71">
        <f>K25</f>
        <v/>
      </c>
      <c r="L71" t="inlineStr">
        <is>
          <t>severity_incidents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7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10" customWidth="1" min="3" max="3"/>
    <col width="12" customWidth="1" min="4" max="4"/>
    <col width="60" customWidth="1" min="5" max="5"/>
  </cols>
  <sheetData>
    <row r="1">
      <c r="A1" s="26" t="inlineStr">
        <is>
          <t>KPI ID</t>
        </is>
      </c>
      <c r="B1" s="26" t="inlineStr">
        <is>
          <t>Measure</t>
        </is>
      </c>
      <c r="C1" s="26" t="inlineStr">
        <is>
          <t>Unit</t>
        </is>
      </c>
      <c r="D1" s="26" t="inlineStr">
        <is>
          <t>Time basis</t>
        </is>
      </c>
      <c r="E1" s="26" t="inlineStr">
        <is>
          <t>How it is calculated</t>
        </is>
      </c>
      <c r="F1" s="26" t="inlineStr">
        <is>
          <t>2026-04 (P01)</t>
        </is>
      </c>
      <c r="G1" s="26" t="inlineStr">
        <is>
          <t>2026-05 (P02)</t>
        </is>
      </c>
      <c r="H1" s="26" t="inlineStr">
        <is>
          <t>2026-06 (P03)</t>
        </is>
      </c>
      <c r="I1" s="26" t="inlineStr">
        <is>
          <t>2026-07 (P04)</t>
        </is>
      </c>
      <c r="J1" s="26" t="inlineStr">
        <is>
          <t>2026-08 (P05)</t>
        </is>
      </c>
      <c r="K1" s="26" t="inlineStr">
        <is>
          <t>2026-09 (P06)</t>
        </is>
      </c>
      <c r="L1" s="26" t="inlineStr">
        <is>
          <t>Inputs used</t>
        </is>
      </c>
    </row>
    <row r="2">
      <c r="A2" t="inlineStr">
        <is>
          <t>OPS-001</t>
        </is>
      </c>
      <c r="B2" t="inlineStr">
        <is>
          <t>Production vs plan</t>
        </is>
      </c>
      <c r="C2" t="inlineStr">
        <is>
          <t>%</t>
        </is>
      </c>
      <c r="D2" t="inlineStr">
        <is>
          <t>Month</t>
        </is>
      </c>
      <c r="E2" t="inlineStr">
        <is>
          <t>Good output ÷ Planned production × 100</t>
        </is>
      </c>
      <c r="F2">
        <f>ROUND(IFERROR(100*'Plant06 Inputs'!M4/'Plant06 Inputs'!K4,0),2)</f>
        <v/>
      </c>
      <c r="G2">
        <f>ROUND(IFERROR(100*'Plant06 Inputs'!M5/'Plant06 Inputs'!K5,0),2)</f>
        <v/>
      </c>
      <c r="H2">
        <f>ROUND(IFERROR(100*'Plant06 Inputs'!M6/'Plant06 Inputs'!K6,0),2)</f>
        <v/>
      </c>
      <c r="I2">
        <f>ROUND(IFERROR(100*'Plant06 Inputs'!M7/'Plant06 Inputs'!K7,0),2)</f>
        <v/>
      </c>
      <c r="J2">
        <f>ROUND(IFERROR(100*'Plant06 Inputs'!M8/'Plant06 Inputs'!K8,0),2)</f>
        <v/>
      </c>
      <c r="K2">
        <f>ROUND(IFERROR(100*'Plant06 Inputs'!M9/'Plant06 Inputs'!K9,0),2)</f>
        <v/>
      </c>
      <c r="L2" t="inlineStr">
        <is>
          <t>planned_production_t, good_output_t</t>
        </is>
      </c>
    </row>
    <row r="3">
      <c r="A3" t="inlineStr">
        <is>
          <t>OPS-003</t>
        </is>
      </c>
      <c r="B3" t="inlineStr">
        <is>
          <t>Capacity utilization</t>
        </is>
      </c>
      <c r="C3" t="inlineStr">
        <is>
          <t>%</t>
        </is>
      </c>
      <c r="D3" t="inlineStr">
        <is>
          <t>Month</t>
        </is>
      </c>
      <c r="E3" t="inlineStr">
        <is>
          <t>Good output ÷ Installed capacity × 100</t>
        </is>
      </c>
      <c r="F3">
        <f>ROUND(IFERROR(100*'Plant06 Inputs'!M4/'Plant06 Inputs'!J4,0),2)</f>
        <v/>
      </c>
      <c r="G3">
        <f>ROUND(IFERROR(100*'Plant06 Inputs'!M5/'Plant06 Inputs'!J5,0),2)</f>
        <v/>
      </c>
      <c r="H3">
        <f>ROUND(IFERROR(100*'Plant06 Inputs'!M6/'Plant06 Inputs'!J6,0),2)</f>
        <v/>
      </c>
      <c r="I3">
        <f>ROUND(IFERROR(100*'Plant06 Inputs'!M7/'Plant06 Inputs'!J7,0),2)</f>
        <v/>
      </c>
      <c r="J3">
        <f>ROUND(IFERROR(100*'Plant06 Inputs'!M8/'Plant06 Inputs'!J8,0),2)</f>
        <v/>
      </c>
      <c r="K3">
        <f>ROUND(IFERROR(100*'Plant06 Inputs'!M9/'Plant06 Inputs'!J9,0),2)</f>
        <v/>
      </c>
      <c r="L3" t="inlineStr">
        <is>
          <t>installed_capacity_t, good_output_t</t>
        </is>
      </c>
    </row>
    <row r="4">
      <c r="A4" t="inlineStr">
        <is>
          <t>PLT-001</t>
        </is>
      </c>
      <c r="B4" t="inlineStr">
        <is>
          <t>Asset utilization</t>
        </is>
      </c>
      <c r="C4" t="inlineStr">
        <is>
          <t>%</t>
        </is>
      </c>
      <c r="D4" t="inlineStr">
        <is>
          <t>Month</t>
        </is>
      </c>
      <c r="E4" t="inlineStr">
        <is>
          <t>Run hours ÷ Calendar hours × 100</t>
        </is>
      </c>
      <c r="F4">
        <f>ROUND(IFERROR(100*'Plant06 Inputs'!G4/'Plant06 Inputs'!E4,0),2)</f>
        <v/>
      </c>
      <c r="G4">
        <f>ROUND(IFERROR(100*'Plant06 Inputs'!G5/'Plant06 Inputs'!E5,0),2)</f>
        <v/>
      </c>
      <c r="H4">
        <f>ROUND(IFERROR(100*'Plant06 Inputs'!G6/'Plant06 Inputs'!E6,0),2)</f>
        <v/>
      </c>
      <c r="I4">
        <f>ROUND(IFERROR(100*'Plant06 Inputs'!G7/'Plant06 Inputs'!E7,0),2)</f>
        <v/>
      </c>
      <c r="J4">
        <f>ROUND(IFERROR(100*'Plant06 Inputs'!G8/'Plant06 Inputs'!E8,0),2)</f>
        <v/>
      </c>
      <c r="K4">
        <f>ROUND(IFERROR(100*'Plant06 Inputs'!G9/'Plant06 Inputs'!E9,0),2)</f>
        <v/>
      </c>
      <c r="L4" t="inlineStr">
        <is>
          <t>calendar_hours, run_hours</t>
        </is>
      </c>
    </row>
    <row r="5">
      <c r="A5" t="inlineStr">
        <is>
          <t>PLT-002</t>
        </is>
      </c>
      <c r="B5" t="inlineStr">
        <is>
          <t>OEE</t>
        </is>
      </c>
      <c r="C5" t="inlineStr">
        <is>
          <t>%</t>
        </is>
      </c>
      <c r="D5" t="inlineStr">
        <is>
          <t>Month</t>
        </is>
      </c>
      <c r="E5" t="inlineStr">
        <is>
          <t>Availability × Performance × Quality = Good output ÷ Ideal output × 100</t>
        </is>
      </c>
      <c r="F5">
        <f>ROUND(IFERROR(100*'Plant06 Inputs'!M4/'Plant06 Inputs'!I4,0),2)</f>
        <v/>
      </c>
      <c r="G5">
        <f>ROUND(IFERROR(100*'Plant06 Inputs'!M5/'Plant06 Inputs'!I5,0),2)</f>
        <v/>
      </c>
      <c r="H5">
        <f>ROUND(IFERROR(100*'Plant06 Inputs'!M6/'Plant06 Inputs'!I6,0),2)</f>
        <v/>
      </c>
      <c r="I5">
        <f>ROUND(IFERROR(100*'Plant06 Inputs'!M7/'Plant06 Inputs'!I7,0),2)</f>
        <v/>
      </c>
      <c r="J5">
        <f>ROUND(IFERROR(100*'Plant06 Inputs'!M8/'Plant06 Inputs'!I8,0),2)</f>
        <v/>
      </c>
      <c r="K5">
        <f>ROUND(IFERROR(100*'Plant06 Inputs'!M9/'Plant06 Inputs'!I9,0),2)</f>
        <v/>
      </c>
      <c r="L5" t="inlineStr">
        <is>
          <t>ideal_output_t, good_output_t</t>
        </is>
      </c>
    </row>
    <row r="6">
      <c r="A6" t="inlineStr">
        <is>
          <t>PLT-004</t>
        </is>
      </c>
      <c r="B6" t="inlineStr">
        <is>
          <t>Recovery percentage</t>
        </is>
      </c>
      <c r="C6" t="inlineStr">
        <is>
          <t>%</t>
        </is>
      </c>
      <c r="D6" t="inlineStr">
        <is>
          <t>Month</t>
        </is>
      </c>
      <c r="E6" t="inlineStr">
        <is>
          <t>Valuable content recovered ÷ Valuable content in feed × 100</t>
        </is>
      </c>
      <c r="F6">
        <f>ROUND(IFERROR(100*'Plant06 Inputs'!P4/'Plant06 Inputs'!O4,0),2)</f>
        <v/>
      </c>
      <c r="G6">
        <f>ROUND(IFERROR(100*'Plant06 Inputs'!P5/'Plant06 Inputs'!O5,0),2)</f>
        <v/>
      </c>
      <c r="H6">
        <f>ROUND(IFERROR(100*'Plant06 Inputs'!P6/'Plant06 Inputs'!O6,0),2)</f>
        <v/>
      </c>
      <c r="I6">
        <f>ROUND(IFERROR(100*'Plant06 Inputs'!P7/'Plant06 Inputs'!O7,0),2)</f>
        <v/>
      </c>
      <c r="J6">
        <f>ROUND(IFERROR(100*'Plant06 Inputs'!P8/'Plant06 Inputs'!O8,0),2)</f>
        <v/>
      </c>
      <c r="K6">
        <f>ROUND(IFERROR(100*'Plant06 Inputs'!P9/'Plant06 Inputs'!O9,0),2)</f>
        <v/>
      </c>
      <c r="L6" t="inlineStr">
        <is>
          <t>feed_contained_t, recovered_contained_t</t>
        </is>
      </c>
    </row>
    <row r="7">
      <c r="A7" t="inlineStr">
        <is>
          <t>PLT-005</t>
        </is>
      </c>
      <c r="B7" t="inlineStr">
        <is>
          <t>Yield</t>
        </is>
      </c>
      <c r="C7" t="inlineStr">
        <is>
          <t>%</t>
        </is>
      </c>
      <c r="D7" t="inlineStr">
        <is>
          <t>Month</t>
        </is>
      </c>
      <c r="E7" t="inlineStr">
        <is>
          <t>Good output ÷ Feed input × 100</t>
        </is>
      </c>
      <c r="F7">
        <f>ROUND(IFERROR(100*'Plant06 Inputs'!M4/'Plant06 Inputs'!N4,0),2)</f>
        <v/>
      </c>
      <c r="G7">
        <f>ROUND(IFERROR(100*'Plant06 Inputs'!M5/'Plant06 Inputs'!N5,0),2)</f>
        <v/>
      </c>
      <c r="H7">
        <f>ROUND(IFERROR(100*'Plant06 Inputs'!M6/'Plant06 Inputs'!N6,0),2)</f>
        <v/>
      </c>
      <c r="I7">
        <f>ROUND(IFERROR(100*'Plant06 Inputs'!M7/'Plant06 Inputs'!N7,0),2)</f>
        <v/>
      </c>
      <c r="J7">
        <f>ROUND(IFERROR(100*'Plant06 Inputs'!M8/'Plant06 Inputs'!N8,0),2)</f>
        <v/>
      </c>
      <c r="K7">
        <f>ROUND(IFERROR(100*'Plant06 Inputs'!M9/'Plant06 Inputs'!N9,0),2)</f>
        <v/>
      </c>
      <c r="L7" t="inlineStr">
        <is>
          <t>good_output_t, feed_input_t</t>
        </is>
      </c>
    </row>
    <row r="8">
      <c r="A8" t="inlineStr">
        <is>
          <t>REL-001</t>
        </is>
      </c>
      <c r="B8" t="inlineStr">
        <is>
          <t>MTBF</t>
        </is>
      </c>
      <c r="C8" t="inlineStr">
        <is>
          <t>h</t>
        </is>
      </c>
      <c r="D8" t="inlineStr">
        <is>
          <t>Month</t>
        </is>
      </c>
      <c r="E8" t="inlineStr">
        <is>
          <t>Run hours ÷ Breakdowns</t>
        </is>
      </c>
      <c r="F8">
        <f>ROUND(IFERROR('Plant06 Inputs'!G4/'Plant06 Inputs'!R4,0),2)</f>
        <v/>
      </c>
      <c r="G8">
        <f>ROUND(IFERROR('Plant06 Inputs'!G5/'Plant06 Inputs'!R5,0),2)</f>
        <v/>
      </c>
      <c r="H8">
        <f>ROUND(IFERROR('Plant06 Inputs'!G6/'Plant06 Inputs'!R6,0),2)</f>
        <v/>
      </c>
      <c r="I8">
        <f>ROUND(IFERROR('Plant06 Inputs'!G7/'Plant06 Inputs'!R7,0),2)</f>
        <v/>
      </c>
      <c r="J8">
        <f>ROUND(IFERROR('Plant06 Inputs'!G8/'Plant06 Inputs'!R8,0),2)</f>
        <v/>
      </c>
      <c r="K8">
        <f>ROUND(IFERROR('Plant06 Inputs'!G9/'Plant06 Inputs'!R9,0),2)</f>
        <v/>
      </c>
      <c r="L8" t="inlineStr">
        <is>
          <t>run_hours, failures</t>
        </is>
      </c>
    </row>
    <row r="9">
      <c r="A9" t="inlineStr">
        <is>
          <t>REL-002</t>
        </is>
      </c>
      <c r="B9" t="inlineStr">
        <is>
          <t>Mean Time to Repair</t>
        </is>
      </c>
      <c r="C9" t="inlineStr">
        <is>
          <t>h</t>
        </is>
      </c>
      <c r="D9" t="inlineStr">
        <is>
          <t>Month</t>
        </is>
      </c>
      <c r="E9" t="inlineStr">
        <is>
          <t>Repair hours ÷ Breakdowns</t>
        </is>
      </c>
      <c r="F9">
        <f>ROUND(IFERROR('Plant06 Inputs'!S4/'Plant06 Inputs'!R4,0),2)</f>
        <v/>
      </c>
      <c r="G9">
        <f>ROUND(IFERROR('Plant06 Inputs'!S5/'Plant06 Inputs'!R5,0),2)</f>
        <v/>
      </c>
      <c r="H9">
        <f>ROUND(IFERROR('Plant06 Inputs'!S6/'Plant06 Inputs'!R6,0),2)</f>
        <v/>
      </c>
      <c r="I9">
        <f>ROUND(IFERROR('Plant06 Inputs'!S7/'Plant06 Inputs'!R7,0),2)</f>
        <v/>
      </c>
      <c r="J9">
        <f>ROUND(IFERROR('Plant06 Inputs'!S8/'Plant06 Inputs'!R8,0),2)</f>
        <v/>
      </c>
      <c r="K9">
        <f>ROUND(IFERROR('Plant06 Inputs'!S9/'Plant06 Inputs'!R9,0),2)</f>
        <v/>
      </c>
      <c r="L9" t="inlineStr">
        <is>
          <t>failures, repair_hours</t>
        </is>
      </c>
    </row>
    <row r="10">
      <c r="A10" t="inlineStr">
        <is>
          <t>REL-003</t>
        </is>
      </c>
      <c r="B10" t="inlineStr">
        <is>
          <t>Unplanned downtime</t>
        </is>
      </c>
      <c r="C10" t="inlineStr">
        <is>
          <t>h</t>
        </is>
      </c>
      <c r="D10" t="inlineStr">
        <is>
          <t>Month</t>
        </is>
      </c>
      <c r="E10" t="inlineStr">
        <is>
          <t>Unplanned downtime</t>
        </is>
      </c>
      <c r="F10">
        <f>ROUND('Plant06 Inputs'!H4,2)</f>
        <v/>
      </c>
      <c r="G10">
        <f>ROUND('Plant06 Inputs'!H5,2)</f>
        <v/>
      </c>
      <c r="H10">
        <f>ROUND('Plant06 Inputs'!H6,2)</f>
        <v/>
      </c>
      <c r="I10">
        <f>ROUND('Plant06 Inputs'!H7,2)</f>
        <v/>
      </c>
      <c r="J10">
        <f>ROUND('Plant06 Inputs'!H8,2)</f>
        <v/>
      </c>
      <c r="K10">
        <f>ROUND('Plant06 Inputs'!H9,2)</f>
        <v/>
      </c>
      <c r="L10" t="inlineStr">
        <is>
          <t>unplanned_downtime_hours</t>
        </is>
      </c>
    </row>
    <row r="11">
      <c r="A11" t="inlineStr">
        <is>
          <t>REL-004</t>
        </is>
      </c>
      <c r="B11" t="inlineStr">
        <is>
          <t>Production loss from downtime</t>
        </is>
      </c>
      <c r="C11" t="inlineStr">
        <is>
          <t>t</t>
        </is>
      </c>
      <c r="D11" t="inlineStr">
        <is>
          <t>Month</t>
        </is>
      </c>
      <c r="E11" t="inlineStr">
        <is>
          <t>Production lost to downtime</t>
        </is>
      </c>
      <c r="F11">
        <f>ROUND('Plant06 Inputs'!Q4,2)</f>
        <v/>
      </c>
      <c r="G11">
        <f>ROUND('Plant06 Inputs'!Q5,2)</f>
        <v/>
      </c>
      <c r="H11">
        <f>ROUND('Plant06 Inputs'!Q6,2)</f>
        <v/>
      </c>
      <c r="I11">
        <f>ROUND('Plant06 Inputs'!Q7,2)</f>
        <v/>
      </c>
      <c r="J11">
        <f>ROUND('Plant06 Inputs'!Q8,2)</f>
        <v/>
      </c>
      <c r="K11">
        <f>ROUND('Plant06 Inputs'!Q9,2)</f>
        <v/>
      </c>
      <c r="L11" t="inlineStr">
        <is>
          <t>prod_loss_downtime_t</t>
        </is>
      </c>
    </row>
    <row r="12">
      <c r="A12" t="inlineStr">
        <is>
          <t>REL-005</t>
        </is>
      </c>
      <c r="B12" t="inlineStr">
        <is>
          <t>Preventive-maintenance compliance</t>
        </is>
      </c>
      <c r="C12" t="inlineStr">
        <is>
          <t>%</t>
        </is>
      </c>
      <c r="D12" t="inlineStr">
        <is>
          <t>Month</t>
        </is>
      </c>
      <c r="E12" t="inlineStr">
        <is>
          <t>Preventive maintenance completed ÷ Preventive maintenance scheduled × 100</t>
        </is>
      </c>
      <c r="F12">
        <f>ROUND(IFERROR(100*'Plant06 Inputs'!U4/'Plant06 Inputs'!T4,0),2)</f>
        <v/>
      </c>
      <c r="G12">
        <f>ROUND(IFERROR(100*'Plant06 Inputs'!U5/'Plant06 Inputs'!T5,0),2)</f>
        <v/>
      </c>
      <c r="H12">
        <f>ROUND(IFERROR(100*'Plant06 Inputs'!U6/'Plant06 Inputs'!T6,0),2)</f>
        <v/>
      </c>
      <c r="I12">
        <f>ROUND(IFERROR(100*'Plant06 Inputs'!U7/'Plant06 Inputs'!T7,0),2)</f>
        <v/>
      </c>
      <c r="J12">
        <f>ROUND(IFERROR(100*'Plant06 Inputs'!U8/'Plant06 Inputs'!T8,0),2)</f>
        <v/>
      </c>
      <c r="K12">
        <f>ROUND(IFERROR(100*'Plant06 Inputs'!U9/'Plant06 Inputs'!T9,0),2)</f>
        <v/>
      </c>
      <c r="L12" t="inlineStr">
        <is>
          <t>pm_scheduled, pm_completed</t>
        </is>
      </c>
    </row>
    <row r="13">
      <c r="A13" t="inlineStr">
        <is>
          <t>CST-001</t>
        </is>
      </c>
      <c r="B13" t="inlineStr">
        <is>
          <t>Cost per tonne</t>
        </is>
      </c>
      <c r="C13" t="inlineStr">
        <is>
          <t>₹/t</t>
        </is>
      </c>
      <c r="D13" t="inlineStr">
        <is>
          <t>Month</t>
        </is>
      </c>
      <c r="E13" t="inlineStr">
        <is>
          <t>(Variable cost + Fixed cost) × 1000 ÷ Good output</t>
        </is>
      </c>
      <c r="F13">
        <f>ROUND(IFERROR(1000*('Plant06 Inputs'!V4+'Plant06 Inputs'!X4)/'Plant06 Inputs'!M4,0),2)</f>
        <v/>
      </c>
      <c r="G13">
        <f>ROUND(IFERROR(1000*('Plant06 Inputs'!V5+'Plant06 Inputs'!X5)/'Plant06 Inputs'!M5,0),2)</f>
        <v/>
      </c>
      <c r="H13">
        <f>ROUND(IFERROR(1000*('Plant06 Inputs'!V6+'Plant06 Inputs'!X6)/'Plant06 Inputs'!M6,0),2)</f>
        <v/>
      </c>
      <c r="I13">
        <f>ROUND(IFERROR(1000*('Plant06 Inputs'!V7+'Plant06 Inputs'!X7)/'Plant06 Inputs'!M7,0),2)</f>
        <v/>
      </c>
      <c r="J13">
        <f>ROUND(IFERROR(1000*('Plant06 Inputs'!V8+'Plant06 Inputs'!X8)/'Plant06 Inputs'!M8,0),2)</f>
        <v/>
      </c>
      <c r="K13">
        <f>ROUND(IFERROR(1000*('Plant06 Inputs'!V9+'Plant06 Inputs'!X9)/'Plant06 Inputs'!M9,0),2)</f>
        <v/>
      </c>
      <c r="L13" t="inlineStr">
        <is>
          <t>good_output_t, variable_cost_k, fixed_cost_k</t>
        </is>
      </c>
    </row>
    <row r="14">
      <c r="A14" t="inlineStr">
        <is>
          <t>CST-002</t>
        </is>
      </c>
      <c r="B14" t="inlineStr">
        <is>
          <t>Variable cost</t>
        </is>
      </c>
      <c r="C14" t="inlineStr">
        <is>
          <t>₹ thousand</t>
        </is>
      </c>
      <c r="D14" t="inlineStr">
        <is>
          <t>Month</t>
        </is>
      </c>
      <c r="E14" t="inlineStr">
        <is>
          <t>Variable cost</t>
        </is>
      </c>
      <c r="F14">
        <f>ROUND('Plant06 Inputs'!V4,2)</f>
        <v/>
      </c>
      <c r="G14">
        <f>ROUND('Plant06 Inputs'!V5,2)</f>
        <v/>
      </c>
      <c r="H14">
        <f>ROUND('Plant06 Inputs'!V6,2)</f>
        <v/>
      </c>
      <c r="I14">
        <f>ROUND('Plant06 Inputs'!V7,2)</f>
        <v/>
      </c>
      <c r="J14">
        <f>ROUND('Plant06 Inputs'!V8,2)</f>
        <v/>
      </c>
      <c r="K14">
        <f>ROUND('Plant06 Inputs'!V9,2)</f>
        <v/>
      </c>
      <c r="L14" t="inlineStr">
        <is>
          <t>variable_cost_k</t>
        </is>
      </c>
    </row>
    <row r="15">
      <c r="A15" t="inlineStr">
        <is>
          <t>CST-003</t>
        </is>
      </c>
      <c r="B15" t="inlineStr">
        <is>
          <t>Fuel cost</t>
        </is>
      </c>
      <c r="C15" t="inlineStr">
        <is>
          <t>₹ thousand</t>
        </is>
      </c>
      <c r="D15" t="inlineStr">
        <is>
          <t>Month</t>
        </is>
      </c>
      <c r="E15" t="inlineStr">
        <is>
          <t>Fuel cost</t>
        </is>
      </c>
      <c r="F15">
        <f>ROUND('Plant06 Inputs'!W4,2)</f>
        <v/>
      </c>
      <c r="G15">
        <f>ROUND('Plant06 Inputs'!W5,2)</f>
        <v/>
      </c>
      <c r="H15">
        <f>ROUND('Plant06 Inputs'!W6,2)</f>
        <v/>
      </c>
      <c r="I15">
        <f>ROUND('Plant06 Inputs'!W7,2)</f>
        <v/>
      </c>
      <c r="J15">
        <f>ROUND('Plant06 Inputs'!W8,2)</f>
        <v/>
      </c>
      <c r="K15">
        <f>ROUND('Plant06 Inputs'!W9,2)</f>
        <v/>
      </c>
      <c r="L15" t="inlineStr">
        <is>
          <t>fuel_cost_k</t>
        </is>
      </c>
    </row>
    <row r="16">
      <c r="A16" t="inlineStr">
        <is>
          <t>SUS-001</t>
        </is>
      </c>
      <c r="B16" t="inlineStr">
        <is>
          <t>Water usage</t>
        </is>
      </c>
      <c r="C16" t="inlineStr">
        <is>
          <t>m3</t>
        </is>
      </c>
      <c r="D16" t="inlineStr">
        <is>
          <t>Month</t>
        </is>
      </c>
      <c r="E16" t="inlineStr">
        <is>
          <t>Water used</t>
        </is>
      </c>
      <c r="F16">
        <f>ROUND('Plant06 Inputs'!Y4,2)</f>
        <v/>
      </c>
      <c r="G16">
        <f>ROUND('Plant06 Inputs'!Y5,2)</f>
        <v/>
      </c>
      <c r="H16">
        <f>ROUND('Plant06 Inputs'!Y6,2)</f>
        <v/>
      </c>
      <c r="I16">
        <f>ROUND('Plant06 Inputs'!Y7,2)</f>
        <v/>
      </c>
      <c r="J16">
        <f>ROUND('Plant06 Inputs'!Y8,2)</f>
        <v/>
      </c>
      <c r="K16">
        <f>ROUND('Plant06 Inputs'!Y9,2)</f>
        <v/>
      </c>
      <c r="L16" t="inlineStr">
        <is>
          <t>water_m3</t>
        </is>
      </c>
    </row>
    <row r="17">
      <c r="A17" t="inlineStr">
        <is>
          <t>SUS-002</t>
        </is>
      </c>
      <c r="B17" t="inlineStr">
        <is>
          <t>Emissions</t>
        </is>
      </c>
      <c r="C17" t="inlineStr">
        <is>
          <t>tCO2e</t>
        </is>
      </c>
      <c r="D17" t="inlineStr">
        <is>
          <t>Month</t>
        </is>
      </c>
      <c r="E17" t="inlineStr">
        <is>
          <t>Emissions</t>
        </is>
      </c>
      <c r="F17">
        <f>ROUND('Plant06 Inputs'!Z4,2)</f>
        <v/>
      </c>
      <c r="G17">
        <f>ROUND('Plant06 Inputs'!Z5,2)</f>
        <v/>
      </c>
      <c r="H17">
        <f>ROUND('Plant06 Inputs'!Z6,2)</f>
        <v/>
      </c>
      <c r="I17">
        <f>ROUND('Plant06 Inputs'!Z7,2)</f>
        <v/>
      </c>
      <c r="J17">
        <f>ROUND('Plant06 Inputs'!Z8,2)</f>
        <v/>
      </c>
      <c r="K17">
        <f>ROUND('Plant06 Inputs'!Z9,2)</f>
        <v/>
      </c>
      <c r="L17" t="inlineStr">
        <is>
          <t>emissions_tco2e</t>
        </is>
      </c>
    </row>
    <row r="18">
      <c r="A18" t="inlineStr">
        <is>
          <t>SUS-003</t>
        </is>
      </c>
      <c r="B18" t="inlineStr">
        <is>
          <t>Energy intensity</t>
        </is>
      </c>
      <c r="C18" t="inlineStr">
        <is>
          <t>GJ/t</t>
        </is>
      </c>
      <c r="D18" t="inlineStr">
        <is>
          <t>Month</t>
        </is>
      </c>
      <c r="E18" t="inlineStr">
        <is>
          <t>Energy used ÷ Good output</t>
        </is>
      </c>
      <c r="F18">
        <f>ROUND(IFERROR('Plant06 Inputs'!AA4/'Plant06 Inputs'!M4,0),2)</f>
        <v/>
      </c>
      <c r="G18">
        <f>ROUND(IFERROR('Plant06 Inputs'!AA5/'Plant06 Inputs'!M5,0),2)</f>
        <v/>
      </c>
      <c r="H18">
        <f>ROUND(IFERROR('Plant06 Inputs'!AA6/'Plant06 Inputs'!M6,0),2)</f>
        <v/>
      </c>
      <c r="I18">
        <f>ROUND(IFERROR('Plant06 Inputs'!AA7/'Plant06 Inputs'!M7,0),2)</f>
        <v/>
      </c>
      <c r="J18">
        <f>ROUND(IFERROR('Plant06 Inputs'!AA8/'Plant06 Inputs'!M8,0),2)</f>
        <v/>
      </c>
      <c r="K18">
        <f>ROUND(IFERROR('Plant06 Inputs'!AA9/'Plant06 Inputs'!M9,0),2)</f>
        <v/>
      </c>
      <c r="L18" t="inlineStr">
        <is>
          <t>good_output_t, energy_gj</t>
        </is>
      </c>
    </row>
    <row r="19">
      <c r="A19" t="inlineStr">
        <is>
          <t>SIG-007</t>
        </is>
      </c>
      <c r="B19" t="inlineStr">
        <is>
          <t>Production at risk</t>
        </is>
      </c>
      <c r="C19" t="inlineStr">
        <is>
          <t>t</t>
        </is>
      </c>
      <c r="D19" t="inlineStr">
        <is>
          <t>Month</t>
        </is>
      </c>
      <c r="E19" t="inlineStr">
        <is>
          <t>Production at risk</t>
        </is>
      </c>
      <c r="F19">
        <f>ROUND('Plant06 Inputs'!AB4,2)</f>
        <v/>
      </c>
      <c r="G19">
        <f>ROUND('Plant06 Inputs'!AB5,2)</f>
        <v/>
      </c>
      <c r="H19">
        <f>ROUND('Plant06 Inputs'!AB6,2)</f>
        <v/>
      </c>
      <c r="I19">
        <f>ROUND('Plant06 Inputs'!AB7,2)</f>
        <v/>
      </c>
      <c r="J19">
        <f>ROUND('Plant06 Inputs'!AB8,2)</f>
        <v/>
      </c>
      <c r="K19">
        <f>ROUND('Plant06 Inputs'!AB9,2)</f>
        <v/>
      </c>
      <c r="L19" t="inlineStr">
        <is>
          <t>production_at_risk_t</t>
        </is>
      </c>
    </row>
    <row r="20">
      <c r="A20" t="inlineStr">
        <is>
          <t>SIG-008</t>
        </is>
      </c>
      <c r="B20" t="inlineStr">
        <is>
          <t>Critical plant-state alerts</t>
        </is>
      </c>
      <c r="C20" t="inlineStr">
        <is>
          <t>count</t>
        </is>
      </c>
      <c r="D20" t="inlineStr">
        <is>
          <t>Month</t>
        </is>
      </c>
      <c r="E20" t="inlineStr">
        <is>
          <t>Critical plant alerts</t>
        </is>
      </c>
      <c r="F20">
        <f>ROUND('Plant06 Inputs'!AC4,2)</f>
        <v/>
      </c>
      <c r="G20">
        <f>ROUND('Plant06 Inputs'!AC5,2)</f>
        <v/>
      </c>
      <c r="H20">
        <f>ROUND('Plant06 Inputs'!AC6,2)</f>
        <v/>
      </c>
      <c r="I20">
        <f>ROUND('Plant06 Inputs'!AC7,2)</f>
        <v/>
      </c>
      <c r="J20">
        <f>ROUND('Plant06 Inputs'!AC8,2)</f>
        <v/>
      </c>
      <c r="K20">
        <f>ROUND('Plant06 Inputs'!AC9,2)</f>
        <v/>
      </c>
      <c r="L20" t="inlineStr">
        <is>
          <t>critical_plant_alerts</t>
        </is>
      </c>
    </row>
    <row r="21">
      <c r="A21" t="inlineStr">
        <is>
          <t>SIG-009</t>
        </is>
      </c>
      <c r="B21" t="inlineStr">
        <is>
          <t>Critical-material shortage risk</t>
        </is>
      </c>
      <c r="C21" t="inlineStr">
        <is>
          <t>count</t>
        </is>
      </c>
      <c r="D21" t="inlineStr">
        <is>
          <t>Month</t>
        </is>
      </c>
      <c r="E21" t="inlineStr">
        <is>
          <t>Critical materials at risk</t>
        </is>
      </c>
      <c r="F21">
        <f>ROUND('Plant06 Inputs'!AO4,2)</f>
        <v/>
      </c>
      <c r="G21">
        <f>ROUND('Plant06 Inputs'!AO5,2)</f>
        <v/>
      </c>
      <c r="H21">
        <f>ROUND('Plant06 Inputs'!AO6,2)</f>
        <v/>
      </c>
      <c r="I21">
        <f>ROUND('Plant06 Inputs'!AO7,2)</f>
        <v/>
      </c>
      <c r="J21">
        <f>ROUND('Plant06 Inputs'!AO8,2)</f>
        <v/>
      </c>
      <c r="K21">
        <f>ROUND('Plant06 Inputs'!AO9,2)</f>
        <v/>
      </c>
      <c r="L21" t="inlineStr">
        <is>
          <t>critical_material_risks</t>
        </is>
      </c>
    </row>
    <row r="22">
      <c r="A22" t="inlineStr">
        <is>
          <t>SIG-012</t>
        </is>
      </c>
      <c r="B22" t="inlineStr">
        <is>
          <t>Dispatch delays</t>
        </is>
      </c>
      <c r="C22" t="inlineStr">
        <is>
          <t>%</t>
        </is>
      </c>
      <c r="D22" t="inlineStr">
        <is>
          <t>Month</t>
        </is>
      </c>
      <c r="E22" t="inlineStr">
        <is>
          <t>Delayed dispatches ÷ Dispatches × 100</t>
        </is>
      </c>
      <c r="F22">
        <f>ROUND(IFERROR(100*'Plant06 Inputs'!AQ4/'Plant06 Inputs'!AP4,0),2)</f>
        <v/>
      </c>
      <c r="G22">
        <f>ROUND(IFERROR(100*'Plant06 Inputs'!AQ5/'Plant06 Inputs'!AP5,0),2)</f>
        <v/>
      </c>
      <c r="H22">
        <f>ROUND(IFERROR(100*'Plant06 Inputs'!AQ6/'Plant06 Inputs'!AP6,0),2)</f>
        <v/>
      </c>
      <c r="I22">
        <f>ROUND(IFERROR(100*'Plant06 Inputs'!AQ7/'Plant06 Inputs'!AP7,0),2)</f>
        <v/>
      </c>
      <c r="J22">
        <f>ROUND(IFERROR(100*'Plant06 Inputs'!AQ8/'Plant06 Inputs'!AP8,0),2)</f>
        <v/>
      </c>
      <c r="K22">
        <f>ROUND(IFERROR(100*'Plant06 Inputs'!AQ9/'Plant06 Inputs'!AP9,0),2)</f>
        <v/>
      </c>
      <c r="L22" t="inlineStr">
        <is>
          <t>dispatches_total, dispatches_delayed</t>
        </is>
      </c>
    </row>
    <row r="23">
      <c r="A23" t="inlineStr">
        <is>
          <t>SIG-021</t>
        </is>
      </c>
      <c r="B23" t="inlineStr">
        <is>
          <t>Environmental violations</t>
        </is>
      </c>
      <c r="C23" t="inlineStr">
        <is>
          <t>count</t>
        </is>
      </c>
      <c r="D23" t="inlineStr">
        <is>
          <t>Month</t>
        </is>
      </c>
      <c r="E23" t="inlineStr">
        <is>
          <t>Environmental violations</t>
        </is>
      </c>
      <c r="F23">
        <f>ROUND('Plant06 Inputs'!AJ4,2)</f>
        <v/>
      </c>
      <c r="G23">
        <f>ROUND('Plant06 Inputs'!AJ5,2)</f>
        <v/>
      </c>
      <c r="H23">
        <f>ROUND('Plant06 Inputs'!AJ6,2)</f>
        <v/>
      </c>
      <c r="I23">
        <f>ROUND('Plant06 Inputs'!AJ7,2)</f>
        <v/>
      </c>
      <c r="J23">
        <f>ROUND('Plant06 Inputs'!AJ8,2)</f>
        <v/>
      </c>
      <c r="K23">
        <f>ROUND('Plant06 Inputs'!AJ9,2)</f>
        <v/>
      </c>
      <c r="L23" t="inlineStr">
        <is>
          <t>env_violations</t>
        </is>
      </c>
    </row>
    <row r="24">
      <c r="A24" t="inlineStr">
        <is>
          <t>EHS-001</t>
        </is>
      </c>
      <c r="B24" t="inlineStr">
        <is>
          <t>TRIR</t>
        </is>
      </c>
      <c r="C24" t="inlineStr">
        <is>
          <t>per 200,000 h</t>
        </is>
      </c>
      <c r="D24" t="inlineStr">
        <is>
          <t>Month</t>
        </is>
      </c>
      <c r="E24" t="inlineStr">
        <is>
          <t>Recordable injuries × 200,000 ÷ Hours worked</t>
        </is>
      </c>
      <c r="F24">
        <f>ROUND(IFERROR(200000*'Plant06 Inputs'!AE4/'Plant06 Inputs'!AD4,0),2)</f>
        <v/>
      </c>
      <c r="G24">
        <f>ROUND(IFERROR(200000*'Plant06 Inputs'!AE5/'Plant06 Inputs'!AD5,0),2)</f>
        <v/>
      </c>
      <c r="H24">
        <f>ROUND(IFERROR(200000*'Plant06 Inputs'!AE6/'Plant06 Inputs'!AD6,0),2)</f>
        <v/>
      </c>
      <c r="I24">
        <f>ROUND(IFERROR(200000*'Plant06 Inputs'!AE7/'Plant06 Inputs'!AD7,0),2)</f>
        <v/>
      </c>
      <c r="J24">
        <f>ROUND(IFERROR(200000*'Plant06 Inputs'!AE8/'Plant06 Inputs'!AD8,0),2)</f>
        <v/>
      </c>
      <c r="K24">
        <f>ROUND(IFERROR(200000*'Plant06 Inputs'!AE9/'Plant06 Inputs'!AD9,0),2)</f>
        <v/>
      </c>
      <c r="L24" t="inlineStr">
        <is>
          <t>hours_worked, recordable_injuries</t>
        </is>
      </c>
    </row>
    <row r="25">
      <c r="A25" t="inlineStr">
        <is>
          <t>EHS-002</t>
        </is>
      </c>
      <c r="B25" t="inlineStr">
        <is>
          <t>Severity incidents</t>
        </is>
      </c>
      <c r="C25" t="inlineStr">
        <is>
          <t>count</t>
        </is>
      </c>
      <c r="D25" t="inlineStr">
        <is>
          <t>Month</t>
        </is>
      </c>
      <c r="E25" t="inlineStr">
        <is>
          <t>Severity incidents</t>
        </is>
      </c>
      <c r="F25">
        <f>ROUND('Plant06 Inputs'!AF4,2)</f>
        <v/>
      </c>
      <c r="G25">
        <f>ROUND('Plant06 Inputs'!AF5,2)</f>
        <v/>
      </c>
      <c r="H25">
        <f>ROUND('Plant06 Inputs'!AF6,2)</f>
        <v/>
      </c>
      <c r="I25">
        <f>ROUND('Plant06 Inputs'!AF7,2)</f>
        <v/>
      </c>
      <c r="J25">
        <f>ROUND('Plant06 Inputs'!AF8,2)</f>
        <v/>
      </c>
      <c r="K25">
        <f>ROUND('Plant06 Inputs'!AF9,2)</f>
        <v/>
      </c>
      <c r="L25" t="inlineStr">
        <is>
          <t>severity_incidents</t>
        </is>
      </c>
    </row>
    <row r="26">
      <c r="A26" t="inlineStr">
        <is>
          <t>EHS-003</t>
        </is>
      </c>
      <c r="B26" t="inlineStr">
        <is>
          <t>Near misses</t>
        </is>
      </c>
      <c r="C26" t="inlineStr">
        <is>
          <t>count</t>
        </is>
      </c>
      <c r="D26" t="inlineStr">
        <is>
          <t>Month</t>
        </is>
      </c>
      <c r="E26" t="inlineStr">
        <is>
          <t>Near misses</t>
        </is>
      </c>
      <c r="F26">
        <f>ROUND('Plant06 Inputs'!AG4,2)</f>
        <v/>
      </c>
      <c r="G26">
        <f>ROUND('Plant06 Inputs'!AG5,2)</f>
        <v/>
      </c>
      <c r="H26">
        <f>ROUND('Plant06 Inputs'!AG6,2)</f>
        <v/>
      </c>
      <c r="I26">
        <f>ROUND('Plant06 Inputs'!AG7,2)</f>
        <v/>
      </c>
      <c r="J26">
        <f>ROUND('Plant06 Inputs'!AG8,2)</f>
        <v/>
      </c>
      <c r="K26">
        <f>ROUND('Plant06 Inputs'!AG9,2)</f>
        <v/>
      </c>
      <c r="L26" t="inlineStr">
        <is>
          <t>near_misses</t>
        </is>
      </c>
    </row>
    <row r="27">
      <c r="A27" t="inlineStr">
        <is>
          <t>EHS-004</t>
        </is>
      </c>
      <c r="B27" t="inlineStr">
        <is>
          <t>Critical safety incidents</t>
        </is>
      </c>
      <c r="C27" t="inlineStr">
        <is>
          <t>count</t>
        </is>
      </c>
      <c r="D27" t="inlineStr">
        <is>
          <t>Month</t>
        </is>
      </c>
      <c r="E27" t="inlineStr">
        <is>
          <t>Critical safety incidents</t>
        </is>
      </c>
      <c r="F27">
        <f>ROUND('Plant06 Inputs'!AH4,2)</f>
        <v/>
      </c>
      <c r="G27">
        <f>ROUND('Plant06 Inputs'!AH5,2)</f>
        <v/>
      </c>
      <c r="H27">
        <f>ROUND('Plant06 Inputs'!AH6,2)</f>
        <v/>
      </c>
      <c r="I27">
        <f>ROUND('Plant06 Inputs'!AH7,2)</f>
        <v/>
      </c>
      <c r="J27">
        <f>ROUND('Plant06 Inputs'!AH8,2)</f>
        <v/>
      </c>
      <c r="K27">
        <f>ROUND('Plant06 Inputs'!AH9,2)</f>
        <v/>
      </c>
      <c r="L27" t="inlineStr">
        <is>
          <t>critical_safety_incidents</t>
        </is>
      </c>
    </row>
    <row r="28">
      <c r="A28" t="inlineStr">
        <is>
          <t>EHS-005</t>
        </is>
      </c>
      <c r="B28" t="inlineStr">
        <is>
          <t>Environmental excursions</t>
        </is>
      </c>
      <c r="C28" t="inlineStr">
        <is>
          <t>count</t>
        </is>
      </c>
      <c r="D28" t="inlineStr">
        <is>
          <t>Month</t>
        </is>
      </c>
      <c r="E28" t="inlineStr">
        <is>
          <t>Environmental excursions</t>
        </is>
      </c>
      <c r="F28">
        <f>ROUND('Plant06 Inputs'!AI4,2)</f>
        <v/>
      </c>
      <c r="G28">
        <f>ROUND('Plant06 Inputs'!AI5,2)</f>
        <v/>
      </c>
      <c r="H28">
        <f>ROUND('Plant06 Inputs'!AI6,2)</f>
        <v/>
      </c>
      <c r="I28">
        <f>ROUND('Plant06 Inputs'!AI7,2)</f>
        <v/>
      </c>
      <c r="J28">
        <f>ROUND('Plant06 Inputs'!AI8,2)</f>
        <v/>
      </c>
      <c r="K28">
        <f>ROUND('Plant06 Inputs'!AI9,2)</f>
        <v/>
      </c>
      <c r="L28" t="inlineStr">
        <is>
          <t>env_excursions</t>
        </is>
      </c>
    </row>
    <row r="29">
      <c r="A29" t="inlineStr">
        <is>
          <t>EHS-006</t>
        </is>
      </c>
      <c r="B29" t="inlineStr">
        <is>
          <t>Open EHS corrective actions</t>
        </is>
      </c>
      <c r="C29" t="inlineStr">
        <is>
          <t>count</t>
        </is>
      </c>
      <c r="D29" t="inlineStr">
        <is>
          <t>Month</t>
        </is>
      </c>
      <c r="E29" t="inlineStr">
        <is>
          <t>Open EHS corrective actions</t>
        </is>
      </c>
      <c r="F29">
        <f>ROUND('Plant06 Inputs'!AK4,2)</f>
        <v/>
      </c>
      <c r="G29">
        <f>ROUND('Plant06 Inputs'!AK5,2)</f>
        <v/>
      </c>
      <c r="H29">
        <f>ROUND('Plant06 Inputs'!AK6,2)</f>
        <v/>
      </c>
      <c r="I29">
        <f>ROUND('Plant06 Inputs'!AK7,2)</f>
        <v/>
      </c>
      <c r="J29">
        <f>ROUND('Plant06 Inputs'!AK8,2)</f>
        <v/>
      </c>
      <c r="K29">
        <f>ROUND('Plant06 Inputs'!AK9,2)</f>
        <v/>
      </c>
      <c r="L29" t="inlineStr">
        <is>
          <t>ehs_ca_open</t>
        </is>
      </c>
    </row>
    <row r="30">
      <c r="A30" t="inlineStr">
        <is>
          <t>EHS-007</t>
        </is>
      </c>
      <c r="B30" t="inlineStr">
        <is>
          <t>Overdue EHS actions</t>
        </is>
      </c>
      <c r="C30" t="inlineStr">
        <is>
          <t>count</t>
        </is>
      </c>
      <c r="D30" t="inlineStr">
        <is>
          <t>Month</t>
        </is>
      </c>
      <c r="E30" t="inlineStr">
        <is>
          <t>Overdue EHS corrective actions</t>
        </is>
      </c>
      <c r="F30">
        <f>ROUND('Plant06 Inputs'!AL4,2)</f>
        <v/>
      </c>
      <c r="G30">
        <f>ROUND('Plant06 Inputs'!AL5,2)</f>
        <v/>
      </c>
      <c r="H30">
        <f>ROUND('Plant06 Inputs'!AL6,2)</f>
        <v/>
      </c>
      <c r="I30">
        <f>ROUND('Plant06 Inputs'!AL7,2)</f>
        <v/>
      </c>
      <c r="J30">
        <f>ROUND('Plant06 Inputs'!AL8,2)</f>
        <v/>
      </c>
      <c r="K30">
        <f>ROUND('Plant06 Inputs'!AL9,2)</f>
        <v/>
      </c>
      <c r="L30" t="inlineStr">
        <is>
          <t>ehs_ca_overdue</t>
        </is>
      </c>
    </row>
    <row r="31">
      <c r="A31" t="inlineStr">
        <is>
          <t>EHS-009</t>
        </is>
      </c>
      <c r="B31" t="inlineStr">
        <is>
          <t>EHS investigation completion</t>
        </is>
      </c>
      <c r="C31" t="inlineStr">
        <is>
          <t>%</t>
        </is>
      </c>
      <c r="D31" t="inlineStr">
        <is>
          <t>Month</t>
        </is>
      </c>
      <c r="E31" t="inlineStr">
        <is>
          <t>EHS investigations completed ÷ EHS investigations due × 100 (100 if none due)</t>
        </is>
      </c>
      <c r="F31">
        <f>ROUND(IF('Plant06 Inputs'!AM4=0,100,100*'Plant06 Inputs'!AN4/'Plant06 Inputs'!AM4),2)</f>
        <v/>
      </c>
      <c r="G31">
        <f>ROUND(IF('Plant06 Inputs'!AM5=0,100,100*'Plant06 Inputs'!AN5/'Plant06 Inputs'!AM5),2)</f>
        <v/>
      </c>
      <c r="H31">
        <f>ROUND(IF('Plant06 Inputs'!AM6=0,100,100*'Plant06 Inputs'!AN6/'Plant06 Inputs'!AM6),2)</f>
        <v/>
      </c>
      <c r="I31">
        <f>ROUND(IF('Plant06 Inputs'!AM7=0,100,100*'Plant06 Inputs'!AN7/'Plant06 Inputs'!AM7),2)</f>
        <v/>
      </c>
      <c r="J31">
        <f>ROUND(IF('Plant06 Inputs'!AM8=0,100,100*'Plant06 Inputs'!AN8/'Plant06 Inputs'!AM8),2)</f>
        <v/>
      </c>
      <c r="K31">
        <f>ROUND(IF('Plant06 Inputs'!AM9=0,100,100*'Plant06 Inputs'!AN9/'Plant06 Inputs'!AM9),2)</f>
        <v/>
      </c>
      <c r="L31" t="inlineStr">
        <is>
          <t>investigations_due, investigations_completed</t>
        </is>
      </c>
    </row>
    <row r="32">
      <c r="A32" t="inlineStr">
        <is>
          <t>REG-006</t>
        </is>
      </c>
      <c r="B32" t="inlineStr">
        <is>
          <t>Licence or permit expiry clock</t>
        </is>
      </c>
      <c r="C32" t="inlineStr">
        <is>
          <t>days</t>
        </is>
      </c>
      <c r="D32" t="inlineStr">
        <is>
          <t>Month</t>
        </is>
      </c>
      <c r="E32" t="inlineStr">
        <is>
          <t>Days to permit expiry (lowest plant)</t>
        </is>
      </c>
      <c r="F32">
        <f>ROUND('Plant06 Inputs'!AR4,2)</f>
        <v/>
      </c>
      <c r="G32">
        <f>ROUND('Plant06 Inputs'!AR5,2)</f>
        <v/>
      </c>
      <c r="H32">
        <f>ROUND('Plant06 Inputs'!AR6,2)</f>
        <v/>
      </c>
      <c r="I32">
        <f>ROUND('Plant06 Inputs'!AR7,2)</f>
        <v/>
      </c>
      <c r="J32">
        <f>ROUND('Plant06 Inputs'!AR8,2)</f>
        <v/>
      </c>
      <c r="K32">
        <f>ROUND('Plant06 Inputs'!AR9,2)</f>
        <v/>
      </c>
      <c r="L32" t="inlineStr">
        <is>
          <t>permit_days_to_expiry</t>
        </is>
      </c>
    </row>
    <row r="33">
      <c r="A33" t="inlineStr">
        <is>
          <t>OPS-005</t>
        </is>
      </c>
      <c r="B33" t="inlineStr">
        <is>
          <t>Capacity utilisation (same measure as OPS-003)</t>
        </is>
      </c>
      <c r="C33" t="inlineStr">
        <is>
          <t>%</t>
        </is>
      </c>
      <c r="D33" t="inlineStr">
        <is>
          <t>Month</t>
        </is>
      </c>
      <c r="E33" t="inlineStr">
        <is>
          <t>Good output ÷ Installed capacity × 100</t>
        </is>
      </c>
      <c r="F33">
        <f>ROUND(IFERROR(100*'Plant06 Inputs'!M4/'Plant06 Inputs'!J4,0),2)</f>
        <v/>
      </c>
      <c r="G33">
        <f>ROUND(IFERROR(100*'Plant06 Inputs'!M5/'Plant06 Inputs'!J5,0),2)</f>
        <v/>
      </c>
      <c r="H33">
        <f>ROUND(IFERROR(100*'Plant06 Inputs'!M6/'Plant06 Inputs'!J6,0),2)</f>
        <v/>
      </c>
      <c r="I33">
        <f>ROUND(IFERROR(100*'Plant06 Inputs'!M7/'Plant06 Inputs'!J7,0),2)</f>
        <v/>
      </c>
      <c r="J33">
        <f>ROUND(IFERROR(100*'Plant06 Inputs'!M8/'Plant06 Inputs'!J8,0),2)</f>
        <v/>
      </c>
      <c r="K33">
        <f>ROUND(IFERROR(100*'Plant06 Inputs'!M9/'Plant06 Inputs'!J9,0),2)</f>
        <v/>
      </c>
      <c r="L33" t="inlineStr">
        <is>
          <t>installed_capacity_t, good_output_t</t>
        </is>
      </c>
    </row>
    <row r="34">
      <c r="A34" t="inlineStr">
        <is>
          <t>OPS-006</t>
        </is>
      </c>
      <c r="B34" t="inlineStr">
        <is>
          <t>OEE · Group weighted (same measure as PLT-002)</t>
        </is>
      </c>
      <c r="C34" t="inlineStr">
        <is>
          <t>%</t>
        </is>
      </c>
      <c r="D34" t="inlineStr">
        <is>
          <t>Month</t>
        </is>
      </c>
      <c r="E34" t="inlineStr">
        <is>
          <t>Good output ÷ Ideal output × 100 (weighted by output, not an average of plants)</t>
        </is>
      </c>
      <c r="F34">
        <f>ROUND(IFERROR(100*'Plant06 Inputs'!M4/'Plant06 Inputs'!I4,0),2)</f>
        <v/>
      </c>
      <c r="G34">
        <f>ROUND(IFERROR(100*'Plant06 Inputs'!M5/'Plant06 Inputs'!I5,0),2)</f>
        <v/>
      </c>
      <c r="H34">
        <f>ROUND(IFERROR(100*'Plant06 Inputs'!M6/'Plant06 Inputs'!I6,0),2)</f>
        <v/>
      </c>
      <c r="I34">
        <f>ROUND(IFERROR(100*'Plant06 Inputs'!M7/'Plant06 Inputs'!I7,0),2)</f>
        <v/>
      </c>
      <c r="J34">
        <f>ROUND(IFERROR(100*'Plant06 Inputs'!M8/'Plant06 Inputs'!I8,0),2)</f>
        <v/>
      </c>
      <c r="K34">
        <f>ROUND(IFERROR(100*'Plant06 Inputs'!M9/'Plant06 Inputs'!I9,0),2)</f>
        <v/>
      </c>
      <c r="L34" t="inlineStr">
        <is>
          <t>ideal_output_t, good_output_t</t>
        </is>
      </c>
    </row>
    <row r="35">
      <c r="A35" t="inlineStr">
        <is>
          <t>OPS-002</t>
        </is>
      </c>
      <c r="B35" t="inlineStr">
        <is>
          <t>Sales vs plan</t>
        </is>
      </c>
      <c r="C35" t="inlineStr">
        <is>
          <t>%</t>
        </is>
      </c>
      <c r="D35" t="inlineStr">
        <is>
          <t>Month</t>
        </is>
      </c>
      <c r="E35" t="inlineStr">
        <is>
          <t>Sales volume ÷ Planned sales volume × 100</t>
        </is>
      </c>
      <c r="F35">
        <f>ROUND(IF('Plant06 Inputs'!AT4=0,0,100*'Plant06 Inputs'!AS4/'Plant06 Inputs'!AT4),2)</f>
        <v/>
      </c>
      <c r="G35">
        <f>ROUND(IF('Plant06 Inputs'!AT5=0,0,100*'Plant06 Inputs'!AS5/'Plant06 Inputs'!AT5),2)</f>
        <v/>
      </c>
      <c r="H35">
        <f>ROUND(IF('Plant06 Inputs'!AT6=0,0,100*'Plant06 Inputs'!AS6/'Plant06 Inputs'!AT6),2)</f>
        <v/>
      </c>
      <c r="I35">
        <f>ROUND(IF('Plant06 Inputs'!AT7=0,0,100*'Plant06 Inputs'!AS7/'Plant06 Inputs'!AT7),2)</f>
        <v/>
      </c>
      <c r="J35">
        <f>ROUND(IF('Plant06 Inputs'!AT8=0,0,100*'Plant06 Inputs'!AS8/'Plant06 Inputs'!AT8),2)</f>
        <v/>
      </c>
      <c r="K35">
        <f>ROUND(IF('Plant06 Inputs'!AT9=0,0,100*'Plant06 Inputs'!AS9/'Plant06 Inputs'!AT9),2)</f>
        <v/>
      </c>
      <c r="L35" t="inlineStr">
        <is>
          <t>sales_t, planned_sales_t</t>
        </is>
      </c>
    </row>
    <row r="36">
      <c r="A36" t="inlineStr">
        <is>
          <t>OPS-004</t>
        </is>
      </c>
      <c r="B36" t="inlineStr">
        <is>
          <t>Sales vs plan · Group (same measure as OPS-002)</t>
        </is>
      </c>
      <c r="C36" t="inlineStr">
        <is>
          <t>%</t>
        </is>
      </c>
      <c r="D36" t="inlineStr">
        <is>
          <t>Month</t>
        </is>
      </c>
      <c r="E36" t="inlineStr">
        <is>
          <t>Sales volume ÷ Planned sales volume × 100</t>
        </is>
      </c>
      <c r="F36">
        <f>ROUND(IF('Plant06 Inputs'!AT4=0,0,100*'Plant06 Inputs'!AS4/'Plant06 Inputs'!AT4),2)</f>
        <v/>
      </c>
      <c r="G36">
        <f>ROUND(IF('Plant06 Inputs'!AT5=0,0,100*'Plant06 Inputs'!AS5/'Plant06 Inputs'!AT5),2)</f>
        <v/>
      </c>
      <c r="H36">
        <f>ROUND(IF('Plant06 Inputs'!AT6=0,0,100*'Plant06 Inputs'!AS6/'Plant06 Inputs'!AT6),2)</f>
        <v/>
      </c>
      <c r="I36">
        <f>ROUND(IF('Plant06 Inputs'!AT7=0,0,100*'Plant06 Inputs'!AS7/'Plant06 Inputs'!AT7),2)</f>
        <v/>
      </c>
      <c r="J36">
        <f>ROUND(IF('Plant06 Inputs'!AT8=0,0,100*'Plant06 Inputs'!AS8/'Plant06 Inputs'!AT8),2)</f>
        <v/>
      </c>
      <c r="K36">
        <f>ROUND(IF('Plant06 Inputs'!AT9=0,0,100*'Plant06 Inputs'!AS9/'Plant06 Inputs'!AT9),2)</f>
        <v/>
      </c>
      <c r="L36" t="inlineStr">
        <is>
          <t>sales_t, planned_sales_t</t>
        </is>
      </c>
    </row>
    <row r="37">
      <c r="A37" t="inlineStr">
        <is>
          <t>CST-004</t>
        </is>
      </c>
      <c r="B37" t="inlineStr">
        <is>
          <t>Power cost per tonne</t>
        </is>
      </c>
      <c r="C37" t="inlineStr">
        <is>
          <t>₹/t</t>
        </is>
      </c>
      <c r="D37" t="inlineStr">
        <is>
          <t>Month</t>
        </is>
      </c>
      <c r="E37" t="inlineStr">
        <is>
          <t>Power cost × 1000 ÷ Good output</t>
        </is>
      </c>
      <c r="F37">
        <f>ROUND(IF('Plant06 Inputs'!M4=0,0,1000*'Plant06 Inputs'!AW4/'Plant06 Inputs'!M4),2)</f>
        <v/>
      </c>
      <c r="G37">
        <f>ROUND(IF('Plant06 Inputs'!M5=0,0,1000*'Plant06 Inputs'!AW5/'Plant06 Inputs'!M5),2)</f>
        <v/>
      </c>
      <c r="H37">
        <f>ROUND(IF('Plant06 Inputs'!M6=0,0,1000*'Plant06 Inputs'!AW6/'Plant06 Inputs'!M6),2)</f>
        <v/>
      </c>
      <c r="I37">
        <f>ROUND(IF('Plant06 Inputs'!M7=0,0,1000*'Plant06 Inputs'!AW7/'Plant06 Inputs'!M7),2)</f>
        <v/>
      </c>
      <c r="J37">
        <f>ROUND(IF('Plant06 Inputs'!M8=0,0,1000*'Plant06 Inputs'!AW8/'Plant06 Inputs'!M8),2)</f>
        <v/>
      </c>
      <c r="K37">
        <f>ROUND(IF('Plant06 Inputs'!M9=0,0,1000*'Plant06 Inputs'!AW9/'Plant06 Inputs'!M9),2)</f>
        <v/>
      </c>
      <c r="L37" t="inlineStr">
        <is>
          <t>good_output_t, power_cost_k</t>
        </is>
      </c>
    </row>
    <row r="38">
      <c r="A38" t="inlineStr">
        <is>
          <t>FIN-003</t>
        </is>
      </c>
      <c r="B38" t="inlineStr">
        <is>
          <t>Revenue YTD</t>
        </is>
      </c>
      <c r="C38" t="inlineStr">
        <is>
          <t>₹ m</t>
        </is>
      </c>
      <c r="D38" t="inlineStr">
        <is>
          <t>Year to date</t>
        </is>
      </c>
      <c r="E38" t="inlineStr">
        <is>
          <t>Sum of monthly Revenue since April ÷ 1000</t>
        </is>
      </c>
      <c r="F38">
        <f>ROUND(SUM('Plant06 Inputs'!AU$4:AU4)/1000,2)</f>
        <v/>
      </c>
      <c r="G38">
        <f>ROUND(SUM('Plant06 Inputs'!AU$4:AU5)/1000,2)</f>
        <v/>
      </c>
      <c r="H38">
        <f>ROUND(SUM('Plant06 Inputs'!AU$4:AU6)/1000,2)</f>
        <v/>
      </c>
      <c r="I38">
        <f>ROUND(SUM('Plant06 Inputs'!AU$4:AU7)/1000,2)</f>
        <v/>
      </c>
      <c r="J38">
        <f>ROUND(SUM('Plant06 Inputs'!AU$4:AU8)/1000,2)</f>
        <v/>
      </c>
      <c r="K38">
        <f>ROUND(SUM('Plant06 Inputs'!AU$4:AU9)/1000,2)</f>
        <v/>
      </c>
      <c r="L38" t="inlineStr">
        <is>
          <t>revenue_k</t>
        </is>
      </c>
    </row>
    <row r="39">
      <c r="A39" t="inlineStr">
        <is>
          <t>SUP-001</t>
        </is>
      </c>
      <c r="B39" t="inlineStr">
        <is>
          <t>Supplier on-time delivery</t>
        </is>
      </c>
      <c r="C39" t="inlineStr">
        <is>
          <t>%</t>
        </is>
      </c>
      <c r="D39" t="inlineStr">
        <is>
          <t>Month</t>
        </is>
      </c>
      <c r="E39" t="inlineStr">
        <is>
          <t>Purchase-order lines on time ÷ Lines due × 100</t>
        </is>
      </c>
      <c r="F39">
        <f>ROUND(IF('Plant06 Inputs'!AY4=0,0,100*'Plant06 Inputs'!AZ4/'Plant06 Inputs'!AY4),2)</f>
        <v/>
      </c>
      <c r="G39">
        <f>ROUND(IF('Plant06 Inputs'!AY5=0,0,100*'Plant06 Inputs'!AZ5/'Plant06 Inputs'!AY5),2)</f>
        <v/>
      </c>
      <c r="H39">
        <f>ROUND(IF('Plant06 Inputs'!AY6=0,0,100*'Plant06 Inputs'!AZ6/'Plant06 Inputs'!AY6),2)</f>
        <v/>
      </c>
      <c r="I39">
        <f>ROUND(IF('Plant06 Inputs'!AY7=0,0,100*'Plant06 Inputs'!AZ7/'Plant06 Inputs'!AY7),2)</f>
        <v/>
      </c>
      <c r="J39">
        <f>ROUND(IF('Plant06 Inputs'!AY8=0,0,100*'Plant06 Inputs'!AZ8/'Plant06 Inputs'!AY8),2)</f>
        <v/>
      </c>
      <c r="K39">
        <f>ROUND(IF('Plant06 Inputs'!AY9=0,0,100*'Plant06 Inputs'!AZ9/'Plant06 Inputs'!AY9),2)</f>
        <v/>
      </c>
      <c r="L39" t="inlineStr">
        <is>
          <t>po_lines_due, po_lines_on_time</t>
        </is>
      </c>
    </row>
    <row r="40">
      <c r="A40" t="inlineStr">
        <is>
          <t>SUP-002</t>
        </is>
      </c>
      <c r="B40" t="inlineStr">
        <is>
          <t>Supplier fill rate</t>
        </is>
      </c>
      <c r="C40" t="inlineStr">
        <is>
          <t>%</t>
        </is>
      </c>
      <c r="D40" t="inlineStr">
        <is>
          <t>Month</t>
        </is>
      </c>
      <c r="E40" t="inlineStr">
        <is>
          <t>Quantity received ÷ Quantity ordered × 100</t>
        </is>
      </c>
      <c r="F40">
        <f>ROUND(IF('Plant06 Inputs'!BA4=0,0,100*'Plant06 Inputs'!BB4/'Plant06 Inputs'!BA4),2)</f>
        <v/>
      </c>
      <c r="G40">
        <f>ROUND(IF('Plant06 Inputs'!BA5=0,0,100*'Plant06 Inputs'!BB5/'Plant06 Inputs'!BA5),2)</f>
        <v/>
      </c>
      <c r="H40">
        <f>ROUND(IF('Plant06 Inputs'!BA6=0,0,100*'Plant06 Inputs'!BB6/'Plant06 Inputs'!BA6),2)</f>
        <v/>
      </c>
      <c r="I40">
        <f>ROUND(IF('Plant06 Inputs'!BA7=0,0,100*'Plant06 Inputs'!BB7/'Plant06 Inputs'!BA7),2)</f>
        <v/>
      </c>
      <c r="J40">
        <f>ROUND(IF('Plant06 Inputs'!BA8=0,0,100*'Plant06 Inputs'!BB8/'Plant06 Inputs'!BA8),2)</f>
        <v/>
      </c>
      <c r="K40">
        <f>ROUND(IF('Plant06 Inputs'!BA9=0,0,100*'Plant06 Inputs'!BB9/'Plant06 Inputs'!BA9),2)</f>
        <v/>
      </c>
      <c r="L40" t="inlineStr">
        <is>
          <t>qty_ordered_t, qty_received_t</t>
        </is>
      </c>
    </row>
    <row r="41">
      <c r="A41" t="inlineStr">
        <is>
          <t>SUP-003</t>
        </is>
      </c>
      <c r="B41" t="inlineStr">
        <is>
          <t>Supplier quality-rejection rate</t>
        </is>
      </c>
      <c r="C41" t="inlineStr">
        <is>
          <t>%</t>
        </is>
      </c>
      <c r="D41" t="inlineStr">
        <is>
          <t>Month</t>
        </is>
      </c>
      <c r="E41" t="inlineStr">
        <is>
          <t>Quantity rejected ÷ Quantity received × 100</t>
        </is>
      </c>
      <c r="F41">
        <f>ROUND(IF('Plant06 Inputs'!BB4=0,0,100*'Plant06 Inputs'!BC4/'Plant06 Inputs'!BB4),2)</f>
        <v/>
      </c>
      <c r="G41">
        <f>ROUND(IF('Plant06 Inputs'!BB5=0,0,100*'Plant06 Inputs'!BC5/'Plant06 Inputs'!BB5),2)</f>
        <v/>
      </c>
      <c r="H41">
        <f>ROUND(IF('Plant06 Inputs'!BB6=0,0,100*'Plant06 Inputs'!BC6/'Plant06 Inputs'!BB6),2)</f>
        <v/>
      </c>
      <c r="I41">
        <f>ROUND(IF('Plant06 Inputs'!BB7=0,0,100*'Plant06 Inputs'!BC7/'Plant06 Inputs'!BB7),2)</f>
        <v/>
      </c>
      <c r="J41">
        <f>ROUND(IF('Plant06 Inputs'!BB8=0,0,100*'Plant06 Inputs'!BC8/'Plant06 Inputs'!BB8),2)</f>
        <v/>
      </c>
      <c r="K41">
        <f>ROUND(IF('Plant06 Inputs'!BB9=0,0,100*'Plant06 Inputs'!BC9/'Plant06 Inputs'!BB9),2)</f>
        <v/>
      </c>
      <c r="L41" t="inlineStr">
        <is>
          <t>qty_received_t, qty_rejected_t</t>
        </is>
      </c>
    </row>
    <row r="42">
      <c r="A42" t="inlineStr">
        <is>
          <t>SUP-004</t>
        </is>
      </c>
      <c r="B42" t="inlineStr">
        <is>
          <t>Supplier lead-time variance</t>
        </is>
      </c>
      <c r="C42" t="inlineStr">
        <is>
          <t>%</t>
        </is>
      </c>
      <c r="D42" t="inlineStr">
        <is>
          <t>Month</t>
        </is>
      </c>
      <c r="E42" t="inlineStr">
        <is>
          <t>(Actual lead time − Planned lead time) ÷ Planned lead time × 100</t>
        </is>
      </c>
      <c r="F42">
        <f>ROUND(IF('Plant06 Inputs'!BD4=0,0,100*('Plant06 Inputs'!BE4-'Plant06 Inputs'!BD4)/'Plant06 Inputs'!BD4),2)</f>
        <v/>
      </c>
      <c r="G42">
        <f>ROUND(IF('Plant06 Inputs'!BD5=0,0,100*('Plant06 Inputs'!BE5-'Plant06 Inputs'!BD5)/'Plant06 Inputs'!BD5),2)</f>
        <v/>
      </c>
      <c r="H42">
        <f>ROUND(IF('Plant06 Inputs'!BD6=0,0,100*('Plant06 Inputs'!BE6-'Plant06 Inputs'!BD6)/'Plant06 Inputs'!BD6),2)</f>
        <v/>
      </c>
      <c r="I42">
        <f>ROUND(IF('Plant06 Inputs'!BD7=0,0,100*('Plant06 Inputs'!BE7-'Plant06 Inputs'!BD7)/'Plant06 Inputs'!BD7),2)</f>
        <v/>
      </c>
      <c r="J42">
        <f>ROUND(IF('Plant06 Inputs'!BD8=0,0,100*('Plant06 Inputs'!BE8-'Plant06 Inputs'!BD8)/'Plant06 Inputs'!BD8),2)</f>
        <v/>
      </c>
      <c r="K42">
        <f>ROUND(IF('Plant06 Inputs'!BD9=0,0,100*('Plant06 Inputs'!BE9-'Plant06 Inputs'!BD9)/'Plant06 Inputs'!BD9),2)</f>
        <v/>
      </c>
      <c r="L42" t="inlineStr">
        <is>
          <t>lead_time_planned_days, lead_time_actual_days</t>
        </is>
      </c>
    </row>
    <row r="43">
      <c r="A43" t="inlineStr">
        <is>
          <t>SUP-007</t>
        </is>
      </c>
      <c r="B43" t="inlineStr">
        <is>
          <t>Single-source spend share</t>
        </is>
      </c>
      <c r="C43" t="inlineStr">
        <is>
          <t>%</t>
        </is>
      </c>
      <c r="D43" t="inlineStr">
        <is>
          <t>Month</t>
        </is>
      </c>
      <c r="E43" t="inlineStr">
        <is>
          <t>Spend with single-source suppliers ÷ Supplier spend × 100</t>
        </is>
      </c>
      <c r="F43">
        <f>ROUND(IF('Plant06 Inputs'!BF4=0,0,100*'Plant06 Inputs'!BG4/'Plant06 Inputs'!BF4),2)</f>
        <v/>
      </c>
      <c r="G43">
        <f>ROUND(IF('Plant06 Inputs'!BF5=0,0,100*'Plant06 Inputs'!BG5/'Plant06 Inputs'!BF5),2)</f>
        <v/>
      </c>
      <c r="H43">
        <f>ROUND(IF('Plant06 Inputs'!BF6=0,0,100*'Plant06 Inputs'!BG6/'Plant06 Inputs'!BF6),2)</f>
        <v/>
      </c>
      <c r="I43">
        <f>ROUND(IF('Plant06 Inputs'!BF7=0,0,100*'Plant06 Inputs'!BG7/'Plant06 Inputs'!BF7),2)</f>
        <v/>
      </c>
      <c r="J43">
        <f>ROUND(IF('Plant06 Inputs'!BF8=0,0,100*'Plant06 Inputs'!BG8/'Plant06 Inputs'!BF8),2)</f>
        <v/>
      </c>
      <c r="K43">
        <f>ROUND(IF('Plant06 Inputs'!BF9=0,0,100*'Plant06 Inputs'!BG9/'Plant06 Inputs'!BF9),2)</f>
        <v/>
      </c>
      <c r="L43" t="inlineStr">
        <is>
          <t>supplier_spend_k, single_source_spend_k</t>
        </is>
      </c>
    </row>
    <row r="44">
      <c r="A44" t="inlineStr">
        <is>
          <t>SUP-008</t>
        </is>
      </c>
      <c r="B44" t="inlineStr">
        <is>
          <t>Supplier EHS incidents YTD</t>
        </is>
      </c>
      <c r="C44" t="inlineStr">
        <is>
          <t>count</t>
        </is>
      </c>
      <c r="D44" t="inlineStr">
        <is>
          <t>Year to date</t>
        </is>
      </c>
      <c r="E44" t="inlineStr">
        <is>
          <t>Sum of supplier EHS incidents since April</t>
        </is>
      </c>
      <c r="F44">
        <f>ROUND(SUM('Plant06 Inputs'!BH$4:BH4),2)</f>
        <v/>
      </c>
      <c r="G44">
        <f>ROUND(SUM('Plant06 Inputs'!BH$4:BH5),2)</f>
        <v/>
      </c>
      <c r="H44">
        <f>ROUND(SUM('Plant06 Inputs'!BH$4:BH6),2)</f>
        <v/>
      </c>
      <c r="I44">
        <f>ROUND(SUM('Plant06 Inputs'!BH$4:BH7),2)</f>
        <v/>
      </c>
      <c r="J44">
        <f>ROUND(SUM('Plant06 Inputs'!BH$4:BH8),2)</f>
        <v/>
      </c>
      <c r="K44">
        <f>ROUND(SUM('Plant06 Inputs'!BH$4:BH9),2)</f>
        <v/>
      </c>
      <c r="L44" t="inlineStr">
        <is>
          <t>supplier_ehs_incidents</t>
        </is>
      </c>
    </row>
    <row r="45">
      <c r="A45" t="inlineStr">
        <is>
          <t>REG-001</t>
        </is>
      </c>
      <c r="B45" t="inlineStr">
        <is>
          <t>Pending filings</t>
        </is>
      </c>
      <c r="C45" t="inlineStr">
        <is>
          <t>count</t>
        </is>
      </c>
      <c r="D45" t="inlineStr">
        <is>
          <t>Month end</t>
        </is>
      </c>
      <c r="E45" t="inlineStr">
        <is>
          <t>Regulatory filings pending</t>
        </is>
      </c>
      <c r="F45">
        <f>ROUND('Plant06 Inputs'!BI4,2)</f>
        <v/>
      </c>
      <c r="G45">
        <f>ROUND('Plant06 Inputs'!BI5,2)</f>
        <v/>
      </c>
      <c r="H45">
        <f>ROUND('Plant06 Inputs'!BI6,2)</f>
        <v/>
      </c>
      <c r="I45">
        <f>ROUND('Plant06 Inputs'!BI7,2)</f>
        <v/>
      </c>
      <c r="J45">
        <f>ROUND('Plant06 Inputs'!BI8,2)</f>
        <v/>
      </c>
      <c r="K45">
        <f>ROUND('Plant06 Inputs'!BI9,2)</f>
        <v/>
      </c>
      <c r="L45" t="inlineStr">
        <is>
          <t>pending_filings</t>
        </is>
      </c>
    </row>
    <row r="46">
      <c r="A46" t="inlineStr">
        <is>
          <t>REG-002</t>
        </is>
      </c>
      <c r="B46" t="inlineStr">
        <is>
          <t>Regulatory deadlines, next 30 days</t>
        </is>
      </c>
      <c r="C46" t="inlineStr">
        <is>
          <t>count</t>
        </is>
      </c>
      <c r="D46" t="inlineStr">
        <is>
          <t>Month end</t>
        </is>
      </c>
      <c r="E46" t="inlineStr">
        <is>
          <t>Regulatory deadlines in next 30 days</t>
        </is>
      </c>
      <c r="F46">
        <f>ROUND('Plant06 Inputs'!BJ4,2)</f>
        <v/>
      </c>
      <c r="G46">
        <f>ROUND('Plant06 Inputs'!BJ5,2)</f>
        <v/>
      </c>
      <c r="H46">
        <f>ROUND('Plant06 Inputs'!BJ6,2)</f>
        <v/>
      </c>
      <c r="I46">
        <f>ROUND('Plant06 Inputs'!BJ7,2)</f>
        <v/>
      </c>
      <c r="J46">
        <f>ROUND('Plant06 Inputs'!BJ8,2)</f>
        <v/>
      </c>
      <c r="K46">
        <f>ROUND('Plant06 Inputs'!BJ9,2)</f>
        <v/>
      </c>
      <c r="L46" t="inlineStr">
        <is>
          <t>reg_deadlines_30d</t>
        </is>
      </c>
    </row>
    <row r="47">
      <c r="A47" t="inlineStr">
        <is>
          <t>REG-003</t>
        </is>
      </c>
      <c r="B47" t="inlineStr">
        <is>
          <t>Licence expirations, next 12 months</t>
        </is>
      </c>
      <c r="C47" t="inlineStr">
        <is>
          <t>count</t>
        </is>
      </c>
      <c r="D47" t="inlineStr">
        <is>
          <t>Month end</t>
        </is>
      </c>
      <c r="E47" t="inlineStr">
        <is>
          <t>Licences expiring in next 12 months</t>
        </is>
      </c>
      <c r="F47">
        <f>ROUND('Plant06 Inputs'!BK4,2)</f>
        <v/>
      </c>
      <c r="G47">
        <f>ROUND('Plant06 Inputs'!BK5,2)</f>
        <v/>
      </c>
      <c r="H47">
        <f>ROUND('Plant06 Inputs'!BK6,2)</f>
        <v/>
      </c>
      <c r="I47">
        <f>ROUND('Plant06 Inputs'!BK7,2)</f>
        <v/>
      </c>
      <c r="J47">
        <f>ROUND('Plant06 Inputs'!BK8,2)</f>
        <v/>
      </c>
      <c r="K47">
        <f>ROUND('Plant06 Inputs'!BK9,2)</f>
        <v/>
      </c>
      <c r="L47" t="inlineStr">
        <is>
          <t>licences_expiring_12m</t>
        </is>
      </c>
    </row>
    <row r="48">
      <c r="A48" t="inlineStr">
        <is>
          <t>REG-004</t>
        </is>
      </c>
      <c r="B48" t="inlineStr">
        <is>
          <t>Regulatory obligations due, next 30 days</t>
        </is>
      </c>
      <c r="C48" t="inlineStr">
        <is>
          <t>count</t>
        </is>
      </c>
      <c r="D48" t="inlineStr">
        <is>
          <t>Month end</t>
        </is>
      </c>
      <c r="E48" t="inlineStr">
        <is>
          <t>Regulatory obligations due in next 30 days</t>
        </is>
      </c>
      <c r="F48">
        <f>ROUND('Plant06 Inputs'!BL4,2)</f>
        <v/>
      </c>
      <c r="G48">
        <f>ROUND('Plant06 Inputs'!BL5,2)</f>
        <v/>
      </c>
      <c r="H48">
        <f>ROUND('Plant06 Inputs'!BL6,2)</f>
        <v/>
      </c>
      <c r="I48">
        <f>ROUND('Plant06 Inputs'!BL7,2)</f>
        <v/>
      </c>
      <c r="J48">
        <f>ROUND('Plant06 Inputs'!BL8,2)</f>
        <v/>
      </c>
      <c r="K48">
        <f>ROUND('Plant06 Inputs'!BL9,2)</f>
        <v/>
      </c>
      <c r="L48" t="inlineStr">
        <is>
          <t>reg_obligations_due_30d</t>
        </is>
      </c>
    </row>
    <row r="49">
      <c r="A49" t="inlineStr">
        <is>
          <t>REG-005</t>
        </is>
      </c>
      <c r="B49" t="inlineStr">
        <is>
          <t>Overdue regulatory obligations</t>
        </is>
      </c>
      <c r="C49" t="inlineStr">
        <is>
          <t>count</t>
        </is>
      </c>
      <c r="D49" t="inlineStr">
        <is>
          <t>Month end</t>
        </is>
      </c>
      <c r="E49" t="inlineStr">
        <is>
          <t>Regulatory obligations overdue</t>
        </is>
      </c>
      <c r="F49">
        <f>ROUND('Plant06 Inputs'!BM4,2)</f>
        <v/>
      </c>
      <c r="G49">
        <f>ROUND('Plant06 Inputs'!BM5,2)</f>
        <v/>
      </c>
      <c r="H49">
        <f>ROUND('Plant06 Inputs'!BM6,2)</f>
        <v/>
      </c>
      <c r="I49">
        <f>ROUND('Plant06 Inputs'!BM7,2)</f>
        <v/>
      </c>
      <c r="J49">
        <f>ROUND('Plant06 Inputs'!BM8,2)</f>
        <v/>
      </c>
      <c r="K49">
        <f>ROUND('Plant06 Inputs'!BM9,2)</f>
        <v/>
      </c>
      <c r="L49" t="inlineStr">
        <is>
          <t>reg_obligations_overdue</t>
        </is>
      </c>
    </row>
    <row r="50">
      <c r="A50" t="inlineStr">
        <is>
          <t>REG-007</t>
        </is>
      </c>
      <c r="B50" t="inlineStr">
        <is>
          <t>Open regulatory actions</t>
        </is>
      </c>
      <c r="C50" t="inlineStr">
        <is>
          <t>count</t>
        </is>
      </c>
      <c r="D50" t="inlineStr">
        <is>
          <t>Month end</t>
        </is>
      </c>
      <c r="E50" t="inlineStr">
        <is>
          <t>Open regulatory actions</t>
        </is>
      </c>
      <c r="F50">
        <f>ROUND('Plant06 Inputs'!BN4,2)</f>
        <v/>
      </c>
      <c r="G50">
        <f>ROUND('Plant06 Inputs'!BN5,2)</f>
        <v/>
      </c>
      <c r="H50">
        <f>ROUND('Plant06 Inputs'!BN6,2)</f>
        <v/>
      </c>
      <c r="I50">
        <f>ROUND('Plant06 Inputs'!BN7,2)</f>
        <v/>
      </c>
      <c r="J50">
        <f>ROUND('Plant06 Inputs'!BN8,2)</f>
        <v/>
      </c>
      <c r="K50">
        <f>ROUND('Plant06 Inputs'!BN9,2)</f>
        <v/>
      </c>
      <c r="L50" t="inlineStr">
        <is>
          <t>reg_actions_open</t>
        </is>
      </c>
    </row>
    <row r="51">
      <c r="A51" t="inlineStr">
        <is>
          <t>REG-008</t>
        </is>
      </c>
      <c r="B51" t="inlineStr">
        <is>
          <t>Overdue compliance actions</t>
        </is>
      </c>
      <c r="C51" t="inlineStr">
        <is>
          <t>count</t>
        </is>
      </c>
      <c r="D51" t="inlineStr">
        <is>
          <t>Month end</t>
        </is>
      </c>
      <c r="E51" t="inlineStr">
        <is>
          <t>Overdue compliance actions</t>
        </is>
      </c>
      <c r="F51">
        <f>ROUND('Plant06 Inputs'!BO4,2)</f>
        <v/>
      </c>
      <c r="G51">
        <f>ROUND('Plant06 Inputs'!BO5,2)</f>
        <v/>
      </c>
      <c r="H51">
        <f>ROUND('Plant06 Inputs'!BO6,2)</f>
        <v/>
      </c>
      <c r="I51">
        <f>ROUND('Plant06 Inputs'!BO7,2)</f>
        <v/>
      </c>
      <c r="J51">
        <f>ROUND('Plant06 Inputs'!BO8,2)</f>
        <v/>
      </c>
      <c r="K51">
        <f>ROUND('Plant06 Inputs'!BO9,2)</f>
        <v/>
      </c>
      <c r="L51" t="inlineStr">
        <is>
          <t>compliance_actions_overdue</t>
        </is>
      </c>
    </row>
    <row r="52">
      <c r="A52" t="inlineStr">
        <is>
          <t>REG-009</t>
        </is>
      </c>
      <c r="B52" t="inlineStr">
        <is>
          <t>Disclosure-clock status</t>
        </is>
      </c>
      <c r="C52" t="inlineStr">
        <is>
          <t>text</t>
        </is>
      </c>
      <c r="D52" t="inlineStr">
        <is>
          <t>Month end</t>
        </is>
      </c>
      <c r="E52" t="inlineStr">
        <is>
          <t>Triggered if any event that needs disclosure is open, otherwise Not triggered</t>
        </is>
      </c>
      <c r="F52">
        <f>IF('Plant06 Inputs'!BQ4&gt;0,"Triggered","Not triggered")</f>
        <v/>
      </c>
      <c r="G52">
        <f>IF('Plant06 Inputs'!BQ5&gt;0,"Triggered","Not triggered")</f>
        <v/>
      </c>
      <c r="H52">
        <f>IF('Plant06 Inputs'!BQ6&gt;0,"Triggered","Not triggered")</f>
        <v/>
      </c>
      <c r="I52">
        <f>IF('Plant06 Inputs'!BQ7&gt;0,"Triggered","Not triggered")</f>
        <v/>
      </c>
      <c r="J52">
        <f>IF('Plant06 Inputs'!BQ8&gt;0,"Triggered","Not triggered")</f>
        <v/>
      </c>
      <c r="K52">
        <f>IF('Plant06 Inputs'!BQ9&gt;0,"Triggered","Not triggered")</f>
        <v/>
      </c>
      <c r="L52" t="inlineStr">
        <is>
          <t>disclosure_events_open</t>
        </is>
      </c>
    </row>
    <row r="53">
      <c r="A53" t="inlineStr">
        <is>
          <t>REG-010</t>
        </is>
      </c>
      <c r="B53" t="inlineStr">
        <is>
          <t>Regulatory breaches YTD</t>
        </is>
      </c>
      <c r="C53" t="inlineStr">
        <is>
          <t>count</t>
        </is>
      </c>
      <c r="D53" t="inlineStr">
        <is>
          <t>Year to date</t>
        </is>
      </c>
      <c r="E53" t="inlineStr">
        <is>
          <t>Sum of regulatory breaches since April</t>
        </is>
      </c>
      <c r="F53">
        <f>ROUND(SUM('Plant06 Inputs'!BP$4:BP4),2)</f>
        <v/>
      </c>
      <c r="G53">
        <f>ROUND(SUM('Plant06 Inputs'!BP$4:BP5),2)</f>
        <v/>
      </c>
      <c r="H53">
        <f>ROUND(SUM('Plant06 Inputs'!BP$4:BP6),2)</f>
        <v/>
      </c>
      <c r="I53">
        <f>ROUND(SUM('Plant06 Inputs'!BP$4:BP7),2)</f>
        <v/>
      </c>
      <c r="J53">
        <f>ROUND(SUM('Plant06 Inputs'!BP$4:BP8),2)</f>
        <v/>
      </c>
      <c r="K53">
        <f>ROUND(SUM('Plant06 Inputs'!BP$4:BP9),2)</f>
        <v/>
      </c>
      <c r="L53" t="inlineStr">
        <is>
          <t>reg_breaches</t>
        </is>
      </c>
    </row>
    <row r="54">
      <c r="A54" t="inlineStr">
        <is>
          <t>RSK-003</t>
        </is>
      </c>
      <c r="B54" t="inlineStr">
        <is>
          <t>Regulatory breaches YTD (same measure as REG-010)</t>
        </is>
      </c>
      <c r="C54" t="inlineStr">
        <is>
          <t>count</t>
        </is>
      </c>
      <c r="D54" t="inlineStr">
        <is>
          <t>Year to date</t>
        </is>
      </c>
      <c r="E54" t="inlineStr">
        <is>
          <t>Sum of regulatory breaches since April</t>
        </is>
      </c>
      <c r="F54">
        <f>ROUND(SUM('Plant06 Inputs'!BP$4:BP4),2)</f>
        <v/>
      </c>
      <c r="G54">
        <f>ROUND(SUM('Plant06 Inputs'!BP$4:BP5),2)</f>
        <v/>
      </c>
      <c r="H54">
        <f>ROUND(SUM('Plant06 Inputs'!BP$4:BP6),2)</f>
        <v/>
      </c>
      <c r="I54">
        <f>ROUND(SUM('Plant06 Inputs'!BP$4:BP7),2)</f>
        <v/>
      </c>
      <c r="J54">
        <f>ROUND(SUM('Plant06 Inputs'!BP$4:BP8),2)</f>
        <v/>
      </c>
      <c r="K54">
        <f>ROUND(SUM('Plant06 Inputs'!BP$4:BP9),2)</f>
        <v/>
      </c>
      <c r="L54" t="inlineStr">
        <is>
          <t>reg_breaches</t>
        </is>
      </c>
    </row>
    <row r="55">
      <c r="A55" t="inlineStr">
        <is>
          <t>CMP-005</t>
        </is>
      </c>
      <c r="B55" t="inlineStr">
        <is>
          <t>Regulatory breaches YTD (same measure as REG-010)</t>
        </is>
      </c>
      <c r="C55" t="inlineStr">
        <is>
          <t>count</t>
        </is>
      </c>
      <c r="D55" t="inlineStr">
        <is>
          <t>Year to date</t>
        </is>
      </c>
      <c r="E55" t="inlineStr">
        <is>
          <t>Sum of regulatory breaches since April</t>
        </is>
      </c>
      <c r="F55">
        <f>ROUND(SUM('Plant06 Inputs'!BP$4:BP4),2)</f>
        <v/>
      </c>
      <c r="G55">
        <f>ROUND(SUM('Plant06 Inputs'!BP$4:BP5),2)</f>
        <v/>
      </c>
      <c r="H55">
        <f>ROUND(SUM('Plant06 Inputs'!BP$4:BP6),2)</f>
        <v/>
      </c>
      <c r="I55">
        <f>ROUND(SUM('Plant06 Inputs'!BP$4:BP7),2)</f>
        <v/>
      </c>
      <c r="J55">
        <f>ROUND(SUM('Plant06 Inputs'!BP$4:BP8),2)</f>
        <v/>
      </c>
      <c r="K55">
        <f>ROUND(SUM('Plant06 Inputs'!BP$4:BP9),2)</f>
        <v/>
      </c>
      <c r="L55" t="inlineStr">
        <is>
          <t>reg_breaches</t>
        </is>
      </c>
    </row>
    <row r="56">
      <c r="A56" t="inlineStr">
        <is>
          <t>EHS-008</t>
        </is>
      </c>
      <c r="B56" t="inlineStr">
        <is>
          <t>EHS escalation clocks running</t>
        </is>
      </c>
      <c r="C56" t="inlineStr">
        <is>
          <t>count</t>
        </is>
      </c>
      <c r="D56" t="inlineStr">
        <is>
          <t>Month end</t>
        </is>
      </c>
      <c r="E56" t="inlineStr">
        <is>
          <t>EHS escalation clocks running</t>
        </is>
      </c>
      <c r="F56">
        <f>ROUND('Plant06 Inputs'!BR4,2)</f>
        <v/>
      </c>
      <c r="G56">
        <f>ROUND('Plant06 Inputs'!BR5,2)</f>
        <v/>
      </c>
      <c r="H56">
        <f>ROUND('Plant06 Inputs'!BR6,2)</f>
        <v/>
      </c>
      <c r="I56">
        <f>ROUND('Plant06 Inputs'!BR7,2)</f>
        <v/>
      </c>
      <c r="J56">
        <f>ROUND('Plant06 Inputs'!BR8,2)</f>
        <v/>
      </c>
      <c r="K56">
        <f>ROUND('Plant06 Inputs'!BR9,2)</f>
        <v/>
      </c>
      <c r="L56" t="inlineStr">
        <is>
          <t>ehs_escalation_clocks</t>
        </is>
      </c>
    </row>
    <row r="57">
      <c r="A57" t="inlineStr">
        <is>
          <t>EHS-010</t>
        </is>
      </c>
      <c r="B57" t="inlineStr">
        <is>
          <t>EHS investigation completion rate YTD</t>
        </is>
      </c>
      <c r="C57" t="inlineStr">
        <is>
          <t>%</t>
        </is>
      </c>
      <c r="D57" t="inlineStr">
        <is>
          <t>Year to date</t>
        </is>
      </c>
      <c r="E57" t="inlineStr">
        <is>
          <t>EHS investigations completed since April ÷ Investigations due since April × 100 (100 if none due)</t>
        </is>
      </c>
      <c r="F57">
        <f>ROUND(IF(SUM('Plant06 Inputs'!AM$4:AM4)=0,100,100*SUM('Plant06 Inputs'!AN$4:AN4)/SUM('Plant06 Inputs'!AM$4:AM4)),2)</f>
        <v/>
      </c>
      <c r="G57">
        <f>ROUND(IF(SUM('Plant06 Inputs'!AM$4:AM5)=0,100,100*SUM('Plant06 Inputs'!AN$4:AN5)/SUM('Plant06 Inputs'!AM$4:AM5)),2)</f>
        <v/>
      </c>
      <c r="H57">
        <f>ROUND(IF(SUM('Plant06 Inputs'!AM$4:AM6)=0,100,100*SUM('Plant06 Inputs'!AN$4:AN6)/SUM('Plant06 Inputs'!AM$4:AM6)),2)</f>
        <v/>
      </c>
      <c r="I57">
        <f>ROUND(IF(SUM('Plant06 Inputs'!AM$4:AM7)=0,100,100*SUM('Plant06 Inputs'!AN$4:AN7)/SUM('Plant06 Inputs'!AM$4:AM7)),2)</f>
        <v/>
      </c>
      <c r="J57">
        <f>ROUND(IF(SUM('Plant06 Inputs'!AM$4:AM8)=0,100,100*SUM('Plant06 Inputs'!AN$4:AN8)/SUM('Plant06 Inputs'!AM$4:AM8)),2)</f>
        <v/>
      </c>
      <c r="K57">
        <f>ROUND(IF(SUM('Plant06 Inputs'!AM$4:AM9)=0,100,100*SUM('Plant06 Inputs'!AN$4:AN9)/SUM('Plant06 Inputs'!AM$4:AM9)),2)</f>
        <v/>
      </c>
      <c r="L57" t="inlineStr">
        <is>
          <t>investigations_due, investigations_completed</t>
        </is>
      </c>
    </row>
    <row r="58">
      <c r="A58" t="inlineStr">
        <is>
          <t>SIG-013</t>
        </is>
      </c>
      <c r="B58" t="inlineStr">
        <is>
          <t>Pricing pressure</t>
        </is>
      </c>
      <c r="C58" t="inlineStr">
        <is>
          <t>text</t>
        </is>
      </c>
      <c r="D58" t="inlineStr">
        <is>
          <t>Month</t>
        </is>
      </c>
      <c r="E58" t="inlineStr">
        <is>
          <t>Realised price vs plan: Low if above −1%, Medium down to −3%, High below −3%</t>
        </is>
      </c>
      <c r="F58">
        <f>IF('Plant06 Inputs'!GG4&gt;=-1,"Low",IF('Plant06 Inputs'!GG4&gt;=-3,"Medium","High"))&amp;" ("&amp;ROUND('Plant06 Inputs'!GG4,1)&amp;"% vs plan price)"</f>
        <v/>
      </c>
      <c r="G58">
        <f>IF('Plant06 Inputs'!GG5&gt;=-1,"Low",IF('Plant06 Inputs'!GG5&gt;=-3,"Medium","High"))&amp;" ("&amp;ROUND('Plant06 Inputs'!GG5,1)&amp;"% vs plan price)"</f>
        <v/>
      </c>
      <c r="H58">
        <f>IF('Plant06 Inputs'!GG6&gt;=-1,"Low",IF('Plant06 Inputs'!GG6&gt;=-3,"Medium","High"))&amp;" ("&amp;ROUND('Plant06 Inputs'!GG6,1)&amp;"% vs plan price)"</f>
        <v/>
      </c>
      <c r="I58">
        <f>IF('Plant06 Inputs'!GG7&gt;=-1,"Low",IF('Plant06 Inputs'!GG7&gt;=-3,"Medium","High"))&amp;" ("&amp;ROUND('Plant06 Inputs'!GG7,1)&amp;"% vs plan price)"</f>
        <v/>
      </c>
      <c r="J58">
        <f>IF('Plant06 Inputs'!GG8&gt;=-1,"Low",IF('Plant06 Inputs'!GG8&gt;=-3,"Medium","High"))&amp;" ("&amp;ROUND('Plant06 Inputs'!GG8,1)&amp;"% vs plan price)"</f>
        <v/>
      </c>
      <c r="K58">
        <f>IF('Plant06 Inputs'!GG9&gt;=-1,"Low",IF('Plant06 Inputs'!GG9&gt;=-3,"Medium","High"))&amp;" ("&amp;ROUND('Plant06 Inputs'!GG9,1)&amp;"% vs plan price)"</f>
        <v/>
      </c>
      <c r="L58" t="inlineStr">
        <is>
          <t>price_vs_plan_pct</t>
        </is>
      </c>
    </row>
    <row r="59">
      <c r="A59" t="inlineStr">
        <is>
          <t>PRD-001</t>
        </is>
      </c>
      <c r="B59" t="inlineStr">
        <is>
          <t>Days to breach (earliest plant)</t>
        </is>
      </c>
      <c r="C59" t="inlineStr">
        <is>
          <t>days</t>
        </is>
      </c>
      <c r="D59" t="inlineStr">
        <is>
          <t>Forecast</t>
        </is>
      </c>
      <c r="E59" t="inlineStr">
        <is>
          <t>Lowest plant forecast of days until its production plan is breached (99 = not expected)</t>
        </is>
      </c>
      <c r="F59">
        <f>ROUND('Plant06 Inputs'!BS4,2)</f>
        <v/>
      </c>
      <c r="G59">
        <f>ROUND('Plant06 Inputs'!BS5,2)</f>
        <v/>
      </c>
      <c r="H59">
        <f>ROUND('Plant06 Inputs'!BS6,2)</f>
        <v/>
      </c>
      <c r="I59">
        <f>ROUND('Plant06 Inputs'!BS7,2)</f>
        <v/>
      </c>
      <c r="J59">
        <f>ROUND('Plant06 Inputs'!BS8,2)</f>
        <v/>
      </c>
      <c r="K59">
        <f>ROUND('Plant06 Inputs'!BS9,2)</f>
        <v/>
      </c>
      <c r="L59" t="inlineStr">
        <is>
          <t>days_to_breach</t>
        </is>
      </c>
    </row>
    <row r="60">
      <c r="A60" t="inlineStr">
        <is>
          <t>PRD-002</t>
        </is>
      </c>
      <c r="B60" t="inlineStr">
        <is>
          <t>Probability of production plan miss, next month</t>
        </is>
      </c>
      <c r="C60" t="inlineStr">
        <is>
          <t>%</t>
        </is>
      </c>
      <c r="D60" t="inlineStr">
        <is>
          <t>Next month</t>
        </is>
      </c>
      <c r="E60" t="inlineStr">
        <is>
          <t>Chance that output falls below plan: normal distribution with mean = Forecast good output, spread = √(sum of plant forecast variances)</t>
        </is>
      </c>
      <c r="F60">
        <f>ROUND(100*NORM.DIST('Plant06 Inputs'!BT4,'Plant06 Inputs'!BU4,SQRT('Plant06 Inputs'!BV4),TRUE),2)</f>
        <v/>
      </c>
      <c r="G60">
        <f>ROUND(100*NORM.DIST('Plant06 Inputs'!BT5,'Plant06 Inputs'!BU5,SQRT('Plant06 Inputs'!BV5),TRUE),2)</f>
        <v/>
      </c>
      <c r="H60">
        <f>ROUND(100*NORM.DIST('Plant06 Inputs'!BT6,'Plant06 Inputs'!BU6,SQRT('Plant06 Inputs'!BV6),TRUE),2)</f>
        <v/>
      </c>
      <c r="I60">
        <f>ROUND(100*NORM.DIST('Plant06 Inputs'!BT7,'Plant06 Inputs'!BU7,SQRT('Plant06 Inputs'!BV7),TRUE),2)</f>
        <v/>
      </c>
      <c r="J60">
        <f>ROUND(100*NORM.DIST('Plant06 Inputs'!BT8,'Plant06 Inputs'!BU8,SQRT('Plant06 Inputs'!BV8),TRUE),2)</f>
        <v/>
      </c>
      <c r="K60">
        <f>ROUND(100*NORM.DIST('Plant06 Inputs'!BT9,'Plant06 Inputs'!BU9,SQRT('Plant06 Inputs'!BV9),TRUE),2)</f>
        <v/>
      </c>
      <c r="L60" t="inlineStr">
        <is>
          <t>planned_production_next_t, forecast_good_next_t, forecast_good_var_next</t>
        </is>
      </c>
    </row>
    <row r="61">
      <c r="A61" t="inlineStr">
        <is>
          <t>PRD-006</t>
        </is>
      </c>
      <c r="B61" t="inlineStr">
        <is>
          <t>Production loss from downtime, next month</t>
        </is>
      </c>
      <c r="C61" t="inlineStr">
        <is>
          <t>kt</t>
        </is>
      </c>
      <c r="D61" t="inlineStr">
        <is>
          <t>Next month</t>
        </is>
      </c>
      <c r="E61" t="inlineStr">
        <is>
          <t>Forecast production lost to downtime next month ÷ 1000</t>
        </is>
      </c>
      <c r="F61">
        <f>ROUND('Plant06 Inputs'!BX4/1000,2)</f>
        <v/>
      </c>
      <c r="G61">
        <f>ROUND('Plant06 Inputs'!BX5/1000,2)</f>
        <v/>
      </c>
      <c r="H61">
        <f>ROUND('Plant06 Inputs'!BX6/1000,2)</f>
        <v/>
      </c>
      <c r="I61">
        <f>ROUND('Plant06 Inputs'!BX7/1000,2)</f>
        <v/>
      </c>
      <c r="J61">
        <f>ROUND('Plant06 Inputs'!BX8/1000,2)</f>
        <v/>
      </c>
      <c r="K61">
        <f>ROUND('Plant06 Inputs'!BX9/1000,2)</f>
        <v/>
      </c>
      <c r="L61" t="inlineStr">
        <is>
          <t>forecast_downtime_loss_next_t</t>
        </is>
      </c>
    </row>
    <row r="62">
      <c r="A62" t="inlineStr">
        <is>
          <t>PRD-007</t>
        </is>
      </c>
      <c r="B62" t="inlineStr">
        <is>
          <t>Probability OEE below 78%, next month</t>
        </is>
      </c>
      <c r="C62" t="inlineStr">
        <is>
          <t>%</t>
        </is>
      </c>
      <c r="D62" t="inlineStr">
        <is>
          <t>Next month</t>
        </is>
      </c>
      <c r="E62" t="inlineStr">
        <is>
          <t>Chance that Forecast good output &lt; 78% × Ideal output next month (same distribution as PRD-002)</t>
        </is>
      </c>
      <c r="F62">
        <f>ROUND(100*NORM.DIST(0.78*'Plant06 Inputs'!BW4,'Plant06 Inputs'!BU4,SQRT('Plant06 Inputs'!BV4),TRUE),2)</f>
        <v/>
      </c>
      <c r="G62">
        <f>ROUND(100*NORM.DIST(0.78*'Plant06 Inputs'!BW5,'Plant06 Inputs'!BU5,SQRT('Plant06 Inputs'!BV5),TRUE),2)</f>
        <v/>
      </c>
      <c r="H62">
        <f>ROUND(100*NORM.DIST(0.78*'Plant06 Inputs'!BW6,'Plant06 Inputs'!BU6,SQRT('Plant06 Inputs'!BV6),TRUE),2)</f>
        <v/>
      </c>
      <c r="I62">
        <f>ROUND(100*NORM.DIST(0.78*'Plant06 Inputs'!BW7,'Plant06 Inputs'!BU7,SQRT('Plant06 Inputs'!BV7),TRUE),2)</f>
        <v/>
      </c>
      <c r="J62">
        <f>ROUND(100*NORM.DIST(0.78*'Plant06 Inputs'!BW8,'Plant06 Inputs'!BU8,SQRT('Plant06 Inputs'!BV8),TRUE),2)</f>
        <v/>
      </c>
      <c r="K62">
        <f>ROUND(100*NORM.DIST(0.78*'Plant06 Inputs'!BW9,'Plant06 Inputs'!BU9,SQRT('Plant06 Inputs'!BV9),TRUE),2)</f>
        <v/>
      </c>
      <c r="L62" t="inlineStr">
        <is>
          <t>forecast_good_next_t, forecast_good_var_next, ideal_output_next_t</t>
        </is>
      </c>
    </row>
    <row r="63">
      <c r="A63" t="inlineStr">
        <is>
          <t>CST-005</t>
        </is>
      </c>
      <c r="B63" t="inlineStr">
        <is>
          <t>Fixed cost YTD</t>
        </is>
      </c>
      <c r="C63" t="inlineStr">
        <is>
          <t>₹ m</t>
        </is>
      </c>
      <c r="D63" t="inlineStr">
        <is>
          <t>Year to date</t>
        </is>
      </c>
      <c r="E63" t="inlineStr">
        <is>
          <t>Sum of monthly fixed cost since April ÷ 1000</t>
        </is>
      </c>
      <c r="F63">
        <f>ROUND(SUM('Plant06 Inputs'!X$4:X4)/1000,2)</f>
        <v/>
      </c>
      <c r="G63">
        <f>ROUND(SUM('Plant06 Inputs'!X$4:X5)/1000,2)</f>
        <v/>
      </c>
      <c r="H63">
        <f>ROUND(SUM('Plant06 Inputs'!X$4:X6)/1000,2)</f>
        <v/>
      </c>
      <c r="I63">
        <f>ROUND(SUM('Plant06 Inputs'!X$4:X7)/1000,2)</f>
        <v/>
      </c>
      <c r="J63">
        <f>ROUND(SUM('Plant06 Inputs'!X$4:X8)/1000,2)</f>
        <v/>
      </c>
      <c r="K63">
        <f>ROUND(SUM('Plant06 Inputs'!X$4:X9)/1000,2)</f>
        <v/>
      </c>
      <c r="L63" t="inlineStr">
        <is>
          <t>fixed_cost_k</t>
        </is>
      </c>
    </row>
    <row r="64">
      <c r="A64" t="inlineStr">
        <is>
          <t>SIG-017</t>
        </is>
      </c>
      <c r="B64" t="inlineStr">
        <is>
          <t>Fuel exposure (fuel cost per tonne, MoM)</t>
        </is>
      </c>
      <c r="C64" t="inlineStr">
        <is>
          <t>%</t>
        </is>
      </c>
      <c r="D64" t="inlineStr">
        <is>
          <t>Month</t>
        </is>
      </c>
      <c r="E64" t="inlineStr">
        <is>
          <t>(Fuel cost ÷ good output) ÷ last month's − 1, as %</t>
        </is>
      </c>
      <c r="F64">
        <f>ROUND(IF(OR('Plant06 Inputs'!M4=0,'Plant06 Inputs'!W4=0,'Plant06 Inputs'!M4=0),0,100*(('Plant06 Inputs'!W4/'Plant06 Inputs'!M4)/('Plant06 Inputs'!W4/'Plant06 Inputs'!M4)-1)),2)</f>
        <v/>
      </c>
      <c r="G64">
        <f>ROUND(IF(OR('Plant06 Inputs'!M4=0,'Plant06 Inputs'!W4=0,'Plant06 Inputs'!M5=0),0,100*(('Plant06 Inputs'!W5/'Plant06 Inputs'!M5)/('Plant06 Inputs'!W4/'Plant06 Inputs'!M4)-1)),2)</f>
        <v/>
      </c>
      <c r="H64">
        <f>ROUND(IF(OR('Plant06 Inputs'!M5=0,'Plant06 Inputs'!W5=0,'Plant06 Inputs'!M6=0),0,100*(('Plant06 Inputs'!W6/'Plant06 Inputs'!M6)/('Plant06 Inputs'!W5/'Plant06 Inputs'!M5)-1)),2)</f>
        <v/>
      </c>
      <c r="I64">
        <f>ROUND(IF(OR('Plant06 Inputs'!M6=0,'Plant06 Inputs'!W6=0,'Plant06 Inputs'!M7=0),0,100*(('Plant06 Inputs'!W7/'Plant06 Inputs'!M7)/('Plant06 Inputs'!W6/'Plant06 Inputs'!M6)-1)),2)</f>
        <v/>
      </c>
      <c r="J64">
        <f>ROUND(IF(OR('Plant06 Inputs'!M7=0,'Plant06 Inputs'!W7=0,'Plant06 Inputs'!M8=0),0,100*(('Plant06 Inputs'!W8/'Plant06 Inputs'!M8)/('Plant06 Inputs'!W7/'Plant06 Inputs'!M7)-1)),2)</f>
        <v/>
      </c>
      <c r="K64">
        <f>ROUND(IF(OR('Plant06 Inputs'!M8=0,'Plant06 Inputs'!W8=0,'Plant06 Inputs'!M9=0),0,100*(('Plant06 Inputs'!W9/'Plant06 Inputs'!M9)/('Plant06 Inputs'!W8/'Plant06 Inputs'!M8)-1)),2)</f>
        <v/>
      </c>
      <c r="L64" t="inlineStr">
        <is>
          <t>fuel_cost_k, good_output_t</t>
        </is>
      </c>
    </row>
    <row r="65">
      <c r="A65" t="inlineStr">
        <is>
          <t>SIG-018</t>
        </is>
      </c>
      <c r="B65" t="inlineStr">
        <is>
          <t>Power-cost exposure (power cost per tonne, MoM)</t>
        </is>
      </c>
      <c r="C65" t="inlineStr">
        <is>
          <t>%</t>
        </is>
      </c>
      <c r="D65" t="inlineStr">
        <is>
          <t>Month</t>
        </is>
      </c>
      <c r="E65" t="inlineStr">
        <is>
          <t>(Power cost ÷ good output) ÷ last month's − 1, as %</t>
        </is>
      </c>
      <c r="F65">
        <f>ROUND(IF(OR('Plant06 Inputs'!M4=0,'Plant06 Inputs'!AW4=0,'Plant06 Inputs'!M4=0),0,100*(('Plant06 Inputs'!AW4/'Plant06 Inputs'!M4)/('Plant06 Inputs'!AW4/'Plant06 Inputs'!M4)-1)),2)</f>
        <v/>
      </c>
      <c r="G65">
        <f>ROUND(IF(OR('Plant06 Inputs'!M4=0,'Plant06 Inputs'!AW4=0,'Plant06 Inputs'!M5=0),0,100*(('Plant06 Inputs'!AW5/'Plant06 Inputs'!M5)/('Plant06 Inputs'!AW4/'Plant06 Inputs'!M4)-1)),2)</f>
        <v/>
      </c>
      <c r="H65">
        <f>ROUND(IF(OR('Plant06 Inputs'!M5=0,'Plant06 Inputs'!AW5=0,'Plant06 Inputs'!M6=0),0,100*(('Plant06 Inputs'!AW6/'Plant06 Inputs'!M6)/('Plant06 Inputs'!AW5/'Plant06 Inputs'!M5)-1)),2)</f>
        <v/>
      </c>
      <c r="I65">
        <f>ROUND(IF(OR('Plant06 Inputs'!M6=0,'Plant06 Inputs'!AW6=0,'Plant06 Inputs'!M7=0),0,100*(('Plant06 Inputs'!AW7/'Plant06 Inputs'!M7)/('Plant06 Inputs'!AW6/'Plant06 Inputs'!M6)-1)),2)</f>
        <v/>
      </c>
      <c r="J65">
        <f>ROUND(IF(OR('Plant06 Inputs'!M7=0,'Plant06 Inputs'!AW7=0,'Plant06 Inputs'!M8=0),0,100*(('Plant06 Inputs'!AW8/'Plant06 Inputs'!M8)/('Plant06 Inputs'!AW7/'Plant06 Inputs'!M7)-1)),2)</f>
        <v/>
      </c>
      <c r="K65">
        <f>ROUND(IF(OR('Plant06 Inputs'!M8=0,'Plant06 Inputs'!AW8=0,'Plant06 Inputs'!M9=0),0,100*(('Plant06 Inputs'!AW9/'Plant06 Inputs'!M9)/('Plant06 Inputs'!AW8/'Plant06 Inputs'!M8)-1)),2)</f>
        <v/>
      </c>
      <c r="L65" t="inlineStr">
        <is>
          <t>good_output_t, power_cost_k</t>
        </is>
      </c>
    </row>
    <row r="66">
      <c r="A66" t="inlineStr">
        <is>
          <t>SIG-001</t>
        </is>
      </c>
      <c r="B66" t="inlineStr">
        <is>
          <t>Unplanned downtime (same measure as REL-003)</t>
        </is>
      </c>
      <c r="C66" t="inlineStr">
        <is>
          <t>h</t>
        </is>
      </c>
      <c r="D66" t="inlineStr">
        <is>
          <t>Month</t>
        </is>
      </c>
      <c r="E66" t="inlineStr">
        <is>
          <t>Alias of REL-003: same value</t>
        </is>
      </c>
      <c r="F66">
        <f>F10</f>
        <v/>
      </c>
      <c r="G66">
        <f>G10</f>
        <v/>
      </c>
      <c r="H66">
        <f>H10</f>
        <v/>
      </c>
      <c r="I66">
        <f>I10</f>
        <v/>
      </c>
      <c r="J66">
        <f>J10</f>
        <v/>
      </c>
      <c r="K66">
        <f>K10</f>
        <v/>
      </c>
      <c r="L66" t="inlineStr">
        <is>
          <t>unplanned_downtime_hours</t>
        </is>
      </c>
    </row>
    <row r="67">
      <c r="A67" t="inlineStr">
        <is>
          <t>SIG-002</t>
        </is>
      </c>
      <c r="B67" t="inlineStr">
        <is>
          <t>Yield (same measure as PLT-005)</t>
        </is>
      </c>
      <c r="C67" t="inlineStr">
        <is>
          <t>%</t>
        </is>
      </c>
      <c r="D67" t="inlineStr">
        <is>
          <t>Month</t>
        </is>
      </c>
      <c r="E67" t="inlineStr">
        <is>
          <t>Alias of PLT-005: same value</t>
        </is>
      </c>
      <c r="F67">
        <f>F7</f>
        <v/>
      </c>
      <c r="G67">
        <f>G7</f>
        <v/>
      </c>
      <c r="H67">
        <f>H7</f>
        <v/>
      </c>
      <c r="I67">
        <f>I7</f>
        <v/>
      </c>
      <c r="J67">
        <f>J7</f>
        <v/>
      </c>
      <c r="K67">
        <f>K7</f>
        <v/>
      </c>
      <c r="L67" t="inlineStr">
        <is>
          <t>good_output_t, feed_input_t</t>
        </is>
      </c>
    </row>
    <row r="68">
      <c r="A68" t="inlineStr">
        <is>
          <t>SIG-003</t>
        </is>
      </c>
      <c r="B68" t="inlineStr">
        <is>
          <t>Recovery percentage (same measure as PLT-004)</t>
        </is>
      </c>
      <c r="C68" t="inlineStr">
        <is>
          <t>%</t>
        </is>
      </c>
      <c r="D68" t="inlineStr">
        <is>
          <t>Month</t>
        </is>
      </c>
      <c r="E68" t="inlineStr">
        <is>
          <t>Alias of PLT-004: same value</t>
        </is>
      </c>
      <c r="F68">
        <f>F6</f>
        <v/>
      </c>
      <c r="G68">
        <f>G6</f>
        <v/>
      </c>
      <c r="H68">
        <f>H6</f>
        <v/>
      </c>
      <c r="I68">
        <f>I6</f>
        <v/>
      </c>
      <c r="J68">
        <f>J6</f>
        <v/>
      </c>
      <c r="K68">
        <f>K6</f>
        <v/>
      </c>
      <c r="L68" t="inlineStr">
        <is>
          <t>feed_contained_t, recovered_contained_t</t>
        </is>
      </c>
    </row>
    <row r="69">
      <c r="A69" t="inlineStr">
        <is>
          <t>SIG-019</t>
        </is>
      </c>
      <c r="B69" t="inlineStr">
        <is>
          <t>Regulatory deadlines, next 30 days (same measure as REG-002)</t>
        </is>
      </c>
      <c r="C69" t="inlineStr">
        <is>
          <t>count</t>
        </is>
      </c>
      <c r="D69" t="inlineStr">
        <is>
          <t>Month end</t>
        </is>
      </c>
      <c r="E69" t="inlineStr">
        <is>
          <t>Alias of REG-002: same value</t>
        </is>
      </c>
      <c r="F69">
        <f>F46</f>
        <v/>
      </c>
      <c r="G69">
        <f>G46</f>
        <v/>
      </c>
      <c r="H69">
        <f>H46</f>
        <v/>
      </c>
      <c r="I69">
        <f>I46</f>
        <v/>
      </c>
      <c r="J69">
        <f>J46</f>
        <v/>
      </c>
      <c r="K69">
        <f>K46</f>
        <v/>
      </c>
      <c r="L69" t="inlineStr">
        <is>
          <t>reg_deadlines_30d</t>
        </is>
      </c>
    </row>
    <row r="70">
      <c r="A70" t="inlineStr">
        <is>
          <t>SIG-020</t>
        </is>
      </c>
      <c r="B70" t="inlineStr">
        <is>
          <t>Licence expirations, next 12 months (same measure as REG-003)</t>
        </is>
      </c>
      <c r="C70" t="inlineStr">
        <is>
          <t>count</t>
        </is>
      </c>
      <c r="D70" t="inlineStr">
        <is>
          <t>Month end</t>
        </is>
      </c>
      <c r="E70" t="inlineStr">
        <is>
          <t>Alias of REG-003: same value</t>
        </is>
      </c>
      <c r="F70">
        <f>F47</f>
        <v/>
      </c>
      <c r="G70">
        <f>G47</f>
        <v/>
      </c>
      <c r="H70">
        <f>H47</f>
        <v/>
      </c>
      <c r="I70">
        <f>I47</f>
        <v/>
      </c>
      <c r="J70">
        <f>J47</f>
        <v/>
      </c>
      <c r="K70">
        <f>K47</f>
        <v/>
      </c>
      <c r="L70" t="inlineStr">
        <is>
          <t>licences_expiring_12m</t>
        </is>
      </c>
    </row>
    <row r="71">
      <c r="A71" t="inlineStr">
        <is>
          <t>RSK-002</t>
        </is>
      </c>
      <c r="B71" t="inlineStr">
        <is>
          <t>Severity incidents (same measure as EHS-002)</t>
        </is>
      </c>
      <c r="C71" t="inlineStr">
        <is>
          <t>count</t>
        </is>
      </c>
      <c r="D71" t="inlineStr">
        <is>
          <t>Month</t>
        </is>
      </c>
      <c r="E71" t="inlineStr">
        <is>
          <t>Alias of EHS-002: same value</t>
        </is>
      </c>
      <c r="F71">
        <f>F25</f>
        <v/>
      </c>
      <c r="G71">
        <f>G25</f>
        <v/>
      </c>
      <c r="H71">
        <f>H25</f>
        <v/>
      </c>
      <c r="I71">
        <f>I25</f>
        <v/>
      </c>
      <c r="J71">
        <f>J25</f>
        <v/>
      </c>
      <c r="K71">
        <f>K25</f>
        <v/>
      </c>
      <c r="L71" t="inlineStr">
        <is>
          <t>severity_incidents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2026-10-05T18:41:15Z</dcterms:created>
  <dcterms:modified xmlns:dcterms="http://purl.org/dc/terms/" xmlns:xsi="http://www.w3.org/2001/XMLSchema-instance" xsi:type="dcterms:W3CDTF">2026-10-06T11:30:31Z</dcterms:modified>
</cp:coreProperties>
</file>