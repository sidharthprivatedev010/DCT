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1" autoFilterDateGrouping="1"/>
  </bookViews>
  <sheets>
    <sheet xmlns:r="http://schemas.openxmlformats.org/officeDocument/2006/relationships" name="Calculated vs Shown" sheetId="1" state="visible" r:id="rId1"/>
    <sheet xmlns:r="http://schemas.openxmlformats.org/officeDocument/2006/relationships" name="Owner KPIs" sheetId="2" state="visible" r:id="rId2"/>
    <sheet xmlns:r="http://schemas.openxmlformats.org/officeDocument/2006/relationships" name="Owner Screens" sheetId="3" state="visible" r:id="rId3"/>
    <sheet xmlns:r="http://schemas.openxmlformats.org/officeDocument/2006/relationships" name="Group Inputs" sheetId="4" state="visible" r:id="rId4"/>
    <sheet xmlns:r="http://schemas.openxmlformats.org/officeDocument/2006/relationships" name="Entity Inputs" sheetId="5" state="visible" r:id="rId5"/>
    <sheet xmlns:r="http://schemas.openxmlformats.org/officeDocument/2006/relationships" name="Plant Inputs" sheetId="6" state="visible" r:id="rId6"/>
    <sheet xmlns:r="http://schemas.openxmlformats.org/officeDocument/2006/relationships" name="Parameters" sheetId="7" state="visible" r:id="rId7"/>
    <sheet xmlns:r="http://schemas.openxmlformats.org/officeDocument/2006/relationships" name="About" sheetId="8" state="visible" r:id="rId8"/>
  </sheets>
  <definedNames>
    <definedName name="_xlnm._FilterDatabase" localSheetId="0" hidden="1">'Calculated vs Shown'!$A$1:$I$119</definedName>
    <definedName name="_xlnm._FilterDatabase" localSheetId="1" hidden="1">'Owner KPIs'!$A$1:$N$119</definedName>
    <definedName name="_xlnm._FilterDatabase" localSheetId="2" hidden="1">'Owner Screens'!$A$1:$J$163</definedName>
    <definedName name="_xlnm._FilterDatabase" localSheetId="4" hidden="1">'Entity Inputs'!$A$3:$FU$15</definedName>
    <definedName name="_xlnm._FilterDatabase" localSheetId="5" hidden="1">'Plant Inputs'!$A$3:$BY$39</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Calibri"/>
      <family val="2"/>
      <b val="1"/>
      <color rgb="FFFFFFFF"/>
      <sz val="11"/>
      <scheme val="minor"/>
    </font>
    <font>
      <name val="Calibri"/>
      <family val="2"/>
      <b val="1"/>
      <color theme="1"/>
      <sz val="11"/>
      <scheme val="minor"/>
    </font>
    <font>
      <name val="Calibri"/>
      <family val="2"/>
      <i val="1"/>
      <color rgb="FF555555"/>
      <sz val="9"/>
      <scheme val="minor"/>
    </font>
    <font>
      <name val="Calibri"/>
      <family val="2"/>
      <i val="1"/>
      <color theme="1"/>
      <sz val="9"/>
      <scheme val="minor"/>
    </font>
  </fonts>
  <fills count="15">
    <fill>
      <patternFill/>
    </fill>
    <fill>
      <patternFill patternType="gray125"/>
    </fill>
    <fill>
      <patternFill patternType="solid">
        <fgColor rgb="FF1F3A5F"/>
        <bgColor indexed="64"/>
      </patternFill>
    </fill>
    <fill>
      <patternFill patternType="solid">
        <fgColor rgb="FFF4F7FB"/>
        <bgColor indexed="64"/>
      </patternFill>
    </fill>
    <fill>
      <patternFill patternType="solid">
        <fgColor rgb="FFF9D6D5"/>
        <bgColor indexed="64"/>
      </patternFill>
    </fill>
    <fill>
      <patternFill patternType="solid">
        <fgColor rgb="FFEEEEEE"/>
        <bgColor indexed="64"/>
      </patternFill>
    </fill>
    <fill>
      <patternFill patternType="solid">
        <fgColor rgb="FFD9F2E3"/>
        <bgColor indexed="64"/>
      </patternFill>
    </fill>
    <fill>
      <patternFill patternType="solid">
        <fgColor rgb="FFD9DEE5"/>
        <bgColor indexed="64"/>
      </patternFill>
    </fill>
    <fill>
      <patternFill patternType="solid">
        <fgColor rgb="FF5B7DB1"/>
        <bgColor indexed="64"/>
      </patternFill>
    </fill>
    <fill>
      <patternFill patternType="solid">
        <fgColor rgb="FFEEF1F5"/>
        <bgColor indexed="64"/>
      </patternFill>
    </fill>
    <fill>
      <patternFill patternType="solid">
        <fgColor rgb="FFE3EAF5"/>
        <bgColor indexed="64"/>
      </patternFill>
    </fill>
    <fill>
      <patternFill patternType="solid">
        <fgColor rgb="FFF7F8FA"/>
        <bgColor indexed="64"/>
      </patternFill>
    </fill>
    <fill>
      <patternFill patternType="solid">
        <fgColor rgb="FFEEF3FA"/>
        <bgColor indexed="64"/>
      </patternFill>
    </fill>
    <fill>
      <patternFill patternType="solid">
        <fgColor rgb="FFFFF8E5"/>
        <bgColor indexed="64"/>
      </patternFill>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xf>
    <xf numFmtId="0" fontId="0" fillId="0" borderId="1" applyAlignment="1" pivotButton="0" quotePrefix="0" xfId="0">
      <alignment vertical="top" wrapText="1"/>
    </xf>
    <xf numFmtId="4" fontId="0" fillId="3" borderId="1" pivotButton="0" quotePrefix="0" xfId="0"/>
    <xf numFmtId="0" fontId="2" fillId="4" borderId="1" pivotButton="0" quotePrefix="0" xfId="0"/>
    <xf numFmtId="0" fontId="0" fillId="5" borderId="1" pivotButton="0" quotePrefix="0" xfId="0"/>
    <xf numFmtId="0" fontId="2" fillId="6" borderId="1" pivotButton="0" quotePrefix="0" xfId="0"/>
    <xf numFmtId="0" fontId="0" fillId="3" borderId="1" applyAlignment="1" pivotButton="0" quotePrefix="0" xfId="0">
      <alignment wrapText="1"/>
    </xf>
    <xf numFmtId="0" fontId="2" fillId="7" borderId="1" applyAlignment="1" pivotButton="0" quotePrefix="0" xfId="0">
      <alignment vertical="top" wrapText="1"/>
    </xf>
    <xf numFmtId="0" fontId="1" fillId="8" borderId="1" applyAlignment="1" pivotButton="0" quotePrefix="0" xfId="0">
      <alignment vertical="top" wrapText="1"/>
    </xf>
    <xf numFmtId="0" fontId="3" fillId="9" borderId="1" pivotButton="0" quotePrefix="0" xfId="0"/>
    <xf numFmtId="0" fontId="4" fillId="9" borderId="1" applyAlignment="1" pivotButton="0" quotePrefix="0" xfId="0">
      <alignment vertical="top" wrapText="1"/>
    </xf>
    <xf numFmtId="0" fontId="4" fillId="10" borderId="1" applyAlignment="1" pivotButton="0" quotePrefix="0" xfId="0">
      <alignment vertical="top" wrapText="1"/>
    </xf>
    <xf numFmtId="0" fontId="0" fillId="11" borderId="0" pivotButton="0" quotePrefix="0" xfId="0"/>
    <xf numFmtId="4" fontId="0" fillId="12" borderId="0" pivotButton="0" quotePrefix="0" xfId="0"/>
    <xf numFmtId="0" fontId="0" fillId="13" borderId="0" pivotButton="0" quotePrefix="0" xfId="0"/>
    <xf numFmtId="0" fontId="0" fillId="14" borderId="0" pivotButton="0" quotePrefix="0" xfId="0"/>
    <xf numFmtId="4" fontId="0" fillId="0" borderId="1" pivotButton="0" quotePrefix="0" xfId="0"/>
    <xf numFmtId="164" fontId="0" fillId="0" borderId="1" pivotButton="0" quotePrefix="0" xfId="0"/>
    <xf numFmtId="0" fontId="0" fillId="0" borderId="0" applyAlignment="1" pivotButton="0" quotePrefix="0" xfId="0">
      <alignment wrapText="1"/>
    </xf>
    <xf numFmtId="4" fontId="0" fillId="3" borderId="1" pivotButton="0" quotePrefix="0" xfId="0"/>
    <xf numFmtId="4" fontId="0" fillId="12" borderId="0" pivotButton="0" quotePrefix="0" xfId="0"/>
    <xf numFmtId="4" fontId="0" fillId="0" borderId="1" pivotButton="0" quotePrefix="0" xfId="0"/>
    <xf numFmtId="164" fontId="0" fillId="0" borderId="1"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9"/>
  <sheetViews>
    <sheetView workbookViewId="0">
      <pane xSplit="2" ySplit="1" topLeftCell="C2" activePane="bottomRight" state="frozen"/>
      <selection pane="topRight" activeCell="C1" sqref="C1"/>
      <selection pane="bottomLeft" activeCell="A2" sqref="A2"/>
      <selection pane="bottomRight" activeCell="A1" sqref="A1"/>
    </sheetView>
  </sheetViews>
  <sheetFormatPr baseColWidth="8" defaultRowHeight="15"/>
  <cols>
    <col width="10.7109375" customWidth="1" min="1" max="1"/>
    <col width="34.7109375" customWidth="1" min="2" max="2"/>
    <col width="11.7109375" customWidth="1" min="3" max="3"/>
    <col width="60.7109375" customWidth="1" min="4" max="4"/>
    <col width="15.7109375" customWidth="1" min="5" max="5"/>
    <col width="30.7109375" customWidth="1" min="6" max="6"/>
    <col width="12.7109375" customWidth="1" min="7" max="7"/>
    <col width="30.7109375" customWidth="1" min="8" max="8"/>
    <col width="36.7109375" customWidth="1" min="9" max="9"/>
  </cols>
  <sheetData>
    <row r="1">
      <c r="A1" s="1" t="inlineStr">
        <is>
          <t>KPI ID</t>
        </is>
      </c>
      <c r="B1" s="1" t="inlineStr">
        <is>
          <t>Measure</t>
        </is>
      </c>
      <c r="C1" s="1" t="inlineStr">
        <is>
          <t>Unit</t>
        </is>
      </c>
      <c r="D1" s="1" t="inlineStr">
        <is>
          <t>Formula</t>
        </is>
      </c>
      <c r="E1" s="1" t="inlineStr">
        <is>
          <t>Calculated value, Sep 2026 (P06)</t>
        </is>
      </c>
      <c r="F1" s="1" t="inlineStr">
        <is>
          <t>Shown on the Owner screens (Group scope)</t>
        </is>
      </c>
      <c r="G1" s="1" t="inlineStr">
        <is>
          <t>Same or different</t>
        </is>
      </c>
      <c r="H1" s="1" t="inlineStr">
        <is>
          <t>Screens</t>
        </is>
      </c>
      <c r="I1" s="1" t="inlineStr">
        <is>
          <t>Where the inputs come from</t>
        </is>
      </c>
    </row>
    <row r="2">
      <c r="A2" s="2" t="inlineStr">
        <is>
          <t>OPS-001</t>
        </is>
      </c>
      <c r="B2" s="3" t="inlineStr">
        <is>
          <t>Production vs plan</t>
        </is>
      </c>
      <c r="C2" s="3" t="inlineStr">
        <is>
          <t>%</t>
        </is>
      </c>
      <c r="D2" s="3" t="inlineStr">
        <is>
          <t>Good output ÷ Planned production × 100</t>
        </is>
      </c>
      <c r="E2" s="21">
        <f>'Owner KPIs'!K2</f>
        <v/>
      </c>
      <c r="F2" s="3" t="inlineStr">
        <is>
          <t>95.5 % of plan</t>
        </is>
      </c>
      <c r="G2" s="5" t="inlineStr">
        <is>
          <t>Different</t>
        </is>
      </c>
      <c r="H2" s="3" t="inlineStr">
        <is>
          <t>O-01, O-01 · large display ≥ 1600, O-09, S-03 · Owner view, S-10, STATE GALLERY · O-01 + S-02</t>
        </is>
      </c>
      <c r="I2" s="3" t="inlineStr">
        <is>
          <t>Original plant data (plant_base.csv, synthetic)</t>
        </is>
      </c>
    </row>
    <row r="3">
      <c r="A3" s="2" t="inlineStr">
        <is>
          <t>OPS-003</t>
        </is>
      </c>
      <c r="B3" s="3" t="inlineStr">
        <is>
          <t>Capacity utilization</t>
        </is>
      </c>
      <c r="C3" s="3" t="inlineStr">
        <is>
          <t>%</t>
        </is>
      </c>
      <c r="D3" s="3" t="inlineStr">
        <is>
          <t>Good output ÷ Installed capacity × 100</t>
        </is>
      </c>
      <c r="E3" s="21">
        <f>'Owner KPIs'!K3</f>
        <v/>
      </c>
      <c r="F3" s="3" t="inlineStr">
        <is>
          <t>83.4 %</t>
        </is>
      </c>
      <c r="G3" s="5" t="inlineStr">
        <is>
          <t>Different</t>
        </is>
      </c>
      <c r="H3" s="3" t="inlineStr">
        <is>
          <t>O-01, O-01 · large display ≥ 1600, STATE GALLERY · O-01 + S-02</t>
        </is>
      </c>
      <c r="I3" s="3" t="inlineStr">
        <is>
          <t>Original plant data (plant_base.csv, synthetic)</t>
        </is>
      </c>
    </row>
    <row r="4">
      <c r="A4" s="2" t="inlineStr">
        <is>
          <t>REL-001</t>
        </is>
      </c>
      <c r="B4" s="3" t="inlineStr">
        <is>
          <t>MTBF</t>
        </is>
      </c>
      <c r="C4" s="3" t="inlineStr">
        <is>
          <t>h</t>
        </is>
      </c>
      <c r="D4" s="3" t="inlineStr">
        <is>
          <t>Run hours ÷ Breakdowns</t>
        </is>
      </c>
      <c r="E4" s="21">
        <f>'Owner KPIs'!K4</f>
        <v/>
      </c>
      <c r="F4" s="3" t="inlineStr">
        <is>
          <t>270 h</t>
        </is>
      </c>
      <c r="G4" s="5" t="inlineStr">
        <is>
          <t>Different</t>
        </is>
      </c>
      <c r="H4" s="3" t="inlineStr">
        <is>
          <t>O-09</t>
        </is>
      </c>
      <c r="I4" s="3" t="inlineStr">
        <is>
          <t>Original plant data (plant_base.csv, synthetic)</t>
        </is>
      </c>
    </row>
    <row r="5">
      <c r="A5" s="2" t="inlineStr">
        <is>
          <t>REL-002</t>
        </is>
      </c>
      <c r="B5" s="3" t="inlineStr">
        <is>
          <t>Mean Time to Repair</t>
        </is>
      </c>
      <c r="C5" s="3" t="inlineStr">
        <is>
          <t>h</t>
        </is>
      </c>
      <c r="D5" s="3" t="inlineStr">
        <is>
          <t>Repair hours ÷ Breakdowns</t>
        </is>
      </c>
      <c r="E5" s="21">
        <f>'Owner KPIs'!K5</f>
        <v/>
      </c>
      <c r="F5" s="3" t="inlineStr">
        <is>
          <t>Not on a screen</t>
        </is>
      </c>
      <c r="G5" s="5" t="inlineStr">
        <is>
          <t>—</t>
        </is>
      </c>
      <c r="H5" s="3" t="inlineStr">
        <is>
          <t>—</t>
        </is>
      </c>
      <c r="I5" s="3" t="inlineStr">
        <is>
          <t>Original plant data (plant_base.csv, synthetic)</t>
        </is>
      </c>
    </row>
    <row r="6">
      <c r="A6" s="2" t="inlineStr">
        <is>
          <t>REL-003</t>
        </is>
      </c>
      <c r="B6" s="3" t="inlineStr">
        <is>
          <t>Unplanned downtime</t>
        </is>
      </c>
      <c r="C6" s="3" t="inlineStr">
        <is>
          <t>h</t>
        </is>
      </c>
      <c r="D6" s="3" t="inlineStr">
        <is>
          <t>Unplanned downtime</t>
        </is>
      </c>
      <c r="E6" s="21">
        <f>'Owner KPIs'!K6</f>
        <v/>
      </c>
      <c r="F6" s="3" t="inlineStr">
        <is>
          <t>Not on a screen</t>
        </is>
      </c>
      <c r="G6" s="5" t="inlineStr">
        <is>
          <t>—</t>
        </is>
      </c>
      <c r="H6" s="3" t="inlineStr">
        <is>
          <t>—</t>
        </is>
      </c>
      <c r="I6" s="3" t="inlineStr">
        <is>
          <t>Original plant data (plant_base.csv, synthetic)</t>
        </is>
      </c>
    </row>
    <row r="7">
      <c r="A7" s="2" t="inlineStr">
        <is>
          <t>REL-005</t>
        </is>
      </c>
      <c r="B7" s="3" t="inlineStr">
        <is>
          <t>Preventive-maintenance compliance</t>
        </is>
      </c>
      <c r="C7" s="3" t="inlineStr">
        <is>
          <t>%</t>
        </is>
      </c>
      <c r="D7" s="3" t="inlineStr">
        <is>
          <t>Preventive maintenance completed ÷ Preventive maintenance scheduled × 100</t>
        </is>
      </c>
      <c r="E7" s="21">
        <f>'Owner KPIs'!K7</f>
        <v/>
      </c>
      <c r="F7" s="3" t="inlineStr">
        <is>
          <t>Not on a screen</t>
        </is>
      </c>
      <c r="G7" s="5" t="inlineStr">
        <is>
          <t>—</t>
        </is>
      </c>
      <c r="H7" s="3" t="inlineStr">
        <is>
          <t>—</t>
        </is>
      </c>
      <c r="I7" s="3" t="inlineStr">
        <is>
          <t>Original plant data (plant_base.csv, synthetic)</t>
        </is>
      </c>
    </row>
    <row r="8">
      <c r="A8" s="2" t="inlineStr">
        <is>
          <t>CST-001</t>
        </is>
      </c>
      <c r="B8" s="3" t="inlineStr">
        <is>
          <t>Cost per tonne</t>
        </is>
      </c>
      <c r="C8" s="3" t="inlineStr">
        <is>
          <t>₹/t</t>
        </is>
      </c>
      <c r="D8" s="3" t="inlineStr">
        <is>
          <t>(Variable cost + Fixed cost) × 1000 ÷ Good output</t>
        </is>
      </c>
      <c r="E8" s="21">
        <f>'Owner KPIs'!K8</f>
        <v/>
      </c>
      <c r="F8" s="3" t="inlineStr">
        <is>
          <t>2,934 ₹/t</t>
        </is>
      </c>
      <c r="G8" s="5" t="inlineStr">
        <is>
          <t>Different</t>
        </is>
      </c>
      <c r="H8" s="3" t="inlineStr">
        <is>
          <t>O-09, —</t>
        </is>
      </c>
      <c r="I8" s="3" t="inlineStr">
        <is>
          <t>Original plant data (plant_base.csv, synthetic)</t>
        </is>
      </c>
    </row>
    <row r="9">
      <c r="A9" s="2" t="inlineStr">
        <is>
          <t>CST-002</t>
        </is>
      </c>
      <c r="B9" s="3" t="inlineStr">
        <is>
          <t>Variable cost</t>
        </is>
      </c>
      <c r="C9" s="3" t="inlineStr">
        <is>
          <t>₹ thousand</t>
        </is>
      </c>
      <c r="D9" s="3" t="inlineStr">
        <is>
          <t>Variable cost</t>
        </is>
      </c>
      <c r="E9" s="21">
        <f>'Owner KPIs'!K9</f>
        <v/>
      </c>
      <c r="F9" s="3" t="inlineStr">
        <is>
          <t>Not on a screen</t>
        </is>
      </c>
      <c r="G9" s="5" t="inlineStr">
        <is>
          <t>—</t>
        </is>
      </c>
      <c r="H9" s="3" t="inlineStr">
        <is>
          <t>—</t>
        </is>
      </c>
      <c r="I9" s="3" t="inlineStr">
        <is>
          <t>Original plant data (plant_base.csv, synthetic)</t>
        </is>
      </c>
    </row>
    <row r="10">
      <c r="A10" s="2" t="inlineStr">
        <is>
          <t>CST-003</t>
        </is>
      </c>
      <c r="B10" s="3" t="inlineStr">
        <is>
          <t>Fuel cost</t>
        </is>
      </c>
      <c r="C10" s="3" t="inlineStr">
        <is>
          <t>₹ thousand</t>
        </is>
      </c>
      <c r="D10" s="3" t="inlineStr">
        <is>
          <t>Fuel cost</t>
        </is>
      </c>
      <c r="E10" s="21">
        <f>'Owner KPIs'!K10</f>
        <v/>
      </c>
      <c r="F10" s="3" t="inlineStr">
        <is>
          <t>Not on a screen</t>
        </is>
      </c>
      <c r="G10" s="5" t="inlineStr">
        <is>
          <t>—</t>
        </is>
      </c>
      <c r="H10" s="3" t="inlineStr">
        <is>
          <t>—</t>
        </is>
      </c>
      <c r="I10" s="3" t="inlineStr">
        <is>
          <t>Original plant data (plant_base.csv, synthetic)</t>
        </is>
      </c>
    </row>
    <row r="11">
      <c r="A11" s="2" t="inlineStr">
        <is>
          <t>SUS-001</t>
        </is>
      </c>
      <c r="B11" s="3" t="inlineStr">
        <is>
          <t>Water usage</t>
        </is>
      </c>
      <c r="C11" s="3" t="inlineStr">
        <is>
          <t>m3</t>
        </is>
      </c>
      <c r="D11" s="3" t="inlineStr">
        <is>
          <t>Water used</t>
        </is>
      </c>
      <c r="E11" s="21">
        <f>'Owner KPIs'!K11</f>
        <v/>
      </c>
      <c r="F11" s="3" t="inlineStr">
        <is>
          <t>3.1 m³/t</t>
        </is>
      </c>
      <c r="G11" s="5" t="inlineStr">
        <is>
          <t>Different</t>
        </is>
      </c>
      <c r="H11" s="3" t="inlineStr">
        <is>
          <t>O-05</t>
        </is>
      </c>
      <c r="I11" s="3" t="inlineStr">
        <is>
          <t>Original plant data (plant_base.csv, synthetic)</t>
        </is>
      </c>
    </row>
    <row r="12">
      <c r="A12" s="2" t="inlineStr">
        <is>
          <t>SUS-002</t>
        </is>
      </c>
      <c r="B12" s="3" t="inlineStr">
        <is>
          <t>Emissions</t>
        </is>
      </c>
      <c r="C12" s="3" t="inlineStr">
        <is>
          <t>tCO2e</t>
        </is>
      </c>
      <c r="D12" s="3" t="inlineStr">
        <is>
          <t>Emissions</t>
        </is>
      </c>
      <c r="E12" s="21">
        <f>'Owner KPIs'!K12</f>
        <v/>
      </c>
      <c r="F12" s="3" t="inlineStr">
        <is>
          <t>427.7 kt CO2e</t>
        </is>
      </c>
      <c r="G12" s="5" t="inlineStr">
        <is>
          <t>Different</t>
        </is>
      </c>
      <c r="H12" s="3" t="inlineStr">
        <is>
          <t>O-05</t>
        </is>
      </c>
      <c r="I12" s="3" t="inlineStr">
        <is>
          <t>Original plant data (plant_base.csv, synthetic)</t>
        </is>
      </c>
    </row>
    <row r="13">
      <c r="A13" s="2" t="inlineStr">
        <is>
          <t>SUS-003</t>
        </is>
      </c>
      <c r="B13" s="3" t="inlineStr">
        <is>
          <t>Energy intensity</t>
        </is>
      </c>
      <c r="C13" s="3" t="inlineStr">
        <is>
          <t>GJ/t</t>
        </is>
      </c>
      <c r="D13" s="3" t="inlineStr">
        <is>
          <t>Energy used ÷ Good output</t>
        </is>
      </c>
      <c r="E13" s="21">
        <f>'Owner KPIs'!K13</f>
        <v/>
      </c>
      <c r="F13" s="3" t="inlineStr">
        <is>
          <t>5.2 GJ/t</t>
        </is>
      </c>
      <c r="G13" s="5" t="inlineStr">
        <is>
          <t>Different</t>
        </is>
      </c>
      <c r="H13" s="3" t="inlineStr">
        <is>
          <t>O-05</t>
        </is>
      </c>
      <c r="I13" s="3" t="inlineStr">
        <is>
          <t>Original plant data (plant_base.csv, synthetic)</t>
        </is>
      </c>
    </row>
    <row r="14">
      <c r="A14" s="2" t="inlineStr">
        <is>
          <t>SIG-007</t>
        </is>
      </c>
      <c r="B14" s="3" t="inlineStr">
        <is>
          <t>Production at risk</t>
        </is>
      </c>
      <c r="C14" s="3" t="inlineStr">
        <is>
          <t>t</t>
        </is>
      </c>
      <c r="D14" s="3" t="inlineStr">
        <is>
          <t>Production at risk</t>
        </is>
      </c>
      <c r="E14" s="21">
        <f>'Owner KPIs'!K14</f>
        <v/>
      </c>
      <c r="F14" s="3" t="inlineStr">
        <is>
          <t>Not shown</t>
        </is>
      </c>
      <c r="G14" s="6" t="inlineStr">
        <is>
          <t>Not shown</t>
        </is>
      </c>
      <c r="H14" s="3" t="inlineStr">
        <is>
          <t>S-10</t>
        </is>
      </c>
      <c r="I14" s="3" t="inlineStr">
        <is>
          <t>Original plant data (plant_base.csv, synthetic)</t>
        </is>
      </c>
    </row>
    <row r="15">
      <c r="A15" s="2" t="inlineStr">
        <is>
          <t>SIG-009</t>
        </is>
      </c>
      <c r="B15" s="3" t="inlineStr">
        <is>
          <t>Critical-material shortage risk</t>
        </is>
      </c>
      <c r="C15" s="3" t="inlineStr">
        <is>
          <t>count</t>
        </is>
      </c>
      <c r="D15" s="3" t="inlineStr">
        <is>
          <t>Critical materials at risk</t>
        </is>
      </c>
      <c r="E15" s="21">
        <f>'Owner KPIs'!K15</f>
        <v/>
      </c>
      <c r="F15" s="3" t="inlineStr">
        <is>
          <t>3.5 days of cover</t>
        </is>
      </c>
      <c r="G15" s="5" t="inlineStr">
        <is>
          <t>Different</t>
        </is>
      </c>
      <c r="H15" s="3" t="inlineStr">
        <is>
          <t>S-10</t>
        </is>
      </c>
      <c r="I15" s="3" t="inlineStr">
        <is>
          <t>Original plant data (plant_base.csv, synthetic)</t>
        </is>
      </c>
    </row>
    <row r="16">
      <c r="A16" s="2" t="inlineStr">
        <is>
          <t>SIG-012</t>
        </is>
      </c>
      <c r="B16" s="3" t="inlineStr">
        <is>
          <t>Dispatch delays</t>
        </is>
      </c>
      <c r="C16" s="3" t="inlineStr">
        <is>
          <t>%</t>
        </is>
      </c>
      <c r="D16" s="3" t="inlineStr">
        <is>
          <t>Delayed dispatches ÷ Dispatches × 100</t>
        </is>
      </c>
      <c r="E16" s="21">
        <f>'Owner KPIs'!K16</f>
        <v/>
      </c>
      <c r="F16" s="3" t="inlineStr">
        <is>
          <t>2–4 days</t>
        </is>
      </c>
      <c r="G16" s="5" t="inlineStr">
        <is>
          <t>Different</t>
        </is>
      </c>
      <c r="H16" s="3" t="inlineStr">
        <is>
          <t>S-11</t>
        </is>
      </c>
      <c r="I16" s="3" t="inlineStr">
        <is>
          <t>Original plant data (plant_base.csv, synthetic)</t>
        </is>
      </c>
    </row>
    <row r="17">
      <c r="A17" s="2" t="inlineStr">
        <is>
          <t>EHS-001</t>
        </is>
      </c>
      <c r="B17" s="3" t="inlineStr">
        <is>
          <t>TRIR</t>
        </is>
      </c>
      <c r="C17" s="3" t="inlineStr">
        <is>
          <t>per 200,000 h</t>
        </is>
      </c>
      <c r="D17" s="3" t="inlineStr">
        <is>
          <t>Recordable injuries × 200,000 ÷ Hours worked</t>
        </is>
      </c>
      <c r="E17" s="21">
        <f>'Owner KPIs'!K17</f>
        <v/>
      </c>
      <c r="F17" s="3" t="inlineStr">
        <is>
          <t>0.42</t>
        </is>
      </c>
      <c r="G17" s="5" t="inlineStr">
        <is>
          <t>Different</t>
        </is>
      </c>
      <c r="H17" s="3" t="inlineStr">
        <is>
          <t>O-05</t>
        </is>
      </c>
      <c r="I17" s="3" t="inlineStr">
        <is>
          <t>Original plant data (plant_base.csv, synthetic)</t>
        </is>
      </c>
    </row>
    <row r="18">
      <c r="A18" s="2" t="inlineStr">
        <is>
          <t>EHS-002</t>
        </is>
      </c>
      <c r="B18" s="3" t="inlineStr">
        <is>
          <t>Severity incidents</t>
        </is>
      </c>
      <c r="C18" s="3" t="inlineStr">
        <is>
          <t>count</t>
        </is>
      </c>
      <c r="D18" s="3" t="inlineStr">
        <is>
          <t>Severity incidents</t>
        </is>
      </c>
      <c r="E18" s="21">
        <f>'Owner KPIs'!K18</f>
        <v/>
      </c>
      <c r="F18" s="3" t="inlineStr">
        <is>
          <t>0</t>
        </is>
      </c>
      <c r="G18" s="5" t="inlineStr">
        <is>
          <t>Different</t>
        </is>
      </c>
      <c r="H18" s="3" t="inlineStr">
        <is>
          <t>O-05</t>
        </is>
      </c>
      <c r="I18" s="3" t="inlineStr">
        <is>
          <t>Original plant data (plant_base.csv, synthetic)</t>
        </is>
      </c>
    </row>
    <row r="19">
      <c r="A19" s="2" t="inlineStr">
        <is>
          <t>EHS-003</t>
        </is>
      </c>
      <c r="B19" s="3" t="inlineStr">
        <is>
          <t>Near misses</t>
        </is>
      </c>
      <c r="C19" s="3" t="inlineStr">
        <is>
          <t>count</t>
        </is>
      </c>
      <c r="D19" s="3" t="inlineStr">
        <is>
          <t>Near misses</t>
        </is>
      </c>
      <c r="E19" s="21">
        <f>'Owner KPIs'!K19</f>
        <v/>
      </c>
      <c r="F19" s="3" t="inlineStr">
        <is>
          <t>14</t>
        </is>
      </c>
      <c r="G19" s="5" t="inlineStr">
        <is>
          <t>Different</t>
        </is>
      </c>
      <c r="H19" s="3" t="inlineStr">
        <is>
          <t>O-05</t>
        </is>
      </c>
      <c r="I19" s="3" t="inlineStr">
        <is>
          <t>Original plant data (plant_base.csv, synthetic)</t>
        </is>
      </c>
    </row>
    <row r="20">
      <c r="A20" s="2" t="inlineStr">
        <is>
          <t>EHS-004</t>
        </is>
      </c>
      <c r="B20" s="3" t="inlineStr">
        <is>
          <t>Critical safety incidents</t>
        </is>
      </c>
      <c r="C20" s="3" t="inlineStr">
        <is>
          <t>count</t>
        </is>
      </c>
      <c r="D20" s="3" t="inlineStr">
        <is>
          <t>Critical safety incidents</t>
        </is>
      </c>
      <c r="E20" s="21">
        <f>'Owner KPIs'!K20</f>
        <v/>
      </c>
      <c r="F20" s="3" t="inlineStr">
        <is>
          <t>0</t>
        </is>
      </c>
      <c r="G20" s="7" t="inlineStr">
        <is>
          <t>Same</t>
        </is>
      </c>
      <c r="H20" s="3" t="inlineStr">
        <is>
          <t>O-05</t>
        </is>
      </c>
      <c r="I20" s="3" t="inlineStr">
        <is>
          <t>Original plant data (plant_base.csv, synthetic)</t>
        </is>
      </c>
    </row>
    <row r="21">
      <c r="A21" s="2" t="inlineStr">
        <is>
          <t>EHS-005</t>
        </is>
      </c>
      <c r="B21" s="3" t="inlineStr">
        <is>
          <t>Environmental excursions</t>
        </is>
      </c>
      <c r="C21" s="3" t="inlineStr">
        <is>
          <t>count</t>
        </is>
      </c>
      <c r="D21" s="3" t="inlineStr">
        <is>
          <t>Environmental excursions</t>
        </is>
      </c>
      <c r="E21" s="21">
        <f>'Owner KPIs'!K21</f>
        <v/>
      </c>
      <c r="F21" s="3" t="inlineStr">
        <is>
          <t>1 (minor, closed)</t>
        </is>
      </c>
      <c r="G21" s="5" t="inlineStr">
        <is>
          <t>Different</t>
        </is>
      </c>
      <c r="H21" s="3" t="inlineStr">
        <is>
          <t>O-05</t>
        </is>
      </c>
      <c r="I21" s="3" t="inlineStr">
        <is>
          <t>Original plant data (plant_base.csv, synthetic)</t>
        </is>
      </c>
    </row>
    <row r="22">
      <c r="A22" s="2" t="inlineStr">
        <is>
          <t>EHS-007</t>
        </is>
      </c>
      <c r="B22" s="3" t="inlineStr">
        <is>
          <t>Overdue EHS actions</t>
        </is>
      </c>
      <c r="C22" s="3" t="inlineStr">
        <is>
          <t>count</t>
        </is>
      </c>
      <c r="D22" s="3" t="inlineStr">
        <is>
          <t>Overdue EHS corrective actions</t>
        </is>
      </c>
      <c r="E22" s="21">
        <f>'Owner KPIs'!K22</f>
        <v/>
      </c>
      <c r="F22" s="3" t="inlineStr">
        <is>
          <t>0</t>
        </is>
      </c>
      <c r="G22" s="5" t="inlineStr">
        <is>
          <t>Different</t>
        </is>
      </c>
      <c r="H22" s="3" t="inlineStr">
        <is>
          <t>O-05</t>
        </is>
      </c>
      <c r="I22" s="3" t="inlineStr">
        <is>
          <t>Original plant data (plant_base.csv, synthetic)</t>
        </is>
      </c>
    </row>
    <row r="23">
      <c r="A23" s="2" t="inlineStr">
        <is>
          <t>REG-006</t>
        </is>
      </c>
      <c r="B23" s="3" t="inlineStr">
        <is>
          <t>Licence or permit expiry clock</t>
        </is>
      </c>
      <c r="C23" s="3" t="inlineStr">
        <is>
          <t>days</t>
        </is>
      </c>
      <c r="D23" s="3" t="inlineStr">
        <is>
          <t>Days to permit expiry (lowest plant)</t>
        </is>
      </c>
      <c r="E23" s="21">
        <f>'Owner KPIs'!K23</f>
        <v/>
      </c>
      <c r="F23" s="3" t="inlineStr">
        <is>
          <t>74 days · Entity C1</t>
        </is>
      </c>
      <c r="G23" s="5" t="inlineStr">
        <is>
          <t>Different</t>
        </is>
      </c>
      <c r="H23" s="3" t="inlineStr">
        <is>
          <t>O-05</t>
        </is>
      </c>
      <c r="I23" s="3" t="inlineStr">
        <is>
          <t>Original plant data (plant_base.csv, synthetic)</t>
        </is>
      </c>
    </row>
    <row r="24">
      <c r="A24" s="2" t="inlineStr">
        <is>
          <t>OPS-005</t>
        </is>
      </c>
      <c r="B24" s="3" t="inlineStr">
        <is>
          <t>Capacity utilisation (same measure as OPS-003)</t>
        </is>
      </c>
      <c r="C24" s="3" t="inlineStr">
        <is>
          <t>%</t>
        </is>
      </c>
      <c r="D24" s="3" t="inlineStr">
        <is>
          <t>Good output ÷ Installed capacity × 100</t>
        </is>
      </c>
      <c r="E24" s="21">
        <f>'Owner KPIs'!K24</f>
        <v/>
      </c>
      <c r="F24" s="3" t="inlineStr">
        <is>
          <t>86%; 86 %</t>
        </is>
      </c>
      <c r="G24" s="5" t="inlineStr">
        <is>
          <t>Different</t>
        </is>
      </c>
      <c r="H24" s="3" t="inlineStr">
        <is>
          <t>O-01</t>
        </is>
      </c>
      <c r="I24" s="3" t="inlineStr">
        <is>
          <t>Original plant data (plant_base.csv, synthetic)</t>
        </is>
      </c>
    </row>
    <row r="25">
      <c r="A25" s="2" t="inlineStr">
        <is>
          <t>OPS-006</t>
        </is>
      </c>
      <c r="B25" s="3" t="inlineStr">
        <is>
          <t>OEE · Group weighted (same measure as PLT-002)</t>
        </is>
      </c>
      <c r="C25" s="3" t="inlineStr">
        <is>
          <t>%</t>
        </is>
      </c>
      <c r="D25" s="3" t="inlineStr">
        <is>
          <t>Good output ÷ Ideal output × 100 (weighted by output, not an average of plants)</t>
        </is>
      </c>
      <c r="E25" s="21">
        <f>'Owner KPIs'!K25</f>
        <v/>
      </c>
      <c r="F25" s="3" t="inlineStr">
        <is>
          <t>Not on a screen</t>
        </is>
      </c>
      <c r="G25" s="5" t="inlineStr">
        <is>
          <t>—</t>
        </is>
      </c>
      <c r="H25" s="3" t="inlineStr">
        <is>
          <t>—</t>
        </is>
      </c>
      <c r="I25" s="3" t="inlineStr">
        <is>
          <t>Original plant data (plant_base.csv, synthetic)</t>
        </is>
      </c>
    </row>
    <row r="26">
      <c r="A26" s="2" t="inlineStr">
        <is>
          <t>OPS-002</t>
        </is>
      </c>
      <c r="B26" s="3" t="inlineStr">
        <is>
          <t>Sales vs plan</t>
        </is>
      </c>
      <c r="C26" s="3" t="inlineStr">
        <is>
          <t>%</t>
        </is>
      </c>
      <c r="D26" s="3" t="inlineStr">
        <is>
          <t>Sales volume ÷ Planned sales volume × 100</t>
        </is>
      </c>
      <c r="E26" s="21">
        <f>'Owner KPIs'!K26</f>
        <v/>
      </c>
      <c r="F26" s="3" t="inlineStr">
        <is>
          <t>97.6%</t>
        </is>
      </c>
      <c r="G26" s="5" t="inlineStr">
        <is>
          <t>Different</t>
        </is>
      </c>
      <c r="H26" s="3" t="inlineStr">
        <is>
          <t>O-01, STATE GALLERY · O-01 + S-02, O-01 · large display ≥ 1600</t>
        </is>
      </c>
      <c r="I26" s="3" t="inlineStr">
        <is>
          <t>Synthetic inputs added for this model</t>
        </is>
      </c>
    </row>
    <row r="27">
      <c r="A27" s="2" t="inlineStr">
        <is>
          <t>OPS-004</t>
        </is>
      </c>
      <c r="B27" s="3" t="inlineStr">
        <is>
          <t>Sales vs plan · Group (same measure as OPS-002)</t>
        </is>
      </c>
      <c r="C27" s="3" t="inlineStr">
        <is>
          <t>%</t>
        </is>
      </c>
      <c r="D27" s="3" t="inlineStr">
        <is>
          <t>Sales volume ÷ Planned sales volume × 100</t>
        </is>
      </c>
      <c r="E27" s="21">
        <f>'Owner KPIs'!K27</f>
        <v/>
      </c>
      <c r="F27" s="3" t="inlineStr">
        <is>
          <t>97.6%</t>
        </is>
      </c>
      <c r="G27" s="5" t="inlineStr">
        <is>
          <t>Different</t>
        </is>
      </c>
      <c r="H27" s="3" t="inlineStr">
        <is>
          <t>O-01</t>
        </is>
      </c>
      <c r="I27" s="3" t="inlineStr">
        <is>
          <t>Synthetic inputs added for this model</t>
        </is>
      </c>
    </row>
    <row r="28">
      <c r="A28" s="2" t="inlineStr">
        <is>
          <t>CST-004</t>
        </is>
      </c>
      <c r="B28" s="3" t="inlineStr">
        <is>
          <t>Power cost per tonne</t>
        </is>
      </c>
      <c r="C28" s="3" t="inlineStr">
        <is>
          <t>₹/t</t>
        </is>
      </c>
      <c r="D28" s="3" t="inlineStr">
        <is>
          <t>Power cost × 1000 ÷ Good output</t>
        </is>
      </c>
      <c r="E28" s="21">
        <f>'Owner KPIs'!K28</f>
        <v/>
      </c>
      <c r="F28" s="3" t="inlineStr">
        <is>
          <t>Not on a screen</t>
        </is>
      </c>
      <c r="G28" s="5" t="inlineStr">
        <is>
          <t>—</t>
        </is>
      </c>
      <c r="H28" s="3" t="inlineStr">
        <is>
          <t>—</t>
        </is>
      </c>
      <c r="I28" s="3" t="inlineStr">
        <is>
          <t>Original plant data + synthetic inputs added for this model</t>
        </is>
      </c>
    </row>
    <row r="29">
      <c r="A29" s="2" t="inlineStr">
        <is>
          <t>FIN-001</t>
        </is>
      </c>
      <c r="B29" s="3" t="inlineStr">
        <is>
          <t>EBITDA YTD</t>
        </is>
      </c>
      <c r="C29" s="3" t="inlineStr">
        <is>
          <t>₹ m</t>
        </is>
      </c>
      <c r="D29" s="3" t="inlineStr">
        <is>
          <t>Sum of monthly EBITDA since April ÷ 1000  [Year to date]</t>
        </is>
      </c>
      <c r="E29" s="21">
        <f>'Owner KPIs'!K29</f>
        <v/>
      </c>
      <c r="F29" s="3" t="inlineStr">
        <is>
          <t>361.3 ₹ m</t>
        </is>
      </c>
      <c r="G29" s="5" t="inlineStr">
        <is>
          <t>Different</t>
        </is>
      </c>
      <c r="H29" s="3" t="inlineStr">
        <is>
          <t>O-01, STATE GALLERY · O-01 + S-02, O-01 · large display ≥ 1600</t>
        </is>
      </c>
      <c r="I29" s="3" t="inlineStr">
        <is>
          <t>Original plant data + synthetic inputs added for this model</t>
        </is>
      </c>
    </row>
    <row r="30">
      <c r="A30" s="2" t="inlineStr">
        <is>
          <t>FIN-002</t>
        </is>
      </c>
      <c r="B30" s="3" t="inlineStr">
        <is>
          <t>EBIT YTD</t>
        </is>
      </c>
      <c r="C30" s="3" t="inlineStr">
        <is>
          <t>₹ m</t>
        </is>
      </c>
      <c r="D30" s="3" t="inlineStr">
        <is>
          <t>Sum of monthly EBIT since April ÷ 1000  [Year to date]</t>
        </is>
      </c>
      <c r="E30" s="21">
        <f>'Owner KPIs'!K30</f>
        <v/>
      </c>
      <c r="F30" s="3" t="inlineStr">
        <is>
          <t>238.4 ₹ m</t>
        </is>
      </c>
      <c r="G30" s="5" t="inlineStr">
        <is>
          <t>Different</t>
        </is>
      </c>
      <c r="H30" s="3" t="inlineStr">
        <is>
          <t>O-01, STATE GALLERY · O-01 + S-02, O-01 · large display ≥ 1600</t>
        </is>
      </c>
      <c r="I30" s="3" t="inlineStr">
        <is>
          <t>Original plant data + synthetic inputs added for this model</t>
        </is>
      </c>
    </row>
    <row r="31">
      <c r="A31" s="2" t="inlineStr">
        <is>
          <t>FIN-003</t>
        </is>
      </c>
      <c r="B31" s="3" t="inlineStr">
        <is>
          <t>Revenue YTD</t>
        </is>
      </c>
      <c r="C31" s="3" t="inlineStr">
        <is>
          <t>₹ m</t>
        </is>
      </c>
      <c r="D31" s="3" t="inlineStr">
        <is>
          <t>Sum of monthly Revenue since April ÷ 1000  [Year to date]</t>
        </is>
      </c>
      <c r="E31" s="21">
        <f>'Owner KPIs'!K31</f>
        <v/>
      </c>
      <c r="F31" s="3" t="inlineStr">
        <is>
          <t>2,410 ₹ m</t>
        </is>
      </c>
      <c r="G31" s="5" t="inlineStr">
        <is>
          <t>Different</t>
        </is>
      </c>
      <c r="H31" s="3" t="inlineStr">
        <is>
          <t>O-01, STATE GALLERY · O-01 + S-02, O-01 · large display ≥ 1600</t>
        </is>
      </c>
      <c r="I31" s="3" t="inlineStr">
        <is>
          <t>Synthetic inputs added for this model</t>
        </is>
      </c>
    </row>
    <row r="32">
      <c r="A32" s="2" t="inlineStr">
        <is>
          <t>FIN-004</t>
        </is>
      </c>
      <c r="B32" s="3" t="inlineStr">
        <is>
          <t>Free cash flow YTD</t>
        </is>
      </c>
      <c r="C32" s="3" t="inlineStr">
        <is>
          <t>₹ m</t>
        </is>
      </c>
      <c r="D32" s="3" t="inlineStr">
        <is>
          <t>Sum of monthly Free cash flow since April ÷ 1000  [Year to date]</t>
        </is>
      </c>
      <c r="E32" s="21">
        <f>'Owner KPIs'!K32</f>
        <v/>
      </c>
      <c r="F32" s="3" t="inlineStr">
        <is>
          <t>96.4 ₹ m</t>
        </is>
      </c>
      <c r="G32" s="5" t="inlineStr">
        <is>
          <t>Different</t>
        </is>
      </c>
      <c r="H32" s="3" t="inlineStr">
        <is>
          <t>O-01, O-01 · large display ≥ 1600, STATE GALLERY · O-01 + S-02</t>
        </is>
      </c>
      <c r="I32" s="3" t="inlineStr">
        <is>
          <t>Original plant data + synthetic inputs added for this model</t>
        </is>
      </c>
    </row>
    <row r="33">
      <c r="A33" s="2" t="inlineStr">
        <is>
          <t>FIN-005</t>
        </is>
      </c>
      <c r="B33" s="3" t="inlineStr">
        <is>
          <t>ROCE, annualised</t>
        </is>
      </c>
      <c r="C33" s="3" t="inlineStr">
        <is>
          <t>%</t>
        </is>
      </c>
      <c r="D33" s="3" t="inlineStr">
        <is>
          <t>EBIT since April × 12 ÷ months elapsed ÷ Capital employed × 100  [Year to date]</t>
        </is>
      </c>
      <c r="E33" s="21">
        <f>'Owner KPIs'!K33</f>
        <v/>
      </c>
      <c r="F33" s="3" t="inlineStr">
        <is>
          <t>11.8 %; 11.8%</t>
        </is>
      </c>
      <c r="G33" s="5" t="inlineStr">
        <is>
          <t>Different</t>
        </is>
      </c>
      <c r="H33" s="3" t="inlineStr">
        <is>
          <t>O-01, STATE GALLERY · O-01 + S-02, O-01 · large display ≥ 1600</t>
        </is>
      </c>
      <c r="I33" s="3" t="inlineStr">
        <is>
          <t>Original plant data + synthetic inputs added for this model</t>
        </is>
      </c>
    </row>
    <row r="34">
      <c r="A34" s="2" t="inlineStr">
        <is>
          <t>FIN-006</t>
        </is>
      </c>
      <c r="B34" s="3" t="inlineStr">
        <is>
          <t>Net debt</t>
        </is>
      </c>
      <c r="C34" s="3" t="inlineStr">
        <is>
          <t>₹ m</t>
        </is>
      </c>
      <c r="D34" s="3" t="inlineStr">
        <is>
          <t>(Gross debt − Cash) ÷ 1000  [Month end]</t>
        </is>
      </c>
      <c r="E34" s="21">
        <f>'Owner KPIs'!K34</f>
        <v/>
      </c>
      <c r="F34" s="3" t="inlineStr">
        <is>
          <t>6,650.0 ₹ m</t>
        </is>
      </c>
      <c r="G34" s="5" t="inlineStr">
        <is>
          <t>Same</t>
        </is>
      </c>
      <c r="H34" s="3" t="inlineStr">
        <is>
          <t>O-01, O-01 · large display ≥ 1600, O-03, STATE GALLERY · O-01 + S-02</t>
        </is>
      </c>
      <c r="I34" s="3" t="inlineStr">
        <is>
          <t>Synthetic inputs added for this model</t>
        </is>
      </c>
    </row>
    <row r="35">
      <c r="A35" s="2" t="inlineStr">
        <is>
          <t>FIN-007</t>
        </is>
      </c>
      <c r="B35" s="3" t="inlineStr">
        <is>
          <t>Shareholder-value indicator (economic profit YTD)</t>
        </is>
      </c>
      <c r="C35" s="3" t="inlineStr">
        <is>
          <t>₹ m</t>
        </is>
      </c>
      <c r="D35" s="3" t="inlineStr">
        <is>
          <t>(EBIT since April × (1 − Tax rate) − Capital employed × Cost of capital × months elapsed ÷ 12) ÷ 1000  [Year to date]</t>
        </is>
      </c>
      <c r="E35" s="21">
        <f>'Owner KPIs'!K35</f>
        <v/>
      </c>
      <c r="F35" s="3" t="inlineStr">
        <is>
          <t>[PLACEHOLDER]</t>
        </is>
      </c>
      <c r="G35" s="5" t="inlineStr">
        <is>
          <t>Different</t>
        </is>
      </c>
      <c r="H35" s="3" t="inlineStr">
        <is>
          <t>O-01, STATE GALLERY · O-01 + S-02, O-01 · large display ≥ 1600</t>
        </is>
      </c>
      <c r="I35" s="3" t="inlineStr">
        <is>
          <t>Original plant data + synthetic inputs added for this model</t>
        </is>
      </c>
    </row>
    <row r="36">
      <c r="A36" s="2" t="inlineStr">
        <is>
          <t>CSH-001</t>
        </is>
      </c>
      <c r="B36" s="3" t="inlineStr">
        <is>
          <t>Cash position</t>
        </is>
      </c>
      <c r="C36" s="3" t="inlineStr">
        <is>
          <t>₹ m</t>
        </is>
      </c>
      <c r="D36" s="3" t="inlineStr">
        <is>
          <t>Cash ÷ 1000  [Month end]</t>
        </is>
      </c>
      <c r="E36" s="21">
        <f>'Owner KPIs'!K36</f>
        <v/>
      </c>
      <c r="F36" s="3" t="inlineStr">
        <is>
          <t>2,141.8 ₹ m</t>
        </is>
      </c>
      <c r="G36" s="5" t="inlineStr">
        <is>
          <t>Same</t>
        </is>
      </c>
      <c r="H36" s="3" t="inlineStr">
        <is>
          <t>O-03</t>
        </is>
      </c>
      <c r="I36" s="3" t="inlineStr">
        <is>
          <t>Synthetic inputs added for this model</t>
        </is>
      </c>
    </row>
    <row r="37">
      <c r="A37" s="2" t="inlineStr">
        <is>
          <t>CSH-002</t>
        </is>
      </c>
      <c r="B37" s="3" t="inlineStr">
        <is>
          <t>Cash released YTD</t>
        </is>
      </c>
      <c r="C37" s="3" t="inlineStr">
        <is>
          <t>₹ m</t>
        </is>
      </c>
      <c r="D37" s="3" t="inlineStr">
        <is>
          <t>Sum of cash released since April ÷ 1000  [Year to date]</t>
        </is>
      </c>
      <c r="E37" s="21">
        <f>'Owner KPIs'!K37</f>
        <v/>
      </c>
      <c r="F37" s="3" t="inlineStr">
        <is>
          <t>Not on a screen</t>
        </is>
      </c>
      <c r="G37" s="5" t="inlineStr">
        <is>
          <t>—</t>
        </is>
      </c>
      <c r="H37" s="3" t="inlineStr">
        <is>
          <t>—</t>
        </is>
      </c>
      <c r="I37" s="3" t="inlineStr">
        <is>
          <t>Synthetic inputs added for this model</t>
        </is>
      </c>
    </row>
    <row r="38">
      <c r="A38" s="2" t="inlineStr">
        <is>
          <t>CSH-003</t>
        </is>
      </c>
      <c r="B38" s="3" t="inlineStr">
        <is>
          <t>Daily collections</t>
        </is>
      </c>
      <c r="C38" s="3" t="inlineStr">
        <is>
          <t>₹ m per day</t>
        </is>
      </c>
      <c r="D38" s="3" t="inlineStr">
        <is>
          <t>Cash collected ÷ Days in month ÷ 1000</t>
        </is>
      </c>
      <c r="E38" s="21">
        <f>'Owner KPIs'!K38</f>
        <v/>
      </c>
      <c r="F38" s="3" t="inlineStr">
        <is>
          <t>₹18.6 m</t>
        </is>
      </c>
      <c r="G38" s="5" t="inlineStr">
        <is>
          <t>Different</t>
        </is>
      </c>
      <c r="H38" s="3" t="inlineStr">
        <is>
          <t>S-11</t>
        </is>
      </c>
      <c r="I38" s="3" t="inlineStr">
        <is>
          <t>Synthetic inputs added for this model</t>
        </is>
      </c>
    </row>
    <row r="39">
      <c r="A39" s="2" t="inlineStr">
        <is>
          <t>CSH-004</t>
        </is>
      </c>
      <c r="B39" s="3" t="inlineStr">
        <is>
          <t>Cash-conversion cycle</t>
        </is>
      </c>
      <c r="C39" s="3" t="inlineStr">
        <is>
          <t>days</t>
        </is>
      </c>
      <c r="D39" s="3" t="inlineStr">
        <is>
          <t>DSO + Inventory days − DPO  [Month end]</t>
        </is>
      </c>
      <c r="E39" s="21">
        <f>'Owner KPIs'!K39</f>
        <v/>
      </c>
      <c r="F39" s="3" t="inlineStr">
        <is>
          <t>Not on a screen</t>
        </is>
      </c>
      <c r="G39" s="7" t="inlineStr">
        <is>
          <t>—</t>
        </is>
      </c>
      <c r="H39" s="3" t="inlineStr">
        <is>
          <t>—</t>
        </is>
      </c>
      <c r="I39" s="3" t="inlineStr">
        <is>
          <t>Original plant data + synthetic inputs added for this model</t>
        </is>
      </c>
    </row>
    <row r="40">
      <c r="A40" s="2" t="inlineStr">
        <is>
          <t>CSH-006</t>
        </is>
      </c>
      <c r="B40" s="3" t="inlineStr">
        <is>
          <t>Cash-upstream exposure</t>
        </is>
      </c>
      <c r="C40" s="3" t="inlineStr">
        <is>
          <t>₹ m</t>
        </is>
      </c>
      <c r="D40" s="3" t="inlineStr">
        <is>
          <t>(Cash due to be upstreamed − Amount covered by available cash) ÷ 1000  [Next 30 days]</t>
        </is>
      </c>
      <c r="E40" s="21">
        <f>'Owner KPIs'!K40</f>
        <v/>
      </c>
      <c r="F40" s="3" t="inlineStr">
        <is>
          <t>27.2 ₹ m</t>
        </is>
      </c>
      <c r="G40" s="5" t="inlineStr">
        <is>
          <t>Same</t>
        </is>
      </c>
      <c r="H40" s="3" t="inlineStr">
        <is>
          <t>O-03, S-11</t>
        </is>
      </c>
      <c r="I40" s="3" t="inlineStr">
        <is>
          <t>Synthetic inputs added for this model</t>
        </is>
      </c>
    </row>
    <row r="41">
      <c r="A41" s="2" t="inlineStr">
        <is>
          <t>WCP-001</t>
        </is>
      </c>
      <c r="B41" s="3" t="inlineStr">
        <is>
          <t>DSO</t>
        </is>
      </c>
      <c r="C41" s="3" t="inlineStr">
        <is>
          <t>days</t>
        </is>
      </c>
      <c r="D41" s="3" t="inlineStr">
        <is>
          <t>Trade receivables ÷ Revenue × Days in month  [Month end]</t>
        </is>
      </c>
      <c r="E41" s="21">
        <f>'Owner KPIs'!K41</f>
        <v/>
      </c>
      <c r="F41" s="3" t="inlineStr">
        <is>
          <t>47.0 days</t>
        </is>
      </c>
      <c r="G41" s="7" t="inlineStr">
        <is>
          <t>Same</t>
        </is>
      </c>
      <c r="H41" s="3" t="inlineStr">
        <is>
          <t>O-03, S-11</t>
        </is>
      </c>
      <c r="I41" s="3" t="inlineStr">
        <is>
          <t>Synthetic inputs added for this model</t>
        </is>
      </c>
    </row>
    <row r="42">
      <c r="A42" s="2" t="inlineStr">
        <is>
          <t>WCP-002</t>
        </is>
      </c>
      <c r="B42" s="3" t="inlineStr">
        <is>
          <t>DPO</t>
        </is>
      </c>
      <c r="C42" s="3" t="inlineStr">
        <is>
          <t>days</t>
        </is>
      </c>
      <c r="D42" s="3" t="inlineStr">
        <is>
          <t>Trade payables ÷ Variable cost × Days in month  [Month end]</t>
        </is>
      </c>
      <c r="E42" s="21">
        <f>'Owner KPIs'!K42</f>
        <v/>
      </c>
      <c r="F42" s="3" t="inlineStr">
        <is>
          <t>Not on a screen</t>
        </is>
      </c>
      <c r="G42" s="7" t="inlineStr">
        <is>
          <t>—</t>
        </is>
      </c>
      <c r="H42" s="3" t="inlineStr">
        <is>
          <t>—</t>
        </is>
      </c>
      <c r="I42" s="3" t="inlineStr">
        <is>
          <t>Original plant data + synthetic inputs added for this model</t>
        </is>
      </c>
    </row>
    <row r="43">
      <c r="A43" s="2" t="inlineStr">
        <is>
          <t>WCP-003</t>
        </is>
      </c>
      <c r="B43" s="3" t="inlineStr">
        <is>
          <t>Inventory days</t>
        </is>
      </c>
      <c r="C43" s="3" t="inlineStr">
        <is>
          <t>days</t>
        </is>
      </c>
      <c r="D43" s="3" t="inlineStr">
        <is>
          <t>Inventory ÷ Variable cost × Days in month  [Month end]</t>
        </is>
      </c>
      <c r="E43" s="21">
        <f>'Owner KPIs'!K43</f>
        <v/>
      </c>
      <c r="F43" s="3" t="inlineStr">
        <is>
          <t>Not on a screen</t>
        </is>
      </c>
      <c r="G43" s="7" t="inlineStr">
        <is>
          <t>—</t>
        </is>
      </c>
      <c r="H43" s="3" t="inlineStr">
        <is>
          <t>—</t>
        </is>
      </c>
      <c r="I43" s="3" t="inlineStr">
        <is>
          <t>Original plant data + synthetic inputs added for this model</t>
        </is>
      </c>
    </row>
    <row r="44">
      <c r="A44" s="2" t="inlineStr">
        <is>
          <t>WCP-004</t>
        </is>
      </c>
      <c r="B44" s="3" t="inlineStr">
        <is>
          <t>Net working capital</t>
        </is>
      </c>
      <c r="C44" s="3" t="inlineStr">
        <is>
          <t>₹ m</t>
        </is>
      </c>
      <c r="D44" s="3" t="inlineStr">
        <is>
          <t>(Trade receivables + Inventory − Trade payables) ÷ 1000  [Month end]</t>
        </is>
      </c>
      <c r="E44" s="21">
        <f>'Owner KPIs'!K44</f>
        <v/>
      </c>
      <c r="F44" s="3" t="inlineStr">
        <is>
          <t>2,781.0 ₹ m</t>
        </is>
      </c>
      <c r="G44" s="5" t="inlineStr">
        <is>
          <t>Same</t>
        </is>
      </c>
      <c r="H44" s="3" t="inlineStr">
        <is>
          <t>O-03</t>
        </is>
      </c>
      <c r="I44" s="3" t="inlineStr">
        <is>
          <t>Synthetic inputs added for this model</t>
        </is>
      </c>
    </row>
    <row r="45">
      <c r="A45" s="2" t="inlineStr">
        <is>
          <t>WCP-005</t>
        </is>
      </c>
      <c r="B45" s="3" t="inlineStr">
        <is>
          <t>Working-capital movement</t>
        </is>
      </c>
      <c r="C45" s="3" t="inlineStr">
        <is>
          <t>₹ m</t>
        </is>
      </c>
      <c r="D45" s="3" t="inlineStr">
        <is>
          <t>(Net working capital − last month's net working capital) ÷ 1000; positive = cash tied up</t>
        </is>
      </c>
      <c r="E45" s="21">
        <f>'Owner KPIs'!K45</f>
        <v/>
      </c>
      <c r="F45" s="3" t="inlineStr">
        <is>
          <t>Not on a screen</t>
        </is>
      </c>
      <c r="G45" s="5" t="inlineStr">
        <is>
          <t>—</t>
        </is>
      </c>
      <c r="H45" s="3" t="inlineStr">
        <is>
          <t>—</t>
        </is>
      </c>
      <c r="I45" s="3" t="inlineStr">
        <is>
          <t>Synthetic inputs added for this model</t>
        </is>
      </c>
    </row>
    <row r="46">
      <c r="A46" s="2" t="inlineStr">
        <is>
          <t>WCP-006</t>
        </is>
      </c>
      <c r="B46" s="3" t="inlineStr">
        <is>
          <t>Working-capital days</t>
        </is>
      </c>
      <c r="C46" s="3" t="inlineStr">
        <is>
          <t>days</t>
        </is>
      </c>
      <c r="D46" s="3" t="inlineStr">
        <is>
          <t>Net working capital ÷ Revenue × Days in month  [Month end]</t>
        </is>
      </c>
      <c r="E46" s="21">
        <f>'Owner KPIs'!K46</f>
        <v/>
      </c>
      <c r="F46" s="3" t="inlineStr">
        <is>
          <t>Not on a screen</t>
        </is>
      </c>
      <c r="G46" s="5" t="inlineStr">
        <is>
          <t>—</t>
        </is>
      </c>
      <c r="H46" s="3" t="inlineStr">
        <is>
          <t>—</t>
        </is>
      </c>
      <c r="I46" s="3" t="inlineStr">
        <is>
          <t>Synthetic inputs added for this model</t>
        </is>
      </c>
    </row>
    <row r="47">
      <c r="A47" s="2" t="inlineStr">
        <is>
          <t>LIQ-001</t>
        </is>
      </c>
      <c r="B47" s="3" t="inlineStr">
        <is>
          <t>Liquidity runway</t>
        </is>
      </c>
      <c r="C47" s="3" t="inlineStr">
        <is>
          <t>months</t>
        </is>
      </c>
      <c r="D47" s="3" t="inlineStr">
        <is>
          <t>(Cash + Undrawn facilities) ÷ (Fixed cost + Overheads + Debt service) per month  [Month end]</t>
        </is>
      </c>
      <c r="E47" s="21">
        <f>'Owner KPIs'!K47</f>
        <v/>
      </c>
      <c r="F47" s="3" t="inlineStr">
        <is>
          <t>16.7 months</t>
        </is>
      </c>
      <c r="G47" s="5" t="inlineStr">
        <is>
          <t>Same</t>
        </is>
      </c>
      <c r="H47" s="3" t="inlineStr">
        <is>
          <t>O-03</t>
        </is>
      </c>
      <c r="I47" s="3" t="inlineStr">
        <is>
          <t>Original plant data + synthetic inputs added for this model</t>
        </is>
      </c>
    </row>
    <row r="48">
      <c r="A48" s="2" t="inlineStr">
        <is>
          <t>LIQ-002</t>
        </is>
      </c>
      <c r="B48" s="3" t="inlineStr">
        <is>
          <t>Covenant headroom</t>
        </is>
      </c>
      <c r="C48" s="3" t="inlineStr">
        <is>
          <t>%</t>
        </is>
      </c>
      <c r="D48" s="3" t="inlineStr">
        <is>
          <t>(Covenant limit − Net debt ÷ Annualised EBITDA) ÷ Covenant limit × 100  [Month end]</t>
        </is>
      </c>
      <c r="E48" s="21">
        <f>'Owner KPIs'!K48</f>
        <v/>
      </c>
      <c r="F48" s="3" t="inlineStr">
        <is>
          <t>Not on a screen</t>
        </is>
      </c>
      <c r="G48" s="5" t="inlineStr">
        <is>
          <t>—</t>
        </is>
      </c>
      <c r="H48" s="3" t="inlineStr">
        <is>
          <t>—</t>
        </is>
      </c>
      <c r="I48" s="3" t="inlineStr">
        <is>
          <t>Original plant data + synthetic inputs added for this model</t>
        </is>
      </c>
    </row>
    <row r="49">
      <c r="A49" s="2" t="inlineStr">
        <is>
          <t>LIQ-003</t>
        </is>
      </c>
      <c r="B49" s="3" t="inlineStr">
        <is>
          <t>Debt-maturity exposure, next 12 months</t>
        </is>
      </c>
      <c r="C49" s="3" t="inlineStr">
        <is>
          <t>₹ m</t>
        </is>
      </c>
      <c r="D49" s="3" t="inlineStr">
        <is>
          <t>Debt maturing in next 12 months ÷ 1000  [Month end]</t>
        </is>
      </c>
      <c r="E49" s="21">
        <f>'Owner KPIs'!K49</f>
        <v/>
      </c>
      <c r="F49" s="3" t="inlineStr">
        <is>
          <t>891.4 ₹ m</t>
        </is>
      </c>
      <c r="G49" s="5" t="inlineStr">
        <is>
          <t>Same</t>
        </is>
      </c>
      <c r="H49" s="3" t="inlineStr">
        <is>
          <t>O-03</t>
        </is>
      </c>
      <c r="I49" s="3" t="inlineStr">
        <is>
          <t>Synthetic inputs added for this model</t>
        </is>
      </c>
    </row>
    <row r="50">
      <c r="A50" s="2" t="inlineStr">
        <is>
          <t>LIQ-004</t>
        </is>
      </c>
      <c r="B50" s="3" t="inlineStr">
        <is>
          <t>Financing exposure (floating-rate debt)</t>
        </is>
      </c>
      <c r="C50" s="3" t="inlineStr">
        <is>
          <t>₹ m</t>
        </is>
      </c>
      <c r="D50" s="3" t="inlineStr">
        <is>
          <t>Floating-rate debt ÷ 1000  [Month end]</t>
        </is>
      </c>
      <c r="E50" s="21">
        <f>'Owner KPIs'!K50</f>
        <v/>
      </c>
      <c r="F50" s="3" t="inlineStr">
        <is>
          <t>2,720.8 ₹ m</t>
        </is>
      </c>
      <c r="G50" s="5" t="inlineStr">
        <is>
          <t>Same</t>
        </is>
      </c>
      <c r="H50" s="3" t="inlineStr">
        <is>
          <t>O-03</t>
        </is>
      </c>
      <c r="I50" s="3" t="inlineStr">
        <is>
          <t>Synthetic inputs added for this model</t>
        </is>
      </c>
    </row>
    <row r="51">
      <c r="A51" s="2" t="inlineStr">
        <is>
          <t>TRS-001</t>
        </is>
      </c>
      <c r="B51" s="3" t="inlineStr">
        <is>
          <t>FX exposure, unhedged</t>
        </is>
      </c>
      <c r="C51" s="3" t="inlineStr">
        <is>
          <t>₹ m</t>
        </is>
      </c>
      <c r="D51" s="3" t="inlineStr">
        <is>
          <t>(Foreign-currency exposure − Amount hedged) ÷ 1000  [Month end]</t>
        </is>
      </c>
      <c r="E51" s="21">
        <f>'Owner KPIs'!K51</f>
        <v/>
      </c>
      <c r="F51" s="3" t="inlineStr">
        <is>
          <t>Not on a screen</t>
        </is>
      </c>
      <c r="G51" s="5" t="inlineStr">
        <is>
          <t>—</t>
        </is>
      </c>
      <c r="H51" s="3" t="inlineStr">
        <is>
          <t>—</t>
        </is>
      </c>
      <c r="I51" s="3" t="inlineStr">
        <is>
          <t>Synthetic inputs added for this model</t>
        </is>
      </c>
    </row>
    <row r="52">
      <c r="A52" s="2" t="inlineStr">
        <is>
          <t>TRS-002</t>
        </is>
      </c>
      <c r="B52" s="3" t="inlineStr">
        <is>
          <t>Hedging effectiveness</t>
        </is>
      </c>
      <c r="C52" s="3" t="inlineStr">
        <is>
          <t>%</t>
        </is>
      </c>
      <c r="D52" s="3" t="inlineStr">
        <is>
          <t>Change in value of hedges ÷ Change in value of hedged items × 100</t>
        </is>
      </c>
      <c r="E52" s="21">
        <f>'Owner KPIs'!K52</f>
        <v/>
      </c>
      <c r="F52" s="3" t="inlineStr">
        <is>
          <t>Not on a screen</t>
        </is>
      </c>
      <c r="G52" s="5" t="inlineStr">
        <is>
          <t>—</t>
        </is>
      </c>
      <c r="H52" s="3" t="inlineStr">
        <is>
          <t>—</t>
        </is>
      </c>
      <c r="I52" s="3" t="inlineStr">
        <is>
          <t>Synthetic inputs added for this model</t>
        </is>
      </c>
    </row>
    <row r="53">
      <c r="A53" s="2" t="inlineStr">
        <is>
          <t>TRS-003</t>
        </is>
      </c>
      <c r="B53" s="3" t="inlineStr">
        <is>
          <t>USD share of unhedged FX exposure</t>
        </is>
      </c>
      <c r="C53" s="3" t="inlineStr">
        <is>
          <t>%</t>
        </is>
      </c>
      <c r="D53" s="3" t="inlineStr">
        <is>
          <t>(USD exposure − USD hedged) ÷ (FX exposure − FX hedged) × 100  [Month end]</t>
        </is>
      </c>
      <c r="E53" s="21">
        <f>'Owner KPIs'!K53</f>
        <v/>
      </c>
      <c r="F53" s="3" t="inlineStr">
        <is>
          <t>Not on a screen</t>
        </is>
      </c>
      <c r="G53" s="5" t="inlineStr">
        <is>
          <t>—</t>
        </is>
      </c>
      <c r="H53" s="3" t="inlineStr">
        <is>
          <t>—</t>
        </is>
      </c>
      <c r="I53" s="3" t="inlineStr">
        <is>
          <t>Synthetic inputs added for this model</t>
        </is>
      </c>
    </row>
    <row r="54">
      <c r="A54" s="2" t="inlineStr">
        <is>
          <t>TRS-004</t>
        </is>
      </c>
      <c r="B54" s="3" t="inlineStr">
        <is>
          <t>Hedge cover, next 6 months</t>
        </is>
      </c>
      <c r="C54" s="3" t="inlineStr">
        <is>
          <t>%</t>
        </is>
      </c>
      <c r="D54" s="3" t="inlineStr">
        <is>
          <t>Foreign-currency flows hedged ÷ Forecast foreign-currency flows, next 6 months × 100  [Next 6 months]</t>
        </is>
      </c>
      <c r="E54" s="21">
        <f>'Owner KPIs'!K54</f>
        <v/>
      </c>
      <c r="F54" s="3" t="inlineStr">
        <is>
          <t>70.7 %</t>
        </is>
      </c>
      <c r="G54" s="5" t="inlineStr">
        <is>
          <t>Same</t>
        </is>
      </c>
      <c r="H54" s="3" t="inlineStr">
        <is>
          <t>O-03</t>
        </is>
      </c>
      <c r="I54" s="3" t="inlineStr">
        <is>
          <t>Synthetic inputs added for this model</t>
        </is>
      </c>
    </row>
    <row r="55">
      <c r="A55" s="2" t="inlineStr">
        <is>
          <t>TRS-005</t>
        </is>
      </c>
      <c r="B55" s="3" t="inlineStr">
        <is>
          <t>FX sensitivity, 5% USD move</t>
        </is>
      </c>
      <c r="C55" s="3" t="inlineStr">
        <is>
          <t>₹ m</t>
        </is>
      </c>
      <c r="D55" s="3" t="inlineStr">
        <is>
          <t>5% × (USD exposure − USD hedged) ÷ 1000  [Month end]</t>
        </is>
      </c>
      <c r="E55" s="21">
        <f>'Owner KPIs'!K55</f>
        <v/>
      </c>
      <c r="F55" s="3" t="inlineStr">
        <is>
          <t>Not on a screen</t>
        </is>
      </c>
      <c r="G55" s="5" t="inlineStr">
        <is>
          <t>—</t>
        </is>
      </c>
      <c r="H55" s="3" t="inlineStr">
        <is>
          <t>—</t>
        </is>
      </c>
      <c r="I55" s="3" t="inlineStr">
        <is>
          <t>Synthetic inputs added for this model</t>
        </is>
      </c>
    </row>
    <row r="56">
      <c r="A56" s="2" t="inlineStr">
        <is>
          <t>CPX-001</t>
        </is>
      </c>
      <c r="B56" s="3" t="inlineStr">
        <is>
          <t>Approved capex budget</t>
        </is>
      </c>
      <c r="C56" s="3" t="inlineStr">
        <is>
          <t>₹ m</t>
        </is>
      </c>
      <c r="D56" s="3" t="inlineStr">
        <is>
          <t>Approved capex budget ÷ 1000  [Full year]</t>
        </is>
      </c>
      <c r="E56" s="21">
        <f>'Owner KPIs'!K56</f>
        <v/>
      </c>
      <c r="F56" s="3" t="inlineStr">
        <is>
          <t>850 ₹ m</t>
        </is>
      </c>
      <c r="G56" s="5" t="inlineStr">
        <is>
          <t>Different</t>
        </is>
      </c>
      <c r="H56" s="3" t="inlineStr">
        <is>
          <t>O-04</t>
        </is>
      </c>
      <c r="I56" s="3" t="inlineStr">
        <is>
          <t>Synthetic inputs added for this model</t>
        </is>
      </c>
    </row>
    <row r="57">
      <c r="A57" s="2" t="inlineStr">
        <is>
          <t>CPX-002</t>
        </is>
      </c>
      <c r="B57" s="3" t="inlineStr">
        <is>
          <t>Committed capex</t>
        </is>
      </c>
      <c r="C57" s="3" t="inlineStr">
        <is>
          <t>₹ m</t>
        </is>
      </c>
      <c r="D57" s="3" t="inlineStr">
        <is>
          <t>Capex committed to date ÷ 1000  [To date]</t>
        </is>
      </c>
      <c r="E57" s="21">
        <f>'Owner KPIs'!K57</f>
        <v/>
      </c>
      <c r="F57" s="3" t="inlineStr">
        <is>
          <t>610 ₹ m · 72%</t>
        </is>
      </c>
      <c r="G57" s="5" t="inlineStr">
        <is>
          <t>Different</t>
        </is>
      </c>
      <c r="H57" s="3" t="inlineStr">
        <is>
          <t>O-04</t>
        </is>
      </c>
      <c r="I57" s="3" t="inlineStr">
        <is>
          <t>Synthetic inputs added for this model</t>
        </is>
      </c>
    </row>
    <row r="58">
      <c r="A58" s="2" t="inlineStr">
        <is>
          <t>CPX-003</t>
        </is>
      </c>
      <c r="B58" s="3" t="inlineStr">
        <is>
          <t>Capex actual spend YTD</t>
        </is>
      </c>
      <c r="C58" s="3" t="inlineStr">
        <is>
          <t>₹ m</t>
        </is>
      </c>
      <c r="D58" s="3" t="inlineStr">
        <is>
          <t>Sum of capex spent since April ÷ 1000  [Year to date]</t>
        </is>
      </c>
      <c r="E58" s="21">
        <f>'Owner KPIs'!K58</f>
        <v/>
      </c>
      <c r="F58" s="3" t="inlineStr">
        <is>
          <t>402 ₹ m · 47%</t>
        </is>
      </c>
      <c r="G58" s="5" t="inlineStr">
        <is>
          <t>Different</t>
        </is>
      </c>
      <c r="H58" s="3" t="inlineStr">
        <is>
          <t>O-04</t>
        </is>
      </c>
      <c r="I58" s="3" t="inlineStr">
        <is>
          <t>Synthetic inputs added for this model</t>
        </is>
      </c>
    </row>
    <row r="59">
      <c r="A59" s="2" t="inlineStr">
        <is>
          <t>CPX-004</t>
        </is>
      </c>
      <c r="B59" s="3" t="inlineStr">
        <is>
          <t>Capex physical progress, weighted</t>
        </is>
      </c>
      <c r="C59" s="3" t="inlineStr">
        <is>
          <t>%</t>
        </is>
      </c>
      <c r="D59" s="3" t="inlineStr">
        <is>
          <t>Work completed valued at budget ÷ Approved budget × 100 (weights each project by its budget)  [To date]</t>
        </is>
      </c>
      <c r="E59" s="21">
        <f>'Owner KPIs'!K59</f>
        <v/>
      </c>
      <c r="F59" s="3" t="inlineStr">
        <is>
          <t>61 % weighted</t>
        </is>
      </c>
      <c r="G59" s="7" t="inlineStr">
        <is>
          <t>Same</t>
        </is>
      </c>
      <c r="H59" s="3" t="inlineStr">
        <is>
          <t>O-01, O-04, STATE GALLERY · O-01 + S-02, O-01 · large display ≥ 1600</t>
        </is>
      </c>
      <c r="I59" s="3" t="inlineStr">
        <is>
          <t>Synthetic inputs added for this model</t>
        </is>
      </c>
    </row>
    <row r="60">
      <c r="A60" s="2" t="inlineStr">
        <is>
          <t>SIG-011</t>
        </is>
      </c>
      <c r="B60" s="3" t="inlineStr">
        <is>
          <t>Capex value at risk</t>
        </is>
      </c>
      <c r="C60" s="3" t="inlineStr">
        <is>
          <t>₹ m</t>
        </is>
      </c>
      <c r="D60" s="3" t="inlineStr">
        <is>
          <t>Budget of projects at risk ÷ 1000  [Month end]</t>
        </is>
      </c>
      <c r="E60" s="21">
        <f>'Owner KPIs'!K60</f>
        <v/>
      </c>
      <c r="F60" s="3" t="inlineStr">
        <is>
          <t>34 ₹ m; ₹34 m</t>
        </is>
      </c>
      <c r="G60" s="5" t="inlineStr">
        <is>
          <t>Different</t>
        </is>
      </c>
      <c r="H60" s="3" t="inlineStr">
        <is>
          <t>O-04</t>
        </is>
      </c>
      <c r="I60" s="3" t="inlineStr">
        <is>
          <t>Synthetic inputs added for this model</t>
        </is>
      </c>
    </row>
    <row r="61">
      <c r="A61" s="2" t="inlineStr">
        <is>
          <t>PRG-001</t>
        </is>
      </c>
      <c r="B61" s="3" t="inlineStr">
        <is>
          <t>Capex project status</t>
        </is>
      </c>
      <c r="C61" s="3" t="inlineStr">
        <is>
          <t>text</t>
        </is>
      </c>
      <c r="D61" s="3" t="inlineStr">
        <is>
          <t>Count of projects by status  [Month end]</t>
        </is>
      </c>
      <c r="E61" s="8">
        <f>'Owner KPIs'!K61</f>
        <v/>
      </c>
      <c r="F61" s="3" t="inlineStr">
        <is>
          <t>9 on track · 2 at risk · 0 off track</t>
        </is>
      </c>
      <c r="G61" s="7" t="inlineStr">
        <is>
          <t>Same</t>
        </is>
      </c>
      <c r="H61" s="3" t="inlineStr">
        <is>
          <t>O-04</t>
        </is>
      </c>
      <c r="I61" s="3" t="inlineStr">
        <is>
          <t>Synthetic inputs added for this model</t>
        </is>
      </c>
    </row>
    <row r="62">
      <c r="A62" s="2" t="inlineStr">
        <is>
          <t>PRG-002</t>
        </is>
      </c>
      <c r="B62" s="3" t="inlineStr">
        <is>
          <t>Benefits realisation</t>
        </is>
      </c>
      <c r="C62" s="3" t="inlineStr">
        <is>
          <t>%</t>
        </is>
      </c>
      <c r="D62" s="3" t="inlineStr">
        <is>
          <t>Benefits delivered since April ÷ Benefits planned since April × 100  [Year to date]</t>
        </is>
      </c>
      <c r="E62" s="21">
        <f>'Owner KPIs'!K62</f>
        <v/>
      </c>
      <c r="F62" s="3" t="inlineStr">
        <is>
          <t>48 % of plan</t>
        </is>
      </c>
      <c r="G62" s="7" t="inlineStr">
        <is>
          <t>Same</t>
        </is>
      </c>
      <c r="H62" s="3" t="inlineStr">
        <is>
          <t>O-04</t>
        </is>
      </c>
      <c r="I62" s="3" t="inlineStr">
        <is>
          <t>Synthetic inputs added for this model</t>
        </is>
      </c>
    </row>
    <row r="63">
      <c r="A63" s="2" t="inlineStr">
        <is>
          <t>PRG-003</t>
        </is>
      </c>
      <c r="B63" s="3" t="inlineStr">
        <is>
          <t>Delayed projects</t>
        </is>
      </c>
      <c r="C63" s="3" t="inlineStr">
        <is>
          <t>count</t>
        </is>
      </c>
      <c r="D63" s="3" t="inlineStr">
        <is>
          <t>Capex projects delayed  [Month end]</t>
        </is>
      </c>
      <c r="E63" s="21">
        <f>'Owner KPIs'!K63</f>
        <v/>
      </c>
      <c r="F63" s="3" t="inlineStr">
        <is>
          <t>1</t>
        </is>
      </c>
      <c r="G63" s="7" t="inlineStr">
        <is>
          <t>Same</t>
        </is>
      </c>
      <c r="H63" s="3" t="inlineStr">
        <is>
          <t>O-04</t>
        </is>
      </c>
      <c r="I63" s="3" t="inlineStr">
        <is>
          <t>Synthetic inputs added for this model</t>
        </is>
      </c>
    </row>
    <row r="64">
      <c r="A64" s="2" t="inlineStr">
        <is>
          <t>PRG-004</t>
        </is>
      </c>
      <c r="B64" s="3" t="inlineStr">
        <is>
          <t>Capex / transformation progress (same measure as STR-002)</t>
        </is>
      </c>
      <c r="C64" s="3" t="inlineStr">
        <is>
          <t>%</t>
        </is>
      </c>
      <c r="D64" s="3" t="inlineStr">
        <is>
          <t>Transformation milestones completed ÷ Milestones in plan × 100  [To date]</t>
        </is>
      </c>
      <c r="E64" s="21">
        <f>'Owner KPIs'!K64</f>
        <v/>
      </c>
      <c r="F64" s="3" t="inlineStr">
        <is>
          <t>54%</t>
        </is>
      </c>
      <c r="G64" s="7" t="inlineStr">
        <is>
          <t>Same</t>
        </is>
      </c>
      <c r="H64" s="3" t="inlineStr">
        <is>
          <t>O-01, O-04</t>
        </is>
      </c>
      <c r="I64" s="3" t="inlineStr">
        <is>
          <t>Synthetic inputs added for this model</t>
        </is>
      </c>
    </row>
    <row r="65">
      <c r="A65" s="2" t="inlineStr">
        <is>
          <t>STR-002</t>
        </is>
      </c>
      <c r="B65" s="3" t="inlineStr">
        <is>
          <t>Transformation progress</t>
        </is>
      </c>
      <c r="C65" s="3" t="inlineStr">
        <is>
          <t>%</t>
        </is>
      </c>
      <c r="D65" s="3" t="inlineStr">
        <is>
          <t>Transformation milestones completed ÷ Milestones in plan × 100  [To date]</t>
        </is>
      </c>
      <c r="E65" s="21">
        <f>'Owner KPIs'!K65</f>
        <v/>
      </c>
      <c r="F65" s="3" t="inlineStr">
        <is>
          <t>54%</t>
        </is>
      </c>
      <c r="G65" s="7" t="inlineStr">
        <is>
          <t>Same</t>
        </is>
      </c>
      <c r="H65" s="3" t="inlineStr">
        <is>
          <t>O-01, O-04, STATE GALLERY · O-01 + S-02, O-01 · large display ≥ 1600</t>
        </is>
      </c>
      <c r="I65" s="3" t="inlineStr">
        <is>
          <t>Synthetic inputs added for this model</t>
        </is>
      </c>
    </row>
    <row r="66">
      <c r="A66" s="2" t="inlineStr">
        <is>
          <t>PRG-005</t>
        </is>
      </c>
      <c r="B66" s="3" t="inlineStr">
        <is>
          <t>Transformation initiative status</t>
        </is>
      </c>
      <c r="C66" s="3" t="inlineStr">
        <is>
          <t>text</t>
        </is>
      </c>
      <c r="D66" s="3" t="inlineStr">
        <is>
          <t>Count of transformation initiatives by status  [Month end]</t>
        </is>
      </c>
      <c r="E66" s="8">
        <f>'Owner KPIs'!K66</f>
        <v/>
      </c>
      <c r="F66" s="3" t="inlineStr">
        <is>
          <t>15 on track · 6 at risk · 3 delayed</t>
        </is>
      </c>
      <c r="G66" s="7" t="inlineStr">
        <is>
          <t>Same</t>
        </is>
      </c>
      <c r="H66" s="3" t="inlineStr">
        <is>
          <t>O-04</t>
        </is>
      </c>
      <c r="I66" s="3" t="inlineStr">
        <is>
          <t>Synthetic inputs added for this model</t>
        </is>
      </c>
    </row>
    <row r="67">
      <c r="A67" s="2" t="inlineStr">
        <is>
          <t>VAL-001</t>
        </is>
      </c>
      <c r="B67" s="3" t="inlineStr">
        <is>
          <t>EBITDA benefit YTD</t>
        </is>
      </c>
      <c r="C67" s="3" t="inlineStr">
        <is>
          <t>₹ m</t>
        </is>
      </c>
      <c r="D67" s="3" t="inlineStr">
        <is>
          <t>Sum of EBITDA benefit since April ÷ 1000  [Year to date]</t>
        </is>
      </c>
      <c r="E67" s="21">
        <f>'Owner KPIs'!K67</f>
        <v/>
      </c>
      <c r="F67" s="3" t="inlineStr">
        <is>
          <t>₹14 m</t>
        </is>
      </c>
      <c r="G67" s="7" t="inlineStr">
        <is>
          <t>Same</t>
        </is>
      </c>
      <c r="H67" s="3" t="inlineStr">
        <is>
          <t>O-04</t>
        </is>
      </c>
      <c r="I67" s="3" t="inlineStr">
        <is>
          <t>Synthetic inputs added for this model</t>
        </is>
      </c>
    </row>
    <row r="68">
      <c r="A68" s="2" t="inlineStr">
        <is>
          <t>VAL-002</t>
        </is>
      </c>
      <c r="B68" s="3" t="inlineStr">
        <is>
          <t>Cash benefit YTD</t>
        </is>
      </c>
      <c r="C68" s="3" t="inlineStr">
        <is>
          <t>₹ m</t>
        </is>
      </c>
      <c r="D68" s="3" t="inlineStr">
        <is>
          <t>Sum of cash benefit since April ÷ 1000  [Year to date]</t>
        </is>
      </c>
      <c r="E68" s="21">
        <f>'Owner KPIs'!K68</f>
        <v/>
      </c>
      <c r="F68" s="3" t="inlineStr">
        <is>
          <t>₹9 m</t>
        </is>
      </c>
      <c r="G68" s="7" t="inlineStr">
        <is>
          <t>Same</t>
        </is>
      </c>
      <c r="H68" s="3" t="inlineStr">
        <is>
          <t>O-04</t>
        </is>
      </c>
      <c r="I68" s="3" t="inlineStr">
        <is>
          <t>Synthetic inputs added for this model</t>
        </is>
      </c>
    </row>
    <row r="69">
      <c r="A69" s="2" t="inlineStr">
        <is>
          <t>VAL-003</t>
        </is>
      </c>
      <c r="B69" s="3" t="inlineStr">
        <is>
          <t>Cost savings delivered YTD</t>
        </is>
      </c>
      <c r="C69" s="3" t="inlineStr">
        <is>
          <t>₹ m</t>
        </is>
      </c>
      <c r="D69" s="3" t="inlineStr">
        <is>
          <t>Sum of cost savings since April ÷ 1000  [Year to date]</t>
        </is>
      </c>
      <c r="E69" s="21">
        <f>'Owner KPIs'!K69</f>
        <v/>
      </c>
      <c r="F69" s="3" t="inlineStr">
        <is>
          <t>₹11 m</t>
        </is>
      </c>
      <c r="G69" s="7" t="inlineStr">
        <is>
          <t>Same</t>
        </is>
      </c>
      <c r="H69" s="3" t="inlineStr">
        <is>
          <t>O-04</t>
        </is>
      </c>
      <c r="I69" s="3" t="inlineStr">
        <is>
          <t>Synthetic inputs added for this model</t>
        </is>
      </c>
    </row>
    <row r="70">
      <c r="A70" s="2" t="inlineStr">
        <is>
          <t>SUP-001</t>
        </is>
      </c>
      <c r="B70" s="3" t="inlineStr">
        <is>
          <t>Supplier on-time delivery</t>
        </is>
      </c>
      <c r="C70" s="3" t="inlineStr">
        <is>
          <t>%</t>
        </is>
      </c>
      <c r="D70" s="3" t="inlineStr">
        <is>
          <t>Purchase-order lines on time ÷ Lines due × 100</t>
        </is>
      </c>
      <c r="E70" s="21">
        <f>'Owner KPIs'!K70</f>
        <v/>
      </c>
      <c r="F70" s="3" t="inlineStr">
        <is>
          <t>Not on a screen</t>
        </is>
      </c>
      <c r="G70" s="7" t="inlineStr">
        <is>
          <t>—</t>
        </is>
      </c>
      <c r="H70" s="3" t="inlineStr">
        <is>
          <t>—</t>
        </is>
      </c>
      <c r="I70" s="3" t="inlineStr">
        <is>
          <t>Synthetic inputs added for this model</t>
        </is>
      </c>
    </row>
    <row r="71">
      <c r="A71" s="2" t="inlineStr">
        <is>
          <t>SUP-007</t>
        </is>
      </c>
      <c r="B71" s="3" t="inlineStr">
        <is>
          <t>Single-source spend share</t>
        </is>
      </c>
      <c r="C71" s="3" t="inlineStr">
        <is>
          <t>%</t>
        </is>
      </c>
      <c r="D71" s="3" t="inlineStr">
        <is>
          <t>Spend with single-source suppliers ÷ Supplier spend × 100</t>
        </is>
      </c>
      <c r="E71" s="21">
        <f>'Owner KPIs'!K71</f>
        <v/>
      </c>
      <c r="F71" s="3" t="inlineStr">
        <is>
          <t>Not on a screen</t>
        </is>
      </c>
      <c r="G71" s="5" t="inlineStr">
        <is>
          <t>—</t>
        </is>
      </c>
      <c r="H71" s="3" t="inlineStr">
        <is>
          <t>—</t>
        </is>
      </c>
      <c r="I71" s="3" t="inlineStr">
        <is>
          <t>Synthetic inputs added for this model</t>
        </is>
      </c>
    </row>
    <row r="72">
      <c r="A72" s="2" t="inlineStr">
        <is>
          <t>SUP-008</t>
        </is>
      </c>
      <c r="B72" s="3" t="inlineStr">
        <is>
          <t>Supplier EHS incidents YTD</t>
        </is>
      </c>
      <c r="C72" s="3" t="inlineStr">
        <is>
          <t>count</t>
        </is>
      </c>
      <c r="D72" s="3" t="inlineStr">
        <is>
          <t>Sum of supplier EHS incidents since April  [Year to date]</t>
        </is>
      </c>
      <c r="E72" s="21">
        <f>'Owner KPIs'!K72</f>
        <v/>
      </c>
      <c r="F72" s="3" t="inlineStr">
        <is>
          <t>Not on a screen</t>
        </is>
      </c>
      <c r="G72" s="5" t="inlineStr">
        <is>
          <t>—</t>
        </is>
      </c>
      <c r="H72" s="3" t="inlineStr">
        <is>
          <t>—</t>
        </is>
      </c>
      <c r="I72" s="3" t="inlineStr">
        <is>
          <t>Synthetic inputs added for this model</t>
        </is>
      </c>
    </row>
    <row r="73">
      <c r="A73" s="2" t="inlineStr">
        <is>
          <t>CON-001</t>
        </is>
      </c>
      <c r="B73" s="3" t="inlineStr">
        <is>
          <t>Contracts expiring, next 90 days</t>
        </is>
      </c>
      <c r="C73" s="3" t="inlineStr">
        <is>
          <t>count</t>
        </is>
      </c>
      <c r="D73" s="3" t="inlineStr">
        <is>
          <t>Contracts expiring in next 90 days  [Month end]</t>
        </is>
      </c>
      <c r="E73" s="21">
        <f>'Owner KPIs'!K73</f>
        <v/>
      </c>
      <c r="F73" s="3" t="inlineStr">
        <is>
          <t>4</t>
        </is>
      </c>
      <c r="G73" s="7" t="inlineStr">
        <is>
          <t>Same</t>
        </is>
      </c>
      <c r="H73" s="3" t="inlineStr">
        <is>
          <t>O-05</t>
        </is>
      </c>
      <c r="I73" s="3" t="inlineStr">
        <is>
          <t>Synthetic inputs added for this model</t>
        </is>
      </c>
    </row>
    <row r="74">
      <c r="A74" s="2" t="inlineStr">
        <is>
          <t>CON-002</t>
        </is>
      </c>
      <c r="B74" s="3" t="inlineStr">
        <is>
          <t>Contract-compliance rate</t>
        </is>
      </c>
      <c r="C74" s="3" t="inlineStr">
        <is>
          <t>%</t>
        </is>
      </c>
      <c r="D74" s="3" t="inlineStr">
        <is>
          <t>Contracts fully compliant ÷ Active contracts × 100  [Month end]</t>
        </is>
      </c>
      <c r="E74" s="21">
        <f>'Owner KPIs'!K74</f>
        <v/>
      </c>
      <c r="F74" s="3" t="inlineStr">
        <is>
          <t>96%</t>
        </is>
      </c>
      <c r="G74" s="7" t="inlineStr">
        <is>
          <t>Same</t>
        </is>
      </c>
      <c r="H74" s="3" t="inlineStr">
        <is>
          <t>O-05</t>
        </is>
      </c>
      <c r="I74" s="3" t="inlineStr">
        <is>
          <t>Synthetic inputs added for this model</t>
        </is>
      </c>
    </row>
    <row r="75">
      <c r="A75" s="2" t="inlineStr">
        <is>
          <t>CON-003</t>
        </is>
      </c>
      <c r="B75" s="3" t="inlineStr">
        <is>
          <t>Supplier EHS non-compliance</t>
        </is>
      </c>
      <c r="C75" s="3" t="inlineStr">
        <is>
          <t>count</t>
        </is>
      </c>
      <c r="D75" s="3" t="inlineStr">
        <is>
          <t>Suppliers not meeting EHS requirements  [Month end]</t>
        </is>
      </c>
      <c r="E75" s="21">
        <f>'Owner KPIs'!K75</f>
        <v/>
      </c>
      <c r="F75" s="3" t="inlineStr">
        <is>
          <t>1</t>
        </is>
      </c>
      <c r="G75" s="5" t="inlineStr">
        <is>
          <t>Different</t>
        </is>
      </c>
      <c r="H75" s="3" t="inlineStr">
        <is>
          <t>O-05</t>
        </is>
      </c>
      <c r="I75" s="3" t="inlineStr">
        <is>
          <t>Synthetic inputs added for this model</t>
        </is>
      </c>
    </row>
    <row r="76">
      <c r="A76" s="2" t="inlineStr">
        <is>
          <t>REG-005</t>
        </is>
      </c>
      <c r="B76" s="3" t="inlineStr">
        <is>
          <t>Overdue regulatory obligations</t>
        </is>
      </c>
      <c r="C76" s="3" t="inlineStr">
        <is>
          <t>count</t>
        </is>
      </c>
      <c r="D76" s="3" t="inlineStr">
        <is>
          <t>Regulatory obligations overdue  [Month end]</t>
        </is>
      </c>
      <c r="E76" s="21">
        <f>'Owner KPIs'!K76</f>
        <v/>
      </c>
      <c r="F76" s="3" t="inlineStr">
        <is>
          <t>0</t>
        </is>
      </c>
      <c r="G76" s="7" t="inlineStr">
        <is>
          <t>Same</t>
        </is>
      </c>
      <c r="H76" s="3" t="inlineStr">
        <is>
          <t>O-05</t>
        </is>
      </c>
      <c r="I76" s="3" t="inlineStr">
        <is>
          <t>Synthetic inputs added for this model</t>
        </is>
      </c>
    </row>
    <row r="77">
      <c r="A77" s="2" t="inlineStr">
        <is>
          <t>REG-009</t>
        </is>
      </c>
      <c r="B77" s="3" t="inlineStr">
        <is>
          <t>Disclosure-clock status</t>
        </is>
      </c>
      <c r="C77" s="3" t="inlineStr">
        <is>
          <t>text</t>
        </is>
      </c>
      <c r="D77" s="3" t="inlineStr">
        <is>
          <t>Triggered if any event that needs disclosure is open, otherwise Not triggered  [Month end]</t>
        </is>
      </c>
      <c r="E77" s="8">
        <f>'Owner KPIs'!K77</f>
        <v/>
      </c>
      <c r="F77" s="3" t="inlineStr">
        <is>
          <t>Not triggered</t>
        </is>
      </c>
      <c r="G77" s="7" t="inlineStr">
        <is>
          <t>Same</t>
        </is>
      </c>
      <c r="H77" s="3" t="inlineStr">
        <is>
          <t>O-05</t>
        </is>
      </c>
      <c r="I77" s="3" t="inlineStr">
        <is>
          <t>Synthetic inputs added for this model</t>
        </is>
      </c>
    </row>
    <row r="78">
      <c r="A78" s="2" t="inlineStr">
        <is>
          <t>REG-010</t>
        </is>
      </c>
      <c r="B78" s="3" t="inlineStr">
        <is>
          <t>Regulatory breaches YTD</t>
        </is>
      </c>
      <c r="C78" s="3" t="inlineStr">
        <is>
          <t>count</t>
        </is>
      </c>
      <c r="D78" s="3" t="inlineStr">
        <is>
          <t>Sum of regulatory breaches since April  [Year to date]</t>
        </is>
      </c>
      <c r="E78" s="21">
        <f>'Owner KPIs'!K78</f>
        <v/>
      </c>
      <c r="F78" s="3" t="inlineStr">
        <is>
          <t>0</t>
        </is>
      </c>
      <c r="G78" s="7" t="inlineStr">
        <is>
          <t>Same</t>
        </is>
      </c>
      <c r="H78" s="3" t="inlineStr">
        <is>
          <t>O-05</t>
        </is>
      </c>
      <c r="I78" s="3" t="inlineStr">
        <is>
          <t>Synthetic inputs added for this model</t>
        </is>
      </c>
    </row>
    <row r="79">
      <c r="A79" s="2" t="inlineStr">
        <is>
          <t>RSK-003</t>
        </is>
      </c>
      <c r="B79" s="3" t="inlineStr">
        <is>
          <t>Regulatory breaches YTD (same measure as REG-010)</t>
        </is>
      </c>
      <c r="C79" s="3" t="inlineStr">
        <is>
          <t>count</t>
        </is>
      </c>
      <c r="D79" s="3" t="inlineStr">
        <is>
          <t>Sum of regulatory breaches since April  [Year to date]</t>
        </is>
      </c>
      <c r="E79" s="21">
        <f>'Owner KPIs'!K79</f>
        <v/>
      </c>
      <c r="F79" s="3" t="inlineStr">
        <is>
          <t>0</t>
        </is>
      </c>
      <c r="G79" s="7" t="inlineStr">
        <is>
          <t>Same</t>
        </is>
      </c>
      <c r="H79" s="3" t="inlineStr">
        <is>
          <t>O-01, STATE GALLERY · O-01 + S-02, O-01 · large display ≥ 1600</t>
        </is>
      </c>
      <c r="I79" s="3" t="inlineStr">
        <is>
          <t>Synthetic inputs added for this model</t>
        </is>
      </c>
    </row>
    <row r="80">
      <c r="A80" s="2" t="inlineStr">
        <is>
          <t>CMP-005</t>
        </is>
      </c>
      <c r="B80" s="3" t="inlineStr">
        <is>
          <t>Regulatory breaches YTD (same measure as REG-010)</t>
        </is>
      </c>
      <c r="C80" s="3" t="inlineStr">
        <is>
          <t>count</t>
        </is>
      </c>
      <c r="D80" s="3" t="inlineStr">
        <is>
          <t>Sum of regulatory breaches since April  [Year to date]</t>
        </is>
      </c>
      <c r="E80" s="21">
        <f>'Owner KPIs'!K80</f>
        <v/>
      </c>
      <c r="F80" s="3" t="inlineStr">
        <is>
          <t>0</t>
        </is>
      </c>
      <c r="G80" s="7" t="inlineStr">
        <is>
          <t>Same</t>
        </is>
      </c>
      <c r="H80" s="3" t="inlineStr">
        <is>
          <t>O-01</t>
        </is>
      </c>
      <c r="I80" s="3" t="inlineStr">
        <is>
          <t>Synthetic inputs added for this model</t>
        </is>
      </c>
    </row>
    <row r="81">
      <c r="A81" s="2" t="inlineStr">
        <is>
          <t>EHS-008</t>
        </is>
      </c>
      <c r="B81" s="3" t="inlineStr">
        <is>
          <t>EHS escalation clocks running</t>
        </is>
      </c>
      <c r="C81" s="3" t="inlineStr">
        <is>
          <t>count</t>
        </is>
      </c>
      <c r="D81" s="3" t="inlineStr">
        <is>
          <t>EHS escalation clocks running  [Month end]</t>
        </is>
      </c>
      <c r="E81" s="21">
        <f>'Owner KPIs'!K81</f>
        <v/>
      </c>
      <c r="F81" s="3" t="inlineStr">
        <is>
          <t>0 running</t>
        </is>
      </c>
      <c r="G81" s="7" t="inlineStr">
        <is>
          <t>Same</t>
        </is>
      </c>
      <c r="H81" s="3" t="inlineStr">
        <is>
          <t>O-05</t>
        </is>
      </c>
      <c r="I81" s="3" t="inlineStr">
        <is>
          <t>Synthetic inputs added for this model</t>
        </is>
      </c>
    </row>
    <row r="82">
      <c r="A82" s="2" t="inlineStr">
        <is>
          <t>CTL-002</t>
        </is>
      </c>
      <c r="B82" s="3" t="inlineStr">
        <is>
          <t>Control failures YTD</t>
        </is>
      </c>
      <c r="C82" s="3" t="inlineStr">
        <is>
          <t>count</t>
        </is>
      </c>
      <c r="D82" s="3" t="inlineStr">
        <is>
          <t>Sum of control failures since April  [Year to date]</t>
        </is>
      </c>
      <c r="E82" s="21">
        <f>'Owner KPIs'!K82</f>
        <v/>
      </c>
      <c r="F82" s="3" t="inlineStr">
        <is>
          <t>4</t>
        </is>
      </c>
      <c r="G82" s="7" t="inlineStr">
        <is>
          <t>Same</t>
        </is>
      </c>
      <c r="H82" s="3" t="inlineStr">
        <is>
          <t>O-05</t>
        </is>
      </c>
      <c r="I82" s="3" t="inlineStr">
        <is>
          <t>Synthetic inputs added for this model</t>
        </is>
      </c>
    </row>
    <row r="83">
      <c r="A83" s="2" t="inlineStr">
        <is>
          <t>CTL-004</t>
        </is>
      </c>
      <c r="B83" s="3" t="inlineStr">
        <is>
          <t>High-severity control failures YTD</t>
        </is>
      </c>
      <c r="C83" s="3" t="inlineStr">
        <is>
          <t>count</t>
        </is>
      </c>
      <c r="D83" s="3" t="inlineStr">
        <is>
          <t>Sum of high-severity control failures since April  [Year to date]</t>
        </is>
      </c>
      <c r="E83" s="21">
        <f>'Owner KPIs'!K83</f>
        <v/>
      </c>
      <c r="F83" s="3" t="inlineStr">
        <is>
          <t>0</t>
        </is>
      </c>
      <c r="G83" s="7" t="inlineStr">
        <is>
          <t>Same</t>
        </is>
      </c>
      <c r="H83" s="3" t="inlineStr">
        <is>
          <t>O-05</t>
        </is>
      </c>
      <c r="I83" s="3" t="inlineStr">
        <is>
          <t>Synthetic inputs added for this model</t>
        </is>
      </c>
    </row>
    <row r="84">
      <c r="A84" s="2" t="inlineStr">
        <is>
          <t>CTL-005</t>
        </is>
      </c>
      <c r="B84" s="3" t="inlineStr">
        <is>
          <t>Policy exceptions YTD</t>
        </is>
      </c>
      <c r="C84" s="3" t="inlineStr">
        <is>
          <t>count</t>
        </is>
      </c>
      <c r="D84" s="3" t="inlineStr">
        <is>
          <t>Sum of policy exceptions since April  [Year to date]</t>
        </is>
      </c>
      <c r="E84" s="21">
        <f>'Owner KPIs'!K84</f>
        <v/>
      </c>
      <c r="F84" s="3" t="inlineStr">
        <is>
          <t>3</t>
        </is>
      </c>
      <c r="G84" s="5" t="inlineStr">
        <is>
          <t>Different</t>
        </is>
      </c>
      <c r="H84" s="3" t="inlineStr">
        <is>
          <t>O-05</t>
        </is>
      </c>
      <c r="I84" s="3" t="inlineStr">
        <is>
          <t>Synthetic inputs added for this model</t>
        </is>
      </c>
    </row>
    <row r="85">
      <c r="A85" s="2" t="inlineStr">
        <is>
          <t>CTL-006</t>
        </is>
      </c>
      <c r="B85" s="3" t="inlineStr">
        <is>
          <t>Unauthorised-vendor usage YTD</t>
        </is>
      </c>
      <c r="C85" s="3" t="inlineStr">
        <is>
          <t>count</t>
        </is>
      </c>
      <c r="D85" s="3" t="inlineStr">
        <is>
          <t>Sum of unauthorised vendor uses since April  [Year to date]</t>
        </is>
      </c>
      <c r="E85" s="21">
        <f>'Owner KPIs'!K85</f>
        <v/>
      </c>
      <c r="F85" s="3" t="inlineStr">
        <is>
          <t>0</t>
        </is>
      </c>
      <c r="G85" s="7" t="inlineStr">
        <is>
          <t>Same</t>
        </is>
      </c>
      <c r="H85" s="3" t="inlineStr">
        <is>
          <t>O-05</t>
        </is>
      </c>
      <c r="I85" s="3" t="inlineStr">
        <is>
          <t>Synthetic inputs added for this model</t>
        </is>
      </c>
    </row>
    <row r="86">
      <c r="A86" s="2" t="inlineStr">
        <is>
          <t>CTL-007</t>
        </is>
      </c>
      <c r="B86" s="3" t="inlineStr">
        <is>
          <t>Segregation-of-duties exceptions YTD</t>
        </is>
      </c>
      <c r="C86" s="3" t="inlineStr">
        <is>
          <t>count</t>
        </is>
      </c>
      <c r="D86" s="3" t="inlineStr">
        <is>
          <t>Sum of segregation-of-duties exceptions since April  [Year to date]</t>
        </is>
      </c>
      <c r="E86" s="21">
        <f>'Owner KPIs'!K86</f>
        <v/>
      </c>
      <c r="F86" s="3" t="inlineStr">
        <is>
          <t>1</t>
        </is>
      </c>
      <c r="G86" s="7" t="inlineStr">
        <is>
          <t>Same</t>
        </is>
      </c>
      <c r="H86" s="3" t="inlineStr">
        <is>
          <t>O-05</t>
        </is>
      </c>
      <c r="I86" s="3" t="inlineStr">
        <is>
          <t>Synthetic inputs added for this model</t>
        </is>
      </c>
    </row>
    <row r="87">
      <c r="A87" s="2" t="inlineStr">
        <is>
          <t>CTL-008</t>
        </is>
      </c>
      <c r="B87" s="3" t="inlineStr">
        <is>
          <t>Unauthorised-access events YTD</t>
        </is>
      </c>
      <c r="C87" s="3" t="inlineStr">
        <is>
          <t>count</t>
        </is>
      </c>
      <c r="D87" s="3" t="inlineStr">
        <is>
          <t>Sum of unauthorised access events since April  [Year to date]</t>
        </is>
      </c>
      <c r="E87" s="21">
        <f>'Owner KPIs'!K87</f>
        <v/>
      </c>
      <c r="F87" s="3" t="inlineStr">
        <is>
          <t>0</t>
        </is>
      </c>
      <c r="G87" s="7" t="inlineStr">
        <is>
          <t>Same</t>
        </is>
      </c>
      <c r="H87" s="3" t="inlineStr">
        <is>
          <t>O-05</t>
        </is>
      </c>
      <c r="I87" s="3" t="inlineStr">
        <is>
          <t>Synthetic inputs added for this model</t>
        </is>
      </c>
    </row>
    <row r="88">
      <c r="A88" s="2" t="inlineStr">
        <is>
          <t>CTL-009</t>
        </is>
      </c>
      <c r="B88" s="3" t="inlineStr">
        <is>
          <t>Data-sharing exceptions YTD</t>
        </is>
      </c>
      <c r="C88" s="3" t="inlineStr">
        <is>
          <t>count</t>
        </is>
      </c>
      <c r="D88" s="3" t="inlineStr">
        <is>
          <t>Sum of data-sharing exceptions since April  [Year to date]</t>
        </is>
      </c>
      <c r="E88" s="21">
        <f>'Owner KPIs'!K88</f>
        <v/>
      </c>
      <c r="F88" s="3" t="inlineStr">
        <is>
          <t>0</t>
        </is>
      </c>
      <c r="G88" s="7" t="inlineStr">
        <is>
          <t>Same</t>
        </is>
      </c>
      <c r="H88" s="3" t="inlineStr">
        <is>
          <t>O-05</t>
        </is>
      </c>
      <c r="I88" s="3" t="inlineStr">
        <is>
          <t>Synthetic inputs added for this model</t>
        </is>
      </c>
    </row>
    <row r="89">
      <c r="A89" s="2" t="inlineStr">
        <is>
          <t>CTL-010</t>
        </is>
      </c>
      <c r="B89" s="3" t="inlineStr">
        <is>
          <t>Manual overrides YTD</t>
        </is>
      </c>
      <c r="C89" s="3" t="inlineStr">
        <is>
          <t>count</t>
        </is>
      </c>
      <c r="D89" s="3" t="inlineStr">
        <is>
          <t>Sum of manual operational or system overrides since April  [Year to date]</t>
        </is>
      </c>
      <c r="E89" s="21">
        <f>'Owner KPIs'!K89</f>
        <v/>
      </c>
      <c r="F89" s="3" t="inlineStr">
        <is>
          <t>12</t>
        </is>
      </c>
      <c r="G89" s="5" t="inlineStr">
        <is>
          <t>Different</t>
        </is>
      </c>
      <c r="H89" s="3" t="inlineStr">
        <is>
          <t>O-05</t>
        </is>
      </c>
      <c r="I89" s="3" t="inlineStr">
        <is>
          <t>Synthetic inputs added for this model</t>
        </is>
      </c>
    </row>
    <row r="90">
      <c r="A90" s="2" t="inlineStr">
        <is>
          <t>GOV-001</t>
        </is>
      </c>
      <c r="B90" s="3" t="inlineStr">
        <is>
          <t>Ageing certification approvals</t>
        </is>
      </c>
      <c r="C90" s="3" t="inlineStr">
        <is>
          <t>count</t>
        </is>
      </c>
      <c r="D90" s="3" t="inlineStr">
        <is>
          <t>Certification approvals past due date  [Month end]</t>
        </is>
      </c>
      <c r="E90" s="21">
        <f>'Owner KPIs'!K90</f>
        <v/>
      </c>
      <c r="F90" s="3" t="inlineStr">
        <is>
          <t>2 &gt; [PH] d</t>
        </is>
      </c>
      <c r="G90" s="7" t="inlineStr">
        <is>
          <t>Same</t>
        </is>
      </c>
      <c r="H90" s="3" t="inlineStr">
        <is>
          <t>G-08 · Owner depth</t>
        </is>
      </c>
      <c r="I90" s="3" t="inlineStr">
        <is>
          <t>Synthetic inputs added for this model</t>
        </is>
      </c>
    </row>
    <row r="91">
      <c r="A91" s="2" t="inlineStr">
        <is>
          <t>GOV-002</t>
        </is>
      </c>
      <c r="B91" s="3" t="inlineStr">
        <is>
          <t>KPI overrides</t>
        </is>
      </c>
      <c r="C91" s="3" t="inlineStr">
        <is>
          <t>count</t>
        </is>
      </c>
      <c r="D91" s="3" t="inlineStr">
        <is>
          <t>KPI values overridden  [Month end]</t>
        </is>
      </c>
      <c r="E91" s="21">
        <f>'Owner KPIs'!K91</f>
        <v/>
      </c>
      <c r="F91" s="3" t="inlineStr">
        <is>
          <t>0</t>
        </is>
      </c>
      <c r="G91" s="7" t="inlineStr">
        <is>
          <t>Same</t>
        </is>
      </c>
      <c r="H91" s="3" t="inlineStr">
        <is>
          <t>G-08 · Owner depth</t>
        </is>
      </c>
      <c r="I91" s="3" t="inlineStr">
        <is>
          <t>Synthetic inputs added for this model</t>
        </is>
      </c>
    </row>
    <row r="92">
      <c r="A92" s="2" t="inlineStr">
        <is>
          <t>GOV-003</t>
        </is>
      </c>
      <c r="B92" s="3" t="inlineStr">
        <is>
          <t>Recurring data-quality issues</t>
        </is>
      </c>
      <c r="C92" s="3" t="inlineStr">
        <is>
          <t>count</t>
        </is>
      </c>
      <c r="D92" s="3" t="inlineStr">
        <is>
          <t>Recurring data-quality issues  [Month end]</t>
        </is>
      </c>
      <c r="E92" s="21">
        <f>'Owner KPIs'!K92</f>
        <v/>
      </c>
      <c r="F92" s="3" t="inlineStr">
        <is>
          <t>1</t>
        </is>
      </c>
      <c r="G92" s="7" t="inlineStr">
        <is>
          <t>Same</t>
        </is>
      </c>
      <c r="H92" s="3" t="inlineStr">
        <is>
          <t>G-08 · Owner depth</t>
        </is>
      </c>
      <c r="I92" s="3" t="inlineStr">
        <is>
          <t>Synthetic inputs added for this model</t>
        </is>
      </c>
    </row>
    <row r="93">
      <c r="A93" s="2" t="inlineStr">
        <is>
          <t>GOV-004</t>
        </is>
      </c>
      <c r="B93" s="3" t="inlineStr">
        <is>
          <t>Open audit findings</t>
        </is>
      </c>
      <c r="C93" s="3" t="inlineStr">
        <is>
          <t>count</t>
        </is>
      </c>
      <c r="D93" s="3" t="inlineStr">
        <is>
          <t>Open audit findings  [Month end]</t>
        </is>
      </c>
      <c r="E93" s="21">
        <f>'Owner KPIs'!K93</f>
        <v/>
      </c>
      <c r="F93" s="3" t="inlineStr">
        <is>
          <t>7</t>
        </is>
      </c>
      <c r="G93" s="7" t="inlineStr">
        <is>
          <t>Same</t>
        </is>
      </c>
      <c r="H93" s="3" t="inlineStr">
        <is>
          <t>G-08 · Owner depth, O-05</t>
        </is>
      </c>
      <c r="I93" s="3" t="inlineStr">
        <is>
          <t>Synthetic inputs added for this model</t>
        </is>
      </c>
    </row>
    <row r="94">
      <c r="A94" s="2" t="inlineStr">
        <is>
          <t>GOV-005</t>
        </is>
      </c>
      <c r="B94" s="3" t="inlineStr">
        <is>
          <t>Overdue assurance actions</t>
        </is>
      </c>
      <c r="C94" s="3" t="inlineStr">
        <is>
          <t>count</t>
        </is>
      </c>
      <c r="D94" s="3" t="inlineStr">
        <is>
          <t>Overdue assurance actions  [Month end]</t>
        </is>
      </c>
      <c r="E94" s="21">
        <f>'Owner KPIs'!K94</f>
        <v/>
      </c>
      <c r="F94" s="3" t="inlineStr">
        <is>
          <t>0</t>
        </is>
      </c>
      <c r="G94" s="7" t="inlineStr">
        <is>
          <t>Same</t>
        </is>
      </c>
      <c r="H94" s="3" t="inlineStr">
        <is>
          <t>G-08 · Owner depth</t>
        </is>
      </c>
      <c r="I94" s="3" t="inlineStr">
        <is>
          <t>Synthetic inputs added for this model</t>
        </is>
      </c>
    </row>
    <row r="95">
      <c r="A95" s="2" t="inlineStr">
        <is>
          <t>GOV-006</t>
        </is>
      </c>
      <c r="B95" s="3" t="inlineStr">
        <is>
          <t>Repeat findings</t>
        </is>
      </c>
      <c r="C95" s="3" t="inlineStr">
        <is>
          <t>count</t>
        </is>
      </c>
      <c r="D95" s="3" t="inlineStr">
        <is>
          <t>Repeat audit findings  [Month end]</t>
        </is>
      </c>
      <c r="E95" s="21">
        <f>'Owner KPIs'!K95</f>
        <v/>
      </c>
      <c r="F95" s="3" t="inlineStr">
        <is>
          <t>1</t>
        </is>
      </c>
      <c r="G95" s="7" t="inlineStr">
        <is>
          <t>Same</t>
        </is>
      </c>
      <c r="H95" s="3" t="inlineStr">
        <is>
          <t>G-08 · Owner depth</t>
        </is>
      </c>
      <c r="I95" s="3" t="inlineStr">
        <is>
          <t>Synthetic inputs added for this model</t>
        </is>
      </c>
    </row>
    <row r="96">
      <c r="A96" s="2" t="inlineStr">
        <is>
          <t>GOV-007</t>
        </is>
      </c>
      <c r="B96" s="3" t="inlineStr">
        <is>
          <t>Leadership KPIs affected by findings</t>
        </is>
      </c>
      <c r="C96" s="3" t="inlineStr">
        <is>
          <t>count</t>
        </is>
      </c>
      <c r="D96" s="3" t="inlineStr">
        <is>
          <t>Leadership KPIs affected by open findings  [Month end]</t>
        </is>
      </c>
      <c r="E96" s="21">
        <f>'Owner KPIs'!K96</f>
        <v/>
      </c>
      <c r="F96" s="3" t="inlineStr">
        <is>
          <t>1</t>
        </is>
      </c>
      <c r="G96" s="7" t="inlineStr">
        <is>
          <t>Same</t>
        </is>
      </c>
      <c r="H96" s="3" t="inlineStr">
        <is>
          <t>G-08 · Owner depth</t>
        </is>
      </c>
      <c r="I96" s="3" t="inlineStr">
        <is>
          <t>Synthetic inputs added for this model</t>
        </is>
      </c>
    </row>
    <row r="97">
      <c r="A97" s="2" t="inlineStr">
        <is>
          <t>TRU-007</t>
        </is>
      </c>
      <c r="B97" s="3" t="inlineStr">
        <is>
          <t>Material reconciliation breaks</t>
        </is>
      </c>
      <c r="C97" s="3" t="inlineStr">
        <is>
          <t>count</t>
        </is>
      </c>
      <c r="D97" s="3" t="inlineStr">
        <is>
          <t>Material reconciliation breaks  [Month end]</t>
        </is>
      </c>
      <c r="E97" s="21">
        <f>'Owner KPIs'!K97</f>
        <v/>
      </c>
      <c r="F97" s="3" t="inlineStr">
        <is>
          <t>1</t>
        </is>
      </c>
      <c r="G97" s="7" t="inlineStr">
        <is>
          <t>Same</t>
        </is>
      </c>
      <c r="H97" s="3" t="inlineStr">
        <is>
          <t>G-08 · Owner depth</t>
        </is>
      </c>
      <c r="I97" s="3" t="inlineStr">
        <is>
          <t>Synthetic inputs added for this model</t>
        </is>
      </c>
    </row>
    <row r="98">
      <c r="A98" s="2" t="inlineStr">
        <is>
          <t>GOV-008</t>
        </is>
      </c>
      <c r="B98" s="3" t="inlineStr">
        <is>
          <t>Evidence completeness rate</t>
        </is>
      </c>
      <c r="C98" s="3" t="inlineStr">
        <is>
          <t>%</t>
        </is>
      </c>
      <c r="D98" s="3" t="inlineStr">
        <is>
          <t>Evidence items complete ÷ Evidence items required × 100  [Month end]</t>
        </is>
      </c>
      <c r="E98" s="21">
        <f>'Owner KPIs'!K98</f>
        <v/>
      </c>
      <c r="F98" s="3" t="inlineStr">
        <is>
          <t>88%</t>
        </is>
      </c>
      <c r="G98" s="7" t="inlineStr">
        <is>
          <t>Same</t>
        </is>
      </c>
      <c r="H98" s="3" t="inlineStr">
        <is>
          <t>G-08 · Owner depth</t>
        </is>
      </c>
      <c r="I98" s="3" t="inlineStr">
        <is>
          <t>Synthetic inputs added for this model</t>
        </is>
      </c>
    </row>
    <row r="99">
      <c r="A99" s="2" t="inlineStr">
        <is>
          <t>GOV-009</t>
        </is>
      </c>
      <c r="B99" s="3" t="inlineStr">
        <is>
          <t>Average finding-closure time</t>
        </is>
      </c>
      <c r="C99" s="3" t="inlineStr">
        <is>
          <t>days</t>
        </is>
      </c>
      <c r="D99" s="3" t="inlineStr">
        <is>
          <t>Days taken to close findings since April ÷ Findings closed since April  [Year to date]</t>
        </is>
      </c>
      <c r="E99" s="21">
        <f>'Owner KPIs'!K99</f>
        <v/>
      </c>
      <c r="F99" s="3" t="inlineStr">
        <is>
          <t>34 d</t>
        </is>
      </c>
      <c r="G99" s="5" t="inlineStr">
        <is>
          <t>Different</t>
        </is>
      </c>
      <c r="H99" s="3" t="inlineStr">
        <is>
          <t>G-08 · Owner depth</t>
        </is>
      </c>
      <c r="I99" s="3" t="inlineStr">
        <is>
          <t>Synthetic inputs added for this model</t>
        </is>
      </c>
    </row>
    <row r="100">
      <c r="A100" s="2" t="inlineStr">
        <is>
          <t>TRU-001</t>
        </is>
      </c>
      <c r="B100" s="3" t="inlineStr">
        <is>
          <t>Certified KPI percentage</t>
        </is>
      </c>
      <c r="C100" s="3" t="inlineStr">
        <is>
          <t>%</t>
        </is>
      </c>
      <c r="D100" s="3" t="inlineStr">
        <is>
          <t>Leadership KPI values certified ÷ Leadership KPI values reported × 100  [Month end]</t>
        </is>
      </c>
      <c r="E100" s="21">
        <f>'Owner KPIs'!K100</f>
        <v/>
      </c>
      <c r="F100" s="3" t="inlineStr">
        <is>
          <t>84 % of leadership KPIs</t>
        </is>
      </c>
      <c r="G100" s="7" t="inlineStr">
        <is>
          <t>Same</t>
        </is>
      </c>
      <c r="H100" s="3" t="inlineStr">
        <is>
          <t>G-08 · Owner depth</t>
        </is>
      </c>
      <c r="I100" s="3" t="inlineStr">
        <is>
          <t>Synthetic inputs added for this model</t>
        </is>
      </c>
    </row>
    <row r="101">
      <c r="A101" s="2" t="inlineStr">
        <is>
          <t>TRU-002</t>
        </is>
      </c>
      <c r="B101" s="3" t="inlineStr">
        <is>
          <t>Uncertified KPI count</t>
        </is>
      </c>
      <c r="C101" s="3" t="inlineStr">
        <is>
          <t>count</t>
        </is>
      </c>
      <c r="D101" s="3" t="inlineStr">
        <is>
          <t>Leadership KPI values reported − Values certified  [Month end]</t>
        </is>
      </c>
      <c r="E101" s="21">
        <f>'Owner KPIs'!K101</f>
        <v/>
      </c>
      <c r="F101" s="3" t="inlineStr">
        <is>
          <t>9</t>
        </is>
      </c>
      <c r="G101" s="7" t="inlineStr">
        <is>
          <t>Same</t>
        </is>
      </c>
      <c r="H101" s="3" t="inlineStr">
        <is>
          <t>G-08 · Owner depth</t>
        </is>
      </c>
      <c r="I101" s="3" t="inlineStr">
        <is>
          <t>Synthetic inputs added for this model</t>
        </is>
      </c>
    </row>
    <row r="102">
      <c r="A102" s="2" t="inlineStr">
        <is>
          <t>TRU-008</t>
        </is>
      </c>
      <c r="B102" s="3" t="inlineStr">
        <is>
          <t>Source-to-Lake reconciliation rate</t>
        </is>
      </c>
      <c r="C102" s="3" t="inlineStr">
        <is>
          <t>%</t>
        </is>
      </c>
      <c r="D102" s="3" t="inlineStr">
        <is>
          <t>Records reconciled to source ÷ Records loaded × 100</t>
        </is>
      </c>
      <c r="E102" s="21">
        <f>'Owner KPIs'!K102</f>
        <v/>
      </c>
      <c r="F102" s="3" t="inlineStr">
        <is>
          <t>99.2%</t>
        </is>
      </c>
      <c r="G102" s="5" t="inlineStr">
        <is>
          <t>Different</t>
        </is>
      </c>
      <c r="H102" s="3" t="inlineStr">
        <is>
          <t>G-08 · Owner depth</t>
        </is>
      </c>
      <c r="I102" s="3" t="inlineStr">
        <is>
          <t>Synthetic inputs added for this model</t>
        </is>
      </c>
    </row>
    <row r="103">
      <c r="A103" s="2" t="inlineStr">
        <is>
          <t>TRU-009</t>
        </is>
      </c>
      <c r="B103" s="3" t="inlineStr">
        <is>
          <t>Flash-to-MIS reconciliation rate</t>
        </is>
      </c>
      <c r="C103" s="3" t="inlineStr">
        <is>
          <t>%</t>
        </is>
      </c>
      <c r="D103" s="3" t="inlineStr">
        <is>
          <t>Flash lines matching MIS ÷ Flash report lines × 100</t>
        </is>
      </c>
      <c r="E103" s="21">
        <f>'Owner KPIs'!K103</f>
        <v/>
      </c>
      <c r="F103" s="3" t="inlineStr">
        <is>
          <t>96.8%</t>
        </is>
      </c>
      <c r="G103" s="5" t="inlineStr">
        <is>
          <t>Different</t>
        </is>
      </c>
      <c r="H103" s="3" t="inlineStr">
        <is>
          <t>G-08 · Owner depth</t>
        </is>
      </c>
      <c r="I103" s="3" t="inlineStr">
        <is>
          <t>Synthetic inputs added for this model</t>
        </is>
      </c>
    </row>
    <row r="104">
      <c r="A104" s="2" t="inlineStr">
        <is>
          <t>TRU-010</t>
        </is>
      </c>
      <c r="B104" s="3" t="inlineStr">
        <is>
          <t>Flash-to-close variance</t>
        </is>
      </c>
      <c r="C104" s="3" t="inlineStr">
        <is>
          <t>%</t>
        </is>
      </c>
      <c r="D104" s="3" t="inlineStr">
        <is>
          <t>|Flash revenue − Closed revenue| ÷ Closed revenue × 100</t>
        </is>
      </c>
      <c r="E104" s="21">
        <f>'Owner KPIs'!K104</f>
        <v/>
      </c>
      <c r="F104" s="3" t="inlineStr">
        <is>
          <t>0.6 %</t>
        </is>
      </c>
      <c r="G104" s="5" t="inlineStr">
        <is>
          <t>Different</t>
        </is>
      </c>
      <c r="H104" s="3" t="inlineStr">
        <is>
          <t>G-08 · Owner depth</t>
        </is>
      </c>
      <c r="I104" s="3" t="inlineStr">
        <is>
          <t>Synthetic inputs added for this model</t>
        </is>
      </c>
    </row>
    <row r="105">
      <c r="A105" s="2" t="inlineStr">
        <is>
          <t>TRU-011</t>
        </is>
      </c>
      <c r="B105" s="3" t="inlineStr">
        <is>
          <t>Largest entity variance against Board numbers</t>
        </is>
      </c>
      <c r="C105" s="3" t="inlineStr">
        <is>
          <t>%</t>
        </is>
      </c>
      <c r="D105" s="3" t="inlineStr">
        <is>
          <t>Highest of the entities' |Board-pack EBITDA − Certified EBITDA| ÷ Certified EBITDA × 100</t>
        </is>
      </c>
      <c r="E105" s="21">
        <f>'Owner KPIs'!K105</f>
        <v/>
      </c>
      <c r="F105" s="3" t="inlineStr">
        <is>
          <t>0.3 % (max abs); 0.3% max abs · Entity B2</t>
        </is>
      </c>
      <c r="G105" s="7" t="inlineStr">
        <is>
          <t>Same</t>
        </is>
      </c>
      <c r="H105" s="3" t="inlineStr">
        <is>
          <t>G-08 · Owner depth</t>
        </is>
      </c>
      <c r="I105" s="3" t="inlineStr">
        <is>
          <t>Original plant data + synthetic inputs added for this model</t>
        </is>
      </c>
    </row>
    <row r="106">
      <c r="A106" s="2" t="inlineStr">
        <is>
          <t>EFF-002</t>
        </is>
      </c>
      <c r="B106" s="3" t="inlineStr">
        <is>
          <t>Open critical alerts</t>
        </is>
      </c>
      <c r="C106" s="3" t="inlineStr">
        <is>
          <t>count</t>
        </is>
      </c>
      <c r="D106" s="3" t="inlineStr">
        <is>
          <t>Open critical alerts  [Month end]</t>
        </is>
      </c>
      <c r="E106" s="21">
        <f>'Owner KPIs'!K106</f>
        <v/>
      </c>
      <c r="F106" s="3" t="inlineStr">
        <is>
          <t>1 alert</t>
        </is>
      </c>
      <c r="G106" s="7" t="inlineStr">
        <is>
          <t>Same</t>
        </is>
      </c>
      <c r="H106" s="3" t="inlineStr">
        <is>
          <t>O-01, STATE GALLERY · O-01 + S-02, O-01 · large display ≥ 1600</t>
        </is>
      </c>
      <c r="I106" s="3" t="inlineStr">
        <is>
          <t>Synthetic inputs added for this model</t>
        </is>
      </c>
    </row>
    <row r="107">
      <c r="A107" s="2" t="inlineStr">
        <is>
          <t>EFF-008</t>
        </is>
      </c>
      <c r="B107" s="3" t="inlineStr">
        <is>
          <t>Average resolution time</t>
        </is>
      </c>
      <c r="C107" s="3" t="inlineStr">
        <is>
          <t>days</t>
        </is>
      </c>
      <c r="D107" s="3" t="inlineStr">
        <is>
          <t>Days taken to resolve alerts ÷ Alerts resolved</t>
        </is>
      </c>
      <c r="E107" s="21">
        <f>'Owner KPIs'!K107</f>
        <v/>
      </c>
      <c r="F107" s="3" t="inlineStr">
        <is>
          <t>2.4 d</t>
        </is>
      </c>
      <c r="G107" s="7" t="inlineStr">
        <is>
          <t>Same</t>
        </is>
      </c>
      <c r="H107" s="3" t="inlineStr">
        <is>
          <t>O-06</t>
        </is>
      </c>
      <c r="I107" s="3" t="inlineStr">
        <is>
          <t>Synthetic inputs added for this model</t>
        </is>
      </c>
    </row>
    <row r="108">
      <c r="A108" s="2" t="inlineStr">
        <is>
          <t>EFF-009</t>
        </is>
      </c>
      <c r="B108" s="3" t="inlineStr">
        <is>
          <t>Closed escalations, last 30 days</t>
        </is>
      </c>
      <c r="C108" s="3" t="inlineStr">
        <is>
          <t>count</t>
        </is>
      </c>
      <c r="D108" s="3" t="inlineStr">
        <is>
          <t>Escalations closed in the month</t>
        </is>
      </c>
      <c r="E108" s="21">
        <f>'Owner KPIs'!K108</f>
        <v/>
      </c>
      <c r="F108" s="3" t="inlineStr">
        <is>
          <t>11</t>
        </is>
      </c>
      <c r="G108" s="7" t="inlineStr">
        <is>
          <t>Same</t>
        </is>
      </c>
      <c r="H108" s="3" t="inlineStr">
        <is>
          <t>O-06</t>
        </is>
      </c>
      <c r="I108" s="3" t="inlineStr">
        <is>
          <t>Synthetic inputs added for this model</t>
        </is>
      </c>
    </row>
    <row r="109">
      <c r="A109" s="2" t="inlineStr">
        <is>
          <t>EFF-010</t>
        </is>
      </c>
      <c r="B109" s="3" t="inlineStr">
        <is>
          <t>Repeat issues, last 90 days</t>
        </is>
      </c>
      <c r="C109" s="3" t="inlineStr">
        <is>
          <t>count</t>
        </is>
      </c>
      <c r="D109" s="3" t="inlineStr">
        <is>
          <t>Sum of repeat issues over the last 3 months  [Last 3 months]</t>
        </is>
      </c>
      <c r="E109" s="21">
        <f>'Owner KPIs'!K109</f>
        <v/>
      </c>
      <c r="F109" s="3" t="inlineStr">
        <is>
          <t>2</t>
        </is>
      </c>
      <c r="G109" s="5" t="inlineStr">
        <is>
          <t>Different</t>
        </is>
      </c>
      <c r="H109" s="3" t="inlineStr">
        <is>
          <t>O-06</t>
        </is>
      </c>
      <c r="I109" s="3" t="inlineStr">
        <is>
          <t>Synthetic inputs added for this model</t>
        </is>
      </c>
    </row>
    <row r="110">
      <c r="A110" s="2" t="inlineStr">
        <is>
          <t>EFF-011</t>
        </is>
      </c>
      <c r="B110" s="3" t="inlineStr">
        <is>
          <t>Root causes eliminated YTD</t>
        </is>
      </c>
      <c r="C110" s="3" t="inlineStr">
        <is>
          <t>text</t>
        </is>
      </c>
      <c r="D110" s="3" t="inlineStr">
        <is>
          <t>Root causes eliminated since April, of those identified since April  [Year to date]</t>
        </is>
      </c>
      <c r="E110" s="8">
        <f>'Owner KPIs'!K110</f>
        <v/>
      </c>
      <c r="F110" s="3" t="inlineStr">
        <is>
          <t>7 of 9</t>
        </is>
      </c>
      <c r="G110" s="5" t="inlineStr">
        <is>
          <t>Different</t>
        </is>
      </c>
      <c r="H110" s="3" t="inlineStr">
        <is>
          <t>O-06</t>
        </is>
      </c>
      <c r="I110" s="3" t="inlineStr">
        <is>
          <t>Synthetic inputs added for this model</t>
        </is>
      </c>
    </row>
    <row r="111">
      <c r="A111" s="2" t="inlineStr">
        <is>
          <t>SIG-004</t>
        </is>
      </c>
      <c r="B111" s="3" t="inlineStr">
        <is>
          <t>Collections slippage</t>
        </is>
      </c>
      <c r="C111" s="3" t="inlineStr">
        <is>
          <t>days</t>
        </is>
      </c>
      <c r="D111" s="3" t="inlineStr">
        <is>
          <t>(Days taken to collect − Agreed payment terms) ÷ Invoices collected (average days late)</t>
        </is>
      </c>
      <c r="E111" s="21">
        <f>'Owner KPIs'!K111</f>
        <v/>
      </c>
      <c r="F111" s="3" t="inlineStr">
        <is>
          <t>Not on a screen</t>
        </is>
      </c>
      <c r="G111" s="5" t="inlineStr">
        <is>
          <t>—</t>
        </is>
      </c>
      <c r="H111" s="3" t="inlineStr">
        <is>
          <t>—</t>
        </is>
      </c>
      <c r="I111" s="3" t="inlineStr">
        <is>
          <t>Synthetic inputs added for this model</t>
        </is>
      </c>
    </row>
    <row r="112">
      <c r="A112" s="2" t="inlineStr">
        <is>
          <t>SIG-006</t>
        </is>
      </c>
      <c r="B112" s="3" t="inlineStr">
        <is>
          <t>Cash burn signal</t>
        </is>
      </c>
      <c r="C112" s="3" t="inlineStr">
        <is>
          <t>text</t>
        </is>
      </c>
      <c r="D112" s="3" t="inlineStr">
        <is>
          <t>Triggered if operating cash flow in the month is negative</t>
        </is>
      </c>
      <c r="E112" s="8">
        <f>'Owner KPIs'!K112</f>
        <v/>
      </c>
      <c r="F112" s="3" t="inlineStr">
        <is>
          <t>Not on a screen</t>
        </is>
      </c>
      <c r="G112" s="7" t="inlineStr">
        <is>
          <t>—</t>
        </is>
      </c>
      <c r="H112" s="3" t="inlineStr">
        <is>
          <t>—</t>
        </is>
      </c>
      <c r="I112" s="3" t="inlineStr">
        <is>
          <t>Original plant data + synthetic inputs added for this model</t>
        </is>
      </c>
    </row>
    <row r="113">
      <c r="A113" s="2" t="inlineStr">
        <is>
          <t>PRD-001</t>
        </is>
      </c>
      <c r="B113" s="3" t="inlineStr">
        <is>
          <t>Days to breach (earliest plant)</t>
        </is>
      </c>
      <c r="C113" s="3" t="inlineStr">
        <is>
          <t>days</t>
        </is>
      </c>
      <c r="D113" s="3" t="inlineStr">
        <is>
          <t>Lowest plant forecast of days until its production plan is breached (99 = not expected)  [Forecast]</t>
        </is>
      </c>
      <c r="E113" s="21">
        <f>'Owner KPIs'!K113</f>
        <v/>
      </c>
      <c r="F113" s="3" t="inlineStr">
        <is>
          <t>Not shown</t>
        </is>
      </c>
      <c r="G113" s="6" t="inlineStr">
        <is>
          <t>Not shown</t>
        </is>
      </c>
      <c r="H113" s="3" t="inlineStr">
        <is>
          <t>O-01, O-01 · large display ≥ 1600, O-02, S-10, STATE GALLERY · O-01 + S-02</t>
        </is>
      </c>
      <c r="I113" s="3" t="inlineStr">
        <is>
          <t>Synthetic inputs added for this model</t>
        </is>
      </c>
    </row>
    <row r="114">
      <c r="A114" s="2" t="inlineStr">
        <is>
          <t>PRD-002</t>
        </is>
      </c>
      <c r="B114" s="3" t="inlineStr">
        <is>
          <t>Probability of production plan miss, next month</t>
        </is>
      </c>
      <c r="C114" s="3" t="inlineStr">
        <is>
          <t>%</t>
        </is>
      </c>
      <c r="D114" s="3" t="inlineStr">
        <is>
          <t>Chance that output falls below plan: normal distribution with mean = Forecast good output, spread = √(sum of plant forecast variances)  [Next month]</t>
        </is>
      </c>
      <c r="E114" s="21">
        <f>'Owner KPIs'!K114</f>
        <v/>
      </c>
      <c r="F114" s="3" t="inlineStr">
        <is>
          <t>64%</t>
        </is>
      </c>
      <c r="G114" s="5" t="inlineStr">
        <is>
          <t>Different</t>
        </is>
      </c>
      <c r="H114" s="3" t="inlineStr">
        <is>
          <t>O-01, O-02, STATE GALLERY · O-01 + S-02, O-01 · large display ≥ 1600</t>
        </is>
      </c>
      <c r="I114" s="3" t="inlineStr">
        <is>
          <t>Synthetic inputs added for this model</t>
        </is>
      </c>
    </row>
    <row r="115">
      <c r="A115" s="2" t="inlineStr">
        <is>
          <t>PRD-003</t>
        </is>
      </c>
      <c r="B115" s="3" t="inlineStr">
        <is>
          <t>Projected EBITDA gap, rest of year</t>
        </is>
      </c>
      <c r="C115" s="3" t="inlineStr">
        <is>
          <t>₹ m</t>
        </is>
      </c>
      <c r="D115" s="3" t="inlineStr">
        <is>
          <t>(Forecast EBITDA − Planned EBITDA, rest of year) ÷ 1000  [Forecast]</t>
        </is>
      </c>
      <c r="E115" s="21">
        <f>'Owner KPIs'!K115</f>
        <v/>
      </c>
      <c r="F115" s="3" t="inlineStr">
        <is>
          <t>−₹9.2 m; −9.2 ₹ m</t>
        </is>
      </c>
      <c r="G115" s="5" t="inlineStr">
        <is>
          <t>Different</t>
        </is>
      </c>
      <c r="H115" s="3" t="inlineStr">
        <is>
          <t>O-01, O-02, S-09, STATE GALLERY · O-01 + S-02, O-01 · large display ≥ 1600</t>
        </is>
      </c>
      <c r="I115" s="3" t="inlineStr">
        <is>
          <t>Synthetic inputs added for this model</t>
        </is>
      </c>
    </row>
    <row r="116">
      <c r="A116" s="2" t="inlineStr">
        <is>
          <t>PRD-004</t>
        </is>
      </c>
      <c r="B116" s="3" t="inlineStr">
        <is>
          <t>Projected liquidity gap, next 90 days</t>
        </is>
      </c>
      <c r="C116" s="3" t="inlineStr">
        <is>
          <t>₹ m or text</t>
        </is>
      </c>
      <c r="D116" s="3" t="inlineStr">
        <is>
          <t>Cash + Undrawn facilities + Forecast net cash flow (90 days); 'None' if not negative  [Next 90 days]</t>
        </is>
      </c>
      <c r="E116" s="8">
        <f>'Owner KPIs'!K116</f>
        <v/>
      </c>
      <c r="F116" s="3" t="inlineStr">
        <is>
          <t>None; None within 90 d</t>
        </is>
      </c>
      <c r="G116" s="5" t="inlineStr">
        <is>
          <t>Different</t>
        </is>
      </c>
      <c r="H116" s="3" t="inlineStr">
        <is>
          <t>O-02</t>
        </is>
      </c>
      <c r="I116" s="3" t="inlineStr">
        <is>
          <t>Synthetic inputs added for this model</t>
        </is>
      </c>
    </row>
    <row r="117">
      <c r="A117" s="2" t="inlineStr">
        <is>
          <t>PRD-005</t>
        </is>
      </c>
      <c r="B117" s="3" t="inlineStr">
        <is>
          <t>Forecast covenant breach</t>
        </is>
      </c>
      <c r="C117" s="3" t="inlineStr">
        <is>
          <t>text</t>
        </is>
      </c>
      <c r="D117" s="3" t="inlineStr">
        <is>
          <t>Breach forecast if Forecast net debt ÷ Forecast 12-month EBITDA exceeds the covenant limit  [Quarter end]</t>
        </is>
      </c>
      <c r="E117" s="8">
        <f>'Owner KPIs'!K117</f>
        <v/>
      </c>
      <c r="F117" s="3" t="inlineStr">
        <is>
          <t>Not forecast</t>
        </is>
      </c>
      <c r="G117" s="7" t="inlineStr">
        <is>
          <t>Same</t>
        </is>
      </c>
      <c r="H117" s="3" t="inlineStr">
        <is>
          <t>O-02</t>
        </is>
      </c>
      <c r="I117" s="3" t="inlineStr">
        <is>
          <t>Synthetic inputs added for this model</t>
        </is>
      </c>
    </row>
    <row r="118">
      <c r="A118" s="2" t="inlineStr">
        <is>
          <t>PRD-006</t>
        </is>
      </c>
      <c r="B118" s="3" t="inlineStr">
        <is>
          <t>Production loss from downtime, next month</t>
        </is>
      </c>
      <c r="C118" s="3" t="inlineStr">
        <is>
          <t>kt</t>
        </is>
      </c>
      <c r="D118" s="3" t="inlineStr">
        <is>
          <t>Forecast production lost to downtime next month ÷ 1000  [Next month]</t>
        </is>
      </c>
      <c r="E118" s="21">
        <f>'Owner KPIs'!K118</f>
        <v/>
      </c>
      <c r="F118" s="3" t="inlineStr">
        <is>
          <t>Not on a screen</t>
        </is>
      </c>
      <c r="G118" s="5" t="inlineStr">
        <is>
          <t>—</t>
        </is>
      </c>
      <c r="H118" s="3" t="inlineStr">
        <is>
          <t>—</t>
        </is>
      </c>
      <c r="I118" s="3" t="inlineStr">
        <is>
          <t>Synthetic inputs added for this model</t>
        </is>
      </c>
    </row>
    <row r="119">
      <c r="A119" s="2" t="inlineStr">
        <is>
          <t>PRD-007</t>
        </is>
      </c>
      <c r="B119" s="3" t="inlineStr">
        <is>
          <t>Probability OEE below 78%, next month</t>
        </is>
      </c>
      <c r="C119" s="3" t="inlineStr">
        <is>
          <t>%</t>
        </is>
      </c>
      <c r="D119" s="3" t="inlineStr">
        <is>
          <t>Chance that Forecast good output &lt; 78% × Ideal output next month (same distribution as PRD-002)  [Next month]</t>
        </is>
      </c>
      <c r="E119" s="21">
        <f>'Owner KPIs'!K119</f>
        <v/>
      </c>
      <c r="F119" s="3" t="inlineStr">
        <is>
          <t>Not on a screen</t>
        </is>
      </c>
      <c r="G119" s="5" t="inlineStr">
        <is>
          <t>—</t>
        </is>
      </c>
      <c r="H119" s="3" t="inlineStr">
        <is>
          <t>—</t>
        </is>
      </c>
      <c r="I119" s="3" t="inlineStr">
        <is>
          <t>Synthetic inputs added for this model</t>
        </is>
      </c>
    </row>
  </sheetData>
  <autoFilter ref="A1:I119"/>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119"/>
  <sheetViews>
    <sheetView tabSelected="1" workbookViewId="0">
      <pane xSplit="2" ySplit="1" topLeftCell="C2" activePane="bottomRight" state="frozen"/>
      <selection pane="topRight" activeCell="C1" sqref="C1"/>
      <selection pane="bottomLeft" activeCell="A2" sqref="A2"/>
      <selection pane="bottomRight" activeCell="A1" sqref="A1"/>
    </sheetView>
  </sheetViews>
  <sheetFormatPr baseColWidth="8" defaultRowHeight="15"/>
  <cols>
    <col width="10.7109375" customWidth="1" min="1" max="1"/>
    <col width="32.7109375" customWidth="1" min="2" max="2"/>
    <col width="11.7109375" customWidth="1" min="3" max="3"/>
    <col width="13.7109375" customWidth="1" min="4" max="4"/>
    <col width="52.7109375" customWidth="1" min="5" max="5"/>
    <col width="13.7109375" customWidth="1" min="6" max="11"/>
    <col width="34.7109375" customWidth="1" min="12" max="12"/>
    <col width="26.7109375" customWidth="1" min="13" max="13"/>
    <col width="40.7109375" customWidth="1" min="14" max="14"/>
  </cols>
  <sheetData>
    <row r="1">
      <c r="A1" s="1" t="inlineStr">
        <is>
          <t>KPI ID</t>
        </is>
      </c>
      <c r="B1" s="1" t="inlineStr">
        <is>
          <t>Measure</t>
        </is>
      </c>
      <c r="C1" s="1" t="inlineStr">
        <is>
          <t>Unit</t>
        </is>
      </c>
      <c r="D1" s="1" t="inlineStr">
        <is>
          <t>Time basis</t>
        </is>
      </c>
      <c r="E1" s="1" t="inlineStr">
        <is>
          <t>How it is calculated</t>
        </is>
      </c>
      <c r="F1" s="1" t="inlineStr">
        <is>
          <t>2026-04 (P01)</t>
        </is>
      </c>
      <c r="G1" s="1" t="inlineStr">
        <is>
          <t>2026-05 (P02)</t>
        </is>
      </c>
      <c r="H1" s="1" t="inlineStr">
        <is>
          <t>2026-06 (P03)</t>
        </is>
      </c>
      <c r="I1" s="1" t="inlineStr">
        <is>
          <t>2026-07 (P04)</t>
        </is>
      </c>
      <c r="J1" s="1" t="inlineStr">
        <is>
          <t>2026-08 (P05)</t>
        </is>
      </c>
      <c r="K1" s="1" t="inlineStr">
        <is>
          <t>2026-09 (P06)</t>
        </is>
      </c>
      <c r="L1" s="1" t="inlineStr">
        <is>
          <t>Shown on Owner screens today (value and screens)</t>
        </is>
      </c>
      <c r="M1" s="1" t="inlineStr">
        <is>
          <t>Owner screens</t>
        </is>
      </c>
      <c r="N1" s="1" t="inlineStr">
        <is>
          <t>Inputs used (Group Inputs columns)</t>
        </is>
      </c>
    </row>
    <row r="2">
      <c r="A2" s="2" t="inlineStr">
        <is>
          <t>OPS-001</t>
        </is>
      </c>
      <c r="B2" s="3" t="inlineStr">
        <is>
          <t>Production vs plan</t>
        </is>
      </c>
      <c r="C2" s="3" t="inlineStr">
        <is>
          <t>%</t>
        </is>
      </c>
      <c r="D2" s="3" t="inlineStr">
        <is>
          <t>Month</t>
        </is>
      </c>
      <c r="E2" s="3" t="inlineStr">
        <is>
          <t>Good output ÷ Planned production × 100</t>
        </is>
      </c>
      <c r="F2" s="21">
        <f>ROUND(IFERROR(100*'Group Inputs'!M4/'Group Inputs'!K4,0),2)</f>
        <v/>
      </c>
      <c r="G2" s="21">
        <f>ROUND(IFERROR(100*'Group Inputs'!M5/'Group Inputs'!K5,0),2)</f>
        <v/>
      </c>
      <c r="H2" s="21">
        <f>ROUND(IFERROR(100*'Group Inputs'!M6/'Group Inputs'!K6,0),2)</f>
        <v/>
      </c>
      <c r="I2" s="21">
        <f>ROUND(IFERROR(100*'Group Inputs'!M7/'Group Inputs'!K7,0),2)</f>
        <v/>
      </c>
      <c r="J2" s="21">
        <f>ROUND(IFERROR(100*'Group Inputs'!M8/'Group Inputs'!K8,0),2)</f>
        <v/>
      </c>
      <c r="K2" s="21">
        <f>ROUND(IFERROR(100*'Group Inputs'!M9/'Group Inputs'!K9,0),2)</f>
        <v/>
      </c>
      <c r="L2" s="3" t="inlineStr">
        <is>
          <t>98.1 % of plan (O-01, STATE GALLERY); 103.2 % of plan (flash) (S-03); 100.2 % of plan (S-10); 95.5 % of plan (O-09)</t>
        </is>
      </c>
      <c r="M2" s="3" t="inlineStr">
        <is>
          <t>O-01, O-01 · large display ≥ 1600, O-09, S-03 · Owner view, S-10, STATE GALLERY · O-01 + S-02</t>
        </is>
      </c>
      <c r="N2" s="3" t="inlineStr">
        <is>
          <t>planned_production_t, good_output_t</t>
        </is>
      </c>
    </row>
    <row r="3">
      <c r="A3" s="2" t="inlineStr">
        <is>
          <t>OPS-003</t>
        </is>
      </c>
      <c r="B3" s="3" t="inlineStr">
        <is>
          <t>Capacity utilization</t>
        </is>
      </c>
      <c r="C3" s="3" t="inlineStr">
        <is>
          <t>%</t>
        </is>
      </c>
      <c r="D3" s="3" t="inlineStr">
        <is>
          <t>Month</t>
        </is>
      </c>
      <c r="E3" s="3" t="inlineStr">
        <is>
          <t>Good output ÷ Installed capacity × 100</t>
        </is>
      </c>
      <c r="F3" s="21">
        <f>ROUND(IFERROR(100*'Group Inputs'!M4/'Group Inputs'!J4,0),2)</f>
        <v/>
      </c>
      <c r="G3" s="21">
        <f>ROUND(IFERROR(100*'Group Inputs'!M5/'Group Inputs'!J5,0),2)</f>
        <v/>
      </c>
      <c r="H3" s="21">
        <f>ROUND(IFERROR(100*'Group Inputs'!M6/'Group Inputs'!J6,0),2)</f>
        <v/>
      </c>
      <c r="I3" s="21">
        <f>ROUND(IFERROR(100*'Group Inputs'!M7/'Group Inputs'!J7,0),2)</f>
        <v/>
      </c>
      <c r="J3" s="21">
        <f>ROUND(IFERROR(100*'Group Inputs'!M8/'Group Inputs'!J8,0),2)</f>
        <v/>
      </c>
      <c r="K3" s="21">
        <f>ROUND(IFERROR(100*'Group Inputs'!M9/'Group Inputs'!J9,0),2)</f>
        <v/>
      </c>
      <c r="L3" s="3" t="inlineStr">
        <is>
          <t>86% (O-01, STATE GALLERY)</t>
        </is>
      </c>
      <c r="M3" s="3" t="inlineStr">
        <is>
          <t>O-01, O-01 · large display ≥ 1600, STATE GALLERY · O-01 + S-02</t>
        </is>
      </c>
      <c r="N3" s="3" t="inlineStr">
        <is>
          <t>installed_capacity_t, good_output_t</t>
        </is>
      </c>
    </row>
    <row r="4">
      <c r="A4" s="2" t="inlineStr">
        <is>
          <t>REL-001</t>
        </is>
      </c>
      <c r="B4" s="3" t="inlineStr">
        <is>
          <t>MTBF</t>
        </is>
      </c>
      <c r="C4" s="3" t="inlineStr">
        <is>
          <t>h</t>
        </is>
      </c>
      <c r="D4" s="3" t="inlineStr">
        <is>
          <t>Month</t>
        </is>
      </c>
      <c r="E4" s="3" t="inlineStr">
        <is>
          <t>Run hours ÷ Breakdowns</t>
        </is>
      </c>
      <c r="F4" s="21">
        <f>ROUND(IFERROR('Group Inputs'!G4/'Group Inputs'!R4,0),2)</f>
        <v/>
      </c>
      <c r="G4" s="21">
        <f>ROUND(IFERROR('Group Inputs'!G5/'Group Inputs'!R5,0),2)</f>
        <v/>
      </c>
      <c r="H4" s="21">
        <f>ROUND(IFERROR('Group Inputs'!G6/'Group Inputs'!R6,0),2)</f>
        <v/>
      </c>
      <c r="I4" s="21">
        <f>ROUND(IFERROR('Group Inputs'!G7/'Group Inputs'!R7,0),2)</f>
        <v/>
      </c>
      <c r="J4" s="21">
        <f>ROUND(IFERROR('Group Inputs'!G8/'Group Inputs'!R8,0),2)</f>
        <v/>
      </c>
      <c r="K4" s="21">
        <f>ROUND(IFERROR('Group Inputs'!G9/'Group Inputs'!R9,0),2)</f>
        <v/>
      </c>
      <c r="L4" s="3" t="inlineStr">
        <is>
          <t>270 h (O-09)</t>
        </is>
      </c>
      <c r="M4" s="3" t="inlineStr">
        <is>
          <t>O-09</t>
        </is>
      </c>
      <c r="N4" s="3" t="inlineStr">
        <is>
          <t>run_hours, failures</t>
        </is>
      </c>
    </row>
    <row r="5">
      <c r="A5" s="2" t="inlineStr">
        <is>
          <t>REL-002</t>
        </is>
      </c>
      <c r="B5" s="3" t="inlineStr">
        <is>
          <t>Mean Time to Repair</t>
        </is>
      </c>
      <c r="C5" s="3" t="inlineStr">
        <is>
          <t>h</t>
        </is>
      </c>
      <c r="D5" s="3" t="inlineStr">
        <is>
          <t>Month</t>
        </is>
      </c>
      <c r="E5" s="3" t="inlineStr">
        <is>
          <t>Repair hours ÷ Breakdowns</t>
        </is>
      </c>
      <c r="F5" s="21">
        <f>ROUND(IFERROR('Group Inputs'!S4/'Group Inputs'!R4,0),2)</f>
        <v/>
      </c>
      <c r="G5" s="21">
        <f>ROUND(IFERROR('Group Inputs'!S5/'Group Inputs'!R5,0),2)</f>
        <v/>
      </c>
      <c r="H5" s="21">
        <f>ROUND(IFERROR('Group Inputs'!S6/'Group Inputs'!R6,0),2)</f>
        <v/>
      </c>
      <c r="I5" s="21">
        <f>ROUND(IFERROR('Group Inputs'!S7/'Group Inputs'!R7,0),2)</f>
        <v/>
      </c>
      <c r="J5" s="21">
        <f>ROUND(IFERROR('Group Inputs'!S8/'Group Inputs'!R8,0),2)</f>
        <v/>
      </c>
      <c r="K5" s="21">
        <f>ROUND(IFERROR('Group Inputs'!S9/'Group Inputs'!R9,0),2)</f>
        <v/>
      </c>
      <c r="L5" s="3" t="inlineStr">
        <is>
          <t>Not on a screen</t>
        </is>
      </c>
      <c r="M5" s="3" t="inlineStr">
        <is>
          <t>—</t>
        </is>
      </c>
      <c r="N5" s="3" t="inlineStr">
        <is>
          <t>failures, repair_hours</t>
        </is>
      </c>
    </row>
    <row r="6">
      <c r="A6" s="2" t="inlineStr">
        <is>
          <t>REL-003</t>
        </is>
      </c>
      <c r="B6" s="3" t="inlineStr">
        <is>
          <t>Unplanned downtime</t>
        </is>
      </c>
      <c r="C6" s="3" t="inlineStr">
        <is>
          <t>h</t>
        </is>
      </c>
      <c r="D6" s="3" t="inlineStr">
        <is>
          <t>Month</t>
        </is>
      </c>
      <c r="E6" s="3" t="inlineStr">
        <is>
          <t>Unplanned downtime</t>
        </is>
      </c>
      <c r="F6" s="21">
        <f>ROUND('Group Inputs'!H4,2)</f>
        <v/>
      </c>
      <c r="G6" s="21">
        <f>ROUND('Group Inputs'!H5,2)</f>
        <v/>
      </c>
      <c r="H6" s="21">
        <f>ROUND('Group Inputs'!H6,2)</f>
        <v/>
      </c>
      <c r="I6" s="21">
        <f>ROUND('Group Inputs'!H7,2)</f>
        <v/>
      </c>
      <c r="J6" s="21">
        <f>ROUND('Group Inputs'!H8,2)</f>
        <v/>
      </c>
      <c r="K6" s="21">
        <f>ROUND('Group Inputs'!H9,2)</f>
        <v/>
      </c>
      <c r="L6" s="3" t="inlineStr">
        <is>
          <t>Not on a screen</t>
        </is>
      </c>
      <c r="M6" s="3" t="inlineStr">
        <is>
          <t>—</t>
        </is>
      </c>
      <c r="N6" s="3" t="inlineStr">
        <is>
          <t>unplanned_downtime_hours</t>
        </is>
      </c>
    </row>
    <row r="7">
      <c r="A7" s="2" t="inlineStr">
        <is>
          <t>REL-005</t>
        </is>
      </c>
      <c r="B7" s="3" t="inlineStr">
        <is>
          <t>Preventive-maintenance compliance</t>
        </is>
      </c>
      <c r="C7" s="3" t="inlineStr">
        <is>
          <t>%</t>
        </is>
      </c>
      <c r="D7" s="3" t="inlineStr">
        <is>
          <t>Month</t>
        </is>
      </c>
      <c r="E7" s="3" t="inlineStr">
        <is>
          <t>Preventive maintenance completed ÷ Preventive maintenance scheduled × 100</t>
        </is>
      </c>
      <c r="F7" s="21">
        <f>ROUND(IFERROR(100*'Group Inputs'!U4/'Group Inputs'!T4,0),2)</f>
        <v/>
      </c>
      <c r="G7" s="21">
        <f>ROUND(IFERROR(100*'Group Inputs'!U5/'Group Inputs'!T5,0),2)</f>
        <v/>
      </c>
      <c r="H7" s="21">
        <f>ROUND(IFERROR(100*'Group Inputs'!U6/'Group Inputs'!T6,0),2)</f>
        <v/>
      </c>
      <c r="I7" s="21">
        <f>ROUND(IFERROR(100*'Group Inputs'!U7/'Group Inputs'!T7,0),2)</f>
        <v/>
      </c>
      <c r="J7" s="21">
        <f>ROUND(IFERROR(100*'Group Inputs'!U8/'Group Inputs'!T8,0),2)</f>
        <v/>
      </c>
      <c r="K7" s="21">
        <f>ROUND(IFERROR(100*'Group Inputs'!U9/'Group Inputs'!T9,0),2)</f>
        <v/>
      </c>
      <c r="L7" s="3" t="inlineStr">
        <is>
          <t>Not on a screen</t>
        </is>
      </c>
      <c r="M7" s="3" t="inlineStr">
        <is>
          <t>—</t>
        </is>
      </c>
      <c r="N7" s="3" t="inlineStr">
        <is>
          <t>pm_scheduled, pm_completed</t>
        </is>
      </c>
    </row>
    <row r="8">
      <c r="A8" s="2" t="inlineStr">
        <is>
          <t>CST-001</t>
        </is>
      </c>
      <c r="B8" s="3" t="inlineStr">
        <is>
          <t>Cost per tonne</t>
        </is>
      </c>
      <c r="C8" s="3" t="inlineStr">
        <is>
          <t>₹/t</t>
        </is>
      </c>
      <c r="D8" s="3" t="inlineStr">
        <is>
          <t>Month</t>
        </is>
      </c>
      <c r="E8" s="3" t="inlineStr">
        <is>
          <t>(Variable cost + Fixed cost) × 1000 ÷ Good output</t>
        </is>
      </c>
      <c r="F8" s="21">
        <f>ROUND(IFERROR(1000*('Group Inputs'!V4+'Group Inputs'!X4)/'Group Inputs'!M4,0),2)</f>
        <v/>
      </c>
      <c r="G8" s="21">
        <f>ROUND(IFERROR(1000*('Group Inputs'!V5+'Group Inputs'!X5)/'Group Inputs'!M5,0),2)</f>
        <v/>
      </c>
      <c r="H8" s="21">
        <f>ROUND(IFERROR(1000*('Group Inputs'!V6+'Group Inputs'!X6)/'Group Inputs'!M6,0),2)</f>
        <v/>
      </c>
      <c r="I8" s="21">
        <f>ROUND(IFERROR(1000*('Group Inputs'!V7+'Group Inputs'!X7)/'Group Inputs'!M7,0),2)</f>
        <v/>
      </c>
      <c r="J8" s="21">
        <f>ROUND(IFERROR(1000*('Group Inputs'!V8+'Group Inputs'!X8)/'Group Inputs'!M8,0),2)</f>
        <v/>
      </c>
      <c r="K8" s="21">
        <f>ROUND(IFERROR(1000*('Group Inputs'!V9+'Group Inputs'!X9)/'Group Inputs'!M9,0),2)</f>
        <v/>
      </c>
      <c r="L8" s="3" t="inlineStr">
        <is>
          <t>Not on a screen; 2,934 ₹/t (O-09)</t>
        </is>
      </c>
      <c r="M8" s="3" t="inlineStr">
        <is>
          <t>O-09, —</t>
        </is>
      </c>
      <c r="N8" s="3" t="inlineStr">
        <is>
          <t>good_output_t, variable_cost_k, fixed_cost_k</t>
        </is>
      </c>
    </row>
    <row r="9">
      <c r="A9" s="2" t="inlineStr">
        <is>
          <t>CST-002</t>
        </is>
      </c>
      <c r="B9" s="3" t="inlineStr">
        <is>
          <t>Variable cost</t>
        </is>
      </c>
      <c r="C9" s="3" t="inlineStr">
        <is>
          <t>₹ thousand</t>
        </is>
      </c>
      <c r="D9" s="3" t="inlineStr">
        <is>
          <t>Month</t>
        </is>
      </c>
      <c r="E9" s="3" t="inlineStr">
        <is>
          <t>Variable cost</t>
        </is>
      </c>
      <c r="F9" s="21">
        <f>ROUND('Group Inputs'!V4,2)</f>
        <v/>
      </c>
      <c r="G9" s="21">
        <f>ROUND('Group Inputs'!V5,2)</f>
        <v/>
      </c>
      <c r="H9" s="21">
        <f>ROUND('Group Inputs'!V6,2)</f>
        <v/>
      </c>
      <c r="I9" s="21">
        <f>ROUND('Group Inputs'!V7,2)</f>
        <v/>
      </c>
      <c r="J9" s="21">
        <f>ROUND('Group Inputs'!V8,2)</f>
        <v/>
      </c>
      <c r="K9" s="21">
        <f>ROUND('Group Inputs'!V9,2)</f>
        <v/>
      </c>
      <c r="L9" s="3" t="inlineStr">
        <is>
          <t>Not on a screen</t>
        </is>
      </c>
      <c r="M9" s="3" t="inlineStr">
        <is>
          <t>—</t>
        </is>
      </c>
      <c r="N9" s="3" t="inlineStr">
        <is>
          <t>variable_cost_k</t>
        </is>
      </c>
    </row>
    <row r="10">
      <c r="A10" s="2" t="inlineStr">
        <is>
          <t>CST-003</t>
        </is>
      </c>
      <c r="B10" s="3" t="inlineStr">
        <is>
          <t>Fuel cost</t>
        </is>
      </c>
      <c r="C10" s="3" t="inlineStr">
        <is>
          <t>₹ thousand</t>
        </is>
      </c>
      <c r="D10" s="3" t="inlineStr">
        <is>
          <t>Month</t>
        </is>
      </c>
      <c r="E10" s="3" t="inlineStr">
        <is>
          <t>Fuel cost</t>
        </is>
      </c>
      <c r="F10" s="21">
        <f>ROUND('Group Inputs'!W4,2)</f>
        <v/>
      </c>
      <c r="G10" s="21">
        <f>ROUND('Group Inputs'!W5,2)</f>
        <v/>
      </c>
      <c r="H10" s="21">
        <f>ROUND('Group Inputs'!W6,2)</f>
        <v/>
      </c>
      <c r="I10" s="21">
        <f>ROUND('Group Inputs'!W7,2)</f>
        <v/>
      </c>
      <c r="J10" s="21">
        <f>ROUND('Group Inputs'!W8,2)</f>
        <v/>
      </c>
      <c r="K10" s="21">
        <f>ROUND('Group Inputs'!W9,2)</f>
        <v/>
      </c>
      <c r="L10" s="3" t="inlineStr">
        <is>
          <t>Not on a screen</t>
        </is>
      </c>
      <c r="M10" s="3" t="inlineStr">
        <is>
          <t>—</t>
        </is>
      </c>
      <c r="N10" s="3" t="inlineStr">
        <is>
          <t>fuel_cost_k</t>
        </is>
      </c>
    </row>
    <row r="11">
      <c r="A11" s="2" t="inlineStr">
        <is>
          <t>SUS-001</t>
        </is>
      </c>
      <c r="B11" s="3" t="inlineStr">
        <is>
          <t>Water usage</t>
        </is>
      </c>
      <c r="C11" s="3" t="inlineStr">
        <is>
          <t>m3</t>
        </is>
      </c>
      <c r="D11" s="3" t="inlineStr">
        <is>
          <t>Month</t>
        </is>
      </c>
      <c r="E11" s="3" t="inlineStr">
        <is>
          <t>Water used</t>
        </is>
      </c>
      <c r="F11" s="21">
        <f>ROUND('Group Inputs'!Y4,2)</f>
        <v/>
      </c>
      <c r="G11" s="21">
        <f>ROUND('Group Inputs'!Y5,2)</f>
        <v/>
      </c>
      <c r="H11" s="21">
        <f>ROUND('Group Inputs'!Y6,2)</f>
        <v/>
      </c>
      <c r="I11" s="21">
        <f>ROUND('Group Inputs'!Y7,2)</f>
        <v/>
      </c>
      <c r="J11" s="21">
        <f>ROUND('Group Inputs'!Y8,2)</f>
        <v/>
      </c>
      <c r="K11" s="21">
        <f>ROUND('Group Inputs'!Y9,2)</f>
        <v/>
      </c>
      <c r="L11" s="3" t="inlineStr">
        <is>
          <t>3.1 m³/t (O-05)</t>
        </is>
      </c>
      <c r="M11" s="3" t="inlineStr">
        <is>
          <t>O-05</t>
        </is>
      </c>
      <c r="N11" s="3" t="inlineStr">
        <is>
          <t>water_m3</t>
        </is>
      </c>
    </row>
    <row r="12">
      <c r="A12" s="2" t="inlineStr">
        <is>
          <t>SUS-002</t>
        </is>
      </c>
      <c r="B12" s="3" t="inlineStr">
        <is>
          <t>Emissions</t>
        </is>
      </c>
      <c r="C12" s="3" t="inlineStr">
        <is>
          <t>tCO2e</t>
        </is>
      </c>
      <c r="D12" s="3" t="inlineStr">
        <is>
          <t>Month</t>
        </is>
      </c>
      <c r="E12" s="3" t="inlineStr">
        <is>
          <t>Emissions</t>
        </is>
      </c>
      <c r="F12" s="21">
        <f>ROUND('Group Inputs'!Z4,2)</f>
        <v/>
      </c>
      <c r="G12" s="21">
        <f>ROUND('Group Inputs'!Z5,2)</f>
        <v/>
      </c>
      <c r="H12" s="21">
        <f>ROUND('Group Inputs'!Z6,2)</f>
        <v/>
      </c>
      <c r="I12" s="21">
        <f>ROUND('Group Inputs'!Z7,2)</f>
        <v/>
      </c>
      <c r="J12" s="21">
        <f>ROUND('Group Inputs'!Z8,2)</f>
        <v/>
      </c>
      <c r="K12" s="21">
        <f>ROUND('Group Inputs'!Z9,2)</f>
        <v/>
      </c>
      <c r="L12" s="3" t="inlineStr">
        <is>
          <t>0.82 tCO2e/t (O-05)</t>
        </is>
      </c>
      <c r="M12" s="3" t="inlineStr">
        <is>
          <t>O-05</t>
        </is>
      </c>
      <c r="N12" s="3" t="inlineStr">
        <is>
          <t>emissions_tco2e</t>
        </is>
      </c>
    </row>
    <row r="13">
      <c r="A13" s="2" t="inlineStr">
        <is>
          <t>SUS-003</t>
        </is>
      </c>
      <c r="B13" s="3" t="inlineStr">
        <is>
          <t>Energy intensity</t>
        </is>
      </c>
      <c r="C13" s="3" t="inlineStr">
        <is>
          <t>GJ/t</t>
        </is>
      </c>
      <c r="D13" s="3" t="inlineStr">
        <is>
          <t>Month</t>
        </is>
      </c>
      <c r="E13" s="3" t="inlineStr">
        <is>
          <t>Energy used ÷ Good output</t>
        </is>
      </c>
      <c r="F13" s="21">
        <f>ROUND(IFERROR('Group Inputs'!AA4/'Group Inputs'!M4,0),2)</f>
        <v/>
      </c>
      <c r="G13" s="21">
        <f>ROUND(IFERROR('Group Inputs'!AA5/'Group Inputs'!M5,0),2)</f>
        <v/>
      </c>
      <c r="H13" s="21">
        <f>ROUND(IFERROR('Group Inputs'!AA6/'Group Inputs'!M6,0),2)</f>
        <v/>
      </c>
      <c r="I13" s="21">
        <f>ROUND(IFERROR('Group Inputs'!AA7/'Group Inputs'!M7,0),2)</f>
        <v/>
      </c>
      <c r="J13" s="21">
        <f>ROUND(IFERROR('Group Inputs'!AA8/'Group Inputs'!M8,0),2)</f>
        <v/>
      </c>
      <c r="K13" s="21">
        <f>ROUND(IFERROR('Group Inputs'!AA9/'Group Inputs'!M9,0),2)</f>
        <v/>
      </c>
      <c r="L13" s="3" t="inlineStr">
        <is>
          <t>5.2 GJ/t (O-05)</t>
        </is>
      </c>
      <c r="M13" s="3" t="inlineStr">
        <is>
          <t>O-05</t>
        </is>
      </c>
      <c r="N13" s="3" t="inlineStr">
        <is>
          <t>good_output_t, energy_gj</t>
        </is>
      </c>
    </row>
    <row r="14">
      <c r="A14" s="2" t="inlineStr">
        <is>
          <t>SIG-007</t>
        </is>
      </c>
      <c r="B14" s="3" t="inlineStr">
        <is>
          <t>Production at risk</t>
        </is>
      </c>
      <c r="C14" s="3" t="inlineStr">
        <is>
          <t>t</t>
        </is>
      </c>
      <c r="D14" s="3" t="inlineStr">
        <is>
          <t>Month</t>
        </is>
      </c>
      <c r="E14" s="3" t="inlineStr">
        <is>
          <t>Production at risk</t>
        </is>
      </c>
      <c r="F14" s="21">
        <f>ROUND('Group Inputs'!AB4,2)</f>
        <v/>
      </c>
      <c r="G14" s="21">
        <f>ROUND('Group Inputs'!AB5,2)</f>
        <v/>
      </c>
      <c r="H14" s="21">
        <f>ROUND('Group Inputs'!AB6,2)</f>
        <v/>
      </c>
      <c r="I14" s="21">
        <f>ROUND('Group Inputs'!AB7,2)</f>
        <v/>
      </c>
      <c r="J14" s="21">
        <f>ROUND('Group Inputs'!AB8,2)</f>
        <v/>
      </c>
      <c r="K14" s="21">
        <f>ROUND('Group Inputs'!AB9,2)</f>
        <v/>
      </c>
      <c r="L14" s="3" t="inlineStr">
        <is>
          <t>18.4 kt (FCST) (S-10)</t>
        </is>
      </c>
      <c r="M14" s="3" t="inlineStr">
        <is>
          <t>S-10</t>
        </is>
      </c>
      <c r="N14" s="3" t="inlineStr">
        <is>
          <t>production_at_risk_t</t>
        </is>
      </c>
    </row>
    <row r="15">
      <c r="A15" s="2" t="inlineStr">
        <is>
          <t>SIG-009</t>
        </is>
      </c>
      <c r="B15" s="3" t="inlineStr">
        <is>
          <t>Critical-material shortage risk</t>
        </is>
      </c>
      <c r="C15" s="3" t="inlineStr">
        <is>
          <t>count</t>
        </is>
      </c>
      <c r="D15" s="3" t="inlineStr">
        <is>
          <t>Month</t>
        </is>
      </c>
      <c r="E15" s="3" t="inlineStr">
        <is>
          <t>Critical materials at risk</t>
        </is>
      </c>
      <c r="F15" s="21">
        <f>ROUND('Group Inputs'!AO4,2)</f>
        <v/>
      </c>
      <c r="G15" s="21">
        <f>ROUND('Group Inputs'!AO5,2)</f>
        <v/>
      </c>
      <c r="H15" s="21">
        <f>ROUND('Group Inputs'!AO6,2)</f>
        <v/>
      </c>
      <c r="I15" s="21">
        <f>ROUND('Group Inputs'!AO7,2)</f>
        <v/>
      </c>
      <c r="J15" s="21">
        <f>ROUND('Group Inputs'!AO8,2)</f>
        <v/>
      </c>
      <c r="K15" s="21">
        <f>ROUND('Group Inputs'!AO9,2)</f>
        <v/>
      </c>
      <c r="L15" s="3" t="inlineStr">
        <is>
          <t>3.5 days of cover (S-10)</t>
        </is>
      </c>
      <c r="M15" s="3" t="inlineStr">
        <is>
          <t>S-10</t>
        </is>
      </c>
      <c r="N15" s="3" t="inlineStr">
        <is>
          <t>critical_material_risks</t>
        </is>
      </c>
    </row>
    <row r="16">
      <c r="A16" s="2" t="inlineStr">
        <is>
          <t>SIG-012</t>
        </is>
      </c>
      <c r="B16" s="3" t="inlineStr">
        <is>
          <t>Dispatch delays</t>
        </is>
      </c>
      <c r="C16" s="3" t="inlineStr">
        <is>
          <t>%</t>
        </is>
      </c>
      <c r="D16" s="3" t="inlineStr">
        <is>
          <t>Month</t>
        </is>
      </c>
      <c r="E16" s="3" t="inlineStr">
        <is>
          <t>Delayed dispatches ÷ Dispatches × 100</t>
        </is>
      </c>
      <c r="F16" s="21">
        <f>ROUND(IFERROR(100*'Group Inputs'!AQ4/'Group Inputs'!AP4,0),2)</f>
        <v/>
      </c>
      <c r="G16" s="21">
        <f>ROUND(IFERROR(100*'Group Inputs'!AQ5/'Group Inputs'!AP5,0),2)</f>
        <v/>
      </c>
      <c r="H16" s="21">
        <f>ROUND(IFERROR(100*'Group Inputs'!AQ6/'Group Inputs'!AP6,0),2)</f>
        <v/>
      </c>
      <c r="I16" s="21">
        <f>ROUND(IFERROR(100*'Group Inputs'!AQ7/'Group Inputs'!AP7,0),2)</f>
        <v/>
      </c>
      <c r="J16" s="21">
        <f>ROUND(IFERROR(100*'Group Inputs'!AQ8/'Group Inputs'!AP8,0),2)</f>
        <v/>
      </c>
      <c r="K16" s="21">
        <f>ROUND(IFERROR(100*'Group Inputs'!AQ9/'Group Inputs'!AP9,0),2)</f>
        <v/>
      </c>
      <c r="L16" s="3" t="inlineStr">
        <is>
          <t>2–4 days (S-11)</t>
        </is>
      </c>
      <c r="M16" s="3" t="inlineStr">
        <is>
          <t>S-11</t>
        </is>
      </c>
      <c r="N16" s="3" t="inlineStr">
        <is>
          <t>dispatches_total, dispatches_delayed</t>
        </is>
      </c>
    </row>
    <row r="17">
      <c r="A17" s="2" t="inlineStr">
        <is>
          <t>EHS-001</t>
        </is>
      </c>
      <c r="B17" s="3" t="inlineStr">
        <is>
          <t>TRIR</t>
        </is>
      </c>
      <c r="C17" s="3" t="inlineStr">
        <is>
          <t>per 200,000 h</t>
        </is>
      </c>
      <c r="D17" s="3" t="inlineStr">
        <is>
          <t>Month</t>
        </is>
      </c>
      <c r="E17" s="3" t="inlineStr">
        <is>
          <t>Recordable injuries × 200,000 ÷ Hours worked</t>
        </is>
      </c>
      <c r="F17" s="21">
        <f>ROUND(IFERROR(200000*'Group Inputs'!AE4/'Group Inputs'!AD4,0),2)</f>
        <v/>
      </c>
      <c r="G17" s="21">
        <f>ROUND(IFERROR(200000*'Group Inputs'!AE5/'Group Inputs'!AD5,0),2)</f>
        <v/>
      </c>
      <c r="H17" s="21">
        <f>ROUND(IFERROR(200000*'Group Inputs'!AE6/'Group Inputs'!AD6,0),2)</f>
        <v/>
      </c>
      <c r="I17" s="21">
        <f>ROUND(IFERROR(200000*'Group Inputs'!AE7/'Group Inputs'!AD7,0),2)</f>
        <v/>
      </c>
      <c r="J17" s="21">
        <f>ROUND(IFERROR(200000*'Group Inputs'!AE8/'Group Inputs'!AD8,0),2)</f>
        <v/>
      </c>
      <c r="K17" s="21">
        <f>ROUND(IFERROR(200000*'Group Inputs'!AE9/'Group Inputs'!AD9,0),2)</f>
        <v/>
      </c>
      <c r="L17" s="3" t="inlineStr">
        <is>
          <t>0.42 (O-05)</t>
        </is>
      </c>
      <c r="M17" s="3" t="inlineStr">
        <is>
          <t>O-05</t>
        </is>
      </c>
      <c r="N17" s="3" t="inlineStr">
        <is>
          <t>hours_worked, recordable_injuries</t>
        </is>
      </c>
    </row>
    <row r="18">
      <c r="A18" s="2" t="inlineStr">
        <is>
          <t>EHS-002</t>
        </is>
      </c>
      <c r="B18" s="3" t="inlineStr">
        <is>
          <t>Severity incidents</t>
        </is>
      </c>
      <c r="C18" s="3" t="inlineStr">
        <is>
          <t>count</t>
        </is>
      </c>
      <c r="D18" s="3" t="inlineStr">
        <is>
          <t>Month</t>
        </is>
      </c>
      <c r="E18" s="3" t="inlineStr">
        <is>
          <t>Severity incidents</t>
        </is>
      </c>
      <c r="F18" s="21">
        <f>ROUND('Group Inputs'!AF4,2)</f>
        <v/>
      </c>
      <c r="G18" s="21">
        <f>ROUND('Group Inputs'!AF5,2)</f>
        <v/>
      </c>
      <c r="H18" s="21">
        <f>ROUND('Group Inputs'!AF6,2)</f>
        <v/>
      </c>
      <c r="I18" s="21">
        <f>ROUND('Group Inputs'!AF7,2)</f>
        <v/>
      </c>
      <c r="J18" s="21">
        <f>ROUND('Group Inputs'!AF8,2)</f>
        <v/>
      </c>
      <c r="K18" s="21">
        <f>ROUND('Group Inputs'!AF9,2)</f>
        <v/>
      </c>
      <c r="L18" s="3" t="inlineStr">
        <is>
          <t>0 (O-05)</t>
        </is>
      </c>
      <c r="M18" s="3" t="inlineStr">
        <is>
          <t>O-05</t>
        </is>
      </c>
      <c r="N18" s="3" t="inlineStr">
        <is>
          <t>severity_incidents</t>
        </is>
      </c>
    </row>
    <row r="19">
      <c r="A19" s="2" t="inlineStr">
        <is>
          <t>EHS-003</t>
        </is>
      </c>
      <c r="B19" s="3" t="inlineStr">
        <is>
          <t>Near misses</t>
        </is>
      </c>
      <c r="C19" s="3" t="inlineStr">
        <is>
          <t>count</t>
        </is>
      </c>
      <c r="D19" s="3" t="inlineStr">
        <is>
          <t>Month</t>
        </is>
      </c>
      <c r="E19" s="3" t="inlineStr">
        <is>
          <t>Near misses</t>
        </is>
      </c>
      <c r="F19" s="21">
        <f>ROUND('Group Inputs'!AG4,2)</f>
        <v/>
      </c>
      <c r="G19" s="21">
        <f>ROUND('Group Inputs'!AG5,2)</f>
        <v/>
      </c>
      <c r="H19" s="21">
        <f>ROUND('Group Inputs'!AG6,2)</f>
        <v/>
      </c>
      <c r="I19" s="21">
        <f>ROUND('Group Inputs'!AG7,2)</f>
        <v/>
      </c>
      <c r="J19" s="21">
        <f>ROUND('Group Inputs'!AG8,2)</f>
        <v/>
      </c>
      <c r="K19" s="21">
        <f>ROUND('Group Inputs'!AG9,2)</f>
        <v/>
      </c>
      <c r="L19" s="3" t="inlineStr">
        <is>
          <t>14 (O-05)</t>
        </is>
      </c>
      <c r="M19" s="3" t="inlineStr">
        <is>
          <t>O-05</t>
        </is>
      </c>
      <c r="N19" s="3" t="inlineStr">
        <is>
          <t>near_misses</t>
        </is>
      </c>
    </row>
    <row r="20">
      <c r="A20" s="2" t="inlineStr">
        <is>
          <t>EHS-004</t>
        </is>
      </c>
      <c r="B20" s="3" t="inlineStr">
        <is>
          <t>Critical safety incidents</t>
        </is>
      </c>
      <c r="C20" s="3" t="inlineStr">
        <is>
          <t>count</t>
        </is>
      </c>
      <c r="D20" s="3" t="inlineStr">
        <is>
          <t>Month</t>
        </is>
      </c>
      <c r="E20" s="3" t="inlineStr">
        <is>
          <t>Critical safety incidents</t>
        </is>
      </c>
      <c r="F20" s="21">
        <f>ROUND('Group Inputs'!AH4,2)</f>
        <v/>
      </c>
      <c r="G20" s="21">
        <f>ROUND('Group Inputs'!AH5,2)</f>
        <v/>
      </c>
      <c r="H20" s="21">
        <f>ROUND('Group Inputs'!AH6,2)</f>
        <v/>
      </c>
      <c r="I20" s="21">
        <f>ROUND('Group Inputs'!AH7,2)</f>
        <v/>
      </c>
      <c r="J20" s="21">
        <f>ROUND('Group Inputs'!AH8,2)</f>
        <v/>
      </c>
      <c r="K20" s="21">
        <f>ROUND('Group Inputs'!AH9,2)</f>
        <v/>
      </c>
      <c r="L20" s="3" t="inlineStr">
        <is>
          <t>0 (O-05)</t>
        </is>
      </c>
      <c r="M20" s="3" t="inlineStr">
        <is>
          <t>O-05</t>
        </is>
      </c>
      <c r="N20" s="3" t="inlineStr">
        <is>
          <t>critical_safety_incidents</t>
        </is>
      </c>
    </row>
    <row r="21">
      <c r="A21" s="2" t="inlineStr">
        <is>
          <t>EHS-005</t>
        </is>
      </c>
      <c r="B21" s="3" t="inlineStr">
        <is>
          <t>Environmental excursions</t>
        </is>
      </c>
      <c r="C21" s="3" t="inlineStr">
        <is>
          <t>count</t>
        </is>
      </c>
      <c r="D21" s="3" t="inlineStr">
        <is>
          <t>Month</t>
        </is>
      </c>
      <c r="E21" s="3" t="inlineStr">
        <is>
          <t>Environmental excursions</t>
        </is>
      </c>
      <c r="F21" s="21">
        <f>ROUND('Group Inputs'!AI4,2)</f>
        <v/>
      </c>
      <c r="G21" s="21">
        <f>ROUND('Group Inputs'!AI5,2)</f>
        <v/>
      </c>
      <c r="H21" s="21">
        <f>ROUND('Group Inputs'!AI6,2)</f>
        <v/>
      </c>
      <c r="I21" s="21">
        <f>ROUND('Group Inputs'!AI7,2)</f>
        <v/>
      </c>
      <c r="J21" s="21">
        <f>ROUND('Group Inputs'!AI8,2)</f>
        <v/>
      </c>
      <c r="K21" s="21">
        <f>ROUND('Group Inputs'!AI9,2)</f>
        <v/>
      </c>
      <c r="L21" s="3" t="inlineStr">
        <is>
          <t>1 (minor, closed) (O-05)</t>
        </is>
      </c>
      <c r="M21" s="3" t="inlineStr">
        <is>
          <t>O-05</t>
        </is>
      </c>
      <c r="N21" s="3" t="inlineStr">
        <is>
          <t>env_excursions</t>
        </is>
      </c>
    </row>
    <row r="22">
      <c r="A22" s="2" t="inlineStr">
        <is>
          <t>EHS-007</t>
        </is>
      </c>
      <c r="B22" s="3" t="inlineStr">
        <is>
          <t>Overdue EHS actions</t>
        </is>
      </c>
      <c r="C22" s="3" t="inlineStr">
        <is>
          <t>count</t>
        </is>
      </c>
      <c r="D22" s="3" t="inlineStr">
        <is>
          <t>Month</t>
        </is>
      </c>
      <c r="E22" s="3" t="inlineStr">
        <is>
          <t>Overdue EHS corrective actions</t>
        </is>
      </c>
      <c r="F22" s="21">
        <f>ROUND('Group Inputs'!AL4,2)</f>
        <v/>
      </c>
      <c r="G22" s="21">
        <f>ROUND('Group Inputs'!AL5,2)</f>
        <v/>
      </c>
      <c r="H22" s="21">
        <f>ROUND('Group Inputs'!AL6,2)</f>
        <v/>
      </c>
      <c r="I22" s="21">
        <f>ROUND('Group Inputs'!AL7,2)</f>
        <v/>
      </c>
      <c r="J22" s="21">
        <f>ROUND('Group Inputs'!AL8,2)</f>
        <v/>
      </c>
      <c r="K22" s="21">
        <f>ROUND('Group Inputs'!AL9,2)</f>
        <v/>
      </c>
      <c r="L22" s="3" t="inlineStr">
        <is>
          <t>0 (O-05)</t>
        </is>
      </c>
      <c r="M22" s="3" t="inlineStr">
        <is>
          <t>O-05</t>
        </is>
      </c>
      <c r="N22" s="3" t="inlineStr">
        <is>
          <t>ehs_ca_overdue</t>
        </is>
      </c>
    </row>
    <row r="23">
      <c r="A23" s="2" t="inlineStr">
        <is>
          <t>REG-006</t>
        </is>
      </c>
      <c r="B23" s="3" t="inlineStr">
        <is>
          <t>Licence or permit expiry clock</t>
        </is>
      </c>
      <c r="C23" s="3" t="inlineStr">
        <is>
          <t>days</t>
        </is>
      </c>
      <c r="D23" s="3" t="inlineStr">
        <is>
          <t>Month</t>
        </is>
      </c>
      <c r="E23" s="3" t="inlineStr">
        <is>
          <t>Days to permit expiry (lowest plant)</t>
        </is>
      </c>
      <c r="F23" s="21">
        <f>ROUND('Group Inputs'!AR4,2)</f>
        <v/>
      </c>
      <c r="G23" s="21">
        <f>ROUND('Group Inputs'!AR5,2)</f>
        <v/>
      </c>
      <c r="H23" s="21">
        <f>ROUND('Group Inputs'!AR6,2)</f>
        <v/>
      </c>
      <c r="I23" s="21">
        <f>ROUND('Group Inputs'!AR7,2)</f>
        <v/>
      </c>
      <c r="J23" s="21">
        <f>ROUND('Group Inputs'!AR8,2)</f>
        <v/>
      </c>
      <c r="K23" s="21">
        <f>ROUND('Group Inputs'!AR9,2)</f>
        <v/>
      </c>
      <c r="L23" s="3" t="inlineStr">
        <is>
          <t>74 days · Entity C1 (O-05)</t>
        </is>
      </c>
      <c r="M23" s="3" t="inlineStr">
        <is>
          <t>O-05</t>
        </is>
      </c>
      <c r="N23" s="3" t="inlineStr">
        <is>
          <t>permit_days_to_expiry</t>
        </is>
      </c>
    </row>
    <row r="24">
      <c r="A24" s="2" t="inlineStr">
        <is>
          <t>OPS-005</t>
        </is>
      </c>
      <c r="B24" s="3" t="inlineStr">
        <is>
          <t>Capacity utilisation (same measure as OPS-003)</t>
        </is>
      </c>
      <c r="C24" s="3" t="inlineStr">
        <is>
          <t>%</t>
        </is>
      </c>
      <c r="D24" s="3" t="inlineStr">
        <is>
          <t>Month</t>
        </is>
      </c>
      <c r="E24" s="3" t="inlineStr">
        <is>
          <t>Good output ÷ Installed capacity × 100</t>
        </is>
      </c>
      <c r="F24" s="21">
        <f>ROUND(IFERROR(100*'Group Inputs'!M4/'Group Inputs'!J4,0),2)</f>
        <v/>
      </c>
      <c r="G24" s="21">
        <f>ROUND(IFERROR(100*'Group Inputs'!M5/'Group Inputs'!J5,0),2)</f>
        <v/>
      </c>
      <c r="H24" s="21">
        <f>ROUND(IFERROR(100*'Group Inputs'!M6/'Group Inputs'!J6,0),2)</f>
        <v/>
      </c>
      <c r="I24" s="21">
        <f>ROUND(IFERROR(100*'Group Inputs'!M7/'Group Inputs'!J7,0),2)</f>
        <v/>
      </c>
      <c r="J24" s="21">
        <f>ROUND(IFERROR(100*'Group Inputs'!M8/'Group Inputs'!J8,0),2)</f>
        <v/>
      </c>
      <c r="K24" s="21">
        <f>ROUND(IFERROR(100*'Group Inputs'!M9/'Group Inputs'!J9,0),2)</f>
        <v/>
      </c>
      <c r="L24" s="3" t="inlineStr">
        <is>
          <t>86% (O-01)</t>
        </is>
      </c>
      <c r="M24" s="3" t="inlineStr">
        <is>
          <t>O-01</t>
        </is>
      </c>
      <c r="N24" s="3" t="inlineStr">
        <is>
          <t>installed_capacity_t, good_output_t</t>
        </is>
      </c>
    </row>
    <row r="25">
      <c r="A25" s="2" t="inlineStr">
        <is>
          <t>OPS-006</t>
        </is>
      </c>
      <c r="B25" s="3" t="inlineStr">
        <is>
          <t>OEE · Group weighted (same measure as PLT-002)</t>
        </is>
      </c>
      <c r="C25" s="3" t="inlineStr">
        <is>
          <t>%</t>
        </is>
      </c>
      <c r="D25" s="3" t="inlineStr">
        <is>
          <t>Month</t>
        </is>
      </c>
      <c r="E25" s="3" t="inlineStr">
        <is>
          <t>Good output ÷ Ideal output × 100 (weighted by output, not an average of plants)</t>
        </is>
      </c>
      <c r="F25" s="21">
        <f>ROUND(IFERROR(100*'Group Inputs'!M4/'Group Inputs'!I4,0),2)</f>
        <v/>
      </c>
      <c r="G25" s="21">
        <f>ROUND(IFERROR(100*'Group Inputs'!M5/'Group Inputs'!I5,0),2)</f>
        <v/>
      </c>
      <c r="H25" s="21">
        <f>ROUND(IFERROR(100*'Group Inputs'!M6/'Group Inputs'!I6,0),2)</f>
        <v/>
      </c>
      <c r="I25" s="21">
        <f>ROUND(IFERROR(100*'Group Inputs'!M7/'Group Inputs'!I7,0),2)</f>
        <v/>
      </c>
      <c r="J25" s="21">
        <f>ROUND(IFERROR(100*'Group Inputs'!M8/'Group Inputs'!I8,0),2)</f>
        <v/>
      </c>
      <c r="K25" s="21">
        <f>ROUND(IFERROR(100*'Group Inputs'!M9/'Group Inputs'!I9,0),2)</f>
        <v/>
      </c>
      <c r="L25" s="3" t="inlineStr">
        <is>
          <t>Not on a screen</t>
        </is>
      </c>
      <c r="M25" s="3" t="inlineStr">
        <is>
          <t>—</t>
        </is>
      </c>
      <c r="N25" s="3" t="inlineStr">
        <is>
          <t>ideal_output_t, good_output_t</t>
        </is>
      </c>
    </row>
    <row r="26">
      <c r="A26" s="2" t="inlineStr">
        <is>
          <t>OPS-002</t>
        </is>
      </c>
      <c r="B26" s="3" t="inlineStr">
        <is>
          <t>Sales vs plan</t>
        </is>
      </c>
      <c r="C26" s="3" t="inlineStr">
        <is>
          <t>%</t>
        </is>
      </c>
      <c r="D26" s="3" t="inlineStr">
        <is>
          <t>Month</t>
        </is>
      </c>
      <c r="E26" s="3" t="inlineStr">
        <is>
          <t>Sales volume ÷ Planned sales volume × 100</t>
        </is>
      </c>
      <c r="F26" s="21">
        <f>ROUND(IF('Group Inputs'!AT4=0,0,100*'Group Inputs'!AS4/'Group Inputs'!AT4),2)</f>
        <v/>
      </c>
      <c r="G26" s="21">
        <f>ROUND(IF('Group Inputs'!AT5=0,0,100*'Group Inputs'!AS5/'Group Inputs'!AT5),2)</f>
        <v/>
      </c>
      <c r="H26" s="21">
        <f>ROUND(IF('Group Inputs'!AT6=0,0,100*'Group Inputs'!AS6/'Group Inputs'!AT6),2)</f>
        <v/>
      </c>
      <c r="I26" s="21">
        <f>ROUND(IF('Group Inputs'!AT7=0,0,100*'Group Inputs'!AS7/'Group Inputs'!AT7),2)</f>
        <v/>
      </c>
      <c r="J26" s="21">
        <f>ROUND(IF('Group Inputs'!AT8=0,0,100*'Group Inputs'!AS8/'Group Inputs'!AT8),2)</f>
        <v/>
      </c>
      <c r="K26" s="21">
        <f>ROUND(IF('Group Inputs'!AT9=0,0,100*'Group Inputs'!AS9/'Group Inputs'!AT9),2)</f>
        <v/>
      </c>
      <c r="L26" s="3" t="inlineStr">
        <is>
          <t>97.6% (O-01, STATE GALLERY)</t>
        </is>
      </c>
      <c r="M26" s="3" t="inlineStr">
        <is>
          <t>O-01, STATE GALLERY · O-01 + S-02, O-01 · large display ≥ 1600</t>
        </is>
      </c>
      <c r="N26" s="3" t="inlineStr">
        <is>
          <t>sales_t, planned_sales_t</t>
        </is>
      </c>
    </row>
    <row r="27">
      <c r="A27" s="2" t="inlineStr">
        <is>
          <t>OPS-004</t>
        </is>
      </c>
      <c r="B27" s="3" t="inlineStr">
        <is>
          <t>Sales vs plan · Group (same measure as OPS-002)</t>
        </is>
      </c>
      <c r="C27" s="3" t="inlineStr">
        <is>
          <t>%</t>
        </is>
      </c>
      <c r="D27" s="3" t="inlineStr">
        <is>
          <t>Month</t>
        </is>
      </c>
      <c r="E27" s="3" t="inlineStr">
        <is>
          <t>Sales volume ÷ Planned sales volume × 100</t>
        </is>
      </c>
      <c r="F27" s="21">
        <f>ROUND(IF('Group Inputs'!AT4=0,0,100*'Group Inputs'!AS4/'Group Inputs'!AT4),2)</f>
        <v/>
      </c>
      <c r="G27" s="21">
        <f>ROUND(IF('Group Inputs'!AT5=0,0,100*'Group Inputs'!AS5/'Group Inputs'!AT5),2)</f>
        <v/>
      </c>
      <c r="H27" s="21">
        <f>ROUND(IF('Group Inputs'!AT6=0,0,100*'Group Inputs'!AS6/'Group Inputs'!AT6),2)</f>
        <v/>
      </c>
      <c r="I27" s="21">
        <f>ROUND(IF('Group Inputs'!AT7=0,0,100*'Group Inputs'!AS7/'Group Inputs'!AT7),2)</f>
        <v/>
      </c>
      <c r="J27" s="21">
        <f>ROUND(IF('Group Inputs'!AT8=0,0,100*'Group Inputs'!AS8/'Group Inputs'!AT8),2)</f>
        <v/>
      </c>
      <c r="K27" s="21">
        <f>ROUND(IF('Group Inputs'!AT9=0,0,100*'Group Inputs'!AS9/'Group Inputs'!AT9),2)</f>
        <v/>
      </c>
      <c r="L27" s="3" t="inlineStr">
        <is>
          <t>97.6% (O-01)</t>
        </is>
      </c>
      <c r="M27" s="3" t="inlineStr">
        <is>
          <t>O-01</t>
        </is>
      </c>
      <c r="N27" s="3" t="inlineStr">
        <is>
          <t>sales_t, planned_sales_t</t>
        </is>
      </c>
    </row>
    <row r="28">
      <c r="A28" s="2" t="inlineStr">
        <is>
          <t>CST-004</t>
        </is>
      </c>
      <c r="B28" s="3" t="inlineStr">
        <is>
          <t>Power cost per tonne</t>
        </is>
      </c>
      <c r="C28" s="3" t="inlineStr">
        <is>
          <t>₹/t</t>
        </is>
      </c>
      <c r="D28" s="3" t="inlineStr">
        <is>
          <t>Month</t>
        </is>
      </c>
      <c r="E28" s="3" t="inlineStr">
        <is>
          <t>Power cost × 1000 ÷ Good output</t>
        </is>
      </c>
      <c r="F28" s="21">
        <f>ROUND(IF('Group Inputs'!M4=0,0,1000*'Group Inputs'!AW4/'Group Inputs'!M4),2)</f>
        <v/>
      </c>
      <c r="G28" s="21">
        <f>ROUND(IF('Group Inputs'!M5=0,0,1000*'Group Inputs'!AW5/'Group Inputs'!M5),2)</f>
        <v/>
      </c>
      <c r="H28" s="21">
        <f>ROUND(IF('Group Inputs'!M6=0,0,1000*'Group Inputs'!AW6/'Group Inputs'!M6),2)</f>
        <v/>
      </c>
      <c r="I28" s="21">
        <f>ROUND(IF('Group Inputs'!M7=0,0,1000*'Group Inputs'!AW7/'Group Inputs'!M7),2)</f>
        <v/>
      </c>
      <c r="J28" s="21">
        <f>ROUND(IF('Group Inputs'!M8=0,0,1000*'Group Inputs'!AW8/'Group Inputs'!M8),2)</f>
        <v/>
      </c>
      <c r="K28" s="21">
        <f>ROUND(IF('Group Inputs'!M9=0,0,1000*'Group Inputs'!AW9/'Group Inputs'!M9),2)</f>
        <v/>
      </c>
      <c r="L28" s="3" t="inlineStr">
        <is>
          <t>Not on a screen</t>
        </is>
      </c>
      <c r="M28" s="3" t="inlineStr">
        <is>
          <t>—</t>
        </is>
      </c>
      <c r="N28" s="3" t="inlineStr">
        <is>
          <t>good_output_t, power_cost_k</t>
        </is>
      </c>
    </row>
    <row r="29">
      <c r="A29" s="2" t="inlineStr">
        <is>
          <t>FIN-001</t>
        </is>
      </c>
      <c r="B29" s="3" t="inlineStr">
        <is>
          <t>EBITDA YTD</t>
        </is>
      </c>
      <c r="C29" s="3" t="inlineStr">
        <is>
          <t>₹ m</t>
        </is>
      </c>
      <c r="D29" s="3" t="inlineStr">
        <is>
          <t>Year to date</t>
        </is>
      </c>
      <c r="E29" s="3" t="inlineStr">
        <is>
          <t>Sum of monthly EBITDA since April ÷ 1000</t>
        </is>
      </c>
      <c r="F29" s="21">
        <f>ROUND(SUM('Group Inputs'!FV$4:FV4)/1000,2)</f>
        <v/>
      </c>
      <c r="G29" s="21">
        <f>ROUND(SUM('Group Inputs'!FV$4:FV5)/1000,2)</f>
        <v/>
      </c>
      <c r="H29" s="21">
        <f>ROUND(SUM('Group Inputs'!FV$4:FV6)/1000,2)</f>
        <v/>
      </c>
      <c r="I29" s="21">
        <f>ROUND(SUM('Group Inputs'!FV$4:FV7)/1000,2)</f>
        <v/>
      </c>
      <c r="J29" s="21">
        <f>ROUND(SUM('Group Inputs'!FV$4:FV8)/1000,2)</f>
        <v/>
      </c>
      <c r="K29" s="21">
        <f>ROUND(SUM('Group Inputs'!FV$4:FV9)/1000,2)</f>
        <v/>
      </c>
      <c r="L29" s="3" t="inlineStr">
        <is>
          <t>361.3 ₹ m (O-01, STATE GALLERY)</t>
        </is>
      </c>
      <c r="M29" s="3" t="inlineStr">
        <is>
          <t>O-01, STATE GALLERY · O-01 + S-02, O-01 · large display ≥ 1600</t>
        </is>
      </c>
      <c r="N29" s="3" t="inlineStr">
        <is>
          <t>ebitda_k</t>
        </is>
      </c>
    </row>
    <row r="30">
      <c r="A30" s="2" t="inlineStr">
        <is>
          <t>FIN-002</t>
        </is>
      </c>
      <c r="B30" s="3" t="inlineStr">
        <is>
          <t>EBIT YTD</t>
        </is>
      </c>
      <c r="C30" s="3" t="inlineStr">
        <is>
          <t>₹ m</t>
        </is>
      </c>
      <c r="D30" s="3" t="inlineStr">
        <is>
          <t>Year to date</t>
        </is>
      </c>
      <c r="E30" s="3" t="inlineStr">
        <is>
          <t>Sum of monthly EBIT since April ÷ 1000</t>
        </is>
      </c>
      <c r="F30" s="21">
        <f>ROUND(SUM('Group Inputs'!FW$4:FW4)/1000,2)</f>
        <v/>
      </c>
      <c r="G30" s="21">
        <f>ROUND(SUM('Group Inputs'!FW$4:FW5)/1000,2)</f>
        <v/>
      </c>
      <c r="H30" s="21">
        <f>ROUND(SUM('Group Inputs'!FW$4:FW6)/1000,2)</f>
        <v/>
      </c>
      <c r="I30" s="21">
        <f>ROUND(SUM('Group Inputs'!FW$4:FW7)/1000,2)</f>
        <v/>
      </c>
      <c r="J30" s="21">
        <f>ROUND(SUM('Group Inputs'!FW$4:FW8)/1000,2)</f>
        <v/>
      </c>
      <c r="K30" s="21">
        <f>ROUND(SUM('Group Inputs'!FW$4:FW9)/1000,2)</f>
        <v/>
      </c>
      <c r="L30" s="3" t="inlineStr">
        <is>
          <t>238.4 ₹ m (O-01, STATE GALLERY)</t>
        </is>
      </c>
      <c r="M30" s="3" t="inlineStr">
        <is>
          <t>O-01, STATE GALLERY · O-01 + S-02, O-01 · large display ≥ 1600</t>
        </is>
      </c>
      <c r="N30" s="3" t="inlineStr">
        <is>
          <t>ebit_k</t>
        </is>
      </c>
    </row>
    <row r="31">
      <c r="A31" s="2" t="inlineStr">
        <is>
          <t>FIN-003</t>
        </is>
      </c>
      <c r="B31" s="3" t="inlineStr">
        <is>
          <t>Revenue YTD</t>
        </is>
      </c>
      <c r="C31" s="3" t="inlineStr">
        <is>
          <t>₹ m</t>
        </is>
      </c>
      <c r="D31" s="3" t="inlineStr">
        <is>
          <t>Year to date</t>
        </is>
      </c>
      <c r="E31" s="3" t="inlineStr">
        <is>
          <t>Sum of monthly Revenue since April ÷ 1000</t>
        </is>
      </c>
      <c r="F31" s="21">
        <f>ROUND(SUM('Group Inputs'!AU$4:AU4)/1000,2)</f>
        <v/>
      </c>
      <c r="G31" s="21">
        <f>ROUND(SUM('Group Inputs'!AU$4:AU5)/1000,2)</f>
        <v/>
      </c>
      <c r="H31" s="21">
        <f>ROUND(SUM('Group Inputs'!AU$4:AU6)/1000,2)</f>
        <v/>
      </c>
      <c r="I31" s="21">
        <f>ROUND(SUM('Group Inputs'!AU$4:AU7)/1000,2)</f>
        <v/>
      </c>
      <c r="J31" s="21">
        <f>ROUND(SUM('Group Inputs'!AU$4:AU8)/1000,2)</f>
        <v/>
      </c>
      <c r="K31" s="21">
        <f>ROUND(SUM('Group Inputs'!AU$4:AU9)/1000,2)</f>
        <v/>
      </c>
      <c r="L31" s="3" t="inlineStr">
        <is>
          <t>2,410 ₹ m (O-01, STATE GALLERY)</t>
        </is>
      </c>
      <c r="M31" s="3" t="inlineStr">
        <is>
          <t>O-01, STATE GALLERY · O-01 + S-02, O-01 · large display ≥ 1600</t>
        </is>
      </c>
      <c r="N31" s="3" t="inlineStr">
        <is>
          <t>revenue_k</t>
        </is>
      </c>
    </row>
    <row r="32">
      <c r="A32" s="2" t="inlineStr">
        <is>
          <t>FIN-004</t>
        </is>
      </c>
      <c r="B32" s="3" t="inlineStr">
        <is>
          <t>Free cash flow YTD</t>
        </is>
      </c>
      <c r="C32" s="3" t="inlineStr">
        <is>
          <t>₹ m</t>
        </is>
      </c>
      <c r="D32" s="3" t="inlineStr">
        <is>
          <t>Year to date</t>
        </is>
      </c>
      <c r="E32" s="3" t="inlineStr">
        <is>
          <t>Sum of monthly Free cash flow since April ÷ 1000</t>
        </is>
      </c>
      <c r="F32" s="21">
        <f>ROUND(SUM('Group Inputs'!GA$4:GA4)/1000,2)</f>
        <v/>
      </c>
      <c r="G32" s="21">
        <f>ROUND(SUM('Group Inputs'!GA$4:GA5)/1000,2)</f>
        <v/>
      </c>
      <c r="H32" s="21">
        <f>ROUND(SUM('Group Inputs'!GA$4:GA6)/1000,2)</f>
        <v/>
      </c>
      <c r="I32" s="21">
        <f>ROUND(SUM('Group Inputs'!GA$4:GA7)/1000,2)</f>
        <v/>
      </c>
      <c r="J32" s="21">
        <f>ROUND(SUM('Group Inputs'!GA$4:GA8)/1000,2)</f>
        <v/>
      </c>
      <c r="K32" s="21">
        <f>ROUND(SUM('Group Inputs'!GA$4:GA9)/1000,2)</f>
        <v/>
      </c>
      <c r="L32" s="3" t="inlineStr">
        <is>
          <t>96.4 ₹ m (O-01, STATE GALLERY)</t>
        </is>
      </c>
      <c r="M32" s="3" t="inlineStr">
        <is>
          <t>O-01, O-01 · large display ≥ 1600, STATE GALLERY · O-01 + S-02</t>
        </is>
      </c>
      <c r="N32" s="3" t="inlineStr">
        <is>
          <t>fcf_k</t>
        </is>
      </c>
    </row>
    <row r="33">
      <c r="A33" s="2" t="inlineStr">
        <is>
          <t>FIN-005</t>
        </is>
      </c>
      <c r="B33" s="3" t="inlineStr">
        <is>
          <t>ROCE, annualised</t>
        </is>
      </c>
      <c r="C33" s="3" t="inlineStr">
        <is>
          <t>%</t>
        </is>
      </c>
      <c r="D33" s="3" t="inlineStr">
        <is>
          <t>Year to date</t>
        </is>
      </c>
      <c r="E33" s="3" t="inlineStr">
        <is>
          <t>EBIT since April × 12 ÷ months elapsed ÷ Capital employed × 100</t>
        </is>
      </c>
      <c r="F33" s="21">
        <f>ROUND(IF('Group Inputs'!CA4=0,0,100*SUM('Group Inputs'!FW$4:FW4)*12/'Group Inputs'!D4/'Group Inputs'!CA4),2)</f>
        <v/>
      </c>
      <c r="G33" s="21">
        <f>ROUND(IF('Group Inputs'!CA5=0,0,100*SUM('Group Inputs'!FW$4:FW5)*12/'Group Inputs'!D5/'Group Inputs'!CA5),2)</f>
        <v/>
      </c>
      <c r="H33" s="21">
        <f>ROUND(IF('Group Inputs'!CA6=0,0,100*SUM('Group Inputs'!FW$4:FW6)*12/'Group Inputs'!D6/'Group Inputs'!CA6),2)</f>
        <v/>
      </c>
      <c r="I33" s="21">
        <f>ROUND(IF('Group Inputs'!CA7=0,0,100*SUM('Group Inputs'!FW$4:FW7)*12/'Group Inputs'!D7/'Group Inputs'!CA7),2)</f>
        <v/>
      </c>
      <c r="J33" s="21">
        <f>ROUND(IF('Group Inputs'!CA8=0,0,100*SUM('Group Inputs'!FW$4:FW8)*12/'Group Inputs'!D8/'Group Inputs'!CA8),2)</f>
        <v/>
      </c>
      <c r="K33" s="21">
        <f>ROUND(IF('Group Inputs'!CA9=0,0,100*SUM('Group Inputs'!FW$4:FW9)*12/'Group Inputs'!D9/'Group Inputs'!CA9),2)</f>
        <v/>
      </c>
      <c r="L33" s="3" t="inlineStr">
        <is>
          <t>11.8 % (O-01); 11.8% (O-01, STATE GALLERY)</t>
        </is>
      </c>
      <c r="M33" s="3" t="inlineStr">
        <is>
          <t>O-01, STATE GALLERY · O-01 + S-02, O-01 · large display ≥ 1600</t>
        </is>
      </c>
      <c r="N33" s="3" t="inlineStr">
        <is>
          <t>ytd_months, capital_employed_k, ebit_k</t>
        </is>
      </c>
    </row>
    <row r="34">
      <c r="A34" s="2" t="inlineStr">
        <is>
          <t>FIN-006</t>
        </is>
      </c>
      <c r="B34" s="3" t="inlineStr">
        <is>
          <t>Net debt</t>
        </is>
      </c>
      <c r="C34" s="3" t="inlineStr">
        <is>
          <t>₹ m</t>
        </is>
      </c>
      <c r="D34" s="3" t="inlineStr">
        <is>
          <t>Month end</t>
        </is>
      </c>
      <c r="E34" s="3" t="inlineStr">
        <is>
          <t>(Gross debt − Cash) ÷ 1000</t>
        </is>
      </c>
      <c r="F34" s="21">
        <f>ROUND('Group Inputs'!GB4/1000,2)</f>
        <v/>
      </c>
      <c r="G34" s="21">
        <f>ROUND('Group Inputs'!GB5/1000,2)</f>
        <v/>
      </c>
      <c r="H34" s="21">
        <f>ROUND('Group Inputs'!GB6/1000,2)</f>
        <v/>
      </c>
      <c r="I34" s="21">
        <f>ROUND('Group Inputs'!GB7/1000,2)</f>
        <v/>
      </c>
      <c r="J34" s="21">
        <f>ROUND('Group Inputs'!GB8/1000,2)</f>
        <v/>
      </c>
      <c r="K34" s="21">
        <f>ROUND('Group Inputs'!GB9/1000,2)</f>
        <v/>
      </c>
      <c r="L34" s="3" t="inlineStr">
        <is>
          <t>1,140 ₹ m (O-01, STATE GALLERY); 6,650.0 ₹ m (O-03)</t>
        </is>
      </c>
      <c r="M34" s="3" t="inlineStr">
        <is>
          <t>O-01, O-01 · large display ≥ 1600, O-03, STATE GALLERY · O-01 + S-02</t>
        </is>
      </c>
      <c r="N34" s="3" t="inlineStr">
        <is>
          <t>net_debt_k</t>
        </is>
      </c>
    </row>
    <row r="35">
      <c r="A35" s="2" t="inlineStr">
        <is>
          <t>FIN-007</t>
        </is>
      </c>
      <c r="B35" s="3" t="inlineStr">
        <is>
          <t>Shareholder-value indicator (economic profit YTD)</t>
        </is>
      </c>
      <c r="C35" s="3" t="inlineStr">
        <is>
          <t>₹ m</t>
        </is>
      </c>
      <c r="D35" s="3" t="inlineStr">
        <is>
          <t>Year to date</t>
        </is>
      </c>
      <c r="E35" s="3" t="inlineStr">
        <is>
          <t>(EBIT since April × (1 − Tax rate) − Capital employed × Cost of capital × months elapsed ÷ 12) ÷ 1000</t>
        </is>
      </c>
      <c r="F35" s="21">
        <f>ROUND((SUM('Group Inputs'!FW$4:FW4)*(1-Parameters!$B$2)-'Group Inputs'!CA4*Parameters!$B$3*'Group Inputs'!D4/12)/1000,2)</f>
        <v/>
      </c>
      <c r="G35" s="21">
        <f>ROUND((SUM('Group Inputs'!FW$4:FW5)*(1-Parameters!$B$2)-'Group Inputs'!CA5*Parameters!$B$3*'Group Inputs'!D5/12)/1000,2)</f>
        <v/>
      </c>
      <c r="H35" s="21">
        <f>ROUND((SUM('Group Inputs'!FW$4:FW6)*(1-Parameters!$B$2)-'Group Inputs'!CA6*Parameters!$B$3*'Group Inputs'!D6/12)/1000,2)</f>
        <v/>
      </c>
      <c r="I35" s="21">
        <f>ROUND((SUM('Group Inputs'!FW$4:FW7)*(1-Parameters!$B$2)-'Group Inputs'!CA7*Parameters!$B$3*'Group Inputs'!D7/12)/1000,2)</f>
        <v/>
      </c>
      <c r="J35" s="21">
        <f>ROUND((SUM('Group Inputs'!FW$4:FW8)*(1-Parameters!$B$2)-'Group Inputs'!CA8*Parameters!$B$3*'Group Inputs'!D8/12)/1000,2)</f>
        <v/>
      </c>
      <c r="K35" s="21">
        <f>ROUND((SUM('Group Inputs'!FW$4:FW9)*(1-Parameters!$B$2)-'Group Inputs'!CA9*Parameters!$B$3*'Group Inputs'!D9/12)/1000,2)</f>
        <v/>
      </c>
      <c r="L35" s="3" t="inlineStr">
        <is>
          <t>[PLACEHOLDER] (O-01, STATE GALLERY)</t>
        </is>
      </c>
      <c r="M35" s="3" t="inlineStr">
        <is>
          <t>O-01, STATE GALLERY · O-01 + S-02, O-01 · large display ≥ 1600</t>
        </is>
      </c>
      <c r="N35" s="3" t="inlineStr">
        <is>
          <t>ytd_months, capital_employed_k, ebit_k</t>
        </is>
      </c>
    </row>
    <row r="36">
      <c r="A36" s="2" t="inlineStr">
        <is>
          <t>CSH-001</t>
        </is>
      </c>
      <c r="B36" s="3" t="inlineStr">
        <is>
          <t>Cash position</t>
        </is>
      </c>
      <c r="C36" s="3" t="inlineStr">
        <is>
          <t>₹ m</t>
        </is>
      </c>
      <c r="D36" s="3" t="inlineStr">
        <is>
          <t>Month end</t>
        </is>
      </c>
      <c r="E36" s="3" t="inlineStr">
        <is>
          <t>Cash ÷ 1000</t>
        </is>
      </c>
      <c r="F36" s="21">
        <f>ROUND('Group Inputs'!CC4/1000,2)</f>
        <v/>
      </c>
      <c r="G36" s="21">
        <f>ROUND('Group Inputs'!CC5/1000,2)</f>
        <v/>
      </c>
      <c r="H36" s="21">
        <f>ROUND('Group Inputs'!CC6/1000,2)</f>
        <v/>
      </c>
      <c r="I36" s="21">
        <f>ROUND('Group Inputs'!CC7/1000,2)</f>
        <v/>
      </c>
      <c r="J36" s="21">
        <f>ROUND('Group Inputs'!CC8/1000,2)</f>
        <v/>
      </c>
      <c r="K36" s="21">
        <f>ROUND('Group Inputs'!CC9/1000,2)</f>
        <v/>
      </c>
      <c r="L36" s="3" t="inlineStr">
        <is>
          <t>2,141.8 ₹ m (O-03)</t>
        </is>
      </c>
      <c r="M36" s="3" t="inlineStr">
        <is>
          <t>O-03</t>
        </is>
      </c>
      <c r="N36" s="3" t="inlineStr">
        <is>
          <t>cash_k</t>
        </is>
      </c>
    </row>
    <row r="37">
      <c r="A37" s="2" t="inlineStr">
        <is>
          <t>CSH-002</t>
        </is>
      </c>
      <c r="B37" s="3" t="inlineStr">
        <is>
          <t>Cash released YTD</t>
        </is>
      </c>
      <c r="C37" s="3" t="inlineStr">
        <is>
          <t>₹ m</t>
        </is>
      </c>
      <c r="D37" s="3" t="inlineStr">
        <is>
          <t>Year to date</t>
        </is>
      </c>
      <c r="E37" s="3" t="inlineStr">
        <is>
          <t>Sum of cash released since April ÷ 1000</t>
        </is>
      </c>
      <c r="F37" s="21">
        <f>ROUND(SUM('Group Inputs'!CN$4:CN4)/1000,2)</f>
        <v/>
      </c>
      <c r="G37" s="21">
        <f>ROUND(SUM('Group Inputs'!CN$4:CN5)/1000,2)</f>
        <v/>
      </c>
      <c r="H37" s="21">
        <f>ROUND(SUM('Group Inputs'!CN$4:CN6)/1000,2)</f>
        <v/>
      </c>
      <c r="I37" s="21">
        <f>ROUND(SUM('Group Inputs'!CN$4:CN7)/1000,2)</f>
        <v/>
      </c>
      <c r="J37" s="21">
        <f>ROUND(SUM('Group Inputs'!CN$4:CN8)/1000,2)</f>
        <v/>
      </c>
      <c r="K37" s="21">
        <f>ROUND(SUM('Group Inputs'!CN$4:CN9)/1000,2)</f>
        <v/>
      </c>
      <c r="L37" s="3" t="inlineStr">
        <is>
          <t>Not on a screen</t>
        </is>
      </c>
      <c r="M37" s="3" t="inlineStr">
        <is>
          <t>—</t>
        </is>
      </c>
      <c r="N37" s="3" t="inlineStr">
        <is>
          <t>cash_released_k</t>
        </is>
      </c>
    </row>
    <row r="38">
      <c r="A38" s="2" t="inlineStr">
        <is>
          <t>CSH-003</t>
        </is>
      </c>
      <c r="B38" s="3" t="inlineStr">
        <is>
          <t>Daily collections</t>
        </is>
      </c>
      <c r="C38" s="3" t="inlineStr">
        <is>
          <t>₹ m per day</t>
        </is>
      </c>
      <c r="D38" s="3" t="inlineStr">
        <is>
          <t>Month</t>
        </is>
      </c>
      <c r="E38" s="3" t="inlineStr">
        <is>
          <t>Cash collected ÷ Days in month ÷ 1000</t>
        </is>
      </c>
      <c r="F38" s="21">
        <f>ROUND('Group Inputs'!CM4/'Group Inputs'!C4/1000,2)</f>
        <v/>
      </c>
      <c r="G38" s="21">
        <f>ROUND('Group Inputs'!CM5/'Group Inputs'!C5/1000,2)</f>
        <v/>
      </c>
      <c r="H38" s="21">
        <f>ROUND('Group Inputs'!CM6/'Group Inputs'!C6/1000,2)</f>
        <v/>
      </c>
      <c r="I38" s="21">
        <f>ROUND('Group Inputs'!CM7/'Group Inputs'!C7/1000,2)</f>
        <v/>
      </c>
      <c r="J38" s="21">
        <f>ROUND('Group Inputs'!CM8/'Group Inputs'!C8/1000,2)</f>
        <v/>
      </c>
      <c r="K38" s="21">
        <f>ROUND('Group Inputs'!CM9/'Group Inputs'!C9/1000,2)</f>
        <v/>
      </c>
      <c r="L38" s="3" t="inlineStr">
        <is>
          <t>4.1 ₹ m (S-11)</t>
        </is>
      </c>
      <c r="M38" s="3" t="inlineStr">
        <is>
          <t>S-11</t>
        </is>
      </c>
      <c r="N38" s="3" t="inlineStr">
        <is>
          <t>days, collections_k</t>
        </is>
      </c>
    </row>
    <row r="39">
      <c r="A39" s="2" t="inlineStr">
        <is>
          <t>CSH-004</t>
        </is>
      </c>
      <c r="B39" s="3" t="inlineStr">
        <is>
          <t>Cash-conversion cycle</t>
        </is>
      </c>
      <c r="C39" s="3" t="inlineStr">
        <is>
          <t>days</t>
        </is>
      </c>
      <c r="D39" s="3" t="inlineStr">
        <is>
          <t>Month end</t>
        </is>
      </c>
      <c r="E39" s="3" t="inlineStr">
        <is>
          <t>DSO + Inventory days − DPO</t>
        </is>
      </c>
      <c r="F39" s="21">
        <f>ROUND('Group Inputs'!GD4+'Group Inputs'!GF4-'Group Inputs'!GE4,2)</f>
        <v/>
      </c>
      <c r="G39" s="21">
        <f>ROUND('Group Inputs'!GD5+'Group Inputs'!GF5-'Group Inputs'!GE5,2)</f>
        <v/>
      </c>
      <c r="H39" s="21">
        <f>ROUND('Group Inputs'!GD6+'Group Inputs'!GF6-'Group Inputs'!GE6,2)</f>
        <v/>
      </c>
      <c r="I39" s="21">
        <f>ROUND('Group Inputs'!GD7+'Group Inputs'!GF7-'Group Inputs'!GE7,2)</f>
        <v/>
      </c>
      <c r="J39" s="21">
        <f>ROUND('Group Inputs'!GD8+'Group Inputs'!GF8-'Group Inputs'!GE8,2)</f>
        <v/>
      </c>
      <c r="K39" s="21">
        <f>ROUND('Group Inputs'!GD9+'Group Inputs'!GF9-'Group Inputs'!GE9,2)</f>
        <v/>
      </c>
      <c r="L39" s="3" t="inlineStr">
        <is>
          <t>Not on a screen</t>
        </is>
      </c>
      <c r="M39" s="3" t="inlineStr">
        <is>
          <t>—</t>
        </is>
      </c>
      <c r="N39" s="3" t="inlineStr">
        <is>
          <t>dso_d, dpo_d, dio_d</t>
        </is>
      </c>
    </row>
    <row r="40">
      <c r="A40" s="2" t="inlineStr">
        <is>
          <t>CSH-006</t>
        </is>
      </c>
      <c r="B40" s="3" t="inlineStr">
        <is>
          <t>Cash-upstream exposure</t>
        </is>
      </c>
      <c r="C40" s="3" t="inlineStr">
        <is>
          <t>₹ m</t>
        </is>
      </c>
      <c r="D40" s="3" t="inlineStr">
        <is>
          <t>Next 30 days</t>
        </is>
      </c>
      <c r="E40" s="3" t="inlineStr">
        <is>
          <t>(Cash due to be upstreamed − Amount covered by available cash) ÷ 1000</t>
        </is>
      </c>
      <c r="F40" s="21">
        <f>ROUND(('Group Inputs'!CO4-'Group Inputs'!CP4)/1000,2)</f>
        <v/>
      </c>
      <c r="G40" s="21">
        <f>ROUND(('Group Inputs'!CO5-'Group Inputs'!CP5)/1000,2)</f>
        <v/>
      </c>
      <c r="H40" s="21">
        <f>ROUND(('Group Inputs'!CO6-'Group Inputs'!CP6)/1000,2)</f>
        <v/>
      </c>
      <c r="I40" s="21">
        <f>ROUND(('Group Inputs'!CO7-'Group Inputs'!CP7)/1000,2)</f>
        <v/>
      </c>
      <c r="J40" s="21">
        <f>ROUND(('Group Inputs'!CO8-'Group Inputs'!CP8)/1000,2)</f>
        <v/>
      </c>
      <c r="K40" s="21">
        <f>ROUND(('Group Inputs'!CO9-'Group Inputs'!CP9)/1000,2)</f>
        <v/>
      </c>
      <c r="L40" s="3" t="inlineStr">
        <is>
          <t>26 ₹ m (S-11); 27.2 ₹ m (O-03)</t>
        </is>
      </c>
      <c r="M40" s="3" t="inlineStr">
        <is>
          <t>O-03, S-11</t>
        </is>
      </c>
      <c r="N40" s="3" t="inlineStr">
        <is>
          <t>upstream_due_k, upstream_covered_k</t>
        </is>
      </c>
    </row>
    <row r="41">
      <c r="A41" s="2" t="inlineStr">
        <is>
          <t>WCP-001</t>
        </is>
      </c>
      <c r="B41" s="3" t="inlineStr">
        <is>
          <t>DSO</t>
        </is>
      </c>
      <c r="C41" s="3" t="inlineStr">
        <is>
          <t>days</t>
        </is>
      </c>
      <c r="D41" s="3" t="inlineStr">
        <is>
          <t>Month end</t>
        </is>
      </c>
      <c r="E41" s="3" t="inlineStr">
        <is>
          <t>Trade receivables ÷ Revenue × Days in month</t>
        </is>
      </c>
      <c r="F41" s="21">
        <f>ROUND('Group Inputs'!GD4,2)</f>
        <v/>
      </c>
      <c r="G41" s="21">
        <f>ROUND('Group Inputs'!GD5,2)</f>
        <v/>
      </c>
      <c r="H41" s="21">
        <f>ROUND('Group Inputs'!GD6,2)</f>
        <v/>
      </c>
      <c r="I41" s="21">
        <f>ROUND('Group Inputs'!GD7,2)</f>
        <v/>
      </c>
      <c r="J41" s="21">
        <f>ROUND('Group Inputs'!GD8,2)</f>
        <v/>
      </c>
      <c r="K41" s="21">
        <f>ROUND('Group Inputs'!GD9,2)</f>
        <v/>
      </c>
      <c r="L41" s="3" t="inlineStr">
        <is>
          <t>52 days (S-11); 47.0 days (O-03)</t>
        </is>
      </c>
      <c r="M41" s="3" t="inlineStr">
        <is>
          <t>O-03, S-11</t>
        </is>
      </c>
      <c r="N41" s="3" t="inlineStr">
        <is>
          <t>dso_d</t>
        </is>
      </c>
    </row>
    <row r="42">
      <c r="A42" s="2" t="inlineStr">
        <is>
          <t>WCP-002</t>
        </is>
      </c>
      <c r="B42" s="3" t="inlineStr">
        <is>
          <t>DPO</t>
        </is>
      </c>
      <c r="C42" s="3" t="inlineStr">
        <is>
          <t>days</t>
        </is>
      </c>
      <c r="D42" s="3" t="inlineStr">
        <is>
          <t>Month end</t>
        </is>
      </c>
      <c r="E42" s="3" t="inlineStr">
        <is>
          <t>Trade payables ÷ Variable cost × Days in month</t>
        </is>
      </c>
      <c r="F42" s="21">
        <f>ROUND('Group Inputs'!GE4,2)</f>
        <v/>
      </c>
      <c r="G42" s="21">
        <f>ROUND('Group Inputs'!GE5,2)</f>
        <v/>
      </c>
      <c r="H42" s="21">
        <f>ROUND('Group Inputs'!GE6,2)</f>
        <v/>
      </c>
      <c r="I42" s="21">
        <f>ROUND('Group Inputs'!GE7,2)</f>
        <v/>
      </c>
      <c r="J42" s="21">
        <f>ROUND('Group Inputs'!GE8,2)</f>
        <v/>
      </c>
      <c r="K42" s="21">
        <f>ROUND('Group Inputs'!GE9,2)</f>
        <v/>
      </c>
      <c r="L42" s="3" t="inlineStr">
        <is>
          <t>Not on a screen</t>
        </is>
      </c>
      <c r="M42" s="3" t="inlineStr">
        <is>
          <t>—</t>
        </is>
      </c>
      <c r="N42" s="3" t="inlineStr">
        <is>
          <t>dpo_d</t>
        </is>
      </c>
    </row>
    <row r="43">
      <c r="A43" s="2" t="inlineStr">
        <is>
          <t>WCP-003</t>
        </is>
      </c>
      <c r="B43" s="3" t="inlineStr">
        <is>
          <t>Inventory days</t>
        </is>
      </c>
      <c r="C43" s="3" t="inlineStr">
        <is>
          <t>days</t>
        </is>
      </c>
      <c r="D43" s="3" t="inlineStr">
        <is>
          <t>Month end</t>
        </is>
      </c>
      <c r="E43" s="3" t="inlineStr">
        <is>
          <t>Inventory ÷ Variable cost × Days in month</t>
        </is>
      </c>
      <c r="F43" s="21">
        <f>ROUND('Group Inputs'!GF4,2)</f>
        <v/>
      </c>
      <c r="G43" s="21">
        <f>ROUND('Group Inputs'!GF5,2)</f>
        <v/>
      </c>
      <c r="H43" s="21">
        <f>ROUND('Group Inputs'!GF6,2)</f>
        <v/>
      </c>
      <c r="I43" s="21">
        <f>ROUND('Group Inputs'!GF7,2)</f>
        <v/>
      </c>
      <c r="J43" s="21">
        <f>ROUND('Group Inputs'!GF8,2)</f>
        <v/>
      </c>
      <c r="K43" s="21">
        <f>ROUND('Group Inputs'!GF9,2)</f>
        <v/>
      </c>
      <c r="L43" s="3" t="inlineStr">
        <is>
          <t>Not on a screen</t>
        </is>
      </c>
      <c r="M43" s="3" t="inlineStr">
        <is>
          <t>—</t>
        </is>
      </c>
      <c r="N43" s="3" t="inlineStr">
        <is>
          <t>dio_d</t>
        </is>
      </c>
    </row>
    <row r="44">
      <c r="A44" s="2" t="inlineStr">
        <is>
          <t>WCP-004</t>
        </is>
      </c>
      <c r="B44" s="3" t="inlineStr">
        <is>
          <t>Net working capital</t>
        </is>
      </c>
      <c r="C44" s="3" t="inlineStr">
        <is>
          <t>₹ m</t>
        </is>
      </c>
      <c r="D44" s="3" t="inlineStr">
        <is>
          <t>Month end</t>
        </is>
      </c>
      <c r="E44" s="3" t="inlineStr">
        <is>
          <t>(Trade receivables + Inventory − Trade payables) ÷ 1000</t>
        </is>
      </c>
      <c r="F44" s="21">
        <f>ROUND('Group Inputs'!FX4/1000,2)</f>
        <v/>
      </c>
      <c r="G44" s="21">
        <f>ROUND('Group Inputs'!FX5/1000,2)</f>
        <v/>
      </c>
      <c r="H44" s="21">
        <f>ROUND('Group Inputs'!FX6/1000,2)</f>
        <v/>
      </c>
      <c r="I44" s="21">
        <f>ROUND('Group Inputs'!FX7/1000,2)</f>
        <v/>
      </c>
      <c r="J44" s="21">
        <f>ROUND('Group Inputs'!FX8/1000,2)</f>
        <v/>
      </c>
      <c r="K44" s="21">
        <f>ROUND('Group Inputs'!FX9/1000,2)</f>
        <v/>
      </c>
      <c r="L44" s="3" t="inlineStr">
        <is>
          <t>2,781.0 ₹ m (O-03)</t>
        </is>
      </c>
      <c r="M44" s="3" t="inlineStr">
        <is>
          <t>O-03</t>
        </is>
      </c>
      <c r="N44" s="3" t="inlineStr">
        <is>
          <t>nwc_k</t>
        </is>
      </c>
    </row>
    <row r="45">
      <c r="A45" s="2" t="inlineStr">
        <is>
          <t>WCP-005</t>
        </is>
      </c>
      <c r="B45" s="3" t="inlineStr">
        <is>
          <t>Working-capital movement</t>
        </is>
      </c>
      <c r="C45" s="3" t="inlineStr">
        <is>
          <t>₹ m</t>
        </is>
      </c>
      <c r="D45" s="3" t="inlineStr">
        <is>
          <t>Month</t>
        </is>
      </c>
      <c r="E45" s="3" t="inlineStr">
        <is>
          <t>(Net working capital − last month's net working capital) ÷ 1000; positive = cash tied up</t>
        </is>
      </c>
      <c r="F45" s="21">
        <f>ROUND('Group Inputs'!FY4/1000,2)</f>
        <v/>
      </c>
      <c r="G45" s="21">
        <f>ROUND('Group Inputs'!FY5/1000,2)</f>
        <v/>
      </c>
      <c r="H45" s="21">
        <f>ROUND('Group Inputs'!FY6/1000,2)</f>
        <v/>
      </c>
      <c r="I45" s="21">
        <f>ROUND('Group Inputs'!FY7/1000,2)</f>
        <v/>
      </c>
      <c r="J45" s="21">
        <f>ROUND('Group Inputs'!FY8/1000,2)</f>
        <v/>
      </c>
      <c r="K45" s="21">
        <f>ROUND('Group Inputs'!FY9/1000,2)</f>
        <v/>
      </c>
      <c r="L45" s="3" t="inlineStr">
        <is>
          <t>Not on a screen</t>
        </is>
      </c>
      <c r="M45" s="3" t="inlineStr">
        <is>
          <t>—</t>
        </is>
      </c>
      <c r="N45" s="3" t="inlineStr">
        <is>
          <t>nwc_change_k</t>
        </is>
      </c>
    </row>
    <row r="46">
      <c r="A46" s="2" t="inlineStr">
        <is>
          <t>WCP-006</t>
        </is>
      </c>
      <c r="B46" s="3" t="inlineStr">
        <is>
          <t>Working-capital days</t>
        </is>
      </c>
      <c r="C46" s="3" t="inlineStr">
        <is>
          <t>days</t>
        </is>
      </c>
      <c r="D46" s="3" t="inlineStr">
        <is>
          <t>Month end</t>
        </is>
      </c>
      <c r="E46" s="3" t="inlineStr">
        <is>
          <t>Net working capital ÷ Revenue × Days in month</t>
        </is>
      </c>
      <c r="F46" s="21">
        <f>ROUND(IF('Group Inputs'!AU4=0,0,'Group Inputs'!FX4/'Group Inputs'!AU4*'Group Inputs'!C4),2)</f>
        <v/>
      </c>
      <c r="G46" s="21">
        <f>ROUND(IF('Group Inputs'!AU5=0,0,'Group Inputs'!FX5/'Group Inputs'!AU5*'Group Inputs'!C5),2)</f>
        <v/>
      </c>
      <c r="H46" s="21">
        <f>ROUND(IF('Group Inputs'!AU6=0,0,'Group Inputs'!FX6/'Group Inputs'!AU6*'Group Inputs'!C6),2)</f>
        <v/>
      </c>
      <c r="I46" s="21">
        <f>ROUND(IF('Group Inputs'!AU7=0,0,'Group Inputs'!FX7/'Group Inputs'!AU7*'Group Inputs'!C7),2)</f>
        <v/>
      </c>
      <c r="J46" s="21">
        <f>ROUND(IF('Group Inputs'!AU8=0,0,'Group Inputs'!FX8/'Group Inputs'!AU8*'Group Inputs'!C8),2)</f>
        <v/>
      </c>
      <c r="K46" s="21">
        <f>ROUND(IF('Group Inputs'!AU9=0,0,'Group Inputs'!FX9/'Group Inputs'!AU9*'Group Inputs'!C9),2)</f>
        <v/>
      </c>
      <c r="L46" s="3" t="inlineStr">
        <is>
          <t>Not on a screen</t>
        </is>
      </c>
      <c r="M46" s="3" t="inlineStr">
        <is>
          <t>—</t>
        </is>
      </c>
      <c r="N46" s="3" t="inlineStr">
        <is>
          <t>days, revenue_k, nwc_k</t>
        </is>
      </c>
    </row>
    <row r="47">
      <c r="A47" s="2" t="inlineStr">
        <is>
          <t>LIQ-001</t>
        </is>
      </c>
      <c r="B47" s="3" t="inlineStr">
        <is>
          <t>Liquidity runway</t>
        </is>
      </c>
      <c r="C47" s="3" t="inlineStr">
        <is>
          <t>months</t>
        </is>
      </c>
      <c r="D47" s="3" t="inlineStr">
        <is>
          <t>Month end</t>
        </is>
      </c>
      <c r="E47" s="3" t="inlineStr">
        <is>
          <t>(Cash + Undrawn facilities) ÷ (Fixed cost + Overheads + Debt service) per month</t>
        </is>
      </c>
      <c r="F47" s="21">
        <f>ROUND(IF(('Group Inputs'!X4+'Group Inputs'!BY4+'Group Inputs'!CE4)=0,0,('Group Inputs'!CC4+'Group Inputs'!CD4)/('Group Inputs'!X4+'Group Inputs'!BY4+'Group Inputs'!CE4)),2)</f>
        <v/>
      </c>
      <c r="G47" s="21">
        <f>ROUND(IF(('Group Inputs'!X5+'Group Inputs'!BY5+'Group Inputs'!CE5)=0,0,('Group Inputs'!CC5+'Group Inputs'!CD5)/('Group Inputs'!X5+'Group Inputs'!BY5+'Group Inputs'!CE5)),2)</f>
        <v/>
      </c>
      <c r="H47" s="21">
        <f>ROUND(IF(('Group Inputs'!X6+'Group Inputs'!BY6+'Group Inputs'!CE6)=0,0,('Group Inputs'!CC6+'Group Inputs'!CD6)/('Group Inputs'!X6+'Group Inputs'!BY6+'Group Inputs'!CE6)),2)</f>
        <v/>
      </c>
      <c r="I47" s="21">
        <f>ROUND(IF(('Group Inputs'!X7+'Group Inputs'!BY7+'Group Inputs'!CE7)=0,0,('Group Inputs'!CC7+'Group Inputs'!CD7)/('Group Inputs'!X7+'Group Inputs'!BY7+'Group Inputs'!CE7)),2)</f>
        <v/>
      </c>
      <c r="J47" s="21">
        <f>ROUND(IF(('Group Inputs'!X8+'Group Inputs'!BY8+'Group Inputs'!CE8)=0,0,('Group Inputs'!CC8+'Group Inputs'!CD8)/('Group Inputs'!X8+'Group Inputs'!BY8+'Group Inputs'!CE8)),2)</f>
        <v/>
      </c>
      <c r="K47" s="21">
        <f>ROUND(IF(('Group Inputs'!X9+'Group Inputs'!BY9+'Group Inputs'!CE9)=0,0,('Group Inputs'!CC9+'Group Inputs'!CD9)/('Group Inputs'!X9+'Group Inputs'!BY9+'Group Inputs'!CE9)),2)</f>
        <v/>
      </c>
      <c r="L47" s="3" t="inlineStr">
        <is>
          <t>16.7 months (O-03)</t>
        </is>
      </c>
      <c r="M47" s="3" t="inlineStr">
        <is>
          <t>O-03</t>
        </is>
      </c>
      <c r="N47" s="3" t="inlineStr">
        <is>
          <t>fixed_cost_k, overhead_k, cash_k, undrawn_facilities_k, debt_service_k</t>
        </is>
      </c>
    </row>
    <row r="48">
      <c r="A48" s="2" t="inlineStr">
        <is>
          <t>LIQ-002</t>
        </is>
      </c>
      <c r="B48" s="3" t="inlineStr">
        <is>
          <t>Covenant headroom</t>
        </is>
      </c>
      <c r="C48" s="3" t="inlineStr">
        <is>
          <t>%</t>
        </is>
      </c>
      <c r="D48" s="3" t="inlineStr">
        <is>
          <t>Month end</t>
        </is>
      </c>
      <c r="E48" s="3" t="inlineStr">
        <is>
          <t>(Covenant limit − Net debt ÷ Annualised EBITDA) ÷ Covenant limit × 100</t>
        </is>
      </c>
      <c r="F48" s="21">
        <f>ROUND(IF('Group Inputs'!GC4=0,0,100*(Parameters!$B$4-'Group Inputs'!GB4/'Group Inputs'!GC4)/Parameters!$B$4),2)</f>
        <v/>
      </c>
      <c r="G48" s="21">
        <f>ROUND(IF('Group Inputs'!GC5=0,0,100*(Parameters!$B$4-'Group Inputs'!GB5/'Group Inputs'!GC5)/Parameters!$B$4),2)</f>
        <v/>
      </c>
      <c r="H48" s="21">
        <f>ROUND(IF('Group Inputs'!GC6=0,0,100*(Parameters!$B$4-'Group Inputs'!GB6/'Group Inputs'!GC6)/Parameters!$B$4),2)</f>
        <v/>
      </c>
      <c r="I48" s="21">
        <f>ROUND(IF('Group Inputs'!GC7=0,0,100*(Parameters!$B$4-'Group Inputs'!GB7/'Group Inputs'!GC7)/Parameters!$B$4),2)</f>
        <v/>
      </c>
      <c r="J48" s="21">
        <f>ROUND(IF('Group Inputs'!GC8=0,0,100*(Parameters!$B$4-'Group Inputs'!GB8/'Group Inputs'!GC8)/Parameters!$B$4),2)</f>
        <v/>
      </c>
      <c r="K48" s="21">
        <f>ROUND(IF('Group Inputs'!GC9=0,0,100*(Parameters!$B$4-'Group Inputs'!GB9/'Group Inputs'!GC9)/Parameters!$B$4),2)</f>
        <v/>
      </c>
      <c r="L48" s="3" t="inlineStr">
        <is>
          <t>Not on a screen</t>
        </is>
      </c>
      <c r="M48" s="3" t="inlineStr">
        <is>
          <t>—</t>
        </is>
      </c>
      <c r="N48" s="3" t="inlineStr">
        <is>
          <t>net_debt_k, ebitda_annualised_k</t>
        </is>
      </c>
    </row>
    <row r="49">
      <c r="A49" s="2" t="inlineStr">
        <is>
          <t>LIQ-003</t>
        </is>
      </c>
      <c r="B49" s="3" t="inlineStr">
        <is>
          <t>Debt-maturity exposure, next 12 months</t>
        </is>
      </c>
      <c r="C49" s="3" t="inlineStr">
        <is>
          <t>₹ m</t>
        </is>
      </c>
      <c r="D49" s="3" t="inlineStr">
        <is>
          <t>Month end</t>
        </is>
      </c>
      <c r="E49" s="3" t="inlineStr">
        <is>
          <t>Debt maturing in next 12 months ÷ 1000</t>
        </is>
      </c>
      <c r="F49" s="21">
        <f>ROUND('Group Inputs'!CF4/1000,2)</f>
        <v/>
      </c>
      <c r="G49" s="21">
        <f>ROUND('Group Inputs'!CF5/1000,2)</f>
        <v/>
      </c>
      <c r="H49" s="21">
        <f>ROUND('Group Inputs'!CF6/1000,2)</f>
        <v/>
      </c>
      <c r="I49" s="21">
        <f>ROUND('Group Inputs'!CF7/1000,2)</f>
        <v/>
      </c>
      <c r="J49" s="21">
        <f>ROUND('Group Inputs'!CF8/1000,2)</f>
        <v/>
      </c>
      <c r="K49" s="21">
        <f>ROUND('Group Inputs'!CF9/1000,2)</f>
        <v/>
      </c>
      <c r="L49" s="3" t="inlineStr">
        <is>
          <t>891.4 ₹ m (O-03)</t>
        </is>
      </c>
      <c r="M49" s="3" t="inlineStr">
        <is>
          <t>O-03</t>
        </is>
      </c>
      <c r="N49" s="3" t="inlineStr">
        <is>
          <t>debt_maturing_12m_k</t>
        </is>
      </c>
    </row>
    <row r="50">
      <c r="A50" s="2" t="inlineStr">
        <is>
          <t>LIQ-004</t>
        </is>
      </c>
      <c r="B50" s="3" t="inlineStr">
        <is>
          <t>Financing exposure (floating-rate debt)</t>
        </is>
      </c>
      <c r="C50" s="3" t="inlineStr">
        <is>
          <t>₹ m</t>
        </is>
      </c>
      <c r="D50" s="3" t="inlineStr">
        <is>
          <t>Month end</t>
        </is>
      </c>
      <c r="E50" s="3" t="inlineStr">
        <is>
          <t>Floating-rate debt ÷ 1000</t>
        </is>
      </c>
      <c r="F50" s="21">
        <f>ROUND('Group Inputs'!CG4/1000,2)</f>
        <v/>
      </c>
      <c r="G50" s="21">
        <f>ROUND('Group Inputs'!CG5/1000,2)</f>
        <v/>
      </c>
      <c r="H50" s="21">
        <f>ROUND('Group Inputs'!CG6/1000,2)</f>
        <v/>
      </c>
      <c r="I50" s="21">
        <f>ROUND('Group Inputs'!CG7/1000,2)</f>
        <v/>
      </c>
      <c r="J50" s="21">
        <f>ROUND('Group Inputs'!CG8/1000,2)</f>
        <v/>
      </c>
      <c r="K50" s="21">
        <f>ROUND('Group Inputs'!CG9/1000,2)</f>
        <v/>
      </c>
      <c r="L50" s="3" t="inlineStr">
        <is>
          <t>2,720.8 ₹ m (O-03)</t>
        </is>
      </c>
      <c r="M50" s="3" t="inlineStr">
        <is>
          <t>O-03</t>
        </is>
      </c>
      <c r="N50" s="3" t="inlineStr">
        <is>
          <t>floating_rate_debt_k</t>
        </is>
      </c>
    </row>
    <row r="51">
      <c r="A51" s="2" t="inlineStr">
        <is>
          <t>TRS-001</t>
        </is>
      </c>
      <c r="B51" s="3" t="inlineStr">
        <is>
          <t>FX exposure, unhedged</t>
        </is>
      </c>
      <c r="C51" s="3" t="inlineStr">
        <is>
          <t>₹ m</t>
        </is>
      </c>
      <c r="D51" s="3" t="inlineStr">
        <is>
          <t>Month end</t>
        </is>
      </c>
      <c r="E51" s="3" t="inlineStr">
        <is>
          <t>(Foreign-currency exposure − Amount hedged) ÷ 1000</t>
        </is>
      </c>
      <c r="F51" s="21">
        <f>ROUND(('Group Inputs'!CZ4-'Group Inputs'!DA4)/1000,2)</f>
        <v/>
      </c>
      <c r="G51" s="21">
        <f>ROUND(('Group Inputs'!CZ5-'Group Inputs'!DA5)/1000,2)</f>
        <v/>
      </c>
      <c r="H51" s="21">
        <f>ROUND(('Group Inputs'!CZ6-'Group Inputs'!DA6)/1000,2)</f>
        <v/>
      </c>
      <c r="I51" s="21">
        <f>ROUND(('Group Inputs'!CZ7-'Group Inputs'!DA7)/1000,2)</f>
        <v/>
      </c>
      <c r="J51" s="21">
        <f>ROUND(('Group Inputs'!CZ8-'Group Inputs'!DA8)/1000,2)</f>
        <v/>
      </c>
      <c r="K51" s="21">
        <f>ROUND(('Group Inputs'!CZ9-'Group Inputs'!DA9)/1000,2)</f>
        <v/>
      </c>
      <c r="L51" s="3" t="inlineStr">
        <is>
          <t>Not on a screen</t>
        </is>
      </c>
      <c r="M51" s="3" t="inlineStr">
        <is>
          <t>—</t>
        </is>
      </c>
      <c r="N51" s="3" t="inlineStr">
        <is>
          <t>fx_exposure_k, fx_hedged_k</t>
        </is>
      </c>
    </row>
    <row r="52">
      <c r="A52" s="2" t="inlineStr">
        <is>
          <t>TRS-002</t>
        </is>
      </c>
      <c r="B52" s="3" t="inlineStr">
        <is>
          <t>Hedging effectiveness</t>
        </is>
      </c>
      <c r="C52" s="3" t="inlineStr">
        <is>
          <t>%</t>
        </is>
      </c>
      <c r="D52" s="3" t="inlineStr">
        <is>
          <t>Month</t>
        </is>
      </c>
      <c r="E52" s="3" t="inlineStr">
        <is>
          <t>Change in value of hedges ÷ Change in value of hedged items × 100</t>
        </is>
      </c>
      <c r="F52" s="21">
        <f>ROUND(IF('Group Inputs'!DE4=0,0,100*'Group Inputs'!DD4/'Group Inputs'!DE4),2)</f>
        <v/>
      </c>
      <c r="G52" s="21">
        <f>ROUND(IF('Group Inputs'!DE5=0,0,100*'Group Inputs'!DD5/'Group Inputs'!DE5),2)</f>
        <v/>
      </c>
      <c r="H52" s="21">
        <f>ROUND(IF('Group Inputs'!DE6=0,0,100*'Group Inputs'!DD6/'Group Inputs'!DE6),2)</f>
        <v/>
      </c>
      <c r="I52" s="21">
        <f>ROUND(IF('Group Inputs'!DE7=0,0,100*'Group Inputs'!DD7/'Group Inputs'!DE7),2)</f>
        <v/>
      </c>
      <c r="J52" s="21">
        <f>ROUND(IF('Group Inputs'!DE8=0,0,100*'Group Inputs'!DD8/'Group Inputs'!DE8),2)</f>
        <v/>
      </c>
      <c r="K52" s="21">
        <f>ROUND(IF('Group Inputs'!DE9=0,0,100*'Group Inputs'!DD9/'Group Inputs'!DE9),2)</f>
        <v/>
      </c>
      <c r="L52" s="3" t="inlineStr">
        <is>
          <t>Not on a screen</t>
        </is>
      </c>
      <c r="M52" s="3" t="inlineStr">
        <is>
          <t>—</t>
        </is>
      </c>
      <c r="N52" s="3" t="inlineStr">
        <is>
          <t>hedge_value_change_k, hedged_item_value_change_k</t>
        </is>
      </c>
    </row>
    <row r="53">
      <c r="A53" s="2" t="inlineStr">
        <is>
          <t>TRS-003</t>
        </is>
      </c>
      <c r="B53" s="3" t="inlineStr">
        <is>
          <t>USD share of unhedged FX exposure</t>
        </is>
      </c>
      <c r="C53" s="3" t="inlineStr">
        <is>
          <t>%</t>
        </is>
      </c>
      <c r="D53" s="3" t="inlineStr">
        <is>
          <t>Month end</t>
        </is>
      </c>
      <c r="E53" s="3" t="inlineStr">
        <is>
          <t>(USD exposure − USD hedged) ÷ (FX exposure − FX hedged) × 100</t>
        </is>
      </c>
      <c r="F53" s="21">
        <f>ROUND(IF(('Group Inputs'!CZ4-'Group Inputs'!DA4)=0,0,100*('Group Inputs'!DB4-'Group Inputs'!DC4)/('Group Inputs'!CZ4-'Group Inputs'!DA4)),2)</f>
        <v/>
      </c>
      <c r="G53" s="21">
        <f>ROUND(IF(('Group Inputs'!CZ5-'Group Inputs'!DA5)=0,0,100*('Group Inputs'!DB5-'Group Inputs'!DC5)/('Group Inputs'!CZ5-'Group Inputs'!DA5)),2)</f>
        <v/>
      </c>
      <c r="H53" s="21">
        <f>ROUND(IF(('Group Inputs'!CZ6-'Group Inputs'!DA6)=0,0,100*('Group Inputs'!DB6-'Group Inputs'!DC6)/('Group Inputs'!CZ6-'Group Inputs'!DA6)),2)</f>
        <v/>
      </c>
      <c r="I53" s="21">
        <f>ROUND(IF(('Group Inputs'!CZ7-'Group Inputs'!DA7)=0,0,100*('Group Inputs'!DB7-'Group Inputs'!DC7)/('Group Inputs'!CZ7-'Group Inputs'!DA7)),2)</f>
        <v/>
      </c>
      <c r="J53" s="21">
        <f>ROUND(IF(('Group Inputs'!CZ8-'Group Inputs'!DA8)=0,0,100*('Group Inputs'!DB8-'Group Inputs'!DC8)/('Group Inputs'!CZ8-'Group Inputs'!DA8)),2)</f>
        <v/>
      </c>
      <c r="K53" s="21">
        <f>ROUND(IF(('Group Inputs'!CZ9-'Group Inputs'!DA9)=0,0,100*('Group Inputs'!DB9-'Group Inputs'!DC9)/('Group Inputs'!CZ9-'Group Inputs'!DA9)),2)</f>
        <v/>
      </c>
      <c r="L53" s="3" t="inlineStr">
        <is>
          <t>Not on a screen</t>
        </is>
      </c>
      <c r="M53" s="3" t="inlineStr">
        <is>
          <t>—</t>
        </is>
      </c>
      <c r="N53" s="3" t="inlineStr">
        <is>
          <t>fx_exposure_k, fx_hedged_k, usd_exposure_k, usd_hedged_k</t>
        </is>
      </c>
    </row>
    <row r="54">
      <c r="A54" s="2" t="inlineStr">
        <is>
          <t>TRS-004</t>
        </is>
      </c>
      <c r="B54" s="3" t="inlineStr">
        <is>
          <t>Hedge cover, next 6 months</t>
        </is>
      </c>
      <c r="C54" s="3" t="inlineStr">
        <is>
          <t>%</t>
        </is>
      </c>
      <c r="D54" s="3" t="inlineStr">
        <is>
          <t>Next 6 months</t>
        </is>
      </c>
      <c r="E54" s="3" t="inlineStr">
        <is>
          <t>Foreign-currency flows hedged ÷ Forecast foreign-currency flows, next 6 months × 100</t>
        </is>
      </c>
      <c r="F54" s="21">
        <f>ROUND(IF('Group Inputs'!DF4=0,0,100*'Group Inputs'!DG4/'Group Inputs'!DF4),2)</f>
        <v/>
      </c>
      <c r="G54" s="21">
        <f>ROUND(IF('Group Inputs'!DF5=0,0,100*'Group Inputs'!DG5/'Group Inputs'!DF5),2)</f>
        <v/>
      </c>
      <c r="H54" s="21">
        <f>ROUND(IF('Group Inputs'!DF6=0,0,100*'Group Inputs'!DG6/'Group Inputs'!DF6),2)</f>
        <v/>
      </c>
      <c r="I54" s="21">
        <f>ROUND(IF('Group Inputs'!DF7=0,0,100*'Group Inputs'!DG7/'Group Inputs'!DF7),2)</f>
        <v/>
      </c>
      <c r="J54" s="21">
        <f>ROUND(IF('Group Inputs'!DF8=0,0,100*'Group Inputs'!DG8/'Group Inputs'!DF8),2)</f>
        <v/>
      </c>
      <c r="K54" s="21">
        <f>ROUND(IF('Group Inputs'!DF9=0,0,100*'Group Inputs'!DG9/'Group Inputs'!DF9),2)</f>
        <v/>
      </c>
      <c r="L54" s="3" t="inlineStr">
        <is>
          <t>70.7 % (O-03)</t>
        </is>
      </c>
      <c r="M54" s="3" t="inlineStr">
        <is>
          <t>O-03</t>
        </is>
      </c>
      <c r="N54" s="3" t="inlineStr">
        <is>
          <t>fx_flows_6m_k, fx_hedged_6m_k</t>
        </is>
      </c>
    </row>
    <row r="55">
      <c r="A55" s="2" t="inlineStr">
        <is>
          <t>TRS-005</t>
        </is>
      </c>
      <c r="B55" s="3" t="inlineStr">
        <is>
          <t>FX sensitivity, 5% USD move</t>
        </is>
      </c>
      <c r="C55" s="3" t="inlineStr">
        <is>
          <t>₹ m</t>
        </is>
      </c>
      <c r="D55" s="3" t="inlineStr">
        <is>
          <t>Month end</t>
        </is>
      </c>
      <c r="E55" s="3" t="inlineStr">
        <is>
          <t>5% × (USD exposure − USD hedged) ÷ 1000</t>
        </is>
      </c>
      <c r="F55" s="21">
        <f>ROUND(0.05*('Group Inputs'!DB4-'Group Inputs'!DC4)/1000,2)</f>
        <v/>
      </c>
      <c r="G55" s="21">
        <f>ROUND(0.05*('Group Inputs'!DB5-'Group Inputs'!DC5)/1000,2)</f>
        <v/>
      </c>
      <c r="H55" s="21">
        <f>ROUND(0.05*('Group Inputs'!DB6-'Group Inputs'!DC6)/1000,2)</f>
        <v/>
      </c>
      <c r="I55" s="21">
        <f>ROUND(0.05*('Group Inputs'!DB7-'Group Inputs'!DC7)/1000,2)</f>
        <v/>
      </c>
      <c r="J55" s="21">
        <f>ROUND(0.05*('Group Inputs'!DB8-'Group Inputs'!DC8)/1000,2)</f>
        <v/>
      </c>
      <c r="K55" s="21">
        <f>ROUND(0.05*('Group Inputs'!DB9-'Group Inputs'!DC9)/1000,2)</f>
        <v/>
      </c>
      <c r="L55" s="3" t="inlineStr">
        <is>
          <t>Not on a screen</t>
        </is>
      </c>
      <c r="M55" s="3" t="inlineStr">
        <is>
          <t>—</t>
        </is>
      </c>
      <c r="N55" s="3" t="inlineStr">
        <is>
          <t>usd_exposure_k, usd_hedged_k</t>
        </is>
      </c>
    </row>
    <row r="56">
      <c r="A56" s="2" t="inlineStr">
        <is>
          <t>CPX-001</t>
        </is>
      </c>
      <c r="B56" s="3" t="inlineStr">
        <is>
          <t>Approved capex budget</t>
        </is>
      </c>
      <c r="C56" s="3" t="inlineStr">
        <is>
          <t>₹ m</t>
        </is>
      </c>
      <c r="D56" s="3" t="inlineStr">
        <is>
          <t>Full year</t>
        </is>
      </c>
      <c r="E56" s="3" t="inlineStr">
        <is>
          <t>Approved capex budget ÷ 1000</t>
        </is>
      </c>
      <c r="F56" s="21">
        <f>ROUND('Group Inputs'!DH4/1000,2)</f>
        <v/>
      </c>
      <c r="G56" s="21">
        <f>ROUND('Group Inputs'!DH5/1000,2)</f>
        <v/>
      </c>
      <c r="H56" s="21">
        <f>ROUND('Group Inputs'!DH6/1000,2)</f>
        <v/>
      </c>
      <c r="I56" s="21">
        <f>ROUND('Group Inputs'!DH7/1000,2)</f>
        <v/>
      </c>
      <c r="J56" s="21">
        <f>ROUND('Group Inputs'!DH8/1000,2)</f>
        <v/>
      </c>
      <c r="K56" s="21">
        <f>ROUND('Group Inputs'!DH9/1000,2)</f>
        <v/>
      </c>
      <c r="L56" s="3" t="inlineStr">
        <is>
          <t>850 ₹ m (O-04)</t>
        </is>
      </c>
      <c r="M56" s="3" t="inlineStr">
        <is>
          <t>O-04</t>
        </is>
      </c>
      <c r="N56" s="3" t="inlineStr">
        <is>
          <t>capex_budget_k</t>
        </is>
      </c>
    </row>
    <row r="57">
      <c r="A57" s="2" t="inlineStr">
        <is>
          <t>CPX-002</t>
        </is>
      </c>
      <c r="B57" s="3" t="inlineStr">
        <is>
          <t>Committed capex</t>
        </is>
      </c>
      <c r="C57" s="3" t="inlineStr">
        <is>
          <t>₹ m</t>
        </is>
      </c>
      <c r="D57" s="3" t="inlineStr">
        <is>
          <t>To date</t>
        </is>
      </c>
      <c r="E57" s="3" t="inlineStr">
        <is>
          <t>Capex committed to date ÷ 1000</t>
        </is>
      </c>
      <c r="F57" s="21">
        <f>ROUND('Group Inputs'!DI4/1000,2)</f>
        <v/>
      </c>
      <c r="G57" s="21">
        <f>ROUND('Group Inputs'!DI5/1000,2)</f>
        <v/>
      </c>
      <c r="H57" s="21">
        <f>ROUND('Group Inputs'!DI6/1000,2)</f>
        <v/>
      </c>
      <c r="I57" s="21">
        <f>ROUND('Group Inputs'!DI7/1000,2)</f>
        <v/>
      </c>
      <c r="J57" s="21">
        <f>ROUND('Group Inputs'!DI8/1000,2)</f>
        <v/>
      </c>
      <c r="K57" s="21">
        <f>ROUND('Group Inputs'!DI9/1000,2)</f>
        <v/>
      </c>
      <c r="L57" s="3" t="inlineStr">
        <is>
          <t>610 ₹ m · 72% (O-04)</t>
        </is>
      </c>
      <c r="M57" s="3" t="inlineStr">
        <is>
          <t>O-04</t>
        </is>
      </c>
      <c r="N57" s="3" t="inlineStr">
        <is>
          <t>capex_committed_k</t>
        </is>
      </c>
    </row>
    <row r="58">
      <c r="A58" s="2" t="inlineStr">
        <is>
          <t>CPX-003</t>
        </is>
      </c>
      <c r="B58" s="3" t="inlineStr">
        <is>
          <t>Capex actual spend YTD</t>
        </is>
      </c>
      <c r="C58" s="3" t="inlineStr">
        <is>
          <t>₹ m</t>
        </is>
      </c>
      <c r="D58" s="3" t="inlineStr">
        <is>
          <t>Year to date</t>
        </is>
      </c>
      <c r="E58" s="3" t="inlineStr">
        <is>
          <t>Sum of capex spent since April ÷ 1000</t>
        </is>
      </c>
      <c r="F58" s="21">
        <f>ROUND(SUM('Group Inputs'!DJ$4:DJ4)/1000,2)</f>
        <v/>
      </c>
      <c r="G58" s="21">
        <f>ROUND(SUM('Group Inputs'!DJ$4:DJ5)/1000,2)</f>
        <v/>
      </c>
      <c r="H58" s="21">
        <f>ROUND(SUM('Group Inputs'!DJ$4:DJ6)/1000,2)</f>
        <v/>
      </c>
      <c r="I58" s="21">
        <f>ROUND(SUM('Group Inputs'!DJ$4:DJ7)/1000,2)</f>
        <v/>
      </c>
      <c r="J58" s="21">
        <f>ROUND(SUM('Group Inputs'!DJ$4:DJ8)/1000,2)</f>
        <v/>
      </c>
      <c r="K58" s="21">
        <f>ROUND(SUM('Group Inputs'!DJ$4:DJ9)/1000,2)</f>
        <v/>
      </c>
      <c r="L58" s="3" t="inlineStr">
        <is>
          <t>402 ₹ m · 47% (O-04)</t>
        </is>
      </c>
      <c r="M58" s="3" t="inlineStr">
        <is>
          <t>O-04</t>
        </is>
      </c>
      <c r="N58" s="3" t="inlineStr">
        <is>
          <t>capex_spend_k</t>
        </is>
      </c>
    </row>
    <row r="59">
      <c r="A59" s="2" t="inlineStr">
        <is>
          <t>CPX-004</t>
        </is>
      </c>
      <c r="B59" s="3" t="inlineStr">
        <is>
          <t>Capex physical progress, weighted</t>
        </is>
      </c>
      <c r="C59" s="3" t="inlineStr">
        <is>
          <t>%</t>
        </is>
      </c>
      <c r="D59" s="3" t="inlineStr">
        <is>
          <t>To date</t>
        </is>
      </c>
      <c r="E59" s="3" t="inlineStr">
        <is>
          <t>Work completed valued at budget ÷ Approved budget × 100 (weights each project by its budget)</t>
        </is>
      </c>
      <c r="F59" s="21">
        <f>ROUND(IF('Group Inputs'!DH4=0,0,100*'Group Inputs'!DK4/'Group Inputs'!DH4),2)</f>
        <v/>
      </c>
      <c r="G59" s="21">
        <f>ROUND(IF('Group Inputs'!DH5=0,0,100*'Group Inputs'!DK5/'Group Inputs'!DH5),2)</f>
        <v/>
      </c>
      <c r="H59" s="21">
        <f>ROUND(IF('Group Inputs'!DH6=0,0,100*'Group Inputs'!DK6/'Group Inputs'!DH6),2)</f>
        <v/>
      </c>
      <c r="I59" s="21">
        <f>ROUND(IF('Group Inputs'!DH7=0,0,100*'Group Inputs'!DK7/'Group Inputs'!DH7),2)</f>
        <v/>
      </c>
      <c r="J59" s="21">
        <f>ROUND(IF('Group Inputs'!DH8=0,0,100*'Group Inputs'!DK8/'Group Inputs'!DH8),2)</f>
        <v/>
      </c>
      <c r="K59" s="21">
        <f>ROUND(IF('Group Inputs'!DH9=0,0,100*'Group Inputs'!DK9/'Group Inputs'!DH9),2)</f>
        <v/>
      </c>
      <c r="L59" s="3" t="inlineStr">
        <is>
          <t>61 % weighted (O-01, O-04, STATE GALLERY)</t>
        </is>
      </c>
      <c r="M59" s="3" t="inlineStr">
        <is>
          <t>O-01, O-04, STATE GALLERY · O-01 + S-02, O-01 · large display ≥ 1600</t>
        </is>
      </c>
      <c r="N59" s="3" t="inlineStr">
        <is>
          <t>capex_budget_k, capex_earned_value_k</t>
        </is>
      </c>
    </row>
    <row r="60">
      <c r="A60" s="2" t="inlineStr">
        <is>
          <t>SIG-011</t>
        </is>
      </c>
      <c r="B60" s="3" t="inlineStr">
        <is>
          <t>Capex value at risk</t>
        </is>
      </c>
      <c r="C60" s="3" t="inlineStr">
        <is>
          <t>₹ m</t>
        </is>
      </c>
      <c r="D60" s="3" t="inlineStr">
        <is>
          <t>Month end</t>
        </is>
      </c>
      <c r="E60" s="3" t="inlineStr">
        <is>
          <t>Budget of projects at risk ÷ 1000</t>
        </is>
      </c>
      <c r="F60" s="21">
        <f>ROUND('Group Inputs'!DL4/1000,2)</f>
        <v/>
      </c>
      <c r="G60" s="21">
        <f>ROUND('Group Inputs'!DL5/1000,2)</f>
        <v/>
      </c>
      <c r="H60" s="21">
        <f>ROUND('Group Inputs'!DL6/1000,2)</f>
        <v/>
      </c>
      <c r="I60" s="21">
        <f>ROUND('Group Inputs'!DL7/1000,2)</f>
        <v/>
      </c>
      <c r="J60" s="21">
        <f>ROUND('Group Inputs'!DL8/1000,2)</f>
        <v/>
      </c>
      <c r="K60" s="21">
        <f>ROUND('Group Inputs'!DL9/1000,2)</f>
        <v/>
      </c>
      <c r="L60" s="3" t="inlineStr">
        <is>
          <t>34 ₹ m (O-04); ₹34 m (O-04)</t>
        </is>
      </c>
      <c r="M60" s="3" t="inlineStr">
        <is>
          <t>O-04</t>
        </is>
      </c>
      <c r="N60" s="3" t="inlineStr">
        <is>
          <t>capex_at_risk_k</t>
        </is>
      </c>
    </row>
    <row r="61">
      <c r="A61" s="2" t="inlineStr">
        <is>
          <t>PRG-001</t>
        </is>
      </c>
      <c r="B61" s="3" t="inlineStr">
        <is>
          <t>Capex project status</t>
        </is>
      </c>
      <c r="C61" s="3" t="inlineStr">
        <is>
          <t>text</t>
        </is>
      </c>
      <c r="D61" s="3" t="inlineStr">
        <is>
          <t>Month end</t>
        </is>
      </c>
      <c r="E61" s="3" t="inlineStr">
        <is>
          <t>Count of projects by status</t>
        </is>
      </c>
      <c r="F61" s="8">
        <f>'Group Inputs'!DM4&amp;" on track · "&amp;'Group Inputs'!DN4&amp;" at risk · "&amp;'Group Inputs'!DO4&amp;" off track"</f>
        <v/>
      </c>
      <c r="G61" s="8">
        <f>'Group Inputs'!DM5&amp;" on track · "&amp;'Group Inputs'!DN5&amp;" at risk · "&amp;'Group Inputs'!DO5&amp;" off track"</f>
        <v/>
      </c>
      <c r="H61" s="8">
        <f>'Group Inputs'!DM6&amp;" on track · "&amp;'Group Inputs'!DN6&amp;" at risk · "&amp;'Group Inputs'!DO6&amp;" off track"</f>
        <v/>
      </c>
      <c r="I61" s="8">
        <f>'Group Inputs'!DM7&amp;" on track · "&amp;'Group Inputs'!DN7&amp;" at risk · "&amp;'Group Inputs'!DO7&amp;" off track"</f>
        <v/>
      </c>
      <c r="J61" s="8">
        <f>'Group Inputs'!DM8&amp;" on track · "&amp;'Group Inputs'!DN8&amp;" at risk · "&amp;'Group Inputs'!DO8&amp;" off track"</f>
        <v/>
      </c>
      <c r="K61" s="8">
        <f>'Group Inputs'!DM9&amp;" on track · "&amp;'Group Inputs'!DN9&amp;" at risk · "&amp;'Group Inputs'!DO9&amp;" off track"</f>
        <v/>
      </c>
      <c r="L61" s="3" t="inlineStr">
        <is>
          <t>9 on track · 2 at risk · 0 off track (O-04)</t>
        </is>
      </c>
      <c r="M61" s="3" t="inlineStr">
        <is>
          <t>O-04</t>
        </is>
      </c>
      <c r="N61" s="3" t="inlineStr">
        <is>
          <t>projects_on_track, projects_at_risk, projects_off_track</t>
        </is>
      </c>
    </row>
    <row r="62">
      <c r="A62" s="2" t="inlineStr">
        <is>
          <t>PRG-002</t>
        </is>
      </c>
      <c r="B62" s="3" t="inlineStr">
        <is>
          <t>Benefits realisation</t>
        </is>
      </c>
      <c r="C62" s="3" t="inlineStr">
        <is>
          <t>%</t>
        </is>
      </c>
      <c r="D62" s="3" t="inlineStr">
        <is>
          <t>Year to date</t>
        </is>
      </c>
      <c r="E62" s="3" t="inlineStr">
        <is>
          <t>Benefits delivered since April ÷ Benefits planned since April × 100</t>
        </is>
      </c>
      <c r="F62" s="21">
        <f>ROUND(IF(SUM('Group Inputs'!DX$4:DX4)=0,0,100*SUM('Group Inputs'!DY$4:DY4)/SUM('Group Inputs'!DX$4:DX4)),2)</f>
        <v/>
      </c>
      <c r="G62" s="21">
        <f>ROUND(IF(SUM('Group Inputs'!DX$4:DX5)=0,0,100*SUM('Group Inputs'!DY$4:DY5)/SUM('Group Inputs'!DX$4:DX5)),2)</f>
        <v/>
      </c>
      <c r="H62" s="21">
        <f>ROUND(IF(SUM('Group Inputs'!DX$4:DX6)=0,0,100*SUM('Group Inputs'!DY$4:DY6)/SUM('Group Inputs'!DX$4:DX6)),2)</f>
        <v/>
      </c>
      <c r="I62" s="21">
        <f>ROUND(IF(SUM('Group Inputs'!DX$4:DX7)=0,0,100*SUM('Group Inputs'!DY$4:DY7)/SUM('Group Inputs'!DX$4:DX7)),2)</f>
        <v/>
      </c>
      <c r="J62" s="21">
        <f>ROUND(IF(SUM('Group Inputs'!DX$4:DX8)=0,0,100*SUM('Group Inputs'!DY$4:DY8)/SUM('Group Inputs'!DX$4:DX8)),2)</f>
        <v/>
      </c>
      <c r="K62" s="21">
        <f>ROUND(IF(SUM('Group Inputs'!DX$4:DX9)=0,0,100*SUM('Group Inputs'!DY$4:DY9)/SUM('Group Inputs'!DX$4:DX9)),2)</f>
        <v/>
      </c>
      <c r="L62" s="3" t="inlineStr">
        <is>
          <t>48 % of plan (O-04)</t>
        </is>
      </c>
      <c r="M62" s="3" t="inlineStr">
        <is>
          <t>O-04</t>
        </is>
      </c>
      <c r="N62" s="3" t="inlineStr">
        <is>
          <t>benefits_planned_k, benefits_delivered_k</t>
        </is>
      </c>
    </row>
    <row r="63">
      <c r="A63" s="2" t="inlineStr">
        <is>
          <t>PRG-003</t>
        </is>
      </c>
      <c r="B63" s="3" t="inlineStr">
        <is>
          <t>Delayed projects</t>
        </is>
      </c>
      <c r="C63" s="3" t="inlineStr">
        <is>
          <t>count</t>
        </is>
      </c>
      <c r="D63" s="3" t="inlineStr">
        <is>
          <t>Month end</t>
        </is>
      </c>
      <c r="E63" s="3" t="inlineStr">
        <is>
          <t>Capex projects delayed</t>
        </is>
      </c>
      <c r="F63" s="21">
        <f>ROUND('Group Inputs'!DP4,2)</f>
        <v/>
      </c>
      <c r="G63" s="21">
        <f>ROUND('Group Inputs'!DP5,2)</f>
        <v/>
      </c>
      <c r="H63" s="21">
        <f>ROUND('Group Inputs'!DP6,2)</f>
        <v/>
      </c>
      <c r="I63" s="21">
        <f>ROUND('Group Inputs'!DP7,2)</f>
        <v/>
      </c>
      <c r="J63" s="21">
        <f>ROUND('Group Inputs'!DP8,2)</f>
        <v/>
      </c>
      <c r="K63" s="21">
        <f>ROUND('Group Inputs'!DP9,2)</f>
        <v/>
      </c>
      <c r="L63" s="3" t="inlineStr">
        <is>
          <t>1 (O-04)</t>
        </is>
      </c>
      <c r="M63" s="3" t="inlineStr">
        <is>
          <t>O-04</t>
        </is>
      </c>
      <c r="N63" s="3" t="inlineStr">
        <is>
          <t>projects_delayed</t>
        </is>
      </c>
    </row>
    <row r="64">
      <c r="A64" s="2" t="inlineStr">
        <is>
          <t>PRG-004</t>
        </is>
      </c>
      <c r="B64" s="3" t="inlineStr">
        <is>
          <t>Capex / transformation progress (same measure as STR-002)</t>
        </is>
      </c>
      <c r="C64" s="3" t="inlineStr">
        <is>
          <t>%</t>
        </is>
      </c>
      <c r="D64" s="3" t="inlineStr">
        <is>
          <t>To date</t>
        </is>
      </c>
      <c r="E64" s="3" t="inlineStr">
        <is>
          <t>Transformation milestones completed ÷ Milestones in plan × 100</t>
        </is>
      </c>
      <c r="F64" s="21">
        <f>ROUND(IF('Group Inputs'!DV4=0,0,100*'Group Inputs'!DW4/'Group Inputs'!DV4),2)</f>
        <v/>
      </c>
      <c r="G64" s="21">
        <f>ROUND(IF('Group Inputs'!DV5=0,0,100*'Group Inputs'!DW5/'Group Inputs'!DV5),2)</f>
        <v/>
      </c>
      <c r="H64" s="21">
        <f>ROUND(IF('Group Inputs'!DV6=0,0,100*'Group Inputs'!DW6/'Group Inputs'!DV6),2)</f>
        <v/>
      </c>
      <c r="I64" s="21">
        <f>ROUND(IF('Group Inputs'!DV7=0,0,100*'Group Inputs'!DW7/'Group Inputs'!DV7),2)</f>
        <v/>
      </c>
      <c r="J64" s="21">
        <f>ROUND(IF('Group Inputs'!DV8=0,0,100*'Group Inputs'!DW8/'Group Inputs'!DV8),2)</f>
        <v/>
      </c>
      <c r="K64" s="21">
        <f>ROUND(IF('Group Inputs'!DV9=0,0,100*'Group Inputs'!DW9/'Group Inputs'!DV9),2)</f>
        <v/>
      </c>
      <c r="L64" s="3" t="inlineStr">
        <is>
          <t>54% (O-01, O-04)</t>
        </is>
      </c>
      <c r="M64" s="3" t="inlineStr">
        <is>
          <t>O-01, O-04</t>
        </is>
      </c>
      <c r="N64" s="3" t="inlineStr">
        <is>
          <t>milestones_total, milestones_done</t>
        </is>
      </c>
    </row>
    <row r="65">
      <c r="A65" s="2" t="inlineStr">
        <is>
          <t>STR-002</t>
        </is>
      </c>
      <c r="B65" s="3" t="inlineStr">
        <is>
          <t>Transformation progress</t>
        </is>
      </c>
      <c r="C65" s="3" t="inlineStr">
        <is>
          <t>%</t>
        </is>
      </c>
      <c r="D65" s="3" t="inlineStr">
        <is>
          <t>To date</t>
        </is>
      </c>
      <c r="E65" s="3" t="inlineStr">
        <is>
          <t>Transformation milestones completed ÷ Milestones in plan × 100</t>
        </is>
      </c>
      <c r="F65" s="21">
        <f>ROUND(IF('Group Inputs'!DV4=0,0,100*'Group Inputs'!DW4/'Group Inputs'!DV4),2)</f>
        <v/>
      </c>
      <c r="G65" s="21">
        <f>ROUND(IF('Group Inputs'!DV5=0,0,100*'Group Inputs'!DW5/'Group Inputs'!DV5),2)</f>
        <v/>
      </c>
      <c r="H65" s="21">
        <f>ROUND(IF('Group Inputs'!DV6=0,0,100*'Group Inputs'!DW6/'Group Inputs'!DV6),2)</f>
        <v/>
      </c>
      <c r="I65" s="21">
        <f>ROUND(IF('Group Inputs'!DV7=0,0,100*'Group Inputs'!DW7/'Group Inputs'!DV7),2)</f>
        <v/>
      </c>
      <c r="J65" s="21">
        <f>ROUND(IF('Group Inputs'!DV8=0,0,100*'Group Inputs'!DW8/'Group Inputs'!DV8),2)</f>
        <v/>
      </c>
      <c r="K65" s="21">
        <f>ROUND(IF('Group Inputs'!DV9=0,0,100*'Group Inputs'!DW9/'Group Inputs'!DV9),2)</f>
        <v/>
      </c>
      <c r="L65" s="3" t="inlineStr">
        <is>
          <t>54% (O-01, O-04, STATE GALLERY)</t>
        </is>
      </c>
      <c r="M65" s="3" t="inlineStr">
        <is>
          <t>O-01, O-04, STATE GALLERY · O-01 + S-02, O-01 · large display ≥ 1600</t>
        </is>
      </c>
      <c r="N65" s="3" t="inlineStr">
        <is>
          <t>milestones_total, milestones_done</t>
        </is>
      </c>
    </row>
    <row r="66">
      <c r="A66" s="2" t="inlineStr">
        <is>
          <t>PRG-005</t>
        </is>
      </c>
      <c r="B66" s="3" t="inlineStr">
        <is>
          <t>Transformation initiative status</t>
        </is>
      </c>
      <c r="C66" s="3" t="inlineStr">
        <is>
          <t>text</t>
        </is>
      </c>
      <c r="D66" s="3" t="inlineStr">
        <is>
          <t>Month end</t>
        </is>
      </c>
      <c r="E66" s="3" t="inlineStr">
        <is>
          <t>Count of transformation initiatives by status</t>
        </is>
      </c>
      <c r="F66" s="8">
        <f>'Group Inputs'!DS4&amp;" on track · "&amp;'Group Inputs'!DT4&amp;" at risk · "&amp;'Group Inputs'!DU4&amp;" delayed"</f>
        <v/>
      </c>
      <c r="G66" s="8">
        <f>'Group Inputs'!DS5&amp;" on track · "&amp;'Group Inputs'!DT5&amp;" at risk · "&amp;'Group Inputs'!DU5&amp;" delayed"</f>
        <v/>
      </c>
      <c r="H66" s="8">
        <f>'Group Inputs'!DS6&amp;" on track · "&amp;'Group Inputs'!DT6&amp;" at risk · "&amp;'Group Inputs'!DU6&amp;" delayed"</f>
        <v/>
      </c>
      <c r="I66" s="8">
        <f>'Group Inputs'!DS7&amp;" on track · "&amp;'Group Inputs'!DT7&amp;" at risk · "&amp;'Group Inputs'!DU7&amp;" delayed"</f>
        <v/>
      </c>
      <c r="J66" s="8">
        <f>'Group Inputs'!DS8&amp;" on track · "&amp;'Group Inputs'!DT8&amp;" at risk · "&amp;'Group Inputs'!DU8&amp;" delayed"</f>
        <v/>
      </c>
      <c r="K66" s="8">
        <f>'Group Inputs'!DS9&amp;" on track · "&amp;'Group Inputs'!DT9&amp;" at risk · "&amp;'Group Inputs'!DU9&amp;" delayed"</f>
        <v/>
      </c>
      <c r="L66" s="3" t="inlineStr">
        <is>
          <t>15 on track · 6 at risk · 3 delayed (O-04)</t>
        </is>
      </c>
      <c r="M66" s="3" t="inlineStr">
        <is>
          <t>O-04</t>
        </is>
      </c>
      <c r="N66" s="3" t="inlineStr">
        <is>
          <t>initiatives_on_track, initiatives_at_risk, initiatives_delayed</t>
        </is>
      </c>
    </row>
    <row r="67">
      <c r="A67" s="2" t="inlineStr">
        <is>
          <t>VAL-001</t>
        </is>
      </c>
      <c r="B67" s="3" t="inlineStr">
        <is>
          <t>EBITDA benefit YTD</t>
        </is>
      </c>
      <c r="C67" s="3" t="inlineStr">
        <is>
          <t>₹ m</t>
        </is>
      </c>
      <c r="D67" s="3" t="inlineStr">
        <is>
          <t>Year to date</t>
        </is>
      </c>
      <c r="E67" s="3" t="inlineStr">
        <is>
          <t>Sum of EBITDA benefit since April ÷ 1000</t>
        </is>
      </c>
      <c r="F67" s="21">
        <f>ROUND(SUM('Group Inputs'!DZ$4:DZ4)/1000,2)</f>
        <v/>
      </c>
      <c r="G67" s="21">
        <f>ROUND(SUM('Group Inputs'!DZ$4:DZ5)/1000,2)</f>
        <v/>
      </c>
      <c r="H67" s="21">
        <f>ROUND(SUM('Group Inputs'!DZ$4:DZ6)/1000,2)</f>
        <v/>
      </c>
      <c r="I67" s="21">
        <f>ROUND(SUM('Group Inputs'!DZ$4:DZ7)/1000,2)</f>
        <v/>
      </c>
      <c r="J67" s="21">
        <f>ROUND(SUM('Group Inputs'!DZ$4:DZ8)/1000,2)</f>
        <v/>
      </c>
      <c r="K67" s="21">
        <f>ROUND(SUM('Group Inputs'!DZ$4:DZ9)/1000,2)</f>
        <v/>
      </c>
      <c r="L67" s="3" t="inlineStr">
        <is>
          <t>₹14 m (O-04)</t>
        </is>
      </c>
      <c r="M67" s="3" t="inlineStr">
        <is>
          <t>O-04</t>
        </is>
      </c>
      <c r="N67" s="3" t="inlineStr">
        <is>
          <t>ebitda_benefit_k</t>
        </is>
      </c>
    </row>
    <row r="68">
      <c r="A68" s="2" t="inlineStr">
        <is>
          <t>VAL-002</t>
        </is>
      </c>
      <c r="B68" s="3" t="inlineStr">
        <is>
          <t>Cash benefit YTD</t>
        </is>
      </c>
      <c r="C68" s="3" t="inlineStr">
        <is>
          <t>₹ m</t>
        </is>
      </c>
      <c r="D68" s="3" t="inlineStr">
        <is>
          <t>Year to date</t>
        </is>
      </c>
      <c r="E68" s="3" t="inlineStr">
        <is>
          <t>Sum of cash benefit since April ÷ 1000</t>
        </is>
      </c>
      <c r="F68" s="21">
        <f>ROUND(SUM('Group Inputs'!EA$4:EA4)/1000,2)</f>
        <v/>
      </c>
      <c r="G68" s="21">
        <f>ROUND(SUM('Group Inputs'!EA$4:EA5)/1000,2)</f>
        <v/>
      </c>
      <c r="H68" s="21">
        <f>ROUND(SUM('Group Inputs'!EA$4:EA6)/1000,2)</f>
        <v/>
      </c>
      <c r="I68" s="21">
        <f>ROUND(SUM('Group Inputs'!EA$4:EA7)/1000,2)</f>
        <v/>
      </c>
      <c r="J68" s="21">
        <f>ROUND(SUM('Group Inputs'!EA$4:EA8)/1000,2)</f>
        <v/>
      </c>
      <c r="K68" s="21">
        <f>ROUND(SUM('Group Inputs'!EA$4:EA9)/1000,2)</f>
        <v/>
      </c>
      <c r="L68" s="3" t="inlineStr">
        <is>
          <t>₹9 m (O-04)</t>
        </is>
      </c>
      <c r="M68" s="3" t="inlineStr">
        <is>
          <t>O-04</t>
        </is>
      </c>
      <c r="N68" s="3" t="inlineStr">
        <is>
          <t>cash_benefit_k</t>
        </is>
      </c>
    </row>
    <row r="69">
      <c r="A69" s="2" t="inlineStr">
        <is>
          <t>VAL-003</t>
        </is>
      </c>
      <c r="B69" s="3" t="inlineStr">
        <is>
          <t>Cost savings delivered YTD</t>
        </is>
      </c>
      <c r="C69" s="3" t="inlineStr">
        <is>
          <t>₹ m</t>
        </is>
      </c>
      <c r="D69" s="3" t="inlineStr">
        <is>
          <t>Year to date</t>
        </is>
      </c>
      <c r="E69" s="3" t="inlineStr">
        <is>
          <t>Sum of cost savings since April ÷ 1000</t>
        </is>
      </c>
      <c r="F69" s="21">
        <f>ROUND(SUM('Group Inputs'!EB$4:EB4)/1000,2)</f>
        <v/>
      </c>
      <c r="G69" s="21">
        <f>ROUND(SUM('Group Inputs'!EB$4:EB5)/1000,2)</f>
        <v/>
      </c>
      <c r="H69" s="21">
        <f>ROUND(SUM('Group Inputs'!EB$4:EB6)/1000,2)</f>
        <v/>
      </c>
      <c r="I69" s="21">
        <f>ROUND(SUM('Group Inputs'!EB$4:EB7)/1000,2)</f>
        <v/>
      </c>
      <c r="J69" s="21">
        <f>ROUND(SUM('Group Inputs'!EB$4:EB8)/1000,2)</f>
        <v/>
      </c>
      <c r="K69" s="21">
        <f>ROUND(SUM('Group Inputs'!EB$4:EB9)/1000,2)</f>
        <v/>
      </c>
      <c r="L69" s="3" t="inlineStr">
        <is>
          <t>₹11 m (O-04)</t>
        </is>
      </c>
      <c r="M69" s="3" t="inlineStr">
        <is>
          <t>O-04</t>
        </is>
      </c>
      <c r="N69" s="3" t="inlineStr">
        <is>
          <t>cost_savings_k</t>
        </is>
      </c>
    </row>
    <row r="70">
      <c r="A70" s="2" t="inlineStr">
        <is>
          <t>SUP-001</t>
        </is>
      </c>
      <c r="B70" s="3" t="inlineStr">
        <is>
          <t>Supplier on-time delivery</t>
        </is>
      </c>
      <c r="C70" s="3" t="inlineStr">
        <is>
          <t>%</t>
        </is>
      </c>
      <c r="D70" s="3" t="inlineStr">
        <is>
          <t>Month</t>
        </is>
      </c>
      <c r="E70" s="3" t="inlineStr">
        <is>
          <t>Purchase-order lines on time ÷ Lines due × 100</t>
        </is>
      </c>
      <c r="F70" s="21">
        <f>ROUND(IF('Group Inputs'!AY4=0,0,100*'Group Inputs'!AZ4/'Group Inputs'!AY4),2)</f>
        <v/>
      </c>
      <c r="G70" s="21">
        <f>ROUND(IF('Group Inputs'!AY5=0,0,100*'Group Inputs'!AZ5/'Group Inputs'!AY5),2)</f>
        <v/>
      </c>
      <c r="H70" s="21">
        <f>ROUND(IF('Group Inputs'!AY6=0,0,100*'Group Inputs'!AZ6/'Group Inputs'!AY6),2)</f>
        <v/>
      </c>
      <c r="I70" s="21">
        <f>ROUND(IF('Group Inputs'!AY7=0,0,100*'Group Inputs'!AZ7/'Group Inputs'!AY7),2)</f>
        <v/>
      </c>
      <c r="J70" s="21">
        <f>ROUND(IF('Group Inputs'!AY8=0,0,100*'Group Inputs'!AZ8/'Group Inputs'!AY8),2)</f>
        <v/>
      </c>
      <c r="K70" s="21">
        <f>ROUND(IF('Group Inputs'!AY9=0,0,100*'Group Inputs'!AZ9/'Group Inputs'!AY9),2)</f>
        <v/>
      </c>
      <c r="L70" s="3" t="inlineStr">
        <is>
          <t>Not on a screen</t>
        </is>
      </c>
      <c r="M70" s="3" t="inlineStr">
        <is>
          <t>—</t>
        </is>
      </c>
      <c r="N70" s="3" t="inlineStr">
        <is>
          <t>po_lines_due, po_lines_on_time</t>
        </is>
      </c>
    </row>
    <row r="71">
      <c r="A71" s="2" t="inlineStr">
        <is>
          <t>SUP-007</t>
        </is>
      </c>
      <c r="B71" s="3" t="inlineStr">
        <is>
          <t>Single-source spend share</t>
        </is>
      </c>
      <c r="C71" s="3" t="inlineStr">
        <is>
          <t>%</t>
        </is>
      </c>
      <c r="D71" s="3" t="inlineStr">
        <is>
          <t>Month</t>
        </is>
      </c>
      <c r="E71" s="3" t="inlineStr">
        <is>
          <t>Spend with single-source suppliers ÷ Supplier spend × 100</t>
        </is>
      </c>
      <c r="F71" s="21">
        <f>ROUND(IF('Group Inputs'!BF4=0,0,100*'Group Inputs'!BG4/'Group Inputs'!BF4),2)</f>
        <v/>
      </c>
      <c r="G71" s="21">
        <f>ROUND(IF('Group Inputs'!BF5=0,0,100*'Group Inputs'!BG5/'Group Inputs'!BF5),2)</f>
        <v/>
      </c>
      <c r="H71" s="21">
        <f>ROUND(IF('Group Inputs'!BF6=0,0,100*'Group Inputs'!BG6/'Group Inputs'!BF6),2)</f>
        <v/>
      </c>
      <c r="I71" s="21">
        <f>ROUND(IF('Group Inputs'!BF7=0,0,100*'Group Inputs'!BG7/'Group Inputs'!BF7),2)</f>
        <v/>
      </c>
      <c r="J71" s="21">
        <f>ROUND(IF('Group Inputs'!BF8=0,0,100*'Group Inputs'!BG8/'Group Inputs'!BF8),2)</f>
        <v/>
      </c>
      <c r="K71" s="21">
        <f>ROUND(IF('Group Inputs'!BF9=0,0,100*'Group Inputs'!BG9/'Group Inputs'!BF9),2)</f>
        <v/>
      </c>
      <c r="L71" s="3" t="inlineStr">
        <is>
          <t>Not on a screen</t>
        </is>
      </c>
      <c r="M71" s="3" t="inlineStr">
        <is>
          <t>—</t>
        </is>
      </c>
      <c r="N71" s="3" t="inlineStr">
        <is>
          <t>supplier_spend_k, single_source_spend_k</t>
        </is>
      </c>
    </row>
    <row r="72">
      <c r="A72" s="2" t="inlineStr">
        <is>
          <t>SUP-008</t>
        </is>
      </c>
      <c r="B72" s="3" t="inlineStr">
        <is>
          <t>Supplier EHS incidents YTD</t>
        </is>
      </c>
      <c r="C72" s="3" t="inlineStr">
        <is>
          <t>count</t>
        </is>
      </c>
      <c r="D72" s="3" t="inlineStr">
        <is>
          <t>Year to date</t>
        </is>
      </c>
      <c r="E72" s="3" t="inlineStr">
        <is>
          <t>Sum of supplier EHS incidents since April</t>
        </is>
      </c>
      <c r="F72" s="21">
        <f>ROUND(SUM('Group Inputs'!BH$4:BH4),2)</f>
        <v/>
      </c>
      <c r="G72" s="21">
        <f>ROUND(SUM('Group Inputs'!BH$4:BH5),2)</f>
        <v/>
      </c>
      <c r="H72" s="21">
        <f>ROUND(SUM('Group Inputs'!BH$4:BH6),2)</f>
        <v/>
      </c>
      <c r="I72" s="21">
        <f>ROUND(SUM('Group Inputs'!BH$4:BH7),2)</f>
        <v/>
      </c>
      <c r="J72" s="21">
        <f>ROUND(SUM('Group Inputs'!BH$4:BH8),2)</f>
        <v/>
      </c>
      <c r="K72" s="21">
        <f>ROUND(SUM('Group Inputs'!BH$4:BH9),2)</f>
        <v/>
      </c>
      <c r="L72" s="3" t="inlineStr">
        <is>
          <t>Not on a screen</t>
        </is>
      </c>
      <c r="M72" s="3" t="inlineStr">
        <is>
          <t>—</t>
        </is>
      </c>
      <c r="N72" s="3" t="inlineStr">
        <is>
          <t>supplier_ehs_incidents</t>
        </is>
      </c>
    </row>
    <row r="73">
      <c r="A73" s="2" t="inlineStr">
        <is>
          <t>CON-001</t>
        </is>
      </c>
      <c r="B73" s="3" t="inlineStr">
        <is>
          <t>Contracts expiring, next 90 days</t>
        </is>
      </c>
      <c r="C73" s="3" t="inlineStr">
        <is>
          <t>count</t>
        </is>
      </c>
      <c r="D73" s="3" t="inlineStr">
        <is>
          <t>Month end</t>
        </is>
      </c>
      <c r="E73" s="3" t="inlineStr">
        <is>
          <t>Contracts expiring in next 90 days</t>
        </is>
      </c>
      <c r="F73" s="21">
        <f>ROUND('Group Inputs'!EE4,2)</f>
        <v/>
      </c>
      <c r="G73" s="21">
        <f>ROUND('Group Inputs'!EE5,2)</f>
        <v/>
      </c>
      <c r="H73" s="21">
        <f>ROUND('Group Inputs'!EE6,2)</f>
        <v/>
      </c>
      <c r="I73" s="21">
        <f>ROUND('Group Inputs'!EE7,2)</f>
        <v/>
      </c>
      <c r="J73" s="21">
        <f>ROUND('Group Inputs'!EE8,2)</f>
        <v/>
      </c>
      <c r="K73" s="21">
        <f>ROUND('Group Inputs'!EE9,2)</f>
        <v/>
      </c>
      <c r="L73" s="3" t="inlineStr">
        <is>
          <t>4 (O-05)</t>
        </is>
      </c>
      <c r="M73" s="3" t="inlineStr">
        <is>
          <t>O-05</t>
        </is>
      </c>
      <c r="N73" s="3" t="inlineStr">
        <is>
          <t>contracts_expiring_90d</t>
        </is>
      </c>
    </row>
    <row r="74">
      <c r="A74" s="2" t="inlineStr">
        <is>
          <t>CON-002</t>
        </is>
      </c>
      <c r="B74" s="3" t="inlineStr">
        <is>
          <t>Contract-compliance rate</t>
        </is>
      </c>
      <c r="C74" s="3" t="inlineStr">
        <is>
          <t>%</t>
        </is>
      </c>
      <c r="D74" s="3" t="inlineStr">
        <is>
          <t>Month end</t>
        </is>
      </c>
      <c r="E74" s="3" t="inlineStr">
        <is>
          <t>Contracts fully compliant ÷ Active contracts × 100</t>
        </is>
      </c>
      <c r="F74" s="21">
        <f>ROUND(IF('Group Inputs'!EC4=0,0,100*'Group Inputs'!ED4/'Group Inputs'!EC4),2)</f>
        <v/>
      </c>
      <c r="G74" s="21">
        <f>ROUND(IF('Group Inputs'!EC5=0,0,100*'Group Inputs'!ED5/'Group Inputs'!EC5),2)</f>
        <v/>
      </c>
      <c r="H74" s="21">
        <f>ROUND(IF('Group Inputs'!EC6=0,0,100*'Group Inputs'!ED6/'Group Inputs'!EC6),2)</f>
        <v/>
      </c>
      <c r="I74" s="21">
        <f>ROUND(IF('Group Inputs'!EC7=0,0,100*'Group Inputs'!ED7/'Group Inputs'!EC7),2)</f>
        <v/>
      </c>
      <c r="J74" s="21">
        <f>ROUND(IF('Group Inputs'!EC8=0,0,100*'Group Inputs'!ED8/'Group Inputs'!EC8),2)</f>
        <v/>
      </c>
      <c r="K74" s="21">
        <f>ROUND(IF('Group Inputs'!EC9=0,0,100*'Group Inputs'!ED9/'Group Inputs'!EC9),2)</f>
        <v/>
      </c>
      <c r="L74" s="3" t="inlineStr">
        <is>
          <t>96% (O-05)</t>
        </is>
      </c>
      <c r="M74" s="3" t="inlineStr">
        <is>
          <t>O-05</t>
        </is>
      </c>
      <c r="N74" s="3" t="inlineStr">
        <is>
          <t>contracts_total, contracts_compliant</t>
        </is>
      </c>
    </row>
    <row r="75">
      <c r="A75" s="2" t="inlineStr">
        <is>
          <t>CON-003</t>
        </is>
      </c>
      <c r="B75" s="3" t="inlineStr">
        <is>
          <t>Supplier EHS non-compliance</t>
        </is>
      </c>
      <c r="C75" s="3" t="inlineStr">
        <is>
          <t>count</t>
        </is>
      </c>
      <c r="D75" s="3" t="inlineStr">
        <is>
          <t>Month end</t>
        </is>
      </c>
      <c r="E75" s="3" t="inlineStr">
        <is>
          <t>Suppliers not meeting EHS requirements</t>
        </is>
      </c>
      <c r="F75" s="21">
        <f>ROUND('Group Inputs'!EF4,2)</f>
        <v/>
      </c>
      <c r="G75" s="21">
        <f>ROUND('Group Inputs'!EF5,2)</f>
        <v/>
      </c>
      <c r="H75" s="21">
        <f>ROUND('Group Inputs'!EF6,2)</f>
        <v/>
      </c>
      <c r="I75" s="21">
        <f>ROUND('Group Inputs'!EF7,2)</f>
        <v/>
      </c>
      <c r="J75" s="21">
        <f>ROUND('Group Inputs'!EF8,2)</f>
        <v/>
      </c>
      <c r="K75" s="21">
        <f>ROUND('Group Inputs'!EF9,2)</f>
        <v/>
      </c>
      <c r="L75" s="3" t="inlineStr">
        <is>
          <t>1 (O-05)</t>
        </is>
      </c>
      <c r="M75" s="3" t="inlineStr">
        <is>
          <t>O-05</t>
        </is>
      </c>
      <c r="N75" s="3" t="inlineStr">
        <is>
          <t>supplier_ehs_noncompliance</t>
        </is>
      </c>
    </row>
    <row r="76">
      <c r="A76" s="2" t="inlineStr">
        <is>
          <t>REG-005</t>
        </is>
      </c>
      <c r="B76" s="3" t="inlineStr">
        <is>
          <t>Overdue regulatory obligations</t>
        </is>
      </c>
      <c r="C76" s="3" t="inlineStr">
        <is>
          <t>count</t>
        </is>
      </c>
      <c r="D76" s="3" t="inlineStr">
        <is>
          <t>Month end</t>
        </is>
      </c>
      <c r="E76" s="3" t="inlineStr">
        <is>
          <t>Regulatory obligations overdue</t>
        </is>
      </c>
      <c r="F76" s="21">
        <f>ROUND('Group Inputs'!BM4,2)</f>
        <v/>
      </c>
      <c r="G76" s="21">
        <f>ROUND('Group Inputs'!BM5,2)</f>
        <v/>
      </c>
      <c r="H76" s="21">
        <f>ROUND('Group Inputs'!BM6,2)</f>
        <v/>
      </c>
      <c r="I76" s="21">
        <f>ROUND('Group Inputs'!BM7,2)</f>
        <v/>
      </c>
      <c r="J76" s="21">
        <f>ROUND('Group Inputs'!BM8,2)</f>
        <v/>
      </c>
      <c r="K76" s="21">
        <f>ROUND('Group Inputs'!BM9,2)</f>
        <v/>
      </c>
      <c r="L76" s="3" t="inlineStr">
        <is>
          <t>0 (O-05)</t>
        </is>
      </c>
      <c r="M76" s="3" t="inlineStr">
        <is>
          <t>O-05</t>
        </is>
      </c>
      <c r="N76" s="3" t="inlineStr">
        <is>
          <t>reg_obligations_overdue</t>
        </is>
      </c>
    </row>
    <row r="77">
      <c r="A77" s="2" t="inlineStr">
        <is>
          <t>REG-009</t>
        </is>
      </c>
      <c r="B77" s="3" t="inlineStr">
        <is>
          <t>Disclosure-clock status</t>
        </is>
      </c>
      <c r="C77" s="3" t="inlineStr">
        <is>
          <t>text</t>
        </is>
      </c>
      <c r="D77" s="3" t="inlineStr">
        <is>
          <t>Month end</t>
        </is>
      </c>
      <c r="E77" s="3" t="inlineStr">
        <is>
          <t>Triggered if any event that needs disclosure is open, otherwise Not triggered</t>
        </is>
      </c>
      <c r="F77" s="8">
        <f>IF('Group Inputs'!BQ4&gt;0,"Triggered","Not triggered")</f>
        <v/>
      </c>
      <c r="G77" s="8">
        <f>IF('Group Inputs'!BQ5&gt;0,"Triggered","Not triggered")</f>
        <v/>
      </c>
      <c r="H77" s="8">
        <f>IF('Group Inputs'!BQ6&gt;0,"Triggered","Not triggered")</f>
        <v/>
      </c>
      <c r="I77" s="8">
        <f>IF('Group Inputs'!BQ7&gt;0,"Triggered","Not triggered")</f>
        <v/>
      </c>
      <c r="J77" s="8">
        <f>IF('Group Inputs'!BQ8&gt;0,"Triggered","Not triggered")</f>
        <v/>
      </c>
      <c r="K77" s="8">
        <f>IF('Group Inputs'!BQ9&gt;0,"Triggered","Not triggered")</f>
        <v/>
      </c>
      <c r="L77" s="3" t="inlineStr">
        <is>
          <t>Not triggered (O-05)</t>
        </is>
      </c>
      <c r="M77" s="3" t="inlineStr">
        <is>
          <t>O-05</t>
        </is>
      </c>
      <c r="N77" s="3" t="inlineStr">
        <is>
          <t>disclosure_events_open</t>
        </is>
      </c>
    </row>
    <row r="78">
      <c r="A78" s="2" t="inlineStr">
        <is>
          <t>REG-010</t>
        </is>
      </c>
      <c r="B78" s="3" t="inlineStr">
        <is>
          <t>Regulatory breaches YTD</t>
        </is>
      </c>
      <c r="C78" s="3" t="inlineStr">
        <is>
          <t>count</t>
        </is>
      </c>
      <c r="D78" s="3" t="inlineStr">
        <is>
          <t>Year to date</t>
        </is>
      </c>
      <c r="E78" s="3" t="inlineStr">
        <is>
          <t>Sum of regulatory breaches since April</t>
        </is>
      </c>
      <c r="F78" s="21">
        <f>ROUND(SUM('Group Inputs'!BP$4:BP4),2)</f>
        <v/>
      </c>
      <c r="G78" s="21">
        <f>ROUND(SUM('Group Inputs'!BP$4:BP5),2)</f>
        <v/>
      </c>
      <c r="H78" s="21">
        <f>ROUND(SUM('Group Inputs'!BP$4:BP6),2)</f>
        <v/>
      </c>
      <c r="I78" s="21">
        <f>ROUND(SUM('Group Inputs'!BP$4:BP7),2)</f>
        <v/>
      </c>
      <c r="J78" s="21">
        <f>ROUND(SUM('Group Inputs'!BP$4:BP8),2)</f>
        <v/>
      </c>
      <c r="K78" s="21">
        <f>ROUND(SUM('Group Inputs'!BP$4:BP9),2)</f>
        <v/>
      </c>
      <c r="L78" s="3" t="inlineStr">
        <is>
          <t>0 (O-05)</t>
        </is>
      </c>
      <c r="M78" s="3" t="inlineStr">
        <is>
          <t>O-05</t>
        </is>
      </c>
      <c r="N78" s="3" t="inlineStr">
        <is>
          <t>reg_breaches</t>
        </is>
      </c>
    </row>
    <row r="79">
      <c r="A79" s="2" t="inlineStr">
        <is>
          <t>RSK-003</t>
        </is>
      </c>
      <c r="B79" s="3" t="inlineStr">
        <is>
          <t>Regulatory breaches YTD (same measure as REG-010)</t>
        </is>
      </c>
      <c r="C79" s="3" t="inlineStr">
        <is>
          <t>count</t>
        </is>
      </c>
      <c r="D79" s="3" t="inlineStr">
        <is>
          <t>Year to date</t>
        </is>
      </c>
      <c r="E79" s="3" t="inlineStr">
        <is>
          <t>Sum of regulatory breaches since April</t>
        </is>
      </c>
      <c r="F79" s="21">
        <f>ROUND(SUM('Group Inputs'!BP$4:BP4),2)</f>
        <v/>
      </c>
      <c r="G79" s="21">
        <f>ROUND(SUM('Group Inputs'!BP$4:BP5),2)</f>
        <v/>
      </c>
      <c r="H79" s="21">
        <f>ROUND(SUM('Group Inputs'!BP$4:BP6),2)</f>
        <v/>
      </c>
      <c r="I79" s="21">
        <f>ROUND(SUM('Group Inputs'!BP$4:BP7),2)</f>
        <v/>
      </c>
      <c r="J79" s="21">
        <f>ROUND(SUM('Group Inputs'!BP$4:BP8),2)</f>
        <v/>
      </c>
      <c r="K79" s="21">
        <f>ROUND(SUM('Group Inputs'!BP$4:BP9),2)</f>
        <v/>
      </c>
      <c r="L79" s="3" t="inlineStr">
        <is>
          <t>0 (O-01, STATE GALLERY)</t>
        </is>
      </c>
      <c r="M79" s="3" t="inlineStr">
        <is>
          <t>O-01, STATE GALLERY · O-01 + S-02, O-01 · large display ≥ 1600</t>
        </is>
      </c>
      <c r="N79" s="3" t="inlineStr">
        <is>
          <t>reg_breaches</t>
        </is>
      </c>
    </row>
    <row r="80">
      <c r="A80" s="2" t="inlineStr">
        <is>
          <t>CMP-005</t>
        </is>
      </c>
      <c r="B80" s="3" t="inlineStr">
        <is>
          <t>Regulatory breaches YTD (same measure as REG-010)</t>
        </is>
      </c>
      <c r="C80" s="3" t="inlineStr">
        <is>
          <t>count</t>
        </is>
      </c>
      <c r="D80" s="3" t="inlineStr">
        <is>
          <t>Year to date</t>
        </is>
      </c>
      <c r="E80" s="3" t="inlineStr">
        <is>
          <t>Sum of regulatory breaches since April</t>
        </is>
      </c>
      <c r="F80" s="21">
        <f>ROUND(SUM('Group Inputs'!BP$4:BP4),2)</f>
        <v/>
      </c>
      <c r="G80" s="21">
        <f>ROUND(SUM('Group Inputs'!BP$4:BP5),2)</f>
        <v/>
      </c>
      <c r="H80" s="21">
        <f>ROUND(SUM('Group Inputs'!BP$4:BP6),2)</f>
        <v/>
      </c>
      <c r="I80" s="21">
        <f>ROUND(SUM('Group Inputs'!BP$4:BP7),2)</f>
        <v/>
      </c>
      <c r="J80" s="21">
        <f>ROUND(SUM('Group Inputs'!BP$4:BP8),2)</f>
        <v/>
      </c>
      <c r="K80" s="21">
        <f>ROUND(SUM('Group Inputs'!BP$4:BP9),2)</f>
        <v/>
      </c>
      <c r="L80" s="3" t="inlineStr">
        <is>
          <t>0 (O-01)</t>
        </is>
      </c>
      <c r="M80" s="3" t="inlineStr">
        <is>
          <t>O-01</t>
        </is>
      </c>
      <c r="N80" s="3" t="inlineStr">
        <is>
          <t>reg_breaches</t>
        </is>
      </c>
    </row>
    <row r="81">
      <c r="A81" s="2" t="inlineStr">
        <is>
          <t>EHS-008</t>
        </is>
      </c>
      <c r="B81" s="3" t="inlineStr">
        <is>
          <t>EHS escalation clocks running</t>
        </is>
      </c>
      <c r="C81" s="3" t="inlineStr">
        <is>
          <t>count</t>
        </is>
      </c>
      <c r="D81" s="3" t="inlineStr">
        <is>
          <t>Month end</t>
        </is>
      </c>
      <c r="E81" s="3" t="inlineStr">
        <is>
          <t>EHS escalation clocks running</t>
        </is>
      </c>
      <c r="F81" s="21">
        <f>ROUND('Group Inputs'!BR4,2)</f>
        <v/>
      </c>
      <c r="G81" s="21">
        <f>ROUND('Group Inputs'!BR5,2)</f>
        <v/>
      </c>
      <c r="H81" s="21">
        <f>ROUND('Group Inputs'!BR6,2)</f>
        <v/>
      </c>
      <c r="I81" s="21">
        <f>ROUND('Group Inputs'!BR7,2)</f>
        <v/>
      </c>
      <c r="J81" s="21">
        <f>ROUND('Group Inputs'!BR8,2)</f>
        <v/>
      </c>
      <c r="K81" s="21">
        <f>ROUND('Group Inputs'!BR9,2)</f>
        <v/>
      </c>
      <c r="L81" s="3" t="inlineStr">
        <is>
          <t>0 running (O-05)</t>
        </is>
      </c>
      <c r="M81" s="3" t="inlineStr">
        <is>
          <t>O-05</t>
        </is>
      </c>
      <c r="N81" s="3" t="inlineStr">
        <is>
          <t>ehs_escalation_clocks</t>
        </is>
      </c>
    </row>
    <row r="82">
      <c r="A82" s="2" t="inlineStr">
        <is>
          <t>CTL-002</t>
        </is>
      </c>
      <c r="B82" s="3" t="inlineStr">
        <is>
          <t>Control failures YTD</t>
        </is>
      </c>
      <c r="C82" s="3" t="inlineStr">
        <is>
          <t>count</t>
        </is>
      </c>
      <c r="D82" s="3" t="inlineStr">
        <is>
          <t>Year to date</t>
        </is>
      </c>
      <c r="E82" s="3" t="inlineStr">
        <is>
          <t>Sum of control failures since April</t>
        </is>
      </c>
      <c r="F82" s="21">
        <f>ROUND(SUM('Group Inputs'!EH$4:EH4),2)</f>
        <v/>
      </c>
      <c r="G82" s="21">
        <f>ROUND(SUM('Group Inputs'!EH$4:EH5),2)</f>
        <v/>
      </c>
      <c r="H82" s="21">
        <f>ROUND(SUM('Group Inputs'!EH$4:EH6),2)</f>
        <v/>
      </c>
      <c r="I82" s="21">
        <f>ROUND(SUM('Group Inputs'!EH$4:EH7),2)</f>
        <v/>
      </c>
      <c r="J82" s="21">
        <f>ROUND(SUM('Group Inputs'!EH$4:EH8),2)</f>
        <v/>
      </c>
      <c r="K82" s="21">
        <f>ROUND(SUM('Group Inputs'!EH$4:EH9),2)</f>
        <v/>
      </c>
      <c r="L82" s="3" t="inlineStr">
        <is>
          <t>4 (O-05)</t>
        </is>
      </c>
      <c r="M82" s="3" t="inlineStr">
        <is>
          <t>O-05</t>
        </is>
      </c>
      <c r="N82" s="3" t="inlineStr">
        <is>
          <t>control_failures</t>
        </is>
      </c>
    </row>
    <row r="83">
      <c r="A83" s="2" t="inlineStr">
        <is>
          <t>CTL-004</t>
        </is>
      </c>
      <c r="B83" s="3" t="inlineStr">
        <is>
          <t>High-severity control failures YTD</t>
        </is>
      </c>
      <c r="C83" s="3" t="inlineStr">
        <is>
          <t>count</t>
        </is>
      </c>
      <c r="D83" s="3" t="inlineStr">
        <is>
          <t>Year to date</t>
        </is>
      </c>
      <c r="E83" s="3" t="inlineStr">
        <is>
          <t>Sum of high-severity control failures since April</t>
        </is>
      </c>
      <c r="F83" s="21">
        <f>ROUND(SUM('Group Inputs'!EI$4:EI4),2)</f>
        <v/>
      </c>
      <c r="G83" s="21">
        <f>ROUND(SUM('Group Inputs'!EI$4:EI5),2)</f>
        <v/>
      </c>
      <c r="H83" s="21">
        <f>ROUND(SUM('Group Inputs'!EI$4:EI6),2)</f>
        <v/>
      </c>
      <c r="I83" s="21">
        <f>ROUND(SUM('Group Inputs'!EI$4:EI7),2)</f>
        <v/>
      </c>
      <c r="J83" s="21">
        <f>ROUND(SUM('Group Inputs'!EI$4:EI8),2)</f>
        <v/>
      </c>
      <c r="K83" s="21">
        <f>ROUND(SUM('Group Inputs'!EI$4:EI9),2)</f>
        <v/>
      </c>
      <c r="L83" s="3" t="inlineStr">
        <is>
          <t>0 (O-05)</t>
        </is>
      </c>
      <c r="M83" s="3" t="inlineStr">
        <is>
          <t>O-05</t>
        </is>
      </c>
      <c r="N83" s="3" t="inlineStr">
        <is>
          <t>control_failures_high</t>
        </is>
      </c>
    </row>
    <row r="84">
      <c r="A84" s="2" t="inlineStr">
        <is>
          <t>CTL-005</t>
        </is>
      </c>
      <c r="B84" s="3" t="inlineStr">
        <is>
          <t>Policy exceptions YTD</t>
        </is>
      </c>
      <c r="C84" s="3" t="inlineStr">
        <is>
          <t>count</t>
        </is>
      </c>
      <c r="D84" s="3" t="inlineStr">
        <is>
          <t>Year to date</t>
        </is>
      </c>
      <c r="E84" s="3" t="inlineStr">
        <is>
          <t>Sum of policy exceptions since April</t>
        </is>
      </c>
      <c r="F84" s="21">
        <f>ROUND(SUM('Group Inputs'!EL$4:EL4),2)</f>
        <v/>
      </c>
      <c r="G84" s="21">
        <f>ROUND(SUM('Group Inputs'!EL$4:EL5),2)</f>
        <v/>
      </c>
      <c r="H84" s="21">
        <f>ROUND(SUM('Group Inputs'!EL$4:EL6),2)</f>
        <v/>
      </c>
      <c r="I84" s="21">
        <f>ROUND(SUM('Group Inputs'!EL$4:EL7),2)</f>
        <v/>
      </c>
      <c r="J84" s="21">
        <f>ROUND(SUM('Group Inputs'!EL$4:EL8),2)</f>
        <v/>
      </c>
      <c r="K84" s="21">
        <f>ROUND(SUM('Group Inputs'!EL$4:EL9),2)</f>
        <v/>
      </c>
      <c r="L84" s="3" t="inlineStr">
        <is>
          <t>3 (O-05)</t>
        </is>
      </c>
      <c r="M84" s="3" t="inlineStr">
        <is>
          <t>O-05</t>
        </is>
      </c>
      <c r="N84" s="3" t="inlineStr">
        <is>
          <t>policy_exceptions</t>
        </is>
      </c>
    </row>
    <row r="85">
      <c r="A85" s="2" t="inlineStr">
        <is>
          <t>CTL-006</t>
        </is>
      </c>
      <c r="B85" s="3" t="inlineStr">
        <is>
          <t>Unauthorised-vendor usage YTD</t>
        </is>
      </c>
      <c r="C85" s="3" t="inlineStr">
        <is>
          <t>count</t>
        </is>
      </c>
      <c r="D85" s="3" t="inlineStr">
        <is>
          <t>Year to date</t>
        </is>
      </c>
      <c r="E85" s="3" t="inlineStr">
        <is>
          <t>Sum of unauthorised vendor uses since April</t>
        </is>
      </c>
      <c r="F85" s="21">
        <f>ROUND(SUM('Group Inputs'!EM$4:EM4),2)</f>
        <v/>
      </c>
      <c r="G85" s="21">
        <f>ROUND(SUM('Group Inputs'!EM$4:EM5),2)</f>
        <v/>
      </c>
      <c r="H85" s="21">
        <f>ROUND(SUM('Group Inputs'!EM$4:EM6),2)</f>
        <v/>
      </c>
      <c r="I85" s="21">
        <f>ROUND(SUM('Group Inputs'!EM$4:EM7),2)</f>
        <v/>
      </c>
      <c r="J85" s="21">
        <f>ROUND(SUM('Group Inputs'!EM$4:EM8),2)</f>
        <v/>
      </c>
      <c r="K85" s="21">
        <f>ROUND(SUM('Group Inputs'!EM$4:EM9),2)</f>
        <v/>
      </c>
      <c r="L85" s="3" t="inlineStr">
        <is>
          <t>0 (O-05)</t>
        </is>
      </c>
      <c r="M85" s="3" t="inlineStr">
        <is>
          <t>O-05</t>
        </is>
      </c>
      <c r="N85" s="3" t="inlineStr">
        <is>
          <t>unauthorized_vendor_uses</t>
        </is>
      </c>
    </row>
    <row r="86">
      <c r="A86" s="2" t="inlineStr">
        <is>
          <t>CTL-007</t>
        </is>
      </c>
      <c r="B86" s="3" t="inlineStr">
        <is>
          <t>Segregation-of-duties exceptions YTD</t>
        </is>
      </c>
      <c r="C86" s="3" t="inlineStr">
        <is>
          <t>count</t>
        </is>
      </c>
      <c r="D86" s="3" t="inlineStr">
        <is>
          <t>Year to date</t>
        </is>
      </c>
      <c r="E86" s="3" t="inlineStr">
        <is>
          <t>Sum of segregation-of-duties exceptions since April</t>
        </is>
      </c>
      <c r="F86" s="21">
        <f>ROUND(SUM('Group Inputs'!EN$4:EN4),2)</f>
        <v/>
      </c>
      <c r="G86" s="21">
        <f>ROUND(SUM('Group Inputs'!EN$4:EN5),2)</f>
        <v/>
      </c>
      <c r="H86" s="21">
        <f>ROUND(SUM('Group Inputs'!EN$4:EN6),2)</f>
        <v/>
      </c>
      <c r="I86" s="21">
        <f>ROUND(SUM('Group Inputs'!EN$4:EN7),2)</f>
        <v/>
      </c>
      <c r="J86" s="21">
        <f>ROUND(SUM('Group Inputs'!EN$4:EN8),2)</f>
        <v/>
      </c>
      <c r="K86" s="21">
        <f>ROUND(SUM('Group Inputs'!EN$4:EN9),2)</f>
        <v/>
      </c>
      <c r="L86" s="3" t="inlineStr">
        <is>
          <t>1 (O-05)</t>
        </is>
      </c>
      <c r="M86" s="3" t="inlineStr">
        <is>
          <t>O-05</t>
        </is>
      </c>
      <c r="N86" s="3" t="inlineStr">
        <is>
          <t>sod_exceptions</t>
        </is>
      </c>
    </row>
    <row r="87">
      <c r="A87" s="2" t="inlineStr">
        <is>
          <t>CTL-008</t>
        </is>
      </c>
      <c r="B87" s="3" t="inlineStr">
        <is>
          <t>Unauthorised-access events YTD</t>
        </is>
      </c>
      <c r="C87" s="3" t="inlineStr">
        <is>
          <t>count</t>
        </is>
      </c>
      <c r="D87" s="3" t="inlineStr">
        <is>
          <t>Year to date</t>
        </is>
      </c>
      <c r="E87" s="3" t="inlineStr">
        <is>
          <t>Sum of unauthorised access events since April</t>
        </is>
      </c>
      <c r="F87" s="21">
        <f>ROUND(SUM('Group Inputs'!EO$4:EO4),2)</f>
        <v/>
      </c>
      <c r="G87" s="21">
        <f>ROUND(SUM('Group Inputs'!EO$4:EO5),2)</f>
        <v/>
      </c>
      <c r="H87" s="21">
        <f>ROUND(SUM('Group Inputs'!EO$4:EO6),2)</f>
        <v/>
      </c>
      <c r="I87" s="21">
        <f>ROUND(SUM('Group Inputs'!EO$4:EO7),2)</f>
        <v/>
      </c>
      <c r="J87" s="21">
        <f>ROUND(SUM('Group Inputs'!EO$4:EO8),2)</f>
        <v/>
      </c>
      <c r="K87" s="21">
        <f>ROUND(SUM('Group Inputs'!EO$4:EO9),2)</f>
        <v/>
      </c>
      <c r="L87" s="3" t="inlineStr">
        <is>
          <t>0 (O-05)</t>
        </is>
      </c>
      <c r="M87" s="3" t="inlineStr">
        <is>
          <t>O-05</t>
        </is>
      </c>
      <c r="N87" s="3" t="inlineStr">
        <is>
          <t>unauthorized_access_events</t>
        </is>
      </c>
    </row>
    <row r="88">
      <c r="A88" s="2" t="inlineStr">
        <is>
          <t>CTL-009</t>
        </is>
      </c>
      <c r="B88" s="3" t="inlineStr">
        <is>
          <t>Data-sharing exceptions YTD</t>
        </is>
      </c>
      <c r="C88" s="3" t="inlineStr">
        <is>
          <t>count</t>
        </is>
      </c>
      <c r="D88" s="3" t="inlineStr">
        <is>
          <t>Year to date</t>
        </is>
      </c>
      <c r="E88" s="3" t="inlineStr">
        <is>
          <t>Sum of data-sharing exceptions since April</t>
        </is>
      </c>
      <c r="F88" s="21">
        <f>ROUND(SUM('Group Inputs'!EP$4:EP4),2)</f>
        <v/>
      </c>
      <c r="G88" s="21">
        <f>ROUND(SUM('Group Inputs'!EP$4:EP5),2)</f>
        <v/>
      </c>
      <c r="H88" s="21">
        <f>ROUND(SUM('Group Inputs'!EP$4:EP6),2)</f>
        <v/>
      </c>
      <c r="I88" s="21">
        <f>ROUND(SUM('Group Inputs'!EP$4:EP7),2)</f>
        <v/>
      </c>
      <c r="J88" s="21">
        <f>ROUND(SUM('Group Inputs'!EP$4:EP8),2)</f>
        <v/>
      </c>
      <c r="K88" s="21">
        <f>ROUND(SUM('Group Inputs'!EP$4:EP9),2)</f>
        <v/>
      </c>
      <c r="L88" s="3" t="inlineStr">
        <is>
          <t>0 (O-05)</t>
        </is>
      </c>
      <c r="M88" s="3" t="inlineStr">
        <is>
          <t>O-05</t>
        </is>
      </c>
      <c r="N88" s="3" t="inlineStr">
        <is>
          <t>data_sharing_exceptions</t>
        </is>
      </c>
    </row>
    <row r="89">
      <c r="A89" s="2" t="inlineStr">
        <is>
          <t>CTL-010</t>
        </is>
      </c>
      <c r="B89" s="3" t="inlineStr">
        <is>
          <t>Manual overrides YTD</t>
        </is>
      </c>
      <c r="C89" s="3" t="inlineStr">
        <is>
          <t>count</t>
        </is>
      </c>
      <c r="D89" s="3" t="inlineStr">
        <is>
          <t>Year to date</t>
        </is>
      </c>
      <c r="E89" s="3" t="inlineStr">
        <is>
          <t>Sum of manual operational or system overrides since April</t>
        </is>
      </c>
      <c r="F89" s="21">
        <f>ROUND(SUM('Group Inputs'!EQ$4:EQ4),2)</f>
        <v/>
      </c>
      <c r="G89" s="21">
        <f>ROUND(SUM('Group Inputs'!EQ$4:EQ5),2)</f>
        <v/>
      </c>
      <c r="H89" s="21">
        <f>ROUND(SUM('Group Inputs'!EQ$4:EQ6),2)</f>
        <v/>
      </c>
      <c r="I89" s="21">
        <f>ROUND(SUM('Group Inputs'!EQ$4:EQ7),2)</f>
        <v/>
      </c>
      <c r="J89" s="21">
        <f>ROUND(SUM('Group Inputs'!EQ$4:EQ8),2)</f>
        <v/>
      </c>
      <c r="K89" s="21">
        <f>ROUND(SUM('Group Inputs'!EQ$4:EQ9),2)</f>
        <v/>
      </c>
      <c r="L89" s="3" t="inlineStr">
        <is>
          <t>12 (O-05)</t>
        </is>
      </c>
      <c r="M89" s="3" t="inlineStr">
        <is>
          <t>O-05</t>
        </is>
      </c>
      <c r="N89" s="3" t="inlineStr">
        <is>
          <t>manual_overrides</t>
        </is>
      </c>
    </row>
    <row r="90">
      <c r="A90" s="2" t="inlineStr">
        <is>
          <t>GOV-001</t>
        </is>
      </c>
      <c r="B90" s="3" t="inlineStr">
        <is>
          <t>Ageing certification approvals</t>
        </is>
      </c>
      <c r="C90" s="3" t="inlineStr">
        <is>
          <t>count</t>
        </is>
      </c>
      <c r="D90" s="3" t="inlineStr">
        <is>
          <t>Month end</t>
        </is>
      </c>
      <c r="E90" s="3" t="inlineStr">
        <is>
          <t>Certification approvals past due date</t>
        </is>
      </c>
      <c r="F90" s="21">
        <f>ROUND('Group Inputs'!ER4,2)</f>
        <v/>
      </c>
      <c r="G90" s="21">
        <f>ROUND('Group Inputs'!ER5,2)</f>
        <v/>
      </c>
      <c r="H90" s="21">
        <f>ROUND('Group Inputs'!ER6,2)</f>
        <v/>
      </c>
      <c r="I90" s="21">
        <f>ROUND('Group Inputs'!ER7,2)</f>
        <v/>
      </c>
      <c r="J90" s="21">
        <f>ROUND('Group Inputs'!ER8,2)</f>
        <v/>
      </c>
      <c r="K90" s="21">
        <f>ROUND('Group Inputs'!ER9,2)</f>
        <v/>
      </c>
      <c r="L90" s="3" t="inlineStr">
        <is>
          <t>2 &gt; [PH] d (G-08)</t>
        </is>
      </c>
      <c r="M90" s="3" t="inlineStr">
        <is>
          <t>G-08 · Owner depth</t>
        </is>
      </c>
      <c r="N90" s="3" t="inlineStr">
        <is>
          <t>cert_approvals_ageing</t>
        </is>
      </c>
    </row>
    <row r="91">
      <c r="A91" s="2" t="inlineStr">
        <is>
          <t>GOV-002</t>
        </is>
      </c>
      <c r="B91" s="3" t="inlineStr">
        <is>
          <t>KPI overrides</t>
        </is>
      </c>
      <c r="C91" s="3" t="inlineStr">
        <is>
          <t>count</t>
        </is>
      </c>
      <c r="D91" s="3" t="inlineStr">
        <is>
          <t>Month end</t>
        </is>
      </c>
      <c r="E91" s="3" t="inlineStr">
        <is>
          <t>KPI values overridden</t>
        </is>
      </c>
      <c r="F91" s="21">
        <f>ROUND('Group Inputs'!ES4,2)</f>
        <v/>
      </c>
      <c r="G91" s="21">
        <f>ROUND('Group Inputs'!ES5,2)</f>
        <v/>
      </c>
      <c r="H91" s="21">
        <f>ROUND('Group Inputs'!ES6,2)</f>
        <v/>
      </c>
      <c r="I91" s="21">
        <f>ROUND('Group Inputs'!ES7,2)</f>
        <v/>
      </c>
      <c r="J91" s="21">
        <f>ROUND('Group Inputs'!ES8,2)</f>
        <v/>
      </c>
      <c r="K91" s="21">
        <f>ROUND('Group Inputs'!ES9,2)</f>
        <v/>
      </c>
      <c r="L91" s="3" t="inlineStr">
        <is>
          <t>0 (G-08)</t>
        </is>
      </c>
      <c r="M91" s="3" t="inlineStr">
        <is>
          <t>G-08 · Owner depth</t>
        </is>
      </c>
      <c r="N91" s="3" t="inlineStr">
        <is>
          <t>kpi_overrides</t>
        </is>
      </c>
    </row>
    <row r="92">
      <c r="A92" s="2" t="inlineStr">
        <is>
          <t>GOV-003</t>
        </is>
      </c>
      <c r="B92" s="3" t="inlineStr">
        <is>
          <t>Recurring data-quality issues</t>
        </is>
      </c>
      <c r="C92" s="3" t="inlineStr">
        <is>
          <t>count</t>
        </is>
      </c>
      <c r="D92" s="3" t="inlineStr">
        <is>
          <t>Month end</t>
        </is>
      </c>
      <c r="E92" s="3" t="inlineStr">
        <is>
          <t>Recurring data-quality issues</t>
        </is>
      </c>
      <c r="F92" s="21">
        <f>ROUND('Group Inputs'!ET4,2)</f>
        <v/>
      </c>
      <c r="G92" s="21">
        <f>ROUND('Group Inputs'!ET5,2)</f>
        <v/>
      </c>
      <c r="H92" s="21">
        <f>ROUND('Group Inputs'!ET6,2)</f>
        <v/>
      </c>
      <c r="I92" s="21">
        <f>ROUND('Group Inputs'!ET7,2)</f>
        <v/>
      </c>
      <c r="J92" s="21">
        <f>ROUND('Group Inputs'!ET8,2)</f>
        <v/>
      </c>
      <c r="K92" s="21">
        <f>ROUND('Group Inputs'!ET9,2)</f>
        <v/>
      </c>
      <c r="L92" s="3" t="inlineStr">
        <is>
          <t>1 (G-08)</t>
        </is>
      </c>
      <c r="M92" s="3" t="inlineStr">
        <is>
          <t>G-08 · Owner depth</t>
        </is>
      </c>
      <c r="N92" s="3" t="inlineStr">
        <is>
          <t>dq_issues_recurring</t>
        </is>
      </c>
    </row>
    <row r="93">
      <c r="A93" s="2" t="inlineStr">
        <is>
          <t>GOV-004</t>
        </is>
      </c>
      <c r="B93" s="3" t="inlineStr">
        <is>
          <t>Open audit findings</t>
        </is>
      </c>
      <c r="C93" s="3" t="inlineStr">
        <is>
          <t>count</t>
        </is>
      </c>
      <c r="D93" s="3" t="inlineStr">
        <is>
          <t>Month end</t>
        </is>
      </c>
      <c r="E93" s="3" t="inlineStr">
        <is>
          <t>Open audit findings</t>
        </is>
      </c>
      <c r="F93" s="21">
        <f>ROUND('Group Inputs'!EU4,2)</f>
        <v/>
      </c>
      <c r="G93" s="21">
        <f>ROUND('Group Inputs'!EU5,2)</f>
        <v/>
      </c>
      <c r="H93" s="21">
        <f>ROUND('Group Inputs'!EU6,2)</f>
        <v/>
      </c>
      <c r="I93" s="21">
        <f>ROUND('Group Inputs'!EU7,2)</f>
        <v/>
      </c>
      <c r="J93" s="21">
        <f>ROUND('Group Inputs'!EU8,2)</f>
        <v/>
      </c>
      <c r="K93" s="21">
        <f>ROUND('Group Inputs'!EU9,2)</f>
        <v/>
      </c>
      <c r="L93" s="3" t="inlineStr">
        <is>
          <t>7 (G-08, O-05)</t>
        </is>
      </c>
      <c r="M93" s="3" t="inlineStr">
        <is>
          <t>G-08 · Owner depth, O-05</t>
        </is>
      </c>
      <c r="N93" s="3" t="inlineStr">
        <is>
          <t>audit_findings_open</t>
        </is>
      </c>
    </row>
    <row r="94">
      <c r="A94" s="2" t="inlineStr">
        <is>
          <t>GOV-005</t>
        </is>
      </c>
      <c r="B94" s="3" t="inlineStr">
        <is>
          <t>Overdue assurance actions</t>
        </is>
      </c>
      <c r="C94" s="3" t="inlineStr">
        <is>
          <t>count</t>
        </is>
      </c>
      <c r="D94" s="3" t="inlineStr">
        <is>
          <t>Month end</t>
        </is>
      </c>
      <c r="E94" s="3" t="inlineStr">
        <is>
          <t>Overdue assurance actions</t>
        </is>
      </c>
      <c r="F94" s="21">
        <f>ROUND('Group Inputs'!EV4,2)</f>
        <v/>
      </c>
      <c r="G94" s="21">
        <f>ROUND('Group Inputs'!EV5,2)</f>
        <v/>
      </c>
      <c r="H94" s="21">
        <f>ROUND('Group Inputs'!EV6,2)</f>
        <v/>
      </c>
      <c r="I94" s="21">
        <f>ROUND('Group Inputs'!EV7,2)</f>
        <v/>
      </c>
      <c r="J94" s="21">
        <f>ROUND('Group Inputs'!EV8,2)</f>
        <v/>
      </c>
      <c r="K94" s="21">
        <f>ROUND('Group Inputs'!EV9,2)</f>
        <v/>
      </c>
      <c r="L94" s="3" t="inlineStr">
        <is>
          <t>0 (G-08)</t>
        </is>
      </c>
      <c r="M94" s="3" t="inlineStr">
        <is>
          <t>G-08 · Owner depth</t>
        </is>
      </c>
      <c r="N94" s="3" t="inlineStr">
        <is>
          <t>assurance_actions_overdue</t>
        </is>
      </c>
    </row>
    <row r="95">
      <c r="A95" s="2" t="inlineStr">
        <is>
          <t>GOV-006</t>
        </is>
      </c>
      <c r="B95" s="3" t="inlineStr">
        <is>
          <t>Repeat findings</t>
        </is>
      </c>
      <c r="C95" s="3" t="inlineStr">
        <is>
          <t>count</t>
        </is>
      </c>
      <c r="D95" s="3" t="inlineStr">
        <is>
          <t>Month end</t>
        </is>
      </c>
      <c r="E95" s="3" t="inlineStr">
        <is>
          <t>Repeat audit findings</t>
        </is>
      </c>
      <c r="F95" s="21">
        <f>ROUND('Group Inputs'!EW4,2)</f>
        <v/>
      </c>
      <c r="G95" s="21">
        <f>ROUND('Group Inputs'!EW5,2)</f>
        <v/>
      </c>
      <c r="H95" s="21">
        <f>ROUND('Group Inputs'!EW6,2)</f>
        <v/>
      </c>
      <c r="I95" s="21">
        <f>ROUND('Group Inputs'!EW7,2)</f>
        <v/>
      </c>
      <c r="J95" s="21">
        <f>ROUND('Group Inputs'!EW8,2)</f>
        <v/>
      </c>
      <c r="K95" s="21">
        <f>ROUND('Group Inputs'!EW9,2)</f>
        <v/>
      </c>
      <c r="L95" s="3" t="inlineStr">
        <is>
          <t>1 (G-08)</t>
        </is>
      </c>
      <c r="M95" s="3" t="inlineStr">
        <is>
          <t>G-08 · Owner depth</t>
        </is>
      </c>
      <c r="N95" s="3" t="inlineStr">
        <is>
          <t>repeat_findings</t>
        </is>
      </c>
    </row>
    <row r="96">
      <c r="A96" s="2" t="inlineStr">
        <is>
          <t>GOV-007</t>
        </is>
      </c>
      <c r="B96" s="3" t="inlineStr">
        <is>
          <t>Leadership KPIs affected by findings</t>
        </is>
      </c>
      <c r="C96" s="3" t="inlineStr">
        <is>
          <t>count</t>
        </is>
      </c>
      <c r="D96" s="3" t="inlineStr">
        <is>
          <t>Month end</t>
        </is>
      </c>
      <c r="E96" s="3" t="inlineStr">
        <is>
          <t>Leadership KPIs affected by open findings</t>
        </is>
      </c>
      <c r="F96" s="21">
        <f>ROUND('Group Inputs'!EX4,2)</f>
        <v/>
      </c>
      <c r="G96" s="21">
        <f>ROUND('Group Inputs'!EX5,2)</f>
        <v/>
      </c>
      <c r="H96" s="21">
        <f>ROUND('Group Inputs'!EX6,2)</f>
        <v/>
      </c>
      <c r="I96" s="21">
        <f>ROUND('Group Inputs'!EX7,2)</f>
        <v/>
      </c>
      <c r="J96" s="21">
        <f>ROUND('Group Inputs'!EX8,2)</f>
        <v/>
      </c>
      <c r="K96" s="21">
        <f>ROUND('Group Inputs'!EX9,2)</f>
        <v/>
      </c>
      <c r="L96" s="3" t="inlineStr">
        <is>
          <t>1 (G-08)</t>
        </is>
      </c>
      <c r="M96" s="3" t="inlineStr">
        <is>
          <t>G-08 · Owner depth</t>
        </is>
      </c>
      <c r="N96" s="3" t="inlineStr">
        <is>
          <t>leadership_kpis_affected</t>
        </is>
      </c>
    </row>
    <row r="97">
      <c r="A97" s="2" t="inlineStr">
        <is>
          <t>TRU-007</t>
        </is>
      </c>
      <c r="B97" s="3" t="inlineStr">
        <is>
          <t>Material reconciliation breaks</t>
        </is>
      </c>
      <c r="C97" s="3" t="inlineStr">
        <is>
          <t>count</t>
        </is>
      </c>
      <c r="D97" s="3" t="inlineStr">
        <is>
          <t>Month end</t>
        </is>
      </c>
      <c r="E97" s="3" t="inlineStr">
        <is>
          <t>Material reconciliation breaks</t>
        </is>
      </c>
      <c r="F97" s="21">
        <f>ROUND('Group Inputs'!FH4,2)</f>
        <v/>
      </c>
      <c r="G97" s="21">
        <f>ROUND('Group Inputs'!FH5,2)</f>
        <v/>
      </c>
      <c r="H97" s="21">
        <f>ROUND('Group Inputs'!FH6,2)</f>
        <v/>
      </c>
      <c r="I97" s="21">
        <f>ROUND('Group Inputs'!FH7,2)</f>
        <v/>
      </c>
      <c r="J97" s="21">
        <f>ROUND('Group Inputs'!FH8,2)</f>
        <v/>
      </c>
      <c r="K97" s="21">
        <f>ROUND('Group Inputs'!FH9,2)</f>
        <v/>
      </c>
      <c r="L97" s="3" t="inlineStr">
        <is>
          <t>1 (G-08)</t>
        </is>
      </c>
      <c r="M97" s="3" t="inlineStr">
        <is>
          <t>G-08 · Owner depth</t>
        </is>
      </c>
      <c r="N97" s="3" t="inlineStr">
        <is>
          <t>recon_breaks_material</t>
        </is>
      </c>
    </row>
    <row r="98">
      <c r="A98" s="2" t="inlineStr">
        <is>
          <t>GOV-008</t>
        </is>
      </c>
      <c r="B98" s="3" t="inlineStr">
        <is>
          <t>Evidence completeness rate</t>
        </is>
      </c>
      <c r="C98" s="3" t="inlineStr">
        <is>
          <t>%</t>
        </is>
      </c>
      <c r="D98" s="3" t="inlineStr">
        <is>
          <t>Month end</t>
        </is>
      </c>
      <c r="E98" s="3" t="inlineStr">
        <is>
          <t>Evidence items complete ÷ Evidence items required × 100</t>
        </is>
      </c>
      <c r="F98" s="21">
        <f>ROUND(IF('Group Inputs'!EY4=0,0,100*'Group Inputs'!EZ4/'Group Inputs'!EY4),2)</f>
        <v/>
      </c>
      <c r="G98" s="21">
        <f>ROUND(IF('Group Inputs'!EY5=0,0,100*'Group Inputs'!EZ5/'Group Inputs'!EY5),2)</f>
        <v/>
      </c>
      <c r="H98" s="21">
        <f>ROUND(IF('Group Inputs'!EY6=0,0,100*'Group Inputs'!EZ6/'Group Inputs'!EY6),2)</f>
        <v/>
      </c>
      <c r="I98" s="21">
        <f>ROUND(IF('Group Inputs'!EY7=0,0,100*'Group Inputs'!EZ7/'Group Inputs'!EY7),2)</f>
        <v/>
      </c>
      <c r="J98" s="21">
        <f>ROUND(IF('Group Inputs'!EY8=0,0,100*'Group Inputs'!EZ8/'Group Inputs'!EY8),2)</f>
        <v/>
      </c>
      <c r="K98" s="21">
        <f>ROUND(IF('Group Inputs'!EY9=0,0,100*'Group Inputs'!EZ9/'Group Inputs'!EY9),2)</f>
        <v/>
      </c>
      <c r="L98" s="3" t="inlineStr">
        <is>
          <t>88% (G-08)</t>
        </is>
      </c>
      <c r="M98" s="3" t="inlineStr">
        <is>
          <t>G-08 · Owner depth</t>
        </is>
      </c>
      <c r="N98" s="3" t="inlineStr">
        <is>
          <t>evidence_required, evidence_complete</t>
        </is>
      </c>
    </row>
    <row r="99">
      <c r="A99" s="2" t="inlineStr">
        <is>
          <t>GOV-009</t>
        </is>
      </c>
      <c r="B99" s="3" t="inlineStr">
        <is>
          <t>Average finding-closure time</t>
        </is>
      </c>
      <c r="C99" s="3" t="inlineStr">
        <is>
          <t>days</t>
        </is>
      </c>
      <c r="D99" s="3" t="inlineStr">
        <is>
          <t>Year to date</t>
        </is>
      </c>
      <c r="E99" s="3" t="inlineStr">
        <is>
          <t>Days taken to close findings since April ÷ Findings closed since April</t>
        </is>
      </c>
      <c r="F99" s="21">
        <f>ROUND(IF(SUM('Group Inputs'!FA$4:FA4)=0,0,SUM('Group Inputs'!FB$4:FB4)/SUM('Group Inputs'!FA$4:FA4)),2)</f>
        <v/>
      </c>
      <c r="G99" s="21">
        <f>ROUND(IF(SUM('Group Inputs'!FA$4:FA5)=0,0,SUM('Group Inputs'!FB$4:FB5)/SUM('Group Inputs'!FA$4:FA5)),2)</f>
        <v/>
      </c>
      <c r="H99" s="21">
        <f>ROUND(IF(SUM('Group Inputs'!FA$4:FA6)=0,0,SUM('Group Inputs'!FB$4:FB6)/SUM('Group Inputs'!FA$4:FA6)),2)</f>
        <v/>
      </c>
      <c r="I99" s="21">
        <f>ROUND(IF(SUM('Group Inputs'!FA$4:FA7)=0,0,SUM('Group Inputs'!FB$4:FB7)/SUM('Group Inputs'!FA$4:FA7)),2)</f>
        <v/>
      </c>
      <c r="J99" s="21">
        <f>ROUND(IF(SUM('Group Inputs'!FA$4:FA8)=0,0,SUM('Group Inputs'!FB$4:FB8)/SUM('Group Inputs'!FA$4:FA8)),2)</f>
        <v/>
      </c>
      <c r="K99" s="21">
        <f>ROUND(IF(SUM('Group Inputs'!FA$4:FA9)=0,0,SUM('Group Inputs'!FB$4:FB9)/SUM('Group Inputs'!FA$4:FA9)),2)</f>
        <v/>
      </c>
      <c r="L99" s="3" t="inlineStr">
        <is>
          <t>34 d (G-08)</t>
        </is>
      </c>
      <c r="M99" s="3" t="inlineStr">
        <is>
          <t>G-08 · Owner depth</t>
        </is>
      </c>
      <c r="N99" s="3" t="inlineStr">
        <is>
          <t>findings_closed, finding_closure_days</t>
        </is>
      </c>
    </row>
    <row r="100">
      <c r="A100" s="2" t="inlineStr">
        <is>
          <t>TRU-001</t>
        </is>
      </c>
      <c r="B100" s="3" t="inlineStr">
        <is>
          <t>Certified KPI percentage</t>
        </is>
      </c>
      <c r="C100" s="3" t="inlineStr">
        <is>
          <t>%</t>
        </is>
      </c>
      <c r="D100" s="3" t="inlineStr">
        <is>
          <t>Month end</t>
        </is>
      </c>
      <c r="E100" s="3" t="inlineStr">
        <is>
          <t>Leadership KPI values certified ÷ Leadership KPI values reported × 100</t>
        </is>
      </c>
      <c r="F100" s="21">
        <f>ROUND(IF('Group Inputs'!FC4=0,0,100*'Group Inputs'!FD4/'Group Inputs'!FC4),2)</f>
        <v/>
      </c>
      <c r="G100" s="21">
        <f>ROUND(IF('Group Inputs'!FC5=0,0,100*'Group Inputs'!FD5/'Group Inputs'!FC5),2)</f>
        <v/>
      </c>
      <c r="H100" s="21">
        <f>ROUND(IF('Group Inputs'!FC6=0,0,100*'Group Inputs'!FD6/'Group Inputs'!FC6),2)</f>
        <v/>
      </c>
      <c r="I100" s="21">
        <f>ROUND(IF('Group Inputs'!FC7=0,0,100*'Group Inputs'!FD7/'Group Inputs'!FC7),2)</f>
        <v/>
      </c>
      <c r="J100" s="21">
        <f>ROUND(IF('Group Inputs'!FC8=0,0,100*'Group Inputs'!FD8/'Group Inputs'!FC8),2)</f>
        <v/>
      </c>
      <c r="K100" s="21">
        <f>ROUND(IF('Group Inputs'!FC9=0,0,100*'Group Inputs'!FD9/'Group Inputs'!FC9),2)</f>
        <v/>
      </c>
      <c r="L100" s="3" t="inlineStr">
        <is>
          <t>84 % of leadership KPIs (G-08)</t>
        </is>
      </c>
      <c r="M100" s="3" t="inlineStr">
        <is>
          <t>G-08 · Owner depth</t>
        </is>
      </c>
      <c r="N100" s="3" t="inlineStr">
        <is>
          <t>kpis_leadership, kpis_certified</t>
        </is>
      </c>
    </row>
    <row r="101">
      <c r="A101" s="2" t="inlineStr">
        <is>
          <t>TRU-002</t>
        </is>
      </c>
      <c r="B101" s="3" t="inlineStr">
        <is>
          <t>Uncertified KPI count</t>
        </is>
      </c>
      <c r="C101" s="3" t="inlineStr">
        <is>
          <t>count</t>
        </is>
      </c>
      <c r="D101" s="3" t="inlineStr">
        <is>
          <t>Month end</t>
        </is>
      </c>
      <c r="E101" s="3" t="inlineStr">
        <is>
          <t>Leadership KPI values reported − Values certified</t>
        </is>
      </c>
      <c r="F101" s="21">
        <f>ROUND('Group Inputs'!FC4-'Group Inputs'!FD4,2)</f>
        <v/>
      </c>
      <c r="G101" s="21">
        <f>ROUND('Group Inputs'!FC5-'Group Inputs'!FD5,2)</f>
        <v/>
      </c>
      <c r="H101" s="21">
        <f>ROUND('Group Inputs'!FC6-'Group Inputs'!FD6,2)</f>
        <v/>
      </c>
      <c r="I101" s="21">
        <f>ROUND('Group Inputs'!FC7-'Group Inputs'!FD7,2)</f>
        <v/>
      </c>
      <c r="J101" s="21">
        <f>ROUND('Group Inputs'!FC8-'Group Inputs'!FD8,2)</f>
        <v/>
      </c>
      <c r="K101" s="21">
        <f>ROUND('Group Inputs'!FC9-'Group Inputs'!FD9,2)</f>
        <v/>
      </c>
      <c r="L101" s="3" t="inlineStr">
        <is>
          <t>9 (G-08)</t>
        </is>
      </c>
      <c r="M101" s="3" t="inlineStr">
        <is>
          <t>G-08 · Owner depth</t>
        </is>
      </c>
      <c r="N101" s="3" t="inlineStr">
        <is>
          <t>kpis_leadership, kpis_certified</t>
        </is>
      </c>
    </row>
    <row r="102">
      <c r="A102" s="2" t="inlineStr">
        <is>
          <t>TRU-008</t>
        </is>
      </c>
      <c r="B102" s="3" t="inlineStr">
        <is>
          <t>Source-to-Lake reconciliation rate</t>
        </is>
      </c>
      <c r="C102" s="3" t="inlineStr">
        <is>
          <t>%</t>
        </is>
      </c>
      <c r="D102" s="3" t="inlineStr">
        <is>
          <t>Month</t>
        </is>
      </c>
      <c r="E102" s="3" t="inlineStr">
        <is>
          <t>Records reconciled to source ÷ Records loaded × 100</t>
        </is>
      </c>
      <c r="F102" s="21">
        <f>ROUND(IF('Group Inputs'!FI4=0,0,100*'Group Inputs'!FJ4/'Group Inputs'!FI4),2)</f>
        <v/>
      </c>
      <c r="G102" s="21">
        <f>ROUND(IF('Group Inputs'!FI5=0,0,100*'Group Inputs'!FJ5/'Group Inputs'!FI5),2)</f>
        <v/>
      </c>
      <c r="H102" s="21">
        <f>ROUND(IF('Group Inputs'!FI6=0,0,100*'Group Inputs'!FJ6/'Group Inputs'!FI6),2)</f>
        <v/>
      </c>
      <c r="I102" s="21">
        <f>ROUND(IF('Group Inputs'!FI7=0,0,100*'Group Inputs'!FJ7/'Group Inputs'!FI7),2)</f>
        <v/>
      </c>
      <c r="J102" s="21">
        <f>ROUND(IF('Group Inputs'!FI8=0,0,100*'Group Inputs'!FJ8/'Group Inputs'!FI8),2)</f>
        <v/>
      </c>
      <c r="K102" s="21">
        <f>ROUND(IF('Group Inputs'!FI9=0,0,100*'Group Inputs'!FJ9/'Group Inputs'!FI9),2)</f>
        <v/>
      </c>
      <c r="L102" s="3" t="inlineStr">
        <is>
          <t>99.2% (G-08)</t>
        </is>
      </c>
      <c r="M102" s="3" t="inlineStr">
        <is>
          <t>G-08 · Owner depth</t>
        </is>
      </c>
      <c r="N102" s="3" t="inlineStr">
        <is>
          <t>lake_records_loaded, lake_records_reconciled</t>
        </is>
      </c>
    </row>
    <row r="103">
      <c r="A103" s="2" t="inlineStr">
        <is>
          <t>TRU-009</t>
        </is>
      </c>
      <c r="B103" s="3" t="inlineStr">
        <is>
          <t>Flash-to-MIS reconciliation rate</t>
        </is>
      </c>
      <c r="C103" s="3" t="inlineStr">
        <is>
          <t>%</t>
        </is>
      </c>
      <c r="D103" s="3" t="inlineStr">
        <is>
          <t>Month</t>
        </is>
      </c>
      <c r="E103" s="3" t="inlineStr">
        <is>
          <t>Flash lines matching MIS ÷ Flash report lines × 100</t>
        </is>
      </c>
      <c r="F103" s="21">
        <f>ROUND(IF('Group Inputs'!FK4=0,0,100*'Group Inputs'!FL4/'Group Inputs'!FK4),2)</f>
        <v/>
      </c>
      <c r="G103" s="21">
        <f>ROUND(IF('Group Inputs'!FK5=0,0,100*'Group Inputs'!FL5/'Group Inputs'!FK5),2)</f>
        <v/>
      </c>
      <c r="H103" s="21">
        <f>ROUND(IF('Group Inputs'!FK6=0,0,100*'Group Inputs'!FL6/'Group Inputs'!FK6),2)</f>
        <v/>
      </c>
      <c r="I103" s="21">
        <f>ROUND(IF('Group Inputs'!FK7=0,0,100*'Group Inputs'!FL7/'Group Inputs'!FK7),2)</f>
        <v/>
      </c>
      <c r="J103" s="21">
        <f>ROUND(IF('Group Inputs'!FK8=0,0,100*'Group Inputs'!FL8/'Group Inputs'!FK8),2)</f>
        <v/>
      </c>
      <c r="K103" s="21">
        <f>ROUND(IF('Group Inputs'!FK9=0,0,100*'Group Inputs'!FL9/'Group Inputs'!FK9),2)</f>
        <v/>
      </c>
      <c r="L103" s="3" t="inlineStr">
        <is>
          <t>96.8% (G-08)</t>
        </is>
      </c>
      <c r="M103" s="3" t="inlineStr">
        <is>
          <t>G-08 · Owner depth</t>
        </is>
      </c>
      <c r="N103" s="3" t="inlineStr">
        <is>
          <t>mis_lines_total, mis_lines_matched</t>
        </is>
      </c>
    </row>
    <row r="104">
      <c r="A104" s="2" t="inlineStr">
        <is>
          <t>TRU-010</t>
        </is>
      </c>
      <c r="B104" s="3" t="inlineStr">
        <is>
          <t>Flash-to-close variance</t>
        </is>
      </c>
      <c r="C104" s="3" t="inlineStr">
        <is>
          <t>%</t>
        </is>
      </c>
      <c r="D104" s="3" t="inlineStr">
        <is>
          <t>Month</t>
        </is>
      </c>
      <c r="E104" s="3" t="inlineStr">
        <is>
          <t>|Flash revenue − Closed revenue| ÷ Closed revenue × 100</t>
        </is>
      </c>
      <c r="F104" s="21">
        <f>ROUND(IF('Group Inputs'!AU4=0,0,100*ABS('Group Inputs'!CI4-'Group Inputs'!AU4)/'Group Inputs'!AU4),2)</f>
        <v/>
      </c>
      <c r="G104" s="21">
        <f>ROUND(IF('Group Inputs'!AU5=0,0,100*ABS('Group Inputs'!CI5-'Group Inputs'!AU5)/'Group Inputs'!AU5),2)</f>
        <v/>
      </c>
      <c r="H104" s="21">
        <f>ROUND(IF('Group Inputs'!AU6=0,0,100*ABS('Group Inputs'!CI6-'Group Inputs'!AU6)/'Group Inputs'!AU6),2)</f>
        <v/>
      </c>
      <c r="I104" s="21">
        <f>ROUND(IF('Group Inputs'!AU7=0,0,100*ABS('Group Inputs'!CI7-'Group Inputs'!AU7)/'Group Inputs'!AU7),2)</f>
        <v/>
      </c>
      <c r="J104" s="21">
        <f>ROUND(IF('Group Inputs'!AU8=0,0,100*ABS('Group Inputs'!CI8-'Group Inputs'!AU8)/'Group Inputs'!AU8),2)</f>
        <v/>
      </c>
      <c r="K104" s="21">
        <f>ROUND(IF('Group Inputs'!AU9=0,0,100*ABS('Group Inputs'!CI9-'Group Inputs'!AU9)/'Group Inputs'!AU9),2)</f>
        <v/>
      </c>
      <c r="L104" s="3" t="inlineStr">
        <is>
          <t>0.6 % (G-08)</t>
        </is>
      </c>
      <c r="M104" s="3" t="inlineStr">
        <is>
          <t>G-08 · Owner depth</t>
        </is>
      </c>
      <c r="N104" s="3" t="inlineStr">
        <is>
          <t>revenue_k, flash_revenue_k</t>
        </is>
      </c>
    </row>
    <row r="105">
      <c r="A105" s="2" t="inlineStr">
        <is>
          <t>TRU-011</t>
        </is>
      </c>
      <c r="B105" s="3" t="inlineStr">
        <is>
          <t>Largest entity variance against Board numbers</t>
        </is>
      </c>
      <c r="C105" s="3" t="inlineStr">
        <is>
          <t>%</t>
        </is>
      </c>
      <c r="D105" s="3" t="inlineStr">
        <is>
          <t>Month</t>
        </is>
      </c>
      <c r="E105" s="3" t="inlineStr">
        <is>
          <t>Highest of the entities' |Board-pack EBITDA − Certified EBITDA| ÷ Certified EBITDA × 100</t>
        </is>
      </c>
      <c r="F105" s="21">
        <f>ROUND(MAX(IF(('Entity Inputs'!AU4-'Entity Inputs'!V4-'Entity Inputs'!X4-'Entity Inputs'!BY4)=0,0,100*ABS('Entity Inputs'!CH4-('Entity Inputs'!AU4-'Entity Inputs'!V4-'Entity Inputs'!X4-'Entity Inputs'!BY4))/('Entity Inputs'!AU4-'Entity Inputs'!V4-'Entity Inputs'!X4-'Entity Inputs'!BY4)),IF(('Entity Inputs'!AU10-'Entity Inputs'!V10-'Entity Inputs'!X10-'Entity Inputs'!BY10)=0,0,100*ABS('Entity Inputs'!CH10-('Entity Inputs'!AU10-'Entity Inputs'!V10-'Entity Inputs'!X10-'Entity Inputs'!BY10))/('Entity Inputs'!AU10-'Entity Inputs'!V10-'Entity Inputs'!X10-'Entity Inputs'!BY10))),2)</f>
        <v/>
      </c>
      <c r="G105" s="21">
        <f>ROUND(MAX(IF(('Entity Inputs'!AU5-'Entity Inputs'!V5-'Entity Inputs'!X5-'Entity Inputs'!BY5)=0,0,100*ABS('Entity Inputs'!CH5-('Entity Inputs'!AU5-'Entity Inputs'!V5-'Entity Inputs'!X5-'Entity Inputs'!BY5))/('Entity Inputs'!AU5-'Entity Inputs'!V5-'Entity Inputs'!X5-'Entity Inputs'!BY5)),IF(('Entity Inputs'!AU11-'Entity Inputs'!V11-'Entity Inputs'!X11-'Entity Inputs'!BY11)=0,0,100*ABS('Entity Inputs'!CH11-('Entity Inputs'!AU11-'Entity Inputs'!V11-'Entity Inputs'!X11-'Entity Inputs'!BY11))/('Entity Inputs'!AU11-'Entity Inputs'!V11-'Entity Inputs'!X11-'Entity Inputs'!BY11))),2)</f>
        <v/>
      </c>
      <c r="H105" s="21">
        <f>ROUND(MAX(IF(('Entity Inputs'!AU6-'Entity Inputs'!V6-'Entity Inputs'!X6-'Entity Inputs'!BY6)=0,0,100*ABS('Entity Inputs'!CH6-('Entity Inputs'!AU6-'Entity Inputs'!V6-'Entity Inputs'!X6-'Entity Inputs'!BY6))/('Entity Inputs'!AU6-'Entity Inputs'!V6-'Entity Inputs'!X6-'Entity Inputs'!BY6)),IF(('Entity Inputs'!AU12-'Entity Inputs'!V12-'Entity Inputs'!X12-'Entity Inputs'!BY12)=0,0,100*ABS('Entity Inputs'!CH12-('Entity Inputs'!AU12-'Entity Inputs'!V12-'Entity Inputs'!X12-'Entity Inputs'!BY12))/('Entity Inputs'!AU12-'Entity Inputs'!V12-'Entity Inputs'!X12-'Entity Inputs'!BY12))),2)</f>
        <v/>
      </c>
      <c r="I105" s="21">
        <f>ROUND(MAX(IF(('Entity Inputs'!AU7-'Entity Inputs'!V7-'Entity Inputs'!X7-'Entity Inputs'!BY7)=0,0,100*ABS('Entity Inputs'!CH7-('Entity Inputs'!AU7-'Entity Inputs'!V7-'Entity Inputs'!X7-'Entity Inputs'!BY7))/('Entity Inputs'!AU7-'Entity Inputs'!V7-'Entity Inputs'!X7-'Entity Inputs'!BY7)),IF(('Entity Inputs'!AU13-'Entity Inputs'!V13-'Entity Inputs'!X13-'Entity Inputs'!BY13)=0,0,100*ABS('Entity Inputs'!CH13-('Entity Inputs'!AU13-'Entity Inputs'!V13-'Entity Inputs'!X13-'Entity Inputs'!BY13))/('Entity Inputs'!AU13-'Entity Inputs'!V13-'Entity Inputs'!X13-'Entity Inputs'!BY13))),2)</f>
        <v/>
      </c>
      <c r="J105" s="21">
        <f>ROUND(MAX(IF(('Entity Inputs'!AU8-'Entity Inputs'!V8-'Entity Inputs'!X8-'Entity Inputs'!BY8)=0,0,100*ABS('Entity Inputs'!CH8-('Entity Inputs'!AU8-'Entity Inputs'!V8-'Entity Inputs'!X8-'Entity Inputs'!BY8))/('Entity Inputs'!AU8-'Entity Inputs'!V8-'Entity Inputs'!X8-'Entity Inputs'!BY8)),IF(('Entity Inputs'!AU14-'Entity Inputs'!V14-'Entity Inputs'!X14-'Entity Inputs'!BY14)=0,0,100*ABS('Entity Inputs'!CH14-('Entity Inputs'!AU14-'Entity Inputs'!V14-'Entity Inputs'!X14-'Entity Inputs'!BY14))/('Entity Inputs'!AU14-'Entity Inputs'!V14-'Entity Inputs'!X14-'Entity Inputs'!BY14))),2)</f>
        <v/>
      </c>
      <c r="K105" s="21">
        <f>ROUND(MAX(IF(('Entity Inputs'!AU9-'Entity Inputs'!V9-'Entity Inputs'!X9-'Entity Inputs'!BY9)=0,0,100*ABS('Entity Inputs'!CH9-('Entity Inputs'!AU9-'Entity Inputs'!V9-'Entity Inputs'!X9-'Entity Inputs'!BY9))/('Entity Inputs'!AU9-'Entity Inputs'!V9-'Entity Inputs'!X9-'Entity Inputs'!BY9)),IF(('Entity Inputs'!AU15-'Entity Inputs'!V15-'Entity Inputs'!X15-'Entity Inputs'!BY15)=0,0,100*ABS('Entity Inputs'!CH15-('Entity Inputs'!AU15-'Entity Inputs'!V15-'Entity Inputs'!X15-'Entity Inputs'!BY15))/('Entity Inputs'!AU15-'Entity Inputs'!V15-'Entity Inputs'!X15-'Entity Inputs'!BY15))),2)</f>
        <v/>
      </c>
      <c r="L105" s="3" t="inlineStr">
        <is>
          <t>0.3 % (max abs) (G-08); 0.3% max abs · Entity B2 (G-08)</t>
        </is>
      </c>
      <c r="M105" s="3" t="inlineStr">
        <is>
          <t>G-08 · Owner depth</t>
        </is>
      </c>
      <c r="N105" s="3" t="inlineStr">
        <is>
          <t>variable_cost_k, fixed_cost_k, revenue_k, overhead_k, board_ebitda_k</t>
        </is>
      </c>
    </row>
    <row r="106">
      <c r="A106" s="2" t="inlineStr">
        <is>
          <t>EFF-002</t>
        </is>
      </c>
      <c r="B106" s="3" t="inlineStr">
        <is>
          <t>Open critical alerts</t>
        </is>
      </c>
      <c r="C106" s="3" t="inlineStr">
        <is>
          <t>count</t>
        </is>
      </c>
      <c r="D106" s="3" t="inlineStr">
        <is>
          <t>Month end</t>
        </is>
      </c>
      <c r="E106" s="3" t="inlineStr">
        <is>
          <t>Open critical alerts</t>
        </is>
      </c>
      <c r="F106" s="21">
        <f>ROUND('Group Inputs'!FM4,2)</f>
        <v/>
      </c>
      <c r="G106" s="21">
        <f>ROUND('Group Inputs'!FM5,2)</f>
        <v/>
      </c>
      <c r="H106" s="21">
        <f>ROUND('Group Inputs'!FM6,2)</f>
        <v/>
      </c>
      <c r="I106" s="21">
        <f>ROUND('Group Inputs'!FM7,2)</f>
        <v/>
      </c>
      <c r="J106" s="21">
        <f>ROUND('Group Inputs'!FM8,2)</f>
        <v/>
      </c>
      <c r="K106" s="21">
        <f>ROUND('Group Inputs'!FM9,2)</f>
        <v/>
      </c>
      <c r="L106" s="3" t="inlineStr">
        <is>
          <t>1 alert (O-01, STATE GALLERY)</t>
        </is>
      </c>
      <c r="M106" s="3" t="inlineStr">
        <is>
          <t>O-01, STATE GALLERY · O-01 + S-02, O-01 · large display ≥ 1600</t>
        </is>
      </c>
      <c r="N106" s="3" t="inlineStr">
        <is>
          <t>critical_alerts_open</t>
        </is>
      </c>
    </row>
    <row r="107">
      <c r="A107" s="2" t="inlineStr">
        <is>
          <t>EFF-008</t>
        </is>
      </c>
      <c r="B107" s="3" t="inlineStr">
        <is>
          <t>Average resolution time</t>
        </is>
      </c>
      <c r="C107" s="3" t="inlineStr">
        <is>
          <t>days</t>
        </is>
      </c>
      <c r="D107" s="3" t="inlineStr">
        <is>
          <t>Month</t>
        </is>
      </c>
      <c r="E107" s="3" t="inlineStr">
        <is>
          <t>Days taken to resolve alerts ÷ Alerts resolved</t>
        </is>
      </c>
      <c r="F107" s="21">
        <f>ROUND(IF('Group Inputs'!FP4=0,0,'Group Inputs'!FQ4/'Group Inputs'!FP4),2)</f>
        <v/>
      </c>
      <c r="G107" s="21">
        <f>ROUND(IF('Group Inputs'!FP5=0,0,'Group Inputs'!FQ5/'Group Inputs'!FP5),2)</f>
        <v/>
      </c>
      <c r="H107" s="21">
        <f>ROUND(IF('Group Inputs'!FP6=0,0,'Group Inputs'!FQ6/'Group Inputs'!FP6),2)</f>
        <v/>
      </c>
      <c r="I107" s="21">
        <f>ROUND(IF('Group Inputs'!FP7=0,0,'Group Inputs'!FQ7/'Group Inputs'!FP7),2)</f>
        <v/>
      </c>
      <c r="J107" s="21">
        <f>ROUND(IF('Group Inputs'!FP8=0,0,'Group Inputs'!FQ8/'Group Inputs'!FP8),2)</f>
        <v/>
      </c>
      <c r="K107" s="21">
        <f>ROUND(IF('Group Inputs'!FP9=0,0,'Group Inputs'!FQ9/'Group Inputs'!FP9),2)</f>
        <v/>
      </c>
      <c r="L107" s="3" t="inlineStr">
        <is>
          <t>2.4 d (O-06)</t>
        </is>
      </c>
      <c r="M107" s="3" t="inlineStr">
        <is>
          <t>O-06</t>
        </is>
      </c>
      <c r="N107" s="3" t="inlineStr">
        <is>
          <t>alerts_resolved, alert_resolution_days</t>
        </is>
      </c>
    </row>
    <row r="108">
      <c r="A108" s="2" t="inlineStr">
        <is>
          <t>EFF-009</t>
        </is>
      </c>
      <c r="B108" s="3" t="inlineStr">
        <is>
          <t>Closed escalations, last 30 days</t>
        </is>
      </c>
      <c r="C108" s="3" t="inlineStr">
        <is>
          <t>count</t>
        </is>
      </c>
      <c r="D108" s="3" t="inlineStr">
        <is>
          <t>Month</t>
        </is>
      </c>
      <c r="E108" s="3" t="inlineStr">
        <is>
          <t>Escalations closed in the month</t>
        </is>
      </c>
      <c r="F108" s="21">
        <f>ROUND('Group Inputs'!FR4,2)</f>
        <v/>
      </c>
      <c r="G108" s="21">
        <f>ROUND('Group Inputs'!FR5,2)</f>
        <v/>
      </c>
      <c r="H108" s="21">
        <f>ROUND('Group Inputs'!FR6,2)</f>
        <v/>
      </c>
      <c r="I108" s="21">
        <f>ROUND('Group Inputs'!FR7,2)</f>
        <v/>
      </c>
      <c r="J108" s="21">
        <f>ROUND('Group Inputs'!FR8,2)</f>
        <v/>
      </c>
      <c r="K108" s="21">
        <f>ROUND('Group Inputs'!FR9,2)</f>
        <v/>
      </c>
      <c r="L108" s="3" t="inlineStr">
        <is>
          <t>11 (O-06)</t>
        </is>
      </c>
      <c r="M108" s="3" t="inlineStr">
        <is>
          <t>O-06</t>
        </is>
      </c>
      <c r="N108" s="3" t="inlineStr">
        <is>
          <t>escalations_closed</t>
        </is>
      </c>
    </row>
    <row r="109">
      <c r="A109" s="2" t="inlineStr">
        <is>
          <t>EFF-010</t>
        </is>
      </c>
      <c r="B109" s="3" t="inlineStr">
        <is>
          <t>Repeat issues, last 90 days</t>
        </is>
      </c>
      <c r="C109" s="3" t="inlineStr">
        <is>
          <t>count</t>
        </is>
      </c>
      <c r="D109" s="3" t="inlineStr">
        <is>
          <t>Last 3 months</t>
        </is>
      </c>
      <c r="E109" s="3" t="inlineStr">
        <is>
          <t>Sum of repeat issues over the last 3 months</t>
        </is>
      </c>
      <c r="F109" s="21">
        <f>ROUND(SUM('Group Inputs'!FS4:FS4),2)</f>
        <v/>
      </c>
      <c r="G109" s="21">
        <f>ROUND(SUM('Group Inputs'!FS4:FS5),2)</f>
        <v/>
      </c>
      <c r="H109" s="21">
        <f>ROUND(SUM('Group Inputs'!FS4:FS6),2)</f>
        <v/>
      </c>
      <c r="I109" s="21">
        <f>ROUND(SUM('Group Inputs'!FS5:FS7),2)</f>
        <v/>
      </c>
      <c r="J109" s="21">
        <f>ROUND(SUM('Group Inputs'!FS6:FS8),2)</f>
        <v/>
      </c>
      <c r="K109" s="21">
        <f>ROUND(SUM('Group Inputs'!FS7:FS9),2)</f>
        <v/>
      </c>
      <c r="L109" s="3" t="inlineStr">
        <is>
          <t>2 (O-06)</t>
        </is>
      </c>
      <c r="M109" s="3" t="inlineStr">
        <is>
          <t>O-06</t>
        </is>
      </c>
      <c r="N109" s="3" t="inlineStr">
        <is>
          <t>repeat_issues</t>
        </is>
      </c>
    </row>
    <row r="110">
      <c r="A110" s="2" t="inlineStr">
        <is>
          <t>EFF-011</t>
        </is>
      </c>
      <c r="B110" s="3" t="inlineStr">
        <is>
          <t>Root causes eliminated YTD</t>
        </is>
      </c>
      <c r="C110" s="3" t="inlineStr">
        <is>
          <t>text</t>
        </is>
      </c>
      <c r="D110" s="3" t="inlineStr">
        <is>
          <t>Year to date</t>
        </is>
      </c>
      <c r="E110" s="3" t="inlineStr">
        <is>
          <t>Root causes eliminated since April, of those identified since April</t>
        </is>
      </c>
      <c r="F110" s="8">
        <f>SUM('Group Inputs'!FU$4:FU4)&amp;" of "&amp;SUM('Group Inputs'!FT$4:FT4)</f>
        <v/>
      </c>
      <c r="G110" s="8">
        <f>SUM('Group Inputs'!FU$4:FU5)&amp;" of "&amp;SUM('Group Inputs'!FT$4:FT5)</f>
        <v/>
      </c>
      <c r="H110" s="8">
        <f>SUM('Group Inputs'!FU$4:FU6)&amp;" of "&amp;SUM('Group Inputs'!FT$4:FT6)</f>
        <v/>
      </c>
      <c r="I110" s="8">
        <f>SUM('Group Inputs'!FU$4:FU7)&amp;" of "&amp;SUM('Group Inputs'!FT$4:FT7)</f>
        <v/>
      </c>
      <c r="J110" s="8">
        <f>SUM('Group Inputs'!FU$4:FU8)&amp;" of "&amp;SUM('Group Inputs'!FT$4:FT8)</f>
        <v/>
      </c>
      <c r="K110" s="8">
        <f>SUM('Group Inputs'!FU$4:FU9)&amp;" of "&amp;SUM('Group Inputs'!FT$4:FT9)</f>
        <v/>
      </c>
      <c r="L110" s="3" t="inlineStr">
        <is>
          <t>7 of 9 (O-06)</t>
        </is>
      </c>
      <c r="M110" s="3" t="inlineStr">
        <is>
          <t>O-06</t>
        </is>
      </c>
      <c r="N110" s="3" t="inlineStr">
        <is>
          <t>root_causes_identified, root_causes_eliminated</t>
        </is>
      </c>
    </row>
    <row r="111">
      <c r="A111" s="2" t="inlineStr">
        <is>
          <t>SIG-004</t>
        </is>
      </c>
      <c r="B111" s="3" t="inlineStr">
        <is>
          <t>Collections slippage</t>
        </is>
      </c>
      <c r="C111" s="3" t="inlineStr">
        <is>
          <t>days</t>
        </is>
      </c>
      <c r="D111" s="3" t="inlineStr">
        <is>
          <t>Month</t>
        </is>
      </c>
      <c r="E111" s="3" t="inlineStr">
        <is>
          <t>(Days taken to collect − Agreed payment terms) ÷ Invoices collected (average days late)</t>
        </is>
      </c>
      <c r="F111" s="21">
        <f>ROUND(IF('Group Inputs'!CQ4=0,0,('Group Inputs'!CR4-'Group Inputs'!CS4)/'Group Inputs'!CQ4),2)</f>
        <v/>
      </c>
      <c r="G111" s="21">
        <f>ROUND(IF('Group Inputs'!CQ5=0,0,('Group Inputs'!CR5-'Group Inputs'!CS5)/'Group Inputs'!CQ5),2)</f>
        <v/>
      </c>
      <c r="H111" s="21">
        <f>ROUND(IF('Group Inputs'!CQ6=0,0,('Group Inputs'!CR6-'Group Inputs'!CS6)/'Group Inputs'!CQ6),2)</f>
        <v/>
      </c>
      <c r="I111" s="21">
        <f>ROUND(IF('Group Inputs'!CQ7=0,0,('Group Inputs'!CR7-'Group Inputs'!CS7)/'Group Inputs'!CQ7),2)</f>
        <v/>
      </c>
      <c r="J111" s="21">
        <f>ROUND(IF('Group Inputs'!CQ8=0,0,('Group Inputs'!CR8-'Group Inputs'!CS8)/'Group Inputs'!CQ8),2)</f>
        <v/>
      </c>
      <c r="K111" s="21">
        <f>ROUND(IF('Group Inputs'!CQ9=0,0,('Group Inputs'!CR9-'Group Inputs'!CS9)/'Group Inputs'!CQ9),2)</f>
        <v/>
      </c>
      <c r="L111" s="3" t="inlineStr">
        <is>
          <t>Not on a screen</t>
        </is>
      </c>
      <c r="M111" s="3" t="inlineStr">
        <is>
          <t>—</t>
        </is>
      </c>
      <c r="N111" s="3" t="inlineStr">
        <is>
          <t>invoices_collected, collection_days, terms_days</t>
        </is>
      </c>
    </row>
    <row r="112">
      <c r="A112" s="2" t="inlineStr">
        <is>
          <t>SIG-006</t>
        </is>
      </c>
      <c r="B112" s="3" t="inlineStr">
        <is>
          <t>Cash burn signal</t>
        </is>
      </c>
      <c r="C112" s="3" t="inlineStr">
        <is>
          <t>text</t>
        </is>
      </c>
      <c r="D112" s="3" t="inlineStr">
        <is>
          <t>Month</t>
        </is>
      </c>
      <c r="E112" s="3" t="inlineStr">
        <is>
          <t>Triggered if operating cash flow in the month is negative</t>
        </is>
      </c>
      <c r="F112" s="8">
        <f>IF('Group Inputs'!FZ4&lt;0,"Triggered","Not triggered")</f>
        <v/>
      </c>
      <c r="G112" s="8">
        <f>IF('Group Inputs'!FZ5&lt;0,"Triggered","Not triggered")</f>
        <v/>
      </c>
      <c r="H112" s="8">
        <f>IF('Group Inputs'!FZ6&lt;0,"Triggered","Not triggered")</f>
        <v/>
      </c>
      <c r="I112" s="8">
        <f>IF('Group Inputs'!FZ7&lt;0,"Triggered","Not triggered")</f>
        <v/>
      </c>
      <c r="J112" s="8">
        <f>IF('Group Inputs'!FZ8&lt;0,"Triggered","Not triggered")</f>
        <v/>
      </c>
      <c r="K112" s="8">
        <f>IF('Group Inputs'!FZ9&lt;0,"Triggered","Not triggered")</f>
        <v/>
      </c>
      <c r="L112" s="3" t="inlineStr">
        <is>
          <t>Not on a screen</t>
        </is>
      </c>
      <c r="M112" s="3" t="inlineStr">
        <is>
          <t>—</t>
        </is>
      </c>
      <c r="N112" s="3" t="inlineStr">
        <is>
          <t>op_cash_flow_k</t>
        </is>
      </c>
    </row>
    <row r="113">
      <c r="A113" s="2" t="inlineStr">
        <is>
          <t>PRD-001</t>
        </is>
      </c>
      <c r="B113" s="3" t="inlineStr">
        <is>
          <t>Days to breach (earliest plant)</t>
        </is>
      </c>
      <c r="C113" s="3" t="inlineStr">
        <is>
          <t>days</t>
        </is>
      </c>
      <c r="D113" s="3" t="inlineStr">
        <is>
          <t>Forecast</t>
        </is>
      </c>
      <c r="E113" s="3" t="inlineStr">
        <is>
          <t>Lowest plant forecast of days until its production plan is breached (99 = not expected)</t>
        </is>
      </c>
      <c r="F113" s="21">
        <f>ROUND('Group Inputs'!BS4,2)</f>
        <v/>
      </c>
      <c r="G113" s="21">
        <f>ROUND('Group Inputs'!BS5,2)</f>
        <v/>
      </c>
      <c r="H113" s="21">
        <f>ROUND('Group Inputs'!BS6,2)</f>
        <v/>
      </c>
      <c r="I113" s="21">
        <f>ROUND('Group Inputs'!BS7,2)</f>
        <v/>
      </c>
      <c r="J113" s="21">
        <f>ROUND('Group Inputs'!BS8,2)</f>
        <v/>
      </c>
      <c r="K113" s="21">
        <f>ROUND('Group Inputs'!BS9,2)</f>
        <v/>
      </c>
      <c r="L113" s="3" t="inlineStr">
        <is>
          <t>4 days (O-01, O-02, S-10, STATE GALLERY)</t>
        </is>
      </c>
      <c r="M113" s="3" t="inlineStr">
        <is>
          <t>O-01, O-01 · large display ≥ 1600, O-02, S-10, STATE GALLERY · O-01 + S-02</t>
        </is>
      </c>
      <c r="N113" s="3" t="inlineStr">
        <is>
          <t>days_to_breach</t>
        </is>
      </c>
    </row>
    <row r="114">
      <c r="A114" s="2" t="inlineStr">
        <is>
          <t>PRD-002</t>
        </is>
      </c>
      <c r="B114" s="3" t="inlineStr">
        <is>
          <t>Probability of production plan miss, next month</t>
        </is>
      </c>
      <c r="C114" s="3" t="inlineStr">
        <is>
          <t>%</t>
        </is>
      </c>
      <c r="D114" s="3" t="inlineStr">
        <is>
          <t>Next month</t>
        </is>
      </c>
      <c r="E114" s="3" t="inlineStr">
        <is>
          <t>Chance that output falls below plan: normal distribution with mean = Forecast good output, spread = √(sum of plant forecast variances)</t>
        </is>
      </c>
      <c r="F114" s="21">
        <f>ROUND(100*NORM.DIST('Group Inputs'!BT4,'Group Inputs'!BU4,SQRT('Group Inputs'!BV4),TRUE),2)</f>
        <v/>
      </c>
      <c r="G114" s="21">
        <f>ROUND(100*NORM.DIST('Group Inputs'!BT5,'Group Inputs'!BU5,SQRT('Group Inputs'!BV5),TRUE),2)</f>
        <v/>
      </c>
      <c r="H114" s="21">
        <f>ROUND(100*NORM.DIST('Group Inputs'!BT6,'Group Inputs'!BU6,SQRT('Group Inputs'!BV6),TRUE),2)</f>
        <v/>
      </c>
      <c r="I114" s="21">
        <f>ROUND(100*NORM.DIST('Group Inputs'!BT7,'Group Inputs'!BU7,SQRT('Group Inputs'!BV7),TRUE),2)</f>
        <v/>
      </c>
      <c r="J114" s="21">
        <f>ROUND(100*NORM.DIST('Group Inputs'!BT8,'Group Inputs'!BU8,SQRT('Group Inputs'!BV8),TRUE),2)</f>
        <v/>
      </c>
      <c r="K114" s="21">
        <f>ROUND(100*NORM.DIST('Group Inputs'!BT9,'Group Inputs'!BU9,SQRT('Group Inputs'!BV9),TRUE),2)</f>
        <v/>
      </c>
      <c r="L114" s="3" t="inlineStr">
        <is>
          <t>64% (O-01, O-02, STATE GALLERY)</t>
        </is>
      </c>
      <c r="M114" s="3" t="inlineStr">
        <is>
          <t>O-01, O-02, STATE GALLERY · O-01 + S-02, O-01 · large display ≥ 1600</t>
        </is>
      </c>
      <c r="N114" s="3" t="inlineStr">
        <is>
          <t>planned_production_next_t, forecast_good_next_t, forecast_good_var_next</t>
        </is>
      </c>
    </row>
    <row r="115">
      <c r="A115" s="2" t="inlineStr">
        <is>
          <t>PRD-003</t>
        </is>
      </c>
      <c r="B115" s="3" t="inlineStr">
        <is>
          <t>Projected EBITDA gap, rest of year</t>
        </is>
      </c>
      <c r="C115" s="3" t="inlineStr">
        <is>
          <t>₹ m</t>
        </is>
      </c>
      <c r="D115" s="3" t="inlineStr">
        <is>
          <t>Forecast</t>
        </is>
      </c>
      <c r="E115" s="3" t="inlineStr">
        <is>
          <t>(Forecast EBITDA − Planned EBITDA, rest of year) ÷ 1000</t>
        </is>
      </c>
      <c r="F115" s="21">
        <f>ROUND(('Group Inputs'!CU4-'Group Inputs'!CV4)/1000,2)</f>
        <v/>
      </c>
      <c r="G115" s="21">
        <f>ROUND(('Group Inputs'!CU5-'Group Inputs'!CV5)/1000,2)</f>
        <v/>
      </c>
      <c r="H115" s="21">
        <f>ROUND(('Group Inputs'!CU6-'Group Inputs'!CV6)/1000,2)</f>
        <v/>
      </c>
      <c r="I115" s="21">
        <f>ROUND(('Group Inputs'!CU7-'Group Inputs'!CV7)/1000,2)</f>
        <v/>
      </c>
      <c r="J115" s="21">
        <f>ROUND(('Group Inputs'!CU8-'Group Inputs'!CV8)/1000,2)</f>
        <v/>
      </c>
      <c r="K115" s="21">
        <f>ROUND(('Group Inputs'!CU9-'Group Inputs'!CV9)/1000,2)</f>
        <v/>
      </c>
      <c r="L115" s="3" t="inlineStr">
        <is>
          <t>−₹9.2 m (O-01, O-02, STATE GALLERY); −9.2 ₹ m (S-09)</t>
        </is>
      </c>
      <c r="M115" s="3" t="inlineStr">
        <is>
          <t>O-01, O-02, S-09, STATE GALLERY · O-01 + S-02, O-01 · large display ≥ 1600</t>
        </is>
      </c>
      <c r="N115" s="3" t="inlineStr">
        <is>
          <t>forecast_ebitda_rest_k, planned_ebitda_rest_k</t>
        </is>
      </c>
    </row>
    <row r="116">
      <c r="A116" s="2" t="inlineStr">
        <is>
          <t>PRD-004</t>
        </is>
      </c>
      <c r="B116" s="3" t="inlineStr">
        <is>
          <t>Projected liquidity gap, next 90 days</t>
        </is>
      </c>
      <c r="C116" s="3" t="inlineStr">
        <is>
          <t>₹ m or text</t>
        </is>
      </c>
      <c r="D116" s="3" t="inlineStr">
        <is>
          <t>Next 90 days</t>
        </is>
      </c>
      <c r="E116" s="3" t="inlineStr">
        <is>
          <t>Cash + Undrawn facilities + Forecast net cash flow (90 days); 'None' if not negative</t>
        </is>
      </c>
      <c r="F116" s="8">
        <f>IF('Group Inputs'!CC4+'Group Inputs'!CD4+'Group Inputs'!CW4&gt;=0,"None within 90 d",ROUND(('Group Inputs'!CC4+'Group Inputs'!CD4+'Group Inputs'!CW4)/1000,1))</f>
        <v/>
      </c>
      <c r="G116" s="8">
        <f>IF('Group Inputs'!CC5+'Group Inputs'!CD5+'Group Inputs'!CW5&gt;=0,"None within 90 d",ROUND(('Group Inputs'!CC5+'Group Inputs'!CD5+'Group Inputs'!CW5)/1000,1))</f>
        <v/>
      </c>
      <c r="H116" s="8">
        <f>IF('Group Inputs'!CC6+'Group Inputs'!CD6+'Group Inputs'!CW6&gt;=0,"None within 90 d",ROUND(('Group Inputs'!CC6+'Group Inputs'!CD6+'Group Inputs'!CW6)/1000,1))</f>
        <v/>
      </c>
      <c r="I116" s="8">
        <f>IF('Group Inputs'!CC7+'Group Inputs'!CD7+'Group Inputs'!CW7&gt;=0,"None within 90 d",ROUND(('Group Inputs'!CC7+'Group Inputs'!CD7+'Group Inputs'!CW7)/1000,1))</f>
        <v/>
      </c>
      <c r="J116" s="8">
        <f>IF('Group Inputs'!CC8+'Group Inputs'!CD8+'Group Inputs'!CW8&gt;=0,"None within 90 d",ROUND(('Group Inputs'!CC8+'Group Inputs'!CD8+'Group Inputs'!CW8)/1000,1))</f>
        <v/>
      </c>
      <c r="K116" s="8">
        <f>IF('Group Inputs'!CC9+'Group Inputs'!CD9+'Group Inputs'!CW9&gt;=0,"None within 90 d",ROUND(('Group Inputs'!CC9+'Group Inputs'!CD9+'Group Inputs'!CW9)/1000,1))</f>
        <v/>
      </c>
      <c r="L116" s="3" t="inlineStr">
        <is>
          <t>None (O-02)</t>
        </is>
      </c>
      <c r="M116" s="3" t="inlineStr">
        <is>
          <t>O-02</t>
        </is>
      </c>
      <c r="N116" s="3" t="inlineStr">
        <is>
          <t>cash_k, undrawn_facilities_k, forecast_net_cash_flow_90d_k</t>
        </is>
      </c>
    </row>
    <row r="117">
      <c r="A117" s="2" t="inlineStr">
        <is>
          <t>PRD-005</t>
        </is>
      </c>
      <c r="B117" s="3" t="inlineStr">
        <is>
          <t>Forecast covenant breach</t>
        </is>
      </c>
      <c r="C117" s="3" t="inlineStr">
        <is>
          <t>text</t>
        </is>
      </c>
      <c r="D117" s="3" t="inlineStr">
        <is>
          <t>Quarter end</t>
        </is>
      </c>
      <c r="E117" s="3" t="inlineStr">
        <is>
          <t>Breach forecast if Forecast net debt ÷ Forecast 12-month EBITDA exceeds the covenant limit</t>
        </is>
      </c>
      <c r="F117" s="8">
        <f>IF('Group Inputs'!CY4=0,"No forecast",IF('Group Inputs'!CX4/'Group Inputs'!CY4&gt;Parameters!$B$4,"Breach forecast","Not forecast"))</f>
        <v/>
      </c>
      <c r="G117" s="8">
        <f>IF('Group Inputs'!CY5=0,"No forecast",IF('Group Inputs'!CX5/'Group Inputs'!CY5&gt;Parameters!$B$4,"Breach forecast","Not forecast"))</f>
        <v/>
      </c>
      <c r="H117" s="8">
        <f>IF('Group Inputs'!CY6=0,"No forecast",IF('Group Inputs'!CX6/'Group Inputs'!CY6&gt;Parameters!$B$4,"Breach forecast","Not forecast"))</f>
        <v/>
      </c>
      <c r="I117" s="8">
        <f>IF('Group Inputs'!CY7=0,"No forecast",IF('Group Inputs'!CX7/'Group Inputs'!CY7&gt;Parameters!$B$4,"Breach forecast","Not forecast"))</f>
        <v/>
      </c>
      <c r="J117" s="8">
        <f>IF('Group Inputs'!CY8=0,"No forecast",IF('Group Inputs'!CX8/'Group Inputs'!CY8&gt;Parameters!$B$4,"Breach forecast","Not forecast"))</f>
        <v/>
      </c>
      <c r="K117" s="8">
        <f>IF('Group Inputs'!CY9=0,"No forecast",IF('Group Inputs'!CX9/'Group Inputs'!CY9&gt;Parameters!$B$4,"Breach forecast","Not forecast"))</f>
        <v/>
      </c>
      <c r="L117" s="3" t="inlineStr">
        <is>
          <t>Not forecast (O-02)</t>
        </is>
      </c>
      <c r="M117" s="3" t="inlineStr">
        <is>
          <t>O-02</t>
        </is>
      </c>
      <c r="N117" s="3" t="inlineStr">
        <is>
          <t>forecast_net_debt_k, forecast_ebitda_ltm_k</t>
        </is>
      </c>
    </row>
    <row r="118">
      <c r="A118" s="2" t="inlineStr">
        <is>
          <t>PRD-006</t>
        </is>
      </c>
      <c r="B118" s="3" t="inlineStr">
        <is>
          <t>Production loss from downtime, next month</t>
        </is>
      </c>
      <c r="C118" s="3" t="inlineStr">
        <is>
          <t>kt</t>
        </is>
      </c>
      <c r="D118" s="3" t="inlineStr">
        <is>
          <t>Next month</t>
        </is>
      </c>
      <c r="E118" s="3" t="inlineStr">
        <is>
          <t>Forecast production lost to downtime next month ÷ 1000</t>
        </is>
      </c>
      <c r="F118" s="21">
        <f>ROUND('Group Inputs'!BX4/1000,2)</f>
        <v/>
      </c>
      <c r="G118" s="21">
        <f>ROUND('Group Inputs'!BX5/1000,2)</f>
        <v/>
      </c>
      <c r="H118" s="21">
        <f>ROUND('Group Inputs'!BX6/1000,2)</f>
        <v/>
      </c>
      <c r="I118" s="21">
        <f>ROUND('Group Inputs'!BX7/1000,2)</f>
        <v/>
      </c>
      <c r="J118" s="21">
        <f>ROUND('Group Inputs'!BX8/1000,2)</f>
        <v/>
      </c>
      <c r="K118" s="21">
        <f>ROUND('Group Inputs'!BX9/1000,2)</f>
        <v/>
      </c>
      <c r="L118" s="3" t="inlineStr">
        <is>
          <t>Not on a screen</t>
        </is>
      </c>
      <c r="M118" s="3" t="inlineStr">
        <is>
          <t>—</t>
        </is>
      </c>
      <c r="N118" s="3" t="inlineStr">
        <is>
          <t>forecast_downtime_loss_next_t</t>
        </is>
      </c>
    </row>
    <row r="119">
      <c r="A119" s="2" t="inlineStr">
        <is>
          <t>PRD-007</t>
        </is>
      </c>
      <c r="B119" s="3" t="inlineStr">
        <is>
          <t>Probability OEE below 78%, next month</t>
        </is>
      </c>
      <c r="C119" s="3" t="inlineStr">
        <is>
          <t>%</t>
        </is>
      </c>
      <c r="D119" s="3" t="inlineStr">
        <is>
          <t>Next month</t>
        </is>
      </c>
      <c r="E119" s="3" t="inlineStr">
        <is>
          <t>Chance that Forecast good output &lt; 78% × Ideal output next month (same distribution as PRD-002)</t>
        </is>
      </c>
      <c r="F119" s="21">
        <f>ROUND(100*NORM.DIST(0.78*'Group Inputs'!BW4,'Group Inputs'!BU4,SQRT('Group Inputs'!BV4),TRUE),2)</f>
        <v/>
      </c>
      <c r="G119" s="21">
        <f>ROUND(100*NORM.DIST(0.78*'Group Inputs'!BW5,'Group Inputs'!BU5,SQRT('Group Inputs'!BV5),TRUE),2)</f>
        <v/>
      </c>
      <c r="H119" s="21">
        <f>ROUND(100*NORM.DIST(0.78*'Group Inputs'!BW6,'Group Inputs'!BU6,SQRT('Group Inputs'!BV6),TRUE),2)</f>
        <v/>
      </c>
      <c r="I119" s="21">
        <f>ROUND(100*NORM.DIST(0.78*'Group Inputs'!BW7,'Group Inputs'!BU7,SQRT('Group Inputs'!BV7),TRUE),2)</f>
        <v/>
      </c>
      <c r="J119" s="21">
        <f>ROUND(100*NORM.DIST(0.78*'Group Inputs'!BW8,'Group Inputs'!BU8,SQRT('Group Inputs'!BV8),TRUE),2)</f>
        <v/>
      </c>
      <c r="K119" s="21">
        <f>ROUND(100*NORM.DIST(0.78*'Group Inputs'!BW9,'Group Inputs'!BU9,SQRT('Group Inputs'!BV9),TRUE),2)</f>
        <v/>
      </c>
      <c r="L119" s="3" t="inlineStr">
        <is>
          <t>Not on a screen</t>
        </is>
      </c>
      <c r="M119" s="3" t="inlineStr">
        <is>
          <t>—</t>
        </is>
      </c>
      <c r="N119" s="3" t="inlineStr">
        <is>
          <t>forecast_good_next_t, forecast_good_var_next, ideal_output_next_t</t>
        </is>
      </c>
    </row>
  </sheetData>
  <autoFilter ref="A1:N119"/>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63"/>
  <sheetViews>
    <sheetView workbookViewId="0">
      <pane xSplit="2" ySplit="1" topLeftCell="C2" activePane="bottomRight" state="frozen"/>
      <selection pane="topRight" activeCell="C1" sqref="C1"/>
      <selection pane="bottomLeft" activeCell="A2" sqref="A2"/>
      <selection pane="bottomRight" activeCell="A1" sqref="A1"/>
    </sheetView>
  </sheetViews>
  <sheetFormatPr baseColWidth="8" defaultRowHeight="15"/>
  <cols>
    <col width="5.7109375" customWidth="1" min="1" max="1"/>
    <col width="16.7109375" customWidth="1" min="2" max="2"/>
    <col width="34.7109375" customWidth="1" min="3" max="3"/>
    <col width="9.7109375" customWidth="1" min="4" max="4"/>
    <col width="36.7109375" customWidth="1" min="5" max="5"/>
    <col width="10.7109375" customWidth="1" min="6" max="6"/>
    <col width="11.7109375" customWidth="1" min="7" max="7"/>
    <col width="22.7109375" customWidth="1" min="8" max="8"/>
    <col width="14.7109375" customWidth="1" min="9" max="9"/>
    <col width="40.7109375" customWidth="1" min="10" max="10"/>
  </cols>
  <sheetData>
    <row r="1">
      <c r="A1" s="1" t="inlineStr">
        <is>
          <t>No.</t>
        </is>
      </c>
      <c r="B1" s="1" t="inlineStr">
        <is>
          <t>Screen</t>
        </is>
      </c>
      <c r="C1" s="1" t="inlineStr">
        <is>
          <t>Screen title</t>
        </is>
      </c>
      <c r="D1" s="1" t="inlineStr">
        <is>
          <t>Element</t>
        </is>
      </c>
      <c r="E1" s="1" t="inlineStr">
        <is>
          <t>Label on the screen</t>
        </is>
      </c>
      <c r="F1" s="1" t="inlineStr">
        <is>
          <t>KPI ID</t>
        </is>
      </c>
      <c r="G1" s="1" t="inlineStr">
        <is>
          <t>Scope</t>
        </is>
      </c>
      <c r="H1" s="1" t="inlineStr">
        <is>
          <t>Shown on the screen</t>
        </is>
      </c>
      <c r="I1" s="1" t="inlineStr">
        <is>
          <t>Model value, P06 (Sep 2026)</t>
        </is>
      </c>
      <c r="J1" s="1" t="inlineStr">
        <is>
          <t>Where the model value comes from</t>
        </is>
      </c>
    </row>
    <row r="2">
      <c r="A2" s="3" t="n">
        <v>1</v>
      </c>
      <c r="B2" s="3" t="inlineStr">
        <is>
          <t>O-01</t>
        </is>
      </c>
      <c r="C2" s="3" t="inlineStr">
        <is>
          <t>Enterprise Health</t>
        </is>
      </c>
      <c r="D2" s="3" t="inlineStr">
        <is>
          <t>Card</t>
        </is>
      </c>
      <c r="E2" s="3" t="inlineStr">
        <is>
          <t>Production vs plan · Group MTD</t>
        </is>
      </c>
      <c r="F2" s="3" t="inlineStr">
        <is>
          <t>OPS-001</t>
        </is>
      </c>
      <c r="G2" s="3" t="inlineStr">
        <is>
          <t>Group</t>
        </is>
      </c>
      <c r="H2" s="3" t="inlineStr">
        <is>
          <t>98.1 % of plan</t>
        </is>
      </c>
      <c r="I2" s="21">
        <f>'Owner KPIs'!K2</f>
        <v/>
      </c>
      <c r="J2" s="3" t="inlineStr">
        <is>
          <t>Owner KPIs sheet, row 2 (Group, Sep 2026)</t>
        </is>
      </c>
    </row>
    <row r="3">
      <c r="A3" s="3" t="n">
        <v>2</v>
      </c>
      <c r="B3" s="3" t="inlineStr">
        <is>
          <t>O-01</t>
        </is>
      </c>
      <c r="C3" s="3" t="inlineStr">
        <is>
          <t>Enterprise Health</t>
        </is>
      </c>
      <c r="D3" s="3" t="inlineStr">
        <is>
          <t>Card</t>
        </is>
      </c>
      <c r="E3" s="3" t="inlineStr">
        <is>
          <t>EBITDA YTD (to P06)</t>
        </is>
      </c>
      <c r="F3" s="3" t="inlineStr">
        <is>
          <t>FIN-001</t>
        </is>
      </c>
      <c r="G3" s="3" t="inlineStr">
        <is>
          <t>Group</t>
        </is>
      </c>
      <c r="H3" s="3" t="inlineStr">
        <is>
          <t>361.3 ₹ m</t>
        </is>
      </c>
      <c r="I3" s="21">
        <f>'Owner KPIs'!K29</f>
        <v/>
      </c>
      <c r="J3" s="3" t="inlineStr">
        <is>
          <t>Owner KPIs sheet, row 29 (Group, Sep 2026)</t>
        </is>
      </c>
    </row>
    <row r="4">
      <c r="A4" s="3" t="n">
        <v>3</v>
      </c>
      <c r="B4" s="3" t="inlineStr">
        <is>
          <t>O-01</t>
        </is>
      </c>
      <c r="C4" s="3" t="inlineStr">
        <is>
          <t>Enterprise Health</t>
        </is>
      </c>
      <c r="D4" s="3" t="inlineStr">
        <is>
          <t>Card</t>
        </is>
      </c>
      <c r="E4" s="3" t="inlineStr">
        <is>
          <t>EBIT YTD (to P06)</t>
        </is>
      </c>
      <c r="F4" s="3" t="inlineStr">
        <is>
          <t>FIN-002</t>
        </is>
      </c>
      <c r="G4" s="3" t="inlineStr">
        <is>
          <t>Group</t>
        </is>
      </c>
      <c r="H4" s="3" t="inlineStr">
        <is>
          <t>238.4 ₹ m</t>
        </is>
      </c>
      <c r="I4" s="21">
        <f>'Owner KPIs'!K30</f>
        <v/>
      </c>
      <c r="J4" s="3" t="inlineStr">
        <is>
          <t>Owner KPIs sheet, row 30 (Group, Sep 2026)</t>
        </is>
      </c>
    </row>
    <row r="5">
      <c r="A5" s="3" t="n">
        <v>4</v>
      </c>
      <c r="B5" s="3" t="inlineStr">
        <is>
          <t>O-01</t>
        </is>
      </c>
      <c r="C5" s="3" t="inlineStr">
        <is>
          <t>Enterprise Health</t>
        </is>
      </c>
      <c r="D5" s="3" t="inlineStr">
        <is>
          <t>Card</t>
        </is>
      </c>
      <c r="E5" s="3" t="inlineStr">
        <is>
          <t>Free Cash Flow YTD</t>
        </is>
      </c>
      <c r="F5" s="3" t="inlineStr">
        <is>
          <t>FIN-004</t>
        </is>
      </c>
      <c r="G5" s="3" t="inlineStr">
        <is>
          <t>Group</t>
        </is>
      </c>
      <c r="H5" s="3" t="inlineStr">
        <is>
          <t>96.4 ₹ m</t>
        </is>
      </c>
      <c r="I5" s="21">
        <f>'Owner KPIs'!K32</f>
        <v/>
      </c>
      <c r="J5" s="3" t="inlineStr">
        <is>
          <t>Owner KPIs sheet, row 32 (Group, Sep 2026)</t>
        </is>
      </c>
    </row>
    <row r="6">
      <c r="A6" s="3" t="n">
        <v>5</v>
      </c>
      <c r="B6" s="3" t="inlineStr">
        <is>
          <t>O-01</t>
        </is>
      </c>
      <c r="C6" s="3" t="inlineStr">
        <is>
          <t>Enterprise Health</t>
        </is>
      </c>
      <c r="D6" s="3" t="inlineStr">
        <is>
          <t>Card</t>
        </is>
      </c>
      <c r="E6" s="3" t="inlineStr">
        <is>
          <t>ROCE · rolling 12 m</t>
        </is>
      </c>
      <c r="F6" s="3" t="inlineStr">
        <is>
          <t>FIN-005</t>
        </is>
      </c>
      <c r="G6" s="3" t="inlineStr">
        <is>
          <t>Group</t>
        </is>
      </c>
      <c r="H6" s="3" t="inlineStr">
        <is>
          <t>11.8 %</t>
        </is>
      </c>
      <c r="I6" s="21">
        <f>'Owner KPIs'!K33</f>
        <v/>
      </c>
      <c r="J6" s="3" t="inlineStr">
        <is>
          <t>Owner KPIs sheet, row 33 (Group, Sep 2026)</t>
        </is>
      </c>
    </row>
    <row r="7">
      <c r="A7" s="3" t="n">
        <v>6</v>
      </c>
      <c r="B7" s="3" t="inlineStr">
        <is>
          <t>O-01</t>
        </is>
      </c>
      <c r="C7" s="3" t="inlineStr">
        <is>
          <t>Enterprise Health</t>
        </is>
      </c>
      <c r="D7" s="3" t="inlineStr">
        <is>
          <t>Card</t>
        </is>
      </c>
      <c r="E7" s="3" t="inlineStr">
        <is>
          <t>Net Debt</t>
        </is>
      </c>
      <c r="F7" s="3" t="inlineStr">
        <is>
          <t>FIN-006</t>
        </is>
      </c>
      <c r="G7" s="3" t="inlineStr">
        <is>
          <t>Group</t>
        </is>
      </c>
      <c r="H7" s="3" t="inlineStr">
        <is>
          <t>1,140 ₹ m</t>
        </is>
      </c>
      <c r="I7" s="21">
        <f>'Owner KPIs'!K34</f>
        <v/>
      </c>
      <c r="J7" s="3" t="inlineStr">
        <is>
          <t>Owner KPIs sheet, row 34 (Group, Sep 2026)</t>
        </is>
      </c>
    </row>
    <row r="8">
      <c r="A8" s="3" t="n">
        <v>7</v>
      </c>
      <c r="B8" s="3" t="inlineStr">
        <is>
          <t>O-01</t>
        </is>
      </c>
      <c r="C8" s="3" t="inlineStr">
        <is>
          <t>Enterprise Health</t>
        </is>
      </c>
      <c r="D8" s="3" t="inlineStr">
        <is>
          <t>Card</t>
        </is>
      </c>
      <c r="E8" s="3" t="inlineStr">
        <is>
          <t>Capex physical progress</t>
        </is>
      </c>
      <c r="F8" s="3" t="inlineStr">
        <is>
          <t>CPX-004</t>
        </is>
      </c>
      <c r="G8" s="3" t="inlineStr">
        <is>
          <t>Group</t>
        </is>
      </c>
      <c r="H8" s="3" t="inlineStr">
        <is>
          <t>61 % weighted</t>
        </is>
      </c>
      <c r="I8" s="21">
        <f>'Owner KPIs'!K59</f>
        <v/>
      </c>
      <c r="J8" s="3" t="inlineStr">
        <is>
          <t>Owner KPIs sheet, row 59 (Group, Sep 2026)</t>
        </is>
      </c>
    </row>
    <row r="9">
      <c r="A9" s="3" t="n">
        <v>8</v>
      </c>
      <c r="B9" s="3" t="inlineStr">
        <is>
          <t>O-01</t>
        </is>
      </c>
      <c r="C9" s="3" t="inlineStr">
        <is>
          <t>Enterprise Health</t>
        </is>
      </c>
      <c r="D9" s="3" t="inlineStr">
        <is>
          <t>Card</t>
        </is>
      </c>
      <c r="E9" s="3" t="inlineStr">
        <is>
          <t>Open critical alerts</t>
        </is>
      </c>
      <c r="F9" s="3" t="inlineStr">
        <is>
          <t>EFF-002</t>
        </is>
      </c>
      <c r="G9" s="3" t="inlineStr">
        <is>
          <t>Group</t>
        </is>
      </c>
      <c r="H9" s="3" t="inlineStr">
        <is>
          <t>1 alert</t>
        </is>
      </c>
      <c r="I9" s="21">
        <f>'Owner KPIs'!K106</f>
        <v/>
      </c>
      <c r="J9" s="3" t="inlineStr">
        <is>
          <t>Owner KPIs sheet, row 106 (Group, Sep 2026)</t>
        </is>
      </c>
    </row>
    <row r="10">
      <c r="A10" s="3" t="n">
        <v>9</v>
      </c>
      <c r="B10" s="3" t="inlineStr">
        <is>
          <t>O-01</t>
        </is>
      </c>
      <c r="C10" s="3" t="inlineStr">
        <is>
          <t>Enterprise Health</t>
        </is>
      </c>
      <c r="D10" s="3" t="inlineStr">
        <is>
          <t>Tile</t>
        </is>
      </c>
      <c r="E10" s="3" t="inlineStr">
        <is>
          <t>Days to breach · Plant 02 plan</t>
        </is>
      </c>
      <c r="F10" s="3" t="inlineStr">
        <is>
          <t>PRD-001</t>
        </is>
      </c>
      <c r="G10" s="3" t="inlineStr">
        <is>
          <t>Plant 02</t>
        </is>
      </c>
      <c r="H10" s="3" t="inlineStr">
        <is>
          <t>4 days</t>
        </is>
      </c>
      <c r="I10" s="21">
        <f>ROUND('Plant Inputs'!BT15,2)</f>
        <v/>
      </c>
      <c r="J10" s="3" t="inlineStr">
        <is>
          <t>Same formula on Plant Inputs row 15 (Plant 02, Sep 2026)</t>
        </is>
      </c>
    </row>
    <row r="11">
      <c r="A11" s="3" t="n">
        <v>10</v>
      </c>
      <c r="B11" s="3" t="inlineStr">
        <is>
          <t>O-01</t>
        </is>
      </c>
      <c r="C11" s="3" t="inlineStr">
        <is>
          <t>Enterprise Health</t>
        </is>
      </c>
      <c r="D11" s="3" t="inlineStr">
        <is>
          <t>Tile</t>
        </is>
      </c>
      <c r="E11" s="3" t="inlineStr">
        <is>
          <t>Probability of plan miss · P07</t>
        </is>
      </c>
      <c r="F11" s="3" t="inlineStr">
        <is>
          <t>PRD-002</t>
        </is>
      </c>
      <c r="G11" s="3" t="inlineStr">
        <is>
          <t>Group</t>
        </is>
      </c>
      <c r="H11" s="3" t="inlineStr">
        <is>
          <t>64%</t>
        </is>
      </c>
      <c r="I11" s="21">
        <f>'Owner KPIs'!K114</f>
        <v/>
      </c>
      <c r="J11" s="3" t="inlineStr">
        <is>
          <t>Owner KPIs sheet, row 114 (Group, Sep 2026)</t>
        </is>
      </c>
    </row>
    <row r="12">
      <c r="A12" s="3" t="n">
        <v>11</v>
      </c>
      <c r="B12" s="3" t="inlineStr">
        <is>
          <t>O-01</t>
        </is>
      </c>
      <c r="C12" s="3" t="inlineStr">
        <is>
          <t>Enterprise Health</t>
        </is>
      </c>
      <c r="D12" s="3" t="inlineStr">
        <is>
          <t>Tile</t>
        </is>
      </c>
      <c r="E12" s="3" t="inlineStr">
        <is>
          <t>Projected EBITDA gap · P07–P12</t>
        </is>
      </c>
      <c r="F12" s="3" t="inlineStr">
        <is>
          <t>PRD-003</t>
        </is>
      </c>
      <c r="G12" s="3" t="inlineStr">
        <is>
          <t>Group</t>
        </is>
      </c>
      <c r="H12" s="3" t="inlineStr">
        <is>
          <t>−₹9.2 m</t>
        </is>
      </c>
      <c r="I12" s="21">
        <f>'Owner KPIs'!K115</f>
        <v/>
      </c>
      <c r="J12" s="3" t="inlineStr">
        <is>
          <t>Owner KPIs sheet, row 115 (Group, Sep 2026)</t>
        </is>
      </c>
    </row>
    <row r="13">
      <c r="A13" s="3" t="n">
        <v>12</v>
      </c>
      <c r="B13" s="3" t="inlineStr">
        <is>
          <t>O-01</t>
        </is>
      </c>
      <c r="C13" s="3" t="inlineStr">
        <is>
          <t>Enterprise Health</t>
        </is>
      </c>
      <c r="D13" s="3" t="inlineStr">
        <is>
          <t>Table</t>
        </is>
      </c>
      <c r="E13" s="3" t="inlineStr">
        <is>
          <t>Capacity utilization</t>
        </is>
      </c>
      <c r="F13" s="3" t="inlineStr">
        <is>
          <t>OPS-003</t>
        </is>
      </c>
      <c r="G13" s="3" t="inlineStr">
        <is>
          <t>Group</t>
        </is>
      </c>
      <c r="H13" s="3" t="inlineStr">
        <is>
          <t>86%</t>
        </is>
      </c>
      <c r="I13" s="21">
        <f>'Owner KPIs'!K3</f>
        <v/>
      </c>
      <c r="J13" s="3" t="inlineStr">
        <is>
          <t>Owner KPIs sheet, row 3 (Group, Sep 2026)</t>
        </is>
      </c>
    </row>
    <row r="14">
      <c r="A14" s="3" t="n">
        <v>13</v>
      </c>
      <c r="B14" s="3" t="inlineStr">
        <is>
          <t>O-01</t>
        </is>
      </c>
      <c r="C14" s="3" t="inlineStr">
        <is>
          <t>Enterprise Health</t>
        </is>
      </c>
      <c r="D14" s="3" t="inlineStr">
        <is>
          <t>Table</t>
        </is>
      </c>
      <c r="E14" s="3" t="inlineStr">
        <is>
          <t>Capacity utilisation</t>
        </is>
      </c>
      <c r="F14" s="3" t="inlineStr">
        <is>
          <t>OPS-005</t>
        </is>
      </c>
      <c r="G14" s="3" t="inlineStr">
        <is>
          <t>Group</t>
        </is>
      </c>
      <c r="H14" s="3" t="inlineStr">
        <is>
          <t>86%</t>
        </is>
      </c>
      <c r="I14" s="21">
        <f>'Owner KPIs'!K24</f>
        <v/>
      </c>
      <c r="J14" s="3" t="inlineStr">
        <is>
          <t>Owner KPIs sheet, row 24 (Group, Sep 2026)</t>
        </is>
      </c>
    </row>
    <row r="15">
      <c r="A15" s="3" t="n">
        <v>14</v>
      </c>
      <c r="B15" s="3" t="inlineStr">
        <is>
          <t>O-01</t>
        </is>
      </c>
      <c r="C15" s="3" t="inlineStr">
        <is>
          <t>Enterprise Health</t>
        </is>
      </c>
      <c r="D15" s="3" t="inlineStr">
        <is>
          <t>Table</t>
        </is>
      </c>
      <c r="E15" s="3" t="inlineStr">
        <is>
          <t>Sales vs plan · MTD</t>
        </is>
      </c>
      <c r="F15" s="3" t="inlineStr">
        <is>
          <t>OPS-002</t>
        </is>
      </c>
      <c r="G15" s="3" t="inlineStr">
        <is>
          <t>Group</t>
        </is>
      </c>
      <c r="H15" s="3" t="inlineStr">
        <is>
          <t>97.6%</t>
        </is>
      </c>
      <c r="I15" s="21">
        <f>'Owner KPIs'!K26</f>
        <v/>
      </c>
      <c r="J15" s="3" t="inlineStr">
        <is>
          <t>Owner KPIs sheet, row 26 (Group, Sep 2026)</t>
        </is>
      </c>
    </row>
    <row r="16">
      <c r="A16" s="3" t="n">
        <v>15</v>
      </c>
      <c r="B16" s="3" t="inlineStr">
        <is>
          <t>O-01</t>
        </is>
      </c>
      <c r="C16" s="3" t="inlineStr">
        <is>
          <t>Enterprise Health</t>
        </is>
      </c>
      <c r="D16" s="3" t="inlineStr">
        <is>
          <t>Table</t>
        </is>
      </c>
      <c r="E16" s="3" t="inlineStr">
        <is>
          <t>Sales vs plan · Group MTD</t>
        </is>
      </c>
      <c r="F16" s="3" t="inlineStr">
        <is>
          <t>OPS-004</t>
        </is>
      </c>
      <c r="G16" s="3" t="inlineStr">
        <is>
          <t>Group</t>
        </is>
      </c>
      <c r="H16" s="3" t="inlineStr">
        <is>
          <t>97.6%</t>
        </is>
      </c>
      <c r="I16" s="21">
        <f>'Owner KPIs'!K27</f>
        <v/>
      </c>
      <c r="J16" s="3" t="inlineStr">
        <is>
          <t>Owner KPIs sheet, row 27 (Group, Sep 2026)</t>
        </is>
      </c>
    </row>
    <row r="17">
      <c r="A17" s="3" t="n">
        <v>16</v>
      </c>
      <c r="B17" s="3" t="inlineStr">
        <is>
          <t>O-01</t>
        </is>
      </c>
      <c r="C17" s="3" t="inlineStr">
        <is>
          <t>Enterprise Health</t>
        </is>
      </c>
      <c r="D17" s="3" t="inlineStr">
        <is>
          <t>Table</t>
        </is>
      </c>
      <c r="E17" s="3" t="inlineStr">
        <is>
          <t>EBIT YTD</t>
        </is>
      </c>
      <c r="F17" s="3" t="inlineStr">
        <is>
          <t>FIN-002</t>
        </is>
      </c>
      <c r="G17" s="3" t="inlineStr">
        <is>
          <t>Group</t>
        </is>
      </c>
      <c r="H17" s="3" t="inlineStr">
        <is>
          <t>238.4 ₹ m</t>
        </is>
      </c>
      <c r="I17" s="21">
        <f>'Owner KPIs'!K30</f>
        <v/>
      </c>
      <c r="J17" s="3" t="inlineStr">
        <is>
          <t>Owner KPIs sheet, row 30 (Group, Sep 2026)</t>
        </is>
      </c>
    </row>
    <row r="18">
      <c r="A18" s="3" t="n">
        <v>17</v>
      </c>
      <c r="B18" s="3" t="inlineStr">
        <is>
          <t>O-01</t>
        </is>
      </c>
      <c r="C18" s="3" t="inlineStr">
        <is>
          <t>Enterprise Health</t>
        </is>
      </c>
      <c r="D18" s="3" t="inlineStr">
        <is>
          <t>Table</t>
        </is>
      </c>
      <c r="E18" s="3" t="inlineStr">
        <is>
          <t>Revenue YTD</t>
        </is>
      </c>
      <c r="F18" s="3" t="inlineStr">
        <is>
          <t>FIN-003</t>
        </is>
      </c>
      <c r="G18" s="3" t="inlineStr">
        <is>
          <t>Group</t>
        </is>
      </c>
      <c r="H18" s="3" t="inlineStr">
        <is>
          <t>2,410 ₹ m</t>
        </is>
      </c>
      <c r="I18" s="21">
        <f>'Owner KPIs'!K31</f>
        <v/>
      </c>
      <c r="J18" s="3" t="inlineStr">
        <is>
          <t>Owner KPIs sheet, row 31 (Group, Sep 2026)</t>
        </is>
      </c>
    </row>
    <row r="19">
      <c r="A19" s="3" t="n">
        <v>18</v>
      </c>
      <c r="B19" s="3" t="inlineStr">
        <is>
          <t>O-01</t>
        </is>
      </c>
      <c r="C19" s="3" t="inlineStr">
        <is>
          <t>Enterprise Health</t>
        </is>
      </c>
      <c r="D19" s="3" t="inlineStr">
        <is>
          <t>Table</t>
        </is>
      </c>
      <c r="E19" s="3" t="inlineStr">
        <is>
          <t>ROCE (rolling 12 m)</t>
        </is>
      </c>
      <c r="F19" s="3" t="inlineStr">
        <is>
          <t>FIN-005</t>
        </is>
      </c>
      <c r="G19" s="3" t="inlineStr">
        <is>
          <t>Group</t>
        </is>
      </c>
      <c r="H19" s="3" t="inlineStr">
        <is>
          <t>11.8%</t>
        </is>
      </c>
      <c r="I19" s="21">
        <f>'Owner KPIs'!K33</f>
        <v/>
      </c>
      <c r="J19" s="3" t="inlineStr">
        <is>
          <t>Owner KPIs sheet, row 33 (Group, Sep 2026)</t>
        </is>
      </c>
    </row>
    <row r="20">
      <c r="A20" s="3" t="n">
        <v>19</v>
      </c>
      <c r="B20" s="3" t="inlineStr">
        <is>
          <t>O-01</t>
        </is>
      </c>
      <c r="C20" s="3" t="inlineStr">
        <is>
          <t>Enterprise Health</t>
        </is>
      </c>
      <c r="D20" s="3" t="inlineStr">
        <is>
          <t>Table</t>
        </is>
      </c>
      <c r="E20" s="3" t="inlineStr">
        <is>
          <t>Shareholder-value indicator</t>
        </is>
      </c>
      <c r="F20" s="3" t="inlineStr">
        <is>
          <t>FIN-007</t>
        </is>
      </c>
      <c r="G20" s="3" t="inlineStr">
        <is>
          <t>Group</t>
        </is>
      </c>
      <c r="H20" s="3" t="inlineStr">
        <is>
          <t>[PLACEHOLDER]</t>
        </is>
      </c>
      <c r="I20" s="21">
        <f>'Owner KPIs'!K35</f>
        <v/>
      </c>
      <c r="J20" s="3" t="inlineStr">
        <is>
          <t>Owner KPIs sheet, row 35 (Group, Sep 2026)</t>
        </is>
      </c>
    </row>
    <row r="21">
      <c r="A21" s="3" t="n">
        <v>20</v>
      </c>
      <c r="B21" s="3" t="inlineStr">
        <is>
          <t>O-01</t>
        </is>
      </c>
      <c r="C21" s="3" t="inlineStr">
        <is>
          <t>Enterprise Health</t>
        </is>
      </c>
      <c r="D21" s="3" t="inlineStr">
        <is>
          <t>Table</t>
        </is>
      </c>
      <c r="E21" s="3" t="inlineStr">
        <is>
          <t>Transformation progress (weighted)</t>
        </is>
      </c>
      <c r="F21" s="3" t="inlineStr">
        <is>
          <t>PRG-004</t>
        </is>
      </c>
      <c r="G21" s="3" t="inlineStr">
        <is>
          <t>Group</t>
        </is>
      </c>
      <c r="H21" s="3" t="inlineStr">
        <is>
          <t>54%</t>
        </is>
      </c>
      <c r="I21" s="21">
        <f>'Owner KPIs'!K64</f>
        <v/>
      </c>
      <c r="J21" s="3" t="inlineStr">
        <is>
          <t>Owner KPIs sheet, row 64 (Group, Sep 2026)</t>
        </is>
      </c>
    </row>
    <row r="22">
      <c r="A22" s="3" t="n">
        <v>21</v>
      </c>
      <c r="B22" s="3" t="inlineStr">
        <is>
          <t>O-01</t>
        </is>
      </c>
      <c r="C22" s="3" t="inlineStr">
        <is>
          <t>Enterprise Health</t>
        </is>
      </c>
      <c r="D22" s="3" t="inlineStr">
        <is>
          <t>Table</t>
        </is>
      </c>
      <c r="E22" s="3" t="inlineStr">
        <is>
          <t>Transformation progress</t>
        </is>
      </c>
      <c r="F22" s="3" t="inlineStr">
        <is>
          <t>STR-002</t>
        </is>
      </c>
      <c r="G22" s="3" t="inlineStr">
        <is>
          <t>Group</t>
        </is>
      </c>
      <c r="H22" s="3" t="inlineStr">
        <is>
          <t>54%</t>
        </is>
      </c>
      <c r="I22" s="21">
        <f>'Owner KPIs'!K65</f>
        <v/>
      </c>
      <c r="J22" s="3" t="inlineStr">
        <is>
          <t>Owner KPIs sheet, row 65 (Group, Sep 2026)</t>
        </is>
      </c>
    </row>
    <row r="23">
      <c r="A23" s="3" t="n">
        <v>22</v>
      </c>
      <c r="B23" s="3" t="inlineStr">
        <is>
          <t>O-01</t>
        </is>
      </c>
      <c r="C23" s="3" t="inlineStr">
        <is>
          <t>Enterprise Health</t>
        </is>
      </c>
      <c r="D23" s="3" t="inlineStr">
        <is>
          <t>Table</t>
        </is>
      </c>
      <c r="E23" s="3" t="inlineStr">
        <is>
          <t>Regulatory breaches · YTD</t>
        </is>
      </c>
      <c r="F23" s="3" t="inlineStr">
        <is>
          <t>RSK-003</t>
        </is>
      </c>
      <c r="G23" s="3" t="inlineStr">
        <is>
          <t>Group</t>
        </is>
      </c>
      <c r="H23" s="3" t="inlineStr">
        <is>
          <t>0</t>
        </is>
      </c>
      <c r="I23" s="21">
        <f>'Owner KPIs'!K79</f>
        <v/>
      </c>
      <c r="J23" s="3" t="inlineStr">
        <is>
          <t>Owner KPIs sheet, row 79 (Group, Sep 2026)</t>
        </is>
      </c>
    </row>
    <row r="24">
      <c r="A24" s="3" t="n">
        <v>23</v>
      </c>
      <c r="B24" s="3" t="inlineStr">
        <is>
          <t>O-01</t>
        </is>
      </c>
      <c r="C24" s="3" t="inlineStr">
        <is>
          <t>Enterprise Health</t>
        </is>
      </c>
      <c r="D24" s="3" t="inlineStr">
        <is>
          <t>Table</t>
        </is>
      </c>
      <c r="E24" s="3" t="inlineStr">
        <is>
          <t>Regulatory breaches · YTD</t>
        </is>
      </c>
      <c r="F24" s="3" t="inlineStr">
        <is>
          <t>CMP-005</t>
        </is>
      </c>
      <c r="G24" s="3" t="inlineStr">
        <is>
          <t>Group</t>
        </is>
      </c>
      <c r="H24" s="3" t="inlineStr">
        <is>
          <t>0</t>
        </is>
      </c>
      <c r="I24" s="21">
        <f>'Owner KPIs'!K80</f>
        <v/>
      </c>
      <c r="J24" s="3" t="inlineStr">
        <is>
          <t>Owner KPIs sheet, row 80 (Group, Sep 2026)</t>
        </is>
      </c>
    </row>
    <row r="25">
      <c r="A25" s="3" t="n">
        <v>24</v>
      </c>
      <c r="B25" s="3" t="inlineStr">
        <is>
          <t>O-02</t>
        </is>
      </c>
      <c r="C25" s="3" t="inlineStr">
        <is>
          <t>24-Hour Executive Change Report</t>
        </is>
      </c>
      <c r="D25" s="3" t="inlineStr">
        <is>
          <t>Tile</t>
        </is>
      </c>
      <c r="E25" s="3" t="inlineStr">
        <is>
          <t>Days to breach · Plant 02 plan</t>
        </is>
      </c>
      <c r="F25" s="3" t="inlineStr">
        <is>
          <t>PRD-001</t>
        </is>
      </c>
      <c r="G25" s="3" t="inlineStr">
        <is>
          <t>Plant 02</t>
        </is>
      </c>
      <c r="H25" s="3" t="inlineStr">
        <is>
          <t>4 days</t>
        </is>
      </c>
      <c r="I25" s="21">
        <f>ROUND('Plant Inputs'!BT15,2)</f>
        <v/>
      </c>
      <c r="J25" s="3" t="inlineStr">
        <is>
          <t>Same formula on Plant Inputs row 15 (Plant 02, Sep 2026)</t>
        </is>
      </c>
    </row>
    <row r="26">
      <c r="A26" s="3" t="n">
        <v>25</v>
      </c>
      <c r="B26" s="3" t="inlineStr">
        <is>
          <t>O-02</t>
        </is>
      </c>
      <c r="C26" s="3" t="inlineStr">
        <is>
          <t>24-Hour Executive Change Report</t>
        </is>
      </c>
      <c r="D26" s="3" t="inlineStr">
        <is>
          <t>Tile</t>
        </is>
      </c>
      <c r="E26" s="3" t="inlineStr">
        <is>
          <t>Probability of plan miss · P07</t>
        </is>
      </c>
      <c r="F26" s="3" t="inlineStr">
        <is>
          <t>PRD-002</t>
        </is>
      </c>
      <c r="G26" s="3" t="inlineStr">
        <is>
          <t>Group</t>
        </is>
      </c>
      <c r="H26" s="3" t="inlineStr">
        <is>
          <t>64%</t>
        </is>
      </c>
      <c r="I26" s="21">
        <f>'Owner KPIs'!K114</f>
        <v/>
      </c>
      <c r="J26" s="3" t="inlineStr">
        <is>
          <t>Owner KPIs sheet, row 114 (Group, Sep 2026)</t>
        </is>
      </c>
    </row>
    <row r="27">
      <c r="A27" s="3" t="n">
        <v>26</v>
      </c>
      <c r="B27" s="3" t="inlineStr">
        <is>
          <t>O-02</t>
        </is>
      </c>
      <c r="C27" s="3" t="inlineStr">
        <is>
          <t>24-Hour Executive Change Report</t>
        </is>
      </c>
      <c r="D27" s="3" t="inlineStr">
        <is>
          <t>Tile</t>
        </is>
      </c>
      <c r="E27" s="3" t="inlineStr">
        <is>
          <t>Projected EBITDA gap P07–P12</t>
        </is>
      </c>
      <c r="F27" s="3" t="inlineStr">
        <is>
          <t>PRD-003</t>
        </is>
      </c>
      <c r="G27" s="3" t="inlineStr">
        <is>
          <t>Group</t>
        </is>
      </c>
      <c r="H27" s="3" t="inlineStr">
        <is>
          <t>−₹9.2 m</t>
        </is>
      </c>
      <c r="I27" s="21">
        <f>'Owner KPIs'!K115</f>
        <v/>
      </c>
      <c r="J27" s="3" t="inlineStr">
        <is>
          <t>Owner KPIs sheet, row 115 (Group, Sep 2026)</t>
        </is>
      </c>
    </row>
    <row r="28">
      <c r="A28" s="3" t="n">
        <v>27</v>
      </c>
      <c r="B28" s="3" t="inlineStr">
        <is>
          <t>O-02</t>
        </is>
      </c>
      <c r="C28" s="3" t="inlineStr">
        <is>
          <t>24-Hour Executive Change Report</t>
        </is>
      </c>
      <c r="D28" s="3" t="inlineStr">
        <is>
          <t>Tile</t>
        </is>
      </c>
      <c r="E28" s="3" t="inlineStr">
        <is>
          <t>Projected liquidity gap</t>
        </is>
      </c>
      <c r="F28" s="3" t="inlineStr">
        <is>
          <t>PRD-004</t>
        </is>
      </c>
      <c r="G28" s="3" t="inlineStr">
        <is>
          <t>Group</t>
        </is>
      </c>
      <c r="H28" s="3" t="inlineStr">
        <is>
          <t>None</t>
        </is>
      </c>
      <c r="I28" s="21">
        <f>'Owner KPIs'!K116</f>
        <v/>
      </c>
      <c r="J28" s="3" t="inlineStr">
        <is>
          <t>Owner KPIs sheet, row 116 (Group, Sep 2026)</t>
        </is>
      </c>
    </row>
    <row r="29">
      <c r="A29" s="3" t="n">
        <v>28</v>
      </c>
      <c r="B29" s="3" t="inlineStr">
        <is>
          <t>O-02</t>
        </is>
      </c>
      <c r="C29" s="3" t="inlineStr">
        <is>
          <t>24-Hour Executive Change Report</t>
        </is>
      </c>
      <c r="D29" s="3" t="inlineStr">
        <is>
          <t>Tile</t>
        </is>
      </c>
      <c r="E29" s="3" t="inlineStr">
        <is>
          <t>Forecast covenant breach</t>
        </is>
      </c>
      <c r="F29" s="3" t="inlineStr">
        <is>
          <t>PRD-005</t>
        </is>
      </c>
      <c r="G29" s="3" t="inlineStr">
        <is>
          <t>Group</t>
        </is>
      </c>
      <c r="H29" s="3" t="inlineStr">
        <is>
          <t>Not forecast</t>
        </is>
      </c>
      <c r="I29" s="21">
        <f>'Owner KPIs'!K117</f>
        <v/>
      </c>
      <c r="J29" s="3" t="inlineStr">
        <is>
          <t>Owner KPIs sheet, row 117 (Group, Sep 2026)</t>
        </is>
      </c>
    </row>
    <row r="30">
      <c r="A30" s="3" t="n">
        <v>29</v>
      </c>
      <c r="B30" s="3" t="inlineStr">
        <is>
          <t>O-03</t>
        </is>
      </c>
      <c r="C30" s="3" t="inlineStr">
        <is>
          <t>Cash &amp; Liquidity Dashboard</t>
        </is>
      </c>
      <c r="D30" s="3" t="inlineStr">
        <is>
          <t>Card</t>
        </is>
      </c>
      <c r="E30" s="3" t="inlineStr">
        <is>
          <t>Cash position</t>
        </is>
      </c>
      <c r="F30" s="3" t="inlineStr">
        <is>
          <t>CSH-001</t>
        </is>
      </c>
      <c r="G30" s="3" t="inlineStr">
        <is>
          <t>Group</t>
        </is>
      </c>
      <c r="H30" s="3" t="inlineStr">
        <is>
          <t>2,141.8 ₹ m</t>
        </is>
      </c>
      <c r="I30" s="21" t="n">
        <v>2141.82</v>
      </c>
      <c r="J30" s="3" t="inlineStr">
        <is>
          <t>Owner KPIs sheet, row 36 (Group, Sep 2026)</t>
        </is>
      </c>
    </row>
    <row r="31">
      <c r="A31" s="3" t="n">
        <v>30</v>
      </c>
      <c r="B31" s="3" t="inlineStr">
        <is>
          <t>O-03</t>
        </is>
      </c>
      <c r="C31" s="3" t="inlineStr">
        <is>
          <t>Cash &amp; Liquidity Dashboard</t>
        </is>
      </c>
      <c r="D31" s="3" t="inlineStr">
        <is>
          <t>Card</t>
        </is>
      </c>
      <c r="E31" s="3" t="inlineStr">
        <is>
          <t>Liquidity runway</t>
        </is>
      </c>
      <c r="F31" s="3" t="inlineStr">
        <is>
          <t>LIQ-001</t>
        </is>
      </c>
      <c r="G31" s="3" t="inlineStr">
        <is>
          <t>Group</t>
        </is>
      </c>
      <c r="H31" s="3" t="inlineStr">
        <is>
          <t>16.7 months</t>
        </is>
      </c>
      <c r="I31" s="21" t="n">
        <v>16.71</v>
      </c>
      <c r="J31" s="3" t="inlineStr">
        <is>
          <t>Owner KPIs sheet, row 47 (Group, Sep 2026)</t>
        </is>
      </c>
    </row>
    <row r="32">
      <c r="A32" s="3" t="n">
        <v>31</v>
      </c>
      <c r="B32" s="3" t="inlineStr">
        <is>
          <t>O-03</t>
        </is>
      </c>
      <c r="C32" s="3" t="inlineStr">
        <is>
          <t>Cash &amp; Liquidity Dashboard</t>
        </is>
      </c>
      <c r="D32" s="3" t="inlineStr">
        <is>
          <t>Card</t>
        </is>
      </c>
      <c r="E32" s="3" t="inlineStr">
        <is>
          <t>Net debt</t>
        </is>
      </c>
      <c r="F32" s="3" t="inlineStr">
        <is>
          <t>FIN-006</t>
        </is>
      </c>
      <c r="G32" s="3" t="inlineStr">
        <is>
          <t>Group</t>
        </is>
      </c>
      <c r="H32" s="3" t="inlineStr">
        <is>
          <t>6,650.0 ₹ m</t>
        </is>
      </c>
      <c r="I32" s="21" t="n">
        <v>6650</v>
      </c>
      <c r="J32" s="3" t="inlineStr">
        <is>
          <t>Owner KPIs sheet, row 34 (Group, Sep 2026)</t>
        </is>
      </c>
    </row>
    <row r="33">
      <c r="A33" s="3" t="n">
        <v>32</v>
      </c>
      <c r="B33" s="3" t="inlineStr">
        <is>
          <t>O-03</t>
        </is>
      </c>
      <c r="C33" s="3" t="inlineStr">
        <is>
          <t>Cash &amp; Liquidity Dashboard</t>
        </is>
      </c>
      <c r="D33" s="3" t="inlineStr">
        <is>
          <t>Card</t>
        </is>
      </c>
      <c r="E33" s="3" t="inlineStr">
        <is>
          <t>Debt maturity (next 12 months)</t>
        </is>
      </c>
      <c r="F33" s="3" t="inlineStr">
        <is>
          <t>LIQ-003</t>
        </is>
      </c>
      <c r="G33" s="3" t="inlineStr">
        <is>
          <t>Group</t>
        </is>
      </c>
      <c r="H33" s="3" t="inlineStr">
        <is>
          <t>891.4 ₹ m</t>
        </is>
      </c>
      <c r="I33" s="21" t="n">
        <v>891.41</v>
      </c>
      <c r="J33" s="3" t="inlineStr">
        <is>
          <t>Owner KPIs sheet, row 49 (Group, Sep 2026)</t>
        </is>
      </c>
    </row>
    <row r="34">
      <c r="A34" s="3" t="n">
        <v>33</v>
      </c>
      <c r="B34" s="3" t="inlineStr">
        <is>
          <t>O-03</t>
        </is>
      </c>
      <c r="C34" s="3" t="inlineStr">
        <is>
          <t>Cash &amp; Liquidity Dashboard</t>
        </is>
      </c>
      <c r="D34" s="3" t="inlineStr">
        <is>
          <t>Card</t>
        </is>
      </c>
      <c r="E34" s="3" t="inlineStr">
        <is>
          <t>DSO above target</t>
        </is>
      </c>
      <c r="F34" s="3" t="inlineStr">
        <is>
          <t>WCP-001</t>
        </is>
      </c>
      <c r="G34" s="3" t="inlineStr">
        <is>
          <t>Group</t>
        </is>
      </c>
      <c r="H34" s="3" t="inlineStr">
        <is>
          <t>47.0 days</t>
        </is>
      </c>
      <c r="I34" s="21" t="n">
        <v>46.97</v>
      </c>
      <c r="J34" s="3" t="inlineStr">
        <is>
          <t>Owner KPIs sheet, row 41 (Group, Sep 2026)</t>
        </is>
      </c>
    </row>
    <row r="35">
      <c r="A35" s="3" t="n">
        <v>34</v>
      </c>
      <c r="B35" s="3" t="inlineStr">
        <is>
          <t>O-03</t>
        </is>
      </c>
      <c r="C35" s="3" t="inlineStr">
        <is>
          <t>Cash &amp; Liquidity Dashboard</t>
        </is>
      </c>
      <c r="D35" s="3" t="inlineStr">
        <is>
          <t>Card</t>
        </is>
      </c>
      <c r="E35" s="3" t="inlineStr">
        <is>
          <t>Working capital</t>
        </is>
      </c>
      <c r="F35" s="3" t="inlineStr">
        <is>
          <t>WCP-004</t>
        </is>
      </c>
      <c r="G35" s="3" t="inlineStr">
        <is>
          <t>Group</t>
        </is>
      </c>
      <c r="H35" s="3" t="inlineStr">
        <is>
          <t>2,781.0 ₹ m</t>
        </is>
      </c>
      <c r="I35" s="21" t="n">
        <v>2780.99</v>
      </c>
      <c r="J35" s="3" t="inlineStr">
        <is>
          <t>Owner KPIs sheet, row 44 (Group, Sep 2026)</t>
        </is>
      </c>
    </row>
    <row r="36">
      <c r="A36" s="3" t="n">
        <v>35</v>
      </c>
      <c r="B36" s="3" t="inlineStr">
        <is>
          <t>O-03</t>
        </is>
      </c>
      <c r="C36" s="3" t="inlineStr">
        <is>
          <t>Cash &amp; Liquidity Dashboard</t>
        </is>
      </c>
      <c r="D36" s="3" t="inlineStr">
        <is>
          <t>Card</t>
        </is>
      </c>
      <c r="E36" s="3" t="inlineStr">
        <is>
          <t>FX hedge ratio (next 6 months)</t>
        </is>
      </c>
      <c r="F36" s="3" t="inlineStr">
        <is>
          <t>TRS-004</t>
        </is>
      </c>
      <c r="G36" s="3" t="inlineStr">
        <is>
          <t>Group</t>
        </is>
      </c>
      <c r="H36" s="3" t="inlineStr">
        <is>
          <t>70.7 %</t>
        </is>
      </c>
      <c r="I36" s="21" t="n">
        <v>70.65000000000001</v>
      </c>
      <c r="J36" s="3" t="inlineStr">
        <is>
          <t>Owner KPIs sheet, row 54 (Group, Sep 2026)</t>
        </is>
      </c>
    </row>
    <row r="37">
      <c r="A37" s="3" t="n">
        <v>36</v>
      </c>
      <c r="B37" s="3" t="inlineStr">
        <is>
          <t>O-03</t>
        </is>
      </c>
      <c r="C37" s="3" t="inlineStr">
        <is>
          <t>Cash &amp; Liquidity Dashboard</t>
        </is>
      </c>
      <c r="D37" s="3" t="inlineStr">
        <is>
          <t>Card detail</t>
        </is>
      </c>
      <c r="E37" s="3" t="inlineStr">
        <is>
          <t>FX hedge ratio (next 6 months) · Hedged (Sep)</t>
        </is>
      </c>
      <c r="F37" s="3" t="n"/>
      <c r="G37" s="3" t="inlineStr">
        <is>
          <t>Group</t>
        </is>
      </c>
      <c r="H37" s="3" t="inlineStr">
        <is>
          <t>₹546.0 m</t>
        </is>
      </c>
      <c r="I37" s="21" t="n">
        <v>546</v>
      </c>
      <c r="J37" s="3" t="inlineStr">
        <is>
          <t>Group Inputs, fx_hedged_k ÷ 1000 (Sep 2026)</t>
        </is>
      </c>
    </row>
    <row r="38">
      <c r="A38" s="3" t="n">
        <v>37</v>
      </c>
      <c r="B38" s="3" t="inlineStr">
        <is>
          <t>O-03</t>
        </is>
      </c>
      <c r="C38" s="3" t="inlineStr">
        <is>
          <t>Cash &amp; Liquidity Dashboard</t>
        </is>
      </c>
      <c r="D38" s="3" t="inlineStr">
        <is>
          <t>Card detail</t>
        </is>
      </c>
      <c r="E38" s="3" t="inlineStr">
        <is>
          <t>FX hedge ratio (next 6 months) · Gross FX exposure (Sep)</t>
        </is>
      </c>
      <c r="F38" s="3" t="n"/>
      <c r="G38" s="3" t="inlineStr">
        <is>
          <t>Group</t>
        </is>
      </c>
      <c r="H38" s="3" t="inlineStr">
        <is>
          <t>₹767.7 m</t>
        </is>
      </c>
      <c r="I38" s="21" t="n">
        <v>767.72</v>
      </c>
      <c r="J38" s="3" t="inlineStr">
        <is>
          <t>Group Inputs, fx_exposure_k ÷ 1000 (Sep 2026)</t>
        </is>
      </c>
    </row>
    <row r="39">
      <c r="A39" s="3" t="n">
        <v>38</v>
      </c>
      <c r="B39" s="3" t="inlineStr">
        <is>
          <t>O-03</t>
        </is>
      </c>
      <c r="C39" s="3" t="inlineStr">
        <is>
          <t>Cash &amp; Liquidity Dashboard</t>
        </is>
      </c>
      <c r="D39" s="3" t="inlineStr">
        <is>
          <t>Card</t>
        </is>
      </c>
      <c r="E39" s="3" t="inlineStr">
        <is>
          <t>Financing exposure</t>
        </is>
      </c>
      <c r="F39" s="3" t="inlineStr">
        <is>
          <t>LIQ-004</t>
        </is>
      </c>
      <c r="G39" s="3" t="inlineStr">
        <is>
          <t>Group</t>
        </is>
      </c>
      <c r="H39" s="3" t="inlineStr">
        <is>
          <t>2,720.8 ₹ m</t>
        </is>
      </c>
      <c r="I39" s="21" t="n">
        <v>2720.83</v>
      </c>
      <c r="J39" s="3" t="inlineStr">
        <is>
          <t>Owner KPIs sheet, row 50 (Group, Sep 2026)</t>
        </is>
      </c>
    </row>
    <row r="40">
      <c r="A40" s="3" t="n">
        <v>39</v>
      </c>
      <c r="B40" s="3" t="inlineStr">
        <is>
          <t>O-03</t>
        </is>
      </c>
      <c r="C40" s="3" t="inlineStr">
        <is>
          <t>Cash &amp; Liquidity Dashboard</t>
        </is>
      </c>
      <c r="D40" s="3" t="inlineStr">
        <is>
          <t>Card</t>
        </is>
      </c>
      <c r="E40" s="3" t="inlineStr">
        <is>
          <t>Upstream exposure</t>
        </is>
      </c>
      <c r="F40" s="3" t="inlineStr">
        <is>
          <t>CSH-006</t>
        </is>
      </c>
      <c r="G40" s="3" t="inlineStr">
        <is>
          <t>Group</t>
        </is>
      </c>
      <c r="H40" s="3" t="inlineStr">
        <is>
          <t>27.2 ₹ m</t>
        </is>
      </c>
      <c r="I40" s="21" t="n">
        <v>27.21</v>
      </c>
      <c r="J40" s="3" t="inlineStr">
        <is>
          <t>Owner KPIs sheet, row 40 (Group, Sep 2026)</t>
        </is>
      </c>
    </row>
    <row r="41">
      <c r="A41" s="3" t="n">
        <v>40</v>
      </c>
      <c r="B41" s="3" t="inlineStr">
        <is>
          <t>O-03</t>
        </is>
      </c>
      <c r="C41" s="3" t="inlineStr">
        <is>
          <t>Cash &amp; Liquidity Dashboard</t>
        </is>
      </c>
      <c r="D41" s="3" t="inlineStr">
        <is>
          <t>Chart</t>
        </is>
      </c>
      <c r="E41" s="3" t="inlineStr">
        <is>
          <t>DSO trend</t>
        </is>
      </c>
      <c r="F41" s="3" t="inlineStr">
        <is>
          <t>WCP-001</t>
        </is>
      </c>
      <c r="G41" s="3" t="inlineStr">
        <is>
          <t>Group</t>
        </is>
      </c>
      <c r="H41" s="3" t="inlineStr">
        <is>
          <t>Apr–Sep monthly series</t>
        </is>
      </c>
      <c r="I41" s="21" t="inlineStr">
        <is>
          <t>Apr–Sep: 47.16, 48.66, 48.42, 48.03, 47.51, 46.97</t>
        </is>
      </c>
      <c r="J41" s="3" t="inlineStr">
        <is>
          <t>Owner KPIs sheet, row 41 (Group, Apr–Sep 2026)</t>
        </is>
      </c>
    </row>
    <row r="42">
      <c r="A42" s="3" t="n">
        <v>41</v>
      </c>
      <c r="B42" s="3" t="inlineStr">
        <is>
          <t>O-03</t>
        </is>
      </c>
      <c r="C42" s="3" t="inlineStr">
        <is>
          <t>Cash &amp; Liquidity Dashboard</t>
        </is>
      </c>
      <c r="D42" s="3" t="inlineStr">
        <is>
          <t>Chart</t>
        </is>
      </c>
      <c r="E42" s="3" t="inlineStr">
        <is>
          <t>Net debt evolution</t>
        </is>
      </c>
      <c r="F42" s="3" t="inlineStr">
        <is>
          <t>FIN-006</t>
        </is>
      </c>
      <c r="G42" s="3" t="inlineStr">
        <is>
          <t>Group</t>
        </is>
      </c>
      <c r="H42" s="3" t="inlineStr">
        <is>
          <t>Apr–Sep monthly series</t>
        </is>
      </c>
      <c r="I42" s="21" t="inlineStr">
        <is>
          <t>Apr–Sep: 7000.0, 6930.0, 6860.0, 6790.0, 6720.0, 6650.0</t>
        </is>
      </c>
      <c r="J42" s="3" t="inlineStr">
        <is>
          <t>Owner KPIs sheet, row 34 (Group, Apr–Sep 2026)</t>
        </is>
      </c>
    </row>
    <row r="43">
      <c r="A43" s="3" t="n">
        <v>42</v>
      </c>
      <c r="B43" s="3" t="inlineStr">
        <is>
          <t>O-03</t>
        </is>
      </c>
      <c r="C43" s="3" t="inlineStr">
        <is>
          <t>Cash &amp; Liquidity Dashboard</t>
        </is>
      </c>
      <c r="D43" s="3" t="inlineStr">
        <is>
          <t>Chart</t>
        </is>
      </c>
      <c r="E43" s="3" t="inlineStr">
        <is>
          <t>FX exposure vs hedge</t>
        </is>
      </c>
      <c r="F43" s="3" t="n"/>
      <c r="G43" s="3" t="inlineStr">
        <is>
          <t>Group</t>
        </is>
      </c>
      <c r="H43" s="3" t="inlineStr">
        <is>
          <t>Apr–Sep monthly series</t>
        </is>
      </c>
      <c r="I43" s="21" t="inlineStr">
        <is>
          <t>Exposure 724.2, 715.3, 706.4, 793.7, 722.6, 767.7 · hedged 533.4, 507.8, 518.2, 566.0, 497.1, 546.0</t>
        </is>
      </c>
      <c r="J43" s="3" t="inlineStr">
        <is>
          <t>Group Inputs, fx_exposure_k and fx_hedged_k ÷ 1000 (Apr–Sep 2026)</t>
        </is>
      </c>
    </row>
    <row r="44">
      <c r="A44" s="3" t="n">
        <v>43</v>
      </c>
      <c r="B44" s="3" t="inlineStr">
        <is>
          <t>O-04</t>
        </is>
      </c>
      <c r="C44" s="3" t="inlineStr">
        <is>
          <t>Major Capex and Strategic Initiatives</t>
        </is>
      </c>
      <c r="D44" s="3" t="inlineStr">
        <is>
          <t>Card</t>
        </is>
      </c>
      <c r="E44" s="3" t="inlineStr">
        <is>
          <t>Approved budget</t>
        </is>
      </c>
      <c r="F44" s="3" t="inlineStr">
        <is>
          <t>CPX-001</t>
        </is>
      </c>
      <c r="G44" s="3" t="inlineStr">
        <is>
          <t>Group</t>
        </is>
      </c>
      <c r="H44" s="3" t="inlineStr">
        <is>
          <t>850 ₹ m</t>
        </is>
      </c>
      <c r="I44" s="21">
        <f>'Owner KPIs'!K56</f>
        <v/>
      </c>
      <c r="J44" s="3" t="inlineStr">
        <is>
          <t>Owner KPIs sheet, row 56 (Group, Sep 2026)</t>
        </is>
      </c>
    </row>
    <row r="45">
      <c r="A45" s="3" t="n">
        <v>44</v>
      </c>
      <c r="B45" s="3" t="inlineStr">
        <is>
          <t>O-04</t>
        </is>
      </c>
      <c r="C45" s="3" t="inlineStr">
        <is>
          <t>Major Capex and Strategic Initiatives</t>
        </is>
      </c>
      <c r="D45" s="3" t="inlineStr">
        <is>
          <t>Card</t>
        </is>
      </c>
      <c r="E45" s="3" t="inlineStr">
        <is>
          <t>Committed Capex</t>
        </is>
      </c>
      <c r="F45" s="3" t="inlineStr">
        <is>
          <t>CPX-002</t>
        </is>
      </c>
      <c r="G45" s="3" t="inlineStr">
        <is>
          <t>Group</t>
        </is>
      </c>
      <c r="H45" s="3" t="inlineStr">
        <is>
          <t>610 ₹ m · 72%</t>
        </is>
      </c>
      <c r="I45" s="21">
        <f>'Owner KPIs'!K57</f>
        <v/>
      </c>
      <c r="J45" s="3" t="inlineStr">
        <is>
          <t>Owner KPIs sheet, row 57 (Group, Sep 2026)</t>
        </is>
      </c>
    </row>
    <row r="46">
      <c r="A46" s="3" t="n">
        <v>45</v>
      </c>
      <c r="B46" s="3" t="inlineStr">
        <is>
          <t>O-04</t>
        </is>
      </c>
      <c r="C46" s="3" t="inlineStr">
        <is>
          <t>Major Capex and Strategic Initiatives</t>
        </is>
      </c>
      <c r="D46" s="3" t="inlineStr">
        <is>
          <t>Card</t>
        </is>
      </c>
      <c r="E46" s="3" t="inlineStr">
        <is>
          <t>Actual spend</t>
        </is>
      </c>
      <c r="F46" s="3" t="inlineStr">
        <is>
          <t>CPX-003</t>
        </is>
      </c>
      <c r="G46" s="3" t="inlineStr">
        <is>
          <t>Group</t>
        </is>
      </c>
      <c r="H46" s="3" t="inlineStr">
        <is>
          <t>402 ₹ m · 47%</t>
        </is>
      </c>
      <c r="I46" s="21">
        <f>'Owner KPIs'!K58</f>
        <v/>
      </c>
      <c r="J46" s="3" t="inlineStr">
        <is>
          <t>Owner KPIs sheet, row 58 (Group, Sep 2026)</t>
        </is>
      </c>
    </row>
    <row r="47">
      <c r="A47" s="3" t="n">
        <v>46</v>
      </c>
      <c r="B47" s="3" t="inlineStr">
        <is>
          <t>O-04</t>
        </is>
      </c>
      <c r="C47" s="3" t="inlineStr">
        <is>
          <t>Major Capex and Strategic Initiatives</t>
        </is>
      </c>
      <c r="D47" s="3" t="inlineStr">
        <is>
          <t>Card</t>
        </is>
      </c>
      <c r="E47" s="3" t="inlineStr">
        <is>
          <t>Capex physical progress</t>
        </is>
      </c>
      <c r="F47" s="3" t="inlineStr">
        <is>
          <t>CPX-004</t>
        </is>
      </c>
      <c r="G47" s="3" t="inlineStr">
        <is>
          <t>Group</t>
        </is>
      </c>
      <c r="H47" s="3" t="inlineStr">
        <is>
          <t>61 % weighted</t>
        </is>
      </c>
      <c r="I47" s="21">
        <f>'Owner KPIs'!K59</f>
        <v/>
      </c>
      <c r="J47" s="3" t="inlineStr">
        <is>
          <t>Owner KPIs sheet, row 59 (Group, Sep 2026)</t>
        </is>
      </c>
    </row>
    <row r="48">
      <c r="A48" s="3" t="n">
        <v>47</v>
      </c>
      <c r="B48" s="3" t="inlineStr">
        <is>
          <t>O-04</t>
        </is>
      </c>
      <c r="C48" s="3" t="inlineStr">
        <is>
          <t>Major Capex and Strategic Initiatives</t>
        </is>
      </c>
      <c r="D48" s="3" t="inlineStr">
        <is>
          <t>Card</t>
        </is>
      </c>
      <c r="E48" s="3" t="inlineStr">
        <is>
          <t>Capex value at risk</t>
        </is>
      </c>
      <c r="F48" s="3" t="inlineStr">
        <is>
          <t>SIG-011</t>
        </is>
      </c>
      <c r="G48" s="3" t="inlineStr">
        <is>
          <t>Group</t>
        </is>
      </c>
      <c r="H48" s="3" t="inlineStr">
        <is>
          <t>34 ₹ m</t>
        </is>
      </c>
      <c r="I48" s="21">
        <f>'Owner KPIs'!K60</f>
        <v/>
      </c>
      <c r="J48" s="3" t="inlineStr">
        <is>
          <t>Owner KPIs sheet, row 60 (Group, Sep 2026)</t>
        </is>
      </c>
    </row>
    <row r="49">
      <c r="A49" s="3" t="n">
        <v>48</v>
      </c>
      <c r="B49" s="3" t="inlineStr">
        <is>
          <t>O-04</t>
        </is>
      </c>
      <c r="C49" s="3" t="inlineStr">
        <is>
          <t>Major Capex and Strategic Initiatives</t>
        </is>
      </c>
      <c r="D49" s="3" t="inlineStr">
        <is>
          <t>Card</t>
        </is>
      </c>
      <c r="E49" s="3" t="inlineStr">
        <is>
          <t>Benefits realization</t>
        </is>
      </c>
      <c r="F49" s="3" t="inlineStr">
        <is>
          <t>PRG-002</t>
        </is>
      </c>
      <c r="G49" s="3" t="inlineStr">
        <is>
          <t>Group</t>
        </is>
      </c>
      <c r="H49" s="3" t="inlineStr">
        <is>
          <t>48 % of plan</t>
        </is>
      </c>
      <c r="I49" s="21">
        <f>'Owner KPIs'!K62</f>
        <v/>
      </c>
      <c r="J49" s="3" t="inlineStr">
        <is>
          <t>Owner KPIs sheet, row 62 (Group, Sep 2026)</t>
        </is>
      </c>
    </row>
    <row r="50">
      <c r="A50" s="3" t="n">
        <v>49</v>
      </c>
      <c r="B50" s="3" t="inlineStr">
        <is>
          <t>O-04</t>
        </is>
      </c>
      <c r="C50" s="3" t="inlineStr">
        <is>
          <t>Major Capex and Strategic Initiatives</t>
        </is>
      </c>
      <c r="D50" s="3" t="inlineStr">
        <is>
          <t>Card</t>
        </is>
      </c>
      <c r="E50" s="3" t="inlineStr">
        <is>
          <t>EBITDA benefit delivered YTD</t>
        </is>
      </c>
      <c r="F50" s="3" t="inlineStr">
        <is>
          <t>VAL-001</t>
        </is>
      </c>
      <c r="G50" s="3" t="inlineStr">
        <is>
          <t>Group</t>
        </is>
      </c>
      <c r="H50" s="3" t="inlineStr">
        <is>
          <t>₹14 m</t>
        </is>
      </c>
      <c r="I50" s="21">
        <f>'Owner KPIs'!K67</f>
        <v/>
      </c>
      <c r="J50" s="3" t="inlineStr">
        <is>
          <t>Owner KPIs sheet, row 67 (Group, Sep 2026)</t>
        </is>
      </c>
    </row>
    <row r="51">
      <c r="A51" s="3" t="n">
        <v>50</v>
      </c>
      <c r="B51" s="3" t="inlineStr">
        <is>
          <t>O-04</t>
        </is>
      </c>
      <c r="C51" s="3" t="inlineStr">
        <is>
          <t>Major Capex and Strategic Initiatives</t>
        </is>
      </c>
      <c r="D51" s="3" t="inlineStr">
        <is>
          <t>Card</t>
        </is>
      </c>
      <c r="E51" s="3" t="inlineStr">
        <is>
          <t>Cash benefit delivered YTD</t>
        </is>
      </c>
      <c r="F51" s="3" t="inlineStr">
        <is>
          <t>VAL-002</t>
        </is>
      </c>
      <c r="G51" s="3" t="inlineStr">
        <is>
          <t>Group</t>
        </is>
      </c>
      <c r="H51" s="3" t="inlineStr">
        <is>
          <t>₹9 m</t>
        </is>
      </c>
      <c r="I51" s="21">
        <f>'Owner KPIs'!K68</f>
        <v/>
      </c>
      <c r="J51" s="3" t="inlineStr">
        <is>
          <t>Owner KPIs sheet, row 68 (Group, Sep 2026)</t>
        </is>
      </c>
    </row>
    <row r="52">
      <c r="A52" s="3" t="n">
        <v>51</v>
      </c>
      <c r="B52" s="3" t="inlineStr">
        <is>
          <t>O-04</t>
        </is>
      </c>
      <c r="C52" s="3" t="inlineStr">
        <is>
          <t>Major Capex and Strategic Initiatives</t>
        </is>
      </c>
      <c r="D52" s="3" t="inlineStr">
        <is>
          <t>Card</t>
        </is>
      </c>
      <c r="E52" s="3" t="inlineStr">
        <is>
          <t>Cost savings delivered YTD</t>
        </is>
      </c>
      <c r="F52" s="3" t="inlineStr">
        <is>
          <t>VAL-003</t>
        </is>
      </c>
      <c r="G52" s="3" t="inlineStr">
        <is>
          <t>Group</t>
        </is>
      </c>
      <c r="H52" s="3" t="inlineStr">
        <is>
          <t>₹11 m</t>
        </is>
      </c>
      <c r="I52" s="21">
        <f>'Owner KPIs'!K69</f>
        <v/>
      </c>
      <c r="J52" s="3" t="inlineStr">
        <is>
          <t>Owner KPIs sheet, row 69 (Group, Sep 2026)</t>
        </is>
      </c>
    </row>
    <row r="53">
      <c r="A53" s="3" t="n">
        <v>52</v>
      </c>
      <c r="B53" s="3" t="inlineStr">
        <is>
          <t>O-04</t>
        </is>
      </c>
      <c r="C53" s="3" t="inlineStr">
        <is>
          <t>Major Capex and Strategic Initiatives</t>
        </is>
      </c>
      <c r="D53" s="3" t="inlineStr">
        <is>
          <t>Tile</t>
        </is>
      </c>
      <c r="E53" s="3" t="inlineStr">
        <is>
          <t>Capex value at risk</t>
        </is>
      </c>
      <c r="F53" s="3" t="inlineStr">
        <is>
          <t>SIG-011</t>
        </is>
      </c>
      <c r="G53" s="3" t="inlineStr">
        <is>
          <t>Group</t>
        </is>
      </c>
      <c r="H53" s="3" t="inlineStr">
        <is>
          <t>₹34 m</t>
        </is>
      </c>
      <c r="I53" s="21">
        <f>'Owner KPIs'!K60</f>
        <v/>
      </c>
      <c r="J53" s="3" t="inlineStr">
        <is>
          <t>Owner KPIs sheet, row 60 (Group, Sep 2026)</t>
        </is>
      </c>
    </row>
    <row r="54">
      <c r="A54" s="3" t="n">
        <v>53</v>
      </c>
      <c r="B54" s="3" t="inlineStr">
        <is>
          <t>O-04</t>
        </is>
      </c>
      <c r="C54" s="3" t="inlineStr">
        <is>
          <t>Major Capex and Strategic Initiatives</t>
        </is>
      </c>
      <c r="D54" s="3" t="inlineStr">
        <is>
          <t>Tile</t>
        </is>
      </c>
      <c r="E54" s="3" t="inlineStr">
        <is>
          <t>Delayed projects</t>
        </is>
      </c>
      <c r="F54" s="3" t="inlineStr">
        <is>
          <t>PRG-003</t>
        </is>
      </c>
      <c r="G54" s="3" t="inlineStr">
        <is>
          <t>Group</t>
        </is>
      </c>
      <c r="H54" s="3" t="inlineStr">
        <is>
          <t>1</t>
        </is>
      </c>
      <c r="I54" s="21">
        <f>'Owner KPIs'!K63</f>
        <v/>
      </c>
      <c r="J54" s="3" t="inlineStr">
        <is>
          <t>Owner KPIs sheet, row 63 (Group, Sep 2026)</t>
        </is>
      </c>
    </row>
    <row r="55">
      <c r="A55" s="3" t="n">
        <v>54</v>
      </c>
      <c r="B55" s="3" t="inlineStr">
        <is>
          <t>O-04</t>
        </is>
      </c>
      <c r="C55" s="3" t="inlineStr">
        <is>
          <t>Major Capex and Strategic Initiatives</t>
        </is>
      </c>
      <c r="D55" s="3" t="inlineStr">
        <is>
          <t>Table</t>
        </is>
      </c>
      <c r="E55" s="3" t="inlineStr">
        <is>
          <t>Initiative status</t>
        </is>
      </c>
      <c r="F55" s="3" t="inlineStr">
        <is>
          <t>PRG-001</t>
        </is>
      </c>
      <c r="G55" s="3" t="inlineStr">
        <is>
          <t>Group</t>
        </is>
      </c>
      <c r="H55" s="3" t="inlineStr">
        <is>
          <t>9 on track · 2 at risk · 0 off track</t>
        </is>
      </c>
      <c r="I55" s="21">
        <f>'Owner KPIs'!K61</f>
        <v/>
      </c>
      <c r="J55" s="3" t="inlineStr">
        <is>
          <t>Owner KPIs sheet, row 61 (Group, Sep 2026)</t>
        </is>
      </c>
    </row>
    <row r="56">
      <c r="A56" s="3" t="n">
        <v>55</v>
      </c>
      <c r="B56" s="3" t="inlineStr">
        <is>
          <t>O-04</t>
        </is>
      </c>
      <c r="C56" s="3" t="inlineStr">
        <is>
          <t>Major Capex and Strategic Initiatives</t>
        </is>
      </c>
      <c r="D56" s="3" t="inlineStr">
        <is>
          <t>Table</t>
        </is>
      </c>
      <c r="E56" s="3" t="inlineStr">
        <is>
          <t>Delayed projects</t>
        </is>
      </c>
      <c r="F56" s="3" t="inlineStr">
        <is>
          <t>PRG-003</t>
        </is>
      </c>
      <c r="G56" s="3" t="inlineStr">
        <is>
          <t>Group</t>
        </is>
      </c>
      <c r="H56" s="3" t="inlineStr">
        <is>
          <t>1</t>
        </is>
      </c>
      <c r="I56" s="21">
        <f>'Owner KPIs'!K63</f>
        <v/>
      </c>
      <c r="J56" s="3" t="inlineStr">
        <is>
          <t>Owner KPIs sheet, row 63 (Group, Sep 2026)</t>
        </is>
      </c>
    </row>
    <row r="57">
      <c r="A57" s="3" t="n">
        <v>56</v>
      </c>
      <c r="B57" s="3" t="inlineStr">
        <is>
          <t>O-04</t>
        </is>
      </c>
      <c r="C57" s="3" t="inlineStr">
        <is>
          <t>Major Capex and Strategic Initiatives</t>
        </is>
      </c>
      <c r="D57" s="3" t="inlineStr">
        <is>
          <t>Table</t>
        </is>
      </c>
      <c r="E57" s="3" t="inlineStr">
        <is>
          <t>Transformation progress (weighted)</t>
        </is>
      </c>
      <c r="F57" s="3" t="inlineStr">
        <is>
          <t>PRG-004</t>
        </is>
      </c>
      <c r="G57" s="3" t="inlineStr">
        <is>
          <t>Group</t>
        </is>
      </c>
      <c r="H57" s="3" t="inlineStr">
        <is>
          <t>54%</t>
        </is>
      </c>
      <c r="I57" s="21">
        <f>'Owner KPIs'!K64</f>
        <v/>
      </c>
      <c r="J57" s="3" t="inlineStr">
        <is>
          <t>Owner KPIs sheet, row 64 (Group, Sep 2026)</t>
        </is>
      </c>
    </row>
    <row r="58">
      <c r="A58" s="3" t="n">
        <v>57</v>
      </c>
      <c r="B58" s="3" t="inlineStr">
        <is>
          <t>O-04</t>
        </is>
      </c>
      <c r="C58" s="3" t="inlineStr">
        <is>
          <t>Major Capex and Strategic Initiatives</t>
        </is>
      </c>
      <c r="D58" s="3" t="inlineStr">
        <is>
          <t>Table</t>
        </is>
      </c>
      <c r="E58" s="3" t="inlineStr">
        <is>
          <t>Transformation progress</t>
        </is>
      </c>
      <c r="F58" s="3" t="inlineStr">
        <is>
          <t>STR-002</t>
        </is>
      </c>
      <c r="G58" s="3" t="inlineStr">
        <is>
          <t>Group</t>
        </is>
      </c>
      <c r="H58" s="3" t="inlineStr">
        <is>
          <t>54%</t>
        </is>
      </c>
      <c r="I58" s="21">
        <f>'Owner KPIs'!K65</f>
        <v/>
      </c>
      <c r="J58" s="3" t="inlineStr">
        <is>
          <t>Owner KPIs sheet, row 65 (Group, Sep 2026)</t>
        </is>
      </c>
    </row>
    <row r="59">
      <c r="A59" s="3" t="n">
        <v>58</v>
      </c>
      <c r="B59" s="3" t="inlineStr">
        <is>
          <t>O-04</t>
        </is>
      </c>
      <c r="C59" s="3" t="inlineStr">
        <is>
          <t>Major Capex and Strategic Initiatives</t>
        </is>
      </c>
      <c r="D59" s="3" t="inlineStr">
        <is>
          <t>Table</t>
        </is>
      </c>
      <c r="E59" s="3" t="inlineStr">
        <is>
          <t>Initiative status · 24 initiatives</t>
        </is>
      </c>
      <c r="F59" s="3" t="inlineStr">
        <is>
          <t>PRG-005</t>
        </is>
      </c>
      <c r="G59" s="3" t="inlineStr">
        <is>
          <t>Group</t>
        </is>
      </c>
      <c r="H59" s="3" t="inlineStr">
        <is>
          <t>15 on track · 6 at risk · 3 delayed</t>
        </is>
      </c>
      <c r="I59" s="21">
        <f>'Owner KPIs'!K66</f>
        <v/>
      </c>
      <c r="J59" s="3" t="inlineStr">
        <is>
          <t>Owner KPIs sheet, row 66 (Group, Sep 2026)</t>
        </is>
      </c>
    </row>
    <row r="60">
      <c r="A60" s="3" t="n">
        <v>59</v>
      </c>
      <c r="B60" s="3" t="inlineStr">
        <is>
          <t>O-04</t>
        </is>
      </c>
      <c r="C60" s="3" t="inlineStr">
        <is>
          <t>Major Capex and Strategic Initiatives</t>
        </is>
      </c>
      <c r="D60" s="3" t="inlineStr">
        <is>
          <t>Table</t>
        </is>
      </c>
      <c r="E60" s="3" t="inlineStr">
        <is>
          <t>EBITDA benefit</t>
        </is>
      </c>
      <c r="F60" s="3" t="inlineStr">
        <is>
          <t>VAL-001</t>
        </is>
      </c>
      <c r="G60" s="3" t="inlineStr">
        <is>
          <t>Group</t>
        </is>
      </c>
      <c r="H60" s="3" t="inlineStr">
        <is>
          <t>₹14 m</t>
        </is>
      </c>
      <c r="I60" s="21">
        <f>'Owner KPIs'!K67</f>
        <v/>
      </c>
      <c r="J60" s="3" t="inlineStr">
        <is>
          <t>Owner KPIs sheet, row 67 (Group, Sep 2026)</t>
        </is>
      </c>
    </row>
    <row r="61">
      <c r="A61" s="3" t="n">
        <v>60</v>
      </c>
      <c r="B61" s="3" t="inlineStr">
        <is>
          <t>O-04</t>
        </is>
      </c>
      <c r="C61" s="3" t="inlineStr">
        <is>
          <t>Major Capex and Strategic Initiatives</t>
        </is>
      </c>
      <c r="D61" s="3" t="inlineStr">
        <is>
          <t>Table</t>
        </is>
      </c>
      <c r="E61" s="3" t="inlineStr">
        <is>
          <t>Cash benefit</t>
        </is>
      </c>
      <c r="F61" s="3" t="inlineStr">
        <is>
          <t>VAL-002</t>
        </is>
      </c>
      <c r="G61" s="3" t="inlineStr">
        <is>
          <t>Group</t>
        </is>
      </c>
      <c r="H61" s="3" t="inlineStr">
        <is>
          <t>₹9 m</t>
        </is>
      </c>
      <c r="I61" s="21">
        <f>'Owner KPIs'!K68</f>
        <v/>
      </c>
      <c r="J61" s="3" t="inlineStr">
        <is>
          <t>Owner KPIs sheet, row 68 (Group, Sep 2026)</t>
        </is>
      </c>
    </row>
    <row r="62">
      <c r="A62" s="3" t="n">
        <v>61</v>
      </c>
      <c r="B62" s="3" t="inlineStr">
        <is>
          <t>O-04</t>
        </is>
      </c>
      <c r="C62" s="3" t="inlineStr">
        <is>
          <t>Major Capex and Strategic Initiatives</t>
        </is>
      </c>
      <c r="D62" s="3" t="inlineStr">
        <is>
          <t>Table</t>
        </is>
      </c>
      <c r="E62" s="3" t="inlineStr">
        <is>
          <t>Cost savings delivered</t>
        </is>
      </c>
      <c r="F62" s="3" t="inlineStr">
        <is>
          <t>VAL-003</t>
        </is>
      </c>
      <c r="G62" s="3" t="inlineStr">
        <is>
          <t>Group</t>
        </is>
      </c>
      <c r="H62" s="3" t="inlineStr">
        <is>
          <t>₹11 m</t>
        </is>
      </c>
      <c r="I62" s="21">
        <f>'Owner KPIs'!K69</f>
        <v/>
      </c>
      <c r="J62" s="3" t="inlineStr">
        <is>
          <t>Owner KPIs sheet, row 69 (Group, Sep 2026)</t>
        </is>
      </c>
    </row>
    <row r="63">
      <c r="A63" s="3" t="n">
        <v>62</v>
      </c>
      <c r="B63" s="3" t="inlineStr">
        <is>
          <t>O-05</t>
        </is>
      </c>
      <c r="C63" s="3" t="inlineStr">
        <is>
          <t>Material Risk, Compliance and EHS</t>
        </is>
      </c>
      <c r="D63" s="3" t="inlineStr">
        <is>
          <t>Card</t>
        </is>
      </c>
      <c r="E63" s="3" t="inlineStr">
        <is>
          <t>TRIR · rolling 12 m</t>
        </is>
      </c>
      <c r="F63" s="3" t="inlineStr">
        <is>
          <t>EHS-001</t>
        </is>
      </c>
      <c r="G63" s="3" t="inlineStr">
        <is>
          <t>Group</t>
        </is>
      </c>
      <c r="H63" s="3" t="inlineStr">
        <is>
          <t>0.42</t>
        </is>
      </c>
      <c r="I63" s="21">
        <f>'Owner KPIs'!K17</f>
        <v/>
      </c>
      <c r="J63" s="3" t="inlineStr">
        <is>
          <t>Owner KPIs sheet, row 17 (Group, Sep 2026)</t>
        </is>
      </c>
    </row>
    <row r="64">
      <c r="A64" s="3" t="n">
        <v>63</v>
      </c>
      <c r="B64" s="3" t="inlineStr">
        <is>
          <t>O-05</t>
        </is>
      </c>
      <c r="C64" s="3" t="inlineStr">
        <is>
          <t>Material Risk, Compliance and EHS</t>
        </is>
      </c>
      <c r="D64" s="3" t="inlineStr">
        <is>
          <t>Card</t>
        </is>
      </c>
      <c r="E64" s="3" t="inlineStr">
        <is>
          <t>Critical safety incidents · YTD</t>
        </is>
      </c>
      <c r="F64" s="3" t="inlineStr">
        <is>
          <t>EHS-004</t>
        </is>
      </c>
      <c r="G64" s="3" t="inlineStr">
        <is>
          <t>Group</t>
        </is>
      </c>
      <c r="H64" s="3" t="inlineStr">
        <is>
          <t>0</t>
        </is>
      </c>
      <c r="I64" s="21">
        <f>'Owner KPIs'!K20</f>
        <v/>
      </c>
      <c r="J64" s="3" t="inlineStr">
        <is>
          <t>Owner KPIs sheet, row 20 (Group, Sep 2026)</t>
        </is>
      </c>
    </row>
    <row r="65">
      <c r="A65" s="3" t="n">
        <v>64</v>
      </c>
      <c r="B65" s="3" t="inlineStr">
        <is>
          <t>O-05</t>
        </is>
      </c>
      <c r="C65" s="3" t="inlineStr">
        <is>
          <t>Material Risk, Compliance and EHS</t>
        </is>
      </c>
      <c r="D65" s="3" t="inlineStr">
        <is>
          <t>Card</t>
        </is>
      </c>
      <c r="E65" s="3" t="inlineStr">
        <is>
          <t>Nearest licence or permit expiry</t>
        </is>
      </c>
      <c r="F65" s="3" t="inlineStr">
        <is>
          <t>REG-006</t>
        </is>
      </c>
      <c r="G65" s="3" t="inlineStr">
        <is>
          <t>Group</t>
        </is>
      </c>
      <c r="H65" s="3" t="inlineStr">
        <is>
          <t>74 days · Entity C1</t>
        </is>
      </c>
      <c r="I65" s="21">
        <f>'Owner KPIs'!K23</f>
        <v/>
      </c>
      <c r="J65" s="3" t="inlineStr">
        <is>
          <t>Owner KPIs sheet, row 23 (Group, Sep 2026)</t>
        </is>
      </c>
    </row>
    <row r="66">
      <c r="A66" s="3" t="n">
        <v>65</v>
      </c>
      <c r="B66" s="3" t="inlineStr">
        <is>
          <t>O-05</t>
        </is>
      </c>
      <c r="C66" s="3" t="inlineStr">
        <is>
          <t>Material Risk, Compliance and EHS</t>
        </is>
      </c>
      <c r="D66" s="3" t="inlineStr">
        <is>
          <t>Card</t>
        </is>
      </c>
      <c r="E66" s="3" t="inlineStr">
        <is>
          <t>Overdue regulatory obligations</t>
        </is>
      </c>
      <c r="F66" s="3" t="inlineStr">
        <is>
          <t>REG-005</t>
        </is>
      </c>
      <c r="G66" s="3" t="inlineStr">
        <is>
          <t>Group</t>
        </is>
      </c>
      <c r="H66" s="3" t="inlineStr">
        <is>
          <t>0</t>
        </is>
      </c>
      <c r="I66" s="21">
        <f>'Owner KPIs'!K76</f>
        <v/>
      </c>
      <c r="J66" s="3" t="inlineStr">
        <is>
          <t>Owner KPIs sheet, row 76 (Group, Sep 2026)</t>
        </is>
      </c>
    </row>
    <row r="67">
      <c r="A67" s="3" t="n">
        <v>66</v>
      </c>
      <c r="B67" s="3" t="inlineStr">
        <is>
          <t>O-05</t>
        </is>
      </c>
      <c r="C67" s="3" t="inlineStr">
        <is>
          <t>Material Risk, Compliance and EHS</t>
        </is>
      </c>
      <c r="D67" s="3" t="inlineStr">
        <is>
          <t>Card</t>
        </is>
      </c>
      <c r="E67" s="3" t="inlineStr">
        <is>
          <t>Disclosure-clock status</t>
        </is>
      </c>
      <c r="F67" s="3" t="inlineStr">
        <is>
          <t>REG-009</t>
        </is>
      </c>
      <c r="G67" s="3" t="inlineStr">
        <is>
          <t>Group</t>
        </is>
      </c>
      <c r="H67" s="3" t="inlineStr">
        <is>
          <t>Not triggered</t>
        </is>
      </c>
      <c r="I67" s="21">
        <f>'Owner KPIs'!K77</f>
        <v/>
      </c>
      <c r="J67" s="3" t="inlineStr">
        <is>
          <t>Owner KPIs sheet, row 77 (Group, Sep 2026)</t>
        </is>
      </c>
    </row>
    <row r="68">
      <c r="A68" s="3" t="n">
        <v>67</v>
      </c>
      <c r="B68" s="3" t="inlineStr">
        <is>
          <t>O-05</t>
        </is>
      </c>
      <c r="C68" s="3" t="inlineStr">
        <is>
          <t>Material Risk, Compliance and EHS</t>
        </is>
      </c>
      <c r="D68" s="3" t="inlineStr">
        <is>
          <t>Card</t>
        </is>
      </c>
      <c r="E68" s="3" t="inlineStr">
        <is>
          <t>High-severity control failures</t>
        </is>
      </c>
      <c r="F68" s="3" t="inlineStr">
        <is>
          <t>CTL-004</t>
        </is>
      </c>
      <c r="G68" s="3" t="inlineStr">
        <is>
          <t>Group</t>
        </is>
      </c>
      <c r="H68" s="3" t="inlineStr">
        <is>
          <t>0</t>
        </is>
      </c>
      <c r="I68" s="21">
        <f>'Owner KPIs'!K83</f>
        <v/>
      </c>
      <c r="J68" s="3" t="inlineStr">
        <is>
          <t>Owner KPIs sheet, row 83 (Group, Sep 2026)</t>
        </is>
      </c>
    </row>
    <row r="69">
      <c r="A69" s="3" t="n">
        <v>68</v>
      </c>
      <c r="B69" s="3" t="inlineStr">
        <is>
          <t>O-05</t>
        </is>
      </c>
      <c r="C69" s="3" t="inlineStr">
        <is>
          <t>Material Risk, Compliance and EHS</t>
        </is>
      </c>
      <c r="D69" s="3" t="inlineStr">
        <is>
          <t>Table</t>
        </is>
      </c>
      <c r="E69" s="3" t="inlineStr">
        <is>
          <t>Water usage</t>
        </is>
      </c>
      <c r="F69" s="3" t="inlineStr">
        <is>
          <t>SUS-001</t>
        </is>
      </c>
      <c r="G69" s="3" t="inlineStr">
        <is>
          <t>Group</t>
        </is>
      </c>
      <c r="H69" s="3" t="inlineStr">
        <is>
          <t>3.1 m³/t</t>
        </is>
      </c>
      <c r="I69" s="21">
        <f>'Owner KPIs'!K11</f>
        <v/>
      </c>
      <c r="J69" s="3" t="inlineStr">
        <is>
          <t>Owner KPIs sheet, row 11 (Group, Sep 2026)</t>
        </is>
      </c>
    </row>
    <row r="70">
      <c r="A70" s="3" t="n">
        <v>69</v>
      </c>
      <c r="B70" s="3" t="inlineStr">
        <is>
          <t>O-05</t>
        </is>
      </c>
      <c r="C70" s="3" t="inlineStr">
        <is>
          <t>Material Risk, Compliance and EHS</t>
        </is>
      </c>
      <c r="D70" s="3" t="inlineStr">
        <is>
          <t>Table</t>
        </is>
      </c>
      <c r="E70" s="3" t="inlineStr">
        <is>
          <t>Emissions</t>
        </is>
      </c>
      <c r="F70" s="3" t="inlineStr">
        <is>
          <t>SUS-002</t>
        </is>
      </c>
      <c r="G70" s="3" t="inlineStr">
        <is>
          <t>Group</t>
        </is>
      </c>
      <c r="H70" s="3" t="inlineStr">
        <is>
          <t>0.82 tCO2e/t</t>
        </is>
      </c>
      <c r="I70" s="21">
        <f>'Owner KPIs'!K12</f>
        <v/>
      </c>
      <c r="J70" s="3" t="inlineStr">
        <is>
          <t>Owner KPIs sheet, row 12 (Group, Sep 2026)</t>
        </is>
      </c>
    </row>
    <row r="71">
      <c r="A71" s="3" t="n">
        <v>70</v>
      </c>
      <c r="B71" s="3" t="inlineStr">
        <is>
          <t>O-05</t>
        </is>
      </c>
      <c r="C71" s="3" t="inlineStr">
        <is>
          <t>Material Risk, Compliance and EHS</t>
        </is>
      </c>
      <c r="D71" s="3" t="inlineStr">
        <is>
          <t>Table</t>
        </is>
      </c>
      <c r="E71" s="3" t="inlineStr">
        <is>
          <t>Energy intensity</t>
        </is>
      </c>
      <c r="F71" s="3" t="inlineStr">
        <is>
          <t>SUS-003</t>
        </is>
      </c>
      <c r="G71" s="3" t="inlineStr">
        <is>
          <t>Group</t>
        </is>
      </c>
      <c r="H71" s="3" t="inlineStr">
        <is>
          <t>5.2 GJ/t</t>
        </is>
      </c>
      <c r="I71" s="21">
        <f>'Owner KPIs'!K13</f>
        <v/>
      </c>
      <c r="J71" s="3" t="inlineStr">
        <is>
          <t>Owner KPIs sheet, row 13 (Group, Sep 2026)</t>
        </is>
      </c>
    </row>
    <row r="72">
      <c r="A72" s="3" t="n">
        <v>71</v>
      </c>
      <c r="B72" s="3" t="inlineStr">
        <is>
          <t>O-05</t>
        </is>
      </c>
      <c r="C72" s="3" t="inlineStr">
        <is>
          <t>Material Risk, Compliance and EHS</t>
        </is>
      </c>
      <c r="D72" s="3" t="inlineStr">
        <is>
          <t>Table</t>
        </is>
      </c>
      <c r="E72" s="3" t="inlineStr">
        <is>
          <t>TRIR · rolling 12 m</t>
        </is>
      </c>
      <c r="F72" s="3" t="inlineStr">
        <is>
          <t>EHS-001</t>
        </is>
      </c>
      <c r="G72" s="3" t="inlineStr">
        <is>
          <t>Group</t>
        </is>
      </c>
      <c r="H72" s="3" t="inlineStr">
        <is>
          <t>0.42</t>
        </is>
      </c>
      <c r="I72" s="21">
        <f>'Owner KPIs'!K17</f>
        <v/>
      </c>
      <c r="J72" s="3" t="inlineStr">
        <is>
          <t>Owner KPIs sheet, row 17 (Group, Sep 2026)</t>
        </is>
      </c>
    </row>
    <row r="73">
      <c r="A73" s="3" t="n">
        <v>72</v>
      </c>
      <c r="B73" s="3" t="inlineStr">
        <is>
          <t>O-05</t>
        </is>
      </c>
      <c r="C73" s="3" t="inlineStr">
        <is>
          <t>Material Risk, Compliance and EHS</t>
        </is>
      </c>
      <c r="D73" s="3" t="inlineStr">
        <is>
          <t>Table</t>
        </is>
      </c>
      <c r="E73" s="3" t="inlineStr">
        <is>
          <t>Severity incidents · MTD</t>
        </is>
      </c>
      <c r="F73" s="3" t="inlineStr">
        <is>
          <t>EHS-002</t>
        </is>
      </c>
      <c r="G73" s="3" t="inlineStr">
        <is>
          <t>Group</t>
        </is>
      </c>
      <c r="H73" s="3" t="inlineStr">
        <is>
          <t>0</t>
        </is>
      </c>
      <c r="I73" s="21">
        <f>'Owner KPIs'!K18</f>
        <v/>
      </c>
      <c r="J73" s="3" t="inlineStr">
        <is>
          <t>Owner KPIs sheet, row 18 (Group, Sep 2026)</t>
        </is>
      </c>
    </row>
    <row r="74">
      <c r="A74" s="3" t="n">
        <v>73</v>
      </c>
      <c r="B74" s="3" t="inlineStr">
        <is>
          <t>O-05</t>
        </is>
      </c>
      <c r="C74" s="3" t="inlineStr">
        <is>
          <t>Material Risk, Compliance and EHS</t>
        </is>
      </c>
      <c r="D74" s="3" t="inlineStr">
        <is>
          <t>Table</t>
        </is>
      </c>
      <c r="E74" s="3" t="inlineStr">
        <is>
          <t>Near misses · MTD</t>
        </is>
      </c>
      <c r="F74" s="3" t="inlineStr">
        <is>
          <t>EHS-003</t>
        </is>
      </c>
      <c r="G74" s="3" t="inlineStr">
        <is>
          <t>Group</t>
        </is>
      </c>
      <c r="H74" s="3" t="inlineStr">
        <is>
          <t>14</t>
        </is>
      </c>
      <c r="I74" s="21">
        <f>'Owner KPIs'!K19</f>
        <v/>
      </c>
      <c r="J74" s="3" t="inlineStr">
        <is>
          <t>Owner KPIs sheet, row 19 (Group, Sep 2026)</t>
        </is>
      </c>
    </row>
    <row r="75">
      <c r="A75" s="3" t="n">
        <v>74</v>
      </c>
      <c r="B75" s="3" t="inlineStr">
        <is>
          <t>O-05</t>
        </is>
      </c>
      <c r="C75" s="3" t="inlineStr">
        <is>
          <t>Material Risk, Compliance and EHS</t>
        </is>
      </c>
      <c r="D75" s="3" t="inlineStr">
        <is>
          <t>Table</t>
        </is>
      </c>
      <c r="E75" s="3" t="inlineStr">
        <is>
          <t>Environmental excursions · MTD</t>
        </is>
      </c>
      <c r="F75" s="3" t="inlineStr">
        <is>
          <t>EHS-005</t>
        </is>
      </c>
      <c r="G75" s="3" t="inlineStr">
        <is>
          <t>Group</t>
        </is>
      </c>
      <c r="H75" s="3" t="inlineStr">
        <is>
          <t>1 (minor, closed)</t>
        </is>
      </c>
      <c r="I75" s="21">
        <f>'Owner KPIs'!K21</f>
        <v/>
      </c>
      <c r="J75" s="3" t="inlineStr">
        <is>
          <t>Owner KPIs sheet, row 21 (Group, Sep 2026)</t>
        </is>
      </c>
    </row>
    <row r="76">
      <c r="A76" s="3" t="n">
        <v>75</v>
      </c>
      <c r="B76" s="3" t="inlineStr">
        <is>
          <t>O-05</t>
        </is>
      </c>
      <c r="C76" s="3" t="inlineStr">
        <is>
          <t>Material Risk, Compliance and EHS</t>
        </is>
      </c>
      <c r="D76" s="3" t="inlineStr">
        <is>
          <t>Table</t>
        </is>
      </c>
      <c r="E76" s="3" t="inlineStr">
        <is>
          <t>Overdue EHS actions</t>
        </is>
      </c>
      <c r="F76" s="3" t="inlineStr">
        <is>
          <t>EHS-007</t>
        </is>
      </c>
      <c r="G76" s="3" t="inlineStr">
        <is>
          <t>Group</t>
        </is>
      </c>
      <c r="H76" s="3" t="inlineStr">
        <is>
          <t>0</t>
        </is>
      </c>
      <c r="I76" s="21">
        <f>'Owner KPIs'!K22</f>
        <v/>
      </c>
      <c r="J76" s="3" t="inlineStr">
        <is>
          <t>Owner KPIs sheet, row 22 (Group, Sep 2026)</t>
        </is>
      </c>
    </row>
    <row r="77">
      <c r="A77" s="3" t="n">
        <v>76</v>
      </c>
      <c r="B77" s="3" t="inlineStr">
        <is>
          <t>O-05</t>
        </is>
      </c>
      <c r="C77" s="3" t="inlineStr">
        <is>
          <t>Material Risk, Compliance and EHS</t>
        </is>
      </c>
      <c r="D77" s="3" t="inlineStr">
        <is>
          <t>Table</t>
        </is>
      </c>
      <c r="E77" s="3" t="inlineStr">
        <is>
          <t>Contracts expiring · 90 d</t>
        </is>
      </c>
      <c r="F77" s="3" t="inlineStr">
        <is>
          <t>CON-001</t>
        </is>
      </c>
      <c r="G77" s="3" t="inlineStr">
        <is>
          <t>Group</t>
        </is>
      </c>
      <c r="H77" s="3" t="inlineStr">
        <is>
          <t>4</t>
        </is>
      </c>
      <c r="I77" s="21">
        <f>'Owner KPIs'!K73</f>
        <v/>
      </c>
      <c r="J77" s="3" t="inlineStr">
        <is>
          <t>Owner KPIs sheet, row 73 (Group, Sep 2026)</t>
        </is>
      </c>
    </row>
    <row r="78">
      <c r="A78" s="3" t="n">
        <v>77</v>
      </c>
      <c r="B78" s="3" t="inlineStr">
        <is>
          <t>O-05</t>
        </is>
      </c>
      <c r="C78" s="3" t="inlineStr">
        <is>
          <t>Material Risk, Compliance and EHS</t>
        </is>
      </c>
      <c r="D78" s="3" t="inlineStr">
        <is>
          <t>Table</t>
        </is>
      </c>
      <c r="E78" s="3" t="inlineStr">
        <is>
          <t>Contract-compliance rate</t>
        </is>
      </c>
      <c r="F78" s="3" t="inlineStr">
        <is>
          <t>CON-002</t>
        </is>
      </c>
      <c r="G78" s="3" t="inlineStr">
        <is>
          <t>Group</t>
        </is>
      </c>
      <c r="H78" s="3" t="inlineStr">
        <is>
          <t>96%</t>
        </is>
      </c>
      <c r="I78" s="21">
        <f>'Owner KPIs'!K74</f>
        <v/>
      </c>
      <c r="J78" s="3" t="inlineStr">
        <is>
          <t>Owner KPIs sheet, row 74 (Group, Sep 2026)</t>
        </is>
      </c>
    </row>
    <row r="79">
      <c r="A79" s="3" t="n">
        <v>78</v>
      </c>
      <c r="B79" s="3" t="inlineStr">
        <is>
          <t>O-05</t>
        </is>
      </c>
      <c r="C79" s="3" t="inlineStr">
        <is>
          <t>Material Risk, Compliance and EHS</t>
        </is>
      </c>
      <c r="D79" s="3" t="inlineStr">
        <is>
          <t>Table</t>
        </is>
      </c>
      <c r="E79" s="3" t="inlineStr">
        <is>
          <t>Supplier EHS non-compliance</t>
        </is>
      </c>
      <c r="F79" s="3" t="inlineStr">
        <is>
          <t>CON-003</t>
        </is>
      </c>
      <c r="G79" s="3" t="inlineStr">
        <is>
          <t>Group</t>
        </is>
      </c>
      <c r="H79" s="3" t="inlineStr">
        <is>
          <t>1</t>
        </is>
      </c>
      <c r="I79" s="21">
        <f>'Owner KPIs'!K75</f>
        <v/>
      </c>
      <c r="J79" s="3" t="inlineStr">
        <is>
          <t>Owner KPIs sheet, row 75 (Group, Sep 2026)</t>
        </is>
      </c>
    </row>
    <row r="80">
      <c r="A80" s="3" t="n">
        <v>79</v>
      </c>
      <c r="B80" s="3" t="inlineStr">
        <is>
          <t>O-05</t>
        </is>
      </c>
      <c r="C80" s="3" t="inlineStr">
        <is>
          <t>Material Risk, Compliance and EHS</t>
        </is>
      </c>
      <c r="D80" s="3" t="inlineStr">
        <is>
          <t>Table</t>
        </is>
      </c>
      <c r="E80" s="3" t="inlineStr">
        <is>
          <t>Regulatory breaches · YTD</t>
        </is>
      </c>
      <c r="F80" s="3" t="inlineStr">
        <is>
          <t>REG-010</t>
        </is>
      </c>
      <c r="G80" s="3" t="inlineStr">
        <is>
          <t>Group</t>
        </is>
      </c>
      <c r="H80" s="3" t="inlineStr">
        <is>
          <t>0</t>
        </is>
      </c>
      <c r="I80" s="21">
        <f>'Owner KPIs'!K78</f>
        <v/>
      </c>
      <c r="J80" s="3" t="inlineStr">
        <is>
          <t>Owner KPIs sheet, row 78 (Group, Sep 2026)</t>
        </is>
      </c>
    </row>
    <row r="81">
      <c r="A81" s="3" t="n">
        <v>80</v>
      </c>
      <c r="B81" s="3" t="inlineStr">
        <is>
          <t>O-05</t>
        </is>
      </c>
      <c r="C81" s="3" t="inlineStr">
        <is>
          <t>Material Risk, Compliance and EHS</t>
        </is>
      </c>
      <c r="D81" s="3" t="inlineStr">
        <is>
          <t>Table</t>
        </is>
      </c>
      <c r="E81" s="3" t="inlineStr">
        <is>
          <t>EHS escalation clocks running</t>
        </is>
      </c>
      <c r="F81" s="3" t="inlineStr">
        <is>
          <t>EHS-008</t>
        </is>
      </c>
      <c r="G81" s="3" t="inlineStr">
        <is>
          <t>Group</t>
        </is>
      </c>
      <c r="H81" s="3" t="inlineStr">
        <is>
          <t>0 running</t>
        </is>
      </c>
      <c r="I81" s="21">
        <f>'Owner KPIs'!K81</f>
        <v/>
      </c>
      <c r="J81" s="3" t="inlineStr">
        <is>
          <t>Owner KPIs sheet, row 81 (Group, Sep 2026)</t>
        </is>
      </c>
    </row>
    <row r="82">
      <c r="A82" s="3" t="n">
        <v>81</v>
      </c>
      <c r="B82" s="3" t="inlineStr">
        <is>
          <t>O-05</t>
        </is>
      </c>
      <c r="C82" s="3" t="inlineStr">
        <is>
          <t>Material Risk, Compliance and EHS</t>
        </is>
      </c>
      <c r="D82" s="3" t="inlineStr">
        <is>
          <t>Table</t>
        </is>
      </c>
      <c r="E82" s="3" t="inlineStr">
        <is>
          <t>Control failures · YTD</t>
        </is>
      </c>
      <c r="F82" s="3" t="inlineStr">
        <is>
          <t>CTL-002</t>
        </is>
      </c>
      <c r="G82" s="3" t="inlineStr">
        <is>
          <t>Group</t>
        </is>
      </c>
      <c r="H82" s="3" t="inlineStr">
        <is>
          <t>4</t>
        </is>
      </c>
      <c r="I82" s="21">
        <f>'Owner KPIs'!K82</f>
        <v/>
      </c>
      <c r="J82" s="3" t="inlineStr">
        <is>
          <t>Owner KPIs sheet, row 82 (Group, Sep 2026)</t>
        </is>
      </c>
    </row>
    <row r="83">
      <c r="A83" s="3" t="n">
        <v>82</v>
      </c>
      <c r="B83" s="3" t="inlineStr">
        <is>
          <t>O-05</t>
        </is>
      </c>
      <c r="C83" s="3" t="inlineStr">
        <is>
          <t>Material Risk, Compliance and EHS</t>
        </is>
      </c>
      <c r="D83" s="3" t="inlineStr">
        <is>
          <t>Table</t>
        </is>
      </c>
      <c r="E83" s="3" t="inlineStr">
        <is>
          <t>Policy exceptions</t>
        </is>
      </c>
      <c r="F83" s="3" t="inlineStr">
        <is>
          <t>CTL-005</t>
        </is>
      </c>
      <c r="G83" s="3" t="inlineStr">
        <is>
          <t>Group</t>
        </is>
      </c>
      <c r="H83" s="3" t="inlineStr">
        <is>
          <t>3</t>
        </is>
      </c>
      <c r="I83" s="21">
        <f>'Owner KPIs'!K84</f>
        <v/>
      </c>
      <c r="J83" s="3" t="inlineStr">
        <is>
          <t>Owner KPIs sheet, row 84 (Group, Sep 2026)</t>
        </is>
      </c>
    </row>
    <row r="84">
      <c r="A84" s="3" t="n">
        <v>83</v>
      </c>
      <c r="B84" s="3" t="inlineStr">
        <is>
          <t>O-05</t>
        </is>
      </c>
      <c r="C84" s="3" t="inlineStr">
        <is>
          <t>Material Risk, Compliance and EHS</t>
        </is>
      </c>
      <c r="D84" s="3" t="inlineStr">
        <is>
          <t>Table</t>
        </is>
      </c>
      <c r="E84" s="3" t="inlineStr">
        <is>
          <t>Unauthorized-vendor usage</t>
        </is>
      </c>
      <c r="F84" s="3" t="inlineStr">
        <is>
          <t>CTL-006</t>
        </is>
      </c>
      <c r="G84" s="3" t="inlineStr">
        <is>
          <t>Group</t>
        </is>
      </c>
      <c r="H84" s="3" t="inlineStr">
        <is>
          <t>0</t>
        </is>
      </c>
      <c r="I84" s="21">
        <f>'Owner KPIs'!K85</f>
        <v/>
      </c>
      <c r="J84" s="3" t="inlineStr">
        <is>
          <t>Owner KPIs sheet, row 85 (Group, Sep 2026)</t>
        </is>
      </c>
    </row>
    <row r="85">
      <c r="A85" s="3" t="n">
        <v>84</v>
      </c>
      <c r="B85" s="3" t="inlineStr">
        <is>
          <t>O-05</t>
        </is>
      </c>
      <c r="C85" s="3" t="inlineStr">
        <is>
          <t>Material Risk, Compliance and EHS</t>
        </is>
      </c>
      <c r="D85" s="3" t="inlineStr">
        <is>
          <t>Table</t>
        </is>
      </c>
      <c r="E85" s="3" t="inlineStr">
        <is>
          <t>SoD exceptions</t>
        </is>
      </c>
      <c r="F85" s="3" t="inlineStr">
        <is>
          <t>CTL-007</t>
        </is>
      </c>
      <c r="G85" s="3" t="inlineStr">
        <is>
          <t>Group</t>
        </is>
      </c>
      <c r="H85" s="3" t="inlineStr">
        <is>
          <t>1</t>
        </is>
      </c>
      <c r="I85" s="21">
        <f>'Owner KPIs'!K86</f>
        <v/>
      </c>
      <c r="J85" s="3" t="inlineStr">
        <is>
          <t>Owner KPIs sheet, row 86 (Group, Sep 2026)</t>
        </is>
      </c>
    </row>
    <row r="86">
      <c r="A86" s="3" t="n">
        <v>85</v>
      </c>
      <c r="B86" s="3" t="inlineStr">
        <is>
          <t>O-05</t>
        </is>
      </c>
      <c r="C86" s="3" t="inlineStr">
        <is>
          <t>Material Risk, Compliance and EHS</t>
        </is>
      </c>
      <c r="D86" s="3" t="inlineStr">
        <is>
          <t>Table</t>
        </is>
      </c>
      <c r="E86" s="3" t="inlineStr">
        <is>
          <t>Unauthorized-access events</t>
        </is>
      </c>
      <c r="F86" s="3" t="inlineStr">
        <is>
          <t>CTL-008</t>
        </is>
      </c>
      <c r="G86" s="3" t="inlineStr">
        <is>
          <t>Group</t>
        </is>
      </c>
      <c r="H86" s="3" t="inlineStr">
        <is>
          <t>0</t>
        </is>
      </c>
      <c r="I86" s="21">
        <f>'Owner KPIs'!K87</f>
        <v/>
      </c>
      <c r="J86" s="3" t="inlineStr">
        <is>
          <t>Owner KPIs sheet, row 87 (Group, Sep 2026)</t>
        </is>
      </c>
    </row>
    <row r="87">
      <c r="A87" s="3" t="n">
        <v>86</v>
      </c>
      <c r="B87" s="3" t="inlineStr">
        <is>
          <t>O-05</t>
        </is>
      </c>
      <c r="C87" s="3" t="inlineStr">
        <is>
          <t>Material Risk, Compliance and EHS</t>
        </is>
      </c>
      <c r="D87" s="3" t="inlineStr">
        <is>
          <t>Table</t>
        </is>
      </c>
      <c r="E87" s="3" t="inlineStr">
        <is>
          <t>Data-sharing exceptions</t>
        </is>
      </c>
      <c r="F87" s="3" t="inlineStr">
        <is>
          <t>CTL-009</t>
        </is>
      </c>
      <c r="G87" s="3" t="inlineStr">
        <is>
          <t>Group</t>
        </is>
      </c>
      <c r="H87" s="3" t="inlineStr">
        <is>
          <t>0</t>
        </is>
      </c>
      <c r="I87" s="21">
        <f>'Owner KPIs'!K88</f>
        <v/>
      </c>
      <c r="J87" s="3" t="inlineStr">
        <is>
          <t>Owner KPIs sheet, row 88 (Group, Sep 2026)</t>
        </is>
      </c>
    </row>
    <row r="88">
      <c r="A88" s="3" t="n">
        <v>87</v>
      </c>
      <c r="B88" s="3" t="inlineStr">
        <is>
          <t>O-05</t>
        </is>
      </c>
      <c r="C88" s="3" t="inlineStr">
        <is>
          <t>Material Risk, Compliance and EHS</t>
        </is>
      </c>
      <c r="D88" s="3" t="inlineStr">
        <is>
          <t>Table</t>
        </is>
      </c>
      <c r="E88" s="3" t="inlineStr">
        <is>
          <t>Manual overrides (operational)</t>
        </is>
      </c>
      <c r="F88" s="3" t="inlineStr">
        <is>
          <t>CTL-010</t>
        </is>
      </c>
      <c r="G88" s="3" t="inlineStr">
        <is>
          <t>Group</t>
        </is>
      </c>
      <c r="H88" s="3" t="inlineStr">
        <is>
          <t>12</t>
        </is>
      </c>
      <c r="I88" s="21">
        <f>'Owner KPIs'!K89</f>
        <v/>
      </c>
      <c r="J88" s="3" t="inlineStr">
        <is>
          <t>Owner KPIs sheet, row 89 (Group, Sep 2026)</t>
        </is>
      </c>
    </row>
    <row r="89">
      <c r="A89" s="3" t="n">
        <v>88</v>
      </c>
      <c r="B89" s="3" t="inlineStr">
        <is>
          <t>O-05</t>
        </is>
      </c>
      <c r="C89" s="3" t="inlineStr">
        <is>
          <t>Material Risk, Compliance and EHS</t>
        </is>
      </c>
      <c r="D89" s="3" t="inlineStr">
        <is>
          <t>Table</t>
        </is>
      </c>
      <c r="E89" s="3" t="inlineStr">
        <is>
          <t>Open audit findings</t>
        </is>
      </c>
      <c r="F89" s="3" t="inlineStr">
        <is>
          <t>GOV-004</t>
        </is>
      </c>
      <c r="G89" s="3" t="inlineStr">
        <is>
          <t>Group</t>
        </is>
      </c>
      <c r="H89" s="3" t="inlineStr">
        <is>
          <t>7</t>
        </is>
      </c>
      <c r="I89" s="21">
        <f>'Owner KPIs'!K93</f>
        <v/>
      </c>
      <c r="J89" s="3" t="inlineStr">
        <is>
          <t>Owner KPIs sheet, row 93 (Group, Sep 2026)</t>
        </is>
      </c>
    </row>
    <row r="90">
      <c r="A90" s="3" t="n">
        <v>89</v>
      </c>
      <c r="B90" s="3" t="inlineStr">
        <is>
          <t>O-06</t>
        </is>
      </c>
      <c r="C90" s="3" t="inlineStr">
        <is>
          <t>Decisions Required</t>
        </is>
      </c>
      <c r="D90" s="3" t="inlineStr">
        <is>
          <t>Tile</t>
        </is>
      </c>
      <c r="E90" s="3" t="inlineStr">
        <is>
          <t>Alert resolution time</t>
        </is>
      </c>
      <c r="F90" s="3" t="inlineStr">
        <is>
          <t>EFF-008</t>
        </is>
      </c>
      <c r="G90" s="3" t="inlineStr">
        <is>
          <t>Group</t>
        </is>
      </c>
      <c r="H90" s="3" t="inlineStr">
        <is>
          <t>2.4 d</t>
        </is>
      </c>
      <c r="I90" s="21">
        <f>'Owner KPIs'!K107</f>
        <v/>
      </c>
      <c r="J90" s="3" t="inlineStr">
        <is>
          <t>Owner KPIs sheet, row 107 (Group, Sep 2026)</t>
        </is>
      </c>
    </row>
    <row r="91">
      <c r="A91" s="3" t="n">
        <v>90</v>
      </c>
      <c r="B91" s="3" t="inlineStr">
        <is>
          <t>O-06</t>
        </is>
      </c>
      <c r="C91" s="3" t="inlineStr">
        <is>
          <t>Decisions Required</t>
        </is>
      </c>
      <c r="D91" s="3" t="inlineStr">
        <is>
          <t>Tile</t>
        </is>
      </c>
      <c r="E91" s="3" t="inlineStr">
        <is>
          <t>Closed escalations · 30 d</t>
        </is>
      </c>
      <c r="F91" s="3" t="inlineStr">
        <is>
          <t>EFF-009</t>
        </is>
      </c>
      <c r="G91" s="3" t="inlineStr">
        <is>
          <t>Group</t>
        </is>
      </c>
      <c r="H91" s="3" t="inlineStr">
        <is>
          <t>11</t>
        </is>
      </c>
      <c r="I91" s="21">
        <f>'Owner KPIs'!K108</f>
        <v/>
      </c>
      <c r="J91" s="3" t="inlineStr">
        <is>
          <t>Owner KPIs sheet, row 108 (Group, Sep 2026)</t>
        </is>
      </c>
    </row>
    <row r="92">
      <c r="A92" s="3" t="n">
        <v>91</v>
      </c>
      <c r="B92" s="3" t="inlineStr">
        <is>
          <t>O-06</t>
        </is>
      </c>
      <c r="C92" s="3" t="inlineStr">
        <is>
          <t>Decisions Required</t>
        </is>
      </c>
      <c r="D92" s="3" t="inlineStr">
        <is>
          <t>Tile</t>
        </is>
      </c>
      <c r="E92" s="3" t="inlineStr">
        <is>
          <t>Repeat issues · 90 d</t>
        </is>
      </c>
      <c r="F92" s="3" t="inlineStr">
        <is>
          <t>EFF-010</t>
        </is>
      </c>
      <c r="G92" s="3" t="inlineStr">
        <is>
          <t>Group</t>
        </is>
      </c>
      <c r="H92" s="3" t="inlineStr">
        <is>
          <t>2</t>
        </is>
      </c>
      <c r="I92" s="21">
        <f>'Owner KPIs'!K109</f>
        <v/>
      </c>
      <c r="J92" s="3" t="inlineStr">
        <is>
          <t>Owner KPIs sheet, row 109 (Group, Sep 2026)</t>
        </is>
      </c>
    </row>
    <row r="93">
      <c r="A93" s="3" t="n">
        <v>92</v>
      </c>
      <c r="B93" s="3" t="inlineStr">
        <is>
          <t>O-06</t>
        </is>
      </c>
      <c r="C93" s="3" t="inlineStr">
        <is>
          <t>Decisions Required</t>
        </is>
      </c>
      <c r="D93" s="3" t="inlineStr">
        <is>
          <t>Tile</t>
        </is>
      </c>
      <c r="E93" s="3" t="inlineStr">
        <is>
          <t>Root causes eliminated · YTD</t>
        </is>
      </c>
      <c r="F93" s="3" t="inlineStr">
        <is>
          <t>EFF-011</t>
        </is>
      </c>
      <c r="G93" s="3" t="inlineStr">
        <is>
          <t>Group</t>
        </is>
      </c>
      <c r="H93" s="3" t="inlineStr">
        <is>
          <t>7 of 9</t>
        </is>
      </c>
      <c r="I93" s="21">
        <f>'Owner KPIs'!K110</f>
        <v/>
      </c>
      <c r="J93" s="3" t="inlineStr">
        <is>
          <t>Owner KPIs sheet, row 110 (Group, Sep 2026)</t>
        </is>
      </c>
    </row>
    <row r="94">
      <c r="A94" s="3" t="n">
        <v>93</v>
      </c>
      <c r="B94" s="3" t="inlineStr">
        <is>
          <t>O-09</t>
        </is>
      </c>
      <c r="C94" s="3" t="inlineStr">
        <is>
          <t>Operations Command View</t>
        </is>
      </c>
      <c r="D94" s="3" t="inlineStr">
        <is>
          <t>Card</t>
        </is>
      </c>
      <c r="E94" s="3" t="inlineStr">
        <is>
          <t>Production vs plan · Group</t>
        </is>
      </c>
      <c r="F94" s="3" t="inlineStr">
        <is>
          <t>OPS-001</t>
        </is>
      </c>
      <c r="G94" s="3" t="inlineStr">
        <is>
          <t>Group</t>
        </is>
      </c>
      <c r="H94" s="3" t="inlineStr">
        <is>
          <t>95.5 % of plan</t>
        </is>
      </c>
      <c r="I94" s="21" t="n"/>
      <c r="J94" s="3" t="inlineStr">
        <is>
          <t>Owner KPIs sheet, row 2 (Group, Sep 2026)</t>
        </is>
      </c>
    </row>
    <row r="95">
      <c r="A95" s="3" t="n">
        <v>94</v>
      </c>
      <c r="B95" s="3" t="inlineStr">
        <is>
          <t>O-09</t>
        </is>
      </c>
      <c r="C95" s="3" t="inlineStr">
        <is>
          <t>Operations Command View</t>
        </is>
      </c>
      <c r="D95" s="3" t="inlineStr">
        <is>
          <t>Card</t>
        </is>
      </c>
      <c r="E95" s="3" t="inlineStr">
        <is>
          <t>MTBF · Group</t>
        </is>
      </c>
      <c r="F95" s="3" t="inlineStr">
        <is>
          <t>REL-001</t>
        </is>
      </c>
      <c r="G95" s="3" t="inlineStr">
        <is>
          <t>Group</t>
        </is>
      </c>
      <c r="H95" s="3" t="inlineStr">
        <is>
          <t>270 h</t>
        </is>
      </c>
      <c r="I95" s="21" t="n"/>
      <c r="J95" s="3" t="inlineStr">
        <is>
          <t>Owner KPIs sheet, row 4 (Group, Sep 2026)</t>
        </is>
      </c>
    </row>
    <row r="96">
      <c r="A96" s="3" t="n">
        <v>95</v>
      </c>
      <c r="B96" s="3" t="inlineStr">
        <is>
          <t>O-09</t>
        </is>
      </c>
      <c r="C96" s="3" t="inlineStr">
        <is>
          <t>Operations Command View</t>
        </is>
      </c>
      <c r="D96" s="3" t="inlineStr">
        <is>
          <t>Card</t>
        </is>
      </c>
      <c r="E96" s="3" t="inlineStr">
        <is>
          <t>Cost per tonne · Group</t>
        </is>
      </c>
      <c r="F96" s="3" t="inlineStr">
        <is>
          <t>CST-001</t>
        </is>
      </c>
      <c r="G96" s="3" t="inlineStr">
        <is>
          <t>Group</t>
        </is>
      </c>
      <c r="H96" s="3" t="inlineStr">
        <is>
          <t>2,934 ₹/t</t>
        </is>
      </c>
      <c r="I96" s="21" t="n"/>
      <c r="J96" s="3" t="inlineStr">
        <is>
          <t>Owner KPIs sheet, row 8 (Group, Sep 2026)</t>
        </is>
      </c>
    </row>
    <row r="97">
      <c r="A97" s="3" t="n">
        <v>96</v>
      </c>
      <c r="B97" s="3" t="inlineStr">
        <is>
          <t>O-09</t>
        </is>
      </c>
      <c r="C97" s="3" t="inlineStr">
        <is>
          <t>Operations Command View</t>
        </is>
      </c>
      <c r="D97" s="3" t="inlineStr">
        <is>
          <t>Chart</t>
        </is>
      </c>
      <c r="E97" s="3" t="inlineStr">
        <is>
          <t>Production vs plan</t>
        </is>
      </c>
      <c r="F97" s="3" t="inlineStr">
        <is>
          <t>OPS-001</t>
        </is>
      </c>
      <c r="G97" s="3" t="inlineStr">
        <is>
          <t>Group</t>
        </is>
      </c>
      <c r="H97" s="3" t="inlineStr">
        <is>
          <t>Apr–Sep monthly series</t>
        </is>
      </c>
      <c r="I97" s="21" t="inlineStr">
        <is>
          <t>Apr–Sep: None, None, None, None, None, None</t>
        </is>
      </c>
      <c r="J97" s="3" t="inlineStr">
        <is>
          <t>Owner KPIs sheet, row 2 (Group, Apr–Sep 2026)</t>
        </is>
      </c>
    </row>
    <row r="98">
      <c r="A98" s="3" t="n">
        <v>97</v>
      </c>
      <c r="B98" s="3" t="inlineStr">
        <is>
          <t>O-09</t>
        </is>
      </c>
      <c r="C98" s="3" t="inlineStr">
        <is>
          <t>Operations Command View</t>
        </is>
      </c>
      <c r="D98" s="3" t="inlineStr">
        <is>
          <t>Chart</t>
        </is>
      </c>
      <c r="E98" s="3" t="inlineStr">
        <is>
          <t>Reliability trend · mean time to repair</t>
        </is>
      </c>
      <c r="F98" s="3" t="inlineStr">
        <is>
          <t>REL-002</t>
        </is>
      </c>
      <c r="G98" s="3" t="inlineStr">
        <is>
          <t>Group</t>
        </is>
      </c>
      <c r="H98" s="3" t="inlineStr">
        <is>
          <t>Apr–Sep monthly series</t>
        </is>
      </c>
      <c r="I98" s="21" t="inlineStr">
        <is>
          <t>Apr–Sep: None, None, None, None, None, None</t>
        </is>
      </c>
      <c r="J98" s="3" t="inlineStr">
        <is>
          <t>Owner KPIs sheet, row 5 (Group, Apr–Sep 2026)</t>
        </is>
      </c>
    </row>
    <row r="99">
      <c r="A99" s="3" t="n">
        <v>98</v>
      </c>
      <c r="B99" s="3" t="inlineStr">
        <is>
          <t>O-09</t>
        </is>
      </c>
      <c r="C99" s="3" t="inlineStr">
        <is>
          <t>Operations Command View</t>
        </is>
      </c>
      <c r="D99" s="3" t="inlineStr">
        <is>
          <t>Chart</t>
        </is>
      </c>
      <c r="E99" s="3" t="inlineStr">
        <is>
          <t>Sustainability curve · emissions</t>
        </is>
      </c>
      <c r="F99" s="3" t="inlineStr">
        <is>
          <t>SUS-002</t>
        </is>
      </c>
      <c r="G99" s="3" t="inlineStr">
        <is>
          <t>Group</t>
        </is>
      </c>
      <c r="H99" s="3" t="inlineStr">
        <is>
          <t>Apr–Sep monthly series</t>
        </is>
      </c>
      <c r="I99" s="21" t="inlineStr">
        <is>
          <t>Apr–Sep: None, None, None, None, None, None</t>
        </is>
      </c>
      <c r="J99" s="3" t="inlineStr">
        <is>
          <t>Owner KPIs sheet, row 12 (Group, Apr–Sep 2026)</t>
        </is>
      </c>
    </row>
    <row r="100">
      <c r="A100" s="3" t="n">
        <v>99</v>
      </c>
      <c r="B100" s="3" t="inlineStr">
        <is>
          <t>G-08 · Owner depth</t>
        </is>
      </c>
      <c r="C100" s="3" t="inlineStr">
        <is>
          <t>Trust Summary (Owner depth)</t>
        </is>
      </c>
      <c r="D100" s="3" t="inlineStr">
        <is>
          <t>Card</t>
        </is>
      </c>
      <c r="E100" s="3" t="inlineStr">
        <is>
          <t>Leadership KPIs affected by findings</t>
        </is>
      </c>
      <c r="F100" s="3" t="inlineStr">
        <is>
          <t>GOV-007</t>
        </is>
      </c>
      <c r="G100" s="3" t="inlineStr">
        <is>
          <t>Group</t>
        </is>
      </c>
      <c r="H100" s="3" t="inlineStr">
        <is>
          <t>1</t>
        </is>
      </c>
      <c r="I100" s="21">
        <f>'Owner KPIs'!K96</f>
        <v/>
      </c>
      <c r="J100" s="3" t="inlineStr">
        <is>
          <t>Owner KPIs sheet, row 96 (Group, Sep 2026)</t>
        </is>
      </c>
    </row>
    <row r="101">
      <c r="A101" s="3" t="n">
        <v>100</v>
      </c>
      <c r="B101" s="3" t="inlineStr">
        <is>
          <t>G-08 · Owner depth</t>
        </is>
      </c>
      <c r="C101" s="3" t="inlineStr">
        <is>
          <t>Trust Summary (Owner depth)</t>
        </is>
      </c>
      <c r="D101" s="3" t="inlineStr">
        <is>
          <t>Card</t>
        </is>
      </c>
      <c r="E101" s="3" t="inlineStr">
        <is>
          <t>Material reconciliation breaks</t>
        </is>
      </c>
      <c r="F101" s="3" t="inlineStr">
        <is>
          <t>TRU-007</t>
        </is>
      </c>
      <c r="G101" s="3" t="inlineStr">
        <is>
          <t>Group</t>
        </is>
      </c>
      <c r="H101" s="3" t="inlineStr">
        <is>
          <t>1</t>
        </is>
      </c>
      <c r="I101" s="21">
        <f>'Owner KPIs'!K97</f>
        <v/>
      </c>
      <c r="J101" s="3" t="inlineStr">
        <is>
          <t>Owner KPIs sheet, row 97 (Group, Sep 2026)</t>
        </is>
      </c>
    </row>
    <row r="102">
      <c r="A102" s="3" t="n">
        <v>101</v>
      </c>
      <c r="B102" s="3" t="inlineStr">
        <is>
          <t>G-08 · Owner depth</t>
        </is>
      </c>
      <c r="C102" s="3" t="inlineStr">
        <is>
          <t>Trust Summary (Owner depth)</t>
        </is>
      </c>
      <c r="D102" s="3" t="inlineStr">
        <is>
          <t>Card</t>
        </is>
      </c>
      <c r="E102" s="3" t="inlineStr">
        <is>
          <t>Certified KPI percentage</t>
        </is>
      </c>
      <c r="F102" s="3" t="inlineStr">
        <is>
          <t>TRU-001</t>
        </is>
      </c>
      <c r="G102" s="3" t="inlineStr">
        <is>
          <t>Group</t>
        </is>
      </c>
      <c r="H102" s="3" t="inlineStr">
        <is>
          <t>84 % of leadership KPIs</t>
        </is>
      </c>
      <c r="I102" s="21">
        <f>'Owner KPIs'!K100</f>
        <v/>
      </c>
      <c r="J102" s="3" t="inlineStr">
        <is>
          <t>Owner KPIs sheet, row 100 (Group, Sep 2026)</t>
        </is>
      </c>
    </row>
    <row r="103">
      <c r="A103" s="3" t="n">
        <v>102</v>
      </c>
      <c r="B103" s="3" t="inlineStr">
        <is>
          <t>G-08 · Owner depth</t>
        </is>
      </c>
      <c r="C103" s="3" t="inlineStr">
        <is>
          <t>Trust Summary (Owner depth)</t>
        </is>
      </c>
      <c r="D103" s="3" t="inlineStr">
        <is>
          <t>Card</t>
        </is>
      </c>
      <c r="E103" s="3" t="inlineStr">
        <is>
          <t>Uncertified KPI count</t>
        </is>
      </c>
      <c r="F103" s="3" t="inlineStr">
        <is>
          <t>TRU-002</t>
        </is>
      </c>
      <c r="G103" s="3" t="inlineStr">
        <is>
          <t>Group</t>
        </is>
      </c>
      <c r="H103" s="3" t="inlineStr">
        <is>
          <t>9</t>
        </is>
      </c>
      <c r="I103" s="21">
        <f>'Owner KPIs'!K101</f>
        <v/>
      </c>
      <c r="J103" s="3" t="inlineStr">
        <is>
          <t>Owner KPIs sheet, row 101 (Group, Sep 2026)</t>
        </is>
      </c>
    </row>
    <row r="104">
      <c r="A104" s="3" t="n">
        <v>103</v>
      </c>
      <c r="B104" s="3" t="inlineStr">
        <is>
          <t>G-08 · Owner depth</t>
        </is>
      </c>
      <c r="C104" s="3" t="inlineStr">
        <is>
          <t>Trust Summary (Owner depth)</t>
        </is>
      </c>
      <c r="D104" s="3" t="inlineStr">
        <is>
          <t>Card</t>
        </is>
      </c>
      <c r="E104" s="3" t="inlineStr">
        <is>
          <t>Flash-to-Close variance (P06)</t>
        </is>
      </c>
      <c r="F104" s="3" t="inlineStr">
        <is>
          <t>TRU-010</t>
        </is>
      </c>
      <c r="G104" s="3" t="inlineStr">
        <is>
          <t>Group</t>
        </is>
      </c>
      <c r="H104" s="3" t="inlineStr">
        <is>
          <t>0.6 %</t>
        </is>
      </c>
      <c r="I104" s="21">
        <f>'Owner KPIs'!K104</f>
        <v/>
      </c>
      <c r="J104" s="3" t="inlineStr">
        <is>
          <t>Owner KPIs sheet, row 104 (Group, Sep 2026)</t>
        </is>
      </c>
    </row>
    <row r="105">
      <c r="A105" s="3" t="n">
        <v>104</v>
      </c>
      <c r="B105" s="3" t="inlineStr">
        <is>
          <t>G-08 · Owner depth</t>
        </is>
      </c>
      <c r="C105" s="3" t="inlineStr">
        <is>
          <t>Trust Summary (Owner depth)</t>
        </is>
      </c>
      <c r="D105" s="3" t="inlineStr">
        <is>
          <t>Card</t>
        </is>
      </c>
      <c r="E105" s="3" t="inlineStr">
        <is>
          <t>Variance against Board numbers</t>
        </is>
      </c>
      <c r="F105" s="3" t="inlineStr">
        <is>
          <t>TRU-011</t>
        </is>
      </c>
      <c r="G105" s="3" t="inlineStr">
        <is>
          <t>Group</t>
        </is>
      </c>
      <c r="H105" s="3" t="inlineStr">
        <is>
          <t>0.3 % (max abs)</t>
        </is>
      </c>
      <c r="I105" s="21">
        <f>'Owner KPIs'!K105</f>
        <v/>
      </c>
      <c r="J105" s="3" t="inlineStr">
        <is>
          <t>Owner KPIs sheet, row 105 (Group, Sep 2026)</t>
        </is>
      </c>
    </row>
    <row r="106">
      <c r="A106" s="3" t="n">
        <v>105</v>
      </c>
      <c r="B106" s="3" t="inlineStr">
        <is>
          <t>G-08 · Owner depth</t>
        </is>
      </c>
      <c r="C106" s="3" t="inlineStr">
        <is>
          <t>Trust Summary (Owner depth)</t>
        </is>
      </c>
      <c r="D106" s="3" t="inlineStr">
        <is>
          <t>Table</t>
        </is>
      </c>
      <c r="E106" s="3" t="inlineStr">
        <is>
          <t>Ageing certification approvals</t>
        </is>
      </c>
      <c r="F106" s="3" t="inlineStr">
        <is>
          <t>GOV-001</t>
        </is>
      </c>
      <c r="G106" s="3" t="inlineStr">
        <is>
          <t>Group</t>
        </is>
      </c>
      <c r="H106" s="3" t="inlineStr">
        <is>
          <t>2 &gt; [PH] d</t>
        </is>
      </c>
      <c r="I106" s="21">
        <f>'Owner KPIs'!K90</f>
        <v/>
      </c>
      <c r="J106" s="3" t="inlineStr">
        <is>
          <t>Owner KPIs sheet, row 90 (Group, Sep 2026)</t>
        </is>
      </c>
    </row>
    <row r="107">
      <c r="A107" s="3" t="n">
        <v>106</v>
      </c>
      <c r="B107" s="3" t="inlineStr">
        <is>
          <t>G-08 · Owner depth</t>
        </is>
      </c>
      <c r="C107" s="3" t="inlineStr">
        <is>
          <t>Trust Summary (Owner depth)</t>
        </is>
      </c>
      <c r="D107" s="3" t="inlineStr">
        <is>
          <t>Table</t>
        </is>
      </c>
      <c r="E107" s="3" t="inlineStr">
        <is>
          <t>Override count (KPI)</t>
        </is>
      </c>
      <c r="F107" s="3" t="inlineStr">
        <is>
          <t>GOV-002</t>
        </is>
      </c>
      <c r="G107" s="3" t="inlineStr">
        <is>
          <t>Group</t>
        </is>
      </c>
      <c r="H107" s="3" t="inlineStr">
        <is>
          <t>0</t>
        </is>
      </c>
      <c r="I107" s="21">
        <f>'Owner KPIs'!K91</f>
        <v/>
      </c>
      <c r="J107" s="3" t="inlineStr">
        <is>
          <t>Owner KPIs sheet, row 91 (Group, Sep 2026)</t>
        </is>
      </c>
    </row>
    <row r="108">
      <c r="A108" s="3" t="n">
        <v>107</v>
      </c>
      <c r="B108" s="3" t="inlineStr">
        <is>
          <t>G-08 · Owner depth</t>
        </is>
      </c>
      <c r="C108" s="3" t="inlineStr">
        <is>
          <t>Trust Summary (Owner depth)</t>
        </is>
      </c>
      <c r="D108" s="3" t="inlineStr">
        <is>
          <t>Table</t>
        </is>
      </c>
      <c r="E108" s="3" t="inlineStr">
        <is>
          <t>Recurring data-quality issues</t>
        </is>
      </c>
      <c r="F108" s="3" t="inlineStr">
        <is>
          <t>GOV-003</t>
        </is>
      </c>
      <c r="G108" s="3" t="inlineStr">
        <is>
          <t>Group</t>
        </is>
      </c>
      <c r="H108" s="3" t="inlineStr">
        <is>
          <t>1</t>
        </is>
      </c>
      <c r="I108" s="21">
        <f>'Owner KPIs'!K92</f>
        <v/>
      </c>
      <c r="J108" s="3" t="inlineStr">
        <is>
          <t>Owner KPIs sheet, row 92 (Group, Sep 2026)</t>
        </is>
      </c>
    </row>
    <row r="109">
      <c r="A109" s="3" t="n">
        <v>108</v>
      </c>
      <c r="B109" s="3" t="inlineStr">
        <is>
          <t>G-08 · Owner depth</t>
        </is>
      </c>
      <c r="C109" s="3" t="inlineStr">
        <is>
          <t>Trust Summary (Owner depth)</t>
        </is>
      </c>
      <c r="D109" s="3" t="inlineStr">
        <is>
          <t>Table</t>
        </is>
      </c>
      <c r="E109" s="3" t="inlineStr">
        <is>
          <t>Open audit findings</t>
        </is>
      </c>
      <c r="F109" s="3" t="inlineStr">
        <is>
          <t>GOV-004</t>
        </is>
      </c>
      <c r="G109" s="3" t="inlineStr">
        <is>
          <t>Group</t>
        </is>
      </c>
      <c r="H109" s="3" t="inlineStr">
        <is>
          <t>7</t>
        </is>
      </c>
      <c r="I109" s="21">
        <f>'Owner KPIs'!K93</f>
        <v/>
      </c>
      <c r="J109" s="3" t="inlineStr">
        <is>
          <t>Owner KPIs sheet, row 93 (Group, Sep 2026)</t>
        </is>
      </c>
    </row>
    <row r="110">
      <c r="A110" s="3" t="n">
        <v>109</v>
      </c>
      <c r="B110" s="3" t="inlineStr">
        <is>
          <t>G-08 · Owner depth</t>
        </is>
      </c>
      <c r="C110" s="3" t="inlineStr">
        <is>
          <t>Trust Summary (Owner depth)</t>
        </is>
      </c>
      <c r="D110" s="3" t="inlineStr">
        <is>
          <t>Table</t>
        </is>
      </c>
      <c r="E110" s="3" t="inlineStr">
        <is>
          <t>Overdue assurance actions</t>
        </is>
      </c>
      <c r="F110" s="3" t="inlineStr">
        <is>
          <t>GOV-005</t>
        </is>
      </c>
      <c r="G110" s="3" t="inlineStr">
        <is>
          <t>Group</t>
        </is>
      </c>
      <c r="H110" s="3" t="inlineStr">
        <is>
          <t>0</t>
        </is>
      </c>
      <c r="I110" s="21">
        <f>'Owner KPIs'!K94</f>
        <v/>
      </c>
      <c r="J110" s="3" t="inlineStr">
        <is>
          <t>Owner KPIs sheet, row 94 (Group, Sep 2026)</t>
        </is>
      </c>
    </row>
    <row r="111">
      <c r="A111" s="3" t="n">
        <v>110</v>
      </c>
      <c r="B111" s="3" t="inlineStr">
        <is>
          <t>G-08 · Owner depth</t>
        </is>
      </c>
      <c r="C111" s="3" t="inlineStr">
        <is>
          <t>Trust Summary (Owner depth)</t>
        </is>
      </c>
      <c r="D111" s="3" t="inlineStr">
        <is>
          <t>Table</t>
        </is>
      </c>
      <c r="E111" s="3" t="inlineStr">
        <is>
          <t>Repeat findings</t>
        </is>
      </c>
      <c r="F111" s="3" t="inlineStr">
        <is>
          <t>GOV-006</t>
        </is>
      </c>
      <c r="G111" s="3" t="inlineStr">
        <is>
          <t>Group</t>
        </is>
      </c>
      <c r="H111" s="3" t="inlineStr">
        <is>
          <t>1</t>
        </is>
      </c>
      <c r="I111" s="21">
        <f>'Owner KPIs'!K95</f>
        <v/>
      </c>
      <c r="J111" s="3" t="inlineStr">
        <is>
          <t>Owner KPIs sheet, row 95 (Group, Sep 2026)</t>
        </is>
      </c>
    </row>
    <row r="112">
      <c r="A112" s="3" t="n">
        <v>111</v>
      </c>
      <c r="B112" s="3" t="inlineStr">
        <is>
          <t>G-08 · Owner depth</t>
        </is>
      </c>
      <c r="C112" s="3" t="inlineStr">
        <is>
          <t>Trust Summary (Owner depth)</t>
        </is>
      </c>
      <c r="D112" s="3" t="inlineStr">
        <is>
          <t>Table</t>
        </is>
      </c>
      <c r="E112" s="3" t="inlineStr">
        <is>
          <t>Leadership KPIs affected by findings</t>
        </is>
      </c>
      <c r="F112" s="3" t="inlineStr">
        <is>
          <t>GOV-007</t>
        </is>
      </c>
      <c r="G112" s="3" t="inlineStr">
        <is>
          <t>Group</t>
        </is>
      </c>
      <c r="H112" s="3" t="inlineStr">
        <is>
          <t>1</t>
        </is>
      </c>
      <c r="I112" s="21">
        <f>'Owner KPIs'!K96</f>
        <v/>
      </c>
      <c r="J112" s="3" t="inlineStr">
        <is>
          <t>Owner KPIs sheet, row 96 (Group, Sep 2026)</t>
        </is>
      </c>
    </row>
    <row r="113">
      <c r="A113" s="3" t="n">
        <v>112</v>
      </c>
      <c r="B113" s="3" t="inlineStr">
        <is>
          <t>G-08 · Owner depth</t>
        </is>
      </c>
      <c r="C113" s="3" t="inlineStr">
        <is>
          <t>Trust Summary (Owner depth)</t>
        </is>
      </c>
      <c r="D113" s="3" t="inlineStr">
        <is>
          <t>Table</t>
        </is>
      </c>
      <c r="E113" s="3" t="inlineStr">
        <is>
          <t>Evidence completeness rate</t>
        </is>
      </c>
      <c r="F113" s="3" t="inlineStr">
        <is>
          <t>GOV-008</t>
        </is>
      </c>
      <c r="G113" s="3" t="inlineStr">
        <is>
          <t>Group</t>
        </is>
      </c>
      <c r="H113" s="3" t="inlineStr">
        <is>
          <t>88%</t>
        </is>
      </c>
      <c r="I113" s="21">
        <f>'Owner KPIs'!K98</f>
        <v/>
      </c>
      <c r="J113" s="3" t="inlineStr">
        <is>
          <t>Owner KPIs sheet, row 98 (Group, Sep 2026)</t>
        </is>
      </c>
    </row>
    <row r="114">
      <c r="A114" s="3" t="n">
        <v>113</v>
      </c>
      <c r="B114" s="3" t="inlineStr">
        <is>
          <t>G-08 · Owner depth</t>
        </is>
      </c>
      <c r="C114" s="3" t="inlineStr">
        <is>
          <t>Trust Summary (Owner depth)</t>
        </is>
      </c>
      <c r="D114" s="3" t="inlineStr">
        <is>
          <t>Table</t>
        </is>
      </c>
      <c r="E114" s="3" t="inlineStr">
        <is>
          <t>Average finding-closure time</t>
        </is>
      </c>
      <c r="F114" s="3" t="inlineStr">
        <is>
          <t>GOV-009</t>
        </is>
      </c>
      <c r="G114" s="3" t="inlineStr">
        <is>
          <t>Group</t>
        </is>
      </c>
      <c r="H114" s="3" t="inlineStr">
        <is>
          <t>34 d</t>
        </is>
      </c>
      <c r="I114" s="21">
        <f>'Owner KPIs'!K99</f>
        <v/>
      </c>
      <c r="J114" s="3" t="inlineStr">
        <is>
          <t>Owner KPIs sheet, row 99 (Group, Sep 2026)</t>
        </is>
      </c>
    </row>
    <row r="115">
      <c r="A115" s="3" t="n">
        <v>114</v>
      </c>
      <c r="B115" s="3" t="inlineStr">
        <is>
          <t>G-08 · Owner depth</t>
        </is>
      </c>
      <c r="C115" s="3" t="inlineStr">
        <is>
          <t>Trust Summary (Owner depth)</t>
        </is>
      </c>
      <c r="D115" s="3" t="inlineStr">
        <is>
          <t>Table</t>
        </is>
      </c>
      <c r="E115" s="3" t="inlineStr">
        <is>
          <t>KPI certification coverage</t>
        </is>
      </c>
      <c r="F115" s="3" t="inlineStr">
        <is>
          <t>TRU-001</t>
        </is>
      </c>
      <c r="G115" s="3" t="inlineStr">
        <is>
          <t>Group</t>
        </is>
      </c>
      <c r="H115" s="3" t="inlineStr">
        <is>
          <t>84 % of leadership KPIs</t>
        </is>
      </c>
      <c r="I115" s="21">
        <f>'Owner KPIs'!K100</f>
        <v/>
      </c>
      <c r="J115" s="3" t="inlineStr">
        <is>
          <t>Owner KPIs sheet, row 100 (Group, Sep 2026)</t>
        </is>
      </c>
    </row>
    <row r="116">
      <c r="A116" s="3" t="n">
        <v>115</v>
      </c>
      <c r="B116" s="3" t="inlineStr">
        <is>
          <t>G-08 · Owner depth</t>
        </is>
      </c>
      <c r="C116" s="3" t="inlineStr">
        <is>
          <t>Trust Summary (Owner depth)</t>
        </is>
      </c>
      <c r="D116" s="3" t="inlineStr">
        <is>
          <t>Table</t>
        </is>
      </c>
      <c r="E116" s="3" t="inlineStr">
        <is>
          <t>Source-to-Lake reconciliation rate</t>
        </is>
      </c>
      <c r="F116" s="3" t="inlineStr">
        <is>
          <t>TRU-008</t>
        </is>
      </c>
      <c r="G116" s="3" t="inlineStr">
        <is>
          <t>Group</t>
        </is>
      </c>
      <c r="H116" s="3" t="inlineStr">
        <is>
          <t>99.2%</t>
        </is>
      </c>
      <c r="I116" s="21">
        <f>'Owner KPIs'!K102</f>
        <v/>
      </c>
      <c r="J116" s="3" t="inlineStr">
        <is>
          <t>Owner KPIs sheet, row 102 (Group, Sep 2026)</t>
        </is>
      </c>
    </row>
    <row r="117">
      <c r="A117" s="3" t="n">
        <v>116</v>
      </c>
      <c r="B117" s="3" t="inlineStr">
        <is>
          <t>G-08 · Owner depth</t>
        </is>
      </c>
      <c r="C117" s="3" t="inlineStr">
        <is>
          <t>Trust Summary (Owner depth)</t>
        </is>
      </c>
      <c r="D117" s="3" t="inlineStr">
        <is>
          <t>Table</t>
        </is>
      </c>
      <c r="E117" s="3" t="inlineStr">
        <is>
          <t>Flash-to-MIS reconciliation rate</t>
        </is>
      </c>
      <c r="F117" s="3" t="inlineStr">
        <is>
          <t>TRU-009</t>
        </is>
      </c>
      <c r="G117" s="3" t="inlineStr">
        <is>
          <t>Group</t>
        </is>
      </c>
      <c r="H117" s="3" t="inlineStr">
        <is>
          <t>96.8%</t>
        </is>
      </c>
      <c r="I117" s="21">
        <f>'Owner KPIs'!K103</f>
        <v/>
      </c>
      <c r="J117" s="3" t="inlineStr">
        <is>
          <t>Owner KPIs sheet, row 103 (Group, Sep 2026)</t>
        </is>
      </c>
    </row>
    <row r="118">
      <c r="A118" s="3" t="n">
        <v>117</v>
      </c>
      <c r="B118" s="3" t="inlineStr">
        <is>
          <t>G-08 · Owner depth</t>
        </is>
      </c>
      <c r="C118" s="3" t="inlineStr">
        <is>
          <t>Trust Summary (Owner depth)</t>
        </is>
      </c>
      <c r="D118" s="3" t="inlineStr">
        <is>
          <t>Table</t>
        </is>
      </c>
      <c r="E118" s="3" t="inlineStr">
        <is>
          <t>Flash-to-Close variance (P06)</t>
        </is>
      </c>
      <c r="F118" s="3" t="inlineStr">
        <is>
          <t>TRU-010</t>
        </is>
      </c>
      <c r="G118" s="3" t="inlineStr">
        <is>
          <t>Group</t>
        </is>
      </c>
      <c r="H118" s="3" t="inlineStr">
        <is>
          <t>0.6 %</t>
        </is>
      </c>
      <c r="I118" s="21">
        <f>'Owner KPIs'!K104</f>
        <v/>
      </c>
      <c r="J118" s="3" t="inlineStr">
        <is>
          <t>Owner KPIs sheet, row 104 (Group, Sep 2026)</t>
        </is>
      </c>
    </row>
    <row r="119">
      <c r="A119" s="3" t="n">
        <v>118</v>
      </c>
      <c r="B119" s="3" t="inlineStr">
        <is>
          <t>G-08 · Owner depth</t>
        </is>
      </c>
      <c r="C119" s="3" t="inlineStr">
        <is>
          <t>Trust Summary (Owner depth)</t>
        </is>
      </c>
      <c r="D119" s="3" t="inlineStr">
        <is>
          <t>Table</t>
        </is>
      </c>
      <c r="E119" s="3" t="inlineStr">
        <is>
          <t>Variance against Board numbers</t>
        </is>
      </c>
      <c r="F119" s="3" t="inlineStr">
        <is>
          <t>TRU-011</t>
        </is>
      </c>
      <c r="G119" s="3" t="inlineStr">
        <is>
          <t>Group</t>
        </is>
      </c>
      <c r="H119" s="3" t="inlineStr">
        <is>
          <t>0.3% max abs · Entity B2</t>
        </is>
      </c>
      <c r="I119" s="21">
        <f>'Owner KPIs'!K105</f>
        <v/>
      </c>
      <c r="J119" s="3" t="inlineStr">
        <is>
          <t>Owner KPIs sheet, row 105 (Group, Sep 2026)</t>
        </is>
      </c>
    </row>
    <row r="120">
      <c r="A120" s="3" t="n">
        <v>119</v>
      </c>
      <c r="B120" s="3" t="inlineStr">
        <is>
          <t>S-03 · Owner view</t>
        </is>
      </c>
      <c r="C120" s="3" t="inlineStr">
        <is>
          <t>KPI Detail and Lineage · OPS-001 Production vs plan · Entity A1</t>
        </is>
      </c>
      <c r="D120" s="3" t="inlineStr">
        <is>
          <t>Card</t>
        </is>
      </c>
      <c r="E120" s="3" t="inlineStr">
        <is>
          <t>Production vs plan · Entity A1 MTD</t>
        </is>
      </c>
      <c r="F120" s="3" t="inlineStr">
        <is>
          <t>OPS-001</t>
        </is>
      </c>
      <c r="G120" s="3" t="inlineStr">
        <is>
          <t>Entity A1</t>
        </is>
      </c>
      <c r="H120" s="3" t="inlineStr">
        <is>
          <t>103.2 % of plan (flash)</t>
        </is>
      </c>
      <c r="I120" s="21">
        <f>ROUND(IFERROR(100*'Entity Inputs'!M9/'Entity Inputs'!K9,0),2)</f>
        <v/>
      </c>
      <c r="J120" s="3" t="inlineStr">
        <is>
          <t>Same formula on Entity Inputs row 9 (Entity A1, Sep 2026)</t>
        </is>
      </c>
    </row>
    <row r="121">
      <c r="A121" s="3" t="n">
        <v>120</v>
      </c>
      <c r="B121" s="3" t="inlineStr">
        <is>
          <t>S-09</t>
        </is>
      </c>
      <c r="C121" s="3" t="inlineStr">
        <is>
          <t>Entity Contribution · projected EBITDA gap</t>
        </is>
      </c>
      <c r="D121" s="3" t="inlineStr">
        <is>
          <t>Card</t>
        </is>
      </c>
      <c r="E121" s="3" t="inlineStr">
        <is>
          <t>Projected EBITDA gap · P07–P12</t>
        </is>
      </c>
      <c r="F121" s="3" t="inlineStr">
        <is>
          <t>PRD-003</t>
        </is>
      </c>
      <c r="G121" s="3" t="inlineStr">
        <is>
          <t>Group</t>
        </is>
      </c>
      <c r="H121" s="3" t="inlineStr">
        <is>
          <t>−9.2 ₹ m</t>
        </is>
      </c>
      <c r="I121" s="21">
        <f>'Owner KPIs'!K115</f>
        <v/>
      </c>
      <c r="J121" s="3" t="inlineStr">
        <is>
          <t>Owner KPIs sheet, row 115 (Group, Sep 2026)</t>
        </is>
      </c>
    </row>
    <row r="122">
      <c r="A122" s="3" t="n">
        <v>121</v>
      </c>
      <c r="B122" s="3" t="inlineStr">
        <is>
          <t>S-10</t>
        </is>
      </c>
      <c r="C122" s="3" t="inlineStr">
        <is>
          <t>Operations Impact · Plant 02 (Owner summary)</t>
        </is>
      </c>
      <c r="D122" s="3" t="inlineStr">
        <is>
          <t>Card</t>
        </is>
      </c>
      <c r="E122" s="3" t="inlineStr">
        <is>
          <t>Production vs plan · Plant 02 MTD</t>
        </is>
      </c>
      <c r="F122" s="3" t="inlineStr">
        <is>
          <t>OPS-001</t>
        </is>
      </c>
      <c r="G122" s="3" t="inlineStr">
        <is>
          <t>Plant 02</t>
        </is>
      </c>
      <c r="H122" s="3" t="inlineStr">
        <is>
          <t>100.2 % of plan</t>
        </is>
      </c>
      <c r="I122" s="21">
        <f>ROUND(IFERROR(100*'Plant Inputs'!N15/'Plant Inputs'!L15,0),2)</f>
        <v/>
      </c>
      <c r="J122" s="3" t="inlineStr">
        <is>
          <t>Same formula on Plant Inputs row 15 (Plant 02, Sep 2026)</t>
        </is>
      </c>
    </row>
    <row r="123">
      <c r="A123" s="3" t="n">
        <v>122</v>
      </c>
      <c r="B123" s="3" t="inlineStr">
        <is>
          <t>S-10</t>
        </is>
      </c>
      <c r="C123" s="3" t="inlineStr">
        <is>
          <t>Operations Impact · Plant 02 (Owner summary)</t>
        </is>
      </c>
      <c r="D123" s="3" t="inlineStr">
        <is>
          <t>Card</t>
        </is>
      </c>
      <c r="E123" s="3" t="inlineStr">
        <is>
          <t>Production at risk · Plant 02</t>
        </is>
      </c>
      <c r="F123" s="3" t="inlineStr">
        <is>
          <t>SIG-007</t>
        </is>
      </c>
      <c r="G123" s="3" t="inlineStr">
        <is>
          <t>Plant 02</t>
        </is>
      </c>
      <c r="H123" s="3" t="inlineStr">
        <is>
          <t>18.4 kt (FCST)</t>
        </is>
      </c>
      <c r="I123" s="21">
        <f>ROUND('Plant Inputs'!AC15,2)</f>
        <v/>
      </c>
      <c r="J123" s="3" t="inlineStr">
        <is>
          <t>Same formula on Plant Inputs row 15 (Plant 02, Sep 2026)</t>
        </is>
      </c>
    </row>
    <row r="124">
      <c r="A124" s="3" t="n">
        <v>123</v>
      </c>
      <c r="B124" s="3" t="inlineStr">
        <is>
          <t>S-10</t>
        </is>
      </c>
      <c r="C124" s="3" t="inlineStr">
        <is>
          <t>Operations Impact · Plant 02 (Owner summary)</t>
        </is>
      </c>
      <c r="D124" s="3" t="inlineStr">
        <is>
          <t>Card</t>
        </is>
      </c>
      <c r="E124" s="3" t="inlineStr">
        <is>
          <t>Critical-material shortage risk · RM-1</t>
        </is>
      </c>
      <c r="F124" s="3" t="inlineStr">
        <is>
          <t>SIG-009</t>
        </is>
      </c>
      <c r="G124" s="3" t="inlineStr">
        <is>
          <t>Group</t>
        </is>
      </c>
      <c r="H124" s="3" t="inlineStr">
        <is>
          <t>3.5 days of cover</t>
        </is>
      </c>
      <c r="I124" s="21">
        <f>'Owner KPIs'!K15</f>
        <v/>
      </c>
      <c r="J124" s="3" t="inlineStr">
        <is>
          <t>Owner KPIs sheet, row 15 (Group, Sep 2026)</t>
        </is>
      </c>
    </row>
    <row r="125">
      <c r="A125" s="3" t="n">
        <v>124</v>
      </c>
      <c r="B125" s="3" t="inlineStr">
        <is>
          <t>S-10</t>
        </is>
      </c>
      <c r="C125" s="3" t="inlineStr">
        <is>
          <t>Operations Impact · Plant 02 (Owner summary)</t>
        </is>
      </c>
      <c r="D125" s="3" t="inlineStr">
        <is>
          <t>Card</t>
        </is>
      </c>
      <c r="E125" s="3" t="inlineStr">
        <is>
          <t>Days to breach · Plant 02 plan</t>
        </is>
      </c>
      <c r="F125" s="3" t="inlineStr">
        <is>
          <t>PRD-001</t>
        </is>
      </c>
      <c r="G125" s="3" t="inlineStr">
        <is>
          <t>Plant 02</t>
        </is>
      </c>
      <c r="H125" s="3" t="inlineStr">
        <is>
          <t>4 days</t>
        </is>
      </c>
      <c r="I125" s="21">
        <f>ROUND('Plant Inputs'!BT15,2)</f>
        <v/>
      </c>
      <c r="J125" s="3" t="inlineStr">
        <is>
          <t>Same formula on Plant Inputs row 15 (Plant 02, Sep 2026)</t>
        </is>
      </c>
    </row>
    <row r="126">
      <c r="A126" s="3" t="n">
        <v>125</v>
      </c>
      <c r="B126" s="3" t="inlineStr">
        <is>
          <t>S-11</t>
        </is>
      </c>
      <c r="C126" s="3" t="inlineStr">
        <is>
          <t>Cash Exposure · how the supply issue reaches cash</t>
        </is>
      </c>
      <c r="D126" s="3" t="inlineStr">
        <is>
          <t>Card</t>
        </is>
      </c>
      <c r="E126" s="3" t="inlineStr">
        <is>
          <t>Dispatch delays</t>
        </is>
      </c>
      <c r="F126" s="3" t="inlineStr">
        <is>
          <t>SIG-012</t>
        </is>
      </c>
      <c r="G126" s="3" t="inlineStr">
        <is>
          <t>Group</t>
        </is>
      </c>
      <c r="H126" s="3" t="inlineStr">
        <is>
          <t>2–4 days</t>
        </is>
      </c>
      <c r="I126" s="21">
        <f>'Owner KPIs'!K16</f>
        <v/>
      </c>
      <c r="J126" s="3" t="inlineStr">
        <is>
          <t>Owner KPIs sheet, row 16 (Group, Sep 2026)</t>
        </is>
      </c>
    </row>
    <row r="127">
      <c r="A127" s="3" t="n">
        <v>126</v>
      </c>
      <c r="B127" s="3" t="inlineStr">
        <is>
          <t>S-11</t>
        </is>
      </c>
      <c r="C127" s="3" t="inlineStr">
        <is>
          <t>Cash Exposure · how the supply issue reaches cash</t>
        </is>
      </c>
      <c r="D127" s="3" t="inlineStr">
        <is>
          <t>Card</t>
        </is>
      </c>
      <c r="E127" s="3" t="inlineStr">
        <is>
          <t>Daily collections · A1</t>
        </is>
      </c>
      <c r="F127" s="3" t="inlineStr">
        <is>
          <t>CSH-003</t>
        </is>
      </c>
      <c r="G127" s="3" t="inlineStr">
        <is>
          <t>Entity A1</t>
        </is>
      </c>
      <c r="H127" s="3" t="inlineStr">
        <is>
          <t>4.1 ₹ m</t>
        </is>
      </c>
      <c r="I127" s="21">
        <f>ROUND('Entity Inputs'!CM9/'Entity Inputs'!D9/1000,2)</f>
        <v/>
      </c>
      <c r="J127" s="3" t="inlineStr">
        <is>
          <t>Same formula on Entity Inputs row 9 (Entity A1, Sep 2026)</t>
        </is>
      </c>
    </row>
    <row r="128">
      <c r="A128" s="3" t="n">
        <v>127</v>
      </c>
      <c r="B128" s="3" t="inlineStr">
        <is>
          <t>S-11</t>
        </is>
      </c>
      <c r="C128" s="3" t="inlineStr">
        <is>
          <t>Cash Exposure · how the supply issue reaches cash</t>
        </is>
      </c>
      <c r="D128" s="3" t="inlineStr">
        <is>
          <t>Card</t>
        </is>
      </c>
      <c r="E128" s="3" t="inlineStr">
        <is>
          <t>Cash-upstream exposure</t>
        </is>
      </c>
      <c r="F128" s="3" t="inlineStr">
        <is>
          <t>CSH-006</t>
        </is>
      </c>
      <c r="G128" s="3" t="inlineStr">
        <is>
          <t>Group</t>
        </is>
      </c>
      <c r="H128" s="3" t="inlineStr">
        <is>
          <t>26 ₹ m</t>
        </is>
      </c>
      <c r="I128" s="21">
        <f>'Owner KPIs'!K40</f>
        <v/>
      </c>
      <c r="J128" s="3" t="inlineStr">
        <is>
          <t>Owner KPIs sheet, row 40 (Group, Sep 2026)</t>
        </is>
      </c>
    </row>
    <row r="129">
      <c r="A129" s="3" t="n">
        <v>128</v>
      </c>
      <c r="B129" s="3" t="inlineStr">
        <is>
          <t>S-11</t>
        </is>
      </c>
      <c r="C129" s="3" t="inlineStr">
        <is>
          <t>Cash Exposure · how the supply issue reaches cash</t>
        </is>
      </c>
      <c r="D129" s="3" t="inlineStr">
        <is>
          <t>Card</t>
        </is>
      </c>
      <c r="E129" s="3" t="inlineStr">
        <is>
          <t>DSO · Entity A1</t>
        </is>
      </c>
      <c r="F129" s="3" t="inlineStr">
        <is>
          <t>WCP-001</t>
        </is>
      </c>
      <c r="G129" s="3" t="inlineStr">
        <is>
          <t>Entity A1</t>
        </is>
      </c>
      <c r="H129" s="3" t="inlineStr">
        <is>
          <t>52 days</t>
        </is>
      </c>
      <c r="I129" s="21">
        <f>ROUND((IF('Entity Inputs'!AU9=0,0,'Entity Inputs'!CJ9/'Entity Inputs'!AU9*'Entity Inputs'!D9)),2)</f>
        <v/>
      </c>
      <c r="J129" s="3" t="inlineStr">
        <is>
          <t>Same formula on Entity Inputs row 9 (Entity A1, Sep 2026)</t>
        </is>
      </c>
    </row>
    <row r="130">
      <c r="A130" s="3" t="n">
        <v>129</v>
      </c>
      <c r="B130" s="3" t="inlineStr">
        <is>
          <t>STATE GALLERY · O-01 + S-02</t>
        </is>
      </c>
      <c r="C130" s="3" t="inlineStr">
        <is>
          <t>Enterprise Health</t>
        </is>
      </c>
      <c r="D130" s="3" t="inlineStr">
        <is>
          <t>Card</t>
        </is>
      </c>
      <c r="E130" s="3" t="inlineStr">
        <is>
          <t>Production vs plan · Group MTD</t>
        </is>
      </c>
      <c r="F130" s="3" t="inlineStr">
        <is>
          <t>OPS-001</t>
        </is>
      </c>
      <c r="G130" s="3" t="inlineStr">
        <is>
          <t>Group</t>
        </is>
      </c>
      <c r="H130" s="3" t="inlineStr">
        <is>
          <t>98.1 % of plan</t>
        </is>
      </c>
      <c r="I130" s="21">
        <f>'Owner KPIs'!K2</f>
        <v/>
      </c>
      <c r="J130" s="3" t="inlineStr">
        <is>
          <t>Owner KPIs sheet, row 2 (Group, Sep 2026)</t>
        </is>
      </c>
    </row>
    <row r="131">
      <c r="A131" s="3" t="n">
        <v>130</v>
      </c>
      <c r="B131" s="3" t="inlineStr">
        <is>
          <t>STATE GALLERY · O-01 + S-02</t>
        </is>
      </c>
      <c r="C131" s="3" t="inlineStr">
        <is>
          <t>Enterprise Health</t>
        </is>
      </c>
      <c r="D131" s="3" t="inlineStr">
        <is>
          <t>Card</t>
        </is>
      </c>
      <c r="E131" s="3" t="inlineStr">
        <is>
          <t>EBITDA YTD (to P06)</t>
        </is>
      </c>
      <c r="F131" s="3" t="inlineStr">
        <is>
          <t>FIN-001</t>
        </is>
      </c>
      <c r="G131" s="3" t="inlineStr">
        <is>
          <t>Group</t>
        </is>
      </c>
      <c r="H131" s="3" t="inlineStr">
        <is>
          <t>361.3 ₹ m</t>
        </is>
      </c>
      <c r="I131" s="21">
        <f>'Owner KPIs'!K29</f>
        <v/>
      </c>
      <c r="J131" s="3" t="inlineStr">
        <is>
          <t>Owner KPIs sheet, row 29 (Group, Sep 2026)</t>
        </is>
      </c>
    </row>
    <row r="132">
      <c r="A132" s="3" t="n">
        <v>131</v>
      </c>
      <c r="B132" s="3" t="inlineStr">
        <is>
          <t>STATE GALLERY · O-01 + S-02</t>
        </is>
      </c>
      <c r="C132" s="3" t="inlineStr">
        <is>
          <t>Enterprise Health</t>
        </is>
      </c>
      <c r="D132" s="3" t="inlineStr">
        <is>
          <t>Card</t>
        </is>
      </c>
      <c r="E132" s="3" t="inlineStr">
        <is>
          <t>Free Cash Flow YTD</t>
        </is>
      </c>
      <c r="F132" s="3" t="inlineStr">
        <is>
          <t>FIN-004</t>
        </is>
      </c>
      <c r="G132" s="3" t="inlineStr">
        <is>
          <t>Group</t>
        </is>
      </c>
      <c r="H132" s="3" t="inlineStr">
        <is>
          <t>96.4 ₹ m</t>
        </is>
      </c>
      <c r="I132" s="21">
        <f>'Owner KPIs'!K32</f>
        <v/>
      </c>
      <c r="J132" s="3" t="inlineStr">
        <is>
          <t>Owner KPIs sheet, row 32 (Group, Sep 2026)</t>
        </is>
      </c>
    </row>
    <row r="133">
      <c r="A133" s="3" t="n">
        <v>132</v>
      </c>
      <c r="B133" s="3" t="inlineStr">
        <is>
          <t>STATE GALLERY · O-01 + S-02</t>
        </is>
      </c>
      <c r="C133" s="3" t="inlineStr">
        <is>
          <t>Enterprise Health</t>
        </is>
      </c>
      <c r="D133" s="3" t="inlineStr">
        <is>
          <t>Card</t>
        </is>
      </c>
      <c r="E133" s="3" t="inlineStr">
        <is>
          <t>Net Debt</t>
        </is>
      </c>
      <c r="F133" s="3" t="inlineStr">
        <is>
          <t>FIN-006</t>
        </is>
      </c>
      <c r="G133" s="3" t="inlineStr">
        <is>
          <t>Group</t>
        </is>
      </c>
      <c r="H133" s="3" t="inlineStr">
        <is>
          <t>1,140 ₹ m</t>
        </is>
      </c>
      <c r="I133" s="21">
        <f>'Owner KPIs'!K34</f>
        <v/>
      </c>
      <c r="J133" s="3" t="inlineStr">
        <is>
          <t>Owner KPIs sheet, row 34 (Group, Sep 2026)</t>
        </is>
      </c>
    </row>
    <row r="134">
      <c r="A134" s="3" t="n">
        <v>133</v>
      </c>
      <c r="B134" s="3" t="inlineStr">
        <is>
          <t>STATE GALLERY · O-01 + S-02</t>
        </is>
      </c>
      <c r="C134" s="3" t="inlineStr">
        <is>
          <t>Enterprise Health</t>
        </is>
      </c>
      <c r="D134" s="3" t="inlineStr">
        <is>
          <t>Card</t>
        </is>
      </c>
      <c r="E134" s="3" t="inlineStr">
        <is>
          <t>Capex physical progress</t>
        </is>
      </c>
      <c r="F134" s="3" t="inlineStr">
        <is>
          <t>CPX-004</t>
        </is>
      </c>
      <c r="G134" s="3" t="inlineStr">
        <is>
          <t>Group</t>
        </is>
      </c>
      <c r="H134" s="3" t="inlineStr">
        <is>
          <t>61 % weighted</t>
        </is>
      </c>
      <c r="I134" s="21">
        <f>'Owner KPIs'!K59</f>
        <v/>
      </c>
      <c r="J134" s="3" t="inlineStr">
        <is>
          <t>Owner KPIs sheet, row 59 (Group, Sep 2026)</t>
        </is>
      </c>
    </row>
    <row r="135">
      <c r="A135" s="3" t="n">
        <v>134</v>
      </c>
      <c r="B135" s="3" t="inlineStr">
        <is>
          <t>STATE GALLERY · O-01 + S-02</t>
        </is>
      </c>
      <c r="C135" s="3" t="inlineStr">
        <is>
          <t>Enterprise Health</t>
        </is>
      </c>
      <c r="D135" s="3" t="inlineStr">
        <is>
          <t>Card</t>
        </is>
      </c>
      <c r="E135" s="3" t="inlineStr">
        <is>
          <t>Open critical alerts</t>
        </is>
      </c>
      <c r="F135" s="3" t="inlineStr">
        <is>
          <t>EFF-002</t>
        </is>
      </c>
      <c r="G135" s="3" t="inlineStr">
        <is>
          <t>Group</t>
        </is>
      </c>
      <c r="H135" s="3" t="inlineStr">
        <is>
          <t>1 alert</t>
        </is>
      </c>
      <c r="I135" s="21">
        <f>'Owner KPIs'!K106</f>
        <v/>
      </c>
      <c r="J135" s="3" t="inlineStr">
        <is>
          <t>Owner KPIs sheet, row 106 (Group, Sep 2026)</t>
        </is>
      </c>
    </row>
    <row r="136">
      <c r="A136" s="3" t="n">
        <v>135</v>
      </c>
      <c r="B136" s="3" t="inlineStr">
        <is>
          <t>STATE GALLERY · O-01 + S-02</t>
        </is>
      </c>
      <c r="C136" s="3" t="inlineStr">
        <is>
          <t>Enterprise Health</t>
        </is>
      </c>
      <c r="D136" s="3" t="inlineStr">
        <is>
          <t>Tile</t>
        </is>
      </c>
      <c r="E136" s="3" t="inlineStr">
        <is>
          <t>Days to breach · Plant 02 plan</t>
        </is>
      </c>
      <c r="F136" s="3" t="inlineStr">
        <is>
          <t>PRD-001</t>
        </is>
      </c>
      <c r="G136" s="3" t="inlineStr">
        <is>
          <t>Plant 02</t>
        </is>
      </c>
      <c r="H136" s="3" t="inlineStr">
        <is>
          <t>4 days</t>
        </is>
      </c>
      <c r="I136" s="21">
        <f>ROUND('Plant Inputs'!BT15,2)</f>
        <v/>
      </c>
      <c r="J136" s="3" t="inlineStr">
        <is>
          <t>Same formula on Plant Inputs row 15 (Plant 02, Sep 2026)</t>
        </is>
      </c>
    </row>
    <row r="137">
      <c r="A137" s="3" t="n">
        <v>136</v>
      </c>
      <c r="B137" s="3" t="inlineStr">
        <is>
          <t>STATE GALLERY · O-01 + S-02</t>
        </is>
      </c>
      <c r="C137" s="3" t="inlineStr">
        <is>
          <t>Enterprise Health</t>
        </is>
      </c>
      <c r="D137" s="3" t="inlineStr">
        <is>
          <t>Tile</t>
        </is>
      </c>
      <c r="E137" s="3" t="inlineStr">
        <is>
          <t>Probability of plan miss · P07</t>
        </is>
      </c>
      <c r="F137" s="3" t="inlineStr">
        <is>
          <t>PRD-002</t>
        </is>
      </c>
      <c r="G137" s="3" t="inlineStr">
        <is>
          <t>Group</t>
        </is>
      </c>
      <c r="H137" s="3" t="inlineStr">
        <is>
          <t>64%</t>
        </is>
      </c>
      <c r="I137" s="21">
        <f>'Owner KPIs'!K114</f>
        <v/>
      </c>
      <c r="J137" s="3" t="inlineStr">
        <is>
          <t>Owner KPIs sheet, row 114 (Group, Sep 2026)</t>
        </is>
      </c>
    </row>
    <row r="138">
      <c r="A138" s="3" t="n">
        <v>137</v>
      </c>
      <c r="B138" s="3" t="inlineStr">
        <is>
          <t>STATE GALLERY · O-01 + S-02</t>
        </is>
      </c>
      <c r="C138" s="3" t="inlineStr">
        <is>
          <t>Enterprise Health</t>
        </is>
      </c>
      <c r="D138" s="3" t="inlineStr">
        <is>
          <t>Tile</t>
        </is>
      </c>
      <c r="E138" s="3" t="inlineStr">
        <is>
          <t>Projected EBITDA gap · P07–P12</t>
        </is>
      </c>
      <c r="F138" s="3" t="inlineStr">
        <is>
          <t>PRD-003</t>
        </is>
      </c>
      <c r="G138" s="3" t="inlineStr">
        <is>
          <t>Group</t>
        </is>
      </c>
      <c r="H138" s="3" t="inlineStr">
        <is>
          <t>−₹9.2 m</t>
        </is>
      </c>
      <c r="I138" s="21">
        <f>'Owner KPIs'!K115</f>
        <v/>
      </c>
      <c r="J138" s="3" t="inlineStr">
        <is>
          <t>Owner KPIs sheet, row 115 (Group, Sep 2026)</t>
        </is>
      </c>
    </row>
    <row r="139">
      <c r="A139" s="3" t="n">
        <v>138</v>
      </c>
      <c r="B139" s="3" t="inlineStr">
        <is>
          <t>STATE GALLERY · O-01 + S-02</t>
        </is>
      </c>
      <c r="C139" s="3" t="inlineStr">
        <is>
          <t>Enterprise Health</t>
        </is>
      </c>
      <c r="D139" s="3" t="inlineStr">
        <is>
          <t>Table</t>
        </is>
      </c>
      <c r="E139" s="3" t="inlineStr">
        <is>
          <t>Capacity utilization</t>
        </is>
      </c>
      <c r="F139" s="3" t="inlineStr">
        <is>
          <t>OPS-003</t>
        </is>
      </c>
      <c r="G139" s="3" t="inlineStr">
        <is>
          <t>Group</t>
        </is>
      </c>
      <c r="H139" s="3" t="inlineStr">
        <is>
          <t>86%</t>
        </is>
      </c>
      <c r="I139" s="21">
        <f>'Owner KPIs'!K3</f>
        <v/>
      </c>
      <c r="J139" s="3" t="inlineStr">
        <is>
          <t>Owner KPIs sheet, row 3 (Group, Sep 2026)</t>
        </is>
      </c>
    </row>
    <row r="140">
      <c r="A140" s="3" t="n">
        <v>139</v>
      </c>
      <c r="B140" s="3" t="inlineStr">
        <is>
          <t>STATE GALLERY · O-01 + S-02</t>
        </is>
      </c>
      <c r="C140" s="3" t="inlineStr">
        <is>
          <t>Enterprise Health</t>
        </is>
      </c>
      <c r="D140" s="3" t="inlineStr">
        <is>
          <t>Table</t>
        </is>
      </c>
      <c r="E140" s="3" t="inlineStr">
        <is>
          <t>Sales vs plan · MTD</t>
        </is>
      </c>
      <c r="F140" s="3" t="inlineStr">
        <is>
          <t>OPS-002</t>
        </is>
      </c>
      <c r="G140" s="3" t="inlineStr">
        <is>
          <t>Group</t>
        </is>
      </c>
      <c r="H140" s="3" t="inlineStr">
        <is>
          <t>97.6%</t>
        </is>
      </c>
      <c r="I140" s="21">
        <f>'Owner KPIs'!K26</f>
        <v/>
      </c>
      <c r="J140" s="3" t="inlineStr">
        <is>
          <t>Owner KPIs sheet, row 26 (Group, Sep 2026)</t>
        </is>
      </c>
    </row>
    <row r="141">
      <c r="A141" s="3" t="n">
        <v>140</v>
      </c>
      <c r="B141" s="3" t="inlineStr">
        <is>
          <t>STATE GALLERY · O-01 + S-02</t>
        </is>
      </c>
      <c r="C141" s="3" t="inlineStr">
        <is>
          <t>Enterprise Health</t>
        </is>
      </c>
      <c r="D141" s="3" t="inlineStr">
        <is>
          <t>Table</t>
        </is>
      </c>
      <c r="E141" s="3" t="inlineStr">
        <is>
          <t>EBIT YTD</t>
        </is>
      </c>
      <c r="F141" s="3" t="inlineStr">
        <is>
          <t>FIN-002</t>
        </is>
      </c>
      <c r="G141" s="3" t="inlineStr">
        <is>
          <t>Group</t>
        </is>
      </c>
      <c r="H141" s="3" t="inlineStr">
        <is>
          <t>238.4 ₹ m</t>
        </is>
      </c>
      <c r="I141" s="21">
        <f>'Owner KPIs'!K30</f>
        <v/>
      </c>
      <c r="J141" s="3" t="inlineStr">
        <is>
          <t>Owner KPIs sheet, row 30 (Group, Sep 2026)</t>
        </is>
      </c>
    </row>
    <row r="142">
      <c r="A142" s="3" t="n">
        <v>141</v>
      </c>
      <c r="B142" s="3" t="inlineStr">
        <is>
          <t>STATE GALLERY · O-01 + S-02</t>
        </is>
      </c>
      <c r="C142" s="3" t="inlineStr">
        <is>
          <t>Enterprise Health</t>
        </is>
      </c>
      <c r="D142" s="3" t="inlineStr">
        <is>
          <t>Table</t>
        </is>
      </c>
      <c r="E142" s="3" t="inlineStr">
        <is>
          <t>Revenue YTD</t>
        </is>
      </c>
      <c r="F142" s="3" t="inlineStr">
        <is>
          <t>FIN-003</t>
        </is>
      </c>
      <c r="G142" s="3" t="inlineStr">
        <is>
          <t>Group</t>
        </is>
      </c>
      <c r="H142" s="3" t="inlineStr">
        <is>
          <t>2,410 ₹ m</t>
        </is>
      </c>
      <c r="I142" s="21">
        <f>'Owner KPIs'!K31</f>
        <v/>
      </c>
      <c r="J142" s="3" t="inlineStr">
        <is>
          <t>Owner KPIs sheet, row 31 (Group, Sep 2026)</t>
        </is>
      </c>
    </row>
    <row r="143">
      <c r="A143" s="3" t="n">
        <v>142</v>
      </c>
      <c r="B143" s="3" t="inlineStr">
        <is>
          <t>STATE GALLERY · O-01 + S-02</t>
        </is>
      </c>
      <c r="C143" s="3" t="inlineStr">
        <is>
          <t>Enterprise Health</t>
        </is>
      </c>
      <c r="D143" s="3" t="inlineStr">
        <is>
          <t>Table</t>
        </is>
      </c>
      <c r="E143" s="3" t="inlineStr">
        <is>
          <t>ROCE (rolling 12 m)</t>
        </is>
      </c>
      <c r="F143" s="3" t="inlineStr">
        <is>
          <t>FIN-005</t>
        </is>
      </c>
      <c r="G143" s="3" t="inlineStr">
        <is>
          <t>Group</t>
        </is>
      </c>
      <c r="H143" s="3" t="inlineStr">
        <is>
          <t>11.8%</t>
        </is>
      </c>
      <c r="I143" s="21">
        <f>'Owner KPIs'!K33</f>
        <v/>
      </c>
      <c r="J143" s="3" t="inlineStr">
        <is>
          <t>Owner KPIs sheet, row 33 (Group, Sep 2026)</t>
        </is>
      </c>
    </row>
    <row r="144">
      <c r="A144" s="3" t="n">
        <v>143</v>
      </c>
      <c r="B144" s="3" t="inlineStr">
        <is>
          <t>STATE GALLERY · O-01 + S-02</t>
        </is>
      </c>
      <c r="C144" s="3" t="inlineStr">
        <is>
          <t>Enterprise Health</t>
        </is>
      </c>
      <c r="D144" s="3" t="inlineStr">
        <is>
          <t>Table</t>
        </is>
      </c>
      <c r="E144" s="3" t="inlineStr">
        <is>
          <t>Shareholder-value indicator</t>
        </is>
      </c>
      <c r="F144" s="3" t="inlineStr">
        <is>
          <t>FIN-007</t>
        </is>
      </c>
      <c r="G144" s="3" t="inlineStr">
        <is>
          <t>Group</t>
        </is>
      </c>
      <c r="H144" s="3" t="inlineStr">
        <is>
          <t>[PLACEHOLDER]</t>
        </is>
      </c>
      <c r="I144" s="21">
        <f>'Owner KPIs'!K35</f>
        <v/>
      </c>
      <c r="J144" s="3" t="inlineStr">
        <is>
          <t>Owner KPIs sheet, row 35 (Group, Sep 2026)</t>
        </is>
      </c>
    </row>
    <row r="145">
      <c r="A145" s="3" t="n">
        <v>144</v>
      </c>
      <c r="B145" s="3" t="inlineStr">
        <is>
          <t>STATE GALLERY · O-01 + S-02</t>
        </is>
      </c>
      <c r="C145" s="3" t="inlineStr">
        <is>
          <t>Enterprise Health</t>
        </is>
      </c>
      <c r="D145" s="3" t="inlineStr">
        <is>
          <t>Table</t>
        </is>
      </c>
      <c r="E145" s="3" t="inlineStr">
        <is>
          <t>Transformation progress</t>
        </is>
      </c>
      <c r="F145" s="3" t="inlineStr">
        <is>
          <t>STR-002</t>
        </is>
      </c>
      <c r="G145" s="3" t="inlineStr">
        <is>
          <t>Group</t>
        </is>
      </c>
      <c r="H145" s="3" t="inlineStr">
        <is>
          <t>54%</t>
        </is>
      </c>
      <c r="I145" s="21">
        <f>'Owner KPIs'!K65</f>
        <v/>
      </c>
      <c r="J145" s="3" t="inlineStr">
        <is>
          <t>Owner KPIs sheet, row 65 (Group, Sep 2026)</t>
        </is>
      </c>
    </row>
    <row r="146">
      <c r="A146" s="3" t="n">
        <v>145</v>
      </c>
      <c r="B146" s="3" t="inlineStr">
        <is>
          <t>STATE GALLERY · O-01 + S-02</t>
        </is>
      </c>
      <c r="C146" s="3" t="inlineStr">
        <is>
          <t>Enterprise Health</t>
        </is>
      </c>
      <c r="D146" s="3" t="inlineStr">
        <is>
          <t>Table</t>
        </is>
      </c>
      <c r="E146" s="3" t="inlineStr">
        <is>
          <t>Regulatory breaches · YTD</t>
        </is>
      </c>
      <c r="F146" s="3" t="inlineStr">
        <is>
          <t>RSK-003</t>
        </is>
      </c>
      <c r="G146" s="3" t="inlineStr">
        <is>
          <t>Group</t>
        </is>
      </c>
      <c r="H146" s="3" t="inlineStr">
        <is>
          <t>0</t>
        </is>
      </c>
      <c r="I146" s="21">
        <f>'Owner KPIs'!K79</f>
        <v/>
      </c>
      <c r="J146" s="3" t="inlineStr">
        <is>
          <t>Owner KPIs sheet, row 79 (Group, Sep 2026)</t>
        </is>
      </c>
    </row>
    <row r="147">
      <c r="A147" s="3" t="n">
        <v>146</v>
      </c>
      <c r="B147" s="3" t="inlineStr">
        <is>
          <t>O-01 · large display ≥ 1600</t>
        </is>
      </c>
      <c r="C147" s="3" t="inlineStr">
        <is>
          <t>Enterprise Health</t>
        </is>
      </c>
      <c r="D147" s="3" t="inlineStr">
        <is>
          <t>Card</t>
        </is>
      </c>
      <c r="E147" s="3" t="inlineStr">
        <is>
          <t>Production vs plan · Group MTD</t>
        </is>
      </c>
      <c r="F147" s="3" t="inlineStr">
        <is>
          <t>OPS-001</t>
        </is>
      </c>
      <c r="G147" s="3" t="inlineStr">
        <is>
          <t>Group</t>
        </is>
      </c>
      <c r="H147" s="3" t="inlineStr">
        <is>
          <t>98.1 % of plan</t>
        </is>
      </c>
      <c r="I147" s="21">
        <f>'Owner KPIs'!K2</f>
        <v/>
      </c>
      <c r="J147" s="3" t="inlineStr">
        <is>
          <t>Owner KPIs sheet, row 2 (Group, Sep 2026)</t>
        </is>
      </c>
    </row>
    <row r="148">
      <c r="A148" s="3" t="n">
        <v>147</v>
      </c>
      <c r="B148" s="3" t="inlineStr">
        <is>
          <t>O-01 · large display ≥ 1600</t>
        </is>
      </c>
      <c r="C148" s="3" t="inlineStr">
        <is>
          <t>Enterprise Health</t>
        </is>
      </c>
      <c r="D148" s="3" t="inlineStr">
        <is>
          <t>Card</t>
        </is>
      </c>
      <c r="E148" s="3" t="inlineStr">
        <is>
          <t>EBITDA YTD (to P06)</t>
        </is>
      </c>
      <c r="F148" s="3" t="inlineStr">
        <is>
          <t>FIN-001</t>
        </is>
      </c>
      <c r="G148" s="3" t="inlineStr">
        <is>
          <t>Group</t>
        </is>
      </c>
      <c r="H148" s="3" t="inlineStr">
        <is>
          <t>361.3 ₹ m</t>
        </is>
      </c>
      <c r="I148" s="21">
        <f>'Owner KPIs'!K29</f>
        <v/>
      </c>
      <c r="J148" s="3" t="inlineStr">
        <is>
          <t>Owner KPIs sheet, row 29 (Group, Sep 2026)</t>
        </is>
      </c>
    </row>
    <row r="149">
      <c r="A149" s="3" t="n">
        <v>148</v>
      </c>
      <c r="B149" s="3" t="inlineStr">
        <is>
          <t>O-01 · large display ≥ 1600</t>
        </is>
      </c>
      <c r="C149" s="3" t="inlineStr">
        <is>
          <t>Enterprise Health</t>
        </is>
      </c>
      <c r="D149" s="3" t="inlineStr">
        <is>
          <t>Card</t>
        </is>
      </c>
      <c r="E149" s="3" t="inlineStr">
        <is>
          <t>Free Cash Flow YTD</t>
        </is>
      </c>
      <c r="F149" s="3" t="inlineStr">
        <is>
          <t>FIN-004</t>
        </is>
      </c>
      <c r="G149" s="3" t="inlineStr">
        <is>
          <t>Group</t>
        </is>
      </c>
      <c r="H149" s="3" t="inlineStr">
        <is>
          <t>96.4 ₹ m</t>
        </is>
      </c>
      <c r="I149" s="21">
        <f>'Owner KPIs'!K32</f>
        <v/>
      </c>
      <c r="J149" s="3" t="inlineStr">
        <is>
          <t>Owner KPIs sheet, row 32 (Group, Sep 2026)</t>
        </is>
      </c>
    </row>
    <row r="150">
      <c r="A150" s="3" t="n">
        <v>149</v>
      </c>
      <c r="B150" s="3" t="inlineStr">
        <is>
          <t>O-01 · large display ≥ 1600</t>
        </is>
      </c>
      <c r="C150" s="3" t="inlineStr">
        <is>
          <t>Enterprise Health</t>
        </is>
      </c>
      <c r="D150" s="3" t="inlineStr">
        <is>
          <t>Card</t>
        </is>
      </c>
      <c r="E150" s="3" t="inlineStr">
        <is>
          <t>Net Debt</t>
        </is>
      </c>
      <c r="F150" s="3" t="inlineStr">
        <is>
          <t>FIN-006</t>
        </is>
      </c>
      <c r="G150" s="3" t="inlineStr">
        <is>
          <t>Group</t>
        </is>
      </c>
      <c r="H150" s="3" t="inlineStr">
        <is>
          <t>1,140 ₹ m</t>
        </is>
      </c>
      <c r="I150" s="21">
        <f>'Owner KPIs'!K34</f>
        <v/>
      </c>
      <c r="J150" s="3" t="inlineStr">
        <is>
          <t>Owner KPIs sheet, row 34 (Group, Sep 2026)</t>
        </is>
      </c>
    </row>
    <row r="151">
      <c r="A151" s="3" t="n">
        <v>150</v>
      </c>
      <c r="B151" s="3" t="inlineStr">
        <is>
          <t>O-01 · large display ≥ 1600</t>
        </is>
      </c>
      <c r="C151" s="3" t="inlineStr">
        <is>
          <t>Enterprise Health</t>
        </is>
      </c>
      <c r="D151" s="3" t="inlineStr">
        <is>
          <t>Card</t>
        </is>
      </c>
      <c r="E151" s="3" t="inlineStr">
        <is>
          <t>Capex physical progress</t>
        </is>
      </c>
      <c r="F151" s="3" t="inlineStr">
        <is>
          <t>CPX-004</t>
        </is>
      </c>
      <c r="G151" s="3" t="inlineStr">
        <is>
          <t>Group</t>
        </is>
      </c>
      <c r="H151" s="3" t="inlineStr">
        <is>
          <t>61 % weighted</t>
        </is>
      </c>
      <c r="I151" s="21">
        <f>'Owner KPIs'!K59</f>
        <v/>
      </c>
      <c r="J151" s="3" t="inlineStr">
        <is>
          <t>Owner KPIs sheet, row 59 (Group, Sep 2026)</t>
        </is>
      </c>
    </row>
    <row r="152">
      <c r="A152" s="3" t="n">
        <v>151</v>
      </c>
      <c r="B152" s="3" t="inlineStr">
        <is>
          <t>O-01 · large display ≥ 1600</t>
        </is>
      </c>
      <c r="C152" s="3" t="inlineStr">
        <is>
          <t>Enterprise Health</t>
        </is>
      </c>
      <c r="D152" s="3" t="inlineStr">
        <is>
          <t>Card</t>
        </is>
      </c>
      <c r="E152" s="3" t="inlineStr">
        <is>
          <t>Open critical alerts</t>
        </is>
      </c>
      <c r="F152" s="3" t="inlineStr">
        <is>
          <t>EFF-002</t>
        </is>
      </c>
      <c r="G152" s="3" t="inlineStr">
        <is>
          <t>Group</t>
        </is>
      </c>
      <c r="H152" s="3" t="inlineStr">
        <is>
          <t>1 alert</t>
        </is>
      </c>
      <c r="I152" s="21">
        <f>'Owner KPIs'!K106</f>
        <v/>
      </c>
      <c r="J152" s="3" t="inlineStr">
        <is>
          <t>Owner KPIs sheet, row 106 (Group, Sep 2026)</t>
        </is>
      </c>
    </row>
    <row r="153">
      <c r="A153" s="3" t="n">
        <v>152</v>
      </c>
      <c r="B153" s="3" t="inlineStr">
        <is>
          <t>O-01 · large display ≥ 1600</t>
        </is>
      </c>
      <c r="C153" s="3" t="inlineStr">
        <is>
          <t>Enterprise Health</t>
        </is>
      </c>
      <c r="D153" s="3" t="inlineStr">
        <is>
          <t>Tile</t>
        </is>
      </c>
      <c r="E153" s="3" t="inlineStr">
        <is>
          <t>Days to breach · Plant 02 plan</t>
        </is>
      </c>
      <c r="F153" s="3" t="inlineStr">
        <is>
          <t>PRD-001</t>
        </is>
      </c>
      <c r="G153" s="3" t="inlineStr">
        <is>
          <t>Plant 02</t>
        </is>
      </c>
      <c r="H153" s="3" t="inlineStr">
        <is>
          <t>4 days</t>
        </is>
      </c>
      <c r="I153" s="21">
        <f>ROUND('Plant Inputs'!BT15,2)</f>
        <v/>
      </c>
      <c r="J153" s="3" t="inlineStr">
        <is>
          <t>Same formula on Plant Inputs row 15 (Plant 02, Sep 2026)</t>
        </is>
      </c>
    </row>
    <row r="154">
      <c r="A154" s="3" t="n">
        <v>153</v>
      </c>
      <c r="B154" s="3" t="inlineStr">
        <is>
          <t>O-01 · large display ≥ 1600</t>
        </is>
      </c>
      <c r="C154" s="3" t="inlineStr">
        <is>
          <t>Enterprise Health</t>
        </is>
      </c>
      <c r="D154" s="3" t="inlineStr">
        <is>
          <t>Tile</t>
        </is>
      </c>
      <c r="E154" s="3" t="inlineStr">
        <is>
          <t>Probability of plan miss · P07</t>
        </is>
      </c>
      <c r="F154" s="3" t="inlineStr">
        <is>
          <t>PRD-002</t>
        </is>
      </c>
      <c r="G154" s="3" t="inlineStr">
        <is>
          <t>Group</t>
        </is>
      </c>
      <c r="H154" s="3" t="inlineStr">
        <is>
          <t>64%</t>
        </is>
      </c>
      <c r="I154" s="21">
        <f>'Owner KPIs'!K114</f>
        <v/>
      </c>
      <c r="J154" s="3" t="inlineStr">
        <is>
          <t>Owner KPIs sheet, row 114 (Group, Sep 2026)</t>
        </is>
      </c>
    </row>
    <row r="155">
      <c r="A155" s="3" t="n">
        <v>154</v>
      </c>
      <c r="B155" s="3" t="inlineStr">
        <is>
          <t>O-01 · large display ≥ 1600</t>
        </is>
      </c>
      <c r="C155" s="3" t="inlineStr">
        <is>
          <t>Enterprise Health</t>
        </is>
      </c>
      <c r="D155" s="3" t="inlineStr">
        <is>
          <t>Tile</t>
        </is>
      </c>
      <c r="E155" s="3" t="inlineStr">
        <is>
          <t>Projected EBITDA gap · P07–P12</t>
        </is>
      </c>
      <c r="F155" s="3" t="inlineStr">
        <is>
          <t>PRD-003</t>
        </is>
      </c>
      <c r="G155" s="3" t="inlineStr">
        <is>
          <t>Group</t>
        </is>
      </c>
      <c r="H155" s="3" t="inlineStr">
        <is>
          <t>−₹9.2 m</t>
        </is>
      </c>
      <c r="I155" s="21">
        <f>'Owner KPIs'!K115</f>
        <v/>
      </c>
      <c r="J155" s="3" t="inlineStr">
        <is>
          <t>Owner KPIs sheet, row 115 (Group, Sep 2026)</t>
        </is>
      </c>
    </row>
    <row r="156">
      <c r="A156" s="3" t="n">
        <v>155</v>
      </c>
      <c r="B156" s="3" t="inlineStr">
        <is>
          <t>O-01 · large display ≥ 1600</t>
        </is>
      </c>
      <c r="C156" s="3" t="inlineStr">
        <is>
          <t>Enterprise Health</t>
        </is>
      </c>
      <c r="D156" s="3" t="inlineStr">
        <is>
          <t>Table</t>
        </is>
      </c>
      <c r="E156" s="3" t="inlineStr">
        <is>
          <t>Capacity utilization</t>
        </is>
      </c>
      <c r="F156" s="3" t="inlineStr">
        <is>
          <t>OPS-003</t>
        </is>
      </c>
      <c r="G156" s="3" t="inlineStr">
        <is>
          <t>Group</t>
        </is>
      </c>
      <c r="H156" s="3" t="inlineStr">
        <is>
          <t>86%</t>
        </is>
      </c>
      <c r="I156" s="21">
        <f>'Owner KPIs'!K3</f>
        <v/>
      </c>
      <c r="J156" s="3" t="inlineStr">
        <is>
          <t>Owner KPIs sheet, row 3 (Group, Sep 2026)</t>
        </is>
      </c>
    </row>
    <row r="157">
      <c r="A157" s="3" t="n">
        <v>156</v>
      </c>
      <c r="B157" s="3" t="inlineStr">
        <is>
          <t>O-01 · large display ≥ 1600</t>
        </is>
      </c>
      <c r="C157" s="3" t="inlineStr">
        <is>
          <t>Enterprise Health</t>
        </is>
      </c>
      <c r="D157" s="3" t="inlineStr">
        <is>
          <t>Table</t>
        </is>
      </c>
      <c r="E157" s="3" t="inlineStr">
        <is>
          <t>Sales vs plan · MTD</t>
        </is>
      </c>
      <c r="F157" s="3" t="inlineStr">
        <is>
          <t>OPS-002</t>
        </is>
      </c>
      <c r="G157" s="3" t="inlineStr">
        <is>
          <t>Group</t>
        </is>
      </c>
      <c r="H157" s="3" t="inlineStr">
        <is>
          <t>97.6%</t>
        </is>
      </c>
      <c r="I157" s="21">
        <f>'Owner KPIs'!K26</f>
        <v/>
      </c>
      <c r="J157" s="3" t="inlineStr">
        <is>
          <t>Owner KPIs sheet, row 26 (Group, Sep 2026)</t>
        </is>
      </c>
    </row>
    <row r="158">
      <c r="A158" s="3" t="n">
        <v>157</v>
      </c>
      <c r="B158" s="3" t="inlineStr">
        <is>
          <t>O-01 · large display ≥ 1600</t>
        </is>
      </c>
      <c r="C158" s="3" t="inlineStr">
        <is>
          <t>Enterprise Health</t>
        </is>
      </c>
      <c r="D158" s="3" t="inlineStr">
        <is>
          <t>Table</t>
        </is>
      </c>
      <c r="E158" s="3" t="inlineStr">
        <is>
          <t>EBIT YTD</t>
        </is>
      </c>
      <c r="F158" s="3" t="inlineStr">
        <is>
          <t>FIN-002</t>
        </is>
      </c>
      <c r="G158" s="3" t="inlineStr">
        <is>
          <t>Group</t>
        </is>
      </c>
      <c r="H158" s="3" t="inlineStr">
        <is>
          <t>238.4 ₹ m</t>
        </is>
      </c>
      <c r="I158" s="21">
        <f>'Owner KPIs'!K30</f>
        <v/>
      </c>
      <c r="J158" s="3" t="inlineStr">
        <is>
          <t>Owner KPIs sheet, row 30 (Group, Sep 2026)</t>
        </is>
      </c>
    </row>
    <row r="159">
      <c r="A159" s="3" t="n">
        <v>158</v>
      </c>
      <c r="B159" s="3" t="inlineStr">
        <is>
          <t>O-01 · large display ≥ 1600</t>
        </is>
      </c>
      <c r="C159" s="3" t="inlineStr">
        <is>
          <t>Enterprise Health</t>
        </is>
      </c>
      <c r="D159" s="3" t="inlineStr">
        <is>
          <t>Table</t>
        </is>
      </c>
      <c r="E159" s="3" t="inlineStr">
        <is>
          <t>Revenue YTD</t>
        </is>
      </c>
      <c r="F159" s="3" t="inlineStr">
        <is>
          <t>FIN-003</t>
        </is>
      </c>
      <c r="G159" s="3" t="inlineStr">
        <is>
          <t>Group</t>
        </is>
      </c>
      <c r="H159" s="3" t="inlineStr">
        <is>
          <t>2,410 ₹ m</t>
        </is>
      </c>
      <c r="I159" s="21">
        <f>'Owner KPIs'!K31</f>
        <v/>
      </c>
      <c r="J159" s="3" t="inlineStr">
        <is>
          <t>Owner KPIs sheet, row 31 (Group, Sep 2026)</t>
        </is>
      </c>
    </row>
    <row r="160">
      <c r="A160" s="3" t="n">
        <v>159</v>
      </c>
      <c r="B160" s="3" t="inlineStr">
        <is>
          <t>O-01 · large display ≥ 1600</t>
        </is>
      </c>
      <c r="C160" s="3" t="inlineStr">
        <is>
          <t>Enterprise Health</t>
        </is>
      </c>
      <c r="D160" s="3" t="inlineStr">
        <is>
          <t>Table</t>
        </is>
      </c>
      <c r="E160" s="3" t="inlineStr">
        <is>
          <t>ROCE (rolling 12 m)</t>
        </is>
      </c>
      <c r="F160" s="3" t="inlineStr">
        <is>
          <t>FIN-005</t>
        </is>
      </c>
      <c r="G160" s="3" t="inlineStr">
        <is>
          <t>Group</t>
        </is>
      </c>
      <c r="H160" s="3" t="inlineStr">
        <is>
          <t>11.8%</t>
        </is>
      </c>
      <c r="I160" s="21">
        <f>'Owner KPIs'!K33</f>
        <v/>
      </c>
      <c r="J160" s="3" t="inlineStr">
        <is>
          <t>Owner KPIs sheet, row 33 (Group, Sep 2026)</t>
        </is>
      </c>
    </row>
    <row r="161">
      <c r="A161" s="3" t="n">
        <v>160</v>
      </c>
      <c r="B161" s="3" t="inlineStr">
        <is>
          <t>O-01 · large display ≥ 1600</t>
        </is>
      </c>
      <c r="C161" s="3" t="inlineStr">
        <is>
          <t>Enterprise Health</t>
        </is>
      </c>
      <c r="D161" s="3" t="inlineStr">
        <is>
          <t>Table</t>
        </is>
      </c>
      <c r="E161" s="3" t="inlineStr">
        <is>
          <t>Shareholder-value indicator</t>
        </is>
      </c>
      <c r="F161" s="3" t="inlineStr">
        <is>
          <t>FIN-007</t>
        </is>
      </c>
      <c r="G161" s="3" t="inlineStr">
        <is>
          <t>Group</t>
        </is>
      </c>
      <c r="H161" s="3" t="inlineStr">
        <is>
          <t>[PLACEHOLDER]</t>
        </is>
      </c>
      <c r="I161" s="21">
        <f>'Owner KPIs'!K35</f>
        <v/>
      </c>
      <c r="J161" s="3" t="inlineStr">
        <is>
          <t>Owner KPIs sheet, row 35 (Group, Sep 2026)</t>
        </is>
      </c>
    </row>
    <row r="162">
      <c r="A162" s="3" t="n">
        <v>161</v>
      </c>
      <c r="B162" s="3" t="inlineStr">
        <is>
          <t>O-01 · large display ≥ 1600</t>
        </is>
      </c>
      <c r="C162" s="3" t="inlineStr">
        <is>
          <t>Enterprise Health</t>
        </is>
      </c>
      <c r="D162" s="3" t="inlineStr">
        <is>
          <t>Table</t>
        </is>
      </c>
      <c r="E162" s="3" t="inlineStr">
        <is>
          <t>Transformation progress</t>
        </is>
      </c>
      <c r="F162" s="3" t="inlineStr">
        <is>
          <t>STR-002</t>
        </is>
      </c>
      <c r="G162" s="3" t="inlineStr">
        <is>
          <t>Group</t>
        </is>
      </c>
      <c r="H162" s="3" t="inlineStr">
        <is>
          <t>54%</t>
        </is>
      </c>
      <c r="I162" s="21">
        <f>'Owner KPIs'!K65</f>
        <v/>
      </c>
      <c r="J162" s="3" t="inlineStr">
        <is>
          <t>Owner KPIs sheet, row 65 (Group, Sep 2026)</t>
        </is>
      </c>
    </row>
    <row r="163">
      <c r="A163" s="3" t="n">
        <v>162</v>
      </c>
      <c r="B163" s="3" t="inlineStr">
        <is>
          <t>O-01 · large display ≥ 1600</t>
        </is>
      </c>
      <c r="C163" s="3" t="inlineStr">
        <is>
          <t>Enterprise Health</t>
        </is>
      </c>
      <c r="D163" s="3" t="inlineStr">
        <is>
          <t>Table</t>
        </is>
      </c>
      <c r="E163" s="3" t="inlineStr">
        <is>
          <t>Regulatory breaches · YTD</t>
        </is>
      </c>
      <c r="F163" s="3" t="inlineStr">
        <is>
          <t>RSK-003</t>
        </is>
      </c>
      <c r="G163" s="3" t="inlineStr">
        <is>
          <t>Group</t>
        </is>
      </c>
      <c r="H163" s="3" t="inlineStr">
        <is>
          <t>0</t>
        </is>
      </c>
      <c r="I163" s="21">
        <f>'Owner KPIs'!K79</f>
        <v/>
      </c>
      <c r="J163" s="3" t="inlineStr">
        <is>
          <t>Owner KPIs sheet, row 79 (Group, Sep 2026)</t>
        </is>
      </c>
    </row>
  </sheetData>
  <autoFilter ref="A1:J163"/>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G9"/>
  <sheetViews>
    <sheetView workbookViewId="0">
      <pane xSplit="2" ySplit="3" topLeftCell="C4" activePane="bottomRight" state="frozen"/>
      <selection pane="topRight" activeCell="C1" sqref="C1"/>
      <selection pane="bottomLeft" activeCell="A4" sqref="A4"/>
      <selection pane="bottomRight" activeCell="A1" sqref="A1"/>
    </sheetView>
  </sheetViews>
  <sheetFormatPr baseColWidth="8" defaultRowHeight="15"/>
  <cols>
    <col width="10.7109375" customWidth="1" min="1" max="2"/>
    <col width="15.7109375" customWidth="1" min="3" max="189"/>
  </cols>
  <sheetData>
    <row r="1" ht="48" customHeight="1">
      <c r="A1" s="9" t="inlineStr">
        <is>
          <t>Group</t>
        </is>
      </c>
      <c r="B1" s="9" t="inlineStr">
        <is>
          <t>Month</t>
        </is>
      </c>
      <c r="C1" s="9" t="inlineStr">
        <is>
          <t>Days in month</t>
        </is>
      </c>
      <c r="D1" s="9" t="inlineStr">
        <is>
          <t>Months since April (YTD)</t>
        </is>
      </c>
      <c r="E1" s="9" t="inlineStr">
        <is>
          <t>Calendar hours (h)</t>
        </is>
      </c>
      <c r="F1" s="9" t="inlineStr">
        <is>
          <t>Planned operating hours (h)</t>
        </is>
      </c>
      <c r="G1" s="9" t="inlineStr">
        <is>
          <t>Run hours (h)</t>
        </is>
      </c>
      <c r="H1" s="9" t="inlineStr">
        <is>
          <t>Unplanned downtime (h)</t>
        </is>
      </c>
      <c r="I1" s="9" t="inlineStr">
        <is>
          <t>Ideal output (t)</t>
        </is>
      </c>
      <c r="J1" s="9" t="inlineStr">
        <is>
          <t>Installed capacity (t)</t>
        </is>
      </c>
      <c r="K1" s="9" t="inlineStr">
        <is>
          <t>Planned production (t)</t>
        </is>
      </c>
      <c r="L1" s="9" t="inlineStr">
        <is>
          <t>Gross output (t)</t>
        </is>
      </c>
      <c r="M1" s="9" t="inlineStr">
        <is>
          <t>Good output (t)</t>
        </is>
      </c>
      <c r="N1" s="9" t="inlineStr">
        <is>
          <t>Feed input (t)</t>
        </is>
      </c>
      <c r="O1" s="9" t="inlineStr">
        <is>
          <t>Valuable content in feed (t)</t>
        </is>
      </c>
      <c r="P1" s="9" t="inlineStr">
        <is>
          <t>Valuable content recovered (t)</t>
        </is>
      </c>
      <c r="Q1" s="9" t="inlineStr">
        <is>
          <t>Production lost to downtime (t)</t>
        </is>
      </c>
      <c r="R1" s="9" t="inlineStr">
        <is>
          <t>Breakdowns (count)</t>
        </is>
      </c>
      <c r="S1" s="9" t="inlineStr">
        <is>
          <t>Repair hours (h)</t>
        </is>
      </c>
      <c r="T1" s="9" t="inlineStr">
        <is>
          <t>Preventive maintenance scheduled (count)</t>
        </is>
      </c>
      <c r="U1" s="9" t="inlineStr">
        <is>
          <t>Preventive maintenance completed (count)</t>
        </is>
      </c>
      <c r="V1" s="9" t="inlineStr">
        <is>
          <t>Variable cost (₹ thousand)</t>
        </is>
      </c>
      <c r="W1" s="9" t="inlineStr">
        <is>
          <t>Fuel cost (₹ thousand)</t>
        </is>
      </c>
      <c r="X1" s="9" t="inlineStr">
        <is>
          <t>Fixed cost (₹ thousand)</t>
        </is>
      </c>
      <c r="Y1" s="9" t="inlineStr">
        <is>
          <t>Water used (m³)</t>
        </is>
      </c>
      <c r="Z1" s="9" t="inlineStr">
        <is>
          <t>Emissions (t CO2e)</t>
        </is>
      </c>
      <c r="AA1" s="9" t="inlineStr">
        <is>
          <t>Energy used (GJ)</t>
        </is>
      </c>
      <c r="AB1" s="9" t="inlineStr">
        <is>
          <t>Production at risk (t)</t>
        </is>
      </c>
      <c r="AC1" s="9" t="inlineStr">
        <is>
          <t>Critical plant alerts (count)</t>
        </is>
      </c>
      <c r="AD1" s="9" t="inlineStr">
        <is>
          <t>Hours worked (h)</t>
        </is>
      </c>
      <c r="AE1" s="9" t="inlineStr">
        <is>
          <t>Recordable injuries (count)</t>
        </is>
      </c>
      <c r="AF1" s="9" t="inlineStr">
        <is>
          <t>Severity incidents (count)</t>
        </is>
      </c>
      <c r="AG1" s="9" t="inlineStr">
        <is>
          <t>Near misses (count)</t>
        </is>
      </c>
      <c r="AH1" s="9" t="inlineStr">
        <is>
          <t>Critical safety incidents (count)</t>
        </is>
      </c>
      <c r="AI1" s="9" t="inlineStr">
        <is>
          <t>Environmental excursions (count)</t>
        </is>
      </c>
      <c r="AJ1" s="9" t="inlineStr">
        <is>
          <t>Environmental violations (count)</t>
        </is>
      </c>
      <c r="AK1" s="9" t="inlineStr">
        <is>
          <t>Open EHS corrective actions (count)</t>
        </is>
      </c>
      <c r="AL1" s="9" t="inlineStr">
        <is>
          <t>Overdue EHS corrective actions (count)</t>
        </is>
      </c>
      <c r="AM1" s="9" t="inlineStr">
        <is>
          <t>EHS investigations due (count)</t>
        </is>
      </c>
      <c r="AN1" s="9" t="inlineStr">
        <is>
          <t>EHS investigations completed (count)</t>
        </is>
      </c>
      <c r="AO1" s="9" t="inlineStr">
        <is>
          <t>Critical materials at risk (count)</t>
        </is>
      </c>
      <c r="AP1" s="9" t="inlineStr">
        <is>
          <t>Dispatches (count)</t>
        </is>
      </c>
      <c r="AQ1" s="9" t="inlineStr">
        <is>
          <t>Delayed dispatches (count)</t>
        </is>
      </c>
      <c r="AR1" s="9" t="inlineStr">
        <is>
          <t>Days to permit expiry (days)</t>
        </is>
      </c>
      <c r="AS1" s="9" t="inlineStr">
        <is>
          <t>Sales volume (t)</t>
        </is>
      </c>
      <c r="AT1" s="9" t="inlineStr">
        <is>
          <t>Planned sales volume (t)</t>
        </is>
      </c>
      <c r="AU1" s="9" t="inlineStr">
        <is>
          <t>Revenue (₹ thousand)</t>
        </is>
      </c>
      <c r="AV1" s="9" t="inlineStr">
        <is>
          <t>Planned revenue (₹ thousand)</t>
        </is>
      </c>
      <c r="AW1" s="9" t="inlineStr">
        <is>
          <t>Power cost, part of variable cost (₹ thousand)</t>
        </is>
      </c>
      <c r="AX1" s="9" t="inlineStr">
        <is>
          <t>Depreciation and amortisation (₹ thousand)</t>
        </is>
      </c>
      <c r="AY1" s="9" t="inlineStr">
        <is>
          <t>Purchase-order lines due (count)</t>
        </is>
      </c>
      <c r="AZ1" s="9" t="inlineStr">
        <is>
          <t>Purchase-order lines delivered on time (count)</t>
        </is>
      </c>
      <c r="BA1" s="9" t="inlineStr">
        <is>
          <t>Quantity ordered from suppliers (t)</t>
        </is>
      </c>
      <c r="BB1" s="9" t="inlineStr">
        <is>
          <t>Quantity received (t)</t>
        </is>
      </c>
      <c r="BC1" s="9" t="inlineStr">
        <is>
          <t>Quantity rejected on quality (t)</t>
        </is>
      </c>
      <c r="BD1" s="9" t="inlineStr">
        <is>
          <t>Planned lead time, all deliveries (days)</t>
        </is>
      </c>
      <c r="BE1" s="9" t="inlineStr">
        <is>
          <t>Actual lead time, all deliveries (days)</t>
        </is>
      </c>
      <c r="BF1" s="9" t="inlineStr">
        <is>
          <t>Supplier spend (₹ thousand)</t>
        </is>
      </c>
      <c r="BG1" s="9" t="inlineStr">
        <is>
          <t>Spend with single-source suppliers (₹ thousand)</t>
        </is>
      </c>
      <c r="BH1" s="9" t="inlineStr">
        <is>
          <t>Supplier EHS incidents (count)</t>
        </is>
      </c>
      <c r="BI1" s="9" t="inlineStr">
        <is>
          <t>Regulatory filings pending (count)</t>
        </is>
      </c>
      <c r="BJ1" s="9" t="inlineStr">
        <is>
          <t>Regulatory deadlines in next 30 days (count)</t>
        </is>
      </c>
      <c r="BK1" s="9" t="inlineStr">
        <is>
          <t>Licences expiring in next 12 months (count)</t>
        </is>
      </c>
      <c r="BL1" s="9" t="inlineStr">
        <is>
          <t>Regulatory obligations due in next 30 days (count)</t>
        </is>
      </c>
      <c r="BM1" s="9" t="inlineStr">
        <is>
          <t>Regulatory obligations overdue (count)</t>
        </is>
      </c>
      <c r="BN1" s="9" t="inlineStr">
        <is>
          <t>Open regulatory actions (count)</t>
        </is>
      </c>
      <c r="BO1" s="9" t="inlineStr">
        <is>
          <t>Overdue compliance actions (count)</t>
        </is>
      </c>
      <c r="BP1" s="9" t="inlineStr">
        <is>
          <t>Regulatory breaches in the month (count)</t>
        </is>
      </c>
      <c r="BQ1" s="9" t="inlineStr">
        <is>
          <t>Events that trigger a disclosure clock (count)</t>
        </is>
      </c>
      <c r="BR1" s="9" t="inlineStr">
        <is>
          <t>EHS escalation clocks running (count)</t>
        </is>
      </c>
      <c r="BS1" s="9" t="inlineStr">
        <is>
          <t>Days until production plan is breached, forecast (days; 99 = not expected)</t>
        </is>
      </c>
      <c r="BT1" s="9" t="inlineStr">
        <is>
          <t>Planned production next month (t)</t>
        </is>
      </c>
      <c r="BU1" s="9" t="inlineStr">
        <is>
          <t>Forecast good output next month (t)</t>
        </is>
      </c>
      <c r="BV1" s="9" t="inlineStr">
        <is>
          <t>Forecast uncertainty next month (variance, t²)</t>
        </is>
      </c>
      <c r="BW1" s="9" t="inlineStr">
        <is>
          <t>Ideal output next month (t)</t>
        </is>
      </c>
      <c r="BX1" s="9" t="inlineStr">
        <is>
          <t>Forecast production lost to downtime next month (t)</t>
        </is>
      </c>
      <c r="BY1" s="9" t="inlineStr">
        <is>
          <t>Overheads, SG&amp;A (₹ thousand)</t>
        </is>
      </c>
      <c r="BZ1" s="9" t="inlineStr">
        <is>
          <t>Tax paid (₹ thousand)</t>
        </is>
      </c>
      <c r="CA1" s="9" t="inlineStr">
        <is>
          <t>Capital employed, month end (₹ thousand)</t>
        </is>
      </c>
      <c r="CB1" s="9" t="inlineStr">
        <is>
          <t>Gross debt, month end (₹ thousand)</t>
        </is>
      </c>
      <c r="CC1" s="9" t="inlineStr">
        <is>
          <t>Cash, month end (₹ thousand)</t>
        </is>
      </c>
      <c r="CD1" s="9" t="inlineStr">
        <is>
          <t>Undrawn committed facilities (₹ thousand)</t>
        </is>
      </c>
      <c r="CE1" s="9" t="inlineStr">
        <is>
          <t>Debt service in the month (₹ thousand)</t>
        </is>
      </c>
      <c r="CF1" s="9" t="inlineStr">
        <is>
          <t>Debt maturing in next 12 months (₹ thousand)</t>
        </is>
      </c>
      <c r="CG1" s="9" t="inlineStr">
        <is>
          <t>Floating-rate debt (₹ thousand)</t>
        </is>
      </c>
      <c r="CH1" s="9" t="inlineStr">
        <is>
          <t>EBITDA as reported in the Board pack (₹ thousand)</t>
        </is>
      </c>
      <c r="CI1" s="9" t="inlineStr">
        <is>
          <t>Revenue in the flash report (₹ thousand)</t>
        </is>
      </c>
      <c r="CJ1" s="9" t="inlineStr">
        <is>
          <t>Trade receivables, month end (₹ thousand)</t>
        </is>
      </c>
      <c r="CK1" s="9" t="inlineStr">
        <is>
          <t>Trade payables, month end (₹ thousand)</t>
        </is>
      </c>
      <c r="CL1" s="9" t="inlineStr">
        <is>
          <t>Inventory, month end (₹ thousand)</t>
        </is>
      </c>
      <c r="CM1" s="9" t="inlineStr">
        <is>
          <t>Cash collected from customers (₹ thousand)</t>
        </is>
      </c>
      <c r="CN1" s="9" t="inlineStr">
        <is>
          <t>Cash released by working-capital actions (₹ thousand)</t>
        </is>
      </c>
      <c r="CO1" s="9" t="inlineStr">
        <is>
          <t>Cash due to be upstreamed to Group, next 30 days (₹ thousand)</t>
        </is>
      </c>
      <c r="CP1" s="9" t="inlineStr">
        <is>
          <t>Of which covered by available cash (₹ thousand)</t>
        </is>
      </c>
      <c r="CQ1" s="9" t="inlineStr">
        <is>
          <t>Invoices collected (count)</t>
        </is>
      </c>
      <c r="CR1" s="9" t="inlineStr">
        <is>
          <t>Days taken to collect, all invoices (days)</t>
        </is>
      </c>
      <c r="CS1" s="9" t="inlineStr">
        <is>
          <t>Agreed payment terms, all invoices (days)</t>
        </is>
      </c>
      <c r="CT1" s="9" t="inlineStr">
        <is>
          <t>Customers more than 30 days overdue (count)</t>
        </is>
      </c>
      <c r="CU1" s="9" t="inlineStr">
        <is>
          <t>Forecast EBITDA, rest of year (₹ thousand)</t>
        </is>
      </c>
      <c r="CV1" s="9" t="inlineStr">
        <is>
          <t>Planned EBITDA, rest of year (₹ thousand)</t>
        </is>
      </c>
      <c r="CW1" s="9" t="inlineStr">
        <is>
          <t>Forecast net cash flow, next 90 days (₹ thousand)</t>
        </is>
      </c>
      <c r="CX1" s="9" t="inlineStr">
        <is>
          <t>Forecast net debt at quarter end (₹ thousand)</t>
        </is>
      </c>
      <c r="CY1" s="9" t="inlineStr">
        <is>
          <t>Forecast EBITDA, 12 months to quarter end (₹ thousand)</t>
        </is>
      </c>
      <c r="CZ1" s="9" t="inlineStr">
        <is>
          <t>Foreign-currency exposure, gross (₹ thousand)</t>
        </is>
      </c>
      <c r="DA1" s="9" t="inlineStr">
        <is>
          <t>Foreign-currency exposure hedged (₹ thousand)</t>
        </is>
      </c>
      <c r="DB1" s="9" t="inlineStr">
        <is>
          <t>USD exposure, gross (₹ thousand)</t>
        </is>
      </c>
      <c r="DC1" s="9" t="inlineStr">
        <is>
          <t>USD exposure hedged (₹ thousand)</t>
        </is>
      </c>
      <c r="DD1" s="9" t="inlineStr">
        <is>
          <t>Change in value of hedges (₹ thousand)</t>
        </is>
      </c>
      <c r="DE1" s="9" t="inlineStr">
        <is>
          <t>Change in value of hedged items (₹ thousand)</t>
        </is>
      </c>
      <c r="DF1" s="9" t="inlineStr">
        <is>
          <t>Forecast foreign-currency flows, next 6 months (₹ thousand)</t>
        </is>
      </c>
      <c r="DG1" s="9" t="inlineStr">
        <is>
          <t>Of which hedged (₹ thousand)</t>
        </is>
      </c>
      <c r="DH1" s="9" t="inlineStr">
        <is>
          <t>Approved capex budget, full year (₹ thousand)</t>
        </is>
      </c>
      <c r="DI1" s="9" t="inlineStr">
        <is>
          <t>Capex committed to date (₹ thousand)</t>
        </is>
      </c>
      <c r="DJ1" s="9" t="inlineStr">
        <is>
          <t>Capex spent in the month (₹ thousand)</t>
        </is>
      </c>
      <c r="DK1" s="9" t="inlineStr">
        <is>
          <t>Capex work completed, valued at budget (₹ thousand)</t>
        </is>
      </c>
      <c r="DL1" s="9" t="inlineStr">
        <is>
          <t>Budget of capex projects at risk (₹ thousand)</t>
        </is>
      </c>
      <c r="DM1" s="9" t="inlineStr">
        <is>
          <t>Capex projects on track (count)</t>
        </is>
      </c>
      <c r="DN1" s="9" t="inlineStr">
        <is>
          <t>Capex projects at risk (count)</t>
        </is>
      </c>
      <c r="DO1" s="9" t="inlineStr">
        <is>
          <t>Capex projects off track (count)</t>
        </is>
      </c>
      <c r="DP1" s="9" t="inlineStr">
        <is>
          <t>Capex projects delayed (count)</t>
        </is>
      </c>
      <c r="DQ1" s="9" t="inlineStr">
        <is>
          <t>Contractor milestones due (count)</t>
        </is>
      </c>
      <c r="DR1" s="9" t="inlineStr">
        <is>
          <t>Contractor days late, all milestones (days)</t>
        </is>
      </c>
      <c r="DS1" s="9" t="inlineStr">
        <is>
          <t>Transformation initiatives on track (count)</t>
        </is>
      </c>
      <c r="DT1" s="9" t="inlineStr">
        <is>
          <t>Transformation initiatives at risk (count)</t>
        </is>
      </c>
      <c r="DU1" s="9" t="inlineStr">
        <is>
          <t>Transformation initiatives delayed (count)</t>
        </is>
      </c>
      <c r="DV1" s="9" t="inlineStr">
        <is>
          <t>Transformation milestones in plan (count)</t>
        </is>
      </c>
      <c r="DW1" s="9" t="inlineStr">
        <is>
          <t>Transformation milestones completed (count)</t>
        </is>
      </c>
      <c r="DX1" s="9" t="inlineStr">
        <is>
          <t>Programme benefits planned in the month (₹ thousand)</t>
        </is>
      </c>
      <c r="DY1" s="9" t="inlineStr">
        <is>
          <t>Programme benefits delivered in the month (₹ thousand)</t>
        </is>
      </c>
      <c r="DZ1" s="9" t="inlineStr">
        <is>
          <t>EBITDA benefit delivered (₹ thousand)</t>
        </is>
      </c>
      <c r="EA1" s="9" t="inlineStr">
        <is>
          <t>Cash benefit delivered (₹ thousand)</t>
        </is>
      </c>
      <c r="EB1" s="9" t="inlineStr">
        <is>
          <t>Cost savings delivered (₹ thousand)</t>
        </is>
      </c>
      <c r="EC1" s="9" t="inlineStr">
        <is>
          <t>Active supply contracts (count)</t>
        </is>
      </c>
      <c r="ED1" s="9" t="inlineStr">
        <is>
          <t>Contracts fully compliant (count)</t>
        </is>
      </c>
      <c r="EE1" s="9" t="inlineStr">
        <is>
          <t>Contracts expiring in next 90 days (count)</t>
        </is>
      </c>
      <c r="EF1" s="9" t="inlineStr">
        <is>
          <t>Suppliers not meeting EHS requirements (count)</t>
        </is>
      </c>
      <c r="EG1" s="9" t="inlineStr">
        <is>
          <t>Critical single-source suppliers (count)</t>
        </is>
      </c>
      <c r="EH1" s="9" t="inlineStr">
        <is>
          <t>Control failures (count)</t>
        </is>
      </c>
      <c r="EI1" s="9" t="inlineStr">
        <is>
          <t>High-severity control failures (count)</t>
        </is>
      </c>
      <c r="EJ1" s="9" t="inlineStr">
        <is>
          <t>Assurance reviews planned (count)</t>
        </is>
      </c>
      <c r="EK1" s="9" t="inlineStr">
        <is>
          <t>Assurance reviews completed (count)</t>
        </is>
      </c>
      <c r="EL1" s="9" t="inlineStr">
        <is>
          <t>Policy exceptions (count)</t>
        </is>
      </c>
      <c r="EM1" s="9" t="inlineStr">
        <is>
          <t>Unauthorised vendor uses (count)</t>
        </is>
      </c>
      <c r="EN1" s="9" t="inlineStr">
        <is>
          <t>Segregation-of-duties exceptions (count)</t>
        </is>
      </c>
      <c r="EO1" s="9" t="inlineStr">
        <is>
          <t>Unauthorised access events (count)</t>
        </is>
      </c>
      <c r="EP1" s="9" t="inlineStr">
        <is>
          <t>Data-sharing exceptions (count)</t>
        </is>
      </c>
      <c r="EQ1" s="9" t="inlineStr">
        <is>
          <t>Manual operational or system overrides (count)</t>
        </is>
      </c>
      <c r="ER1" s="9" t="inlineStr">
        <is>
          <t>Certification approvals past due date (count)</t>
        </is>
      </c>
      <c r="ES1" s="9" t="inlineStr">
        <is>
          <t>KPI values overridden (count)</t>
        </is>
      </c>
      <c r="ET1" s="9" t="inlineStr">
        <is>
          <t>Recurring data-quality issues (count)</t>
        </is>
      </c>
      <c r="EU1" s="9" t="inlineStr">
        <is>
          <t>Open audit findings (count)</t>
        </is>
      </c>
      <c r="EV1" s="9" t="inlineStr">
        <is>
          <t>Overdue assurance actions (count)</t>
        </is>
      </c>
      <c r="EW1" s="9" t="inlineStr">
        <is>
          <t>Repeat audit findings (count)</t>
        </is>
      </c>
      <c r="EX1" s="9" t="inlineStr">
        <is>
          <t>Leadership KPIs affected by open findings (count)</t>
        </is>
      </c>
      <c r="EY1" s="9" t="inlineStr">
        <is>
          <t>Evidence items required (count)</t>
        </is>
      </c>
      <c r="EZ1" s="9" t="inlineStr">
        <is>
          <t>Evidence items complete (count)</t>
        </is>
      </c>
      <c r="FA1" s="9" t="inlineStr">
        <is>
          <t>Audit findings closed in the month (count)</t>
        </is>
      </c>
      <c r="FB1" s="9" t="inlineStr">
        <is>
          <t>Days taken to close those findings (days)</t>
        </is>
      </c>
      <c r="FC1" s="9" t="inlineStr">
        <is>
          <t>Leadership KPI values reported (count)</t>
        </is>
      </c>
      <c r="FD1" s="9" t="inlineStr">
        <is>
          <t>Of which certified (count)</t>
        </is>
      </c>
      <c r="FE1" s="9" t="inlineStr">
        <is>
          <t>Of which inside the certification process (count)</t>
        </is>
      </c>
      <c r="FF1" s="9" t="inlineStr">
        <is>
          <t>Certifications overdue (count)</t>
        </is>
      </c>
      <c r="FG1" s="9" t="inlineStr">
        <is>
          <t>Open reconciliation breaks (count)</t>
        </is>
      </c>
      <c r="FH1" s="9" t="inlineStr">
        <is>
          <t>Material reconciliation breaks (count)</t>
        </is>
      </c>
      <c r="FI1" s="9" t="inlineStr">
        <is>
          <t>Records loaded to the data lake (count)</t>
        </is>
      </c>
      <c r="FJ1" s="9" t="inlineStr">
        <is>
          <t>Records reconciled to source (count)</t>
        </is>
      </c>
      <c r="FK1" s="9" t="inlineStr">
        <is>
          <t>Flash report lines (count)</t>
        </is>
      </c>
      <c r="FL1" s="9" t="inlineStr">
        <is>
          <t>Flash lines matching MIS (count)</t>
        </is>
      </c>
      <c r="FM1" s="9" t="inlineStr">
        <is>
          <t>Open critical alerts (count)</t>
        </is>
      </c>
      <c r="FN1" s="9" t="inlineStr">
        <is>
          <t>Alerts with no accepted owner (count)</t>
        </is>
      </c>
      <c r="FO1" s="9" t="inlineStr">
        <is>
          <t>Overdue actions (count)</t>
        </is>
      </c>
      <c r="FP1" s="9" t="inlineStr">
        <is>
          <t>Alerts resolved in the month (count)</t>
        </is>
      </c>
      <c r="FQ1" s="9" t="inlineStr">
        <is>
          <t>Days taken to resolve those alerts (days)</t>
        </is>
      </c>
      <c r="FR1" s="9" t="inlineStr">
        <is>
          <t>Escalations closed in the month (count)</t>
        </is>
      </c>
      <c r="FS1" s="9" t="inlineStr">
        <is>
          <t>Repeat issues raised in the month (count)</t>
        </is>
      </c>
      <c r="FT1" s="9" t="inlineStr">
        <is>
          <t>Root causes identified (count)</t>
        </is>
      </c>
      <c r="FU1" s="9" t="inlineStr">
        <is>
          <t>Root causes eliminated (count)</t>
        </is>
      </c>
      <c r="FV1" s="10" t="inlineStr">
        <is>
          <t>EBITDA (₹ thousand)</t>
        </is>
      </c>
      <c r="FW1" s="10" t="inlineStr">
        <is>
          <t>EBIT (₹ thousand)</t>
        </is>
      </c>
      <c r="FX1" s="10" t="inlineStr">
        <is>
          <t>Net working capital (₹ thousand)</t>
        </is>
      </c>
      <c r="FY1" s="10" t="inlineStr">
        <is>
          <t>Change in net working capital (₹ thousand)</t>
        </is>
      </c>
      <c r="FZ1" s="10" t="inlineStr">
        <is>
          <t>Operating cash flow (₹ thousand)</t>
        </is>
      </c>
      <c r="GA1" s="10" t="inlineStr">
        <is>
          <t>Free cash flow (₹ thousand)</t>
        </is>
      </c>
      <c r="GB1" s="10" t="inlineStr">
        <is>
          <t>Net debt (₹ thousand)</t>
        </is>
      </c>
      <c r="GC1" s="10" t="inlineStr">
        <is>
          <t>EBITDA, annualised (₹ thousand)</t>
        </is>
      </c>
      <c r="GD1" s="10" t="inlineStr">
        <is>
          <t>DSO (days)</t>
        </is>
      </c>
      <c r="GE1" s="10" t="inlineStr">
        <is>
          <t>DPO (days)</t>
        </is>
      </c>
      <c r="GF1" s="10" t="inlineStr">
        <is>
          <t>Inventory days (days)</t>
        </is>
      </c>
      <c r="GG1" s="10" t="inlineStr">
        <is>
          <t>Realised price vs plan (%)</t>
        </is>
      </c>
    </row>
    <row r="2">
      <c r="A2" s="11" t="inlineStr">
        <is>
          <t>group</t>
        </is>
      </c>
      <c r="B2" s="11" t="inlineStr">
        <is>
          <t>period</t>
        </is>
      </c>
      <c r="C2" s="11" t="inlineStr">
        <is>
          <t>days</t>
        </is>
      </c>
      <c r="D2" s="11" t="inlineStr">
        <is>
          <t>ytd_months</t>
        </is>
      </c>
      <c r="E2" s="11" t="inlineStr">
        <is>
          <t>calendar_hours</t>
        </is>
      </c>
      <c r="F2" s="11" t="inlineStr">
        <is>
          <t>planned_op_hours</t>
        </is>
      </c>
      <c r="G2" s="11" t="inlineStr">
        <is>
          <t>run_hours</t>
        </is>
      </c>
      <c r="H2" s="11" t="inlineStr">
        <is>
          <t>unplanned_downtime_hours</t>
        </is>
      </c>
      <c r="I2" s="11" t="inlineStr">
        <is>
          <t>ideal_output_t</t>
        </is>
      </c>
      <c r="J2" s="11" t="inlineStr">
        <is>
          <t>installed_capacity_t</t>
        </is>
      </c>
      <c r="K2" s="11" t="inlineStr">
        <is>
          <t>planned_production_t</t>
        </is>
      </c>
      <c r="L2" s="11" t="inlineStr">
        <is>
          <t>gross_output_t</t>
        </is>
      </c>
      <c r="M2" s="11" t="inlineStr">
        <is>
          <t>good_output_t</t>
        </is>
      </c>
      <c r="N2" s="11" t="inlineStr">
        <is>
          <t>feed_input_t</t>
        </is>
      </c>
      <c r="O2" s="11" t="inlineStr">
        <is>
          <t>feed_contained_t</t>
        </is>
      </c>
      <c r="P2" s="11" t="inlineStr">
        <is>
          <t>recovered_contained_t</t>
        </is>
      </c>
      <c r="Q2" s="11" t="inlineStr">
        <is>
          <t>prod_loss_downtime_t</t>
        </is>
      </c>
      <c r="R2" s="11" t="inlineStr">
        <is>
          <t>failures</t>
        </is>
      </c>
      <c r="S2" s="11" t="inlineStr">
        <is>
          <t>repair_hours</t>
        </is>
      </c>
      <c r="T2" s="11" t="inlineStr">
        <is>
          <t>pm_scheduled</t>
        </is>
      </c>
      <c r="U2" s="11" t="inlineStr">
        <is>
          <t>pm_completed</t>
        </is>
      </c>
      <c r="V2" s="11" t="inlineStr">
        <is>
          <t>variable_cost_k</t>
        </is>
      </c>
      <c r="W2" s="11" t="inlineStr">
        <is>
          <t>fuel_cost_k</t>
        </is>
      </c>
      <c r="X2" s="11" t="inlineStr">
        <is>
          <t>fixed_cost_k</t>
        </is>
      </c>
      <c r="Y2" s="11" t="inlineStr">
        <is>
          <t>water_m3</t>
        </is>
      </c>
      <c r="Z2" s="11" t="inlineStr">
        <is>
          <t>emissions_tco2e</t>
        </is>
      </c>
      <c r="AA2" s="11" t="inlineStr">
        <is>
          <t>energy_gj</t>
        </is>
      </c>
      <c r="AB2" s="11" t="inlineStr">
        <is>
          <t>production_at_risk_t</t>
        </is>
      </c>
      <c r="AC2" s="11" t="inlineStr">
        <is>
          <t>critical_plant_alerts</t>
        </is>
      </c>
      <c r="AD2" s="11" t="inlineStr">
        <is>
          <t>hours_worked</t>
        </is>
      </c>
      <c r="AE2" s="11" t="inlineStr">
        <is>
          <t>recordable_injuries</t>
        </is>
      </c>
      <c r="AF2" s="11" t="inlineStr">
        <is>
          <t>severity_incidents</t>
        </is>
      </c>
      <c r="AG2" s="11" t="inlineStr">
        <is>
          <t>near_misses</t>
        </is>
      </c>
      <c r="AH2" s="11" t="inlineStr">
        <is>
          <t>critical_safety_incidents</t>
        </is>
      </c>
      <c r="AI2" s="11" t="inlineStr">
        <is>
          <t>env_excursions</t>
        </is>
      </c>
      <c r="AJ2" s="11" t="inlineStr">
        <is>
          <t>env_violations</t>
        </is>
      </c>
      <c r="AK2" s="11" t="inlineStr">
        <is>
          <t>ehs_ca_open</t>
        </is>
      </c>
      <c r="AL2" s="11" t="inlineStr">
        <is>
          <t>ehs_ca_overdue</t>
        </is>
      </c>
      <c r="AM2" s="11" t="inlineStr">
        <is>
          <t>investigations_due</t>
        </is>
      </c>
      <c r="AN2" s="11" t="inlineStr">
        <is>
          <t>investigations_completed</t>
        </is>
      </c>
      <c r="AO2" s="11" t="inlineStr">
        <is>
          <t>critical_material_risks</t>
        </is>
      </c>
      <c r="AP2" s="11" t="inlineStr">
        <is>
          <t>dispatches_total</t>
        </is>
      </c>
      <c r="AQ2" s="11" t="inlineStr">
        <is>
          <t>dispatches_delayed</t>
        </is>
      </c>
      <c r="AR2" s="11" t="inlineStr">
        <is>
          <t>permit_days_to_expiry</t>
        </is>
      </c>
      <c r="AS2" s="11" t="inlineStr">
        <is>
          <t>sales_t</t>
        </is>
      </c>
      <c r="AT2" s="11" t="inlineStr">
        <is>
          <t>planned_sales_t</t>
        </is>
      </c>
      <c r="AU2" s="11" t="inlineStr">
        <is>
          <t>revenue_k</t>
        </is>
      </c>
      <c r="AV2" s="11" t="inlineStr">
        <is>
          <t>planned_revenue_k</t>
        </is>
      </c>
      <c r="AW2" s="11" t="inlineStr">
        <is>
          <t>power_cost_k</t>
        </is>
      </c>
      <c r="AX2" s="11" t="inlineStr">
        <is>
          <t>depreciation_k</t>
        </is>
      </c>
      <c r="AY2" s="11" t="inlineStr">
        <is>
          <t>po_lines_due</t>
        </is>
      </c>
      <c r="AZ2" s="11" t="inlineStr">
        <is>
          <t>po_lines_on_time</t>
        </is>
      </c>
      <c r="BA2" s="11" t="inlineStr">
        <is>
          <t>qty_ordered_t</t>
        </is>
      </c>
      <c r="BB2" s="11" t="inlineStr">
        <is>
          <t>qty_received_t</t>
        </is>
      </c>
      <c r="BC2" s="11" t="inlineStr">
        <is>
          <t>qty_rejected_t</t>
        </is>
      </c>
      <c r="BD2" s="11" t="inlineStr">
        <is>
          <t>lead_time_planned_days</t>
        </is>
      </c>
      <c r="BE2" s="11" t="inlineStr">
        <is>
          <t>lead_time_actual_days</t>
        </is>
      </c>
      <c r="BF2" s="11" t="inlineStr">
        <is>
          <t>supplier_spend_k</t>
        </is>
      </c>
      <c r="BG2" s="11" t="inlineStr">
        <is>
          <t>single_source_spend_k</t>
        </is>
      </c>
      <c r="BH2" s="11" t="inlineStr">
        <is>
          <t>supplier_ehs_incidents</t>
        </is>
      </c>
      <c r="BI2" s="11" t="inlineStr">
        <is>
          <t>pending_filings</t>
        </is>
      </c>
      <c r="BJ2" s="11" t="inlineStr">
        <is>
          <t>reg_deadlines_30d</t>
        </is>
      </c>
      <c r="BK2" s="11" t="inlineStr">
        <is>
          <t>licences_expiring_12m</t>
        </is>
      </c>
      <c r="BL2" s="11" t="inlineStr">
        <is>
          <t>reg_obligations_due_30d</t>
        </is>
      </c>
      <c r="BM2" s="11" t="inlineStr">
        <is>
          <t>reg_obligations_overdue</t>
        </is>
      </c>
      <c r="BN2" s="11" t="inlineStr">
        <is>
          <t>reg_actions_open</t>
        </is>
      </c>
      <c r="BO2" s="11" t="inlineStr">
        <is>
          <t>compliance_actions_overdue</t>
        </is>
      </c>
      <c r="BP2" s="11" t="inlineStr">
        <is>
          <t>reg_breaches</t>
        </is>
      </c>
      <c r="BQ2" s="11" t="inlineStr">
        <is>
          <t>disclosure_events_open</t>
        </is>
      </c>
      <c r="BR2" s="11" t="inlineStr">
        <is>
          <t>ehs_escalation_clocks</t>
        </is>
      </c>
      <c r="BS2" s="11" t="inlineStr">
        <is>
          <t>days_to_breach</t>
        </is>
      </c>
      <c r="BT2" s="11" t="inlineStr">
        <is>
          <t>planned_production_next_t</t>
        </is>
      </c>
      <c r="BU2" s="11" t="inlineStr">
        <is>
          <t>forecast_good_next_t</t>
        </is>
      </c>
      <c r="BV2" s="11" t="inlineStr">
        <is>
          <t>forecast_good_var_next</t>
        </is>
      </c>
      <c r="BW2" s="11" t="inlineStr">
        <is>
          <t>ideal_output_next_t</t>
        </is>
      </c>
      <c r="BX2" s="11" t="inlineStr">
        <is>
          <t>forecast_downtime_loss_next_t</t>
        </is>
      </c>
      <c r="BY2" s="11" t="inlineStr">
        <is>
          <t>overhead_k</t>
        </is>
      </c>
      <c r="BZ2" s="11" t="inlineStr">
        <is>
          <t>tax_paid_k</t>
        </is>
      </c>
      <c r="CA2" s="11" t="inlineStr">
        <is>
          <t>capital_employed_k</t>
        </is>
      </c>
      <c r="CB2" s="11" t="inlineStr">
        <is>
          <t>gross_debt_k</t>
        </is>
      </c>
      <c r="CC2" s="11" t="inlineStr">
        <is>
          <t>cash_k</t>
        </is>
      </c>
      <c r="CD2" s="11" t="inlineStr">
        <is>
          <t>undrawn_facilities_k</t>
        </is>
      </c>
      <c r="CE2" s="11" t="inlineStr">
        <is>
          <t>debt_service_k</t>
        </is>
      </c>
      <c r="CF2" s="11" t="inlineStr">
        <is>
          <t>debt_maturing_12m_k</t>
        </is>
      </c>
      <c r="CG2" s="11" t="inlineStr">
        <is>
          <t>floating_rate_debt_k</t>
        </is>
      </c>
      <c r="CH2" s="11" t="inlineStr">
        <is>
          <t>board_ebitda_k</t>
        </is>
      </c>
      <c r="CI2" s="11" t="inlineStr">
        <is>
          <t>flash_revenue_k</t>
        </is>
      </c>
      <c r="CJ2" s="11" t="inlineStr">
        <is>
          <t>receivables_k</t>
        </is>
      </c>
      <c r="CK2" s="11" t="inlineStr">
        <is>
          <t>payables_k</t>
        </is>
      </c>
      <c r="CL2" s="11" t="inlineStr">
        <is>
          <t>inventory_k</t>
        </is>
      </c>
      <c r="CM2" s="11" t="inlineStr">
        <is>
          <t>collections_k</t>
        </is>
      </c>
      <c r="CN2" s="11" t="inlineStr">
        <is>
          <t>cash_released_k</t>
        </is>
      </c>
      <c r="CO2" s="11" t="inlineStr">
        <is>
          <t>upstream_due_k</t>
        </is>
      </c>
      <c r="CP2" s="11" t="inlineStr">
        <is>
          <t>upstream_covered_k</t>
        </is>
      </c>
      <c r="CQ2" s="11" t="inlineStr">
        <is>
          <t>invoices_collected</t>
        </is>
      </c>
      <c r="CR2" s="11" t="inlineStr">
        <is>
          <t>collection_days</t>
        </is>
      </c>
      <c r="CS2" s="11" t="inlineStr">
        <is>
          <t>terms_days</t>
        </is>
      </c>
      <c r="CT2" s="11" t="inlineStr">
        <is>
          <t>customers_overdue</t>
        </is>
      </c>
      <c r="CU2" s="11" t="inlineStr">
        <is>
          <t>forecast_ebitda_rest_k</t>
        </is>
      </c>
      <c r="CV2" s="11" t="inlineStr">
        <is>
          <t>planned_ebitda_rest_k</t>
        </is>
      </c>
      <c r="CW2" s="11" t="inlineStr">
        <is>
          <t>forecast_net_cash_flow_90d_k</t>
        </is>
      </c>
      <c r="CX2" s="11" t="inlineStr">
        <is>
          <t>forecast_net_debt_k</t>
        </is>
      </c>
      <c r="CY2" s="11" t="inlineStr">
        <is>
          <t>forecast_ebitda_ltm_k</t>
        </is>
      </c>
      <c r="CZ2" s="11" t="inlineStr">
        <is>
          <t>fx_exposure_k</t>
        </is>
      </c>
      <c r="DA2" s="11" t="inlineStr">
        <is>
          <t>fx_hedged_k</t>
        </is>
      </c>
      <c r="DB2" s="11" t="inlineStr">
        <is>
          <t>usd_exposure_k</t>
        </is>
      </c>
      <c r="DC2" s="11" t="inlineStr">
        <is>
          <t>usd_hedged_k</t>
        </is>
      </c>
      <c r="DD2" s="11" t="inlineStr">
        <is>
          <t>hedge_value_change_k</t>
        </is>
      </c>
      <c r="DE2" s="11" t="inlineStr">
        <is>
          <t>hedged_item_value_change_k</t>
        </is>
      </c>
      <c r="DF2" s="11" t="inlineStr">
        <is>
          <t>fx_flows_6m_k</t>
        </is>
      </c>
      <c r="DG2" s="11" t="inlineStr">
        <is>
          <t>fx_hedged_6m_k</t>
        </is>
      </c>
      <c r="DH2" s="11" t="inlineStr">
        <is>
          <t>capex_budget_k</t>
        </is>
      </c>
      <c r="DI2" s="11" t="inlineStr">
        <is>
          <t>capex_committed_k</t>
        </is>
      </c>
      <c r="DJ2" s="11" t="inlineStr">
        <is>
          <t>capex_spend_k</t>
        </is>
      </c>
      <c r="DK2" s="11" t="inlineStr">
        <is>
          <t>capex_earned_value_k</t>
        </is>
      </c>
      <c r="DL2" s="11" t="inlineStr">
        <is>
          <t>capex_at_risk_k</t>
        </is>
      </c>
      <c r="DM2" s="11" t="inlineStr">
        <is>
          <t>projects_on_track</t>
        </is>
      </c>
      <c r="DN2" s="11" t="inlineStr">
        <is>
          <t>projects_at_risk</t>
        </is>
      </c>
      <c r="DO2" s="11" t="inlineStr">
        <is>
          <t>projects_off_track</t>
        </is>
      </c>
      <c r="DP2" s="11" t="inlineStr">
        <is>
          <t>projects_delayed</t>
        </is>
      </c>
      <c r="DQ2" s="11" t="inlineStr">
        <is>
          <t>contractor_milestones_due</t>
        </is>
      </c>
      <c r="DR2" s="11" t="inlineStr">
        <is>
          <t>contractor_days_late</t>
        </is>
      </c>
      <c r="DS2" s="11" t="inlineStr">
        <is>
          <t>initiatives_on_track</t>
        </is>
      </c>
      <c r="DT2" s="11" t="inlineStr">
        <is>
          <t>initiatives_at_risk</t>
        </is>
      </c>
      <c r="DU2" s="11" t="inlineStr">
        <is>
          <t>initiatives_delayed</t>
        </is>
      </c>
      <c r="DV2" s="11" t="inlineStr">
        <is>
          <t>milestones_total</t>
        </is>
      </c>
      <c r="DW2" s="11" t="inlineStr">
        <is>
          <t>milestones_done</t>
        </is>
      </c>
      <c r="DX2" s="11" t="inlineStr">
        <is>
          <t>benefits_planned_k</t>
        </is>
      </c>
      <c r="DY2" s="11" t="inlineStr">
        <is>
          <t>benefits_delivered_k</t>
        </is>
      </c>
      <c r="DZ2" s="11" t="inlineStr">
        <is>
          <t>ebitda_benefit_k</t>
        </is>
      </c>
      <c r="EA2" s="11" t="inlineStr">
        <is>
          <t>cash_benefit_k</t>
        </is>
      </c>
      <c r="EB2" s="11" t="inlineStr">
        <is>
          <t>cost_savings_k</t>
        </is>
      </c>
      <c r="EC2" s="11" t="inlineStr">
        <is>
          <t>contracts_total</t>
        </is>
      </c>
      <c r="ED2" s="11" t="inlineStr">
        <is>
          <t>contracts_compliant</t>
        </is>
      </c>
      <c r="EE2" s="11" t="inlineStr">
        <is>
          <t>contracts_expiring_90d</t>
        </is>
      </c>
      <c r="EF2" s="11" t="inlineStr">
        <is>
          <t>supplier_ehs_noncompliance</t>
        </is>
      </c>
      <c r="EG2" s="11" t="inlineStr">
        <is>
          <t>single_source_suppliers</t>
        </is>
      </c>
      <c r="EH2" s="11" t="inlineStr">
        <is>
          <t>control_failures</t>
        </is>
      </c>
      <c r="EI2" s="11" t="inlineStr">
        <is>
          <t>control_failures_high</t>
        </is>
      </c>
      <c r="EJ2" s="11" t="inlineStr">
        <is>
          <t>assurance_reviews_planned</t>
        </is>
      </c>
      <c r="EK2" s="11" t="inlineStr">
        <is>
          <t>assurance_reviews_done</t>
        </is>
      </c>
      <c r="EL2" s="11" t="inlineStr">
        <is>
          <t>policy_exceptions</t>
        </is>
      </c>
      <c r="EM2" s="11" t="inlineStr">
        <is>
          <t>unauthorized_vendor_uses</t>
        </is>
      </c>
      <c r="EN2" s="11" t="inlineStr">
        <is>
          <t>sod_exceptions</t>
        </is>
      </c>
      <c r="EO2" s="11" t="inlineStr">
        <is>
          <t>unauthorized_access_events</t>
        </is>
      </c>
      <c r="EP2" s="11" t="inlineStr">
        <is>
          <t>data_sharing_exceptions</t>
        </is>
      </c>
      <c r="EQ2" s="11" t="inlineStr">
        <is>
          <t>manual_overrides</t>
        </is>
      </c>
      <c r="ER2" s="11" t="inlineStr">
        <is>
          <t>cert_approvals_ageing</t>
        </is>
      </c>
      <c r="ES2" s="11" t="inlineStr">
        <is>
          <t>kpi_overrides</t>
        </is>
      </c>
      <c r="ET2" s="11" t="inlineStr">
        <is>
          <t>dq_issues_recurring</t>
        </is>
      </c>
      <c r="EU2" s="11" t="inlineStr">
        <is>
          <t>audit_findings_open</t>
        </is>
      </c>
      <c r="EV2" s="11" t="inlineStr">
        <is>
          <t>assurance_actions_overdue</t>
        </is>
      </c>
      <c r="EW2" s="11" t="inlineStr">
        <is>
          <t>repeat_findings</t>
        </is>
      </c>
      <c r="EX2" s="11" t="inlineStr">
        <is>
          <t>leadership_kpis_affected</t>
        </is>
      </c>
      <c r="EY2" s="11" t="inlineStr">
        <is>
          <t>evidence_required</t>
        </is>
      </c>
      <c r="EZ2" s="11" t="inlineStr">
        <is>
          <t>evidence_complete</t>
        </is>
      </c>
      <c r="FA2" s="11" t="inlineStr">
        <is>
          <t>findings_closed</t>
        </is>
      </c>
      <c r="FB2" s="11" t="inlineStr">
        <is>
          <t>finding_closure_days</t>
        </is>
      </c>
      <c r="FC2" s="11" t="inlineStr">
        <is>
          <t>kpis_leadership</t>
        </is>
      </c>
      <c r="FD2" s="11" t="inlineStr">
        <is>
          <t>kpis_certified</t>
        </is>
      </c>
      <c r="FE2" s="11" t="inlineStr">
        <is>
          <t>kpis_in_scope</t>
        </is>
      </c>
      <c r="FF2" s="11" t="inlineStr">
        <is>
          <t>certifications_overdue</t>
        </is>
      </c>
      <c r="FG2" s="11" t="inlineStr">
        <is>
          <t>recon_breaks_open</t>
        </is>
      </c>
      <c r="FH2" s="11" t="inlineStr">
        <is>
          <t>recon_breaks_material</t>
        </is>
      </c>
      <c r="FI2" s="11" t="inlineStr">
        <is>
          <t>lake_records_loaded</t>
        </is>
      </c>
      <c r="FJ2" s="11" t="inlineStr">
        <is>
          <t>lake_records_reconciled</t>
        </is>
      </c>
      <c r="FK2" s="11" t="inlineStr">
        <is>
          <t>mis_lines_total</t>
        </is>
      </c>
      <c r="FL2" s="11" t="inlineStr">
        <is>
          <t>mis_lines_matched</t>
        </is>
      </c>
      <c r="FM2" s="11" t="inlineStr">
        <is>
          <t>critical_alerts_open</t>
        </is>
      </c>
      <c r="FN2" s="11" t="inlineStr">
        <is>
          <t>alerts_unowned</t>
        </is>
      </c>
      <c r="FO2" s="11" t="inlineStr">
        <is>
          <t>actions_overdue</t>
        </is>
      </c>
      <c r="FP2" s="11" t="inlineStr">
        <is>
          <t>alerts_resolved</t>
        </is>
      </c>
      <c r="FQ2" s="11" t="inlineStr">
        <is>
          <t>alert_resolution_days</t>
        </is>
      </c>
      <c r="FR2" s="11" t="inlineStr">
        <is>
          <t>escalations_closed</t>
        </is>
      </c>
      <c r="FS2" s="11" t="inlineStr">
        <is>
          <t>repeat_issues</t>
        </is>
      </c>
      <c r="FT2" s="11" t="inlineStr">
        <is>
          <t>root_causes_identified</t>
        </is>
      </c>
      <c r="FU2" s="11" t="inlineStr">
        <is>
          <t>root_causes_eliminated</t>
        </is>
      </c>
      <c r="FV2" s="11" t="inlineStr">
        <is>
          <t>ebitda_k</t>
        </is>
      </c>
      <c r="FW2" s="11" t="inlineStr">
        <is>
          <t>ebit_k</t>
        </is>
      </c>
      <c r="FX2" s="11" t="inlineStr">
        <is>
          <t>nwc_k</t>
        </is>
      </c>
      <c r="FY2" s="11" t="inlineStr">
        <is>
          <t>nwc_change_k</t>
        </is>
      </c>
      <c r="FZ2" s="11" t="inlineStr">
        <is>
          <t>op_cash_flow_k</t>
        </is>
      </c>
      <c r="GA2" s="11" t="inlineStr">
        <is>
          <t>fcf_k</t>
        </is>
      </c>
      <c r="GB2" s="11" t="inlineStr">
        <is>
          <t>net_debt_k</t>
        </is>
      </c>
      <c r="GC2" s="11" t="inlineStr">
        <is>
          <t>ebitda_annualised_k</t>
        </is>
      </c>
      <c r="GD2" s="11" t="inlineStr">
        <is>
          <t>dso_d</t>
        </is>
      </c>
      <c r="GE2" s="11" t="inlineStr">
        <is>
          <t>dpo_d</t>
        </is>
      </c>
      <c r="GF2" s="11" t="inlineStr">
        <is>
          <t>dio_d</t>
        </is>
      </c>
      <c r="GG2" s="11" t="inlineStr">
        <is>
          <t>price_vs_plan_pct</t>
        </is>
      </c>
    </row>
    <row r="3" ht="60" customHeight="1">
      <c r="A3" s="9" t="n"/>
      <c r="B3" s="9" t="n"/>
      <c r="C3" s="9" t="n"/>
      <c r="D3" s="9" t="n"/>
      <c r="E3" s="12" t="inlineStr">
        <is>
          <t>Sum of Entity A1 and Entity A2 (Entity Inputs sheet)</t>
        </is>
      </c>
      <c r="F3" s="12" t="inlineStr">
        <is>
          <t>Sum of Entity A1 and Entity A2 (Entity Inputs sheet)</t>
        </is>
      </c>
      <c r="G3" s="12" t="inlineStr">
        <is>
          <t>Sum of Entity A1 and Entity A2 (Entity Inputs sheet)</t>
        </is>
      </c>
      <c r="H3" s="12" t="inlineStr">
        <is>
          <t>Sum of Entity A1 and Entity A2 (Entity Inputs sheet)</t>
        </is>
      </c>
      <c r="I3" s="12" t="inlineStr">
        <is>
          <t>Sum of Entity A1 and Entity A2 (Entity Inputs sheet)</t>
        </is>
      </c>
      <c r="J3" s="12" t="inlineStr">
        <is>
          <t>Sum of Entity A1 and Entity A2 (Entity Inputs sheet)</t>
        </is>
      </c>
      <c r="K3" s="12" t="inlineStr">
        <is>
          <t>Sum of Entity A1 and Entity A2 (Entity Inputs sheet)</t>
        </is>
      </c>
      <c r="L3" s="12" t="inlineStr">
        <is>
          <t>Sum of Entity A1 and Entity A2 (Entity Inputs sheet)</t>
        </is>
      </c>
      <c r="M3" s="12" t="inlineStr">
        <is>
          <t>Sum of Entity A1 and Entity A2 (Entity Inputs sheet)</t>
        </is>
      </c>
      <c r="N3" s="12" t="inlineStr">
        <is>
          <t>Sum of Entity A1 and Entity A2 (Entity Inputs sheet)</t>
        </is>
      </c>
      <c r="O3" s="12" t="inlineStr">
        <is>
          <t>Sum of Entity A1 and Entity A2 (Entity Inputs sheet)</t>
        </is>
      </c>
      <c r="P3" s="12" t="inlineStr">
        <is>
          <t>Sum of Entity A1 and Entity A2 (Entity Inputs sheet)</t>
        </is>
      </c>
      <c r="Q3" s="12" t="inlineStr">
        <is>
          <t>Sum of Entity A1 and Entity A2 (Entity Inputs sheet)</t>
        </is>
      </c>
      <c r="R3" s="12" t="inlineStr">
        <is>
          <t>Sum of Entity A1 and Entity A2 (Entity Inputs sheet)</t>
        </is>
      </c>
      <c r="S3" s="12" t="inlineStr">
        <is>
          <t>Sum of Entity A1 and Entity A2 (Entity Inputs sheet)</t>
        </is>
      </c>
      <c r="T3" s="12" t="inlineStr">
        <is>
          <t>Sum of Entity A1 and Entity A2 (Entity Inputs sheet)</t>
        </is>
      </c>
      <c r="U3" s="12" t="inlineStr">
        <is>
          <t>Sum of Entity A1 and Entity A2 (Entity Inputs sheet)</t>
        </is>
      </c>
      <c r="V3" s="12" t="inlineStr">
        <is>
          <t>Sum of Entity A1 and Entity A2 (Entity Inputs sheet)</t>
        </is>
      </c>
      <c r="W3" s="12" t="inlineStr">
        <is>
          <t>Sum of Entity A1 and Entity A2 (Entity Inputs sheet)</t>
        </is>
      </c>
      <c r="X3" s="12" t="inlineStr">
        <is>
          <t>Sum of Entity A1 and Entity A2 (Entity Inputs sheet)</t>
        </is>
      </c>
      <c r="Y3" s="12" t="inlineStr">
        <is>
          <t>Sum of Entity A1 and Entity A2 (Entity Inputs sheet)</t>
        </is>
      </c>
      <c r="Z3" s="12" t="inlineStr">
        <is>
          <t>Sum of Entity A1 and Entity A2 (Entity Inputs sheet)</t>
        </is>
      </c>
      <c r="AA3" s="12" t="inlineStr">
        <is>
          <t>Sum of Entity A1 and Entity A2 (Entity Inputs sheet)</t>
        </is>
      </c>
      <c r="AB3" s="12" t="inlineStr">
        <is>
          <t>Sum of Entity A1 and Entity A2 (Entity Inputs sheet)</t>
        </is>
      </c>
      <c r="AC3" s="12" t="inlineStr">
        <is>
          <t>Sum of Entity A1 and Entity A2 (Entity Inputs sheet)</t>
        </is>
      </c>
      <c r="AD3" s="12" t="inlineStr">
        <is>
          <t>Sum of Entity A1 and Entity A2 (Entity Inputs sheet)</t>
        </is>
      </c>
      <c r="AE3" s="12" t="inlineStr">
        <is>
          <t>Sum of Entity A1 and Entity A2 (Entity Inputs sheet)</t>
        </is>
      </c>
      <c r="AF3" s="12" t="inlineStr">
        <is>
          <t>Sum of Entity A1 and Entity A2 (Entity Inputs sheet)</t>
        </is>
      </c>
      <c r="AG3" s="12" t="inlineStr">
        <is>
          <t>Sum of Entity A1 and Entity A2 (Entity Inputs sheet)</t>
        </is>
      </c>
      <c r="AH3" s="12" t="inlineStr">
        <is>
          <t>Sum of Entity A1 and Entity A2 (Entity Inputs sheet)</t>
        </is>
      </c>
      <c r="AI3" s="12" t="inlineStr">
        <is>
          <t>Sum of Entity A1 and Entity A2 (Entity Inputs sheet)</t>
        </is>
      </c>
      <c r="AJ3" s="12" t="inlineStr">
        <is>
          <t>Sum of Entity A1 and Entity A2 (Entity Inputs sheet)</t>
        </is>
      </c>
      <c r="AK3" s="12" t="inlineStr">
        <is>
          <t>Sum of Entity A1 and Entity A2 (Entity Inputs sheet)</t>
        </is>
      </c>
      <c r="AL3" s="12" t="inlineStr">
        <is>
          <t>Sum of Entity A1 and Entity A2 (Entity Inputs sheet)</t>
        </is>
      </c>
      <c r="AM3" s="12" t="inlineStr">
        <is>
          <t>Sum of Entity A1 and Entity A2 (Entity Inputs sheet)</t>
        </is>
      </c>
      <c r="AN3" s="12" t="inlineStr">
        <is>
          <t>Sum of Entity A1 and Entity A2 (Entity Inputs sheet)</t>
        </is>
      </c>
      <c r="AO3" s="12" t="inlineStr">
        <is>
          <t>Sum of Entity A1 and Entity A2 (Entity Inputs sheet)</t>
        </is>
      </c>
      <c r="AP3" s="12" t="inlineStr">
        <is>
          <t>Sum of Entity A1 and Entity A2 (Entity Inputs sheet)</t>
        </is>
      </c>
      <c r="AQ3" s="12" t="inlineStr">
        <is>
          <t>Sum of Entity A1 and Entity A2 (Entity Inputs sheet)</t>
        </is>
      </c>
      <c r="AR3" s="12" t="inlineStr">
        <is>
          <t>Lowest of Entity A1 and Entity A2 (Entity Inputs sheet)</t>
        </is>
      </c>
      <c r="AS3" s="12" t="inlineStr">
        <is>
          <t>Sum of Entity A1 and Entity A2 (Entity Inputs sheet)</t>
        </is>
      </c>
      <c r="AT3" s="12" t="inlineStr">
        <is>
          <t>Sum of Entity A1 and Entity A2 (Entity Inputs sheet)</t>
        </is>
      </c>
      <c r="AU3" s="12" t="inlineStr">
        <is>
          <t>Sum of Entity A1 and Entity A2 (Entity Inputs sheet)</t>
        </is>
      </c>
      <c r="AV3" s="12" t="inlineStr">
        <is>
          <t>Sum of Entity A1 and Entity A2 (Entity Inputs sheet)</t>
        </is>
      </c>
      <c r="AW3" s="12" t="inlineStr">
        <is>
          <t>Sum of Entity A1 and Entity A2 (Entity Inputs sheet)</t>
        </is>
      </c>
      <c r="AX3" s="12" t="inlineStr">
        <is>
          <t>Sum of Entity A1 and Entity A2 (Entity Inputs sheet)</t>
        </is>
      </c>
      <c r="AY3" s="12" t="inlineStr">
        <is>
          <t>Sum of Entity A1 and Entity A2 (Entity Inputs sheet)</t>
        </is>
      </c>
      <c r="AZ3" s="12" t="inlineStr">
        <is>
          <t>Sum of Entity A1 and Entity A2 (Entity Inputs sheet)</t>
        </is>
      </c>
      <c r="BA3" s="12" t="inlineStr">
        <is>
          <t>Sum of Entity A1 and Entity A2 (Entity Inputs sheet)</t>
        </is>
      </c>
      <c r="BB3" s="12" t="inlineStr">
        <is>
          <t>Sum of Entity A1 and Entity A2 (Entity Inputs sheet)</t>
        </is>
      </c>
      <c r="BC3" s="12" t="inlineStr">
        <is>
          <t>Sum of Entity A1 and Entity A2 (Entity Inputs sheet)</t>
        </is>
      </c>
      <c r="BD3" s="12" t="inlineStr">
        <is>
          <t>Sum of Entity A1 and Entity A2 (Entity Inputs sheet)</t>
        </is>
      </c>
      <c r="BE3" s="12" t="inlineStr">
        <is>
          <t>Sum of Entity A1 and Entity A2 (Entity Inputs sheet)</t>
        </is>
      </c>
      <c r="BF3" s="12" t="inlineStr">
        <is>
          <t>Sum of Entity A1 and Entity A2 (Entity Inputs sheet)</t>
        </is>
      </c>
      <c r="BG3" s="12" t="inlineStr">
        <is>
          <t>Sum of Entity A1 and Entity A2 (Entity Inputs sheet)</t>
        </is>
      </c>
      <c r="BH3" s="12" t="inlineStr">
        <is>
          <t>Sum of Entity A1 and Entity A2 (Entity Inputs sheet)</t>
        </is>
      </c>
      <c r="BI3" s="12" t="inlineStr">
        <is>
          <t>Sum of Entity A1 and Entity A2 (Entity Inputs sheet)</t>
        </is>
      </c>
      <c r="BJ3" s="12" t="inlineStr">
        <is>
          <t>Sum of Entity A1 and Entity A2 (Entity Inputs sheet)</t>
        </is>
      </c>
      <c r="BK3" s="12" t="inlineStr">
        <is>
          <t>Sum of Entity A1 and Entity A2 (Entity Inputs sheet)</t>
        </is>
      </c>
      <c r="BL3" s="12" t="inlineStr">
        <is>
          <t>Sum of Entity A1 and Entity A2 (Entity Inputs sheet)</t>
        </is>
      </c>
      <c r="BM3" s="12" t="inlineStr">
        <is>
          <t>Sum of Entity A1 and Entity A2 (Entity Inputs sheet)</t>
        </is>
      </c>
      <c r="BN3" s="12" t="inlineStr">
        <is>
          <t>Sum of Entity A1 and Entity A2 (Entity Inputs sheet)</t>
        </is>
      </c>
      <c r="BO3" s="12" t="inlineStr">
        <is>
          <t>Sum of Entity A1 and Entity A2 (Entity Inputs sheet)</t>
        </is>
      </c>
      <c r="BP3" s="12" t="inlineStr">
        <is>
          <t>Sum of Entity A1 and Entity A2 (Entity Inputs sheet)</t>
        </is>
      </c>
      <c r="BQ3" s="12" t="inlineStr">
        <is>
          <t>Sum of Entity A1 and Entity A2 (Entity Inputs sheet)</t>
        </is>
      </c>
      <c r="BR3" s="12" t="inlineStr">
        <is>
          <t>Sum of Entity A1 and Entity A2 (Entity Inputs sheet)</t>
        </is>
      </c>
      <c r="BS3" s="12" t="inlineStr">
        <is>
          <t>Lowest of Entity A1 and Entity A2 (Entity Inputs sheet)</t>
        </is>
      </c>
      <c r="BT3" s="12" t="inlineStr">
        <is>
          <t>Sum of Entity A1 and Entity A2 (Entity Inputs sheet)</t>
        </is>
      </c>
      <c r="BU3" s="12" t="inlineStr">
        <is>
          <t>Sum of Entity A1 and Entity A2 (Entity Inputs sheet)</t>
        </is>
      </c>
      <c r="BV3" s="12" t="inlineStr">
        <is>
          <t>Sum of Entity A1 and Entity A2 (Entity Inputs sheet)</t>
        </is>
      </c>
      <c r="BW3" s="12" t="inlineStr">
        <is>
          <t>Sum of Entity A1 and Entity A2 (Entity Inputs sheet)</t>
        </is>
      </c>
      <c r="BX3" s="12" t="inlineStr">
        <is>
          <t>Sum of Entity A1 and Entity A2 (Entity Inputs sheet)</t>
        </is>
      </c>
      <c r="BY3" s="12" t="inlineStr">
        <is>
          <t>Sum of Entity A1 and Entity A2 (Entity Inputs sheet)</t>
        </is>
      </c>
      <c r="BZ3" s="12" t="inlineStr">
        <is>
          <t>Sum of Entity A1 and Entity A2 (Entity Inputs sheet)</t>
        </is>
      </c>
      <c r="CA3" s="12" t="inlineStr">
        <is>
          <t>Sum of Entity A1 and Entity A2 (Entity Inputs sheet)</t>
        </is>
      </c>
      <c r="CB3" s="12" t="inlineStr">
        <is>
          <t>Sum of Entity A1 and Entity A2 (Entity Inputs sheet)</t>
        </is>
      </c>
      <c r="CC3" s="12" t="inlineStr">
        <is>
          <t>Sum of Entity A1 and Entity A2 (Entity Inputs sheet)</t>
        </is>
      </c>
      <c r="CD3" s="12" t="inlineStr">
        <is>
          <t>Sum of Entity A1 and Entity A2 (Entity Inputs sheet)</t>
        </is>
      </c>
      <c r="CE3" s="12" t="inlineStr">
        <is>
          <t>Sum of Entity A1 and Entity A2 (Entity Inputs sheet)</t>
        </is>
      </c>
      <c r="CF3" s="12" t="inlineStr">
        <is>
          <t>Sum of Entity A1 and Entity A2 (Entity Inputs sheet)</t>
        </is>
      </c>
      <c r="CG3" s="12" t="inlineStr">
        <is>
          <t>Sum of Entity A1 and Entity A2 (Entity Inputs sheet)</t>
        </is>
      </c>
      <c r="CH3" s="12" t="inlineStr">
        <is>
          <t>Sum of Entity A1 and Entity A2 (Entity Inputs sheet)</t>
        </is>
      </c>
      <c r="CI3" s="12" t="inlineStr">
        <is>
          <t>Sum of Entity A1 and Entity A2 (Entity Inputs sheet)</t>
        </is>
      </c>
      <c r="CJ3" s="12" t="inlineStr">
        <is>
          <t>Sum of Entity A1 and Entity A2 (Entity Inputs sheet)</t>
        </is>
      </c>
      <c r="CK3" s="12" t="inlineStr">
        <is>
          <t>Sum of Entity A1 and Entity A2 (Entity Inputs sheet)</t>
        </is>
      </c>
      <c r="CL3" s="12" t="inlineStr">
        <is>
          <t>Sum of Entity A1 and Entity A2 (Entity Inputs sheet)</t>
        </is>
      </c>
      <c r="CM3" s="12" t="inlineStr">
        <is>
          <t>Sum of Entity A1 and Entity A2 (Entity Inputs sheet)</t>
        </is>
      </c>
      <c r="CN3" s="12" t="inlineStr">
        <is>
          <t>Sum of Entity A1 and Entity A2 (Entity Inputs sheet)</t>
        </is>
      </c>
      <c r="CO3" s="12" t="inlineStr">
        <is>
          <t>Sum of Entity A1 and Entity A2 (Entity Inputs sheet)</t>
        </is>
      </c>
      <c r="CP3" s="12" t="inlineStr">
        <is>
          <t>Sum of Entity A1 and Entity A2 (Entity Inputs sheet)</t>
        </is>
      </c>
      <c r="CQ3" s="12" t="inlineStr">
        <is>
          <t>Sum of Entity A1 and Entity A2 (Entity Inputs sheet)</t>
        </is>
      </c>
      <c r="CR3" s="12" t="inlineStr">
        <is>
          <t>Sum of Entity A1 and Entity A2 (Entity Inputs sheet)</t>
        </is>
      </c>
      <c r="CS3" s="12" t="inlineStr">
        <is>
          <t>Sum of Entity A1 and Entity A2 (Entity Inputs sheet)</t>
        </is>
      </c>
      <c r="CT3" s="12" t="inlineStr">
        <is>
          <t>Sum of Entity A1 and Entity A2 (Entity Inputs sheet)</t>
        </is>
      </c>
      <c r="CU3" s="12" t="inlineStr">
        <is>
          <t>Sum of Entity A1 and Entity A2 (Entity Inputs sheet)</t>
        </is>
      </c>
      <c r="CV3" s="12" t="inlineStr">
        <is>
          <t>Sum of Entity A1 and Entity A2 (Entity Inputs sheet)</t>
        </is>
      </c>
      <c r="CW3" s="12" t="inlineStr">
        <is>
          <t>Sum of Entity A1 and Entity A2 (Entity Inputs sheet)</t>
        </is>
      </c>
      <c r="CX3" s="12" t="inlineStr">
        <is>
          <t>Sum of Entity A1 and Entity A2 (Entity Inputs sheet)</t>
        </is>
      </c>
      <c r="CY3" s="12" t="inlineStr">
        <is>
          <t>Sum of Entity A1 and Entity A2 (Entity Inputs sheet)</t>
        </is>
      </c>
      <c r="CZ3" s="12" t="inlineStr">
        <is>
          <t>Sum of Entity A1 and Entity A2 (Entity Inputs sheet)</t>
        </is>
      </c>
      <c r="DA3" s="12" t="inlineStr">
        <is>
          <t>Sum of Entity A1 and Entity A2 (Entity Inputs sheet)</t>
        </is>
      </c>
      <c r="DB3" s="12" t="inlineStr">
        <is>
          <t>Sum of Entity A1 and Entity A2 (Entity Inputs sheet)</t>
        </is>
      </c>
      <c r="DC3" s="12" t="inlineStr">
        <is>
          <t>Sum of Entity A1 and Entity A2 (Entity Inputs sheet)</t>
        </is>
      </c>
      <c r="DD3" s="12" t="inlineStr">
        <is>
          <t>Sum of Entity A1 and Entity A2 (Entity Inputs sheet)</t>
        </is>
      </c>
      <c r="DE3" s="12" t="inlineStr">
        <is>
          <t>Sum of Entity A1 and Entity A2 (Entity Inputs sheet)</t>
        </is>
      </c>
      <c r="DF3" s="12" t="inlineStr">
        <is>
          <t>Sum of Entity A1 and Entity A2 (Entity Inputs sheet)</t>
        </is>
      </c>
      <c r="DG3" s="12" t="inlineStr">
        <is>
          <t>Sum of Entity A1 and Entity A2 (Entity Inputs sheet)</t>
        </is>
      </c>
      <c r="DH3" s="12" t="inlineStr">
        <is>
          <t>Sum of Entity A1 and Entity A2 (Entity Inputs sheet)</t>
        </is>
      </c>
      <c r="DI3" s="12" t="inlineStr">
        <is>
          <t>Sum of Entity A1 and Entity A2 (Entity Inputs sheet)</t>
        </is>
      </c>
      <c r="DJ3" s="12" t="inlineStr">
        <is>
          <t>Sum of Entity A1 and Entity A2 (Entity Inputs sheet)</t>
        </is>
      </c>
      <c r="DK3" s="12" t="inlineStr">
        <is>
          <t>Sum of Entity A1 and Entity A2 (Entity Inputs sheet)</t>
        </is>
      </c>
      <c r="DL3" s="12" t="inlineStr">
        <is>
          <t>Sum of Entity A1 and Entity A2 (Entity Inputs sheet)</t>
        </is>
      </c>
      <c r="DM3" s="12" t="inlineStr">
        <is>
          <t>Sum of Entity A1 and Entity A2 (Entity Inputs sheet)</t>
        </is>
      </c>
      <c r="DN3" s="12" t="inlineStr">
        <is>
          <t>Sum of Entity A1 and Entity A2 (Entity Inputs sheet)</t>
        </is>
      </c>
      <c r="DO3" s="12" t="inlineStr">
        <is>
          <t>Sum of Entity A1 and Entity A2 (Entity Inputs sheet)</t>
        </is>
      </c>
      <c r="DP3" s="12" t="inlineStr">
        <is>
          <t>Sum of Entity A1 and Entity A2 (Entity Inputs sheet)</t>
        </is>
      </c>
      <c r="DQ3" s="12" t="inlineStr">
        <is>
          <t>Sum of Entity A1 and Entity A2 (Entity Inputs sheet)</t>
        </is>
      </c>
      <c r="DR3" s="12" t="inlineStr">
        <is>
          <t>Sum of Entity A1 and Entity A2 (Entity Inputs sheet)</t>
        </is>
      </c>
      <c r="DS3" s="12" t="inlineStr">
        <is>
          <t>Sum of Entity A1 and Entity A2 (Entity Inputs sheet)</t>
        </is>
      </c>
      <c r="DT3" s="12" t="inlineStr">
        <is>
          <t>Sum of Entity A1 and Entity A2 (Entity Inputs sheet)</t>
        </is>
      </c>
      <c r="DU3" s="12" t="inlineStr">
        <is>
          <t>Sum of Entity A1 and Entity A2 (Entity Inputs sheet)</t>
        </is>
      </c>
      <c r="DV3" s="12" t="inlineStr">
        <is>
          <t>Sum of Entity A1 and Entity A2 (Entity Inputs sheet)</t>
        </is>
      </c>
      <c r="DW3" s="12" t="inlineStr">
        <is>
          <t>Sum of Entity A1 and Entity A2 (Entity Inputs sheet)</t>
        </is>
      </c>
      <c r="DX3" s="12" t="inlineStr">
        <is>
          <t>Sum of Entity A1 and Entity A2 (Entity Inputs sheet)</t>
        </is>
      </c>
      <c r="DY3" s="12" t="inlineStr">
        <is>
          <t>Sum of Entity A1 and Entity A2 (Entity Inputs sheet)</t>
        </is>
      </c>
      <c r="DZ3" s="12" t="inlineStr">
        <is>
          <t>Sum of Entity A1 and Entity A2 (Entity Inputs sheet)</t>
        </is>
      </c>
      <c r="EA3" s="12" t="inlineStr">
        <is>
          <t>Sum of Entity A1 and Entity A2 (Entity Inputs sheet)</t>
        </is>
      </c>
      <c r="EB3" s="12" t="inlineStr">
        <is>
          <t>Sum of Entity A1 and Entity A2 (Entity Inputs sheet)</t>
        </is>
      </c>
      <c r="EC3" s="12" t="inlineStr">
        <is>
          <t>Sum of Entity A1 and Entity A2 (Entity Inputs sheet)</t>
        </is>
      </c>
      <c r="ED3" s="12" t="inlineStr">
        <is>
          <t>Sum of Entity A1 and Entity A2 (Entity Inputs sheet)</t>
        </is>
      </c>
      <c r="EE3" s="12" t="inlineStr">
        <is>
          <t>Sum of Entity A1 and Entity A2 (Entity Inputs sheet)</t>
        </is>
      </c>
      <c r="EF3" s="12" t="inlineStr">
        <is>
          <t>Sum of Entity A1 and Entity A2 (Entity Inputs sheet)</t>
        </is>
      </c>
      <c r="EG3" s="12" t="inlineStr">
        <is>
          <t>Sum of Entity A1 and Entity A2 (Entity Inputs sheet)</t>
        </is>
      </c>
      <c r="EH3" s="12" t="inlineStr">
        <is>
          <t>Sum of Entity A1 and Entity A2 (Entity Inputs sheet)</t>
        </is>
      </c>
      <c r="EI3" s="12" t="inlineStr">
        <is>
          <t>Sum of Entity A1 and Entity A2 (Entity Inputs sheet)</t>
        </is>
      </c>
      <c r="EJ3" s="12" t="inlineStr">
        <is>
          <t>Sum of Entity A1 and Entity A2 (Entity Inputs sheet)</t>
        </is>
      </c>
      <c r="EK3" s="12" t="inlineStr">
        <is>
          <t>Sum of Entity A1 and Entity A2 (Entity Inputs sheet)</t>
        </is>
      </c>
      <c r="EL3" s="12" t="inlineStr">
        <is>
          <t>Sum of Entity A1 and Entity A2 (Entity Inputs sheet)</t>
        </is>
      </c>
      <c r="EM3" s="12" t="inlineStr">
        <is>
          <t>Sum of Entity A1 and Entity A2 (Entity Inputs sheet)</t>
        </is>
      </c>
      <c r="EN3" s="12" t="inlineStr">
        <is>
          <t>Sum of Entity A1 and Entity A2 (Entity Inputs sheet)</t>
        </is>
      </c>
      <c r="EO3" s="12" t="inlineStr">
        <is>
          <t>Sum of Entity A1 and Entity A2 (Entity Inputs sheet)</t>
        </is>
      </c>
      <c r="EP3" s="12" t="inlineStr">
        <is>
          <t>Sum of Entity A1 and Entity A2 (Entity Inputs sheet)</t>
        </is>
      </c>
      <c r="EQ3" s="12" t="inlineStr">
        <is>
          <t>Sum of Entity A1 and Entity A2 (Entity Inputs sheet)</t>
        </is>
      </c>
      <c r="ER3" s="12" t="inlineStr">
        <is>
          <t>Sum of Entity A1 and Entity A2 (Entity Inputs sheet)</t>
        </is>
      </c>
      <c r="ES3" s="12" t="inlineStr">
        <is>
          <t>Sum of Entity A1 and Entity A2 (Entity Inputs sheet)</t>
        </is>
      </c>
      <c r="ET3" s="12" t="inlineStr">
        <is>
          <t>Sum of Entity A1 and Entity A2 (Entity Inputs sheet)</t>
        </is>
      </c>
      <c r="EU3" s="12" t="inlineStr">
        <is>
          <t>Sum of Entity A1 and Entity A2 (Entity Inputs sheet)</t>
        </is>
      </c>
      <c r="EV3" s="12" t="inlineStr">
        <is>
          <t>Sum of Entity A1 and Entity A2 (Entity Inputs sheet)</t>
        </is>
      </c>
      <c r="EW3" s="12" t="inlineStr">
        <is>
          <t>Sum of Entity A1 and Entity A2 (Entity Inputs sheet)</t>
        </is>
      </c>
      <c r="EX3" s="12" t="inlineStr">
        <is>
          <t>Sum of Entity A1 and Entity A2 (Entity Inputs sheet)</t>
        </is>
      </c>
      <c r="EY3" s="12" t="inlineStr">
        <is>
          <t>Sum of Entity A1 and Entity A2 (Entity Inputs sheet)</t>
        </is>
      </c>
      <c r="EZ3" s="12" t="inlineStr">
        <is>
          <t>Sum of Entity A1 and Entity A2 (Entity Inputs sheet)</t>
        </is>
      </c>
      <c r="FA3" s="12" t="inlineStr">
        <is>
          <t>Sum of Entity A1 and Entity A2 (Entity Inputs sheet)</t>
        </is>
      </c>
      <c r="FB3" s="12" t="inlineStr">
        <is>
          <t>Sum of Entity A1 and Entity A2 (Entity Inputs sheet)</t>
        </is>
      </c>
      <c r="FC3" s="12" t="inlineStr">
        <is>
          <t>Sum of Entity A1 and Entity A2 (Entity Inputs sheet)</t>
        </is>
      </c>
      <c r="FD3" s="12" t="inlineStr">
        <is>
          <t>Sum of Entity A1 and Entity A2 (Entity Inputs sheet)</t>
        </is>
      </c>
      <c r="FE3" s="12" t="inlineStr">
        <is>
          <t>Sum of Entity A1 and Entity A2 (Entity Inputs sheet)</t>
        </is>
      </c>
      <c r="FF3" s="12" t="inlineStr">
        <is>
          <t>Sum of Entity A1 and Entity A2 (Entity Inputs sheet)</t>
        </is>
      </c>
      <c r="FG3" s="12" t="inlineStr">
        <is>
          <t>Sum of Entity A1 and Entity A2 (Entity Inputs sheet)</t>
        </is>
      </c>
      <c r="FH3" s="12" t="inlineStr">
        <is>
          <t>Sum of Entity A1 and Entity A2 (Entity Inputs sheet)</t>
        </is>
      </c>
      <c r="FI3" s="12" t="inlineStr">
        <is>
          <t>Sum of Entity A1 and Entity A2 (Entity Inputs sheet)</t>
        </is>
      </c>
      <c r="FJ3" s="12" t="inlineStr">
        <is>
          <t>Sum of Entity A1 and Entity A2 (Entity Inputs sheet)</t>
        </is>
      </c>
      <c r="FK3" s="12" t="inlineStr">
        <is>
          <t>Sum of Entity A1 and Entity A2 (Entity Inputs sheet)</t>
        </is>
      </c>
      <c r="FL3" s="12" t="inlineStr">
        <is>
          <t>Sum of Entity A1 and Entity A2 (Entity Inputs sheet)</t>
        </is>
      </c>
      <c r="FM3" s="12" t="inlineStr">
        <is>
          <t>Sum of Entity A1 and Entity A2 (Entity Inputs sheet)</t>
        </is>
      </c>
      <c r="FN3" s="12" t="inlineStr">
        <is>
          <t>Sum of Entity A1 and Entity A2 (Entity Inputs sheet)</t>
        </is>
      </c>
      <c r="FO3" s="12" t="inlineStr">
        <is>
          <t>Sum of Entity A1 and Entity A2 (Entity Inputs sheet)</t>
        </is>
      </c>
      <c r="FP3" s="12" t="inlineStr">
        <is>
          <t>Sum of Entity A1 and Entity A2 (Entity Inputs sheet)</t>
        </is>
      </c>
      <c r="FQ3" s="12" t="inlineStr">
        <is>
          <t>Sum of Entity A1 and Entity A2 (Entity Inputs sheet)</t>
        </is>
      </c>
      <c r="FR3" s="12" t="inlineStr">
        <is>
          <t>Sum of Entity A1 and Entity A2 (Entity Inputs sheet)</t>
        </is>
      </c>
      <c r="FS3" s="12" t="inlineStr">
        <is>
          <t>Sum of Entity A1 and Entity A2 (Entity Inputs sheet)</t>
        </is>
      </c>
      <c r="FT3" s="12" t="inlineStr">
        <is>
          <t>Sum of Entity A1 and Entity A2 (Entity Inputs sheet)</t>
        </is>
      </c>
      <c r="FU3" s="12" t="inlineStr">
        <is>
          <t>Sum of Entity A1 and Entity A2 (Entity Inputs sheet)</t>
        </is>
      </c>
      <c r="FV3" s="13" t="inlineStr">
        <is>
          <t>Calculated: Revenue − Variable cost − Fixed cost − Overheads</t>
        </is>
      </c>
      <c r="FW3" s="13" t="inlineStr">
        <is>
          <t>Calculated: EBITDA − Depreciation and amortisation</t>
        </is>
      </c>
      <c r="FX3" s="13" t="inlineStr">
        <is>
          <t>Calculated: Trade receivables + Inventory − Trade payables</t>
        </is>
      </c>
      <c r="FY3" s="13" t="inlineStr">
        <is>
          <t>Calculated: Net working capital − last month's net working capital (April uses the 31 March balance on Parameters)</t>
        </is>
      </c>
      <c r="FZ3" s="13" t="inlineStr">
        <is>
          <t>Calculated: EBITDA − Tax paid − Change in net working capital</t>
        </is>
      </c>
      <c r="GA3" s="13" t="inlineStr">
        <is>
          <t>Calculated: Operating cash flow − Capex spent</t>
        </is>
      </c>
      <c r="GB3" s="13" t="inlineStr">
        <is>
          <t>Calculated: Gross debt − Cash</t>
        </is>
      </c>
      <c r="GC3" s="13" t="inlineStr">
        <is>
          <t>Calculated: EBITDA since April × 12 ÷ months elapsed</t>
        </is>
      </c>
      <c r="GD3" s="13" t="inlineStr">
        <is>
          <t>Calculated: Trade receivables ÷ Revenue × Days in month</t>
        </is>
      </c>
      <c r="GE3" s="13" t="inlineStr">
        <is>
          <t>Calculated: Trade payables ÷ Variable cost × Days in month</t>
        </is>
      </c>
      <c r="GF3" s="13" t="inlineStr">
        <is>
          <t>Calculated: Inventory ÷ Variable cost × Days in month</t>
        </is>
      </c>
      <c r="GG3" s="13" t="inlineStr">
        <is>
          <t>Calculated: (Revenue ÷ Sales volume) ÷ (Planned revenue ÷ Planned sales volume) − 1, as %</t>
        </is>
      </c>
    </row>
    <row r="4">
      <c r="A4" t="inlineStr">
        <is>
          <t>Group</t>
        </is>
      </c>
      <c r="B4" t="inlineStr">
        <is>
          <t>2026-04</t>
        </is>
      </c>
      <c r="C4" t="n">
        <v>30</v>
      </c>
      <c r="D4" t="n">
        <v>1</v>
      </c>
      <c r="E4" s="14">
        <f>SUM('Entity Inputs'!E4,'Entity Inputs'!E10)</f>
        <v/>
      </c>
      <c r="F4" s="14">
        <f>SUM('Entity Inputs'!F4,'Entity Inputs'!F10)</f>
        <v/>
      </c>
      <c r="G4" s="14">
        <f>SUM('Entity Inputs'!G4,'Entity Inputs'!G10)</f>
        <v/>
      </c>
      <c r="H4" s="14">
        <f>SUM('Entity Inputs'!H4,'Entity Inputs'!H10)</f>
        <v/>
      </c>
      <c r="I4" s="14">
        <f>SUM('Entity Inputs'!I4,'Entity Inputs'!I10)</f>
        <v/>
      </c>
      <c r="J4" s="14">
        <f>SUM('Entity Inputs'!J4,'Entity Inputs'!J10)</f>
        <v/>
      </c>
      <c r="K4" s="14">
        <f>SUM('Entity Inputs'!K4,'Entity Inputs'!K10)</f>
        <v/>
      </c>
      <c r="L4" s="14">
        <f>SUM('Entity Inputs'!L4,'Entity Inputs'!L10)</f>
        <v/>
      </c>
      <c r="M4" s="14">
        <f>SUM('Entity Inputs'!M4,'Entity Inputs'!M10)</f>
        <v/>
      </c>
      <c r="N4" s="14">
        <f>SUM('Entity Inputs'!N4,'Entity Inputs'!N10)</f>
        <v/>
      </c>
      <c r="O4" s="14">
        <f>SUM('Entity Inputs'!O4,'Entity Inputs'!O10)</f>
        <v/>
      </c>
      <c r="P4" s="14">
        <f>SUM('Entity Inputs'!P4,'Entity Inputs'!P10)</f>
        <v/>
      </c>
      <c r="Q4" s="14">
        <f>SUM('Entity Inputs'!Q4,'Entity Inputs'!Q10)</f>
        <v/>
      </c>
      <c r="R4" s="14">
        <f>SUM('Entity Inputs'!R4,'Entity Inputs'!R10)</f>
        <v/>
      </c>
      <c r="S4" s="14">
        <f>SUM('Entity Inputs'!S4,'Entity Inputs'!S10)</f>
        <v/>
      </c>
      <c r="T4" s="14">
        <f>SUM('Entity Inputs'!T4,'Entity Inputs'!T10)</f>
        <v/>
      </c>
      <c r="U4" s="14">
        <f>SUM('Entity Inputs'!U4,'Entity Inputs'!U10)</f>
        <v/>
      </c>
      <c r="V4" s="14">
        <f>SUM('Entity Inputs'!V4,'Entity Inputs'!V10)</f>
        <v/>
      </c>
      <c r="W4" s="14">
        <f>SUM('Entity Inputs'!W4,'Entity Inputs'!W10)</f>
        <v/>
      </c>
      <c r="X4" s="14">
        <f>SUM('Entity Inputs'!X4,'Entity Inputs'!X10)</f>
        <v/>
      </c>
      <c r="Y4" s="14">
        <f>SUM('Entity Inputs'!Y4,'Entity Inputs'!Y10)</f>
        <v/>
      </c>
      <c r="Z4" s="14">
        <f>SUM('Entity Inputs'!Z4,'Entity Inputs'!Z10)</f>
        <v/>
      </c>
      <c r="AA4" s="14">
        <f>SUM('Entity Inputs'!AA4,'Entity Inputs'!AA10)</f>
        <v/>
      </c>
      <c r="AB4" s="14">
        <f>SUM('Entity Inputs'!AB4,'Entity Inputs'!AB10)</f>
        <v/>
      </c>
      <c r="AC4" s="14">
        <f>SUM('Entity Inputs'!AC4,'Entity Inputs'!AC10)</f>
        <v/>
      </c>
      <c r="AD4" s="14">
        <f>SUM('Entity Inputs'!AD4,'Entity Inputs'!AD10)</f>
        <v/>
      </c>
      <c r="AE4" s="14">
        <f>SUM('Entity Inputs'!AE4,'Entity Inputs'!AE10)</f>
        <v/>
      </c>
      <c r="AF4" s="14">
        <f>SUM('Entity Inputs'!AF4,'Entity Inputs'!AF10)</f>
        <v/>
      </c>
      <c r="AG4" s="14">
        <f>SUM('Entity Inputs'!AG4,'Entity Inputs'!AG10)</f>
        <v/>
      </c>
      <c r="AH4" s="14">
        <f>SUM('Entity Inputs'!AH4,'Entity Inputs'!AH10)</f>
        <v/>
      </c>
      <c r="AI4" s="14">
        <f>SUM('Entity Inputs'!AI4,'Entity Inputs'!AI10)</f>
        <v/>
      </c>
      <c r="AJ4" s="14">
        <f>SUM('Entity Inputs'!AJ4,'Entity Inputs'!AJ10)</f>
        <v/>
      </c>
      <c r="AK4" s="14">
        <f>SUM('Entity Inputs'!AK4,'Entity Inputs'!AK10)</f>
        <v/>
      </c>
      <c r="AL4" s="14">
        <f>SUM('Entity Inputs'!AL4,'Entity Inputs'!AL10)</f>
        <v/>
      </c>
      <c r="AM4" s="14">
        <f>SUM('Entity Inputs'!AM4,'Entity Inputs'!AM10)</f>
        <v/>
      </c>
      <c r="AN4" s="14">
        <f>SUM('Entity Inputs'!AN4,'Entity Inputs'!AN10)</f>
        <v/>
      </c>
      <c r="AO4" s="14">
        <f>SUM('Entity Inputs'!AO4,'Entity Inputs'!AO10)</f>
        <v/>
      </c>
      <c r="AP4" s="14">
        <f>SUM('Entity Inputs'!AP4,'Entity Inputs'!AP10)</f>
        <v/>
      </c>
      <c r="AQ4" s="14">
        <f>SUM('Entity Inputs'!AQ4,'Entity Inputs'!AQ10)</f>
        <v/>
      </c>
      <c r="AR4" s="14">
        <f>MIN('Entity Inputs'!AR4,'Entity Inputs'!AR10)</f>
        <v/>
      </c>
      <c r="AS4" s="14">
        <f>SUM('Entity Inputs'!AS4,'Entity Inputs'!AS10)</f>
        <v/>
      </c>
      <c r="AT4" s="14">
        <f>SUM('Entity Inputs'!AT4,'Entity Inputs'!AT10)</f>
        <v/>
      </c>
      <c r="AU4" s="14">
        <f>SUM('Entity Inputs'!AU4,'Entity Inputs'!AU10)</f>
        <v/>
      </c>
      <c r="AV4" s="14">
        <f>SUM('Entity Inputs'!AV4,'Entity Inputs'!AV10)</f>
        <v/>
      </c>
      <c r="AW4" s="14">
        <f>SUM('Entity Inputs'!AW4,'Entity Inputs'!AW10)</f>
        <v/>
      </c>
      <c r="AX4" s="14">
        <f>SUM('Entity Inputs'!AX4,'Entity Inputs'!AX10)</f>
        <v/>
      </c>
      <c r="AY4" s="14">
        <f>SUM('Entity Inputs'!AY4,'Entity Inputs'!AY10)</f>
        <v/>
      </c>
      <c r="AZ4" s="14">
        <f>SUM('Entity Inputs'!AZ4,'Entity Inputs'!AZ10)</f>
        <v/>
      </c>
      <c r="BA4" s="14">
        <f>SUM('Entity Inputs'!BA4,'Entity Inputs'!BA10)</f>
        <v/>
      </c>
      <c r="BB4" s="14">
        <f>SUM('Entity Inputs'!BB4,'Entity Inputs'!BB10)</f>
        <v/>
      </c>
      <c r="BC4" s="14">
        <f>SUM('Entity Inputs'!BC4,'Entity Inputs'!BC10)</f>
        <v/>
      </c>
      <c r="BD4" s="14">
        <f>SUM('Entity Inputs'!BD4,'Entity Inputs'!BD10)</f>
        <v/>
      </c>
      <c r="BE4" s="14">
        <f>SUM('Entity Inputs'!BE4,'Entity Inputs'!BE10)</f>
        <v/>
      </c>
      <c r="BF4" s="14">
        <f>SUM('Entity Inputs'!BF4,'Entity Inputs'!BF10)</f>
        <v/>
      </c>
      <c r="BG4" s="14">
        <f>SUM('Entity Inputs'!BG4,'Entity Inputs'!BG10)</f>
        <v/>
      </c>
      <c r="BH4" s="14">
        <f>SUM('Entity Inputs'!BH4,'Entity Inputs'!BH10)</f>
        <v/>
      </c>
      <c r="BI4" s="14">
        <f>SUM('Entity Inputs'!BI4,'Entity Inputs'!BI10)</f>
        <v/>
      </c>
      <c r="BJ4" s="14">
        <f>SUM('Entity Inputs'!BJ4,'Entity Inputs'!BJ10)</f>
        <v/>
      </c>
      <c r="BK4" s="14">
        <f>SUM('Entity Inputs'!BK4,'Entity Inputs'!BK10)</f>
        <v/>
      </c>
      <c r="BL4" s="14">
        <f>SUM('Entity Inputs'!BL4,'Entity Inputs'!BL10)</f>
        <v/>
      </c>
      <c r="BM4" s="14">
        <f>SUM('Entity Inputs'!BM4,'Entity Inputs'!BM10)</f>
        <v/>
      </c>
      <c r="BN4" s="14">
        <f>SUM('Entity Inputs'!BN4,'Entity Inputs'!BN10)</f>
        <v/>
      </c>
      <c r="BO4" s="14">
        <f>SUM('Entity Inputs'!BO4,'Entity Inputs'!BO10)</f>
        <v/>
      </c>
      <c r="BP4" s="14">
        <f>SUM('Entity Inputs'!BP4,'Entity Inputs'!BP10)</f>
        <v/>
      </c>
      <c r="BQ4" s="14">
        <f>SUM('Entity Inputs'!BQ4,'Entity Inputs'!BQ10)</f>
        <v/>
      </c>
      <c r="BR4" s="14">
        <f>SUM('Entity Inputs'!BR4,'Entity Inputs'!BR10)</f>
        <v/>
      </c>
      <c r="BS4" s="14">
        <f>MIN('Entity Inputs'!BS4,'Entity Inputs'!BS10)</f>
        <v/>
      </c>
      <c r="BT4" s="14">
        <f>SUM('Entity Inputs'!BT4,'Entity Inputs'!BT10)</f>
        <v/>
      </c>
      <c r="BU4" s="14">
        <f>SUM('Entity Inputs'!BU4,'Entity Inputs'!BU10)</f>
        <v/>
      </c>
      <c r="BV4" s="14">
        <f>SUM('Entity Inputs'!BV4,'Entity Inputs'!BV10)</f>
        <v/>
      </c>
      <c r="BW4" s="14">
        <f>SUM('Entity Inputs'!BW4,'Entity Inputs'!BW10)</f>
        <v/>
      </c>
      <c r="BX4" s="14">
        <f>SUM('Entity Inputs'!BX4,'Entity Inputs'!BX10)</f>
        <v/>
      </c>
      <c r="BY4" s="14">
        <f>SUM('Entity Inputs'!BY4,'Entity Inputs'!BY10)</f>
        <v/>
      </c>
      <c r="BZ4" s="14">
        <f>SUM('Entity Inputs'!BZ4,'Entity Inputs'!BZ10)</f>
        <v/>
      </c>
      <c r="CA4" s="14">
        <f>SUM('Entity Inputs'!CA4,'Entity Inputs'!CA10)</f>
        <v/>
      </c>
      <c r="CB4" s="14">
        <f>SUM('Entity Inputs'!CB4,'Entity Inputs'!CB10)</f>
        <v/>
      </c>
      <c r="CC4" s="14">
        <f>SUM('Entity Inputs'!CC4,'Entity Inputs'!CC10)</f>
        <v/>
      </c>
      <c r="CD4" s="14">
        <f>SUM('Entity Inputs'!CD4,'Entity Inputs'!CD10)</f>
        <v/>
      </c>
      <c r="CE4" s="14">
        <f>SUM('Entity Inputs'!CE4,'Entity Inputs'!CE10)</f>
        <v/>
      </c>
      <c r="CF4" s="14">
        <f>SUM('Entity Inputs'!CF4,'Entity Inputs'!CF10)</f>
        <v/>
      </c>
      <c r="CG4" s="14">
        <f>SUM('Entity Inputs'!CG4,'Entity Inputs'!CG10)</f>
        <v/>
      </c>
      <c r="CH4" s="14">
        <f>SUM('Entity Inputs'!CH4,'Entity Inputs'!CH10)</f>
        <v/>
      </c>
      <c r="CI4" s="14">
        <f>SUM('Entity Inputs'!CI4,'Entity Inputs'!CI10)</f>
        <v/>
      </c>
      <c r="CJ4" s="14">
        <f>SUM('Entity Inputs'!CJ4,'Entity Inputs'!CJ10)</f>
        <v/>
      </c>
      <c r="CK4" s="14">
        <f>SUM('Entity Inputs'!CK4,'Entity Inputs'!CK10)</f>
        <v/>
      </c>
      <c r="CL4" s="14">
        <f>SUM('Entity Inputs'!CL4,'Entity Inputs'!CL10)</f>
        <v/>
      </c>
      <c r="CM4" s="14">
        <f>SUM('Entity Inputs'!CM4,'Entity Inputs'!CM10)</f>
        <v/>
      </c>
      <c r="CN4" s="14">
        <f>SUM('Entity Inputs'!CN4,'Entity Inputs'!CN10)</f>
        <v/>
      </c>
      <c r="CO4" s="14">
        <f>SUM('Entity Inputs'!CO4,'Entity Inputs'!CO10)</f>
        <v/>
      </c>
      <c r="CP4" s="14">
        <f>SUM('Entity Inputs'!CP4,'Entity Inputs'!CP10)</f>
        <v/>
      </c>
      <c r="CQ4" s="14">
        <f>SUM('Entity Inputs'!CQ4,'Entity Inputs'!CQ10)</f>
        <v/>
      </c>
      <c r="CR4" s="14">
        <f>SUM('Entity Inputs'!CR4,'Entity Inputs'!CR10)</f>
        <v/>
      </c>
      <c r="CS4" s="14">
        <f>SUM('Entity Inputs'!CS4,'Entity Inputs'!CS10)</f>
        <v/>
      </c>
      <c r="CT4" s="14">
        <f>SUM('Entity Inputs'!CT4,'Entity Inputs'!CT10)</f>
        <v/>
      </c>
      <c r="CU4" s="14">
        <f>SUM('Entity Inputs'!CU4,'Entity Inputs'!CU10)</f>
        <v/>
      </c>
      <c r="CV4" s="14">
        <f>SUM('Entity Inputs'!CV4,'Entity Inputs'!CV10)</f>
        <v/>
      </c>
      <c r="CW4" s="14">
        <f>SUM('Entity Inputs'!CW4,'Entity Inputs'!CW10)</f>
        <v/>
      </c>
      <c r="CX4" s="14">
        <f>SUM('Entity Inputs'!CX4,'Entity Inputs'!CX10)</f>
        <v/>
      </c>
      <c r="CY4" s="14">
        <f>SUM('Entity Inputs'!CY4,'Entity Inputs'!CY10)</f>
        <v/>
      </c>
      <c r="CZ4" s="14">
        <f>SUM('Entity Inputs'!CZ4,'Entity Inputs'!CZ10)</f>
        <v/>
      </c>
      <c r="DA4" s="14">
        <f>SUM('Entity Inputs'!DA4,'Entity Inputs'!DA10)</f>
        <v/>
      </c>
      <c r="DB4" s="14">
        <f>SUM('Entity Inputs'!DB4,'Entity Inputs'!DB10)</f>
        <v/>
      </c>
      <c r="DC4" s="14">
        <f>SUM('Entity Inputs'!DC4,'Entity Inputs'!DC10)</f>
        <v/>
      </c>
      <c r="DD4" s="14">
        <f>SUM('Entity Inputs'!DD4,'Entity Inputs'!DD10)</f>
        <v/>
      </c>
      <c r="DE4" s="14">
        <f>SUM('Entity Inputs'!DE4,'Entity Inputs'!DE10)</f>
        <v/>
      </c>
      <c r="DF4" s="14">
        <f>SUM('Entity Inputs'!DF4,'Entity Inputs'!DF10)</f>
        <v/>
      </c>
      <c r="DG4" s="14">
        <f>SUM('Entity Inputs'!DG4,'Entity Inputs'!DG10)</f>
        <v/>
      </c>
      <c r="DH4" s="14">
        <f>SUM('Entity Inputs'!DH4,'Entity Inputs'!DH10)</f>
        <v/>
      </c>
      <c r="DI4" s="14">
        <f>SUM('Entity Inputs'!DI4,'Entity Inputs'!DI10)</f>
        <v/>
      </c>
      <c r="DJ4" s="14">
        <f>SUM('Entity Inputs'!DJ4,'Entity Inputs'!DJ10)</f>
        <v/>
      </c>
      <c r="DK4" s="14">
        <f>SUM('Entity Inputs'!DK4,'Entity Inputs'!DK10)</f>
        <v/>
      </c>
      <c r="DL4" s="14">
        <f>SUM('Entity Inputs'!DL4,'Entity Inputs'!DL10)</f>
        <v/>
      </c>
      <c r="DM4" s="14">
        <f>SUM('Entity Inputs'!DM4,'Entity Inputs'!DM10)</f>
        <v/>
      </c>
      <c r="DN4" s="14">
        <f>SUM('Entity Inputs'!DN4,'Entity Inputs'!DN10)</f>
        <v/>
      </c>
      <c r="DO4" s="14">
        <f>SUM('Entity Inputs'!DO4,'Entity Inputs'!DO10)</f>
        <v/>
      </c>
      <c r="DP4" s="14">
        <f>SUM('Entity Inputs'!DP4,'Entity Inputs'!DP10)</f>
        <v/>
      </c>
      <c r="DQ4" s="14">
        <f>SUM('Entity Inputs'!DQ4,'Entity Inputs'!DQ10)</f>
        <v/>
      </c>
      <c r="DR4" s="14">
        <f>SUM('Entity Inputs'!DR4,'Entity Inputs'!DR10)</f>
        <v/>
      </c>
      <c r="DS4" s="14">
        <f>SUM('Entity Inputs'!DS4,'Entity Inputs'!DS10)</f>
        <v/>
      </c>
      <c r="DT4" s="14">
        <f>SUM('Entity Inputs'!DT4,'Entity Inputs'!DT10)</f>
        <v/>
      </c>
      <c r="DU4" s="14">
        <f>SUM('Entity Inputs'!DU4,'Entity Inputs'!DU10)</f>
        <v/>
      </c>
      <c r="DV4" s="14">
        <f>SUM('Entity Inputs'!DV4,'Entity Inputs'!DV10)</f>
        <v/>
      </c>
      <c r="DW4" s="14">
        <f>SUM('Entity Inputs'!DW4,'Entity Inputs'!DW10)</f>
        <v/>
      </c>
      <c r="DX4" s="14">
        <f>SUM('Entity Inputs'!DX4,'Entity Inputs'!DX10)</f>
        <v/>
      </c>
      <c r="DY4" s="14">
        <f>SUM('Entity Inputs'!DY4,'Entity Inputs'!DY10)</f>
        <v/>
      </c>
      <c r="DZ4" s="14">
        <f>SUM('Entity Inputs'!DZ4,'Entity Inputs'!DZ10)</f>
        <v/>
      </c>
      <c r="EA4" s="14">
        <f>SUM('Entity Inputs'!EA4,'Entity Inputs'!EA10)</f>
        <v/>
      </c>
      <c r="EB4" s="14">
        <f>SUM('Entity Inputs'!EB4,'Entity Inputs'!EB10)</f>
        <v/>
      </c>
      <c r="EC4" s="14">
        <f>SUM('Entity Inputs'!EC4,'Entity Inputs'!EC10)</f>
        <v/>
      </c>
      <c r="ED4" s="14">
        <f>SUM('Entity Inputs'!ED4,'Entity Inputs'!ED10)</f>
        <v/>
      </c>
      <c r="EE4" s="14">
        <f>SUM('Entity Inputs'!EE4,'Entity Inputs'!EE10)</f>
        <v/>
      </c>
      <c r="EF4" s="14">
        <f>SUM('Entity Inputs'!EF4,'Entity Inputs'!EF10)</f>
        <v/>
      </c>
      <c r="EG4" s="14">
        <f>SUM('Entity Inputs'!EG4,'Entity Inputs'!EG10)</f>
        <v/>
      </c>
      <c r="EH4" s="14">
        <f>SUM('Entity Inputs'!EH4,'Entity Inputs'!EH10)</f>
        <v/>
      </c>
      <c r="EI4" s="14">
        <f>SUM('Entity Inputs'!EI4,'Entity Inputs'!EI10)</f>
        <v/>
      </c>
      <c r="EJ4" s="14">
        <f>SUM('Entity Inputs'!EJ4,'Entity Inputs'!EJ10)</f>
        <v/>
      </c>
      <c r="EK4" s="14">
        <f>SUM('Entity Inputs'!EK4,'Entity Inputs'!EK10)</f>
        <v/>
      </c>
      <c r="EL4" s="14">
        <f>SUM('Entity Inputs'!EL4,'Entity Inputs'!EL10)</f>
        <v/>
      </c>
      <c r="EM4" s="14">
        <f>SUM('Entity Inputs'!EM4,'Entity Inputs'!EM10)</f>
        <v/>
      </c>
      <c r="EN4" s="14">
        <f>SUM('Entity Inputs'!EN4,'Entity Inputs'!EN10)</f>
        <v/>
      </c>
      <c r="EO4" s="14">
        <f>SUM('Entity Inputs'!EO4,'Entity Inputs'!EO10)</f>
        <v/>
      </c>
      <c r="EP4" s="14">
        <f>SUM('Entity Inputs'!EP4,'Entity Inputs'!EP10)</f>
        <v/>
      </c>
      <c r="EQ4" s="14">
        <f>SUM('Entity Inputs'!EQ4,'Entity Inputs'!EQ10)</f>
        <v/>
      </c>
      <c r="ER4" s="14">
        <f>SUM('Entity Inputs'!ER4,'Entity Inputs'!ER10)</f>
        <v/>
      </c>
      <c r="ES4" s="14">
        <f>SUM('Entity Inputs'!ES4,'Entity Inputs'!ES10)</f>
        <v/>
      </c>
      <c r="ET4" s="14">
        <f>SUM('Entity Inputs'!ET4,'Entity Inputs'!ET10)</f>
        <v/>
      </c>
      <c r="EU4" s="14">
        <f>SUM('Entity Inputs'!EU4,'Entity Inputs'!EU10)</f>
        <v/>
      </c>
      <c r="EV4" s="14">
        <f>SUM('Entity Inputs'!EV4,'Entity Inputs'!EV10)</f>
        <v/>
      </c>
      <c r="EW4" s="14">
        <f>SUM('Entity Inputs'!EW4,'Entity Inputs'!EW10)</f>
        <v/>
      </c>
      <c r="EX4" s="14">
        <f>SUM('Entity Inputs'!EX4,'Entity Inputs'!EX10)</f>
        <v/>
      </c>
      <c r="EY4" s="14">
        <f>SUM('Entity Inputs'!EY4,'Entity Inputs'!EY10)</f>
        <v/>
      </c>
      <c r="EZ4" s="14">
        <f>SUM('Entity Inputs'!EZ4,'Entity Inputs'!EZ10)</f>
        <v/>
      </c>
      <c r="FA4" s="14">
        <f>SUM('Entity Inputs'!FA4,'Entity Inputs'!FA10)</f>
        <v/>
      </c>
      <c r="FB4" s="14">
        <f>SUM('Entity Inputs'!FB4,'Entity Inputs'!FB10)</f>
        <v/>
      </c>
      <c r="FC4" s="14">
        <f>SUM('Entity Inputs'!FC4,'Entity Inputs'!FC10)</f>
        <v/>
      </c>
      <c r="FD4" s="14">
        <f>SUM('Entity Inputs'!FD4,'Entity Inputs'!FD10)</f>
        <v/>
      </c>
      <c r="FE4" s="14">
        <f>SUM('Entity Inputs'!FE4,'Entity Inputs'!FE10)</f>
        <v/>
      </c>
      <c r="FF4" s="14">
        <f>SUM('Entity Inputs'!FF4,'Entity Inputs'!FF10)</f>
        <v/>
      </c>
      <c r="FG4" s="14">
        <f>SUM('Entity Inputs'!FG4,'Entity Inputs'!FG10)</f>
        <v/>
      </c>
      <c r="FH4" s="14">
        <f>SUM('Entity Inputs'!FH4,'Entity Inputs'!FH10)</f>
        <v/>
      </c>
      <c r="FI4" s="14">
        <f>SUM('Entity Inputs'!FI4,'Entity Inputs'!FI10)</f>
        <v/>
      </c>
      <c r="FJ4" s="14">
        <f>SUM('Entity Inputs'!FJ4,'Entity Inputs'!FJ10)</f>
        <v/>
      </c>
      <c r="FK4" s="14">
        <f>SUM('Entity Inputs'!FK4,'Entity Inputs'!FK10)</f>
        <v/>
      </c>
      <c r="FL4" s="14">
        <f>SUM('Entity Inputs'!FL4,'Entity Inputs'!FL10)</f>
        <v/>
      </c>
      <c r="FM4" s="14">
        <f>SUM('Entity Inputs'!FM4,'Entity Inputs'!FM10)</f>
        <v/>
      </c>
      <c r="FN4" s="14">
        <f>SUM('Entity Inputs'!FN4,'Entity Inputs'!FN10)</f>
        <v/>
      </c>
      <c r="FO4" s="14">
        <f>SUM('Entity Inputs'!FO4,'Entity Inputs'!FO10)</f>
        <v/>
      </c>
      <c r="FP4" s="14">
        <f>SUM('Entity Inputs'!FP4,'Entity Inputs'!FP10)</f>
        <v/>
      </c>
      <c r="FQ4" s="14">
        <f>SUM('Entity Inputs'!FQ4,'Entity Inputs'!FQ10)</f>
        <v/>
      </c>
      <c r="FR4" s="14">
        <f>SUM('Entity Inputs'!FR4,'Entity Inputs'!FR10)</f>
        <v/>
      </c>
      <c r="FS4" s="14">
        <f>SUM('Entity Inputs'!FS4,'Entity Inputs'!FS10)</f>
        <v/>
      </c>
      <c r="FT4" s="14">
        <f>SUM('Entity Inputs'!FT4,'Entity Inputs'!FT10)</f>
        <v/>
      </c>
      <c r="FU4" s="14">
        <f>SUM('Entity Inputs'!FU4,'Entity Inputs'!FU10)</f>
        <v/>
      </c>
      <c r="FV4" s="22">
        <f>AU4-V4-X4-BY4</f>
        <v/>
      </c>
      <c r="FW4" s="22">
        <f>FV4-AX4</f>
        <v/>
      </c>
      <c r="FX4" s="22">
        <f>CJ4+CL4-CK4</f>
        <v/>
      </c>
      <c r="FY4" s="22">
        <f>FX4-Parameters!$B$7</f>
        <v/>
      </c>
      <c r="FZ4" s="22">
        <f>FV4-BZ4-FY4</f>
        <v/>
      </c>
      <c r="GA4" s="22">
        <f>FZ4-DJ4</f>
        <v/>
      </c>
      <c r="GB4" s="22">
        <f>CB4-CC4</f>
        <v/>
      </c>
      <c r="GC4" s="22">
        <f>SUM(FV$4:FV4)*12/D4</f>
        <v/>
      </c>
      <c r="GD4" s="22">
        <f>IF(AU4=0,0,CJ4/AU4*C4)</f>
        <v/>
      </c>
      <c r="GE4" s="22">
        <f>IF(V4=0,0,CK4/V4*C4)</f>
        <v/>
      </c>
      <c r="GF4" s="22">
        <f>IF(V4=0,0,CL4/V4*C4)</f>
        <v/>
      </c>
      <c r="GG4" s="22">
        <f>IF(OR(AS4=0,AT4=0,AV4=0),0,100*((AU4/AS4)/(AV4/AT4)-1))</f>
        <v/>
      </c>
    </row>
    <row r="5">
      <c r="A5" t="inlineStr">
        <is>
          <t>Group</t>
        </is>
      </c>
      <c r="B5" t="inlineStr">
        <is>
          <t>2026-05</t>
        </is>
      </c>
      <c r="C5" t="n">
        <v>31</v>
      </c>
      <c r="D5" t="n">
        <v>2</v>
      </c>
      <c r="E5" s="14">
        <f>SUM('Entity Inputs'!E5,'Entity Inputs'!E11)</f>
        <v/>
      </c>
      <c r="F5" s="14">
        <f>SUM('Entity Inputs'!F5,'Entity Inputs'!F11)</f>
        <v/>
      </c>
      <c r="G5" s="14">
        <f>SUM('Entity Inputs'!G5,'Entity Inputs'!G11)</f>
        <v/>
      </c>
      <c r="H5" s="14">
        <f>SUM('Entity Inputs'!H5,'Entity Inputs'!H11)</f>
        <v/>
      </c>
      <c r="I5" s="14">
        <f>SUM('Entity Inputs'!I5,'Entity Inputs'!I11)</f>
        <v/>
      </c>
      <c r="J5" s="14">
        <f>SUM('Entity Inputs'!J5,'Entity Inputs'!J11)</f>
        <v/>
      </c>
      <c r="K5" s="14">
        <f>SUM('Entity Inputs'!K5,'Entity Inputs'!K11)</f>
        <v/>
      </c>
      <c r="L5" s="14">
        <f>SUM('Entity Inputs'!L5,'Entity Inputs'!L11)</f>
        <v/>
      </c>
      <c r="M5" s="14">
        <f>SUM('Entity Inputs'!M5,'Entity Inputs'!M11)</f>
        <v/>
      </c>
      <c r="N5" s="14">
        <f>SUM('Entity Inputs'!N5,'Entity Inputs'!N11)</f>
        <v/>
      </c>
      <c r="O5" s="14">
        <f>SUM('Entity Inputs'!O5,'Entity Inputs'!O11)</f>
        <v/>
      </c>
      <c r="P5" s="14">
        <f>SUM('Entity Inputs'!P5,'Entity Inputs'!P11)</f>
        <v/>
      </c>
      <c r="Q5" s="14">
        <f>SUM('Entity Inputs'!Q5,'Entity Inputs'!Q11)</f>
        <v/>
      </c>
      <c r="R5" s="14">
        <f>SUM('Entity Inputs'!R5,'Entity Inputs'!R11)</f>
        <v/>
      </c>
      <c r="S5" s="14">
        <f>SUM('Entity Inputs'!S5,'Entity Inputs'!S11)</f>
        <v/>
      </c>
      <c r="T5" s="14">
        <f>SUM('Entity Inputs'!T5,'Entity Inputs'!T11)</f>
        <v/>
      </c>
      <c r="U5" s="14">
        <f>SUM('Entity Inputs'!U5,'Entity Inputs'!U11)</f>
        <v/>
      </c>
      <c r="V5" s="14">
        <f>SUM('Entity Inputs'!V5,'Entity Inputs'!V11)</f>
        <v/>
      </c>
      <c r="W5" s="14">
        <f>SUM('Entity Inputs'!W5,'Entity Inputs'!W11)</f>
        <v/>
      </c>
      <c r="X5" s="14">
        <f>SUM('Entity Inputs'!X5,'Entity Inputs'!X11)</f>
        <v/>
      </c>
      <c r="Y5" s="14">
        <f>SUM('Entity Inputs'!Y5,'Entity Inputs'!Y11)</f>
        <v/>
      </c>
      <c r="Z5" s="14">
        <f>SUM('Entity Inputs'!Z5,'Entity Inputs'!Z11)</f>
        <v/>
      </c>
      <c r="AA5" s="14">
        <f>SUM('Entity Inputs'!AA5,'Entity Inputs'!AA11)</f>
        <v/>
      </c>
      <c r="AB5" s="14">
        <f>SUM('Entity Inputs'!AB5,'Entity Inputs'!AB11)</f>
        <v/>
      </c>
      <c r="AC5" s="14">
        <f>SUM('Entity Inputs'!AC5,'Entity Inputs'!AC11)</f>
        <v/>
      </c>
      <c r="AD5" s="14">
        <f>SUM('Entity Inputs'!AD5,'Entity Inputs'!AD11)</f>
        <v/>
      </c>
      <c r="AE5" s="14">
        <f>SUM('Entity Inputs'!AE5,'Entity Inputs'!AE11)</f>
        <v/>
      </c>
      <c r="AF5" s="14">
        <f>SUM('Entity Inputs'!AF5,'Entity Inputs'!AF11)</f>
        <v/>
      </c>
      <c r="AG5" s="14">
        <f>SUM('Entity Inputs'!AG5,'Entity Inputs'!AG11)</f>
        <v/>
      </c>
      <c r="AH5" s="14">
        <f>SUM('Entity Inputs'!AH5,'Entity Inputs'!AH11)</f>
        <v/>
      </c>
      <c r="AI5" s="14">
        <f>SUM('Entity Inputs'!AI5,'Entity Inputs'!AI11)</f>
        <v/>
      </c>
      <c r="AJ5" s="14">
        <f>SUM('Entity Inputs'!AJ5,'Entity Inputs'!AJ11)</f>
        <v/>
      </c>
      <c r="AK5" s="14">
        <f>SUM('Entity Inputs'!AK5,'Entity Inputs'!AK11)</f>
        <v/>
      </c>
      <c r="AL5" s="14">
        <f>SUM('Entity Inputs'!AL5,'Entity Inputs'!AL11)</f>
        <v/>
      </c>
      <c r="AM5" s="14">
        <f>SUM('Entity Inputs'!AM5,'Entity Inputs'!AM11)</f>
        <v/>
      </c>
      <c r="AN5" s="14">
        <f>SUM('Entity Inputs'!AN5,'Entity Inputs'!AN11)</f>
        <v/>
      </c>
      <c r="AO5" s="14">
        <f>SUM('Entity Inputs'!AO5,'Entity Inputs'!AO11)</f>
        <v/>
      </c>
      <c r="AP5" s="14">
        <f>SUM('Entity Inputs'!AP5,'Entity Inputs'!AP11)</f>
        <v/>
      </c>
      <c r="AQ5" s="14">
        <f>SUM('Entity Inputs'!AQ5,'Entity Inputs'!AQ11)</f>
        <v/>
      </c>
      <c r="AR5" s="14">
        <f>MIN('Entity Inputs'!AR5,'Entity Inputs'!AR11)</f>
        <v/>
      </c>
      <c r="AS5" s="14">
        <f>SUM('Entity Inputs'!AS5,'Entity Inputs'!AS11)</f>
        <v/>
      </c>
      <c r="AT5" s="14">
        <f>SUM('Entity Inputs'!AT5,'Entity Inputs'!AT11)</f>
        <v/>
      </c>
      <c r="AU5" s="14">
        <f>SUM('Entity Inputs'!AU5,'Entity Inputs'!AU11)</f>
        <v/>
      </c>
      <c r="AV5" s="14">
        <f>SUM('Entity Inputs'!AV5,'Entity Inputs'!AV11)</f>
        <v/>
      </c>
      <c r="AW5" s="14">
        <f>SUM('Entity Inputs'!AW5,'Entity Inputs'!AW11)</f>
        <v/>
      </c>
      <c r="AX5" s="14">
        <f>SUM('Entity Inputs'!AX5,'Entity Inputs'!AX11)</f>
        <v/>
      </c>
      <c r="AY5" s="14">
        <f>SUM('Entity Inputs'!AY5,'Entity Inputs'!AY11)</f>
        <v/>
      </c>
      <c r="AZ5" s="14">
        <f>SUM('Entity Inputs'!AZ5,'Entity Inputs'!AZ11)</f>
        <v/>
      </c>
      <c r="BA5" s="14">
        <f>SUM('Entity Inputs'!BA5,'Entity Inputs'!BA11)</f>
        <v/>
      </c>
      <c r="BB5" s="14">
        <f>SUM('Entity Inputs'!BB5,'Entity Inputs'!BB11)</f>
        <v/>
      </c>
      <c r="BC5" s="14">
        <f>SUM('Entity Inputs'!BC5,'Entity Inputs'!BC11)</f>
        <v/>
      </c>
      <c r="BD5" s="14">
        <f>SUM('Entity Inputs'!BD5,'Entity Inputs'!BD11)</f>
        <v/>
      </c>
      <c r="BE5" s="14">
        <f>SUM('Entity Inputs'!BE5,'Entity Inputs'!BE11)</f>
        <v/>
      </c>
      <c r="BF5" s="14">
        <f>SUM('Entity Inputs'!BF5,'Entity Inputs'!BF11)</f>
        <v/>
      </c>
      <c r="BG5" s="14">
        <f>SUM('Entity Inputs'!BG5,'Entity Inputs'!BG11)</f>
        <v/>
      </c>
      <c r="BH5" s="14">
        <f>SUM('Entity Inputs'!BH5,'Entity Inputs'!BH11)</f>
        <v/>
      </c>
      <c r="BI5" s="14">
        <f>SUM('Entity Inputs'!BI5,'Entity Inputs'!BI11)</f>
        <v/>
      </c>
      <c r="BJ5" s="14">
        <f>SUM('Entity Inputs'!BJ5,'Entity Inputs'!BJ11)</f>
        <v/>
      </c>
      <c r="BK5" s="14">
        <f>SUM('Entity Inputs'!BK5,'Entity Inputs'!BK11)</f>
        <v/>
      </c>
      <c r="BL5" s="14">
        <f>SUM('Entity Inputs'!BL5,'Entity Inputs'!BL11)</f>
        <v/>
      </c>
      <c r="BM5" s="14">
        <f>SUM('Entity Inputs'!BM5,'Entity Inputs'!BM11)</f>
        <v/>
      </c>
      <c r="BN5" s="14">
        <f>SUM('Entity Inputs'!BN5,'Entity Inputs'!BN11)</f>
        <v/>
      </c>
      <c r="BO5" s="14">
        <f>SUM('Entity Inputs'!BO5,'Entity Inputs'!BO11)</f>
        <v/>
      </c>
      <c r="BP5" s="14">
        <f>SUM('Entity Inputs'!BP5,'Entity Inputs'!BP11)</f>
        <v/>
      </c>
      <c r="BQ5" s="14">
        <f>SUM('Entity Inputs'!BQ5,'Entity Inputs'!BQ11)</f>
        <v/>
      </c>
      <c r="BR5" s="14">
        <f>SUM('Entity Inputs'!BR5,'Entity Inputs'!BR11)</f>
        <v/>
      </c>
      <c r="BS5" s="14">
        <f>MIN('Entity Inputs'!BS5,'Entity Inputs'!BS11)</f>
        <v/>
      </c>
      <c r="BT5" s="14">
        <f>SUM('Entity Inputs'!BT5,'Entity Inputs'!BT11)</f>
        <v/>
      </c>
      <c r="BU5" s="14">
        <f>SUM('Entity Inputs'!BU5,'Entity Inputs'!BU11)</f>
        <v/>
      </c>
      <c r="BV5" s="14">
        <f>SUM('Entity Inputs'!BV5,'Entity Inputs'!BV11)</f>
        <v/>
      </c>
      <c r="BW5" s="14">
        <f>SUM('Entity Inputs'!BW5,'Entity Inputs'!BW11)</f>
        <v/>
      </c>
      <c r="BX5" s="14">
        <f>SUM('Entity Inputs'!BX5,'Entity Inputs'!BX11)</f>
        <v/>
      </c>
      <c r="BY5" s="14">
        <f>SUM('Entity Inputs'!BY5,'Entity Inputs'!BY11)</f>
        <v/>
      </c>
      <c r="BZ5" s="14">
        <f>SUM('Entity Inputs'!BZ5,'Entity Inputs'!BZ11)</f>
        <v/>
      </c>
      <c r="CA5" s="14">
        <f>SUM('Entity Inputs'!CA5,'Entity Inputs'!CA11)</f>
        <v/>
      </c>
      <c r="CB5" s="14">
        <f>SUM('Entity Inputs'!CB5,'Entity Inputs'!CB11)</f>
        <v/>
      </c>
      <c r="CC5" s="14">
        <f>SUM('Entity Inputs'!CC5,'Entity Inputs'!CC11)</f>
        <v/>
      </c>
      <c r="CD5" s="14">
        <f>SUM('Entity Inputs'!CD5,'Entity Inputs'!CD11)</f>
        <v/>
      </c>
      <c r="CE5" s="14">
        <f>SUM('Entity Inputs'!CE5,'Entity Inputs'!CE11)</f>
        <v/>
      </c>
      <c r="CF5" s="14">
        <f>SUM('Entity Inputs'!CF5,'Entity Inputs'!CF11)</f>
        <v/>
      </c>
      <c r="CG5" s="14">
        <f>SUM('Entity Inputs'!CG5,'Entity Inputs'!CG11)</f>
        <v/>
      </c>
      <c r="CH5" s="14">
        <f>SUM('Entity Inputs'!CH5,'Entity Inputs'!CH11)</f>
        <v/>
      </c>
      <c r="CI5" s="14">
        <f>SUM('Entity Inputs'!CI5,'Entity Inputs'!CI11)</f>
        <v/>
      </c>
      <c r="CJ5" s="14">
        <f>SUM('Entity Inputs'!CJ5,'Entity Inputs'!CJ11)</f>
        <v/>
      </c>
      <c r="CK5" s="14">
        <f>SUM('Entity Inputs'!CK5,'Entity Inputs'!CK11)</f>
        <v/>
      </c>
      <c r="CL5" s="14">
        <f>SUM('Entity Inputs'!CL5,'Entity Inputs'!CL11)</f>
        <v/>
      </c>
      <c r="CM5" s="14">
        <f>SUM('Entity Inputs'!CM5,'Entity Inputs'!CM11)</f>
        <v/>
      </c>
      <c r="CN5" s="14">
        <f>SUM('Entity Inputs'!CN5,'Entity Inputs'!CN11)</f>
        <v/>
      </c>
      <c r="CO5" s="14">
        <f>SUM('Entity Inputs'!CO5,'Entity Inputs'!CO11)</f>
        <v/>
      </c>
      <c r="CP5" s="14">
        <f>SUM('Entity Inputs'!CP5,'Entity Inputs'!CP11)</f>
        <v/>
      </c>
      <c r="CQ5" s="14">
        <f>SUM('Entity Inputs'!CQ5,'Entity Inputs'!CQ11)</f>
        <v/>
      </c>
      <c r="CR5" s="14">
        <f>SUM('Entity Inputs'!CR5,'Entity Inputs'!CR11)</f>
        <v/>
      </c>
      <c r="CS5" s="14">
        <f>SUM('Entity Inputs'!CS5,'Entity Inputs'!CS11)</f>
        <v/>
      </c>
      <c r="CT5" s="14">
        <f>SUM('Entity Inputs'!CT5,'Entity Inputs'!CT11)</f>
        <v/>
      </c>
      <c r="CU5" s="14">
        <f>SUM('Entity Inputs'!CU5,'Entity Inputs'!CU11)</f>
        <v/>
      </c>
      <c r="CV5" s="14">
        <f>SUM('Entity Inputs'!CV5,'Entity Inputs'!CV11)</f>
        <v/>
      </c>
      <c r="CW5" s="14">
        <f>SUM('Entity Inputs'!CW5,'Entity Inputs'!CW11)</f>
        <v/>
      </c>
      <c r="CX5" s="14">
        <f>SUM('Entity Inputs'!CX5,'Entity Inputs'!CX11)</f>
        <v/>
      </c>
      <c r="CY5" s="14">
        <f>SUM('Entity Inputs'!CY5,'Entity Inputs'!CY11)</f>
        <v/>
      </c>
      <c r="CZ5" s="14">
        <f>SUM('Entity Inputs'!CZ5,'Entity Inputs'!CZ11)</f>
        <v/>
      </c>
      <c r="DA5" s="14">
        <f>SUM('Entity Inputs'!DA5,'Entity Inputs'!DA11)</f>
        <v/>
      </c>
      <c r="DB5" s="14">
        <f>SUM('Entity Inputs'!DB5,'Entity Inputs'!DB11)</f>
        <v/>
      </c>
      <c r="DC5" s="14">
        <f>SUM('Entity Inputs'!DC5,'Entity Inputs'!DC11)</f>
        <v/>
      </c>
      <c r="DD5" s="14">
        <f>SUM('Entity Inputs'!DD5,'Entity Inputs'!DD11)</f>
        <v/>
      </c>
      <c r="DE5" s="14">
        <f>SUM('Entity Inputs'!DE5,'Entity Inputs'!DE11)</f>
        <v/>
      </c>
      <c r="DF5" s="14">
        <f>SUM('Entity Inputs'!DF5,'Entity Inputs'!DF11)</f>
        <v/>
      </c>
      <c r="DG5" s="14">
        <f>SUM('Entity Inputs'!DG5,'Entity Inputs'!DG11)</f>
        <v/>
      </c>
      <c r="DH5" s="14">
        <f>SUM('Entity Inputs'!DH5,'Entity Inputs'!DH11)</f>
        <v/>
      </c>
      <c r="DI5" s="14">
        <f>SUM('Entity Inputs'!DI5,'Entity Inputs'!DI11)</f>
        <v/>
      </c>
      <c r="DJ5" s="14">
        <f>SUM('Entity Inputs'!DJ5,'Entity Inputs'!DJ11)</f>
        <v/>
      </c>
      <c r="DK5" s="14">
        <f>SUM('Entity Inputs'!DK5,'Entity Inputs'!DK11)</f>
        <v/>
      </c>
      <c r="DL5" s="14">
        <f>SUM('Entity Inputs'!DL5,'Entity Inputs'!DL11)</f>
        <v/>
      </c>
      <c r="DM5" s="14">
        <f>SUM('Entity Inputs'!DM5,'Entity Inputs'!DM11)</f>
        <v/>
      </c>
      <c r="DN5" s="14">
        <f>SUM('Entity Inputs'!DN5,'Entity Inputs'!DN11)</f>
        <v/>
      </c>
      <c r="DO5" s="14">
        <f>SUM('Entity Inputs'!DO5,'Entity Inputs'!DO11)</f>
        <v/>
      </c>
      <c r="DP5" s="14">
        <f>SUM('Entity Inputs'!DP5,'Entity Inputs'!DP11)</f>
        <v/>
      </c>
      <c r="DQ5" s="14">
        <f>SUM('Entity Inputs'!DQ5,'Entity Inputs'!DQ11)</f>
        <v/>
      </c>
      <c r="DR5" s="14">
        <f>SUM('Entity Inputs'!DR5,'Entity Inputs'!DR11)</f>
        <v/>
      </c>
      <c r="DS5" s="14">
        <f>SUM('Entity Inputs'!DS5,'Entity Inputs'!DS11)</f>
        <v/>
      </c>
      <c r="DT5" s="14">
        <f>SUM('Entity Inputs'!DT5,'Entity Inputs'!DT11)</f>
        <v/>
      </c>
      <c r="DU5" s="14">
        <f>SUM('Entity Inputs'!DU5,'Entity Inputs'!DU11)</f>
        <v/>
      </c>
      <c r="DV5" s="14">
        <f>SUM('Entity Inputs'!DV5,'Entity Inputs'!DV11)</f>
        <v/>
      </c>
      <c r="DW5" s="14">
        <f>SUM('Entity Inputs'!DW5,'Entity Inputs'!DW11)</f>
        <v/>
      </c>
      <c r="DX5" s="14">
        <f>SUM('Entity Inputs'!DX5,'Entity Inputs'!DX11)</f>
        <v/>
      </c>
      <c r="DY5" s="14">
        <f>SUM('Entity Inputs'!DY5,'Entity Inputs'!DY11)</f>
        <v/>
      </c>
      <c r="DZ5" s="14">
        <f>SUM('Entity Inputs'!DZ5,'Entity Inputs'!DZ11)</f>
        <v/>
      </c>
      <c r="EA5" s="14">
        <f>SUM('Entity Inputs'!EA5,'Entity Inputs'!EA11)</f>
        <v/>
      </c>
      <c r="EB5" s="14">
        <f>SUM('Entity Inputs'!EB5,'Entity Inputs'!EB11)</f>
        <v/>
      </c>
      <c r="EC5" s="14">
        <f>SUM('Entity Inputs'!EC5,'Entity Inputs'!EC11)</f>
        <v/>
      </c>
      <c r="ED5" s="14">
        <f>SUM('Entity Inputs'!ED5,'Entity Inputs'!ED11)</f>
        <v/>
      </c>
      <c r="EE5" s="14">
        <f>SUM('Entity Inputs'!EE5,'Entity Inputs'!EE11)</f>
        <v/>
      </c>
      <c r="EF5" s="14">
        <f>SUM('Entity Inputs'!EF5,'Entity Inputs'!EF11)</f>
        <v/>
      </c>
      <c r="EG5" s="14">
        <f>SUM('Entity Inputs'!EG5,'Entity Inputs'!EG11)</f>
        <v/>
      </c>
      <c r="EH5" s="14">
        <f>SUM('Entity Inputs'!EH5,'Entity Inputs'!EH11)</f>
        <v/>
      </c>
      <c r="EI5" s="14">
        <f>SUM('Entity Inputs'!EI5,'Entity Inputs'!EI11)</f>
        <v/>
      </c>
      <c r="EJ5" s="14">
        <f>SUM('Entity Inputs'!EJ5,'Entity Inputs'!EJ11)</f>
        <v/>
      </c>
      <c r="EK5" s="14">
        <f>SUM('Entity Inputs'!EK5,'Entity Inputs'!EK11)</f>
        <v/>
      </c>
      <c r="EL5" s="14">
        <f>SUM('Entity Inputs'!EL5,'Entity Inputs'!EL11)</f>
        <v/>
      </c>
      <c r="EM5" s="14">
        <f>SUM('Entity Inputs'!EM5,'Entity Inputs'!EM11)</f>
        <v/>
      </c>
      <c r="EN5" s="14">
        <f>SUM('Entity Inputs'!EN5,'Entity Inputs'!EN11)</f>
        <v/>
      </c>
      <c r="EO5" s="14">
        <f>SUM('Entity Inputs'!EO5,'Entity Inputs'!EO11)</f>
        <v/>
      </c>
      <c r="EP5" s="14">
        <f>SUM('Entity Inputs'!EP5,'Entity Inputs'!EP11)</f>
        <v/>
      </c>
      <c r="EQ5" s="14">
        <f>SUM('Entity Inputs'!EQ5,'Entity Inputs'!EQ11)</f>
        <v/>
      </c>
      <c r="ER5" s="14">
        <f>SUM('Entity Inputs'!ER5,'Entity Inputs'!ER11)</f>
        <v/>
      </c>
      <c r="ES5" s="14">
        <f>SUM('Entity Inputs'!ES5,'Entity Inputs'!ES11)</f>
        <v/>
      </c>
      <c r="ET5" s="14">
        <f>SUM('Entity Inputs'!ET5,'Entity Inputs'!ET11)</f>
        <v/>
      </c>
      <c r="EU5" s="14">
        <f>SUM('Entity Inputs'!EU5,'Entity Inputs'!EU11)</f>
        <v/>
      </c>
      <c r="EV5" s="14">
        <f>SUM('Entity Inputs'!EV5,'Entity Inputs'!EV11)</f>
        <v/>
      </c>
      <c r="EW5" s="14">
        <f>SUM('Entity Inputs'!EW5,'Entity Inputs'!EW11)</f>
        <v/>
      </c>
      <c r="EX5" s="14">
        <f>SUM('Entity Inputs'!EX5,'Entity Inputs'!EX11)</f>
        <v/>
      </c>
      <c r="EY5" s="14">
        <f>SUM('Entity Inputs'!EY5,'Entity Inputs'!EY11)</f>
        <v/>
      </c>
      <c r="EZ5" s="14">
        <f>SUM('Entity Inputs'!EZ5,'Entity Inputs'!EZ11)</f>
        <v/>
      </c>
      <c r="FA5" s="14">
        <f>SUM('Entity Inputs'!FA5,'Entity Inputs'!FA11)</f>
        <v/>
      </c>
      <c r="FB5" s="14">
        <f>SUM('Entity Inputs'!FB5,'Entity Inputs'!FB11)</f>
        <v/>
      </c>
      <c r="FC5" s="14">
        <f>SUM('Entity Inputs'!FC5,'Entity Inputs'!FC11)</f>
        <v/>
      </c>
      <c r="FD5" s="14">
        <f>SUM('Entity Inputs'!FD5,'Entity Inputs'!FD11)</f>
        <v/>
      </c>
      <c r="FE5" s="14">
        <f>SUM('Entity Inputs'!FE5,'Entity Inputs'!FE11)</f>
        <v/>
      </c>
      <c r="FF5" s="14">
        <f>SUM('Entity Inputs'!FF5,'Entity Inputs'!FF11)</f>
        <v/>
      </c>
      <c r="FG5" s="14">
        <f>SUM('Entity Inputs'!FG5,'Entity Inputs'!FG11)</f>
        <v/>
      </c>
      <c r="FH5" s="14">
        <f>SUM('Entity Inputs'!FH5,'Entity Inputs'!FH11)</f>
        <v/>
      </c>
      <c r="FI5" s="14">
        <f>SUM('Entity Inputs'!FI5,'Entity Inputs'!FI11)</f>
        <v/>
      </c>
      <c r="FJ5" s="14">
        <f>SUM('Entity Inputs'!FJ5,'Entity Inputs'!FJ11)</f>
        <v/>
      </c>
      <c r="FK5" s="14">
        <f>SUM('Entity Inputs'!FK5,'Entity Inputs'!FK11)</f>
        <v/>
      </c>
      <c r="FL5" s="14">
        <f>SUM('Entity Inputs'!FL5,'Entity Inputs'!FL11)</f>
        <v/>
      </c>
      <c r="FM5" s="14">
        <f>SUM('Entity Inputs'!FM5,'Entity Inputs'!FM11)</f>
        <v/>
      </c>
      <c r="FN5" s="14">
        <f>SUM('Entity Inputs'!FN5,'Entity Inputs'!FN11)</f>
        <v/>
      </c>
      <c r="FO5" s="14">
        <f>SUM('Entity Inputs'!FO5,'Entity Inputs'!FO11)</f>
        <v/>
      </c>
      <c r="FP5" s="14">
        <f>SUM('Entity Inputs'!FP5,'Entity Inputs'!FP11)</f>
        <v/>
      </c>
      <c r="FQ5" s="14">
        <f>SUM('Entity Inputs'!FQ5,'Entity Inputs'!FQ11)</f>
        <v/>
      </c>
      <c r="FR5" s="14">
        <f>SUM('Entity Inputs'!FR5,'Entity Inputs'!FR11)</f>
        <v/>
      </c>
      <c r="FS5" s="14">
        <f>SUM('Entity Inputs'!FS5,'Entity Inputs'!FS11)</f>
        <v/>
      </c>
      <c r="FT5" s="14">
        <f>SUM('Entity Inputs'!FT5,'Entity Inputs'!FT11)</f>
        <v/>
      </c>
      <c r="FU5" s="14">
        <f>SUM('Entity Inputs'!FU5,'Entity Inputs'!FU11)</f>
        <v/>
      </c>
      <c r="FV5" s="22">
        <f>AU5-V5-X5-BY5</f>
        <v/>
      </c>
      <c r="FW5" s="22">
        <f>FV5-AX5</f>
        <v/>
      </c>
      <c r="FX5" s="22">
        <f>CJ5+CL5-CK5</f>
        <v/>
      </c>
      <c r="FY5" s="22">
        <f>FX5-FX4</f>
        <v/>
      </c>
      <c r="FZ5" s="22">
        <f>FV5-BZ5-FY5</f>
        <v/>
      </c>
      <c r="GA5" s="22">
        <f>FZ5-DJ5</f>
        <v/>
      </c>
      <c r="GB5" s="22">
        <f>CB5-CC5</f>
        <v/>
      </c>
      <c r="GC5" s="22">
        <f>SUM(FV$4:FV5)*12/D5</f>
        <v/>
      </c>
      <c r="GD5" s="22">
        <f>IF(AU5=0,0,CJ5/AU5*C5)</f>
        <v/>
      </c>
      <c r="GE5" s="22">
        <f>IF(V5=0,0,CK5/V5*C5)</f>
        <v/>
      </c>
      <c r="GF5" s="22">
        <f>IF(V5=0,0,CL5/V5*C5)</f>
        <v/>
      </c>
      <c r="GG5" s="22">
        <f>IF(OR(AS5=0,AT5=0,AV5=0),0,100*((AU5/AS5)/(AV5/AT5)-1))</f>
        <v/>
      </c>
    </row>
    <row r="6">
      <c r="A6" t="inlineStr">
        <is>
          <t>Group</t>
        </is>
      </c>
      <c r="B6" t="inlineStr">
        <is>
          <t>2026-06</t>
        </is>
      </c>
      <c r="C6" t="n">
        <v>30</v>
      </c>
      <c r="D6" t="n">
        <v>3</v>
      </c>
      <c r="E6" s="14">
        <f>SUM('Entity Inputs'!E6,'Entity Inputs'!E12)</f>
        <v/>
      </c>
      <c r="F6" s="14">
        <f>SUM('Entity Inputs'!F6,'Entity Inputs'!F12)</f>
        <v/>
      </c>
      <c r="G6" s="14">
        <f>SUM('Entity Inputs'!G6,'Entity Inputs'!G12)</f>
        <v/>
      </c>
      <c r="H6" s="14">
        <f>SUM('Entity Inputs'!H6,'Entity Inputs'!H12)</f>
        <v/>
      </c>
      <c r="I6" s="14">
        <f>SUM('Entity Inputs'!I6,'Entity Inputs'!I12)</f>
        <v/>
      </c>
      <c r="J6" s="14">
        <f>SUM('Entity Inputs'!J6,'Entity Inputs'!J12)</f>
        <v/>
      </c>
      <c r="K6" s="14">
        <f>SUM('Entity Inputs'!K6,'Entity Inputs'!K12)</f>
        <v/>
      </c>
      <c r="L6" s="14">
        <f>SUM('Entity Inputs'!L6,'Entity Inputs'!L12)</f>
        <v/>
      </c>
      <c r="M6" s="14">
        <f>SUM('Entity Inputs'!M6,'Entity Inputs'!M12)</f>
        <v/>
      </c>
      <c r="N6" s="14">
        <f>SUM('Entity Inputs'!N6,'Entity Inputs'!N12)</f>
        <v/>
      </c>
      <c r="O6" s="14">
        <f>SUM('Entity Inputs'!O6,'Entity Inputs'!O12)</f>
        <v/>
      </c>
      <c r="P6" s="14">
        <f>SUM('Entity Inputs'!P6,'Entity Inputs'!P12)</f>
        <v/>
      </c>
      <c r="Q6" s="14">
        <f>SUM('Entity Inputs'!Q6,'Entity Inputs'!Q12)</f>
        <v/>
      </c>
      <c r="R6" s="14">
        <f>SUM('Entity Inputs'!R6,'Entity Inputs'!R12)</f>
        <v/>
      </c>
      <c r="S6" s="14">
        <f>SUM('Entity Inputs'!S6,'Entity Inputs'!S12)</f>
        <v/>
      </c>
      <c r="T6" s="14">
        <f>SUM('Entity Inputs'!T6,'Entity Inputs'!T12)</f>
        <v/>
      </c>
      <c r="U6" s="14">
        <f>SUM('Entity Inputs'!U6,'Entity Inputs'!U12)</f>
        <v/>
      </c>
      <c r="V6" s="14">
        <f>SUM('Entity Inputs'!V6,'Entity Inputs'!V12)</f>
        <v/>
      </c>
      <c r="W6" s="14">
        <f>SUM('Entity Inputs'!W6,'Entity Inputs'!W12)</f>
        <v/>
      </c>
      <c r="X6" s="14">
        <f>SUM('Entity Inputs'!X6,'Entity Inputs'!X12)</f>
        <v/>
      </c>
      <c r="Y6" s="14">
        <f>SUM('Entity Inputs'!Y6,'Entity Inputs'!Y12)</f>
        <v/>
      </c>
      <c r="Z6" s="14">
        <f>SUM('Entity Inputs'!Z6,'Entity Inputs'!Z12)</f>
        <v/>
      </c>
      <c r="AA6" s="14">
        <f>SUM('Entity Inputs'!AA6,'Entity Inputs'!AA12)</f>
        <v/>
      </c>
      <c r="AB6" s="14">
        <f>SUM('Entity Inputs'!AB6,'Entity Inputs'!AB12)</f>
        <v/>
      </c>
      <c r="AC6" s="14">
        <f>SUM('Entity Inputs'!AC6,'Entity Inputs'!AC12)</f>
        <v/>
      </c>
      <c r="AD6" s="14">
        <f>SUM('Entity Inputs'!AD6,'Entity Inputs'!AD12)</f>
        <v/>
      </c>
      <c r="AE6" s="14">
        <f>SUM('Entity Inputs'!AE6,'Entity Inputs'!AE12)</f>
        <v/>
      </c>
      <c r="AF6" s="14">
        <f>SUM('Entity Inputs'!AF6,'Entity Inputs'!AF12)</f>
        <v/>
      </c>
      <c r="AG6" s="14">
        <f>SUM('Entity Inputs'!AG6,'Entity Inputs'!AG12)</f>
        <v/>
      </c>
      <c r="AH6" s="14">
        <f>SUM('Entity Inputs'!AH6,'Entity Inputs'!AH12)</f>
        <v/>
      </c>
      <c r="AI6" s="14">
        <f>SUM('Entity Inputs'!AI6,'Entity Inputs'!AI12)</f>
        <v/>
      </c>
      <c r="AJ6" s="14">
        <f>SUM('Entity Inputs'!AJ6,'Entity Inputs'!AJ12)</f>
        <v/>
      </c>
      <c r="AK6" s="14">
        <f>SUM('Entity Inputs'!AK6,'Entity Inputs'!AK12)</f>
        <v/>
      </c>
      <c r="AL6" s="14">
        <f>SUM('Entity Inputs'!AL6,'Entity Inputs'!AL12)</f>
        <v/>
      </c>
      <c r="AM6" s="14">
        <f>SUM('Entity Inputs'!AM6,'Entity Inputs'!AM12)</f>
        <v/>
      </c>
      <c r="AN6" s="14">
        <f>SUM('Entity Inputs'!AN6,'Entity Inputs'!AN12)</f>
        <v/>
      </c>
      <c r="AO6" s="14">
        <f>SUM('Entity Inputs'!AO6,'Entity Inputs'!AO12)</f>
        <v/>
      </c>
      <c r="AP6" s="14">
        <f>SUM('Entity Inputs'!AP6,'Entity Inputs'!AP12)</f>
        <v/>
      </c>
      <c r="AQ6" s="14">
        <f>SUM('Entity Inputs'!AQ6,'Entity Inputs'!AQ12)</f>
        <v/>
      </c>
      <c r="AR6" s="14">
        <f>MIN('Entity Inputs'!AR6,'Entity Inputs'!AR12)</f>
        <v/>
      </c>
      <c r="AS6" s="14">
        <f>SUM('Entity Inputs'!AS6,'Entity Inputs'!AS12)</f>
        <v/>
      </c>
      <c r="AT6" s="14">
        <f>SUM('Entity Inputs'!AT6,'Entity Inputs'!AT12)</f>
        <v/>
      </c>
      <c r="AU6" s="14">
        <f>SUM('Entity Inputs'!AU6,'Entity Inputs'!AU12)</f>
        <v/>
      </c>
      <c r="AV6" s="14">
        <f>SUM('Entity Inputs'!AV6,'Entity Inputs'!AV12)</f>
        <v/>
      </c>
      <c r="AW6" s="14">
        <f>SUM('Entity Inputs'!AW6,'Entity Inputs'!AW12)</f>
        <v/>
      </c>
      <c r="AX6" s="14">
        <f>SUM('Entity Inputs'!AX6,'Entity Inputs'!AX12)</f>
        <v/>
      </c>
      <c r="AY6" s="14">
        <f>SUM('Entity Inputs'!AY6,'Entity Inputs'!AY12)</f>
        <v/>
      </c>
      <c r="AZ6" s="14">
        <f>SUM('Entity Inputs'!AZ6,'Entity Inputs'!AZ12)</f>
        <v/>
      </c>
      <c r="BA6" s="14">
        <f>SUM('Entity Inputs'!BA6,'Entity Inputs'!BA12)</f>
        <v/>
      </c>
      <c r="BB6" s="14">
        <f>SUM('Entity Inputs'!BB6,'Entity Inputs'!BB12)</f>
        <v/>
      </c>
      <c r="BC6" s="14">
        <f>SUM('Entity Inputs'!BC6,'Entity Inputs'!BC12)</f>
        <v/>
      </c>
      <c r="BD6" s="14">
        <f>SUM('Entity Inputs'!BD6,'Entity Inputs'!BD12)</f>
        <v/>
      </c>
      <c r="BE6" s="14">
        <f>SUM('Entity Inputs'!BE6,'Entity Inputs'!BE12)</f>
        <v/>
      </c>
      <c r="BF6" s="14">
        <f>SUM('Entity Inputs'!BF6,'Entity Inputs'!BF12)</f>
        <v/>
      </c>
      <c r="BG6" s="14">
        <f>SUM('Entity Inputs'!BG6,'Entity Inputs'!BG12)</f>
        <v/>
      </c>
      <c r="BH6" s="14">
        <f>SUM('Entity Inputs'!BH6,'Entity Inputs'!BH12)</f>
        <v/>
      </c>
      <c r="BI6" s="14">
        <f>SUM('Entity Inputs'!BI6,'Entity Inputs'!BI12)</f>
        <v/>
      </c>
      <c r="BJ6" s="14">
        <f>SUM('Entity Inputs'!BJ6,'Entity Inputs'!BJ12)</f>
        <v/>
      </c>
      <c r="BK6" s="14">
        <f>SUM('Entity Inputs'!BK6,'Entity Inputs'!BK12)</f>
        <v/>
      </c>
      <c r="BL6" s="14">
        <f>SUM('Entity Inputs'!BL6,'Entity Inputs'!BL12)</f>
        <v/>
      </c>
      <c r="BM6" s="14">
        <f>SUM('Entity Inputs'!BM6,'Entity Inputs'!BM12)</f>
        <v/>
      </c>
      <c r="BN6" s="14">
        <f>SUM('Entity Inputs'!BN6,'Entity Inputs'!BN12)</f>
        <v/>
      </c>
      <c r="BO6" s="14">
        <f>SUM('Entity Inputs'!BO6,'Entity Inputs'!BO12)</f>
        <v/>
      </c>
      <c r="BP6" s="14">
        <f>SUM('Entity Inputs'!BP6,'Entity Inputs'!BP12)</f>
        <v/>
      </c>
      <c r="BQ6" s="14">
        <f>SUM('Entity Inputs'!BQ6,'Entity Inputs'!BQ12)</f>
        <v/>
      </c>
      <c r="BR6" s="14">
        <f>SUM('Entity Inputs'!BR6,'Entity Inputs'!BR12)</f>
        <v/>
      </c>
      <c r="BS6" s="14">
        <f>MIN('Entity Inputs'!BS6,'Entity Inputs'!BS12)</f>
        <v/>
      </c>
      <c r="BT6" s="14">
        <f>SUM('Entity Inputs'!BT6,'Entity Inputs'!BT12)</f>
        <v/>
      </c>
      <c r="BU6" s="14">
        <f>SUM('Entity Inputs'!BU6,'Entity Inputs'!BU12)</f>
        <v/>
      </c>
      <c r="BV6" s="14">
        <f>SUM('Entity Inputs'!BV6,'Entity Inputs'!BV12)</f>
        <v/>
      </c>
      <c r="BW6" s="14">
        <f>SUM('Entity Inputs'!BW6,'Entity Inputs'!BW12)</f>
        <v/>
      </c>
      <c r="BX6" s="14">
        <f>SUM('Entity Inputs'!BX6,'Entity Inputs'!BX12)</f>
        <v/>
      </c>
      <c r="BY6" s="14">
        <f>SUM('Entity Inputs'!BY6,'Entity Inputs'!BY12)</f>
        <v/>
      </c>
      <c r="BZ6" s="14">
        <f>SUM('Entity Inputs'!BZ6,'Entity Inputs'!BZ12)</f>
        <v/>
      </c>
      <c r="CA6" s="14">
        <f>SUM('Entity Inputs'!CA6,'Entity Inputs'!CA12)</f>
        <v/>
      </c>
      <c r="CB6" s="14">
        <f>SUM('Entity Inputs'!CB6,'Entity Inputs'!CB12)</f>
        <v/>
      </c>
      <c r="CC6" s="14">
        <f>SUM('Entity Inputs'!CC6,'Entity Inputs'!CC12)</f>
        <v/>
      </c>
      <c r="CD6" s="14">
        <f>SUM('Entity Inputs'!CD6,'Entity Inputs'!CD12)</f>
        <v/>
      </c>
      <c r="CE6" s="14">
        <f>SUM('Entity Inputs'!CE6,'Entity Inputs'!CE12)</f>
        <v/>
      </c>
      <c r="CF6" s="14">
        <f>SUM('Entity Inputs'!CF6,'Entity Inputs'!CF12)</f>
        <v/>
      </c>
      <c r="CG6" s="14">
        <f>SUM('Entity Inputs'!CG6,'Entity Inputs'!CG12)</f>
        <v/>
      </c>
      <c r="CH6" s="14">
        <f>SUM('Entity Inputs'!CH6,'Entity Inputs'!CH12)</f>
        <v/>
      </c>
      <c r="CI6" s="14">
        <f>SUM('Entity Inputs'!CI6,'Entity Inputs'!CI12)</f>
        <v/>
      </c>
      <c r="CJ6" s="14">
        <f>SUM('Entity Inputs'!CJ6,'Entity Inputs'!CJ12)</f>
        <v/>
      </c>
      <c r="CK6" s="14">
        <f>SUM('Entity Inputs'!CK6,'Entity Inputs'!CK12)</f>
        <v/>
      </c>
      <c r="CL6" s="14">
        <f>SUM('Entity Inputs'!CL6,'Entity Inputs'!CL12)</f>
        <v/>
      </c>
      <c r="CM6" s="14">
        <f>SUM('Entity Inputs'!CM6,'Entity Inputs'!CM12)</f>
        <v/>
      </c>
      <c r="CN6" s="14">
        <f>SUM('Entity Inputs'!CN6,'Entity Inputs'!CN12)</f>
        <v/>
      </c>
      <c r="CO6" s="14">
        <f>SUM('Entity Inputs'!CO6,'Entity Inputs'!CO12)</f>
        <v/>
      </c>
      <c r="CP6" s="14">
        <f>SUM('Entity Inputs'!CP6,'Entity Inputs'!CP12)</f>
        <v/>
      </c>
      <c r="CQ6" s="14">
        <f>SUM('Entity Inputs'!CQ6,'Entity Inputs'!CQ12)</f>
        <v/>
      </c>
      <c r="CR6" s="14">
        <f>SUM('Entity Inputs'!CR6,'Entity Inputs'!CR12)</f>
        <v/>
      </c>
      <c r="CS6" s="14">
        <f>SUM('Entity Inputs'!CS6,'Entity Inputs'!CS12)</f>
        <v/>
      </c>
      <c r="CT6" s="14">
        <f>SUM('Entity Inputs'!CT6,'Entity Inputs'!CT12)</f>
        <v/>
      </c>
      <c r="CU6" s="14">
        <f>SUM('Entity Inputs'!CU6,'Entity Inputs'!CU12)</f>
        <v/>
      </c>
      <c r="CV6" s="14">
        <f>SUM('Entity Inputs'!CV6,'Entity Inputs'!CV12)</f>
        <v/>
      </c>
      <c r="CW6" s="14">
        <f>SUM('Entity Inputs'!CW6,'Entity Inputs'!CW12)</f>
        <v/>
      </c>
      <c r="CX6" s="14">
        <f>SUM('Entity Inputs'!CX6,'Entity Inputs'!CX12)</f>
        <v/>
      </c>
      <c r="CY6" s="14">
        <f>SUM('Entity Inputs'!CY6,'Entity Inputs'!CY12)</f>
        <v/>
      </c>
      <c r="CZ6" s="14">
        <f>SUM('Entity Inputs'!CZ6,'Entity Inputs'!CZ12)</f>
        <v/>
      </c>
      <c r="DA6" s="14">
        <f>SUM('Entity Inputs'!DA6,'Entity Inputs'!DA12)</f>
        <v/>
      </c>
      <c r="DB6" s="14">
        <f>SUM('Entity Inputs'!DB6,'Entity Inputs'!DB12)</f>
        <v/>
      </c>
      <c r="DC6" s="14">
        <f>SUM('Entity Inputs'!DC6,'Entity Inputs'!DC12)</f>
        <v/>
      </c>
      <c r="DD6" s="14">
        <f>SUM('Entity Inputs'!DD6,'Entity Inputs'!DD12)</f>
        <v/>
      </c>
      <c r="DE6" s="14">
        <f>SUM('Entity Inputs'!DE6,'Entity Inputs'!DE12)</f>
        <v/>
      </c>
      <c r="DF6" s="14">
        <f>SUM('Entity Inputs'!DF6,'Entity Inputs'!DF12)</f>
        <v/>
      </c>
      <c r="DG6" s="14">
        <f>SUM('Entity Inputs'!DG6,'Entity Inputs'!DG12)</f>
        <v/>
      </c>
      <c r="DH6" s="14">
        <f>SUM('Entity Inputs'!DH6,'Entity Inputs'!DH12)</f>
        <v/>
      </c>
      <c r="DI6" s="14">
        <f>SUM('Entity Inputs'!DI6,'Entity Inputs'!DI12)</f>
        <v/>
      </c>
      <c r="DJ6" s="14">
        <f>SUM('Entity Inputs'!DJ6,'Entity Inputs'!DJ12)</f>
        <v/>
      </c>
      <c r="DK6" s="14">
        <f>SUM('Entity Inputs'!DK6,'Entity Inputs'!DK12)</f>
        <v/>
      </c>
      <c r="DL6" s="14">
        <f>SUM('Entity Inputs'!DL6,'Entity Inputs'!DL12)</f>
        <v/>
      </c>
      <c r="DM6" s="14">
        <f>SUM('Entity Inputs'!DM6,'Entity Inputs'!DM12)</f>
        <v/>
      </c>
      <c r="DN6" s="14">
        <f>SUM('Entity Inputs'!DN6,'Entity Inputs'!DN12)</f>
        <v/>
      </c>
      <c r="DO6" s="14">
        <f>SUM('Entity Inputs'!DO6,'Entity Inputs'!DO12)</f>
        <v/>
      </c>
      <c r="DP6" s="14">
        <f>SUM('Entity Inputs'!DP6,'Entity Inputs'!DP12)</f>
        <v/>
      </c>
      <c r="DQ6" s="14">
        <f>SUM('Entity Inputs'!DQ6,'Entity Inputs'!DQ12)</f>
        <v/>
      </c>
      <c r="DR6" s="14">
        <f>SUM('Entity Inputs'!DR6,'Entity Inputs'!DR12)</f>
        <v/>
      </c>
      <c r="DS6" s="14">
        <f>SUM('Entity Inputs'!DS6,'Entity Inputs'!DS12)</f>
        <v/>
      </c>
      <c r="DT6" s="14">
        <f>SUM('Entity Inputs'!DT6,'Entity Inputs'!DT12)</f>
        <v/>
      </c>
      <c r="DU6" s="14">
        <f>SUM('Entity Inputs'!DU6,'Entity Inputs'!DU12)</f>
        <v/>
      </c>
      <c r="DV6" s="14">
        <f>SUM('Entity Inputs'!DV6,'Entity Inputs'!DV12)</f>
        <v/>
      </c>
      <c r="DW6" s="14">
        <f>SUM('Entity Inputs'!DW6,'Entity Inputs'!DW12)</f>
        <v/>
      </c>
      <c r="DX6" s="14">
        <f>SUM('Entity Inputs'!DX6,'Entity Inputs'!DX12)</f>
        <v/>
      </c>
      <c r="DY6" s="14">
        <f>SUM('Entity Inputs'!DY6,'Entity Inputs'!DY12)</f>
        <v/>
      </c>
      <c r="DZ6" s="14">
        <f>SUM('Entity Inputs'!DZ6,'Entity Inputs'!DZ12)</f>
        <v/>
      </c>
      <c r="EA6" s="14">
        <f>SUM('Entity Inputs'!EA6,'Entity Inputs'!EA12)</f>
        <v/>
      </c>
      <c r="EB6" s="14">
        <f>SUM('Entity Inputs'!EB6,'Entity Inputs'!EB12)</f>
        <v/>
      </c>
      <c r="EC6" s="14">
        <f>SUM('Entity Inputs'!EC6,'Entity Inputs'!EC12)</f>
        <v/>
      </c>
      <c r="ED6" s="14">
        <f>SUM('Entity Inputs'!ED6,'Entity Inputs'!ED12)</f>
        <v/>
      </c>
      <c r="EE6" s="14">
        <f>SUM('Entity Inputs'!EE6,'Entity Inputs'!EE12)</f>
        <v/>
      </c>
      <c r="EF6" s="14">
        <f>SUM('Entity Inputs'!EF6,'Entity Inputs'!EF12)</f>
        <v/>
      </c>
      <c r="EG6" s="14">
        <f>SUM('Entity Inputs'!EG6,'Entity Inputs'!EG12)</f>
        <v/>
      </c>
      <c r="EH6" s="14">
        <f>SUM('Entity Inputs'!EH6,'Entity Inputs'!EH12)</f>
        <v/>
      </c>
      <c r="EI6" s="14">
        <f>SUM('Entity Inputs'!EI6,'Entity Inputs'!EI12)</f>
        <v/>
      </c>
      <c r="EJ6" s="14">
        <f>SUM('Entity Inputs'!EJ6,'Entity Inputs'!EJ12)</f>
        <v/>
      </c>
      <c r="EK6" s="14">
        <f>SUM('Entity Inputs'!EK6,'Entity Inputs'!EK12)</f>
        <v/>
      </c>
      <c r="EL6" s="14">
        <f>SUM('Entity Inputs'!EL6,'Entity Inputs'!EL12)</f>
        <v/>
      </c>
      <c r="EM6" s="14">
        <f>SUM('Entity Inputs'!EM6,'Entity Inputs'!EM12)</f>
        <v/>
      </c>
      <c r="EN6" s="14">
        <f>SUM('Entity Inputs'!EN6,'Entity Inputs'!EN12)</f>
        <v/>
      </c>
      <c r="EO6" s="14">
        <f>SUM('Entity Inputs'!EO6,'Entity Inputs'!EO12)</f>
        <v/>
      </c>
      <c r="EP6" s="14">
        <f>SUM('Entity Inputs'!EP6,'Entity Inputs'!EP12)</f>
        <v/>
      </c>
      <c r="EQ6" s="14">
        <f>SUM('Entity Inputs'!EQ6,'Entity Inputs'!EQ12)</f>
        <v/>
      </c>
      <c r="ER6" s="14">
        <f>SUM('Entity Inputs'!ER6,'Entity Inputs'!ER12)</f>
        <v/>
      </c>
      <c r="ES6" s="14">
        <f>SUM('Entity Inputs'!ES6,'Entity Inputs'!ES12)</f>
        <v/>
      </c>
      <c r="ET6" s="14">
        <f>SUM('Entity Inputs'!ET6,'Entity Inputs'!ET12)</f>
        <v/>
      </c>
      <c r="EU6" s="14">
        <f>SUM('Entity Inputs'!EU6,'Entity Inputs'!EU12)</f>
        <v/>
      </c>
      <c r="EV6" s="14">
        <f>SUM('Entity Inputs'!EV6,'Entity Inputs'!EV12)</f>
        <v/>
      </c>
      <c r="EW6" s="14">
        <f>SUM('Entity Inputs'!EW6,'Entity Inputs'!EW12)</f>
        <v/>
      </c>
      <c r="EX6" s="14">
        <f>SUM('Entity Inputs'!EX6,'Entity Inputs'!EX12)</f>
        <v/>
      </c>
      <c r="EY6" s="14">
        <f>SUM('Entity Inputs'!EY6,'Entity Inputs'!EY12)</f>
        <v/>
      </c>
      <c r="EZ6" s="14">
        <f>SUM('Entity Inputs'!EZ6,'Entity Inputs'!EZ12)</f>
        <v/>
      </c>
      <c r="FA6" s="14">
        <f>SUM('Entity Inputs'!FA6,'Entity Inputs'!FA12)</f>
        <v/>
      </c>
      <c r="FB6" s="14">
        <f>SUM('Entity Inputs'!FB6,'Entity Inputs'!FB12)</f>
        <v/>
      </c>
      <c r="FC6" s="14">
        <f>SUM('Entity Inputs'!FC6,'Entity Inputs'!FC12)</f>
        <v/>
      </c>
      <c r="FD6" s="14">
        <f>SUM('Entity Inputs'!FD6,'Entity Inputs'!FD12)</f>
        <v/>
      </c>
      <c r="FE6" s="14">
        <f>SUM('Entity Inputs'!FE6,'Entity Inputs'!FE12)</f>
        <v/>
      </c>
      <c r="FF6" s="14">
        <f>SUM('Entity Inputs'!FF6,'Entity Inputs'!FF12)</f>
        <v/>
      </c>
      <c r="FG6" s="14">
        <f>SUM('Entity Inputs'!FG6,'Entity Inputs'!FG12)</f>
        <v/>
      </c>
      <c r="FH6" s="14">
        <f>SUM('Entity Inputs'!FH6,'Entity Inputs'!FH12)</f>
        <v/>
      </c>
      <c r="FI6" s="14">
        <f>SUM('Entity Inputs'!FI6,'Entity Inputs'!FI12)</f>
        <v/>
      </c>
      <c r="FJ6" s="14">
        <f>SUM('Entity Inputs'!FJ6,'Entity Inputs'!FJ12)</f>
        <v/>
      </c>
      <c r="FK6" s="14">
        <f>SUM('Entity Inputs'!FK6,'Entity Inputs'!FK12)</f>
        <v/>
      </c>
      <c r="FL6" s="14">
        <f>SUM('Entity Inputs'!FL6,'Entity Inputs'!FL12)</f>
        <v/>
      </c>
      <c r="FM6" s="14">
        <f>SUM('Entity Inputs'!FM6,'Entity Inputs'!FM12)</f>
        <v/>
      </c>
      <c r="FN6" s="14">
        <f>SUM('Entity Inputs'!FN6,'Entity Inputs'!FN12)</f>
        <v/>
      </c>
      <c r="FO6" s="14">
        <f>SUM('Entity Inputs'!FO6,'Entity Inputs'!FO12)</f>
        <v/>
      </c>
      <c r="FP6" s="14">
        <f>SUM('Entity Inputs'!FP6,'Entity Inputs'!FP12)</f>
        <v/>
      </c>
      <c r="FQ6" s="14">
        <f>SUM('Entity Inputs'!FQ6,'Entity Inputs'!FQ12)</f>
        <v/>
      </c>
      <c r="FR6" s="14">
        <f>SUM('Entity Inputs'!FR6,'Entity Inputs'!FR12)</f>
        <v/>
      </c>
      <c r="FS6" s="14">
        <f>SUM('Entity Inputs'!FS6,'Entity Inputs'!FS12)</f>
        <v/>
      </c>
      <c r="FT6" s="14">
        <f>SUM('Entity Inputs'!FT6,'Entity Inputs'!FT12)</f>
        <v/>
      </c>
      <c r="FU6" s="14">
        <f>SUM('Entity Inputs'!FU6,'Entity Inputs'!FU12)</f>
        <v/>
      </c>
      <c r="FV6" s="22">
        <f>AU6-V6-X6-BY6</f>
        <v/>
      </c>
      <c r="FW6" s="22">
        <f>FV6-AX6</f>
        <v/>
      </c>
      <c r="FX6" s="22">
        <f>CJ6+CL6-CK6</f>
        <v/>
      </c>
      <c r="FY6" s="22">
        <f>FX6-FX5</f>
        <v/>
      </c>
      <c r="FZ6" s="22">
        <f>FV6-BZ6-FY6</f>
        <v/>
      </c>
      <c r="GA6" s="22">
        <f>FZ6-DJ6</f>
        <v/>
      </c>
      <c r="GB6" s="22">
        <f>CB6-CC6</f>
        <v/>
      </c>
      <c r="GC6" s="22">
        <f>SUM(FV$4:FV6)*12/D6</f>
        <v/>
      </c>
      <c r="GD6" s="22">
        <f>IF(AU6=0,0,CJ6/AU6*C6)</f>
        <v/>
      </c>
      <c r="GE6" s="22">
        <f>IF(V6=0,0,CK6/V6*C6)</f>
        <v/>
      </c>
      <c r="GF6" s="22">
        <f>IF(V6=0,0,CL6/V6*C6)</f>
        <v/>
      </c>
      <c r="GG6" s="22">
        <f>IF(OR(AS6=0,AT6=0,AV6=0),0,100*((AU6/AS6)/(AV6/AT6)-1))</f>
        <v/>
      </c>
    </row>
    <row r="7">
      <c r="A7" t="inlineStr">
        <is>
          <t>Group</t>
        </is>
      </c>
      <c r="B7" t="inlineStr">
        <is>
          <t>2026-07</t>
        </is>
      </c>
      <c r="C7" t="n">
        <v>31</v>
      </c>
      <c r="D7" t="n">
        <v>4</v>
      </c>
      <c r="E7" s="14">
        <f>SUM('Entity Inputs'!E7,'Entity Inputs'!E13)</f>
        <v/>
      </c>
      <c r="F7" s="14">
        <f>SUM('Entity Inputs'!F7,'Entity Inputs'!F13)</f>
        <v/>
      </c>
      <c r="G7" s="14">
        <f>SUM('Entity Inputs'!G7,'Entity Inputs'!G13)</f>
        <v/>
      </c>
      <c r="H7" s="14">
        <f>SUM('Entity Inputs'!H7,'Entity Inputs'!H13)</f>
        <v/>
      </c>
      <c r="I7" s="14">
        <f>SUM('Entity Inputs'!I7,'Entity Inputs'!I13)</f>
        <v/>
      </c>
      <c r="J7" s="14">
        <f>SUM('Entity Inputs'!J7,'Entity Inputs'!J13)</f>
        <v/>
      </c>
      <c r="K7" s="14">
        <f>SUM('Entity Inputs'!K7,'Entity Inputs'!K13)</f>
        <v/>
      </c>
      <c r="L7" s="14">
        <f>SUM('Entity Inputs'!L7,'Entity Inputs'!L13)</f>
        <v/>
      </c>
      <c r="M7" s="14">
        <f>SUM('Entity Inputs'!M7,'Entity Inputs'!M13)</f>
        <v/>
      </c>
      <c r="N7" s="14">
        <f>SUM('Entity Inputs'!N7,'Entity Inputs'!N13)</f>
        <v/>
      </c>
      <c r="O7" s="14">
        <f>SUM('Entity Inputs'!O7,'Entity Inputs'!O13)</f>
        <v/>
      </c>
      <c r="P7" s="14">
        <f>SUM('Entity Inputs'!P7,'Entity Inputs'!P13)</f>
        <v/>
      </c>
      <c r="Q7" s="14">
        <f>SUM('Entity Inputs'!Q7,'Entity Inputs'!Q13)</f>
        <v/>
      </c>
      <c r="R7" s="14">
        <f>SUM('Entity Inputs'!R7,'Entity Inputs'!R13)</f>
        <v/>
      </c>
      <c r="S7" s="14">
        <f>SUM('Entity Inputs'!S7,'Entity Inputs'!S13)</f>
        <v/>
      </c>
      <c r="T7" s="14">
        <f>SUM('Entity Inputs'!T7,'Entity Inputs'!T13)</f>
        <v/>
      </c>
      <c r="U7" s="14">
        <f>SUM('Entity Inputs'!U7,'Entity Inputs'!U13)</f>
        <v/>
      </c>
      <c r="V7" s="14">
        <f>SUM('Entity Inputs'!V7,'Entity Inputs'!V13)</f>
        <v/>
      </c>
      <c r="W7" s="14">
        <f>SUM('Entity Inputs'!W7,'Entity Inputs'!W13)</f>
        <v/>
      </c>
      <c r="X7" s="14">
        <f>SUM('Entity Inputs'!X7,'Entity Inputs'!X13)</f>
        <v/>
      </c>
      <c r="Y7" s="14">
        <f>SUM('Entity Inputs'!Y7,'Entity Inputs'!Y13)</f>
        <v/>
      </c>
      <c r="Z7" s="14">
        <f>SUM('Entity Inputs'!Z7,'Entity Inputs'!Z13)</f>
        <v/>
      </c>
      <c r="AA7" s="14">
        <f>SUM('Entity Inputs'!AA7,'Entity Inputs'!AA13)</f>
        <v/>
      </c>
      <c r="AB7" s="14">
        <f>SUM('Entity Inputs'!AB7,'Entity Inputs'!AB13)</f>
        <v/>
      </c>
      <c r="AC7" s="14">
        <f>SUM('Entity Inputs'!AC7,'Entity Inputs'!AC13)</f>
        <v/>
      </c>
      <c r="AD7" s="14">
        <f>SUM('Entity Inputs'!AD7,'Entity Inputs'!AD13)</f>
        <v/>
      </c>
      <c r="AE7" s="14">
        <f>SUM('Entity Inputs'!AE7,'Entity Inputs'!AE13)</f>
        <v/>
      </c>
      <c r="AF7" s="14">
        <f>SUM('Entity Inputs'!AF7,'Entity Inputs'!AF13)</f>
        <v/>
      </c>
      <c r="AG7" s="14">
        <f>SUM('Entity Inputs'!AG7,'Entity Inputs'!AG13)</f>
        <v/>
      </c>
      <c r="AH7" s="14">
        <f>SUM('Entity Inputs'!AH7,'Entity Inputs'!AH13)</f>
        <v/>
      </c>
      <c r="AI7" s="14">
        <f>SUM('Entity Inputs'!AI7,'Entity Inputs'!AI13)</f>
        <v/>
      </c>
      <c r="AJ7" s="14">
        <f>SUM('Entity Inputs'!AJ7,'Entity Inputs'!AJ13)</f>
        <v/>
      </c>
      <c r="AK7" s="14">
        <f>SUM('Entity Inputs'!AK7,'Entity Inputs'!AK13)</f>
        <v/>
      </c>
      <c r="AL7" s="14">
        <f>SUM('Entity Inputs'!AL7,'Entity Inputs'!AL13)</f>
        <v/>
      </c>
      <c r="AM7" s="14">
        <f>SUM('Entity Inputs'!AM7,'Entity Inputs'!AM13)</f>
        <v/>
      </c>
      <c r="AN7" s="14">
        <f>SUM('Entity Inputs'!AN7,'Entity Inputs'!AN13)</f>
        <v/>
      </c>
      <c r="AO7" s="14">
        <f>SUM('Entity Inputs'!AO7,'Entity Inputs'!AO13)</f>
        <v/>
      </c>
      <c r="AP7" s="14">
        <f>SUM('Entity Inputs'!AP7,'Entity Inputs'!AP13)</f>
        <v/>
      </c>
      <c r="AQ7" s="14">
        <f>SUM('Entity Inputs'!AQ7,'Entity Inputs'!AQ13)</f>
        <v/>
      </c>
      <c r="AR7" s="14">
        <f>MIN('Entity Inputs'!AR7,'Entity Inputs'!AR13)</f>
        <v/>
      </c>
      <c r="AS7" s="14">
        <f>SUM('Entity Inputs'!AS7,'Entity Inputs'!AS13)</f>
        <v/>
      </c>
      <c r="AT7" s="14">
        <f>SUM('Entity Inputs'!AT7,'Entity Inputs'!AT13)</f>
        <v/>
      </c>
      <c r="AU7" s="14">
        <f>SUM('Entity Inputs'!AU7,'Entity Inputs'!AU13)</f>
        <v/>
      </c>
      <c r="AV7" s="14">
        <f>SUM('Entity Inputs'!AV7,'Entity Inputs'!AV13)</f>
        <v/>
      </c>
      <c r="AW7" s="14">
        <f>SUM('Entity Inputs'!AW7,'Entity Inputs'!AW13)</f>
        <v/>
      </c>
      <c r="AX7" s="14">
        <f>SUM('Entity Inputs'!AX7,'Entity Inputs'!AX13)</f>
        <v/>
      </c>
      <c r="AY7" s="14">
        <f>SUM('Entity Inputs'!AY7,'Entity Inputs'!AY13)</f>
        <v/>
      </c>
      <c r="AZ7" s="14">
        <f>SUM('Entity Inputs'!AZ7,'Entity Inputs'!AZ13)</f>
        <v/>
      </c>
      <c r="BA7" s="14">
        <f>SUM('Entity Inputs'!BA7,'Entity Inputs'!BA13)</f>
        <v/>
      </c>
      <c r="BB7" s="14">
        <f>SUM('Entity Inputs'!BB7,'Entity Inputs'!BB13)</f>
        <v/>
      </c>
      <c r="BC7" s="14">
        <f>SUM('Entity Inputs'!BC7,'Entity Inputs'!BC13)</f>
        <v/>
      </c>
      <c r="BD7" s="14">
        <f>SUM('Entity Inputs'!BD7,'Entity Inputs'!BD13)</f>
        <v/>
      </c>
      <c r="BE7" s="14">
        <f>SUM('Entity Inputs'!BE7,'Entity Inputs'!BE13)</f>
        <v/>
      </c>
      <c r="BF7" s="14">
        <f>SUM('Entity Inputs'!BF7,'Entity Inputs'!BF13)</f>
        <v/>
      </c>
      <c r="BG7" s="14">
        <f>SUM('Entity Inputs'!BG7,'Entity Inputs'!BG13)</f>
        <v/>
      </c>
      <c r="BH7" s="14">
        <f>SUM('Entity Inputs'!BH7,'Entity Inputs'!BH13)</f>
        <v/>
      </c>
      <c r="BI7" s="14">
        <f>SUM('Entity Inputs'!BI7,'Entity Inputs'!BI13)</f>
        <v/>
      </c>
      <c r="BJ7" s="14">
        <f>SUM('Entity Inputs'!BJ7,'Entity Inputs'!BJ13)</f>
        <v/>
      </c>
      <c r="BK7" s="14">
        <f>SUM('Entity Inputs'!BK7,'Entity Inputs'!BK13)</f>
        <v/>
      </c>
      <c r="BL7" s="14">
        <f>SUM('Entity Inputs'!BL7,'Entity Inputs'!BL13)</f>
        <v/>
      </c>
      <c r="BM7" s="14">
        <f>SUM('Entity Inputs'!BM7,'Entity Inputs'!BM13)</f>
        <v/>
      </c>
      <c r="BN7" s="14">
        <f>SUM('Entity Inputs'!BN7,'Entity Inputs'!BN13)</f>
        <v/>
      </c>
      <c r="BO7" s="14">
        <f>SUM('Entity Inputs'!BO7,'Entity Inputs'!BO13)</f>
        <v/>
      </c>
      <c r="BP7" s="14">
        <f>SUM('Entity Inputs'!BP7,'Entity Inputs'!BP13)</f>
        <v/>
      </c>
      <c r="BQ7" s="14">
        <f>SUM('Entity Inputs'!BQ7,'Entity Inputs'!BQ13)</f>
        <v/>
      </c>
      <c r="BR7" s="14">
        <f>SUM('Entity Inputs'!BR7,'Entity Inputs'!BR13)</f>
        <v/>
      </c>
      <c r="BS7" s="14">
        <f>MIN('Entity Inputs'!BS7,'Entity Inputs'!BS13)</f>
        <v/>
      </c>
      <c r="BT7" s="14">
        <f>SUM('Entity Inputs'!BT7,'Entity Inputs'!BT13)</f>
        <v/>
      </c>
      <c r="BU7" s="14">
        <f>SUM('Entity Inputs'!BU7,'Entity Inputs'!BU13)</f>
        <v/>
      </c>
      <c r="BV7" s="14">
        <f>SUM('Entity Inputs'!BV7,'Entity Inputs'!BV13)</f>
        <v/>
      </c>
      <c r="BW7" s="14">
        <f>SUM('Entity Inputs'!BW7,'Entity Inputs'!BW13)</f>
        <v/>
      </c>
      <c r="BX7" s="14">
        <f>SUM('Entity Inputs'!BX7,'Entity Inputs'!BX13)</f>
        <v/>
      </c>
      <c r="BY7" s="14">
        <f>SUM('Entity Inputs'!BY7,'Entity Inputs'!BY13)</f>
        <v/>
      </c>
      <c r="BZ7" s="14">
        <f>SUM('Entity Inputs'!BZ7,'Entity Inputs'!BZ13)</f>
        <v/>
      </c>
      <c r="CA7" s="14">
        <f>SUM('Entity Inputs'!CA7,'Entity Inputs'!CA13)</f>
        <v/>
      </c>
      <c r="CB7" s="14">
        <f>SUM('Entity Inputs'!CB7,'Entity Inputs'!CB13)</f>
        <v/>
      </c>
      <c r="CC7" s="14">
        <f>SUM('Entity Inputs'!CC7,'Entity Inputs'!CC13)</f>
        <v/>
      </c>
      <c r="CD7" s="14">
        <f>SUM('Entity Inputs'!CD7,'Entity Inputs'!CD13)</f>
        <v/>
      </c>
      <c r="CE7" s="14">
        <f>SUM('Entity Inputs'!CE7,'Entity Inputs'!CE13)</f>
        <v/>
      </c>
      <c r="CF7" s="14">
        <f>SUM('Entity Inputs'!CF7,'Entity Inputs'!CF13)</f>
        <v/>
      </c>
      <c r="CG7" s="14">
        <f>SUM('Entity Inputs'!CG7,'Entity Inputs'!CG13)</f>
        <v/>
      </c>
      <c r="CH7" s="14">
        <f>SUM('Entity Inputs'!CH7,'Entity Inputs'!CH13)</f>
        <v/>
      </c>
      <c r="CI7" s="14">
        <f>SUM('Entity Inputs'!CI7,'Entity Inputs'!CI13)</f>
        <v/>
      </c>
      <c r="CJ7" s="14">
        <f>SUM('Entity Inputs'!CJ7,'Entity Inputs'!CJ13)</f>
        <v/>
      </c>
      <c r="CK7" s="14">
        <f>SUM('Entity Inputs'!CK7,'Entity Inputs'!CK13)</f>
        <v/>
      </c>
      <c r="CL7" s="14">
        <f>SUM('Entity Inputs'!CL7,'Entity Inputs'!CL13)</f>
        <v/>
      </c>
      <c r="CM7" s="14">
        <f>SUM('Entity Inputs'!CM7,'Entity Inputs'!CM13)</f>
        <v/>
      </c>
      <c r="CN7" s="14">
        <f>SUM('Entity Inputs'!CN7,'Entity Inputs'!CN13)</f>
        <v/>
      </c>
      <c r="CO7" s="14">
        <f>SUM('Entity Inputs'!CO7,'Entity Inputs'!CO13)</f>
        <v/>
      </c>
      <c r="CP7" s="14">
        <f>SUM('Entity Inputs'!CP7,'Entity Inputs'!CP13)</f>
        <v/>
      </c>
      <c r="CQ7" s="14">
        <f>SUM('Entity Inputs'!CQ7,'Entity Inputs'!CQ13)</f>
        <v/>
      </c>
      <c r="CR7" s="14">
        <f>SUM('Entity Inputs'!CR7,'Entity Inputs'!CR13)</f>
        <v/>
      </c>
      <c r="CS7" s="14">
        <f>SUM('Entity Inputs'!CS7,'Entity Inputs'!CS13)</f>
        <v/>
      </c>
      <c r="CT7" s="14">
        <f>SUM('Entity Inputs'!CT7,'Entity Inputs'!CT13)</f>
        <v/>
      </c>
      <c r="CU7" s="14">
        <f>SUM('Entity Inputs'!CU7,'Entity Inputs'!CU13)</f>
        <v/>
      </c>
      <c r="CV7" s="14">
        <f>SUM('Entity Inputs'!CV7,'Entity Inputs'!CV13)</f>
        <v/>
      </c>
      <c r="CW7" s="14">
        <f>SUM('Entity Inputs'!CW7,'Entity Inputs'!CW13)</f>
        <v/>
      </c>
      <c r="CX7" s="14">
        <f>SUM('Entity Inputs'!CX7,'Entity Inputs'!CX13)</f>
        <v/>
      </c>
      <c r="CY7" s="14">
        <f>SUM('Entity Inputs'!CY7,'Entity Inputs'!CY13)</f>
        <v/>
      </c>
      <c r="CZ7" s="14">
        <f>SUM('Entity Inputs'!CZ7,'Entity Inputs'!CZ13)</f>
        <v/>
      </c>
      <c r="DA7" s="14">
        <f>SUM('Entity Inputs'!DA7,'Entity Inputs'!DA13)</f>
        <v/>
      </c>
      <c r="DB7" s="14">
        <f>SUM('Entity Inputs'!DB7,'Entity Inputs'!DB13)</f>
        <v/>
      </c>
      <c r="DC7" s="14">
        <f>SUM('Entity Inputs'!DC7,'Entity Inputs'!DC13)</f>
        <v/>
      </c>
      <c r="DD7" s="14">
        <f>SUM('Entity Inputs'!DD7,'Entity Inputs'!DD13)</f>
        <v/>
      </c>
      <c r="DE7" s="14">
        <f>SUM('Entity Inputs'!DE7,'Entity Inputs'!DE13)</f>
        <v/>
      </c>
      <c r="DF7" s="14">
        <f>SUM('Entity Inputs'!DF7,'Entity Inputs'!DF13)</f>
        <v/>
      </c>
      <c r="DG7" s="14">
        <f>SUM('Entity Inputs'!DG7,'Entity Inputs'!DG13)</f>
        <v/>
      </c>
      <c r="DH7" s="14">
        <f>SUM('Entity Inputs'!DH7,'Entity Inputs'!DH13)</f>
        <v/>
      </c>
      <c r="DI7" s="14">
        <f>SUM('Entity Inputs'!DI7,'Entity Inputs'!DI13)</f>
        <v/>
      </c>
      <c r="DJ7" s="14">
        <f>SUM('Entity Inputs'!DJ7,'Entity Inputs'!DJ13)</f>
        <v/>
      </c>
      <c r="DK7" s="14">
        <f>SUM('Entity Inputs'!DK7,'Entity Inputs'!DK13)</f>
        <v/>
      </c>
      <c r="DL7" s="14">
        <f>SUM('Entity Inputs'!DL7,'Entity Inputs'!DL13)</f>
        <v/>
      </c>
      <c r="DM7" s="14">
        <f>SUM('Entity Inputs'!DM7,'Entity Inputs'!DM13)</f>
        <v/>
      </c>
      <c r="DN7" s="14">
        <f>SUM('Entity Inputs'!DN7,'Entity Inputs'!DN13)</f>
        <v/>
      </c>
      <c r="DO7" s="14">
        <f>SUM('Entity Inputs'!DO7,'Entity Inputs'!DO13)</f>
        <v/>
      </c>
      <c r="DP7" s="14">
        <f>SUM('Entity Inputs'!DP7,'Entity Inputs'!DP13)</f>
        <v/>
      </c>
      <c r="DQ7" s="14">
        <f>SUM('Entity Inputs'!DQ7,'Entity Inputs'!DQ13)</f>
        <v/>
      </c>
      <c r="DR7" s="14">
        <f>SUM('Entity Inputs'!DR7,'Entity Inputs'!DR13)</f>
        <v/>
      </c>
      <c r="DS7" s="14">
        <f>SUM('Entity Inputs'!DS7,'Entity Inputs'!DS13)</f>
        <v/>
      </c>
      <c r="DT7" s="14">
        <f>SUM('Entity Inputs'!DT7,'Entity Inputs'!DT13)</f>
        <v/>
      </c>
      <c r="DU7" s="14">
        <f>SUM('Entity Inputs'!DU7,'Entity Inputs'!DU13)</f>
        <v/>
      </c>
      <c r="DV7" s="14">
        <f>SUM('Entity Inputs'!DV7,'Entity Inputs'!DV13)</f>
        <v/>
      </c>
      <c r="DW7" s="14">
        <f>SUM('Entity Inputs'!DW7,'Entity Inputs'!DW13)</f>
        <v/>
      </c>
      <c r="DX7" s="14">
        <f>SUM('Entity Inputs'!DX7,'Entity Inputs'!DX13)</f>
        <v/>
      </c>
      <c r="DY7" s="14">
        <f>SUM('Entity Inputs'!DY7,'Entity Inputs'!DY13)</f>
        <v/>
      </c>
      <c r="DZ7" s="14">
        <f>SUM('Entity Inputs'!DZ7,'Entity Inputs'!DZ13)</f>
        <v/>
      </c>
      <c r="EA7" s="14">
        <f>SUM('Entity Inputs'!EA7,'Entity Inputs'!EA13)</f>
        <v/>
      </c>
      <c r="EB7" s="14">
        <f>SUM('Entity Inputs'!EB7,'Entity Inputs'!EB13)</f>
        <v/>
      </c>
      <c r="EC7" s="14">
        <f>SUM('Entity Inputs'!EC7,'Entity Inputs'!EC13)</f>
        <v/>
      </c>
      <c r="ED7" s="14">
        <f>SUM('Entity Inputs'!ED7,'Entity Inputs'!ED13)</f>
        <v/>
      </c>
      <c r="EE7" s="14">
        <f>SUM('Entity Inputs'!EE7,'Entity Inputs'!EE13)</f>
        <v/>
      </c>
      <c r="EF7" s="14">
        <f>SUM('Entity Inputs'!EF7,'Entity Inputs'!EF13)</f>
        <v/>
      </c>
      <c r="EG7" s="14">
        <f>SUM('Entity Inputs'!EG7,'Entity Inputs'!EG13)</f>
        <v/>
      </c>
      <c r="EH7" s="14">
        <f>SUM('Entity Inputs'!EH7,'Entity Inputs'!EH13)</f>
        <v/>
      </c>
      <c r="EI7" s="14">
        <f>SUM('Entity Inputs'!EI7,'Entity Inputs'!EI13)</f>
        <v/>
      </c>
      <c r="EJ7" s="14">
        <f>SUM('Entity Inputs'!EJ7,'Entity Inputs'!EJ13)</f>
        <v/>
      </c>
      <c r="EK7" s="14">
        <f>SUM('Entity Inputs'!EK7,'Entity Inputs'!EK13)</f>
        <v/>
      </c>
      <c r="EL7" s="14">
        <f>SUM('Entity Inputs'!EL7,'Entity Inputs'!EL13)</f>
        <v/>
      </c>
      <c r="EM7" s="14">
        <f>SUM('Entity Inputs'!EM7,'Entity Inputs'!EM13)</f>
        <v/>
      </c>
      <c r="EN7" s="14">
        <f>SUM('Entity Inputs'!EN7,'Entity Inputs'!EN13)</f>
        <v/>
      </c>
      <c r="EO7" s="14">
        <f>SUM('Entity Inputs'!EO7,'Entity Inputs'!EO13)</f>
        <v/>
      </c>
      <c r="EP7" s="14">
        <f>SUM('Entity Inputs'!EP7,'Entity Inputs'!EP13)</f>
        <v/>
      </c>
      <c r="EQ7" s="14">
        <f>SUM('Entity Inputs'!EQ7,'Entity Inputs'!EQ13)</f>
        <v/>
      </c>
      <c r="ER7" s="14">
        <f>SUM('Entity Inputs'!ER7,'Entity Inputs'!ER13)</f>
        <v/>
      </c>
      <c r="ES7" s="14">
        <f>SUM('Entity Inputs'!ES7,'Entity Inputs'!ES13)</f>
        <v/>
      </c>
      <c r="ET7" s="14">
        <f>SUM('Entity Inputs'!ET7,'Entity Inputs'!ET13)</f>
        <v/>
      </c>
      <c r="EU7" s="14">
        <f>SUM('Entity Inputs'!EU7,'Entity Inputs'!EU13)</f>
        <v/>
      </c>
      <c r="EV7" s="14">
        <f>SUM('Entity Inputs'!EV7,'Entity Inputs'!EV13)</f>
        <v/>
      </c>
      <c r="EW7" s="14">
        <f>SUM('Entity Inputs'!EW7,'Entity Inputs'!EW13)</f>
        <v/>
      </c>
      <c r="EX7" s="14">
        <f>SUM('Entity Inputs'!EX7,'Entity Inputs'!EX13)</f>
        <v/>
      </c>
      <c r="EY7" s="14">
        <f>SUM('Entity Inputs'!EY7,'Entity Inputs'!EY13)</f>
        <v/>
      </c>
      <c r="EZ7" s="14">
        <f>SUM('Entity Inputs'!EZ7,'Entity Inputs'!EZ13)</f>
        <v/>
      </c>
      <c r="FA7" s="14">
        <f>SUM('Entity Inputs'!FA7,'Entity Inputs'!FA13)</f>
        <v/>
      </c>
      <c r="FB7" s="14">
        <f>SUM('Entity Inputs'!FB7,'Entity Inputs'!FB13)</f>
        <v/>
      </c>
      <c r="FC7" s="14">
        <f>SUM('Entity Inputs'!FC7,'Entity Inputs'!FC13)</f>
        <v/>
      </c>
      <c r="FD7" s="14">
        <f>SUM('Entity Inputs'!FD7,'Entity Inputs'!FD13)</f>
        <v/>
      </c>
      <c r="FE7" s="14">
        <f>SUM('Entity Inputs'!FE7,'Entity Inputs'!FE13)</f>
        <v/>
      </c>
      <c r="FF7" s="14">
        <f>SUM('Entity Inputs'!FF7,'Entity Inputs'!FF13)</f>
        <v/>
      </c>
      <c r="FG7" s="14">
        <f>SUM('Entity Inputs'!FG7,'Entity Inputs'!FG13)</f>
        <v/>
      </c>
      <c r="FH7" s="14">
        <f>SUM('Entity Inputs'!FH7,'Entity Inputs'!FH13)</f>
        <v/>
      </c>
      <c r="FI7" s="14">
        <f>SUM('Entity Inputs'!FI7,'Entity Inputs'!FI13)</f>
        <v/>
      </c>
      <c r="FJ7" s="14">
        <f>SUM('Entity Inputs'!FJ7,'Entity Inputs'!FJ13)</f>
        <v/>
      </c>
      <c r="FK7" s="14">
        <f>SUM('Entity Inputs'!FK7,'Entity Inputs'!FK13)</f>
        <v/>
      </c>
      <c r="FL7" s="14">
        <f>SUM('Entity Inputs'!FL7,'Entity Inputs'!FL13)</f>
        <v/>
      </c>
      <c r="FM7" s="14">
        <f>SUM('Entity Inputs'!FM7,'Entity Inputs'!FM13)</f>
        <v/>
      </c>
      <c r="FN7" s="14">
        <f>SUM('Entity Inputs'!FN7,'Entity Inputs'!FN13)</f>
        <v/>
      </c>
      <c r="FO7" s="14">
        <f>SUM('Entity Inputs'!FO7,'Entity Inputs'!FO13)</f>
        <v/>
      </c>
      <c r="FP7" s="14">
        <f>SUM('Entity Inputs'!FP7,'Entity Inputs'!FP13)</f>
        <v/>
      </c>
      <c r="FQ7" s="14">
        <f>SUM('Entity Inputs'!FQ7,'Entity Inputs'!FQ13)</f>
        <v/>
      </c>
      <c r="FR7" s="14">
        <f>SUM('Entity Inputs'!FR7,'Entity Inputs'!FR13)</f>
        <v/>
      </c>
      <c r="FS7" s="14">
        <f>SUM('Entity Inputs'!FS7,'Entity Inputs'!FS13)</f>
        <v/>
      </c>
      <c r="FT7" s="14">
        <f>SUM('Entity Inputs'!FT7,'Entity Inputs'!FT13)</f>
        <v/>
      </c>
      <c r="FU7" s="14">
        <f>SUM('Entity Inputs'!FU7,'Entity Inputs'!FU13)</f>
        <v/>
      </c>
      <c r="FV7" s="22">
        <f>AU7-V7-X7-BY7</f>
        <v/>
      </c>
      <c r="FW7" s="22">
        <f>FV7-AX7</f>
        <v/>
      </c>
      <c r="FX7" s="22">
        <f>CJ7+CL7-CK7</f>
        <v/>
      </c>
      <c r="FY7" s="22">
        <f>FX7-FX6</f>
        <v/>
      </c>
      <c r="FZ7" s="22">
        <f>FV7-BZ7-FY7</f>
        <v/>
      </c>
      <c r="GA7" s="22">
        <f>FZ7-DJ7</f>
        <v/>
      </c>
      <c r="GB7" s="22">
        <f>CB7-CC7</f>
        <v/>
      </c>
      <c r="GC7" s="22">
        <f>SUM(FV$4:FV7)*12/D7</f>
        <v/>
      </c>
      <c r="GD7" s="22">
        <f>IF(AU7=0,0,CJ7/AU7*C7)</f>
        <v/>
      </c>
      <c r="GE7" s="22">
        <f>IF(V7=0,0,CK7/V7*C7)</f>
        <v/>
      </c>
      <c r="GF7" s="22">
        <f>IF(V7=0,0,CL7/V7*C7)</f>
        <v/>
      </c>
      <c r="GG7" s="22">
        <f>IF(OR(AS7=0,AT7=0,AV7=0),0,100*((AU7/AS7)/(AV7/AT7)-1))</f>
        <v/>
      </c>
    </row>
    <row r="8">
      <c r="A8" t="inlineStr">
        <is>
          <t>Group</t>
        </is>
      </c>
      <c r="B8" t="inlineStr">
        <is>
          <t>2026-08</t>
        </is>
      </c>
      <c r="C8" t="n">
        <v>31</v>
      </c>
      <c r="D8" t="n">
        <v>5</v>
      </c>
      <c r="E8" s="14">
        <f>SUM('Entity Inputs'!E8,'Entity Inputs'!E14)</f>
        <v/>
      </c>
      <c r="F8" s="14">
        <f>SUM('Entity Inputs'!F8,'Entity Inputs'!F14)</f>
        <v/>
      </c>
      <c r="G8" s="14">
        <f>SUM('Entity Inputs'!G8,'Entity Inputs'!G14)</f>
        <v/>
      </c>
      <c r="H8" s="14">
        <f>SUM('Entity Inputs'!H8,'Entity Inputs'!H14)</f>
        <v/>
      </c>
      <c r="I8" s="14">
        <f>SUM('Entity Inputs'!I8,'Entity Inputs'!I14)</f>
        <v/>
      </c>
      <c r="J8" s="14">
        <f>SUM('Entity Inputs'!J8,'Entity Inputs'!J14)</f>
        <v/>
      </c>
      <c r="K8" s="14">
        <f>SUM('Entity Inputs'!K8,'Entity Inputs'!K14)</f>
        <v/>
      </c>
      <c r="L8" s="14">
        <f>SUM('Entity Inputs'!L8,'Entity Inputs'!L14)</f>
        <v/>
      </c>
      <c r="M8" s="14">
        <f>SUM('Entity Inputs'!M8,'Entity Inputs'!M14)</f>
        <v/>
      </c>
      <c r="N8" s="14">
        <f>SUM('Entity Inputs'!N8,'Entity Inputs'!N14)</f>
        <v/>
      </c>
      <c r="O8" s="14">
        <f>SUM('Entity Inputs'!O8,'Entity Inputs'!O14)</f>
        <v/>
      </c>
      <c r="P8" s="14">
        <f>SUM('Entity Inputs'!P8,'Entity Inputs'!P14)</f>
        <v/>
      </c>
      <c r="Q8" s="14">
        <f>SUM('Entity Inputs'!Q8,'Entity Inputs'!Q14)</f>
        <v/>
      </c>
      <c r="R8" s="14">
        <f>SUM('Entity Inputs'!R8,'Entity Inputs'!R14)</f>
        <v/>
      </c>
      <c r="S8" s="14">
        <f>SUM('Entity Inputs'!S8,'Entity Inputs'!S14)</f>
        <v/>
      </c>
      <c r="T8" s="14">
        <f>SUM('Entity Inputs'!T8,'Entity Inputs'!T14)</f>
        <v/>
      </c>
      <c r="U8" s="14">
        <f>SUM('Entity Inputs'!U8,'Entity Inputs'!U14)</f>
        <v/>
      </c>
      <c r="V8" s="14">
        <f>SUM('Entity Inputs'!V8,'Entity Inputs'!V14)</f>
        <v/>
      </c>
      <c r="W8" s="14">
        <f>SUM('Entity Inputs'!W8,'Entity Inputs'!W14)</f>
        <v/>
      </c>
      <c r="X8" s="14">
        <f>SUM('Entity Inputs'!X8,'Entity Inputs'!X14)</f>
        <v/>
      </c>
      <c r="Y8" s="14">
        <f>SUM('Entity Inputs'!Y8,'Entity Inputs'!Y14)</f>
        <v/>
      </c>
      <c r="Z8" s="14">
        <f>SUM('Entity Inputs'!Z8,'Entity Inputs'!Z14)</f>
        <v/>
      </c>
      <c r="AA8" s="14">
        <f>SUM('Entity Inputs'!AA8,'Entity Inputs'!AA14)</f>
        <v/>
      </c>
      <c r="AB8" s="14">
        <f>SUM('Entity Inputs'!AB8,'Entity Inputs'!AB14)</f>
        <v/>
      </c>
      <c r="AC8" s="14">
        <f>SUM('Entity Inputs'!AC8,'Entity Inputs'!AC14)</f>
        <v/>
      </c>
      <c r="AD8" s="14">
        <f>SUM('Entity Inputs'!AD8,'Entity Inputs'!AD14)</f>
        <v/>
      </c>
      <c r="AE8" s="14">
        <f>SUM('Entity Inputs'!AE8,'Entity Inputs'!AE14)</f>
        <v/>
      </c>
      <c r="AF8" s="14">
        <f>SUM('Entity Inputs'!AF8,'Entity Inputs'!AF14)</f>
        <v/>
      </c>
      <c r="AG8" s="14">
        <f>SUM('Entity Inputs'!AG8,'Entity Inputs'!AG14)</f>
        <v/>
      </c>
      <c r="AH8" s="14">
        <f>SUM('Entity Inputs'!AH8,'Entity Inputs'!AH14)</f>
        <v/>
      </c>
      <c r="AI8" s="14">
        <f>SUM('Entity Inputs'!AI8,'Entity Inputs'!AI14)</f>
        <v/>
      </c>
      <c r="AJ8" s="14">
        <f>SUM('Entity Inputs'!AJ8,'Entity Inputs'!AJ14)</f>
        <v/>
      </c>
      <c r="AK8" s="14">
        <f>SUM('Entity Inputs'!AK8,'Entity Inputs'!AK14)</f>
        <v/>
      </c>
      <c r="AL8" s="14">
        <f>SUM('Entity Inputs'!AL8,'Entity Inputs'!AL14)</f>
        <v/>
      </c>
      <c r="AM8" s="14">
        <f>SUM('Entity Inputs'!AM8,'Entity Inputs'!AM14)</f>
        <v/>
      </c>
      <c r="AN8" s="14">
        <f>SUM('Entity Inputs'!AN8,'Entity Inputs'!AN14)</f>
        <v/>
      </c>
      <c r="AO8" s="14">
        <f>SUM('Entity Inputs'!AO8,'Entity Inputs'!AO14)</f>
        <v/>
      </c>
      <c r="AP8" s="14">
        <f>SUM('Entity Inputs'!AP8,'Entity Inputs'!AP14)</f>
        <v/>
      </c>
      <c r="AQ8" s="14">
        <f>SUM('Entity Inputs'!AQ8,'Entity Inputs'!AQ14)</f>
        <v/>
      </c>
      <c r="AR8" s="14">
        <f>MIN('Entity Inputs'!AR8,'Entity Inputs'!AR14)</f>
        <v/>
      </c>
      <c r="AS8" s="14">
        <f>SUM('Entity Inputs'!AS8,'Entity Inputs'!AS14)</f>
        <v/>
      </c>
      <c r="AT8" s="14">
        <f>SUM('Entity Inputs'!AT8,'Entity Inputs'!AT14)</f>
        <v/>
      </c>
      <c r="AU8" s="14">
        <f>SUM('Entity Inputs'!AU8,'Entity Inputs'!AU14)</f>
        <v/>
      </c>
      <c r="AV8" s="14">
        <f>SUM('Entity Inputs'!AV8,'Entity Inputs'!AV14)</f>
        <v/>
      </c>
      <c r="AW8" s="14">
        <f>SUM('Entity Inputs'!AW8,'Entity Inputs'!AW14)</f>
        <v/>
      </c>
      <c r="AX8" s="14">
        <f>SUM('Entity Inputs'!AX8,'Entity Inputs'!AX14)</f>
        <v/>
      </c>
      <c r="AY8" s="14">
        <f>SUM('Entity Inputs'!AY8,'Entity Inputs'!AY14)</f>
        <v/>
      </c>
      <c r="AZ8" s="14">
        <f>SUM('Entity Inputs'!AZ8,'Entity Inputs'!AZ14)</f>
        <v/>
      </c>
      <c r="BA8" s="14">
        <f>SUM('Entity Inputs'!BA8,'Entity Inputs'!BA14)</f>
        <v/>
      </c>
      <c r="BB8" s="14">
        <f>SUM('Entity Inputs'!BB8,'Entity Inputs'!BB14)</f>
        <v/>
      </c>
      <c r="BC8" s="14">
        <f>SUM('Entity Inputs'!BC8,'Entity Inputs'!BC14)</f>
        <v/>
      </c>
      <c r="BD8" s="14">
        <f>SUM('Entity Inputs'!BD8,'Entity Inputs'!BD14)</f>
        <v/>
      </c>
      <c r="BE8" s="14">
        <f>SUM('Entity Inputs'!BE8,'Entity Inputs'!BE14)</f>
        <v/>
      </c>
      <c r="BF8" s="14">
        <f>SUM('Entity Inputs'!BF8,'Entity Inputs'!BF14)</f>
        <v/>
      </c>
      <c r="BG8" s="14">
        <f>SUM('Entity Inputs'!BG8,'Entity Inputs'!BG14)</f>
        <v/>
      </c>
      <c r="BH8" s="14">
        <f>SUM('Entity Inputs'!BH8,'Entity Inputs'!BH14)</f>
        <v/>
      </c>
      <c r="BI8" s="14">
        <f>SUM('Entity Inputs'!BI8,'Entity Inputs'!BI14)</f>
        <v/>
      </c>
      <c r="BJ8" s="14">
        <f>SUM('Entity Inputs'!BJ8,'Entity Inputs'!BJ14)</f>
        <v/>
      </c>
      <c r="BK8" s="14">
        <f>SUM('Entity Inputs'!BK8,'Entity Inputs'!BK14)</f>
        <v/>
      </c>
      <c r="BL8" s="14">
        <f>SUM('Entity Inputs'!BL8,'Entity Inputs'!BL14)</f>
        <v/>
      </c>
      <c r="BM8" s="14">
        <f>SUM('Entity Inputs'!BM8,'Entity Inputs'!BM14)</f>
        <v/>
      </c>
      <c r="BN8" s="14">
        <f>SUM('Entity Inputs'!BN8,'Entity Inputs'!BN14)</f>
        <v/>
      </c>
      <c r="BO8" s="14">
        <f>SUM('Entity Inputs'!BO8,'Entity Inputs'!BO14)</f>
        <v/>
      </c>
      <c r="BP8" s="14">
        <f>SUM('Entity Inputs'!BP8,'Entity Inputs'!BP14)</f>
        <v/>
      </c>
      <c r="BQ8" s="14">
        <f>SUM('Entity Inputs'!BQ8,'Entity Inputs'!BQ14)</f>
        <v/>
      </c>
      <c r="BR8" s="14">
        <f>SUM('Entity Inputs'!BR8,'Entity Inputs'!BR14)</f>
        <v/>
      </c>
      <c r="BS8" s="14">
        <f>MIN('Entity Inputs'!BS8,'Entity Inputs'!BS14)</f>
        <v/>
      </c>
      <c r="BT8" s="14">
        <f>SUM('Entity Inputs'!BT8,'Entity Inputs'!BT14)</f>
        <v/>
      </c>
      <c r="BU8" s="14">
        <f>SUM('Entity Inputs'!BU8,'Entity Inputs'!BU14)</f>
        <v/>
      </c>
      <c r="BV8" s="14">
        <f>SUM('Entity Inputs'!BV8,'Entity Inputs'!BV14)</f>
        <v/>
      </c>
      <c r="BW8" s="14">
        <f>SUM('Entity Inputs'!BW8,'Entity Inputs'!BW14)</f>
        <v/>
      </c>
      <c r="BX8" s="14">
        <f>SUM('Entity Inputs'!BX8,'Entity Inputs'!BX14)</f>
        <v/>
      </c>
      <c r="BY8" s="14">
        <f>SUM('Entity Inputs'!BY8,'Entity Inputs'!BY14)</f>
        <v/>
      </c>
      <c r="BZ8" s="14">
        <f>SUM('Entity Inputs'!BZ8,'Entity Inputs'!BZ14)</f>
        <v/>
      </c>
      <c r="CA8" s="14">
        <f>SUM('Entity Inputs'!CA8,'Entity Inputs'!CA14)</f>
        <v/>
      </c>
      <c r="CB8" s="14">
        <f>SUM('Entity Inputs'!CB8,'Entity Inputs'!CB14)</f>
        <v/>
      </c>
      <c r="CC8" s="14">
        <f>SUM('Entity Inputs'!CC8,'Entity Inputs'!CC14)</f>
        <v/>
      </c>
      <c r="CD8" s="14">
        <f>SUM('Entity Inputs'!CD8,'Entity Inputs'!CD14)</f>
        <v/>
      </c>
      <c r="CE8" s="14">
        <f>SUM('Entity Inputs'!CE8,'Entity Inputs'!CE14)</f>
        <v/>
      </c>
      <c r="CF8" s="14">
        <f>SUM('Entity Inputs'!CF8,'Entity Inputs'!CF14)</f>
        <v/>
      </c>
      <c r="CG8" s="14">
        <f>SUM('Entity Inputs'!CG8,'Entity Inputs'!CG14)</f>
        <v/>
      </c>
      <c r="CH8" s="14">
        <f>SUM('Entity Inputs'!CH8,'Entity Inputs'!CH14)</f>
        <v/>
      </c>
      <c r="CI8" s="14">
        <f>SUM('Entity Inputs'!CI8,'Entity Inputs'!CI14)</f>
        <v/>
      </c>
      <c r="CJ8" s="14">
        <f>SUM('Entity Inputs'!CJ8,'Entity Inputs'!CJ14)</f>
        <v/>
      </c>
      <c r="CK8" s="14">
        <f>SUM('Entity Inputs'!CK8,'Entity Inputs'!CK14)</f>
        <v/>
      </c>
      <c r="CL8" s="14">
        <f>SUM('Entity Inputs'!CL8,'Entity Inputs'!CL14)</f>
        <v/>
      </c>
      <c r="CM8" s="14">
        <f>SUM('Entity Inputs'!CM8,'Entity Inputs'!CM14)</f>
        <v/>
      </c>
      <c r="CN8" s="14">
        <f>SUM('Entity Inputs'!CN8,'Entity Inputs'!CN14)</f>
        <v/>
      </c>
      <c r="CO8" s="14">
        <f>SUM('Entity Inputs'!CO8,'Entity Inputs'!CO14)</f>
        <v/>
      </c>
      <c r="CP8" s="14">
        <f>SUM('Entity Inputs'!CP8,'Entity Inputs'!CP14)</f>
        <v/>
      </c>
      <c r="CQ8" s="14">
        <f>SUM('Entity Inputs'!CQ8,'Entity Inputs'!CQ14)</f>
        <v/>
      </c>
      <c r="CR8" s="14">
        <f>SUM('Entity Inputs'!CR8,'Entity Inputs'!CR14)</f>
        <v/>
      </c>
      <c r="CS8" s="14">
        <f>SUM('Entity Inputs'!CS8,'Entity Inputs'!CS14)</f>
        <v/>
      </c>
      <c r="CT8" s="14">
        <f>SUM('Entity Inputs'!CT8,'Entity Inputs'!CT14)</f>
        <v/>
      </c>
      <c r="CU8" s="14">
        <f>SUM('Entity Inputs'!CU8,'Entity Inputs'!CU14)</f>
        <v/>
      </c>
      <c r="CV8" s="14">
        <f>SUM('Entity Inputs'!CV8,'Entity Inputs'!CV14)</f>
        <v/>
      </c>
      <c r="CW8" s="14">
        <f>SUM('Entity Inputs'!CW8,'Entity Inputs'!CW14)</f>
        <v/>
      </c>
      <c r="CX8" s="14">
        <f>SUM('Entity Inputs'!CX8,'Entity Inputs'!CX14)</f>
        <v/>
      </c>
      <c r="CY8" s="14">
        <f>SUM('Entity Inputs'!CY8,'Entity Inputs'!CY14)</f>
        <v/>
      </c>
      <c r="CZ8" s="14">
        <f>SUM('Entity Inputs'!CZ8,'Entity Inputs'!CZ14)</f>
        <v/>
      </c>
      <c r="DA8" s="14">
        <f>SUM('Entity Inputs'!DA8,'Entity Inputs'!DA14)</f>
        <v/>
      </c>
      <c r="DB8" s="14">
        <f>SUM('Entity Inputs'!DB8,'Entity Inputs'!DB14)</f>
        <v/>
      </c>
      <c r="DC8" s="14">
        <f>SUM('Entity Inputs'!DC8,'Entity Inputs'!DC14)</f>
        <v/>
      </c>
      <c r="DD8" s="14">
        <f>SUM('Entity Inputs'!DD8,'Entity Inputs'!DD14)</f>
        <v/>
      </c>
      <c r="DE8" s="14">
        <f>SUM('Entity Inputs'!DE8,'Entity Inputs'!DE14)</f>
        <v/>
      </c>
      <c r="DF8" s="14">
        <f>SUM('Entity Inputs'!DF8,'Entity Inputs'!DF14)</f>
        <v/>
      </c>
      <c r="DG8" s="14">
        <f>SUM('Entity Inputs'!DG8,'Entity Inputs'!DG14)</f>
        <v/>
      </c>
      <c r="DH8" s="14">
        <f>SUM('Entity Inputs'!DH8,'Entity Inputs'!DH14)</f>
        <v/>
      </c>
      <c r="DI8" s="14">
        <f>SUM('Entity Inputs'!DI8,'Entity Inputs'!DI14)</f>
        <v/>
      </c>
      <c r="DJ8" s="14">
        <f>SUM('Entity Inputs'!DJ8,'Entity Inputs'!DJ14)</f>
        <v/>
      </c>
      <c r="DK8" s="14">
        <f>SUM('Entity Inputs'!DK8,'Entity Inputs'!DK14)</f>
        <v/>
      </c>
      <c r="DL8" s="14">
        <f>SUM('Entity Inputs'!DL8,'Entity Inputs'!DL14)</f>
        <v/>
      </c>
      <c r="DM8" s="14">
        <f>SUM('Entity Inputs'!DM8,'Entity Inputs'!DM14)</f>
        <v/>
      </c>
      <c r="DN8" s="14">
        <f>SUM('Entity Inputs'!DN8,'Entity Inputs'!DN14)</f>
        <v/>
      </c>
      <c r="DO8" s="14">
        <f>SUM('Entity Inputs'!DO8,'Entity Inputs'!DO14)</f>
        <v/>
      </c>
      <c r="DP8" s="14">
        <f>SUM('Entity Inputs'!DP8,'Entity Inputs'!DP14)</f>
        <v/>
      </c>
      <c r="DQ8" s="14">
        <f>SUM('Entity Inputs'!DQ8,'Entity Inputs'!DQ14)</f>
        <v/>
      </c>
      <c r="DR8" s="14">
        <f>SUM('Entity Inputs'!DR8,'Entity Inputs'!DR14)</f>
        <v/>
      </c>
      <c r="DS8" s="14">
        <f>SUM('Entity Inputs'!DS8,'Entity Inputs'!DS14)</f>
        <v/>
      </c>
      <c r="DT8" s="14">
        <f>SUM('Entity Inputs'!DT8,'Entity Inputs'!DT14)</f>
        <v/>
      </c>
      <c r="DU8" s="14">
        <f>SUM('Entity Inputs'!DU8,'Entity Inputs'!DU14)</f>
        <v/>
      </c>
      <c r="DV8" s="14">
        <f>SUM('Entity Inputs'!DV8,'Entity Inputs'!DV14)</f>
        <v/>
      </c>
      <c r="DW8" s="14">
        <f>SUM('Entity Inputs'!DW8,'Entity Inputs'!DW14)</f>
        <v/>
      </c>
      <c r="DX8" s="14">
        <f>SUM('Entity Inputs'!DX8,'Entity Inputs'!DX14)</f>
        <v/>
      </c>
      <c r="DY8" s="14">
        <f>SUM('Entity Inputs'!DY8,'Entity Inputs'!DY14)</f>
        <v/>
      </c>
      <c r="DZ8" s="14">
        <f>SUM('Entity Inputs'!DZ8,'Entity Inputs'!DZ14)</f>
        <v/>
      </c>
      <c r="EA8" s="14">
        <f>SUM('Entity Inputs'!EA8,'Entity Inputs'!EA14)</f>
        <v/>
      </c>
      <c r="EB8" s="14">
        <f>SUM('Entity Inputs'!EB8,'Entity Inputs'!EB14)</f>
        <v/>
      </c>
      <c r="EC8" s="14">
        <f>SUM('Entity Inputs'!EC8,'Entity Inputs'!EC14)</f>
        <v/>
      </c>
      <c r="ED8" s="14">
        <f>SUM('Entity Inputs'!ED8,'Entity Inputs'!ED14)</f>
        <v/>
      </c>
      <c r="EE8" s="14">
        <f>SUM('Entity Inputs'!EE8,'Entity Inputs'!EE14)</f>
        <v/>
      </c>
      <c r="EF8" s="14">
        <f>SUM('Entity Inputs'!EF8,'Entity Inputs'!EF14)</f>
        <v/>
      </c>
      <c r="EG8" s="14">
        <f>SUM('Entity Inputs'!EG8,'Entity Inputs'!EG14)</f>
        <v/>
      </c>
      <c r="EH8" s="14">
        <f>SUM('Entity Inputs'!EH8,'Entity Inputs'!EH14)</f>
        <v/>
      </c>
      <c r="EI8" s="14">
        <f>SUM('Entity Inputs'!EI8,'Entity Inputs'!EI14)</f>
        <v/>
      </c>
      <c r="EJ8" s="14">
        <f>SUM('Entity Inputs'!EJ8,'Entity Inputs'!EJ14)</f>
        <v/>
      </c>
      <c r="EK8" s="14">
        <f>SUM('Entity Inputs'!EK8,'Entity Inputs'!EK14)</f>
        <v/>
      </c>
      <c r="EL8" s="14">
        <f>SUM('Entity Inputs'!EL8,'Entity Inputs'!EL14)</f>
        <v/>
      </c>
      <c r="EM8" s="14">
        <f>SUM('Entity Inputs'!EM8,'Entity Inputs'!EM14)</f>
        <v/>
      </c>
      <c r="EN8" s="14">
        <f>SUM('Entity Inputs'!EN8,'Entity Inputs'!EN14)</f>
        <v/>
      </c>
      <c r="EO8" s="14">
        <f>SUM('Entity Inputs'!EO8,'Entity Inputs'!EO14)</f>
        <v/>
      </c>
      <c r="EP8" s="14">
        <f>SUM('Entity Inputs'!EP8,'Entity Inputs'!EP14)</f>
        <v/>
      </c>
      <c r="EQ8" s="14">
        <f>SUM('Entity Inputs'!EQ8,'Entity Inputs'!EQ14)</f>
        <v/>
      </c>
      <c r="ER8" s="14">
        <f>SUM('Entity Inputs'!ER8,'Entity Inputs'!ER14)</f>
        <v/>
      </c>
      <c r="ES8" s="14">
        <f>SUM('Entity Inputs'!ES8,'Entity Inputs'!ES14)</f>
        <v/>
      </c>
      <c r="ET8" s="14">
        <f>SUM('Entity Inputs'!ET8,'Entity Inputs'!ET14)</f>
        <v/>
      </c>
      <c r="EU8" s="14">
        <f>SUM('Entity Inputs'!EU8,'Entity Inputs'!EU14)</f>
        <v/>
      </c>
      <c r="EV8" s="14">
        <f>SUM('Entity Inputs'!EV8,'Entity Inputs'!EV14)</f>
        <v/>
      </c>
      <c r="EW8" s="14">
        <f>SUM('Entity Inputs'!EW8,'Entity Inputs'!EW14)</f>
        <v/>
      </c>
      <c r="EX8" s="14">
        <f>SUM('Entity Inputs'!EX8,'Entity Inputs'!EX14)</f>
        <v/>
      </c>
      <c r="EY8" s="14">
        <f>SUM('Entity Inputs'!EY8,'Entity Inputs'!EY14)</f>
        <v/>
      </c>
      <c r="EZ8" s="14">
        <f>SUM('Entity Inputs'!EZ8,'Entity Inputs'!EZ14)</f>
        <v/>
      </c>
      <c r="FA8" s="14">
        <f>SUM('Entity Inputs'!FA8,'Entity Inputs'!FA14)</f>
        <v/>
      </c>
      <c r="FB8" s="14">
        <f>SUM('Entity Inputs'!FB8,'Entity Inputs'!FB14)</f>
        <v/>
      </c>
      <c r="FC8" s="14">
        <f>SUM('Entity Inputs'!FC8,'Entity Inputs'!FC14)</f>
        <v/>
      </c>
      <c r="FD8" s="14">
        <f>SUM('Entity Inputs'!FD8,'Entity Inputs'!FD14)</f>
        <v/>
      </c>
      <c r="FE8" s="14">
        <f>SUM('Entity Inputs'!FE8,'Entity Inputs'!FE14)</f>
        <v/>
      </c>
      <c r="FF8" s="14">
        <f>SUM('Entity Inputs'!FF8,'Entity Inputs'!FF14)</f>
        <v/>
      </c>
      <c r="FG8" s="14">
        <f>SUM('Entity Inputs'!FG8,'Entity Inputs'!FG14)</f>
        <v/>
      </c>
      <c r="FH8" s="14">
        <f>SUM('Entity Inputs'!FH8,'Entity Inputs'!FH14)</f>
        <v/>
      </c>
      <c r="FI8" s="14">
        <f>SUM('Entity Inputs'!FI8,'Entity Inputs'!FI14)</f>
        <v/>
      </c>
      <c r="FJ8" s="14">
        <f>SUM('Entity Inputs'!FJ8,'Entity Inputs'!FJ14)</f>
        <v/>
      </c>
      <c r="FK8" s="14">
        <f>SUM('Entity Inputs'!FK8,'Entity Inputs'!FK14)</f>
        <v/>
      </c>
      <c r="FL8" s="14">
        <f>SUM('Entity Inputs'!FL8,'Entity Inputs'!FL14)</f>
        <v/>
      </c>
      <c r="FM8" s="14">
        <f>SUM('Entity Inputs'!FM8,'Entity Inputs'!FM14)</f>
        <v/>
      </c>
      <c r="FN8" s="14">
        <f>SUM('Entity Inputs'!FN8,'Entity Inputs'!FN14)</f>
        <v/>
      </c>
      <c r="FO8" s="14">
        <f>SUM('Entity Inputs'!FO8,'Entity Inputs'!FO14)</f>
        <v/>
      </c>
      <c r="FP8" s="14">
        <f>SUM('Entity Inputs'!FP8,'Entity Inputs'!FP14)</f>
        <v/>
      </c>
      <c r="FQ8" s="14">
        <f>SUM('Entity Inputs'!FQ8,'Entity Inputs'!FQ14)</f>
        <v/>
      </c>
      <c r="FR8" s="14">
        <f>SUM('Entity Inputs'!FR8,'Entity Inputs'!FR14)</f>
        <v/>
      </c>
      <c r="FS8" s="14">
        <f>SUM('Entity Inputs'!FS8,'Entity Inputs'!FS14)</f>
        <v/>
      </c>
      <c r="FT8" s="14">
        <f>SUM('Entity Inputs'!FT8,'Entity Inputs'!FT14)</f>
        <v/>
      </c>
      <c r="FU8" s="14">
        <f>SUM('Entity Inputs'!FU8,'Entity Inputs'!FU14)</f>
        <v/>
      </c>
      <c r="FV8" s="22">
        <f>AU8-V8-X8-BY8</f>
        <v/>
      </c>
      <c r="FW8" s="22">
        <f>FV8-AX8</f>
        <v/>
      </c>
      <c r="FX8" s="22">
        <f>CJ8+CL8-CK8</f>
        <v/>
      </c>
      <c r="FY8" s="22">
        <f>FX8-FX7</f>
        <v/>
      </c>
      <c r="FZ8" s="22">
        <f>FV8-BZ8-FY8</f>
        <v/>
      </c>
      <c r="GA8" s="22">
        <f>FZ8-DJ8</f>
        <v/>
      </c>
      <c r="GB8" s="22">
        <f>CB8-CC8</f>
        <v/>
      </c>
      <c r="GC8" s="22">
        <f>SUM(FV$4:FV8)*12/D8</f>
        <v/>
      </c>
      <c r="GD8" s="22">
        <f>IF(AU8=0,0,CJ8/AU8*C8)</f>
        <v/>
      </c>
      <c r="GE8" s="22">
        <f>IF(V8=0,0,CK8/V8*C8)</f>
        <v/>
      </c>
      <c r="GF8" s="22">
        <f>IF(V8=0,0,CL8/V8*C8)</f>
        <v/>
      </c>
      <c r="GG8" s="22">
        <f>IF(OR(AS8=0,AT8=0,AV8=0),0,100*((AU8/AS8)/(AV8/AT8)-1))</f>
        <v/>
      </c>
    </row>
    <row r="9">
      <c r="A9" t="inlineStr">
        <is>
          <t>Group</t>
        </is>
      </c>
      <c r="B9" t="inlineStr">
        <is>
          <t>2026-09</t>
        </is>
      </c>
      <c r="C9" t="n">
        <v>30</v>
      </c>
      <c r="D9" t="n">
        <v>6</v>
      </c>
      <c r="E9" s="14">
        <f>SUM('Entity Inputs'!E9,'Entity Inputs'!E15)</f>
        <v/>
      </c>
      <c r="F9" s="14">
        <f>SUM('Entity Inputs'!F9,'Entity Inputs'!F15)</f>
        <v/>
      </c>
      <c r="G9" s="14">
        <f>SUM('Entity Inputs'!G9,'Entity Inputs'!G15)</f>
        <v/>
      </c>
      <c r="H9" s="14">
        <f>SUM('Entity Inputs'!H9,'Entity Inputs'!H15)</f>
        <v/>
      </c>
      <c r="I9" s="14">
        <f>SUM('Entity Inputs'!I9,'Entity Inputs'!I15)</f>
        <v/>
      </c>
      <c r="J9" s="14">
        <f>SUM('Entity Inputs'!J9,'Entity Inputs'!J15)</f>
        <v/>
      </c>
      <c r="K9" s="14">
        <f>SUM('Entity Inputs'!K9,'Entity Inputs'!K15)</f>
        <v/>
      </c>
      <c r="L9" s="14">
        <f>SUM('Entity Inputs'!L9,'Entity Inputs'!L15)</f>
        <v/>
      </c>
      <c r="M9" s="14">
        <f>SUM('Entity Inputs'!M9,'Entity Inputs'!M15)</f>
        <v/>
      </c>
      <c r="N9" s="14">
        <f>SUM('Entity Inputs'!N9,'Entity Inputs'!N15)</f>
        <v/>
      </c>
      <c r="O9" s="14">
        <f>SUM('Entity Inputs'!O9,'Entity Inputs'!O15)</f>
        <v/>
      </c>
      <c r="P9" s="14">
        <f>SUM('Entity Inputs'!P9,'Entity Inputs'!P15)</f>
        <v/>
      </c>
      <c r="Q9" s="14">
        <f>SUM('Entity Inputs'!Q9,'Entity Inputs'!Q15)</f>
        <v/>
      </c>
      <c r="R9" s="14">
        <f>SUM('Entity Inputs'!R9,'Entity Inputs'!R15)</f>
        <v/>
      </c>
      <c r="S9" s="14">
        <f>SUM('Entity Inputs'!S9,'Entity Inputs'!S15)</f>
        <v/>
      </c>
      <c r="T9" s="14">
        <f>SUM('Entity Inputs'!T9,'Entity Inputs'!T15)</f>
        <v/>
      </c>
      <c r="U9" s="14">
        <f>SUM('Entity Inputs'!U9,'Entity Inputs'!U15)</f>
        <v/>
      </c>
      <c r="V9" s="14">
        <f>SUM('Entity Inputs'!V9,'Entity Inputs'!V15)</f>
        <v/>
      </c>
      <c r="W9" s="14">
        <f>SUM('Entity Inputs'!W9,'Entity Inputs'!W15)</f>
        <v/>
      </c>
      <c r="X9" s="14">
        <f>SUM('Entity Inputs'!X9,'Entity Inputs'!X15)</f>
        <v/>
      </c>
      <c r="Y9" s="14">
        <f>SUM('Entity Inputs'!Y9,'Entity Inputs'!Y15)</f>
        <v/>
      </c>
      <c r="Z9" s="14">
        <f>SUM('Entity Inputs'!Z9,'Entity Inputs'!Z15)</f>
        <v/>
      </c>
      <c r="AA9" s="14">
        <f>SUM('Entity Inputs'!AA9,'Entity Inputs'!AA15)</f>
        <v/>
      </c>
      <c r="AB9" s="14">
        <f>SUM('Entity Inputs'!AB9,'Entity Inputs'!AB15)</f>
        <v/>
      </c>
      <c r="AC9" s="14">
        <f>SUM('Entity Inputs'!AC9,'Entity Inputs'!AC15)</f>
        <v/>
      </c>
      <c r="AD9" s="14">
        <f>SUM('Entity Inputs'!AD9,'Entity Inputs'!AD15)</f>
        <v/>
      </c>
      <c r="AE9" s="14">
        <f>SUM('Entity Inputs'!AE9,'Entity Inputs'!AE15)</f>
        <v/>
      </c>
      <c r="AF9" s="14">
        <f>SUM('Entity Inputs'!AF9,'Entity Inputs'!AF15)</f>
        <v/>
      </c>
      <c r="AG9" s="14">
        <f>SUM('Entity Inputs'!AG9,'Entity Inputs'!AG15)</f>
        <v/>
      </c>
      <c r="AH9" s="14">
        <f>SUM('Entity Inputs'!AH9,'Entity Inputs'!AH15)</f>
        <v/>
      </c>
      <c r="AI9" s="14">
        <f>SUM('Entity Inputs'!AI9,'Entity Inputs'!AI15)</f>
        <v/>
      </c>
      <c r="AJ9" s="14">
        <f>SUM('Entity Inputs'!AJ9,'Entity Inputs'!AJ15)</f>
        <v/>
      </c>
      <c r="AK9" s="14">
        <f>SUM('Entity Inputs'!AK9,'Entity Inputs'!AK15)</f>
        <v/>
      </c>
      <c r="AL9" s="14">
        <f>SUM('Entity Inputs'!AL9,'Entity Inputs'!AL15)</f>
        <v/>
      </c>
      <c r="AM9" s="14">
        <f>SUM('Entity Inputs'!AM9,'Entity Inputs'!AM15)</f>
        <v/>
      </c>
      <c r="AN9" s="14">
        <f>SUM('Entity Inputs'!AN9,'Entity Inputs'!AN15)</f>
        <v/>
      </c>
      <c r="AO9" s="14">
        <f>SUM('Entity Inputs'!AO9,'Entity Inputs'!AO15)</f>
        <v/>
      </c>
      <c r="AP9" s="14">
        <f>SUM('Entity Inputs'!AP9,'Entity Inputs'!AP15)</f>
        <v/>
      </c>
      <c r="AQ9" s="14">
        <f>SUM('Entity Inputs'!AQ9,'Entity Inputs'!AQ15)</f>
        <v/>
      </c>
      <c r="AR9" s="14">
        <f>MIN('Entity Inputs'!AR9,'Entity Inputs'!AR15)</f>
        <v/>
      </c>
      <c r="AS9" s="14">
        <f>SUM('Entity Inputs'!AS9,'Entity Inputs'!AS15)</f>
        <v/>
      </c>
      <c r="AT9" s="14">
        <f>SUM('Entity Inputs'!AT9,'Entity Inputs'!AT15)</f>
        <v/>
      </c>
      <c r="AU9" s="14">
        <f>SUM('Entity Inputs'!AU9,'Entity Inputs'!AU15)</f>
        <v/>
      </c>
      <c r="AV9" s="14">
        <f>SUM('Entity Inputs'!AV9,'Entity Inputs'!AV15)</f>
        <v/>
      </c>
      <c r="AW9" s="14">
        <f>SUM('Entity Inputs'!AW9,'Entity Inputs'!AW15)</f>
        <v/>
      </c>
      <c r="AX9" s="14">
        <f>SUM('Entity Inputs'!AX9,'Entity Inputs'!AX15)</f>
        <v/>
      </c>
      <c r="AY9" s="14">
        <f>SUM('Entity Inputs'!AY9,'Entity Inputs'!AY15)</f>
        <v/>
      </c>
      <c r="AZ9" s="14">
        <f>SUM('Entity Inputs'!AZ9,'Entity Inputs'!AZ15)</f>
        <v/>
      </c>
      <c r="BA9" s="14">
        <f>SUM('Entity Inputs'!BA9,'Entity Inputs'!BA15)</f>
        <v/>
      </c>
      <c r="BB9" s="14">
        <f>SUM('Entity Inputs'!BB9,'Entity Inputs'!BB15)</f>
        <v/>
      </c>
      <c r="BC9" s="14">
        <f>SUM('Entity Inputs'!BC9,'Entity Inputs'!BC15)</f>
        <v/>
      </c>
      <c r="BD9" s="14">
        <f>SUM('Entity Inputs'!BD9,'Entity Inputs'!BD15)</f>
        <v/>
      </c>
      <c r="BE9" s="14">
        <f>SUM('Entity Inputs'!BE9,'Entity Inputs'!BE15)</f>
        <v/>
      </c>
      <c r="BF9" s="14">
        <f>SUM('Entity Inputs'!BF9,'Entity Inputs'!BF15)</f>
        <v/>
      </c>
      <c r="BG9" s="14">
        <f>SUM('Entity Inputs'!BG9,'Entity Inputs'!BG15)</f>
        <v/>
      </c>
      <c r="BH9" s="14">
        <f>SUM('Entity Inputs'!BH9,'Entity Inputs'!BH15)</f>
        <v/>
      </c>
      <c r="BI9" s="14">
        <f>SUM('Entity Inputs'!BI9,'Entity Inputs'!BI15)</f>
        <v/>
      </c>
      <c r="BJ9" s="14">
        <f>SUM('Entity Inputs'!BJ9,'Entity Inputs'!BJ15)</f>
        <v/>
      </c>
      <c r="BK9" s="14">
        <f>SUM('Entity Inputs'!BK9,'Entity Inputs'!BK15)</f>
        <v/>
      </c>
      <c r="BL9" s="14">
        <f>SUM('Entity Inputs'!BL9,'Entity Inputs'!BL15)</f>
        <v/>
      </c>
      <c r="BM9" s="14">
        <f>SUM('Entity Inputs'!BM9,'Entity Inputs'!BM15)</f>
        <v/>
      </c>
      <c r="BN9" s="14">
        <f>SUM('Entity Inputs'!BN9,'Entity Inputs'!BN15)</f>
        <v/>
      </c>
      <c r="BO9" s="14">
        <f>SUM('Entity Inputs'!BO9,'Entity Inputs'!BO15)</f>
        <v/>
      </c>
      <c r="BP9" s="14">
        <f>SUM('Entity Inputs'!BP9,'Entity Inputs'!BP15)</f>
        <v/>
      </c>
      <c r="BQ9" s="14">
        <f>SUM('Entity Inputs'!BQ9,'Entity Inputs'!BQ15)</f>
        <v/>
      </c>
      <c r="BR9" s="14">
        <f>SUM('Entity Inputs'!BR9,'Entity Inputs'!BR15)</f>
        <v/>
      </c>
      <c r="BS9" s="14">
        <f>MIN('Entity Inputs'!BS9,'Entity Inputs'!BS15)</f>
        <v/>
      </c>
      <c r="BT9" s="14">
        <f>SUM('Entity Inputs'!BT9,'Entity Inputs'!BT15)</f>
        <v/>
      </c>
      <c r="BU9" s="14">
        <f>SUM('Entity Inputs'!BU9,'Entity Inputs'!BU15)</f>
        <v/>
      </c>
      <c r="BV9" s="14">
        <f>SUM('Entity Inputs'!BV9,'Entity Inputs'!BV15)</f>
        <v/>
      </c>
      <c r="BW9" s="14">
        <f>SUM('Entity Inputs'!BW9,'Entity Inputs'!BW15)</f>
        <v/>
      </c>
      <c r="BX9" s="14">
        <f>SUM('Entity Inputs'!BX9,'Entity Inputs'!BX15)</f>
        <v/>
      </c>
      <c r="BY9" s="14">
        <f>SUM('Entity Inputs'!BY9,'Entity Inputs'!BY15)</f>
        <v/>
      </c>
      <c r="BZ9" s="14">
        <f>SUM('Entity Inputs'!BZ9,'Entity Inputs'!BZ15)</f>
        <v/>
      </c>
      <c r="CA9" s="14">
        <f>SUM('Entity Inputs'!CA9,'Entity Inputs'!CA15)</f>
        <v/>
      </c>
      <c r="CB9" s="14">
        <f>SUM('Entity Inputs'!CB9,'Entity Inputs'!CB15)</f>
        <v/>
      </c>
      <c r="CC9" s="14">
        <f>SUM('Entity Inputs'!CC9,'Entity Inputs'!CC15)</f>
        <v/>
      </c>
      <c r="CD9" s="14">
        <f>SUM('Entity Inputs'!CD9,'Entity Inputs'!CD15)</f>
        <v/>
      </c>
      <c r="CE9" s="14">
        <f>SUM('Entity Inputs'!CE9,'Entity Inputs'!CE15)</f>
        <v/>
      </c>
      <c r="CF9" s="14">
        <f>SUM('Entity Inputs'!CF9,'Entity Inputs'!CF15)</f>
        <v/>
      </c>
      <c r="CG9" s="14">
        <f>SUM('Entity Inputs'!CG9,'Entity Inputs'!CG15)</f>
        <v/>
      </c>
      <c r="CH9" s="14">
        <f>SUM('Entity Inputs'!CH9,'Entity Inputs'!CH15)</f>
        <v/>
      </c>
      <c r="CI9" s="14">
        <f>SUM('Entity Inputs'!CI9,'Entity Inputs'!CI15)</f>
        <v/>
      </c>
      <c r="CJ9" s="14">
        <f>SUM('Entity Inputs'!CJ9,'Entity Inputs'!CJ15)</f>
        <v/>
      </c>
      <c r="CK9" s="14">
        <f>SUM('Entity Inputs'!CK9,'Entity Inputs'!CK15)</f>
        <v/>
      </c>
      <c r="CL9" s="14">
        <f>SUM('Entity Inputs'!CL9,'Entity Inputs'!CL15)</f>
        <v/>
      </c>
      <c r="CM9" s="14">
        <f>SUM('Entity Inputs'!CM9,'Entity Inputs'!CM15)</f>
        <v/>
      </c>
      <c r="CN9" s="14">
        <f>SUM('Entity Inputs'!CN9,'Entity Inputs'!CN15)</f>
        <v/>
      </c>
      <c r="CO9" s="14">
        <f>SUM('Entity Inputs'!CO9,'Entity Inputs'!CO15)</f>
        <v/>
      </c>
      <c r="CP9" s="14">
        <f>SUM('Entity Inputs'!CP9,'Entity Inputs'!CP15)</f>
        <v/>
      </c>
      <c r="CQ9" s="14">
        <f>SUM('Entity Inputs'!CQ9,'Entity Inputs'!CQ15)</f>
        <v/>
      </c>
      <c r="CR9" s="14">
        <f>SUM('Entity Inputs'!CR9,'Entity Inputs'!CR15)</f>
        <v/>
      </c>
      <c r="CS9" s="14">
        <f>SUM('Entity Inputs'!CS9,'Entity Inputs'!CS15)</f>
        <v/>
      </c>
      <c r="CT9" s="14">
        <f>SUM('Entity Inputs'!CT9,'Entity Inputs'!CT15)</f>
        <v/>
      </c>
      <c r="CU9" s="14">
        <f>SUM('Entity Inputs'!CU9,'Entity Inputs'!CU15)</f>
        <v/>
      </c>
      <c r="CV9" s="14">
        <f>SUM('Entity Inputs'!CV9,'Entity Inputs'!CV15)</f>
        <v/>
      </c>
      <c r="CW9" s="14">
        <f>SUM('Entity Inputs'!CW9,'Entity Inputs'!CW15)</f>
        <v/>
      </c>
      <c r="CX9" s="14">
        <f>SUM('Entity Inputs'!CX9,'Entity Inputs'!CX15)</f>
        <v/>
      </c>
      <c r="CY9" s="14">
        <f>SUM('Entity Inputs'!CY9,'Entity Inputs'!CY15)</f>
        <v/>
      </c>
      <c r="CZ9" s="14">
        <f>SUM('Entity Inputs'!CZ9,'Entity Inputs'!CZ15)</f>
        <v/>
      </c>
      <c r="DA9" s="14">
        <f>SUM('Entity Inputs'!DA9,'Entity Inputs'!DA15)</f>
        <v/>
      </c>
      <c r="DB9" s="14">
        <f>SUM('Entity Inputs'!DB9,'Entity Inputs'!DB15)</f>
        <v/>
      </c>
      <c r="DC9" s="14">
        <f>SUM('Entity Inputs'!DC9,'Entity Inputs'!DC15)</f>
        <v/>
      </c>
      <c r="DD9" s="14">
        <f>SUM('Entity Inputs'!DD9,'Entity Inputs'!DD15)</f>
        <v/>
      </c>
      <c r="DE9" s="14">
        <f>SUM('Entity Inputs'!DE9,'Entity Inputs'!DE15)</f>
        <v/>
      </c>
      <c r="DF9" s="14">
        <f>SUM('Entity Inputs'!DF9,'Entity Inputs'!DF15)</f>
        <v/>
      </c>
      <c r="DG9" s="14">
        <f>SUM('Entity Inputs'!DG9,'Entity Inputs'!DG15)</f>
        <v/>
      </c>
      <c r="DH9" s="14">
        <f>SUM('Entity Inputs'!DH9,'Entity Inputs'!DH15)</f>
        <v/>
      </c>
      <c r="DI9" s="14">
        <f>SUM('Entity Inputs'!DI9,'Entity Inputs'!DI15)</f>
        <v/>
      </c>
      <c r="DJ9" s="14">
        <f>SUM('Entity Inputs'!DJ9,'Entity Inputs'!DJ15)</f>
        <v/>
      </c>
      <c r="DK9" s="14">
        <f>SUM('Entity Inputs'!DK9,'Entity Inputs'!DK15)</f>
        <v/>
      </c>
      <c r="DL9" s="14">
        <f>SUM('Entity Inputs'!DL9,'Entity Inputs'!DL15)</f>
        <v/>
      </c>
      <c r="DM9" s="14">
        <f>SUM('Entity Inputs'!DM9,'Entity Inputs'!DM15)</f>
        <v/>
      </c>
      <c r="DN9" s="14">
        <f>SUM('Entity Inputs'!DN9,'Entity Inputs'!DN15)</f>
        <v/>
      </c>
      <c r="DO9" s="14">
        <f>SUM('Entity Inputs'!DO9,'Entity Inputs'!DO15)</f>
        <v/>
      </c>
      <c r="DP9" s="14">
        <f>SUM('Entity Inputs'!DP9,'Entity Inputs'!DP15)</f>
        <v/>
      </c>
      <c r="DQ9" s="14">
        <f>SUM('Entity Inputs'!DQ9,'Entity Inputs'!DQ15)</f>
        <v/>
      </c>
      <c r="DR9" s="14">
        <f>SUM('Entity Inputs'!DR9,'Entity Inputs'!DR15)</f>
        <v/>
      </c>
      <c r="DS9" s="14">
        <f>SUM('Entity Inputs'!DS9,'Entity Inputs'!DS15)</f>
        <v/>
      </c>
      <c r="DT9" s="14">
        <f>SUM('Entity Inputs'!DT9,'Entity Inputs'!DT15)</f>
        <v/>
      </c>
      <c r="DU9" s="14">
        <f>SUM('Entity Inputs'!DU9,'Entity Inputs'!DU15)</f>
        <v/>
      </c>
      <c r="DV9" s="14">
        <f>SUM('Entity Inputs'!DV9,'Entity Inputs'!DV15)</f>
        <v/>
      </c>
      <c r="DW9" s="14">
        <f>SUM('Entity Inputs'!DW9,'Entity Inputs'!DW15)</f>
        <v/>
      </c>
      <c r="DX9" s="14">
        <f>SUM('Entity Inputs'!DX9,'Entity Inputs'!DX15)</f>
        <v/>
      </c>
      <c r="DY9" s="14">
        <f>SUM('Entity Inputs'!DY9,'Entity Inputs'!DY15)</f>
        <v/>
      </c>
      <c r="DZ9" s="14">
        <f>SUM('Entity Inputs'!DZ9,'Entity Inputs'!DZ15)</f>
        <v/>
      </c>
      <c r="EA9" s="14">
        <f>SUM('Entity Inputs'!EA9,'Entity Inputs'!EA15)</f>
        <v/>
      </c>
      <c r="EB9" s="14">
        <f>SUM('Entity Inputs'!EB9,'Entity Inputs'!EB15)</f>
        <v/>
      </c>
      <c r="EC9" s="14">
        <f>SUM('Entity Inputs'!EC9,'Entity Inputs'!EC15)</f>
        <v/>
      </c>
      <c r="ED9" s="14">
        <f>SUM('Entity Inputs'!ED9,'Entity Inputs'!ED15)</f>
        <v/>
      </c>
      <c r="EE9" s="14">
        <f>SUM('Entity Inputs'!EE9,'Entity Inputs'!EE15)</f>
        <v/>
      </c>
      <c r="EF9" s="14">
        <f>SUM('Entity Inputs'!EF9,'Entity Inputs'!EF15)</f>
        <v/>
      </c>
      <c r="EG9" s="14">
        <f>SUM('Entity Inputs'!EG9,'Entity Inputs'!EG15)</f>
        <v/>
      </c>
      <c r="EH9" s="14">
        <f>SUM('Entity Inputs'!EH9,'Entity Inputs'!EH15)</f>
        <v/>
      </c>
      <c r="EI9" s="14">
        <f>SUM('Entity Inputs'!EI9,'Entity Inputs'!EI15)</f>
        <v/>
      </c>
      <c r="EJ9" s="14">
        <f>SUM('Entity Inputs'!EJ9,'Entity Inputs'!EJ15)</f>
        <v/>
      </c>
      <c r="EK9" s="14">
        <f>SUM('Entity Inputs'!EK9,'Entity Inputs'!EK15)</f>
        <v/>
      </c>
      <c r="EL9" s="14">
        <f>SUM('Entity Inputs'!EL9,'Entity Inputs'!EL15)</f>
        <v/>
      </c>
      <c r="EM9" s="14">
        <f>SUM('Entity Inputs'!EM9,'Entity Inputs'!EM15)</f>
        <v/>
      </c>
      <c r="EN9" s="14">
        <f>SUM('Entity Inputs'!EN9,'Entity Inputs'!EN15)</f>
        <v/>
      </c>
      <c r="EO9" s="14">
        <f>SUM('Entity Inputs'!EO9,'Entity Inputs'!EO15)</f>
        <v/>
      </c>
      <c r="EP9" s="14">
        <f>SUM('Entity Inputs'!EP9,'Entity Inputs'!EP15)</f>
        <v/>
      </c>
      <c r="EQ9" s="14">
        <f>SUM('Entity Inputs'!EQ9,'Entity Inputs'!EQ15)</f>
        <v/>
      </c>
      <c r="ER9" s="14">
        <f>SUM('Entity Inputs'!ER9,'Entity Inputs'!ER15)</f>
        <v/>
      </c>
      <c r="ES9" s="14">
        <f>SUM('Entity Inputs'!ES9,'Entity Inputs'!ES15)</f>
        <v/>
      </c>
      <c r="ET9" s="14">
        <f>SUM('Entity Inputs'!ET9,'Entity Inputs'!ET15)</f>
        <v/>
      </c>
      <c r="EU9" s="14">
        <f>SUM('Entity Inputs'!EU9,'Entity Inputs'!EU15)</f>
        <v/>
      </c>
      <c r="EV9" s="14">
        <f>SUM('Entity Inputs'!EV9,'Entity Inputs'!EV15)</f>
        <v/>
      </c>
      <c r="EW9" s="14">
        <f>SUM('Entity Inputs'!EW9,'Entity Inputs'!EW15)</f>
        <v/>
      </c>
      <c r="EX9" s="14">
        <f>SUM('Entity Inputs'!EX9,'Entity Inputs'!EX15)</f>
        <v/>
      </c>
      <c r="EY9" s="14">
        <f>SUM('Entity Inputs'!EY9,'Entity Inputs'!EY15)</f>
        <v/>
      </c>
      <c r="EZ9" s="14">
        <f>SUM('Entity Inputs'!EZ9,'Entity Inputs'!EZ15)</f>
        <v/>
      </c>
      <c r="FA9" s="14">
        <f>SUM('Entity Inputs'!FA9,'Entity Inputs'!FA15)</f>
        <v/>
      </c>
      <c r="FB9" s="14">
        <f>SUM('Entity Inputs'!FB9,'Entity Inputs'!FB15)</f>
        <v/>
      </c>
      <c r="FC9" s="14">
        <f>SUM('Entity Inputs'!FC9,'Entity Inputs'!FC15)</f>
        <v/>
      </c>
      <c r="FD9" s="14">
        <f>SUM('Entity Inputs'!FD9,'Entity Inputs'!FD15)</f>
        <v/>
      </c>
      <c r="FE9" s="14">
        <f>SUM('Entity Inputs'!FE9,'Entity Inputs'!FE15)</f>
        <v/>
      </c>
      <c r="FF9" s="14">
        <f>SUM('Entity Inputs'!FF9,'Entity Inputs'!FF15)</f>
        <v/>
      </c>
      <c r="FG9" s="14">
        <f>SUM('Entity Inputs'!FG9,'Entity Inputs'!FG15)</f>
        <v/>
      </c>
      <c r="FH9" s="14">
        <f>SUM('Entity Inputs'!FH9,'Entity Inputs'!FH15)</f>
        <v/>
      </c>
      <c r="FI9" s="14">
        <f>SUM('Entity Inputs'!FI9,'Entity Inputs'!FI15)</f>
        <v/>
      </c>
      <c r="FJ9" s="14">
        <f>SUM('Entity Inputs'!FJ9,'Entity Inputs'!FJ15)</f>
        <v/>
      </c>
      <c r="FK9" s="14">
        <f>SUM('Entity Inputs'!FK9,'Entity Inputs'!FK15)</f>
        <v/>
      </c>
      <c r="FL9" s="14">
        <f>SUM('Entity Inputs'!FL9,'Entity Inputs'!FL15)</f>
        <v/>
      </c>
      <c r="FM9" s="14">
        <f>SUM('Entity Inputs'!FM9,'Entity Inputs'!FM15)</f>
        <v/>
      </c>
      <c r="FN9" s="14">
        <f>SUM('Entity Inputs'!FN9,'Entity Inputs'!FN15)</f>
        <v/>
      </c>
      <c r="FO9" s="14">
        <f>SUM('Entity Inputs'!FO9,'Entity Inputs'!FO15)</f>
        <v/>
      </c>
      <c r="FP9" s="14">
        <f>SUM('Entity Inputs'!FP9,'Entity Inputs'!FP15)</f>
        <v/>
      </c>
      <c r="FQ9" s="14">
        <f>SUM('Entity Inputs'!FQ9,'Entity Inputs'!FQ15)</f>
        <v/>
      </c>
      <c r="FR9" s="14">
        <f>SUM('Entity Inputs'!FR9,'Entity Inputs'!FR15)</f>
        <v/>
      </c>
      <c r="FS9" s="14">
        <f>SUM('Entity Inputs'!FS9,'Entity Inputs'!FS15)</f>
        <v/>
      </c>
      <c r="FT9" s="14">
        <f>SUM('Entity Inputs'!FT9,'Entity Inputs'!FT15)</f>
        <v/>
      </c>
      <c r="FU9" s="14">
        <f>SUM('Entity Inputs'!FU9,'Entity Inputs'!FU15)</f>
        <v/>
      </c>
      <c r="FV9" s="22">
        <f>AU9-V9-X9-BY9</f>
        <v/>
      </c>
      <c r="FW9" s="22">
        <f>FV9-AX9</f>
        <v/>
      </c>
      <c r="FX9" s="22">
        <f>CJ9+CL9-CK9</f>
        <v/>
      </c>
      <c r="FY9" s="22">
        <f>FX9-FX8</f>
        <v/>
      </c>
      <c r="FZ9" s="22">
        <f>FV9-BZ9-FY9</f>
        <v/>
      </c>
      <c r="GA9" s="22">
        <f>FZ9-DJ9</f>
        <v/>
      </c>
      <c r="GB9" s="22">
        <f>CB9-CC9</f>
        <v/>
      </c>
      <c r="GC9" s="22">
        <f>SUM(FV$4:FV9)*12/D9</f>
        <v/>
      </c>
      <c r="GD9" s="22">
        <f>IF(AU9=0,0,CJ9/AU9*C9)</f>
        <v/>
      </c>
      <c r="GE9" s="22">
        <f>IF(V9=0,0,CK9/V9*C9)</f>
        <v/>
      </c>
      <c r="GF9" s="22">
        <f>IF(V9=0,0,CL9/V9*C9)</f>
        <v/>
      </c>
      <c r="GG9" s="22">
        <f>IF(OR(AS9=0,AT9=0,AV9=0),0,100*((AU9/AS9)/(AV9/AT9)-1))</f>
        <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U15"/>
  <sheetViews>
    <sheetView workbookViewId="0">
      <pane xSplit="3" ySplit="3" topLeftCell="D4" activePane="bottomRight" state="frozen"/>
      <selection pane="topRight" activeCell="D1" sqref="D1"/>
      <selection pane="bottomLeft" activeCell="A4" sqref="A4"/>
      <selection pane="bottomRight" activeCell="A1" sqref="A1"/>
    </sheetView>
  </sheetViews>
  <sheetFormatPr baseColWidth="8" defaultRowHeight="15"/>
  <cols>
    <col width="10.7109375" customWidth="1" min="1" max="3"/>
    <col width="15.7109375" customWidth="1" min="4" max="177"/>
  </cols>
  <sheetData>
    <row r="1" ht="48" customHeight="1">
      <c r="A1" s="9" t="inlineStr">
        <is>
          <t>Group</t>
        </is>
      </c>
      <c r="B1" s="9" t="inlineStr">
        <is>
          <t>Entity</t>
        </is>
      </c>
      <c r="C1" s="9" t="inlineStr">
        <is>
          <t>Month</t>
        </is>
      </c>
      <c r="D1" s="9" t="inlineStr">
        <is>
          <t>Days in month</t>
        </is>
      </c>
      <c r="E1" s="9" t="inlineStr">
        <is>
          <t>Calendar hours (h)</t>
        </is>
      </c>
      <c r="F1" s="9" t="inlineStr">
        <is>
          <t>Planned operating hours (h)</t>
        </is>
      </c>
      <c r="G1" s="9" t="inlineStr">
        <is>
          <t>Run hours (h)</t>
        </is>
      </c>
      <c r="H1" s="9" t="inlineStr">
        <is>
          <t>Unplanned downtime (h)</t>
        </is>
      </c>
      <c r="I1" s="9" t="inlineStr">
        <is>
          <t>Ideal output (t)</t>
        </is>
      </c>
      <c r="J1" s="9" t="inlineStr">
        <is>
          <t>Installed capacity (t)</t>
        </is>
      </c>
      <c r="K1" s="9" t="inlineStr">
        <is>
          <t>Planned production (t)</t>
        </is>
      </c>
      <c r="L1" s="9" t="inlineStr">
        <is>
          <t>Gross output (t)</t>
        </is>
      </c>
      <c r="M1" s="9" t="inlineStr">
        <is>
          <t>Good output (t)</t>
        </is>
      </c>
      <c r="N1" s="9" t="inlineStr">
        <is>
          <t>Feed input (t)</t>
        </is>
      </c>
      <c r="O1" s="9" t="inlineStr">
        <is>
          <t>Valuable content in feed (t)</t>
        </is>
      </c>
      <c r="P1" s="9" t="inlineStr">
        <is>
          <t>Valuable content recovered (t)</t>
        </is>
      </c>
      <c r="Q1" s="9" t="inlineStr">
        <is>
          <t>Production lost to downtime (t)</t>
        </is>
      </c>
      <c r="R1" s="9" t="inlineStr">
        <is>
          <t>Breakdowns (count)</t>
        </is>
      </c>
      <c r="S1" s="9" t="inlineStr">
        <is>
          <t>Repair hours (h)</t>
        </is>
      </c>
      <c r="T1" s="9" t="inlineStr">
        <is>
          <t>Preventive maintenance scheduled (count)</t>
        </is>
      </c>
      <c r="U1" s="9" t="inlineStr">
        <is>
          <t>Preventive maintenance completed (count)</t>
        </is>
      </c>
      <c r="V1" s="9" t="inlineStr">
        <is>
          <t>Variable cost (₹ thousand)</t>
        </is>
      </c>
      <c r="W1" s="9" t="inlineStr">
        <is>
          <t>Fuel cost (₹ thousand)</t>
        </is>
      </c>
      <c r="X1" s="9" t="inlineStr">
        <is>
          <t>Fixed cost (₹ thousand)</t>
        </is>
      </c>
      <c r="Y1" s="9" t="inlineStr">
        <is>
          <t>Water used (m³)</t>
        </is>
      </c>
      <c r="Z1" s="9" t="inlineStr">
        <is>
          <t>Emissions (t CO2e)</t>
        </is>
      </c>
      <c r="AA1" s="9" t="inlineStr">
        <is>
          <t>Energy used (GJ)</t>
        </is>
      </c>
      <c r="AB1" s="9" t="inlineStr">
        <is>
          <t>Production at risk (t)</t>
        </is>
      </c>
      <c r="AC1" s="9" t="inlineStr">
        <is>
          <t>Critical plant alerts (count)</t>
        </is>
      </c>
      <c r="AD1" s="9" t="inlineStr">
        <is>
          <t>Hours worked (h)</t>
        </is>
      </c>
      <c r="AE1" s="9" t="inlineStr">
        <is>
          <t>Recordable injuries (count)</t>
        </is>
      </c>
      <c r="AF1" s="9" t="inlineStr">
        <is>
          <t>Severity incidents (count)</t>
        </is>
      </c>
      <c r="AG1" s="9" t="inlineStr">
        <is>
          <t>Near misses (count)</t>
        </is>
      </c>
      <c r="AH1" s="9" t="inlineStr">
        <is>
          <t>Critical safety incidents (count)</t>
        </is>
      </c>
      <c r="AI1" s="9" t="inlineStr">
        <is>
          <t>Environmental excursions (count)</t>
        </is>
      </c>
      <c r="AJ1" s="9" t="inlineStr">
        <is>
          <t>Environmental violations (count)</t>
        </is>
      </c>
      <c r="AK1" s="9" t="inlineStr">
        <is>
          <t>Open EHS corrective actions (count)</t>
        </is>
      </c>
      <c r="AL1" s="9" t="inlineStr">
        <is>
          <t>Overdue EHS corrective actions (count)</t>
        </is>
      </c>
      <c r="AM1" s="9" t="inlineStr">
        <is>
          <t>EHS investigations due (count)</t>
        </is>
      </c>
      <c r="AN1" s="9" t="inlineStr">
        <is>
          <t>EHS investigations completed (count)</t>
        </is>
      </c>
      <c r="AO1" s="9" t="inlineStr">
        <is>
          <t>Critical materials at risk (count)</t>
        </is>
      </c>
      <c r="AP1" s="9" t="inlineStr">
        <is>
          <t>Dispatches (count)</t>
        </is>
      </c>
      <c r="AQ1" s="9" t="inlineStr">
        <is>
          <t>Delayed dispatches (count)</t>
        </is>
      </c>
      <c r="AR1" s="9" t="inlineStr">
        <is>
          <t>Days to permit expiry (days)</t>
        </is>
      </c>
      <c r="AS1" s="9" t="inlineStr">
        <is>
          <t>Sales volume (t)</t>
        </is>
      </c>
      <c r="AT1" s="9" t="inlineStr">
        <is>
          <t>Planned sales volume (t)</t>
        </is>
      </c>
      <c r="AU1" s="9" t="inlineStr">
        <is>
          <t>Revenue (₹ thousand)</t>
        </is>
      </c>
      <c r="AV1" s="9" t="inlineStr">
        <is>
          <t>Planned revenue (₹ thousand)</t>
        </is>
      </c>
      <c r="AW1" s="9" t="inlineStr">
        <is>
          <t>Power cost, part of variable cost (₹ thousand)</t>
        </is>
      </c>
      <c r="AX1" s="9" t="inlineStr">
        <is>
          <t>Depreciation and amortisation (₹ thousand)</t>
        </is>
      </c>
      <c r="AY1" s="9" t="inlineStr">
        <is>
          <t>Purchase-order lines due (count)</t>
        </is>
      </c>
      <c r="AZ1" s="9" t="inlineStr">
        <is>
          <t>Purchase-order lines delivered on time (count)</t>
        </is>
      </c>
      <c r="BA1" s="9" t="inlineStr">
        <is>
          <t>Quantity ordered from suppliers (t)</t>
        </is>
      </c>
      <c r="BB1" s="9" t="inlineStr">
        <is>
          <t>Quantity received (t)</t>
        </is>
      </c>
      <c r="BC1" s="9" t="inlineStr">
        <is>
          <t>Quantity rejected on quality (t)</t>
        </is>
      </c>
      <c r="BD1" s="9" t="inlineStr">
        <is>
          <t>Planned lead time, all deliveries (days)</t>
        </is>
      </c>
      <c r="BE1" s="9" t="inlineStr">
        <is>
          <t>Actual lead time, all deliveries (days)</t>
        </is>
      </c>
      <c r="BF1" s="9" t="inlineStr">
        <is>
          <t>Supplier spend (₹ thousand)</t>
        </is>
      </c>
      <c r="BG1" s="9" t="inlineStr">
        <is>
          <t>Spend with single-source suppliers (₹ thousand)</t>
        </is>
      </c>
      <c r="BH1" s="9" t="inlineStr">
        <is>
          <t>Supplier EHS incidents (count)</t>
        </is>
      </c>
      <c r="BI1" s="9" t="inlineStr">
        <is>
          <t>Regulatory filings pending (count)</t>
        </is>
      </c>
      <c r="BJ1" s="9" t="inlineStr">
        <is>
          <t>Regulatory deadlines in next 30 days (count)</t>
        </is>
      </c>
      <c r="BK1" s="9" t="inlineStr">
        <is>
          <t>Licences expiring in next 12 months (count)</t>
        </is>
      </c>
      <c r="BL1" s="9" t="inlineStr">
        <is>
          <t>Regulatory obligations due in next 30 days (count)</t>
        </is>
      </c>
      <c r="BM1" s="9" t="inlineStr">
        <is>
          <t>Regulatory obligations overdue (count)</t>
        </is>
      </c>
      <c r="BN1" s="9" t="inlineStr">
        <is>
          <t>Open regulatory actions (count)</t>
        </is>
      </c>
      <c r="BO1" s="9" t="inlineStr">
        <is>
          <t>Overdue compliance actions (count)</t>
        </is>
      </c>
      <c r="BP1" s="9" t="inlineStr">
        <is>
          <t>Regulatory breaches in the month (count)</t>
        </is>
      </c>
      <c r="BQ1" s="9" t="inlineStr">
        <is>
          <t>Events that trigger a disclosure clock (count)</t>
        </is>
      </c>
      <c r="BR1" s="9" t="inlineStr">
        <is>
          <t>EHS escalation clocks running (count)</t>
        </is>
      </c>
      <c r="BS1" s="9" t="inlineStr">
        <is>
          <t>Days until production plan is breached, forecast (days; 99 = not expected)</t>
        </is>
      </c>
      <c r="BT1" s="9" t="inlineStr">
        <is>
          <t>Planned production next month (t)</t>
        </is>
      </c>
      <c r="BU1" s="9" t="inlineStr">
        <is>
          <t>Forecast good output next month (t)</t>
        </is>
      </c>
      <c r="BV1" s="9" t="inlineStr">
        <is>
          <t>Forecast uncertainty next month (variance, t²)</t>
        </is>
      </c>
      <c r="BW1" s="9" t="inlineStr">
        <is>
          <t>Ideal output next month (t)</t>
        </is>
      </c>
      <c r="BX1" s="9" t="inlineStr">
        <is>
          <t>Forecast production lost to downtime next month (t)</t>
        </is>
      </c>
      <c r="BY1" s="9" t="inlineStr">
        <is>
          <t>Overheads, SG&amp;A (₹ thousand)</t>
        </is>
      </c>
      <c r="BZ1" s="9" t="inlineStr">
        <is>
          <t>Tax paid (₹ thousand)</t>
        </is>
      </c>
      <c r="CA1" s="9" t="inlineStr">
        <is>
          <t>Capital employed, month end (₹ thousand)</t>
        </is>
      </c>
      <c r="CB1" s="9" t="inlineStr">
        <is>
          <t>Gross debt, month end (₹ thousand)</t>
        </is>
      </c>
      <c r="CC1" s="9" t="inlineStr">
        <is>
          <t>Cash, month end (₹ thousand)</t>
        </is>
      </c>
      <c r="CD1" s="9" t="inlineStr">
        <is>
          <t>Undrawn committed facilities (₹ thousand)</t>
        </is>
      </c>
      <c r="CE1" s="9" t="inlineStr">
        <is>
          <t>Debt service in the month (₹ thousand)</t>
        </is>
      </c>
      <c r="CF1" s="9" t="inlineStr">
        <is>
          <t>Debt maturing in next 12 months (₹ thousand)</t>
        </is>
      </c>
      <c r="CG1" s="9" t="inlineStr">
        <is>
          <t>Floating-rate debt (₹ thousand)</t>
        </is>
      </c>
      <c r="CH1" s="9" t="inlineStr">
        <is>
          <t>EBITDA as reported in the Board pack (₹ thousand)</t>
        </is>
      </c>
      <c r="CI1" s="9" t="inlineStr">
        <is>
          <t>Revenue in the flash report (₹ thousand)</t>
        </is>
      </c>
      <c r="CJ1" s="9" t="inlineStr">
        <is>
          <t>Trade receivables, month end (₹ thousand)</t>
        </is>
      </c>
      <c r="CK1" s="9" t="inlineStr">
        <is>
          <t>Trade payables, month end (₹ thousand)</t>
        </is>
      </c>
      <c r="CL1" s="9" t="inlineStr">
        <is>
          <t>Inventory, month end (₹ thousand)</t>
        </is>
      </c>
      <c r="CM1" s="9" t="inlineStr">
        <is>
          <t>Cash collected from customers (₹ thousand)</t>
        </is>
      </c>
      <c r="CN1" s="9" t="inlineStr">
        <is>
          <t>Cash released by working-capital actions (₹ thousand)</t>
        </is>
      </c>
      <c r="CO1" s="9" t="inlineStr">
        <is>
          <t>Cash due to be upstreamed to Group, next 30 days (₹ thousand)</t>
        </is>
      </c>
      <c r="CP1" s="9" t="inlineStr">
        <is>
          <t>Of which covered by available cash (₹ thousand)</t>
        </is>
      </c>
      <c r="CQ1" s="9" t="inlineStr">
        <is>
          <t>Invoices collected (count)</t>
        </is>
      </c>
      <c r="CR1" s="9" t="inlineStr">
        <is>
          <t>Days taken to collect, all invoices (days)</t>
        </is>
      </c>
      <c r="CS1" s="9" t="inlineStr">
        <is>
          <t>Agreed payment terms, all invoices (days)</t>
        </is>
      </c>
      <c r="CT1" s="9" t="inlineStr">
        <is>
          <t>Customers more than 30 days overdue (count)</t>
        </is>
      </c>
      <c r="CU1" s="9" t="inlineStr">
        <is>
          <t>Forecast EBITDA, rest of year (₹ thousand)</t>
        </is>
      </c>
      <c r="CV1" s="9" t="inlineStr">
        <is>
          <t>Planned EBITDA, rest of year (₹ thousand)</t>
        </is>
      </c>
      <c r="CW1" s="9" t="inlineStr">
        <is>
          <t>Forecast net cash flow, next 90 days (₹ thousand)</t>
        </is>
      </c>
      <c r="CX1" s="9" t="inlineStr">
        <is>
          <t>Forecast net debt at quarter end (₹ thousand)</t>
        </is>
      </c>
      <c r="CY1" s="9" t="inlineStr">
        <is>
          <t>Forecast EBITDA, 12 months to quarter end (₹ thousand)</t>
        </is>
      </c>
      <c r="CZ1" s="9" t="inlineStr">
        <is>
          <t>Foreign-currency exposure, gross (₹ thousand)</t>
        </is>
      </c>
      <c r="DA1" s="9" t="inlineStr">
        <is>
          <t>Foreign-currency exposure hedged (₹ thousand)</t>
        </is>
      </c>
      <c r="DB1" s="9" t="inlineStr">
        <is>
          <t>USD exposure, gross (₹ thousand)</t>
        </is>
      </c>
      <c r="DC1" s="9" t="inlineStr">
        <is>
          <t>USD exposure hedged (₹ thousand)</t>
        </is>
      </c>
      <c r="DD1" s="9" t="inlineStr">
        <is>
          <t>Change in value of hedges (₹ thousand)</t>
        </is>
      </c>
      <c r="DE1" s="9" t="inlineStr">
        <is>
          <t>Change in value of hedged items (₹ thousand)</t>
        </is>
      </c>
      <c r="DF1" s="9" t="inlineStr">
        <is>
          <t>Forecast foreign-currency flows, next 6 months (₹ thousand)</t>
        </is>
      </c>
      <c r="DG1" s="9" t="inlineStr">
        <is>
          <t>Of which hedged (₹ thousand)</t>
        </is>
      </c>
      <c r="DH1" s="9" t="inlineStr">
        <is>
          <t>Approved capex budget, full year (₹ thousand)</t>
        </is>
      </c>
      <c r="DI1" s="9" t="inlineStr">
        <is>
          <t>Capex committed to date (₹ thousand)</t>
        </is>
      </c>
      <c r="DJ1" s="9" t="inlineStr">
        <is>
          <t>Capex spent in the month (₹ thousand)</t>
        </is>
      </c>
      <c r="DK1" s="9" t="inlineStr">
        <is>
          <t>Capex work completed, valued at budget (₹ thousand)</t>
        </is>
      </c>
      <c r="DL1" s="9" t="inlineStr">
        <is>
          <t>Budget of capex projects at risk (₹ thousand)</t>
        </is>
      </c>
      <c r="DM1" s="9" t="inlineStr">
        <is>
          <t>Capex projects on track (count)</t>
        </is>
      </c>
      <c r="DN1" s="9" t="inlineStr">
        <is>
          <t>Capex projects at risk (count)</t>
        </is>
      </c>
      <c r="DO1" s="9" t="inlineStr">
        <is>
          <t>Capex projects off track (count)</t>
        </is>
      </c>
      <c r="DP1" s="9" t="inlineStr">
        <is>
          <t>Capex projects delayed (count)</t>
        </is>
      </c>
      <c r="DQ1" s="9" t="inlineStr">
        <is>
          <t>Contractor milestones due (count)</t>
        </is>
      </c>
      <c r="DR1" s="9" t="inlineStr">
        <is>
          <t>Contractor days late, all milestones (days)</t>
        </is>
      </c>
      <c r="DS1" s="9" t="inlineStr">
        <is>
          <t>Transformation initiatives on track (count)</t>
        </is>
      </c>
      <c r="DT1" s="9" t="inlineStr">
        <is>
          <t>Transformation initiatives at risk (count)</t>
        </is>
      </c>
      <c r="DU1" s="9" t="inlineStr">
        <is>
          <t>Transformation initiatives delayed (count)</t>
        </is>
      </c>
      <c r="DV1" s="9" t="inlineStr">
        <is>
          <t>Transformation milestones in plan (count)</t>
        </is>
      </c>
      <c r="DW1" s="9" t="inlineStr">
        <is>
          <t>Transformation milestones completed (count)</t>
        </is>
      </c>
      <c r="DX1" s="9" t="inlineStr">
        <is>
          <t>Programme benefits planned in the month (₹ thousand)</t>
        </is>
      </c>
      <c r="DY1" s="9" t="inlineStr">
        <is>
          <t>Programme benefits delivered in the month (₹ thousand)</t>
        </is>
      </c>
      <c r="DZ1" s="9" t="inlineStr">
        <is>
          <t>EBITDA benefit delivered (₹ thousand)</t>
        </is>
      </c>
      <c r="EA1" s="9" t="inlineStr">
        <is>
          <t>Cash benefit delivered (₹ thousand)</t>
        </is>
      </c>
      <c r="EB1" s="9" t="inlineStr">
        <is>
          <t>Cost savings delivered (₹ thousand)</t>
        </is>
      </c>
      <c r="EC1" s="9" t="inlineStr">
        <is>
          <t>Active supply contracts (count)</t>
        </is>
      </c>
      <c r="ED1" s="9" t="inlineStr">
        <is>
          <t>Contracts fully compliant (count)</t>
        </is>
      </c>
      <c r="EE1" s="9" t="inlineStr">
        <is>
          <t>Contracts expiring in next 90 days (count)</t>
        </is>
      </c>
      <c r="EF1" s="9" t="inlineStr">
        <is>
          <t>Suppliers not meeting EHS requirements (count)</t>
        </is>
      </c>
      <c r="EG1" s="9" t="inlineStr">
        <is>
          <t>Critical single-source suppliers (count)</t>
        </is>
      </c>
      <c r="EH1" s="9" t="inlineStr">
        <is>
          <t>Control failures (count)</t>
        </is>
      </c>
      <c r="EI1" s="9" t="inlineStr">
        <is>
          <t>High-severity control failures (count)</t>
        </is>
      </c>
      <c r="EJ1" s="9" t="inlineStr">
        <is>
          <t>Assurance reviews planned (count)</t>
        </is>
      </c>
      <c r="EK1" s="9" t="inlineStr">
        <is>
          <t>Assurance reviews completed (count)</t>
        </is>
      </c>
      <c r="EL1" s="9" t="inlineStr">
        <is>
          <t>Policy exceptions (count)</t>
        </is>
      </c>
      <c r="EM1" s="9" t="inlineStr">
        <is>
          <t>Unauthorised vendor uses (count)</t>
        </is>
      </c>
      <c r="EN1" s="9" t="inlineStr">
        <is>
          <t>Segregation-of-duties exceptions (count)</t>
        </is>
      </c>
      <c r="EO1" s="9" t="inlineStr">
        <is>
          <t>Unauthorised access events (count)</t>
        </is>
      </c>
      <c r="EP1" s="9" t="inlineStr">
        <is>
          <t>Data-sharing exceptions (count)</t>
        </is>
      </c>
      <c r="EQ1" s="9" t="inlineStr">
        <is>
          <t>Manual operational or system overrides (count)</t>
        </is>
      </c>
      <c r="ER1" s="9" t="inlineStr">
        <is>
          <t>Certification approvals past due date (count)</t>
        </is>
      </c>
      <c r="ES1" s="9" t="inlineStr">
        <is>
          <t>KPI values overridden (count)</t>
        </is>
      </c>
      <c r="ET1" s="9" t="inlineStr">
        <is>
          <t>Recurring data-quality issues (count)</t>
        </is>
      </c>
      <c r="EU1" s="9" t="inlineStr">
        <is>
          <t>Open audit findings (count)</t>
        </is>
      </c>
      <c r="EV1" s="9" t="inlineStr">
        <is>
          <t>Overdue assurance actions (count)</t>
        </is>
      </c>
      <c r="EW1" s="9" t="inlineStr">
        <is>
          <t>Repeat audit findings (count)</t>
        </is>
      </c>
      <c r="EX1" s="9" t="inlineStr">
        <is>
          <t>Leadership KPIs affected by open findings (count)</t>
        </is>
      </c>
      <c r="EY1" s="9" t="inlineStr">
        <is>
          <t>Evidence items required (count)</t>
        </is>
      </c>
      <c r="EZ1" s="9" t="inlineStr">
        <is>
          <t>Evidence items complete (count)</t>
        </is>
      </c>
      <c r="FA1" s="9" t="inlineStr">
        <is>
          <t>Audit findings closed in the month (count)</t>
        </is>
      </c>
      <c r="FB1" s="9" t="inlineStr">
        <is>
          <t>Days taken to close those findings (days)</t>
        </is>
      </c>
      <c r="FC1" s="9" t="inlineStr">
        <is>
          <t>Leadership KPI values reported (count)</t>
        </is>
      </c>
      <c r="FD1" s="9" t="inlineStr">
        <is>
          <t>Of which certified (count)</t>
        </is>
      </c>
      <c r="FE1" s="9" t="inlineStr">
        <is>
          <t>Of which inside the certification process (count)</t>
        </is>
      </c>
      <c r="FF1" s="9" t="inlineStr">
        <is>
          <t>Certifications overdue (count)</t>
        </is>
      </c>
      <c r="FG1" s="9" t="inlineStr">
        <is>
          <t>Open reconciliation breaks (count)</t>
        </is>
      </c>
      <c r="FH1" s="9" t="inlineStr">
        <is>
          <t>Material reconciliation breaks (count)</t>
        </is>
      </c>
      <c r="FI1" s="9" t="inlineStr">
        <is>
          <t>Records loaded to the data lake (count)</t>
        </is>
      </c>
      <c r="FJ1" s="9" t="inlineStr">
        <is>
          <t>Records reconciled to source (count)</t>
        </is>
      </c>
      <c r="FK1" s="9" t="inlineStr">
        <is>
          <t>Flash report lines (count)</t>
        </is>
      </c>
      <c r="FL1" s="9" t="inlineStr">
        <is>
          <t>Flash lines matching MIS (count)</t>
        </is>
      </c>
      <c r="FM1" s="9" t="inlineStr">
        <is>
          <t>Open critical alerts (count)</t>
        </is>
      </c>
      <c r="FN1" s="9" t="inlineStr">
        <is>
          <t>Alerts with no accepted owner (count)</t>
        </is>
      </c>
      <c r="FO1" s="9" t="inlineStr">
        <is>
          <t>Overdue actions (count)</t>
        </is>
      </c>
      <c r="FP1" s="9" t="inlineStr">
        <is>
          <t>Alerts resolved in the month (count)</t>
        </is>
      </c>
      <c r="FQ1" s="9" t="inlineStr">
        <is>
          <t>Days taken to resolve those alerts (days)</t>
        </is>
      </c>
      <c r="FR1" s="9" t="inlineStr">
        <is>
          <t>Escalations closed in the month (count)</t>
        </is>
      </c>
      <c r="FS1" s="9" t="inlineStr">
        <is>
          <t>Repeat issues raised in the month (count)</t>
        </is>
      </c>
      <c r="FT1" s="9" t="inlineStr">
        <is>
          <t>Root causes identified (count)</t>
        </is>
      </c>
      <c r="FU1" s="9" t="inlineStr">
        <is>
          <t>Root causes eliminated (count)</t>
        </is>
      </c>
    </row>
    <row r="2">
      <c r="A2" s="11" t="inlineStr">
        <is>
          <t>group</t>
        </is>
      </c>
      <c r="B2" s="11" t="inlineStr">
        <is>
          <t>entity</t>
        </is>
      </c>
      <c r="C2" s="11" t="inlineStr">
        <is>
          <t>period</t>
        </is>
      </c>
      <c r="D2" s="11" t="inlineStr">
        <is>
          <t>days</t>
        </is>
      </c>
      <c r="E2" s="11" t="inlineStr">
        <is>
          <t>calendar_hours</t>
        </is>
      </c>
      <c r="F2" s="11" t="inlineStr">
        <is>
          <t>planned_op_hours</t>
        </is>
      </c>
      <c r="G2" s="11" t="inlineStr">
        <is>
          <t>run_hours</t>
        </is>
      </c>
      <c r="H2" s="11" t="inlineStr">
        <is>
          <t>unplanned_downtime_hours</t>
        </is>
      </c>
      <c r="I2" s="11" t="inlineStr">
        <is>
          <t>ideal_output_t</t>
        </is>
      </c>
      <c r="J2" s="11" t="inlineStr">
        <is>
          <t>installed_capacity_t</t>
        </is>
      </c>
      <c r="K2" s="11" t="inlineStr">
        <is>
          <t>planned_production_t</t>
        </is>
      </c>
      <c r="L2" s="11" t="inlineStr">
        <is>
          <t>gross_output_t</t>
        </is>
      </c>
      <c r="M2" s="11" t="inlineStr">
        <is>
          <t>good_output_t</t>
        </is>
      </c>
      <c r="N2" s="11" t="inlineStr">
        <is>
          <t>feed_input_t</t>
        </is>
      </c>
      <c r="O2" s="11" t="inlineStr">
        <is>
          <t>feed_contained_t</t>
        </is>
      </c>
      <c r="P2" s="11" t="inlineStr">
        <is>
          <t>recovered_contained_t</t>
        </is>
      </c>
      <c r="Q2" s="11" t="inlineStr">
        <is>
          <t>prod_loss_downtime_t</t>
        </is>
      </c>
      <c r="R2" s="11" t="inlineStr">
        <is>
          <t>failures</t>
        </is>
      </c>
      <c r="S2" s="11" t="inlineStr">
        <is>
          <t>repair_hours</t>
        </is>
      </c>
      <c r="T2" s="11" t="inlineStr">
        <is>
          <t>pm_scheduled</t>
        </is>
      </c>
      <c r="U2" s="11" t="inlineStr">
        <is>
          <t>pm_completed</t>
        </is>
      </c>
      <c r="V2" s="11" t="inlineStr">
        <is>
          <t>variable_cost_k</t>
        </is>
      </c>
      <c r="W2" s="11" t="inlineStr">
        <is>
          <t>fuel_cost_k</t>
        </is>
      </c>
      <c r="X2" s="11" t="inlineStr">
        <is>
          <t>fixed_cost_k</t>
        </is>
      </c>
      <c r="Y2" s="11" t="inlineStr">
        <is>
          <t>water_m3</t>
        </is>
      </c>
      <c r="Z2" s="11" t="inlineStr">
        <is>
          <t>emissions_tco2e</t>
        </is>
      </c>
      <c r="AA2" s="11" t="inlineStr">
        <is>
          <t>energy_gj</t>
        </is>
      </c>
      <c r="AB2" s="11" t="inlineStr">
        <is>
          <t>production_at_risk_t</t>
        </is>
      </c>
      <c r="AC2" s="11" t="inlineStr">
        <is>
          <t>critical_plant_alerts</t>
        </is>
      </c>
      <c r="AD2" s="11" t="inlineStr">
        <is>
          <t>hours_worked</t>
        </is>
      </c>
      <c r="AE2" s="11" t="inlineStr">
        <is>
          <t>recordable_injuries</t>
        </is>
      </c>
      <c r="AF2" s="11" t="inlineStr">
        <is>
          <t>severity_incidents</t>
        </is>
      </c>
      <c r="AG2" s="11" t="inlineStr">
        <is>
          <t>near_misses</t>
        </is>
      </c>
      <c r="AH2" s="11" t="inlineStr">
        <is>
          <t>critical_safety_incidents</t>
        </is>
      </c>
      <c r="AI2" s="11" t="inlineStr">
        <is>
          <t>env_excursions</t>
        </is>
      </c>
      <c r="AJ2" s="11" t="inlineStr">
        <is>
          <t>env_violations</t>
        </is>
      </c>
      <c r="AK2" s="11" t="inlineStr">
        <is>
          <t>ehs_ca_open</t>
        </is>
      </c>
      <c r="AL2" s="11" t="inlineStr">
        <is>
          <t>ehs_ca_overdue</t>
        </is>
      </c>
      <c r="AM2" s="11" t="inlineStr">
        <is>
          <t>investigations_due</t>
        </is>
      </c>
      <c r="AN2" s="11" t="inlineStr">
        <is>
          <t>investigations_completed</t>
        </is>
      </c>
      <c r="AO2" s="11" t="inlineStr">
        <is>
          <t>critical_material_risks</t>
        </is>
      </c>
      <c r="AP2" s="11" t="inlineStr">
        <is>
          <t>dispatches_total</t>
        </is>
      </c>
      <c r="AQ2" s="11" t="inlineStr">
        <is>
          <t>dispatches_delayed</t>
        </is>
      </c>
      <c r="AR2" s="11" t="inlineStr">
        <is>
          <t>permit_days_to_expiry</t>
        </is>
      </c>
      <c r="AS2" s="11" t="inlineStr">
        <is>
          <t>sales_t</t>
        </is>
      </c>
      <c r="AT2" s="11" t="inlineStr">
        <is>
          <t>planned_sales_t</t>
        </is>
      </c>
      <c r="AU2" s="11" t="inlineStr">
        <is>
          <t>revenue_k</t>
        </is>
      </c>
      <c r="AV2" s="11" t="inlineStr">
        <is>
          <t>planned_revenue_k</t>
        </is>
      </c>
      <c r="AW2" s="11" t="inlineStr">
        <is>
          <t>power_cost_k</t>
        </is>
      </c>
      <c r="AX2" s="11" t="inlineStr">
        <is>
          <t>depreciation_k</t>
        </is>
      </c>
      <c r="AY2" s="11" t="inlineStr">
        <is>
          <t>po_lines_due</t>
        </is>
      </c>
      <c r="AZ2" s="11" t="inlineStr">
        <is>
          <t>po_lines_on_time</t>
        </is>
      </c>
      <c r="BA2" s="11" t="inlineStr">
        <is>
          <t>qty_ordered_t</t>
        </is>
      </c>
      <c r="BB2" s="11" t="inlineStr">
        <is>
          <t>qty_received_t</t>
        </is>
      </c>
      <c r="BC2" s="11" t="inlineStr">
        <is>
          <t>qty_rejected_t</t>
        </is>
      </c>
      <c r="BD2" s="11" t="inlineStr">
        <is>
          <t>lead_time_planned_days</t>
        </is>
      </c>
      <c r="BE2" s="11" t="inlineStr">
        <is>
          <t>lead_time_actual_days</t>
        </is>
      </c>
      <c r="BF2" s="11" t="inlineStr">
        <is>
          <t>supplier_spend_k</t>
        </is>
      </c>
      <c r="BG2" s="11" t="inlineStr">
        <is>
          <t>single_source_spend_k</t>
        </is>
      </c>
      <c r="BH2" s="11" t="inlineStr">
        <is>
          <t>supplier_ehs_incidents</t>
        </is>
      </c>
      <c r="BI2" s="11" t="inlineStr">
        <is>
          <t>pending_filings</t>
        </is>
      </c>
      <c r="BJ2" s="11" t="inlineStr">
        <is>
          <t>reg_deadlines_30d</t>
        </is>
      </c>
      <c r="BK2" s="11" t="inlineStr">
        <is>
          <t>licences_expiring_12m</t>
        </is>
      </c>
      <c r="BL2" s="11" t="inlineStr">
        <is>
          <t>reg_obligations_due_30d</t>
        </is>
      </c>
      <c r="BM2" s="11" t="inlineStr">
        <is>
          <t>reg_obligations_overdue</t>
        </is>
      </c>
      <c r="BN2" s="11" t="inlineStr">
        <is>
          <t>reg_actions_open</t>
        </is>
      </c>
      <c r="BO2" s="11" t="inlineStr">
        <is>
          <t>compliance_actions_overdue</t>
        </is>
      </c>
      <c r="BP2" s="11" t="inlineStr">
        <is>
          <t>reg_breaches</t>
        </is>
      </c>
      <c r="BQ2" s="11" t="inlineStr">
        <is>
          <t>disclosure_events_open</t>
        </is>
      </c>
      <c r="BR2" s="11" t="inlineStr">
        <is>
          <t>ehs_escalation_clocks</t>
        </is>
      </c>
      <c r="BS2" s="11" t="inlineStr">
        <is>
          <t>days_to_breach</t>
        </is>
      </c>
      <c r="BT2" s="11" t="inlineStr">
        <is>
          <t>planned_production_next_t</t>
        </is>
      </c>
      <c r="BU2" s="11" t="inlineStr">
        <is>
          <t>forecast_good_next_t</t>
        </is>
      </c>
      <c r="BV2" s="11" t="inlineStr">
        <is>
          <t>forecast_good_var_next</t>
        </is>
      </c>
      <c r="BW2" s="11" t="inlineStr">
        <is>
          <t>ideal_output_next_t</t>
        </is>
      </c>
      <c r="BX2" s="11" t="inlineStr">
        <is>
          <t>forecast_downtime_loss_next_t</t>
        </is>
      </c>
      <c r="BY2" s="11" t="inlineStr">
        <is>
          <t>overhead_k</t>
        </is>
      </c>
      <c r="BZ2" s="11" t="inlineStr">
        <is>
          <t>tax_paid_k</t>
        </is>
      </c>
      <c r="CA2" s="11" t="inlineStr">
        <is>
          <t>capital_employed_k</t>
        </is>
      </c>
      <c r="CB2" s="11" t="inlineStr">
        <is>
          <t>gross_debt_k</t>
        </is>
      </c>
      <c r="CC2" s="11" t="inlineStr">
        <is>
          <t>cash_k</t>
        </is>
      </c>
      <c r="CD2" s="11" t="inlineStr">
        <is>
          <t>undrawn_facilities_k</t>
        </is>
      </c>
      <c r="CE2" s="11" t="inlineStr">
        <is>
          <t>debt_service_k</t>
        </is>
      </c>
      <c r="CF2" s="11" t="inlineStr">
        <is>
          <t>debt_maturing_12m_k</t>
        </is>
      </c>
      <c r="CG2" s="11" t="inlineStr">
        <is>
          <t>floating_rate_debt_k</t>
        </is>
      </c>
      <c r="CH2" s="11" t="inlineStr">
        <is>
          <t>board_ebitda_k</t>
        </is>
      </c>
      <c r="CI2" s="11" t="inlineStr">
        <is>
          <t>flash_revenue_k</t>
        </is>
      </c>
      <c r="CJ2" s="11" t="inlineStr">
        <is>
          <t>receivables_k</t>
        </is>
      </c>
      <c r="CK2" s="11" t="inlineStr">
        <is>
          <t>payables_k</t>
        </is>
      </c>
      <c r="CL2" s="11" t="inlineStr">
        <is>
          <t>inventory_k</t>
        </is>
      </c>
      <c r="CM2" s="11" t="inlineStr">
        <is>
          <t>collections_k</t>
        </is>
      </c>
      <c r="CN2" s="11" t="inlineStr">
        <is>
          <t>cash_released_k</t>
        </is>
      </c>
      <c r="CO2" s="11" t="inlineStr">
        <is>
          <t>upstream_due_k</t>
        </is>
      </c>
      <c r="CP2" s="11" t="inlineStr">
        <is>
          <t>upstream_covered_k</t>
        </is>
      </c>
      <c r="CQ2" s="11" t="inlineStr">
        <is>
          <t>invoices_collected</t>
        </is>
      </c>
      <c r="CR2" s="11" t="inlineStr">
        <is>
          <t>collection_days</t>
        </is>
      </c>
      <c r="CS2" s="11" t="inlineStr">
        <is>
          <t>terms_days</t>
        </is>
      </c>
      <c r="CT2" s="11" t="inlineStr">
        <is>
          <t>customers_overdue</t>
        </is>
      </c>
      <c r="CU2" s="11" t="inlineStr">
        <is>
          <t>forecast_ebitda_rest_k</t>
        </is>
      </c>
      <c r="CV2" s="11" t="inlineStr">
        <is>
          <t>planned_ebitda_rest_k</t>
        </is>
      </c>
      <c r="CW2" s="11" t="inlineStr">
        <is>
          <t>forecast_net_cash_flow_90d_k</t>
        </is>
      </c>
      <c r="CX2" s="11" t="inlineStr">
        <is>
          <t>forecast_net_debt_k</t>
        </is>
      </c>
      <c r="CY2" s="11" t="inlineStr">
        <is>
          <t>forecast_ebitda_ltm_k</t>
        </is>
      </c>
      <c r="CZ2" s="11" t="inlineStr">
        <is>
          <t>fx_exposure_k</t>
        </is>
      </c>
      <c r="DA2" s="11" t="inlineStr">
        <is>
          <t>fx_hedged_k</t>
        </is>
      </c>
      <c r="DB2" s="11" t="inlineStr">
        <is>
          <t>usd_exposure_k</t>
        </is>
      </c>
      <c r="DC2" s="11" t="inlineStr">
        <is>
          <t>usd_hedged_k</t>
        </is>
      </c>
      <c r="DD2" s="11" t="inlineStr">
        <is>
          <t>hedge_value_change_k</t>
        </is>
      </c>
      <c r="DE2" s="11" t="inlineStr">
        <is>
          <t>hedged_item_value_change_k</t>
        </is>
      </c>
      <c r="DF2" s="11" t="inlineStr">
        <is>
          <t>fx_flows_6m_k</t>
        </is>
      </c>
      <c r="DG2" s="11" t="inlineStr">
        <is>
          <t>fx_hedged_6m_k</t>
        </is>
      </c>
      <c r="DH2" s="11" t="inlineStr">
        <is>
          <t>capex_budget_k</t>
        </is>
      </c>
      <c r="DI2" s="11" t="inlineStr">
        <is>
          <t>capex_committed_k</t>
        </is>
      </c>
      <c r="DJ2" s="11" t="inlineStr">
        <is>
          <t>capex_spend_k</t>
        </is>
      </c>
      <c r="DK2" s="11" t="inlineStr">
        <is>
          <t>capex_earned_value_k</t>
        </is>
      </c>
      <c r="DL2" s="11" t="inlineStr">
        <is>
          <t>capex_at_risk_k</t>
        </is>
      </c>
      <c r="DM2" s="11" t="inlineStr">
        <is>
          <t>projects_on_track</t>
        </is>
      </c>
      <c r="DN2" s="11" t="inlineStr">
        <is>
          <t>projects_at_risk</t>
        </is>
      </c>
      <c r="DO2" s="11" t="inlineStr">
        <is>
          <t>projects_off_track</t>
        </is>
      </c>
      <c r="DP2" s="11" t="inlineStr">
        <is>
          <t>projects_delayed</t>
        </is>
      </c>
      <c r="DQ2" s="11" t="inlineStr">
        <is>
          <t>contractor_milestones_due</t>
        </is>
      </c>
      <c r="DR2" s="11" t="inlineStr">
        <is>
          <t>contractor_days_late</t>
        </is>
      </c>
      <c r="DS2" s="11" t="inlineStr">
        <is>
          <t>initiatives_on_track</t>
        </is>
      </c>
      <c r="DT2" s="11" t="inlineStr">
        <is>
          <t>initiatives_at_risk</t>
        </is>
      </c>
      <c r="DU2" s="11" t="inlineStr">
        <is>
          <t>initiatives_delayed</t>
        </is>
      </c>
      <c r="DV2" s="11" t="inlineStr">
        <is>
          <t>milestones_total</t>
        </is>
      </c>
      <c r="DW2" s="11" t="inlineStr">
        <is>
          <t>milestones_done</t>
        </is>
      </c>
      <c r="DX2" s="11" t="inlineStr">
        <is>
          <t>benefits_planned_k</t>
        </is>
      </c>
      <c r="DY2" s="11" t="inlineStr">
        <is>
          <t>benefits_delivered_k</t>
        </is>
      </c>
      <c r="DZ2" s="11" t="inlineStr">
        <is>
          <t>ebitda_benefit_k</t>
        </is>
      </c>
      <c r="EA2" s="11" t="inlineStr">
        <is>
          <t>cash_benefit_k</t>
        </is>
      </c>
      <c r="EB2" s="11" t="inlineStr">
        <is>
          <t>cost_savings_k</t>
        </is>
      </c>
      <c r="EC2" s="11" t="inlineStr">
        <is>
          <t>contracts_total</t>
        </is>
      </c>
      <c r="ED2" s="11" t="inlineStr">
        <is>
          <t>contracts_compliant</t>
        </is>
      </c>
      <c r="EE2" s="11" t="inlineStr">
        <is>
          <t>contracts_expiring_90d</t>
        </is>
      </c>
      <c r="EF2" s="11" t="inlineStr">
        <is>
          <t>supplier_ehs_noncompliance</t>
        </is>
      </c>
      <c r="EG2" s="11" t="inlineStr">
        <is>
          <t>single_source_suppliers</t>
        </is>
      </c>
      <c r="EH2" s="11" t="inlineStr">
        <is>
          <t>control_failures</t>
        </is>
      </c>
      <c r="EI2" s="11" t="inlineStr">
        <is>
          <t>control_failures_high</t>
        </is>
      </c>
      <c r="EJ2" s="11" t="inlineStr">
        <is>
          <t>assurance_reviews_planned</t>
        </is>
      </c>
      <c r="EK2" s="11" t="inlineStr">
        <is>
          <t>assurance_reviews_done</t>
        </is>
      </c>
      <c r="EL2" s="11" t="inlineStr">
        <is>
          <t>policy_exceptions</t>
        </is>
      </c>
      <c r="EM2" s="11" t="inlineStr">
        <is>
          <t>unauthorized_vendor_uses</t>
        </is>
      </c>
      <c r="EN2" s="11" t="inlineStr">
        <is>
          <t>sod_exceptions</t>
        </is>
      </c>
      <c r="EO2" s="11" t="inlineStr">
        <is>
          <t>unauthorized_access_events</t>
        </is>
      </c>
      <c r="EP2" s="11" t="inlineStr">
        <is>
          <t>data_sharing_exceptions</t>
        </is>
      </c>
      <c r="EQ2" s="11" t="inlineStr">
        <is>
          <t>manual_overrides</t>
        </is>
      </c>
      <c r="ER2" s="11" t="inlineStr">
        <is>
          <t>cert_approvals_ageing</t>
        </is>
      </c>
      <c r="ES2" s="11" t="inlineStr">
        <is>
          <t>kpi_overrides</t>
        </is>
      </c>
      <c r="ET2" s="11" t="inlineStr">
        <is>
          <t>dq_issues_recurring</t>
        </is>
      </c>
      <c r="EU2" s="11" t="inlineStr">
        <is>
          <t>audit_findings_open</t>
        </is>
      </c>
      <c r="EV2" s="11" t="inlineStr">
        <is>
          <t>assurance_actions_overdue</t>
        </is>
      </c>
      <c r="EW2" s="11" t="inlineStr">
        <is>
          <t>repeat_findings</t>
        </is>
      </c>
      <c r="EX2" s="11" t="inlineStr">
        <is>
          <t>leadership_kpis_affected</t>
        </is>
      </c>
      <c r="EY2" s="11" t="inlineStr">
        <is>
          <t>evidence_required</t>
        </is>
      </c>
      <c r="EZ2" s="11" t="inlineStr">
        <is>
          <t>evidence_complete</t>
        </is>
      </c>
      <c r="FA2" s="11" t="inlineStr">
        <is>
          <t>findings_closed</t>
        </is>
      </c>
      <c r="FB2" s="11" t="inlineStr">
        <is>
          <t>finding_closure_days</t>
        </is>
      </c>
      <c r="FC2" s="11" t="inlineStr">
        <is>
          <t>kpis_leadership</t>
        </is>
      </c>
      <c r="FD2" s="11" t="inlineStr">
        <is>
          <t>kpis_certified</t>
        </is>
      </c>
      <c r="FE2" s="11" t="inlineStr">
        <is>
          <t>kpis_in_scope</t>
        </is>
      </c>
      <c r="FF2" s="11" t="inlineStr">
        <is>
          <t>certifications_overdue</t>
        </is>
      </c>
      <c r="FG2" s="11" t="inlineStr">
        <is>
          <t>recon_breaks_open</t>
        </is>
      </c>
      <c r="FH2" s="11" t="inlineStr">
        <is>
          <t>recon_breaks_material</t>
        </is>
      </c>
      <c r="FI2" s="11" t="inlineStr">
        <is>
          <t>lake_records_loaded</t>
        </is>
      </c>
      <c r="FJ2" s="11" t="inlineStr">
        <is>
          <t>lake_records_reconciled</t>
        </is>
      </c>
      <c r="FK2" s="11" t="inlineStr">
        <is>
          <t>mis_lines_total</t>
        </is>
      </c>
      <c r="FL2" s="11" t="inlineStr">
        <is>
          <t>mis_lines_matched</t>
        </is>
      </c>
      <c r="FM2" s="11" t="inlineStr">
        <is>
          <t>critical_alerts_open</t>
        </is>
      </c>
      <c r="FN2" s="11" t="inlineStr">
        <is>
          <t>alerts_unowned</t>
        </is>
      </c>
      <c r="FO2" s="11" t="inlineStr">
        <is>
          <t>actions_overdue</t>
        </is>
      </c>
      <c r="FP2" s="11" t="inlineStr">
        <is>
          <t>alerts_resolved</t>
        </is>
      </c>
      <c r="FQ2" s="11" t="inlineStr">
        <is>
          <t>alert_resolution_days</t>
        </is>
      </c>
      <c r="FR2" s="11" t="inlineStr">
        <is>
          <t>escalations_closed</t>
        </is>
      </c>
      <c r="FS2" s="11" t="inlineStr">
        <is>
          <t>repeat_issues</t>
        </is>
      </c>
      <c r="FT2" s="11" t="inlineStr">
        <is>
          <t>root_causes_identified</t>
        </is>
      </c>
      <c r="FU2" s="11" t="inlineStr">
        <is>
          <t>root_causes_eliminated</t>
        </is>
      </c>
    </row>
    <row r="3" ht="45" customHeight="1">
      <c r="A3" s="9" t="n"/>
      <c r="B3" s="9" t="n"/>
      <c r="C3" s="9" t="n"/>
      <c r="D3" s="9" t="n"/>
      <c r="E3" s="12" t="inlineStr">
        <is>
          <t>Sum of the entity's 3 plants (Plant Inputs sheet)</t>
        </is>
      </c>
      <c r="F3" s="12" t="inlineStr">
        <is>
          <t>Sum of the entity's 3 plants (Plant Inputs sheet)</t>
        </is>
      </c>
      <c r="G3" s="12" t="inlineStr">
        <is>
          <t>Sum of the entity's 3 plants (Plant Inputs sheet)</t>
        </is>
      </c>
      <c r="H3" s="12" t="inlineStr">
        <is>
          <t>Sum of the entity's 3 plants (Plant Inputs sheet)</t>
        </is>
      </c>
      <c r="I3" s="12" t="inlineStr">
        <is>
          <t>Sum of the entity's 3 plants (Plant Inputs sheet)</t>
        </is>
      </c>
      <c r="J3" s="12" t="inlineStr">
        <is>
          <t>Sum of the entity's 3 plants (Plant Inputs sheet)</t>
        </is>
      </c>
      <c r="K3" s="12" t="inlineStr">
        <is>
          <t>Sum of the entity's 3 plants (Plant Inputs sheet)</t>
        </is>
      </c>
      <c r="L3" s="12" t="inlineStr">
        <is>
          <t>Sum of the entity's 3 plants (Plant Inputs sheet)</t>
        </is>
      </c>
      <c r="M3" s="12" t="inlineStr">
        <is>
          <t>Sum of the entity's 3 plants (Plant Inputs sheet)</t>
        </is>
      </c>
      <c r="N3" s="12" t="inlineStr">
        <is>
          <t>Sum of the entity's 3 plants (Plant Inputs sheet)</t>
        </is>
      </c>
      <c r="O3" s="12" t="inlineStr">
        <is>
          <t>Sum of the entity's 3 plants (Plant Inputs sheet)</t>
        </is>
      </c>
      <c r="P3" s="12" t="inlineStr">
        <is>
          <t>Sum of the entity's 3 plants (Plant Inputs sheet)</t>
        </is>
      </c>
      <c r="Q3" s="12" t="inlineStr">
        <is>
          <t>Sum of the entity's 3 plants (Plant Inputs sheet)</t>
        </is>
      </c>
      <c r="R3" s="12" t="inlineStr">
        <is>
          <t>Sum of the entity's 3 plants (Plant Inputs sheet)</t>
        </is>
      </c>
      <c r="S3" s="12" t="inlineStr">
        <is>
          <t>Sum of the entity's 3 plants (Plant Inputs sheet)</t>
        </is>
      </c>
      <c r="T3" s="12" t="inlineStr">
        <is>
          <t>Sum of the entity's 3 plants (Plant Inputs sheet)</t>
        </is>
      </c>
      <c r="U3" s="12" t="inlineStr">
        <is>
          <t>Sum of the entity's 3 plants (Plant Inputs sheet)</t>
        </is>
      </c>
      <c r="V3" s="12" t="inlineStr">
        <is>
          <t>Sum of the entity's 3 plants (Plant Inputs sheet)</t>
        </is>
      </c>
      <c r="W3" s="12" t="inlineStr">
        <is>
          <t>Sum of the entity's 3 plants (Plant Inputs sheet)</t>
        </is>
      </c>
      <c r="X3" s="12" t="inlineStr">
        <is>
          <t>Sum of the entity's 3 plants (Plant Inputs sheet)</t>
        </is>
      </c>
      <c r="Y3" s="12" t="inlineStr">
        <is>
          <t>Sum of the entity's 3 plants (Plant Inputs sheet)</t>
        </is>
      </c>
      <c r="Z3" s="12" t="inlineStr">
        <is>
          <t>Sum of the entity's 3 plants (Plant Inputs sheet)</t>
        </is>
      </c>
      <c r="AA3" s="12" t="inlineStr">
        <is>
          <t>Sum of the entity's 3 plants (Plant Inputs sheet)</t>
        </is>
      </c>
      <c r="AB3" s="12" t="inlineStr">
        <is>
          <t>Sum of the entity's 3 plants (Plant Inputs sheet)</t>
        </is>
      </c>
      <c r="AC3" s="12" t="inlineStr">
        <is>
          <t>Sum of the entity's 3 plants (Plant Inputs sheet)</t>
        </is>
      </c>
      <c r="AD3" s="12" t="inlineStr">
        <is>
          <t>Sum of the entity's 3 plants (Plant Inputs sheet)</t>
        </is>
      </c>
      <c r="AE3" s="12" t="inlineStr">
        <is>
          <t>Sum of the entity's 3 plants (Plant Inputs sheet)</t>
        </is>
      </c>
      <c r="AF3" s="12" t="inlineStr">
        <is>
          <t>Sum of the entity's 3 plants (Plant Inputs sheet)</t>
        </is>
      </c>
      <c r="AG3" s="12" t="inlineStr">
        <is>
          <t>Sum of the entity's 3 plants (Plant Inputs sheet)</t>
        </is>
      </c>
      <c r="AH3" s="12" t="inlineStr">
        <is>
          <t>Sum of the entity's 3 plants (Plant Inputs sheet)</t>
        </is>
      </c>
      <c r="AI3" s="12" t="inlineStr">
        <is>
          <t>Sum of the entity's 3 plants (Plant Inputs sheet)</t>
        </is>
      </c>
      <c r="AJ3" s="12" t="inlineStr">
        <is>
          <t>Sum of the entity's 3 plants (Plant Inputs sheet)</t>
        </is>
      </c>
      <c r="AK3" s="12" t="inlineStr">
        <is>
          <t>Sum of the entity's 3 plants (Plant Inputs sheet)</t>
        </is>
      </c>
      <c r="AL3" s="12" t="inlineStr">
        <is>
          <t>Sum of the entity's 3 plants (Plant Inputs sheet)</t>
        </is>
      </c>
      <c r="AM3" s="12" t="inlineStr">
        <is>
          <t>Sum of the entity's 3 plants (Plant Inputs sheet)</t>
        </is>
      </c>
      <c r="AN3" s="12" t="inlineStr">
        <is>
          <t>Sum of the entity's 3 plants (Plant Inputs sheet)</t>
        </is>
      </c>
      <c r="AO3" s="12" t="inlineStr">
        <is>
          <t>Sum of the entity's 3 plants (Plant Inputs sheet)</t>
        </is>
      </c>
      <c r="AP3" s="12" t="inlineStr">
        <is>
          <t>Sum of the entity's 3 plants (Plant Inputs sheet)</t>
        </is>
      </c>
      <c r="AQ3" s="12" t="inlineStr">
        <is>
          <t>Sum of the entity's 3 plants (Plant Inputs sheet)</t>
        </is>
      </c>
      <c r="AR3" s="12" t="inlineStr">
        <is>
          <t>Lowest of the entity's 3 plants (Plant Inputs sheet)</t>
        </is>
      </c>
      <c r="AS3" s="12" t="inlineStr">
        <is>
          <t>Sum of the entity's 3 plants (Plant Inputs sheet)</t>
        </is>
      </c>
      <c r="AT3" s="12" t="inlineStr">
        <is>
          <t>Sum of the entity's 3 plants (Plant Inputs sheet)</t>
        </is>
      </c>
      <c r="AU3" s="12" t="inlineStr">
        <is>
          <t>Sum of the entity's 3 plants (Plant Inputs sheet)</t>
        </is>
      </c>
      <c r="AV3" s="12" t="inlineStr">
        <is>
          <t>Sum of the entity's 3 plants (Plant Inputs sheet)</t>
        </is>
      </c>
      <c r="AW3" s="12" t="inlineStr">
        <is>
          <t>Sum of the entity's 3 plants (Plant Inputs sheet)</t>
        </is>
      </c>
      <c r="AX3" s="12" t="inlineStr">
        <is>
          <t>Sum of the entity's 3 plants (Plant Inputs sheet)</t>
        </is>
      </c>
      <c r="AY3" s="12" t="inlineStr">
        <is>
          <t>Sum of the entity's 3 plants (Plant Inputs sheet)</t>
        </is>
      </c>
      <c r="AZ3" s="12" t="inlineStr">
        <is>
          <t>Sum of the entity's 3 plants (Plant Inputs sheet)</t>
        </is>
      </c>
      <c r="BA3" s="12" t="inlineStr">
        <is>
          <t>Sum of the entity's 3 plants (Plant Inputs sheet)</t>
        </is>
      </c>
      <c r="BB3" s="12" t="inlineStr">
        <is>
          <t>Sum of the entity's 3 plants (Plant Inputs sheet)</t>
        </is>
      </c>
      <c r="BC3" s="12" t="inlineStr">
        <is>
          <t>Sum of the entity's 3 plants (Plant Inputs sheet)</t>
        </is>
      </c>
      <c r="BD3" s="12" t="inlineStr">
        <is>
          <t>Sum of the entity's 3 plants (Plant Inputs sheet)</t>
        </is>
      </c>
      <c r="BE3" s="12" t="inlineStr">
        <is>
          <t>Sum of the entity's 3 plants (Plant Inputs sheet)</t>
        </is>
      </c>
      <c r="BF3" s="12" t="inlineStr">
        <is>
          <t>Sum of the entity's 3 plants (Plant Inputs sheet)</t>
        </is>
      </c>
      <c r="BG3" s="12" t="inlineStr">
        <is>
          <t>Sum of the entity's 3 plants (Plant Inputs sheet)</t>
        </is>
      </c>
      <c r="BH3" s="12" t="inlineStr">
        <is>
          <t>Sum of the entity's 3 plants (Plant Inputs sheet)</t>
        </is>
      </c>
      <c r="BI3" s="12" t="inlineStr">
        <is>
          <t>Sum of the entity's 3 plants (Plant Inputs sheet)</t>
        </is>
      </c>
      <c r="BJ3" s="12" t="inlineStr">
        <is>
          <t>Sum of the entity's 3 plants (Plant Inputs sheet)</t>
        </is>
      </c>
      <c r="BK3" s="12" t="inlineStr">
        <is>
          <t>Sum of the entity's 3 plants (Plant Inputs sheet)</t>
        </is>
      </c>
      <c r="BL3" s="12" t="inlineStr">
        <is>
          <t>Sum of the entity's 3 plants (Plant Inputs sheet)</t>
        </is>
      </c>
      <c r="BM3" s="12" t="inlineStr">
        <is>
          <t>Sum of the entity's 3 plants (Plant Inputs sheet)</t>
        </is>
      </c>
      <c r="BN3" s="12" t="inlineStr">
        <is>
          <t>Sum of the entity's 3 plants (Plant Inputs sheet)</t>
        </is>
      </c>
      <c r="BO3" s="12" t="inlineStr">
        <is>
          <t>Sum of the entity's 3 plants (Plant Inputs sheet)</t>
        </is>
      </c>
      <c r="BP3" s="12" t="inlineStr">
        <is>
          <t>Sum of the entity's 3 plants (Plant Inputs sheet)</t>
        </is>
      </c>
      <c r="BQ3" s="12" t="inlineStr">
        <is>
          <t>Sum of the entity's 3 plants (Plant Inputs sheet)</t>
        </is>
      </c>
      <c r="BR3" s="12" t="inlineStr">
        <is>
          <t>Sum of the entity's 3 plants (Plant Inputs sheet)</t>
        </is>
      </c>
      <c r="BS3" s="12" t="inlineStr">
        <is>
          <t>Lowest of the entity's 3 plants (Plant Inputs sheet)</t>
        </is>
      </c>
      <c r="BT3" s="12" t="inlineStr">
        <is>
          <t>Sum of the entity's 3 plants (Plant Inputs sheet)</t>
        </is>
      </c>
      <c r="BU3" s="12" t="inlineStr">
        <is>
          <t>Sum of the entity's 3 plants (Plant Inputs sheet)</t>
        </is>
      </c>
      <c r="BV3" s="12" t="inlineStr">
        <is>
          <t>Sum of the entity's 3 plants (Plant Inputs sheet)</t>
        </is>
      </c>
      <c r="BW3" s="12" t="inlineStr">
        <is>
          <t>Sum of the entity's 3 plants (Plant Inputs sheet)</t>
        </is>
      </c>
      <c r="BX3" s="12" t="inlineStr">
        <is>
          <t>Sum of the entity's 3 plants (Plant Inputs sheet)</t>
        </is>
      </c>
      <c r="BY3" s="13" t="inlineStr">
        <is>
          <t>Entity input (only exists at entity level)</t>
        </is>
      </c>
      <c r="BZ3" s="13" t="inlineStr">
        <is>
          <t>Entity input (only exists at entity level)</t>
        </is>
      </c>
      <c r="CA3" s="13" t="inlineStr">
        <is>
          <t>Entity input (only exists at entity level)</t>
        </is>
      </c>
      <c r="CB3" s="13" t="inlineStr">
        <is>
          <t>Entity input (only exists at entity level)</t>
        </is>
      </c>
      <c r="CC3" s="13" t="inlineStr">
        <is>
          <t>Entity input (only exists at entity level)</t>
        </is>
      </c>
      <c r="CD3" s="13" t="inlineStr">
        <is>
          <t>Entity input (only exists at entity level)</t>
        </is>
      </c>
      <c r="CE3" s="13" t="inlineStr">
        <is>
          <t>Entity input (only exists at entity level)</t>
        </is>
      </c>
      <c r="CF3" s="13" t="inlineStr">
        <is>
          <t>Entity input (only exists at entity level)</t>
        </is>
      </c>
      <c r="CG3" s="13" t="inlineStr">
        <is>
          <t>Entity input (only exists at entity level)</t>
        </is>
      </c>
      <c r="CH3" s="13" t="inlineStr">
        <is>
          <t>Entity input (only exists at entity level)</t>
        </is>
      </c>
      <c r="CI3" s="13" t="inlineStr">
        <is>
          <t>Entity input (only exists at entity level)</t>
        </is>
      </c>
      <c r="CJ3" s="13" t="inlineStr">
        <is>
          <t>Entity input (only exists at entity level)</t>
        </is>
      </c>
      <c r="CK3" s="13" t="inlineStr">
        <is>
          <t>Entity input (only exists at entity level)</t>
        </is>
      </c>
      <c r="CL3" s="13" t="inlineStr">
        <is>
          <t>Entity input (only exists at entity level)</t>
        </is>
      </c>
      <c r="CM3" s="13" t="inlineStr">
        <is>
          <t>Entity input (only exists at entity level)</t>
        </is>
      </c>
      <c r="CN3" s="13" t="inlineStr">
        <is>
          <t>Entity input (only exists at entity level)</t>
        </is>
      </c>
      <c r="CO3" s="13" t="inlineStr">
        <is>
          <t>Entity input (only exists at entity level)</t>
        </is>
      </c>
      <c r="CP3" s="13" t="inlineStr">
        <is>
          <t>Entity input (only exists at entity level)</t>
        </is>
      </c>
      <c r="CQ3" s="13" t="inlineStr">
        <is>
          <t>Entity input (only exists at entity level)</t>
        </is>
      </c>
      <c r="CR3" s="13" t="inlineStr">
        <is>
          <t>Entity input (only exists at entity level)</t>
        </is>
      </c>
      <c r="CS3" s="13" t="inlineStr">
        <is>
          <t>Entity input (only exists at entity level)</t>
        </is>
      </c>
      <c r="CT3" s="13" t="inlineStr">
        <is>
          <t>Entity input (only exists at entity level)</t>
        </is>
      </c>
      <c r="CU3" s="13" t="inlineStr">
        <is>
          <t>Entity input (only exists at entity level)</t>
        </is>
      </c>
      <c r="CV3" s="13" t="inlineStr">
        <is>
          <t>Entity input (only exists at entity level)</t>
        </is>
      </c>
      <c r="CW3" s="13" t="inlineStr">
        <is>
          <t>Entity input (only exists at entity level)</t>
        </is>
      </c>
      <c r="CX3" s="13" t="inlineStr">
        <is>
          <t>Entity input (only exists at entity level)</t>
        </is>
      </c>
      <c r="CY3" s="13" t="inlineStr">
        <is>
          <t>Entity input (only exists at entity level)</t>
        </is>
      </c>
      <c r="CZ3" s="13" t="inlineStr">
        <is>
          <t>Entity input (only exists at entity level)</t>
        </is>
      </c>
      <c r="DA3" s="13" t="inlineStr">
        <is>
          <t>Entity input (only exists at entity level)</t>
        </is>
      </c>
      <c r="DB3" s="13" t="inlineStr">
        <is>
          <t>Entity input (only exists at entity level)</t>
        </is>
      </c>
      <c r="DC3" s="13" t="inlineStr">
        <is>
          <t>Entity input (only exists at entity level)</t>
        </is>
      </c>
      <c r="DD3" s="13" t="inlineStr">
        <is>
          <t>Entity input (only exists at entity level)</t>
        </is>
      </c>
      <c r="DE3" s="13" t="inlineStr">
        <is>
          <t>Entity input (only exists at entity level)</t>
        </is>
      </c>
      <c r="DF3" s="13" t="inlineStr">
        <is>
          <t>Entity input (only exists at entity level)</t>
        </is>
      </c>
      <c r="DG3" s="13" t="inlineStr">
        <is>
          <t>Entity input (only exists at entity level)</t>
        </is>
      </c>
      <c r="DH3" s="13" t="inlineStr">
        <is>
          <t>Entity input (only exists at entity level)</t>
        </is>
      </c>
      <c r="DI3" s="13" t="inlineStr">
        <is>
          <t>Entity input (only exists at entity level)</t>
        </is>
      </c>
      <c r="DJ3" s="13" t="inlineStr">
        <is>
          <t>Entity input (only exists at entity level)</t>
        </is>
      </c>
      <c r="DK3" s="13" t="inlineStr">
        <is>
          <t>Entity input (only exists at entity level)</t>
        </is>
      </c>
      <c r="DL3" s="13" t="inlineStr">
        <is>
          <t>Entity input (only exists at entity level)</t>
        </is>
      </c>
      <c r="DM3" s="13" t="inlineStr">
        <is>
          <t>Entity input (only exists at entity level)</t>
        </is>
      </c>
      <c r="DN3" s="13" t="inlineStr">
        <is>
          <t>Entity input (only exists at entity level)</t>
        </is>
      </c>
      <c r="DO3" s="13" t="inlineStr">
        <is>
          <t>Entity input (only exists at entity level)</t>
        </is>
      </c>
      <c r="DP3" s="13" t="inlineStr">
        <is>
          <t>Entity input (only exists at entity level)</t>
        </is>
      </c>
      <c r="DQ3" s="13" t="inlineStr">
        <is>
          <t>Entity input (only exists at entity level)</t>
        </is>
      </c>
      <c r="DR3" s="13" t="inlineStr">
        <is>
          <t>Entity input (only exists at entity level)</t>
        </is>
      </c>
      <c r="DS3" s="13" t="inlineStr">
        <is>
          <t>Entity input (only exists at entity level)</t>
        </is>
      </c>
      <c r="DT3" s="13" t="inlineStr">
        <is>
          <t>Entity input (only exists at entity level)</t>
        </is>
      </c>
      <c r="DU3" s="13" t="inlineStr">
        <is>
          <t>Entity input (only exists at entity level)</t>
        </is>
      </c>
      <c r="DV3" s="13" t="inlineStr">
        <is>
          <t>Entity input (only exists at entity level)</t>
        </is>
      </c>
      <c r="DW3" s="13" t="inlineStr">
        <is>
          <t>Entity input (only exists at entity level)</t>
        </is>
      </c>
      <c r="DX3" s="13" t="inlineStr">
        <is>
          <t>Entity input (only exists at entity level)</t>
        </is>
      </c>
      <c r="DY3" s="13" t="inlineStr">
        <is>
          <t>Entity input (only exists at entity level)</t>
        </is>
      </c>
      <c r="DZ3" s="13" t="inlineStr">
        <is>
          <t>Entity input (only exists at entity level)</t>
        </is>
      </c>
      <c r="EA3" s="13" t="inlineStr">
        <is>
          <t>Entity input (only exists at entity level)</t>
        </is>
      </c>
      <c r="EB3" s="13" t="inlineStr">
        <is>
          <t>Entity input (only exists at entity level)</t>
        </is>
      </c>
      <c r="EC3" s="13" t="inlineStr">
        <is>
          <t>Entity input (only exists at entity level)</t>
        </is>
      </c>
      <c r="ED3" s="13" t="inlineStr">
        <is>
          <t>Entity input (only exists at entity level)</t>
        </is>
      </c>
      <c r="EE3" s="13" t="inlineStr">
        <is>
          <t>Entity input (only exists at entity level)</t>
        </is>
      </c>
      <c r="EF3" s="13" t="inlineStr">
        <is>
          <t>Entity input (only exists at entity level)</t>
        </is>
      </c>
      <c r="EG3" s="13" t="inlineStr">
        <is>
          <t>Entity input (only exists at entity level)</t>
        </is>
      </c>
      <c r="EH3" s="13" t="inlineStr">
        <is>
          <t>Entity input (only exists at entity level)</t>
        </is>
      </c>
      <c r="EI3" s="13" t="inlineStr">
        <is>
          <t>Entity input (only exists at entity level)</t>
        </is>
      </c>
      <c r="EJ3" s="13" t="inlineStr">
        <is>
          <t>Entity input (only exists at entity level)</t>
        </is>
      </c>
      <c r="EK3" s="13" t="inlineStr">
        <is>
          <t>Entity input (only exists at entity level)</t>
        </is>
      </c>
      <c r="EL3" s="13" t="inlineStr">
        <is>
          <t>Entity input (only exists at entity level)</t>
        </is>
      </c>
      <c r="EM3" s="13" t="inlineStr">
        <is>
          <t>Entity input (only exists at entity level)</t>
        </is>
      </c>
      <c r="EN3" s="13" t="inlineStr">
        <is>
          <t>Entity input (only exists at entity level)</t>
        </is>
      </c>
      <c r="EO3" s="13" t="inlineStr">
        <is>
          <t>Entity input (only exists at entity level)</t>
        </is>
      </c>
      <c r="EP3" s="13" t="inlineStr">
        <is>
          <t>Entity input (only exists at entity level)</t>
        </is>
      </c>
      <c r="EQ3" s="13" t="inlineStr">
        <is>
          <t>Entity input (only exists at entity level)</t>
        </is>
      </c>
      <c r="ER3" s="13" t="inlineStr">
        <is>
          <t>Entity input (only exists at entity level)</t>
        </is>
      </c>
      <c r="ES3" s="13" t="inlineStr">
        <is>
          <t>Entity input (only exists at entity level)</t>
        </is>
      </c>
      <c r="ET3" s="13" t="inlineStr">
        <is>
          <t>Entity input (only exists at entity level)</t>
        </is>
      </c>
      <c r="EU3" s="13" t="inlineStr">
        <is>
          <t>Entity input (only exists at entity level)</t>
        </is>
      </c>
      <c r="EV3" s="13" t="inlineStr">
        <is>
          <t>Entity input (only exists at entity level)</t>
        </is>
      </c>
      <c r="EW3" s="13" t="inlineStr">
        <is>
          <t>Entity input (only exists at entity level)</t>
        </is>
      </c>
      <c r="EX3" s="13" t="inlineStr">
        <is>
          <t>Entity input (only exists at entity level)</t>
        </is>
      </c>
      <c r="EY3" s="13" t="inlineStr">
        <is>
          <t>Entity input (only exists at entity level)</t>
        </is>
      </c>
      <c r="EZ3" s="13" t="inlineStr">
        <is>
          <t>Entity input (only exists at entity level)</t>
        </is>
      </c>
      <c r="FA3" s="13" t="inlineStr">
        <is>
          <t>Entity input (only exists at entity level)</t>
        </is>
      </c>
      <c r="FB3" s="13" t="inlineStr">
        <is>
          <t>Entity input (only exists at entity level)</t>
        </is>
      </c>
      <c r="FC3" s="13" t="inlineStr">
        <is>
          <t>Entity input (only exists at entity level)</t>
        </is>
      </c>
      <c r="FD3" s="13" t="inlineStr">
        <is>
          <t>Entity input (only exists at entity level)</t>
        </is>
      </c>
      <c r="FE3" s="13" t="inlineStr">
        <is>
          <t>Entity input (only exists at entity level)</t>
        </is>
      </c>
      <c r="FF3" s="13" t="inlineStr">
        <is>
          <t>Entity input (only exists at entity level)</t>
        </is>
      </c>
      <c r="FG3" s="13" t="inlineStr">
        <is>
          <t>Entity input (only exists at entity level)</t>
        </is>
      </c>
      <c r="FH3" s="13" t="inlineStr">
        <is>
          <t>Entity input (only exists at entity level)</t>
        </is>
      </c>
      <c r="FI3" s="13" t="inlineStr">
        <is>
          <t>Entity input (only exists at entity level)</t>
        </is>
      </c>
      <c r="FJ3" s="13" t="inlineStr">
        <is>
          <t>Entity input (only exists at entity level)</t>
        </is>
      </c>
      <c r="FK3" s="13" t="inlineStr">
        <is>
          <t>Entity input (only exists at entity level)</t>
        </is>
      </c>
      <c r="FL3" s="13" t="inlineStr">
        <is>
          <t>Entity input (only exists at entity level)</t>
        </is>
      </c>
      <c r="FM3" s="13" t="inlineStr">
        <is>
          <t>Entity input (only exists at entity level)</t>
        </is>
      </c>
      <c r="FN3" s="13" t="inlineStr">
        <is>
          <t>Entity input (only exists at entity level)</t>
        </is>
      </c>
      <c r="FO3" s="13" t="inlineStr">
        <is>
          <t>Entity input (only exists at entity level)</t>
        </is>
      </c>
      <c r="FP3" s="13" t="inlineStr">
        <is>
          <t>Entity input (only exists at entity level)</t>
        </is>
      </c>
      <c r="FQ3" s="13" t="inlineStr">
        <is>
          <t>Entity input (only exists at entity level)</t>
        </is>
      </c>
      <c r="FR3" s="13" t="inlineStr">
        <is>
          <t>Entity input (only exists at entity level)</t>
        </is>
      </c>
      <c r="FS3" s="13" t="inlineStr">
        <is>
          <t>Entity input (only exists at entity level)</t>
        </is>
      </c>
      <c r="FT3" s="13" t="inlineStr">
        <is>
          <t>Entity input (only exists at entity level)</t>
        </is>
      </c>
      <c r="FU3" s="13" t="inlineStr">
        <is>
          <t>Entity input (only exists at entity level)</t>
        </is>
      </c>
    </row>
    <row r="4">
      <c r="A4" t="inlineStr">
        <is>
          <t>Group</t>
        </is>
      </c>
      <c r="B4" t="inlineStr">
        <is>
          <t>Entity A1</t>
        </is>
      </c>
      <c r="C4" t="inlineStr">
        <is>
          <t>2026-04</t>
        </is>
      </c>
      <c r="D4" t="n">
        <v>30</v>
      </c>
      <c r="E4" s="14">
        <f>SUM('Plant Inputs'!F4,'Plant Inputs'!F10,'Plant Inputs'!F16)</f>
        <v/>
      </c>
      <c r="F4" s="14">
        <f>SUM('Plant Inputs'!G4,'Plant Inputs'!G10,'Plant Inputs'!G16)</f>
        <v/>
      </c>
      <c r="G4" s="14">
        <f>SUM('Plant Inputs'!H4,'Plant Inputs'!H10,'Plant Inputs'!H16)</f>
        <v/>
      </c>
      <c r="H4" s="14">
        <f>SUM('Plant Inputs'!I4,'Plant Inputs'!I10,'Plant Inputs'!I16)</f>
        <v/>
      </c>
      <c r="I4" s="14">
        <f>SUM('Plant Inputs'!J4,'Plant Inputs'!J10,'Plant Inputs'!J16)</f>
        <v/>
      </c>
      <c r="J4" s="14">
        <f>SUM('Plant Inputs'!K4,'Plant Inputs'!K10,'Plant Inputs'!K16)</f>
        <v/>
      </c>
      <c r="K4" s="14">
        <f>SUM('Plant Inputs'!L4,'Plant Inputs'!L10,'Plant Inputs'!L16)</f>
        <v/>
      </c>
      <c r="L4" s="14">
        <f>SUM('Plant Inputs'!M4,'Plant Inputs'!M10,'Plant Inputs'!M16)</f>
        <v/>
      </c>
      <c r="M4" s="14">
        <f>SUM('Plant Inputs'!N4,'Plant Inputs'!N10,'Plant Inputs'!N16)</f>
        <v/>
      </c>
      <c r="N4" s="14">
        <f>SUM('Plant Inputs'!O4,'Plant Inputs'!O10,'Plant Inputs'!O16)</f>
        <v/>
      </c>
      <c r="O4" s="14">
        <f>SUM('Plant Inputs'!P4,'Plant Inputs'!P10,'Plant Inputs'!P16)</f>
        <v/>
      </c>
      <c r="P4" s="14">
        <f>SUM('Plant Inputs'!Q4,'Plant Inputs'!Q10,'Plant Inputs'!Q16)</f>
        <v/>
      </c>
      <c r="Q4" s="14">
        <f>SUM('Plant Inputs'!R4,'Plant Inputs'!R10,'Plant Inputs'!R16)</f>
        <v/>
      </c>
      <c r="R4" s="14">
        <f>SUM('Plant Inputs'!S4,'Plant Inputs'!S10,'Plant Inputs'!S16)</f>
        <v/>
      </c>
      <c r="S4" s="14">
        <f>SUM('Plant Inputs'!T4,'Plant Inputs'!T10,'Plant Inputs'!T16)</f>
        <v/>
      </c>
      <c r="T4" s="14">
        <f>SUM('Plant Inputs'!U4,'Plant Inputs'!U10,'Plant Inputs'!U16)</f>
        <v/>
      </c>
      <c r="U4" s="14">
        <f>SUM('Plant Inputs'!V4,'Plant Inputs'!V10,'Plant Inputs'!V16)</f>
        <v/>
      </c>
      <c r="V4" s="14">
        <f>SUM('Plant Inputs'!W4,'Plant Inputs'!W10,'Plant Inputs'!W16)</f>
        <v/>
      </c>
      <c r="W4" s="14">
        <f>SUM('Plant Inputs'!X4,'Plant Inputs'!X10,'Plant Inputs'!X16)</f>
        <v/>
      </c>
      <c r="X4" s="14">
        <f>SUM('Plant Inputs'!Y4,'Plant Inputs'!Y10,'Plant Inputs'!Y16)</f>
        <v/>
      </c>
      <c r="Y4" s="14">
        <f>SUM('Plant Inputs'!Z4,'Plant Inputs'!Z10,'Plant Inputs'!Z16)</f>
        <v/>
      </c>
      <c r="Z4" s="14">
        <f>SUM('Plant Inputs'!AA4,'Plant Inputs'!AA10,'Plant Inputs'!AA16)</f>
        <v/>
      </c>
      <c r="AA4" s="14">
        <f>SUM('Plant Inputs'!AB4,'Plant Inputs'!AB10,'Plant Inputs'!AB16)</f>
        <v/>
      </c>
      <c r="AB4" s="14">
        <f>SUM('Plant Inputs'!AC4,'Plant Inputs'!AC10,'Plant Inputs'!AC16)</f>
        <v/>
      </c>
      <c r="AC4" s="14">
        <f>SUM('Plant Inputs'!AD4,'Plant Inputs'!AD10,'Plant Inputs'!AD16)</f>
        <v/>
      </c>
      <c r="AD4" s="14">
        <f>SUM('Plant Inputs'!AE4,'Plant Inputs'!AE10,'Plant Inputs'!AE16)</f>
        <v/>
      </c>
      <c r="AE4" s="14">
        <f>SUM('Plant Inputs'!AF4,'Plant Inputs'!AF10,'Plant Inputs'!AF16)</f>
        <v/>
      </c>
      <c r="AF4" s="14">
        <f>SUM('Plant Inputs'!AG4,'Plant Inputs'!AG10,'Plant Inputs'!AG16)</f>
        <v/>
      </c>
      <c r="AG4" s="14">
        <f>SUM('Plant Inputs'!AH4,'Plant Inputs'!AH10,'Plant Inputs'!AH16)</f>
        <v/>
      </c>
      <c r="AH4" s="14">
        <f>SUM('Plant Inputs'!AI4,'Plant Inputs'!AI10,'Plant Inputs'!AI16)</f>
        <v/>
      </c>
      <c r="AI4" s="14">
        <f>SUM('Plant Inputs'!AJ4,'Plant Inputs'!AJ10,'Plant Inputs'!AJ16)</f>
        <v/>
      </c>
      <c r="AJ4" s="14">
        <f>SUM('Plant Inputs'!AK4,'Plant Inputs'!AK10,'Plant Inputs'!AK16)</f>
        <v/>
      </c>
      <c r="AK4" s="14">
        <f>SUM('Plant Inputs'!AL4,'Plant Inputs'!AL10,'Plant Inputs'!AL16)</f>
        <v/>
      </c>
      <c r="AL4" s="14">
        <f>SUM('Plant Inputs'!AM4,'Plant Inputs'!AM10,'Plant Inputs'!AM16)</f>
        <v/>
      </c>
      <c r="AM4" s="14">
        <f>SUM('Plant Inputs'!AN4,'Plant Inputs'!AN10,'Plant Inputs'!AN16)</f>
        <v/>
      </c>
      <c r="AN4" s="14">
        <f>SUM('Plant Inputs'!AO4,'Plant Inputs'!AO10,'Plant Inputs'!AO16)</f>
        <v/>
      </c>
      <c r="AO4" s="14">
        <f>SUM('Plant Inputs'!AP4,'Plant Inputs'!AP10,'Plant Inputs'!AP16)</f>
        <v/>
      </c>
      <c r="AP4" s="14">
        <f>SUM('Plant Inputs'!AQ4,'Plant Inputs'!AQ10,'Plant Inputs'!AQ16)</f>
        <v/>
      </c>
      <c r="AQ4" s="14">
        <f>SUM('Plant Inputs'!AR4,'Plant Inputs'!AR10,'Plant Inputs'!AR16)</f>
        <v/>
      </c>
      <c r="AR4" s="14">
        <f>MIN('Plant Inputs'!AS4,'Plant Inputs'!AS10,'Plant Inputs'!AS16)</f>
        <v/>
      </c>
      <c r="AS4" s="14">
        <f>SUM('Plant Inputs'!AT4,'Plant Inputs'!AT10,'Plant Inputs'!AT16)</f>
        <v/>
      </c>
      <c r="AT4" s="14">
        <f>SUM('Plant Inputs'!AU4,'Plant Inputs'!AU10,'Plant Inputs'!AU16)</f>
        <v/>
      </c>
      <c r="AU4" s="14">
        <f>SUM('Plant Inputs'!AV4,'Plant Inputs'!AV10,'Plant Inputs'!AV16)</f>
        <v/>
      </c>
      <c r="AV4" s="14">
        <f>SUM('Plant Inputs'!AW4,'Plant Inputs'!AW10,'Plant Inputs'!AW16)</f>
        <v/>
      </c>
      <c r="AW4" s="14">
        <f>SUM('Plant Inputs'!AX4,'Plant Inputs'!AX10,'Plant Inputs'!AX16)</f>
        <v/>
      </c>
      <c r="AX4" s="14">
        <f>SUM('Plant Inputs'!AY4,'Plant Inputs'!AY10,'Plant Inputs'!AY16)</f>
        <v/>
      </c>
      <c r="AY4" s="14">
        <f>SUM('Plant Inputs'!AZ4,'Plant Inputs'!AZ10,'Plant Inputs'!AZ16)</f>
        <v/>
      </c>
      <c r="AZ4" s="14">
        <f>SUM('Plant Inputs'!BA4,'Plant Inputs'!BA10,'Plant Inputs'!BA16)</f>
        <v/>
      </c>
      <c r="BA4" s="14">
        <f>SUM('Plant Inputs'!BB4,'Plant Inputs'!BB10,'Plant Inputs'!BB16)</f>
        <v/>
      </c>
      <c r="BB4" s="14">
        <f>SUM('Plant Inputs'!BC4,'Plant Inputs'!BC10,'Plant Inputs'!BC16)</f>
        <v/>
      </c>
      <c r="BC4" s="14">
        <f>SUM('Plant Inputs'!BD4,'Plant Inputs'!BD10,'Plant Inputs'!BD16)</f>
        <v/>
      </c>
      <c r="BD4" s="14">
        <f>SUM('Plant Inputs'!BE4,'Plant Inputs'!BE10,'Plant Inputs'!BE16)</f>
        <v/>
      </c>
      <c r="BE4" s="14">
        <f>SUM('Plant Inputs'!BF4,'Plant Inputs'!BF10,'Plant Inputs'!BF16)</f>
        <v/>
      </c>
      <c r="BF4" s="14">
        <f>SUM('Plant Inputs'!BG4,'Plant Inputs'!BG10,'Plant Inputs'!BG16)</f>
        <v/>
      </c>
      <c r="BG4" s="14">
        <f>SUM('Plant Inputs'!BH4,'Plant Inputs'!BH10,'Plant Inputs'!BH16)</f>
        <v/>
      </c>
      <c r="BH4" s="14">
        <f>SUM('Plant Inputs'!BI4,'Plant Inputs'!BI10,'Plant Inputs'!BI16)</f>
        <v/>
      </c>
      <c r="BI4" s="14">
        <f>SUM('Plant Inputs'!BJ4,'Plant Inputs'!BJ10,'Plant Inputs'!BJ16)</f>
        <v/>
      </c>
      <c r="BJ4" s="14">
        <f>SUM('Plant Inputs'!BK4,'Plant Inputs'!BK10,'Plant Inputs'!BK16)</f>
        <v/>
      </c>
      <c r="BK4" s="14">
        <f>SUM('Plant Inputs'!BL4,'Plant Inputs'!BL10,'Plant Inputs'!BL16)</f>
        <v/>
      </c>
      <c r="BL4" s="14">
        <f>SUM('Plant Inputs'!BM4,'Plant Inputs'!BM10,'Plant Inputs'!BM16)</f>
        <v/>
      </c>
      <c r="BM4" s="14">
        <f>SUM('Plant Inputs'!BN4,'Plant Inputs'!BN10,'Plant Inputs'!BN16)</f>
        <v/>
      </c>
      <c r="BN4" s="14">
        <f>SUM('Plant Inputs'!BO4,'Plant Inputs'!BO10,'Plant Inputs'!BO16)</f>
        <v/>
      </c>
      <c r="BO4" s="14">
        <f>SUM('Plant Inputs'!BP4,'Plant Inputs'!BP10,'Plant Inputs'!BP16)</f>
        <v/>
      </c>
      <c r="BP4" s="14">
        <f>SUM('Plant Inputs'!BQ4,'Plant Inputs'!BQ10,'Plant Inputs'!BQ16)</f>
        <v/>
      </c>
      <c r="BQ4" s="14">
        <f>SUM('Plant Inputs'!BR4,'Plant Inputs'!BR10,'Plant Inputs'!BR16)</f>
        <v/>
      </c>
      <c r="BR4" s="14">
        <f>SUM('Plant Inputs'!BS4,'Plant Inputs'!BS10,'Plant Inputs'!BS16)</f>
        <v/>
      </c>
      <c r="BS4" s="14">
        <f>MIN('Plant Inputs'!BT4,'Plant Inputs'!BT10,'Plant Inputs'!BT16)</f>
        <v/>
      </c>
      <c r="BT4" s="14">
        <f>SUM('Plant Inputs'!BU4,'Plant Inputs'!BU10,'Plant Inputs'!BU16)</f>
        <v/>
      </c>
      <c r="BU4" s="14">
        <f>SUM('Plant Inputs'!BV4,'Plant Inputs'!BV10,'Plant Inputs'!BV16)</f>
        <v/>
      </c>
      <c r="BV4" s="14">
        <f>SUM('Plant Inputs'!BW4,'Plant Inputs'!BW10,'Plant Inputs'!BW16)</f>
        <v/>
      </c>
      <c r="BW4" s="14">
        <f>SUM('Plant Inputs'!BX4,'Plant Inputs'!BX10,'Plant Inputs'!BX16)</f>
        <v/>
      </c>
      <c r="BX4" s="14">
        <f>SUM('Plant Inputs'!BY4,'Plant Inputs'!BY10,'Plant Inputs'!BY16)</f>
        <v/>
      </c>
      <c r="BY4" s="16" t="n">
        <v>54938.6</v>
      </c>
      <c r="BZ4" s="16" t="n">
        <v>35929.2</v>
      </c>
      <c r="CA4" s="16" t="n">
        <v>10800000</v>
      </c>
      <c r="CB4" s="16" t="n">
        <v>4736181</v>
      </c>
      <c r="CC4" s="16" t="n">
        <v>936181</v>
      </c>
      <c r="CD4" s="16" t="n">
        <v>436986.6</v>
      </c>
      <c r="CE4" s="16" t="n">
        <v>39900</v>
      </c>
      <c r="CF4" s="16" t="n">
        <v>442623.4</v>
      </c>
      <c r="CG4" s="16" t="n">
        <v>1357977.9</v>
      </c>
      <c r="CH4" s="16" t="n">
        <v>167684.4</v>
      </c>
      <c r="CI4" s="16" t="n">
        <v>1183542.5</v>
      </c>
      <c r="CJ4" s="16" t="n">
        <v>2022544.1</v>
      </c>
      <c r="CK4" s="16" t="n">
        <v>1234856.8</v>
      </c>
      <c r="CL4" s="16" t="n">
        <v>1354000.8</v>
      </c>
      <c r="CM4" s="16" t="n">
        <v>1181957.8</v>
      </c>
      <c r="CN4" s="16" t="n">
        <v>519.8</v>
      </c>
      <c r="CO4" s="16" t="n">
        <v>115844.2</v>
      </c>
      <c r="CP4" s="16" t="n">
        <v>115844.2</v>
      </c>
      <c r="CQ4" s="16" t="n">
        <v>418</v>
      </c>
      <c r="CR4" s="16" t="n">
        <v>18974</v>
      </c>
      <c r="CS4" s="16" t="n">
        <v>18810</v>
      </c>
      <c r="CT4" s="16" t="n">
        <v>0</v>
      </c>
      <c r="CU4" s="16" t="n">
        <v>997106.1</v>
      </c>
      <c r="CV4" s="16" t="n">
        <v>1011641.5</v>
      </c>
      <c r="CW4" s="16" t="n">
        <v>195977</v>
      </c>
      <c r="CX4" s="16" t="n">
        <v>3747391.4</v>
      </c>
      <c r="CY4" s="16" t="n">
        <v>1976093.2</v>
      </c>
      <c r="CZ4" s="16" t="n">
        <v>425331</v>
      </c>
      <c r="DA4" s="16" t="n">
        <v>314182</v>
      </c>
      <c r="DB4" s="16" t="n">
        <v>339270.5</v>
      </c>
      <c r="DC4" s="16" t="n">
        <v>248759</v>
      </c>
      <c r="DD4" s="16" t="n">
        <v>5649.1</v>
      </c>
      <c r="DE4" s="16" t="n">
        <v>6321.3</v>
      </c>
      <c r="DF4" s="16" t="n">
        <v>2572845.7</v>
      </c>
      <c r="DG4" s="16" t="n">
        <v>1994270.3</v>
      </c>
      <c r="DH4" s="16" t="n">
        <v>1000000</v>
      </c>
      <c r="DI4" s="16" t="n">
        <v>449046.9</v>
      </c>
      <c r="DJ4" s="16" t="n">
        <v>76777.10000000001</v>
      </c>
      <c r="DK4" s="16" t="n">
        <v>380000</v>
      </c>
      <c r="DL4" s="16" t="n">
        <v>22271.5</v>
      </c>
      <c r="DM4" s="16" t="n">
        <v>5</v>
      </c>
      <c r="DN4" s="16" t="n">
        <v>1</v>
      </c>
      <c r="DO4" s="16" t="n">
        <v>0</v>
      </c>
      <c r="DP4" s="16" t="n">
        <v>0</v>
      </c>
      <c r="DQ4" s="16" t="n">
        <v>7</v>
      </c>
      <c r="DR4" s="16" t="n">
        <v>21</v>
      </c>
      <c r="DS4" s="16" t="n">
        <v>5</v>
      </c>
      <c r="DT4" s="16" t="n">
        <v>2</v>
      </c>
      <c r="DU4" s="16" t="n">
        <v>1</v>
      </c>
      <c r="DV4" s="16" t="n">
        <v>60</v>
      </c>
      <c r="DW4" s="16" t="n">
        <v>18</v>
      </c>
      <c r="DX4" s="16" t="n">
        <v>4834.8</v>
      </c>
      <c r="DY4" s="16" t="n">
        <v>3489.6</v>
      </c>
      <c r="DZ4" s="16" t="n">
        <v>987.8</v>
      </c>
      <c r="EA4" s="16" t="n">
        <v>352.3</v>
      </c>
      <c r="EB4" s="16" t="n">
        <v>600.2</v>
      </c>
      <c r="EC4" s="16" t="n">
        <v>72</v>
      </c>
      <c r="ED4" s="16" t="n">
        <v>69</v>
      </c>
      <c r="EE4" s="16" t="n">
        <v>1</v>
      </c>
      <c r="EF4" s="16" t="n">
        <v>0</v>
      </c>
      <c r="EG4" s="16" t="n">
        <v>2</v>
      </c>
      <c r="EH4" s="16" t="n">
        <v>1</v>
      </c>
      <c r="EI4" s="16" t="n">
        <v>0</v>
      </c>
      <c r="EJ4" s="16" t="n">
        <v>1</v>
      </c>
      <c r="EK4" s="16" t="n">
        <v>1</v>
      </c>
      <c r="EL4" s="16" t="n">
        <v>0</v>
      </c>
      <c r="EM4" s="16" t="n">
        <v>0</v>
      </c>
      <c r="EN4" s="16" t="n">
        <v>0</v>
      </c>
      <c r="EO4" s="16" t="n">
        <v>0</v>
      </c>
      <c r="EP4" s="16" t="n">
        <v>0</v>
      </c>
      <c r="EQ4" s="16" t="n">
        <v>1</v>
      </c>
      <c r="ER4" s="16" t="n">
        <v>1</v>
      </c>
      <c r="ES4" s="16" t="n">
        <v>0</v>
      </c>
      <c r="ET4" s="16" t="n">
        <v>1</v>
      </c>
      <c r="EU4" s="16" t="n">
        <v>2</v>
      </c>
      <c r="EV4" s="16" t="n">
        <v>0</v>
      </c>
      <c r="EW4" s="16" t="n">
        <v>0</v>
      </c>
      <c r="EX4" s="16" t="n">
        <v>0</v>
      </c>
      <c r="EY4" s="16" t="n">
        <v>50</v>
      </c>
      <c r="EZ4" s="16" t="n">
        <v>43</v>
      </c>
      <c r="FA4" s="16" t="n">
        <v>2</v>
      </c>
      <c r="FB4" s="16" t="n">
        <v>55</v>
      </c>
      <c r="FC4" s="16" t="n">
        <v>28</v>
      </c>
      <c r="FD4" s="16" t="n">
        <v>23</v>
      </c>
      <c r="FE4" s="16" t="n">
        <v>26</v>
      </c>
      <c r="FF4" s="16" t="n">
        <v>0</v>
      </c>
      <c r="FG4" s="16" t="n">
        <v>1</v>
      </c>
      <c r="FH4" s="16" t="n">
        <v>0</v>
      </c>
      <c r="FI4" s="16" t="n">
        <v>482362</v>
      </c>
      <c r="FJ4" s="16" t="n">
        <v>479530</v>
      </c>
      <c r="FK4" s="16" t="n">
        <v>400</v>
      </c>
      <c r="FL4" s="16" t="n">
        <v>381</v>
      </c>
      <c r="FM4" s="16" t="n">
        <v>0</v>
      </c>
      <c r="FN4" s="16" t="n">
        <v>0</v>
      </c>
      <c r="FO4" s="16" t="n">
        <v>0</v>
      </c>
      <c r="FP4" s="16" t="n">
        <v>6</v>
      </c>
      <c r="FQ4" s="16" t="n">
        <v>17.8</v>
      </c>
      <c r="FR4" s="16" t="n">
        <v>4</v>
      </c>
      <c r="FS4" s="16" t="n">
        <v>0</v>
      </c>
      <c r="FT4" s="16" t="n">
        <v>0</v>
      </c>
      <c r="FU4" s="16" t="n">
        <v>0</v>
      </c>
    </row>
    <row r="5">
      <c r="A5" t="inlineStr">
        <is>
          <t>Group</t>
        </is>
      </c>
      <c r="B5" t="inlineStr">
        <is>
          <t>Entity A1</t>
        </is>
      </c>
      <c r="C5" t="inlineStr">
        <is>
          <t>2026-05</t>
        </is>
      </c>
      <c r="D5" t="n">
        <v>31</v>
      </c>
      <c r="E5" s="14">
        <f>SUM('Plant Inputs'!F5,'Plant Inputs'!F11,'Plant Inputs'!F17)</f>
        <v/>
      </c>
      <c r="F5" s="14">
        <f>SUM('Plant Inputs'!G5,'Plant Inputs'!G11,'Plant Inputs'!G17)</f>
        <v/>
      </c>
      <c r="G5" s="14">
        <f>SUM('Plant Inputs'!H5,'Plant Inputs'!H11,'Plant Inputs'!H17)</f>
        <v/>
      </c>
      <c r="H5" s="14">
        <f>SUM('Plant Inputs'!I5,'Plant Inputs'!I11,'Plant Inputs'!I17)</f>
        <v/>
      </c>
      <c r="I5" s="14">
        <f>SUM('Plant Inputs'!J5,'Plant Inputs'!J11,'Plant Inputs'!J17)</f>
        <v/>
      </c>
      <c r="J5" s="14">
        <f>SUM('Plant Inputs'!K5,'Plant Inputs'!K11,'Plant Inputs'!K17)</f>
        <v/>
      </c>
      <c r="K5" s="14">
        <f>SUM('Plant Inputs'!L5,'Plant Inputs'!L11,'Plant Inputs'!L17)</f>
        <v/>
      </c>
      <c r="L5" s="14">
        <f>SUM('Plant Inputs'!M5,'Plant Inputs'!M11,'Plant Inputs'!M17)</f>
        <v/>
      </c>
      <c r="M5" s="14">
        <f>SUM('Plant Inputs'!N5,'Plant Inputs'!N11,'Plant Inputs'!N17)</f>
        <v/>
      </c>
      <c r="N5" s="14">
        <f>SUM('Plant Inputs'!O5,'Plant Inputs'!O11,'Plant Inputs'!O17)</f>
        <v/>
      </c>
      <c r="O5" s="14">
        <f>SUM('Plant Inputs'!P5,'Plant Inputs'!P11,'Plant Inputs'!P17)</f>
        <v/>
      </c>
      <c r="P5" s="14">
        <f>SUM('Plant Inputs'!Q5,'Plant Inputs'!Q11,'Plant Inputs'!Q17)</f>
        <v/>
      </c>
      <c r="Q5" s="14">
        <f>SUM('Plant Inputs'!R5,'Plant Inputs'!R11,'Plant Inputs'!R17)</f>
        <v/>
      </c>
      <c r="R5" s="14">
        <f>SUM('Plant Inputs'!S5,'Plant Inputs'!S11,'Plant Inputs'!S17)</f>
        <v/>
      </c>
      <c r="S5" s="14">
        <f>SUM('Plant Inputs'!T5,'Plant Inputs'!T11,'Plant Inputs'!T17)</f>
        <v/>
      </c>
      <c r="T5" s="14">
        <f>SUM('Plant Inputs'!U5,'Plant Inputs'!U11,'Plant Inputs'!U17)</f>
        <v/>
      </c>
      <c r="U5" s="14">
        <f>SUM('Plant Inputs'!V5,'Plant Inputs'!V11,'Plant Inputs'!V17)</f>
        <v/>
      </c>
      <c r="V5" s="14">
        <f>SUM('Plant Inputs'!W5,'Plant Inputs'!W11,'Plant Inputs'!W17)</f>
        <v/>
      </c>
      <c r="W5" s="14">
        <f>SUM('Plant Inputs'!X5,'Plant Inputs'!X11,'Plant Inputs'!X17)</f>
        <v/>
      </c>
      <c r="X5" s="14">
        <f>SUM('Plant Inputs'!Y5,'Plant Inputs'!Y11,'Plant Inputs'!Y17)</f>
        <v/>
      </c>
      <c r="Y5" s="14">
        <f>SUM('Plant Inputs'!Z5,'Plant Inputs'!Z11,'Plant Inputs'!Z17)</f>
        <v/>
      </c>
      <c r="Z5" s="14">
        <f>SUM('Plant Inputs'!AA5,'Plant Inputs'!AA11,'Plant Inputs'!AA17)</f>
        <v/>
      </c>
      <c r="AA5" s="14">
        <f>SUM('Plant Inputs'!AB5,'Plant Inputs'!AB11,'Plant Inputs'!AB17)</f>
        <v/>
      </c>
      <c r="AB5" s="14">
        <f>SUM('Plant Inputs'!AC5,'Plant Inputs'!AC11,'Plant Inputs'!AC17)</f>
        <v/>
      </c>
      <c r="AC5" s="14">
        <f>SUM('Plant Inputs'!AD5,'Plant Inputs'!AD11,'Plant Inputs'!AD17)</f>
        <v/>
      </c>
      <c r="AD5" s="14">
        <f>SUM('Plant Inputs'!AE5,'Plant Inputs'!AE11,'Plant Inputs'!AE17)</f>
        <v/>
      </c>
      <c r="AE5" s="14">
        <f>SUM('Plant Inputs'!AF5,'Plant Inputs'!AF11,'Plant Inputs'!AF17)</f>
        <v/>
      </c>
      <c r="AF5" s="14">
        <f>SUM('Plant Inputs'!AG5,'Plant Inputs'!AG11,'Plant Inputs'!AG17)</f>
        <v/>
      </c>
      <c r="AG5" s="14">
        <f>SUM('Plant Inputs'!AH5,'Plant Inputs'!AH11,'Plant Inputs'!AH17)</f>
        <v/>
      </c>
      <c r="AH5" s="14">
        <f>SUM('Plant Inputs'!AI5,'Plant Inputs'!AI11,'Plant Inputs'!AI17)</f>
        <v/>
      </c>
      <c r="AI5" s="14">
        <f>SUM('Plant Inputs'!AJ5,'Plant Inputs'!AJ11,'Plant Inputs'!AJ17)</f>
        <v/>
      </c>
      <c r="AJ5" s="14">
        <f>SUM('Plant Inputs'!AK5,'Plant Inputs'!AK11,'Plant Inputs'!AK17)</f>
        <v/>
      </c>
      <c r="AK5" s="14">
        <f>SUM('Plant Inputs'!AL5,'Plant Inputs'!AL11,'Plant Inputs'!AL17)</f>
        <v/>
      </c>
      <c r="AL5" s="14">
        <f>SUM('Plant Inputs'!AM5,'Plant Inputs'!AM11,'Plant Inputs'!AM17)</f>
        <v/>
      </c>
      <c r="AM5" s="14">
        <f>SUM('Plant Inputs'!AN5,'Plant Inputs'!AN11,'Plant Inputs'!AN17)</f>
        <v/>
      </c>
      <c r="AN5" s="14">
        <f>SUM('Plant Inputs'!AO5,'Plant Inputs'!AO11,'Plant Inputs'!AO17)</f>
        <v/>
      </c>
      <c r="AO5" s="14">
        <f>SUM('Plant Inputs'!AP5,'Plant Inputs'!AP11,'Plant Inputs'!AP17)</f>
        <v/>
      </c>
      <c r="AP5" s="14">
        <f>SUM('Plant Inputs'!AQ5,'Plant Inputs'!AQ11,'Plant Inputs'!AQ17)</f>
        <v/>
      </c>
      <c r="AQ5" s="14">
        <f>SUM('Plant Inputs'!AR5,'Plant Inputs'!AR11,'Plant Inputs'!AR17)</f>
        <v/>
      </c>
      <c r="AR5" s="14">
        <f>MIN('Plant Inputs'!AS5,'Plant Inputs'!AS11,'Plant Inputs'!AS17)</f>
        <v/>
      </c>
      <c r="AS5" s="14">
        <f>SUM('Plant Inputs'!AT5,'Plant Inputs'!AT11,'Plant Inputs'!AT17)</f>
        <v/>
      </c>
      <c r="AT5" s="14">
        <f>SUM('Plant Inputs'!AU5,'Plant Inputs'!AU11,'Plant Inputs'!AU17)</f>
        <v/>
      </c>
      <c r="AU5" s="14">
        <f>SUM('Plant Inputs'!AV5,'Plant Inputs'!AV11,'Plant Inputs'!AV17)</f>
        <v/>
      </c>
      <c r="AV5" s="14">
        <f>SUM('Plant Inputs'!AW5,'Plant Inputs'!AW11,'Plant Inputs'!AW17)</f>
        <v/>
      </c>
      <c r="AW5" s="14">
        <f>SUM('Plant Inputs'!AX5,'Plant Inputs'!AX11,'Plant Inputs'!AX17)</f>
        <v/>
      </c>
      <c r="AX5" s="14">
        <f>SUM('Plant Inputs'!AY5,'Plant Inputs'!AY11,'Plant Inputs'!AY17)</f>
        <v/>
      </c>
      <c r="AY5" s="14">
        <f>SUM('Plant Inputs'!AZ5,'Plant Inputs'!AZ11,'Plant Inputs'!AZ17)</f>
        <v/>
      </c>
      <c r="AZ5" s="14">
        <f>SUM('Plant Inputs'!BA5,'Plant Inputs'!BA11,'Plant Inputs'!BA17)</f>
        <v/>
      </c>
      <c r="BA5" s="14">
        <f>SUM('Plant Inputs'!BB5,'Plant Inputs'!BB11,'Plant Inputs'!BB17)</f>
        <v/>
      </c>
      <c r="BB5" s="14">
        <f>SUM('Plant Inputs'!BC5,'Plant Inputs'!BC11,'Plant Inputs'!BC17)</f>
        <v/>
      </c>
      <c r="BC5" s="14">
        <f>SUM('Plant Inputs'!BD5,'Plant Inputs'!BD11,'Plant Inputs'!BD17)</f>
        <v/>
      </c>
      <c r="BD5" s="14">
        <f>SUM('Plant Inputs'!BE5,'Plant Inputs'!BE11,'Plant Inputs'!BE17)</f>
        <v/>
      </c>
      <c r="BE5" s="14">
        <f>SUM('Plant Inputs'!BF5,'Plant Inputs'!BF11,'Plant Inputs'!BF17)</f>
        <v/>
      </c>
      <c r="BF5" s="14">
        <f>SUM('Plant Inputs'!BG5,'Plant Inputs'!BG11,'Plant Inputs'!BG17)</f>
        <v/>
      </c>
      <c r="BG5" s="14">
        <f>SUM('Plant Inputs'!BH5,'Plant Inputs'!BH11,'Plant Inputs'!BH17)</f>
        <v/>
      </c>
      <c r="BH5" s="14">
        <f>SUM('Plant Inputs'!BI5,'Plant Inputs'!BI11,'Plant Inputs'!BI17)</f>
        <v/>
      </c>
      <c r="BI5" s="14">
        <f>SUM('Plant Inputs'!BJ5,'Plant Inputs'!BJ11,'Plant Inputs'!BJ17)</f>
        <v/>
      </c>
      <c r="BJ5" s="14">
        <f>SUM('Plant Inputs'!BK5,'Plant Inputs'!BK11,'Plant Inputs'!BK17)</f>
        <v/>
      </c>
      <c r="BK5" s="14">
        <f>SUM('Plant Inputs'!BL5,'Plant Inputs'!BL11,'Plant Inputs'!BL17)</f>
        <v/>
      </c>
      <c r="BL5" s="14">
        <f>SUM('Plant Inputs'!BM5,'Plant Inputs'!BM11,'Plant Inputs'!BM17)</f>
        <v/>
      </c>
      <c r="BM5" s="14">
        <f>SUM('Plant Inputs'!BN5,'Plant Inputs'!BN11,'Plant Inputs'!BN17)</f>
        <v/>
      </c>
      <c r="BN5" s="14">
        <f>SUM('Plant Inputs'!BO5,'Plant Inputs'!BO11,'Plant Inputs'!BO17)</f>
        <v/>
      </c>
      <c r="BO5" s="14">
        <f>SUM('Plant Inputs'!BP5,'Plant Inputs'!BP11,'Plant Inputs'!BP17)</f>
        <v/>
      </c>
      <c r="BP5" s="14">
        <f>SUM('Plant Inputs'!BQ5,'Plant Inputs'!BQ11,'Plant Inputs'!BQ17)</f>
        <v/>
      </c>
      <c r="BQ5" s="14">
        <f>SUM('Plant Inputs'!BR5,'Plant Inputs'!BR11,'Plant Inputs'!BR17)</f>
        <v/>
      </c>
      <c r="BR5" s="14">
        <f>SUM('Plant Inputs'!BS5,'Plant Inputs'!BS11,'Plant Inputs'!BS17)</f>
        <v/>
      </c>
      <c r="BS5" s="14">
        <f>MIN('Plant Inputs'!BT5,'Plant Inputs'!BT11,'Plant Inputs'!BT17)</f>
        <v/>
      </c>
      <c r="BT5" s="14">
        <f>SUM('Plant Inputs'!BU5,'Plant Inputs'!BU11,'Plant Inputs'!BU17)</f>
        <v/>
      </c>
      <c r="BU5" s="14">
        <f>SUM('Plant Inputs'!BV5,'Plant Inputs'!BV11,'Plant Inputs'!BV17)</f>
        <v/>
      </c>
      <c r="BV5" s="14">
        <f>SUM('Plant Inputs'!BW5,'Plant Inputs'!BW11,'Plant Inputs'!BW17)</f>
        <v/>
      </c>
      <c r="BW5" s="14">
        <f>SUM('Plant Inputs'!BX5,'Plant Inputs'!BX11,'Plant Inputs'!BX17)</f>
        <v/>
      </c>
      <c r="BX5" s="14">
        <f>SUM('Plant Inputs'!BY5,'Plant Inputs'!BY11,'Plant Inputs'!BY17)</f>
        <v/>
      </c>
      <c r="BY5" s="16" t="n">
        <v>50704.9</v>
      </c>
      <c r="BZ5" s="16" t="n">
        <v>14276.1</v>
      </c>
      <c r="CA5" s="16" t="n">
        <v>10843200</v>
      </c>
      <c r="CB5" s="16" t="n">
        <v>4689727.1</v>
      </c>
      <c r="CC5" s="16" t="n">
        <v>927727.1</v>
      </c>
      <c r="CD5" s="16" t="n">
        <v>438182.1</v>
      </c>
      <c r="CE5" s="16" t="n">
        <v>39501</v>
      </c>
      <c r="CF5" s="16" t="n">
        <v>484600.2</v>
      </c>
      <c r="CG5" s="16" t="n">
        <v>1326721.5</v>
      </c>
      <c r="CH5" s="16" t="n">
        <v>67821.89999999999</v>
      </c>
      <c r="CI5" s="16" t="n">
        <v>1128801.3</v>
      </c>
      <c r="CJ5" s="16" t="n">
        <v>1918893.1</v>
      </c>
      <c r="CK5" s="16" t="n">
        <v>1294064.9</v>
      </c>
      <c r="CL5" s="16" t="n">
        <v>1295301.1</v>
      </c>
      <c r="CM5" s="16" t="n">
        <v>1117881.8</v>
      </c>
      <c r="CN5" s="16" t="n">
        <v>812.1</v>
      </c>
      <c r="CO5" s="16" t="n">
        <v>123248</v>
      </c>
      <c r="CP5" s="16" t="n">
        <v>123248</v>
      </c>
      <c r="CQ5" s="16" t="n">
        <v>382</v>
      </c>
      <c r="CR5" s="16" t="n">
        <v>17264</v>
      </c>
      <c r="CS5" s="16" t="n">
        <v>17190</v>
      </c>
      <c r="CT5" s="16" t="n">
        <v>0</v>
      </c>
      <c r="CU5" s="16" t="n">
        <v>403490.1</v>
      </c>
      <c r="CV5" s="16" t="n">
        <v>409969.6</v>
      </c>
      <c r="CW5" s="16" t="n">
        <v>76015</v>
      </c>
      <c r="CX5" s="16" t="n">
        <v>3729497.8</v>
      </c>
      <c r="CY5" s="16" t="n">
        <v>797457</v>
      </c>
      <c r="CZ5" s="16" t="n">
        <v>402268.2</v>
      </c>
      <c r="DA5" s="16" t="n">
        <v>277847.9</v>
      </c>
      <c r="DB5" s="16" t="n">
        <v>324638.2</v>
      </c>
      <c r="DC5" s="16" t="n">
        <v>229566.1</v>
      </c>
      <c r="DD5" s="16" t="n">
        <v>3941.5</v>
      </c>
      <c r="DE5" s="16" t="n">
        <v>4320.5</v>
      </c>
      <c r="DF5" s="16" t="n">
        <v>2519902.8</v>
      </c>
      <c r="DG5" s="16" t="n">
        <v>1969944</v>
      </c>
      <c r="DH5" s="16" t="n">
        <v>1000000</v>
      </c>
      <c r="DI5" s="16" t="n">
        <v>500855.7</v>
      </c>
      <c r="DJ5" s="16" t="n">
        <v>75177.60000000001</v>
      </c>
      <c r="DK5" s="16" t="n">
        <v>422000</v>
      </c>
      <c r="DL5" s="16" t="n">
        <v>25527.6</v>
      </c>
      <c r="DM5" s="16" t="n">
        <v>5</v>
      </c>
      <c r="DN5" s="16" t="n">
        <v>1</v>
      </c>
      <c r="DO5" s="16" t="n">
        <v>0</v>
      </c>
      <c r="DP5" s="16" t="n">
        <v>0</v>
      </c>
      <c r="DQ5" s="16" t="n">
        <v>6</v>
      </c>
      <c r="DR5" s="16" t="n">
        <v>17</v>
      </c>
      <c r="DS5" s="16" t="n">
        <v>5</v>
      </c>
      <c r="DT5" s="16" t="n">
        <v>2</v>
      </c>
      <c r="DU5" s="16" t="n">
        <v>1</v>
      </c>
      <c r="DV5" s="16" t="n">
        <v>60</v>
      </c>
      <c r="DW5" s="16" t="n">
        <v>21</v>
      </c>
      <c r="DX5" s="16" t="n">
        <v>5163.3</v>
      </c>
      <c r="DY5" s="16" t="n">
        <v>3608.4</v>
      </c>
      <c r="DZ5" s="16" t="n">
        <v>951.1</v>
      </c>
      <c r="EA5" s="16" t="n">
        <v>446.1</v>
      </c>
      <c r="EB5" s="16" t="n">
        <v>650.5</v>
      </c>
      <c r="EC5" s="16" t="n">
        <v>72</v>
      </c>
      <c r="ED5" s="16" t="n">
        <v>68</v>
      </c>
      <c r="EE5" s="16" t="n">
        <v>2</v>
      </c>
      <c r="EF5" s="16" t="n">
        <v>0</v>
      </c>
      <c r="EG5" s="16" t="n">
        <v>2</v>
      </c>
      <c r="EH5" s="16" t="n">
        <v>0</v>
      </c>
      <c r="EI5" s="16" t="n">
        <v>0</v>
      </c>
      <c r="EJ5" s="16" t="n">
        <v>1</v>
      </c>
      <c r="EK5" s="16" t="n">
        <v>0</v>
      </c>
      <c r="EL5" s="16" t="n">
        <v>0</v>
      </c>
      <c r="EM5" s="16" t="n">
        <v>0</v>
      </c>
      <c r="EN5" s="16" t="n">
        <v>0</v>
      </c>
      <c r="EO5" s="16" t="n">
        <v>0</v>
      </c>
      <c r="EP5" s="16" t="n">
        <v>0</v>
      </c>
      <c r="EQ5" s="16" t="n">
        <v>0</v>
      </c>
      <c r="ER5" s="16" t="n">
        <v>1</v>
      </c>
      <c r="ES5" s="16" t="n">
        <v>0</v>
      </c>
      <c r="ET5" s="16" t="n">
        <v>1</v>
      </c>
      <c r="EU5" s="16" t="n">
        <v>3</v>
      </c>
      <c r="EV5" s="16" t="n">
        <v>0</v>
      </c>
      <c r="EW5" s="16" t="n">
        <v>0</v>
      </c>
      <c r="EX5" s="16" t="n">
        <v>0</v>
      </c>
      <c r="EY5" s="16" t="n">
        <v>50</v>
      </c>
      <c r="EZ5" s="16" t="n">
        <v>43</v>
      </c>
      <c r="FA5" s="16" t="n">
        <v>3</v>
      </c>
      <c r="FB5" s="16" t="n">
        <v>85</v>
      </c>
      <c r="FC5" s="16" t="n">
        <v>28</v>
      </c>
      <c r="FD5" s="16" t="n">
        <v>23</v>
      </c>
      <c r="FE5" s="16" t="n">
        <v>26</v>
      </c>
      <c r="FF5" s="16" t="n">
        <v>0</v>
      </c>
      <c r="FG5" s="16" t="n">
        <v>1</v>
      </c>
      <c r="FH5" s="16" t="n">
        <v>0</v>
      </c>
      <c r="FI5" s="16" t="n">
        <v>488893</v>
      </c>
      <c r="FJ5" s="16" t="n">
        <v>485890</v>
      </c>
      <c r="FK5" s="16" t="n">
        <v>400</v>
      </c>
      <c r="FL5" s="16" t="n">
        <v>379</v>
      </c>
      <c r="FM5" s="16" t="n">
        <v>0</v>
      </c>
      <c r="FN5" s="16" t="n">
        <v>0</v>
      </c>
      <c r="FO5" s="16" t="n">
        <v>0</v>
      </c>
      <c r="FP5" s="16" t="n">
        <v>4</v>
      </c>
      <c r="FQ5" s="16" t="n">
        <v>11.6</v>
      </c>
      <c r="FR5" s="16" t="n">
        <v>3</v>
      </c>
      <c r="FS5" s="16" t="n">
        <v>0</v>
      </c>
      <c r="FT5" s="16" t="n">
        <v>0</v>
      </c>
      <c r="FU5" s="16" t="n">
        <v>0</v>
      </c>
    </row>
    <row r="6">
      <c r="A6" t="inlineStr">
        <is>
          <t>Group</t>
        </is>
      </c>
      <c r="B6" t="inlineStr">
        <is>
          <t>Entity A1</t>
        </is>
      </c>
      <c r="C6" t="inlineStr">
        <is>
          <t>2026-06</t>
        </is>
      </c>
      <c r="D6" t="n">
        <v>30</v>
      </c>
      <c r="E6" s="14">
        <f>SUM('Plant Inputs'!F6,'Plant Inputs'!F12,'Plant Inputs'!F18)</f>
        <v/>
      </c>
      <c r="F6" s="14">
        <f>SUM('Plant Inputs'!G6,'Plant Inputs'!G12,'Plant Inputs'!G18)</f>
        <v/>
      </c>
      <c r="G6" s="14">
        <f>SUM('Plant Inputs'!H6,'Plant Inputs'!H12,'Plant Inputs'!H18)</f>
        <v/>
      </c>
      <c r="H6" s="14">
        <f>SUM('Plant Inputs'!I6,'Plant Inputs'!I12,'Plant Inputs'!I18)</f>
        <v/>
      </c>
      <c r="I6" s="14">
        <f>SUM('Plant Inputs'!J6,'Plant Inputs'!J12,'Plant Inputs'!J18)</f>
        <v/>
      </c>
      <c r="J6" s="14">
        <f>SUM('Plant Inputs'!K6,'Plant Inputs'!K12,'Plant Inputs'!K18)</f>
        <v/>
      </c>
      <c r="K6" s="14">
        <f>SUM('Plant Inputs'!L6,'Plant Inputs'!L12,'Plant Inputs'!L18)</f>
        <v/>
      </c>
      <c r="L6" s="14">
        <f>SUM('Plant Inputs'!M6,'Plant Inputs'!M12,'Plant Inputs'!M18)</f>
        <v/>
      </c>
      <c r="M6" s="14">
        <f>SUM('Plant Inputs'!N6,'Plant Inputs'!N12,'Plant Inputs'!N18)</f>
        <v/>
      </c>
      <c r="N6" s="14">
        <f>SUM('Plant Inputs'!O6,'Plant Inputs'!O12,'Plant Inputs'!O18)</f>
        <v/>
      </c>
      <c r="O6" s="14">
        <f>SUM('Plant Inputs'!P6,'Plant Inputs'!P12,'Plant Inputs'!P18)</f>
        <v/>
      </c>
      <c r="P6" s="14">
        <f>SUM('Plant Inputs'!Q6,'Plant Inputs'!Q12,'Plant Inputs'!Q18)</f>
        <v/>
      </c>
      <c r="Q6" s="14">
        <f>SUM('Plant Inputs'!R6,'Plant Inputs'!R12,'Plant Inputs'!R18)</f>
        <v/>
      </c>
      <c r="R6" s="14">
        <f>SUM('Plant Inputs'!S6,'Plant Inputs'!S12,'Plant Inputs'!S18)</f>
        <v/>
      </c>
      <c r="S6" s="14">
        <f>SUM('Plant Inputs'!T6,'Plant Inputs'!T12,'Plant Inputs'!T18)</f>
        <v/>
      </c>
      <c r="T6" s="14">
        <f>SUM('Plant Inputs'!U6,'Plant Inputs'!U12,'Plant Inputs'!U18)</f>
        <v/>
      </c>
      <c r="U6" s="14">
        <f>SUM('Plant Inputs'!V6,'Plant Inputs'!V12,'Plant Inputs'!V18)</f>
        <v/>
      </c>
      <c r="V6" s="14">
        <f>SUM('Plant Inputs'!W6,'Plant Inputs'!W12,'Plant Inputs'!W18)</f>
        <v/>
      </c>
      <c r="W6" s="14">
        <f>SUM('Plant Inputs'!X6,'Plant Inputs'!X12,'Plant Inputs'!X18)</f>
        <v/>
      </c>
      <c r="X6" s="14">
        <f>SUM('Plant Inputs'!Y6,'Plant Inputs'!Y12,'Plant Inputs'!Y18)</f>
        <v/>
      </c>
      <c r="Y6" s="14">
        <f>SUM('Plant Inputs'!Z6,'Plant Inputs'!Z12,'Plant Inputs'!Z18)</f>
        <v/>
      </c>
      <c r="Z6" s="14">
        <f>SUM('Plant Inputs'!AA6,'Plant Inputs'!AA12,'Plant Inputs'!AA18)</f>
        <v/>
      </c>
      <c r="AA6" s="14">
        <f>SUM('Plant Inputs'!AB6,'Plant Inputs'!AB12,'Plant Inputs'!AB18)</f>
        <v/>
      </c>
      <c r="AB6" s="14">
        <f>SUM('Plant Inputs'!AC6,'Plant Inputs'!AC12,'Plant Inputs'!AC18)</f>
        <v/>
      </c>
      <c r="AC6" s="14">
        <f>SUM('Plant Inputs'!AD6,'Plant Inputs'!AD12,'Plant Inputs'!AD18)</f>
        <v/>
      </c>
      <c r="AD6" s="14">
        <f>SUM('Plant Inputs'!AE6,'Plant Inputs'!AE12,'Plant Inputs'!AE18)</f>
        <v/>
      </c>
      <c r="AE6" s="14">
        <f>SUM('Plant Inputs'!AF6,'Plant Inputs'!AF12,'Plant Inputs'!AF18)</f>
        <v/>
      </c>
      <c r="AF6" s="14">
        <f>SUM('Plant Inputs'!AG6,'Plant Inputs'!AG12,'Plant Inputs'!AG18)</f>
        <v/>
      </c>
      <c r="AG6" s="14">
        <f>SUM('Plant Inputs'!AH6,'Plant Inputs'!AH12,'Plant Inputs'!AH18)</f>
        <v/>
      </c>
      <c r="AH6" s="14">
        <f>SUM('Plant Inputs'!AI6,'Plant Inputs'!AI12,'Plant Inputs'!AI18)</f>
        <v/>
      </c>
      <c r="AI6" s="14">
        <f>SUM('Plant Inputs'!AJ6,'Plant Inputs'!AJ12,'Plant Inputs'!AJ18)</f>
        <v/>
      </c>
      <c r="AJ6" s="14">
        <f>SUM('Plant Inputs'!AK6,'Plant Inputs'!AK12,'Plant Inputs'!AK18)</f>
        <v/>
      </c>
      <c r="AK6" s="14">
        <f>SUM('Plant Inputs'!AL6,'Plant Inputs'!AL12,'Plant Inputs'!AL18)</f>
        <v/>
      </c>
      <c r="AL6" s="14">
        <f>SUM('Plant Inputs'!AM6,'Plant Inputs'!AM12,'Plant Inputs'!AM18)</f>
        <v/>
      </c>
      <c r="AM6" s="14">
        <f>SUM('Plant Inputs'!AN6,'Plant Inputs'!AN12,'Plant Inputs'!AN18)</f>
        <v/>
      </c>
      <c r="AN6" s="14">
        <f>SUM('Plant Inputs'!AO6,'Plant Inputs'!AO12,'Plant Inputs'!AO18)</f>
        <v/>
      </c>
      <c r="AO6" s="14">
        <f>SUM('Plant Inputs'!AP6,'Plant Inputs'!AP12,'Plant Inputs'!AP18)</f>
        <v/>
      </c>
      <c r="AP6" s="14">
        <f>SUM('Plant Inputs'!AQ6,'Plant Inputs'!AQ12,'Plant Inputs'!AQ18)</f>
        <v/>
      </c>
      <c r="AQ6" s="14">
        <f>SUM('Plant Inputs'!AR6,'Plant Inputs'!AR12,'Plant Inputs'!AR18)</f>
        <v/>
      </c>
      <c r="AR6" s="14">
        <f>MIN('Plant Inputs'!AS6,'Plant Inputs'!AS12,'Plant Inputs'!AS18)</f>
        <v/>
      </c>
      <c r="AS6" s="14">
        <f>SUM('Plant Inputs'!AT6,'Plant Inputs'!AT12,'Plant Inputs'!AT18)</f>
        <v/>
      </c>
      <c r="AT6" s="14">
        <f>SUM('Plant Inputs'!AU6,'Plant Inputs'!AU12,'Plant Inputs'!AU18)</f>
        <v/>
      </c>
      <c r="AU6" s="14">
        <f>SUM('Plant Inputs'!AV6,'Plant Inputs'!AV12,'Plant Inputs'!AV18)</f>
        <v/>
      </c>
      <c r="AV6" s="14">
        <f>SUM('Plant Inputs'!AW6,'Plant Inputs'!AW12,'Plant Inputs'!AW18)</f>
        <v/>
      </c>
      <c r="AW6" s="14">
        <f>SUM('Plant Inputs'!AX6,'Plant Inputs'!AX12,'Plant Inputs'!AX18)</f>
        <v/>
      </c>
      <c r="AX6" s="14">
        <f>SUM('Plant Inputs'!AY6,'Plant Inputs'!AY12,'Plant Inputs'!AY18)</f>
        <v/>
      </c>
      <c r="AY6" s="14">
        <f>SUM('Plant Inputs'!AZ6,'Plant Inputs'!AZ12,'Plant Inputs'!AZ18)</f>
        <v/>
      </c>
      <c r="AZ6" s="14">
        <f>SUM('Plant Inputs'!BA6,'Plant Inputs'!BA12,'Plant Inputs'!BA18)</f>
        <v/>
      </c>
      <c r="BA6" s="14">
        <f>SUM('Plant Inputs'!BB6,'Plant Inputs'!BB12,'Plant Inputs'!BB18)</f>
        <v/>
      </c>
      <c r="BB6" s="14">
        <f>SUM('Plant Inputs'!BC6,'Plant Inputs'!BC12,'Plant Inputs'!BC18)</f>
        <v/>
      </c>
      <c r="BC6" s="14">
        <f>SUM('Plant Inputs'!BD6,'Plant Inputs'!BD12,'Plant Inputs'!BD18)</f>
        <v/>
      </c>
      <c r="BD6" s="14">
        <f>SUM('Plant Inputs'!BE6,'Plant Inputs'!BE12,'Plant Inputs'!BE18)</f>
        <v/>
      </c>
      <c r="BE6" s="14">
        <f>SUM('Plant Inputs'!BF6,'Plant Inputs'!BF12,'Plant Inputs'!BF18)</f>
        <v/>
      </c>
      <c r="BF6" s="14">
        <f>SUM('Plant Inputs'!BG6,'Plant Inputs'!BG12,'Plant Inputs'!BG18)</f>
        <v/>
      </c>
      <c r="BG6" s="14">
        <f>SUM('Plant Inputs'!BH6,'Plant Inputs'!BH12,'Plant Inputs'!BH18)</f>
        <v/>
      </c>
      <c r="BH6" s="14">
        <f>SUM('Plant Inputs'!BI6,'Plant Inputs'!BI12,'Plant Inputs'!BI18)</f>
        <v/>
      </c>
      <c r="BI6" s="14">
        <f>SUM('Plant Inputs'!BJ6,'Plant Inputs'!BJ12,'Plant Inputs'!BJ18)</f>
        <v/>
      </c>
      <c r="BJ6" s="14">
        <f>SUM('Plant Inputs'!BK6,'Plant Inputs'!BK12,'Plant Inputs'!BK18)</f>
        <v/>
      </c>
      <c r="BK6" s="14">
        <f>SUM('Plant Inputs'!BL6,'Plant Inputs'!BL12,'Plant Inputs'!BL18)</f>
        <v/>
      </c>
      <c r="BL6" s="14">
        <f>SUM('Plant Inputs'!BM6,'Plant Inputs'!BM12,'Plant Inputs'!BM18)</f>
        <v/>
      </c>
      <c r="BM6" s="14">
        <f>SUM('Plant Inputs'!BN6,'Plant Inputs'!BN12,'Plant Inputs'!BN18)</f>
        <v/>
      </c>
      <c r="BN6" s="14">
        <f>SUM('Plant Inputs'!BO6,'Plant Inputs'!BO12,'Plant Inputs'!BO18)</f>
        <v/>
      </c>
      <c r="BO6" s="14">
        <f>SUM('Plant Inputs'!BP6,'Plant Inputs'!BP12,'Plant Inputs'!BP18)</f>
        <v/>
      </c>
      <c r="BP6" s="14">
        <f>SUM('Plant Inputs'!BQ6,'Plant Inputs'!BQ12,'Plant Inputs'!BQ18)</f>
        <v/>
      </c>
      <c r="BQ6" s="14">
        <f>SUM('Plant Inputs'!BR6,'Plant Inputs'!BR12,'Plant Inputs'!BR18)</f>
        <v/>
      </c>
      <c r="BR6" s="14">
        <f>SUM('Plant Inputs'!BS6,'Plant Inputs'!BS12,'Plant Inputs'!BS18)</f>
        <v/>
      </c>
      <c r="BS6" s="14">
        <f>MIN('Plant Inputs'!BT6,'Plant Inputs'!BT12,'Plant Inputs'!BT18)</f>
        <v/>
      </c>
      <c r="BT6" s="14">
        <f>SUM('Plant Inputs'!BU6,'Plant Inputs'!BU12,'Plant Inputs'!BU18)</f>
        <v/>
      </c>
      <c r="BU6" s="14">
        <f>SUM('Plant Inputs'!BV6,'Plant Inputs'!BV12,'Plant Inputs'!BV18)</f>
        <v/>
      </c>
      <c r="BV6" s="14">
        <f>SUM('Plant Inputs'!BW6,'Plant Inputs'!BW12,'Plant Inputs'!BW18)</f>
        <v/>
      </c>
      <c r="BW6" s="14">
        <f>SUM('Plant Inputs'!BX6,'Plant Inputs'!BX12,'Plant Inputs'!BX18)</f>
        <v/>
      </c>
      <c r="BX6" s="14">
        <f>SUM('Plant Inputs'!BY6,'Plant Inputs'!BY12,'Plant Inputs'!BY18)</f>
        <v/>
      </c>
      <c r="BY6" s="16" t="n">
        <v>48811.1</v>
      </c>
      <c r="BZ6" s="16" t="n">
        <v>29278.7</v>
      </c>
      <c r="CA6" s="16" t="n">
        <v>10886400</v>
      </c>
      <c r="CB6" s="16" t="n">
        <v>4635169.6</v>
      </c>
      <c r="CC6" s="16" t="n">
        <v>911169.6</v>
      </c>
      <c r="CD6" s="16" t="n">
        <v>460112.3</v>
      </c>
      <c r="CE6" s="16" t="n">
        <v>39102</v>
      </c>
      <c r="CF6" s="16" t="n">
        <v>476219.3</v>
      </c>
      <c r="CG6" s="16" t="n">
        <v>1378110</v>
      </c>
      <c r="CH6" s="16" t="n">
        <v>133983.3</v>
      </c>
      <c r="CI6" s="16" t="n">
        <v>1126086</v>
      </c>
      <c r="CJ6" s="16" t="n">
        <v>1943165.8</v>
      </c>
      <c r="CK6" s="16" t="n">
        <v>1271185.4</v>
      </c>
      <c r="CL6" s="16" t="n">
        <v>1281353</v>
      </c>
      <c r="CM6" s="16" t="n">
        <v>1116529.3</v>
      </c>
      <c r="CN6" s="16" t="n">
        <v>735.6</v>
      </c>
      <c r="CO6" s="16" t="n">
        <v>117650.6</v>
      </c>
      <c r="CP6" s="16" t="n">
        <v>117650.6</v>
      </c>
      <c r="CQ6" s="16" t="n">
        <v>425</v>
      </c>
      <c r="CR6" s="16" t="n">
        <v>19112</v>
      </c>
      <c r="CS6" s="16" t="n">
        <v>19125</v>
      </c>
      <c r="CT6" s="16" t="n">
        <v>0</v>
      </c>
      <c r="CU6" s="16" t="n">
        <v>802788</v>
      </c>
      <c r="CV6" s="16" t="n">
        <v>808463.3</v>
      </c>
      <c r="CW6" s="16" t="n">
        <v>155641.9</v>
      </c>
      <c r="CX6" s="16" t="n">
        <v>3675892.6</v>
      </c>
      <c r="CY6" s="16" t="n">
        <v>1569788.9</v>
      </c>
      <c r="CZ6" s="16" t="n">
        <v>418805.1</v>
      </c>
      <c r="DA6" s="16" t="n">
        <v>306320.8</v>
      </c>
      <c r="DB6" s="16" t="n">
        <v>327500.7</v>
      </c>
      <c r="DC6" s="16" t="n">
        <v>240203.5</v>
      </c>
      <c r="DD6" s="16" t="n">
        <v>4261.9</v>
      </c>
      <c r="DE6" s="16" t="n">
        <v>4555.5</v>
      </c>
      <c r="DF6" s="16" t="n">
        <v>2534835.3</v>
      </c>
      <c r="DG6" s="16" t="n">
        <v>1925015.9</v>
      </c>
      <c r="DH6" s="16" t="n">
        <v>1000000</v>
      </c>
      <c r="DI6" s="16" t="n">
        <v>561019.6</v>
      </c>
      <c r="DJ6" s="16" t="n">
        <v>73628.5</v>
      </c>
      <c r="DK6" s="16" t="n">
        <v>464000</v>
      </c>
      <c r="DL6" s="16" t="n">
        <v>21951.6</v>
      </c>
      <c r="DM6" s="16" t="n">
        <v>5</v>
      </c>
      <c r="DN6" s="16" t="n">
        <v>1</v>
      </c>
      <c r="DO6" s="16" t="n">
        <v>0</v>
      </c>
      <c r="DP6" s="16" t="n">
        <v>0</v>
      </c>
      <c r="DQ6" s="16" t="n">
        <v>4</v>
      </c>
      <c r="DR6" s="16" t="n">
        <v>14</v>
      </c>
      <c r="DS6" s="16" t="n">
        <v>5</v>
      </c>
      <c r="DT6" s="16" t="n">
        <v>2</v>
      </c>
      <c r="DU6" s="16" t="n">
        <v>1</v>
      </c>
      <c r="DV6" s="16" t="n">
        <v>60</v>
      </c>
      <c r="DW6" s="16" t="n">
        <v>24</v>
      </c>
      <c r="DX6" s="16" t="n">
        <v>5112.3</v>
      </c>
      <c r="DY6" s="16" t="n">
        <v>3419.9</v>
      </c>
      <c r="DZ6" s="16" t="n">
        <v>1071.3</v>
      </c>
      <c r="EA6" s="16" t="n">
        <v>417.2</v>
      </c>
      <c r="EB6" s="16" t="n">
        <v>665.8</v>
      </c>
      <c r="EC6" s="16" t="n">
        <v>72</v>
      </c>
      <c r="ED6" s="16" t="n">
        <v>69</v>
      </c>
      <c r="EE6" s="16" t="n">
        <v>2</v>
      </c>
      <c r="EF6" s="16" t="n">
        <v>0</v>
      </c>
      <c r="EG6" s="16" t="n">
        <v>2</v>
      </c>
      <c r="EH6" s="16" t="n">
        <v>0</v>
      </c>
      <c r="EI6" s="16" t="n">
        <v>0</v>
      </c>
      <c r="EJ6" s="16" t="n">
        <v>0</v>
      </c>
      <c r="EK6" s="16" t="n">
        <v>0</v>
      </c>
      <c r="EL6" s="16" t="n">
        <v>0</v>
      </c>
      <c r="EM6" s="16" t="n">
        <v>0</v>
      </c>
      <c r="EN6" s="16" t="n">
        <v>0</v>
      </c>
      <c r="EO6" s="16" t="n">
        <v>0</v>
      </c>
      <c r="EP6" s="16" t="n">
        <v>0</v>
      </c>
      <c r="EQ6" s="16" t="n">
        <v>2</v>
      </c>
      <c r="ER6" s="16" t="n">
        <v>0</v>
      </c>
      <c r="ES6" s="16" t="n">
        <v>0</v>
      </c>
      <c r="ET6" s="16" t="n">
        <v>1</v>
      </c>
      <c r="EU6" s="16" t="n">
        <v>2</v>
      </c>
      <c r="EV6" s="16" t="n">
        <v>0</v>
      </c>
      <c r="EW6" s="16" t="n">
        <v>0</v>
      </c>
      <c r="EX6" s="16" t="n">
        <v>0</v>
      </c>
      <c r="EY6" s="16" t="n">
        <v>50</v>
      </c>
      <c r="EZ6" s="16" t="n">
        <v>43</v>
      </c>
      <c r="FA6" s="16" t="n">
        <v>1</v>
      </c>
      <c r="FB6" s="16" t="n">
        <v>30</v>
      </c>
      <c r="FC6" s="16" t="n">
        <v>28</v>
      </c>
      <c r="FD6" s="16" t="n">
        <v>23</v>
      </c>
      <c r="FE6" s="16" t="n">
        <v>26</v>
      </c>
      <c r="FF6" s="16" t="n">
        <v>0</v>
      </c>
      <c r="FG6" s="16" t="n">
        <v>1</v>
      </c>
      <c r="FH6" s="16" t="n">
        <v>0</v>
      </c>
      <c r="FI6" s="16" t="n">
        <v>488990</v>
      </c>
      <c r="FJ6" s="16" t="n">
        <v>485052</v>
      </c>
      <c r="FK6" s="16" t="n">
        <v>400</v>
      </c>
      <c r="FL6" s="16" t="n">
        <v>378</v>
      </c>
      <c r="FM6" s="16" t="n">
        <v>0</v>
      </c>
      <c r="FN6" s="16" t="n">
        <v>0</v>
      </c>
      <c r="FO6" s="16" t="n">
        <v>0</v>
      </c>
      <c r="FP6" s="16" t="n">
        <v>4</v>
      </c>
      <c r="FQ6" s="16" t="n">
        <v>11.7</v>
      </c>
      <c r="FR6" s="16" t="n">
        <v>4</v>
      </c>
      <c r="FS6" s="16" t="n">
        <v>1</v>
      </c>
      <c r="FT6" s="16" t="n">
        <v>1</v>
      </c>
      <c r="FU6" s="16" t="n">
        <v>1</v>
      </c>
    </row>
    <row r="7">
      <c r="A7" t="inlineStr">
        <is>
          <t>Group</t>
        </is>
      </c>
      <c r="B7" t="inlineStr">
        <is>
          <t>Entity A1</t>
        </is>
      </c>
      <c r="C7" t="inlineStr">
        <is>
          <t>2026-07</t>
        </is>
      </c>
      <c r="D7" t="n">
        <v>31</v>
      </c>
      <c r="E7" s="14">
        <f>SUM('Plant Inputs'!F7,'Plant Inputs'!F13,'Plant Inputs'!F19)</f>
        <v/>
      </c>
      <c r="F7" s="14">
        <f>SUM('Plant Inputs'!G7,'Plant Inputs'!G13,'Plant Inputs'!G19)</f>
        <v/>
      </c>
      <c r="G7" s="14">
        <f>SUM('Plant Inputs'!H7,'Plant Inputs'!H13,'Plant Inputs'!H19)</f>
        <v/>
      </c>
      <c r="H7" s="14">
        <f>SUM('Plant Inputs'!I7,'Plant Inputs'!I13,'Plant Inputs'!I19)</f>
        <v/>
      </c>
      <c r="I7" s="14">
        <f>SUM('Plant Inputs'!J7,'Plant Inputs'!J13,'Plant Inputs'!J19)</f>
        <v/>
      </c>
      <c r="J7" s="14">
        <f>SUM('Plant Inputs'!K7,'Plant Inputs'!K13,'Plant Inputs'!K19)</f>
        <v/>
      </c>
      <c r="K7" s="14">
        <f>SUM('Plant Inputs'!L7,'Plant Inputs'!L13,'Plant Inputs'!L19)</f>
        <v/>
      </c>
      <c r="L7" s="14">
        <f>SUM('Plant Inputs'!M7,'Plant Inputs'!M13,'Plant Inputs'!M19)</f>
        <v/>
      </c>
      <c r="M7" s="14">
        <f>SUM('Plant Inputs'!N7,'Plant Inputs'!N13,'Plant Inputs'!N19)</f>
        <v/>
      </c>
      <c r="N7" s="14">
        <f>SUM('Plant Inputs'!O7,'Plant Inputs'!O13,'Plant Inputs'!O19)</f>
        <v/>
      </c>
      <c r="O7" s="14">
        <f>SUM('Plant Inputs'!P7,'Plant Inputs'!P13,'Plant Inputs'!P19)</f>
        <v/>
      </c>
      <c r="P7" s="14">
        <f>SUM('Plant Inputs'!Q7,'Plant Inputs'!Q13,'Plant Inputs'!Q19)</f>
        <v/>
      </c>
      <c r="Q7" s="14">
        <f>SUM('Plant Inputs'!R7,'Plant Inputs'!R13,'Plant Inputs'!R19)</f>
        <v/>
      </c>
      <c r="R7" s="14">
        <f>SUM('Plant Inputs'!S7,'Plant Inputs'!S13,'Plant Inputs'!S19)</f>
        <v/>
      </c>
      <c r="S7" s="14">
        <f>SUM('Plant Inputs'!T7,'Plant Inputs'!T13,'Plant Inputs'!T19)</f>
        <v/>
      </c>
      <c r="T7" s="14">
        <f>SUM('Plant Inputs'!U7,'Plant Inputs'!U13,'Plant Inputs'!U19)</f>
        <v/>
      </c>
      <c r="U7" s="14">
        <f>SUM('Plant Inputs'!V7,'Plant Inputs'!V13,'Plant Inputs'!V19)</f>
        <v/>
      </c>
      <c r="V7" s="14">
        <f>SUM('Plant Inputs'!W7,'Plant Inputs'!W13,'Plant Inputs'!W19)</f>
        <v/>
      </c>
      <c r="W7" s="14">
        <f>SUM('Plant Inputs'!X7,'Plant Inputs'!X13,'Plant Inputs'!X19)</f>
        <v/>
      </c>
      <c r="X7" s="14">
        <f>SUM('Plant Inputs'!Y7,'Plant Inputs'!Y13,'Plant Inputs'!Y19)</f>
        <v/>
      </c>
      <c r="Y7" s="14">
        <f>SUM('Plant Inputs'!Z7,'Plant Inputs'!Z13,'Plant Inputs'!Z19)</f>
        <v/>
      </c>
      <c r="Z7" s="14">
        <f>SUM('Plant Inputs'!AA7,'Plant Inputs'!AA13,'Plant Inputs'!AA19)</f>
        <v/>
      </c>
      <c r="AA7" s="14">
        <f>SUM('Plant Inputs'!AB7,'Plant Inputs'!AB13,'Plant Inputs'!AB19)</f>
        <v/>
      </c>
      <c r="AB7" s="14">
        <f>SUM('Plant Inputs'!AC7,'Plant Inputs'!AC13,'Plant Inputs'!AC19)</f>
        <v/>
      </c>
      <c r="AC7" s="14">
        <f>SUM('Plant Inputs'!AD7,'Plant Inputs'!AD13,'Plant Inputs'!AD19)</f>
        <v/>
      </c>
      <c r="AD7" s="14">
        <f>SUM('Plant Inputs'!AE7,'Plant Inputs'!AE13,'Plant Inputs'!AE19)</f>
        <v/>
      </c>
      <c r="AE7" s="14">
        <f>SUM('Plant Inputs'!AF7,'Plant Inputs'!AF13,'Plant Inputs'!AF19)</f>
        <v/>
      </c>
      <c r="AF7" s="14">
        <f>SUM('Plant Inputs'!AG7,'Plant Inputs'!AG13,'Plant Inputs'!AG19)</f>
        <v/>
      </c>
      <c r="AG7" s="14">
        <f>SUM('Plant Inputs'!AH7,'Plant Inputs'!AH13,'Plant Inputs'!AH19)</f>
        <v/>
      </c>
      <c r="AH7" s="14">
        <f>SUM('Plant Inputs'!AI7,'Plant Inputs'!AI13,'Plant Inputs'!AI19)</f>
        <v/>
      </c>
      <c r="AI7" s="14">
        <f>SUM('Plant Inputs'!AJ7,'Plant Inputs'!AJ13,'Plant Inputs'!AJ19)</f>
        <v/>
      </c>
      <c r="AJ7" s="14">
        <f>SUM('Plant Inputs'!AK7,'Plant Inputs'!AK13,'Plant Inputs'!AK19)</f>
        <v/>
      </c>
      <c r="AK7" s="14">
        <f>SUM('Plant Inputs'!AL7,'Plant Inputs'!AL13,'Plant Inputs'!AL19)</f>
        <v/>
      </c>
      <c r="AL7" s="14">
        <f>SUM('Plant Inputs'!AM7,'Plant Inputs'!AM13,'Plant Inputs'!AM19)</f>
        <v/>
      </c>
      <c r="AM7" s="14">
        <f>SUM('Plant Inputs'!AN7,'Plant Inputs'!AN13,'Plant Inputs'!AN19)</f>
        <v/>
      </c>
      <c r="AN7" s="14">
        <f>SUM('Plant Inputs'!AO7,'Plant Inputs'!AO13,'Plant Inputs'!AO19)</f>
        <v/>
      </c>
      <c r="AO7" s="14">
        <f>SUM('Plant Inputs'!AP7,'Plant Inputs'!AP13,'Plant Inputs'!AP19)</f>
        <v/>
      </c>
      <c r="AP7" s="14">
        <f>SUM('Plant Inputs'!AQ7,'Plant Inputs'!AQ13,'Plant Inputs'!AQ19)</f>
        <v/>
      </c>
      <c r="AQ7" s="14">
        <f>SUM('Plant Inputs'!AR7,'Plant Inputs'!AR13,'Plant Inputs'!AR19)</f>
        <v/>
      </c>
      <c r="AR7" s="14">
        <f>MIN('Plant Inputs'!AS7,'Plant Inputs'!AS13,'Plant Inputs'!AS19)</f>
        <v/>
      </c>
      <c r="AS7" s="14">
        <f>SUM('Plant Inputs'!AT7,'Plant Inputs'!AT13,'Plant Inputs'!AT19)</f>
        <v/>
      </c>
      <c r="AT7" s="14">
        <f>SUM('Plant Inputs'!AU7,'Plant Inputs'!AU13,'Plant Inputs'!AU19)</f>
        <v/>
      </c>
      <c r="AU7" s="14">
        <f>SUM('Plant Inputs'!AV7,'Plant Inputs'!AV13,'Plant Inputs'!AV19)</f>
        <v/>
      </c>
      <c r="AV7" s="14">
        <f>SUM('Plant Inputs'!AW7,'Plant Inputs'!AW13,'Plant Inputs'!AW19)</f>
        <v/>
      </c>
      <c r="AW7" s="14">
        <f>SUM('Plant Inputs'!AX7,'Plant Inputs'!AX13,'Plant Inputs'!AX19)</f>
        <v/>
      </c>
      <c r="AX7" s="14">
        <f>SUM('Plant Inputs'!AY7,'Plant Inputs'!AY13,'Plant Inputs'!AY19)</f>
        <v/>
      </c>
      <c r="AY7" s="14">
        <f>SUM('Plant Inputs'!AZ7,'Plant Inputs'!AZ13,'Plant Inputs'!AZ19)</f>
        <v/>
      </c>
      <c r="AZ7" s="14">
        <f>SUM('Plant Inputs'!BA7,'Plant Inputs'!BA13,'Plant Inputs'!BA19)</f>
        <v/>
      </c>
      <c r="BA7" s="14">
        <f>SUM('Plant Inputs'!BB7,'Plant Inputs'!BB13,'Plant Inputs'!BB19)</f>
        <v/>
      </c>
      <c r="BB7" s="14">
        <f>SUM('Plant Inputs'!BC7,'Plant Inputs'!BC13,'Plant Inputs'!BC19)</f>
        <v/>
      </c>
      <c r="BC7" s="14">
        <f>SUM('Plant Inputs'!BD7,'Plant Inputs'!BD13,'Plant Inputs'!BD19)</f>
        <v/>
      </c>
      <c r="BD7" s="14">
        <f>SUM('Plant Inputs'!BE7,'Plant Inputs'!BE13,'Plant Inputs'!BE19)</f>
        <v/>
      </c>
      <c r="BE7" s="14">
        <f>SUM('Plant Inputs'!BF7,'Plant Inputs'!BF13,'Plant Inputs'!BF19)</f>
        <v/>
      </c>
      <c r="BF7" s="14">
        <f>SUM('Plant Inputs'!BG7,'Plant Inputs'!BG13,'Plant Inputs'!BG19)</f>
        <v/>
      </c>
      <c r="BG7" s="14">
        <f>SUM('Plant Inputs'!BH7,'Plant Inputs'!BH13,'Plant Inputs'!BH19)</f>
        <v/>
      </c>
      <c r="BH7" s="14">
        <f>SUM('Plant Inputs'!BI7,'Plant Inputs'!BI13,'Plant Inputs'!BI19)</f>
        <v/>
      </c>
      <c r="BI7" s="14">
        <f>SUM('Plant Inputs'!BJ7,'Plant Inputs'!BJ13,'Plant Inputs'!BJ19)</f>
        <v/>
      </c>
      <c r="BJ7" s="14">
        <f>SUM('Plant Inputs'!BK7,'Plant Inputs'!BK13,'Plant Inputs'!BK19)</f>
        <v/>
      </c>
      <c r="BK7" s="14">
        <f>SUM('Plant Inputs'!BL7,'Plant Inputs'!BL13,'Plant Inputs'!BL19)</f>
        <v/>
      </c>
      <c r="BL7" s="14">
        <f>SUM('Plant Inputs'!BM7,'Plant Inputs'!BM13,'Plant Inputs'!BM19)</f>
        <v/>
      </c>
      <c r="BM7" s="14">
        <f>SUM('Plant Inputs'!BN7,'Plant Inputs'!BN13,'Plant Inputs'!BN19)</f>
        <v/>
      </c>
      <c r="BN7" s="14">
        <f>SUM('Plant Inputs'!BO7,'Plant Inputs'!BO13,'Plant Inputs'!BO19)</f>
        <v/>
      </c>
      <c r="BO7" s="14">
        <f>SUM('Plant Inputs'!BP7,'Plant Inputs'!BP13,'Plant Inputs'!BP19)</f>
        <v/>
      </c>
      <c r="BP7" s="14">
        <f>SUM('Plant Inputs'!BQ7,'Plant Inputs'!BQ13,'Plant Inputs'!BQ19)</f>
        <v/>
      </c>
      <c r="BQ7" s="14">
        <f>SUM('Plant Inputs'!BR7,'Plant Inputs'!BR13,'Plant Inputs'!BR19)</f>
        <v/>
      </c>
      <c r="BR7" s="14">
        <f>SUM('Plant Inputs'!BS7,'Plant Inputs'!BS13,'Plant Inputs'!BS19)</f>
        <v/>
      </c>
      <c r="BS7" s="14">
        <f>MIN('Plant Inputs'!BT7,'Plant Inputs'!BT13,'Plant Inputs'!BT19)</f>
        <v/>
      </c>
      <c r="BT7" s="14">
        <f>SUM('Plant Inputs'!BU7,'Plant Inputs'!BU13,'Plant Inputs'!BU19)</f>
        <v/>
      </c>
      <c r="BU7" s="14">
        <f>SUM('Plant Inputs'!BV7,'Plant Inputs'!BV13,'Plant Inputs'!BV19)</f>
        <v/>
      </c>
      <c r="BV7" s="14">
        <f>SUM('Plant Inputs'!BW7,'Plant Inputs'!BW13,'Plant Inputs'!BW19)</f>
        <v/>
      </c>
      <c r="BW7" s="14">
        <f>SUM('Plant Inputs'!BX7,'Plant Inputs'!BX13,'Plant Inputs'!BX19)</f>
        <v/>
      </c>
      <c r="BX7" s="14">
        <f>SUM('Plant Inputs'!BY7,'Plant Inputs'!BY13,'Plant Inputs'!BY19)</f>
        <v/>
      </c>
      <c r="BY7" s="16" t="n">
        <v>54606.3</v>
      </c>
      <c r="BZ7" s="16" t="n">
        <v>39213.2</v>
      </c>
      <c r="CA7" s="16" t="n">
        <v>10929600</v>
      </c>
      <c r="CB7" s="16" t="n">
        <v>4608966.7</v>
      </c>
      <c r="CC7" s="16" t="n">
        <v>922966.7</v>
      </c>
      <c r="CD7" s="16" t="n">
        <v>458165.4</v>
      </c>
      <c r="CE7" s="16" t="n">
        <v>38703</v>
      </c>
      <c r="CF7" s="16" t="n">
        <v>484735.8</v>
      </c>
      <c r="CG7" s="16" t="n">
        <v>1328589.5</v>
      </c>
      <c r="CH7" s="16" t="n">
        <v>178047.3</v>
      </c>
      <c r="CI7" s="16" t="n">
        <v>1185026</v>
      </c>
      <c r="CJ7" s="16" t="n">
        <v>1960349</v>
      </c>
      <c r="CK7" s="16" t="n">
        <v>1201672</v>
      </c>
      <c r="CL7" s="16" t="n">
        <v>1233450.9</v>
      </c>
      <c r="CM7" s="16" t="n">
        <v>1188396</v>
      </c>
      <c r="CN7" s="16" t="n">
        <v>694.8</v>
      </c>
      <c r="CO7" s="16" t="n">
        <v>119061.7</v>
      </c>
      <c r="CP7" s="16" t="n">
        <v>119061.7</v>
      </c>
      <c r="CQ7" s="16" t="n">
        <v>438</v>
      </c>
      <c r="CR7" s="16" t="n">
        <v>19650</v>
      </c>
      <c r="CS7" s="16" t="n">
        <v>19710</v>
      </c>
      <c r="CT7" s="16" t="n">
        <v>0</v>
      </c>
      <c r="CU7" s="16" t="n">
        <v>1065509.6</v>
      </c>
      <c r="CV7" s="16" t="n">
        <v>1075543.1</v>
      </c>
      <c r="CW7" s="16" t="n">
        <v>172153.2</v>
      </c>
      <c r="CX7" s="16" t="n">
        <v>3675766.9</v>
      </c>
      <c r="CY7" s="16" t="n">
        <v>2119721.6</v>
      </c>
      <c r="CZ7" s="16" t="n">
        <v>446718.8</v>
      </c>
      <c r="DA7" s="16" t="n">
        <v>323811.5</v>
      </c>
      <c r="DB7" s="16" t="n">
        <v>364424.2</v>
      </c>
      <c r="DC7" s="16" t="n">
        <v>266166.7</v>
      </c>
      <c r="DD7" s="16" t="n">
        <v>6450.1</v>
      </c>
      <c r="DE7" s="16" t="n">
        <v>7325.1</v>
      </c>
      <c r="DF7" s="16" t="n">
        <v>2637874.2</v>
      </c>
      <c r="DG7" s="16" t="n">
        <v>2001983.7</v>
      </c>
      <c r="DH7" s="16" t="n">
        <v>1000000</v>
      </c>
      <c r="DI7" s="16" t="n">
        <v>608680.1</v>
      </c>
      <c r="DJ7" s="16" t="n">
        <v>80895.5</v>
      </c>
      <c r="DK7" s="16" t="n">
        <v>506000</v>
      </c>
      <c r="DL7" s="16" t="n">
        <v>24159.6</v>
      </c>
      <c r="DM7" s="16" t="n">
        <v>5</v>
      </c>
      <c r="DN7" s="16" t="n">
        <v>1</v>
      </c>
      <c r="DO7" s="16" t="n">
        <v>0</v>
      </c>
      <c r="DP7" s="16" t="n">
        <v>0</v>
      </c>
      <c r="DQ7" s="16" t="n">
        <v>6</v>
      </c>
      <c r="DR7" s="16" t="n">
        <v>17</v>
      </c>
      <c r="DS7" s="16" t="n">
        <v>5</v>
      </c>
      <c r="DT7" s="16" t="n">
        <v>2</v>
      </c>
      <c r="DU7" s="16" t="n">
        <v>1</v>
      </c>
      <c r="DV7" s="16" t="n">
        <v>60</v>
      </c>
      <c r="DW7" s="16" t="n">
        <v>27</v>
      </c>
      <c r="DX7" s="16" t="n">
        <v>5177.6</v>
      </c>
      <c r="DY7" s="16" t="n">
        <v>3634.4</v>
      </c>
      <c r="DZ7" s="16" t="n">
        <v>1084</v>
      </c>
      <c r="EA7" s="16" t="n">
        <v>415.8</v>
      </c>
      <c r="EB7" s="16" t="n">
        <v>690.3</v>
      </c>
      <c r="EC7" s="16" t="n">
        <v>72</v>
      </c>
      <c r="ED7" s="16" t="n">
        <v>68</v>
      </c>
      <c r="EE7" s="16" t="n">
        <v>2</v>
      </c>
      <c r="EF7" s="16" t="n">
        <v>0</v>
      </c>
      <c r="EG7" s="16" t="n">
        <v>2</v>
      </c>
      <c r="EH7" s="16" t="n">
        <v>1</v>
      </c>
      <c r="EI7" s="16" t="n">
        <v>0</v>
      </c>
      <c r="EJ7" s="16" t="n">
        <v>1</v>
      </c>
      <c r="EK7" s="16" t="n">
        <v>0</v>
      </c>
      <c r="EL7" s="16" t="n">
        <v>0</v>
      </c>
      <c r="EM7" s="16" t="n">
        <v>0</v>
      </c>
      <c r="EN7" s="16" t="n">
        <v>0</v>
      </c>
      <c r="EO7" s="16" t="n">
        <v>0</v>
      </c>
      <c r="EP7" s="16" t="n">
        <v>0</v>
      </c>
      <c r="EQ7" s="16" t="n">
        <v>1</v>
      </c>
      <c r="ER7" s="16" t="n">
        <v>1</v>
      </c>
      <c r="ES7" s="16" t="n">
        <v>0</v>
      </c>
      <c r="ET7" s="16" t="n">
        <v>1</v>
      </c>
      <c r="EU7" s="16" t="n">
        <v>2</v>
      </c>
      <c r="EV7" s="16" t="n">
        <v>0</v>
      </c>
      <c r="EW7" s="16" t="n">
        <v>0</v>
      </c>
      <c r="EX7" s="16" t="n">
        <v>0</v>
      </c>
      <c r="EY7" s="16" t="n">
        <v>50</v>
      </c>
      <c r="EZ7" s="16" t="n">
        <v>43</v>
      </c>
      <c r="FA7" s="16" t="n">
        <v>3</v>
      </c>
      <c r="FB7" s="16" t="n">
        <v>82</v>
      </c>
      <c r="FC7" s="16" t="n">
        <v>28</v>
      </c>
      <c r="FD7" s="16" t="n">
        <v>23</v>
      </c>
      <c r="FE7" s="16" t="n">
        <v>26</v>
      </c>
      <c r="FF7" s="16" t="n">
        <v>0</v>
      </c>
      <c r="FG7" s="16" t="n">
        <v>1</v>
      </c>
      <c r="FH7" s="16" t="n">
        <v>0</v>
      </c>
      <c r="FI7" s="16" t="n">
        <v>517040</v>
      </c>
      <c r="FJ7" s="16" t="n">
        <v>512116</v>
      </c>
      <c r="FK7" s="16" t="n">
        <v>400</v>
      </c>
      <c r="FL7" s="16" t="n">
        <v>380</v>
      </c>
      <c r="FM7" s="16" t="n">
        <v>0</v>
      </c>
      <c r="FN7" s="16" t="n">
        <v>0</v>
      </c>
      <c r="FO7" s="16" t="n">
        <v>0</v>
      </c>
      <c r="FP7" s="16" t="n">
        <v>4</v>
      </c>
      <c r="FQ7" s="16" t="n">
        <v>12</v>
      </c>
      <c r="FR7" s="16" t="n">
        <v>3</v>
      </c>
      <c r="FS7" s="16" t="n">
        <v>1</v>
      </c>
      <c r="FT7" s="16" t="n">
        <v>1</v>
      </c>
      <c r="FU7" s="16" t="n">
        <v>1</v>
      </c>
    </row>
    <row r="8">
      <c r="A8" t="inlineStr">
        <is>
          <t>Group</t>
        </is>
      </c>
      <c r="B8" t="inlineStr">
        <is>
          <t>Entity A1</t>
        </is>
      </c>
      <c r="C8" t="inlineStr">
        <is>
          <t>2026-08</t>
        </is>
      </c>
      <c r="D8" t="n">
        <v>31</v>
      </c>
      <c r="E8" s="14">
        <f>SUM('Plant Inputs'!F8,'Plant Inputs'!F14,'Plant Inputs'!F20)</f>
        <v/>
      </c>
      <c r="F8" s="14">
        <f>SUM('Plant Inputs'!G8,'Plant Inputs'!G14,'Plant Inputs'!G20)</f>
        <v/>
      </c>
      <c r="G8" s="14">
        <f>SUM('Plant Inputs'!H8,'Plant Inputs'!H14,'Plant Inputs'!H20)</f>
        <v/>
      </c>
      <c r="H8" s="14">
        <f>SUM('Plant Inputs'!I8,'Plant Inputs'!I14,'Plant Inputs'!I20)</f>
        <v/>
      </c>
      <c r="I8" s="14">
        <f>SUM('Plant Inputs'!J8,'Plant Inputs'!J14,'Plant Inputs'!J20)</f>
        <v/>
      </c>
      <c r="J8" s="14">
        <f>SUM('Plant Inputs'!K8,'Plant Inputs'!K14,'Plant Inputs'!K20)</f>
        <v/>
      </c>
      <c r="K8" s="14">
        <f>SUM('Plant Inputs'!L8,'Plant Inputs'!L14,'Plant Inputs'!L20)</f>
        <v/>
      </c>
      <c r="L8" s="14">
        <f>SUM('Plant Inputs'!M8,'Plant Inputs'!M14,'Plant Inputs'!M20)</f>
        <v/>
      </c>
      <c r="M8" s="14">
        <f>SUM('Plant Inputs'!N8,'Plant Inputs'!N14,'Plant Inputs'!N20)</f>
        <v/>
      </c>
      <c r="N8" s="14">
        <f>SUM('Plant Inputs'!O8,'Plant Inputs'!O14,'Plant Inputs'!O20)</f>
        <v/>
      </c>
      <c r="O8" s="14">
        <f>SUM('Plant Inputs'!P8,'Plant Inputs'!P14,'Plant Inputs'!P20)</f>
        <v/>
      </c>
      <c r="P8" s="14">
        <f>SUM('Plant Inputs'!Q8,'Plant Inputs'!Q14,'Plant Inputs'!Q20)</f>
        <v/>
      </c>
      <c r="Q8" s="14">
        <f>SUM('Plant Inputs'!R8,'Plant Inputs'!R14,'Plant Inputs'!R20)</f>
        <v/>
      </c>
      <c r="R8" s="14">
        <f>SUM('Plant Inputs'!S8,'Plant Inputs'!S14,'Plant Inputs'!S20)</f>
        <v/>
      </c>
      <c r="S8" s="14">
        <f>SUM('Plant Inputs'!T8,'Plant Inputs'!T14,'Plant Inputs'!T20)</f>
        <v/>
      </c>
      <c r="T8" s="14">
        <f>SUM('Plant Inputs'!U8,'Plant Inputs'!U14,'Plant Inputs'!U20)</f>
        <v/>
      </c>
      <c r="U8" s="14">
        <f>SUM('Plant Inputs'!V8,'Plant Inputs'!V14,'Plant Inputs'!V20)</f>
        <v/>
      </c>
      <c r="V8" s="14">
        <f>SUM('Plant Inputs'!W8,'Plant Inputs'!W14,'Plant Inputs'!W20)</f>
        <v/>
      </c>
      <c r="W8" s="14">
        <f>SUM('Plant Inputs'!X8,'Plant Inputs'!X14,'Plant Inputs'!X20)</f>
        <v/>
      </c>
      <c r="X8" s="14">
        <f>SUM('Plant Inputs'!Y8,'Plant Inputs'!Y14,'Plant Inputs'!Y20)</f>
        <v/>
      </c>
      <c r="Y8" s="14">
        <f>SUM('Plant Inputs'!Z8,'Plant Inputs'!Z14,'Plant Inputs'!Z20)</f>
        <v/>
      </c>
      <c r="Z8" s="14">
        <f>SUM('Plant Inputs'!AA8,'Plant Inputs'!AA14,'Plant Inputs'!AA20)</f>
        <v/>
      </c>
      <c r="AA8" s="14">
        <f>SUM('Plant Inputs'!AB8,'Plant Inputs'!AB14,'Plant Inputs'!AB20)</f>
        <v/>
      </c>
      <c r="AB8" s="14">
        <f>SUM('Plant Inputs'!AC8,'Plant Inputs'!AC14,'Plant Inputs'!AC20)</f>
        <v/>
      </c>
      <c r="AC8" s="14">
        <f>SUM('Plant Inputs'!AD8,'Plant Inputs'!AD14,'Plant Inputs'!AD20)</f>
        <v/>
      </c>
      <c r="AD8" s="14">
        <f>SUM('Plant Inputs'!AE8,'Plant Inputs'!AE14,'Plant Inputs'!AE20)</f>
        <v/>
      </c>
      <c r="AE8" s="14">
        <f>SUM('Plant Inputs'!AF8,'Plant Inputs'!AF14,'Plant Inputs'!AF20)</f>
        <v/>
      </c>
      <c r="AF8" s="14">
        <f>SUM('Plant Inputs'!AG8,'Plant Inputs'!AG14,'Plant Inputs'!AG20)</f>
        <v/>
      </c>
      <c r="AG8" s="14">
        <f>SUM('Plant Inputs'!AH8,'Plant Inputs'!AH14,'Plant Inputs'!AH20)</f>
        <v/>
      </c>
      <c r="AH8" s="14">
        <f>SUM('Plant Inputs'!AI8,'Plant Inputs'!AI14,'Plant Inputs'!AI20)</f>
        <v/>
      </c>
      <c r="AI8" s="14">
        <f>SUM('Plant Inputs'!AJ8,'Plant Inputs'!AJ14,'Plant Inputs'!AJ20)</f>
        <v/>
      </c>
      <c r="AJ8" s="14">
        <f>SUM('Plant Inputs'!AK8,'Plant Inputs'!AK14,'Plant Inputs'!AK20)</f>
        <v/>
      </c>
      <c r="AK8" s="14">
        <f>SUM('Plant Inputs'!AL8,'Plant Inputs'!AL14,'Plant Inputs'!AL20)</f>
        <v/>
      </c>
      <c r="AL8" s="14">
        <f>SUM('Plant Inputs'!AM8,'Plant Inputs'!AM14,'Plant Inputs'!AM20)</f>
        <v/>
      </c>
      <c r="AM8" s="14">
        <f>SUM('Plant Inputs'!AN8,'Plant Inputs'!AN14,'Plant Inputs'!AN20)</f>
        <v/>
      </c>
      <c r="AN8" s="14">
        <f>SUM('Plant Inputs'!AO8,'Plant Inputs'!AO14,'Plant Inputs'!AO20)</f>
        <v/>
      </c>
      <c r="AO8" s="14">
        <f>SUM('Plant Inputs'!AP8,'Plant Inputs'!AP14,'Plant Inputs'!AP20)</f>
        <v/>
      </c>
      <c r="AP8" s="14">
        <f>SUM('Plant Inputs'!AQ8,'Plant Inputs'!AQ14,'Plant Inputs'!AQ20)</f>
        <v/>
      </c>
      <c r="AQ8" s="14">
        <f>SUM('Plant Inputs'!AR8,'Plant Inputs'!AR14,'Plant Inputs'!AR20)</f>
        <v/>
      </c>
      <c r="AR8" s="14">
        <f>MIN('Plant Inputs'!AS8,'Plant Inputs'!AS14,'Plant Inputs'!AS20)</f>
        <v/>
      </c>
      <c r="AS8" s="14">
        <f>SUM('Plant Inputs'!AT8,'Plant Inputs'!AT14,'Plant Inputs'!AT20)</f>
        <v/>
      </c>
      <c r="AT8" s="14">
        <f>SUM('Plant Inputs'!AU8,'Plant Inputs'!AU14,'Plant Inputs'!AU20)</f>
        <v/>
      </c>
      <c r="AU8" s="14">
        <f>SUM('Plant Inputs'!AV8,'Plant Inputs'!AV14,'Plant Inputs'!AV20)</f>
        <v/>
      </c>
      <c r="AV8" s="14">
        <f>SUM('Plant Inputs'!AW8,'Plant Inputs'!AW14,'Plant Inputs'!AW20)</f>
        <v/>
      </c>
      <c r="AW8" s="14">
        <f>SUM('Plant Inputs'!AX8,'Plant Inputs'!AX14,'Plant Inputs'!AX20)</f>
        <v/>
      </c>
      <c r="AX8" s="14">
        <f>SUM('Plant Inputs'!AY8,'Plant Inputs'!AY14,'Plant Inputs'!AY20)</f>
        <v/>
      </c>
      <c r="AY8" s="14">
        <f>SUM('Plant Inputs'!AZ8,'Plant Inputs'!AZ14,'Plant Inputs'!AZ20)</f>
        <v/>
      </c>
      <c r="AZ8" s="14">
        <f>SUM('Plant Inputs'!BA8,'Plant Inputs'!BA14,'Plant Inputs'!BA20)</f>
        <v/>
      </c>
      <c r="BA8" s="14">
        <f>SUM('Plant Inputs'!BB8,'Plant Inputs'!BB14,'Plant Inputs'!BB20)</f>
        <v/>
      </c>
      <c r="BB8" s="14">
        <f>SUM('Plant Inputs'!BC8,'Plant Inputs'!BC14,'Plant Inputs'!BC20)</f>
        <v/>
      </c>
      <c r="BC8" s="14">
        <f>SUM('Plant Inputs'!BD8,'Plant Inputs'!BD14,'Plant Inputs'!BD20)</f>
        <v/>
      </c>
      <c r="BD8" s="14">
        <f>SUM('Plant Inputs'!BE8,'Plant Inputs'!BE14,'Plant Inputs'!BE20)</f>
        <v/>
      </c>
      <c r="BE8" s="14">
        <f>SUM('Plant Inputs'!BF8,'Plant Inputs'!BF14,'Plant Inputs'!BF20)</f>
        <v/>
      </c>
      <c r="BF8" s="14">
        <f>SUM('Plant Inputs'!BG8,'Plant Inputs'!BG14,'Plant Inputs'!BG20)</f>
        <v/>
      </c>
      <c r="BG8" s="14">
        <f>SUM('Plant Inputs'!BH8,'Plant Inputs'!BH14,'Plant Inputs'!BH20)</f>
        <v/>
      </c>
      <c r="BH8" s="14">
        <f>SUM('Plant Inputs'!BI8,'Plant Inputs'!BI14,'Plant Inputs'!BI20)</f>
        <v/>
      </c>
      <c r="BI8" s="14">
        <f>SUM('Plant Inputs'!BJ8,'Plant Inputs'!BJ14,'Plant Inputs'!BJ20)</f>
        <v/>
      </c>
      <c r="BJ8" s="14">
        <f>SUM('Plant Inputs'!BK8,'Plant Inputs'!BK14,'Plant Inputs'!BK20)</f>
        <v/>
      </c>
      <c r="BK8" s="14">
        <f>SUM('Plant Inputs'!BL8,'Plant Inputs'!BL14,'Plant Inputs'!BL20)</f>
        <v/>
      </c>
      <c r="BL8" s="14">
        <f>SUM('Plant Inputs'!BM8,'Plant Inputs'!BM14,'Plant Inputs'!BM20)</f>
        <v/>
      </c>
      <c r="BM8" s="14">
        <f>SUM('Plant Inputs'!BN8,'Plant Inputs'!BN14,'Plant Inputs'!BN20)</f>
        <v/>
      </c>
      <c r="BN8" s="14">
        <f>SUM('Plant Inputs'!BO8,'Plant Inputs'!BO14,'Plant Inputs'!BO20)</f>
        <v/>
      </c>
      <c r="BO8" s="14">
        <f>SUM('Plant Inputs'!BP8,'Plant Inputs'!BP14,'Plant Inputs'!BP20)</f>
        <v/>
      </c>
      <c r="BP8" s="14">
        <f>SUM('Plant Inputs'!BQ8,'Plant Inputs'!BQ14,'Plant Inputs'!BQ20)</f>
        <v/>
      </c>
      <c r="BQ8" s="14">
        <f>SUM('Plant Inputs'!BR8,'Plant Inputs'!BR14,'Plant Inputs'!BR20)</f>
        <v/>
      </c>
      <c r="BR8" s="14">
        <f>SUM('Plant Inputs'!BS8,'Plant Inputs'!BS14,'Plant Inputs'!BS20)</f>
        <v/>
      </c>
      <c r="BS8" s="14">
        <f>MIN('Plant Inputs'!BT8,'Plant Inputs'!BT14,'Plant Inputs'!BT20)</f>
        <v/>
      </c>
      <c r="BT8" s="14">
        <f>SUM('Plant Inputs'!BU8,'Plant Inputs'!BU14,'Plant Inputs'!BU20)</f>
        <v/>
      </c>
      <c r="BU8" s="14">
        <f>SUM('Plant Inputs'!BV8,'Plant Inputs'!BV14,'Plant Inputs'!BV20)</f>
        <v/>
      </c>
      <c r="BV8" s="14">
        <f>SUM('Plant Inputs'!BW8,'Plant Inputs'!BW14,'Plant Inputs'!BW20)</f>
        <v/>
      </c>
      <c r="BW8" s="14">
        <f>SUM('Plant Inputs'!BX8,'Plant Inputs'!BX14,'Plant Inputs'!BX20)</f>
        <v/>
      </c>
      <c r="BX8" s="14">
        <f>SUM('Plant Inputs'!BY8,'Plant Inputs'!BY14,'Plant Inputs'!BY20)</f>
        <v/>
      </c>
      <c r="BY8" s="16" t="n">
        <v>51744.4</v>
      </c>
      <c r="BZ8" s="16" t="n">
        <v>26325.4</v>
      </c>
      <c r="CA8" s="16" t="n">
        <v>10972800</v>
      </c>
      <c r="CB8" s="16" t="n">
        <v>4538500.4</v>
      </c>
      <c r="CC8" s="16" t="n">
        <v>890500.4</v>
      </c>
      <c r="CD8" s="16" t="n">
        <v>450000.3</v>
      </c>
      <c r="CE8" s="16" t="n">
        <v>38304</v>
      </c>
      <c r="CF8" s="16" t="n">
        <v>430017.2</v>
      </c>
      <c r="CG8" s="16" t="n">
        <v>1434553</v>
      </c>
      <c r="CH8" s="16" t="n">
        <v>141020.6</v>
      </c>
      <c r="CI8" s="16" t="n">
        <v>1178034.5</v>
      </c>
      <c r="CJ8" s="16" t="n">
        <v>1942517.4</v>
      </c>
      <c r="CK8" s="16" t="n">
        <v>1220348.1</v>
      </c>
      <c r="CL8" s="16" t="n">
        <v>1299238.7</v>
      </c>
      <c r="CM8" s="16" t="n">
        <v>1172897</v>
      </c>
      <c r="CN8" s="16" t="n">
        <v>595.6</v>
      </c>
      <c r="CO8" s="16" t="n">
        <v>111451.4</v>
      </c>
      <c r="CP8" s="16" t="n">
        <v>85831.10000000001</v>
      </c>
      <c r="CQ8" s="16" t="n">
        <v>429</v>
      </c>
      <c r="CR8" s="16" t="n">
        <v>20245</v>
      </c>
      <c r="CS8" s="16" t="n">
        <v>19305</v>
      </c>
      <c r="CT8" s="16" t="n">
        <v>2</v>
      </c>
      <c r="CU8" s="16" t="n">
        <v>814011.1</v>
      </c>
      <c r="CV8" s="16" t="n">
        <v>844976.7</v>
      </c>
      <c r="CW8" s="16" t="n">
        <v>168030.4</v>
      </c>
      <c r="CX8" s="16" t="n">
        <v>3603080.9</v>
      </c>
      <c r="CY8" s="16" t="n">
        <v>1658464.7</v>
      </c>
      <c r="CZ8" s="16" t="n">
        <v>420833</v>
      </c>
      <c r="DA8" s="16" t="n">
        <v>289646.6</v>
      </c>
      <c r="DB8" s="16" t="n">
        <v>345045.2</v>
      </c>
      <c r="DC8" s="16" t="n">
        <v>254976</v>
      </c>
      <c r="DD8" s="16" t="n">
        <v>5930.1</v>
      </c>
      <c r="DE8" s="16" t="n">
        <v>6390.2</v>
      </c>
      <c r="DF8" s="16" t="n">
        <v>2577012.3</v>
      </c>
      <c r="DG8" s="16" t="n">
        <v>2005260.4</v>
      </c>
      <c r="DH8" s="16" t="n">
        <v>1000000</v>
      </c>
      <c r="DI8" s="16" t="n">
        <v>671475.8</v>
      </c>
      <c r="DJ8" s="16" t="n">
        <v>82465.60000000001</v>
      </c>
      <c r="DK8" s="16" t="n">
        <v>548000</v>
      </c>
      <c r="DL8" s="16" t="n">
        <v>21559.1</v>
      </c>
      <c r="DM8" s="16" t="n">
        <v>5</v>
      </c>
      <c r="DN8" s="16" t="n">
        <v>1</v>
      </c>
      <c r="DO8" s="16" t="n">
        <v>0</v>
      </c>
      <c r="DP8" s="16" t="n">
        <v>0</v>
      </c>
      <c r="DQ8" s="16" t="n">
        <v>7</v>
      </c>
      <c r="DR8" s="16" t="n">
        <v>21</v>
      </c>
      <c r="DS8" s="16" t="n">
        <v>5</v>
      </c>
      <c r="DT8" s="16" t="n">
        <v>2</v>
      </c>
      <c r="DU8" s="16" t="n">
        <v>1</v>
      </c>
      <c r="DV8" s="16" t="n">
        <v>60</v>
      </c>
      <c r="DW8" s="16" t="n">
        <v>30</v>
      </c>
      <c r="DX8" s="16" t="n">
        <v>5059.6</v>
      </c>
      <c r="DY8" s="16" t="n">
        <v>3578</v>
      </c>
      <c r="DZ8" s="16" t="n">
        <v>1035</v>
      </c>
      <c r="EA8" s="16" t="n">
        <v>350.8</v>
      </c>
      <c r="EB8" s="16" t="n">
        <v>639.5</v>
      </c>
      <c r="EC8" s="16" t="n">
        <v>72</v>
      </c>
      <c r="ED8" s="16" t="n">
        <v>68</v>
      </c>
      <c r="EE8" s="16" t="n">
        <v>2</v>
      </c>
      <c r="EF8" s="16" t="n">
        <v>0</v>
      </c>
      <c r="EG8" s="16" t="n">
        <v>2</v>
      </c>
      <c r="EH8" s="16" t="n">
        <v>0</v>
      </c>
      <c r="EI8" s="16" t="n">
        <v>0</v>
      </c>
      <c r="EJ8" s="16" t="n">
        <v>1</v>
      </c>
      <c r="EK8" s="16" t="n">
        <v>1</v>
      </c>
      <c r="EL8" s="16" t="n">
        <v>1</v>
      </c>
      <c r="EM8" s="16" t="n">
        <v>0</v>
      </c>
      <c r="EN8" s="16" t="n">
        <v>0</v>
      </c>
      <c r="EO8" s="16" t="n">
        <v>0</v>
      </c>
      <c r="EP8" s="16" t="n">
        <v>0</v>
      </c>
      <c r="EQ8" s="16" t="n">
        <v>2</v>
      </c>
      <c r="ER8" s="16" t="n">
        <v>1</v>
      </c>
      <c r="ES8" s="16" t="n">
        <v>0</v>
      </c>
      <c r="ET8" s="16" t="n">
        <v>1</v>
      </c>
      <c r="EU8" s="16" t="n">
        <v>3</v>
      </c>
      <c r="EV8" s="16" t="n">
        <v>0</v>
      </c>
      <c r="EW8" s="16" t="n">
        <v>0</v>
      </c>
      <c r="EX8" s="16" t="n">
        <v>0</v>
      </c>
      <c r="EY8" s="16" t="n">
        <v>50</v>
      </c>
      <c r="EZ8" s="16" t="n">
        <v>43</v>
      </c>
      <c r="FA8" s="16" t="n">
        <v>2</v>
      </c>
      <c r="FB8" s="16" t="n">
        <v>60</v>
      </c>
      <c r="FC8" s="16" t="n">
        <v>28</v>
      </c>
      <c r="FD8" s="16" t="n">
        <v>23</v>
      </c>
      <c r="FE8" s="16" t="n">
        <v>26</v>
      </c>
      <c r="FF8" s="16" t="n">
        <v>0</v>
      </c>
      <c r="FG8" s="16" t="n">
        <v>1</v>
      </c>
      <c r="FH8" s="16" t="n">
        <v>1</v>
      </c>
      <c r="FI8" s="16" t="n">
        <v>489715</v>
      </c>
      <c r="FJ8" s="16" t="n">
        <v>486862</v>
      </c>
      <c r="FK8" s="16" t="n">
        <v>400</v>
      </c>
      <c r="FL8" s="16" t="n">
        <v>382</v>
      </c>
      <c r="FM8" s="16" t="n">
        <v>1</v>
      </c>
      <c r="FN8" s="16" t="n">
        <v>0</v>
      </c>
      <c r="FO8" s="16" t="n">
        <v>0</v>
      </c>
      <c r="FP8" s="16" t="n">
        <v>4</v>
      </c>
      <c r="FQ8" s="16" t="n">
        <v>12.2</v>
      </c>
      <c r="FR8" s="16" t="n">
        <v>3</v>
      </c>
      <c r="FS8" s="16" t="n">
        <v>1</v>
      </c>
      <c r="FT8" s="16" t="n">
        <v>1</v>
      </c>
      <c r="FU8" s="16" t="n">
        <v>1</v>
      </c>
    </row>
    <row r="9">
      <c r="A9" t="inlineStr">
        <is>
          <t>Group</t>
        </is>
      </c>
      <c r="B9" t="inlineStr">
        <is>
          <t>Entity A1</t>
        </is>
      </c>
      <c r="C9" t="inlineStr">
        <is>
          <t>2026-09</t>
        </is>
      </c>
      <c r="D9" t="n">
        <v>30</v>
      </c>
      <c r="E9" s="14">
        <f>SUM('Plant Inputs'!F9,'Plant Inputs'!F15,'Plant Inputs'!F21)</f>
        <v/>
      </c>
      <c r="F9" s="14">
        <f>SUM('Plant Inputs'!G9,'Plant Inputs'!G15,'Plant Inputs'!G21)</f>
        <v/>
      </c>
      <c r="G9" s="14">
        <f>SUM('Plant Inputs'!H9,'Plant Inputs'!H15,'Plant Inputs'!H21)</f>
        <v/>
      </c>
      <c r="H9" s="14">
        <f>SUM('Plant Inputs'!I9,'Plant Inputs'!I15,'Plant Inputs'!I21)</f>
        <v/>
      </c>
      <c r="I9" s="14">
        <f>SUM('Plant Inputs'!J9,'Plant Inputs'!J15,'Plant Inputs'!J21)</f>
        <v/>
      </c>
      <c r="J9" s="14">
        <f>SUM('Plant Inputs'!K9,'Plant Inputs'!K15,'Plant Inputs'!K21)</f>
        <v/>
      </c>
      <c r="K9" s="14">
        <f>SUM('Plant Inputs'!L9,'Plant Inputs'!L15,'Plant Inputs'!L21)</f>
        <v/>
      </c>
      <c r="L9" s="14">
        <f>SUM('Plant Inputs'!M9,'Plant Inputs'!M15,'Plant Inputs'!M21)</f>
        <v/>
      </c>
      <c r="M9" s="14">
        <f>SUM('Plant Inputs'!N9,'Plant Inputs'!N15,'Plant Inputs'!N21)</f>
        <v/>
      </c>
      <c r="N9" s="14">
        <f>SUM('Plant Inputs'!O9,'Plant Inputs'!O15,'Plant Inputs'!O21)</f>
        <v/>
      </c>
      <c r="O9" s="14">
        <f>SUM('Plant Inputs'!P9,'Plant Inputs'!P15,'Plant Inputs'!P21)</f>
        <v/>
      </c>
      <c r="P9" s="14">
        <f>SUM('Plant Inputs'!Q9,'Plant Inputs'!Q15,'Plant Inputs'!Q21)</f>
        <v/>
      </c>
      <c r="Q9" s="14">
        <f>SUM('Plant Inputs'!R9,'Plant Inputs'!R15,'Plant Inputs'!R21)</f>
        <v/>
      </c>
      <c r="R9" s="14">
        <f>SUM('Plant Inputs'!S9,'Plant Inputs'!S15,'Plant Inputs'!S21)</f>
        <v/>
      </c>
      <c r="S9" s="14">
        <f>SUM('Plant Inputs'!T9,'Plant Inputs'!T15,'Plant Inputs'!T21)</f>
        <v/>
      </c>
      <c r="T9" s="14">
        <f>SUM('Plant Inputs'!U9,'Plant Inputs'!U15,'Plant Inputs'!U21)</f>
        <v/>
      </c>
      <c r="U9" s="14">
        <f>SUM('Plant Inputs'!V9,'Plant Inputs'!V15,'Plant Inputs'!V21)</f>
        <v/>
      </c>
      <c r="V9" s="14">
        <f>SUM('Plant Inputs'!W9,'Plant Inputs'!W15,'Plant Inputs'!W21)</f>
        <v/>
      </c>
      <c r="W9" s="14">
        <f>SUM('Plant Inputs'!X9,'Plant Inputs'!X15,'Plant Inputs'!X21)</f>
        <v/>
      </c>
      <c r="X9" s="14">
        <f>SUM('Plant Inputs'!Y9,'Plant Inputs'!Y15,'Plant Inputs'!Y21)</f>
        <v/>
      </c>
      <c r="Y9" s="14">
        <f>SUM('Plant Inputs'!Z9,'Plant Inputs'!Z15,'Plant Inputs'!Z21)</f>
        <v/>
      </c>
      <c r="Z9" s="14">
        <f>SUM('Plant Inputs'!AA9,'Plant Inputs'!AA15,'Plant Inputs'!AA21)</f>
        <v/>
      </c>
      <c r="AA9" s="14">
        <f>SUM('Plant Inputs'!AB9,'Plant Inputs'!AB15,'Plant Inputs'!AB21)</f>
        <v/>
      </c>
      <c r="AB9" s="14">
        <f>SUM('Plant Inputs'!AC9,'Plant Inputs'!AC15,'Plant Inputs'!AC21)</f>
        <v/>
      </c>
      <c r="AC9" s="14">
        <f>SUM('Plant Inputs'!AD9,'Plant Inputs'!AD15,'Plant Inputs'!AD21)</f>
        <v/>
      </c>
      <c r="AD9" s="14">
        <f>SUM('Plant Inputs'!AE9,'Plant Inputs'!AE15,'Plant Inputs'!AE21)</f>
        <v/>
      </c>
      <c r="AE9" s="14">
        <f>SUM('Plant Inputs'!AF9,'Plant Inputs'!AF15,'Plant Inputs'!AF21)</f>
        <v/>
      </c>
      <c r="AF9" s="14">
        <f>SUM('Plant Inputs'!AG9,'Plant Inputs'!AG15,'Plant Inputs'!AG21)</f>
        <v/>
      </c>
      <c r="AG9" s="14">
        <f>SUM('Plant Inputs'!AH9,'Plant Inputs'!AH15,'Plant Inputs'!AH21)</f>
        <v/>
      </c>
      <c r="AH9" s="14">
        <f>SUM('Plant Inputs'!AI9,'Plant Inputs'!AI15,'Plant Inputs'!AI21)</f>
        <v/>
      </c>
      <c r="AI9" s="14">
        <f>SUM('Plant Inputs'!AJ9,'Plant Inputs'!AJ15,'Plant Inputs'!AJ21)</f>
        <v/>
      </c>
      <c r="AJ9" s="14">
        <f>SUM('Plant Inputs'!AK9,'Plant Inputs'!AK15,'Plant Inputs'!AK21)</f>
        <v/>
      </c>
      <c r="AK9" s="14">
        <f>SUM('Plant Inputs'!AL9,'Plant Inputs'!AL15,'Plant Inputs'!AL21)</f>
        <v/>
      </c>
      <c r="AL9" s="14">
        <f>SUM('Plant Inputs'!AM9,'Plant Inputs'!AM15,'Plant Inputs'!AM21)</f>
        <v/>
      </c>
      <c r="AM9" s="14">
        <f>SUM('Plant Inputs'!AN9,'Plant Inputs'!AN15,'Plant Inputs'!AN21)</f>
        <v/>
      </c>
      <c r="AN9" s="14">
        <f>SUM('Plant Inputs'!AO9,'Plant Inputs'!AO15,'Plant Inputs'!AO21)</f>
        <v/>
      </c>
      <c r="AO9" s="14">
        <f>SUM('Plant Inputs'!AP9,'Plant Inputs'!AP15,'Plant Inputs'!AP21)</f>
        <v/>
      </c>
      <c r="AP9" s="14">
        <f>SUM('Plant Inputs'!AQ9,'Plant Inputs'!AQ15,'Plant Inputs'!AQ21)</f>
        <v/>
      </c>
      <c r="AQ9" s="14">
        <f>SUM('Plant Inputs'!AR9,'Plant Inputs'!AR15,'Plant Inputs'!AR21)</f>
        <v/>
      </c>
      <c r="AR9" s="14">
        <f>MIN('Plant Inputs'!AS9,'Plant Inputs'!AS15,'Plant Inputs'!AS21)</f>
        <v/>
      </c>
      <c r="AS9" s="14">
        <f>SUM('Plant Inputs'!AT9,'Plant Inputs'!AT15,'Plant Inputs'!AT21)</f>
        <v/>
      </c>
      <c r="AT9" s="14">
        <f>SUM('Plant Inputs'!AU9,'Plant Inputs'!AU15,'Plant Inputs'!AU21)</f>
        <v/>
      </c>
      <c r="AU9" s="14">
        <f>SUM('Plant Inputs'!AV9,'Plant Inputs'!AV15,'Plant Inputs'!AV21)</f>
        <v/>
      </c>
      <c r="AV9" s="14">
        <f>SUM('Plant Inputs'!AW9,'Plant Inputs'!AW15,'Plant Inputs'!AW21)</f>
        <v/>
      </c>
      <c r="AW9" s="14">
        <f>SUM('Plant Inputs'!AX9,'Plant Inputs'!AX15,'Plant Inputs'!AX21)</f>
        <v/>
      </c>
      <c r="AX9" s="14">
        <f>SUM('Plant Inputs'!AY9,'Plant Inputs'!AY15,'Plant Inputs'!AY21)</f>
        <v/>
      </c>
      <c r="AY9" s="14">
        <f>SUM('Plant Inputs'!AZ9,'Plant Inputs'!AZ15,'Plant Inputs'!AZ21)</f>
        <v/>
      </c>
      <c r="AZ9" s="14">
        <f>SUM('Plant Inputs'!BA9,'Plant Inputs'!BA15,'Plant Inputs'!BA21)</f>
        <v/>
      </c>
      <c r="BA9" s="14">
        <f>SUM('Plant Inputs'!BB9,'Plant Inputs'!BB15,'Plant Inputs'!BB21)</f>
        <v/>
      </c>
      <c r="BB9" s="14">
        <f>SUM('Plant Inputs'!BC9,'Plant Inputs'!BC15,'Plant Inputs'!BC21)</f>
        <v/>
      </c>
      <c r="BC9" s="14">
        <f>SUM('Plant Inputs'!BD9,'Plant Inputs'!BD15,'Plant Inputs'!BD21)</f>
        <v/>
      </c>
      <c r="BD9" s="14">
        <f>SUM('Plant Inputs'!BE9,'Plant Inputs'!BE15,'Plant Inputs'!BE21)</f>
        <v/>
      </c>
      <c r="BE9" s="14">
        <f>SUM('Plant Inputs'!BF9,'Plant Inputs'!BF15,'Plant Inputs'!BF21)</f>
        <v/>
      </c>
      <c r="BF9" s="14">
        <f>SUM('Plant Inputs'!BG9,'Plant Inputs'!BG15,'Plant Inputs'!BG21)</f>
        <v/>
      </c>
      <c r="BG9" s="14">
        <f>SUM('Plant Inputs'!BH9,'Plant Inputs'!BH15,'Plant Inputs'!BH21)</f>
        <v/>
      </c>
      <c r="BH9" s="14">
        <f>SUM('Plant Inputs'!BI9,'Plant Inputs'!BI15,'Plant Inputs'!BI21)</f>
        <v/>
      </c>
      <c r="BI9" s="14">
        <f>SUM('Plant Inputs'!BJ9,'Plant Inputs'!BJ15,'Plant Inputs'!BJ21)</f>
        <v/>
      </c>
      <c r="BJ9" s="14">
        <f>SUM('Plant Inputs'!BK9,'Plant Inputs'!BK15,'Plant Inputs'!BK21)</f>
        <v/>
      </c>
      <c r="BK9" s="14">
        <f>SUM('Plant Inputs'!BL9,'Plant Inputs'!BL15,'Plant Inputs'!BL21)</f>
        <v/>
      </c>
      <c r="BL9" s="14">
        <f>SUM('Plant Inputs'!BM9,'Plant Inputs'!BM15,'Plant Inputs'!BM21)</f>
        <v/>
      </c>
      <c r="BM9" s="14">
        <f>SUM('Plant Inputs'!BN9,'Plant Inputs'!BN15,'Plant Inputs'!BN21)</f>
        <v/>
      </c>
      <c r="BN9" s="14">
        <f>SUM('Plant Inputs'!BO9,'Plant Inputs'!BO15,'Plant Inputs'!BO21)</f>
        <v/>
      </c>
      <c r="BO9" s="14">
        <f>SUM('Plant Inputs'!BP9,'Plant Inputs'!BP15,'Plant Inputs'!BP21)</f>
        <v/>
      </c>
      <c r="BP9" s="14">
        <f>SUM('Plant Inputs'!BQ9,'Plant Inputs'!BQ15,'Plant Inputs'!BQ21)</f>
        <v/>
      </c>
      <c r="BQ9" s="14">
        <f>SUM('Plant Inputs'!BR9,'Plant Inputs'!BR15,'Plant Inputs'!BR21)</f>
        <v/>
      </c>
      <c r="BR9" s="14">
        <f>SUM('Plant Inputs'!BS9,'Plant Inputs'!BS15,'Plant Inputs'!BS21)</f>
        <v/>
      </c>
      <c r="BS9" s="14">
        <f>MIN('Plant Inputs'!BT9,'Plant Inputs'!BT15,'Plant Inputs'!BT21)</f>
        <v/>
      </c>
      <c r="BT9" s="14">
        <f>SUM('Plant Inputs'!BU9,'Plant Inputs'!BU15,'Plant Inputs'!BU21)</f>
        <v/>
      </c>
      <c r="BU9" s="14">
        <f>SUM('Plant Inputs'!BV9,'Plant Inputs'!BV15,'Plant Inputs'!BV21)</f>
        <v/>
      </c>
      <c r="BV9" s="14">
        <f>SUM('Plant Inputs'!BW9,'Plant Inputs'!BW15,'Plant Inputs'!BW21)</f>
        <v/>
      </c>
      <c r="BW9" s="14">
        <f>SUM('Plant Inputs'!BX9,'Plant Inputs'!BX15,'Plant Inputs'!BX21)</f>
        <v/>
      </c>
      <c r="BX9" s="14">
        <f>SUM('Plant Inputs'!BY9,'Plant Inputs'!BY15,'Plant Inputs'!BY21)</f>
        <v/>
      </c>
      <c r="BY9" s="16" t="n">
        <v>50448.8</v>
      </c>
      <c r="BZ9" s="16" t="n">
        <v>37174.1</v>
      </c>
      <c r="CA9" s="16" t="n">
        <v>11016000</v>
      </c>
      <c r="CB9" s="16" t="n">
        <v>4577082.6</v>
      </c>
      <c r="CC9" s="16" t="n">
        <v>967082.6</v>
      </c>
      <c r="CD9" s="16" t="n">
        <v>449031.4</v>
      </c>
      <c r="CE9" s="16" t="n">
        <v>37905</v>
      </c>
      <c r="CF9" s="16" t="n">
        <v>486342.3</v>
      </c>
      <c r="CG9" s="16" t="n">
        <v>1440701.8</v>
      </c>
      <c r="CH9" s="16" t="n">
        <v>201088.9</v>
      </c>
      <c r="CI9" s="16" t="n">
        <v>1153045</v>
      </c>
      <c r="CJ9" s="16" t="n">
        <v>2003213.3</v>
      </c>
      <c r="CK9" s="16" t="n">
        <v>1205957.8</v>
      </c>
      <c r="CL9" s="16" t="n">
        <v>1214918.8</v>
      </c>
      <c r="CM9" s="16" t="n">
        <v>1158127.3</v>
      </c>
      <c r="CN9" s="16" t="n">
        <v>843.3</v>
      </c>
      <c r="CO9" s="16" t="n">
        <v>122055.2</v>
      </c>
      <c r="CP9" s="16" t="n">
        <v>94842.60000000001</v>
      </c>
      <c r="CQ9" s="16" t="n">
        <v>395</v>
      </c>
      <c r="CR9" s="16" t="n">
        <v>18541</v>
      </c>
      <c r="CS9" s="16" t="n">
        <v>17775</v>
      </c>
      <c r="CT9" s="16" t="n">
        <v>2</v>
      </c>
      <c r="CU9" s="16" t="n">
        <v>1161973.5</v>
      </c>
      <c r="CV9" s="16" t="n">
        <v>1210504.1</v>
      </c>
      <c r="CW9" s="16" t="n">
        <v>164691.3</v>
      </c>
      <c r="CX9" s="16" t="n">
        <v>3584699.7</v>
      </c>
      <c r="CY9" s="16" t="n">
        <v>2391562.6</v>
      </c>
      <c r="CZ9" s="16" t="n">
        <v>437492.4</v>
      </c>
      <c r="DA9" s="16" t="n">
        <v>314223.8</v>
      </c>
      <c r="DB9" s="16" t="n">
        <v>354951.3</v>
      </c>
      <c r="DC9" s="16" t="n">
        <v>255711.3</v>
      </c>
      <c r="DD9" s="16" t="n">
        <v>7006.3</v>
      </c>
      <c r="DE9" s="16" t="n">
        <v>7653.2</v>
      </c>
      <c r="DF9" s="16" t="n">
        <v>2579231.2</v>
      </c>
      <c r="DG9" s="16" t="n">
        <v>2009224.9</v>
      </c>
      <c r="DH9" s="16" t="n">
        <v>1000000</v>
      </c>
      <c r="DI9" s="16" t="n">
        <v>722629.1</v>
      </c>
      <c r="DJ9" s="16" t="n">
        <v>79170.5</v>
      </c>
      <c r="DK9" s="16" t="n">
        <v>590000</v>
      </c>
      <c r="DL9" s="16" t="n">
        <v>20798.4</v>
      </c>
      <c r="DM9" s="16" t="n">
        <v>5</v>
      </c>
      <c r="DN9" s="16" t="n">
        <v>1</v>
      </c>
      <c r="DO9" s="16" t="n">
        <v>0</v>
      </c>
      <c r="DP9" s="16" t="n">
        <v>0</v>
      </c>
      <c r="DQ9" s="16" t="n">
        <v>4</v>
      </c>
      <c r="DR9" s="16" t="n">
        <v>10</v>
      </c>
      <c r="DS9" s="16" t="n">
        <v>5</v>
      </c>
      <c r="DT9" s="16" t="n">
        <v>2</v>
      </c>
      <c r="DU9" s="16" t="n">
        <v>1</v>
      </c>
      <c r="DV9" s="16" t="n">
        <v>60</v>
      </c>
      <c r="DW9" s="16" t="n">
        <v>32</v>
      </c>
      <c r="DX9" s="16" t="n">
        <v>4825.8</v>
      </c>
      <c r="DY9" s="16" t="n">
        <v>3192.7</v>
      </c>
      <c r="DZ9" s="16" t="n">
        <v>1075</v>
      </c>
      <c r="EA9" s="16" t="n">
        <v>391.3</v>
      </c>
      <c r="EB9" s="16" t="n">
        <v>648.2</v>
      </c>
      <c r="EC9" s="16" t="n">
        <v>72</v>
      </c>
      <c r="ED9" s="16" t="n">
        <v>69</v>
      </c>
      <c r="EE9" s="16" t="n">
        <v>2</v>
      </c>
      <c r="EF9" s="16" t="n">
        <v>0</v>
      </c>
      <c r="EG9" s="16" t="n">
        <v>2</v>
      </c>
      <c r="EH9" s="16" t="n">
        <v>0</v>
      </c>
      <c r="EI9" s="16" t="n">
        <v>0</v>
      </c>
      <c r="EJ9" s="16" t="n">
        <v>0</v>
      </c>
      <c r="EK9" s="16" t="n">
        <v>0</v>
      </c>
      <c r="EL9" s="16" t="n">
        <v>1</v>
      </c>
      <c r="EM9" s="16" t="n">
        <v>0</v>
      </c>
      <c r="EN9" s="16" t="n">
        <v>0</v>
      </c>
      <c r="EO9" s="16" t="n">
        <v>0</v>
      </c>
      <c r="EP9" s="16" t="n">
        <v>0</v>
      </c>
      <c r="EQ9" s="16" t="n">
        <v>1</v>
      </c>
      <c r="ER9" s="16" t="n">
        <v>1</v>
      </c>
      <c r="ES9" s="16" t="n">
        <v>0</v>
      </c>
      <c r="ET9" s="16" t="n">
        <v>1</v>
      </c>
      <c r="EU9" s="16" t="n">
        <v>2</v>
      </c>
      <c r="EV9" s="16" t="n">
        <v>0</v>
      </c>
      <c r="EW9" s="16" t="n">
        <v>0</v>
      </c>
      <c r="EX9" s="16" t="n">
        <v>0</v>
      </c>
      <c r="EY9" s="16" t="n">
        <v>50</v>
      </c>
      <c r="EZ9" s="16" t="n">
        <v>43</v>
      </c>
      <c r="FA9" s="16" t="n">
        <v>3</v>
      </c>
      <c r="FB9" s="16" t="n">
        <v>88</v>
      </c>
      <c r="FC9" s="16" t="n">
        <v>28</v>
      </c>
      <c r="FD9" s="16" t="n">
        <v>23</v>
      </c>
      <c r="FE9" s="16" t="n">
        <v>26</v>
      </c>
      <c r="FF9" s="16" t="n">
        <v>0</v>
      </c>
      <c r="FG9" s="16" t="n">
        <v>1</v>
      </c>
      <c r="FH9" s="16" t="n">
        <v>1</v>
      </c>
      <c r="FI9" s="16" t="n">
        <v>500044</v>
      </c>
      <c r="FJ9" s="16" t="n">
        <v>494690</v>
      </c>
      <c r="FK9" s="16" t="n">
        <v>400</v>
      </c>
      <c r="FL9" s="16" t="n">
        <v>377</v>
      </c>
      <c r="FM9" s="16" t="n">
        <v>1</v>
      </c>
      <c r="FN9" s="16" t="n">
        <v>0</v>
      </c>
      <c r="FO9" s="16" t="n">
        <v>0</v>
      </c>
      <c r="FP9" s="16" t="n">
        <v>6</v>
      </c>
      <c r="FQ9" s="16" t="n">
        <v>16.7</v>
      </c>
      <c r="FR9" s="16" t="n">
        <v>3</v>
      </c>
      <c r="FS9" s="16" t="n">
        <v>1</v>
      </c>
      <c r="FT9" s="16" t="n">
        <v>1</v>
      </c>
      <c r="FU9" s="16" t="n">
        <v>1</v>
      </c>
    </row>
    <row r="10">
      <c r="A10" t="inlineStr">
        <is>
          <t>Group</t>
        </is>
      </c>
      <c r="B10" t="inlineStr">
        <is>
          <t>Entity A2</t>
        </is>
      </c>
      <c r="C10" t="inlineStr">
        <is>
          <t>2026-04</t>
        </is>
      </c>
      <c r="D10" t="n">
        <v>30</v>
      </c>
      <c r="E10" s="14">
        <f>SUM('Plant Inputs'!F22,'Plant Inputs'!F28,'Plant Inputs'!F34)</f>
        <v/>
      </c>
      <c r="F10" s="14">
        <f>SUM('Plant Inputs'!G22,'Plant Inputs'!G28,'Plant Inputs'!G34)</f>
        <v/>
      </c>
      <c r="G10" s="14">
        <f>SUM('Plant Inputs'!H22,'Plant Inputs'!H28,'Plant Inputs'!H34)</f>
        <v/>
      </c>
      <c r="H10" s="14">
        <f>SUM('Plant Inputs'!I22,'Plant Inputs'!I28,'Plant Inputs'!I34)</f>
        <v/>
      </c>
      <c r="I10" s="14">
        <f>SUM('Plant Inputs'!J22,'Plant Inputs'!J28,'Plant Inputs'!J34)</f>
        <v/>
      </c>
      <c r="J10" s="14">
        <f>SUM('Plant Inputs'!K22,'Plant Inputs'!K28,'Plant Inputs'!K34)</f>
        <v/>
      </c>
      <c r="K10" s="14">
        <f>SUM('Plant Inputs'!L22,'Plant Inputs'!L28,'Plant Inputs'!L34)</f>
        <v/>
      </c>
      <c r="L10" s="14">
        <f>SUM('Plant Inputs'!M22,'Plant Inputs'!M28,'Plant Inputs'!M34)</f>
        <v/>
      </c>
      <c r="M10" s="14">
        <f>SUM('Plant Inputs'!N22,'Plant Inputs'!N28,'Plant Inputs'!N34)</f>
        <v/>
      </c>
      <c r="N10" s="14">
        <f>SUM('Plant Inputs'!O22,'Plant Inputs'!O28,'Plant Inputs'!O34)</f>
        <v/>
      </c>
      <c r="O10" s="14">
        <f>SUM('Plant Inputs'!P22,'Plant Inputs'!P28,'Plant Inputs'!P34)</f>
        <v/>
      </c>
      <c r="P10" s="14">
        <f>SUM('Plant Inputs'!Q22,'Plant Inputs'!Q28,'Plant Inputs'!Q34)</f>
        <v/>
      </c>
      <c r="Q10" s="14">
        <f>SUM('Plant Inputs'!R22,'Plant Inputs'!R28,'Plant Inputs'!R34)</f>
        <v/>
      </c>
      <c r="R10" s="14">
        <f>SUM('Plant Inputs'!S22,'Plant Inputs'!S28,'Plant Inputs'!S34)</f>
        <v/>
      </c>
      <c r="S10" s="14">
        <f>SUM('Plant Inputs'!T22,'Plant Inputs'!T28,'Plant Inputs'!T34)</f>
        <v/>
      </c>
      <c r="T10" s="14">
        <f>SUM('Plant Inputs'!U22,'Plant Inputs'!U28,'Plant Inputs'!U34)</f>
        <v/>
      </c>
      <c r="U10" s="14">
        <f>SUM('Plant Inputs'!V22,'Plant Inputs'!V28,'Plant Inputs'!V34)</f>
        <v/>
      </c>
      <c r="V10" s="14">
        <f>SUM('Plant Inputs'!W22,'Plant Inputs'!W28,'Plant Inputs'!W34)</f>
        <v/>
      </c>
      <c r="W10" s="14">
        <f>SUM('Plant Inputs'!X22,'Plant Inputs'!X28,'Plant Inputs'!X34)</f>
        <v/>
      </c>
      <c r="X10" s="14">
        <f>SUM('Plant Inputs'!Y22,'Plant Inputs'!Y28,'Plant Inputs'!Y34)</f>
        <v/>
      </c>
      <c r="Y10" s="14">
        <f>SUM('Plant Inputs'!Z22,'Plant Inputs'!Z28,'Plant Inputs'!Z34)</f>
        <v/>
      </c>
      <c r="Z10" s="14">
        <f>SUM('Plant Inputs'!AA22,'Plant Inputs'!AA28,'Plant Inputs'!AA34)</f>
        <v/>
      </c>
      <c r="AA10" s="14">
        <f>SUM('Plant Inputs'!AB22,'Plant Inputs'!AB28,'Plant Inputs'!AB34)</f>
        <v/>
      </c>
      <c r="AB10" s="14">
        <f>SUM('Plant Inputs'!AC22,'Plant Inputs'!AC28,'Plant Inputs'!AC34)</f>
        <v/>
      </c>
      <c r="AC10" s="14">
        <f>SUM('Plant Inputs'!AD22,'Plant Inputs'!AD28,'Plant Inputs'!AD34)</f>
        <v/>
      </c>
      <c r="AD10" s="14">
        <f>SUM('Plant Inputs'!AE22,'Plant Inputs'!AE28,'Plant Inputs'!AE34)</f>
        <v/>
      </c>
      <c r="AE10" s="14">
        <f>SUM('Plant Inputs'!AF22,'Plant Inputs'!AF28,'Plant Inputs'!AF34)</f>
        <v/>
      </c>
      <c r="AF10" s="14">
        <f>SUM('Plant Inputs'!AG22,'Plant Inputs'!AG28,'Plant Inputs'!AG34)</f>
        <v/>
      </c>
      <c r="AG10" s="14">
        <f>SUM('Plant Inputs'!AH22,'Plant Inputs'!AH28,'Plant Inputs'!AH34)</f>
        <v/>
      </c>
      <c r="AH10" s="14">
        <f>SUM('Plant Inputs'!AI22,'Plant Inputs'!AI28,'Plant Inputs'!AI34)</f>
        <v/>
      </c>
      <c r="AI10" s="14">
        <f>SUM('Plant Inputs'!AJ22,'Plant Inputs'!AJ28,'Plant Inputs'!AJ34)</f>
        <v/>
      </c>
      <c r="AJ10" s="14">
        <f>SUM('Plant Inputs'!AK22,'Plant Inputs'!AK28,'Plant Inputs'!AK34)</f>
        <v/>
      </c>
      <c r="AK10" s="14">
        <f>SUM('Plant Inputs'!AL22,'Plant Inputs'!AL28,'Plant Inputs'!AL34)</f>
        <v/>
      </c>
      <c r="AL10" s="14">
        <f>SUM('Plant Inputs'!AM22,'Plant Inputs'!AM28,'Plant Inputs'!AM34)</f>
        <v/>
      </c>
      <c r="AM10" s="14">
        <f>SUM('Plant Inputs'!AN22,'Plant Inputs'!AN28,'Plant Inputs'!AN34)</f>
        <v/>
      </c>
      <c r="AN10" s="14">
        <f>SUM('Plant Inputs'!AO22,'Plant Inputs'!AO28,'Plant Inputs'!AO34)</f>
        <v/>
      </c>
      <c r="AO10" s="14">
        <f>SUM('Plant Inputs'!AP22,'Plant Inputs'!AP28,'Plant Inputs'!AP34)</f>
        <v/>
      </c>
      <c r="AP10" s="14">
        <f>SUM('Plant Inputs'!AQ22,'Plant Inputs'!AQ28,'Plant Inputs'!AQ34)</f>
        <v/>
      </c>
      <c r="AQ10" s="14">
        <f>SUM('Plant Inputs'!AR22,'Plant Inputs'!AR28,'Plant Inputs'!AR34)</f>
        <v/>
      </c>
      <c r="AR10" s="14">
        <f>MIN('Plant Inputs'!AS22,'Plant Inputs'!AS28,'Plant Inputs'!AS34)</f>
        <v/>
      </c>
      <c r="AS10" s="14">
        <f>SUM('Plant Inputs'!AT22,'Plant Inputs'!AT28,'Plant Inputs'!AT34)</f>
        <v/>
      </c>
      <c r="AT10" s="14">
        <f>SUM('Plant Inputs'!AU22,'Plant Inputs'!AU28,'Plant Inputs'!AU34)</f>
        <v/>
      </c>
      <c r="AU10" s="14">
        <f>SUM('Plant Inputs'!AV22,'Plant Inputs'!AV28,'Plant Inputs'!AV34)</f>
        <v/>
      </c>
      <c r="AV10" s="14">
        <f>SUM('Plant Inputs'!AW22,'Plant Inputs'!AW28,'Plant Inputs'!AW34)</f>
        <v/>
      </c>
      <c r="AW10" s="14">
        <f>SUM('Plant Inputs'!AX22,'Plant Inputs'!AX28,'Plant Inputs'!AX34)</f>
        <v/>
      </c>
      <c r="AX10" s="14">
        <f>SUM('Plant Inputs'!AY22,'Plant Inputs'!AY28,'Plant Inputs'!AY34)</f>
        <v/>
      </c>
      <c r="AY10" s="14">
        <f>SUM('Plant Inputs'!AZ22,'Plant Inputs'!AZ28,'Plant Inputs'!AZ34)</f>
        <v/>
      </c>
      <c r="AZ10" s="14">
        <f>SUM('Plant Inputs'!BA22,'Plant Inputs'!BA28,'Plant Inputs'!BA34)</f>
        <v/>
      </c>
      <c r="BA10" s="14">
        <f>SUM('Plant Inputs'!BB22,'Plant Inputs'!BB28,'Plant Inputs'!BB34)</f>
        <v/>
      </c>
      <c r="BB10" s="14">
        <f>SUM('Plant Inputs'!BC22,'Plant Inputs'!BC28,'Plant Inputs'!BC34)</f>
        <v/>
      </c>
      <c r="BC10" s="14">
        <f>SUM('Plant Inputs'!BD22,'Plant Inputs'!BD28,'Plant Inputs'!BD34)</f>
        <v/>
      </c>
      <c r="BD10" s="14">
        <f>SUM('Plant Inputs'!BE22,'Plant Inputs'!BE28,'Plant Inputs'!BE34)</f>
        <v/>
      </c>
      <c r="BE10" s="14">
        <f>SUM('Plant Inputs'!BF22,'Plant Inputs'!BF28,'Plant Inputs'!BF34)</f>
        <v/>
      </c>
      <c r="BF10" s="14">
        <f>SUM('Plant Inputs'!BG22,'Plant Inputs'!BG28,'Plant Inputs'!BG34)</f>
        <v/>
      </c>
      <c r="BG10" s="14">
        <f>SUM('Plant Inputs'!BH22,'Plant Inputs'!BH28,'Plant Inputs'!BH34)</f>
        <v/>
      </c>
      <c r="BH10" s="14">
        <f>SUM('Plant Inputs'!BI22,'Plant Inputs'!BI28,'Plant Inputs'!BI34)</f>
        <v/>
      </c>
      <c r="BI10" s="14">
        <f>SUM('Plant Inputs'!BJ22,'Plant Inputs'!BJ28,'Plant Inputs'!BJ34)</f>
        <v/>
      </c>
      <c r="BJ10" s="14">
        <f>SUM('Plant Inputs'!BK22,'Plant Inputs'!BK28,'Plant Inputs'!BK34)</f>
        <v/>
      </c>
      <c r="BK10" s="14">
        <f>SUM('Plant Inputs'!BL22,'Plant Inputs'!BL28,'Plant Inputs'!BL34)</f>
        <v/>
      </c>
      <c r="BL10" s="14">
        <f>SUM('Plant Inputs'!BM22,'Plant Inputs'!BM28,'Plant Inputs'!BM34)</f>
        <v/>
      </c>
      <c r="BM10" s="14">
        <f>SUM('Plant Inputs'!BN22,'Plant Inputs'!BN28,'Plant Inputs'!BN34)</f>
        <v/>
      </c>
      <c r="BN10" s="14">
        <f>SUM('Plant Inputs'!BO22,'Plant Inputs'!BO28,'Plant Inputs'!BO34)</f>
        <v/>
      </c>
      <c r="BO10" s="14">
        <f>SUM('Plant Inputs'!BP22,'Plant Inputs'!BP28,'Plant Inputs'!BP34)</f>
        <v/>
      </c>
      <c r="BP10" s="14">
        <f>SUM('Plant Inputs'!BQ22,'Plant Inputs'!BQ28,'Plant Inputs'!BQ34)</f>
        <v/>
      </c>
      <c r="BQ10" s="14">
        <f>SUM('Plant Inputs'!BR22,'Plant Inputs'!BR28,'Plant Inputs'!BR34)</f>
        <v/>
      </c>
      <c r="BR10" s="14">
        <f>SUM('Plant Inputs'!BS22,'Plant Inputs'!BS28,'Plant Inputs'!BS34)</f>
        <v/>
      </c>
      <c r="BS10" s="14">
        <f>MIN('Plant Inputs'!BT22,'Plant Inputs'!BT28,'Plant Inputs'!BT34)</f>
        <v/>
      </c>
      <c r="BT10" s="14">
        <f>SUM('Plant Inputs'!BU22,'Plant Inputs'!BU28,'Plant Inputs'!BU34)</f>
        <v/>
      </c>
      <c r="BU10" s="14">
        <f>SUM('Plant Inputs'!BV22,'Plant Inputs'!BV28,'Plant Inputs'!BV34)</f>
        <v/>
      </c>
      <c r="BV10" s="14">
        <f>SUM('Plant Inputs'!BW22,'Plant Inputs'!BW28,'Plant Inputs'!BW34)</f>
        <v/>
      </c>
      <c r="BW10" s="14">
        <f>SUM('Plant Inputs'!BX22,'Plant Inputs'!BX28,'Plant Inputs'!BX34)</f>
        <v/>
      </c>
      <c r="BX10" s="14">
        <f>SUM('Plant Inputs'!BY22,'Plant Inputs'!BY28,'Plant Inputs'!BY34)</f>
        <v/>
      </c>
      <c r="BY10" s="16" t="n">
        <v>53970.6</v>
      </c>
      <c r="BZ10" s="16" t="n">
        <v>29831.4</v>
      </c>
      <c r="CA10" s="16" t="n">
        <v>10000000</v>
      </c>
      <c r="CB10" s="16" t="n">
        <v>4362932.7</v>
      </c>
      <c r="CC10" s="16" t="n">
        <v>1162932.7</v>
      </c>
      <c r="CD10" s="16" t="n">
        <v>466410.4</v>
      </c>
      <c r="CE10" s="16" t="n">
        <v>33600</v>
      </c>
      <c r="CF10" s="16" t="n">
        <v>401681.3</v>
      </c>
      <c r="CG10" s="16" t="n">
        <v>1363476.4</v>
      </c>
      <c r="CH10" s="16" t="n">
        <v>154555.6</v>
      </c>
      <c r="CI10" s="16" t="n">
        <v>1144080.8</v>
      </c>
      <c r="CJ10" s="16" t="n">
        <v>1670373.1</v>
      </c>
      <c r="CK10" s="16" t="n">
        <v>1974556.3</v>
      </c>
      <c r="CL10" s="16" t="n">
        <v>1075076.8</v>
      </c>
      <c r="CM10" s="16" t="n">
        <v>1128578.1</v>
      </c>
      <c r="CN10" s="16" t="n">
        <v>3306.5</v>
      </c>
      <c r="CO10" s="16" t="n">
        <v>70251.8</v>
      </c>
      <c r="CP10" s="16" t="n">
        <v>70251.8</v>
      </c>
      <c r="CQ10" s="16" t="n">
        <v>374</v>
      </c>
      <c r="CR10" s="16" t="n">
        <v>16795</v>
      </c>
      <c r="CS10" s="16" t="n">
        <v>16830</v>
      </c>
      <c r="CT10" s="16" t="n">
        <v>0</v>
      </c>
      <c r="CU10" s="16" t="n">
        <v>924339.3</v>
      </c>
      <c r="CV10" s="16" t="n">
        <v>930922.9</v>
      </c>
      <c r="CW10" s="16" t="n">
        <v>142690.9</v>
      </c>
      <c r="CX10" s="16" t="n">
        <v>3180825.9</v>
      </c>
      <c r="CY10" s="16" t="n">
        <v>1800841.3</v>
      </c>
      <c r="CZ10" s="16" t="n">
        <v>298827.6</v>
      </c>
      <c r="DA10" s="16" t="n">
        <v>219185.2</v>
      </c>
      <c r="DB10" s="16" t="n">
        <v>234572</v>
      </c>
      <c r="DC10" s="16" t="n">
        <v>172016.9</v>
      </c>
      <c r="DD10" s="16" t="n">
        <v>4570.2</v>
      </c>
      <c r="DE10" s="16" t="n">
        <v>5149.9</v>
      </c>
      <c r="DF10" s="16" t="n">
        <v>1763562.5</v>
      </c>
      <c r="DG10" s="16" t="n">
        <v>1050789.6</v>
      </c>
      <c r="DH10" s="16" t="n">
        <v>860000</v>
      </c>
      <c r="DI10" s="16" t="n">
        <v>389482.4</v>
      </c>
      <c r="DJ10" s="16" t="n">
        <v>69779.5</v>
      </c>
      <c r="DK10" s="16" t="n">
        <v>326800</v>
      </c>
      <c r="DL10" s="16" t="n">
        <v>116966</v>
      </c>
      <c r="DM10" s="16" t="n">
        <v>4</v>
      </c>
      <c r="DN10" s="16" t="n">
        <v>1</v>
      </c>
      <c r="DO10" s="16" t="n">
        <v>0</v>
      </c>
      <c r="DP10" s="16" t="n">
        <v>0</v>
      </c>
      <c r="DQ10" s="16" t="n">
        <v>4</v>
      </c>
      <c r="DR10" s="16" t="n">
        <v>5</v>
      </c>
      <c r="DS10" s="16" t="n">
        <v>10</v>
      </c>
      <c r="DT10" s="16" t="n">
        <v>4</v>
      </c>
      <c r="DU10" s="16" t="n">
        <v>2</v>
      </c>
      <c r="DV10" s="16" t="n">
        <v>64</v>
      </c>
      <c r="DW10" s="16" t="n">
        <v>19</v>
      </c>
      <c r="DX10" s="16" t="n">
        <v>9130.700000000001</v>
      </c>
      <c r="DY10" s="16" t="n">
        <v>3031.5</v>
      </c>
      <c r="DZ10" s="16" t="n">
        <v>1376</v>
      </c>
      <c r="EA10" s="16" t="n">
        <v>1091.6</v>
      </c>
      <c r="EB10" s="16" t="n">
        <v>1173.7</v>
      </c>
      <c r="EC10" s="16" t="n">
        <v>68</v>
      </c>
      <c r="ED10" s="16" t="n">
        <v>66</v>
      </c>
      <c r="EE10" s="16" t="n">
        <v>2</v>
      </c>
      <c r="EF10" s="16" t="n">
        <v>1</v>
      </c>
      <c r="EG10" s="16" t="n">
        <v>1</v>
      </c>
      <c r="EH10" s="16" t="n">
        <v>0</v>
      </c>
      <c r="EI10" s="16" t="n">
        <v>0</v>
      </c>
      <c r="EJ10" s="16" t="n">
        <v>1</v>
      </c>
      <c r="EK10" s="16" t="n">
        <v>1</v>
      </c>
      <c r="EL10" s="16" t="n">
        <v>0</v>
      </c>
      <c r="EM10" s="16" t="n">
        <v>0</v>
      </c>
      <c r="EN10" s="16" t="n">
        <v>0</v>
      </c>
      <c r="EO10" s="16" t="n">
        <v>0</v>
      </c>
      <c r="EP10" s="16" t="n">
        <v>0</v>
      </c>
      <c r="EQ10" s="16" t="n">
        <v>0</v>
      </c>
      <c r="ER10" s="16" t="n">
        <v>0</v>
      </c>
      <c r="ES10" s="16" t="n">
        <v>0</v>
      </c>
      <c r="ET10" s="16" t="n">
        <v>0</v>
      </c>
      <c r="EU10" s="16" t="n">
        <v>6</v>
      </c>
      <c r="EV10" s="16" t="n">
        <v>0</v>
      </c>
      <c r="EW10" s="16" t="n">
        <v>1</v>
      </c>
      <c r="EX10" s="16" t="n">
        <v>1</v>
      </c>
      <c r="EY10" s="16" t="n">
        <v>58</v>
      </c>
      <c r="EZ10" s="16" t="n">
        <v>52</v>
      </c>
      <c r="FA10" s="16" t="n">
        <v>3</v>
      </c>
      <c r="FB10" s="16" t="n">
        <v>111</v>
      </c>
      <c r="FC10" s="16" t="n">
        <v>28</v>
      </c>
      <c r="FD10" s="16" t="n">
        <v>24</v>
      </c>
      <c r="FE10" s="16" t="n">
        <v>26</v>
      </c>
      <c r="FF10" s="16" t="n">
        <v>1</v>
      </c>
      <c r="FG10" s="16" t="n">
        <v>0</v>
      </c>
      <c r="FH10" s="16" t="n">
        <v>0</v>
      </c>
      <c r="FI10" s="16" t="n">
        <v>514962</v>
      </c>
      <c r="FJ10" s="16" t="n">
        <v>512268</v>
      </c>
      <c r="FK10" s="16" t="n">
        <v>420</v>
      </c>
      <c r="FL10" s="16" t="n">
        <v>413</v>
      </c>
      <c r="FM10" s="16" t="n">
        <v>0</v>
      </c>
      <c r="FN10" s="16" t="n">
        <v>0</v>
      </c>
      <c r="FO10" s="16" t="n">
        <v>0</v>
      </c>
      <c r="FP10" s="16" t="n">
        <v>6</v>
      </c>
      <c r="FQ10" s="16" t="n">
        <v>12.9</v>
      </c>
      <c r="FR10" s="16" t="n">
        <v>8</v>
      </c>
      <c r="FS10" s="16" t="n">
        <v>0</v>
      </c>
      <c r="FT10" s="16" t="n">
        <v>1</v>
      </c>
      <c r="FU10" s="16" t="n">
        <v>1</v>
      </c>
    </row>
    <row r="11">
      <c r="A11" t="inlineStr">
        <is>
          <t>Group</t>
        </is>
      </c>
      <c r="B11" t="inlineStr">
        <is>
          <t>Entity A2</t>
        </is>
      </c>
      <c r="C11" t="inlineStr">
        <is>
          <t>2026-05</t>
        </is>
      </c>
      <c r="D11" t="n">
        <v>31</v>
      </c>
      <c r="E11" s="14">
        <f>SUM('Plant Inputs'!F23,'Plant Inputs'!F29,'Plant Inputs'!F35)</f>
        <v/>
      </c>
      <c r="F11" s="14">
        <f>SUM('Plant Inputs'!G23,'Plant Inputs'!G29,'Plant Inputs'!G35)</f>
        <v/>
      </c>
      <c r="G11" s="14">
        <f>SUM('Plant Inputs'!H23,'Plant Inputs'!H29,'Plant Inputs'!H35)</f>
        <v/>
      </c>
      <c r="H11" s="14">
        <f>SUM('Plant Inputs'!I23,'Plant Inputs'!I29,'Plant Inputs'!I35)</f>
        <v/>
      </c>
      <c r="I11" s="14">
        <f>SUM('Plant Inputs'!J23,'Plant Inputs'!J29,'Plant Inputs'!J35)</f>
        <v/>
      </c>
      <c r="J11" s="14">
        <f>SUM('Plant Inputs'!K23,'Plant Inputs'!K29,'Plant Inputs'!K35)</f>
        <v/>
      </c>
      <c r="K11" s="14">
        <f>SUM('Plant Inputs'!L23,'Plant Inputs'!L29,'Plant Inputs'!L35)</f>
        <v/>
      </c>
      <c r="L11" s="14">
        <f>SUM('Plant Inputs'!M23,'Plant Inputs'!M29,'Plant Inputs'!M35)</f>
        <v/>
      </c>
      <c r="M11" s="14">
        <f>SUM('Plant Inputs'!N23,'Plant Inputs'!N29,'Plant Inputs'!N35)</f>
        <v/>
      </c>
      <c r="N11" s="14">
        <f>SUM('Plant Inputs'!O23,'Plant Inputs'!O29,'Plant Inputs'!O35)</f>
        <v/>
      </c>
      <c r="O11" s="14">
        <f>SUM('Plant Inputs'!P23,'Plant Inputs'!P29,'Plant Inputs'!P35)</f>
        <v/>
      </c>
      <c r="P11" s="14">
        <f>SUM('Plant Inputs'!Q23,'Plant Inputs'!Q29,'Plant Inputs'!Q35)</f>
        <v/>
      </c>
      <c r="Q11" s="14">
        <f>SUM('Plant Inputs'!R23,'Plant Inputs'!R29,'Plant Inputs'!R35)</f>
        <v/>
      </c>
      <c r="R11" s="14">
        <f>SUM('Plant Inputs'!S23,'Plant Inputs'!S29,'Plant Inputs'!S35)</f>
        <v/>
      </c>
      <c r="S11" s="14">
        <f>SUM('Plant Inputs'!T23,'Plant Inputs'!T29,'Plant Inputs'!T35)</f>
        <v/>
      </c>
      <c r="T11" s="14">
        <f>SUM('Plant Inputs'!U23,'Plant Inputs'!U29,'Plant Inputs'!U35)</f>
        <v/>
      </c>
      <c r="U11" s="14">
        <f>SUM('Plant Inputs'!V23,'Plant Inputs'!V29,'Plant Inputs'!V35)</f>
        <v/>
      </c>
      <c r="V11" s="14">
        <f>SUM('Plant Inputs'!W23,'Plant Inputs'!W29,'Plant Inputs'!W35)</f>
        <v/>
      </c>
      <c r="W11" s="14">
        <f>SUM('Plant Inputs'!X23,'Plant Inputs'!X29,'Plant Inputs'!X35)</f>
        <v/>
      </c>
      <c r="X11" s="14">
        <f>SUM('Plant Inputs'!Y23,'Plant Inputs'!Y29,'Plant Inputs'!Y35)</f>
        <v/>
      </c>
      <c r="Y11" s="14">
        <f>SUM('Plant Inputs'!Z23,'Plant Inputs'!Z29,'Plant Inputs'!Z35)</f>
        <v/>
      </c>
      <c r="Z11" s="14">
        <f>SUM('Plant Inputs'!AA23,'Plant Inputs'!AA29,'Plant Inputs'!AA35)</f>
        <v/>
      </c>
      <c r="AA11" s="14">
        <f>SUM('Plant Inputs'!AB23,'Plant Inputs'!AB29,'Plant Inputs'!AB35)</f>
        <v/>
      </c>
      <c r="AB11" s="14">
        <f>SUM('Plant Inputs'!AC23,'Plant Inputs'!AC29,'Plant Inputs'!AC35)</f>
        <v/>
      </c>
      <c r="AC11" s="14">
        <f>SUM('Plant Inputs'!AD23,'Plant Inputs'!AD29,'Plant Inputs'!AD35)</f>
        <v/>
      </c>
      <c r="AD11" s="14">
        <f>SUM('Plant Inputs'!AE23,'Plant Inputs'!AE29,'Plant Inputs'!AE35)</f>
        <v/>
      </c>
      <c r="AE11" s="14">
        <f>SUM('Plant Inputs'!AF23,'Plant Inputs'!AF29,'Plant Inputs'!AF35)</f>
        <v/>
      </c>
      <c r="AF11" s="14">
        <f>SUM('Plant Inputs'!AG23,'Plant Inputs'!AG29,'Plant Inputs'!AG35)</f>
        <v/>
      </c>
      <c r="AG11" s="14">
        <f>SUM('Plant Inputs'!AH23,'Plant Inputs'!AH29,'Plant Inputs'!AH35)</f>
        <v/>
      </c>
      <c r="AH11" s="14">
        <f>SUM('Plant Inputs'!AI23,'Plant Inputs'!AI29,'Plant Inputs'!AI35)</f>
        <v/>
      </c>
      <c r="AI11" s="14">
        <f>SUM('Plant Inputs'!AJ23,'Plant Inputs'!AJ29,'Plant Inputs'!AJ35)</f>
        <v/>
      </c>
      <c r="AJ11" s="14">
        <f>SUM('Plant Inputs'!AK23,'Plant Inputs'!AK29,'Plant Inputs'!AK35)</f>
        <v/>
      </c>
      <c r="AK11" s="14">
        <f>SUM('Plant Inputs'!AL23,'Plant Inputs'!AL29,'Plant Inputs'!AL35)</f>
        <v/>
      </c>
      <c r="AL11" s="14">
        <f>SUM('Plant Inputs'!AM23,'Plant Inputs'!AM29,'Plant Inputs'!AM35)</f>
        <v/>
      </c>
      <c r="AM11" s="14">
        <f>SUM('Plant Inputs'!AN23,'Plant Inputs'!AN29,'Plant Inputs'!AN35)</f>
        <v/>
      </c>
      <c r="AN11" s="14">
        <f>SUM('Plant Inputs'!AO23,'Plant Inputs'!AO29,'Plant Inputs'!AO35)</f>
        <v/>
      </c>
      <c r="AO11" s="14">
        <f>SUM('Plant Inputs'!AP23,'Plant Inputs'!AP29,'Plant Inputs'!AP35)</f>
        <v/>
      </c>
      <c r="AP11" s="14">
        <f>SUM('Plant Inputs'!AQ23,'Plant Inputs'!AQ29,'Plant Inputs'!AQ35)</f>
        <v/>
      </c>
      <c r="AQ11" s="14">
        <f>SUM('Plant Inputs'!AR23,'Plant Inputs'!AR29,'Plant Inputs'!AR35)</f>
        <v/>
      </c>
      <c r="AR11" s="14">
        <f>MIN('Plant Inputs'!AS23,'Plant Inputs'!AS29,'Plant Inputs'!AS35)</f>
        <v/>
      </c>
      <c r="AS11" s="14">
        <f>SUM('Plant Inputs'!AT23,'Plant Inputs'!AT29,'Plant Inputs'!AT35)</f>
        <v/>
      </c>
      <c r="AT11" s="14">
        <f>SUM('Plant Inputs'!AU23,'Plant Inputs'!AU29,'Plant Inputs'!AU35)</f>
        <v/>
      </c>
      <c r="AU11" s="14">
        <f>SUM('Plant Inputs'!AV23,'Plant Inputs'!AV29,'Plant Inputs'!AV35)</f>
        <v/>
      </c>
      <c r="AV11" s="14">
        <f>SUM('Plant Inputs'!AW23,'Plant Inputs'!AW29,'Plant Inputs'!AW35)</f>
        <v/>
      </c>
      <c r="AW11" s="14">
        <f>SUM('Plant Inputs'!AX23,'Plant Inputs'!AX29,'Plant Inputs'!AX35)</f>
        <v/>
      </c>
      <c r="AX11" s="14">
        <f>SUM('Plant Inputs'!AY23,'Plant Inputs'!AY29,'Plant Inputs'!AY35)</f>
        <v/>
      </c>
      <c r="AY11" s="14">
        <f>SUM('Plant Inputs'!AZ23,'Plant Inputs'!AZ29,'Plant Inputs'!AZ35)</f>
        <v/>
      </c>
      <c r="AZ11" s="14">
        <f>SUM('Plant Inputs'!BA23,'Plant Inputs'!BA29,'Plant Inputs'!BA35)</f>
        <v/>
      </c>
      <c r="BA11" s="14">
        <f>SUM('Plant Inputs'!BB23,'Plant Inputs'!BB29,'Plant Inputs'!BB35)</f>
        <v/>
      </c>
      <c r="BB11" s="14">
        <f>SUM('Plant Inputs'!BC23,'Plant Inputs'!BC29,'Plant Inputs'!BC35)</f>
        <v/>
      </c>
      <c r="BC11" s="14">
        <f>SUM('Plant Inputs'!BD23,'Plant Inputs'!BD29,'Plant Inputs'!BD35)</f>
        <v/>
      </c>
      <c r="BD11" s="14">
        <f>SUM('Plant Inputs'!BE23,'Plant Inputs'!BE29,'Plant Inputs'!BE35)</f>
        <v/>
      </c>
      <c r="BE11" s="14">
        <f>SUM('Plant Inputs'!BF23,'Plant Inputs'!BF29,'Plant Inputs'!BF35)</f>
        <v/>
      </c>
      <c r="BF11" s="14">
        <f>SUM('Plant Inputs'!BG23,'Plant Inputs'!BG29,'Plant Inputs'!BG35)</f>
        <v/>
      </c>
      <c r="BG11" s="14">
        <f>SUM('Plant Inputs'!BH23,'Plant Inputs'!BH29,'Plant Inputs'!BH35)</f>
        <v/>
      </c>
      <c r="BH11" s="14">
        <f>SUM('Plant Inputs'!BI23,'Plant Inputs'!BI29,'Plant Inputs'!BI35)</f>
        <v/>
      </c>
      <c r="BI11" s="14">
        <f>SUM('Plant Inputs'!BJ23,'Plant Inputs'!BJ29,'Plant Inputs'!BJ35)</f>
        <v/>
      </c>
      <c r="BJ11" s="14">
        <f>SUM('Plant Inputs'!BK23,'Plant Inputs'!BK29,'Plant Inputs'!BK35)</f>
        <v/>
      </c>
      <c r="BK11" s="14">
        <f>SUM('Plant Inputs'!BL23,'Plant Inputs'!BL29,'Plant Inputs'!BL35)</f>
        <v/>
      </c>
      <c r="BL11" s="14">
        <f>SUM('Plant Inputs'!BM23,'Plant Inputs'!BM29,'Plant Inputs'!BM35)</f>
        <v/>
      </c>
      <c r="BM11" s="14">
        <f>SUM('Plant Inputs'!BN23,'Plant Inputs'!BN29,'Plant Inputs'!BN35)</f>
        <v/>
      </c>
      <c r="BN11" s="14">
        <f>SUM('Plant Inputs'!BO23,'Plant Inputs'!BO29,'Plant Inputs'!BO35)</f>
        <v/>
      </c>
      <c r="BO11" s="14">
        <f>SUM('Plant Inputs'!BP23,'Plant Inputs'!BP29,'Plant Inputs'!BP35)</f>
        <v/>
      </c>
      <c r="BP11" s="14">
        <f>SUM('Plant Inputs'!BQ23,'Plant Inputs'!BQ29,'Plant Inputs'!BQ35)</f>
        <v/>
      </c>
      <c r="BQ11" s="14">
        <f>SUM('Plant Inputs'!BR23,'Plant Inputs'!BR29,'Plant Inputs'!BR35)</f>
        <v/>
      </c>
      <c r="BR11" s="14">
        <f>SUM('Plant Inputs'!BS23,'Plant Inputs'!BS29,'Plant Inputs'!BS35)</f>
        <v/>
      </c>
      <c r="BS11" s="14">
        <f>MIN('Plant Inputs'!BT23,'Plant Inputs'!BT29,'Plant Inputs'!BT35)</f>
        <v/>
      </c>
      <c r="BT11" s="14">
        <f>SUM('Plant Inputs'!BU23,'Plant Inputs'!BU29,'Plant Inputs'!BU35)</f>
        <v/>
      </c>
      <c r="BU11" s="14">
        <f>SUM('Plant Inputs'!BV23,'Plant Inputs'!BV29,'Plant Inputs'!BV35)</f>
        <v/>
      </c>
      <c r="BV11" s="14">
        <f>SUM('Plant Inputs'!BW23,'Plant Inputs'!BW29,'Plant Inputs'!BW35)</f>
        <v/>
      </c>
      <c r="BW11" s="14">
        <f>SUM('Plant Inputs'!BX23,'Plant Inputs'!BX29,'Plant Inputs'!BX35)</f>
        <v/>
      </c>
      <c r="BX11" s="14">
        <f>SUM('Plant Inputs'!BY23,'Plant Inputs'!BY29,'Plant Inputs'!BY35)</f>
        <v/>
      </c>
      <c r="BY11" s="16" t="n">
        <v>50050.4</v>
      </c>
      <c r="BZ11" s="16" t="n">
        <v>40075</v>
      </c>
      <c r="CA11" s="16" t="n">
        <v>10040000</v>
      </c>
      <c r="CB11" s="16" t="n">
        <v>4257934.5</v>
      </c>
      <c r="CC11" s="16" t="n">
        <v>1089934.5</v>
      </c>
      <c r="CD11" s="16" t="n">
        <v>435228.2</v>
      </c>
      <c r="CE11" s="16" t="n">
        <v>33264</v>
      </c>
      <c r="CF11" s="16" t="n">
        <v>438317.9</v>
      </c>
      <c r="CG11" s="16" t="n">
        <v>1192536.2</v>
      </c>
      <c r="CH11" s="16" t="n">
        <v>184420.1</v>
      </c>
      <c r="CI11" s="16" t="n">
        <v>1082983.6</v>
      </c>
      <c r="CJ11" s="16" t="n">
        <v>1563623.2</v>
      </c>
      <c r="CK11" s="16" t="n">
        <v>1768166.1</v>
      </c>
      <c r="CL11" s="16" t="n">
        <v>1004411.8</v>
      </c>
      <c r="CM11" s="16" t="n">
        <v>1072786</v>
      </c>
      <c r="CN11" s="16" t="n">
        <v>2852.3</v>
      </c>
      <c r="CO11" s="16" t="n">
        <v>74102.89999999999</v>
      </c>
      <c r="CP11" s="16" t="n">
        <v>74102.89999999999</v>
      </c>
      <c r="CQ11" s="16" t="n">
        <v>352</v>
      </c>
      <c r="CR11" s="16" t="n">
        <v>15761</v>
      </c>
      <c r="CS11" s="16" t="n">
        <v>15840</v>
      </c>
      <c r="CT11" s="16" t="n">
        <v>1</v>
      </c>
      <c r="CU11" s="16" t="n">
        <v>1097997.4</v>
      </c>
      <c r="CV11" s="16" t="n">
        <v>1112277.8</v>
      </c>
      <c r="CW11" s="16" t="n">
        <v>184653.8</v>
      </c>
      <c r="CX11" s="16" t="n">
        <v>3151290.2</v>
      </c>
      <c r="CY11" s="16" t="n">
        <v>2164395</v>
      </c>
      <c r="CZ11" s="16" t="n">
        <v>313040.6</v>
      </c>
      <c r="DA11" s="16" t="n">
        <v>229961.2</v>
      </c>
      <c r="DB11" s="16" t="n">
        <v>256509</v>
      </c>
      <c r="DC11" s="16" t="n">
        <v>181113.8</v>
      </c>
      <c r="DD11" s="16" t="n">
        <v>4017.3</v>
      </c>
      <c r="DE11" s="16" t="n">
        <v>4281.1</v>
      </c>
      <c r="DF11" s="16" t="n">
        <v>1785518</v>
      </c>
      <c r="DG11" s="16" t="n">
        <v>1091259.8</v>
      </c>
      <c r="DH11" s="16" t="n">
        <v>860000</v>
      </c>
      <c r="DI11" s="16" t="n">
        <v>432467.4</v>
      </c>
      <c r="DJ11" s="16" t="n">
        <v>69889.8</v>
      </c>
      <c r="DK11" s="16" t="n">
        <v>369800</v>
      </c>
      <c r="DL11" s="16" t="n">
        <v>136303.5</v>
      </c>
      <c r="DM11" s="16" t="n">
        <v>4</v>
      </c>
      <c r="DN11" s="16" t="n">
        <v>1</v>
      </c>
      <c r="DO11" s="16" t="n">
        <v>0</v>
      </c>
      <c r="DP11" s="16" t="n">
        <v>0</v>
      </c>
      <c r="DQ11" s="16" t="n">
        <v>4</v>
      </c>
      <c r="DR11" s="16" t="n">
        <v>5</v>
      </c>
      <c r="DS11" s="16" t="n">
        <v>10</v>
      </c>
      <c r="DT11" s="16" t="n">
        <v>4</v>
      </c>
      <c r="DU11" s="16" t="n">
        <v>2</v>
      </c>
      <c r="DV11" s="16" t="n">
        <v>64</v>
      </c>
      <c r="DW11" s="16" t="n">
        <v>22</v>
      </c>
      <c r="DX11" s="16" t="n">
        <v>9302.1</v>
      </c>
      <c r="DY11" s="16" t="n">
        <v>3474.3</v>
      </c>
      <c r="DZ11" s="16" t="n">
        <v>1389.1</v>
      </c>
      <c r="EA11" s="16" t="n">
        <v>1046.6</v>
      </c>
      <c r="EB11" s="16" t="n">
        <v>1244.6</v>
      </c>
      <c r="EC11" s="16" t="n">
        <v>68</v>
      </c>
      <c r="ED11" s="16" t="n">
        <v>65</v>
      </c>
      <c r="EE11" s="16" t="n">
        <v>3</v>
      </c>
      <c r="EF11" s="16" t="n">
        <v>1</v>
      </c>
      <c r="EG11" s="16" t="n">
        <v>1</v>
      </c>
      <c r="EH11" s="16" t="n">
        <v>0</v>
      </c>
      <c r="EI11" s="16" t="n">
        <v>0</v>
      </c>
      <c r="EJ11" s="16" t="n">
        <v>1</v>
      </c>
      <c r="EK11" s="16" t="n">
        <v>1</v>
      </c>
      <c r="EL11" s="16" t="n">
        <v>0</v>
      </c>
      <c r="EM11" s="16" t="n">
        <v>0</v>
      </c>
      <c r="EN11" s="16" t="n">
        <v>0</v>
      </c>
      <c r="EO11" s="16" t="n">
        <v>0</v>
      </c>
      <c r="EP11" s="16" t="n">
        <v>0</v>
      </c>
      <c r="EQ11" s="16" t="n">
        <v>2</v>
      </c>
      <c r="ER11" s="16" t="n">
        <v>1</v>
      </c>
      <c r="ES11" s="16" t="n">
        <v>0</v>
      </c>
      <c r="ET11" s="16" t="n">
        <v>0</v>
      </c>
      <c r="EU11" s="16" t="n">
        <v>5</v>
      </c>
      <c r="EV11" s="16" t="n">
        <v>0</v>
      </c>
      <c r="EW11" s="16" t="n">
        <v>1</v>
      </c>
      <c r="EX11" s="16" t="n">
        <v>1</v>
      </c>
      <c r="EY11" s="16" t="n">
        <v>58</v>
      </c>
      <c r="EZ11" s="16" t="n">
        <v>52</v>
      </c>
      <c r="FA11" s="16" t="n">
        <v>1</v>
      </c>
      <c r="FB11" s="16" t="n">
        <v>37</v>
      </c>
      <c r="FC11" s="16" t="n">
        <v>28</v>
      </c>
      <c r="FD11" s="16" t="n">
        <v>24</v>
      </c>
      <c r="FE11" s="16" t="n">
        <v>26</v>
      </c>
      <c r="FF11" s="16" t="n">
        <v>1</v>
      </c>
      <c r="FG11" s="16" t="n">
        <v>0</v>
      </c>
      <c r="FH11" s="16" t="n">
        <v>0</v>
      </c>
      <c r="FI11" s="16" t="n">
        <v>481373</v>
      </c>
      <c r="FJ11" s="16" t="n">
        <v>478757</v>
      </c>
      <c r="FK11" s="16" t="n">
        <v>420</v>
      </c>
      <c r="FL11" s="16" t="n">
        <v>411</v>
      </c>
      <c r="FM11" s="16" t="n">
        <v>0</v>
      </c>
      <c r="FN11" s="16" t="n">
        <v>0</v>
      </c>
      <c r="FO11" s="16" t="n">
        <v>0</v>
      </c>
      <c r="FP11" s="16" t="n">
        <v>4</v>
      </c>
      <c r="FQ11" s="16" t="n">
        <v>7.7</v>
      </c>
      <c r="FR11" s="16" t="n">
        <v>7</v>
      </c>
      <c r="FS11" s="16" t="n">
        <v>1</v>
      </c>
      <c r="FT11" s="16" t="n">
        <v>1</v>
      </c>
      <c r="FU11" s="16" t="n">
        <v>1</v>
      </c>
    </row>
    <row r="12">
      <c r="A12" t="inlineStr">
        <is>
          <t>Group</t>
        </is>
      </c>
      <c r="B12" t="inlineStr">
        <is>
          <t>Entity A2</t>
        </is>
      </c>
      <c r="C12" t="inlineStr">
        <is>
          <t>2026-06</t>
        </is>
      </c>
      <c r="D12" t="n">
        <v>30</v>
      </c>
      <c r="E12" s="14">
        <f>SUM('Plant Inputs'!F24,'Plant Inputs'!F30,'Plant Inputs'!F36)</f>
        <v/>
      </c>
      <c r="F12" s="14">
        <f>SUM('Plant Inputs'!G24,'Plant Inputs'!G30,'Plant Inputs'!G36)</f>
        <v/>
      </c>
      <c r="G12" s="14">
        <f>SUM('Plant Inputs'!H24,'Plant Inputs'!H30,'Plant Inputs'!H36)</f>
        <v/>
      </c>
      <c r="H12" s="14">
        <f>SUM('Plant Inputs'!I24,'Plant Inputs'!I30,'Plant Inputs'!I36)</f>
        <v/>
      </c>
      <c r="I12" s="14">
        <f>SUM('Plant Inputs'!J24,'Plant Inputs'!J30,'Plant Inputs'!J36)</f>
        <v/>
      </c>
      <c r="J12" s="14">
        <f>SUM('Plant Inputs'!K24,'Plant Inputs'!K30,'Plant Inputs'!K36)</f>
        <v/>
      </c>
      <c r="K12" s="14">
        <f>SUM('Plant Inputs'!L24,'Plant Inputs'!L30,'Plant Inputs'!L36)</f>
        <v/>
      </c>
      <c r="L12" s="14">
        <f>SUM('Plant Inputs'!M24,'Plant Inputs'!M30,'Plant Inputs'!M36)</f>
        <v/>
      </c>
      <c r="M12" s="14">
        <f>SUM('Plant Inputs'!N24,'Plant Inputs'!N30,'Plant Inputs'!N36)</f>
        <v/>
      </c>
      <c r="N12" s="14">
        <f>SUM('Plant Inputs'!O24,'Plant Inputs'!O30,'Plant Inputs'!O36)</f>
        <v/>
      </c>
      <c r="O12" s="14">
        <f>SUM('Plant Inputs'!P24,'Plant Inputs'!P30,'Plant Inputs'!P36)</f>
        <v/>
      </c>
      <c r="P12" s="14">
        <f>SUM('Plant Inputs'!Q24,'Plant Inputs'!Q30,'Plant Inputs'!Q36)</f>
        <v/>
      </c>
      <c r="Q12" s="14">
        <f>SUM('Plant Inputs'!R24,'Plant Inputs'!R30,'Plant Inputs'!R36)</f>
        <v/>
      </c>
      <c r="R12" s="14">
        <f>SUM('Plant Inputs'!S24,'Plant Inputs'!S30,'Plant Inputs'!S36)</f>
        <v/>
      </c>
      <c r="S12" s="14">
        <f>SUM('Plant Inputs'!T24,'Plant Inputs'!T30,'Plant Inputs'!T36)</f>
        <v/>
      </c>
      <c r="T12" s="14">
        <f>SUM('Plant Inputs'!U24,'Plant Inputs'!U30,'Plant Inputs'!U36)</f>
        <v/>
      </c>
      <c r="U12" s="14">
        <f>SUM('Plant Inputs'!V24,'Plant Inputs'!V30,'Plant Inputs'!V36)</f>
        <v/>
      </c>
      <c r="V12" s="14">
        <f>SUM('Plant Inputs'!W24,'Plant Inputs'!W30,'Plant Inputs'!W36)</f>
        <v/>
      </c>
      <c r="W12" s="14">
        <f>SUM('Plant Inputs'!X24,'Plant Inputs'!X30,'Plant Inputs'!X36)</f>
        <v/>
      </c>
      <c r="X12" s="14">
        <f>SUM('Plant Inputs'!Y24,'Plant Inputs'!Y30,'Plant Inputs'!Y36)</f>
        <v/>
      </c>
      <c r="Y12" s="14">
        <f>SUM('Plant Inputs'!Z24,'Plant Inputs'!Z30,'Plant Inputs'!Z36)</f>
        <v/>
      </c>
      <c r="Z12" s="14">
        <f>SUM('Plant Inputs'!AA24,'Plant Inputs'!AA30,'Plant Inputs'!AA36)</f>
        <v/>
      </c>
      <c r="AA12" s="14">
        <f>SUM('Plant Inputs'!AB24,'Plant Inputs'!AB30,'Plant Inputs'!AB36)</f>
        <v/>
      </c>
      <c r="AB12" s="14">
        <f>SUM('Plant Inputs'!AC24,'Plant Inputs'!AC30,'Plant Inputs'!AC36)</f>
        <v/>
      </c>
      <c r="AC12" s="14">
        <f>SUM('Plant Inputs'!AD24,'Plant Inputs'!AD30,'Plant Inputs'!AD36)</f>
        <v/>
      </c>
      <c r="AD12" s="14">
        <f>SUM('Plant Inputs'!AE24,'Plant Inputs'!AE30,'Plant Inputs'!AE36)</f>
        <v/>
      </c>
      <c r="AE12" s="14">
        <f>SUM('Plant Inputs'!AF24,'Plant Inputs'!AF30,'Plant Inputs'!AF36)</f>
        <v/>
      </c>
      <c r="AF12" s="14">
        <f>SUM('Plant Inputs'!AG24,'Plant Inputs'!AG30,'Plant Inputs'!AG36)</f>
        <v/>
      </c>
      <c r="AG12" s="14">
        <f>SUM('Plant Inputs'!AH24,'Plant Inputs'!AH30,'Plant Inputs'!AH36)</f>
        <v/>
      </c>
      <c r="AH12" s="14">
        <f>SUM('Plant Inputs'!AI24,'Plant Inputs'!AI30,'Plant Inputs'!AI36)</f>
        <v/>
      </c>
      <c r="AI12" s="14">
        <f>SUM('Plant Inputs'!AJ24,'Plant Inputs'!AJ30,'Plant Inputs'!AJ36)</f>
        <v/>
      </c>
      <c r="AJ12" s="14">
        <f>SUM('Plant Inputs'!AK24,'Plant Inputs'!AK30,'Plant Inputs'!AK36)</f>
        <v/>
      </c>
      <c r="AK12" s="14">
        <f>SUM('Plant Inputs'!AL24,'Plant Inputs'!AL30,'Plant Inputs'!AL36)</f>
        <v/>
      </c>
      <c r="AL12" s="14">
        <f>SUM('Plant Inputs'!AM24,'Plant Inputs'!AM30,'Plant Inputs'!AM36)</f>
        <v/>
      </c>
      <c r="AM12" s="14">
        <f>SUM('Plant Inputs'!AN24,'Plant Inputs'!AN30,'Plant Inputs'!AN36)</f>
        <v/>
      </c>
      <c r="AN12" s="14">
        <f>SUM('Plant Inputs'!AO24,'Plant Inputs'!AO30,'Plant Inputs'!AO36)</f>
        <v/>
      </c>
      <c r="AO12" s="14">
        <f>SUM('Plant Inputs'!AP24,'Plant Inputs'!AP30,'Plant Inputs'!AP36)</f>
        <v/>
      </c>
      <c r="AP12" s="14">
        <f>SUM('Plant Inputs'!AQ24,'Plant Inputs'!AQ30,'Plant Inputs'!AQ36)</f>
        <v/>
      </c>
      <c r="AQ12" s="14">
        <f>SUM('Plant Inputs'!AR24,'Plant Inputs'!AR30,'Plant Inputs'!AR36)</f>
        <v/>
      </c>
      <c r="AR12" s="14">
        <f>MIN('Plant Inputs'!AS24,'Plant Inputs'!AS30,'Plant Inputs'!AS36)</f>
        <v/>
      </c>
      <c r="AS12" s="14">
        <f>SUM('Plant Inputs'!AT24,'Plant Inputs'!AT30,'Plant Inputs'!AT36)</f>
        <v/>
      </c>
      <c r="AT12" s="14">
        <f>SUM('Plant Inputs'!AU24,'Plant Inputs'!AU30,'Plant Inputs'!AU36)</f>
        <v/>
      </c>
      <c r="AU12" s="14">
        <f>SUM('Plant Inputs'!AV24,'Plant Inputs'!AV30,'Plant Inputs'!AV36)</f>
        <v/>
      </c>
      <c r="AV12" s="14">
        <f>SUM('Plant Inputs'!AW24,'Plant Inputs'!AW30,'Plant Inputs'!AW36)</f>
        <v/>
      </c>
      <c r="AW12" s="14">
        <f>SUM('Plant Inputs'!AX24,'Plant Inputs'!AX30,'Plant Inputs'!AX36)</f>
        <v/>
      </c>
      <c r="AX12" s="14">
        <f>SUM('Plant Inputs'!AY24,'Plant Inputs'!AY30,'Plant Inputs'!AY36)</f>
        <v/>
      </c>
      <c r="AY12" s="14">
        <f>SUM('Plant Inputs'!AZ24,'Plant Inputs'!AZ30,'Plant Inputs'!AZ36)</f>
        <v/>
      </c>
      <c r="AZ12" s="14">
        <f>SUM('Plant Inputs'!BA24,'Plant Inputs'!BA30,'Plant Inputs'!BA36)</f>
        <v/>
      </c>
      <c r="BA12" s="14">
        <f>SUM('Plant Inputs'!BB24,'Plant Inputs'!BB30,'Plant Inputs'!BB36)</f>
        <v/>
      </c>
      <c r="BB12" s="14">
        <f>SUM('Plant Inputs'!BC24,'Plant Inputs'!BC30,'Plant Inputs'!BC36)</f>
        <v/>
      </c>
      <c r="BC12" s="14">
        <f>SUM('Plant Inputs'!BD24,'Plant Inputs'!BD30,'Plant Inputs'!BD36)</f>
        <v/>
      </c>
      <c r="BD12" s="14">
        <f>SUM('Plant Inputs'!BE24,'Plant Inputs'!BE30,'Plant Inputs'!BE36)</f>
        <v/>
      </c>
      <c r="BE12" s="14">
        <f>SUM('Plant Inputs'!BF24,'Plant Inputs'!BF30,'Plant Inputs'!BF36)</f>
        <v/>
      </c>
      <c r="BF12" s="14">
        <f>SUM('Plant Inputs'!BG24,'Plant Inputs'!BG30,'Plant Inputs'!BG36)</f>
        <v/>
      </c>
      <c r="BG12" s="14">
        <f>SUM('Plant Inputs'!BH24,'Plant Inputs'!BH30,'Plant Inputs'!BH36)</f>
        <v/>
      </c>
      <c r="BH12" s="14">
        <f>SUM('Plant Inputs'!BI24,'Plant Inputs'!BI30,'Plant Inputs'!BI36)</f>
        <v/>
      </c>
      <c r="BI12" s="14">
        <f>SUM('Plant Inputs'!BJ24,'Plant Inputs'!BJ30,'Plant Inputs'!BJ36)</f>
        <v/>
      </c>
      <c r="BJ12" s="14">
        <f>SUM('Plant Inputs'!BK24,'Plant Inputs'!BK30,'Plant Inputs'!BK36)</f>
        <v/>
      </c>
      <c r="BK12" s="14">
        <f>SUM('Plant Inputs'!BL24,'Plant Inputs'!BL30,'Plant Inputs'!BL36)</f>
        <v/>
      </c>
      <c r="BL12" s="14">
        <f>SUM('Plant Inputs'!BM24,'Plant Inputs'!BM30,'Plant Inputs'!BM36)</f>
        <v/>
      </c>
      <c r="BM12" s="14">
        <f>SUM('Plant Inputs'!BN24,'Plant Inputs'!BN30,'Plant Inputs'!BN36)</f>
        <v/>
      </c>
      <c r="BN12" s="14">
        <f>SUM('Plant Inputs'!BO24,'Plant Inputs'!BO30,'Plant Inputs'!BO36)</f>
        <v/>
      </c>
      <c r="BO12" s="14">
        <f>SUM('Plant Inputs'!BP24,'Plant Inputs'!BP30,'Plant Inputs'!BP36)</f>
        <v/>
      </c>
      <c r="BP12" s="14">
        <f>SUM('Plant Inputs'!BQ24,'Plant Inputs'!BQ30,'Plant Inputs'!BQ36)</f>
        <v/>
      </c>
      <c r="BQ12" s="14">
        <f>SUM('Plant Inputs'!BR24,'Plant Inputs'!BR30,'Plant Inputs'!BR36)</f>
        <v/>
      </c>
      <c r="BR12" s="14">
        <f>SUM('Plant Inputs'!BS24,'Plant Inputs'!BS30,'Plant Inputs'!BS36)</f>
        <v/>
      </c>
      <c r="BS12" s="14">
        <f>MIN('Plant Inputs'!BT24,'Plant Inputs'!BT30,'Plant Inputs'!BT36)</f>
        <v/>
      </c>
      <c r="BT12" s="14">
        <f>SUM('Plant Inputs'!BU24,'Plant Inputs'!BU30,'Plant Inputs'!BU36)</f>
        <v/>
      </c>
      <c r="BU12" s="14">
        <f>SUM('Plant Inputs'!BV24,'Plant Inputs'!BV30,'Plant Inputs'!BV36)</f>
        <v/>
      </c>
      <c r="BV12" s="14">
        <f>SUM('Plant Inputs'!BW24,'Plant Inputs'!BW30,'Plant Inputs'!BW36)</f>
        <v/>
      </c>
      <c r="BW12" s="14">
        <f>SUM('Plant Inputs'!BX24,'Plant Inputs'!BX30,'Plant Inputs'!BX36)</f>
        <v/>
      </c>
      <c r="BX12" s="14">
        <f>SUM('Plant Inputs'!BY24,'Plant Inputs'!BY30,'Plant Inputs'!BY36)</f>
        <v/>
      </c>
      <c r="BY12" s="16" t="n">
        <v>51654.7</v>
      </c>
      <c r="BZ12" s="16" t="n">
        <v>22449.1</v>
      </c>
      <c r="CA12" s="16" t="n">
        <v>10080000</v>
      </c>
      <c r="CB12" s="16" t="n">
        <v>4211021.8</v>
      </c>
      <c r="CC12" s="16" t="n">
        <v>1075021.8</v>
      </c>
      <c r="CD12" s="16" t="n">
        <v>436315.8</v>
      </c>
      <c r="CE12" s="16" t="n">
        <v>32928</v>
      </c>
      <c r="CF12" s="16" t="n">
        <v>405014</v>
      </c>
      <c r="CG12" s="16" t="n">
        <v>1190070.9</v>
      </c>
      <c r="CH12" s="16" t="n">
        <v>107481.4</v>
      </c>
      <c r="CI12" s="16" t="n">
        <v>1119343.6</v>
      </c>
      <c r="CJ12" s="16" t="n">
        <v>1665189.5</v>
      </c>
      <c r="CK12" s="16" t="n">
        <v>2023734.9</v>
      </c>
      <c r="CL12" s="16" t="n">
        <v>1155573.9</v>
      </c>
      <c r="CM12" s="16" t="n">
        <v>1086928.3</v>
      </c>
      <c r="CN12" s="16" t="n">
        <v>3048.7</v>
      </c>
      <c r="CO12" s="16" t="n">
        <v>78617.10000000001</v>
      </c>
      <c r="CP12" s="16" t="n">
        <v>78617.10000000001</v>
      </c>
      <c r="CQ12" s="16" t="n">
        <v>333</v>
      </c>
      <c r="CR12" s="16" t="n">
        <v>15098</v>
      </c>
      <c r="CS12" s="16" t="n">
        <v>14985</v>
      </c>
      <c r="CT12" s="16" t="n">
        <v>0</v>
      </c>
      <c r="CU12" s="16" t="n">
        <v>640845.8</v>
      </c>
      <c r="CV12" s="16" t="n">
        <v>647178.6</v>
      </c>
      <c r="CW12" s="16" t="n">
        <v>92062</v>
      </c>
      <c r="CX12" s="16" t="n">
        <v>3085667.3</v>
      </c>
      <c r="CY12" s="16" t="n">
        <v>1265494.8</v>
      </c>
      <c r="CZ12" s="16" t="n">
        <v>287638.8</v>
      </c>
      <c r="DA12" s="16" t="n">
        <v>211841.6</v>
      </c>
      <c r="DB12" s="16" t="n">
        <v>231613.6</v>
      </c>
      <c r="DC12" s="16" t="n">
        <v>171021.1</v>
      </c>
      <c r="DD12" s="16" t="n">
        <v>3471.9</v>
      </c>
      <c r="DE12" s="16" t="n">
        <v>3774.8</v>
      </c>
      <c r="DF12" s="16" t="n">
        <v>1772808</v>
      </c>
      <c r="DG12" s="16" t="n">
        <v>1085587.8</v>
      </c>
      <c r="DH12" s="16" t="n">
        <v>860000</v>
      </c>
      <c r="DI12" s="16" t="n">
        <v>476244.8</v>
      </c>
      <c r="DJ12" s="16" t="n">
        <v>70024</v>
      </c>
      <c r="DK12" s="16" t="n">
        <v>412800</v>
      </c>
      <c r="DL12" s="16" t="n">
        <v>130334.1</v>
      </c>
      <c r="DM12" s="16" t="n">
        <v>4</v>
      </c>
      <c r="DN12" s="16" t="n">
        <v>1</v>
      </c>
      <c r="DO12" s="16" t="n">
        <v>0</v>
      </c>
      <c r="DP12" s="16" t="n">
        <v>0</v>
      </c>
      <c r="DQ12" s="16" t="n">
        <v>7</v>
      </c>
      <c r="DR12" s="16" t="n">
        <v>10</v>
      </c>
      <c r="DS12" s="16" t="n">
        <v>10</v>
      </c>
      <c r="DT12" s="16" t="n">
        <v>4</v>
      </c>
      <c r="DU12" s="16" t="n">
        <v>2</v>
      </c>
      <c r="DV12" s="16" t="n">
        <v>64</v>
      </c>
      <c r="DW12" s="16" t="n">
        <v>25</v>
      </c>
      <c r="DX12" s="16" t="n">
        <v>8998.700000000001</v>
      </c>
      <c r="DY12" s="16" t="n">
        <v>3287.2</v>
      </c>
      <c r="DZ12" s="16" t="n">
        <v>1313.6</v>
      </c>
      <c r="EA12" s="16" t="n">
        <v>1018</v>
      </c>
      <c r="EB12" s="16" t="n">
        <v>1229.3</v>
      </c>
      <c r="EC12" s="16" t="n">
        <v>68</v>
      </c>
      <c r="ED12" s="16" t="n">
        <v>66</v>
      </c>
      <c r="EE12" s="16" t="n">
        <v>2</v>
      </c>
      <c r="EF12" s="16" t="n">
        <v>0</v>
      </c>
      <c r="EG12" s="16" t="n">
        <v>1</v>
      </c>
      <c r="EH12" s="16" t="n">
        <v>0</v>
      </c>
      <c r="EI12" s="16" t="n">
        <v>0</v>
      </c>
      <c r="EJ12" s="16" t="n">
        <v>0</v>
      </c>
      <c r="EK12" s="16" t="n">
        <v>0</v>
      </c>
      <c r="EL12" s="16" t="n">
        <v>0</v>
      </c>
      <c r="EM12" s="16" t="n">
        <v>0</v>
      </c>
      <c r="EN12" s="16" t="n">
        <v>1</v>
      </c>
      <c r="EO12" s="16" t="n">
        <v>0</v>
      </c>
      <c r="EP12" s="16" t="n">
        <v>0</v>
      </c>
      <c r="EQ12" s="16" t="n">
        <v>1</v>
      </c>
      <c r="ER12" s="16" t="n">
        <v>0</v>
      </c>
      <c r="ES12" s="16" t="n">
        <v>0</v>
      </c>
      <c r="ET12" s="16" t="n">
        <v>0</v>
      </c>
      <c r="EU12" s="16" t="n">
        <v>6</v>
      </c>
      <c r="EV12" s="16" t="n">
        <v>0</v>
      </c>
      <c r="EW12" s="16" t="n">
        <v>1</v>
      </c>
      <c r="EX12" s="16" t="n">
        <v>1</v>
      </c>
      <c r="EY12" s="16" t="n">
        <v>58</v>
      </c>
      <c r="EZ12" s="16" t="n">
        <v>52</v>
      </c>
      <c r="FA12" s="16" t="n">
        <v>3</v>
      </c>
      <c r="FB12" s="16" t="n">
        <v>115</v>
      </c>
      <c r="FC12" s="16" t="n">
        <v>28</v>
      </c>
      <c r="FD12" s="16" t="n">
        <v>24</v>
      </c>
      <c r="FE12" s="16" t="n">
        <v>26</v>
      </c>
      <c r="FF12" s="16" t="n">
        <v>1</v>
      </c>
      <c r="FG12" s="16" t="n">
        <v>0</v>
      </c>
      <c r="FH12" s="16" t="n">
        <v>0</v>
      </c>
      <c r="FI12" s="16" t="n">
        <v>499474</v>
      </c>
      <c r="FJ12" s="16" t="n">
        <v>495766</v>
      </c>
      <c r="FK12" s="16" t="n">
        <v>420</v>
      </c>
      <c r="FL12" s="16" t="n">
        <v>413</v>
      </c>
      <c r="FM12" s="16" t="n">
        <v>0</v>
      </c>
      <c r="FN12" s="16" t="n">
        <v>0</v>
      </c>
      <c r="FO12" s="16" t="n">
        <v>0</v>
      </c>
      <c r="FP12" s="16" t="n">
        <v>4</v>
      </c>
      <c r="FQ12" s="16" t="n">
        <v>7.8</v>
      </c>
      <c r="FR12" s="16" t="n">
        <v>7</v>
      </c>
      <c r="FS12" s="16" t="n">
        <v>0</v>
      </c>
      <c r="FT12" s="16" t="n">
        <v>0</v>
      </c>
      <c r="FU12" s="16" t="n">
        <v>-1</v>
      </c>
    </row>
    <row r="13">
      <c r="A13" t="inlineStr">
        <is>
          <t>Group</t>
        </is>
      </c>
      <c r="B13" t="inlineStr">
        <is>
          <t>Entity A2</t>
        </is>
      </c>
      <c r="C13" t="inlineStr">
        <is>
          <t>2026-07</t>
        </is>
      </c>
      <c r="D13" t="n">
        <v>31</v>
      </c>
      <c r="E13" s="14">
        <f>SUM('Plant Inputs'!F25,'Plant Inputs'!F31,'Plant Inputs'!F37)</f>
        <v/>
      </c>
      <c r="F13" s="14">
        <f>SUM('Plant Inputs'!G25,'Plant Inputs'!G31,'Plant Inputs'!G37)</f>
        <v/>
      </c>
      <c r="G13" s="14">
        <f>SUM('Plant Inputs'!H25,'Plant Inputs'!H31,'Plant Inputs'!H37)</f>
        <v/>
      </c>
      <c r="H13" s="14">
        <f>SUM('Plant Inputs'!I25,'Plant Inputs'!I31,'Plant Inputs'!I37)</f>
        <v/>
      </c>
      <c r="I13" s="14">
        <f>SUM('Plant Inputs'!J25,'Plant Inputs'!J31,'Plant Inputs'!J37)</f>
        <v/>
      </c>
      <c r="J13" s="14">
        <f>SUM('Plant Inputs'!K25,'Plant Inputs'!K31,'Plant Inputs'!K37)</f>
        <v/>
      </c>
      <c r="K13" s="14">
        <f>SUM('Plant Inputs'!L25,'Plant Inputs'!L31,'Plant Inputs'!L37)</f>
        <v/>
      </c>
      <c r="L13" s="14">
        <f>SUM('Plant Inputs'!M25,'Plant Inputs'!M31,'Plant Inputs'!M37)</f>
        <v/>
      </c>
      <c r="M13" s="14">
        <f>SUM('Plant Inputs'!N25,'Plant Inputs'!N31,'Plant Inputs'!N37)</f>
        <v/>
      </c>
      <c r="N13" s="14">
        <f>SUM('Plant Inputs'!O25,'Plant Inputs'!O31,'Plant Inputs'!O37)</f>
        <v/>
      </c>
      <c r="O13" s="14">
        <f>SUM('Plant Inputs'!P25,'Plant Inputs'!P31,'Plant Inputs'!P37)</f>
        <v/>
      </c>
      <c r="P13" s="14">
        <f>SUM('Plant Inputs'!Q25,'Plant Inputs'!Q31,'Plant Inputs'!Q37)</f>
        <v/>
      </c>
      <c r="Q13" s="14">
        <f>SUM('Plant Inputs'!R25,'Plant Inputs'!R31,'Plant Inputs'!R37)</f>
        <v/>
      </c>
      <c r="R13" s="14">
        <f>SUM('Plant Inputs'!S25,'Plant Inputs'!S31,'Plant Inputs'!S37)</f>
        <v/>
      </c>
      <c r="S13" s="14">
        <f>SUM('Plant Inputs'!T25,'Plant Inputs'!T31,'Plant Inputs'!T37)</f>
        <v/>
      </c>
      <c r="T13" s="14">
        <f>SUM('Plant Inputs'!U25,'Plant Inputs'!U31,'Plant Inputs'!U37)</f>
        <v/>
      </c>
      <c r="U13" s="14">
        <f>SUM('Plant Inputs'!V25,'Plant Inputs'!V31,'Plant Inputs'!V37)</f>
        <v/>
      </c>
      <c r="V13" s="14">
        <f>SUM('Plant Inputs'!W25,'Plant Inputs'!W31,'Plant Inputs'!W37)</f>
        <v/>
      </c>
      <c r="W13" s="14">
        <f>SUM('Plant Inputs'!X25,'Plant Inputs'!X31,'Plant Inputs'!X37)</f>
        <v/>
      </c>
      <c r="X13" s="14">
        <f>SUM('Plant Inputs'!Y25,'Plant Inputs'!Y31,'Plant Inputs'!Y37)</f>
        <v/>
      </c>
      <c r="Y13" s="14">
        <f>SUM('Plant Inputs'!Z25,'Plant Inputs'!Z31,'Plant Inputs'!Z37)</f>
        <v/>
      </c>
      <c r="Z13" s="14">
        <f>SUM('Plant Inputs'!AA25,'Plant Inputs'!AA31,'Plant Inputs'!AA37)</f>
        <v/>
      </c>
      <c r="AA13" s="14">
        <f>SUM('Plant Inputs'!AB25,'Plant Inputs'!AB31,'Plant Inputs'!AB37)</f>
        <v/>
      </c>
      <c r="AB13" s="14">
        <f>SUM('Plant Inputs'!AC25,'Plant Inputs'!AC31,'Plant Inputs'!AC37)</f>
        <v/>
      </c>
      <c r="AC13" s="14">
        <f>SUM('Plant Inputs'!AD25,'Plant Inputs'!AD31,'Plant Inputs'!AD37)</f>
        <v/>
      </c>
      <c r="AD13" s="14">
        <f>SUM('Plant Inputs'!AE25,'Plant Inputs'!AE31,'Plant Inputs'!AE37)</f>
        <v/>
      </c>
      <c r="AE13" s="14">
        <f>SUM('Plant Inputs'!AF25,'Plant Inputs'!AF31,'Plant Inputs'!AF37)</f>
        <v/>
      </c>
      <c r="AF13" s="14">
        <f>SUM('Plant Inputs'!AG25,'Plant Inputs'!AG31,'Plant Inputs'!AG37)</f>
        <v/>
      </c>
      <c r="AG13" s="14">
        <f>SUM('Plant Inputs'!AH25,'Plant Inputs'!AH31,'Plant Inputs'!AH37)</f>
        <v/>
      </c>
      <c r="AH13" s="14">
        <f>SUM('Plant Inputs'!AI25,'Plant Inputs'!AI31,'Plant Inputs'!AI37)</f>
        <v/>
      </c>
      <c r="AI13" s="14">
        <f>SUM('Plant Inputs'!AJ25,'Plant Inputs'!AJ31,'Plant Inputs'!AJ37)</f>
        <v/>
      </c>
      <c r="AJ13" s="14">
        <f>SUM('Plant Inputs'!AK25,'Plant Inputs'!AK31,'Plant Inputs'!AK37)</f>
        <v/>
      </c>
      <c r="AK13" s="14">
        <f>SUM('Plant Inputs'!AL25,'Plant Inputs'!AL31,'Plant Inputs'!AL37)</f>
        <v/>
      </c>
      <c r="AL13" s="14">
        <f>SUM('Plant Inputs'!AM25,'Plant Inputs'!AM31,'Plant Inputs'!AM37)</f>
        <v/>
      </c>
      <c r="AM13" s="14">
        <f>SUM('Plant Inputs'!AN25,'Plant Inputs'!AN31,'Plant Inputs'!AN37)</f>
        <v/>
      </c>
      <c r="AN13" s="14">
        <f>SUM('Plant Inputs'!AO25,'Plant Inputs'!AO31,'Plant Inputs'!AO37)</f>
        <v/>
      </c>
      <c r="AO13" s="14">
        <f>SUM('Plant Inputs'!AP25,'Plant Inputs'!AP31,'Plant Inputs'!AP37)</f>
        <v/>
      </c>
      <c r="AP13" s="14">
        <f>SUM('Plant Inputs'!AQ25,'Plant Inputs'!AQ31,'Plant Inputs'!AQ37)</f>
        <v/>
      </c>
      <c r="AQ13" s="14">
        <f>SUM('Plant Inputs'!AR25,'Plant Inputs'!AR31,'Plant Inputs'!AR37)</f>
        <v/>
      </c>
      <c r="AR13" s="14">
        <f>MIN('Plant Inputs'!AS25,'Plant Inputs'!AS31,'Plant Inputs'!AS37)</f>
        <v/>
      </c>
      <c r="AS13" s="14">
        <f>SUM('Plant Inputs'!AT25,'Plant Inputs'!AT31,'Plant Inputs'!AT37)</f>
        <v/>
      </c>
      <c r="AT13" s="14">
        <f>SUM('Plant Inputs'!AU25,'Plant Inputs'!AU31,'Plant Inputs'!AU37)</f>
        <v/>
      </c>
      <c r="AU13" s="14">
        <f>SUM('Plant Inputs'!AV25,'Plant Inputs'!AV31,'Plant Inputs'!AV37)</f>
        <v/>
      </c>
      <c r="AV13" s="14">
        <f>SUM('Plant Inputs'!AW25,'Plant Inputs'!AW31,'Plant Inputs'!AW37)</f>
        <v/>
      </c>
      <c r="AW13" s="14">
        <f>SUM('Plant Inputs'!AX25,'Plant Inputs'!AX31,'Plant Inputs'!AX37)</f>
        <v/>
      </c>
      <c r="AX13" s="14">
        <f>SUM('Plant Inputs'!AY25,'Plant Inputs'!AY31,'Plant Inputs'!AY37)</f>
        <v/>
      </c>
      <c r="AY13" s="14">
        <f>SUM('Plant Inputs'!AZ25,'Plant Inputs'!AZ31,'Plant Inputs'!AZ37)</f>
        <v/>
      </c>
      <c r="AZ13" s="14">
        <f>SUM('Plant Inputs'!BA25,'Plant Inputs'!BA31,'Plant Inputs'!BA37)</f>
        <v/>
      </c>
      <c r="BA13" s="14">
        <f>SUM('Plant Inputs'!BB25,'Plant Inputs'!BB31,'Plant Inputs'!BB37)</f>
        <v/>
      </c>
      <c r="BB13" s="14">
        <f>SUM('Plant Inputs'!BC25,'Plant Inputs'!BC31,'Plant Inputs'!BC37)</f>
        <v/>
      </c>
      <c r="BC13" s="14">
        <f>SUM('Plant Inputs'!BD25,'Plant Inputs'!BD31,'Plant Inputs'!BD37)</f>
        <v/>
      </c>
      <c r="BD13" s="14">
        <f>SUM('Plant Inputs'!BE25,'Plant Inputs'!BE31,'Plant Inputs'!BE37)</f>
        <v/>
      </c>
      <c r="BE13" s="14">
        <f>SUM('Plant Inputs'!BF25,'Plant Inputs'!BF31,'Plant Inputs'!BF37)</f>
        <v/>
      </c>
      <c r="BF13" s="14">
        <f>SUM('Plant Inputs'!BG25,'Plant Inputs'!BG31,'Plant Inputs'!BG37)</f>
        <v/>
      </c>
      <c r="BG13" s="14">
        <f>SUM('Plant Inputs'!BH25,'Plant Inputs'!BH31,'Plant Inputs'!BH37)</f>
        <v/>
      </c>
      <c r="BH13" s="14">
        <f>SUM('Plant Inputs'!BI25,'Plant Inputs'!BI31,'Plant Inputs'!BI37)</f>
        <v/>
      </c>
      <c r="BI13" s="14">
        <f>SUM('Plant Inputs'!BJ25,'Plant Inputs'!BJ31,'Plant Inputs'!BJ37)</f>
        <v/>
      </c>
      <c r="BJ13" s="14">
        <f>SUM('Plant Inputs'!BK25,'Plant Inputs'!BK31,'Plant Inputs'!BK37)</f>
        <v/>
      </c>
      <c r="BK13" s="14">
        <f>SUM('Plant Inputs'!BL25,'Plant Inputs'!BL31,'Plant Inputs'!BL37)</f>
        <v/>
      </c>
      <c r="BL13" s="14">
        <f>SUM('Plant Inputs'!BM25,'Plant Inputs'!BM31,'Plant Inputs'!BM37)</f>
        <v/>
      </c>
      <c r="BM13" s="14">
        <f>SUM('Plant Inputs'!BN25,'Plant Inputs'!BN31,'Plant Inputs'!BN37)</f>
        <v/>
      </c>
      <c r="BN13" s="14">
        <f>SUM('Plant Inputs'!BO25,'Plant Inputs'!BO31,'Plant Inputs'!BO37)</f>
        <v/>
      </c>
      <c r="BO13" s="14">
        <f>SUM('Plant Inputs'!BP25,'Plant Inputs'!BP31,'Plant Inputs'!BP37)</f>
        <v/>
      </c>
      <c r="BP13" s="14">
        <f>SUM('Plant Inputs'!BQ25,'Plant Inputs'!BQ31,'Plant Inputs'!BQ37)</f>
        <v/>
      </c>
      <c r="BQ13" s="14">
        <f>SUM('Plant Inputs'!BR25,'Plant Inputs'!BR31,'Plant Inputs'!BR37)</f>
        <v/>
      </c>
      <c r="BR13" s="14">
        <f>SUM('Plant Inputs'!BS25,'Plant Inputs'!BS31,'Plant Inputs'!BS37)</f>
        <v/>
      </c>
      <c r="BS13" s="14">
        <f>MIN('Plant Inputs'!BT25,'Plant Inputs'!BT31,'Plant Inputs'!BT37)</f>
        <v/>
      </c>
      <c r="BT13" s="14">
        <f>SUM('Plant Inputs'!BU25,'Plant Inputs'!BU31,'Plant Inputs'!BU37)</f>
        <v/>
      </c>
      <c r="BU13" s="14">
        <f>SUM('Plant Inputs'!BV25,'Plant Inputs'!BV31,'Plant Inputs'!BV37)</f>
        <v/>
      </c>
      <c r="BV13" s="14">
        <f>SUM('Plant Inputs'!BW25,'Plant Inputs'!BW31,'Plant Inputs'!BW37)</f>
        <v/>
      </c>
      <c r="BW13" s="14">
        <f>SUM('Plant Inputs'!BX25,'Plant Inputs'!BX31,'Plant Inputs'!BX37)</f>
        <v/>
      </c>
      <c r="BX13" s="14">
        <f>SUM('Plant Inputs'!BY25,'Plant Inputs'!BY31,'Plant Inputs'!BY37)</f>
        <v/>
      </c>
      <c r="BY13" s="16" t="n">
        <v>54610.5</v>
      </c>
      <c r="BZ13" s="16" t="n">
        <v>23755.2</v>
      </c>
      <c r="CA13" s="16" t="n">
        <v>10120000</v>
      </c>
      <c r="CB13" s="16" t="n">
        <v>4323104.5</v>
      </c>
      <c r="CC13" s="16" t="n">
        <v>1219104.5</v>
      </c>
      <c r="CD13" s="16" t="n">
        <v>442574.4</v>
      </c>
      <c r="CE13" s="16" t="n">
        <v>32592</v>
      </c>
      <c r="CF13" s="16" t="n">
        <v>425574.5</v>
      </c>
      <c r="CG13" s="16" t="n">
        <v>1293891.3</v>
      </c>
      <c r="CH13" s="16" t="n">
        <v>119814.6</v>
      </c>
      <c r="CI13" s="16" t="n">
        <v>1202019.5</v>
      </c>
      <c r="CJ13" s="16" t="n">
        <v>1734551.6</v>
      </c>
      <c r="CK13" s="16" t="n">
        <v>2055982.4</v>
      </c>
      <c r="CL13" s="16" t="n">
        <v>1122026.2</v>
      </c>
      <c r="CM13" s="16" t="n">
        <v>1161124.7</v>
      </c>
      <c r="CN13" s="16" t="n">
        <v>2912.2</v>
      </c>
      <c r="CO13" s="16" t="n">
        <v>78725.2</v>
      </c>
      <c r="CP13" s="16" t="n">
        <v>78725.2</v>
      </c>
      <c r="CQ13" s="16" t="n">
        <v>342</v>
      </c>
      <c r="CR13" s="16" t="n">
        <v>15474</v>
      </c>
      <c r="CS13" s="16" t="n">
        <v>15390</v>
      </c>
      <c r="CT13" s="16" t="n">
        <v>1</v>
      </c>
      <c r="CU13" s="16" t="n">
        <v>714775.5</v>
      </c>
      <c r="CV13" s="16" t="n">
        <v>718721.9</v>
      </c>
      <c r="CW13" s="16" t="n">
        <v>139958.6</v>
      </c>
      <c r="CX13" s="16" t="n">
        <v>3047312.3</v>
      </c>
      <c r="CY13" s="16" t="n">
        <v>1412231.8</v>
      </c>
      <c r="CZ13" s="16" t="n">
        <v>347025.2</v>
      </c>
      <c r="DA13" s="16" t="n">
        <v>242148.9</v>
      </c>
      <c r="DB13" s="16" t="n">
        <v>284119.2</v>
      </c>
      <c r="DC13" s="16" t="n">
        <v>199411</v>
      </c>
      <c r="DD13" s="16" t="n">
        <v>6393</v>
      </c>
      <c r="DE13" s="16" t="n">
        <v>6859.8</v>
      </c>
      <c r="DF13" s="16" t="n">
        <v>1997749.7</v>
      </c>
      <c r="DG13" s="16" t="n">
        <v>1170469.4</v>
      </c>
      <c r="DH13" s="16" t="n">
        <v>860000</v>
      </c>
      <c r="DI13" s="16" t="n">
        <v>526173.4</v>
      </c>
      <c r="DJ13" s="16" t="n">
        <v>66726.89999999999</v>
      </c>
      <c r="DK13" s="16" t="n">
        <v>455800</v>
      </c>
      <c r="DL13" s="16" t="n">
        <v>129811.4</v>
      </c>
      <c r="DM13" s="16" t="n">
        <v>4</v>
      </c>
      <c r="DN13" s="16" t="n">
        <v>1</v>
      </c>
      <c r="DO13" s="16" t="n">
        <v>0</v>
      </c>
      <c r="DP13" s="16" t="n">
        <v>1</v>
      </c>
      <c r="DQ13" s="16" t="n">
        <v>4</v>
      </c>
      <c r="DR13" s="16" t="n">
        <v>4</v>
      </c>
      <c r="DS13" s="16" t="n">
        <v>10</v>
      </c>
      <c r="DT13" s="16" t="n">
        <v>4</v>
      </c>
      <c r="DU13" s="16" t="n">
        <v>2</v>
      </c>
      <c r="DV13" s="16" t="n">
        <v>64</v>
      </c>
      <c r="DW13" s="16" t="n">
        <v>28</v>
      </c>
      <c r="DX13" s="16" t="n">
        <v>9318.700000000001</v>
      </c>
      <c r="DY13" s="16" t="n">
        <v>3457.6</v>
      </c>
      <c r="DZ13" s="16" t="n">
        <v>1294.6</v>
      </c>
      <c r="EA13" s="16" t="n">
        <v>1069.1</v>
      </c>
      <c r="EB13" s="16" t="n">
        <v>1220.3</v>
      </c>
      <c r="EC13" s="16" t="n">
        <v>68</v>
      </c>
      <c r="ED13" s="16" t="n">
        <v>65</v>
      </c>
      <c r="EE13" s="16" t="n">
        <v>3</v>
      </c>
      <c r="EF13" s="16" t="n">
        <v>1</v>
      </c>
      <c r="EG13" s="16" t="n">
        <v>1</v>
      </c>
      <c r="EH13" s="16" t="n">
        <v>0</v>
      </c>
      <c r="EI13" s="16" t="n">
        <v>0</v>
      </c>
      <c r="EJ13" s="16" t="n">
        <v>1</v>
      </c>
      <c r="EK13" s="16" t="n">
        <v>1</v>
      </c>
      <c r="EL13" s="16" t="n">
        <v>1</v>
      </c>
      <c r="EM13" s="16" t="n">
        <v>0</v>
      </c>
      <c r="EN13" s="16" t="n">
        <v>0</v>
      </c>
      <c r="EO13" s="16" t="n">
        <v>0</v>
      </c>
      <c r="EP13" s="16" t="n">
        <v>0</v>
      </c>
      <c r="EQ13" s="16" t="n">
        <v>0</v>
      </c>
      <c r="ER13" s="16" t="n">
        <v>0</v>
      </c>
      <c r="ES13" s="16" t="n">
        <v>0</v>
      </c>
      <c r="ET13" s="16" t="n">
        <v>0</v>
      </c>
      <c r="EU13" s="16" t="n">
        <v>5</v>
      </c>
      <c r="EV13" s="16" t="n">
        <v>0</v>
      </c>
      <c r="EW13" s="16" t="n">
        <v>1</v>
      </c>
      <c r="EX13" s="16" t="n">
        <v>1</v>
      </c>
      <c r="EY13" s="16" t="n">
        <v>58</v>
      </c>
      <c r="EZ13" s="16" t="n">
        <v>53</v>
      </c>
      <c r="FA13" s="16" t="n">
        <v>1</v>
      </c>
      <c r="FB13" s="16" t="n">
        <v>36</v>
      </c>
      <c r="FC13" s="16" t="n">
        <v>28</v>
      </c>
      <c r="FD13" s="16" t="n">
        <v>24</v>
      </c>
      <c r="FE13" s="16" t="n">
        <v>26</v>
      </c>
      <c r="FF13" s="16" t="n">
        <v>1</v>
      </c>
      <c r="FG13" s="16" t="n">
        <v>0</v>
      </c>
      <c r="FH13" s="16" t="n">
        <v>0</v>
      </c>
      <c r="FI13" s="16" t="n">
        <v>512122</v>
      </c>
      <c r="FJ13" s="16" t="n">
        <v>506494</v>
      </c>
      <c r="FK13" s="16" t="n">
        <v>420</v>
      </c>
      <c r="FL13" s="16" t="n">
        <v>415</v>
      </c>
      <c r="FM13" s="16" t="n">
        <v>0</v>
      </c>
      <c r="FN13" s="16" t="n">
        <v>0</v>
      </c>
      <c r="FO13" s="16" t="n">
        <v>0</v>
      </c>
      <c r="FP13" s="16" t="n">
        <v>4</v>
      </c>
      <c r="FQ13" s="16" t="n">
        <v>8.5</v>
      </c>
      <c r="FR13" s="16" t="n">
        <v>8</v>
      </c>
      <c r="FS13" s="16" t="n">
        <v>1</v>
      </c>
      <c r="FT13" s="16" t="n">
        <v>1</v>
      </c>
      <c r="FU13" s="16" t="n">
        <v>1</v>
      </c>
    </row>
    <row r="14">
      <c r="A14" t="inlineStr">
        <is>
          <t>Group</t>
        </is>
      </c>
      <c r="B14" t="inlineStr">
        <is>
          <t>Entity A2</t>
        </is>
      </c>
      <c r="C14" t="inlineStr">
        <is>
          <t>2026-08</t>
        </is>
      </c>
      <c r="D14" t="n">
        <v>31</v>
      </c>
      <c r="E14" s="14">
        <f>SUM('Plant Inputs'!F26,'Plant Inputs'!F32,'Plant Inputs'!F38)</f>
        <v/>
      </c>
      <c r="F14" s="14">
        <f>SUM('Plant Inputs'!G26,'Plant Inputs'!G32,'Plant Inputs'!G38)</f>
        <v/>
      </c>
      <c r="G14" s="14">
        <f>SUM('Plant Inputs'!H26,'Plant Inputs'!H32,'Plant Inputs'!H38)</f>
        <v/>
      </c>
      <c r="H14" s="14">
        <f>SUM('Plant Inputs'!I26,'Plant Inputs'!I32,'Plant Inputs'!I38)</f>
        <v/>
      </c>
      <c r="I14" s="14">
        <f>SUM('Plant Inputs'!J26,'Plant Inputs'!J32,'Plant Inputs'!J38)</f>
        <v/>
      </c>
      <c r="J14" s="14">
        <f>SUM('Plant Inputs'!K26,'Plant Inputs'!K32,'Plant Inputs'!K38)</f>
        <v/>
      </c>
      <c r="K14" s="14">
        <f>SUM('Plant Inputs'!L26,'Plant Inputs'!L32,'Plant Inputs'!L38)</f>
        <v/>
      </c>
      <c r="L14" s="14">
        <f>SUM('Plant Inputs'!M26,'Plant Inputs'!M32,'Plant Inputs'!M38)</f>
        <v/>
      </c>
      <c r="M14" s="14">
        <f>SUM('Plant Inputs'!N26,'Plant Inputs'!N32,'Plant Inputs'!N38)</f>
        <v/>
      </c>
      <c r="N14" s="14">
        <f>SUM('Plant Inputs'!O26,'Plant Inputs'!O32,'Plant Inputs'!O38)</f>
        <v/>
      </c>
      <c r="O14" s="14">
        <f>SUM('Plant Inputs'!P26,'Plant Inputs'!P32,'Plant Inputs'!P38)</f>
        <v/>
      </c>
      <c r="P14" s="14">
        <f>SUM('Plant Inputs'!Q26,'Plant Inputs'!Q32,'Plant Inputs'!Q38)</f>
        <v/>
      </c>
      <c r="Q14" s="14">
        <f>SUM('Plant Inputs'!R26,'Plant Inputs'!R32,'Plant Inputs'!R38)</f>
        <v/>
      </c>
      <c r="R14" s="14">
        <f>SUM('Plant Inputs'!S26,'Plant Inputs'!S32,'Plant Inputs'!S38)</f>
        <v/>
      </c>
      <c r="S14" s="14">
        <f>SUM('Plant Inputs'!T26,'Plant Inputs'!T32,'Plant Inputs'!T38)</f>
        <v/>
      </c>
      <c r="T14" s="14">
        <f>SUM('Plant Inputs'!U26,'Plant Inputs'!U32,'Plant Inputs'!U38)</f>
        <v/>
      </c>
      <c r="U14" s="14">
        <f>SUM('Plant Inputs'!V26,'Plant Inputs'!V32,'Plant Inputs'!V38)</f>
        <v/>
      </c>
      <c r="V14" s="14">
        <f>SUM('Plant Inputs'!W26,'Plant Inputs'!W32,'Plant Inputs'!W38)</f>
        <v/>
      </c>
      <c r="W14" s="14">
        <f>SUM('Plant Inputs'!X26,'Plant Inputs'!X32,'Plant Inputs'!X38)</f>
        <v/>
      </c>
      <c r="X14" s="14">
        <f>SUM('Plant Inputs'!Y26,'Plant Inputs'!Y32,'Plant Inputs'!Y38)</f>
        <v/>
      </c>
      <c r="Y14" s="14">
        <f>SUM('Plant Inputs'!Z26,'Plant Inputs'!Z32,'Plant Inputs'!Z38)</f>
        <v/>
      </c>
      <c r="Z14" s="14">
        <f>SUM('Plant Inputs'!AA26,'Plant Inputs'!AA32,'Plant Inputs'!AA38)</f>
        <v/>
      </c>
      <c r="AA14" s="14">
        <f>SUM('Plant Inputs'!AB26,'Plant Inputs'!AB32,'Plant Inputs'!AB38)</f>
        <v/>
      </c>
      <c r="AB14" s="14">
        <f>SUM('Plant Inputs'!AC26,'Plant Inputs'!AC32,'Plant Inputs'!AC38)</f>
        <v/>
      </c>
      <c r="AC14" s="14">
        <f>SUM('Plant Inputs'!AD26,'Plant Inputs'!AD32,'Plant Inputs'!AD38)</f>
        <v/>
      </c>
      <c r="AD14" s="14">
        <f>SUM('Plant Inputs'!AE26,'Plant Inputs'!AE32,'Plant Inputs'!AE38)</f>
        <v/>
      </c>
      <c r="AE14" s="14">
        <f>SUM('Plant Inputs'!AF26,'Plant Inputs'!AF32,'Plant Inputs'!AF38)</f>
        <v/>
      </c>
      <c r="AF14" s="14">
        <f>SUM('Plant Inputs'!AG26,'Plant Inputs'!AG32,'Plant Inputs'!AG38)</f>
        <v/>
      </c>
      <c r="AG14" s="14">
        <f>SUM('Plant Inputs'!AH26,'Plant Inputs'!AH32,'Plant Inputs'!AH38)</f>
        <v/>
      </c>
      <c r="AH14" s="14">
        <f>SUM('Plant Inputs'!AI26,'Plant Inputs'!AI32,'Plant Inputs'!AI38)</f>
        <v/>
      </c>
      <c r="AI14" s="14">
        <f>SUM('Plant Inputs'!AJ26,'Plant Inputs'!AJ32,'Plant Inputs'!AJ38)</f>
        <v/>
      </c>
      <c r="AJ14" s="14">
        <f>SUM('Plant Inputs'!AK26,'Plant Inputs'!AK32,'Plant Inputs'!AK38)</f>
        <v/>
      </c>
      <c r="AK14" s="14">
        <f>SUM('Plant Inputs'!AL26,'Plant Inputs'!AL32,'Plant Inputs'!AL38)</f>
        <v/>
      </c>
      <c r="AL14" s="14">
        <f>SUM('Plant Inputs'!AM26,'Plant Inputs'!AM32,'Plant Inputs'!AM38)</f>
        <v/>
      </c>
      <c r="AM14" s="14">
        <f>SUM('Plant Inputs'!AN26,'Plant Inputs'!AN32,'Plant Inputs'!AN38)</f>
        <v/>
      </c>
      <c r="AN14" s="14">
        <f>SUM('Plant Inputs'!AO26,'Plant Inputs'!AO32,'Plant Inputs'!AO38)</f>
        <v/>
      </c>
      <c r="AO14" s="14">
        <f>SUM('Plant Inputs'!AP26,'Plant Inputs'!AP32,'Plant Inputs'!AP38)</f>
        <v/>
      </c>
      <c r="AP14" s="14">
        <f>SUM('Plant Inputs'!AQ26,'Plant Inputs'!AQ32,'Plant Inputs'!AQ38)</f>
        <v/>
      </c>
      <c r="AQ14" s="14">
        <f>SUM('Plant Inputs'!AR26,'Plant Inputs'!AR32,'Plant Inputs'!AR38)</f>
        <v/>
      </c>
      <c r="AR14" s="14">
        <f>MIN('Plant Inputs'!AS26,'Plant Inputs'!AS32,'Plant Inputs'!AS38)</f>
        <v/>
      </c>
      <c r="AS14" s="14">
        <f>SUM('Plant Inputs'!AT26,'Plant Inputs'!AT32,'Plant Inputs'!AT38)</f>
        <v/>
      </c>
      <c r="AT14" s="14">
        <f>SUM('Plant Inputs'!AU26,'Plant Inputs'!AU32,'Plant Inputs'!AU38)</f>
        <v/>
      </c>
      <c r="AU14" s="14">
        <f>SUM('Plant Inputs'!AV26,'Plant Inputs'!AV32,'Plant Inputs'!AV38)</f>
        <v/>
      </c>
      <c r="AV14" s="14">
        <f>SUM('Plant Inputs'!AW26,'Plant Inputs'!AW32,'Plant Inputs'!AW38)</f>
        <v/>
      </c>
      <c r="AW14" s="14">
        <f>SUM('Plant Inputs'!AX26,'Plant Inputs'!AX32,'Plant Inputs'!AX38)</f>
        <v/>
      </c>
      <c r="AX14" s="14">
        <f>SUM('Plant Inputs'!AY26,'Plant Inputs'!AY32,'Plant Inputs'!AY38)</f>
        <v/>
      </c>
      <c r="AY14" s="14">
        <f>SUM('Plant Inputs'!AZ26,'Plant Inputs'!AZ32,'Plant Inputs'!AZ38)</f>
        <v/>
      </c>
      <c r="AZ14" s="14">
        <f>SUM('Plant Inputs'!BA26,'Plant Inputs'!BA32,'Plant Inputs'!BA38)</f>
        <v/>
      </c>
      <c r="BA14" s="14">
        <f>SUM('Plant Inputs'!BB26,'Plant Inputs'!BB32,'Plant Inputs'!BB38)</f>
        <v/>
      </c>
      <c r="BB14" s="14">
        <f>SUM('Plant Inputs'!BC26,'Plant Inputs'!BC32,'Plant Inputs'!BC38)</f>
        <v/>
      </c>
      <c r="BC14" s="14">
        <f>SUM('Plant Inputs'!BD26,'Plant Inputs'!BD32,'Plant Inputs'!BD38)</f>
        <v/>
      </c>
      <c r="BD14" s="14">
        <f>SUM('Plant Inputs'!BE26,'Plant Inputs'!BE32,'Plant Inputs'!BE38)</f>
        <v/>
      </c>
      <c r="BE14" s="14">
        <f>SUM('Plant Inputs'!BF26,'Plant Inputs'!BF32,'Plant Inputs'!BF38)</f>
        <v/>
      </c>
      <c r="BF14" s="14">
        <f>SUM('Plant Inputs'!BG26,'Plant Inputs'!BG32,'Plant Inputs'!BG38)</f>
        <v/>
      </c>
      <c r="BG14" s="14">
        <f>SUM('Plant Inputs'!BH26,'Plant Inputs'!BH32,'Plant Inputs'!BH38)</f>
        <v/>
      </c>
      <c r="BH14" s="14">
        <f>SUM('Plant Inputs'!BI26,'Plant Inputs'!BI32,'Plant Inputs'!BI38)</f>
        <v/>
      </c>
      <c r="BI14" s="14">
        <f>SUM('Plant Inputs'!BJ26,'Plant Inputs'!BJ32,'Plant Inputs'!BJ38)</f>
        <v/>
      </c>
      <c r="BJ14" s="14">
        <f>SUM('Plant Inputs'!BK26,'Plant Inputs'!BK32,'Plant Inputs'!BK38)</f>
        <v/>
      </c>
      <c r="BK14" s="14">
        <f>SUM('Plant Inputs'!BL26,'Plant Inputs'!BL32,'Plant Inputs'!BL38)</f>
        <v/>
      </c>
      <c r="BL14" s="14">
        <f>SUM('Plant Inputs'!BM26,'Plant Inputs'!BM32,'Plant Inputs'!BM38)</f>
        <v/>
      </c>
      <c r="BM14" s="14">
        <f>SUM('Plant Inputs'!BN26,'Plant Inputs'!BN32,'Plant Inputs'!BN38)</f>
        <v/>
      </c>
      <c r="BN14" s="14">
        <f>SUM('Plant Inputs'!BO26,'Plant Inputs'!BO32,'Plant Inputs'!BO38)</f>
        <v/>
      </c>
      <c r="BO14" s="14">
        <f>SUM('Plant Inputs'!BP26,'Plant Inputs'!BP32,'Plant Inputs'!BP38)</f>
        <v/>
      </c>
      <c r="BP14" s="14">
        <f>SUM('Plant Inputs'!BQ26,'Plant Inputs'!BQ32,'Plant Inputs'!BQ38)</f>
        <v/>
      </c>
      <c r="BQ14" s="14">
        <f>SUM('Plant Inputs'!BR26,'Plant Inputs'!BR32,'Plant Inputs'!BR38)</f>
        <v/>
      </c>
      <c r="BR14" s="14">
        <f>SUM('Plant Inputs'!BS26,'Plant Inputs'!BS32,'Plant Inputs'!BS38)</f>
        <v/>
      </c>
      <c r="BS14" s="14">
        <f>MIN('Plant Inputs'!BT26,'Plant Inputs'!BT32,'Plant Inputs'!BT38)</f>
        <v/>
      </c>
      <c r="BT14" s="14">
        <f>SUM('Plant Inputs'!BU26,'Plant Inputs'!BU32,'Plant Inputs'!BU38)</f>
        <v/>
      </c>
      <c r="BU14" s="14">
        <f>SUM('Plant Inputs'!BV26,'Plant Inputs'!BV32,'Plant Inputs'!BV38)</f>
        <v/>
      </c>
      <c r="BV14" s="14">
        <f>SUM('Plant Inputs'!BW26,'Plant Inputs'!BW32,'Plant Inputs'!BW38)</f>
        <v/>
      </c>
      <c r="BW14" s="14">
        <f>SUM('Plant Inputs'!BX26,'Plant Inputs'!BX32,'Plant Inputs'!BX38)</f>
        <v/>
      </c>
      <c r="BX14" s="14">
        <f>SUM('Plant Inputs'!BY26,'Plant Inputs'!BY32,'Plant Inputs'!BY38)</f>
        <v/>
      </c>
      <c r="BY14" s="16" t="n">
        <v>52643.9</v>
      </c>
      <c r="BZ14" s="16" t="n">
        <v>23550.4</v>
      </c>
      <c r="CA14" s="16" t="n">
        <v>10160000</v>
      </c>
      <c r="CB14" s="16" t="n">
        <v>4208810.1</v>
      </c>
      <c r="CC14" s="16" t="n">
        <v>1136810.1</v>
      </c>
      <c r="CD14" s="16" t="n">
        <v>425899.5</v>
      </c>
      <c r="CE14" s="16" t="n">
        <v>32256</v>
      </c>
      <c r="CF14" s="16" t="n">
        <v>436100.5</v>
      </c>
      <c r="CG14" s="16" t="n">
        <v>1192966.9</v>
      </c>
      <c r="CH14" s="16" t="n">
        <v>107683.3</v>
      </c>
      <c r="CI14" s="16" t="n">
        <v>1114419.8</v>
      </c>
      <c r="CJ14" s="16" t="n">
        <v>1562844.7</v>
      </c>
      <c r="CK14" s="16" t="n">
        <v>1909315.9</v>
      </c>
      <c r="CL14" s="16" t="n">
        <v>1088791.2</v>
      </c>
      <c r="CM14" s="16" t="n">
        <v>1109116.5</v>
      </c>
      <c r="CN14" s="16" t="n">
        <v>3143.6</v>
      </c>
      <c r="CO14" s="16" t="n">
        <v>71435.8</v>
      </c>
      <c r="CP14" s="16" t="n">
        <v>71435.8</v>
      </c>
      <c r="CQ14" s="16" t="n">
        <v>326</v>
      </c>
      <c r="CR14" s="16" t="n">
        <v>14795</v>
      </c>
      <c r="CS14" s="16" t="n">
        <v>14670</v>
      </c>
      <c r="CT14" s="16" t="n">
        <v>1</v>
      </c>
      <c r="CU14" s="16" t="n">
        <v>645320.4</v>
      </c>
      <c r="CV14" s="16" t="n">
        <v>653271.4</v>
      </c>
      <c r="CW14" s="16" t="n">
        <v>123824.7</v>
      </c>
      <c r="CX14" s="16" t="n">
        <v>3032458.5</v>
      </c>
      <c r="CY14" s="16" t="n">
        <v>1267817.3</v>
      </c>
      <c r="CZ14" s="16" t="n">
        <v>301775.9</v>
      </c>
      <c r="DA14" s="16" t="n">
        <v>207433.2</v>
      </c>
      <c r="DB14" s="16" t="n">
        <v>239804.4</v>
      </c>
      <c r="DC14" s="16" t="n">
        <v>168954.7</v>
      </c>
      <c r="DD14" s="16" t="n">
        <v>3637.5</v>
      </c>
      <c r="DE14" s="16" t="n">
        <v>3899</v>
      </c>
      <c r="DF14" s="16" t="n">
        <v>1830360.2</v>
      </c>
      <c r="DG14" s="16" t="n">
        <v>1065570.5</v>
      </c>
      <c r="DH14" s="16" t="n">
        <v>860000</v>
      </c>
      <c r="DI14" s="16" t="n">
        <v>567051.2</v>
      </c>
      <c r="DJ14" s="16" t="n">
        <v>69472.5</v>
      </c>
      <c r="DK14" s="16" t="n">
        <v>498800</v>
      </c>
      <c r="DL14" s="16" t="n">
        <v>131528.7</v>
      </c>
      <c r="DM14" s="16" t="n">
        <v>4</v>
      </c>
      <c r="DN14" s="16" t="n">
        <v>1</v>
      </c>
      <c r="DO14" s="16" t="n">
        <v>0</v>
      </c>
      <c r="DP14" s="16" t="n">
        <v>1</v>
      </c>
      <c r="DQ14" s="16" t="n">
        <v>6</v>
      </c>
      <c r="DR14" s="16" t="n">
        <v>7</v>
      </c>
      <c r="DS14" s="16" t="n">
        <v>10</v>
      </c>
      <c r="DT14" s="16" t="n">
        <v>4</v>
      </c>
      <c r="DU14" s="16" t="n">
        <v>2</v>
      </c>
      <c r="DV14" s="16" t="n">
        <v>64</v>
      </c>
      <c r="DW14" s="16" t="n">
        <v>31</v>
      </c>
      <c r="DX14" s="16" t="n">
        <v>9144.200000000001</v>
      </c>
      <c r="DY14" s="16" t="n">
        <v>3287.9</v>
      </c>
      <c r="DZ14" s="16" t="n">
        <v>1358.2</v>
      </c>
      <c r="EA14" s="16" t="n">
        <v>1070.2</v>
      </c>
      <c r="EB14" s="16" t="n">
        <v>1243.8</v>
      </c>
      <c r="EC14" s="16" t="n">
        <v>68</v>
      </c>
      <c r="ED14" s="16" t="n">
        <v>65</v>
      </c>
      <c r="EE14" s="16" t="n">
        <v>2</v>
      </c>
      <c r="EF14" s="16" t="n">
        <v>0</v>
      </c>
      <c r="EG14" s="16" t="n">
        <v>1</v>
      </c>
      <c r="EH14" s="16" t="n">
        <v>1</v>
      </c>
      <c r="EI14" s="16" t="n">
        <v>0</v>
      </c>
      <c r="EJ14" s="16" t="n">
        <v>1</v>
      </c>
      <c r="EK14" s="16" t="n">
        <v>1</v>
      </c>
      <c r="EL14" s="16" t="n">
        <v>1</v>
      </c>
      <c r="EM14" s="16" t="n">
        <v>0</v>
      </c>
      <c r="EN14" s="16" t="n">
        <v>0</v>
      </c>
      <c r="EO14" s="16" t="n">
        <v>0</v>
      </c>
      <c r="EP14" s="16" t="n">
        <v>0</v>
      </c>
      <c r="EQ14" s="16" t="n">
        <v>2</v>
      </c>
      <c r="ER14" s="16" t="n">
        <v>1</v>
      </c>
      <c r="ES14" s="16" t="n">
        <v>0</v>
      </c>
      <c r="ET14" s="16" t="n">
        <v>0</v>
      </c>
      <c r="EU14" s="16" t="n">
        <v>5</v>
      </c>
      <c r="EV14" s="16" t="n">
        <v>0</v>
      </c>
      <c r="EW14" s="16" t="n">
        <v>1</v>
      </c>
      <c r="EX14" s="16" t="n">
        <v>1</v>
      </c>
      <c r="EY14" s="16" t="n">
        <v>58</v>
      </c>
      <c r="EZ14" s="16" t="n">
        <v>52</v>
      </c>
      <c r="FA14" s="16" t="n">
        <v>2</v>
      </c>
      <c r="FB14" s="16" t="n">
        <v>76</v>
      </c>
      <c r="FC14" s="16" t="n">
        <v>28</v>
      </c>
      <c r="FD14" s="16" t="n">
        <v>24</v>
      </c>
      <c r="FE14" s="16" t="n">
        <v>26</v>
      </c>
      <c r="FF14" s="16" t="n">
        <v>2</v>
      </c>
      <c r="FG14" s="16" t="n">
        <v>0</v>
      </c>
      <c r="FH14" s="16" t="n">
        <v>0</v>
      </c>
      <c r="FI14" s="16" t="n">
        <v>498702</v>
      </c>
      <c r="FJ14" s="16" t="n">
        <v>494943</v>
      </c>
      <c r="FK14" s="16" t="n">
        <v>420</v>
      </c>
      <c r="FL14" s="16" t="n">
        <v>412</v>
      </c>
      <c r="FM14" s="16" t="n">
        <v>0</v>
      </c>
      <c r="FN14" s="16" t="n">
        <v>0</v>
      </c>
      <c r="FO14" s="16" t="n">
        <v>0</v>
      </c>
      <c r="FP14" s="16" t="n">
        <v>5</v>
      </c>
      <c r="FQ14" s="16" t="n">
        <v>9.9</v>
      </c>
      <c r="FR14" s="16" t="n">
        <v>8</v>
      </c>
      <c r="FS14" s="16" t="n">
        <v>0</v>
      </c>
      <c r="FT14" s="16" t="n">
        <v>1</v>
      </c>
      <c r="FU14" s="16" t="n">
        <v>1</v>
      </c>
    </row>
    <row r="15">
      <c r="A15" t="inlineStr">
        <is>
          <t>Group</t>
        </is>
      </c>
      <c r="B15" t="inlineStr">
        <is>
          <t>Entity A2</t>
        </is>
      </c>
      <c r="C15" t="inlineStr">
        <is>
          <t>2026-09</t>
        </is>
      </c>
      <c r="D15" t="n">
        <v>30</v>
      </c>
      <c r="E15" s="14">
        <f>SUM('Plant Inputs'!F27,'Plant Inputs'!F33,'Plant Inputs'!F39)</f>
        <v/>
      </c>
      <c r="F15" s="14">
        <f>SUM('Plant Inputs'!G27,'Plant Inputs'!G33,'Plant Inputs'!G39)</f>
        <v/>
      </c>
      <c r="G15" s="14">
        <f>SUM('Plant Inputs'!H27,'Plant Inputs'!H33,'Plant Inputs'!H39)</f>
        <v/>
      </c>
      <c r="H15" s="14">
        <f>SUM('Plant Inputs'!I27,'Plant Inputs'!I33,'Plant Inputs'!I39)</f>
        <v/>
      </c>
      <c r="I15" s="14">
        <f>SUM('Plant Inputs'!J27,'Plant Inputs'!J33,'Plant Inputs'!J39)</f>
        <v/>
      </c>
      <c r="J15" s="14">
        <f>SUM('Plant Inputs'!K27,'Plant Inputs'!K33,'Plant Inputs'!K39)</f>
        <v/>
      </c>
      <c r="K15" s="14">
        <f>SUM('Plant Inputs'!L27,'Plant Inputs'!L33,'Plant Inputs'!L39)</f>
        <v/>
      </c>
      <c r="L15" s="14">
        <f>SUM('Plant Inputs'!M27,'Plant Inputs'!M33,'Plant Inputs'!M39)</f>
        <v/>
      </c>
      <c r="M15" s="14">
        <f>SUM('Plant Inputs'!N27,'Plant Inputs'!N33,'Plant Inputs'!N39)</f>
        <v/>
      </c>
      <c r="N15" s="14">
        <f>SUM('Plant Inputs'!O27,'Plant Inputs'!O33,'Plant Inputs'!O39)</f>
        <v/>
      </c>
      <c r="O15" s="14">
        <f>SUM('Plant Inputs'!P27,'Plant Inputs'!P33,'Plant Inputs'!P39)</f>
        <v/>
      </c>
      <c r="P15" s="14">
        <f>SUM('Plant Inputs'!Q27,'Plant Inputs'!Q33,'Plant Inputs'!Q39)</f>
        <v/>
      </c>
      <c r="Q15" s="14">
        <f>SUM('Plant Inputs'!R27,'Plant Inputs'!R33,'Plant Inputs'!R39)</f>
        <v/>
      </c>
      <c r="R15" s="14">
        <f>SUM('Plant Inputs'!S27,'Plant Inputs'!S33,'Plant Inputs'!S39)</f>
        <v/>
      </c>
      <c r="S15" s="14">
        <f>SUM('Plant Inputs'!T27,'Plant Inputs'!T33,'Plant Inputs'!T39)</f>
        <v/>
      </c>
      <c r="T15" s="14">
        <f>SUM('Plant Inputs'!U27,'Plant Inputs'!U33,'Plant Inputs'!U39)</f>
        <v/>
      </c>
      <c r="U15" s="14">
        <f>SUM('Plant Inputs'!V27,'Plant Inputs'!V33,'Plant Inputs'!V39)</f>
        <v/>
      </c>
      <c r="V15" s="14">
        <f>SUM('Plant Inputs'!W27,'Plant Inputs'!W33,'Plant Inputs'!W39)</f>
        <v/>
      </c>
      <c r="W15" s="14">
        <f>SUM('Plant Inputs'!X27,'Plant Inputs'!X33,'Plant Inputs'!X39)</f>
        <v/>
      </c>
      <c r="X15" s="14">
        <f>SUM('Plant Inputs'!Y27,'Plant Inputs'!Y33,'Plant Inputs'!Y39)</f>
        <v/>
      </c>
      <c r="Y15" s="14">
        <f>SUM('Plant Inputs'!Z27,'Plant Inputs'!Z33,'Plant Inputs'!Z39)</f>
        <v/>
      </c>
      <c r="Z15" s="14">
        <f>SUM('Plant Inputs'!AA27,'Plant Inputs'!AA33,'Plant Inputs'!AA39)</f>
        <v/>
      </c>
      <c r="AA15" s="14">
        <f>SUM('Plant Inputs'!AB27,'Plant Inputs'!AB33,'Plant Inputs'!AB39)</f>
        <v/>
      </c>
      <c r="AB15" s="14">
        <f>SUM('Plant Inputs'!AC27,'Plant Inputs'!AC33,'Plant Inputs'!AC39)</f>
        <v/>
      </c>
      <c r="AC15" s="14">
        <f>SUM('Plant Inputs'!AD27,'Plant Inputs'!AD33,'Plant Inputs'!AD39)</f>
        <v/>
      </c>
      <c r="AD15" s="14">
        <f>SUM('Plant Inputs'!AE27,'Plant Inputs'!AE33,'Plant Inputs'!AE39)</f>
        <v/>
      </c>
      <c r="AE15" s="14">
        <f>SUM('Plant Inputs'!AF27,'Plant Inputs'!AF33,'Plant Inputs'!AF39)</f>
        <v/>
      </c>
      <c r="AF15" s="14">
        <f>SUM('Plant Inputs'!AG27,'Plant Inputs'!AG33,'Plant Inputs'!AG39)</f>
        <v/>
      </c>
      <c r="AG15" s="14">
        <f>SUM('Plant Inputs'!AH27,'Plant Inputs'!AH33,'Plant Inputs'!AH39)</f>
        <v/>
      </c>
      <c r="AH15" s="14">
        <f>SUM('Plant Inputs'!AI27,'Plant Inputs'!AI33,'Plant Inputs'!AI39)</f>
        <v/>
      </c>
      <c r="AI15" s="14">
        <f>SUM('Plant Inputs'!AJ27,'Plant Inputs'!AJ33,'Plant Inputs'!AJ39)</f>
        <v/>
      </c>
      <c r="AJ15" s="14">
        <f>SUM('Plant Inputs'!AK27,'Plant Inputs'!AK33,'Plant Inputs'!AK39)</f>
        <v/>
      </c>
      <c r="AK15" s="14">
        <f>SUM('Plant Inputs'!AL27,'Plant Inputs'!AL33,'Plant Inputs'!AL39)</f>
        <v/>
      </c>
      <c r="AL15" s="14">
        <f>SUM('Plant Inputs'!AM27,'Plant Inputs'!AM33,'Plant Inputs'!AM39)</f>
        <v/>
      </c>
      <c r="AM15" s="14">
        <f>SUM('Plant Inputs'!AN27,'Plant Inputs'!AN33,'Plant Inputs'!AN39)</f>
        <v/>
      </c>
      <c r="AN15" s="14">
        <f>SUM('Plant Inputs'!AO27,'Plant Inputs'!AO33,'Plant Inputs'!AO39)</f>
        <v/>
      </c>
      <c r="AO15" s="14">
        <f>SUM('Plant Inputs'!AP27,'Plant Inputs'!AP33,'Plant Inputs'!AP39)</f>
        <v/>
      </c>
      <c r="AP15" s="14">
        <f>SUM('Plant Inputs'!AQ27,'Plant Inputs'!AQ33,'Plant Inputs'!AQ39)</f>
        <v/>
      </c>
      <c r="AQ15" s="14">
        <f>SUM('Plant Inputs'!AR27,'Plant Inputs'!AR33,'Plant Inputs'!AR39)</f>
        <v/>
      </c>
      <c r="AR15" s="14">
        <f>MIN('Plant Inputs'!AS27,'Plant Inputs'!AS33,'Plant Inputs'!AS39)</f>
        <v/>
      </c>
      <c r="AS15" s="14">
        <f>SUM('Plant Inputs'!AT27,'Plant Inputs'!AT33,'Plant Inputs'!AT39)</f>
        <v/>
      </c>
      <c r="AT15" s="14">
        <f>SUM('Plant Inputs'!AU27,'Plant Inputs'!AU33,'Plant Inputs'!AU39)</f>
        <v/>
      </c>
      <c r="AU15" s="14">
        <f>SUM('Plant Inputs'!AV27,'Plant Inputs'!AV33,'Plant Inputs'!AV39)</f>
        <v/>
      </c>
      <c r="AV15" s="14">
        <f>SUM('Plant Inputs'!AW27,'Plant Inputs'!AW33,'Plant Inputs'!AW39)</f>
        <v/>
      </c>
      <c r="AW15" s="14">
        <f>SUM('Plant Inputs'!AX27,'Plant Inputs'!AX33,'Plant Inputs'!AX39)</f>
        <v/>
      </c>
      <c r="AX15" s="14">
        <f>SUM('Plant Inputs'!AY27,'Plant Inputs'!AY33,'Plant Inputs'!AY39)</f>
        <v/>
      </c>
      <c r="AY15" s="14">
        <f>SUM('Plant Inputs'!AZ27,'Plant Inputs'!AZ33,'Plant Inputs'!AZ39)</f>
        <v/>
      </c>
      <c r="AZ15" s="14">
        <f>SUM('Plant Inputs'!BA27,'Plant Inputs'!BA33,'Plant Inputs'!BA39)</f>
        <v/>
      </c>
      <c r="BA15" s="14">
        <f>SUM('Plant Inputs'!BB27,'Plant Inputs'!BB33,'Plant Inputs'!BB39)</f>
        <v/>
      </c>
      <c r="BB15" s="14">
        <f>SUM('Plant Inputs'!BC27,'Plant Inputs'!BC33,'Plant Inputs'!BC39)</f>
        <v/>
      </c>
      <c r="BC15" s="14">
        <f>SUM('Plant Inputs'!BD27,'Plant Inputs'!BD33,'Plant Inputs'!BD39)</f>
        <v/>
      </c>
      <c r="BD15" s="14">
        <f>SUM('Plant Inputs'!BE27,'Plant Inputs'!BE33,'Plant Inputs'!BE39)</f>
        <v/>
      </c>
      <c r="BE15" s="14">
        <f>SUM('Plant Inputs'!BF27,'Plant Inputs'!BF33,'Plant Inputs'!BF39)</f>
        <v/>
      </c>
      <c r="BF15" s="14">
        <f>SUM('Plant Inputs'!BG27,'Plant Inputs'!BG33,'Plant Inputs'!BG39)</f>
        <v/>
      </c>
      <c r="BG15" s="14">
        <f>SUM('Plant Inputs'!BH27,'Plant Inputs'!BH33,'Plant Inputs'!BH39)</f>
        <v/>
      </c>
      <c r="BH15" s="14">
        <f>SUM('Plant Inputs'!BI27,'Plant Inputs'!BI33,'Plant Inputs'!BI39)</f>
        <v/>
      </c>
      <c r="BI15" s="14">
        <f>SUM('Plant Inputs'!BJ27,'Plant Inputs'!BJ33,'Plant Inputs'!BJ39)</f>
        <v/>
      </c>
      <c r="BJ15" s="14">
        <f>SUM('Plant Inputs'!BK27,'Plant Inputs'!BK33,'Plant Inputs'!BK39)</f>
        <v/>
      </c>
      <c r="BK15" s="14">
        <f>SUM('Plant Inputs'!BL27,'Plant Inputs'!BL33,'Plant Inputs'!BL39)</f>
        <v/>
      </c>
      <c r="BL15" s="14">
        <f>SUM('Plant Inputs'!BM27,'Plant Inputs'!BM33,'Plant Inputs'!BM39)</f>
        <v/>
      </c>
      <c r="BM15" s="14">
        <f>SUM('Plant Inputs'!BN27,'Plant Inputs'!BN33,'Plant Inputs'!BN39)</f>
        <v/>
      </c>
      <c r="BN15" s="14">
        <f>SUM('Plant Inputs'!BO27,'Plant Inputs'!BO33,'Plant Inputs'!BO39)</f>
        <v/>
      </c>
      <c r="BO15" s="14">
        <f>SUM('Plant Inputs'!BP27,'Plant Inputs'!BP33,'Plant Inputs'!BP39)</f>
        <v/>
      </c>
      <c r="BP15" s="14">
        <f>SUM('Plant Inputs'!BQ27,'Plant Inputs'!BQ33,'Plant Inputs'!BQ39)</f>
        <v/>
      </c>
      <c r="BQ15" s="14">
        <f>SUM('Plant Inputs'!BR27,'Plant Inputs'!BR33,'Plant Inputs'!BR39)</f>
        <v/>
      </c>
      <c r="BR15" s="14">
        <f>SUM('Plant Inputs'!BS27,'Plant Inputs'!BS33,'Plant Inputs'!BS39)</f>
        <v/>
      </c>
      <c r="BS15" s="14">
        <f>MIN('Plant Inputs'!BT27,'Plant Inputs'!BT33,'Plant Inputs'!BT39)</f>
        <v/>
      </c>
      <c r="BT15" s="14">
        <f>SUM('Plant Inputs'!BU27,'Plant Inputs'!BU33,'Plant Inputs'!BU39)</f>
        <v/>
      </c>
      <c r="BU15" s="14">
        <f>SUM('Plant Inputs'!BV27,'Plant Inputs'!BV33,'Plant Inputs'!BV39)</f>
        <v/>
      </c>
      <c r="BV15" s="14">
        <f>SUM('Plant Inputs'!BW27,'Plant Inputs'!BW33,'Plant Inputs'!BW39)</f>
        <v/>
      </c>
      <c r="BW15" s="14">
        <f>SUM('Plant Inputs'!BX27,'Plant Inputs'!BX33,'Plant Inputs'!BX39)</f>
        <v/>
      </c>
      <c r="BX15" s="14">
        <f>SUM('Plant Inputs'!BY27,'Plant Inputs'!BY33,'Plant Inputs'!BY39)</f>
        <v/>
      </c>
      <c r="BY15" s="16" t="n">
        <v>52845</v>
      </c>
      <c r="BZ15" s="16" t="n">
        <v>40246.8</v>
      </c>
      <c r="CA15" s="16" t="n">
        <v>10200000</v>
      </c>
      <c r="CB15" s="16" t="n">
        <v>4214739.8</v>
      </c>
      <c r="CC15" s="16" t="n">
        <v>1174739.8</v>
      </c>
      <c r="CD15" s="16" t="n">
        <v>431783.2</v>
      </c>
      <c r="CE15" s="16" t="n">
        <v>31920</v>
      </c>
      <c r="CF15" s="16" t="n">
        <v>405067.9</v>
      </c>
      <c r="CG15" s="16" t="n">
        <v>1280130.3</v>
      </c>
      <c r="CH15" s="16" t="n">
        <v>195011.3</v>
      </c>
      <c r="CI15" s="16" t="n">
        <v>1173926.1</v>
      </c>
      <c r="CJ15" s="16" t="n">
        <v>1654275.7</v>
      </c>
      <c r="CK15" s="16" t="n">
        <v>1971156.1</v>
      </c>
      <c r="CL15" s="16" t="n">
        <v>1085692.7</v>
      </c>
      <c r="CM15" s="16" t="n">
        <v>1145104.1</v>
      </c>
      <c r="CN15" s="16" t="n">
        <v>2567.4</v>
      </c>
      <c r="CO15" s="16" t="n">
        <v>83215.8</v>
      </c>
      <c r="CP15" s="16" t="n">
        <v>83215.8</v>
      </c>
      <c r="CQ15" s="16" t="n">
        <v>355</v>
      </c>
      <c r="CR15" s="16" t="n">
        <v>16051</v>
      </c>
      <c r="CS15" s="16" t="n">
        <v>15975</v>
      </c>
      <c r="CT15" s="16" t="n">
        <v>1</v>
      </c>
      <c r="CU15" s="16" t="n">
        <v>1172252.9</v>
      </c>
      <c r="CV15" s="16" t="n">
        <v>1179902.4</v>
      </c>
      <c r="CW15" s="16" t="n">
        <v>182427</v>
      </c>
      <c r="CX15" s="16" t="n">
        <v>2999569.4</v>
      </c>
      <c r="CY15" s="16" t="n">
        <v>2303674.3</v>
      </c>
      <c r="CZ15" s="16" t="n">
        <v>330230.9</v>
      </c>
      <c r="DA15" s="16" t="n">
        <v>231774.8</v>
      </c>
      <c r="DB15" s="16" t="n">
        <v>259974.1</v>
      </c>
      <c r="DC15" s="16" t="n">
        <v>191082.1</v>
      </c>
      <c r="DD15" s="16" t="n">
        <v>4370.6</v>
      </c>
      <c r="DE15" s="16" t="n">
        <v>4752.9</v>
      </c>
      <c r="DF15" s="16" t="n">
        <v>1953973.8</v>
      </c>
      <c r="DG15" s="16" t="n">
        <v>1193687.3</v>
      </c>
      <c r="DH15" s="16" t="n">
        <v>860000</v>
      </c>
      <c r="DI15" s="16" t="n">
        <v>625104.2</v>
      </c>
      <c r="DJ15" s="16" t="n">
        <v>65703.7</v>
      </c>
      <c r="DK15" s="16" t="n">
        <v>541800</v>
      </c>
      <c r="DL15" s="16" t="n">
        <v>127233</v>
      </c>
      <c r="DM15" s="16" t="n">
        <v>4</v>
      </c>
      <c r="DN15" s="16" t="n">
        <v>1</v>
      </c>
      <c r="DO15" s="16" t="n">
        <v>0</v>
      </c>
      <c r="DP15" s="16" t="n">
        <v>1</v>
      </c>
      <c r="DQ15" s="16" t="n">
        <v>7</v>
      </c>
      <c r="DR15" s="16" t="n">
        <v>9</v>
      </c>
      <c r="DS15" s="16" t="n">
        <v>10</v>
      </c>
      <c r="DT15" s="16" t="n">
        <v>4</v>
      </c>
      <c r="DU15" s="16" t="n">
        <v>2</v>
      </c>
      <c r="DV15" s="16" t="n">
        <v>64</v>
      </c>
      <c r="DW15" s="16" t="n">
        <v>35</v>
      </c>
      <c r="DX15" s="16" t="n">
        <v>9329.9</v>
      </c>
      <c r="DY15" s="16" t="n">
        <v>3492</v>
      </c>
      <c r="DZ15" s="16" t="n">
        <v>1271.7</v>
      </c>
      <c r="EA15" s="16" t="n">
        <v>1040.2</v>
      </c>
      <c r="EB15" s="16" t="n">
        <v>1241.7</v>
      </c>
      <c r="EC15" s="16" t="n">
        <v>68</v>
      </c>
      <c r="ED15" s="16" t="n">
        <v>65</v>
      </c>
      <c r="EE15" s="16" t="n">
        <v>2</v>
      </c>
      <c r="EF15" s="16" t="n">
        <v>0</v>
      </c>
      <c r="EG15" s="16" t="n">
        <v>1</v>
      </c>
      <c r="EH15" s="16" t="n">
        <v>1</v>
      </c>
      <c r="EI15" s="16" t="n">
        <v>0</v>
      </c>
      <c r="EJ15" s="16" t="n">
        <v>0</v>
      </c>
      <c r="EK15" s="16" t="n">
        <v>0</v>
      </c>
      <c r="EL15" s="16" t="n">
        <v>0</v>
      </c>
      <c r="EM15" s="16" t="n">
        <v>0</v>
      </c>
      <c r="EN15" s="16" t="n">
        <v>0</v>
      </c>
      <c r="EO15" s="16" t="n">
        <v>0</v>
      </c>
      <c r="EP15" s="16" t="n">
        <v>0</v>
      </c>
      <c r="EQ15" s="16" t="n">
        <v>2</v>
      </c>
      <c r="ER15" s="16" t="n">
        <v>1</v>
      </c>
      <c r="ES15" s="16" t="n">
        <v>0</v>
      </c>
      <c r="ET15" s="16" t="n">
        <v>0</v>
      </c>
      <c r="EU15" s="16" t="n">
        <v>5</v>
      </c>
      <c r="EV15" s="16" t="n">
        <v>0</v>
      </c>
      <c r="EW15" s="16" t="n">
        <v>1</v>
      </c>
      <c r="EX15" s="16" t="n">
        <v>1</v>
      </c>
      <c r="EY15" s="16" t="n">
        <v>58</v>
      </c>
      <c r="EZ15" s="16" t="n">
        <v>52</v>
      </c>
      <c r="FA15" s="16" t="n">
        <v>2</v>
      </c>
      <c r="FB15" s="16" t="n">
        <v>78</v>
      </c>
      <c r="FC15" s="16" t="n">
        <v>28</v>
      </c>
      <c r="FD15" s="16" t="n">
        <v>24</v>
      </c>
      <c r="FE15" s="16" t="n">
        <v>26</v>
      </c>
      <c r="FF15" s="16" t="n">
        <v>2</v>
      </c>
      <c r="FG15" s="16" t="n">
        <v>0</v>
      </c>
      <c r="FH15" s="16" t="n">
        <v>0</v>
      </c>
      <c r="FI15" s="16" t="n">
        <v>504265</v>
      </c>
      <c r="FJ15" s="16" t="n">
        <v>499753</v>
      </c>
      <c r="FK15" s="16" t="n">
        <v>420</v>
      </c>
      <c r="FL15" s="16" t="n">
        <v>410</v>
      </c>
      <c r="FM15" s="16" t="n">
        <v>0</v>
      </c>
      <c r="FN15" s="16" t="n">
        <v>1</v>
      </c>
      <c r="FO15" s="16" t="n">
        <v>0</v>
      </c>
      <c r="FP15" s="16" t="n">
        <v>5</v>
      </c>
      <c r="FQ15" s="16" t="n">
        <v>10.3</v>
      </c>
      <c r="FR15" s="16" t="n">
        <v>8</v>
      </c>
      <c r="FS15" s="16" t="n">
        <v>0</v>
      </c>
      <c r="FT15" s="16" t="n">
        <v>1</v>
      </c>
      <c r="FU15" s="16" t="n">
        <v>1</v>
      </c>
    </row>
  </sheetData>
  <autoFilter ref="A3:FU15"/>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Y39"/>
  <sheetViews>
    <sheetView workbookViewId="0">
      <pane xSplit="4" ySplit="3" topLeftCell="E4" activePane="bottomRight" state="frozen"/>
      <selection pane="topRight" activeCell="E1" sqref="E1"/>
      <selection pane="bottomLeft" activeCell="A4" sqref="A4"/>
      <selection pane="bottomRight" activeCell="A1" sqref="A1"/>
    </sheetView>
  </sheetViews>
  <sheetFormatPr baseColWidth="8" defaultRowHeight="15"/>
  <cols>
    <col width="10.7109375" customWidth="1" min="1" max="4"/>
    <col width="15.7109375" customWidth="1" min="5" max="77"/>
  </cols>
  <sheetData>
    <row r="1" ht="48" customHeight="1">
      <c r="A1" s="9" t="inlineStr">
        <is>
          <t>Group</t>
        </is>
      </c>
      <c r="B1" s="9" t="inlineStr">
        <is>
          <t>Entity</t>
        </is>
      </c>
      <c r="C1" s="9" t="inlineStr">
        <is>
          <t>Plant</t>
        </is>
      </c>
      <c r="D1" s="9" t="inlineStr">
        <is>
          <t>Month</t>
        </is>
      </c>
      <c r="E1" s="9" t="inlineStr">
        <is>
          <t>Nameplate rate (t/hour)</t>
        </is>
      </c>
      <c r="F1" s="9" t="inlineStr">
        <is>
          <t>Calendar hours (h)</t>
        </is>
      </c>
      <c r="G1" s="9" t="inlineStr">
        <is>
          <t>Planned operating hours (h)</t>
        </is>
      </c>
      <c r="H1" s="9" t="inlineStr">
        <is>
          <t>Run hours (h)</t>
        </is>
      </c>
      <c r="I1" s="9" t="inlineStr">
        <is>
          <t>Unplanned downtime (h)</t>
        </is>
      </c>
      <c r="J1" s="9" t="inlineStr">
        <is>
          <t>Ideal output (t)</t>
        </is>
      </c>
      <c r="K1" s="9" t="inlineStr">
        <is>
          <t>Installed capacity (t)</t>
        </is>
      </c>
      <c r="L1" s="9" t="inlineStr">
        <is>
          <t>Planned production (t)</t>
        </is>
      </c>
      <c r="M1" s="9" t="inlineStr">
        <is>
          <t>Gross output (t)</t>
        </is>
      </c>
      <c r="N1" s="9" t="inlineStr">
        <is>
          <t>Good output (t)</t>
        </is>
      </c>
      <c r="O1" s="9" t="inlineStr">
        <is>
          <t>Feed input (t)</t>
        </is>
      </c>
      <c r="P1" s="9" t="inlineStr">
        <is>
          <t>Valuable content in feed (t)</t>
        </is>
      </c>
      <c r="Q1" s="9" t="inlineStr">
        <is>
          <t>Valuable content recovered (t)</t>
        </is>
      </c>
      <c r="R1" s="9" t="inlineStr">
        <is>
          <t>Production lost to downtime (t)</t>
        </is>
      </c>
      <c r="S1" s="9" t="inlineStr">
        <is>
          <t>Breakdowns (count)</t>
        </is>
      </c>
      <c r="T1" s="9" t="inlineStr">
        <is>
          <t>Repair hours (h)</t>
        </is>
      </c>
      <c r="U1" s="9" t="inlineStr">
        <is>
          <t>Preventive maintenance scheduled (count)</t>
        </is>
      </c>
      <c r="V1" s="9" t="inlineStr">
        <is>
          <t>Preventive maintenance completed (count)</t>
        </is>
      </c>
      <c r="W1" s="9" t="inlineStr">
        <is>
          <t>Variable cost (₹ thousand)</t>
        </is>
      </c>
      <c r="X1" s="9" t="inlineStr">
        <is>
          <t>Fuel cost (₹ thousand)</t>
        </is>
      </c>
      <c r="Y1" s="9" t="inlineStr">
        <is>
          <t>Fixed cost (₹ thousand)</t>
        </is>
      </c>
      <c r="Z1" s="9" t="inlineStr">
        <is>
          <t>Water used (m³)</t>
        </is>
      </c>
      <c r="AA1" s="9" t="inlineStr">
        <is>
          <t>Emissions (t CO2e)</t>
        </is>
      </c>
      <c r="AB1" s="9" t="inlineStr">
        <is>
          <t>Energy used (GJ)</t>
        </is>
      </c>
      <c r="AC1" s="9" t="inlineStr">
        <is>
          <t>Production at risk (t)</t>
        </is>
      </c>
      <c r="AD1" s="9" t="inlineStr">
        <is>
          <t>Critical plant alerts (count)</t>
        </is>
      </c>
      <c r="AE1" s="9" t="inlineStr">
        <is>
          <t>Hours worked (h)</t>
        </is>
      </c>
      <c r="AF1" s="9" t="inlineStr">
        <is>
          <t>Recordable injuries (count)</t>
        </is>
      </c>
      <c r="AG1" s="9" t="inlineStr">
        <is>
          <t>Severity incidents (count)</t>
        </is>
      </c>
      <c r="AH1" s="9" t="inlineStr">
        <is>
          <t>Near misses (count)</t>
        </is>
      </c>
      <c r="AI1" s="9" t="inlineStr">
        <is>
          <t>Critical safety incidents (count)</t>
        </is>
      </c>
      <c r="AJ1" s="9" t="inlineStr">
        <is>
          <t>Environmental excursions (count)</t>
        </is>
      </c>
      <c r="AK1" s="9" t="inlineStr">
        <is>
          <t>Environmental violations (count)</t>
        </is>
      </c>
      <c r="AL1" s="9" t="inlineStr">
        <is>
          <t>Open EHS corrective actions (count)</t>
        </is>
      </c>
      <c r="AM1" s="9" t="inlineStr">
        <is>
          <t>Overdue EHS corrective actions (count)</t>
        </is>
      </c>
      <c r="AN1" s="9" t="inlineStr">
        <is>
          <t>EHS investigations due (count)</t>
        </is>
      </c>
      <c r="AO1" s="9" t="inlineStr">
        <is>
          <t>EHS investigations completed (count)</t>
        </is>
      </c>
      <c r="AP1" s="9" t="inlineStr">
        <is>
          <t>Critical materials at risk (count)</t>
        </is>
      </c>
      <c r="AQ1" s="9" t="inlineStr">
        <is>
          <t>Dispatches (count)</t>
        </is>
      </c>
      <c r="AR1" s="9" t="inlineStr">
        <is>
          <t>Delayed dispatches (count)</t>
        </is>
      </c>
      <c r="AS1" s="9" t="inlineStr">
        <is>
          <t>Days to permit expiry (days)</t>
        </is>
      </c>
      <c r="AT1" s="9" t="inlineStr">
        <is>
          <t>Sales volume (t)</t>
        </is>
      </c>
      <c r="AU1" s="9" t="inlineStr">
        <is>
          <t>Planned sales volume (t)</t>
        </is>
      </c>
      <c r="AV1" s="9" t="inlineStr">
        <is>
          <t>Revenue (₹ thousand)</t>
        </is>
      </c>
      <c r="AW1" s="9" t="inlineStr">
        <is>
          <t>Planned revenue (₹ thousand)</t>
        </is>
      </c>
      <c r="AX1" s="9" t="inlineStr">
        <is>
          <t>Power cost, part of variable cost (₹ thousand)</t>
        </is>
      </c>
      <c r="AY1" s="9" t="inlineStr">
        <is>
          <t>Depreciation and amortisation (₹ thousand)</t>
        </is>
      </c>
      <c r="AZ1" s="9" t="inlineStr">
        <is>
          <t>Purchase-order lines due (count)</t>
        </is>
      </c>
      <c r="BA1" s="9" t="inlineStr">
        <is>
          <t>Purchase-order lines delivered on time (count)</t>
        </is>
      </c>
      <c r="BB1" s="9" t="inlineStr">
        <is>
          <t>Quantity ordered from suppliers (t)</t>
        </is>
      </c>
      <c r="BC1" s="9" t="inlineStr">
        <is>
          <t>Quantity received (t)</t>
        </is>
      </c>
      <c r="BD1" s="9" t="inlineStr">
        <is>
          <t>Quantity rejected on quality (t)</t>
        </is>
      </c>
      <c r="BE1" s="9" t="inlineStr">
        <is>
          <t>Planned lead time, all deliveries (days)</t>
        </is>
      </c>
      <c r="BF1" s="9" t="inlineStr">
        <is>
          <t>Actual lead time, all deliveries (days)</t>
        </is>
      </c>
      <c r="BG1" s="9" t="inlineStr">
        <is>
          <t>Supplier spend (₹ thousand)</t>
        </is>
      </c>
      <c r="BH1" s="9" t="inlineStr">
        <is>
          <t>Spend with single-source suppliers (₹ thousand)</t>
        </is>
      </c>
      <c r="BI1" s="9" t="inlineStr">
        <is>
          <t>Supplier EHS incidents (count)</t>
        </is>
      </c>
      <c r="BJ1" s="9" t="inlineStr">
        <is>
          <t>Regulatory filings pending (count)</t>
        </is>
      </c>
      <c r="BK1" s="9" t="inlineStr">
        <is>
          <t>Regulatory deadlines in next 30 days (count)</t>
        </is>
      </c>
      <c r="BL1" s="9" t="inlineStr">
        <is>
          <t>Licences expiring in next 12 months (count)</t>
        </is>
      </c>
      <c r="BM1" s="9" t="inlineStr">
        <is>
          <t>Regulatory obligations due in next 30 days (count)</t>
        </is>
      </c>
      <c r="BN1" s="9" t="inlineStr">
        <is>
          <t>Regulatory obligations overdue (count)</t>
        </is>
      </c>
      <c r="BO1" s="9" t="inlineStr">
        <is>
          <t>Open regulatory actions (count)</t>
        </is>
      </c>
      <c r="BP1" s="9" t="inlineStr">
        <is>
          <t>Overdue compliance actions (count)</t>
        </is>
      </c>
      <c r="BQ1" s="9" t="inlineStr">
        <is>
          <t>Regulatory breaches in the month (count)</t>
        </is>
      </c>
      <c r="BR1" s="9" t="inlineStr">
        <is>
          <t>Events that trigger a disclosure clock (count)</t>
        </is>
      </c>
      <c r="BS1" s="9" t="inlineStr">
        <is>
          <t>EHS escalation clocks running (count)</t>
        </is>
      </c>
      <c r="BT1" s="9" t="inlineStr">
        <is>
          <t>Days until production plan is breached, forecast (days; 99 = not expected)</t>
        </is>
      </c>
      <c r="BU1" s="9" t="inlineStr">
        <is>
          <t>Planned production next month (t)</t>
        </is>
      </c>
      <c r="BV1" s="9" t="inlineStr">
        <is>
          <t>Forecast good output next month (t)</t>
        </is>
      </c>
      <c r="BW1" s="9" t="inlineStr">
        <is>
          <t>Forecast uncertainty next month (variance, t²)</t>
        </is>
      </c>
      <c r="BX1" s="9" t="inlineStr">
        <is>
          <t>Ideal output next month (t)</t>
        </is>
      </c>
      <c r="BY1" s="9" t="inlineStr">
        <is>
          <t>Forecast production lost to downtime next month (t)</t>
        </is>
      </c>
    </row>
    <row r="2">
      <c r="A2" s="11" t="inlineStr">
        <is>
          <t>group</t>
        </is>
      </c>
      <c r="B2" s="11" t="inlineStr">
        <is>
          <t>entity</t>
        </is>
      </c>
      <c r="C2" s="11" t="inlineStr">
        <is>
          <t>plant</t>
        </is>
      </c>
      <c r="D2" s="11" t="inlineStr">
        <is>
          <t>period</t>
        </is>
      </c>
      <c r="E2" s="11" t="inlineStr">
        <is>
          <t>nameplate_tph</t>
        </is>
      </c>
      <c r="F2" s="11" t="inlineStr">
        <is>
          <t>calendar_hours</t>
        </is>
      </c>
      <c r="G2" s="11" t="inlineStr">
        <is>
          <t>planned_op_hours</t>
        </is>
      </c>
      <c r="H2" s="11" t="inlineStr">
        <is>
          <t>run_hours</t>
        </is>
      </c>
      <c r="I2" s="11" t="inlineStr">
        <is>
          <t>unplanned_downtime_hours</t>
        </is>
      </c>
      <c r="J2" s="11" t="inlineStr">
        <is>
          <t>ideal_output_t</t>
        </is>
      </c>
      <c r="K2" s="11" t="inlineStr">
        <is>
          <t>installed_capacity_t</t>
        </is>
      </c>
      <c r="L2" s="11" t="inlineStr">
        <is>
          <t>planned_production_t</t>
        </is>
      </c>
      <c r="M2" s="11" t="inlineStr">
        <is>
          <t>gross_output_t</t>
        </is>
      </c>
      <c r="N2" s="11" t="inlineStr">
        <is>
          <t>good_output_t</t>
        </is>
      </c>
      <c r="O2" s="11" t="inlineStr">
        <is>
          <t>feed_input_t</t>
        </is>
      </c>
      <c r="P2" s="11" t="inlineStr">
        <is>
          <t>feed_contained_t</t>
        </is>
      </c>
      <c r="Q2" s="11" t="inlineStr">
        <is>
          <t>recovered_contained_t</t>
        </is>
      </c>
      <c r="R2" s="11" t="inlineStr">
        <is>
          <t>prod_loss_downtime_t</t>
        </is>
      </c>
      <c r="S2" s="11" t="inlineStr">
        <is>
          <t>failures</t>
        </is>
      </c>
      <c r="T2" s="11" t="inlineStr">
        <is>
          <t>repair_hours</t>
        </is>
      </c>
      <c r="U2" s="11" t="inlineStr">
        <is>
          <t>pm_scheduled</t>
        </is>
      </c>
      <c r="V2" s="11" t="inlineStr">
        <is>
          <t>pm_completed</t>
        </is>
      </c>
      <c r="W2" s="11" t="inlineStr">
        <is>
          <t>variable_cost_k</t>
        </is>
      </c>
      <c r="X2" s="11" t="inlineStr">
        <is>
          <t>fuel_cost_k</t>
        </is>
      </c>
      <c r="Y2" s="11" t="inlineStr">
        <is>
          <t>fixed_cost_k</t>
        </is>
      </c>
      <c r="Z2" s="11" t="inlineStr">
        <is>
          <t>water_m3</t>
        </is>
      </c>
      <c r="AA2" s="11" t="inlineStr">
        <is>
          <t>emissions_tco2e</t>
        </is>
      </c>
      <c r="AB2" s="11" t="inlineStr">
        <is>
          <t>energy_gj</t>
        </is>
      </c>
      <c r="AC2" s="11" t="inlineStr">
        <is>
          <t>production_at_risk_t</t>
        </is>
      </c>
      <c r="AD2" s="11" t="inlineStr">
        <is>
          <t>critical_plant_alerts</t>
        </is>
      </c>
      <c r="AE2" s="11" t="inlineStr">
        <is>
          <t>hours_worked</t>
        </is>
      </c>
      <c r="AF2" s="11" t="inlineStr">
        <is>
          <t>recordable_injuries</t>
        </is>
      </c>
      <c r="AG2" s="11" t="inlineStr">
        <is>
          <t>severity_incidents</t>
        </is>
      </c>
      <c r="AH2" s="11" t="inlineStr">
        <is>
          <t>near_misses</t>
        </is>
      </c>
      <c r="AI2" s="11" t="inlineStr">
        <is>
          <t>critical_safety_incidents</t>
        </is>
      </c>
      <c r="AJ2" s="11" t="inlineStr">
        <is>
          <t>env_excursions</t>
        </is>
      </c>
      <c r="AK2" s="11" t="inlineStr">
        <is>
          <t>env_violations</t>
        </is>
      </c>
      <c r="AL2" s="11" t="inlineStr">
        <is>
          <t>ehs_ca_open</t>
        </is>
      </c>
      <c r="AM2" s="11" t="inlineStr">
        <is>
          <t>ehs_ca_overdue</t>
        </is>
      </c>
      <c r="AN2" s="11" t="inlineStr">
        <is>
          <t>investigations_due</t>
        </is>
      </c>
      <c r="AO2" s="11" t="inlineStr">
        <is>
          <t>investigations_completed</t>
        </is>
      </c>
      <c r="AP2" s="11" t="inlineStr">
        <is>
          <t>critical_material_risks</t>
        </is>
      </c>
      <c r="AQ2" s="11" t="inlineStr">
        <is>
          <t>dispatches_total</t>
        </is>
      </c>
      <c r="AR2" s="11" t="inlineStr">
        <is>
          <t>dispatches_delayed</t>
        </is>
      </c>
      <c r="AS2" s="11" t="inlineStr">
        <is>
          <t>permit_days_to_expiry</t>
        </is>
      </c>
      <c r="AT2" s="11" t="inlineStr">
        <is>
          <t>sales_t</t>
        </is>
      </c>
      <c r="AU2" s="11" t="inlineStr">
        <is>
          <t>planned_sales_t</t>
        </is>
      </c>
      <c r="AV2" s="11" t="inlineStr">
        <is>
          <t>revenue_k</t>
        </is>
      </c>
      <c r="AW2" s="11" t="inlineStr">
        <is>
          <t>planned_revenue_k</t>
        </is>
      </c>
      <c r="AX2" s="11" t="inlineStr">
        <is>
          <t>power_cost_k</t>
        </is>
      </c>
      <c r="AY2" s="11" t="inlineStr">
        <is>
          <t>depreciation_k</t>
        </is>
      </c>
      <c r="AZ2" s="11" t="inlineStr">
        <is>
          <t>po_lines_due</t>
        </is>
      </c>
      <c r="BA2" s="11" t="inlineStr">
        <is>
          <t>po_lines_on_time</t>
        </is>
      </c>
      <c r="BB2" s="11" t="inlineStr">
        <is>
          <t>qty_ordered_t</t>
        </is>
      </c>
      <c r="BC2" s="11" t="inlineStr">
        <is>
          <t>qty_received_t</t>
        </is>
      </c>
      <c r="BD2" s="11" t="inlineStr">
        <is>
          <t>qty_rejected_t</t>
        </is>
      </c>
      <c r="BE2" s="11" t="inlineStr">
        <is>
          <t>lead_time_planned_days</t>
        </is>
      </c>
      <c r="BF2" s="11" t="inlineStr">
        <is>
          <t>lead_time_actual_days</t>
        </is>
      </c>
      <c r="BG2" s="11" t="inlineStr">
        <is>
          <t>supplier_spend_k</t>
        </is>
      </c>
      <c r="BH2" s="11" t="inlineStr">
        <is>
          <t>single_source_spend_k</t>
        </is>
      </c>
      <c r="BI2" s="11" t="inlineStr">
        <is>
          <t>supplier_ehs_incidents</t>
        </is>
      </c>
      <c r="BJ2" s="11" t="inlineStr">
        <is>
          <t>pending_filings</t>
        </is>
      </c>
      <c r="BK2" s="11" t="inlineStr">
        <is>
          <t>reg_deadlines_30d</t>
        </is>
      </c>
      <c r="BL2" s="11" t="inlineStr">
        <is>
          <t>licences_expiring_12m</t>
        </is>
      </c>
      <c r="BM2" s="11" t="inlineStr">
        <is>
          <t>reg_obligations_due_30d</t>
        </is>
      </c>
      <c r="BN2" s="11" t="inlineStr">
        <is>
          <t>reg_obligations_overdue</t>
        </is>
      </c>
      <c r="BO2" s="11" t="inlineStr">
        <is>
          <t>reg_actions_open</t>
        </is>
      </c>
      <c r="BP2" s="11" t="inlineStr">
        <is>
          <t>compliance_actions_overdue</t>
        </is>
      </c>
      <c r="BQ2" s="11" t="inlineStr">
        <is>
          <t>reg_breaches</t>
        </is>
      </c>
      <c r="BR2" s="11" t="inlineStr">
        <is>
          <t>disclosure_events_open</t>
        </is>
      </c>
      <c r="BS2" s="11" t="inlineStr">
        <is>
          <t>ehs_escalation_clocks</t>
        </is>
      </c>
      <c r="BT2" s="11" t="inlineStr">
        <is>
          <t>days_to_breach</t>
        </is>
      </c>
      <c r="BU2" s="11" t="inlineStr">
        <is>
          <t>planned_production_next_t</t>
        </is>
      </c>
      <c r="BV2" s="11" t="inlineStr">
        <is>
          <t>forecast_good_next_t</t>
        </is>
      </c>
      <c r="BW2" s="11" t="inlineStr">
        <is>
          <t>forecast_good_var_next</t>
        </is>
      </c>
      <c r="BX2" s="11" t="inlineStr">
        <is>
          <t>ideal_output_next_t</t>
        </is>
      </c>
      <c r="BY2" s="11" t="inlineStr">
        <is>
          <t>forecast_downtime_loss_next_t</t>
        </is>
      </c>
    </row>
    <row r="3">
      <c r="A3" s="9" t="n"/>
      <c r="B3" s="9" t="n"/>
      <c r="C3" s="9" t="n"/>
      <c r="D3" s="9" t="n"/>
      <c r="E3" s="9" t="inlineStr">
        <is>
          <t>Input</t>
        </is>
      </c>
      <c r="F3" s="9" t="inlineStr">
        <is>
          <t>Input</t>
        </is>
      </c>
      <c r="G3" s="9" t="inlineStr">
        <is>
          <t>Input</t>
        </is>
      </c>
      <c r="H3" s="9" t="inlineStr">
        <is>
          <t>Input</t>
        </is>
      </c>
      <c r="I3" s="9" t="inlineStr">
        <is>
          <t>Input</t>
        </is>
      </c>
      <c r="J3" s="9" t="inlineStr">
        <is>
          <t>Input</t>
        </is>
      </c>
      <c r="K3" s="9" t="inlineStr">
        <is>
          <t>Input</t>
        </is>
      </c>
      <c r="L3" s="9" t="inlineStr">
        <is>
          <t>Input</t>
        </is>
      </c>
      <c r="M3" s="9" t="inlineStr">
        <is>
          <t>Input</t>
        </is>
      </c>
      <c r="N3" s="9" t="inlineStr">
        <is>
          <t>Input</t>
        </is>
      </c>
      <c r="O3" s="9" t="inlineStr">
        <is>
          <t>Input</t>
        </is>
      </c>
      <c r="P3" s="9" t="inlineStr">
        <is>
          <t>Input</t>
        </is>
      </c>
      <c r="Q3" s="9" t="inlineStr">
        <is>
          <t>Input</t>
        </is>
      </c>
      <c r="R3" s="9" t="inlineStr">
        <is>
          <t>Input</t>
        </is>
      </c>
      <c r="S3" s="9" t="inlineStr">
        <is>
          <t>Input</t>
        </is>
      </c>
      <c r="T3" s="9" t="inlineStr">
        <is>
          <t>Input</t>
        </is>
      </c>
      <c r="U3" s="9" t="inlineStr">
        <is>
          <t>Input</t>
        </is>
      </c>
      <c r="V3" s="9" t="inlineStr">
        <is>
          <t>Input</t>
        </is>
      </c>
      <c r="W3" s="9" t="inlineStr">
        <is>
          <t>Input</t>
        </is>
      </c>
      <c r="X3" s="9" t="inlineStr">
        <is>
          <t>Input</t>
        </is>
      </c>
      <c r="Y3" s="9" t="inlineStr">
        <is>
          <t>Input</t>
        </is>
      </c>
      <c r="Z3" s="9" t="inlineStr">
        <is>
          <t>Input</t>
        </is>
      </c>
      <c r="AA3" s="9" t="inlineStr">
        <is>
          <t>Input</t>
        </is>
      </c>
      <c r="AB3" s="9" t="inlineStr">
        <is>
          <t>Input</t>
        </is>
      </c>
      <c r="AC3" s="9" t="inlineStr">
        <is>
          <t>Input</t>
        </is>
      </c>
      <c r="AD3" s="9" t="inlineStr">
        <is>
          <t>Input</t>
        </is>
      </c>
      <c r="AE3" s="9" t="inlineStr">
        <is>
          <t>Input</t>
        </is>
      </c>
      <c r="AF3" s="9" t="inlineStr">
        <is>
          <t>Input</t>
        </is>
      </c>
      <c r="AG3" s="9" t="inlineStr">
        <is>
          <t>Input</t>
        </is>
      </c>
      <c r="AH3" s="9" t="inlineStr">
        <is>
          <t>Input</t>
        </is>
      </c>
      <c r="AI3" s="9" t="inlineStr">
        <is>
          <t>Input</t>
        </is>
      </c>
      <c r="AJ3" s="9" t="inlineStr">
        <is>
          <t>Input</t>
        </is>
      </c>
      <c r="AK3" s="9" t="inlineStr">
        <is>
          <t>Input</t>
        </is>
      </c>
      <c r="AL3" s="9" t="inlineStr">
        <is>
          <t>Input</t>
        </is>
      </c>
      <c r="AM3" s="9" t="inlineStr">
        <is>
          <t>Input</t>
        </is>
      </c>
      <c r="AN3" s="9" t="inlineStr">
        <is>
          <t>Input</t>
        </is>
      </c>
      <c r="AO3" s="9" t="inlineStr">
        <is>
          <t>Input</t>
        </is>
      </c>
      <c r="AP3" s="9" t="inlineStr">
        <is>
          <t>Input</t>
        </is>
      </c>
      <c r="AQ3" s="9" t="inlineStr">
        <is>
          <t>Input</t>
        </is>
      </c>
      <c r="AR3" s="9" t="inlineStr">
        <is>
          <t>Input</t>
        </is>
      </c>
      <c r="AS3" s="9" t="inlineStr">
        <is>
          <t>Input</t>
        </is>
      </c>
      <c r="AT3" s="9" t="inlineStr">
        <is>
          <t>Input</t>
        </is>
      </c>
      <c r="AU3" s="9" t="inlineStr">
        <is>
          <t>Input</t>
        </is>
      </c>
      <c r="AV3" s="9" t="inlineStr">
        <is>
          <t>Input</t>
        </is>
      </c>
      <c r="AW3" s="9" t="inlineStr">
        <is>
          <t>Input</t>
        </is>
      </c>
      <c r="AX3" s="9" t="inlineStr">
        <is>
          <t>Input</t>
        </is>
      </c>
      <c r="AY3" s="9" t="inlineStr">
        <is>
          <t>Input</t>
        </is>
      </c>
      <c r="AZ3" s="9" t="inlineStr">
        <is>
          <t>Input</t>
        </is>
      </c>
      <c r="BA3" s="9" t="inlineStr">
        <is>
          <t>Input</t>
        </is>
      </c>
      <c r="BB3" s="9" t="inlineStr">
        <is>
          <t>Input</t>
        </is>
      </c>
      <c r="BC3" s="9" t="inlineStr">
        <is>
          <t>Input</t>
        </is>
      </c>
      <c r="BD3" s="9" t="inlineStr">
        <is>
          <t>Input</t>
        </is>
      </c>
      <c r="BE3" s="9" t="inlineStr">
        <is>
          <t>Input</t>
        </is>
      </c>
      <c r="BF3" s="9" t="inlineStr">
        <is>
          <t>Input</t>
        </is>
      </c>
      <c r="BG3" s="9" t="inlineStr">
        <is>
          <t>Input</t>
        </is>
      </c>
      <c r="BH3" s="9" t="inlineStr">
        <is>
          <t>Input</t>
        </is>
      </c>
      <c r="BI3" s="9" t="inlineStr">
        <is>
          <t>Input</t>
        </is>
      </c>
      <c r="BJ3" s="9" t="inlineStr">
        <is>
          <t>Input</t>
        </is>
      </c>
      <c r="BK3" s="9" t="inlineStr">
        <is>
          <t>Input</t>
        </is>
      </c>
      <c r="BL3" s="9" t="inlineStr">
        <is>
          <t>Input</t>
        </is>
      </c>
      <c r="BM3" s="9" t="inlineStr">
        <is>
          <t>Input</t>
        </is>
      </c>
      <c r="BN3" s="9" t="inlineStr">
        <is>
          <t>Input</t>
        </is>
      </c>
      <c r="BO3" s="9" t="inlineStr">
        <is>
          <t>Input</t>
        </is>
      </c>
      <c r="BP3" s="9" t="inlineStr">
        <is>
          <t>Input</t>
        </is>
      </c>
      <c r="BQ3" s="9" t="inlineStr">
        <is>
          <t>Input</t>
        </is>
      </c>
      <c r="BR3" s="9" t="inlineStr">
        <is>
          <t>Input</t>
        </is>
      </c>
      <c r="BS3" s="9" t="inlineStr">
        <is>
          <t>Input</t>
        </is>
      </c>
      <c r="BT3" s="9" t="inlineStr">
        <is>
          <t>Input</t>
        </is>
      </c>
      <c r="BU3" s="9" t="inlineStr">
        <is>
          <t>Input</t>
        </is>
      </c>
      <c r="BV3" s="9" t="inlineStr">
        <is>
          <t>Input</t>
        </is>
      </c>
      <c r="BW3" s="9" t="inlineStr">
        <is>
          <t>Input</t>
        </is>
      </c>
      <c r="BX3" s="9" t="inlineStr">
        <is>
          <t>Input</t>
        </is>
      </c>
      <c r="BY3" s="9" t="inlineStr">
        <is>
          <t>Input</t>
        </is>
      </c>
    </row>
    <row r="4">
      <c r="A4" s="17" t="inlineStr">
        <is>
          <t>Group</t>
        </is>
      </c>
      <c r="B4" s="17" t="inlineStr">
        <is>
          <t>Entity A1</t>
        </is>
      </c>
      <c r="C4" s="17" t="inlineStr">
        <is>
          <t>Plant 01</t>
        </is>
      </c>
      <c r="D4" s="17" t="inlineStr">
        <is>
          <t>2026-04</t>
        </is>
      </c>
      <c r="E4" s="17" t="n">
        <v>137.1</v>
      </c>
      <c r="F4" s="17" t="n">
        <v>720</v>
      </c>
      <c r="G4" s="17" t="n">
        <v>714</v>
      </c>
      <c r="H4" s="17" t="n">
        <v>692.3</v>
      </c>
      <c r="I4" s="17" t="n">
        <v>13.3</v>
      </c>
      <c r="J4" s="17" t="n">
        <v>97889</v>
      </c>
      <c r="K4" s="17" t="n">
        <v>98712</v>
      </c>
      <c r="L4" s="17" t="n">
        <v>88515</v>
      </c>
      <c r="M4" s="17" t="n">
        <v>89648</v>
      </c>
      <c r="N4" s="17" t="n">
        <v>87087</v>
      </c>
      <c r="O4" s="17" t="n">
        <v>95600</v>
      </c>
      <c r="P4" s="17" t="n">
        <v>19579</v>
      </c>
      <c r="Q4" s="17" t="n">
        <v>17553</v>
      </c>
      <c r="R4" s="17" t="n">
        <v>1823</v>
      </c>
      <c r="S4" s="17" t="n">
        <v>2</v>
      </c>
      <c r="T4" s="17" t="n">
        <v>7.1</v>
      </c>
      <c r="U4" s="17" t="n">
        <v>37</v>
      </c>
      <c r="V4" s="17" t="n">
        <v>36</v>
      </c>
      <c r="W4" s="17" t="n">
        <v>251985.8</v>
      </c>
      <c r="X4" s="17" t="n">
        <v>62832</v>
      </c>
      <c r="Y4" s="17" t="n">
        <v>1091.7</v>
      </c>
      <c r="Z4" s="17" t="n">
        <v>167244</v>
      </c>
      <c r="AA4" s="17" t="n">
        <v>61316</v>
      </c>
      <c r="AB4" s="17" t="n">
        <v>311042</v>
      </c>
      <c r="AC4" s="17" t="n">
        <v>3223</v>
      </c>
      <c r="AD4" s="17" t="n">
        <v>1</v>
      </c>
      <c r="AE4" s="17" t="n">
        <v>79000</v>
      </c>
      <c r="AF4" s="17" t="n">
        <v>0</v>
      </c>
      <c r="AG4" s="17" t="n">
        <v>1</v>
      </c>
      <c r="AH4" s="17" t="n">
        <v>10</v>
      </c>
      <c r="AI4" s="17" t="n">
        <v>0</v>
      </c>
      <c r="AJ4" s="17" t="n">
        <v>0</v>
      </c>
      <c r="AK4" s="17" t="n">
        <v>0</v>
      </c>
      <c r="AL4" s="17" t="n">
        <v>14</v>
      </c>
      <c r="AM4" s="17" t="n">
        <v>4</v>
      </c>
      <c r="AN4" s="17" t="n">
        <v>0</v>
      </c>
      <c r="AO4" s="17" t="n">
        <v>0</v>
      </c>
      <c r="AP4" s="17" t="n">
        <v>0</v>
      </c>
      <c r="AQ4" s="17" t="n">
        <v>158</v>
      </c>
      <c r="AR4" s="17" t="n">
        <v>9</v>
      </c>
      <c r="AS4" s="17" t="n">
        <v>311</v>
      </c>
      <c r="AT4" s="17" t="n">
        <v>87409</v>
      </c>
      <c r="AU4" s="17" t="n">
        <v>89254</v>
      </c>
      <c r="AV4" s="17" t="n">
        <v>329486.5</v>
      </c>
      <c r="AW4" s="17" t="n">
        <v>335595</v>
      </c>
      <c r="AX4" s="17" t="n">
        <v>15168.7</v>
      </c>
      <c r="AY4" s="17" t="n">
        <v>11886.3</v>
      </c>
      <c r="AZ4" s="17" t="n">
        <v>209</v>
      </c>
      <c r="BA4" s="17" t="n">
        <v>195</v>
      </c>
      <c r="BB4" s="17" t="n">
        <v>95742</v>
      </c>
      <c r="BC4" s="17" t="n">
        <v>92606</v>
      </c>
      <c r="BD4" s="17" t="n">
        <v>1350</v>
      </c>
      <c r="BE4" s="17" t="n">
        <v>588</v>
      </c>
      <c r="BF4" s="17" t="n">
        <v>583</v>
      </c>
      <c r="BG4" s="17" t="n">
        <v>131922.8</v>
      </c>
      <c r="BH4" s="17" t="n">
        <v>40636.9</v>
      </c>
      <c r="BI4" s="17" t="n">
        <v>0</v>
      </c>
      <c r="BJ4" s="17" t="n">
        <v>0</v>
      </c>
      <c r="BK4" s="17" t="n">
        <v>1</v>
      </c>
      <c r="BL4" s="17" t="n">
        <v>0</v>
      </c>
      <c r="BM4" s="17" t="n">
        <v>1</v>
      </c>
      <c r="BN4" s="17" t="n">
        <v>0</v>
      </c>
      <c r="BO4" s="17" t="n">
        <v>0</v>
      </c>
      <c r="BP4" s="17" t="n">
        <v>0</v>
      </c>
      <c r="BQ4" s="17" t="n">
        <v>0</v>
      </c>
      <c r="BR4" s="17" t="n">
        <v>0</v>
      </c>
      <c r="BS4" s="17" t="n">
        <v>0</v>
      </c>
      <c r="BT4" s="17" t="n">
        <v>99</v>
      </c>
      <c r="BU4" s="17" t="n">
        <v>87645</v>
      </c>
      <c r="BV4" s="17" t="n">
        <v>87637</v>
      </c>
      <c r="BW4" s="17" t="n">
        <v>24380601</v>
      </c>
      <c r="BX4" s="17" t="n">
        <v>97889</v>
      </c>
      <c r="BY4" s="17" t="n">
        <v>1620</v>
      </c>
    </row>
    <row r="5">
      <c r="A5" s="17" t="inlineStr">
        <is>
          <t>Group</t>
        </is>
      </c>
      <c r="B5" s="17" t="inlineStr">
        <is>
          <t>Entity A1</t>
        </is>
      </c>
      <c r="C5" s="17" t="inlineStr">
        <is>
          <t>Plant 01</t>
        </is>
      </c>
      <c r="D5" s="17" t="inlineStr">
        <is>
          <t>2026-05</t>
        </is>
      </c>
      <c r="E5" s="17" t="n">
        <v>137.1</v>
      </c>
      <c r="F5" s="17" t="n">
        <v>744</v>
      </c>
      <c r="G5" s="17" t="n">
        <v>744</v>
      </c>
      <c r="H5" s="17" t="n">
        <v>702.5</v>
      </c>
      <c r="I5" s="17" t="n">
        <v>19.6</v>
      </c>
      <c r="J5" s="17" t="n">
        <v>102002</v>
      </c>
      <c r="K5" s="17" t="n">
        <v>102002</v>
      </c>
      <c r="L5" s="17" t="n">
        <v>88139</v>
      </c>
      <c r="M5" s="17" t="n">
        <v>84940</v>
      </c>
      <c r="N5" s="17" t="n">
        <v>80872</v>
      </c>
      <c r="O5" s="17" t="n">
        <v>86252</v>
      </c>
      <c r="P5" s="17" t="n">
        <v>17739</v>
      </c>
      <c r="Q5" s="17" t="n">
        <v>15002</v>
      </c>
      <c r="R5" s="17" t="n">
        <v>2687</v>
      </c>
      <c r="S5" s="17" t="n">
        <v>3</v>
      </c>
      <c r="T5" s="17" t="n">
        <v>15.5</v>
      </c>
      <c r="U5" s="17" t="n">
        <v>48</v>
      </c>
      <c r="V5" s="17" t="n">
        <v>47</v>
      </c>
      <c r="W5" s="17" t="n">
        <v>272778.7</v>
      </c>
      <c r="X5" s="17" t="n">
        <v>79959.60000000001</v>
      </c>
      <c r="Y5" s="17" t="n">
        <v>1465.4</v>
      </c>
      <c r="Z5" s="17" t="n">
        <v>205726</v>
      </c>
      <c r="AA5" s="17" t="n">
        <v>53724</v>
      </c>
      <c r="AB5" s="17" t="n">
        <v>252523</v>
      </c>
      <c r="AC5" s="17" t="n">
        <v>5217</v>
      </c>
      <c r="AD5" s="17" t="n">
        <v>1</v>
      </c>
      <c r="AE5" s="17" t="n">
        <v>66000</v>
      </c>
      <c r="AF5" s="17" t="n">
        <v>0</v>
      </c>
      <c r="AG5" s="17" t="n">
        <v>0</v>
      </c>
      <c r="AH5" s="17" t="n">
        <v>4</v>
      </c>
      <c r="AI5" s="17" t="n">
        <v>0</v>
      </c>
      <c r="AJ5" s="17" t="n">
        <v>0</v>
      </c>
      <c r="AK5" s="17" t="n">
        <v>0</v>
      </c>
      <c r="AL5" s="17" t="n">
        <v>11</v>
      </c>
      <c r="AM5" s="17" t="n">
        <v>2</v>
      </c>
      <c r="AN5" s="17" t="n">
        <v>3</v>
      </c>
      <c r="AO5" s="17" t="n">
        <v>3</v>
      </c>
      <c r="AP5" s="17" t="n">
        <v>0</v>
      </c>
      <c r="AQ5" s="17" t="n">
        <v>256</v>
      </c>
      <c r="AR5" s="17" t="n">
        <v>10</v>
      </c>
      <c r="AS5" s="17" t="n">
        <v>281</v>
      </c>
      <c r="AT5" s="17" t="n">
        <v>81067</v>
      </c>
      <c r="AU5" s="17" t="n">
        <v>87363</v>
      </c>
      <c r="AV5" s="17" t="n">
        <v>309234.4</v>
      </c>
      <c r="AW5" s="17" t="n">
        <v>328484.9</v>
      </c>
      <c r="AX5" s="17" t="n">
        <v>17277.2</v>
      </c>
      <c r="AY5" s="17" t="n">
        <v>11827.2</v>
      </c>
      <c r="AZ5" s="17" t="n">
        <v>166</v>
      </c>
      <c r="BA5" s="17" t="n">
        <v>151</v>
      </c>
      <c r="BB5" s="17" t="n">
        <v>85077</v>
      </c>
      <c r="BC5" s="17" t="n">
        <v>81619</v>
      </c>
      <c r="BD5" s="17" t="n">
        <v>587</v>
      </c>
      <c r="BE5" s="17" t="n">
        <v>868</v>
      </c>
      <c r="BF5" s="17" t="n">
        <v>870</v>
      </c>
      <c r="BG5" s="17" t="n">
        <v>150305.9</v>
      </c>
      <c r="BH5" s="17" t="n">
        <v>52546</v>
      </c>
      <c r="BI5" s="17" t="n">
        <v>0</v>
      </c>
      <c r="BJ5" s="17" t="n">
        <v>1</v>
      </c>
      <c r="BK5" s="17" t="n">
        <v>0</v>
      </c>
      <c r="BL5" s="17" t="n">
        <v>0</v>
      </c>
      <c r="BM5" s="17" t="n">
        <v>0</v>
      </c>
      <c r="BN5" s="17" t="n">
        <v>0</v>
      </c>
      <c r="BO5" s="17" t="n">
        <v>0</v>
      </c>
      <c r="BP5" s="17" t="n">
        <v>0</v>
      </c>
      <c r="BQ5" s="17" t="n">
        <v>0</v>
      </c>
      <c r="BR5" s="17" t="n">
        <v>0</v>
      </c>
      <c r="BS5" s="17" t="n">
        <v>0</v>
      </c>
      <c r="BT5" s="17" t="n">
        <v>99</v>
      </c>
      <c r="BU5" s="17" t="n">
        <v>89736</v>
      </c>
      <c r="BV5" s="17" t="n">
        <v>91812</v>
      </c>
      <c r="BW5" s="17" t="n">
        <v>30306703</v>
      </c>
      <c r="BX5" s="17" t="n">
        <v>102002</v>
      </c>
      <c r="BY5" s="17" t="n">
        <v>2913</v>
      </c>
    </row>
    <row r="6">
      <c r="A6" s="17" t="inlineStr">
        <is>
          <t>Group</t>
        </is>
      </c>
      <c r="B6" s="17" t="inlineStr">
        <is>
          <t>Entity A1</t>
        </is>
      </c>
      <c r="C6" s="17" t="inlineStr">
        <is>
          <t>Plant 01</t>
        </is>
      </c>
      <c r="D6" s="17" t="inlineStr">
        <is>
          <t>2026-06</t>
        </is>
      </c>
      <c r="E6" s="17" t="n">
        <v>137.1</v>
      </c>
      <c r="F6" s="17" t="n">
        <v>720</v>
      </c>
      <c r="G6" s="17" t="n">
        <v>720</v>
      </c>
      <c r="H6" s="17" t="n">
        <v>681.5</v>
      </c>
      <c r="I6" s="17" t="n">
        <v>18.6</v>
      </c>
      <c r="J6" s="17" t="n">
        <v>98712</v>
      </c>
      <c r="K6" s="17" t="n">
        <v>98712</v>
      </c>
      <c r="L6" s="17" t="n">
        <v>88801</v>
      </c>
      <c r="M6" s="17" t="n">
        <v>84328</v>
      </c>
      <c r="N6" s="17" t="n">
        <v>81129</v>
      </c>
      <c r="O6" s="17" t="n">
        <v>86263</v>
      </c>
      <c r="P6" s="17" t="n">
        <v>18895</v>
      </c>
      <c r="Q6" s="17" t="n">
        <v>16380</v>
      </c>
      <c r="R6" s="17" t="n">
        <v>2550</v>
      </c>
      <c r="S6" s="17" t="n">
        <v>2</v>
      </c>
      <c r="T6" s="17" t="n">
        <v>14.7</v>
      </c>
      <c r="U6" s="17" t="n">
        <v>48</v>
      </c>
      <c r="V6" s="17" t="n">
        <v>45</v>
      </c>
      <c r="W6" s="17" t="n">
        <v>269800.1</v>
      </c>
      <c r="X6" s="17" t="n">
        <v>63241.6</v>
      </c>
      <c r="Y6" s="17" t="n">
        <v>1103.4</v>
      </c>
      <c r="Z6" s="17" t="n">
        <v>166424</v>
      </c>
      <c r="AA6" s="17" t="n">
        <v>60010</v>
      </c>
      <c r="AB6" s="17" t="n">
        <v>243788</v>
      </c>
      <c r="AC6" s="17" t="n">
        <v>7297</v>
      </c>
      <c r="AD6" s="17" t="n">
        <v>2</v>
      </c>
      <c r="AE6" s="17" t="n">
        <v>91000</v>
      </c>
      <c r="AF6" s="17" t="n">
        <v>1</v>
      </c>
      <c r="AG6" s="17" t="n">
        <v>0</v>
      </c>
      <c r="AH6" s="17" t="n">
        <v>10</v>
      </c>
      <c r="AI6" s="17" t="n">
        <v>0</v>
      </c>
      <c r="AJ6" s="17" t="n">
        <v>1</v>
      </c>
      <c r="AK6" s="17" t="n">
        <v>0</v>
      </c>
      <c r="AL6" s="17" t="n">
        <v>5</v>
      </c>
      <c r="AM6" s="17" t="n">
        <v>1</v>
      </c>
      <c r="AN6" s="17" t="n">
        <v>0</v>
      </c>
      <c r="AO6" s="17" t="n">
        <v>0</v>
      </c>
      <c r="AP6" s="17" t="n">
        <v>0</v>
      </c>
      <c r="AQ6" s="17" t="n">
        <v>148</v>
      </c>
      <c r="AR6" s="17" t="n">
        <v>11</v>
      </c>
      <c r="AS6" s="17" t="n">
        <v>251</v>
      </c>
      <c r="AT6" s="17" t="n">
        <v>78859</v>
      </c>
      <c r="AU6" s="17" t="n">
        <v>89179</v>
      </c>
      <c r="AV6" s="17" t="n">
        <v>300728.2</v>
      </c>
      <c r="AW6" s="17" t="n">
        <v>335313</v>
      </c>
      <c r="AX6" s="17" t="n">
        <v>16758.3</v>
      </c>
      <c r="AY6" s="17" t="n">
        <v>11531.2</v>
      </c>
      <c r="AZ6" s="17" t="n">
        <v>179</v>
      </c>
      <c r="BA6" s="17" t="n">
        <v>167</v>
      </c>
      <c r="BB6" s="17" t="n">
        <v>87881</v>
      </c>
      <c r="BC6" s="17" t="n">
        <v>85157</v>
      </c>
      <c r="BD6" s="17" t="n">
        <v>708</v>
      </c>
      <c r="BE6" s="17" t="n">
        <v>980</v>
      </c>
      <c r="BF6" s="17" t="n">
        <v>979</v>
      </c>
      <c r="BG6" s="17" t="n">
        <v>148313</v>
      </c>
      <c r="BH6" s="17" t="n">
        <v>46780.1</v>
      </c>
      <c r="BI6" s="17" t="n">
        <v>1</v>
      </c>
      <c r="BJ6" s="17" t="n">
        <v>0</v>
      </c>
      <c r="BK6" s="17" t="n">
        <v>0</v>
      </c>
      <c r="BL6" s="17" t="n">
        <v>0</v>
      </c>
      <c r="BM6" s="17" t="n">
        <v>1</v>
      </c>
      <c r="BN6" s="17" t="n">
        <v>0</v>
      </c>
      <c r="BO6" s="17" t="n">
        <v>0</v>
      </c>
      <c r="BP6" s="17" t="n">
        <v>0</v>
      </c>
      <c r="BQ6" s="17" t="n">
        <v>0</v>
      </c>
      <c r="BR6" s="17" t="n">
        <v>0</v>
      </c>
      <c r="BS6" s="17" t="n">
        <v>0</v>
      </c>
      <c r="BT6" s="17" t="n">
        <v>99</v>
      </c>
      <c r="BU6" s="17" t="n">
        <v>89319</v>
      </c>
      <c r="BV6" s="17" t="n">
        <v>90196</v>
      </c>
      <c r="BW6" s="17" t="n">
        <v>26705815</v>
      </c>
      <c r="BX6" s="17" t="n">
        <v>98712</v>
      </c>
      <c r="BY6" s="17" t="n">
        <v>2398</v>
      </c>
    </row>
    <row r="7">
      <c r="A7" s="17" t="inlineStr">
        <is>
          <t>Group</t>
        </is>
      </c>
      <c r="B7" s="17" t="inlineStr">
        <is>
          <t>Entity A1</t>
        </is>
      </c>
      <c r="C7" s="17" t="inlineStr">
        <is>
          <t>Plant 01</t>
        </is>
      </c>
      <c r="D7" s="17" t="inlineStr">
        <is>
          <t>2026-07</t>
        </is>
      </c>
      <c r="E7" s="17" t="n">
        <v>137.1</v>
      </c>
      <c r="F7" s="17" t="n">
        <v>744</v>
      </c>
      <c r="G7" s="17" t="n">
        <v>741</v>
      </c>
      <c r="H7" s="17" t="n">
        <v>701.6</v>
      </c>
      <c r="I7" s="17" t="n">
        <v>27.2</v>
      </c>
      <c r="J7" s="17" t="n">
        <v>101591</v>
      </c>
      <c r="K7" s="17" t="n">
        <v>102002</v>
      </c>
      <c r="L7" s="17" t="n">
        <v>88152</v>
      </c>
      <c r="M7" s="17" t="n">
        <v>86711</v>
      </c>
      <c r="N7" s="17" t="n">
        <v>83254</v>
      </c>
      <c r="O7" s="17" t="n">
        <v>94209</v>
      </c>
      <c r="P7" s="17" t="n">
        <v>21264</v>
      </c>
      <c r="Q7" s="17" t="n">
        <v>19441</v>
      </c>
      <c r="R7" s="17" t="n">
        <v>3729</v>
      </c>
      <c r="S7" s="17" t="n">
        <v>4</v>
      </c>
      <c r="T7" s="17" t="n">
        <v>21.3</v>
      </c>
      <c r="U7" s="17" t="n">
        <v>55</v>
      </c>
      <c r="V7" s="17" t="n">
        <v>52</v>
      </c>
      <c r="W7" s="17" t="n">
        <v>221284.2</v>
      </c>
      <c r="X7" s="17" t="n">
        <v>64810.6</v>
      </c>
      <c r="Y7" s="17" t="n">
        <v>1144.9</v>
      </c>
      <c r="Z7" s="17" t="n">
        <v>180484</v>
      </c>
      <c r="AA7" s="17" t="n">
        <v>54600</v>
      </c>
      <c r="AB7" s="17" t="n">
        <v>243753</v>
      </c>
      <c r="AC7" s="17" t="n">
        <v>5312</v>
      </c>
      <c r="AD7" s="17" t="n">
        <v>0</v>
      </c>
      <c r="AE7" s="17" t="n">
        <v>76000</v>
      </c>
      <c r="AF7" s="17" t="n">
        <v>1</v>
      </c>
      <c r="AG7" s="17" t="n">
        <v>0</v>
      </c>
      <c r="AH7" s="17" t="n">
        <v>9</v>
      </c>
      <c r="AI7" s="17" t="n">
        <v>0</v>
      </c>
      <c r="AJ7" s="17" t="n">
        <v>1</v>
      </c>
      <c r="AK7" s="17" t="n">
        <v>0</v>
      </c>
      <c r="AL7" s="17" t="n">
        <v>4</v>
      </c>
      <c r="AM7" s="17" t="n">
        <v>1</v>
      </c>
      <c r="AN7" s="17" t="n">
        <v>3</v>
      </c>
      <c r="AO7" s="17" t="n">
        <v>3</v>
      </c>
      <c r="AP7" s="17" t="n">
        <v>1</v>
      </c>
      <c r="AQ7" s="17" t="n">
        <v>198</v>
      </c>
      <c r="AR7" s="17" t="n">
        <v>9</v>
      </c>
      <c r="AS7" s="17" t="n">
        <v>221</v>
      </c>
      <c r="AT7" s="17" t="n">
        <v>84466</v>
      </c>
      <c r="AU7" s="17" t="n">
        <v>87398</v>
      </c>
      <c r="AV7" s="17" t="n">
        <v>321422</v>
      </c>
      <c r="AW7" s="17" t="n">
        <v>328616.5</v>
      </c>
      <c r="AX7" s="17" t="n">
        <v>11354.6</v>
      </c>
      <c r="AY7" s="17" t="n">
        <v>11607.9</v>
      </c>
      <c r="AZ7" s="17" t="n">
        <v>300</v>
      </c>
      <c r="BA7" s="17" t="n">
        <v>281</v>
      </c>
      <c r="BB7" s="17" t="n">
        <v>96576</v>
      </c>
      <c r="BC7" s="17" t="n">
        <v>93033</v>
      </c>
      <c r="BD7" s="17" t="n">
        <v>1429</v>
      </c>
      <c r="BE7" s="17" t="n">
        <v>742</v>
      </c>
      <c r="BF7" s="17" t="n">
        <v>772</v>
      </c>
      <c r="BG7" s="17" t="n">
        <v>112971</v>
      </c>
      <c r="BH7" s="17" t="n">
        <v>43971.6</v>
      </c>
      <c r="BI7" s="17" t="n">
        <v>0</v>
      </c>
      <c r="BJ7" s="17" t="n">
        <v>0</v>
      </c>
      <c r="BK7" s="17" t="n">
        <v>0</v>
      </c>
      <c r="BL7" s="17" t="n">
        <v>0</v>
      </c>
      <c r="BM7" s="17" t="n">
        <v>0</v>
      </c>
      <c r="BN7" s="17" t="n">
        <v>0</v>
      </c>
      <c r="BO7" s="17" t="n">
        <v>1</v>
      </c>
      <c r="BP7" s="17" t="n">
        <v>0</v>
      </c>
      <c r="BQ7" s="17" t="n">
        <v>0</v>
      </c>
      <c r="BR7" s="17" t="n">
        <v>0</v>
      </c>
      <c r="BS7" s="17" t="n">
        <v>0</v>
      </c>
      <c r="BT7" s="17" t="n">
        <v>99</v>
      </c>
      <c r="BU7" s="17" t="n">
        <v>87292</v>
      </c>
      <c r="BV7" s="17" t="n">
        <v>87138</v>
      </c>
      <c r="BW7" s="17" t="n">
        <v>23937559</v>
      </c>
      <c r="BX7" s="17" t="n">
        <v>101591</v>
      </c>
      <c r="BY7" s="17" t="n">
        <v>3863</v>
      </c>
    </row>
    <row r="8">
      <c r="A8" s="17" t="inlineStr">
        <is>
          <t>Group</t>
        </is>
      </c>
      <c r="B8" s="17" t="inlineStr">
        <is>
          <t>Entity A1</t>
        </is>
      </c>
      <c r="C8" s="17" t="inlineStr">
        <is>
          <t>Plant 01</t>
        </is>
      </c>
      <c r="D8" s="17" t="inlineStr">
        <is>
          <t>2026-08</t>
        </is>
      </c>
      <c r="E8" s="17" t="n">
        <v>137.1</v>
      </c>
      <c r="F8" s="17" t="n">
        <v>744</v>
      </c>
      <c r="G8" s="17" t="n">
        <v>744</v>
      </c>
      <c r="H8" s="17" t="n">
        <v>710.7</v>
      </c>
      <c r="I8" s="17" t="n">
        <v>19.1</v>
      </c>
      <c r="J8" s="17" t="n">
        <v>102002</v>
      </c>
      <c r="K8" s="17" t="n">
        <v>102002</v>
      </c>
      <c r="L8" s="17" t="n">
        <v>91424</v>
      </c>
      <c r="M8" s="17" t="n">
        <v>90032</v>
      </c>
      <c r="N8" s="17" t="n">
        <v>87527</v>
      </c>
      <c r="O8" s="17" t="n">
        <v>94670</v>
      </c>
      <c r="P8" s="17" t="n">
        <v>19426</v>
      </c>
      <c r="Q8" s="17" t="n">
        <v>17234</v>
      </c>
      <c r="R8" s="17" t="n">
        <v>2619</v>
      </c>
      <c r="S8" s="17" t="n">
        <v>2</v>
      </c>
      <c r="T8" s="17" t="n">
        <v>14</v>
      </c>
      <c r="U8" s="17" t="n">
        <v>32</v>
      </c>
      <c r="V8" s="17" t="n">
        <v>31</v>
      </c>
      <c r="W8" s="17" t="n">
        <v>268254.7</v>
      </c>
      <c r="X8" s="17" t="n">
        <v>78893.89999999999</v>
      </c>
      <c r="Y8" s="17" t="n">
        <v>1065.3</v>
      </c>
      <c r="Z8" s="17" t="n">
        <v>192091</v>
      </c>
      <c r="AA8" s="17" t="n">
        <v>54889</v>
      </c>
      <c r="AB8" s="17" t="n">
        <v>306311</v>
      </c>
      <c r="AC8" s="17" t="n">
        <v>1480</v>
      </c>
      <c r="AD8" s="17" t="n">
        <v>2</v>
      </c>
      <c r="AE8" s="17" t="n">
        <v>56000</v>
      </c>
      <c r="AF8" s="17" t="n">
        <v>1</v>
      </c>
      <c r="AG8" s="17" t="n">
        <v>0</v>
      </c>
      <c r="AH8" s="17" t="n">
        <v>6</v>
      </c>
      <c r="AI8" s="17" t="n">
        <v>0</v>
      </c>
      <c r="AJ8" s="17" t="n">
        <v>0</v>
      </c>
      <c r="AK8" s="17" t="n">
        <v>0</v>
      </c>
      <c r="AL8" s="17" t="n">
        <v>5</v>
      </c>
      <c r="AM8" s="17" t="n">
        <v>0</v>
      </c>
      <c r="AN8" s="17" t="n">
        <v>1</v>
      </c>
      <c r="AO8" s="17" t="n">
        <v>1</v>
      </c>
      <c r="AP8" s="17" t="n">
        <v>2</v>
      </c>
      <c r="AQ8" s="17" t="n">
        <v>121</v>
      </c>
      <c r="AR8" s="17" t="n">
        <v>10</v>
      </c>
      <c r="AS8" s="17" t="n">
        <v>191</v>
      </c>
      <c r="AT8" s="17" t="n">
        <v>86793</v>
      </c>
      <c r="AU8" s="17" t="n">
        <v>91102</v>
      </c>
      <c r="AV8" s="17" t="n">
        <v>330981.6</v>
      </c>
      <c r="AW8" s="17" t="n">
        <v>342543.5</v>
      </c>
      <c r="AX8" s="17" t="n">
        <v>16048.6</v>
      </c>
      <c r="AY8" s="17" t="n">
        <v>11694.1</v>
      </c>
      <c r="AZ8" s="17" t="n">
        <v>169</v>
      </c>
      <c r="BA8" s="17" t="n">
        <v>156</v>
      </c>
      <c r="BB8" s="17" t="n">
        <v>95196</v>
      </c>
      <c r="BC8" s="17" t="n">
        <v>92043</v>
      </c>
      <c r="BD8" s="17" t="n">
        <v>1181</v>
      </c>
      <c r="BE8" s="17" t="n">
        <v>868</v>
      </c>
      <c r="BF8" s="17" t="n">
        <v>855</v>
      </c>
      <c r="BG8" s="17" t="n">
        <v>154797</v>
      </c>
      <c r="BH8" s="17" t="n">
        <v>58229.3</v>
      </c>
      <c r="BI8" s="17" t="n">
        <v>0</v>
      </c>
      <c r="BJ8" s="17" t="n">
        <v>0</v>
      </c>
      <c r="BK8" s="17" t="n">
        <v>0</v>
      </c>
      <c r="BL8" s="17" t="n">
        <v>0</v>
      </c>
      <c r="BM8" s="17" t="n">
        <v>1</v>
      </c>
      <c r="BN8" s="17" t="n">
        <v>0</v>
      </c>
      <c r="BO8" s="17" t="n">
        <v>0</v>
      </c>
      <c r="BP8" s="17" t="n">
        <v>0</v>
      </c>
      <c r="BQ8" s="17" t="n">
        <v>0</v>
      </c>
      <c r="BR8" s="17" t="n">
        <v>0</v>
      </c>
      <c r="BS8" s="17" t="n">
        <v>0</v>
      </c>
      <c r="BT8" s="17" t="n">
        <v>99</v>
      </c>
      <c r="BU8" s="17" t="n">
        <v>92975</v>
      </c>
      <c r="BV8" s="17" t="n">
        <v>93639</v>
      </c>
      <c r="BW8" s="17" t="n">
        <v>35960460</v>
      </c>
      <c r="BX8" s="17" t="n">
        <v>102002</v>
      </c>
      <c r="BY8" s="17" t="n">
        <v>2699</v>
      </c>
    </row>
    <row r="9">
      <c r="A9" s="17" t="inlineStr">
        <is>
          <t>Group</t>
        </is>
      </c>
      <c r="B9" s="17" t="inlineStr">
        <is>
          <t>Entity A1</t>
        </is>
      </c>
      <c r="C9" s="17" t="inlineStr">
        <is>
          <t>Plant 01</t>
        </is>
      </c>
      <c r="D9" s="17" t="inlineStr">
        <is>
          <t>2026-09</t>
        </is>
      </c>
      <c r="E9" s="17" t="n">
        <v>137.1</v>
      </c>
      <c r="F9" s="17" t="n">
        <v>720</v>
      </c>
      <c r="G9" s="17" t="n">
        <v>711</v>
      </c>
      <c r="H9" s="17" t="n">
        <v>664.5</v>
      </c>
      <c r="I9" s="17" t="n">
        <v>30.2</v>
      </c>
      <c r="J9" s="17" t="n">
        <v>97478</v>
      </c>
      <c r="K9" s="17" t="n">
        <v>98712</v>
      </c>
      <c r="L9" s="17" t="n">
        <v>85234</v>
      </c>
      <c r="M9" s="17" t="n">
        <v>84182</v>
      </c>
      <c r="N9" s="17" t="n">
        <v>81854</v>
      </c>
      <c r="O9" s="17" t="n">
        <v>89479</v>
      </c>
      <c r="P9" s="17" t="n">
        <v>19996</v>
      </c>
      <c r="Q9" s="17" t="n">
        <v>18334</v>
      </c>
      <c r="R9" s="17" t="n">
        <v>4140</v>
      </c>
      <c r="S9" s="17" t="n">
        <v>4</v>
      </c>
      <c r="T9" s="17" t="n">
        <v>21.6</v>
      </c>
      <c r="U9" s="17" t="n">
        <v>46</v>
      </c>
      <c r="V9" s="17" t="n">
        <v>43</v>
      </c>
      <c r="W9" s="17" t="n">
        <v>226098.2</v>
      </c>
      <c r="X9" s="17" t="n">
        <v>50616</v>
      </c>
      <c r="Y9" s="17" t="n">
        <v>1375.5</v>
      </c>
      <c r="Z9" s="17" t="n">
        <v>148807</v>
      </c>
      <c r="AA9" s="17" t="n">
        <v>59115</v>
      </c>
      <c r="AB9" s="17" t="n">
        <v>289576</v>
      </c>
      <c r="AC9" s="17" t="n">
        <v>3669</v>
      </c>
      <c r="AD9" s="17" t="n">
        <v>0</v>
      </c>
      <c r="AE9" s="17" t="n">
        <v>55000</v>
      </c>
      <c r="AF9" s="17" t="n">
        <v>0</v>
      </c>
      <c r="AG9" s="17" t="n">
        <v>1</v>
      </c>
      <c r="AH9" s="17" t="n">
        <v>9</v>
      </c>
      <c r="AI9" s="17" t="n">
        <v>0</v>
      </c>
      <c r="AJ9" s="17" t="n">
        <v>0</v>
      </c>
      <c r="AK9" s="17" t="n">
        <v>0</v>
      </c>
      <c r="AL9" s="17" t="n">
        <v>14</v>
      </c>
      <c r="AM9" s="17" t="n">
        <v>4</v>
      </c>
      <c r="AN9" s="17" t="n">
        <v>2</v>
      </c>
      <c r="AO9" s="17" t="n">
        <v>2</v>
      </c>
      <c r="AP9" s="17" t="n">
        <v>2</v>
      </c>
      <c r="AQ9" s="17" t="n">
        <v>120</v>
      </c>
      <c r="AR9" s="17" t="n">
        <v>9</v>
      </c>
      <c r="AS9" s="17" t="n">
        <v>161</v>
      </c>
      <c r="AT9" s="17" t="n">
        <v>79865</v>
      </c>
      <c r="AU9" s="17" t="n">
        <v>86061</v>
      </c>
      <c r="AV9" s="17" t="n">
        <v>300900.3</v>
      </c>
      <c r="AW9" s="17" t="n">
        <v>323589.4</v>
      </c>
      <c r="AX9" s="17" t="n">
        <v>13488.8</v>
      </c>
      <c r="AY9" s="17" t="n">
        <v>11990.8</v>
      </c>
      <c r="AZ9" s="17" t="n">
        <v>151</v>
      </c>
      <c r="BA9" s="17" t="n">
        <v>140</v>
      </c>
      <c r="BB9" s="17" t="n">
        <v>89804</v>
      </c>
      <c r="BC9" s="17" t="n">
        <v>86335</v>
      </c>
      <c r="BD9" s="17" t="n">
        <v>1211</v>
      </c>
      <c r="BE9" s="17" t="n">
        <v>644</v>
      </c>
      <c r="BF9" s="17" t="n">
        <v>676</v>
      </c>
      <c r="BG9" s="17" t="n">
        <v>116619.5</v>
      </c>
      <c r="BH9" s="17" t="n">
        <v>35125</v>
      </c>
      <c r="BI9" s="17" t="n">
        <v>1</v>
      </c>
      <c r="BJ9" s="17" t="n">
        <v>0</v>
      </c>
      <c r="BK9" s="17" t="n">
        <v>1</v>
      </c>
      <c r="BL9" s="17" t="n">
        <v>0</v>
      </c>
      <c r="BM9" s="17" t="n">
        <v>0</v>
      </c>
      <c r="BN9" s="17" t="n">
        <v>0</v>
      </c>
      <c r="BO9" s="17" t="n">
        <v>0</v>
      </c>
      <c r="BP9" s="17" t="n">
        <v>0</v>
      </c>
      <c r="BQ9" s="17" t="n">
        <v>0</v>
      </c>
      <c r="BR9" s="17" t="n">
        <v>0</v>
      </c>
      <c r="BS9" s="17" t="n">
        <v>0</v>
      </c>
      <c r="BT9" s="17" t="n">
        <v>99</v>
      </c>
      <c r="BU9" s="17" t="n">
        <v>85101</v>
      </c>
      <c r="BV9" s="17" t="n">
        <v>86567</v>
      </c>
      <c r="BW9" s="17" t="n">
        <v>26609951</v>
      </c>
      <c r="BX9" s="17" t="n">
        <v>97478</v>
      </c>
      <c r="BY9" s="17" t="n">
        <v>4173</v>
      </c>
    </row>
    <row r="10">
      <c r="A10" s="17" t="inlineStr">
        <is>
          <t>Group</t>
        </is>
      </c>
      <c r="B10" s="17" t="inlineStr">
        <is>
          <t>Entity A1</t>
        </is>
      </c>
      <c r="C10" s="17" t="inlineStr">
        <is>
          <t>Plant 02</t>
        </is>
      </c>
      <c r="D10" s="17" t="inlineStr">
        <is>
          <t>2026-04</t>
        </is>
      </c>
      <c r="E10" s="17" t="n">
        <v>188.9</v>
      </c>
      <c r="F10" s="17" t="n">
        <v>720</v>
      </c>
      <c r="G10" s="17" t="n">
        <v>718</v>
      </c>
      <c r="H10" s="17" t="n">
        <v>675.1</v>
      </c>
      <c r="I10" s="17" t="n">
        <v>31</v>
      </c>
      <c r="J10" s="17" t="n">
        <v>135630</v>
      </c>
      <c r="K10" s="17" t="n">
        <v>136008</v>
      </c>
      <c r="L10" s="17" t="n">
        <v>117160</v>
      </c>
      <c r="M10" s="17" t="n">
        <v>101595</v>
      </c>
      <c r="N10" s="17" t="n">
        <v>98478</v>
      </c>
      <c r="O10" s="17" t="n">
        <v>110890</v>
      </c>
      <c r="P10" s="17" t="n">
        <v>24227</v>
      </c>
      <c r="Q10" s="17" t="n">
        <v>19946</v>
      </c>
      <c r="R10" s="17" t="n">
        <v>5856</v>
      </c>
      <c r="S10" s="17" t="n">
        <v>5</v>
      </c>
      <c r="T10" s="17" t="n">
        <v>28.6</v>
      </c>
      <c r="U10" s="17" t="n">
        <v>40</v>
      </c>
      <c r="V10" s="17" t="n">
        <v>34</v>
      </c>
      <c r="W10" s="17" t="n">
        <v>293950</v>
      </c>
      <c r="X10" s="17" t="n">
        <v>67780.39999999999</v>
      </c>
      <c r="Y10" s="17" t="n">
        <v>1112.1</v>
      </c>
      <c r="Z10" s="17" t="n">
        <v>202909</v>
      </c>
      <c r="AA10" s="17" t="n">
        <v>69227</v>
      </c>
      <c r="AB10" s="17" t="n">
        <v>349419</v>
      </c>
      <c r="AC10" s="17" t="n">
        <v>17173</v>
      </c>
      <c r="AD10" s="17" t="n">
        <v>2</v>
      </c>
      <c r="AE10" s="17" t="n">
        <v>61000</v>
      </c>
      <c r="AF10" s="17" t="n">
        <v>0</v>
      </c>
      <c r="AG10" s="17" t="n">
        <v>0</v>
      </c>
      <c r="AH10" s="17" t="n">
        <v>6</v>
      </c>
      <c r="AI10" s="17" t="n">
        <v>0</v>
      </c>
      <c r="AJ10" s="17" t="n">
        <v>0</v>
      </c>
      <c r="AK10" s="17" t="n">
        <v>0</v>
      </c>
      <c r="AL10" s="17" t="n">
        <v>6</v>
      </c>
      <c r="AM10" s="17" t="n">
        <v>2</v>
      </c>
      <c r="AN10" s="17" t="n">
        <v>3</v>
      </c>
      <c r="AO10" s="17" t="n">
        <v>3</v>
      </c>
      <c r="AP10" s="17" t="n">
        <v>1</v>
      </c>
      <c r="AQ10" s="17" t="n">
        <v>187</v>
      </c>
      <c r="AR10" s="17" t="n">
        <v>11</v>
      </c>
      <c r="AS10" s="17" t="n">
        <v>215</v>
      </c>
      <c r="AT10" s="17" t="n">
        <v>99647</v>
      </c>
      <c r="AU10" s="17" t="n">
        <v>116251</v>
      </c>
      <c r="AV10" s="17" t="n">
        <v>367581.1</v>
      </c>
      <c r="AW10" s="17" t="n">
        <v>437103.8</v>
      </c>
      <c r="AX10" s="17" t="n">
        <v>20037.9</v>
      </c>
      <c r="AY10" s="17" t="n">
        <v>15943.3</v>
      </c>
      <c r="AZ10" s="17" t="n">
        <v>167</v>
      </c>
      <c r="BA10" s="17" t="n">
        <v>142</v>
      </c>
      <c r="BB10" s="17" t="n">
        <v>108759</v>
      </c>
      <c r="BC10" s="17" t="n">
        <v>107531</v>
      </c>
      <c r="BD10" s="17" t="n">
        <v>1079</v>
      </c>
      <c r="BE10" s="17" t="n">
        <v>574</v>
      </c>
      <c r="BF10" s="17" t="n">
        <v>662</v>
      </c>
      <c r="BG10" s="17" t="n">
        <v>161218.5</v>
      </c>
      <c r="BH10" s="17" t="n">
        <v>73012.8</v>
      </c>
      <c r="BI10" s="17" t="n">
        <v>0</v>
      </c>
      <c r="BJ10" s="17" t="n">
        <v>1</v>
      </c>
      <c r="BK10" s="17" t="n">
        <v>1</v>
      </c>
      <c r="BL10" s="17" t="n">
        <v>1</v>
      </c>
      <c r="BM10" s="17" t="n">
        <v>1</v>
      </c>
      <c r="BN10" s="17" t="n">
        <v>0</v>
      </c>
      <c r="BO10" s="17" t="n">
        <v>0</v>
      </c>
      <c r="BP10" s="17" t="n">
        <v>0</v>
      </c>
      <c r="BQ10" s="17" t="n">
        <v>0</v>
      </c>
      <c r="BR10" s="17" t="n">
        <v>0</v>
      </c>
      <c r="BS10" s="17" t="n">
        <v>0</v>
      </c>
      <c r="BT10" s="17" t="n">
        <v>17</v>
      </c>
      <c r="BU10" s="17" t="n">
        <v>119412</v>
      </c>
      <c r="BV10" s="17" t="n">
        <v>107510</v>
      </c>
      <c r="BW10" s="17" t="n">
        <v>40574219</v>
      </c>
      <c r="BX10" s="17" t="n">
        <v>135630</v>
      </c>
      <c r="BY10" s="17" t="n">
        <v>5356</v>
      </c>
    </row>
    <row r="11">
      <c r="A11" s="17" t="inlineStr">
        <is>
          <t>Group</t>
        </is>
      </c>
      <c r="B11" s="17" t="inlineStr">
        <is>
          <t>Entity A1</t>
        </is>
      </c>
      <c r="C11" s="17" t="inlineStr">
        <is>
          <t>Plant 02</t>
        </is>
      </c>
      <c r="D11" s="17" t="inlineStr">
        <is>
          <t>2026-05</t>
        </is>
      </c>
      <c r="E11" s="17" t="n">
        <v>188.9</v>
      </c>
      <c r="F11" s="17" t="n">
        <v>744</v>
      </c>
      <c r="G11" s="17" t="n">
        <v>690</v>
      </c>
      <c r="H11" s="17" t="n">
        <v>630.7</v>
      </c>
      <c r="I11" s="17" t="n">
        <v>45.8</v>
      </c>
      <c r="J11" s="17" t="n">
        <v>130341</v>
      </c>
      <c r="K11" s="17" t="n">
        <v>140542</v>
      </c>
      <c r="L11" s="17" t="n">
        <v>118660</v>
      </c>
      <c r="M11" s="17" t="n">
        <v>98372</v>
      </c>
      <c r="N11" s="17" t="n">
        <v>96839</v>
      </c>
      <c r="O11" s="17" t="n">
        <v>102676</v>
      </c>
      <c r="P11" s="17" t="n">
        <v>19541</v>
      </c>
      <c r="Q11" s="17" t="n">
        <v>16926</v>
      </c>
      <c r="R11" s="17" t="n">
        <v>8652</v>
      </c>
      <c r="S11" s="17" t="n">
        <v>5</v>
      </c>
      <c r="T11" s="17" t="n">
        <v>40.5</v>
      </c>
      <c r="U11" s="17" t="n">
        <v>44</v>
      </c>
      <c r="V11" s="17" t="n">
        <v>33</v>
      </c>
      <c r="W11" s="17" t="n">
        <v>350205.1</v>
      </c>
      <c r="X11" s="17" t="n">
        <v>97181.8</v>
      </c>
      <c r="Y11" s="17" t="n">
        <v>1212.1</v>
      </c>
      <c r="Z11" s="17" t="n">
        <v>176546</v>
      </c>
      <c r="AA11" s="17" t="n">
        <v>62330</v>
      </c>
      <c r="AB11" s="17" t="n">
        <v>375349</v>
      </c>
      <c r="AC11" s="17" t="n">
        <v>20499</v>
      </c>
      <c r="AD11" s="17" t="n">
        <v>4</v>
      </c>
      <c r="AE11" s="17" t="n">
        <v>69000</v>
      </c>
      <c r="AF11" s="17" t="n">
        <v>1</v>
      </c>
      <c r="AG11" s="17" t="n">
        <v>0</v>
      </c>
      <c r="AH11" s="17" t="n">
        <v>4</v>
      </c>
      <c r="AI11" s="17" t="n">
        <v>0</v>
      </c>
      <c r="AJ11" s="17" t="n">
        <v>0</v>
      </c>
      <c r="AK11" s="17" t="n">
        <v>0</v>
      </c>
      <c r="AL11" s="17" t="n">
        <v>5</v>
      </c>
      <c r="AM11" s="17" t="n">
        <v>1</v>
      </c>
      <c r="AN11" s="17" t="n">
        <v>0</v>
      </c>
      <c r="AO11" s="17" t="n">
        <v>0</v>
      </c>
      <c r="AP11" s="17" t="n">
        <v>0</v>
      </c>
      <c r="AQ11" s="17" t="n">
        <v>197</v>
      </c>
      <c r="AR11" s="17" t="n">
        <v>21</v>
      </c>
      <c r="AS11" s="17" t="n">
        <v>185</v>
      </c>
      <c r="AT11" s="17" t="n">
        <v>96710</v>
      </c>
      <c r="AU11" s="17" t="n">
        <v>118595</v>
      </c>
      <c r="AV11" s="17" t="n">
        <v>355792.8</v>
      </c>
      <c r="AW11" s="17" t="n">
        <v>445917.2</v>
      </c>
      <c r="AX11" s="17" t="n">
        <v>18442.1</v>
      </c>
      <c r="AY11" s="17" t="n">
        <v>15809.6</v>
      </c>
      <c r="AZ11" s="17" t="n">
        <v>174</v>
      </c>
      <c r="BA11" s="17" t="n">
        <v>142</v>
      </c>
      <c r="BB11" s="17" t="n">
        <v>102899</v>
      </c>
      <c r="BC11" s="17" t="n">
        <v>101308</v>
      </c>
      <c r="BD11" s="17" t="n">
        <v>846</v>
      </c>
      <c r="BE11" s="17" t="n">
        <v>616</v>
      </c>
      <c r="BF11" s="17" t="n">
        <v>696</v>
      </c>
      <c r="BG11" s="17" t="n">
        <v>188788.5</v>
      </c>
      <c r="BH11" s="17" t="n">
        <v>87101.10000000001</v>
      </c>
      <c r="BI11" s="17" t="n">
        <v>0</v>
      </c>
      <c r="BJ11" s="17" t="n">
        <v>0</v>
      </c>
      <c r="BK11" s="17" t="n">
        <v>1</v>
      </c>
      <c r="BL11" s="17" t="n">
        <v>1</v>
      </c>
      <c r="BM11" s="17" t="n">
        <v>0</v>
      </c>
      <c r="BN11" s="17" t="n">
        <v>0</v>
      </c>
      <c r="BO11" s="17" t="n">
        <v>0</v>
      </c>
      <c r="BP11" s="17" t="n">
        <v>0</v>
      </c>
      <c r="BQ11" s="17" t="n">
        <v>0</v>
      </c>
      <c r="BR11" s="17" t="n">
        <v>0</v>
      </c>
      <c r="BS11" s="17" t="n">
        <v>0</v>
      </c>
      <c r="BT11" s="17" t="n">
        <v>12</v>
      </c>
      <c r="BU11" s="17" t="n">
        <v>120898</v>
      </c>
      <c r="BV11" s="17" t="n">
        <v>110663</v>
      </c>
      <c r="BW11" s="17" t="n">
        <v>51573641</v>
      </c>
      <c r="BX11" s="17" t="n">
        <v>130341</v>
      </c>
      <c r="BY11" s="17" t="n">
        <v>8040</v>
      </c>
    </row>
    <row r="12">
      <c r="A12" s="17" t="inlineStr">
        <is>
          <t>Group</t>
        </is>
      </c>
      <c r="B12" s="17" t="inlineStr">
        <is>
          <t>Entity A1</t>
        </is>
      </c>
      <c r="C12" s="17" t="inlineStr">
        <is>
          <t>Plant 02</t>
        </is>
      </c>
      <c r="D12" s="17" t="inlineStr">
        <is>
          <t>2026-06</t>
        </is>
      </c>
      <c r="E12" s="17" t="n">
        <v>188.9</v>
      </c>
      <c r="F12" s="17" t="n">
        <v>720</v>
      </c>
      <c r="G12" s="17" t="n">
        <v>718</v>
      </c>
      <c r="H12" s="17" t="n">
        <v>669.9</v>
      </c>
      <c r="I12" s="17" t="n">
        <v>37.1</v>
      </c>
      <c r="J12" s="17" t="n">
        <v>135630</v>
      </c>
      <c r="K12" s="17" t="n">
        <v>136008</v>
      </c>
      <c r="L12" s="17" t="n">
        <v>120521</v>
      </c>
      <c r="M12" s="17" t="n">
        <v>96232</v>
      </c>
      <c r="N12" s="17" t="n">
        <v>91848</v>
      </c>
      <c r="O12" s="17" t="n">
        <v>97224</v>
      </c>
      <c r="P12" s="17" t="n">
        <v>21417</v>
      </c>
      <c r="Q12" s="17" t="n">
        <v>17596</v>
      </c>
      <c r="R12" s="17" t="n">
        <v>7008</v>
      </c>
      <c r="S12" s="17" t="n">
        <v>4</v>
      </c>
      <c r="T12" s="17" t="n">
        <v>32.6</v>
      </c>
      <c r="U12" s="17" t="n">
        <v>36</v>
      </c>
      <c r="V12" s="17" t="n">
        <v>31</v>
      </c>
      <c r="W12" s="17" t="n">
        <v>321487.9</v>
      </c>
      <c r="X12" s="17" t="n">
        <v>71503.8</v>
      </c>
      <c r="Y12" s="17" t="n">
        <v>1098.9</v>
      </c>
      <c r="Z12" s="17" t="n">
        <v>174177</v>
      </c>
      <c r="AA12" s="17" t="n">
        <v>54970</v>
      </c>
      <c r="AB12" s="17" t="n">
        <v>368624</v>
      </c>
      <c r="AC12" s="17" t="n">
        <v>28075</v>
      </c>
      <c r="AD12" s="17" t="n">
        <v>2</v>
      </c>
      <c r="AE12" s="17" t="n">
        <v>62000</v>
      </c>
      <c r="AF12" s="17" t="n">
        <v>1</v>
      </c>
      <c r="AG12" s="17" t="n">
        <v>0</v>
      </c>
      <c r="AH12" s="17" t="n">
        <v>4</v>
      </c>
      <c r="AI12" s="17" t="n">
        <v>0</v>
      </c>
      <c r="AJ12" s="17" t="n">
        <v>0</v>
      </c>
      <c r="AK12" s="17" t="n">
        <v>0</v>
      </c>
      <c r="AL12" s="17" t="n">
        <v>5</v>
      </c>
      <c r="AM12" s="17" t="n">
        <v>0</v>
      </c>
      <c r="AN12" s="17" t="n">
        <v>2</v>
      </c>
      <c r="AO12" s="17" t="n">
        <v>1</v>
      </c>
      <c r="AP12" s="17" t="n">
        <v>1</v>
      </c>
      <c r="AQ12" s="17" t="n">
        <v>194</v>
      </c>
      <c r="AR12" s="17" t="n">
        <v>21</v>
      </c>
      <c r="AS12" s="17" t="n">
        <v>155</v>
      </c>
      <c r="AT12" s="17" t="n">
        <v>93443</v>
      </c>
      <c r="AU12" s="17" t="n">
        <v>119908</v>
      </c>
      <c r="AV12" s="17" t="n">
        <v>341097.4</v>
      </c>
      <c r="AW12" s="17" t="n">
        <v>450854.1</v>
      </c>
      <c r="AX12" s="17" t="n">
        <v>17509.3</v>
      </c>
      <c r="AY12" s="17" t="n">
        <v>15920</v>
      </c>
      <c r="AZ12" s="17" t="n">
        <v>150</v>
      </c>
      <c r="BA12" s="17" t="n">
        <v>124</v>
      </c>
      <c r="BB12" s="17" t="n">
        <v>98097</v>
      </c>
      <c r="BC12" s="17" t="n">
        <v>96415</v>
      </c>
      <c r="BD12" s="17" t="n">
        <v>1343</v>
      </c>
      <c r="BE12" s="17" t="n">
        <v>630</v>
      </c>
      <c r="BF12" s="17" t="n">
        <v>704</v>
      </c>
      <c r="BG12" s="17" t="n">
        <v>190497.7</v>
      </c>
      <c r="BH12" s="17" t="n">
        <v>86054.39999999999</v>
      </c>
      <c r="BI12" s="17" t="n">
        <v>0</v>
      </c>
      <c r="BJ12" s="17" t="n">
        <v>0</v>
      </c>
      <c r="BK12" s="17" t="n">
        <v>0</v>
      </c>
      <c r="BL12" s="17" t="n">
        <v>1</v>
      </c>
      <c r="BM12" s="17" t="n">
        <v>1</v>
      </c>
      <c r="BN12" s="17" t="n">
        <v>0</v>
      </c>
      <c r="BO12" s="17" t="n">
        <v>0</v>
      </c>
      <c r="BP12" s="17" t="n">
        <v>0</v>
      </c>
      <c r="BQ12" s="17" t="n">
        <v>0</v>
      </c>
      <c r="BR12" s="17" t="n">
        <v>0</v>
      </c>
      <c r="BS12" s="17" t="n">
        <v>0</v>
      </c>
      <c r="BT12" s="17" t="n">
        <v>18</v>
      </c>
      <c r="BU12" s="17" t="n">
        <v>119591</v>
      </c>
      <c r="BV12" s="17" t="n">
        <v>108329</v>
      </c>
      <c r="BW12" s="17" t="n">
        <v>44645372</v>
      </c>
      <c r="BX12" s="17" t="n">
        <v>135630</v>
      </c>
      <c r="BY12" s="17" t="n">
        <v>6878</v>
      </c>
    </row>
    <row r="13">
      <c r="A13" s="17" t="inlineStr">
        <is>
          <t>Group</t>
        </is>
      </c>
      <c r="B13" s="17" t="inlineStr">
        <is>
          <t>Entity A1</t>
        </is>
      </c>
      <c r="C13" s="17" t="inlineStr">
        <is>
          <t>Plant 02</t>
        </is>
      </c>
      <c r="D13" s="17" t="inlineStr">
        <is>
          <t>2026-07</t>
        </is>
      </c>
      <c r="E13" s="17" t="n">
        <v>188.9</v>
      </c>
      <c r="F13" s="17" t="n">
        <v>744</v>
      </c>
      <c r="G13" s="17" t="n">
        <v>737</v>
      </c>
      <c r="H13" s="17" t="n">
        <v>655.4</v>
      </c>
      <c r="I13" s="17" t="n">
        <v>69.3</v>
      </c>
      <c r="J13" s="17" t="n">
        <v>139219</v>
      </c>
      <c r="K13" s="17" t="n">
        <v>140542</v>
      </c>
      <c r="L13" s="17" t="n">
        <v>122135</v>
      </c>
      <c r="M13" s="17" t="n">
        <v>101413</v>
      </c>
      <c r="N13" s="17" t="n">
        <v>97731</v>
      </c>
      <c r="O13" s="17" t="n">
        <v>108037</v>
      </c>
      <c r="P13" s="17" t="n">
        <v>20571</v>
      </c>
      <c r="Q13" s="17" t="n">
        <v>17916</v>
      </c>
      <c r="R13" s="17" t="n">
        <v>13091</v>
      </c>
      <c r="S13" s="17" t="n">
        <v>6</v>
      </c>
      <c r="T13" s="17" t="n">
        <v>65.7</v>
      </c>
      <c r="U13" s="17" t="n">
        <v>56</v>
      </c>
      <c r="V13" s="17" t="n">
        <v>44</v>
      </c>
      <c r="W13" s="17" t="n">
        <v>350472.9</v>
      </c>
      <c r="X13" s="17" t="n">
        <v>93258.3</v>
      </c>
      <c r="Y13" s="17" t="n">
        <v>1434.2</v>
      </c>
      <c r="Z13" s="17" t="n">
        <v>204288</v>
      </c>
      <c r="AA13" s="17" t="n">
        <v>57701</v>
      </c>
      <c r="AB13" s="17" t="n">
        <v>356252</v>
      </c>
      <c r="AC13" s="17" t="n">
        <v>22870</v>
      </c>
      <c r="AD13" s="17" t="n">
        <v>2</v>
      </c>
      <c r="AE13" s="17" t="n">
        <v>68000</v>
      </c>
      <c r="AF13" s="17" t="n">
        <v>0</v>
      </c>
      <c r="AG13" s="17" t="n">
        <v>1</v>
      </c>
      <c r="AH13" s="17" t="n">
        <v>6</v>
      </c>
      <c r="AI13" s="17" t="n">
        <v>0</v>
      </c>
      <c r="AJ13" s="17" t="n">
        <v>1</v>
      </c>
      <c r="AK13" s="17" t="n">
        <v>0</v>
      </c>
      <c r="AL13" s="17" t="n">
        <v>7</v>
      </c>
      <c r="AM13" s="17" t="n">
        <v>0</v>
      </c>
      <c r="AN13" s="17" t="n">
        <v>1</v>
      </c>
      <c r="AO13" s="17" t="n">
        <v>1</v>
      </c>
      <c r="AP13" s="17" t="n">
        <v>0</v>
      </c>
      <c r="AQ13" s="17" t="n">
        <v>129</v>
      </c>
      <c r="AR13" s="17" t="n">
        <v>15</v>
      </c>
      <c r="AS13" s="17" t="n">
        <v>125</v>
      </c>
      <c r="AT13" s="17" t="n">
        <v>95686</v>
      </c>
      <c r="AU13" s="17" t="n">
        <v>120914</v>
      </c>
      <c r="AV13" s="17" t="n">
        <v>355004.6</v>
      </c>
      <c r="AW13" s="17" t="n">
        <v>454636.6</v>
      </c>
      <c r="AX13" s="17" t="n">
        <v>21552.3</v>
      </c>
      <c r="AY13" s="17" t="n">
        <v>15764.7</v>
      </c>
      <c r="AZ13" s="17" t="n">
        <v>159</v>
      </c>
      <c r="BA13" s="17" t="n">
        <v>128</v>
      </c>
      <c r="BB13" s="17" t="n">
        <v>105180</v>
      </c>
      <c r="BC13" s="17" t="n">
        <v>101093</v>
      </c>
      <c r="BD13" s="17" t="n">
        <v>720</v>
      </c>
      <c r="BE13" s="17" t="n">
        <v>658</v>
      </c>
      <c r="BF13" s="17" t="n">
        <v>772</v>
      </c>
      <c r="BG13" s="17" t="n">
        <v>179819.6</v>
      </c>
      <c r="BH13" s="17" t="n">
        <v>82831.7</v>
      </c>
      <c r="BI13" s="17" t="n">
        <v>0</v>
      </c>
      <c r="BJ13" s="17" t="n">
        <v>0</v>
      </c>
      <c r="BK13" s="17" t="n">
        <v>0</v>
      </c>
      <c r="BL13" s="17" t="n">
        <v>1</v>
      </c>
      <c r="BM13" s="17" t="n">
        <v>1</v>
      </c>
      <c r="BN13" s="17" t="n">
        <v>0</v>
      </c>
      <c r="BO13" s="17" t="n">
        <v>0</v>
      </c>
      <c r="BP13" s="17" t="n">
        <v>0</v>
      </c>
      <c r="BQ13" s="17" t="n">
        <v>0</v>
      </c>
      <c r="BR13" s="17" t="n">
        <v>0</v>
      </c>
      <c r="BS13" s="17" t="n">
        <v>0</v>
      </c>
      <c r="BT13" s="17" t="n">
        <v>12</v>
      </c>
      <c r="BU13" s="17" t="n">
        <v>123620</v>
      </c>
      <c r="BV13" s="17" t="n">
        <v>113701</v>
      </c>
      <c r="BW13" s="17" t="n">
        <v>53958022</v>
      </c>
      <c r="BX13" s="17" t="n">
        <v>139219</v>
      </c>
      <c r="BY13" s="17" t="n">
        <v>13208</v>
      </c>
    </row>
    <row r="14">
      <c r="A14" s="17" t="inlineStr">
        <is>
          <t>Group</t>
        </is>
      </c>
      <c r="B14" s="17" t="inlineStr">
        <is>
          <t>Entity A1</t>
        </is>
      </c>
      <c r="C14" s="17" t="inlineStr">
        <is>
          <t>Plant 02</t>
        </is>
      </c>
      <c r="D14" s="17" t="inlineStr">
        <is>
          <t>2026-08</t>
        </is>
      </c>
      <c r="E14" s="17" t="n">
        <v>188.9</v>
      </c>
      <c r="F14" s="17" t="n">
        <v>744</v>
      </c>
      <c r="G14" s="17" t="n">
        <v>674</v>
      </c>
      <c r="H14" s="17" t="n">
        <v>603.4</v>
      </c>
      <c r="I14" s="17" t="n">
        <v>53.5</v>
      </c>
      <c r="J14" s="17" t="n">
        <v>127319</v>
      </c>
      <c r="K14" s="17" t="n">
        <v>140542</v>
      </c>
      <c r="L14" s="17" t="n">
        <v>109907</v>
      </c>
      <c r="M14" s="17" t="n">
        <v>90236</v>
      </c>
      <c r="N14" s="17" t="n">
        <v>86596</v>
      </c>
      <c r="O14" s="17" t="n">
        <v>97767</v>
      </c>
      <c r="P14" s="17" t="n">
        <v>22655</v>
      </c>
      <c r="Q14" s="17" t="n">
        <v>18611</v>
      </c>
      <c r="R14" s="17" t="n">
        <v>10106</v>
      </c>
      <c r="S14" s="17" t="n">
        <v>4</v>
      </c>
      <c r="T14" s="17" t="n">
        <v>46.8</v>
      </c>
      <c r="U14" s="17" t="n">
        <v>39</v>
      </c>
      <c r="V14" s="17" t="n">
        <v>37</v>
      </c>
      <c r="W14" s="17" t="n">
        <v>293787.6</v>
      </c>
      <c r="X14" s="17" t="n">
        <v>89718.10000000001</v>
      </c>
      <c r="Y14" s="17" t="n">
        <v>1404.1</v>
      </c>
      <c r="Z14" s="17" t="n">
        <v>164589</v>
      </c>
      <c r="AA14" s="17" t="n">
        <v>62319</v>
      </c>
      <c r="AB14" s="17" t="n">
        <v>347920</v>
      </c>
      <c r="AC14" s="17" t="n">
        <v>23073</v>
      </c>
      <c r="AD14" s="17" t="n">
        <v>3</v>
      </c>
      <c r="AE14" s="17" t="n">
        <v>69000</v>
      </c>
      <c r="AF14" s="17" t="n">
        <v>0</v>
      </c>
      <c r="AG14" s="17" t="n">
        <v>1</v>
      </c>
      <c r="AH14" s="17" t="n">
        <v>5</v>
      </c>
      <c r="AI14" s="17" t="n">
        <v>1</v>
      </c>
      <c r="AJ14" s="17" t="n">
        <v>0</v>
      </c>
      <c r="AK14" s="17" t="n">
        <v>0</v>
      </c>
      <c r="AL14" s="17" t="n">
        <v>8</v>
      </c>
      <c r="AM14" s="17" t="n">
        <v>1</v>
      </c>
      <c r="AN14" s="17" t="n">
        <v>0</v>
      </c>
      <c r="AO14" s="17" t="n">
        <v>0</v>
      </c>
      <c r="AP14" s="17" t="n">
        <v>0</v>
      </c>
      <c r="AQ14" s="17" t="n">
        <v>212</v>
      </c>
      <c r="AR14" s="17" t="n">
        <v>32</v>
      </c>
      <c r="AS14" s="17" t="n">
        <v>95</v>
      </c>
      <c r="AT14" s="17" t="n">
        <v>87463</v>
      </c>
      <c r="AU14" s="17" t="n">
        <v>110393</v>
      </c>
      <c r="AV14" s="17" t="n">
        <v>324045</v>
      </c>
      <c r="AW14" s="17" t="n">
        <v>415077.7</v>
      </c>
      <c r="AX14" s="17" t="n">
        <v>17217.2</v>
      </c>
      <c r="AY14" s="17" t="n">
        <v>16383.2</v>
      </c>
      <c r="AZ14" s="17" t="n">
        <v>157</v>
      </c>
      <c r="BA14" s="17" t="n">
        <v>131</v>
      </c>
      <c r="BB14" s="17" t="n">
        <v>94985</v>
      </c>
      <c r="BC14" s="17" t="n">
        <v>92164</v>
      </c>
      <c r="BD14" s="17" t="n">
        <v>1526</v>
      </c>
      <c r="BE14" s="17" t="n">
        <v>560</v>
      </c>
      <c r="BF14" s="17" t="n">
        <v>665</v>
      </c>
      <c r="BG14" s="17" t="n">
        <v>153621.7</v>
      </c>
      <c r="BH14" s="17" t="n">
        <v>72743.60000000001</v>
      </c>
      <c r="BI14" s="17" t="n">
        <v>0</v>
      </c>
      <c r="BJ14" s="17" t="n">
        <v>0</v>
      </c>
      <c r="BK14" s="17" t="n">
        <v>0</v>
      </c>
      <c r="BL14" s="17" t="n">
        <v>1</v>
      </c>
      <c r="BM14" s="17" t="n">
        <v>0</v>
      </c>
      <c r="BN14" s="17" t="n">
        <v>0</v>
      </c>
      <c r="BO14" s="17" t="n">
        <v>0</v>
      </c>
      <c r="BP14" s="17" t="n">
        <v>0</v>
      </c>
      <c r="BQ14" s="17" t="n">
        <v>0</v>
      </c>
      <c r="BR14" s="17" t="n">
        <v>0</v>
      </c>
      <c r="BS14" s="17" t="n">
        <v>0</v>
      </c>
      <c r="BT14" s="17" t="n">
        <v>10</v>
      </c>
      <c r="BU14" s="17" t="n">
        <v>111815</v>
      </c>
      <c r="BV14" s="17" t="n">
        <v>102323</v>
      </c>
      <c r="BW14" s="17" t="n">
        <v>35614658</v>
      </c>
      <c r="BX14" s="17" t="n">
        <v>127319</v>
      </c>
      <c r="BY14" s="17" t="n">
        <v>8914</v>
      </c>
    </row>
    <row r="15">
      <c r="A15" s="17" t="inlineStr">
        <is>
          <t>Group</t>
        </is>
      </c>
      <c r="B15" s="17" t="inlineStr">
        <is>
          <t>Entity A1</t>
        </is>
      </c>
      <c r="C15" s="17" t="inlineStr">
        <is>
          <t>Plant 02</t>
        </is>
      </c>
      <c r="D15" s="17" t="inlineStr">
        <is>
          <t>2026-09</t>
        </is>
      </c>
      <c r="E15" s="17" t="n">
        <v>188.9</v>
      </c>
      <c r="F15" s="17" t="n">
        <v>720</v>
      </c>
      <c r="G15" s="17" t="n">
        <v>717</v>
      </c>
      <c r="H15" s="17" t="n">
        <v>624.3</v>
      </c>
      <c r="I15" s="17" t="n">
        <v>78.2</v>
      </c>
      <c r="J15" s="17" t="n">
        <v>135441</v>
      </c>
      <c r="K15" s="17" t="n">
        <v>136008</v>
      </c>
      <c r="L15" s="17" t="n">
        <v>121475</v>
      </c>
      <c r="M15" s="17" t="n">
        <v>97250</v>
      </c>
      <c r="N15" s="17" t="n">
        <v>95233</v>
      </c>
      <c r="O15" s="17" t="n">
        <v>102279</v>
      </c>
      <c r="P15" s="17" t="n">
        <v>20791</v>
      </c>
      <c r="Q15" s="17" t="n">
        <v>17994</v>
      </c>
      <c r="R15" s="17" t="n">
        <v>14772</v>
      </c>
      <c r="S15" s="17" t="n">
        <v>6</v>
      </c>
      <c r="T15" s="17" t="n">
        <v>68.5</v>
      </c>
      <c r="U15" s="17" t="n">
        <v>33</v>
      </c>
      <c r="V15" s="17" t="n">
        <v>27</v>
      </c>
      <c r="W15" s="17" t="n">
        <v>308111</v>
      </c>
      <c r="X15" s="17" t="n">
        <v>70784.39999999999</v>
      </c>
      <c r="Y15" s="17" t="n">
        <v>940.2</v>
      </c>
      <c r="Z15" s="17" t="n">
        <v>245659</v>
      </c>
      <c r="AA15" s="17" t="n">
        <v>68824</v>
      </c>
      <c r="AB15" s="17" t="n">
        <v>358135</v>
      </c>
      <c r="AC15" s="17" t="n">
        <v>24322</v>
      </c>
      <c r="AD15" s="17" t="n">
        <v>4</v>
      </c>
      <c r="AE15" s="17" t="n">
        <v>95000</v>
      </c>
      <c r="AF15" s="17" t="n">
        <v>0</v>
      </c>
      <c r="AG15" s="17" t="n">
        <v>0</v>
      </c>
      <c r="AH15" s="17" t="n">
        <v>2</v>
      </c>
      <c r="AI15" s="17" t="n">
        <v>0</v>
      </c>
      <c r="AJ15" s="17" t="n">
        <v>1</v>
      </c>
      <c r="AK15" s="17" t="n">
        <v>0</v>
      </c>
      <c r="AL15" s="17" t="n">
        <v>6</v>
      </c>
      <c r="AM15" s="17" t="n">
        <v>1</v>
      </c>
      <c r="AN15" s="17" t="n">
        <v>2</v>
      </c>
      <c r="AO15" s="17" t="n">
        <v>1</v>
      </c>
      <c r="AP15" s="17" t="n">
        <v>1</v>
      </c>
      <c r="AQ15" s="17" t="n">
        <v>225</v>
      </c>
      <c r="AR15" s="17" t="n">
        <v>36</v>
      </c>
      <c r="AS15" s="17" t="n">
        <v>65</v>
      </c>
      <c r="AT15" s="17" t="n">
        <v>94217</v>
      </c>
      <c r="AU15" s="17" t="n">
        <v>121397</v>
      </c>
      <c r="AV15" s="17" t="n">
        <v>346059.3</v>
      </c>
      <c r="AW15" s="17" t="n">
        <v>456452.7</v>
      </c>
      <c r="AX15" s="17" t="n">
        <v>20557.3</v>
      </c>
      <c r="AY15" s="17" t="n">
        <v>16054.5</v>
      </c>
      <c r="AZ15" s="17" t="n">
        <v>173</v>
      </c>
      <c r="BA15" s="17" t="n">
        <v>147</v>
      </c>
      <c r="BB15" s="17" t="n">
        <v>103840</v>
      </c>
      <c r="BC15" s="17" t="n">
        <v>101122</v>
      </c>
      <c r="BD15" s="17" t="n">
        <v>1125</v>
      </c>
      <c r="BE15" s="17" t="n">
        <v>658</v>
      </c>
      <c r="BF15" s="17" t="n">
        <v>772</v>
      </c>
      <c r="BG15" s="17" t="n">
        <v>171707.4</v>
      </c>
      <c r="BH15" s="17" t="n">
        <v>73868.5</v>
      </c>
      <c r="BI15" s="17" t="n">
        <v>0</v>
      </c>
      <c r="BJ15" s="17" t="n">
        <v>0</v>
      </c>
      <c r="BK15" s="17" t="n">
        <v>0</v>
      </c>
      <c r="BL15" s="17" t="n">
        <v>1</v>
      </c>
      <c r="BM15" s="17" t="n">
        <v>1</v>
      </c>
      <c r="BN15" s="17" t="n">
        <v>0</v>
      </c>
      <c r="BO15" s="17" t="n">
        <v>0</v>
      </c>
      <c r="BP15" s="17" t="n">
        <v>0</v>
      </c>
      <c r="BQ15" s="17" t="n">
        <v>0</v>
      </c>
      <c r="BR15" s="17" t="n">
        <v>0</v>
      </c>
      <c r="BS15" s="17" t="n">
        <v>0</v>
      </c>
      <c r="BT15" s="17" t="n">
        <v>4</v>
      </c>
      <c r="BU15" s="17" t="n">
        <v>121378</v>
      </c>
      <c r="BV15" s="17" t="n">
        <v>108581</v>
      </c>
      <c r="BW15" s="17" t="n">
        <v>36663480</v>
      </c>
      <c r="BX15" s="17" t="n">
        <v>135441</v>
      </c>
      <c r="BY15" s="17" t="n">
        <v>15611</v>
      </c>
    </row>
    <row r="16">
      <c r="A16" s="17" t="inlineStr">
        <is>
          <t>Group</t>
        </is>
      </c>
      <c r="B16" s="17" t="inlineStr">
        <is>
          <t>Entity A1</t>
        </is>
      </c>
      <c r="C16" s="17" t="inlineStr">
        <is>
          <t>Plant 03</t>
        </is>
      </c>
      <c r="D16" s="17" t="inlineStr">
        <is>
          <t>2026-04</t>
        </is>
      </c>
      <c r="E16" s="17" t="n">
        <v>225.4</v>
      </c>
      <c r="F16" s="17" t="n">
        <v>720</v>
      </c>
      <c r="G16" s="17" t="n">
        <v>709</v>
      </c>
      <c r="H16" s="17" t="n">
        <v>679.1</v>
      </c>
      <c r="I16" s="17" t="n">
        <v>18.5</v>
      </c>
      <c r="J16" s="17" t="n">
        <v>159809</v>
      </c>
      <c r="K16" s="17" t="n">
        <v>162288</v>
      </c>
      <c r="L16" s="17" t="n">
        <v>140381</v>
      </c>
      <c r="M16" s="17" t="n">
        <v>137702</v>
      </c>
      <c r="N16" s="17" t="n">
        <v>135597</v>
      </c>
      <c r="O16" s="17" t="n">
        <v>151646</v>
      </c>
      <c r="P16" s="17" t="n">
        <v>30509</v>
      </c>
      <c r="Q16" s="17" t="n">
        <v>27116</v>
      </c>
      <c r="R16" s="17" t="n">
        <v>4170</v>
      </c>
      <c r="S16" s="17" t="n">
        <v>2</v>
      </c>
      <c r="T16" s="17" t="n">
        <v>11.6</v>
      </c>
      <c r="U16" s="17" t="n">
        <v>46</v>
      </c>
      <c r="V16" s="17" t="n">
        <v>45</v>
      </c>
      <c r="W16" s="17" t="n">
        <v>423748.9</v>
      </c>
      <c r="X16" s="17" t="n">
        <v>102285.4</v>
      </c>
      <c r="Y16" s="17" t="n">
        <v>1376.4</v>
      </c>
      <c r="Z16" s="17" t="n">
        <v>293580</v>
      </c>
      <c r="AA16" s="17" t="n">
        <v>100138</v>
      </c>
      <c r="AB16" s="17" t="n">
        <v>411317</v>
      </c>
      <c r="AC16" s="17" t="n">
        <v>5413</v>
      </c>
      <c r="AD16" s="17" t="n">
        <v>1</v>
      </c>
      <c r="AE16" s="17" t="n">
        <v>81000</v>
      </c>
      <c r="AF16" s="17" t="n">
        <v>0</v>
      </c>
      <c r="AG16" s="17" t="n">
        <v>0</v>
      </c>
      <c r="AH16" s="17" t="n">
        <v>5</v>
      </c>
      <c r="AI16" s="17" t="n">
        <v>0</v>
      </c>
      <c r="AJ16" s="17" t="n">
        <v>1</v>
      </c>
      <c r="AK16" s="17" t="n">
        <v>0</v>
      </c>
      <c r="AL16" s="17" t="n">
        <v>5</v>
      </c>
      <c r="AM16" s="17" t="n">
        <v>1</v>
      </c>
      <c r="AN16" s="17" t="n">
        <v>1</v>
      </c>
      <c r="AO16" s="17" t="n">
        <v>0</v>
      </c>
      <c r="AP16" s="17" t="n">
        <v>0</v>
      </c>
      <c r="AQ16" s="17" t="n">
        <v>130</v>
      </c>
      <c r="AR16" s="17" t="n">
        <v>5</v>
      </c>
      <c r="AS16" s="17" t="n">
        <v>218</v>
      </c>
      <c r="AT16" s="17" t="n">
        <v>132069</v>
      </c>
      <c r="AU16" s="17" t="n">
        <v>141407</v>
      </c>
      <c r="AV16" s="17" t="n">
        <v>498991.1</v>
      </c>
      <c r="AW16" s="17" t="n">
        <v>531690.3</v>
      </c>
      <c r="AX16" s="17" t="n">
        <v>26981.8</v>
      </c>
      <c r="AY16" s="17" t="n">
        <v>18816.9</v>
      </c>
      <c r="AZ16" s="17" t="n">
        <v>169</v>
      </c>
      <c r="BA16" s="17" t="n">
        <v>156</v>
      </c>
      <c r="BB16" s="17" t="n">
        <v>152075</v>
      </c>
      <c r="BC16" s="17" t="n">
        <v>143138</v>
      </c>
      <c r="BD16" s="17" t="n">
        <v>1636</v>
      </c>
      <c r="BE16" s="17" t="n">
        <v>952</v>
      </c>
      <c r="BF16" s="17" t="n">
        <v>997</v>
      </c>
      <c r="BG16" s="17" t="n">
        <v>224328.9</v>
      </c>
      <c r="BH16" s="17" t="n">
        <v>84788.10000000001</v>
      </c>
      <c r="BI16" s="17" t="n">
        <v>0</v>
      </c>
      <c r="BJ16" s="17" t="n">
        <v>0</v>
      </c>
      <c r="BK16" s="17" t="n">
        <v>0</v>
      </c>
      <c r="BL16" s="17" t="n">
        <v>1</v>
      </c>
      <c r="BM16" s="17" t="n">
        <v>1</v>
      </c>
      <c r="BN16" s="17" t="n">
        <v>0</v>
      </c>
      <c r="BO16" s="17" t="n">
        <v>0</v>
      </c>
      <c r="BP16" s="17" t="n">
        <v>0</v>
      </c>
      <c r="BQ16" s="17" t="n">
        <v>0</v>
      </c>
      <c r="BR16" s="17" t="n">
        <v>0</v>
      </c>
      <c r="BS16" s="17" t="n">
        <v>0</v>
      </c>
      <c r="BT16" s="17" t="n">
        <v>99</v>
      </c>
      <c r="BU16" s="17" t="n">
        <v>142430</v>
      </c>
      <c r="BV16" s="17" t="n">
        <v>144326</v>
      </c>
      <c r="BW16" s="17" t="n">
        <v>85157077</v>
      </c>
      <c r="BX16" s="17" t="n">
        <v>159809</v>
      </c>
      <c r="BY16" s="17" t="n">
        <v>4742</v>
      </c>
    </row>
    <row r="17">
      <c r="A17" s="17" t="inlineStr">
        <is>
          <t>Group</t>
        </is>
      </c>
      <c r="B17" s="17" t="inlineStr">
        <is>
          <t>Entity A1</t>
        </is>
      </c>
      <c r="C17" s="17" t="inlineStr">
        <is>
          <t>Plant 03</t>
        </is>
      </c>
      <c r="D17" s="17" t="inlineStr">
        <is>
          <t>2026-05</t>
        </is>
      </c>
      <c r="E17" s="17" t="n">
        <v>225.4</v>
      </c>
      <c r="F17" s="17" t="n">
        <v>744</v>
      </c>
      <c r="G17" s="17" t="n">
        <v>675</v>
      </c>
      <c r="H17" s="17" t="n">
        <v>644.2</v>
      </c>
      <c r="I17" s="17" t="n">
        <v>22.6</v>
      </c>
      <c r="J17" s="17" t="n">
        <v>152145</v>
      </c>
      <c r="K17" s="17" t="n">
        <v>167698</v>
      </c>
      <c r="L17" s="17" t="n">
        <v>139327</v>
      </c>
      <c r="M17" s="17" t="n">
        <v>129882</v>
      </c>
      <c r="N17" s="17" t="n">
        <v>123727</v>
      </c>
      <c r="O17" s="17" t="n">
        <v>139092</v>
      </c>
      <c r="P17" s="17" t="n">
        <v>26667</v>
      </c>
      <c r="Q17" s="17" t="n">
        <v>22876</v>
      </c>
      <c r="R17" s="17" t="n">
        <v>5094</v>
      </c>
      <c r="S17" s="17" t="n">
        <v>4</v>
      </c>
      <c r="T17" s="17" t="n">
        <v>18.4</v>
      </c>
      <c r="U17" s="17" t="n">
        <v>54</v>
      </c>
      <c r="V17" s="17" t="n">
        <v>51</v>
      </c>
      <c r="W17" s="17" t="n">
        <v>380693.8</v>
      </c>
      <c r="X17" s="17" t="n">
        <v>88979.2</v>
      </c>
      <c r="Y17" s="17" t="n">
        <v>1092.1</v>
      </c>
      <c r="Z17" s="17" t="n">
        <v>320054</v>
      </c>
      <c r="AA17" s="17" t="n">
        <v>72786</v>
      </c>
      <c r="AB17" s="17" t="n">
        <v>378969</v>
      </c>
      <c r="AC17" s="17" t="n">
        <v>18096</v>
      </c>
      <c r="AD17" s="17" t="n">
        <v>1</v>
      </c>
      <c r="AE17" s="17" t="n">
        <v>76000</v>
      </c>
      <c r="AF17" s="17" t="n">
        <v>1</v>
      </c>
      <c r="AG17" s="17" t="n">
        <v>0</v>
      </c>
      <c r="AH17" s="17" t="n">
        <v>10</v>
      </c>
      <c r="AI17" s="17" t="n">
        <v>0</v>
      </c>
      <c r="AJ17" s="17" t="n">
        <v>1</v>
      </c>
      <c r="AK17" s="17" t="n">
        <v>0</v>
      </c>
      <c r="AL17" s="17" t="n">
        <v>10</v>
      </c>
      <c r="AM17" s="17" t="n">
        <v>2</v>
      </c>
      <c r="AN17" s="17" t="n">
        <v>0</v>
      </c>
      <c r="AO17" s="17" t="n">
        <v>0</v>
      </c>
      <c r="AP17" s="17" t="n">
        <v>0</v>
      </c>
      <c r="AQ17" s="17" t="n">
        <v>230</v>
      </c>
      <c r="AR17" s="17" t="n">
        <v>12</v>
      </c>
      <c r="AS17" s="17" t="n">
        <v>188</v>
      </c>
      <c r="AT17" s="17" t="n">
        <v>123269</v>
      </c>
      <c r="AU17" s="17" t="n">
        <v>138158</v>
      </c>
      <c r="AV17" s="17" t="n">
        <v>460880.8</v>
      </c>
      <c r="AW17" s="17" t="n">
        <v>519474.1</v>
      </c>
      <c r="AX17" s="17" t="n">
        <v>20000.3</v>
      </c>
      <c r="AY17" s="17" t="n">
        <v>18527.3</v>
      </c>
      <c r="AZ17" s="17" t="n">
        <v>232</v>
      </c>
      <c r="BA17" s="17" t="n">
        <v>213</v>
      </c>
      <c r="BB17" s="17" t="n">
        <v>142709</v>
      </c>
      <c r="BC17" s="17" t="n">
        <v>135890</v>
      </c>
      <c r="BD17" s="17" t="n">
        <v>1180</v>
      </c>
      <c r="BE17" s="17" t="n">
        <v>1148</v>
      </c>
      <c r="BF17" s="17" t="n">
        <v>1150</v>
      </c>
      <c r="BG17" s="17" t="n">
        <v>215687.3</v>
      </c>
      <c r="BH17" s="17" t="n">
        <v>82507.5</v>
      </c>
      <c r="BI17" s="17" t="n">
        <v>0</v>
      </c>
      <c r="BJ17" s="17" t="n">
        <v>1</v>
      </c>
      <c r="BK17" s="17" t="n">
        <v>0</v>
      </c>
      <c r="BL17" s="17" t="n">
        <v>0</v>
      </c>
      <c r="BM17" s="17" t="n">
        <v>1</v>
      </c>
      <c r="BN17" s="17" t="n">
        <v>0</v>
      </c>
      <c r="BO17" s="17" t="n">
        <v>0</v>
      </c>
      <c r="BP17" s="17" t="n">
        <v>0</v>
      </c>
      <c r="BQ17" s="17" t="n">
        <v>0</v>
      </c>
      <c r="BR17" s="17" t="n">
        <v>0</v>
      </c>
      <c r="BS17" s="17" t="n">
        <v>0</v>
      </c>
      <c r="BT17" s="17" t="n">
        <v>99</v>
      </c>
      <c r="BU17" s="17" t="n">
        <v>140211</v>
      </c>
      <c r="BV17" s="17" t="n">
        <v>141920</v>
      </c>
      <c r="BW17" s="17" t="n">
        <v>76995709</v>
      </c>
      <c r="BX17" s="17" t="n">
        <v>152145</v>
      </c>
      <c r="BY17" s="17" t="n">
        <v>4615</v>
      </c>
    </row>
    <row r="18">
      <c r="A18" s="17" t="inlineStr">
        <is>
          <t>Group</t>
        </is>
      </c>
      <c r="B18" s="17" t="inlineStr">
        <is>
          <t>Entity A1</t>
        </is>
      </c>
      <c r="C18" s="17" t="inlineStr">
        <is>
          <t>Plant 03</t>
        </is>
      </c>
      <c r="D18" s="17" t="inlineStr">
        <is>
          <t>2026-06</t>
        </is>
      </c>
      <c r="E18" s="17" t="n">
        <v>225.4</v>
      </c>
      <c r="F18" s="17" t="n">
        <v>720</v>
      </c>
      <c r="G18" s="17" t="n">
        <v>719</v>
      </c>
      <c r="H18" s="17" t="n">
        <v>672.3</v>
      </c>
      <c r="I18" s="17" t="n">
        <v>30</v>
      </c>
      <c r="J18" s="17" t="n">
        <v>162063</v>
      </c>
      <c r="K18" s="17" t="n">
        <v>162288</v>
      </c>
      <c r="L18" s="17" t="n">
        <v>141008</v>
      </c>
      <c r="M18" s="17" t="n">
        <v>134645</v>
      </c>
      <c r="N18" s="17" t="n">
        <v>129167</v>
      </c>
      <c r="O18" s="17" t="n">
        <v>140543</v>
      </c>
      <c r="P18" s="17" t="n">
        <v>28463</v>
      </c>
      <c r="Q18" s="17" t="n">
        <v>25992</v>
      </c>
      <c r="R18" s="17" t="n">
        <v>6762</v>
      </c>
      <c r="S18" s="17" t="n">
        <v>4</v>
      </c>
      <c r="T18" s="17" t="n">
        <v>23.1</v>
      </c>
      <c r="U18" s="17" t="n">
        <v>50</v>
      </c>
      <c r="V18" s="17" t="n">
        <v>48</v>
      </c>
      <c r="W18" s="17" t="n">
        <v>345324.8</v>
      </c>
      <c r="X18" s="17" t="n">
        <v>105483</v>
      </c>
      <c r="Y18" s="17" t="n">
        <v>952.7</v>
      </c>
      <c r="Z18" s="17" t="n">
        <v>282180</v>
      </c>
      <c r="AA18" s="17" t="n">
        <v>73193</v>
      </c>
      <c r="AB18" s="17" t="n">
        <v>376725</v>
      </c>
      <c r="AC18" s="17" t="n">
        <v>14242</v>
      </c>
      <c r="AD18" s="17" t="n">
        <v>1</v>
      </c>
      <c r="AE18" s="17" t="n">
        <v>72000</v>
      </c>
      <c r="AF18" s="17" t="n">
        <v>1</v>
      </c>
      <c r="AG18" s="17" t="n">
        <v>0</v>
      </c>
      <c r="AH18" s="17" t="n">
        <v>8</v>
      </c>
      <c r="AI18" s="17" t="n">
        <v>0</v>
      </c>
      <c r="AJ18" s="17" t="n">
        <v>0</v>
      </c>
      <c r="AK18" s="17" t="n">
        <v>0</v>
      </c>
      <c r="AL18" s="17" t="n">
        <v>13</v>
      </c>
      <c r="AM18" s="17" t="n">
        <v>3</v>
      </c>
      <c r="AN18" s="17" t="n">
        <v>2</v>
      </c>
      <c r="AO18" s="17" t="n">
        <v>2</v>
      </c>
      <c r="AP18" s="17" t="n">
        <v>0</v>
      </c>
      <c r="AQ18" s="17" t="n">
        <v>181</v>
      </c>
      <c r="AR18" s="17" t="n">
        <v>13</v>
      </c>
      <c r="AS18" s="17" t="n">
        <v>158</v>
      </c>
      <c r="AT18" s="17" t="n">
        <v>126080</v>
      </c>
      <c r="AU18" s="17" t="n">
        <v>142307</v>
      </c>
      <c r="AV18" s="17" t="n">
        <v>481116</v>
      </c>
      <c r="AW18" s="17" t="n">
        <v>535074.3</v>
      </c>
      <c r="AX18" s="17" t="n">
        <v>20433.5</v>
      </c>
      <c r="AY18" s="17" t="n">
        <v>19093.5</v>
      </c>
      <c r="AZ18" s="17" t="n">
        <v>300</v>
      </c>
      <c r="BA18" s="17" t="n">
        <v>278</v>
      </c>
      <c r="BB18" s="17" t="n">
        <v>137558</v>
      </c>
      <c r="BC18" s="17" t="n">
        <v>131441</v>
      </c>
      <c r="BD18" s="17" t="n">
        <v>1030</v>
      </c>
      <c r="BE18" s="17" t="n">
        <v>672</v>
      </c>
      <c r="BF18" s="17" t="n">
        <v>689</v>
      </c>
      <c r="BG18" s="17" t="n">
        <v>197735.7</v>
      </c>
      <c r="BH18" s="17" t="n">
        <v>72790.8</v>
      </c>
      <c r="BI18" s="17" t="n">
        <v>0</v>
      </c>
      <c r="BJ18" s="17" t="n">
        <v>0</v>
      </c>
      <c r="BK18" s="17" t="n">
        <v>0</v>
      </c>
      <c r="BL18" s="17" t="n">
        <v>1</v>
      </c>
      <c r="BM18" s="17" t="n">
        <v>0</v>
      </c>
      <c r="BN18" s="17" t="n">
        <v>0</v>
      </c>
      <c r="BO18" s="17" t="n">
        <v>0</v>
      </c>
      <c r="BP18" s="17" t="n">
        <v>0</v>
      </c>
      <c r="BQ18" s="17" t="n">
        <v>0</v>
      </c>
      <c r="BR18" s="17" t="n">
        <v>0</v>
      </c>
      <c r="BS18" s="17" t="n">
        <v>0</v>
      </c>
      <c r="BT18" s="17" t="n">
        <v>99</v>
      </c>
      <c r="BU18" s="17" t="n">
        <v>142386</v>
      </c>
      <c r="BV18" s="17" t="n">
        <v>143882</v>
      </c>
      <c r="BW18" s="17" t="n">
        <v>70501660</v>
      </c>
      <c r="BX18" s="17" t="n">
        <v>162063</v>
      </c>
      <c r="BY18" s="17" t="n">
        <v>6348</v>
      </c>
    </row>
    <row r="19">
      <c r="A19" s="17" t="inlineStr">
        <is>
          <t>Group</t>
        </is>
      </c>
      <c r="B19" s="17" t="inlineStr">
        <is>
          <t>Entity A1</t>
        </is>
      </c>
      <c r="C19" s="17" t="inlineStr">
        <is>
          <t>Plant 03</t>
        </is>
      </c>
      <c r="D19" s="17" t="inlineStr">
        <is>
          <t>2026-07</t>
        </is>
      </c>
      <c r="E19" s="17" t="n">
        <v>225.4</v>
      </c>
      <c r="F19" s="17" t="n">
        <v>744</v>
      </c>
      <c r="G19" s="17" t="n">
        <v>738</v>
      </c>
      <c r="H19" s="17" t="n">
        <v>697.8</v>
      </c>
      <c r="I19" s="17" t="n">
        <v>30.6</v>
      </c>
      <c r="J19" s="17" t="n">
        <v>166345</v>
      </c>
      <c r="K19" s="17" t="n">
        <v>167698</v>
      </c>
      <c r="L19" s="17" t="n">
        <v>143590</v>
      </c>
      <c r="M19" s="17" t="n">
        <v>147553</v>
      </c>
      <c r="N19" s="17" t="n">
        <v>141110</v>
      </c>
      <c r="O19" s="17" t="n">
        <v>155709</v>
      </c>
      <c r="P19" s="17" t="n">
        <v>36133</v>
      </c>
      <c r="Q19" s="17" t="n">
        <v>30890</v>
      </c>
      <c r="R19" s="17" t="n">
        <v>6897</v>
      </c>
      <c r="S19" s="17" t="n">
        <v>4</v>
      </c>
      <c r="T19" s="17" t="n">
        <v>21.8</v>
      </c>
      <c r="U19" s="17" t="n">
        <v>31</v>
      </c>
      <c r="V19" s="17" t="n">
        <v>30</v>
      </c>
      <c r="W19" s="17" t="n">
        <v>381458.3</v>
      </c>
      <c r="X19" s="17" t="n">
        <v>92438.5</v>
      </c>
      <c r="Y19" s="17" t="n">
        <v>906.9</v>
      </c>
      <c r="Z19" s="17" t="n">
        <v>353704</v>
      </c>
      <c r="AA19" s="17" t="n">
        <v>77990</v>
      </c>
      <c r="AB19" s="17" t="n">
        <v>471001</v>
      </c>
      <c r="AC19" s="17" t="n">
        <v>2225</v>
      </c>
      <c r="AD19" s="17" t="n">
        <v>0</v>
      </c>
      <c r="AE19" s="17" t="n">
        <v>88000</v>
      </c>
      <c r="AF19" s="17" t="n">
        <v>1</v>
      </c>
      <c r="AG19" s="17" t="n">
        <v>0</v>
      </c>
      <c r="AH19" s="17" t="n">
        <v>4</v>
      </c>
      <c r="AI19" s="17" t="n">
        <v>0</v>
      </c>
      <c r="AJ19" s="17" t="n">
        <v>0</v>
      </c>
      <c r="AK19" s="17" t="n">
        <v>0</v>
      </c>
      <c r="AL19" s="17" t="n">
        <v>13</v>
      </c>
      <c r="AM19" s="17" t="n">
        <v>4</v>
      </c>
      <c r="AN19" s="17" t="n">
        <v>0</v>
      </c>
      <c r="AO19" s="17" t="n">
        <v>0</v>
      </c>
      <c r="AP19" s="17" t="n">
        <v>1</v>
      </c>
      <c r="AQ19" s="17" t="n">
        <v>146</v>
      </c>
      <c r="AR19" s="17" t="n">
        <v>12</v>
      </c>
      <c r="AS19" s="17" t="n">
        <v>128</v>
      </c>
      <c r="AT19" s="17" t="n">
        <v>137861</v>
      </c>
      <c r="AU19" s="17" t="n">
        <v>144547</v>
      </c>
      <c r="AV19" s="17" t="n">
        <v>513258.9</v>
      </c>
      <c r="AW19" s="17" t="n">
        <v>543496.7</v>
      </c>
      <c r="AX19" s="17" t="n">
        <v>19162.6</v>
      </c>
      <c r="AY19" s="17" t="n">
        <v>19627.6</v>
      </c>
      <c r="AZ19" s="17" t="n">
        <v>151</v>
      </c>
      <c r="BA19" s="17" t="n">
        <v>142</v>
      </c>
      <c r="BB19" s="17" t="n">
        <v>153075</v>
      </c>
      <c r="BC19" s="17" t="n">
        <v>145391</v>
      </c>
      <c r="BD19" s="17" t="n">
        <v>1747</v>
      </c>
      <c r="BE19" s="17" t="n">
        <v>742</v>
      </c>
      <c r="BF19" s="17" t="n">
        <v>746</v>
      </c>
      <c r="BG19" s="17" t="n">
        <v>193519</v>
      </c>
      <c r="BH19" s="17" t="n">
        <v>59200.1</v>
      </c>
      <c r="BI19" s="17" t="n">
        <v>0</v>
      </c>
      <c r="BJ19" s="17" t="n">
        <v>0</v>
      </c>
      <c r="BK19" s="17" t="n">
        <v>0</v>
      </c>
      <c r="BL19" s="17" t="n">
        <v>0</v>
      </c>
      <c r="BM19" s="17" t="n">
        <v>0</v>
      </c>
      <c r="BN19" s="17" t="n">
        <v>0</v>
      </c>
      <c r="BO19" s="17" t="n">
        <v>0</v>
      </c>
      <c r="BP19" s="17" t="n">
        <v>0</v>
      </c>
      <c r="BQ19" s="17" t="n">
        <v>0</v>
      </c>
      <c r="BR19" s="17" t="n">
        <v>0</v>
      </c>
      <c r="BS19" s="17" t="n">
        <v>0</v>
      </c>
      <c r="BT19" s="17" t="n">
        <v>99</v>
      </c>
      <c r="BU19" s="17" t="n">
        <v>142848</v>
      </c>
      <c r="BV19" s="17" t="n">
        <v>143572</v>
      </c>
      <c r="BW19" s="17" t="n">
        <v>78562315</v>
      </c>
      <c r="BX19" s="17" t="n">
        <v>166345</v>
      </c>
      <c r="BY19" s="17" t="n">
        <v>6659</v>
      </c>
    </row>
    <row r="20">
      <c r="A20" s="17" t="inlineStr">
        <is>
          <t>Group</t>
        </is>
      </c>
      <c r="B20" s="17" t="inlineStr">
        <is>
          <t>Entity A1</t>
        </is>
      </c>
      <c r="C20" s="17" t="inlineStr">
        <is>
          <t>Plant 03</t>
        </is>
      </c>
      <c r="D20" s="17" t="inlineStr">
        <is>
          <t>2026-08</t>
        </is>
      </c>
      <c r="E20" s="17" t="n">
        <v>225.4</v>
      </c>
      <c r="F20" s="17" t="n">
        <v>744</v>
      </c>
      <c r="G20" s="17" t="n">
        <v>744</v>
      </c>
      <c r="H20" s="17" t="n">
        <v>711.9</v>
      </c>
      <c r="I20" s="17" t="n">
        <v>23.6</v>
      </c>
      <c r="J20" s="17" t="n">
        <v>167698</v>
      </c>
      <c r="K20" s="17" t="n">
        <v>167698</v>
      </c>
      <c r="L20" s="17" t="n">
        <v>151538</v>
      </c>
      <c r="M20" s="17" t="n">
        <v>142073</v>
      </c>
      <c r="N20" s="17" t="n">
        <v>138449</v>
      </c>
      <c r="O20" s="17" t="n">
        <v>150347</v>
      </c>
      <c r="P20" s="17" t="n">
        <v>34297</v>
      </c>
      <c r="Q20" s="17" t="n">
        <v>30571</v>
      </c>
      <c r="R20" s="17" t="n">
        <v>5319</v>
      </c>
      <c r="S20" s="17" t="n">
        <v>4</v>
      </c>
      <c r="T20" s="17" t="n">
        <v>21</v>
      </c>
      <c r="U20" s="17" t="n">
        <v>44</v>
      </c>
      <c r="V20" s="17" t="n">
        <v>44</v>
      </c>
      <c r="W20" s="17" t="n">
        <v>423777.7</v>
      </c>
      <c r="X20" s="17" t="n">
        <v>129686.6</v>
      </c>
      <c r="Y20" s="17" t="n">
        <v>1205.6</v>
      </c>
      <c r="Z20" s="17" t="n">
        <v>316694</v>
      </c>
      <c r="AA20" s="17" t="n">
        <v>99207</v>
      </c>
      <c r="AB20" s="17" t="n">
        <v>471761</v>
      </c>
      <c r="AC20" s="17" t="n">
        <v>13634</v>
      </c>
      <c r="AD20" s="17" t="n">
        <v>2</v>
      </c>
      <c r="AE20" s="17" t="n">
        <v>68000</v>
      </c>
      <c r="AF20" s="17" t="n">
        <v>1</v>
      </c>
      <c r="AG20" s="17" t="n">
        <v>0</v>
      </c>
      <c r="AH20" s="17" t="n">
        <v>8</v>
      </c>
      <c r="AI20" s="17" t="n">
        <v>0</v>
      </c>
      <c r="AJ20" s="17" t="n">
        <v>0</v>
      </c>
      <c r="AK20" s="17" t="n">
        <v>0</v>
      </c>
      <c r="AL20" s="17" t="n">
        <v>5</v>
      </c>
      <c r="AM20" s="17" t="n">
        <v>0</v>
      </c>
      <c r="AN20" s="17" t="n">
        <v>2</v>
      </c>
      <c r="AO20" s="17" t="n">
        <v>1</v>
      </c>
      <c r="AP20" s="17" t="n">
        <v>1</v>
      </c>
      <c r="AQ20" s="17" t="n">
        <v>123</v>
      </c>
      <c r="AR20" s="17" t="n">
        <v>4</v>
      </c>
      <c r="AS20" s="17" t="n">
        <v>98</v>
      </c>
      <c r="AT20" s="17" t="n">
        <v>139886</v>
      </c>
      <c r="AU20" s="17" t="n">
        <v>151878</v>
      </c>
      <c r="AV20" s="17" t="n">
        <v>526978.8</v>
      </c>
      <c r="AW20" s="17" t="n">
        <v>571061.3</v>
      </c>
      <c r="AX20" s="17" t="n">
        <v>28405.2</v>
      </c>
      <c r="AY20" s="17" t="n">
        <v>18744.5</v>
      </c>
      <c r="AZ20" s="17" t="n">
        <v>248</v>
      </c>
      <c r="BA20" s="17" t="n">
        <v>223</v>
      </c>
      <c r="BB20" s="17" t="n">
        <v>146756</v>
      </c>
      <c r="BC20" s="17" t="n">
        <v>142333</v>
      </c>
      <c r="BD20" s="17" t="n">
        <v>2489</v>
      </c>
      <c r="BE20" s="17" t="n">
        <v>1106</v>
      </c>
      <c r="BF20" s="17" t="n">
        <v>1140</v>
      </c>
      <c r="BG20" s="17" t="n">
        <v>217007.7</v>
      </c>
      <c r="BH20" s="17" t="n">
        <v>72740.3</v>
      </c>
      <c r="BI20" s="17" t="n">
        <v>0</v>
      </c>
      <c r="BJ20" s="17" t="n">
        <v>0</v>
      </c>
      <c r="BK20" s="17" t="n">
        <v>0</v>
      </c>
      <c r="BL20" s="17" t="n">
        <v>0</v>
      </c>
      <c r="BM20" s="17" t="n">
        <v>1</v>
      </c>
      <c r="BN20" s="17" t="n">
        <v>0</v>
      </c>
      <c r="BO20" s="17" t="n">
        <v>0</v>
      </c>
      <c r="BP20" s="17" t="n">
        <v>0</v>
      </c>
      <c r="BQ20" s="17" t="n">
        <v>0</v>
      </c>
      <c r="BR20" s="17" t="n">
        <v>0</v>
      </c>
      <c r="BS20" s="17" t="n">
        <v>0</v>
      </c>
      <c r="BT20" s="17" t="n">
        <v>99</v>
      </c>
      <c r="BU20" s="17" t="n">
        <v>151066</v>
      </c>
      <c r="BV20" s="17" t="n">
        <v>152573</v>
      </c>
      <c r="BW20" s="17" t="n">
        <v>74498932</v>
      </c>
      <c r="BX20" s="17" t="n">
        <v>167698</v>
      </c>
      <c r="BY20" s="17" t="n">
        <v>4955</v>
      </c>
    </row>
    <row r="21">
      <c r="A21" s="17" t="inlineStr">
        <is>
          <t>Group</t>
        </is>
      </c>
      <c r="B21" s="17" t="inlineStr">
        <is>
          <t>Entity A1</t>
        </is>
      </c>
      <c r="C21" s="17" t="inlineStr">
        <is>
          <t>Plant 03</t>
        </is>
      </c>
      <c r="D21" s="17" t="inlineStr">
        <is>
          <t>2026-09</t>
        </is>
      </c>
      <c r="E21" s="17" t="n">
        <v>225.4</v>
      </c>
      <c r="F21" s="17" t="n">
        <v>720</v>
      </c>
      <c r="G21" s="17" t="n">
        <v>719</v>
      </c>
      <c r="H21" s="17" t="n">
        <v>695.4</v>
      </c>
      <c r="I21" s="17" t="n">
        <v>12.3</v>
      </c>
      <c r="J21" s="17" t="n">
        <v>162063</v>
      </c>
      <c r="K21" s="17" t="n">
        <v>162288</v>
      </c>
      <c r="L21" s="17" t="n">
        <v>140379</v>
      </c>
      <c r="M21" s="17" t="n">
        <v>145600</v>
      </c>
      <c r="N21" s="17" t="n">
        <v>139711</v>
      </c>
      <c r="O21" s="17" t="n">
        <v>154604</v>
      </c>
      <c r="P21" s="17" t="n">
        <v>36789</v>
      </c>
      <c r="Q21" s="17" t="n">
        <v>31527</v>
      </c>
      <c r="R21" s="17" t="n">
        <v>2772</v>
      </c>
      <c r="S21" s="17" t="n">
        <v>2</v>
      </c>
      <c r="T21" s="17" t="n">
        <v>8.800000000000001</v>
      </c>
      <c r="U21" s="17" t="n">
        <v>58</v>
      </c>
      <c r="V21" s="17" t="n">
        <v>58</v>
      </c>
      <c r="W21" s="17" t="n">
        <v>365860.2</v>
      </c>
      <c r="X21" s="17" t="n">
        <v>97272</v>
      </c>
      <c r="Y21" s="17" t="n">
        <v>1454.1</v>
      </c>
      <c r="Z21" s="17" t="n">
        <v>346844</v>
      </c>
      <c r="AA21" s="17" t="n">
        <v>91566</v>
      </c>
      <c r="AB21" s="17" t="n">
        <v>496742</v>
      </c>
      <c r="AC21" s="17" t="n">
        <v>2939</v>
      </c>
      <c r="AD21" s="17" t="n">
        <v>1</v>
      </c>
      <c r="AE21" s="17" t="n">
        <v>69000</v>
      </c>
      <c r="AF21" s="17" t="n">
        <v>1</v>
      </c>
      <c r="AG21" s="17" t="n">
        <v>0</v>
      </c>
      <c r="AH21" s="17" t="n">
        <v>9</v>
      </c>
      <c r="AI21" s="17" t="n">
        <v>0</v>
      </c>
      <c r="AJ21" s="17" t="n">
        <v>0</v>
      </c>
      <c r="AK21" s="17" t="n">
        <v>0</v>
      </c>
      <c r="AL21" s="17" t="n">
        <v>8</v>
      </c>
      <c r="AM21" s="17" t="n">
        <v>2</v>
      </c>
      <c r="AN21" s="17" t="n">
        <v>0</v>
      </c>
      <c r="AO21" s="17" t="n">
        <v>0</v>
      </c>
      <c r="AP21" s="17" t="n">
        <v>1</v>
      </c>
      <c r="AQ21" s="17" t="n">
        <v>214</v>
      </c>
      <c r="AR21" s="17" t="n">
        <v>16</v>
      </c>
      <c r="AS21" s="17" t="n">
        <v>68</v>
      </c>
      <c r="AT21" s="17" t="n">
        <v>135965</v>
      </c>
      <c r="AU21" s="17" t="n">
        <v>140098</v>
      </c>
      <c r="AV21" s="17" t="n">
        <v>508764.6</v>
      </c>
      <c r="AW21" s="17" t="n">
        <v>526768.5</v>
      </c>
      <c r="AX21" s="17" t="n">
        <v>21839.8</v>
      </c>
      <c r="AY21" s="17" t="n">
        <v>19282.9</v>
      </c>
      <c r="AZ21" s="17" t="n">
        <v>290</v>
      </c>
      <c r="BA21" s="17" t="n">
        <v>268</v>
      </c>
      <c r="BB21" s="17" t="n">
        <v>150109</v>
      </c>
      <c r="BC21" s="17" t="n">
        <v>146024</v>
      </c>
      <c r="BD21" s="17" t="n">
        <v>907</v>
      </c>
      <c r="BE21" s="17" t="n">
        <v>1232</v>
      </c>
      <c r="BF21" s="17" t="n">
        <v>1261</v>
      </c>
      <c r="BG21" s="17" t="n">
        <v>209913.3</v>
      </c>
      <c r="BH21" s="17" t="n">
        <v>64451.6</v>
      </c>
      <c r="BI21" s="17" t="n">
        <v>0</v>
      </c>
      <c r="BJ21" s="17" t="n">
        <v>0</v>
      </c>
      <c r="BK21" s="17" t="n">
        <v>1</v>
      </c>
      <c r="BL21" s="17" t="n">
        <v>0</v>
      </c>
      <c r="BM21" s="17" t="n">
        <v>0</v>
      </c>
      <c r="BN21" s="17" t="n">
        <v>0</v>
      </c>
      <c r="BO21" s="17" t="n">
        <v>0</v>
      </c>
      <c r="BP21" s="17" t="n">
        <v>0</v>
      </c>
      <c r="BQ21" s="17" t="n">
        <v>0</v>
      </c>
      <c r="BR21" s="17" t="n">
        <v>0</v>
      </c>
      <c r="BS21" s="17" t="n">
        <v>0</v>
      </c>
      <c r="BT21" s="17" t="n">
        <v>99</v>
      </c>
      <c r="BU21" s="17" t="n">
        <v>141499</v>
      </c>
      <c r="BV21" s="17" t="n">
        <v>143032</v>
      </c>
      <c r="BW21" s="17" t="n">
        <v>79830315</v>
      </c>
      <c r="BX21" s="17" t="n">
        <v>162063</v>
      </c>
      <c r="BY21" s="17" t="n">
        <v>2511</v>
      </c>
    </row>
    <row r="22">
      <c r="A22" s="17" t="inlineStr">
        <is>
          <t>Group</t>
        </is>
      </c>
      <c r="B22" s="17" t="inlineStr">
        <is>
          <t>Entity A2</t>
        </is>
      </c>
      <c r="C22" s="17" t="inlineStr">
        <is>
          <t>Plant 04</t>
        </is>
      </c>
      <c r="D22" s="17" t="inlineStr">
        <is>
          <t>2026-04</t>
        </is>
      </c>
      <c r="E22" s="17" t="n">
        <v>126.8</v>
      </c>
      <c r="F22" s="17" t="n">
        <v>720</v>
      </c>
      <c r="G22" s="17" t="n">
        <v>717</v>
      </c>
      <c r="H22" s="17" t="n">
        <v>688.4</v>
      </c>
      <c r="I22" s="17" t="n">
        <v>13.3</v>
      </c>
      <c r="J22" s="17" t="n">
        <v>90916</v>
      </c>
      <c r="K22" s="17" t="n">
        <v>91296</v>
      </c>
      <c r="L22" s="17" t="n">
        <v>79171</v>
      </c>
      <c r="M22" s="17" t="n">
        <v>79525</v>
      </c>
      <c r="N22" s="17" t="n">
        <v>77084</v>
      </c>
      <c r="O22" s="17" t="n">
        <v>83058</v>
      </c>
      <c r="P22" s="17" t="n">
        <v>18101</v>
      </c>
      <c r="Q22" s="17" t="n">
        <v>16015</v>
      </c>
      <c r="R22" s="17" t="n">
        <v>1686</v>
      </c>
      <c r="S22" s="17" t="n">
        <v>2</v>
      </c>
      <c r="T22" s="17" t="n">
        <v>6.8</v>
      </c>
      <c r="U22" s="17" t="n">
        <v>46</v>
      </c>
      <c r="V22" s="17" t="n">
        <v>43</v>
      </c>
      <c r="W22" s="17" t="n">
        <v>238202.9</v>
      </c>
      <c r="X22" s="17" t="n">
        <v>62768.6</v>
      </c>
      <c r="Y22" s="17" t="n">
        <v>1114.8</v>
      </c>
      <c r="Z22" s="17" t="n">
        <v>186852</v>
      </c>
      <c r="AA22" s="17" t="n">
        <v>47773</v>
      </c>
      <c r="AB22" s="17" t="n">
        <v>263207</v>
      </c>
      <c r="AC22" s="17" t="n">
        <v>29</v>
      </c>
      <c r="AD22" s="17" t="n">
        <v>0</v>
      </c>
      <c r="AE22" s="17" t="n">
        <v>82000</v>
      </c>
      <c r="AF22" s="17" t="n">
        <v>0</v>
      </c>
      <c r="AG22" s="17" t="n">
        <v>0</v>
      </c>
      <c r="AH22" s="17" t="n">
        <v>5</v>
      </c>
      <c r="AI22" s="17" t="n">
        <v>0</v>
      </c>
      <c r="AJ22" s="17" t="n">
        <v>0</v>
      </c>
      <c r="AK22" s="17" t="n">
        <v>0</v>
      </c>
      <c r="AL22" s="17" t="n">
        <v>14</v>
      </c>
      <c r="AM22" s="17" t="n">
        <v>4</v>
      </c>
      <c r="AN22" s="17" t="n">
        <v>2</v>
      </c>
      <c r="AO22" s="17" t="n">
        <v>1</v>
      </c>
      <c r="AP22" s="17" t="n">
        <v>2</v>
      </c>
      <c r="AQ22" s="17" t="n">
        <v>243</v>
      </c>
      <c r="AR22" s="17" t="n">
        <v>21</v>
      </c>
      <c r="AS22" s="17" t="n">
        <v>369</v>
      </c>
      <c r="AT22" s="17" t="n">
        <v>78225</v>
      </c>
      <c r="AU22" s="17" t="n">
        <v>79795</v>
      </c>
      <c r="AV22" s="17" t="n">
        <v>292752.8</v>
      </c>
      <c r="AW22" s="17" t="n">
        <v>300029.2</v>
      </c>
      <c r="AX22" s="17" t="n">
        <v>12037.8</v>
      </c>
      <c r="AY22" s="17" t="n">
        <v>10982</v>
      </c>
      <c r="AZ22" s="17" t="n">
        <v>185</v>
      </c>
      <c r="BA22" s="17" t="n">
        <v>171</v>
      </c>
      <c r="BB22" s="17" t="n">
        <v>85445</v>
      </c>
      <c r="BC22" s="17" t="n">
        <v>81285</v>
      </c>
      <c r="BD22" s="17" t="n">
        <v>817</v>
      </c>
      <c r="BE22" s="17" t="n">
        <v>910</v>
      </c>
      <c r="BF22" s="17" t="n">
        <v>944</v>
      </c>
      <c r="BG22" s="17" t="n">
        <v>138709</v>
      </c>
      <c r="BH22" s="17" t="n">
        <v>42357</v>
      </c>
      <c r="BI22" s="17" t="n">
        <v>0</v>
      </c>
      <c r="BJ22" s="17" t="n">
        <v>1</v>
      </c>
      <c r="BK22" s="17" t="n">
        <v>0</v>
      </c>
      <c r="BL22" s="17" t="n">
        <v>0</v>
      </c>
      <c r="BM22" s="17" t="n">
        <v>0</v>
      </c>
      <c r="BN22" s="17" t="n">
        <v>0</v>
      </c>
      <c r="BO22" s="17" t="n">
        <v>0</v>
      </c>
      <c r="BP22" s="17" t="n">
        <v>0</v>
      </c>
      <c r="BQ22" s="17" t="n">
        <v>0</v>
      </c>
      <c r="BR22" s="17" t="n">
        <v>0</v>
      </c>
      <c r="BS22" s="17" t="n">
        <v>0</v>
      </c>
      <c r="BT22" s="17" t="n">
        <v>99</v>
      </c>
      <c r="BU22" s="17" t="n">
        <v>80201</v>
      </c>
      <c r="BV22" s="17" t="n">
        <v>80236</v>
      </c>
      <c r="BW22" s="17" t="n">
        <v>22408244</v>
      </c>
      <c r="BX22" s="17" t="n">
        <v>90916</v>
      </c>
      <c r="BY22" s="17" t="n">
        <v>1762</v>
      </c>
    </row>
    <row r="23">
      <c r="A23" s="17" t="inlineStr">
        <is>
          <t>Group</t>
        </is>
      </c>
      <c r="B23" s="17" t="inlineStr">
        <is>
          <t>Entity A2</t>
        </is>
      </c>
      <c r="C23" s="17" t="inlineStr">
        <is>
          <t>Plant 04</t>
        </is>
      </c>
      <c r="D23" s="17" t="inlineStr">
        <is>
          <t>2026-05</t>
        </is>
      </c>
      <c r="E23" s="17" t="n">
        <v>126.8</v>
      </c>
      <c r="F23" s="17" t="n">
        <v>744</v>
      </c>
      <c r="G23" s="17" t="n">
        <v>744</v>
      </c>
      <c r="H23" s="17" t="n">
        <v>690.2</v>
      </c>
      <c r="I23" s="17" t="n">
        <v>40.9</v>
      </c>
      <c r="J23" s="17" t="n">
        <v>94339</v>
      </c>
      <c r="K23" s="17" t="n">
        <v>94339</v>
      </c>
      <c r="L23" s="17" t="n">
        <v>84525</v>
      </c>
      <c r="M23" s="17" t="n">
        <v>77136</v>
      </c>
      <c r="N23" s="17" t="n">
        <v>76321</v>
      </c>
      <c r="O23" s="17" t="n">
        <v>83199</v>
      </c>
      <c r="P23" s="17" t="n">
        <v>16003</v>
      </c>
      <c r="Q23" s="17" t="n">
        <v>14046</v>
      </c>
      <c r="R23" s="17" t="n">
        <v>5186</v>
      </c>
      <c r="S23" s="17" t="n">
        <v>4</v>
      </c>
      <c r="T23" s="17" t="n">
        <v>31.1</v>
      </c>
      <c r="U23" s="17" t="n">
        <v>39</v>
      </c>
      <c r="V23" s="17" t="n">
        <v>39</v>
      </c>
      <c r="W23" s="17" t="n">
        <v>233996.7</v>
      </c>
      <c r="X23" s="17" t="n">
        <v>64991.9</v>
      </c>
      <c r="Y23" s="17" t="n">
        <v>1447.4</v>
      </c>
      <c r="Z23" s="17" t="n">
        <v>165220</v>
      </c>
      <c r="AA23" s="17" t="n">
        <v>55497</v>
      </c>
      <c r="AB23" s="17" t="n">
        <v>234243</v>
      </c>
      <c r="AC23" s="17" t="n">
        <v>10015</v>
      </c>
      <c r="AD23" s="17" t="n">
        <v>0</v>
      </c>
      <c r="AE23" s="17" t="n">
        <v>78000</v>
      </c>
      <c r="AF23" s="17" t="n">
        <v>2</v>
      </c>
      <c r="AG23" s="17" t="n">
        <v>0</v>
      </c>
      <c r="AH23" s="17" t="n">
        <v>8</v>
      </c>
      <c r="AI23" s="17" t="n">
        <v>0</v>
      </c>
      <c r="AJ23" s="17" t="n">
        <v>0</v>
      </c>
      <c r="AK23" s="17" t="n">
        <v>0</v>
      </c>
      <c r="AL23" s="17" t="n">
        <v>14</v>
      </c>
      <c r="AM23" s="17" t="n">
        <v>4</v>
      </c>
      <c r="AN23" s="17" t="n">
        <v>1</v>
      </c>
      <c r="AO23" s="17" t="n">
        <v>1</v>
      </c>
      <c r="AP23" s="17" t="n">
        <v>2</v>
      </c>
      <c r="AQ23" s="17" t="n">
        <v>142</v>
      </c>
      <c r="AR23" s="17" t="n">
        <v>12</v>
      </c>
      <c r="AS23" s="17" t="n">
        <v>339</v>
      </c>
      <c r="AT23" s="17" t="n">
        <v>76384</v>
      </c>
      <c r="AU23" s="17" t="n">
        <v>84435</v>
      </c>
      <c r="AV23" s="17" t="n">
        <v>286207.4</v>
      </c>
      <c r="AW23" s="17" t="n">
        <v>317475.6</v>
      </c>
      <c r="AX23" s="17" t="n">
        <v>12579.9</v>
      </c>
      <c r="AY23" s="17" t="n">
        <v>10522.7</v>
      </c>
      <c r="AZ23" s="17" t="n">
        <v>256</v>
      </c>
      <c r="BA23" s="17" t="n">
        <v>244</v>
      </c>
      <c r="BB23" s="17" t="n">
        <v>81385</v>
      </c>
      <c r="BC23" s="17" t="n">
        <v>76900</v>
      </c>
      <c r="BD23" s="17" t="n">
        <v>1273</v>
      </c>
      <c r="BE23" s="17" t="n">
        <v>868</v>
      </c>
      <c r="BF23" s="17" t="n">
        <v>864</v>
      </c>
      <c r="BG23" s="17" t="n">
        <v>134793.4</v>
      </c>
      <c r="BH23" s="17" t="n">
        <v>42151.6</v>
      </c>
      <c r="BI23" s="17" t="n">
        <v>0</v>
      </c>
      <c r="BJ23" s="17" t="n">
        <v>1</v>
      </c>
      <c r="BK23" s="17" t="n">
        <v>0</v>
      </c>
      <c r="BL23" s="17" t="n">
        <v>0</v>
      </c>
      <c r="BM23" s="17" t="n">
        <v>0</v>
      </c>
      <c r="BN23" s="17" t="n">
        <v>0</v>
      </c>
      <c r="BO23" s="17" t="n">
        <v>1</v>
      </c>
      <c r="BP23" s="17" t="n">
        <v>0</v>
      </c>
      <c r="BQ23" s="17" t="n">
        <v>0</v>
      </c>
      <c r="BR23" s="17" t="n">
        <v>0</v>
      </c>
      <c r="BS23" s="17" t="n">
        <v>0</v>
      </c>
      <c r="BT23" s="17" t="n">
        <v>99</v>
      </c>
      <c r="BU23" s="17" t="n">
        <v>84694</v>
      </c>
      <c r="BV23" s="17" t="n">
        <v>86072</v>
      </c>
      <c r="BW23" s="17" t="n">
        <v>29628619</v>
      </c>
      <c r="BX23" s="17" t="n">
        <v>94339</v>
      </c>
      <c r="BY23" s="17" t="n">
        <v>5194</v>
      </c>
    </row>
    <row r="24">
      <c r="A24" s="17" t="inlineStr">
        <is>
          <t>Group</t>
        </is>
      </c>
      <c r="B24" s="17" t="inlineStr">
        <is>
          <t>Entity A2</t>
        </is>
      </c>
      <c r="C24" s="17" t="inlineStr">
        <is>
          <t>Plant 04</t>
        </is>
      </c>
      <c r="D24" s="17" t="inlineStr">
        <is>
          <t>2026-06</t>
        </is>
      </c>
      <c r="E24" s="17" t="n">
        <v>126.8</v>
      </c>
      <c r="F24" s="17" t="n">
        <v>720</v>
      </c>
      <c r="G24" s="17" t="n">
        <v>715</v>
      </c>
      <c r="H24" s="17" t="n">
        <v>673.8</v>
      </c>
      <c r="I24" s="17" t="n">
        <v>33.6</v>
      </c>
      <c r="J24" s="17" t="n">
        <v>90662</v>
      </c>
      <c r="K24" s="17" t="n">
        <v>91296</v>
      </c>
      <c r="L24" s="17" t="n">
        <v>81891</v>
      </c>
      <c r="M24" s="17" t="n">
        <v>77095</v>
      </c>
      <c r="N24" s="17" t="n">
        <v>75177</v>
      </c>
      <c r="O24" s="17" t="n">
        <v>82906</v>
      </c>
      <c r="P24" s="17" t="n">
        <v>14930</v>
      </c>
      <c r="Q24" s="17" t="n">
        <v>13568</v>
      </c>
      <c r="R24" s="17" t="n">
        <v>4260</v>
      </c>
      <c r="S24" s="17" t="n">
        <v>3</v>
      </c>
      <c r="T24" s="17" t="n">
        <v>25.4</v>
      </c>
      <c r="U24" s="17" t="n">
        <v>57</v>
      </c>
      <c r="V24" s="17" t="n">
        <v>54</v>
      </c>
      <c r="W24" s="17" t="n">
        <v>245128.1</v>
      </c>
      <c r="X24" s="17" t="n">
        <v>77698.3</v>
      </c>
      <c r="Y24" s="17" t="n">
        <v>915.1</v>
      </c>
      <c r="Z24" s="17" t="n">
        <v>135852</v>
      </c>
      <c r="AA24" s="17" t="n">
        <v>41790</v>
      </c>
      <c r="AB24" s="17" t="n">
        <v>240232</v>
      </c>
      <c r="AC24" s="17" t="n">
        <v>6867</v>
      </c>
      <c r="AD24" s="17" t="n">
        <v>0</v>
      </c>
      <c r="AE24" s="17" t="n">
        <v>61000</v>
      </c>
      <c r="AF24" s="17" t="n">
        <v>0</v>
      </c>
      <c r="AG24" s="17" t="n">
        <v>0</v>
      </c>
      <c r="AH24" s="17" t="n">
        <v>11</v>
      </c>
      <c r="AI24" s="17" t="n">
        <v>0</v>
      </c>
      <c r="AJ24" s="17" t="n">
        <v>0</v>
      </c>
      <c r="AK24" s="17" t="n">
        <v>0</v>
      </c>
      <c r="AL24" s="17" t="n">
        <v>7</v>
      </c>
      <c r="AM24" s="17" t="n">
        <v>1</v>
      </c>
      <c r="AN24" s="17" t="n">
        <v>2</v>
      </c>
      <c r="AO24" s="17" t="n">
        <v>2</v>
      </c>
      <c r="AP24" s="17" t="n">
        <v>0</v>
      </c>
      <c r="AQ24" s="17" t="n">
        <v>162</v>
      </c>
      <c r="AR24" s="17" t="n">
        <v>12</v>
      </c>
      <c r="AS24" s="17" t="n">
        <v>309</v>
      </c>
      <c r="AT24" s="17" t="n">
        <v>73486</v>
      </c>
      <c r="AU24" s="17" t="n">
        <v>81728</v>
      </c>
      <c r="AV24" s="17" t="n">
        <v>279181.4</v>
      </c>
      <c r="AW24" s="17" t="n">
        <v>307297.3</v>
      </c>
      <c r="AX24" s="17" t="n">
        <v>13248</v>
      </c>
      <c r="AY24" s="17" t="n">
        <v>10780</v>
      </c>
      <c r="AZ24" s="17" t="n">
        <v>260</v>
      </c>
      <c r="BA24" s="17" t="n">
        <v>244</v>
      </c>
      <c r="BB24" s="17" t="n">
        <v>82921</v>
      </c>
      <c r="BC24" s="17" t="n">
        <v>80610</v>
      </c>
      <c r="BD24" s="17" t="n">
        <v>1193</v>
      </c>
      <c r="BE24" s="17" t="n">
        <v>616</v>
      </c>
      <c r="BF24" s="17" t="n">
        <v>612</v>
      </c>
      <c r="BG24" s="17" t="n">
        <v>125625</v>
      </c>
      <c r="BH24" s="17" t="n">
        <v>45178.6</v>
      </c>
      <c r="BI24" s="17" t="n">
        <v>0</v>
      </c>
      <c r="BJ24" s="17" t="n">
        <v>0</v>
      </c>
      <c r="BK24" s="17" t="n">
        <v>0</v>
      </c>
      <c r="BL24" s="17" t="n">
        <v>0</v>
      </c>
      <c r="BM24" s="17" t="n">
        <v>1</v>
      </c>
      <c r="BN24" s="17" t="n">
        <v>0</v>
      </c>
      <c r="BO24" s="17" t="n">
        <v>0</v>
      </c>
      <c r="BP24" s="17" t="n">
        <v>0</v>
      </c>
      <c r="BQ24" s="17" t="n">
        <v>0</v>
      </c>
      <c r="BR24" s="17" t="n">
        <v>0</v>
      </c>
      <c r="BS24" s="17" t="n">
        <v>0</v>
      </c>
      <c r="BT24" s="17" t="n">
        <v>99</v>
      </c>
      <c r="BU24" s="17" t="n">
        <v>82984</v>
      </c>
      <c r="BV24" s="17" t="n">
        <v>84868</v>
      </c>
      <c r="BW24" s="17" t="n">
        <v>28287238</v>
      </c>
      <c r="BX24" s="17" t="n">
        <v>90662</v>
      </c>
      <c r="BY24" s="17" t="n">
        <v>3740</v>
      </c>
    </row>
    <row r="25">
      <c r="A25" s="17" t="inlineStr">
        <is>
          <t>Group</t>
        </is>
      </c>
      <c r="B25" s="17" t="inlineStr">
        <is>
          <t>Entity A2</t>
        </is>
      </c>
      <c r="C25" s="17" t="inlineStr">
        <is>
          <t>Plant 04</t>
        </is>
      </c>
      <c r="D25" s="17" t="inlineStr">
        <is>
          <t>2026-07</t>
        </is>
      </c>
      <c r="E25" s="17" t="n">
        <v>126.8</v>
      </c>
      <c r="F25" s="17" t="n">
        <v>744</v>
      </c>
      <c r="G25" s="17" t="n">
        <v>741</v>
      </c>
      <c r="H25" s="17" t="n">
        <v>708.1</v>
      </c>
      <c r="I25" s="17" t="n">
        <v>22</v>
      </c>
      <c r="J25" s="17" t="n">
        <v>93959</v>
      </c>
      <c r="K25" s="17" t="n">
        <v>94339</v>
      </c>
      <c r="L25" s="17" t="n">
        <v>82701</v>
      </c>
      <c r="M25" s="17" t="n">
        <v>79759</v>
      </c>
      <c r="N25" s="17" t="n">
        <v>77695</v>
      </c>
      <c r="O25" s="17" t="n">
        <v>82058</v>
      </c>
      <c r="P25" s="17" t="n">
        <v>17436</v>
      </c>
      <c r="Q25" s="17" t="n">
        <v>14929</v>
      </c>
      <c r="R25" s="17" t="n">
        <v>2790</v>
      </c>
      <c r="S25" s="17" t="n">
        <v>4</v>
      </c>
      <c r="T25" s="17" t="n">
        <v>15.4</v>
      </c>
      <c r="U25" s="17" t="n">
        <v>51</v>
      </c>
      <c r="V25" s="17" t="n">
        <v>49</v>
      </c>
      <c r="W25" s="17" t="n">
        <v>257344</v>
      </c>
      <c r="X25" s="17" t="n">
        <v>81305.8</v>
      </c>
      <c r="Y25" s="17" t="n">
        <v>1342.1</v>
      </c>
      <c r="Z25" s="17" t="n">
        <v>154581</v>
      </c>
      <c r="AA25" s="17" t="n">
        <v>45272</v>
      </c>
      <c r="AB25" s="17" t="n">
        <v>243309</v>
      </c>
      <c r="AC25" s="17" t="n">
        <v>5005</v>
      </c>
      <c r="AD25" s="17" t="n">
        <v>1</v>
      </c>
      <c r="AE25" s="17" t="n">
        <v>62000</v>
      </c>
      <c r="AF25" s="17" t="n">
        <v>0</v>
      </c>
      <c r="AG25" s="17" t="n">
        <v>1</v>
      </c>
      <c r="AH25" s="17" t="n">
        <v>4</v>
      </c>
      <c r="AI25" s="17" t="n">
        <v>0</v>
      </c>
      <c r="AJ25" s="17" t="n">
        <v>1</v>
      </c>
      <c r="AK25" s="17" t="n">
        <v>0</v>
      </c>
      <c r="AL25" s="17" t="n">
        <v>13</v>
      </c>
      <c r="AM25" s="17" t="n">
        <v>2</v>
      </c>
      <c r="AN25" s="17" t="n">
        <v>0</v>
      </c>
      <c r="AO25" s="17" t="n">
        <v>0</v>
      </c>
      <c r="AP25" s="17" t="n">
        <v>1</v>
      </c>
      <c r="AQ25" s="17" t="n">
        <v>184</v>
      </c>
      <c r="AR25" s="17" t="n">
        <v>16</v>
      </c>
      <c r="AS25" s="17" t="n">
        <v>279</v>
      </c>
      <c r="AT25" s="17" t="n">
        <v>77247</v>
      </c>
      <c r="AU25" s="17" t="n">
        <v>82056</v>
      </c>
      <c r="AV25" s="17" t="n">
        <v>291169.2</v>
      </c>
      <c r="AW25" s="17" t="n">
        <v>308530.6</v>
      </c>
      <c r="AX25" s="17" t="n">
        <v>13722.7</v>
      </c>
      <c r="AY25" s="17" t="n">
        <v>11010.1</v>
      </c>
      <c r="AZ25" s="17" t="n">
        <v>185</v>
      </c>
      <c r="BA25" s="17" t="n">
        <v>171</v>
      </c>
      <c r="BB25" s="17" t="n">
        <v>79610</v>
      </c>
      <c r="BC25" s="17" t="n">
        <v>75439</v>
      </c>
      <c r="BD25" s="17" t="n">
        <v>478</v>
      </c>
      <c r="BE25" s="17" t="n">
        <v>966</v>
      </c>
      <c r="BF25" s="17" t="n">
        <v>950</v>
      </c>
      <c r="BG25" s="17" t="n">
        <v>140730.1</v>
      </c>
      <c r="BH25" s="17" t="n">
        <v>45590.2</v>
      </c>
      <c r="BI25" s="17" t="n">
        <v>0</v>
      </c>
      <c r="BJ25" s="17" t="n">
        <v>0</v>
      </c>
      <c r="BK25" s="17" t="n">
        <v>1</v>
      </c>
      <c r="BL25" s="17" t="n">
        <v>0</v>
      </c>
      <c r="BM25" s="17" t="n">
        <v>1</v>
      </c>
      <c r="BN25" s="17" t="n">
        <v>0</v>
      </c>
      <c r="BO25" s="17" t="n">
        <v>0</v>
      </c>
      <c r="BP25" s="17" t="n">
        <v>0</v>
      </c>
      <c r="BQ25" s="17" t="n">
        <v>0</v>
      </c>
      <c r="BR25" s="17" t="n">
        <v>0</v>
      </c>
      <c r="BS25" s="17" t="n">
        <v>0</v>
      </c>
      <c r="BT25" s="17" t="n">
        <v>99</v>
      </c>
      <c r="BU25" s="17" t="n">
        <v>83335</v>
      </c>
      <c r="BV25" s="17" t="n">
        <v>83508</v>
      </c>
      <c r="BW25" s="17" t="n">
        <v>27394770</v>
      </c>
      <c r="BX25" s="17" t="n">
        <v>93959</v>
      </c>
      <c r="BY25" s="17" t="n">
        <v>3147</v>
      </c>
    </row>
    <row r="26">
      <c r="A26" s="17" t="inlineStr">
        <is>
          <t>Group</t>
        </is>
      </c>
      <c r="B26" s="17" t="inlineStr">
        <is>
          <t>Entity A2</t>
        </is>
      </c>
      <c r="C26" s="17" t="inlineStr">
        <is>
          <t>Plant 04</t>
        </is>
      </c>
      <c r="D26" s="17" t="inlineStr">
        <is>
          <t>2026-08</t>
        </is>
      </c>
      <c r="E26" s="17" t="n">
        <v>126.8</v>
      </c>
      <c r="F26" s="17" t="n">
        <v>744</v>
      </c>
      <c r="G26" s="17" t="n">
        <v>679</v>
      </c>
      <c r="H26" s="17" t="n">
        <v>649.4</v>
      </c>
      <c r="I26" s="17" t="n">
        <v>9.4</v>
      </c>
      <c r="J26" s="17" t="n">
        <v>86097</v>
      </c>
      <c r="K26" s="17" t="n">
        <v>94339</v>
      </c>
      <c r="L26" s="17" t="n">
        <v>76728</v>
      </c>
      <c r="M26" s="17" t="n">
        <v>78482</v>
      </c>
      <c r="N26" s="17" t="n">
        <v>77594</v>
      </c>
      <c r="O26" s="17" t="n">
        <v>84729</v>
      </c>
      <c r="P26" s="17" t="n">
        <v>18910</v>
      </c>
      <c r="Q26" s="17" t="n">
        <v>16857</v>
      </c>
      <c r="R26" s="17" t="n">
        <v>1192</v>
      </c>
      <c r="S26" s="17" t="n">
        <v>1</v>
      </c>
      <c r="T26" s="17" t="n">
        <v>4.1</v>
      </c>
      <c r="U26" s="17" t="n">
        <v>34</v>
      </c>
      <c r="V26" s="17" t="n">
        <v>33</v>
      </c>
      <c r="W26" s="17" t="n">
        <v>220843.7</v>
      </c>
      <c r="X26" s="17" t="n">
        <v>64490.9</v>
      </c>
      <c r="Y26" s="17" t="n">
        <v>1234.9</v>
      </c>
      <c r="Z26" s="17" t="n">
        <v>184195</v>
      </c>
      <c r="AA26" s="17" t="n">
        <v>53673</v>
      </c>
      <c r="AB26" s="17" t="n">
        <v>235582</v>
      </c>
      <c r="AC26" s="17" t="n">
        <v>806</v>
      </c>
      <c r="AD26" s="17" t="n">
        <v>0</v>
      </c>
      <c r="AE26" s="17" t="n">
        <v>70000</v>
      </c>
      <c r="AF26" s="17" t="n">
        <v>0</v>
      </c>
      <c r="AG26" s="17" t="n">
        <v>0</v>
      </c>
      <c r="AH26" s="17" t="n">
        <v>2</v>
      </c>
      <c r="AI26" s="17" t="n">
        <v>0</v>
      </c>
      <c r="AJ26" s="17" t="n">
        <v>1</v>
      </c>
      <c r="AK26" s="17" t="n">
        <v>0</v>
      </c>
      <c r="AL26" s="17" t="n">
        <v>12</v>
      </c>
      <c r="AM26" s="17" t="n">
        <v>1</v>
      </c>
      <c r="AN26" s="17" t="n">
        <v>2</v>
      </c>
      <c r="AO26" s="17" t="n">
        <v>2</v>
      </c>
      <c r="AP26" s="17" t="n">
        <v>2</v>
      </c>
      <c r="AQ26" s="17" t="n">
        <v>203</v>
      </c>
      <c r="AR26" s="17" t="n">
        <v>17</v>
      </c>
      <c r="AS26" s="17" t="n">
        <v>249</v>
      </c>
      <c r="AT26" s="17" t="n">
        <v>77529</v>
      </c>
      <c r="AU26" s="17" t="n">
        <v>76544</v>
      </c>
      <c r="AV26" s="17" t="n">
        <v>289721.3</v>
      </c>
      <c r="AW26" s="17" t="n">
        <v>287805.4</v>
      </c>
      <c r="AX26" s="17" t="n">
        <v>14166.6</v>
      </c>
      <c r="AY26" s="17" t="n">
        <v>10471.6</v>
      </c>
      <c r="AZ26" s="17" t="n">
        <v>289</v>
      </c>
      <c r="BA26" s="17" t="n">
        <v>271</v>
      </c>
      <c r="BB26" s="17" t="n">
        <v>86419</v>
      </c>
      <c r="BC26" s="17" t="n">
        <v>81593</v>
      </c>
      <c r="BD26" s="17" t="n">
        <v>1269</v>
      </c>
      <c r="BE26" s="17" t="n">
        <v>854</v>
      </c>
      <c r="BF26" s="17" t="n">
        <v>848</v>
      </c>
      <c r="BG26" s="17" t="n">
        <v>125934</v>
      </c>
      <c r="BH26" s="17" t="n">
        <v>46998.8</v>
      </c>
      <c r="BI26" s="17" t="n">
        <v>0</v>
      </c>
      <c r="BJ26" s="17" t="n">
        <v>0</v>
      </c>
      <c r="BK26" s="17" t="n">
        <v>0</v>
      </c>
      <c r="BL26" s="17" t="n">
        <v>0</v>
      </c>
      <c r="BM26" s="17" t="n">
        <v>1</v>
      </c>
      <c r="BN26" s="17" t="n">
        <v>0</v>
      </c>
      <c r="BO26" s="17" t="n">
        <v>0</v>
      </c>
      <c r="BP26" s="17" t="n">
        <v>0</v>
      </c>
      <c r="BQ26" s="17" t="n">
        <v>0</v>
      </c>
      <c r="BR26" s="17" t="n">
        <v>0</v>
      </c>
      <c r="BS26" s="17" t="n">
        <v>0</v>
      </c>
      <c r="BT26" s="17" t="n">
        <v>99</v>
      </c>
      <c r="BU26" s="17" t="n">
        <v>76557</v>
      </c>
      <c r="BV26" s="17" t="n">
        <v>77850</v>
      </c>
      <c r="BW26" s="17" t="n">
        <v>25092390</v>
      </c>
      <c r="BX26" s="17" t="n">
        <v>86097</v>
      </c>
      <c r="BY26" s="17" t="n">
        <v>1134</v>
      </c>
    </row>
    <row r="27">
      <c r="A27" s="17" t="inlineStr">
        <is>
          <t>Group</t>
        </is>
      </c>
      <c r="B27" s="17" t="inlineStr">
        <is>
          <t>Entity A2</t>
        </is>
      </c>
      <c r="C27" s="17" t="inlineStr">
        <is>
          <t>Plant 04</t>
        </is>
      </c>
      <c r="D27" s="17" t="inlineStr">
        <is>
          <t>2026-09</t>
        </is>
      </c>
      <c r="E27" s="17" t="n">
        <v>126.8</v>
      </c>
      <c r="F27" s="17" t="n">
        <v>720</v>
      </c>
      <c r="G27" s="17" t="n">
        <v>718</v>
      </c>
      <c r="H27" s="17" t="n">
        <v>690.6</v>
      </c>
      <c r="I27" s="17" t="n">
        <v>10.1</v>
      </c>
      <c r="J27" s="17" t="n">
        <v>91042</v>
      </c>
      <c r="K27" s="17" t="n">
        <v>91296</v>
      </c>
      <c r="L27" s="17" t="n">
        <v>79048</v>
      </c>
      <c r="M27" s="17" t="n">
        <v>83890</v>
      </c>
      <c r="N27" s="17" t="n">
        <v>81694</v>
      </c>
      <c r="O27" s="17" t="n">
        <v>90180</v>
      </c>
      <c r="P27" s="17" t="n">
        <v>20374</v>
      </c>
      <c r="Q27" s="17" t="n">
        <v>18005</v>
      </c>
      <c r="R27" s="17" t="n">
        <v>1281</v>
      </c>
      <c r="S27" s="17" t="n">
        <v>1</v>
      </c>
      <c r="T27" s="17" t="n">
        <v>6.8</v>
      </c>
      <c r="U27" s="17" t="n">
        <v>59</v>
      </c>
      <c r="V27" s="17" t="n">
        <v>59</v>
      </c>
      <c r="W27" s="17" t="n">
        <v>266460.1</v>
      </c>
      <c r="X27" s="17" t="n">
        <v>82640.2</v>
      </c>
      <c r="Y27" s="17" t="n">
        <v>1127.6</v>
      </c>
      <c r="Z27" s="17" t="n">
        <v>178267</v>
      </c>
      <c r="AA27" s="17" t="n">
        <v>58385</v>
      </c>
      <c r="AB27" s="17" t="n">
        <v>283879</v>
      </c>
      <c r="AC27" s="17" t="n">
        <v>0</v>
      </c>
      <c r="AD27" s="17" t="n">
        <v>0</v>
      </c>
      <c r="AE27" s="17" t="n">
        <v>57000</v>
      </c>
      <c r="AF27" s="17" t="n">
        <v>0</v>
      </c>
      <c r="AG27" s="17" t="n">
        <v>0</v>
      </c>
      <c r="AH27" s="17" t="n">
        <v>3</v>
      </c>
      <c r="AI27" s="17" t="n">
        <v>0</v>
      </c>
      <c r="AJ27" s="17" t="n">
        <v>1</v>
      </c>
      <c r="AK27" s="17" t="n">
        <v>0</v>
      </c>
      <c r="AL27" s="17" t="n">
        <v>6</v>
      </c>
      <c r="AM27" s="17" t="n">
        <v>1</v>
      </c>
      <c r="AN27" s="17" t="n">
        <v>0</v>
      </c>
      <c r="AO27" s="17" t="n">
        <v>0</v>
      </c>
      <c r="AP27" s="17" t="n">
        <v>0</v>
      </c>
      <c r="AQ27" s="17" t="n">
        <v>169</v>
      </c>
      <c r="AR27" s="17" t="n">
        <v>12</v>
      </c>
      <c r="AS27" s="17" t="n">
        <v>219</v>
      </c>
      <c r="AT27" s="17" t="n">
        <v>83171</v>
      </c>
      <c r="AU27" s="17" t="n">
        <v>78942</v>
      </c>
      <c r="AV27" s="17" t="n">
        <v>310595</v>
      </c>
      <c r="AW27" s="17" t="n">
        <v>296821.9</v>
      </c>
      <c r="AX27" s="17" t="n">
        <v>16180</v>
      </c>
      <c r="AY27" s="17" t="n">
        <v>11077.3</v>
      </c>
      <c r="AZ27" s="17" t="n">
        <v>290</v>
      </c>
      <c r="BA27" s="17" t="n">
        <v>271</v>
      </c>
      <c r="BB27" s="17" t="n">
        <v>90306</v>
      </c>
      <c r="BC27" s="17" t="n">
        <v>85528</v>
      </c>
      <c r="BD27" s="17" t="n">
        <v>1378</v>
      </c>
      <c r="BE27" s="17" t="n">
        <v>1148</v>
      </c>
      <c r="BF27" s="17" t="n">
        <v>1193</v>
      </c>
      <c r="BG27" s="17" t="n">
        <v>145373</v>
      </c>
      <c r="BH27" s="17" t="n">
        <v>45358</v>
      </c>
      <c r="BI27" s="17" t="n">
        <v>0</v>
      </c>
      <c r="BJ27" s="17" t="n">
        <v>0</v>
      </c>
      <c r="BK27" s="17" t="n">
        <v>0</v>
      </c>
      <c r="BL27" s="17" t="n">
        <v>0</v>
      </c>
      <c r="BM27" s="17" t="n">
        <v>0</v>
      </c>
      <c r="BN27" s="17" t="n">
        <v>0</v>
      </c>
      <c r="BO27" s="17" t="n">
        <v>0</v>
      </c>
      <c r="BP27" s="17" t="n">
        <v>0</v>
      </c>
      <c r="BQ27" s="17" t="n">
        <v>0</v>
      </c>
      <c r="BR27" s="17" t="n">
        <v>0</v>
      </c>
      <c r="BS27" s="17" t="n">
        <v>0</v>
      </c>
      <c r="BT27" s="17" t="n">
        <v>99</v>
      </c>
      <c r="BU27" s="17" t="n">
        <v>80582</v>
      </c>
      <c r="BV27" s="17" t="n">
        <v>80307</v>
      </c>
      <c r="BW27" s="17" t="n">
        <v>23556548</v>
      </c>
      <c r="BX27" s="17" t="n">
        <v>91042</v>
      </c>
      <c r="BY27" s="17" t="n">
        <v>1421</v>
      </c>
    </row>
    <row r="28">
      <c r="A28" s="17" t="inlineStr">
        <is>
          <t>Group</t>
        </is>
      </c>
      <c r="B28" s="17" t="inlineStr">
        <is>
          <t>Entity A2</t>
        </is>
      </c>
      <c r="C28" s="17" t="inlineStr">
        <is>
          <t>Plant 05</t>
        </is>
      </c>
      <c r="D28" s="17" t="inlineStr">
        <is>
          <t>2026-04</t>
        </is>
      </c>
      <c r="E28" s="17" t="n">
        <v>205</v>
      </c>
      <c r="F28" s="17" t="n">
        <v>720</v>
      </c>
      <c r="G28" s="17" t="n">
        <v>710</v>
      </c>
      <c r="H28" s="17" t="n">
        <v>684.5</v>
      </c>
      <c r="I28" s="17" t="n">
        <v>17</v>
      </c>
      <c r="J28" s="17" t="n">
        <v>145550</v>
      </c>
      <c r="K28" s="17" t="n">
        <v>147600</v>
      </c>
      <c r="L28" s="17" t="n">
        <v>129763</v>
      </c>
      <c r="M28" s="17" t="n">
        <v>135746</v>
      </c>
      <c r="N28" s="17" t="n">
        <v>129454</v>
      </c>
      <c r="O28" s="17" t="n">
        <v>144929</v>
      </c>
      <c r="P28" s="17" t="n">
        <v>32992</v>
      </c>
      <c r="Q28" s="17" t="n">
        <v>28916</v>
      </c>
      <c r="R28" s="17" t="n">
        <v>3485</v>
      </c>
      <c r="S28" s="17" t="n">
        <v>2</v>
      </c>
      <c r="T28" s="17" t="n">
        <v>13.9</v>
      </c>
      <c r="U28" s="17" t="n">
        <v>52</v>
      </c>
      <c r="V28" s="17" t="n">
        <v>48</v>
      </c>
      <c r="W28" s="17" t="n">
        <v>435077.3</v>
      </c>
      <c r="X28" s="17" t="n">
        <v>128779.7</v>
      </c>
      <c r="Y28" s="17" t="n">
        <v>1262.8</v>
      </c>
      <c r="Z28" s="17" t="n">
        <v>292639</v>
      </c>
      <c r="AA28" s="17" t="n">
        <v>86136</v>
      </c>
      <c r="AB28" s="17" t="n">
        <v>447791</v>
      </c>
      <c r="AC28" s="17" t="n">
        <v>2659</v>
      </c>
      <c r="AD28" s="17" t="n">
        <v>2</v>
      </c>
      <c r="AE28" s="17" t="n">
        <v>88000</v>
      </c>
      <c r="AF28" s="17" t="n">
        <v>2</v>
      </c>
      <c r="AG28" s="17" t="n">
        <v>0</v>
      </c>
      <c r="AH28" s="17" t="n">
        <v>3</v>
      </c>
      <c r="AI28" s="17" t="n">
        <v>0</v>
      </c>
      <c r="AJ28" s="17" t="n">
        <v>0</v>
      </c>
      <c r="AK28" s="17" t="n">
        <v>0</v>
      </c>
      <c r="AL28" s="17" t="n">
        <v>12</v>
      </c>
      <c r="AM28" s="17" t="n">
        <v>0</v>
      </c>
      <c r="AN28" s="17" t="n">
        <v>1</v>
      </c>
      <c r="AO28" s="17" t="n">
        <v>0</v>
      </c>
      <c r="AP28" s="17" t="n">
        <v>0</v>
      </c>
      <c r="AQ28" s="17" t="n">
        <v>134</v>
      </c>
      <c r="AR28" s="17" t="n">
        <v>10</v>
      </c>
      <c r="AS28" s="17" t="n">
        <v>252</v>
      </c>
      <c r="AT28" s="17" t="n">
        <v>126937</v>
      </c>
      <c r="AU28" s="17" t="n">
        <v>131046</v>
      </c>
      <c r="AV28" s="17" t="n">
        <v>474578.4</v>
      </c>
      <c r="AW28" s="17" t="n">
        <v>492733</v>
      </c>
      <c r="AX28" s="17" t="n">
        <v>24654.9</v>
      </c>
      <c r="AY28" s="17" t="n">
        <v>18002.6</v>
      </c>
      <c r="AZ28" s="17" t="n">
        <v>280</v>
      </c>
      <c r="BA28" s="17" t="n">
        <v>258</v>
      </c>
      <c r="BB28" s="17" t="n">
        <v>140973</v>
      </c>
      <c r="BC28" s="17" t="n">
        <v>132586</v>
      </c>
      <c r="BD28" s="17" t="n">
        <v>1848</v>
      </c>
      <c r="BE28" s="17" t="n">
        <v>1022</v>
      </c>
      <c r="BF28" s="17" t="n">
        <v>1097</v>
      </c>
      <c r="BG28" s="17" t="n">
        <v>253921.8</v>
      </c>
      <c r="BH28" s="17" t="n">
        <v>78167.5</v>
      </c>
      <c r="BI28" s="17" t="n">
        <v>0</v>
      </c>
      <c r="BJ28" s="17" t="n">
        <v>0</v>
      </c>
      <c r="BK28" s="17" t="n">
        <v>0</v>
      </c>
      <c r="BL28" s="17" t="n">
        <v>1</v>
      </c>
      <c r="BM28" s="17" t="n">
        <v>1</v>
      </c>
      <c r="BN28" s="17" t="n">
        <v>0</v>
      </c>
      <c r="BO28" s="17" t="n">
        <v>0</v>
      </c>
      <c r="BP28" s="17" t="n">
        <v>0</v>
      </c>
      <c r="BQ28" s="17" t="n">
        <v>0</v>
      </c>
      <c r="BR28" s="17" t="n">
        <v>0</v>
      </c>
      <c r="BS28" s="17" t="n">
        <v>0</v>
      </c>
      <c r="BT28" s="17" t="n">
        <v>99</v>
      </c>
      <c r="BU28" s="17" t="n">
        <v>129733</v>
      </c>
      <c r="BV28" s="17" t="n">
        <v>131690</v>
      </c>
      <c r="BW28" s="17" t="n">
        <v>72606958</v>
      </c>
      <c r="BX28" s="17" t="n">
        <v>145550</v>
      </c>
      <c r="BY28" s="17" t="n">
        <v>3973</v>
      </c>
    </row>
    <row r="29">
      <c r="A29" s="17" t="inlineStr">
        <is>
          <t>Group</t>
        </is>
      </c>
      <c r="B29" s="17" t="inlineStr">
        <is>
          <t>Entity A2</t>
        </is>
      </c>
      <c r="C29" s="17" t="inlineStr">
        <is>
          <t>Plant 05</t>
        </is>
      </c>
      <c r="D29" s="17" t="inlineStr">
        <is>
          <t>2026-05</t>
        </is>
      </c>
      <c r="E29" s="17" t="n">
        <v>205</v>
      </c>
      <c r="F29" s="17" t="n">
        <v>744</v>
      </c>
      <c r="G29" s="17" t="n">
        <v>674</v>
      </c>
      <c r="H29" s="17" t="n">
        <v>642.5</v>
      </c>
      <c r="I29" s="17" t="n">
        <v>18.2</v>
      </c>
      <c r="J29" s="17" t="n">
        <v>138170</v>
      </c>
      <c r="K29" s="17" t="n">
        <v>152520</v>
      </c>
      <c r="L29" s="17" t="n">
        <v>121141</v>
      </c>
      <c r="M29" s="17" t="n">
        <v>127057</v>
      </c>
      <c r="N29" s="17" t="n">
        <v>121753</v>
      </c>
      <c r="O29" s="17" t="n">
        <v>132003</v>
      </c>
      <c r="P29" s="17" t="n">
        <v>24602</v>
      </c>
      <c r="Q29" s="17" t="n">
        <v>21013</v>
      </c>
      <c r="R29" s="17" t="n">
        <v>3731</v>
      </c>
      <c r="S29" s="17" t="n">
        <v>2</v>
      </c>
      <c r="T29" s="17" t="n">
        <v>9.300000000000001</v>
      </c>
      <c r="U29" s="17" t="n">
        <v>39</v>
      </c>
      <c r="V29" s="17" t="n">
        <v>36</v>
      </c>
      <c r="W29" s="17" t="n">
        <v>362340.8</v>
      </c>
      <c r="X29" s="17" t="n">
        <v>89550</v>
      </c>
      <c r="Y29" s="17" t="n">
        <v>1517.5</v>
      </c>
      <c r="Z29" s="17" t="n">
        <v>244417</v>
      </c>
      <c r="AA29" s="17" t="n">
        <v>74247</v>
      </c>
      <c r="AB29" s="17" t="n">
        <v>353899</v>
      </c>
      <c r="AC29" s="17" t="n">
        <v>0</v>
      </c>
      <c r="AD29" s="17" t="n">
        <v>0</v>
      </c>
      <c r="AE29" s="17" t="n">
        <v>79000</v>
      </c>
      <c r="AF29" s="17" t="n">
        <v>0</v>
      </c>
      <c r="AG29" s="17" t="n">
        <v>0</v>
      </c>
      <c r="AH29" s="17" t="n">
        <v>12</v>
      </c>
      <c r="AI29" s="17" t="n">
        <v>0</v>
      </c>
      <c r="AJ29" s="17" t="n">
        <v>0</v>
      </c>
      <c r="AK29" s="17" t="n">
        <v>0</v>
      </c>
      <c r="AL29" s="17" t="n">
        <v>12</v>
      </c>
      <c r="AM29" s="17" t="n">
        <v>3</v>
      </c>
      <c r="AN29" s="17" t="n">
        <v>2</v>
      </c>
      <c r="AO29" s="17" t="n">
        <v>2</v>
      </c>
      <c r="AP29" s="17" t="n">
        <v>1</v>
      </c>
      <c r="AQ29" s="17" t="n">
        <v>149</v>
      </c>
      <c r="AR29" s="17" t="n">
        <v>12</v>
      </c>
      <c r="AS29" s="17" t="n">
        <v>222</v>
      </c>
      <c r="AT29" s="17" t="n">
        <v>121779</v>
      </c>
      <c r="AU29" s="17" t="n">
        <v>122065</v>
      </c>
      <c r="AV29" s="17" t="n">
        <v>464614.6</v>
      </c>
      <c r="AW29" s="17" t="n">
        <v>458964.4</v>
      </c>
      <c r="AX29" s="17" t="n">
        <v>23636.6</v>
      </c>
      <c r="AY29" s="17" t="n">
        <v>17476.6</v>
      </c>
      <c r="AZ29" s="17" t="n">
        <v>208</v>
      </c>
      <c r="BA29" s="17" t="n">
        <v>190</v>
      </c>
      <c r="BB29" s="17" t="n">
        <v>128569</v>
      </c>
      <c r="BC29" s="17" t="n">
        <v>121230</v>
      </c>
      <c r="BD29" s="17" t="n">
        <v>631</v>
      </c>
      <c r="BE29" s="17" t="n">
        <v>602</v>
      </c>
      <c r="BF29" s="17" t="n">
        <v>628</v>
      </c>
      <c r="BG29" s="17" t="n">
        <v>216076.1</v>
      </c>
      <c r="BH29" s="17" t="n">
        <v>68076.8</v>
      </c>
      <c r="BI29" s="17" t="n">
        <v>0</v>
      </c>
      <c r="BJ29" s="17" t="n">
        <v>0</v>
      </c>
      <c r="BK29" s="17" t="n">
        <v>0</v>
      </c>
      <c r="BL29" s="17" t="n">
        <v>0</v>
      </c>
      <c r="BM29" s="17" t="n">
        <v>1</v>
      </c>
      <c r="BN29" s="17" t="n">
        <v>0</v>
      </c>
      <c r="BO29" s="17" t="n">
        <v>0</v>
      </c>
      <c r="BP29" s="17" t="n">
        <v>0</v>
      </c>
      <c r="BQ29" s="17" t="n">
        <v>0</v>
      </c>
      <c r="BR29" s="17" t="n">
        <v>0</v>
      </c>
      <c r="BS29" s="17" t="n">
        <v>0</v>
      </c>
      <c r="BT29" s="17" t="n">
        <v>99</v>
      </c>
      <c r="BU29" s="17" t="n">
        <v>121668</v>
      </c>
      <c r="BV29" s="17" t="n">
        <v>122263</v>
      </c>
      <c r="BW29" s="17" t="n">
        <v>48910799</v>
      </c>
      <c r="BX29" s="17" t="n">
        <v>138170</v>
      </c>
      <c r="BY29" s="17" t="n">
        <v>3744</v>
      </c>
    </row>
    <row r="30">
      <c r="A30" s="17" t="inlineStr">
        <is>
          <t>Group</t>
        </is>
      </c>
      <c r="B30" s="17" t="inlineStr">
        <is>
          <t>Entity A2</t>
        </is>
      </c>
      <c r="C30" s="17" t="inlineStr">
        <is>
          <t>Plant 05</t>
        </is>
      </c>
      <c r="D30" s="17" t="inlineStr">
        <is>
          <t>2026-06</t>
        </is>
      </c>
      <c r="E30" s="17" t="n">
        <v>205</v>
      </c>
      <c r="F30" s="17" t="n">
        <v>720</v>
      </c>
      <c r="G30" s="17" t="n">
        <v>713</v>
      </c>
      <c r="H30" s="17" t="n">
        <v>680.7</v>
      </c>
      <c r="I30" s="17" t="n">
        <v>15.1</v>
      </c>
      <c r="J30" s="17" t="n">
        <v>146165</v>
      </c>
      <c r="K30" s="17" t="n">
        <v>147600</v>
      </c>
      <c r="L30" s="17" t="n">
        <v>131151</v>
      </c>
      <c r="M30" s="17" t="n">
        <v>125961</v>
      </c>
      <c r="N30" s="17" t="n">
        <v>123027</v>
      </c>
      <c r="O30" s="17" t="n">
        <v>137718</v>
      </c>
      <c r="P30" s="17" t="n">
        <v>26078</v>
      </c>
      <c r="Q30" s="17" t="n">
        <v>23615</v>
      </c>
      <c r="R30" s="17" t="n">
        <v>3096</v>
      </c>
      <c r="S30" s="17" t="n">
        <v>3</v>
      </c>
      <c r="T30" s="17" t="n">
        <v>12</v>
      </c>
      <c r="U30" s="17" t="n">
        <v>38</v>
      </c>
      <c r="V30" s="17" t="n">
        <v>37</v>
      </c>
      <c r="W30" s="17" t="n">
        <v>411518.7</v>
      </c>
      <c r="X30" s="17" t="n">
        <v>126359</v>
      </c>
      <c r="Y30" s="17" t="n">
        <v>1457</v>
      </c>
      <c r="Z30" s="17" t="n">
        <v>277551</v>
      </c>
      <c r="AA30" s="17" t="n">
        <v>89682</v>
      </c>
      <c r="AB30" s="17" t="n">
        <v>432290</v>
      </c>
      <c r="AC30" s="17" t="n">
        <v>11194</v>
      </c>
      <c r="AD30" s="17" t="n">
        <v>2</v>
      </c>
      <c r="AE30" s="17" t="n">
        <v>64000</v>
      </c>
      <c r="AF30" s="17" t="n">
        <v>2</v>
      </c>
      <c r="AG30" s="17" t="n">
        <v>0</v>
      </c>
      <c r="AH30" s="17" t="n">
        <v>6</v>
      </c>
      <c r="AI30" s="17" t="n">
        <v>0</v>
      </c>
      <c r="AJ30" s="17" t="n">
        <v>0</v>
      </c>
      <c r="AK30" s="17" t="n">
        <v>1</v>
      </c>
      <c r="AL30" s="17" t="n">
        <v>3</v>
      </c>
      <c r="AM30" s="17" t="n">
        <v>1</v>
      </c>
      <c r="AN30" s="17" t="n">
        <v>0</v>
      </c>
      <c r="AO30" s="17" t="n">
        <v>0</v>
      </c>
      <c r="AP30" s="17" t="n">
        <v>0</v>
      </c>
      <c r="AQ30" s="17" t="n">
        <v>249</v>
      </c>
      <c r="AR30" s="17" t="n">
        <v>18</v>
      </c>
      <c r="AS30" s="17" t="n">
        <v>192</v>
      </c>
      <c r="AT30" s="17" t="n">
        <v>122701</v>
      </c>
      <c r="AU30" s="17" t="n">
        <v>131018</v>
      </c>
      <c r="AV30" s="17" t="n">
        <v>463267.7</v>
      </c>
      <c r="AW30" s="17" t="n">
        <v>492627.7</v>
      </c>
      <c r="AX30" s="17" t="n">
        <v>26455.3</v>
      </c>
      <c r="AY30" s="17" t="n">
        <v>17493.2</v>
      </c>
      <c r="AZ30" s="17" t="n">
        <v>187</v>
      </c>
      <c r="BA30" s="17" t="n">
        <v>170</v>
      </c>
      <c r="BB30" s="17" t="n">
        <v>133988</v>
      </c>
      <c r="BC30" s="17" t="n">
        <v>130452</v>
      </c>
      <c r="BD30" s="17" t="n">
        <v>617</v>
      </c>
      <c r="BE30" s="17" t="n">
        <v>1134</v>
      </c>
      <c r="BF30" s="17" t="n">
        <v>1202</v>
      </c>
      <c r="BG30" s="17" t="n">
        <v>242243.9</v>
      </c>
      <c r="BH30" s="17" t="n">
        <v>89931.10000000001</v>
      </c>
      <c r="BI30" s="17" t="n">
        <v>0</v>
      </c>
      <c r="BJ30" s="17" t="n">
        <v>1</v>
      </c>
      <c r="BK30" s="17" t="n">
        <v>1</v>
      </c>
      <c r="BL30" s="17" t="n">
        <v>1</v>
      </c>
      <c r="BM30" s="17" t="n">
        <v>1</v>
      </c>
      <c r="BN30" s="17" t="n">
        <v>0</v>
      </c>
      <c r="BO30" s="17" t="n">
        <v>0</v>
      </c>
      <c r="BP30" s="17" t="n">
        <v>0</v>
      </c>
      <c r="BQ30" s="17" t="n">
        <v>0</v>
      </c>
      <c r="BR30" s="17" t="n">
        <v>0</v>
      </c>
      <c r="BS30" s="17" t="n">
        <v>0</v>
      </c>
      <c r="BT30" s="17" t="n">
        <v>99</v>
      </c>
      <c r="BU30" s="17" t="n">
        <v>132111</v>
      </c>
      <c r="BV30" s="17" t="n">
        <v>132015</v>
      </c>
      <c r="BW30" s="17" t="n">
        <v>56526721</v>
      </c>
      <c r="BX30" s="17" t="n">
        <v>146165</v>
      </c>
      <c r="BY30" s="17" t="n">
        <v>2889</v>
      </c>
    </row>
    <row r="31">
      <c r="A31" s="17" t="inlineStr">
        <is>
          <t>Group</t>
        </is>
      </c>
      <c r="B31" s="17" t="inlineStr">
        <is>
          <t>Entity A2</t>
        </is>
      </c>
      <c r="C31" s="17" t="inlineStr">
        <is>
          <t>Plant 05</t>
        </is>
      </c>
      <c r="D31" s="17" t="inlineStr">
        <is>
          <t>2026-07</t>
        </is>
      </c>
      <c r="E31" s="17" t="n">
        <v>205</v>
      </c>
      <c r="F31" s="17" t="n">
        <v>744</v>
      </c>
      <c r="G31" s="17" t="n">
        <v>744</v>
      </c>
      <c r="H31" s="17" t="n">
        <v>715.3</v>
      </c>
      <c r="I31" s="17" t="n">
        <v>13.1</v>
      </c>
      <c r="J31" s="17" t="n">
        <v>152520</v>
      </c>
      <c r="K31" s="17" t="n">
        <v>152520</v>
      </c>
      <c r="L31" s="17" t="n">
        <v>137952</v>
      </c>
      <c r="M31" s="17" t="n">
        <v>141931</v>
      </c>
      <c r="N31" s="17" t="n">
        <v>136982</v>
      </c>
      <c r="O31" s="17" t="n">
        <v>145102</v>
      </c>
      <c r="P31" s="17" t="n">
        <v>29563</v>
      </c>
      <c r="Q31" s="17" t="n">
        <v>26355</v>
      </c>
      <c r="R31" s="17" t="n">
        <v>2686</v>
      </c>
      <c r="S31" s="17" t="n">
        <v>1</v>
      </c>
      <c r="T31" s="17" t="n">
        <v>6</v>
      </c>
      <c r="U31" s="17" t="n">
        <v>58</v>
      </c>
      <c r="V31" s="17" t="n">
        <v>57</v>
      </c>
      <c r="W31" s="17" t="n">
        <v>444075.7</v>
      </c>
      <c r="X31" s="17" t="n">
        <v>131632.2</v>
      </c>
      <c r="Y31" s="17" t="n">
        <v>1411.4</v>
      </c>
      <c r="Z31" s="17" t="n">
        <v>285264</v>
      </c>
      <c r="AA31" s="17" t="n">
        <v>93285</v>
      </c>
      <c r="AB31" s="17" t="n">
        <v>457581</v>
      </c>
      <c r="AC31" s="17" t="n">
        <v>1175</v>
      </c>
      <c r="AD31" s="17" t="n">
        <v>0</v>
      </c>
      <c r="AE31" s="17" t="n">
        <v>65000</v>
      </c>
      <c r="AF31" s="17" t="n">
        <v>1</v>
      </c>
      <c r="AG31" s="17" t="n">
        <v>0</v>
      </c>
      <c r="AH31" s="17" t="n">
        <v>3</v>
      </c>
      <c r="AI31" s="17" t="n">
        <v>0</v>
      </c>
      <c r="AJ31" s="17" t="n">
        <v>0</v>
      </c>
      <c r="AK31" s="17" t="n">
        <v>0</v>
      </c>
      <c r="AL31" s="17" t="n">
        <v>14</v>
      </c>
      <c r="AM31" s="17" t="n">
        <v>4</v>
      </c>
      <c r="AN31" s="17" t="n">
        <v>0</v>
      </c>
      <c r="AO31" s="17" t="n">
        <v>0</v>
      </c>
      <c r="AP31" s="17" t="n">
        <v>1</v>
      </c>
      <c r="AQ31" s="17" t="n">
        <v>167</v>
      </c>
      <c r="AR31" s="17" t="n">
        <v>14</v>
      </c>
      <c r="AS31" s="17" t="n">
        <v>162</v>
      </c>
      <c r="AT31" s="17" t="n">
        <v>138862</v>
      </c>
      <c r="AU31" s="17" t="n">
        <v>137969</v>
      </c>
      <c r="AV31" s="17" t="n">
        <v>525780.3</v>
      </c>
      <c r="AW31" s="17" t="n">
        <v>518763.4</v>
      </c>
      <c r="AX31" s="17" t="n">
        <v>27030.8</v>
      </c>
      <c r="AY31" s="17" t="n">
        <v>17228.8</v>
      </c>
      <c r="AZ31" s="17" t="n">
        <v>256</v>
      </c>
      <c r="BA31" s="17" t="n">
        <v>239</v>
      </c>
      <c r="BB31" s="17" t="n">
        <v>142258</v>
      </c>
      <c r="BC31" s="17" t="n">
        <v>135171</v>
      </c>
      <c r="BD31" s="17" t="n">
        <v>660</v>
      </c>
      <c r="BE31" s="17" t="n">
        <v>910</v>
      </c>
      <c r="BF31" s="17" t="n">
        <v>898</v>
      </c>
      <c r="BG31" s="17" t="n">
        <v>243517.9</v>
      </c>
      <c r="BH31" s="17" t="n">
        <v>87017.8</v>
      </c>
      <c r="BI31" s="17" t="n">
        <v>0</v>
      </c>
      <c r="BJ31" s="17" t="n">
        <v>1</v>
      </c>
      <c r="BK31" s="17" t="n">
        <v>1</v>
      </c>
      <c r="BL31" s="17" t="n">
        <v>0</v>
      </c>
      <c r="BM31" s="17" t="n">
        <v>1</v>
      </c>
      <c r="BN31" s="17" t="n">
        <v>0</v>
      </c>
      <c r="BO31" s="17" t="n">
        <v>0</v>
      </c>
      <c r="BP31" s="17" t="n">
        <v>0</v>
      </c>
      <c r="BQ31" s="17" t="n">
        <v>0</v>
      </c>
      <c r="BR31" s="17" t="n">
        <v>0</v>
      </c>
      <c r="BS31" s="17" t="n">
        <v>0</v>
      </c>
      <c r="BT31" s="17" t="n">
        <v>99</v>
      </c>
      <c r="BU31" s="17" t="n">
        <v>140177</v>
      </c>
      <c r="BV31" s="17" t="n">
        <v>140153</v>
      </c>
      <c r="BW31" s="17" t="n">
        <v>60097020</v>
      </c>
      <c r="BX31" s="17" t="n">
        <v>152520</v>
      </c>
      <c r="BY31" s="17" t="n">
        <v>2618</v>
      </c>
    </row>
    <row r="32">
      <c r="A32" s="17" t="inlineStr">
        <is>
          <t>Group</t>
        </is>
      </c>
      <c r="B32" s="17" t="inlineStr">
        <is>
          <t>Entity A2</t>
        </is>
      </c>
      <c r="C32" s="17" t="inlineStr">
        <is>
          <t>Plant 05</t>
        </is>
      </c>
      <c r="D32" s="17" t="inlineStr">
        <is>
          <t>2026-08</t>
        </is>
      </c>
      <c r="E32" s="17" t="n">
        <v>205</v>
      </c>
      <c r="F32" s="17" t="n">
        <v>744</v>
      </c>
      <c r="G32" s="17" t="n">
        <v>695</v>
      </c>
      <c r="H32" s="17" t="n">
        <v>644.6</v>
      </c>
      <c r="I32" s="17" t="n">
        <v>34.9</v>
      </c>
      <c r="J32" s="17" t="n">
        <v>142475</v>
      </c>
      <c r="K32" s="17" t="n">
        <v>152520</v>
      </c>
      <c r="L32" s="17" t="n">
        <v>126640</v>
      </c>
      <c r="M32" s="17" t="n">
        <v>125577</v>
      </c>
      <c r="N32" s="17" t="n">
        <v>123607</v>
      </c>
      <c r="O32" s="17" t="n">
        <v>138276</v>
      </c>
      <c r="P32" s="17" t="n">
        <v>32113</v>
      </c>
      <c r="Q32" s="17" t="n">
        <v>29045</v>
      </c>
      <c r="R32" s="17" t="n">
        <v>7154</v>
      </c>
      <c r="S32" s="17" t="n">
        <v>4</v>
      </c>
      <c r="T32" s="17" t="n">
        <v>30.5</v>
      </c>
      <c r="U32" s="17" t="n">
        <v>54</v>
      </c>
      <c r="V32" s="17" t="n">
        <v>54</v>
      </c>
      <c r="W32" s="17" t="n">
        <v>390308.9</v>
      </c>
      <c r="X32" s="17" t="n">
        <v>92794.10000000001</v>
      </c>
      <c r="Y32" s="17" t="n">
        <v>1470.7</v>
      </c>
      <c r="Z32" s="17" t="n">
        <v>320464</v>
      </c>
      <c r="AA32" s="17" t="n">
        <v>79520</v>
      </c>
      <c r="AB32" s="17" t="n">
        <v>439606</v>
      </c>
      <c r="AC32" s="17" t="n">
        <v>0</v>
      </c>
      <c r="AD32" s="17" t="n">
        <v>2</v>
      </c>
      <c r="AE32" s="17" t="n">
        <v>68000</v>
      </c>
      <c r="AF32" s="17" t="n">
        <v>0</v>
      </c>
      <c r="AG32" s="17" t="n">
        <v>0</v>
      </c>
      <c r="AH32" s="17" t="n">
        <v>11</v>
      </c>
      <c r="AI32" s="17" t="n">
        <v>0</v>
      </c>
      <c r="AJ32" s="17" t="n">
        <v>0</v>
      </c>
      <c r="AK32" s="17" t="n">
        <v>0</v>
      </c>
      <c r="AL32" s="17" t="n">
        <v>8</v>
      </c>
      <c r="AM32" s="17" t="n">
        <v>1</v>
      </c>
      <c r="AN32" s="17" t="n">
        <v>3</v>
      </c>
      <c r="AO32" s="17" t="n">
        <v>3</v>
      </c>
      <c r="AP32" s="17" t="n">
        <v>1</v>
      </c>
      <c r="AQ32" s="17" t="n">
        <v>185</v>
      </c>
      <c r="AR32" s="17" t="n">
        <v>11</v>
      </c>
      <c r="AS32" s="17" t="n">
        <v>132</v>
      </c>
      <c r="AT32" s="17" t="n">
        <v>122433</v>
      </c>
      <c r="AU32" s="17" t="n">
        <v>125687</v>
      </c>
      <c r="AV32" s="17" t="n">
        <v>456214</v>
      </c>
      <c r="AW32" s="17" t="n">
        <v>472583.1</v>
      </c>
      <c r="AX32" s="17" t="n">
        <v>19729.8</v>
      </c>
      <c r="AY32" s="17" t="n">
        <v>17527</v>
      </c>
      <c r="AZ32" s="17" t="n">
        <v>162</v>
      </c>
      <c r="BA32" s="17" t="n">
        <v>147</v>
      </c>
      <c r="BB32" s="17" t="n">
        <v>138383</v>
      </c>
      <c r="BC32" s="17" t="n">
        <v>134882</v>
      </c>
      <c r="BD32" s="17" t="n">
        <v>1069</v>
      </c>
      <c r="BE32" s="17" t="n">
        <v>602</v>
      </c>
      <c r="BF32" s="17" t="n">
        <v>623</v>
      </c>
      <c r="BG32" s="17" t="n">
        <v>204888.7</v>
      </c>
      <c r="BH32" s="17" t="n">
        <v>69384.7</v>
      </c>
      <c r="BI32" s="17" t="n">
        <v>0</v>
      </c>
      <c r="BJ32" s="17" t="n">
        <v>0</v>
      </c>
      <c r="BK32" s="17" t="n">
        <v>0</v>
      </c>
      <c r="BL32" s="17" t="n">
        <v>0</v>
      </c>
      <c r="BM32" s="17" t="n">
        <v>1</v>
      </c>
      <c r="BN32" s="17" t="n">
        <v>0</v>
      </c>
      <c r="BO32" s="17" t="n">
        <v>1</v>
      </c>
      <c r="BP32" s="17" t="n">
        <v>0</v>
      </c>
      <c r="BQ32" s="17" t="n">
        <v>0</v>
      </c>
      <c r="BR32" s="17" t="n">
        <v>0</v>
      </c>
      <c r="BS32" s="17" t="n">
        <v>0</v>
      </c>
      <c r="BT32" s="17" t="n">
        <v>99</v>
      </c>
      <c r="BU32" s="17" t="n">
        <v>127165</v>
      </c>
      <c r="BV32" s="17" t="n">
        <v>127020</v>
      </c>
      <c r="BW32" s="17" t="n">
        <v>65248016</v>
      </c>
      <c r="BX32" s="17" t="n">
        <v>142475</v>
      </c>
      <c r="BY32" s="17" t="n">
        <v>6469</v>
      </c>
    </row>
    <row r="33">
      <c r="A33" s="17" t="inlineStr">
        <is>
          <t>Group</t>
        </is>
      </c>
      <c r="B33" s="17" t="inlineStr">
        <is>
          <t>Entity A2</t>
        </is>
      </c>
      <c r="C33" s="17" t="inlineStr">
        <is>
          <t>Plant 05</t>
        </is>
      </c>
      <c r="D33" s="17" t="inlineStr">
        <is>
          <t>2026-09</t>
        </is>
      </c>
      <c r="E33" s="17" t="n">
        <v>205</v>
      </c>
      <c r="F33" s="17" t="n">
        <v>720</v>
      </c>
      <c r="G33" s="17" t="n">
        <v>710</v>
      </c>
      <c r="H33" s="17" t="n">
        <v>689.9</v>
      </c>
      <c r="I33" s="17" t="n">
        <v>10.2</v>
      </c>
      <c r="J33" s="17" t="n">
        <v>145550</v>
      </c>
      <c r="K33" s="17" t="n">
        <v>147600</v>
      </c>
      <c r="L33" s="17" t="n">
        <v>130881</v>
      </c>
      <c r="M33" s="17" t="n">
        <v>134645</v>
      </c>
      <c r="N33" s="17" t="n">
        <v>132787</v>
      </c>
      <c r="O33" s="17" t="n">
        <v>142400</v>
      </c>
      <c r="P33" s="17" t="n">
        <v>28428</v>
      </c>
      <c r="Q33" s="17" t="n">
        <v>25111</v>
      </c>
      <c r="R33" s="17" t="n">
        <v>2091</v>
      </c>
      <c r="S33" s="17" t="n">
        <v>1</v>
      </c>
      <c r="T33" s="17" t="n">
        <v>5.2</v>
      </c>
      <c r="U33" s="17" t="n">
        <v>42</v>
      </c>
      <c r="V33" s="17" t="n">
        <v>41</v>
      </c>
      <c r="W33" s="17" t="n">
        <v>398678.1</v>
      </c>
      <c r="X33" s="17" t="n">
        <v>92193.89999999999</v>
      </c>
      <c r="Y33" s="17" t="n">
        <v>1248.5</v>
      </c>
      <c r="Z33" s="17" t="n">
        <v>299945</v>
      </c>
      <c r="AA33" s="17" t="n">
        <v>86535</v>
      </c>
      <c r="AB33" s="17" t="n">
        <v>425107</v>
      </c>
      <c r="AC33" s="17" t="n">
        <v>0</v>
      </c>
      <c r="AD33" s="17" t="n">
        <v>1</v>
      </c>
      <c r="AE33" s="17" t="n">
        <v>60000</v>
      </c>
      <c r="AF33" s="17" t="n">
        <v>0</v>
      </c>
      <c r="AG33" s="17" t="n">
        <v>1</v>
      </c>
      <c r="AH33" s="17" t="n">
        <v>9</v>
      </c>
      <c r="AI33" s="17" t="n">
        <v>0</v>
      </c>
      <c r="AJ33" s="17" t="n">
        <v>0</v>
      </c>
      <c r="AK33" s="17" t="n">
        <v>0</v>
      </c>
      <c r="AL33" s="17" t="n">
        <v>6</v>
      </c>
      <c r="AM33" s="17" t="n">
        <v>0</v>
      </c>
      <c r="AN33" s="17" t="n">
        <v>0</v>
      </c>
      <c r="AO33" s="17" t="n">
        <v>0</v>
      </c>
      <c r="AP33" s="17" t="n">
        <v>0</v>
      </c>
      <c r="AQ33" s="17" t="n">
        <v>198</v>
      </c>
      <c r="AR33" s="17" t="n">
        <v>15</v>
      </c>
      <c r="AS33" s="17" t="n">
        <v>102</v>
      </c>
      <c r="AT33" s="17" t="n">
        <v>134472</v>
      </c>
      <c r="AU33" s="17" t="n">
        <v>130597</v>
      </c>
      <c r="AV33" s="17" t="n">
        <v>506388.4</v>
      </c>
      <c r="AW33" s="17" t="n">
        <v>491044.7</v>
      </c>
      <c r="AX33" s="17" t="n">
        <v>22330.4</v>
      </c>
      <c r="AY33" s="17" t="n">
        <v>17627.7</v>
      </c>
      <c r="AZ33" s="17" t="n">
        <v>284</v>
      </c>
      <c r="BA33" s="17" t="n">
        <v>261</v>
      </c>
      <c r="BB33" s="17" t="n">
        <v>138360</v>
      </c>
      <c r="BC33" s="17" t="n">
        <v>136947</v>
      </c>
      <c r="BD33" s="17" t="n">
        <v>1389</v>
      </c>
      <c r="BE33" s="17" t="n">
        <v>868</v>
      </c>
      <c r="BF33" s="17" t="n">
        <v>926</v>
      </c>
      <c r="BG33" s="17" t="n">
        <v>229069.1</v>
      </c>
      <c r="BH33" s="17" t="n">
        <v>81412.2</v>
      </c>
      <c r="BI33" s="17" t="n">
        <v>1</v>
      </c>
      <c r="BJ33" s="17" t="n">
        <v>0</v>
      </c>
      <c r="BK33" s="17" t="n">
        <v>0</v>
      </c>
      <c r="BL33" s="17" t="n">
        <v>0</v>
      </c>
      <c r="BM33" s="17" t="n">
        <v>1</v>
      </c>
      <c r="BN33" s="17" t="n">
        <v>0</v>
      </c>
      <c r="BO33" s="17" t="n">
        <v>0</v>
      </c>
      <c r="BP33" s="17" t="n">
        <v>0</v>
      </c>
      <c r="BQ33" s="17" t="n">
        <v>0</v>
      </c>
      <c r="BR33" s="17" t="n">
        <v>0</v>
      </c>
      <c r="BS33" s="17" t="n">
        <v>0</v>
      </c>
      <c r="BT33" s="17" t="n">
        <v>99</v>
      </c>
      <c r="BU33" s="17" t="n">
        <v>133388</v>
      </c>
      <c r="BV33" s="17" t="n">
        <v>134036</v>
      </c>
      <c r="BW33" s="17" t="n">
        <v>67486316</v>
      </c>
      <c r="BX33" s="17" t="n">
        <v>145550</v>
      </c>
      <c r="BY33" s="17" t="n">
        <v>2268</v>
      </c>
    </row>
    <row r="34">
      <c r="A34" s="17" t="inlineStr">
        <is>
          <t>Group</t>
        </is>
      </c>
      <c r="B34" s="17" t="inlineStr">
        <is>
          <t>Entity A2</t>
        </is>
      </c>
      <c r="C34" s="17" t="inlineStr">
        <is>
          <t>Plant 06</t>
        </is>
      </c>
      <c r="D34" s="17" t="inlineStr">
        <is>
          <t>2026-04</t>
        </is>
      </c>
      <c r="E34" s="17" t="n">
        <v>158.2</v>
      </c>
      <c r="F34" s="17" t="n">
        <v>720</v>
      </c>
      <c r="G34" s="17" t="n">
        <v>716</v>
      </c>
      <c r="H34" s="17" t="n">
        <v>694.1</v>
      </c>
      <c r="I34" s="17" t="n">
        <v>10.8</v>
      </c>
      <c r="J34" s="17" t="n">
        <v>113271</v>
      </c>
      <c r="K34" s="17" t="n">
        <v>113904</v>
      </c>
      <c r="L34" s="17" t="n">
        <v>99263</v>
      </c>
      <c r="M34" s="17" t="n">
        <v>106301</v>
      </c>
      <c r="N34" s="17" t="n">
        <v>101956</v>
      </c>
      <c r="O34" s="17" t="n">
        <v>109614</v>
      </c>
      <c r="P34" s="17" t="n">
        <v>26222</v>
      </c>
      <c r="Q34" s="17" t="n">
        <v>22359</v>
      </c>
      <c r="R34" s="17" t="n">
        <v>1709</v>
      </c>
      <c r="S34" s="17" t="n">
        <v>1</v>
      </c>
      <c r="T34" s="17" t="n">
        <v>3.1</v>
      </c>
      <c r="U34" s="17" t="n">
        <v>39</v>
      </c>
      <c r="V34" s="17" t="n">
        <v>37</v>
      </c>
      <c r="W34" s="17" t="n">
        <v>268423.8</v>
      </c>
      <c r="X34" s="17" t="n">
        <v>65884.39999999999</v>
      </c>
      <c r="Y34" s="17" t="n">
        <v>1044.7</v>
      </c>
      <c r="Z34" s="17" t="n">
        <v>209508</v>
      </c>
      <c r="AA34" s="17" t="n">
        <v>61037</v>
      </c>
      <c r="AB34" s="17" t="n">
        <v>339430</v>
      </c>
      <c r="AC34" s="17" t="n">
        <v>0</v>
      </c>
      <c r="AD34" s="17" t="n">
        <v>2</v>
      </c>
      <c r="AE34" s="17" t="n">
        <v>68000</v>
      </c>
      <c r="AF34" s="17" t="n">
        <v>0</v>
      </c>
      <c r="AG34" s="17" t="n">
        <v>0</v>
      </c>
      <c r="AH34" s="17" t="n">
        <v>10</v>
      </c>
      <c r="AI34" s="17" t="n">
        <v>0</v>
      </c>
      <c r="AJ34" s="17" t="n">
        <v>1</v>
      </c>
      <c r="AK34" s="17" t="n">
        <v>1</v>
      </c>
      <c r="AL34" s="17" t="n">
        <v>9</v>
      </c>
      <c r="AM34" s="17" t="n">
        <v>1</v>
      </c>
      <c r="AN34" s="17" t="n">
        <v>2</v>
      </c>
      <c r="AO34" s="17" t="n">
        <v>2</v>
      </c>
      <c r="AP34" s="17" t="n">
        <v>0</v>
      </c>
      <c r="AQ34" s="17" t="n">
        <v>184</v>
      </c>
      <c r="AR34" s="17" t="n">
        <v>6</v>
      </c>
      <c r="AS34" s="17" t="n">
        <v>260</v>
      </c>
      <c r="AT34" s="17" t="n">
        <v>101299</v>
      </c>
      <c r="AU34" s="17" t="n">
        <v>98345</v>
      </c>
      <c r="AV34" s="17" t="n">
        <v>385873.6</v>
      </c>
      <c r="AW34" s="17" t="n">
        <v>369777.2</v>
      </c>
      <c r="AX34" s="17" t="n">
        <v>18748</v>
      </c>
      <c r="AY34" s="17" t="n">
        <v>13648.2</v>
      </c>
      <c r="AZ34" s="17" t="n">
        <v>295</v>
      </c>
      <c r="BA34" s="17" t="n">
        <v>267</v>
      </c>
      <c r="BB34" s="17" t="n">
        <v>107455</v>
      </c>
      <c r="BC34" s="17" t="n">
        <v>105426</v>
      </c>
      <c r="BD34" s="17" t="n">
        <v>1142</v>
      </c>
      <c r="BE34" s="17" t="n">
        <v>588</v>
      </c>
      <c r="BF34" s="17" t="n">
        <v>596</v>
      </c>
      <c r="BG34" s="17" t="n">
        <v>157029</v>
      </c>
      <c r="BH34" s="17" t="n">
        <v>49890.3</v>
      </c>
      <c r="BI34" s="17" t="n">
        <v>0</v>
      </c>
      <c r="BJ34" s="17" t="n">
        <v>1</v>
      </c>
      <c r="BK34" s="17" t="n">
        <v>0</v>
      </c>
      <c r="BL34" s="17" t="n">
        <v>0</v>
      </c>
      <c r="BM34" s="17" t="n">
        <v>0</v>
      </c>
      <c r="BN34" s="17" t="n">
        <v>0</v>
      </c>
      <c r="BO34" s="17" t="n">
        <v>0</v>
      </c>
      <c r="BP34" s="17" t="n">
        <v>0</v>
      </c>
      <c r="BQ34" s="17" t="n">
        <v>0</v>
      </c>
      <c r="BR34" s="17" t="n">
        <v>0</v>
      </c>
      <c r="BS34" s="17" t="n">
        <v>0</v>
      </c>
      <c r="BT34" s="17" t="n">
        <v>99</v>
      </c>
      <c r="BU34" s="17" t="n">
        <v>100974</v>
      </c>
      <c r="BV34" s="17" t="n">
        <v>102566</v>
      </c>
      <c r="BW34" s="17" t="n">
        <v>37117018</v>
      </c>
      <c r="BX34" s="17" t="n">
        <v>113271</v>
      </c>
      <c r="BY34" s="17" t="n">
        <v>1754</v>
      </c>
    </row>
    <row r="35">
      <c r="A35" s="17" t="inlineStr">
        <is>
          <t>Group</t>
        </is>
      </c>
      <c r="B35" s="17" t="inlineStr">
        <is>
          <t>Entity A2</t>
        </is>
      </c>
      <c r="C35" s="17" t="inlineStr">
        <is>
          <t>Plant 06</t>
        </is>
      </c>
      <c r="D35" s="17" t="inlineStr">
        <is>
          <t>2026-05</t>
        </is>
      </c>
      <c r="E35" s="17" t="n">
        <v>158.2</v>
      </c>
      <c r="F35" s="17" t="n">
        <v>744</v>
      </c>
      <c r="G35" s="17" t="n">
        <v>678</v>
      </c>
      <c r="H35" s="17" t="n">
        <v>650</v>
      </c>
      <c r="I35" s="17" t="n">
        <v>20.8</v>
      </c>
      <c r="J35" s="17" t="n">
        <v>107260</v>
      </c>
      <c r="K35" s="17" t="n">
        <v>117701</v>
      </c>
      <c r="L35" s="17" t="n">
        <v>93083</v>
      </c>
      <c r="M35" s="17" t="n">
        <v>93387</v>
      </c>
      <c r="N35" s="17" t="n">
        <v>90953</v>
      </c>
      <c r="O35" s="17" t="n">
        <v>96185</v>
      </c>
      <c r="P35" s="17" t="n">
        <v>18622</v>
      </c>
      <c r="Q35" s="17" t="n">
        <v>16188</v>
      </c>
      <c r="R35" s="17" t="n">
        <v>3291</v>
      </c>
      <c r="S35" s="17" t="n">
        <v>3</v>
      </c>
      <c r="T35" s="17" t="n">
        <v>14.6</v>
      </c>
      <c r="U35" s="17" t="n">
        <v>51</v>
      </c>
      <c r="V35" s="17" t="n">
        <v>49</v>
      </c>
      <c r="W35" s="17" t="n">
        <v>257302.8</v>
      </c>
      <c r="X35" s="17" t="n">
        <v>71687.7</v>
      </c>
      <c r="Y35" s="17" t="n">
        <v>1471.8</v>
      </c>
      <c r="Z35" s="17" t="n">
        <v>170103</v>
      </c>
      <c r="AA35" s="17" t="n">
        <v>63809</v>
      </c>
      <c r="AB35" s="17" t="n">
        <v>283826</v>
      </c>
      <c r="AC35" s="17" t="n">
        <v>2043</v>
      </c>
      <c r="AD35" s="17" t="n">
        <v>0</v>
      </c>
      <c r="AE35" s="17" t="n">
        <v>59000</v>
      </c>
      <c r="AF35" s="17" t="n">
        <v>0</v>
      </c>
      <c r="AG35" s="17" t="n">
        <v>1</v>
      </c>
      <c r="AH35" s="17" t="n">
        <v>8</v>
      </c>
      <c r="AI35" s="17" t="n">
        <v>1</v>
      </c>
      <c r="AJ35" s="17" t="n">
        <v>0</v>
      </c>
      <c r="AK35" s="17" t="n">
        <v>0</v>
      </c>
      <c r="AL35" s="17" t="n">
        <v>6</v>
      </c>
      <c r="AM35" s="17" t="n">
        <v>2</v>
      </c>
      <c r="AN35" s="17" t="n">
        <v>2</v>
      </c>
      <c r="AO35" s="17" t="n">
        <v>2</v>
      </c>
      <c r="AP35" s="17" t="n">
        <v>0</v>
      </c>
      <c r="AQ35" s="17" t="n">
        <v>185</v>
      </c>
      <c r="AR35" s="17" t="n">
        <v>15</v>
      </c>
      <c r="AS35" s="17" t="n">
        <v>230</v>
      </c>
      <c r="AT35" s="17" t="n">
        <v>90871</v>
      </c>
      <c r="AU35" s="17" t="n">
        <v>93216</v>
      </c>
      <c r="AV35" s="17" t="n">
        <v>342109.1</v>
      </c>
      <c r="AW35" s="17" t="n">
        <v>350492.2</v>
      </c>
      <c r="AX35" s="17" t="n">
        <v>17781.8</v>
      </c>
      <c r="AY35" s="17" t="n">
        <v>13824</v>
      </c>
      <c r="AZ35" s="17" t="n">
        <v>241</v>
      </c>
      <c r="BA35" s="17" t="n">
        <v>227</v>
      </c>
      <c r="BB35" s="17" t="n">
        <v>95198</v>
      </c>
      <c r="BC35" s="17" t="n">
        <v>90404</v>
      </c>
      <c r="BD35" s="17" t="n">
        <v>1137</v>
      </c>
      <c r="BE35" s="17" t="n">
        <v>644</v>
      </c>
      <c r="BF35" s="17" t="n">
        <v>677</v>
      </c>
      <c r="BG35" s="17" t="n">
        <v>140906.8</v>
      </c>
      <c r="BH35" s="17" t="n">
        <v>49975.8</v>
      </c>
      <c r="BI35" s="17" t="n">
        <v>0</v>
      </c>
      <c r="BJ35" s="17" t="n">
        <v>0</v>
      </c>
      <c r="BK35" s="17" t="n">
        <v>0</v>
      </c>
      <c r="BL35" s="17" t="n">
        <v>0</v>
      </c>
      <c r="BM35" s="17" t="n">
        <v>0</v>
      </c>
      <c r="BN35" s="17" t="n">
        <v>0</v>
      </c>
      <c r="BO35" s="17" t="n">
        <v>0</v>
      </c>
      <c r="BP35" s="17" t="n">
        <v>0</v>
      </c>
      <c r="BQ35" s="17" t="n">
        <v>0</v>
      </c>
      <c r="BR35" s="17" t="n">
        <v>0</v>
      </c>
      <c r="BS35" s="17" t="n">
        <v>0</v>
      </c>
      <c r="BT35" s="17" t="n">
        <v>99</v>
      </c>
      <c r="BU35" s="17" t="n">
        <v>92594</v>
      </c>
      <c r="BV35" s="17" t="n">
        <v>92936</v>
      </c>
      <c r="BW35" s="17" t="n">
        <v>34945088</v>
      </c>
      <c r="BX35" s="17" t="n">
        <v>107260</v>
      </c>
      <c r="BY35" s="17" t="n">
        <v>3512</v>
      </c>
    </row>
    <row r="36">
      <c r="A36" s="17" t="inlineStr">
        <is>
          <t>Group</t>
        </is>
      </c>
      <c r="B36" s="17" t="inlineStr">
        <is>
          <t>Entity A2</t>
        </is>
      </c>
      <c r="C36" s="17" t="inlineStr">
        <is>
          <t>Plant 06</t>
        </is>
      </c>
      <c r="D36" s="17" t="inlineStr">
        <is>
          <t>2026-06</t>
        </is>
      </c>
      <c r="E36" s="17" t="n">
        <v>158.2</v>
      </c>
      <c r="F36" s="17" t="n">
        <v>720</v>
      </c>
      <c r="G36" s="17" t="n">
        <v>710</v>
      </c>
      <c r="H36" s="17" t="n">
        <v>685.1</v>
      </c>
      <c r="I36" s="17" t="n">
        <v>7.6</v>
      </c>
      <c r="J36" s="17" t="n">
        <v>112322</v>
      </c>
      <c r="K36" s="17" t="n">
        <v>113904</v>
      </c>
      <c r="L36" s="17" t="n">
        <v>101737</v>
      </c>
      <c r="M36" s="17" t="n">
        <v>99375</v>
      </c>
      <c r="N36" s="17" t="n">
        <v>97786</v>
      </c>
      <c r="O36" s="17" t="n">
        <v>109226</v>
      </c>
      <c r="P36" s="17" t="n">
        <v>20553</v>
      </c>
      <c r="Q36" s="17" t="n">
        <v>17742</v>
      </c>
      <c r="R36" s="17" t="n">
        <v>1202</v>
      </c>
      <c r="S36" s="17" t="n">
        <v>1</v>
      </c>
      <c r="T36" s="17" t="n">
        <v>4</v>
      </c>
      <c r="U36" s="17" t="n">
        <v>34</v>
      </c>
      <c r="V36" s="17" t="n">
        <v>34</v>
      </c>
      <c r="W36" s="17" t="n">
        <v>293503.6</v>
      </c>
      <c r="X36" s="17" t="n">
        <v>70567.7</v>
      </c>
      <c r="Y36" s="17" t="n">
        <v>953.1</v>
      </c>
      <c r="Z36" s="17" t="n">
        <v>209475</v>
      </c>
      <c r="AA36" s="17" t="n">
        <v>54476</v>
      </c>
      <c r="AB36" s="17" t="n">
        <v>289664</v>
      </c>
      <c r="AC36" s="17" t="n">
        <v>4506</v>
      </c>
      <c r="AD36" s="17" t="n">
        <v>2</v>
      </c>
      <c r="AE36" s="17" t="n">
        <v>93000</v>
      </c>
      <c r="AF36" s="17" t="n">
        <v>0</v>
      </c>
      <c r="AG36" s="17" t="n">
        <v>0</v>
      </c>
      <c r="AH36" s="17" t="n">
        <v>5</v>
      </c>
      <c r="AI36" s="17" t="n">
        <v>0</v>
      </c>
      <c r="AJ36" s="17" t="n">
        <v>0</v>
      </c>
      <c r="AK36" s="17" t="n">
        <v>0</v>
      </c>
      <c r="AL36" s="17" t="n">
        <v>12</v>
      </c>
      <c r="AM36" s="17" t="n">
        <v>2</v>
      </c>
      <c r="AN36" s="17" t="n">
        <v>3</v>
      </c>
      <c r="AO36" s="17" t="n">
        <v>3</v>
      </c>
      <c r="AP36" s="17" t="n">
        <v>0</v>
      </c>
      <c r="AQ36" s="17" t="n">
        <v>175</v>
      </c>
      <c r="AR36" s="17" t="n">
        <v>8</v>
      </c>
      <c r="AS36" s="17" t="n">
        <v>200</v>
      </c>
      <c r="AT36" s="17" t="n">
        <v>98065</v>
      </c>
      <c r="AU36" s="17" t="n">
        <v>101979</v>
      </c>
      <c r="AV36" s="17" t="n">
        <v>370258</v>
      </c>
      <c r="AW36" s="17" t="n">
        <v>383441</v>
      </c>
      <c r="AX36" s="17" t="n">
        <v>20211.4</v>
      </c>
      <c r="AY36" s="17" t="n">
        <v>13649.9</v>
      </c>
      <c r="AZ36" s="17" t="n">
        <v>297</v>
      </c>
      <c r="BA36" s="17" t="n">
        <v>281</v>
      </c>
      <c r="BB36" s="17" t="n">
        <v>109737</v>
      </c>
      <c r="BC36" s="17" t="n">
        <v>106134</v>
      </c>
      <c r="BD36" s="17" t="n">
        <v>581</v>
      </c>
      <c r="BE36" s="17" t="n">
        <v>588</v>
      </c>
      <c r="BF36" s="17" t="n">
        <v>581</v>
      </c>
      <c r="BG36" s="17" t="n">
        <v>161033.6</v>
      </c>
      <c r="BH36" s="17" t="n">
        <v>57752.7</v>
      </c>
      <c r="BI36" s="17" t="n">
        <v>0</v>
      </c>
      <c r="BJ36" s="17" t="n">
        <v>0</v>
      </c>
      <c r="BK36" s="17" t="n">
        <v>1</v>
      </c>
      <c r="BL36" s="17" t="n">
        <v>0</v>
      </c>
      <c r="BM36" s="17" t="n">
        <v>0</v>
      </c>
      <c r="BN36" s="17" t="n">
        <v>0</v>
      </c>
      <c r="BO36" s="17" t="n">
        <v>0</v>
      </c>
      <c r="BP36" s="17" t="n">
        <v>0</v>
      </c>
      <c r="BQ36" s="17" t="n">
        <v>0</v>
      </c>
      <c r="BR36" s="17" t="n">
        <v>0</v>
      </c>
      <c r="BS36" s="17" t="n">
        <v>0</v>
      </c>
      <c r="BT36" s="17" t="n">
        <v>99</v>
      </c>
      <c r="BU36" s="17" t="n">
        <v>102705</v>
      </c>
      <c r="BV36" s="17" t="n">
        <v>103273</v>
      </c>
      <c r="BW36" s="17" t="n">
        <v>40049632</v>
      </c>
      <c r="BX36" s="17" t="n">
        <v>112322</v>
      </c>
      <c r="BY36" s="17" t="n">
        <v>1031</v>
      </c>
    </row>
    <row r="37">
      <c r="A37" s="17" t="inlineStr">
        <is>
          <t>Group</t>
        </is>
      </c>
      <c r="B37" s="17" t="inlineStr">
        <is>
          <t>Entity A2</t>
        </is>
      </c>
      <c r="C37" s="17" t="inlineStr">
        <is>
          <t>Plant 06</t>
        </is>
      </c>
      <c r="D37" s="17" t="inlineStr">
        <is>
          <t>2026-07</t>
        </is>
      </c>
      <c r="E37" s="17" t="n">
        <v>158.2</v>
      </c>
      <c r="F37" s="17" t="n">
        <v>744</v>
      </c>
      <c r="G37" s="17" t="n">
        <v>738</v>
      </c>
      <c r="H37" s="17" t="n">
        <v>699.9</v>
      </c>
      <c r="I37" s="17" t="n">
        <v>23.1</v>
      </c>
      <c r="J37" s="17" t="n">
        <v>116752</v>
      </c>
      <c r="K37" s="17" t="n">
        <v>117701</v>
      </c>
      <c r="L37" s="17" t="n">
        <v>103750</v>
      </c>
      <c r="M37" s="17" t="n">
        <v>103911</v>
      </c>
      <c r="N37" s="17" t="n">
        <v>100958</v>
      </c>
      <c r="O37" s="17" t="n">
        <v>112227</v>
      </c>
      <c r="P37" s="17" t="n">
        <v>21719</v>
      </c>
      <c r="Q37" s="17" t="n">
        <v>18318</v>
      </c>
      <c r="R37" s="17" t="n">
        <v>3654</v>
      </c>
      <c r="S37" s="17" t="n">
        <v>3</v>
      </c>
      <c r="T37" s="17" t="n">
        <v>16.9</v>
      </c>
      <c r="U37" s="17" t="n">
        <v>31</v>
      </c>
      <c r="V37" s="17" t="n">
        <v>29</v>
      </c>
      <c r="W37" s="17" t="n">
        <v>315593.3</v>
      </c>
      <c r="X37" s="17" t="n">
        <v>100678.8</v>
      </c>
      <c r="Y37" s="17" t="n">
        <v>1062.1</v>
      </c>
      <c r="Z37" s="17" t="n">
        <v>220957</v>
      </c>
      <c r="AA37" s="17" t="n">
        <v>68538</v>
      </c>
      <c r="AB37" s="17" t="n">
        <v>303194</v>
      </c>
      <c r="AC37" s="17" t="n">
        <v>1940</v>
      </c>
      <c r="AD37" s="17" t="n">
        <v>0</v>
      </c>
      <c r="AE37" s="17" t="n">
        <v>86000</v>
      </c>
      <c r="AF37" s="17" t="n">
        <v>0</v>
      </c>
      <c r="AG37" s="17" t="n">
        <v>0</v>
      </c>
      <c r="AH37" s="17" t="n">
        <v>6</v>
      </c>
      <c r="AI37" s="17" t="n">
        <v>0</v>
      </c>
      <c r="AJ37" s="17" t="n">
        <v>0</v>
      </c>
      <c r="AK37" s="17" t="n">
        <v>0</v>
      </c>
      <c r="AL37" s="17" t="n">
        <v>9</v>
      </c>
      <c r="AM37" s="17" t="n">
        <v>1</v>
      </c>
      <c r="AN37" s="17" t="n">
        <v>3</v>
      </c>
      <c r="AO37" s="17" t="n">
        <v>2</v>
      </c>
      <c r="AP37" s="17" t="n">
        <v>2</v>
      </c>
      <c r="AQ37" s="17" t="n">
        <v>153</v>
      </c>
      <c r="AR37" s="17" t="n">
        <v>12</v>
      </c>
      <c r="AS37" s="17" t="n">
        <v>170</v>
      </c>
      <c r="AT37" s="17" t="n">
        <v>101316</v>
      </c>
      <c r="AU37" s="17" t="n">
        <v>103289</v>
      </c>
      <c r="AV37" s="17" t="n">
        <v>378066.9</v>
      </c>
      <c r="AW37" s="17" t="n">
        <v>388366.6</v>
      </c>
      <c r="AX37" s="17" t="n">
        <v>16684.9</v>
      </c>
      <c r="AY37" s="17" t="n">
        <v>13335.2</v>
      </c>
      <c r="AZ37" s="17" t="n">
        <v>280</v>
      </c>
      <c r="BA37" s="17" t="n">
        <v>262</v>
      </c>
      <c r="BB37" s="17" t="n">
        <v>110299</v>
      </c>
      <c r="BC37" s="17" t="n">
        <v>108493</v>
      </c>
      <c r="BD37" s="17" t="n">
        <v>919</v>
      </c>
      <c r="BE37" s="17" t="n">
        <v>1190</v>
      </c>
      <c r="BF37" s="17" t="n">
        <v>1199</v>
      </c>
      <c r="BG37" s="17" t="n">
        <v>174672.2</v>
      </c>
      <c r="BH37" s="17" t="n">
        <v>59403.4</v>
      </c>
      <c r="BI37" s="17" t="n">
        <v>0</v>
      </c>
      <c r="BJ37" s="17" t="n">
        <v>0</v>
      </c>
      <c r="BK37" s="17" t="n">
        <v>0</v>
      </c>
      <c r="BL37" s="17" t="n">
        <v>1</v>
      </c>
      <c r="BM37" s="17" t="n">
        <v>1</v>
      </c>
      <c r="BN37" s="17" t="n">
        <v>0</v>
      </c>
      <c r="BO37" s="17" t="n">
        <v>0</v>
      </c>
      <c r="BP37" s="17" t="n">
        <v>0</v>
      </c>
      <c r="BQ37" s="17" t="n">
        <v>0</v>
      </c>
      <c r="BR37" s="17" t="n">
        <v>0</v>
      </c>
      <c r="BS37" s="17" t="n">
        <v>0</v>
      </c>
      <c r="BT37" s="17" t="n">
        <v>99</v>
      </c>
      <c r="BU37" s="17" t="n">
        <v>104924</v>
      </c>
      <c r="BV37" s="17" t="n">
        <v>107181</v>
      </c>
      <c r="BW37" s="17" t="n">
        <v>46432093</v>
      </c>
      <c r="BX37" s="17" t="n">
        <v>116752</v>
      </c>
      <c r="BY37" s="17" t="n">
        <v>3277</v>
      </c>
    </row>
    <row r="38">
      <c r="A38" s="17" t="inlineStr">
        <is>
          <t>Group</t>
        </is>
      </c>
      <c r="B38" s="17" t="inlineStr">
        <is>
          <t>Entity A2</t>
        </is>
      </c>
      <c r="C38" s="17" t="inlineStr">
        <is>
          <t>Plant 06</t>
        </is>
      </c>
      <c r="D38" s="17" t="inlineStr">
        <is>
          <t>2026-08</t>
        </is>
      </c>
      <c r="E38" s="17" t="n">
        <v>158.2</v>
      </c>
      <c r="F38" s="17" t="n">
        <v>744</v>
      </c>
      <c r="G38" s="17" t="n">
        <v>744</v>
      </c>
      <c r="H38" s="17" t="n">
        <v>702</v>
      </c>
      <c r="I38" s="17" t="n">
        <v>23.5</v>
      </c>
      <c r="J38" s="17" t="n">
        <v>117701</v>
      </c>
      <c r="K38" s="17" t="n">
        <v>117701</v>
      </c>
      <c r="L38" s="17" t="n">
        <v>105368</v>
      </c>
      <c r="M38" s="17" t="n">
        <v>100223</v>
      </c>
      <c r="N38" s="17" t="n">
        <v>97315</v>
      </c>
      <c r="O38" s="17" t="n">
        <v>105052</v>
      </c>
      <c r="P38" s="17" t="n">
        <v>24299</v>
      </c>
      <c r="Q38" s="17" t="n">
        <v>21958</v>
      </c>
      <c r="R38" s="17" t="n">
        <v>3718</v>
      </c>
      <c r="S38" s="17" t="n">
        <v>4</v>
      </c>
      <c r="T38" s="17" t="n">
        <v>14.8</v>
      </c>
      <c r="U38" s="17" t="n">
        <v>30</v>
      </c>
      <c r="V38" s="17" t="n">
        <v>30</v>
      </c>
      <c r="W38" s="17" t="n">
        <v>329106.6</v>
      </c>
      <c r="X38" s="17" t="n">
        <v>89325.10000000001</v>
      </c>
      <c r="Y38" s="17" t="n">
        <v>1485.5</v>
      </c>
      <c r="Z38" s="17" t="n">
        <v>185666</v>
      </c>
      <c r="AA38" s="17" t="n">
        <v>60804</v>
      </c>
      <c r="AB38" s="17" t="n">
        <v>349459</v>
      </c>
      <c r="AC38" s="17" t="n">
        <v>5827</v>
      </c>
      <c r="AD38" s="17" t="n">
        <v>2</v>
      </c>
      <c r="AE38" s="17" t="n">
        <v>57000</v>
      </c>
      <c r="AF38" s="17" t="n">
        <v>1</v>
      </c>
      <c r="AG38" s="17" t="n">
        <v>0</v>
      </c>
      <c r="AH38" s="17" t="n">
        <v>10</v>
      </c>
      <c r="AI38" s="17" t="n">
        <v>0</v>
      </c>
      <c r="AJ38" s="17" t="n">
        <v>0</v>
      </c>
      <c r="AK38" s="17" t="n">
        <v>0</v>
      </c>
      <c r="AL38" s="17" t="n">
        <v>6</v>
      </c>
      <c r="AM38" s="17" t="n">
        <v>0</v>
      </c>
      <c r="AN38" s="17" t="n">
        <v>3</v>
      </c>
      <c r="AO38" s="17" t="n">
        <v>3</v>
      </c>
      <c r="AP38" s="17" t="n">
        <v>0</v>
      </c>
      <c r="AQ38" s="17" t="n">
        <v>231</v>
      </c>
      <c r="AR38" s="17" t="n">
        <v>8</v>
      </c>
      <c r="AS38" s="17" t="n">
        <v>140</v>
      </c>
      <c r="AT38" s="17" t="n">
        <v>95918</v>
      </c>
      <c r="AU38" s="17" t="n">
        <v>104584</v>
      </c>
      <c r="AV38" s="17" t="n">
        <v>359088.5</v>
      </c>
      <c r="AW38" s="17" t="n">
        <v>393235.8</v>
      </c>
      <c r="AX38" s="17" t="n">
        <v>19129.8</v>
      </c>
      <c r="AY38" s="17" t="n">
        <v>13346.9</v>
      </c>
      <c r="AZ38" s="17" t="n">
        <v>255</v>
      </c>
      <c r="BA38" s="17" t="n">
        <v>239</v>
      </c>
      <c r="BB38" s="17" t="n">
        <v>107841</v>
      </c>
      <c r="BC38" s="17" t="n">
        <v>105998</v>
      </c>
      <c r="BD38" s="17" t="n">
        <v>1081</v>
      </c>
      <c r="BE38" s="17" t="n">
        <v>1078</v>
      </c>
      <c r="BF38" s="17" t="n">
        <v>1065</v>
      </c>
      <c r="BG38" s="17" t="n">
        <v>167610.1</v>
      </c>
      <c r="BH38" s="17" t="n">
        <v>56483.5</v>
      </c>
      <c r="BI38" s="17" t="n">
        <v>0</v>
      </c>
      <c r="BJ38" s="17" t="n">
        <v>0</v>
      </c>
      <c r="BK38" s="17" t="n">
        <v>0</v>
      </c>
      <c r="BL38" s="17" t="n">
        <v>1</v>
      </c>
      <c r="BM38" s="17" t="n">
        <v>0</v>
      </c>
      <c r="BN38" s="17" t="n">
        <v>0</v>
      </c>
      <c r="BO38" s="17" t="n">
        <v>0</v>
      </c>
      <c r="BP38" s="17" t="n">
        <v>0</v>
      </c>
      <c r="BQ38" s="17" t="n">
        <v>0</v>
      </c>
      <c r="BR38" s="17" t="n">
        <v>0</v>
      </c>
      <c r="BS38" s="17" t="n">
        <v>0</v>
      </c>
      <c r="BT38" s="17" t="n">
        <v>99</v>
      </c>
      <c r="BU38" s="17" t="n">
        <v>104978</v>
      </c>
      <c r="BV38" s="17" t="n">
        <v>106463</v>
      </c>
      <c r="BW38" s="17" t="n">
        <v>40888261</v>
      </c>
      <c r="BX38" s="17" t="n">
        <v>117701</v>
      </c>
      <c r="BY38" s="17" t="n">
        <v>4166</v>
      </c>
    </row>
    <row r="39">
      <c r="A39" s="17" t="inlineStr">
        <is>
          <t>Group</t>
        </is>
      </c>
      <c r="B39" s="17" t="inlineStr">
        <is>
          <t>Entity A2</t>
        </is>
      </c>
      <c r="C39" s="17" t="inlineStr">
        <is>
          <t>Plant 06</t>
        </is>
      </c>
      <c r="D39" s="17" t="inlineStr">
        <is>
          <t>2026-09</t>
        </is>
      </c>
      <c r="E39" s="17" t="n">
        <v>158.2</v>
      </c>
      <c r="F39" s="17" t="n">
        <v>720</v>
      </c>
      <c r="G39" s="17" t="n">
        <v>712</v>
      </c>
      <c r="H39" s="17" t="n">
        <v>680.7</v>
      </c>
      <c r="I39" s="17" t="n">
        <v>13.4</v>
      </c>
      <c r="J39" s="17" t="n">
        <v>112638</v>
      </c>
      <c r="K39" s="17" t="n">
        <v>113904</v>
      </c>
      <c r="L39" s="17" t="n">
        <v>98037</v>
      </c>
      <c r="M39" s="17" t="n">
        <v>97437</v>
      </c>
      <c r="N39" s="17" t="n">
        <v>94388</v>
      </c>
      <c r="O39" s="17" t="n">
        <v>101633</v>
      </c>
      <c r="P39" s="17" t="n">
        <v>20587</v>
      </c>
      <c r="Q39" s="17" t="n">
        <v>17410</v>
      </c>
      <c r="R39" s="17" t="n">
        <v>2120</v>
      </c>
      <c r="S39" s="17" t="n">
        <v>1</v>
      </c>
      <c r="T39" s="17" t="n">
        <v>6.5</v>
      </c>
      <c r="U39" s="17" t="n">
        <v>36</v>
      </c>
      <c r="V39" s="17" t="n">
        <v>34</v>
      </c>
      <c r="W39" s="17" t="n">
        <v>262617.2</v>
      </c>
      <c r="X39" s="17" t="n">
        <v>65862.8</v>
      </c>
      <c r="Y39" s="17" t="n">
        <v>1573</v>
      </c>
      <c r="Z39" s="17" t="n">
        <v>230619</v>
      </c>
      <c r="AA39" s="17" t="n">
        <v>63239</v>
      </c>
      <c r="AB39" s="17" t="n">
        <v>287280</v>
      </c>
      <c r="AC39" s="17" t="n">
        <v>5880</v>
      </c>
      <c r="AD39" s="17" t="n">
        <v>1</v>
      </c>
      <c r="AE39" s="17" t="n">
        <v>89000</v>
      </c>
      <c r="AF39" s="17" t="n">
        <v>0</v>
      </c>
      <c r="AG39" s="17" t="n">
        <v>1</v>
      </c>
      <c r="AH39" s="17" t="n">
        <v>9</v>
      </c>
      <c r="AI39" s="17" t="n">
        <v>0</v>
      </c>
      <c r="AJ39" s="17" t="n">
        <v>0</v>
      </c>
      <c r="AK39" s="17" t="n">
        <v>0</v>
      </c>
      <c r="AL39" s="17" t="n">
        <v>5</v>
      </c>
      <c r="AM39" s="17" t="n">
        <v>1</v>
      </c>
      <c r="AN39" s="17" t="n">
        <v>0</v>
      </c>
      <c r="AO39" s="17" t="n">
        <v>0</v>
      </c>
      <c r="AP39" s="17" t="n">
        <v>1</v>
      </c>
      <c r="AQ39" s="17" t="n">
        <v>125</v>
      </c>
      <c r="AR39" s="17" t="n">
        <v>3</v>
      </c>
      <c r="AS39" s="17" t="n">
        <v>110</v>
      </c>
      <c r="AT39" s="17" t="n">
        <v>96056</v>
      </c>
      <c r="AU39" s="17" t="n">
        <v>97878</v>
      </c>
      <c r="AV39" s="17" t="n">
        <v>363110.2</v>
      </c>
      <c r="AW39" s="17" t="n">
        <v>368021.3</v>
      </c>
      <c r="AX39" s="17" t="n">
        <v>14652.5</v>
      </c>
      <c r="AY39" s="17" t="n">
        <v>13440.5</v>
      </c>
      <c r="AZ39" s="17" t="n">
        <v>151</v>
      </c>
      <c r="BA39" s="17" t="n">
        <v>137</v>
      </c>
      <c r="BB39" s="17" t="n">
        <v>100510</v>
      </c>
      <c r="BC39" s="17" t="n">
        <v>95543</v>
      </c>
      <c r="BD39" s="17" t="n">
        <v>1310</v>
      </c>
      <c r="BE39" s="17" t="n">
        <v>616</v>
      </c>
      <c r="BF39" s="17" t="n">
        <v>609</v>
      </c>
      <c r="BG39" s="17" t="n">
        <v>146401.1</v>
      </c>
      <c r="BH39" s="17" t="n">
        <v>58367</v>
      </c>
      <c r="BI39" s="17" t="n">
        <v>0</v>
      </c>
      <c r="BJ39" s="17" t="n">
        <v>0</v>
      </c>
      <c r="BK39" s="17" t="n">
        <v>1</v>
      </c>
      <c r="BL39" s="17" t="n">
        <v>0</v>
      </c>
      <c r="BM39" s="17" t="n">
        <v>0</v>
      </c>
      <c r="BN39" s="17" t="n">
        <v>0</v>
      </c>
      <c r="BO39" s="17" t="n">
        <v>0</v>
      </c>
      <c r="BP39" s="17" t="n">
        <v>0</v>
      </c>
      <c r="BQ39" s="17" t="n">
        <v>0</v>
      </c>
      <c r="BR39" s="17" t="n">
        <v>0</v>
      </c>
      <c r="BS39" s="17" t="n">
        <v>0</v>
      </c>
      <c r="BT39" s="17" t="n">
        <v>99</v>
      </c>
      <c r="BU39" s="17" t="n">
        <v>99398</v>
      </c>
      <c r="BV39" s="17" t="n">
        <v>100389</v>
      </c>
      <c r="BW39" s="17" t="n">
        <v>33437653</v>
      </c>
      <c r="BX39" s="17" t="n">
        <v>112638</v>
      </c>
      <c r="BY39" s="17" t="n">
        <v>2024</v>
      </c>
    </row>
  </sheetData>
  <autoFilter ref="A3:BY39"/>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8.7109375" customWidth="1" min="1" max="1"/>
    <col width="14.7109375" customWidth="1" min="2" max="2"/>
    <col width="60.7109375" customWidth="1" min="3" max="3"/>
  </cols>
  <sheetData>
    <row r="1">
      <c r="A1" s="1" t="inlineStr">
        <is>
          <t>Name</t>
        </is>
      </c>
      <c r="B1" s="1" t="inlineStr">
        <is>
          <t>Value</t>
        </is>
      </c>
      <c r="C1" s="1" t="inlineStr">
        <is>
          <t>Meaning</t>
        </is>
      </c>
    </row>
    <row r="2">
      <c r="A2" s="2" t="inlineStr">
        <is>
          <t>TaxRate</t>
        </is>
      </c>
      <c r="B2" s="23" t="n">
        <v>0.25</v>
      </c>
      <c r="C2" s="3" t="inlineStr">
        <is>
          <t>Tax rate used for after-tax return</t>
        </is>
      </c>
    </row>
    <row r="3">
      <c r="A3" s="2" t="inlineStr">
        <is>
          <t>WACC</t>
        </is>
      </c>
      <c r="B3" s="23" t="n">
        <v>0.095</v>
      </c>
      <c r="C3" s="3" t="inlineStr">
        <is>
          <t>Cost of capital, per year</t>
        </is>
      </c>
    </row>
    <row r="4">
      <c r="A4" s="2" t="inlineStr">
        <is>
          <t>CovenantMax</t>
        </is>
      </c>
      <c r="B4" s="23" t="n">
        <v>2.5</v>
      </c>
      <c r="C4" s="3" t="inlineStr">
        <is>
          <t>Covenant limit: net debt ÷ EBITDA (times)</t>
        </is>
      </c>
    </row>
    <row r="5">
      <c r="A5" s="2" t="inlineStr">
        <is>
          <t>OpeningNWC_A1</t>
        </is>
      </c>
      <c r="B5" s="23" t="n">
        <v>2109562.8</v>
      </c>
      <c r="C5" s="3" t="inlineStr">
        <is>
          <t>Net working capital at 31 Mar 2026, Entity A1 (₹ thousand)</t>
        </is>
      </c>
    </row>
    <row r="6">
      <c r="A6" s="2" t="inlineStr">
        <is>
          <t>OpeningNWC_A2</t>
        </is>
      </c>
      <c r="B6" s="23" t="n">
        <v>759330.2</v>
      </c>
      <c r="C6" s="3" t="inlineStr">
        <is>
          <t>Net working capital at 31 Mar 2026, Entity A2 (₹ thousand)</t>
        </is>
      </c>
    </row>
    <row r="7">
      <c r="A7" s="2" t="inlineStr">
        <is>
          <t>OpeningNWC</t>
        </is>
      </c>
      <c r="B7" s="24">
        <f>B5+B6</f>
        <v/>
      </c>
      <c r="C7" s="3" t="inlineStr">
        <is>
          <t>Net working capital at 31 Mar 2026, Group (₹ thousand)</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7109375" customWidth="1" min="1" max="1"/>
  </cols>
  <sheetData>
    <row r="1">
      <c r="A1" s="1" t="inlineStr">
        <is>
          <t>Owner lens KPI model: every KPI on the Owner screens and how it is calculated, bottom up</t>
        </is>
      </c>
    </row>
    <row r="2">
      <c r="A2" s="20" t="inlineStr">
        <is>
          <t>Owner KPIs: the 118 KPIs that appear on the 21 Owner-lens screens (O-01 to O-09, Owner views of G-08, S-03 and S-08, S-04 to S-11, and the large-display, mobile and state-gallery variants). The Owner lens is the Group-wide view, so each KPI is calculated from the Group totals. One row per KPI, one column per month; every value is a live formula.</t>
        </is>
      </c>
    </row>
    <row r="3">
      <c r="A3" s="20" t="inlineStr">
        <is>
          <t>Owner Screens: every place a KPI appears on an Owner screen (card, tile or table row), what the screen shows today, and the model's value for the same scope in Sep 2026. Most are Group; a few drill-ins show Entity A1 or Plant 02, and those use the same formula on that entity's or plant's inputs.</t>
        </is>
      </c>
    </row>
    <row r="4">
      <c r="A4" s="20" t="inlineStr">
        <is>
          <t>Group Inputs: each input is the sum of Entity A1 and Entity A2 (or the lowest, for days to permit expiry and days to breach). Blue columns are building blocks calculated from those inputs, such as EBITDA and net working capital.</t>
        </is>
      </c>
    </row>
    <row r="5">
      <c r="A5" s="20" t="inlineStr">
        <is>
          <t>Entity Inputs: inputs that come from plants are the sum of the entity's 3 plants. Yellow inputs only exist at entity level (finance, cash, treasury, capex, programmes, contracts, controls, governance, data trust, workflow).</t>
        </is>
      </c>
    </row>
    <row r="6">
      <c r="A6" s="20" t="inlineStr">
        <is>
          <t>Plant Inputs: the plant data. The first 40 input columns are plant_base.csv unchanged; the rest are added for sales, supply, regulatory and forecast KPIs.</t>
        </is>
      </c>
    </row>
    <row r="7">
      <c r="A7" s="20" t="inlineStr">
        <is>
          <t>Parameters: tax rate, cost of capital, covenant limit and opening working capital used by some formulas.</t>
        </is>
      </c>
    </row>
    <row r="8">
      <c r="A8" s="20" t="inlineStr">
        <is>
          <t>Rule: KPIs are always recalculated from the Group totals. They are never averages of entity or plant KPIs.</t>
        </is>
      </c>
    </row>
    <row r="9">
      <c r="A9" s="20" t="inlineStr">
        <is>
          <t>All data is synthetic. Formulas are working assumptions until the KPI catalogue definitions are approved.</t>
        </is>
      </c>
    </row>
    <row r="10">
      <c r="A10" s="20" t="inlineStr">
        <is>
          <t>Some IDs on the mockups measure the same thing and so show the same value: OPS-005 = OPS-003, OPS-006 = PLT-002, OPS-004 = OPS-002, PRG-004 = STR-002, RSK-003 = CMP-005 = REG-010.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2026-10-05T18:41:25Z</dcterms:created>
  <dcterms:modified xmlns:dcterms="http://purl.org/dc/terms/" xmlns:xsi="http://www.w3.org/2001/XMLSchema-instance" xsi:type="dcterms:W3CDTF">2026-10-06T11:37:20Z</dcterms:modified>
</cp:coreProperties>
</file>