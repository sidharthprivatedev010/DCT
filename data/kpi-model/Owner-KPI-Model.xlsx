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1"/>
  </bookViews>
  <sheets>
    <sheet name="Calculated vs Shown" sheetId="1" r:id="rId1"/>
    <sheet name="Owner KPIs" sheetId="2" r:id="rId2"/>
    <sheet name="Owner Screens" sheetId="3" r:id="rId3"/>
    <sheet name="Group Inputs" sheetId="4" r:id="rId4"/>
    <sheet name="Entity Inputs" sheetId="5" r:id="rId5"/>
    <sheet name="Plant Inputs" sheetId="6" r:id="rId6"/>
    <sheet name="Parameters" sheetId="7" r:id="rId7"/>
    <sheet name="About" sheetId="8" r:id="rId8"/>
  </sheets>
  <definedNames>
    <definedName name="_xlnm._FilterDatabase" localSheetId="0" hidden="1">'Calculated vs Shown'!$A$1:$I$119</definedName>
    <definedName name="_xlnm._FilterDatabase" localSheetId="4" hidden="1">'Entity Inputs'!$A$3:$FU$15</definedName>
    <definedName name="_xlnm._FilterDatabase" localSheetId="1" hidden="1">'Owner KPIs'!$A$1:$N$119</definedName>
    <definedName name="_xlnm._FilterDatabase" localSheetId="2" hidden="1">'Owner Screens'!$A$1:$J$195</definedName>
    <definedName name="_xlnm._FilterDatabase" localSheetId="5" hidden="1">'Plant Inputs'!$A$3:$BY$39</definedName>
  </definedNames>
  <calcPr calcId="124519" fullCalcOnLoad="1"/>
</workbook>
</file>

<file path=xl/sharedStrings.xml><?xml version="1.0" encoding="utf-8"?>
<sst xmlns="http://schemas.openxmlformats.org/spreadsheetml/2006/main" count="5007" uniqueCount="1420">
  <si>
    <t>Name</t>
  </si>
  <si>
    <t>Value</t>
  </si>
  <si>
    <t>Meaning</t>
  </si>
  <si>
    <t>TaxRate</t>
  </si>
  <si>
    <t>Tax rate used for after-tax return</t>
  </si>
  <si>
    <t>WACC</t>
  </si>
  <si>
    <t>Cost of capital, per year</t>
  </si>
  <si>
    <t>CovenantMax</t>
  </si>
  <si>
    <t>Covenant limit: net debt ÷ EBITDA (times)</t>
  </si>
  <si>
    <t>OpeningNWC_A1</t>
  </si>
  <si>
    <t>Net working capital at 31 Mar 2026, Entity A1 (₹ thousand)</t>
  </si>
  <si>
    <t>OpeningNWC_A2</t>
  </si>
  <si>
    <t>Net working capital at 31 Mar 2026, Entity A2 (₹ thousand)</t>
  </si>
  <si>
    <t>OpeningNWC</t>
  </si>
  <si>
    <t>Net working capital at 31 Mar 2026, Group (₹ thousand)</t>
  </si>
  <si>
    <t>Group</t>
  </si>
  <si>
    <t>group</t>
  </si>
  <si>
    <t>Entity</t>
  </si>
  <si>
    <t>entity</t>
  </si>
  <si>
    <t>Plant</t>
  </si>
  <si>
    <t>plant</t>
  </si>
  <si>
    <t>Month</t>
  </si>
  <si>
    <t>period</t>
  </si>
  <si>
    <t>Nameplate rate (t/hour)</t>
  </si>
  <si>
    <t>nameplate_tph</t>
  </si>
  <si>
    <t>Input</t>
  </si>
  <si>
    <t>Calendar hours (h)</t>
  </si>
  <si>
    <t>calendar_hours</t>
  </si>
  <si>
    <t>Planned operating hours (h)</t>
  </si>
  <si>
    <t>planned_op_hours</t>
  </si>
  <si>
    <t>Run hours (h)</t>
  </si>
  <si>
    <t>run_hours</t>
  </si>
  <si>
    <t>Unplanned downtime (h)</t>
  </si>
  <si>
    <t>unplanned_downtime_hours</t>
  </si>
  <si>
    <t>Ideal output (t)</t>
  </si>
  <si>
    <t>ideal_output_t</t>
  </si>
  <si>
    <t>Installed capacity (t)</t>
  </si>
  <si>
    <t>installed_capacity_t</t>
  </si>
  <si>
    <t>Planned production (t)</t>
  </si>
  <si>
    <t>planned_production_t</t>
  </si>
  <si>
    <t>Gross output (t)</t>
  </si>
  <si>
    <t>gross_output_t</t>
  </si>
  <si>
    <t>Good output (t)</t>
  </si>
  <si>
    <t>good_output_t</t>
  </si>
  <si>
    <t>Feed input (t)</t>
  </si>
  <si>
    <t>feed_input_t</t>
  </si>
  <si>
    <t>Valuable content in feed (t)</t>
  </si>
  <si>
    <t>feed_contained_t</t>
  </si>
  <si>
    <t>Valuable content recovered (t)</t>
  </si>
  <si>
    <t>recovered_contained_t</t>
  </si>
  <si>
    <t>Production lost to downtime (t)</t>
  </si>
  <si>
    <t>prod_loss_downtime_t</t>
  </si>
  <si>
    <t>Breakdowns (count)</t>
  </si>
  <si>
    <t>failures</t>
  </si>
  <si>
    <t>Repair hours (h)</t>
  </si>
  <si>
    <t>repair_hours</t>
  </si>
  <si>
    <t>Preventive maintenance scheduled (count)</t>
  </si>
  <si>
    <t>pm_scheduled</t>
  </si>
  <si>
    <t>Preventive maintenance completed (count)</t>
  </si>
  <si>
    <t>pm_completed</t>
  </si>
  <si>
    <t>Variable cost (₹ thousand)</t>
  </si>
  <si>
    <t>variable_cost_k</t>
  </si>
  <si>
    <t>Fuel cost (₹ thousand)</t>
  </si>
  <si>
    <t>fuel_cost_k</t>
  </si>
  <si>
    <t>Fixed cost (₹ thousand)</t>
  </si>
  <si>
    <t>fixed_cost_k</t>
  </si>
  <si>
    <t>Water used (m³)</t>
  </si>
  <si>
    <t>water_m3</t>
  </si>
  <si>
    <t>Emissions (t CO2e)</t>
  </si>
  <si>
    <t>emissions_tco2e</t>
  </si>
  <si>
    <t>Energy used (GJ)</t>
  </si>
  <si>
    <t>energy_gj</t>
  </si>
  <si>
    <t>Production at risk (t)</t>
  </si>
  <si>
    <t>production_at_risk_t</t>
  </si>
  <si>
    <t>Critical plant alerts (count)</t>
  </si>
  <si>
    <t>critical_plant_alerts</t>
  </si>
  <si>
    <t>Hours worked (h)</t>
  </si>
  <si>
    <t>hours_worked</t>
  </si>
  <si>
    <t>Recordable injuries (count)</t>
  </si>
  <si>
    <t>recordable_injuries</t>
  </si>
  <si>
    <t>Severity incidents (count)</t>
  </si>
  <si>
    <t>severity_incidents</t>
  </si>
  <si>
    <t>Near misses (count)</t>
  </si>
  <si>
    <t>near_misses</t>
  </si>
  <si>
    <t>Critical safety incidents (count)</t>
  </si>
  <si>
    <t>critical_safety_incidents</t>
  </si>
  <si>
    <t>Environmental excursions (count)</t>
  </si>
  <si>
    <t>env_excursions</t>
  </si>
  <si>
    <t>Environmental violations (count)</t>
  </si>
  <si>
    <t>env_violations</t>
  </si>
  <si>
    <t>Open EHS corrective actions (count)</t>
  </si>
  <si>
    <t>ehs_ca_open</t>
  </si>
  <si>
    <t>Overdue EHS corrective actions (count)</t>
  </si>
  <si>
    <t>ehs_ca_overdue</t>
  </si>
  <si>
    <t>EHS investigations due (count)</t>
  </si>
  <si>
    <t>investigations_due</t>
  </si>
  <si>
    <t>EHS investigations completed (count)</t>
  </si>
  <si>
    <t>investigations_completed</t>
  </si>
  <si>
    <t>Critical materials at risk (count)</t>
  </si>
  <si>
    <t>critical_material_risks</t>
  </si>
  <si>
    <t>Dispatches (count)</t>
  </si>
  <si>
    <t>dispatches_total</t>
  </si>
  <si>
    <t>Delayed dispatches (count)</t>
  </si>
  <si>
    <t>dispatches_delayed</t>
  </si>
  <si>
    <t>Days to permit expiry (days)</t>
  </si>
  <si>
    <t>permit_days_to_expiry</t>
  </si>
  <si>
    <t>Sales volume (t)</t>
  </si>
  <si>
    <t>sales_t</t>
  </si>
  <si>
    <t>Planned sales volume (t)</t>
  </si>
  <si>
    <t>planned_sales_t</t>
  </si>
  <si>
    <t>Revenue (₹ thousand)</t>
  </si>
  <si>
    <t>revenue_k</t>
  </si>
  <si>
    <t>Planned revenue (₹ thousand)</t>
  </si>
  <si>
    <t>planned_revenue_k</t>
  </si>
  <si>
    <t>Power cost, part of variable cost (₹ thousand)</t>
  </si>
  <si>
    <t>power_cost_k</t>
  </si>
  <si>
    <t>Depreciation and amortisation (₹ thousand)</t>
  </si>
  <si>
    <t>depreciation_k</t>
  </si>
  <si>
    <t>Purchase-order lines due (count)</t>
  </si>
  <si>
    <t>po_lines_due</t>
  </si>
  <si>
    <t>Purchase-order lines delivered on time (count)</t>
  </si>
  <si>
    <t>po_lines_on_time</t>
  </si>
  <si>
    <t>Quantity ordered from suppliers (t)</t>
  </si>
  <si>
    <t>qty_ordered_t</t>
  </si>
  <si>
    <t>Quantity received (t)</t>
  </si>
  <si>
    <t>qty_received_t</t>
  </si>
  <si>
    <t>Quantity rejected on quality (t)</t>
  </si>
  <si>
    <t>qty_rejected_t</t>
  </si>
  <si>
    <t>Planned lead time, all deliveries (days)</t>
  </si>
  <si>
    <t>lead_time_planned_days</t>
  </si>
  <si>
    <t>Actual lead time, all deliveries (days)</t>
  </si>
  <si>
    <t>lead_time_actual_days</t>
  </si>
  <si>
    <t>Supplier spend (₹ thousand)</t>
  </si>
  <si>
    <t>supplier_spend_k</t>
  </si>
  <si>
    <t>Spend with single-source suppliers (₹ thousand)</t>
  </si>
  <si>
    <t>single_source_spend_k</t>
  </si>
  <si>
    <t>Supplier EHS incidents (count)</t>
  </si>
  <si>
    <t>supplier_ehs_incidents</t>
  </si>
  <si>
    <t>Regulatory filings pending (count)</t>
  </si>
  <si>
    <t>pending_filings</t>
  </si>
  <si>
    <t>Regulatory deadlines in next 30 days (count)</t>
  </si>
  <si>
    <t>reg_deadlines_30d</t>
  </si>
  <si>
    <t>Licences expiring in next 12 months (count)</t>
  </si>
  <si>
    <t>licences_expiring_12m</t>
  </si>
  <si>
    <t>Regulatory obligations due in next 30 days (count)</t>
  </si>
  <si>
    <t>reg_obligations_due_30d</t>
  </si>
  <si>
    <t>Regulatory obligations overdue (count)</t>
  </si>
  <si>
    <t>reg_obligations_overdue</t>
  </si>
  <si>
    <t>Open regulatory actions (count)</t>
  </si>
  <si>
    <t>reg_actions_open</t>
  </si>
  <si>
    <t>Overdue compliance actions (count)</t>
  </si>
  <si>
    <t>compliance_actions_overdue</t>
  </si>
  <si>
    <t>Regulatory breaches in the month (count)</t>
  </si>
  <si>
    <t>reg_breaches</t>
  </si>
  <si>
    <t>Events that trigger a disclosure clock (count)</t>
  </si>
  <si>
    <t>disclosure_events_open</t>
  </si>
  <si>
    <t>EHS escalation clocks running (count)</t>
  </si>
  <si>
    <t>ehs_escalation_clocks</t>
  </si>
  <si>
    <t>Days until production plan is breached, forecast (days; 99 = not expected)</t>
  </si>
  <si>
    <t>days_to_breach</t>
  </si>
  <si>
    <t>Planned production next month (t)</t>
  </si>
  <si>
    <t>planned_production_next_t</t>
  </si>
  <si>
    <t>Forecast good output next month (t)</t>
  </si>
  <si>
    <t>forecast_good_next_t</t>
  </si>
  <si>
    <t>Forecast uncertainty next month (variance, t²)</t>
  </si>
  <si>
    <t>forecast_good_var_next</t>
  </si>
  <si>
    <t>Ideal output next month (t)</t>
  </si>
  <si>
    <t>ideal_output_next_t</t>
  </si>
  <si>
    <t>Forecast production lost to downtime next month (t)</t>
  </si>
  <si>
    <t>forecast_downtime_loss_next_t</t>
  </si>
  <si>
    <t>Entity A1</t>
  </si>
  <si>
    <t>Plant 01</t>
  </si>
  <si>
    <t>2026-04</t>
  </si>
  <si>
    <t>2026-05</t>
  </si>
  <si>
    <t>2026-06</t>
  </si>
  <si>
    <t>2026-07</t>
  </si>
  <si>
    <t>2026-08</t>
  </si>
  <si>
    <t>2026-09</t>
  </si>
  <si>
    <t>Plant 02</t>
  </si>
  <si>
    <t>Plant 03</t>
  </si>
  <si>
    <t>Entity A2</t>
  </si>
  <si>
    <t>Plant 04</t>
  </si>
  <si>
    <t>Plant 05</t>
  </si>
  <si>
    <t>Plant 06</t>
  </si>
  <si>
    <t>Days in month</t>
  </si>
  <si>
    <t>days</t>
  </si>
  <si>
    <t>Sum of the entity's 3 plants (Plant Inputs sheet)</t>
  </si>
  <si>
    <t>Lowest of the entity's 3 plants (Plant Inputs sheet)</t>
  </si>
  <si>
    <t>Overheads, SG&amp;A (₹ thousand)</t>
  </si>
  <si>
    <t>overhead_k</t>
  </si>
  <si>
    <t>Entity input (only exists at entity level)</t>
  </si>
  <si>
    <t>Tax paid (₹ thousand)</t>
  </si>
  <si>
    <t>tax_paid_k</t>
  </si>
  <si>
    <t>Capital employed, month end (₹ thousand)</t>
  </si>
  <si>
    <t>capital_employed_k</t>
  </si>
  <si>
    <t>Gross debt, month end (₹ thousand)</t>
  </si>
  <si>
    <t>gross_debt_k</t>
  </si>
  <si>
    <t>Cash, month end (₹ thousand)</t>
  </si>
  <si>
    <t>cash_k</t>
  </si>
  <si>
    <t>Undrawn committed facilities (₹ thousand)</t>
  </si>
  <si>
    <t>undrawn_facilities_k</t>
  </si>
  <si>
    <t>Debt service in the month (₹ thousand)</t>
  </si>
  <si>
    <t>debt_service_k</t>
  </si>
  <si>
    <t>Debt maturing in next 12 months (₹ thousand)</t>
  </si>
  <si>
    <t>debt_maturing_12m_k</t>
  </si>
  <si>
    <t>Floating-rate debt (₹ thousand)</t>
  </si>
  <si>
    <t>floating_rate_debt_k</t>
  </si>
  <si>
    <t>EBITDA as reported in the Board pack (₹ thousand)</t>
  </si>
  <si>
    <t>board_ebitda_k</t>
  </si>
  <si>
    <t>Revenue in the flash report (₹ thousand)</t>
  </si>
  <si>
    <t>flash_revenue_k</t>
  </si>
  <si>
    <t>Trade receivables, month end (₹ thousand)</t>
  </si>
  <si>
    <t>receivables_k</t>
  </si>
  <si>
    <t>Trade payables, month end (₹ thousand)</t>
  </si>
  <si>
    <t>payables_k</t>
  </si>
  <si>
    <t>Inventory, month end (₹ thousand)</t>
  </si>
  <si>
    <t>inventory_k</t>
  </si>
  <si>
    <t>Cash collected from customers (₹ thousand)</t>
  </si>
  <si>
    <t>collections_k</t>
  </si>
  <si>
    <t>Cash released by working-capital actions (₹ thousand)</t>
  </si>
  <si>
    <t>cash_released_k</t>
  </si>
  <si>
    <t>Cash due to be upstreamed to Group, next 30 days (₹ thousand)</t>
  </si>
  <si>
    <t>upstream_due_k</t>
  </si>
  <si>
    <t>Of which covered by available cash (₹ thousand)</t>
  </si>
  <si>
    <t>upstream_covered_k</t>
  </si>
  <si>
    <t>Invoices collected (count)</t>
  </si>
  <si>
    <t>invoices_collected</t>
  </si>
  <si>
    <t>Days taken to collect, all invoices (days)</t>
  </si>
  <si>
    <t>collection_days</t>
  </si>
  <si>
    <t>Agreed payment terms, all invoices (days)</t>
  </si>
  <si>
    <t>terms_days</t>
  </si>
  <si>
    <t>Customers more than 30 days overdue (count)</t>
  </si>
  <si>
    <t>customers_overdue</t>
  </si>
  <si>
    <t>Forecast EBITDA, rest of year (₹ thousand)</t>
  </si>
  <si>
    <t>forecast_ebitda_rest_k</t>
  </si>
  <si>
    <t>Planned EBITDA, rest of year (₹ thousand)</t>
  </si>
  <si>
    <t>planned_ebitda_rest_k</t>
  </si>
  <si>
    <t>Forecast net cash flow, next 90 days (₹ thousand)</t>
  </si>
  <si>
    <t>forecast_net_cash_flow_90d_k</t>
  </si>
  <si>
    <t>Forecast net debt at quarter end (₹ thousand)</t>
  </si>
  <si>
    <t>forecast_net_debt_k</t>
  </si>
  <si>
    <t>Forecast EBITDA, 12 months to quarter end (₹ thousand)</t>
  </si>
  <si>
    <t>forecast_ebitda_ltm_k</t>
  </si>
  <si>
    <t>Foreign-currency exposure, gross (₹ thousand)</t>
  </si>
  <si>
    <t>fx_exposure_k</t>
  </si>
  <si>
    <t>Foreign-currency exposure hedged (₹ thousand)</t>
  </si>
  <si>
    <t>fx_hedged_k</t>
  </si>
  <si>
    <t>USD exposure, gross (₹ thousand)</t>
  </si>
  <si>
    <t>usd_exposure_k</t>
  </si>
  <si>
    <t>USD exposure hedged (₹ thousand)</t>
  </si>
  <si>
    <t>usd_hedged_k</t>
  </si>
  <si>
    <t>Change in value of hedges (₹ thousand)</t>
  </si>
  <si>
    <t>hedge_value_change_k</t>
  </si>
  <si>
    <t>Change in value of hedged items (₹ thousand)</t>
  </si>
  <si>
    <t>hedged_item_value_change_k</t>
  </si>
  <si>
    <t>Forecast foreign-currency flows, next 6 months (₹ thousand)</t>
  </si>
  <si>
    <t>fx_flows_6m_k</t>
  </si>
  <si>
    <t>Of which hedged (₹ thousand)</t>
  </si>
  <si>
    <t>fx_hedged_6m_k</t>
  </si>
  <si>
    <t>Approved capex budget, full year (₹ thousand)</t>
  </si>
  <si>
    <t>capex_budget_k</t>
  </si>
  <si>
    <t>Capex committed to date (₹ thousand)</t>
  </si>
  <si>
    <t>capex_committed_k</t>
  </si>
  <si>
    <t>Capex spent in the month (₹ thousand)</t>
  </si>
  <si>
    <t>capex_spend_k</t>
  </si>
  <si>
    <t>Capex work completed, valued at budget (₹ thousand)</t>
  </si>
  <si>
    <t>capex_earned_value_k</t>
  </si>
  <si>
    <t>Budget of capex projects at risk (₹ thousand)</t>
  </si>
  <si>
    <t>capex_at_risk_k</t>
  </si>
  <si>
    <t>Capex projects on track (count)</t>
  </si>
  <si>
    <t>projects_on_track</t>
  </si>
  <si>
    <t>Capex projects at risk (count)</t>
  </si>
  <si>
    <t>projects_at_risk</t>
  </si>
  <si>
    <t>Capex projects off track (count)</t>
  </si>
  <si>
    <t>projects_off_track</t>
  </si>
  <si>
    <t>Capex projects delayed (count)</t>
  </si>
  <si>
    <t>projects_delayed</t>
  </si>
  <si>
    <t>Contractor milestones due (count)</t>
  </si>
  <si>
    <t>contractor_milestones_due</t>
  </si>
  <si>
    <t>Contractor days late, all milestones (days)</t>
  </si>
  <si>
    <t>contractor_days_late</t>
  </si>
  <si>
    <t>Transformation initiatives on track (count)</t>
  </si>
  <si>
    <t>initiatives_on_track</t>
  </si>
  <si>
    <t>Transformation initiatives at risk (count)</t>
  </si>
  <si>
    <t>initiatives_at_risk</t>
  </si>
  <si>
    <t>Transformation initiatives delayed (count)</t>
  </si>
  <si>
    <t>initiatives_delayed</t>
  </si>
  <si>
    <t>Transformation milestones in plan (count)</t>
  </si>
  <si>
    <t>milestones_total</t>
  </si>
  <si>
    <t>Transformation milestones completed (count)</t>
  </si>
  <si>
    <t>milestones_done</t>
  </si>
  <si>
    <t>Programme benefits planned in the month (₹ thousand)</t>
  </si>
  <si>
    <t>benefits_planned_k</t>
  </si>
  <si>
    <t>Programme benefits delivered in the month (₹ thousand)</t>
  </si>
  <si>
    <t>benefits_delivered_k</t>
  </si>
  <si>
    <t>EBITDA benefit delivered (₹ thousand)</t>
  </si>
  <si>
    <t>ebitda_benefit_k</t>
  </si>
  <si>
    <t>Cash benefit delivered (₹ thousand)</t>
  </si>
  <si>
    <t>cash_benefit_k</t>
  </si>
  <si>
    <t>Cost savings delivered (₹ thousand)</t>
  </si>
  <si>
    <t>cost_savings_k</t>
  </si>
  <si>
    <t>Active supply contracts (count)</t>
  </si>
  <si>
    <t>contracts_total</t>
  </si>
  <si>
    <t>Contracts fully compliant (count)</t>
  </si>
  <si>
    <t>contracts_compliant</t>
  </si>
  <si>
    <t>Contracts expiring in next 90 days (count)</t>
  </si>
  <si>
    <t>contracts_expiring_90d</t>
  </si>
  <si>
    <t>Suppliers not meeting EHS requirements (count)</t>
  </si>
  <si>
    <t>supplier_ehs_noncompliance</t>
  </si>
  <si>
    <t>Critical single-source suppliers (count)</t>
  </si>
  <si>
    <t>single_source_suppliers</t>
  </si>
  <si>
    <t>Control failures (count)</t>
  </si>
  <si>
    <t>control_failures</t>
  </si>
  <si>
    <t>High-severity control failures (count)</t>
  </si>
  <si>
    <t>control_failures_high</t>
  </si>
  <si>
    <t>Assurance reviews planned (count)</t>
  </si>
  <si>
    <t>assurance_reviews_planned</t>
  </si>
  <si>
    <t>Assurance reviews completed (count)</t>
  </si>
  <si>
    <t>assurance_reviews_done</t>
  </si>
  <si>
    <t>Policy exceptions (count)</t>
  </si>
  <si>
    <t>policy_exceptions</t>
  </si>
  <si>
    <t>Unauthorised vendor uses (count)</t>
  </si>
  <si>
    <t>unauthorized_vendor_uses</t>
  </si>
  <si>
    <t>Segregation-of-duties exceptions (count)</t>
  </si>
  <si>
    <t>sod_exceptions</t>
  </si>
  <si>
    <t>Unauthorised access events (count)</t>
  </si>
  <si>
    <t>unauthorized_access_events</t>
  </si>
  <si>
    <t>Data-sharing exceptions (count)</t>
  </si>
  <si>
    <t>data_sharing_exceptions</t>
  </si>
  <si>
    <t>Manual operational or system overrides (count)</t>
  </si>
  <si>
    <t>manual_overrides</t>
  </si>
  <si>
    <t>Certification approvals past due date (count)</t>
  </si>
  <si>
    <t>cert_approvals_ageing</t>
  </si>
  <si>
    <t>KPI values overridden (count)</t>
  </si>
  <si>
    <t>kpi_overrides</t>
  </si>
  <si>
    <t>Recurring data-quality issues (count)</t>
  </si>
  <si>
    <t>dq_issues_recurring</t>
  </si>
  <si>
    <t>Open audit findings (count)</t>
  </si>
  <si>
    <t>audit_findings_open</t>
  </si>
  <si>
    <t>Overdue assurance actions (count)</t>
  </si>
  <si>
    <t>assurance_actions_overdue</t>
  </si>
  <si>
    <t>Repeat audit findings (count)</t>
  </si>
  <si>
    <t>repeat_findings</t>
  </si>
  <si>
    <t>Leadership KPIs affected by open findings (count)</t>
  </si>
  <si>
    <t>leadership_kpis_affected</t>
  </si>
  <si>
    <t>Evidence items required (count)</t>
  </si>
  <si>
    <t>evidence_required</t>
  </si>
  <si>
    <t>Evidence items complete (count)</t>
  </si>
  <si>
    <t>evidence_complete</t>
  </si>
  <si>
    <t>Audit findings closed in the month (count)</t>
  </si>
  <si>
    <t>findings_closed</t>
  </si>
  <si>
    <t>Days taken to close those findings (days)</t>
  </si>
  <si>
    <t>finding_closure_days</t>
  </si>
  <si>
    <t>Leadership KPI values reported (count)</t>
  </si>
  <si>
    <t>kpis_leadership</t>
  </si>
  <si>
    <t>Of which certified (count)</t>
  </si>
  <si>
    <t>kpis_certified</t>
  </si>
  <si>
    <t>Of which inside the certification process (count)</t>
  </si>
  <si>
    <t>kpis_in_scope</t>
  </si>
  <si>
    <t>Certifications overdue (count)</t>
  </si>
  <si>
    <t>certifications_overdue</t>
  </si>
  <si>
    <t>Open reconciliation breaks (count)</t>
  </si>
  <si>
    <t>recon_breaks_open</t>
  </si>
  <si>
    <t>Material reconciliation breaks (count)</t>
  </si>
  <si>
    <t>recon_breaks_material</t>
  </si>
  <si>
    <t>Records loaded to the data lake (count)</t>
  </si>
  <si>
    <t>lake_records_loaded</t>
  </si>
  <si>
    <t>Records reconciled to source (count)</t>
  </si>
  <si>
    <t>lake_records_reconciled</t>
  </si>
  <si>
    <t>Flash report lines (count)</t>
  </si>
  <si>
    <t>mis_lines_total</t>
  </si>
  <si>
    <t>Flash lines matching MIS (count)</t>
  </si>
  <si>
    <t>mis_lines_matched</t>
  </si>
  <si>
    <t>Open critical alerts (count)</t>
  </si>
  <si>
    <t>critical_alerts_open</t>
  </si>
  <si>
    <t>Alerts with no accepted owner (count)</t>
  </si>
  <si>
    <t>alerts_unowned</t>
  </si>
  <si>
    <t>Overdue actions (count)</t>
  </si>
  <si>
    <t>actions_overdue</t>
  </si>
  <si>
    <t>Alerts resolved in the month (count)</t>
  </si>
  <si>
    <t>alerts_resolved</t>
  </si>
  <si>
    <t>Days taken to resolve those alerts (days)</t>
  </si>
  <si>
    <t>alert_resolution_days</t>
  </si>
  <si>
    <t>Escalations closed in the month (count)</t>
  </si>
  <si>
    <t>escalations_closed</t>
  </si>
  <si>
    <t>Repeat issues raised in the month (count)</t>
  </si>
  <si>
    <t>repeat_issues</t>
  </si>
  <si>
    <t>Root causes identified (count)</t>
  </si>
  <si>
    <t>root_causes_identified</t>
  </si>
  <si>
    <t>Root causes eliminated (count)</t>
  </si>
  <si>
    <t>root_causes_eliminated</t>
  </si>
  <si>
    <t>Months since April (YTD)</t>
  </si>
  <si>
    <t>ytd_months</t>
  </si>
  <si>
    <t>Sum of Entity A1 and Entity A2 (Entity Inputs sheet)</t>
  </si>
  <si>
    <t>Lowest of Entity A1 and Entity A2 (Entity Inputs sheet)</t>
  </si>
  <si>
    <t>EBITDA (₹ thousand)</t>
  </si>
  <si>
    <t>ebitda_k</t>
  </si>
  <si>
    <t>Calculated: Revenue − Variable cost − Fixed cost − Overheads</t>
  </si>
  <si>
    <t>EBIT (₹ thousand)</t>
  </si>
  <si>
    <t>ebit_k</t>
  </si>
  <si>
    <t>Calculated: EBITDA − Depreciation and amortisation</t>
  </si>
  <si>
    <t>Net working capital (₹ thousand)</t>
  </si>
  <si>
    <t>nwc_k</t>
  </si>
  <si>
    <t>Calculated: Trade receivables + Inventory − Trade payables</t>
  </si>
  <si>
    <t>Change in net working capital (₹ thousand)</t>
  </si>
  <si>
    <t>nwc_change_k</t>
  </si>
  <si>
    <t>Calculated: Net working capital − last month's net working capital (April uses the 31 March balance on Parameters)</t>
  </si>
  <si>
    <t>Operating cash flow (₹ thousand)</t>
  </si>
  <si>
    <t>op_cash_flow_k</t>
  </si>
  <si>
    <t>Calculated: EBITDA − Tax paid − Change in net working capital</t>
  </si>
  <si>
    <t>Free cash flow (₹ thousand)</t>
  </si>
  <si>
    <t>fcf_k</t>
  </si>
  <si>
    <t>Calculated: Operating cash flow − Capex spent</t>
  </si>
  <si>
    <t>Net debt (₹ thousand)</t>
  </si>
  <si>
    <t>net_debt_k</t>
  </si>
  <si>
    <t>Calculated: Gross debt − Cash</t>
  </si>
  <si>
    <t>EBITDA, annualised (₹ thousand)</t>
  </si>
  <si>
    <t>ebitda_annualised_k</t>
  </si>
  <si>
    <t>Calculated: EBITDA since April × 12 ÷ months elapsed</t>
  </si>
  <si>
    <t>DSO (days)</t>
  </si>
  <si>
    <t>dso_d</t>
  </si>
  <si>
    <t>Calculated: Trade receivables ÷ Revenue × Days in month</t>
  </si>
  <si>
    <t>DPO (days)</t>
  </si>
  <si>
    <t>dpo_d</t>
  </si>
  <si>
    <t>Calculated: Trade payables ÷ Variable cost × Days in month</t>
  </si>
  <si>
    <t>Inventory days (days)</t>
  </si>
  <si>
    <t>dio_d</t>
  </si>
  <si>
    <t>Calculated: Inventory ÷ Variable cost × Days in month</t>
  </si>
  <si>
    <t>Realised price vs plan (%)</t>
  </si>
  <si>
    <t>price_vs_plan_pct</t>
  </si>
  <si>
    <t>Calculated: (Revenue ÷ Sales volume) ÷ (Planned revenue ÷ Planned sales volume) − 1, as %</t>
  </si>
  <si>
    <t>KPI ID</t>
  </si>
  <si>
    <t>Measure</t>
  </si>
  <si>
    <t>Unit</t>
  </si>
  <si>
    <t>Time basis</t>
  </si>
  <si>
    <t>How it is calculated</t>
  </si>
  <si>
    <t>2026-04 (P01)</t>
  </si>
  <si>
    <t>2026-05 (P02)</t>
  </si>
  <si>
    <t>2026-06 (P03)</t>
  </si>
  <si>
    <t>2026-07 (P04)</t>
  </si>
  <si>
    <t>2026-08 (P05)</t>
  </si>
  <si>
    <t>2026-09 (P06)</t>
  </si>
  <si>
    <t>Shown on Owner screens today (value and screens)</t>
  </si>
  <si>
    <t>Owner screens</t>
  </si>
  <si>
    <t>Inputs used (Group Inputs columns)</t>
  </si>
  <si>
    <t>OPS-001</t>
  </si>
  <si>
    <t>Production vs plan</t>
  </si>
  <si>
    <t>%</t>
  </si>
  <si>
    <t>Good output ÷ Planned production × 100</t>
  </si>
  <si>
    <t>98.1 % of plan (O-01, O-09, STATE GALLERY); 103.2 % of plan (flash) (S-03); 100.2 % of plan (S-10)</t>
  </si>
  <si>
    <t>O-01, O-09, S-03 · Owner view, S-10, STATE GALLERY · O-01 + S-02, O-01 · large display ≥ 1600</t>
  </si>
  <si>
    <t>planned_production_t, good_output_t</t>
  </si>
  <si>
    <t>OPS-003</t>
  </si>
  <si>
    <t>Capacity utilization</t>
  </si>
  <si>
    <t>Good output ÷ Installed capacity × 100</t>
  </si>
  <si>
    <t>86% (O-01, STATE GALLERY)</t>
  </si>
  <si>
    <t>O-01, STATE GALLERY · O-01 + S-02, O-01 · large display ≥ 1600</t>
  </si>
  <si>
    <t>installed_capacity_t, good_output_t</t>
  </si>
  <si>
    <t>REL-001</t>
  </si>
  <si>
    <t>MTBF</t>
  </si>
  <si>
    <t>h</t>
  </si>
  <si>
    <t>Run hours ÷ Breakdowns</t>
  </si>
  <si>
    <t>205 h (O-09)</t>
  </si>
  <si>
    <t>O-09</t>
  </si>
  <si>
    <t>run_hours, failures</t>
  </si>
  <si>
    <t>REL-002</t>
  </si>
  <si>
    <t>Mean Time to Repair</t>
  </si>
  <si>
    <t>Repair hours ÷ Breakdowns</t>
  </si>
  <si>
    <t>3.6 h (O-09)</t>
  </si>
  <si>
    <t>failures, repair_hours</t>
  </si>
  <si>
    <t>REL-003</t>
  </si>
  <si>
    <t>Unplanned downtime</t>
  </si>
  <si>
    <t>3.1 % of hours (O-09)</t>
  </si>
  <si>
    <t>REL-005</t>
  </si>
  <si>
    <t>Preventive-maintenance compliance</t>
  </si>
  <si>
    <t>Preventive maintenance completed ÷ Preventive maintenance scheduled × 100</t>
  </si>
  <si>
    <t>93% (O-09)</t>
  </si>
  <si>
    <t>pm_scheduled, pm_completed</t>
  </si>
  <si>
    <t>CST-001</t>
  </si>
  <si>
    <t>Cost per tonne</t>
  </si>
  <si>
    <t>₹/t</t>
  </si>
  <si>
    <t>(Variable cost + Fixed cost) × 1000 ÷ Good output</t>
  </si>
  <si>
    <t>412 ₹ /t (O-09); ₹412 /t (O-09)</t>
  </si>
  <si>
    <t>good_output_t, variable_cost_k, fixed_cost_k</t>
  </si>
  <si>
    <t>CST-002</t>
  </si>
  <si>
    <t>Variable cost</t>
  </si>
  <si>
    <t>₹ thousand</t>
  </si>
  <si>
    <t>₹214 /t (O-09)</t>
  </si>
  <si>
    <t>CST-003</t>
  </si>
  <si>
    <t>Fuel cost</t>
  </si>
  <si>
    <t>9.8 ₹/t (O-09)</t>
  </si>
  <si>
    <t>SUS-001</t>
  </si>
  <si>
    <t>Water usage</t>
  </si>
  <si>
    <t>m3</t>
  </si>
  <si>
    <t>Water used</t>
  </si>
  <si>
    <t>3.1 m³/t (O-05, O-09)</t>
  </si>
  <si>
    <t>O-05, O-09</t>
  </si>
  <si>
    <t>SUS-002</t>
  </si>
  <si>
    <t>Emissions</t>
  </si>
  <si>
    <t>tCO2e</t>
  </si>
  <si>
    <t>0.82 tCO2e/t (O-05, O-09)</t>
  </si>
  <si>
    <t>SUS-003</t>
  </si>
  <si>
    <t>Energy intensity</t>
  </si>
  <si>
    <t>GJ/t</t>
  </si>
  <si>
    <t>Energy used ÷ Good output</t>
  </si>
  <si>
    <t>5.2 GJ/t (O-05, O-09)</t>
  </si>
  <si>
    <t>good_output_t, energy_gj</t>
  </si>
  <si>
    <t>SIG-007</t>
  </si>
  <si>
    <t>Production at risk</t>
  </si>
  <si>
    <t>t</t>
  </si>
  <si>
    <t>18.4 kt (FCST) (S-10)</t>
  </si>
  <si>
    <t>S-10</t>
  </si>
  <si>
    <t>SIG-009</t>
  </si>
  <si>
    <t>Critical-material shortage risk</t>
  </si>
  <si>
    <t>count</t>
  </si>
  <si>
    <t>Critical materials at risk</t>
  </si>
  <si>
    <t>3.5 days of cover (O-09, S-10)</t>
  </si>
  <si>
    <t>O-09, S-10</t>
  </si>
  <si>
    <t>SIG-012</t>
  </si>
  <si>
    <t>Dispatch delays</t>
  </si>
  <si>
    <t>Delayed dispatches ÷ Dispatches × 100</t>
  </si>
  <si>
    <t>2–4 days (S-11)</t>
  </si>
  <si>
    <t>S-11</t>
  </si>
  <si>
    <t>dispatches_total, dispatches_delayed</t>
  </si>
  <si>
    <t>EHS-001</t>
  </si>
  <si>
    <t>TRIR</t>
  </si>
  <si>
    <t>per 200,000 h</t>
  </si>
  <si>
    <t>Recordable injuries × 200,000 ÷ Hours worked</t>
  </si>
  <si>
    <t>0.42 (O-05)</t>
  </si>
  <si>
    <t>O-05</t>
  </si>
  <si>
    <t>hours_worked, recordable_injuries</t>
  </si>
  <si>
    <t>EHS-002</t>
  </si>
  <si>
    <t>Severity incidents</t>
  </si>
  <si>
    <t>0 (O-05)</t>
  </si>
  <si>
    <t>EHS-003</t>
  </si>
  <si>
    <t>Near misses</t>
  </si>
  <si>
    <t>14 (O-05)</t>
  </si>
  <si>
    <t>EHS-004</t>
  </si>
  <si>
    <t>Critical safety incidents</t>
  </si>
  <si>
    <t>EHS-005</t>
  </si>
  <si>
    <t>Environmental excursions</t>
  </si>
  <si>
    <t>1 (minor, closed) (O-05)</t>
  </si>
  <si>
    <t>EHS-007</t>
  </si>
  <si>
    <t>Overdue EHS actions</t>
  </si>
  <si>
    <t>Overdue EHS corrective actions</t>
  </si>
  <si>
    <t>REG-006</t>
  </si>
  <si>
    <t>Licence or permit expiry clock</t>
  </si>
  <si>
    <t>Days to permit expiry (lowest plant)</t>
  </si>
  <si>
    <t>74 days · Entity C1 (O-05)</t>
  </si>
  <si>
    <t>OPS-005</t>
  </si>
  <si>
    <t>Capacity utilisation (same measure as OPS-003)</t>
  </si>
  <si>
    <t>86% (O-01); 86 % (O-09)</t>
  </si>
  <si>
    <t>O-01, O-09</t>
  </si>
  <si>
    <t>OPS-006</t>
  </si>
  <si>
    <t>OEE · Group weighted (same measure as PLT-002)</t>
  </si>
  <si>
    <t>Good output ÷ Ideal output × 100 (weighted by output, not an average of plants)</t>
  </si>
  <si>
    <t>78.4 % (O-09)</t>
  </si>
  <si>
    <t>ideal_output_t, good_output_t</t>
  </si>
  <si>
    <t>OPS-002</t>
  </si>
  <si>
    <t>Sales vs plan</t>
  </si>
  <si>
    <t>Sales volume ÷ Planned sales volume × 100</t>
  </si>
  <si>
    <t>97.6% (O-01, STATE GALLERY)</t>
  </si>
  <si>
    <t>sales_t, planned_sales_t</t>
  </si>
  <si>
    <t>OPS-004</t>
  </si>
  <si>
    <t>Sales vs plan · Group (same measure as OPS-002)</t>
  </si>
  <si>
    <t>97.6% (O-01)</t>
  </si>
  <si>
    <t>O-01</t>
  </si>
  <si>
    <t>CST-004</t>
  </si>
  <si>
    <t>Power cost per tonne</t>
  </si>
  <si>
    <t>Power cost × 1000 ÷ Good output</t>
  </si>
  <si>
    <t>6.1 ₹/t (O-09)</t>
  </si>
  <si>
    <t>good_output_t, power_cost_k</t>
  </si>
  <si>
    <t>FIN-001</t>
  </si>
  <si>
    <t>EBITDA YTD</t>
  </si>
  <si>
    <t>₹ m</t>
  </si>
  <si>
    <t>Year to date</t>
  </si>
  <si>
    <t>Sum of monthly EBITDA since April ÷ 1000</t>
  </si>
  <si>
    <t>361.3 ₹ m (O-01, STATE GALLERY)</t>
  </si>
  <si>
    <t>FIN-002</t>
  </si>
  <si>
    <t>EBIT YTD</t>
  </si>
  <si>
    <t>Sum of monthly EBIT since April ÷ 1000</t>
  </si>
  <si>
    <t>238.4 ₹ m (O-01, STATE GALLERY)</t>
  </si>
  <si>
    <t>FIN-003</t>
  </si>
  <si>
    <t>Revenue YTD</t>
  </si>
  <si>
    <t>Sum of monthly Revenue since April ÷ 1000</t>
  </si>
  <si>
    <t>2,410 ₹ m (O-01, STATE GALLERY)</t>
  </si>
  <si>
    <t>FIN-004</t>
  </si>
  <si>
    <t>Free cash flow YTD</t>
  </si>
  <si>
    <t>Sum of monthly Free cash flow since April ÷ 1000</t>
  </si>
  <si>
    <t>96.4 ₹ m (O-01, O-03, STATE GALLERY)</t>
  </si>
  <si>
    <t>O-01, O-03, STATE GALLERY · O-01 + S-02, O-01 · large display ≥ 1600</t>
  </si>
  <si>
    <t>FIN-005</t>
  </si>
  <si>
    <t>ROCE, annualised</t>
  </si>
  <si>
    <t>EBIT since April × 12 ÷ months elapsed ÷ Capital employed × 100</t>
  </si>
  <si>
    <t>11.8 % (O-01); 11.8% (O-01, STATE GALLERY)</t>
  </si>
  <si>
    <t>ytd_months, capital_employed_k, ebit_k</t>
  </si>
  <si>
    <t>FIN-006</t>
  </si>
  <si>
    <t>Net debt</t>
  </si>
  <si>
    <t>Month end</t>
  </si>
  <si>
    <t>(Gross debt − Cash) ÷ 1000</t>
  </si>
  <si>
    <t>1,140 ₹ m (O-01, O-03, STATE GALLERY)</t>
  </si>
  <si>
    <t>FIN-007</t>
  </si>
  <si>
    <t>Shareholder-value indicator (economic profit YTD)</t>
  </si>
  <si>
    <t>(EBIT since April × (1 − Tax rate) − Capital employed × Cost of capital × months elapsed ÷ 12) ÷ 1000</t>
  </si>
  <si>
    <t>[PLACEHOLDER] (O-01, STATE GALLERY)</t>
  </si>
  <si>
    <t>CSH-001</t>
  </si>
  <si>
    <t>Cash position</t>
  </si>
  <si>
    <t>Cash ÷ 1000</t>
  </si>
  <si>
    <t>384 ₹ m (O-03)</t>
  </si>
  <si>
    <t>O-03</t>
  </si>
  <si>
    <t>CSH-002</t>
  </si>
  <si>
    <t>Cash released YTD</t>
  </si>
  <si>
    <t>Sum of cash released since April ÷ 1000</t>
  </si>
  <si>
    <t>₹21 m (O-03)</t>
  </si>
  <si>
    <t>CSH-003</t>
  </si>
  <si>
    <t>Daily collections</t>
  </si>
  <si>
    <t>₹ m per day</t>
  </si>
  <si>
    <t>Cash collected ÷ Days in month ÷ 1000</t>
  </si>
  <si>
    <t>₹18.6 m (O-03); 4.1 ₹ m (S-11)</t>
  </si>
  <si>
    <t>O-03, S-11</t>
  </si>
  <si>
    <t>days, collections_k</t>
  </si>
  <si>
    <t>CSH-004</t>
  </si>
  <si>
    <t>Cash-conversion cycle</t>
  </si>
  <si>
    <t>DSO + Inventory days − DPO</t>
  </si>
  <si>
    <t>33 d (O-03)</t>
  </si>
  <si>
    <t>dso_d, dpo_d, dio_d</t>
  </si>
  <si>
    <t>CSH-006</t>
  </si>
  <si>
    <t>Cash-upstream exposure</t>
  </si>
  <si>
    <t>Next 30 days</t>
  </si>
  <si>
    <t>(Cash due to be upstreamed − Amount covered by available cash) ÷ 1000</t>
  </si>
  <si>
    <t>26 ₹ m (O-03, S-11)</t>
  </si>
  <si>
    <t>upstream_due_k, upstream_covered_k</t>
  </si>
  <si>
    <t>WCP-001</t>
  </si>
  <si>
    <t>DSO</t>
  </si>
  <si>
    <t>Trade receivables ÷ Revenue × Days in month</t>
  </si>
  <si>
    <t>47 d (O-03); 52 days (S-11)</t>
  </si>
  <si>
    <t>WCP-002</t>
  </si>
  <si>
    <t>DPO</t>
  </si>
  <si>
    <t>Trade payables ÷ Variable cost × Days in month</t>
  </si>
  <si>
    <t>52 d (O-03)</t>
  </si>
  <si>
    <t>WCP-003</t>
  </si>
  <si>
    <t>Inventory days</t>
  </si>
  <si>
    <t>Inventory ÷ Variable cost × Days in month</t>
  </si>
  <si>
    <t>38 d (O-03)</t>
  </si>
  <si>
    <t>WCP-004</t>
  </si>
  <si>
    <t>Net working capital</t>
  </si>
  <si>
    <t>(Trade receivables + Inventory − Trade payables) ÷ 1000</t>
  </si>
  <si>
    <t>512 ₹ m (O-03)</t>
  </si>
  <si>
    <t>WCP-005</t>
  </si>
  <si>
    <t>Working-capital movement</t>
  </si>
  <si>
    <t>(Net working capital − last month's net working capital) ÷ 1000; positive = cash tied up</t>
  </si>
  <si>
    <t>+₹14 m (O-03)</t>
  </si>
  <si>
    <t>WCP-006</t>
  </si>
  <si>
    <t>Working-capital days</t>
  </si>
  <si>
    <t>Net working capital ÷ Revenue × Days in month</t>
  </si>
  <si>
    <t>33 (O-03)</t>
  </si>
  <si>
    <t>days, revenue_k, nwc_k</t>
  </si>
  <si>
    <t>LIQ-001</t>
  </si>
  <si>
    <t>Liquidity runway</t>
  </si>
  <si>
    <t>months</t>
  </si>
  <si>
    <t>(Cash + Undrawn facilities) ÷ (Fixed cost + Overheads + Debt service) per month</t>
  </si>
  <si>
    <t>14.2 months (O-03)</t>
  </si>
  <si>
    <t>fixed_cost_k, overhead_k, cash_k, undrawn_facilities_k, debt_service_k</t>
  </si>
  <si>
    <t>LIQ-002</t>
  </si>
  <si>
    <t>Covenant headroom</t>
  </si>
  <si>
    <t>(Covenant limit − Net debt ÷ Annualised EBITDA) ÷ Covenant limit × 100</t>
  </si>
  <si>
    <t>22 % [TERMS — PH] (O-03)</t>
  </si>
  <si>
    <t>net_debt_k, ebitda_annualised_k</t>
  </si>
  <si>
    <t>LIQ-003</t>
  </si>
  <si>
    <t>Debt-maturity exposure, next 12 months</t>
  </si>
  <si>
    <t>Debt maturing in next 12 months ÷ 1000</t>
  </si>
  <si>
    <t>₹120 m (O-03)</t>
  </si>
  <si>
    <t>LIQ-004</t>
  </si>
  <si>
    <t>Financing exposure (floating-rate debt)</t>
  </si>
  <si>
    <t>Floating-rate debt ÷ 1000</t>
  </si>
  <si>
    <t>₹310 m (O-03)</t>
  </si>
  <si>
    <t>TRS-001</t>
  </si>
  <si>
    <t>FX exposure, unhedged</t>
  </si>
  <si>
    <t>(Foreign-currency exposure − Amount hedged) ÷ 1000</t>
  </si>
  <si>
    <t>₹64 m (O-03)</t>
  </si>
  <si>
    <t>fx_exposure_k, fx_hedged_k</t>
  </si>
  <si>
    <t>TRS-002</t>
  </si>
  <si>
    <t>Hedging effectiveness</t>
  </si>
  <si>
    <t>Change in value of hedges ÷ Change in value of hedged items × 100</t>
  </si>
  <si>
    <t>91% (O-03)</t>
  </si>
  <si>
    <t>hedge_value_change_k, hedged_item_value_change_k</t>
  </si>
  <si>
    <t>TRS-003</t>
  </si>
  <si>
    <t>USD share of unhedged FX exposure</t>
  </si>
  <si>
    <t>(USD exposure − USD hedged) ÷ (FX exposure − FX hedged) × 100</t>
  </si>
  <si>
    <t>72% of unhedged (O-03)</t>
  </si>
  <si>
    <t>fx_exposure_k, fx_hedged_k, usd_exposure_k, usd_hedged_k</t>
  </si>
  <si>
    <t>TRS-004</t>
  </si>
  <si>
    <t>Hedge cover, next 6 months</t>
  </si>
  <si>
    <t>Next 6 months</t>
  </si>
  <si>
    <t>Foreign-currency flows hedged ÷ Forecast foreign-currency flows, next 6 months × 100</t>
  </si>
  <si>
    <t>68% (O-03)</t>
  </si>
  <si>
    <t>fx_flows_6m_k, fx_hedged_6m_k</t>
  </si>
  <si>
    <t>TRS-005</t>
  </si>
  <si>
    <t>FX sensitivity, 5% USD move</t>
  </si>
  <si>
    <t>5% × (USD exposure − USD hedged) ÷ 1000</t>
  </si>
  <si>
    <t>₹3.2 m EBITDA (O-03)</t>
  </si>
  <si>
    <t>usd_exposure_k, usd_hedged_k</t>
  </si>
  <si>
    <t>CPX-001</t>
  </si>
  <si>
    <t>Approved capex budget</t>
  </si>
  <si>
    <t>Full year</t>
  </si>
  <si>
    <t>Approved capex budget ÷ 1000</t>
  </si>
  <si>
    <t>850 ₹ m (O-04)</t>
  </si>
  <si>
    <t>O-04</t>
  </si>
  <si>
    <t>CPX-002</t>
  </si>
  <si>
    <t>Committed capex</t>
  </si>
  <si>
    <t>To date</t>
  </si>
  <si>
    <t>Capex committed to date ÷ 1000</t>
  </si>
  <si>
    <t>610 ₹ m · 72% (O-04)</t>
  </si>
  <si>
    <t>CPX-003</t>
  </si>
  <si>
    <t>Capex actual spend YTD</t>
  </si>
  <si>
    <t>Sum of capex spent since April ÷ 1000</t>
  </si>
  <si>
    <t>402 ₹ m · 47% (O-04)</t>
  </si>
  <si>
    <t>CPX-004</t>
  </si>
  <si>
    <t>Capex physical progress, weighted</t>
  </si>
  <si>
    <t>Work completed valued at budget ÷ Approved budget × 100 (weights each project by its budget)</t>
  </si>
  <si>
    <t>61 % weighted (O-01, O-04, STATE GALLERY)</t>
  </si>
  <si>
    <t>O-01, O-04, STATE GALLERY · O-01 + S-02, O-01 · large display ≥ 1600</t>
  </si>
  <si>
    <t>capex_budget_k, capex_earned_value_k</t>
  </si>
  <si>
    <t>SIG-011</t>
  </si>
  <si>
    <t>Capex value at risk</t>
  </si>
  <si>
    <t>Budget of projects at risk ÷ 1000</t>
  </si>
  <si>
    <t>34 ₹ m (O-04); ₹34 m (O-04)</t>
  </si>
  <si>
    <t>PRG-001</t>
  </si>
  <si>
    <t>Capex project status</t>
  </si>
  <si>
    <t>text</t>
  </si>
  <si>
    <t>Count of projects by status</t>
  </si>
  <si>
    <t>9 on track · 2 at risk · 0 off track (O-04)</t>
  </si>
  <si>
    <t>projects_on_track, projects_at_risk, projects_off_track</t>
  </si>
  <si>
    <t>PRG-002</t>
  </si>
  <si>
    <t>Benefits realisation</t>
  </si>
  <si>
    <t>Benefits delivered since April ÷ Benefits planned since April × 100</t>
  </si>
  <si>
    <t>48 % of plan (O-04)</t>
  </si>
  <si>
    <t>benefits_planned_k, benefits_delivered_k</t>
  </si>
  <si>
    <t>PRG-003</t>
  </si>
  <si>
    <t>Delayed projects</t>
  </si>
  <si>
    <t>Capex projects delayed</t>
  </si>
  <si>
    <t>1 (O-04)</t>
  </si>
  <si>
    <t>PRG-004</t>
  </si>
  <si>
    <t>Capex / transformation progress (same measure as STR-002)</t>
  </si>
  <si>
    <t>Transformation milestones completed ÷ Milestones in plan × 100</t>
  </si>
  <si>
    <t>54% (O-01, O-04)</t>
  </si>
  <si>
    <t>O-01, O-04</t>
  </si>
  <si>
    <t>milestones_total, milestones_done</t>
  </si>
  <si>
    <t>STR-002</t>
  </si>
  <si>
    <t>Transformation progress</t>
  </si>
  <si>
    <t>54% (O-01, O-04, STATE GALLERY)</t>
  </si>
  <si>
    <t>PRG-005</t>
  </si>
  <si>
    <t>Transformation initiative status</t>
  </si>
  <si>
    <t>Count of transformation initiatives by status</t>
  </si>
  <si>
    <t>15 on track · 6 at risk · 3 delayed (O-04)</t>
  </si>
  <si>
    <t>initiatives_on_track, initiatives_at_risk, initiatives_delayed</t>
  </si>
  <si>
    <t>VAL-001</t>
  </si>
  <si>
    <t>EBITDA benefit YTD</t>
  </si>
  <si>
    <t>Sum of EBITDA benefit since April ÷ 1000</t>
  </si>
  <si>
    <t>₹14 m (O-04)</t>
  </si>
  <si>
    <t>VAL-002</t>
  </si>
  <si>
    <t>Cash benefit YTD</t>
  </si>
  <si>
    <t>Sum of cash benefit since April ÷ 1000</t>
  </si>
  <si>
    <t>₹9 m (O-04)</t>
  </si>
  <si>
    <t>VAL-003</t>
  </si>
  <si>
    <t>Cost savings delivered YTD</t>
  </si>
  <si>
    <t>Sum of cost savings since April ÷ 1000</t>
  </si>
  <si>
    <t>₹11 m (O-04)</t>
  </si>
  <si>
    <t>SUP-001</t>
  </si>
  <si>
    <t>Supplier on-time delivery</t>
  </si>
  <si>
    <t>Purchase-order lines on time ÷ Lines due × 100</t>
  </si>
  <si>
    <t>91 % (O-09); 91% (O-09)</t>
  </si>
  <si>
    <t>po_lines_due, po_lines_on_time</t>
  </si>
  <si>
    <t>SUP-007</t>
  </si>
  <si>
    <t>Single-source spend share</t>
  </si>
  <si>
    <t>Spend with single-source suppliers ÷ Supplier spend × 100</t>
  </si>
  <si>
    <t>38% (O-09)</t>
  </si>
  <si>
    <t>supplier_spend_k, single_source_spend_k</t>
  </si>
  <si>
    <t>SUP-008</t>
  </si>
  <si>
    <t>Supplier EHS incidents YTD</t>
  </si>
  <si>
    <t>Sum of supplier EHS incidents since April</t>
  </si>
  <si>
    <t>0 (O-09)</t>
  </si>
  <si>
    <t>CON-001</t>
  </si>
  <si>
    <t>Contracts expiring, next 90 days</t>
  </si>
  <si>
    <t>Contracts expiring in next 90 days</t>
  </si>
  <si>
    <t>4 (O-05)</t>
  </si>
  <si>
    <t>CON-002</t>
  </si>
  <si>
    <t>Contract-compliance rate</t>
  </si>
  <si>
    <t>Contracts fully compliant ÷ Active contracts × 100</t>
  </si>
  <si>
    <t>96% (O-05)</t>
  </si>
  <si>
    <t>contracts_total, contracts_compliant</t>
  </si>
  <si>
    <t>CON-003</t>
  </si>
  <si>
    <t>Supplier EHS non-compliance</t>
  </si>
  <si>
    <t>Suppliers not meeting EHS requirements</t>
  </si>
  <si>
    <t>1 (O-05)</t>
  </si>
  <si>
    <t>REG-005</t>
  </si>
  <si>
    <t>Overdue regulatory obligations</t>
  </si>
  <si>
    <t>Regulatory obligations overdue</t>
  </si>
  <si>
    <t>REG-009</t>
  </si>
  <si>
    <t>Disclosure-clock status</t>
  </si>
  <si>
    <t>Triggered if any event that needs disclosure is open, otherwise Not triggered</t>
  </si>
  <si>
    <t>Not triggered (O-05)</t>
  </si>
  <si>
    <t>REG-010</t>
  </si>
  <si>
    <t>Regulatory breaches YTD</t>
  </si>
  <si>
    <t>Sum of regulatory breaches since April</t>
  </si>
  <si>
    <t>RSK-003</t>
  </si>
  <si>
    <t>Regulatory breaches YTD (same measure as REG-010)</t>
  </si>
  <si>
    <t>0 (O-01, STATE GALLERY)</t>
  </si>
  <si>
    <t>CMP-005</t>
  </si>
  <si>
    <t>0 (O-01)</t>
  </si>
  <si>
    <t>EHS-008</t>
  </si>
  <si>
    <t>EHS escalation clocks running</t>
  </si>
  <si>
    <t>0 running (O-05)</t>
  </si>
  <si>
    <t>CTL-002</t>
  </si>
  <si>
    <t>Control failures YTD</t>
  </si>
  <si>
    <t>Sum of control failures since April</t>
  </si>
  <si>
    <t>CTL-004</t>
  </si>
  <si>
    <t>High-severity control failures YTD</t>
  </si>
  <si>
    <t>Sum of high-severity control failures since April</t>
  </si>
  <si>
    <t>CTL-005</t>
  </si>
  <si>
    <t>Policy exceptions YTD</t>
  </si>
  <si>
    <t>Sum of policy exceptions since April</t>
  </si>
  <si>
    <t>3 (O-05)</t>
  </si>
  <si>
    <t>CTL-006</t>
  </si>
  <si>
    <t>Unauthorised-vendor usage YTD</t>
  </si>
  <si>
    <t>Sum of unauthorised vendor uses since April</t>
  </si>
  <si>
    <t>CTL-007</t>
  </si>
  <si>
    <t>Segregation-of-duties exceptions YTD</t>
  </si>
  <si>
    <t>Sum of segregation-of-duties exceptions since April</t>
  </si>
  <si>
    <t>CTL-008</t>
  </si>
  <si>
    <t>Unauthorised-access events YTD</t>
  </si>
  <si>
    <t>Sum of unauthorised access events since April</t>
  </si>
  <si>
    <t>CTL-009</t>
  </si>
  <si>
    <t>Data-sharing exceptions YTD</t>
  </si>
  <si>
    <t>Sum of data-sharing exceptions since April</t>
  </si>
  <si>
    <t>CTL-010</t>
  </si>
  <si>
    <t>Manual overrides YTD</t>
  </si>
  <si>
    <t>Sum of manual operational or system overrides since April</t>
  </si>
  <si>
    <t>12 (O-05)</t>
  </si>
  <si>
    <t>GOV-001</t>
  </si>
  <si>
    <t>Ageing certification approvals</t>
  </si>
  <si>
    <t>Certification approvals past due date</t>
  </si>
  <si>
    <t>2 &gt; [PH] d (G-08)</t>
  </si>
  <si>
    <t>G-08 · Owner depth</t>
  </si>
  <si>
    <t>GOV-002</t>
  </si>
  <si>
    <t>KPI overrides</t>
  </si>
  <si>
    <t>KPI values overridden</t>
  </si>
  <si>
    <t>0 (G-08)</t>
  </si>
  <si>
    <t>GOV-003</t>
  </si>
  <si>
    <t>Recurring data-quality issues</t>
  </si>
  <si>
    <t>1 (G-08)</t>
  </si>
  <si>
    <t>GOV-004</t>
  </si>
  <si>
    <t>Open audit findings</t>
  </si>
  <si>
    <t>7 (G-08, O-05)</t>
  </si>
  <si>
    <t>G-08 · Owner depth, O-05</t>
  </si>
  <si>
    <t>GOV-005</t>
  </si>
  <si>
    <t>Overdue assurance actions</t>
  </si>
  <si>
    <t>GOV-006</t>
  </si>
  <si>
    <t>Repeat findings</t>
  </si>
  <si>
    <t>Repeat audit findings</t>
  </si>
  <si>
    <t>GOV-007</t>
  </si>
  <si>
    <t>Leadership KPIs affected by findings</t>
  </si>
  <si>
    <t>Leadership KPIs affected by open findings</t>
  </si>
  <si>
    <t>TRU-007</t>
  </si>
  <si>
    <t>Material reconciliation breaks</t>
  </si>
  <si>
    <t>GOV-008</t>
  </si>
  <si>
    <t>Evidence completeness rate</t>
  </si>
  <si>
    <t>Evidence items complete ÷ Evidence items required × 100</t>
  </si>
  <si>
    <t>88% (G-08)</t>
  </si>
  <si>
    <t>evidence_required, evidence_complete</t>
  </si>
  <si>
    <t>GOV-009</t>
  </si>
  <si>
    <t>Average finding-closure time</t>
  </si>
  <si>
    <t>Days taken to close findings since April ÷ Findings closed since April</t>
  </si>
  <si>
    <t>34 d (G-08)</t>
  </si>
  <si>
    <t>findings_closed, finding_closure_days</t>
  </si>
  <si>
    <t>TRU-001</t>
  </si>
  <si>
    <t>Certified KPI percentage</t>
  </si>
  <si>
    <t>Leadership KPI values certified ÷ Leadership KPI values reported × 100</t>
  </si>
  <si>
    <t>84 % of leadership KPIs (G-08)</t>
  </si>
  <si>
    <t>kpis_leadership, kpis_certified</t>
  </si>
  <si>
    <t>TRU-002</t>
  </si>
  <si>
    <t>Uncertified KPI count</t>
  </si>
  <si>
    <t>Leadership KPI values reported − Values certified</t>
  </si>
  <si>
    <t>9 (G-08)</t>
  </si>
  <si>
    <t>TRU-008</t>
  </si>
  <si>
    <t>Source-to-Lake reconciliation rate</t>
  </si>
  <si>
    <t>Records reconciled to source ÷ Records loaded × 100</t>
  </si>
  <si>
    <t>99.2% (G-08)</t>
  </si>
  <si>
    <t>lake_records_loaded, lake_records_reconciled</t>
  </si>
  <si>
    <t>TRU-009</t>
  </si>
  <si>
    <t>Flash-to-MIS reconciliation rate</t>
  </si>
  <si>
    <t>Flash lines matching MIS ÷ Flash report lines × 100</t>
  </si>
  <si>
    <t>96.8% (G-08)</t>
  </si>
  <si>
    <t>mis_lines_total, mis_lines_matched</t>
  </si>
  <si>
    <t>TRU-010</t>
  </si>
  <si>
    <t>Flash-to-close variance</t>
  </si>
  <si>
    <t>|Flash revenue − Closed revenue| ÷ Closed revenue × 100</t>
  </si>
  <si>
    <t>0.6 % (G-08)</t>
  </si>
  <si>
    <t>revenue_k, flash_revenue_k</t>
  </si>
  <si>
    <t>TRU-011</t>
  </si>
  <si>
    <t>Largest entity variance against Board numbers</t>
  </si>
  <si>
    <t>Highest of the entities' |Board-pack EBITDA − Certified EBITDA| ÷ Certified EBITDA × 100</t>
  </si>
  <si>
    <t>0.3 % (max abs) (G-08); 0.3% max abs · Entity B2 (G-08)</t>
  </si>
  <si>
    <t>variable_cost_k, fixed_cost_k, revenue_k, overhead_k, board_ebitda_k</t>
  </si>
  <si>
    <t>EFF-002</t>
  </si>
  <si>
    <t>Open critical alerts</t>
  </si>
  <si>
    <t>1 alert (O-01, STATE GALLERY)</t>
  </si>
  <si>
    <t>EFF-008</t>
  </si>
  <si>
    <t>Average resolution time</t>
  </si>
  <si>
    <t>Days taken to resolve alerts ÷ Alerts resolved</t>
  </si>
  <si>
    <t>2.4 d (O-06)</t>
  </si>
  <si>
    <t>O-06</t>
  </si>
  <si>
    <t>alerts_resolved, alert_resolution_days</t>
  </si>
  <si>
    <t>EFF-009</t>
  </si>
  <si>
    <t>Closed escalations, last 30 days</t>
  </si>
  <si>
    <t>Escalations closed in the month</t>
  </si>
  <si>
    <t>11 (O-06)</t>
  </si>
  <si>
    <t>EFF-010</t>
  </si>
  <si>
    <t>Repeat issues, last 90 days</t>
  </si>
  <si>
    <t>Last 3 months</t>
  </si>
  <si>
    <t>Sum of repeat issues over the last 3 months</t>
  </si>
  <si>
    <t>2 (O-06)</t>
  </si>
  <si>
    <t>EFF-011</t>
  </si>
  <si>
    <t>Root causes eliminated YTD</t>
  </si>
  <si>
    <t>Root causes eliminated since April, of those identified since April</t>
  </si>
  <si>
    <t>7 of 9 (O-06)</t>
  </si>
  <si>
    <t>root_causes_identified, root_causes_eliminated</t>
  </si>
  <si>
    <t>SIG-004</t>
  </si>
  <si>
    <t>Collections slippage</t>
  </si>
  <si>
    <t>(Days taken to collect − Agreed payment terms) ÷ Invoices collected (average days late)</t>
  </si>
  <si>
    <t>+2 d (A1) (O-03)</t>
  </si>
  <si>
    <t>invoices_collected, collection_days, terms_days</t>
  </si>
  <si>
    <t>SIG-006</t>
  </si>
  <si>
    <t>Cash burn signal</t>
  </si>
  <si>
    <t>Triggered if operating cash flow in the month is negative</t>
  </si>
  <si>
    <t>Not triggered (O-03)</t>
  </si>
  <si>
    <t>PRD-001</t>
  </si>
  <si>
    <t>Days to breach (earliest plant)</t>
  </si>
  <si>
    <t>Forecast</t>
  </si>
  <si>
    <t>Lowest plant forecast of days until its production plan is breached (99 = not expected)</t>
  </si>
  <si>
    <t>4 days (O-01, O-02, O-09, S-10, STATE GALLERY)</t>
  </si>
  <si>
    <t>O-01, O-02, O-09, S-10, STATE GALLERY · O-01 + S-02, O-01 · large display ≥ 1600</t>
  </si>
  <si>
    <t>PRD-002</t>
  </si>
  <si>
    <t>Probability of production plan miss, next month</t>
  </si>
  <si>
    <t>Next month</t>
  </si>
  <si>
    <t>Chance that output falls below plan: normal distribution with mean = Forecast good output, spread = √(sum of plant forecast variances)</t>
  </si>
  <si>
    <t>64% (O-01, O-02, STATE GALLERY)</t>
  </si>
  <si>
    <t>O-01, O-02, STATE GALLERY · O-01 + S-02, O-01 · large display ≥ 1600</t>
  </si>
  <si>
    <t>planned_production_next_t, forecast_good_next_t, forecast_good_var_next</t>
  </si>
  <si>
    <t>PRD-003</t>
  </si>
  <si>
    <t>Projected EBITDA gap, rest of year</t>
  </si>
  <si>
    <t>(Forecast EBITDA − Planned EBITDA, rest of year) ÷ 1000</t>
  </si>
  <si>
    <t>−₹9.2 m (O-01, O-02, STATE GALLERY); −9.2 ₹ m (S-09)</t>
  </si>
  <si>
    <t>O-01, O-02, S-09, STATE GALLERY · O-01 + S-02, O-01 · large display ≥ 1600</t>
  </si>
  <si>
    <t>forecast_ebitda_rest_k, planned_ebitda_rest_k</t>
  </si>
  <si>
    <t>PRD-004</t>
  </si>
  <si>
    <t>Projected liquidity gap, next 90 days</t>
  </si>
  <si>
    <t>₹ m or text</t>
  </si>
  <si>
    <t>Next 90 days</t>
  </si>
  <si>
    <t>Cash + Undrawn facilities + Forecast net cash flow (90 days); 'None' if not negative</t>
  </si>
  <si>
    <t>None (O-02); None within 90 d (O-03)</t>
  </si>
  <si>
    <t>O-02, O-03</t>
  </si>
  <si>
    <t>cash_k, undrawn_facilities_k, forecast_net_cash_flow_90d_k</t>
  </si>
  <si>
    <t>PRD-005</t>
  </si>
  <si>
    <t>Forecast covenant breach</t>
  </si>
  <si>
    <t>Quarter end</t>
  </si>
  <si>
    <t>Breach forecast if Forecast net debt ÷ Forecast 12-month EBITDA exceeds the covenant limit</t>
  </si>
  <si>
    <t>Not forecast (O-02, O-03)</t>
  </si>
  <si>
    <t>forecast_net_debt_k, forecast_ebitda_ltm_k</t>
  </si>
  <si>
    <t>PRD-006</t>
  </si>
  <si>
    <t>Production loss from downtime, next month</t>
  </si>
  <si>
    <t>kt</t>
  </si>
  <si>
    <t>Forecast production lost to downtime next month ÷ 1000</t>
  </si>
  <si>
    <t>11.2 kt (O-09)</t>
  </si>
  <si>
    <t>PRD-007</t>
  </si>
  <si>
    <t>Probability OEE below 78%, next month</t>
  </si>
  <si>
    <t>Chance that Forecast good output &lt; 78% × Ideal output next month (same distribution as PRD-002)</t>
  </si>
  <si>
    <t>41% (O-09)</t>
  </si>
  <si>
    <t>forecast_good_next_t, forecast_good_var_next, ideal_output_next_t</t>
  </si>
  <si>
    <t>No.</t>
  </si>
  <si>
    <t>Screen</t>
  </si>
  <si>
    <t>Screen title</t>
  </si>
  <si>
    <t>Element</t>
  </si>
  <si>
    <t>Label on the screen</t>
  </si>
  <si>
    <t>Scope</t>
  </si>
  <si>
    <t>Shown on the screen</t>
  </si>
  <si>
    <t>Model value, P06 (Sep 2026)</t>
  </si>
  <si>
    <t>Where the model value comes from</t>
  </si>
  <si>
    <t>Enterprise Health</t>
  </si>
  <si>
    <t>Card</t>
  </si>
  <si>
    <t>Production vs plan · Group MTD</t>
  </si>
  <si>
    <t>98.1 % of plan</t>
  </si>
  <si>
    <t>Owner KPIs sheet, row 2 (Group, Sep 2026)</t>
  </si>
  <si>
    <t>EBITDA YTD (to P06)</t>
  </si>
  <si>
    <t>361.3 ₹ m</t>
  </si>
  <si>
    <t>Owner KPIs sheet, row 29 (Group, Sep 2026)</t>
  </si>
  <si>
    <t>EBIT YTD (to P06)</t>
  </si>
  <si>
    <t>238.4 ₹ m</t>
  </si>
  <si>
    <t>Owner KPIs sheet, row 30 (Group, Sep 2026)</t>
  </si>
  <si>
    <t>Free Cash Flow YTD</t>
  </si>
  <si>
    <t>96.4 ₹ m</t>
  </si>
  <si>
    <t>Owner KPIs sheet, row 32 (Group, Sep 2026)</t>
  </si>
  <si>
    <t>ROCE · rolling 12 m</t>
  </si>
  <si>
    <t>11.8 %</t>
  </si>
  <si>
    <t>Owner KPIs sheet, row 33 (Group, Sep 2026)</t>
  </si>
  <si>
    <t>Net Debt</t>
  </si>
  <si>
    <t>1,140 ₹ m</t>
  </si>
  <si>
    <t>Owner KPIs sheet, row 34 (Group, Sep 2026)</t>
  </si>
  <si>
    <t>Capex physical progress</t>
  </si>
  <si>
    <t>61 % weighted</t>
  </si>
  <si>
    <t>Owner KPIs sheet, row 59 (Group, Sep 2026)</t>
  </si>
  <si>
    <t>1 alert</t>
  </si>
  <si>
    <t>Owner KPIs sheet, row 106 (Group, Sep 2026)</t>
  </si>
  <si>
    <t>Tile</t>
  </si>
  <si>
    <t>Days to breach · Plant 02 plan</t>
  </si>
  <si>
    <t>4 days</t>
  </si>
  <si>
    <t>Same formula on Plant Inputs row 15 (Plant 02, Sep 2026)</t>
  </si>
  <si>
    <t>Probability of plan miss · P07</t>
  </si>
  <si>
    <t>64%</t>
  </si>
  <si>
    <t>Owner KPIs sheet, row 114 (Group, Sep 2026)</t>
  </si>
  <si>
    <t>Projected EBITDA gap · P07–P12</t>
  </si>
  <si>
    <t>−₹9.2 m</t>
  </si>
  <si>
    <t>Owner KPIs sheet, row 115 (Group, Sep 2026)</t>
  </si>
  <si>
    <t>Table</t>
  </si>
  <si>
    <t>86%</t>
  </si>
  <si>
    <t>Owner KPIs sheet, row 3 (Group, Sep 2026)</t>
  </si>
  <si>
    <t>Capacity utilisation</t>
  </si>
  <si>
    <t>Owner KPIs sheet, row 24 (Group, Sep 2026)</t>
  </si>
  <si>
    <t>Sales vs plan · MTD</t>
  </si>
  <si>
    <t>97.6%</t>
  </si>
  <si>
    <t>Owner KPIs sheet, row 26 (Group, Sep 2026)</t>
  </si>
  <si>
    <t>Sales vs plan · Group MTD</t>
  </si>
  <si>
    <t>Owner KPIs sheet, row 27 (Group, Sep 2026)</t>
  </si>
  <si>
    <t>2,410 ₹ m</t>
  </si>
  <si>
    <t>Owner KPIs sheet, row 31 (Group, Sep 2026)</t>
  </si>
  <si>
    <t>ROCE (rolling 12 m)</t>
  </si>
  <si>
    <t>11.8%</t>
  </si>
  <si>
    <t>Shareholder-value indicator</t>
  </si>
  <si>
    <t>[PLACEHOLDER]</t>
  </si>
  <si>
    <t>Owner KPIs sheet, row 35 (Group, Sep 2026)</t>
  </si>
  <si>
    <t>Transformation progress (weighted)</t>
  </si>
  <si>
    <t>54%</t>
  </si>
  <si>
    <t>Owner KPIs sheet, row 64 (Group, Sep 2026)</t>
  </si>
  <si>
    <t>Owner KPIs sheet, row 65 (Group, Sep 2026)</t>
  </si>
  <si>
    <t>Regulatory breaches · YTD</t>
  </si>
  <si>
    <t>0</t>
  </si>
  <si>
    <t>Owner KPIs sheet, row 79 (Group, Sep 2026)</t>
  </si>
  <si>
    <t>Owner KPIs sheet, row 80 (Group, Sep 2026)</t>
  </si>
  <si>
    <t>O-02</t>
  </si>
  <si>
    <t>24-Hour Executive Change Report</t>
  </si>
  <si>
    <t>Projected EBITDA gap P07–P12</t>
  </si>
  <si>
    <t>Projected liquidity gap</t>
  </si>
  <si>
    <t>None</t>
  </si>
  <si>
    <t>Owner KPIs sheet, row 116 (Group, Sep 2026)</t>
  </si>
  <si>
    <t>Not forecast</t>
  </si>
  <si>
    <t>Owner KPIs sheet, row 117 (Group, Sep 2026)</t>
  </si>
  <si>
    <t>Cash and Liquidity Summary</t>
  </si>
  <si>
    <t>384 ₹ m</t>
  </si>
  <si>
    <t>Owner KPIs sheet, row 36 (Group, Sep 2026)</t>
  </si>
  <si>
    <t>26 ₹ m</t>
  </si>
  <si>
    <t>Owner KPIs sheet, row 40 (Group, Sep 2026)</t>
  </si>
  <si>
    <t>512 ₹ m</t>
  </si>
  <si>
    <t>Owner KPIs sheet, row 44 (Group, Sep 2026)</t>
  </si>
  <si>
    <t>14.2 months</t>
  </si>
  <si>
    <t>Owner KPIs sheet, row 47 (Group, Sep 2026)</t>
  </si>
  <si>
    <t>22 % [TERMS — PH]</t>
  </si>
  <si>
    <t>Owner KPIs sheet, row 48 (Group, Sep 2026)</t>
  </si>
  <si>
    <t>+2 d (A1)</t>
  </si>
  <si>
    <t>Owner KPIs sheet, row 111 (Group, Sep 2026)</t>
  </si>
  <si>
    <t>None within 90 d</t>
  </si>
  <si>
    <t>Cash released · YTD</t>
  </si>
  <si>
    <t>₹21 m</t>
  </si>
  <si>
    <t>Owner KPIs sheet, row 37 (Group, Sep 2026)</t>
  </si>
  <si>
    <t>Daily collections (Group)</t>
  </si>
  <si>
    <t>₹18.6 m</t>
  </si>
  <si>
    <t>Owner KPIs sheet, row 38 (Group, Sep 2026)</t>
  </si>
  <si>
    <t>33 d</t>
  </si>
  <si>
    <t>Owner KPIs sheet, row 39 (Group, Sep 2026)</t>
  </si>
  <si>
    <t>47 d</t>
  </si>
  <si>
    <t>Owner KPIs sheet, row 41 (Group, Sep 2026)</t>
  </si>
  <si>
    <t>52 d</t>
  </si>
  <si>
    <t>Owner KPIs sheet, row 42 (Group, Sep 2026)</t>
  </si>
  <si>
    <t>38 d</t>
  </si>
  <si>
    <t>Owner KPIs sheet, row 43 (Group, Sep 2026)</t>
  </si>
  <si>
    <t>Working-capital movement P07</t>
  </si>
  <si>
    <t>+₹14 m</t>
  </si>
  <si>
    <t>Owner KPIs sheet, row 45 (Group, Sep 2026)</t>
  </si>
  <si>
    <t>33</t>
  </si>
  <si>
    <t>Owner KPIs sheet, row 46 (Group, Sep 2026)</t>
  </si>
  <si>
    <t>Debt-maturity exposure · next 12 m</t>
  </si>
  <si>
    <t>₹120 m</t>
  </si>
  <si>
    <t>Owner KPIs sheet, row 49 (Group, Sep 2026)</t>
  </si>
  <si>
    <t>Financing exposure</t>
  </si>
  <si>
    <t>₹310 m</t>
  </si>
  <si>
    <t>Owner KPIs sheet, row 50 (Group, Sep 2026)</t>
  </si>
  <si>
    <t>FX exposure (unhedged)</t>
  </si>
  <si>
    <t>₹64 m</t>
  </si>
  <si>
    <t>Owner KPIs sheet, row 51 (Group, Sep 2026)</t>
  </si>
  <si>
    <t>91%</t>
  </si>
  <si>
    <t>Owner KPIs sheet, row 52 (Group, Sep 2026)</t>
  </si>
  <si>
    <t>FX exposure by currency (USD share)</t>
  </si>
  <si>
    <t>72% of unhedged</t>
  </si>
  <si>
    <t>Owner KPIs sheet, row 53 (Group, Sep 2026)</t>
  </si>
  <si>
    <t>Hedge cover · next 6 m</t>
  </si>
  <si>
    <t>68%</t>
  </si>
  <si>
    <t>Owner KPIs sheet, row 54 (Group, Sep 2026)</t>
  </si>
  <si>
    <t>FX sensitivity · 5% USD move</t>
  </si>
  <si>
    <t>₹3.2 m EBITDA</t>
  </si>
  <si>
    <t>Owner KPIs sheet, row 55 (Group, Sep 2026)</t>
  </si>
  <si>
    <t>Cash burn (leading)</t>
  </si>
  <si>
    <t>Not triggered</t>
  </si>
  <si>
    <t>Owner KPIs sheet, row 112 (Group, Sep 2026)</t>
  </si>
  <si>
    <t>Major Capex and Strategic Initiatives</t>
  </si>
  <si>
    <t>Approved budget</t>
  </si>
  <si>
    <t>850 ₹ m</t>
  </si>
  <si>
    <t>Owner KPIs sheet, row 56 (Group, Sep 2026)</t>
  </si>
  <si>
    <t>Committed Capex</t>
  </si>
  <si>
    <t>610 ₹ m · 72%</t>
  </si>
  <si>
    <t>Owner KPIs sheet, row 57 (Group, Sep 2026)</t>
  </si>
  <si>
    <t>Actual spend</t>
  </si>
  <si>
    <t>402 ₹ m · 47%</t>
  </si>
  <si>
    <t>Owner KPIs sheet, row 58 (Group, Sep 2026)</t>
  </si>
  <si>
    <t>34 ₹ m</t>
  </si>
  <si>
    <t>Owner KPIs sheet, row 60 (Group, Sep 2026)</t>
  </si>
  <si>
    <t>Benefits realization</t>
  </si>
  <si>
    <t>48 % of plan</t>
  </si>
  <si>
    <t>Owner KPIs sheet, row 62 (Group, Sep 2026)</t>
  </si>
  <si>
    <t>EBITDA benefit delivered YTD</t>
  </si>
  <si>
    <t>₹14 m</t>
  </si>
  <si>
    <t>Owner KPIs sheet, row 67 (Group, Sep 2026)</t>
  </si>
  <si>
    <t>Cash benefit delivered YTD</t>
  </si>
  <si>
    <t>₹9 m</t>
  </si>
  <si>
    <t>Owner KPIs sheet, row 68 (Group, Sep 2026)</t>
  </si>
  <si>
    <t>₹11 m</t>
  </si>
  <si>
    <t>Owner KPIs sheet, row 69 (Group, Sep 2026)</t>
  </si>
  <si>
    <t>₹34 m</t>
  </si>
  <si>
    <t>1</t>
  </si>
  <si>
    <t>Owner KPIs sheet, row 63 (Group, Sep 2026)</t>
  </si>
  <si>
    <t>Initiative status</t>
  </si>
  <si>
    <t>9 on track · 2 at risk · 0 off track</t>
  </si>
  <si>
    <t>Owner KPIs sheet, row 61 (Group, Sep 2026)</t>
  </si>
  <si>
    <t>Initiative status · 24 initiatives</t>
  </si>
  <si>
    <t>15 on track · 6 at risk · 3 delayed</t>
  </si>
  <si>
    <t>Owner KPIs sheet, row 66 (Group, Sep 2026)</t>
  </si>
  <si>
    <t>EBITDA benefit</t>
  </si>
  <si>
    <t>Cash benefit</t>
  </si>
  <si>
    <t>Cost savings delivered</t>
  </si>
  <si>
    <t>Material Risk, Compliance and EHS</t>
  </si>
  <si>
    <t>TRIR · rolling 12 m</t>
  </si>
  <si>
    <t>0.42</t>
  </si>
  <si>
    <t>Owner KPIs sheet, row 17 (Group, Sep 2026)</t>
  </si>
  <si>
    <t>Critical safety incidents · YTD</t>
  </si>
  <si>
    <t>Owner KPIs sheet, row 20 (Group, Sep 2026)</t>
  </si>
  <si>
    <t>Nearest licence or permit expiry</t>
  </si>
  <si>
    <t>74 days · Entity C1</t>
  </si>
  <si>
    <t>Owner KPIs sheet, row 23 (Group, Sep 2026)</t>
  </si>
  <si>
    <t>Owner KPIs sheet, row 76 (Group, Sep 2026)</t>
  </si>
  <si>
    <t>Owner KPIs sheet, row 77 (Group, Sep 2026)</t>
  </si>
  <si>
    <t>High-severity control failures</t>
  </si>
  <si>
    <t>Owner KPIs sheet, row 83 (Group, Sep 2026)</t>
  </si>
  <si>
    <t>3.1 m³/t</t>
  </si>
  <si>
    <t>Owner KPIs sheet, row 11 (Group, Sep 2026)</t>
  </si>
  <si>
    <t>0.82 tCO2e/t</t>
  </si>
  <si>
    <t>Owner KPIs sheet, row 12 (Group, Sep 2026)</t>
  </si>
  <si>
    <t>5.2 GJ/t</t>
  </si>
  <si>
    <t>Owner KPIs sheet, row 13 (Group, Sep 2026)</t>
  </si>
  <si>
    <t>Severity incidents · MTD</t>
  </si>
  <si>
    <t>Owner KPIs sheet, row 18 (Group, Sep 2026)</t>
  </si>
  <si>
    <t>Near misses · MTD</t>
  </si>
  <si>
    <t>14</t>
  </si>
  <si>
    <t>Owner KPIs sheet, row 19 (Group, Sep 2026)</t>
  </si>
  <si>
    <t>Environmental excursions · MTD</t>
  </si>
  <si>
    <t>1 (minor, closed)</t>
  </si>
  <si>
    <t>Owner KPIs sheet, row 21 (Group, Sep 2026)</t>
  </si>
  <si>
    <t>Owner KPIs sheet, row 22 (Group, Sep 2026)</t>
  </si>
  <si>
    <t>Contracts expiring · 90 d</t>
  </si>
  <si>
    <t>4</t>
  </si>
  <si>
    <t>Owner KPIs sheet, row 73 (Group, Sep 2026)</t>
  </si>
  <si>
    <t>96%</t>
  </si>
  <si>
    <t>Owner KPIs sheet, row 74 (Group, Sep 2026)</t>
  </si>
  <si>
    <t>Owner KPIs sheet, row 75 (Group, Sep 2026)</t>
  </si>
  <si>
    <t>Owner KPIs sheet, row 78 (Group, Sep 2026)</t>
  </si>
  <si>
    <t>0 running</t>
  </si>
  <si>
    <t>Owner KPIs sheet, row 81 (Group, Sep 2026)</t>
  </si>
  <si>
    <t>Control failures · YTD</t>
  </si>
  <si>
    <t>Owner KPIs sheet, row 82 (Group, Sep 2026)</t>
  </si>
  <si>
    <t>Policy exceptions</t>
  </si>
  <si>
    <t>3</t>
  </si>
  <si>
    <t>Owner KPIs sheet, row 84 (Group, Sep 2026)</t>
  </si>
  <si>
    <t>Unauthorized-vendor usage</t>
  </si>
  <si>
    <t>Owner KPIs sheet, row 85 (Group, Sep 2026)</t>
  </si>
  <si>
    <t>SoD exceptions</t>
  </si>
  <si>
    <t>Owner KPIs sheet, row 86 (Group, Sep 2026)</t>
  </si>
  <si>
    <t>Unauthorized-access events</t>
  </si>
  <si>
    <t>Owner KPIs sheet, row 87 (Group, Sep 2026)</t>
  </si>
  <si>
    <t>Data-sharing exceptions</t>
  </si>
  <si>
    <t>Owner KPIs sheet, row 88 (Group, Sep 2026)</t>
  </si>
  <si>
    <t>Manual overrides (operational)</t>
  </si>
  <si>
    <t>12</t>
  </si>
  <si>
    <t>Owner KPIs sheet, row 89 (Group, Sep 2026)</t>
  </si>
  <si>
    <t>7</t>
  </si>
  <si>
    <t>Owner KPIs sheet, row 93 (Group, Sep 2026)</t>
  </si>
  <si>
    <t>Decisions Required</t>
  </si>
  <si>
    <t>Alert resolution time</t>
  </si>
  <si>
    <t>2.4 d</t>
  </si>
  <si>
    <t>Owner KPIs sheet, row 107 (Group, Sep 2026)</t>
  </si>
  <si>
    <t>Closed escalations · 30 d</t>
  </si>
  <si>
    <t>11</t>
  </si>
  <si>
    <t>Owner KPIs sheet, row 108 (Group, Sep 2026)</t>
  </si>
  <si>
    <t>Repeat issues · 90 d</t>
  </si>
  <si>
    <t>2</t>
  </si>
  <si>
    <t>Owner KPIs sheet, row 109 (Group, Sep 2026)</t>
  </si>
  <si>
    <t>Root causes eliminated · YTD</t>
  </si>
  <si>
    <t>7 of 9</t>
  </si>
  <si>
    <t>Owner KPIs sheet, row 110 (Group, Sep 2026)</t>
  </si>
  <si>
    <t>Operations and Assets</t>
  </si>
  <si>
    <t>MTBF · critical assets</t>
  </si>
  <si>
    <t>205 h</t>
  </si>
  <si>
    <t>Owner KPIs sheet, row 4 (Group, Sep 2026)</t>
  </si>
  <si>
    <t>Conversion cost per tonne</t>
  </si>
  <si>
    <t>412 ₹ /t</t>
  </si>
  <si>
    <t>Owner KPIs sheet, row 8 (Group, Sep 2026)</t>
  </si>
  <si>
    <t>86 %</t>
  </si>
  <si>
    <t>OEE · Group weighted</t>
  </si>
  <si>
    <t>78.4 %</t>
  </si>
  <si>
    <t>Owner KPIs sheet, row 25 (Group, Sep 2026)</t>
  </si>
  <si>
    <t>Supplier OTIF · Group</t>
  </si>
  <si>
    <t>91 %</t>
  </si>
  <si>
    <t>Owner KPIs sheet, row 70 (Group, Sep 2026)</t>
  </si>
  <si>
    <t>RM-1 days of cover</t>
  </si>
  <si>
    <t>3.5 days of cover</t>
  </si>
  <si>
    <t>Owner KPIs sheet, row 15 (Group, Sep 2026)</t>
  </si>
  <si>
    <t>Production loss from downtime · P07</t>
  </si>
  <si>
    <t>11.2 kt</t>
  </si>
  <si>
    <t>Owner KPIs sheet, row 118 (Group, Sep 2026)</t>
  </si>
  <si>
    <t>Probability OEE &lt; 78% in P08</t>
  </si>
  <si>
    <t>41%</t>
  </si>
  <si>
    <t>Owner KPIs sheet, row 119 (Group, Sep 2026)</t>
  </si>
  <si>
    <t>MTTR · critical assets</t>
  </si>
  <si>
    <t>3.6 h</t>
  </si>
  <si>
    <t>Owner KPIs sheet, row 5 (Group, Sep 2026)</t>
  </si>
  <si>
    <t>Unplanned downtime · P07</t>
  </si>
  <si>
    <t>3.1 % of hours</t>
  </si>
  <si>
    <t>Owner KPIs sheet, row 6 (Group, Sep 2026)</t>
  </si>
  <si>
    <t>PM compliance</t>
  </si>
  <si>
    <t>93%</t>
  </si>
  <si>
    <t>Owner KPIs sheet, row 7 (Group, Sep 2026)</t>
  </si>
  <si>
    <t>₹412 /t</t>
  </si>
  <si>
    <t>Variable cost per tonne</t>
  </si>
  <si>
    <t>₹214 /t</t>
  </si>
  <si>
    <t>Owner KPIs sheet, row 9 (Group, Sep 2026)</t>
  </si>
  <si>
    <t>Fuel cost per tonne</t>
  </si>
  <si>
    <t>9.8 ₹/t</t>
  </si>
  <si>
    <t>Owner KPIs sheet, row 10 (Group, Sep 2026)</t>
  </si>
  <si>
    <t>Critical-material cover · RM-1</t>
  </si>
  <si>
    <t>6.1 ₹/t</t>
  </si>
  <si>
    <t>Owner KPIs sheet, row 28 (Group, Sep 2026)</t>
  </si>
  <si>
    <t>Supplier OTIF</t>
  </si>
  <si>
    <t>38%</t>
  </si>
  <si>
    <t>Owner KPIs sheet, row 71 (Group, Sep 2026)</t>
  </si>
  <si>
    <t>Owner KPIs sheet, row 72 (Group, Sep 2026)</t>
  </si>
  <si>
    <t>Production loss from downtime</t>
  </si>
  <si>
    <t>Trust Summary (Owner depth)</t>
  </si>
  <si>
    <t>Owner KPIs sheet, row 96 (Group, Sep 2026)</t>
  </si>
  <si>
    <t>Owner KPIs sheet, row 97 (Group, Sep 2026)</t>
  </si>
  <si>
    <t>84 % of leadership KPIs</t>
  </si>
  <si>
    <t>Owner KPIs sheet, row 100 (Group, Sep 2026)</t>
  </si>
  <si>
    <t>9</t>
  </si>
  <si>
    <t>Owner KPIs sheet, row 101 (Group, Sep 2026)</t>
  </si>
  <si>
    <t>Flash-to-Close variance (P06)</t>
  </si>
  <si>
    <t>0.6 %</t>
  </si>
  <si>
    <t>Owner KPIs sheet, row 104 (Group, Sep 2026)</t>
  </si>
  <si>
    <t>Variance against Board numbers</t>
  </si>
  <si>
    <t>0.3 % (max abs)</t>
  </si>
  <si>
    <t>Owner KPIs sheet, row 105 (Group, Sep 2026)</t>
  </si>
  <si>
    <t>2 &gt; [PH] d</t>
  </si>
  <si>
    <t>Owner KPIs sheet, row 90 (Group, Sep 2026)</t>
  </si>
  <si>
    <t>Override count (KPI)</t>
  </si>
  <si>
    <t>Owner KPIs sheet, row 91 (Group, Sep 2026)</t>
  </si>
  <si>
    <t>Owner KPIs sheet, row 92 (Group, Sep 2026)</t>
  </si>
  <si>
    <t>Owner KPIs sheet, row 94 (Group, Sep 2026)</t>
  </si>
  <si>
    <t>Owner KPIs sheet, row 95 (Group, Sep 2026)</t>
  </si>
  <si>
    <t>88%</t>
  </si>
  <si>
    <t>Owner KPIs sheet, row 98 (Group, Sep 2026)</t>
  </si>
  <si>
    <t>34 d</t>
  </si>
  <si>
    <t>Owner KPIs sheet, row 99 (Group, Sep 2026)</t>
  </si>
  <si>
    <t>KPI certification coverage</t>
  </si>
  <si>
    <t>99.2%</t>
  </si>
  <si>
    <t>Owner KPIs sheet, row 102 (Group, Sep 2026)</t>
  </si>
  <si>
    <t>96.8%</t>
  </si>
  <si>
    <t>Owner KPIs sheet, row 103 (Group, Sep 2026)</t>
  </si>
  <si>
    <t>0.3% max abs · Entity B2</t>
  </si>
  <si>
    <t>S-03 · Owner view</t>
  </si>
  <si>
    <t>KPI Detail and Lineage · OPS-001 Production vs plan · Entity A1</t>
  </si>
  <si>
    <t>Production vs plan · Entity A1 MTD</t>
  </si>
  <si>
    <t>103.2 % of plan (flash)</t>
  </si>
  <si>
    <t>Same formula on Entity Inputs row 9 (Entity A1, Sep 2026)</t>
  </si>
  <si>
    <t>S-09</t>
  </si>
  <si>
    <t>Entity Contribution · projected EBITDA gap</t>
  </si>
  <si>
    <t>−9.2 ₹ m</t>
  </si>
  <si>
    <t>Operations Impact · Plant 02 (Owner summary)</t>
  </si>
  <si>
    <t>Production vs plan · Plant 02 MTD</t>
  </si>
  <si>
    <t>100.2 % of plan</t>
  </si>
  <si>
    <t>Production at risk · Plant 02</t>
  </si>
  <si>
    <t>18.4 kt (FCST)</t>
  </si>
  <si>
    <t>Critical-material shortage risk · RM-1</t>
  </si>
  <si>
    <t>Cash Exposure · how the supply issue reaches cash</t>
  </si>
  <si>
    <t>2–4 days</t>
  </si>
  <si>
    <t>Owner KPIs sheet, row 16 (Group, Sep 2026)</t>
  </si>
  <si>
    <t>Daily collections · A1</t>
  </si>
  <si>
    <t>4.1 ₹ m</t>
  </si>
  <si>
    <t>DSO · Entity A1</t>
  </si>
  <si>
    <t>52 days</t>
  </si>
  <si>
    <t>STATE GALLERY · O-01 + S-02</t>
  </si>
  <si>
    <t>O-01 · large display ≥ 1600</t>
  </si>
  <si>
    <t>Formula</t>
  </si>
  <si>
    <t>Calculated value, Sep 2026 (P06)</t>
  </si>
  <si>
    <t>Shown on the Owner screens (Group scope)</t>
  </si>
  <si>
    <t>Same or different</t>
  </si>
  <si>
    <t>Screens</t>
  </si>
  <si>
    <t>Where the inputs come from</t>
  </si>
  <si>
    <t>Different</t>
  </si>
  <si>
    <t>Original plant data (plant_base.csv, synthetic)</t>
  </si>
  <si>
    <t>412 ₹ /t; ₹412 /t</t>
  </si>
  <si>
    <t>Not shown</t>
  </si>
  <si>
    <t>Same</t>
  </si>
  <si>
    <t>86%; 86 %</t>
  </si>
  <si>
    <t>Synthetic inputs added for this model</t>
  </si>
  <si>
    <t>Original plant data + synthetic inputs added for this model</t>
  </si>
  <si>
    <t>Sum of monthly EBITDA since April ÷ 1000  [Year to date]</t>
  </si>
  <si>
    <t>Sum of monthly EBIT since April ÷ 1000  [Year to date]</t>
  </si>
  <si>
    <t>Sum of monthly Revenue since April ÷ 1000  [Year to date]</t>
  </si>
  <si>
    <t>Sum of monthly Free cash flow since April ÷ 1000  [Year to date]</t>
  </si>
  <si>
    <t>EBIT since April × 12 ÷ months elapsed ÷ Capital employed × 100  [Year to date]</t>
  </si>
  <si>
    <t>11.8 %; 11.8%</t>
  </si>
  <si>
    <t>(Gross debt − Cash) ÷ 1000  [Month end]</t>
  </si>
  <si>
    <t>(EBIT since April × (1 − Tax rate) − Capital employed × Cost of capital × months elapsed ÷ 12) ÷ 1000  [Year to date]</t>
  </si>
  <si>
    <t>Cash ÷ 1000  [Month end]</t>
  </si>
  <si>
    <t>Sum of cash released since April ÷ 1000  [Year to date]</t>
  </si>
  <si>
    <t>DSO + Inventory days − DPO  [Month end]</t>
  </si>
  <si>
    <t>(Cash due to be upstreamed − Amount covered by available cash) ÷ 1000  [Next 30 days]</t>
  </si>
  <si>
    <t>Trade receivables ÷ Revenue × Days in month  [Month end]</t>
  </si>
  <si>
    <t>Trade payables ÷ Variable cost × Days in month  [Month end]</t>
  </si>
  <si>
    <t>Inventory ÷ Variable cost × Days in month  [Month end]</t>
  </si>
  <si>
    <t>(Trade receivables + Inventory − Trade payables) ÷ 1000  [Month end]</t>
  </si>
  <si>
    <t>Net working capital ÷ Revenue × Days in month  [Month end]</t>
  </si>
  <si>
    <t>(Cash + Undrawn facilities) ÷ (Fixed cost + Overheads + Debt service) per month  [Month end]</t>
  </si>
  <si>
    <t>(Covenant limit − Net debt ÷ Annualised EBITDA) ÷ Covenant limit × 100  [Month end]</t>
  </si>
  <si>
    <t>Debt maturing in next 12 months ÷ 1000  [Month end]</t>
  </si>
  <si>
    <t>Floating-rate debt ÷ 1000  [Month end]</t>
  </si>
  <si>
    <t>(Foreign-currency exposure − Amount hedged) ÷ 1000  [Month end]</t>
  </si>
  <si>
    <t>(USD exposure − USD hedged) ÷ (FX exposure − FX hedged) × 100  [Month end]</t>
  </si>
  <si>
    <t>Foreign-currency flows hedged ÷ Forecast foreign-currency flows, next 6 months × 100  [Next 6 months]</t>
  </si>
  <si>
    <t>5% × (USD exposure − USD hedged) ÷ 1000  [Month end]</t>
  </si>
  <si>
    <t>Approved capex budget ÷ 1000  [Full year]</t>
  </si>
  <si>
    <t>Capex committed to date ÷ 1000  [To date]</t>
  </si>
  <si>
    <t>Sum of capex spent since April ÷ 1000  [Year to date]</t>
  </si>
  <si>
    <t>Work completed valued at budget ÷ Approved budget × 100 (weights each project by its budget)  [To date]</t>
  </si>
  <si>
    <t>Budget of projects at risk ÷ 1000  [Month end]</t>
  </si>
  <si>
    <t>34 ₹ m; ₹34 m</t>
  </si>
  <si>
    <t>Count of projects by status  [Month end]</t>
  </si>
  <si>
    <t>Benefits delivered since April ÷ Benefits planned since April × 100  [Year to date]</t>
  </si>
  <si>
    <t>Capex projects delayed  [Month end]</t>
  </si>
  <si>
    <t>Transformation milestones completed ÷ Milestones in plan × 100  [To date]</t>
  </si>
  <si>
    <t>Count of transformation initiatives by status  [Month end]</t>
  </si>
  <si>
    <t>Sum of EBITDA benefit since April ÷ 1000  [Year to date]</t>
  </si>
  <si>
    <t>Sum of cash benefit since April ÷ 1000  [Year to date]</t>
  </si>
  <si>
    <t>Sum of cost savings since April ÷ 1000  [Year to date]</t>
  </si>
  <si>
    <t>91 %; 91%</t>
  </si>
  <si>
    <t>Sum of supplier EHS incidents since April  [Year to date]</t>
  </si>
  <si>
    <t>Contracts expiring in next 90 days  [Month end]</t>
  </si>
  <si>
    <t>Contracts fully compliant ÷ Active contracts × 100  [Month end]</t>
  </si>
  <si>
    <t>Suppliers not meeting EHS requirements  [Month end]</t>
  </si>
  <si>
    <t>Regulatory obligations overdue  [Month end]</t>
  </si>
  <si>
    <t>Triggered if any event that needs disclosure is open, otherwise Not triggered  [Month end]</t>
  </si>
  <si>
    <t>Sum of regulatory breaches since April  [Year to date]</t>
  </si>
  <si>
    <t>EHS escalation clocks running  [Month end]</t>
  </si>
  <si>
    <t>Sum of control failures since April  [Year to date]</t>
  </si>
  <si>
    <t>Sum of high-severity control failures since April  [Year to date]</t>
  </si>
  <si>
    <t>Sum of policy exceptions since April  [Year to date]</t>
  </si>
  <si>
    <t>Sum of unauthorised vendor uses since April  [Year to date]</t>
  </si>
  <si>
    <t>Sum of segregation-of-duties exceptions since April  [Year to date]</t>
  </si>
  <si>
    <t>Sum of unauthorised access events since April  [Year to date]</t>
  </si>
  <si>
    <t>Sum of data-sharing exceptions since April  [Year to date]</t>
  </si>
  <si>
    <t>Sum of manual operational or system overrides since April  [Year to date]</t>
  </si>
  <si>
    <t>Certification approvals past due date  [Month end]</t>
  </si>
  <si>
    <t>KPI values overridden  [Month end]</t>
  </si>
  <si>
    <t>Recurring data-quality issues  [Month end]</t>
  </si>
  <si>
    <t>Open audit findings  [Month end]</t>
  </si>
  <si>
    <t>Overdue assurance actions  [Month end]</t>
  </si>
  <si>
    <t>Repeat audit findings  [Month end]</t>
  </si>
  <si>
    <t>Leadership KPIs affected by open findings  [Month end]</t>
  </si>
  <si>
    <t>Material reconciliation breaks  [Month end]</t>
  </si>
  <si>
    <t>Evidence items complete ÷ Evidence items required × 100  [Month end]</t>
  </si>
  <si>
    <t>Days taken to close findings since April ÷ Findings closed since April  [Year to date]</t>
  </si>
  <si>
    <t>Leadership KPI values certified ÷ Leadership KPI values reported × 100  [Month end]</t>
  </si>
  <si>
    <t>Leadership KPI values reported − Values certified  [Month end]</t>
  </si>
  <si>
    <t>0.3 % (max abs); 0.3% max abs · Entity B2</t>
  </si>
  <si>
    <t>Open critical alerts  [Month end]</t>
  </si>
  <si>
    <t>Sum of repeat issues over the last 3 months  [Last 3 months]</t>
  </si>
  <si>
    <t>Root causes eliminated since April, of those identified since April  [Year to date]</t>
  </si>
  <si>
    <t>Lowest plant forecast of days until its production plan is breached (99 = not expected)  [Forecast]</t>
  </si>
  <si>
    <t>Chance that output falls below plan: normal distribution with mean = Forecast good output, spread = √(sum of plant forecast variances)  [Next month]</t>
  </si>
  <si>
    <t>(Forecast EBITDA − Planned EBITDA, rest of year) ÷ 1000  [Forecast]</t>
  </si>
  <si>
    <t>−₹9.2 m; −9.2 ₹ m</t>
  </si>
  <si>
    <t>Cash + Undrawn facilities + Forecast net cash flow (90 days); 'None' if not negative  [Next 90 days]</t>
  </si>
  <si>
    <t>None; None within 90 d</t>
  </si>
  <si>
    <t>Breach forecast if Forecast net debt ÷ Forecast 12-month EBITDA exceeds the covenant limit  [Quarter end]</t>
  </si>
  <si>
    <t>Forecast production lost to downtime next month ÷ 1000  [Next month]</t>
  </si>
  <si>
    <t>Chance that Forecast good output &lt; 78% × Ideal output next month (same distribution as PRD-002)  [Next month]</t>
  </si>
  <si>
    <t>Owner lens KPI model: every KPI on the Owner screens and how it is calculated, bottom up</t>
  </si>
  <si>
    <t>Owner KPIs: the 118 KPIs that appear on the 21 Owner-lens screens (O-01 to O-09, Owner views of G-08, S-03 and S-08, S-04 to S-11, and the large-display, mobile and state-gallery variants). The Owner lens is the Group-wide view, so each KPI is calculated from the Group totals. One row per KPI, one column per month; every value is a live formula.</t>
  </si>
  <si>
    <t>Owner Screens: every place a KPI appears on an Owner screen (card, tile or table row), what the screen shows today, and the model's value for the same scope in Sep 2026. Most are Group; a few drill-ins show Entity A1 or Plant 02, and those use the same formula on that entity's or plant's inputs.</t>
  </si>
  <si>
    <t>Group Inputs: each input is the sum of Entity A1 and Entity A2 (or the lowest, for days to permit expiry and days to breach). Blue columns are building blocks calculated from those inputs, such as EBITDA and net working capital.</t>
  </si>
  <si>
    <t>Entity Inputs: inputs that come from plants are the sum of the entity's 3 plants. Yellow inputs only exist at entity level (finance, cash, treasury, capex, programmes, contracts, controls, governance, data trust, workflow).</t>
  </si>
  <si>
    <t>Plant Inputs: the plant data. The first 40 input columns are plant_base.csv unchanged; the rest are added for sales, supply, regulatory and forecast KPIs.</t>
  </si>
  <si>
    <t>Parameters: tax rate, cost of capital, covenant limit and opening working capital used by some formulas.</t>
  </si>
  <si>
    <t>Rule: KPIs are always recalculated from the Group totals. They are never averages of entity or plant KPIs.</t>
  </si>
  <si>
    <t>All data is synthetic. Formulas are working assumptions until the KPI catalogue definitions are approved.</t>
  </si>
  <si>
    <t>Some IDs on the mockups measure the same thing and so show the same value: OPS-005 = OPS-003, OPS-006 = PLT-002, OPS-004 = OPS-002, PRG-004 = STR-002, RSK-003 = CMP-005 = REG-010.</t>
  </si>
</sst>
</file>

<file path=xl/styles.xml><?xml version="1.0" encoding="utf-8"?>
<styleSheet xmlns="http://schemas.openxmlformats.org/spreadsheetml/2006/main">
  <numFmts count="2">
    <numFmt numFmtId="164" formatCode="#,##0.00"/>
    <numFmt numFmtId="165" formatCode="#,##0.0"/>
  </numFmts>
  <fonts count="5">
    <font>
      <sz val="11"/>
      <color theme="1"/>
      <name val="Calibri"/>
      <family val="2"/>
      <scheme val="minor"/>
    </font>
    <font>
      <b/>
      <sz val="11"/>
      <color rgb="FFFFFFFF"/>
      <name val="Calibri"/>
      <family val="2"/>
      <scheme val="minor"/>
    </font>
    <font>
      <b/>
      <sz val="11"/>
      <color theme="1"/>
      <name val="Calibri"/>
      <family val="2"/>
      <scheme val="minor"/>
    </font>
    <font>
      <i/>
      <sz val="9"/>
      <color rgb="FF555555"/>
      <name val="Calibri"/>
      <family val="2"/>
      <scheme val="minor"/>
    </font>
    <font>
      <i/>
      <sz val="9"/>
      <color theme="1"/>
      <name val="Calibri"/>
      <family val="2"/>
      <scheme val="minor"/>
    </font>
  </fonts>
  <fills count="15">
    <fill>
      <patternFill patternType="none"/>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1">
    <xf numFmtId="0" fontId="0" fillId="0" borderId="0" xfId="0"/>
    <xf numFmtId="0" fontId="1" fillId="2" borderId="1" xfId="0" applyFont="1" applyFill="1" applyBorder="1" applyAlignment="1">
      <alignment vertical="top" wrapText="1"/>
    </xf>
    <xf numFmtId="0" fontId="2" fillId="0" borderId="1" xfId="0" applyFont="1" applyBorder="1" applyAlignment="1">
      <alignment vertical="top"/>
    </xf>
    <xf numFmtId="0" fontId="0" fillId="0" borderId="1" xfId="0" applyBorder="1" applyAlignment="1">
      <alignment vertical="top" wrapText="1"/>
    </xf>
    <xf numFmtId="164" fontId="0" fillId="3" borderId="1" xfId="0" applyNumberFormat="1" applyFill="1" applyBorder="1"/>
    <xf numFmtId="0" fontId="2" fillId="4" borderId="1" xfId="0" applyFont="1" applyFill="1" applyBorder="1"/>
    <xf numFmtId="0" fontId="0" fillId="5" borderId="1" xfId="0" applyFill="1" applyBorder="1"/>
    <xf numFmtId="0" fontId="2" fillId="6" borderId="1" xfId="0" applyFont="1" applyFill="1" applyBorder="1"/>
    <xf numFmtId="0" fontId="0" fillId="3" borderId="1" xfId="0" applyFill="1" applyBorder="1" applyAlignment="1">
      <alignment wrapText="1"/>
    </xf>
    <xf numFmtId="0" fontId="2" fillId="7" borderId="1" xfId="0" applyFont="1" applyFill="1" applyBorder="1" applyAlignment="1">
      <alignment vertical="top" wrapText="1"/>
    </xf>
    <xf numFmtId="0" fontId="1" fillId="8" borderId="1" xfId="0" applyFont="1" applyFill="1" applyBorder="1" applyAlignment="1">
      <alignment vertical="top" wrapText="1"/>
    </xf>
    <xf numFmtId="0" fontId="3" fillId="9" borderId="1" xfId="0" applyFont="1" applyFill="1" applyBorder="1"/>
    <xf numFmtId="0" fontId="4" fillId="9" borderId="1" xfId="0" applyFont="1" applyFill="1" applyBorder="1" applyAlignment="1">
      <alignment vertical="top" wrapText="1"/>
    </xf>
    <xf numFmtId="0" fontId="4" fillId="10" borderId="1" xfId="0" applyFont="1" applyFill="1" applyBorder="1" applyAlignment="1">
      <alignment vertical="top" wrapText="1"/>
    </xf>
    <xf numFmtId="0" fontId="0" fillId="11" borderId="0" xfId="0" applyFill="1"/>
    <xf numFmtId="164" fontId="0" fillId="12" borderId="0" xfId="0" applyNumberFormat="1" applyFill="1"/>
    <xf numFmtId="0" fontId="0" fillId="13" borderId="0" xfId="0" applyFill="1"/>
    <xf numFmtId="0" fontId="0" fillId="14" borderId="0" xfId="0" applyFill="1"/>
    <xf numFmtId="164" fontId="0" fillId="0" borderId="1" xfId="0" applyNumberFormat="1" applyBorder="1"/>
    <xf numFmtId="165" fontId="0" fillId="0" borderId="1" xfId="0" applyNumberFormat="1" applyBorder="1"/>
    <xf numFmtId="0" fontId="0" fillId="0" borderId="0" xfId="0" applyAlignment="1">
      <alignment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I11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0.7109375" customWidth="1"/>
    <col min="2" max="2" width="34.7109375" customWidth="1"/>
    <col min="3" max="3" width="11.7109375" customWidth="1"/>
    <col min="4" max="4" width="60.7109375" customWidth="1"/>
    <col min="5" max="5" width="15.7109375" customWidth="1"/>
    <col min="6" max="6" width="30.7109375" customWidth="1"/>
    <col min="7" max="7" width="12.7109375" customWidth="1"/>
    <col min="8" max="8" width="30.7109375" customWidth="1"/>
    <col min="9" max="9" width="36.7109375" customWidth="1"/>
  </cols>
  <sheetData>
    <row r="1" spans="1:9">
      <c r="A1" s="1" t="s">
        <v>431</v>
      </c>
      <c r="B1" s="1" t="s">
        <v>432</v>
      </c>
      <c r="C1" s="1" t="s">
        <v>433</v>
      </c>
      <c r="D1" s="1" t="s">
        <v>1315</v>
      </c>
      <c r="E1" s="1" t="s">
        <v>1316</v>
      </c>
      <c r="F1" s="1" t="s">
        <v>1317</v>
      </c>
      <c r="G1" s="1" t="s">
        <v>1318</v>
      </c>
      <c r="H1" s="1" t="s">
        <v>1319</v>
      </c>
      <c r="I1" s="1" t="s">
        <v>1320</v>
      </c>
    </row>
    <row r="2" spans="1:9">
      <c r="A2" s="2" t="s">
        <v>445</v>
      </c>
      <c r="B2" s="3" t="s">
        <v>446</v>
      </c>
      <c r="C2" s="3" t="s">
        <v>447</v>
      </c>
      <c r="D2" s="3" t="s">
        <v>448</v>
      </c>
      <c r="E2" s="4">
        <f>'Owner KPIs'!K2</f>
        <v>95.51</v>
      </c>
      <c r="F2" s="3" t="s">
        <v>991</v>
      </c>
      <c r="G2" s="5" t="s">
        <v>1321</v>
      </c>
      <c r="H2" s="3" t="s">
        <v>450</v>
      </c>
      <c r="I2" s="3" t="s">
        <v>1322</v>
      </c>
    </row>
    <row r="3" spans="1:9">
      <c r="A3" s="2" t="s">
        <v>452</v>
      </c>
      <c r="B3" s="3" t="s">
        <v>453</v>
      </c>
      <c r="C3" s="3" t="s">
        <v>447</v>
      </c>
      <c r="D3" s="3" t="s">
        <v>454</v>
      </c>
      <c r="E3" s="4">
        <f>'Owner KPIs'!K3</f>
        <v>83.44</v>
      </c>
      <c r="F3" s="3" t="s">
        <v>1024</v>
      </c>
      <c r="G3" s="5" t="s">
        <v>1321</v>
      </c>
      <c r="H3" s="3" t="s">
        <v>456</v>
      </c>
      <c r="I3" s="3" t="s">
        <v>1322</v>
      </c>
    </row>
    <row r="4" spans="1:9">
      <c r="A4" s="2" t="s">
        <v>458</v>
      </c>
      <c r="B4" s="3" t="s">
        <v>459</v>
      </c>
      <c r="C4" s="3" t="s">
        <v>460</v>
      </c>
      <c r="D4" s="3" t="s">
        <v>461</v>
      </c>
      <c r="E4" s="4">
        <f>'Owner KPIs'!K4</f>
        <v>269.69</v>
      </c>
      <c r="F4" s="3" t="s">
        <v>1217</v>
      </c>
      <c r="G4" s="5" t="s">
        <v>1321</v>
      </c>
      <c r="H4" s="3" t="s">
        <v>463</v>
      </c>
      <c r="I4" s="3" t="s">
        <v>1322</v>
      </c>
    </row>
    <row r="5" spans="1:9">
      <c r="A5" s="2" t="s">
        <v>465</v>
      </c>
      <c r="B5" s="3" t="s">
        <v>466</v>
      </c>
      <c r="C5" s="3" t="s">
        <v>460</v>
      </c>
      <c r="D5" s="3" t="s">
        <v>467</v>
      </c>
      <c r="E5" s="4">
        <f>'Owner KPIs'!K5</f>
        <v>7.83</v>
      </c>
      <c r="F5" s="3" t="s">
        <v>1239</v>
      </c>
      <c r="G5" s="5" t="s">
        <v>1321</v>
      </c>
      <c r="H5" s="3" t="s">
        <v>463</v>
      </c>
      <c r="I5" s="3" t="s">
        <v>1322</v>
      </c>
    </row>
    <row r="6" spans="1:9">
      <c r="A6" s="2" t="s">
        <v>470</v>
      </c>
      <c r="B6" s="3" t="s">
        <v>471</v>
      </c>
      <c r="C6" s="3" t="s">
        <v>460</v>
      </c>
      <c r="D6" s="3" t="s">
        <v>471</v>
      </c>
      <c r="E6" s="4">
        <f>'Owner KPIs'!K6</f>
        <v>154.4</v>
      </c>
      <c r="F6" s="3" t="s">
        <v>1242</v>
      </c>
      <c r="G6" s="5" t="s">
        <v>1321</v>
      </c>
      <c r="H6" s="3" t="s">
        <v>463</v>
      </c>
      <c r="I6" s="3" t="s">
        <v>1322</v>
      </c>
    </row>
    <row r="7" spans="1:9">
      <c r="A7" s="2" t="s">
        <v>473</v>
      </c>
      <c r="B7" s="3" t="s">
        <v>474</v>
      </c>
      <c r="C7" s="3" t="s">
        <v>447</v>
      </c>
      <c r="D7" s="3" t="s">
        <v>475</v>
      </c>
      <c r="E7" s="4">
        <f>'Owner KPIs'!K7</f>
        <v>95.62</v>
      </c>
      <c r="F7" s="3" t="s">
        <v>1245</v>
      </c>
      <c r="G7" s="5" t="s">
        <v>1321</v>
      </c>
      <c r="H7" s="3" t="s">
        <v>463</v>
      </c>
      <c r="I7" s="3" t="s">
        <v>1322</v>
      </c>
    </row>
    <row r="8" spans="1:9">
      <c r="A8" s="2" t="s">
        <v>478</v>
      </c>
      <c r="B8" s="3" t="s">
        <v>479</v>
      </c>
      <c r="C8" s="3" t="s">
        <v>480</v>
      </c>
      <c r="D8" s="3" t="s">
        <v>481</v>
      </c>
      <c r="E8" s="4">
        <f>'Owner KPIs'!K8</f>
        <v>2933.74</v>
      </c>
      <c r="F8" s="3" t="s">
        <v>1323</v>
      </c>
      <c r="G8" s="5" t="s">
        <v>1321</v>
      </c>
      <c r="H8" s="3" t="s">
        <v>463</v>
      </c>
      <c r="I8" s="3" t="s">
        <v>1322</v>
      </c>
    </row>
    <row r="9" spans="1:9">
      <c r="A9" s="2" t="s">
        <v>484</v>
      </c>
      <c r="B9" s="3" t="s">
        <v>485</v>
      </c>
      <c r="C9" s="3" t="s">
        <v>486</v>
      </c>
      <c r="D9" s="3" t="s">
        <v>485</v>
      </c>
      <c r="E9" s="4">
        <f>'Owner KPIs'!K9</f>
        <v>1827824.8</v>
      </c>
      <c r="F9" s="3" t="s">
        <v>1249</v>
      </c>
      <c r="G9" s="5" t="s">
        <v>1321</v>
      </c>
      <c r="H9" s="3" t="s">
        <v>463</v>
      </c>
      <c r="I9" s="3" t="s">
        <v>1322</v>
      </c>
    </row>
    <row r="10" spans="1:9">
      <c r="A10" s="2" t="s">
        <v>488</v>
      </c>
      <c r="B10" s="3" t="s">
        <v>489</v>
      </c>
      <c r="C10" s="3" t="s">
        <v>486</v>
      </c>
      <c r="D10" s="3" t="s">
        <v>489</v>
      </c>
      <c r="E10" s="4">
        <f>'Owner KPIs'!K10</f>
        <v>459369.3</v>
      </c>
      <c r="F10" s="3" t="s">
        <v>1252</v>
      </c>
      <c r="G10" s="5" t="s">
        <v>1321</v>
      </c>
      <c r="H10" s="3" t="s">
        <v>463</v>
      </c>
      <c r="I10" s="3" t="s">
        <v>1322</v>
      </c>
    </row>
    <row r="11" spans="1:9">
      <c r="A11" s="2" t="s">
        <v>491</v>
      </c>
      <c r="B11" s="3" t="s">
        <v>492</v>
      </c>
      <c r="C11" s="3" t="s">
        <v>493</v>
      </c>
      <c r="D11" s="3" t="s">
        <v>494</v>
      </c>
      <c r="E11" s="4">
        <f>'Owner KPIs'!K11</f>
        <v>1450141.0</v>
      </c>
      <c r="F11" s="3" t="s">
        <v>1160</v>
      </c>
      <c r="G11" s="5" t="s">
        <v>1321</v>
      </c>
      <c r="H11" s="3" t="s">
        <v>496</v>
      </c>
      <c r="I11" s="3" t="s">
        <v>1322</v>
      </c>
    </row>
    <row r="12" spans="1:9">
      <c r="A12" s="2" t="s">
        <v>497</v>
      </c>
      <c r="B12" s="3" t="s">
        <v>498</v>
      </c>
      <c r="C12" s="3" t="s">
        <v>499</v>
      </c>
      <c r="D12" s="3" t="s">
        <v>498</v>
      </c>
      <c r="E12" s="4">
        <f>'Owner KPIs'!K12</f>
        <v>427664.0</v>
      </c>
      <c r="F12" s="3" t="s">
        <v>1162</v>
      </c>
      <c r="G12" s="5" t="s">
        <v>1321</v>
      </c>
      <c r="H12" s="3" t="s">
        <v>496</v>
      </c>
      <c r="I12" s="3" t="s">
        <v>1322</v>
      </c>
    </row>
    <row r="13" spans="1:9">
      <c r="A13" s="2" t="s">
        <v>501</v>
      </c>
      <c r="B13" s="3" t="s">
        <v>502</v>
      </c>
      <c r="C13" s="3" t="s">
        <v>503</v>
      </c>
      <c r="D13" s="3" t="s">
        <v>504</v>
      </c>
      <c r="E13" s="4">
        <f>'Owner KPIs'!K13</f>
        <v>3.42</v>
      </c>
      <c r="F13" s="3" t="s">
        <v>1164</v>
      </c>
      <c r="G13" s="5" t="s">
        <v>1321</v>
      </c>
      <c r="H13" s="3" t="s">
        <v>496</v>
      </c>
      <c r="I13" s="3" t="s">
        <v>1322</v>
      </c>
    </row>
    <row r="14" spans="1:9">
      <c r="A14" s="2" t="s">
        <v>507</v>
      </c>
      <c r="B14" s="3" t="s">
        <v>508</v>
      </c>
      <c r="C14" s="3" t="s">
        <v>509</v>
      </c>
      <c r="D14" s="3" t="s">
        <v>508</v>
      </c>
      <c r="E14" s="4">
        <f>'Owner KPIs'!K14</f>
        <v>36810.0</v>
      </c>
      <c r="F14" s="3" t="s">
        <v>1324</v>
      </c>
      <c r="G14" s="6" t="s">
        <v>1324</v>
      </c>
      <c r="H14" s="3" t="s">
        <v>511</v>
      </c>
      <c r="I14" s="3" t="s">
        <v>1322</v>
      </c>
    </row>
    <row r="15" spans="1:9">
      <c r="A15" s="2" t="s">
        <v>512</v>
      </c>
      <c r="B15" s="3" t="s">
        <v>513</v>
      </c>
      <c r="C15" s="3" t="s">
        <v>514</v>
      </c>
      <c r="D15" s="3" t="s">
        <v>515</v>
      </c>
      <c r="E15" s="4">
        <f>'Owner KPIs'!K15</f>
        <v>5.0</v>
      </c>
      <c r="F15" s="3" t="s">
        <v>1230</v>
      </c>
      <c r="G15" s="5" t="s">
        <v>1321</v>
      </c>
      <c r="H15" s="3" t="s">
        <v>517</v>
      </c>
      <c r="I15" s="3" t="s">
        <v>1322</v>
      </c>
    </row>
    <row r="16" spans="1:9">
      <c r="A16" s="2" t="s">
        <v>518</v>
      </c>
      <c r="B16" s="3" t="s">
        <v>519</v>
      </c>
      <c r="C16" s="3" t="s">
        <v>447</v>
      </c>
      <c r="D16" s="3" t="s">
        <v>520</v>
      </c>
      <c r="E16" s="4">
        <f>'Owner KPIs'!K16</f>
        <v>8.66</v>
      </c>
      <c r="F16" s="3" t="s">
        <v>1307</v>
      </c>
      <c r="G16" s="5" t="s">
        <v>1321</v>
      </c>
      <c r="H16" s="3" t="s">
        <v>522</v>
      </c>
      <c r="I16" s="3" t="s">
        <v>1322</v>
      </c>
    </row>
    <row r="17" spans="1:9">
      <c r="A17" s="2" t="s">
        <v>524</v>
      </c>
      <c r="B17" s="3" t="s">
        <v>525</v>
      </c>
      <c r="C17" s="3" t="s">
        <v>526</v>
      </c>
      <c r="D17" s="3" t="s">
        <v>527</v>
      </c>
      <c r="E17" s="4">
        <f>'Owner KPIs'!K17</f>
        <v>0.47</v>
      </c>
      <c r="F17" s="3" t="s">
        <v>1149</v>
      </c>
      <c r="G17" s="5" t="s">
        <v>1321</v>
      </c>
      <c r="H17" s="3" t="s">
        <v>529</v>
      </c>
      <c r="I17" s="3" t="s">
        <v>1322</v>
      </c>
    </row>
    <row r="18" spans="1:9">
      <c r="A18" s="2" t="s">
        <v>531</v>
      </c>
      <c r="B18" s="3" t="s">
        <v>532</v>
      </c>
      <c r="C18" s="3" t="s">
        <v>514</v>
      </c>
      <c r="D18" s="3" t="s">
        <v>532</v>
      </c>
      <c r="E18" s="4">
        <f>'Owner KPIs'!K18</f>
        <v>3.0</v>
      </c>
      <c r="F18" s="3" t="s">
        <v>1045</v>
      </c>
      <c r="G18" s="5" t="s">
        <v>1321</v>
      </c>
      <c r="H18" s="3" t="s">
        <v>529</v>
      </c>
      <c r="I18" s="3" t="s">
        <v>1322</v>
      </c>
    </row>
    <row r="19" spans="1:9">
      <c r="A19" s="2" t="s">
        <v>534</v>
      </c>
      <c r="B19" s="3" t="s">
        <v>535</v>
      </c>
      <c r="C19" s="3" t="s">
        <v>514</v>
      </c>
      <c r="D19" s="3" t="s">
        <v>535</v>
      </c>
      <c r="E19" s="4">
        <f>'Owner KPIs'!K19</f>
        <v>41.0</v>
      </c>
      <c r="F19" s="3" t="s">
        <v>1169</v>
      </c>
      <c r="G19" s="5" t="s">
        <v>1321</v>
      </c>
      <c r="H19" s="3" t="s">
        <v>529</v>
      </c>
      <c r="I19" s="3" t="s">
        <v>1322</v>
      </c>
    </row>
    <row r="20" spans="1:9">
      <c r="A20" s="2" t="s">
        <v>537</v>
      </c>
      <c r="B20" s="3" t="s">
        <v>538</v>
      </c>
      <c r="C20" s="3" t="s">
        <v>514</v>
      </c>
      <c r="D20" s="3" t="s">
        <v>538</v>
      </c>
      <c r="E20" s="4">
        <f>'Owner KPIs'!K20</f>
        <v>0.0</v>
      </c>
      <c r="F20" s="3" t="s">
        <v>1045</v>
      </c>
      <c r="G20" s="7" t="s">
        <v>1325</v>
      </c>
      <c r="H20" s="3" t="s">
        <v>529</v>
      </c>
      <c r="I20" s="3" t="s">
        <v>1322</v>
      </c>
    </row>
    <row r="21" spans="1:9">
      <c r="A21" s="2" t="s">
        <v>539</v>
      </c>
      <c r="B21" s="3" t="s">
        <v>540</v>
      </c>
      <c r="C21" s="3" t="s">
        <v>514</v>
      </c>
      <c r="D21" s="3" t="s">
        <v>540</v>
      </c>
      <c r="E21" s="4">
        <f>'Owner KPIs'!K21</f>
        <v>2.0</v>
      </c>
      <c r="F21" s="3" t="s">
        <v>1172</v>
      </c>
      <c r="G21" s="5" t="s">
        <v>1321</v>
      </c>
      <c r="H21" s="3" t="s">
        <v>529</v>
      </c>
      <c r="I21" s="3" t="s">
        <v>1322</v>
      </c>
    </row>
    <row r="22" spans="1:9">
      <c r="A22" s="2" t="s">
        <v>542</v>
      </c>
      <c r="B22" s="3" t="s">
        <v>543</v>
      </c>
      <c r="C22" s="3" t="s">
        <v>514</v>
      </c>
      <c r="D22" s="3" t="s">
        <v>544</v>
      </c>
      <c r="E22" s="4">
        <f>'Owner KPIs'!K22</f>
        <v>9.0</v>
      </c>
      <c r="F22" s="3" t="s">
        <v>1045</v>
      </c>
      <c r="G22" s="5" t="s">
        <v>1321</v>
      </c>
      <c r="H22" s="3" t="s">
        <v>529</v>
      </c>
      <c r="I22" s="3" t="s">
        <v>1322</v>
      </c>
    </row>
    <row r="23" spans="1:9">
      <c r="A23" s="2" t="s">
        <v>545</v>
      </c>
      <c r="B23" s="3" t="s">
        <v>546</v>
      </c>
      <c r="C23" s="3" t="s">
        <v>185</v>
      </c>
      <c r="D23" s="3" t="s">
        <v>547</v>
      </c>
      <c r="E23" s="4">
        <f>'Owner KPIs'!K23</f>
        <v>65.0</v>
      </c>
      <c r="F23" s="3" t="s">
        <v>1154</v>
      </c>
      <c r="G23" s="5" t="s">
        <v>1321</v>
      </c>
      <c r="H23" s="3" t="s">
        <v>529</v>
      </c>
      <c r="I23" s="3" t="s">
        <v>1322</v>
      </c>
    </row>
    <row r="24" spans="1:9">
      <c r="A24" s="2" t="s">
        <v>549</v>
      </c>
      <c r="B24" s="3" t="s">
        <v>550</v>
      </c>
      <c r="C24" s="3" t="s">
        <v>447</v>
      </c>
      <c r="D24" s="3" t="s">
        <v>454</v>
      </c>
      <c r="E24" s="4">
        <f>'Owner KPIs'!K24</f>
        <v>83.44</v>
      </c>
      <c r="F24" s="3" t="s">
        <v>1326</v>
      </c>
      <c r="G24" s="5" t="s">
        <v>1321</v>
      </c>
      <c r="H24" s="3" t="s">
        <v>552</v>
      </c>
      <c r="I24" s="3" t="s">
        <v>1322</v>
      </c>
    </row>
    <row r="25" spans="1:9">
      <c r="A25" s="2" t="s">
        <v>553</v>
      </c>
      <c r="B25" s="3" t="s">
        <v>554</v>
      </c>
      <c r="C25" s="3" t="s">
        <v>447</v>
      </c>
      <c r="D25" s="3" t="s">
        <v>555</v>
      </c>
      <c r="E25" s="4">
        <f>'Owner KPIs'!K25</f>
        <v>84.07</v>
      </c>
      <c r="F25" s="3" t="s">
        <v>1224</v>
      </c>
      <c r="G25" s="5" t="s">
        <v>1321</v>
      </c>
      <c r="H25" s="3" t="s">
        <v>463</v>
      </c>
      <c r="I25" s="3" t="s">
        <v>1322</v>
      </c>
    </row>
    <row r="26" spans="1:9">
      <c r="A26" s="2" t="s">
        <v>558</v>
      </c>
      <c r="B26" s="3" t="s">
        <v>559</v>
      </c>
      <c r="C26" s="3" t="s">
        <v>447</v>
      </c>
      <c r="D26" s="3" t="s">
        <v>560</v>
      </c>
      <c r="E26" s="4">
        <f>'Owner KPIs'!K26</f>
        <v>95.23</v>
      </c>
      <c r="F26" s="3" t="s">
        <v>1029</v>
      </c>
      <c r="G26" s="5" t="s">
        <v>1321</v>
      </c>
      <c r="H26" s="3" t="s">
        <v>456</v>
      </c>
      <c r="I26" s="3" t="s">
        <v>1327</v>
      </c>
    </row>
    <row r="27" spans="1:9">
      <c r="A27" s="2" t="s">
        <v>563</v>
      </c>
      <c r="B27" s="3" t="s">
        <v>564</v>
      </c>
      <c r="C27" s="3" t="s">
        <v>447</v>
      </c>
      <c r="D27" s="3" t="s">
        <v>560</v>
      </c>
      <c r="E27" s="4">
        <f>'Owner KPIs'!K27</f>
        <v>95.23</v>
      </c>
      <c r="F27" s="3" t="s">
        <v>1029</v>
      </c>
      <c r="G27" s="5" t="s">
        <v>1321</v>
      </c>
      <c r="H27" s="3" t="s">
        <v>566</v>
      </c>
      <c r="I27" s="3" t="s">
        <v>1327</v>
      </c>
    </row>
    <row r="28" spans="1:9">
      <c r="A28" s="2" t="s">
        <v>567</v>
      </c>
      <c r="B28" s="3" t="s">
        <v>568</v>
      </c>
      <c r="C28" s="3" t="s">
        <v>480</v>
      </c>
      <c r="D28" s="3" t="s">
        <v>569</v>
      </c>
      <c r="E28" s="4">
        <f>'Owner KPIs'!K28</f>
        <v>174.29</v>
      </c>
      <c r="F28" s="3" t="s">
        <v>1255</v>
      </c>
      <c r="G28" s="5" t="s">
        <v>1321</v>
      </c>
      <c r="H28" s="3" t="s">
        <v>463</v>
      </c>
      <c r="I28" s="3" t="s">
        <v>1328</v>
      </c>
    </row>
    <row r="29" spans="1:9">
      <c r="A29" s="2" t="s">
        <v>572</v>
      </c>
      <c r="B29" s="3" t="s">
        <v>573</v>
      </c>
      <c r="C29" s="3" t="s">
        <v>574</v>
      </c>
      <c r="D29" s="3" t="s">
        <v>1329</v>
      </c>
      <c r="E29" s="4">
        <f>'Owner KPIs'!K29</f>
        <v>1760.09</v>
      </c>
      <c r="F29" s="3" t="s">
        <v>994</v>
      </c>
      <c r="G29" s="5" t="s">
        <v>1321</v>
      </c>
      <c r="H29" s="3" t="s">
        <v>456</v>
      </c>
      <c r="I29" s="3" t="s">
        <v>1328</v>
      </c>
    </row>
    <row r="30" spans="1:9">
      <c r="A30" s="2" t="s">
        <v>578</v>
      </c>
      <c r="B30" s="3" t="s">
        <v>579</v>
      </c>
      <c r="C30" s="3" t="s">
        <v>574</v>
      </c>
      <c r="D30" s="3" t="s">
        <v>1330</v>
      </c>
      <c r="E30" s="4">
        <f>'Owner KPIs'!K30</f>
        <v>1228.14</v>
      </c>
      <c r="F30" s="3" t="s">
        <v>997</v>
      </c>
      <c r="G30" s="5" t="s">
        <v>1321</v>
      </c>
      <c r="H30" s="3" t="s">
        <v>456</v>
      </c>
      <c r="I30" s="3" t="s">
        <v>1328</v>
      </c>
    </row>
    <row r="31" spans="1:9">
      <c r="A31" s="2" t="s">
        <v>582</v>
      </c>
      <c r="B31" s="3" t="s">
        <v>583</v>
      </c>
      <c r="C31" s="3" t="s">
        <v>574</v>
      </c>
      <c r="D31" s="3" t="s">
        <v>1331</v>
      </c>
      <c r="E31" s="4">
        <f>'Owner KPIs'!K31</f>
        <v>13811.3</v>
      </c>
      <c r="F31" s="3" t="s">
        <v>1033</v>
      </c>
      <c r="G31" s="5" t="s">
        <v>1321</v>
      </c>
      <c r="H31" s="3" t="s">
        <v>456</v>
      </c>
      <c r="I31" s="3" t="s">
        <v>1327</v>
      </c>
    </row>
    <row r="32" spans="1:9">
      <c r="A32" s="2" t="s">
        <v>586</v>
      </c>
      <c r="B32" s="3" t="s">
        <v>587</v>
      </c>
      <c r="C32" s="3" t="s">
        <v>574</v>
      </c>
      <c r="D32" s="3" t="s">
        <v>1332</v>
      </c>
      <c r="E32" s="4">
        <f>'Owner KPIs'!K32</f>
        <v>606.18</v>
      </c>
      <c r="F32" s="3" t="s">
        <v>1000</v>
      </c>
      <c r="G32" s="5" t="s">
        <v>1321</v>
      </c>
      <c r="H32" s="3" t="s">
        <v>590</v>
      </c>
      <c r="I32" s="3" t="s">
        <v>1328</v>
      </c>
    </row>
    <row r="33" spans="1:9">
      <c r="A33" s="2" t="s">
        <v>591</v>
      </c>
      <c r="B33" s="3" t="s">
        <v>592</v>
      </c>
      <c r="C33" s="3" t="s">
        <v>447</v>
      </c>
      <c r="D33" s="3" t="s">
        <v>1333</v>
      </c>
      <c r="E33" s="4">
        <f>'Owner KPIs'!K33</f>
        <v>11.58</v>
      </c>
      <c r="F33" s="3" t="s">
        <v>1334</v>
      </c>
      <c r="G33" s="5" t="s">
        <v>1321</v>
      </c>
      <c r="H33" s="3" t="s">
        <v>456</v>
      </c>
      <c r="I33" s="3" t="s">
        <v>1328</v>
      </c>
    </row>
    <row r="34" spans="1:9">
      <c r="A34" s="2" t="s">
        <v>596</v>
      </c>
      <c r="B34" s="3" t="s">
        <v>597</v>
      </c>
      <c r="C34" s="3" t="s">
        <v>574</v>
      </c>
      <c r="D34" s="3" t="s">
        <v>1335</v>
      </c>
      <c r="E34" s="4">
        <f>'Owner KPIs'!K34</f>
        <v>6650.0</v>
      </c>
      <c r="F34" s="3" t="s">
        <v>1006</v>
      </c>
      <c r="G34" s="5" t="s">
        <v>1321</v>
      </c>
      <c r="H34" s="3" t="s">
        <v>590</v>
      </c>
      <c r="I34" s="3" t="s">
        <v>1327</v>
      </c>
    </row>
    <row r="35" spans="1:9">
      <c r="A35" s="2" t="s">
        <v>601</v>
      </c>
      <c r="B35" s="3" t="s">
        <v>602</v>
      </c>
      <c r="C35" s="3" t="s">
        <v>574</v>
      </c>
      <c r="D35" s="3" t="s">
        <v>1336</v>
      </c>
      <c r="E35" s="4">
        <f>'Owner KPIs'!K35</f>
        <v>-86.65</v>
      </c>
      <c r="F35" s="3" t="s">
        <v>1038</v>
      </c>
      <c r="G35" s="5" t="s">
        <v>1321</v>
      </c>
      <c r="H35" s="3" t="s">
        <v>456</v>
      </c>
      <c r="I35" s="3" t="s">
        <v>1328</v>
      </c>
    </row>
    <row r="36" spans="1:9">
      <c r="A36" s="2" t="s">
        <v>605</v>
      </c>
      <c r="B36" s="3" t="s">
        <v>606</v>
      </c>
      <c r="C36" s="3" t="s">
        <v>574</v>
      </c>
      <c r="D36" s="3" t="s">
        <v>1337</v>
      </c>
      <c r="E36" s="4">
        <f>'Owner KPIs'!K36</f>
        <v>2141.82</v>
      </c>
      <c r="F36" s="3" t="s">
        <v>1057</v>
      </c>
      <c r="G36" s="5" t="s">
        <v>1321</v>
      </c>
      <c r="H36" s="3" t="s">
        <v>609</v>
      </c>
      <c r="I36" s="3" t="s">
        <v>1327</v>
      </c>
    </row>
    <row r="37" spans="1:9">
      <c r="A37" s="2" t="s">
        <v>610</v>
      </c>
      <c r="B37" s="3" t="s">
        <v>611</v>
      </c>
      <c r="C37" s="3" t="s">
        <v>574</v>
      </c>
      <c r="D37" s="3" t="s">
        <v>1338</v>
      </c>
      <c r="E37" s="4">
        <f>'Owner KPIs'!K37</f>
        <v>22.03</v>
      </c>
      <c r="F37" s="3" t="s">
        <v>1071</v>
      </c>
      <c r="G37" s="5" t="s">
        <v>1321</v>
      </c>
      <c r="H37" s="3" t="s">
        <v>609</v>
      </c>
      <c r="I37" s="3" t="s">
        <v>1327</v>
      </c>
    </row>
    <row r="38" spans="1:9">
      <c r="A38" s="2" t="s">
        <v>614</v>
      </c>
      <c r="B38" s="3" t="s">
        <v>615</v>
      </c>
      <c r="C38" s="3" t="s">
        <v>616</v>
      </c>
      <c r="D38" s="3" t="s">
        <v>617</v>
      </c>
      <c r="E38" s="4">
        <f>'Owner KPIs'!K38</f>
        <v>76.77</v>
      </c>
      <c r="F38" s="3" t="s">
        <v>1074</v>
      </c>
      <c r="G38" s="5" t="s">
        <v>1321</v>
      </c>
      <c r="H38" s="3" t="s">
        <v>619</v>
      </c>
      <c r="I38" s="3" t="s">
        <v>1327</v>
      </c>
    </row>
    <row r="39" spans="1:9">
      <c r="A39" s="2" t="s">
        <v>621</v>
      </c>
      <c r="B39" s="3" t="s">
        <v>622</v>
      </c>
      <c r="C39" s="3" t="s">
        <v>185</v>
      </c>
      <c r="D39" s="3" t="s">
        <v>1339</v>
      </c>
      <c r="E39" s="4">
        <f>'Owner KPIs'!K39</f>
        <v>32.59</v>
      </c>
      <c r="F39" s="3" t="s">
        <v>1076</v>
      </c>
      <c r="G39" s="7" t="s">
        <v>1325</v>
      </c>
      <c r="H39" s="3" t="s">
        <v>609</v>
      </c>
      <c r="I39" s="3" t="s">
        <v>1328</v>
      </c>
    </row>
    <row r="40" spans="1:9">
      <c r="A40" s="2" t="s">
        <v>626</v>
      </c>
      <c r="B40" s="3" t="s">
        <v>627</v>
      </c>
      <c r="C40" s="3" t="s">
        <v>574</v>
      </c>
      <c r="D40" s="3" t="s">
        <v>1340</v>
      </c>
      <c r="E40" s="4">
        <f>'Owner KPIs'!K40</f>
        <v>27.21</v>
      </c>
      <c r="F40" s="3" t="s">
        <v>1059</v>
      </c>
      <c r="G40" s="5" t="s">
        <v>1321</v>
      </c>
      <c r="H40" s="3" t="s">
        <v>619</v>
      </c>
      <c r="I40" s="3" t="s">
        <v>1327</v>
      </c>
    </row>
    <row r="41" spans="1:9">
      <c r="A41" s="2" t="s">
        <v>632</v>
      </c>
      <c r="B41" s="3" t="s">
        <v>633</v>
      </c>
      <c r="C41" s="3" t="s">
        <v>185</v>
      </c>
      <c r="D41" s="3" t="s">
        <v>1341</v>
      </c>
      <c r="E41" s="4">
        <f>'Owner KPIs'!K41</f>
        <v>46.97</v>
      </c>
      <c r="F41" s="3" t="s">
        <v>1078</v>
      </c>
      <c r="G41" s="7" t="s">
        <v>1325</v>
      </c>
      <c r="H41" s="3" t="s">
        <v>619</v>
      </c>
      <c r="I41" s="3" t="s">
        <v>1327</v>
      </c>
    </row>
    <row r="42" spans="1:9">
      <c r="A42" s="2" t="s">
        <v>636</v>
      </c>
      <c r="B42" s="3" t="s">
        <v>637</v>
      </c>
      <c r="C42" s="3" t="s">
        <v>185</v>
      </c>
      <c r="D42" s="3" t="s">
        <v>1342</v>
      </c>
      <c r="E42" s="4">
        <f>'Owner KPIs'!K42</f>
        <v>52.15</v>
      </c>
      <c r="F42" s="3" t="s">
        <v>1080</v>
      </c>
      <c r="G42" s="7" t="s">
        <v>1325</v>
      </c>
      <c r="H42" s="3" t="s">
        <v>609</v>
      </c>
      <c r="I42" s="3" t="s">
        <v>1328</v>
      </c>
    </row>
    <row r="43" spans="1:9">
      <c r="A43" s="2" t="s">
        <v>640</v>
      </c>
      <c r="B43" s="3" t="s">
        <v>641</v>
      </c>
      <c r="C43" s="3" t="s">
        <v>185</v>
      </c>
      <c r="D43" s="3" t="s">
        <v>1343</v>
      </c>
      <c r="E43" s="4">
        <f>'Owner KPIs'!K43</f>
        <v>37.76</v>
      </c>
      <c r="F43" s="3" t="s">
        <v>1082</v>
      </c>
      <c r="G43" s="7" t="s">
        <v>1325</v>
      </c>
      <c r="H43" s="3" t="s">
        <v>609</v>
      </c>
      <c r="I43" s="3" t="s">
        <v>1328</v>
      </c>
    </row>
    <row r="44" spans="1:9">
      <c r="A44" s="2" t="s">
        <v>644</v>
      </c>
      <c r="B44" s="3" t="s">
        <v>645</v>
      </c>
      <c r="C44" s="3" t="s">
        <v>574</v>
      </c>
      <c r="D44" s="3" t="s">
        <v>1344</v>
      </c>
      <c r="E44" s="4">
        <f>'Owner KPIs'!K44</f>
        <v>2780.99</v>
      </c>
      <c r="F44" s="3" t="s">
        <v>1061</v>
      </c>
      <c r="G44" s="5" t="s">
        <v>1321</v>
      </c>
      <c r="H44" s="3" t="s">
        <v>609</v>
      </c>
      <c r="I44" s="3" t="s">
        <v>1327</v>
      </c>
    </row>
    <row r="45" spans="1:9">
      <c r="A45" s="2" t="s">
        <v>648</v>
      </c>
      <c r="B45" s="3" t="s">
        <v>649</v>
      </c>
      <c r="C45" s="3" t="s">
        <v>574</v>
      </c>
      <c r="D45" s="3" t="s">
        <v>650</v>
      </c>
      <c r="E45" s="4">
        <f>'Owner KPIs'!K45</f>
        <v>17.26</v>
      </c>
      <c r="F45" s="3" t="s">
        <v>1085</v>
      </c>
      <c r="G45" s="5" t="s">
        <v>1321</v>
      </c>
      <c r="H45" s="3" t="s">
        <v>609</v>
      </c>
      <c r="I45" s="3" t="s">
        <v>1327</v>
      </c>
    </row>
    <row r="46" spans="1:9">
      <c r="A46" s="2" t="s">
        <v>652</v>
      </c>
      <c r="B46" s="3" t="s">
        <v>653</v>
      </c>
      <c r="C46" s="3" t="s">
        <v>185</v>
      </c>
      <c r="D46" s="3" t="s">
        <v>1345</v>
      </c>
      <c r="E46" s="4">
        <f>'Owner KPIs'!K46</f>
        <v>35.72</v>
      </c>
      <c r="F46" s="3" t="s">
        <v>1087</v>
      </c>
      <c r="G46" s="5" t="s">
        <v>1321</v>
      </c>
      <c r="H46" s="3" t="s">
        <v>609</v>
      </c>
      <c r="I46" s="3" t="s">
        <v>1327</v>
      </c>
    </row>
    <row r="47" spans="1:9">
      <c r="A47" s="2" t="s">
        <v>657</v>
      </c>
      <c r="B47" s="3" t="s">
        <v>658</v>
      </c>
      <c r="C47" s="3" t="s">
        <v>659</v>
      </c>
      <c r="D47" s="3" t="s">
        <v>1346</v>
      </c>
      <c r="E47" s="4">
        <f>'Owner KPIs'!K47</f>
        <v>16.71</v>
      </c>
      <c r="F47" s="3" t="s">
        <v>1063</v>
      </c>
      <c r="G47" s="5" t="s">
        <v>1321</v>
      </c>
      <c r="H47" s="3" t="s">
        <v>609</v>
      </c>
      <c r="I47" s="3" t="s">
        <v>1328</v>
      </c>
    </row>
    <row r="48" spans="1:9">
      <c r="A48" s="2" t="s">
        <v>663</v>
      </c>
      <c r="B48" s="3" t="s">
        <v>664</v>
      </c>
      <c r="C48" s="3" t="s">
        <v>447</v>
      </c>
      <c r="D48" s="3" t="s">
        <v>1347</v>
      </c>
      <c r="E48" s="4">
        <f>'Owner KPIs'!K48</f>
        <v>24.44</v>
      </c>
      <c r="F48" s="3" t="s">
        <v>1065</v>
      </c>
      <c r="G48" s="5" t="s">
        <v>1321</v>
      </c>
      <c r="H48" s="3" t="s">
        <v>609</v>
      </c>
      <c r="I48" s="3" t="s">
        <v>1328</v>
      </c>
    </row>
    <row r="49" spans="1:9">
      <c r="A49" s="2" t="s">
        <v>668</v>
      </c>
      <c r="B49" s="3" t="s">
        <v>669</v>
      </c>
      <c r="C49" s="3" t="s">
        <v>574</v>
      </c>
      <c r="D49" s="3" t="s">
        <v>1348</v>
      </c>
      <c r="E49" s="4">
        <f>'Owner KPIs'!K49</f>
        <v>891.41</v>
      </c>
      <c r="F49" s="3" t="s">
        <v>1090</v>
      </c>
      <c r="G49" s="5" t="s">
        <v>1321</v>
      </c>
      <c r="H49" s="3" t="s">
        <v>609</v>
      </c>
      <c r="I49" s="3" t="s">
        <v>1327</v>
      </c>
    </row>
    <row r="50" spans="1:9">
      <c r="A50" s="2" t="s">
        <v>672</v>
      </c>
      <c r="B50" s="3" t="s">
        <v>673</v>
      </c>
      <c r="C50" s="3" t="s">
        <v>574</v>
      </c>
      <c r="D50" s="3" t="s">
        <v>1349</v>
      </c>
      <c r="E50" s="4">
        <f>'Owner KPIs'!K50</f>
        <v>2720.83</v>
      </c>
      <c r="F50" s="3" t="s">
        <v>1093</v>
      </c>
      <c r="G50" s="5" t="s">
        <v>1321</v>
      </c>
      <c r="H50" s="3" t="s">
        <v>609</v>
      </c>
      <c r="I50" s="3" t="s">
        <v>1327</v>
      </c>
    </row>
    <row r="51" spans="1:9">
      <c r="A51" s="2" t="s">
        <v>676</v>
      </c>
      <c r="B51" s="3" t="s">
        <v>677</v>
      </c>
      <c r="C51" s="3" t="s">
        <v>574</v>
      </c>
      <c r="D51" s="3" t="s">
        <v>1350</v>
      </c>
      <c r="E51" s="4">
        <f>'Owner KPIs'!K51</f>
        <v>221.72</v>
      </c>
      <c r="F51" s="3" t="s">
        <v>1096</v>
      </c>
      <c r="G51" s="5" t="s">
        <v>1321</v>
      </c>
      <c r="H51" s="3" t="s">
        <v>609</v>
      </c>
      <c r="I51" s="3" t="s">
        <v>1327</v>
      </c>
    </row>
    <row r="52" spans="1:9">
      <c r="A52" s="2" t="s">
        <v>681</v>
      </c>
      <c r="B52" s="3" t="s">
        <v>682</v>
      </c>
      <c r="C52" s="3" t="s">
        <v>447</v>
      </c>
      <c r="D52" s="3" t="s">
        <v>683</v>
      </c>
      <c r="E52" s="4">
        <f>'Owner KPIs'!K52</f>
        <v>91.7</v>
      </c>
      <c r="F52" s="3" t="s">
        <v>1098</v>
      </c>
      <c r="G52" s="5" t="s">
        <v>1321</v>
      </c>
      <c r="H52" s="3" t="s">
        <v>609</v>
      </c>
      <c r="I52" s="3" t="s">
        <v>1327</v>
      </c>
    </row>
    <row r="53" spans="1:9">
      <c r="A53" s="2" t="s">
        <v>686</v>
      </c>
      <c r="B53" s="3" t="s">
        <v>687</v>
      </c>
      <c r="C53" s="3" t="s">
        <v>447</v>
      </c>
      <c r="D53" s="3" t="s">
        <v>1351</v>
      </c>
      <c r="E53" s="4">
        <f>'Owner KPIs'!K53</f>
        <v>75.83</v>
      </c>
      <c r="F53" s="3" t="s">
        <v>1101</v>
      </c>
      <c r="G53" s="5" t="s">
        <v>1321</v>
      </c>
      <c r="H53" s="3" t="s">
        <v>609</v>
      </c>
      <c r="I53" s="3" t="s">
        <v>1327</v>
      </c>
    </row>
    <row r="54" spans="1:9">
      <c r="A54" s="2" t="s">
        <v>691</v>
      </c>
      <c r="B54" s="3" t="s">
        <v>692</v>
      </c>
      <c r="C54" s="3" t="s">
        <v>447</v>
      </c>
      <c r="D54" s="3" t="s">
        <v>1352</v>
      </c>
      <c r="E54" s="4">
        <f>'Owner KPIs'!K54</f>
        <v>70.65</v>
      </c>
      <c r="F54" s="3" t="s">
        <v>1104</v>
      </c>
      <c r="G54" s="5" t="s">
        <v>1321</v>
      </c>
      <c r="H54" s="3" t="s">
        <v>609</v>
      </c>
      <c r="I54" s="3" t="s">
        <v>1327</v>
      </c>
    </row>
    <row r="55" spans="1:9">
      <c r="A55" s="2" t="s">
        <v>697</v>
      </c>
      <c r="B55" s="3" t="s">
        <v>698</v>
      </c>
      <c r="C55" s="3" t="s">
        <v>574</v>
      </c>
      <c r="D55" s="3" t="s">
        <v>1353</v>
      </c>
      <c r="E55" s="4">
        <f>'Owner KPIs'!K55</f>
        <v>8.41</v>
      </c>
      <c r="F55" s="3" t="s">
        <v>1107</v>
      </c>
      <c r="G55" s="5" t="s">
        <v>1321</v>
      </c>
      <c r="H55" s="3" t="s">
        <v>609</v>
      </c>
      <c r="I55" s="3" t="s">
        <v>1327</v>
      </c>
    </row>
    <row r="56" spans="1:9">
      <c r="A56" s="2" t="s">
        <v>702</v>
      </c>
      <c r="B56" s="3" t="s">
        <v>703</v>
      </c>
      <c r="C56" s="3" t="s">
        <v>574</v>
      </c>
      <c r="D56" s="3" t="s">
        <v>1354</v>
      </c>
      <c r="E56" s="4">
        <f>'Owner KPIs'!K56</f>
        <v>1860.0</v>
      </c>
      <c r="F56" s="3" t="s">
        <v>1114</v>
      </c>
      <c r="G56" s="5" t="s">
        <v>1321</v>
      </c>
      <c r="H56" s="3" t="s">
        <v>707</v>
      </c>
      <c r="I56" s="3" t="s">
        <v>1327</v>
      </c>
    </row>
    <row r="57" spans="1:9">
      <c r="A57" s="2" t="s">
        <v>708</v>
      </c>
      <c r="B57" s="3" t="s">
        <v>709</v>
      </c>
      <c r="C57" s="3" t="s">
        <v>574</v>
      </c>
      <c r="D57" s="3" t="s">
        <v>1355</v>
      </c>
      <c r="E57" s="4">
        <f>'Owner KPIs'!K57</f>
        <v>1347.73</v>
      </c>
      <c r="F57" s="3" t="s">
        <v>1117</v>
      </c>
      <c r="G57" s="5" t="s">
        <v>1321</v>
      </c>
      <c r="H57" s="3" t="s">
        <v>707</v>
      </c>
      <c r="I57" s="3" t="s">
        <v>1327</v>
      </c>
    </row>
    <row r="58" spans="1:9">
      <c r="A58" s="2" t="s">
        <v>713</v>
      </c>
      <c r="B58" s="3" t="s">
        <v>714</v>
      </c>
      <c r="C58" s="3" t="s">
        <v>574</v>
      </c>
      <c r="D58" s="3" t="s">
        <v>1356</v>
      </c>
      <c r="E58" s="4">
        <f>'Owner KPIs'!K58</f>
        <v>879.71</v>
      </c>
      <c r="F58" s="3" t="s">
        <v>1120</v>
      </c>
      <c r="G58" s="5" t="s">
        <v>1321</v>
      </c>
      <c r="H58" s="3" t="s">
        <v>707</v>
      </c>
      <c r="I58" s="3" t="s">
        <v>1327</v>
      </c>
    </row>
    <row r="59" spans="1:9">
      <c r="A59" s="2" t="s">
        <v>717</v>
      </c>
      <c r="B59" s="3" t="s">
        <v>718</v>
      </c>
      <c r="C59" s="3" t="s">
        <v>447</v>
      </c>
      <c r="D59" s="3" t="s">
        <v>1357</v>
      </c>
      <c r="E59" s="4">
        <f>'Owner KPIs'!K59</f>
        <v>60.85</v>
      </c>
      <c r="F59" s="3" t="s">
        <v>1009</v>
      </c>
      <c r="G59" s="7" t="s">
        <v>1325</v>
      </c>
      <c r="H59" s="3" t="s">
        <v>721</v>
      </c>
      <c r="I59" s="3" t="s">
        <v>1327</v>
      </c>
    </row>
    <row r="60" spans="1:9">
      <c r="A60" s="2" t="s">
        <v>723</v>
      </c>
      <c r="B60" s="3" t="s">
        <v>724</v>
      </c>
      <c r="C60" s="3" t="s">
        <v>574</v>
      </c>
      <c r="D60" s="3" t="s">
        <v>1358</v>
      </c>
      <c r="E60" s="4">
        <f>'Owner KPIs'!K60</f>
        <v>148.03</v>
      </c>
      <c r="F60" s="3" t="s">
        <v>1359</v>
      </c>
      <c r="G60" s="5" t="s">
        <v>1321</v>
      </c>
      <c r="H60" s="3" t="s">
        <v>707</v>
      </c>
      <c r="I60" s="3" t="s">
        <v>1327</v>
      </c>
    </row>
    <row r="61" spans="1:9">
      <c r="A61" s="2" t="s">
        <v>727</v>
      </c>
      <c r="B61" s="3" t="s">
        <v>728</v>
      </c>
      <c r="C61" s="3" t="s">
        <v>729</v>
      </c>
      <c r="D61" s="3" t="s">
        <v>1360</v>
      </c>
      <c r="E61" s="8" t="str">
        <f>'Owner KPIs'!K61</f>
        <v>9 on track · 2 at risk · 0 off track</v>
      </c>
      <c r="F61" s="3" t="s">
        <v>1139</v>
      </c>
      <c r="G61" s="7" t="s">
        <v>1325</v>
      </c>
      <c r="H61" s="3" t="s">
        <v>707</v>
      </c>
      <c r="I61" s="3" t="s">
        <v>1327</v>
      </c>
    </row>
    <row r="62" spans="1:9">
      <c r="A62" s="2" t="s">
        <v>733</v>
      </c>
      <c r="B62" s="3" t="s">
        <v>734</v>
      </c>
      <c r="C62" s="3" t="s">
        <v>447</v>
      </c>
      <c r="D62" s="3" t="s">
        <v>1361</v>
      </c>
      <c r="E62" s="4">
        <f>'Owner KPIs'!K62</f>
        <v>47.96</v>
      </c>
      <c r="F62" s="3" t="s">
        <v>1125</v>
      </c>
      <c r="G62" s="7" t="s">
        <v>1325</v>
      </c>
      <c r="H62" s="3" t="s">
        <v>707</v>
      </c>
      <c r="I62" s="3" t="s">
        <v>1327</v>
      </c>
    </row>
    <row r="63" spans="1:9">
      <c r="A63" s="2" t="s">
        <v>738</v>
      </c>
      <c r="B63" s="3" t="s">
        <v>739</v>
      </c>
      <c r="C63" s="3" t="s">
        <v>514</v>
      </c>
      <c r="D63" s="3" t="s">
        <v>1362</v>
      </c>
      <c r="E63" s="4">
        <f>'Owner KPIs'!K63</f>
        <v>1.0</v>
      </c>
      <c r="F63" s="3" t="s">
        <v>1136</v>
      </c>
      <c r="G63" s="7" t="s">
        <v>1325</v>
      </c>
      <c r="H63" s="3" t="s">
        <v>707</v>
      </c>
      <c r="I63" s="3" t="s">
        <v>1327</v>
      </c>
    </row>
    <row r="64" spans="1:9">
      <c r="A64" s="2" t="s">
        <v>742</v>
      </c>
      <c r="B64" s="3" t="s">
        <v>743</v>
      </c>
      <c r="C64" s="3" t="s">
        <v>447</v>
      </c>
      <c r="D64" s="3" t="s">
        <v>1363</v>
      </c>
      <c r="E64" s="4">
        <f>'Owner KPIs'!K64</f>
        <v>54.03</v>
      </c>
      <c r="F64" s="3" t="s">
        <v>1041</v>
      </c>
      <c r="G64" s="7" t="s">
        <v>1325</v>
      </c>
      <c r="H64" s="3" t="s">
        <v>746</v>
      </c>
      <c r="I64" s="3" t="s">
        <v>1327</v>
      </c>
    </row>
    <row r="65" spans="1:9">
      <c r="A65" s="2" t="s">
        <v>748</v>
      </c>
      <c r="B65" s="3" t="s">
        <v>749</v>
      </c>
      <c r="C65" s="3" t="s">
        <v>447</v>
      </c>
      <c r="D65" s="3" t="s">
        <v>1363</v>
      </c>
      <c r="E65" s="4">
        <f>'Owner KPIs'!K65</f>
        <v>54.03</v>
      </c>
      <c r="F65" s="3" t="s">
        <v>1041</v>
      </c>
      <c r="G65" s="7" t="s">
        <v>1325</v>
      </c>
      <c r="H65" s="3" t="s">
        <v>721</v>
      </c>
      <c r="I65" s="3" t="s">
        <v>1327</v>
      </c>
    </row>
    <row r="66" spans="1:9">
      <c r="A66" s="2" t="s">
        <v>751</v>
      </c>
      <c r="B66" s="3" t="s">
        <v>752</v>
      </c>
      <c r="C66" s="3" t="s">
        <v>729</v>
      </c>
      <c r="D66" s="3" t="s">
        <v>1364</v>
      </c>
      <c r="E66" s="8" t="str">
        <f>'Owner KPIs'!K66</f>
        <v>15 on track · 6 at risk · 3 delayed</v>
      </c>
      <c r="F66" s="3" t="s">
        <v>1142</v>
      </c>
      <c r="G66" s="7" t="s">
        <v>1325</v>
      </c>
      <c r="H66" s="3" t="s">
        <v>707</v>
      </c>
      <c r="I66" s="3" t="s">
        <v>1327</v>
      </c>
    </row>
    <row r="67" spans="1:9">
      <c r="A67" s="2" t="s">
        <v>756</v>
      </c>
      <c r="B67" s="3" t="s">
        <v>757</v>
      </c>
      <c r="C67" s="3" t="s">
        <v>574</v>
      </c>
      <c r="D67" s="3" t="s">
        <v>1365</v>
      </c>
      <c r="E67" s="4">
        <f>'Owner KPIs'!K67</f>
        <v>14.21</v>
      </c>
      <c r="F67" s="3" t="s">
        <v>1128</v>
      </c>
      <c r="G67" s="7" t="s">
        <v>1325</v>
      </c>
      <c r="H67" s="3" t="s">
        <v>707</v>
      </c>
      <c r="I67" s="3" t="s">
        <v>1327</v>
      </c>
    </row>
    <row r="68" spans="1:9">
      <c r="A68" s="2" t="s">
        <v>760</v>
      </c>
      <c r="B68" s="3" t="s">
        <v>761</v>
      </c>
      <c r="C68" s="3" t="s">
        <v>574</v>
      </c>
      <c r="D68" s="3" t="s">
        <v>1366</v>
      </c>
      <c r="E68" s="4">
        <f>'Owner KPIs'!K68</f>
        <v>8.71</v>
      </c>
      <c r="F68" s="3" t="s">
        <v>1131</v>
      </c>
      <c r="G68" s="7" t="s">
        <v>1325</v>
      </c>
      <c r="H68" s="3" t="s">
        <v>707</v>
      </c>
      <c r="I68" s="3" t="s">
        <v>1327</v>
      </c>
    </row>
    <row r="69" spans="1:9">
      <c r="A69" s="2" t="s">
        <v>764</v>
      </c>
      <c r="B69" s="3" t="s">
        <v>765</v>
      </c>
      <c r="C69" s="3" t="s">
        <v>574</v>
      </c>
      <c r="D69" s="3" t="s">
        <v>1367</v>
      </c>
      <c r="E69" s="4">
        <f>'Owner KPIs'!K69</f>
        <v>11.25</v>
      </c>
      <c r="F69" s="3" t="s">
        <v>1133</v>
      </c>
      <c r="G69" s="7" t="s">
        <v>1325</v>
      </c>
      <c r="H69" s="3" t="s">
        <v>707</v>
      </c>
      <c r="I69" s="3" t="s">
        <v>1327</v>
      </c>
    </row>
    <row r="70" spans="1:9">
      <c r="A70" s="2" t="s">
        <v>768</v>
      </c>
      <c r="B70" s="3" t="s">
        <v>769</v>
      </c>
      <c r="C70" s="3" t="s">
        <v>447</v>
      </c>
      <c r="D70" s="3" t="s">
        <v>770</v>
      </c>
      <c r="E70" s="4">
        <f>'Owner KPIs'!K70</f>
        <v>91.41</v>
      </c>
      <c r="F70" s="3" t="s">
        <v>1368</v>
      </c>
      <c r="G70" s="7" t="s">
        <v>1325</v>
      </c>
      <c r="H70" s="3" t="s">
        <v>463</v>
      </c>
      <c r="I70" s="3" t="s">
        <v>1327</v>
      </c>
    </row>
    <row r="71" spans="1:9">
      <c r="A71" s="2" t="s">
        <v>773</v>
      </c>
      <c r="B71" s="3" t="s">
        <v>774</v>
      </c>
      <c r="C71" s="3" t="s">
        <v>447</v>
      </c>
      <c r="D71" s="3" t="s">
        <v>775</v>
      </c>
      <c r="E71" s="4">
        <f>'Owner KPIs'!K71</f>
        <v>35.19</v>
      </c>
      <c r="F71" s="3" t="s">
        <v>1258</v>
      </c>
      <c r="G71" s="5" t="s">
        <v>1321</v>
      </c>
      <c r="H71" s="3" t="s">
        <v>463</v>
      </c>
      <c r="I71" s="3" t="s">
        <v>1327</v>
      </c>
    </row>
    <row r="72" spans="1:9">
      <c r="A72" s="2" t="s">
        <v>778</v>
      </c>
      <c r="B72" s="3" t="s">
        <v>779</v>
      </c>
      <c r="C72" s="3" t="s">
        <v>514</v>
      </c>
      <c r="D72" s="3" t="s">
        <v>1369</v>
      </c>
      <c r="E72" s="4">
        <f>'Owner KPIs'!K72</f>
        <v>3.0</v>
      </c>
      <c r="F72" s="3" t="s">
        <v>1045</v>
      </c>
      <c r="G72" s="5" t="s">
        <v>1321</v>
      </c>
      <c r="H72" s="3" t="s">
        <v>463</v>
      </c>
      <c r="I72" s="3" t="s">
        <v>1327</v>
      </c>
    </row>
    <row r="73" spans="1:9">
      <c r="A73" s="2" t="s">
        <v>782</v>
      </c>
      <c r="B73" s="3" t="s">
        <v>783</v>
      </c>
      <c r="C73" s="3" t="s">
        <v>514</v>
      </c>
      <c r="D73" s="3" t="s">
        <v>1370</v>
      </c>
      <c r="E73" s="4">
        <f>'Owner KPIs'!K73</f>
        <v>4.0</v>
      </c>
      <c r="F73" s="3" t="s">
        <v>1176</v>
      </c>
      <c r="G73" s="7" t="s">
        <v>1325</v>
      </c>
      <c r="H73" s="3" t="s">
        <v>529</v>
      </c>
      <c r="I73" s="3" t="s">
        <v>1327</v>
      </c>
    </row>
    <row r="74" spans="1:9">
      <c r="A74" s="2" t="s">
        <v>786</v>
      </c>
      <c r="B74" s="3" t="s">
        <v>787</v>
      </c>
      <c r="C74" s="3" t="s">
        <v>447</v>
      </c>
      <c r="D74" s="3" t="s">
        <v>1371</v>
      </c>
      <c r="E74" s="4">
        <f>'Owner KPIs'!K74</f>
        <v>95.71</v>
      </c>
      <c r="F74" s="3" t="s">
        <v>1178</v>
      </c>
      <c r="G74" s="7" t="s">
        <v>1325</v>
      </c>
      <c r="H74" s="3" t="s">
        <v>529</v>
      </c>
      <c r="I74" s="3" t="s">
        <v>1327</v>
      </c>
    </row>
    <row r="75" spans="1:9">
      <c r="A75" s="2" t="s">
        <v>791</v>
      </c>
      <c r="B75" s="3" t="s">
        <v>792</v>
      </c>
      <c r="C75" s="3" t="s">
        <v>514</v>
      </c>
      <c r="D75" s="3" t="s">
        <v>1372</v>
      </c>
      <c r="E75" s="4">
        <f>'Owner KPIs'!K75</f>
        <v>0.0</v>
      </c>
      <c r="F75" s="3" t="s">
        <v>1136</v>
      </c>
      <c r="G75" s="5" t="s">
        <v>1321</v>
      </c>
      <c r="H75" s="3" t="s">
        <v>529</v>
      </c>
      <c r="I75" s="3" t="s">
        <v>1327</v>
      </c>
    </row>
    <row r="76" spans="1:9">
      <c r="A76" s="2" t="s">
        <v>795</v>
      </c>
      <c r="B76" s="3" t="s">
        <v>796</v>
      </c>
      <c r="C76" s="3" t="s">
        <v>514</v>
      </c>
      <c r="D76" s="3" t="s">
        <v>1373</v>
      </c>
      <c r="E76" s="4">
        <f>'Owner KPIs'!K76</f>
        <v>0.0</v>
      </c>
      <c r="F76" s="3" t="s">
        <v>1045</v>
      </c>
      <c r="G76" s="7" t="s">
        <v>1325</v>
      </c>
      <c r="H76" s="3" t="s">
        <v>529</v>
      </c>
      <c r="I76" s="3" t="s">
        <v>1327</v>
      </c>
    </row>
    <row r="77" spans="1:9">
      <c r="A77" s="2" t="s">
        <v>798</v>
      </c>
      <c r="B77" s="3" t="s">
        <v>799</v>
      </c>
      <c r="C77" s="3" t="s">
        <v>729</v>
      </c>
      <c r="D77" s="3" t="s">
        <v>1374</v>
      </c>
      <c r="E77" s="8" t="str">
        <f>'Owner KPIs'!K77</f>
        <v>Not triggered</v>
      </c>
      <c r="F77" s="3" t="s">
        <v>1110</v>
      </c>
      <c r="G77" s="7" t="s">
        <v>1325</v>
      </c>
      <c r="H77" s="3" t="s">
        <v>529</v>
      </c>
      <c r="I77" s="3" t="s">
        <v>1327</v>
      </c>
    </row>
    <row r="78" spans="1:9">
      <c r="A78" s="2" t="s">
        <v>802</v>
      </c>
      <c r="B78" s="3" t="s">
        <v>803</v>
      </c>
      <c r="C78" s="3" t="s">
        <v>514</v>
      </c>
      <c r="D78" s="3" t="s">
        <v>1375</v>
      </c>
      <c r="E78" s="4">
        <f>'Owner KPIs'!K78</f>
        <v>0.0</v>
      </c>
      <c r="F78" s="3" t="s">
        <v>1045</v>
      </c>
      <c r="G78" s="7" t="s">
        <v>1325</v>
      </c>
      <c r="H78" s="3" t="s">
        <v>529</v>
      </c>
      <c r="I78" s="3" t="s">
        <v>1327</v>
      </c>
    </row>
    <row r="79" spans="1:9">
      <c r="A79" s="2" t="s">
        <v>805</v>
      </c>
      <c r="B79" s="3" t="s">
        <v>806</v>
      </c>
      <c r="C79" s="3" t="s">
        <v>514</v>
      </c>
      <c r="D79" s="3" t="s">
        <v>1375</v>
      </c>
      <c r="E79" s="4">
        <f>'Owner KPIs'!K79</f>
        <v>0.0</v>
      </c>
      <c r="F79" s="3" t="s">
        <v>1045</v>
      </c>
      <c r="G79" s="7" t="s">
        <v>1325</v>
      </c>
      <c r="H79" s="3" t="s">
        <v>456</v>
      </c>
      <c r="I79" s="3" t="s">
        <v>1327</v>
      </c>
    </row>
    <row r="80" spans="1:9">
      <c r="A80" s="2" t="s">
        <v>808</v>
      </c>
      <c r="B80" s="3" t="s">
        <v>806</v>
      </c>
      <c r="C80" s="3" t="s">
        <v>514</v>
      </c>
      <c r="D80" s="3" t="s">
        <v>1375</v>
      </c>
      <c r="E80" s="4">
        <f>'Owner KPIs'!K80</f>
        <v>0.0</v>
      </c>
      <c r="F80" s="3" t="s">
        <v>1045</v>
      </c>
      <c r="G80" s="7" t="s">
        <v>1325</v>
      </c>
      <c r="H80" s="3" t="s">
        <v>566</v>
      </c>
      <c r="I80" s="3" t="s">
        <v>1327</v>
      </c>
    </row>
    <row r="81" spans="1:9">
      <c r="A81" s="2" t="s">
        <v>810</v>
      </c>
      <c r="B81" s="3" t="s">
        <v>811</v>
      </c>
      <c r="C81" s="3" t="s">
        <v>514</v>
      </c>
      <c r="D81" s="3" t="s">
        <v>1376</v>
      </c>
      <c r="E81" s="4">
        <f>'Owner KPIs'!K81</f>
        <v>0.0</v>
      </c>
      <c r="F81" s="3" t="s">
        <v>1182</v>
      </c>
      <c r="G81" s="7" t="s">
        <v>1325</v>
      </c>
      <c r="H81" s="3" t="s">
        <v>529</v>
      </c>
      <c r="I81" s="3" t="s">
        <v>1327</v>
      </c>
    </row>
    <row r="82" spans="1:9">
      <c r="A82" s="2" t="s">
        <v>813</v>
      </c>
      <c r="B82" s="3" t="s">
        <v>814</v>
      </c>
      <c r="C82" s="3" t="s">
        <v>514</v>
      </c>
      <c r="D82" s="3" t="s">
        <v>1377</v>
      </c>
      <c r="E82" s="4">
        <f>'Owner KPIs'!K82</f>
        <v>4.0</v>
      </c>
      <c r="F82" s="3" t="s">
        <v>1176</v>
      </c>
      <c r="G82" s="7" t="s">
        <v>1325</v>
      </c>
      <c r="H82" s="3" t="s">
        <v>529</v>
      </c>
      <c r="I82" s="3" t="s">
        <v>1327</v>
      </c>
    </row>
    <row r="83" spans="1:9">
      <c r="A83" s="2" t="s">
        <v>816</v>
      </c>
      <c r="B83" s="3" t="s">
        <v>817</v>
      </c>
      <c r="C83" s="3" t="s">
        <v>514</v>
      </c>
      <c r="D83" s="3" t="s">
        <v>1378</v>
      </c>
      <c r="E83" s="4">
        <f>'Owner KPIs'!K83</f>
        <v>0.0</v>
      </c>
      <c r="F83" s="3" t="s">
        <v>1045</v>
      </c>
      <c r="G83" s="7" t="s">
        <v>1325</v>
      </c>
      <c r="H83" s="3" t="s">
        <v>529</v>
      </c>
      <c r="I83" s="3" t="s">
        <v>1327</v>
      </c>
    </row>
    <row r="84" spans="1:9">
      <c r="A84" s="2" t="s">
        <v>819</v>
      </c>
      <c r="B84" s="3" t="s">
        <v>820</v>
      </c>
      <c r="C84" s="3" t="s">
        <v>514</v>
      </c>
      <c r="D84" s="3" t="s">
        <v>1379</v>
      </c>
      <c r="E84" s="4">
        <f>'Owner KPIs'!K84</f>
        <v>4.0</v>
      </c>
      <c r="F84" s="3" t="s">
        <v>1187</v>
      </c>
      <c r="G84" s="5" t="s">
        <v>1321</v>
      </c>
      <c r="H84" s="3" t="s">
        <v>529</v>
      </c>
      <c r="I84" s="3" t="s">
        <v>1327</v>
      </c>
    </row>
    <row r="85" spans="1:9">
      <c r="A85" s="2" t="s">
        <v>823</v>
      </c>
      <c r="B85" s="3" t="s">
        <v>824</v>
      </c>
      <c r="C85" s="3" t="s">
        <v>514</v>
      </c>
      <c r="D85" s="3" t="s">
        <v>1380</v>
      </c>
      <c r="E85" s="4">
        <f>'Owner KPIs'!K85</f>
        <v>0.0</v>
      </c>
      <c r="F85" s="3" t="s">
        <v>1045</v>
      </c>
      <c r="G85" s="7" t="s">
        <v>1325</v>
      </c>
      <c r="H85" s="3" t="s">
        <v>529</v>
      </c>
      <c r="I85" s="3" t="s">
        <v>1327</v>
      </c>
    </row>
    <row r="86" spans="1:9">
      <c r="A86" s="2" t="s">
        <v>826</v>
      </c>
      <c r="B86" s="3" t="s">
        <v>827</v>
      </c>
      <c r="C86" s="3" t="s">
        <v>514</v>
      </c>
      <c r="D86" s="3" t="s">
        <v>1381</v>
      </c>
      <c r="E86" s="4">
        <f>'Owner KPIs'!K86</f>
        <v>1.0</v>
      </c>
      <c r="F86" s="3" t="s">
        <v>1136</v>
      </c>
      <c r="G86" s="7" t="s">
        <v>1325</v>
      </c>
      <c r="H86" s="3" t="s">
        <v>529</v>
      </c>
      <c r="I86" s="3" t="s">
        <v>1327</v>
      </c>
    </row>
    <row r="87" spans="1:9">
      <c r="A87" s="2" t="s">
        <v>829</v>
      </c>
      <c r="B87" s="3" t="s">
        <v>830</v>
      </c>
      <c r="C87" s="3" t="s">
        <v>514</v>
      </c>
      <c r="D87" s="3" t="s">
        <v>1382</v>
      </c>
      <c r="E87" s="4">
        <f>'Owner KPIs'!K87</f>
        <v>0.0</v>
      </c>
      <c r="F87" s="3" t="s">
        <v>1045</v>
      </c>
      <c r="G87" s="7" t="s">
        <v>1325</v>
      </c>
      <c r="H87" s="3" t="s">
        <v>529</v>
      </c>
      <c r="I87" s="3" t="s">
        <v>1327</v>
      </c>
    </row>
    <row r="88" spans="1:9">
      <c r="A88" s="2" t="s">
        <v>832</v>
      </c>
      <c r="B88" s="3" t="s">
        <v>833</v>
      </c>
      <c r="C88" s="3" t="s">
        <v>514</v>
      </c>
      <c r="D88" s="3" t="s">
        <v>1383</v>
      </c>
      <c r="E88" s="4">
        <f>'Owner KPIs'!K88</f>
        <v>0.0</v>
      </c>
      <c r="F88" s="3" t="s">
        <v>1045</v>
      </c>
      <c r="G88" s="7" t="s">
        <v>1325</v>
      </c>
      <c r="H88" s="3" t="s">
        <v>529</v>
      </c>
      <c r="I88" s="3" t="s">
        <v>1327</v>
      </c>
    </row>
    <row r="89" spans="1:9">
      <c r="A89" s="2" t="s">
        <v>835</v>
      </c>
      <c r="B89" s="3" t="s">
        <v>836</v>
      </c>
      <c r="C89" s="3" t="s">
        <v>514</v>
      </c>
      <c r="D89" s="3" t="s">
        <v>1384</v>
      </c>
      <c r="E89" s="4">
        <f>'Owner KPIs'!K89</f>
        <v>14.0</v>
      </c>
      <c r="F89" s="3" t="s">
        <v>1198</v>
      </c>
      <c r="G89" s="5" t="s">
        <v>1321</v>
      </c>
      <c r="H89" s="3" t="s">
        <v>529</v>
      </c>
      <c r="I89" s="3" t="s">
        <v>1327</v>
      </c>
    </row>
    <row r="90" spans="1:9">
      <c r="A90" s="2" t="s">
        <v>839</v>
      </c>
      <c r="B90" s="3" t="s">
        <v>840</v>
      </c>
      <c r="C90" s="3" t="s">
        <v>514</v>
      </c>
      <c r="D90" s="3" t="s">
        <v>1385</v>
      </c>
      <c r="E90" s="4">
        <f>'Owner KPIs'!K90</f>
        <v>2.0</v>
      </c>
      <c r="F90" s="3" t="s">
        <v>1275</v>
      </c>
      <c r="G90" s="7" t="s">
        <v>1325</v>
      </c>
      <c r="H90" s="3" t="s">
        <v>843</v>
      </c>
      <c r="I90" s="3" t="s">
        <v>1327</v>
      </c>
    </row>
    <row r="91" spans="1:9">
      <c r="A91" s="2" t="s">
        <v>844</v>
      </c>
      <c r="B91" s="3" t="s">
        <v>845</v>
      </c>
      <c r="C91" s="3" t="s">
        <v>514</v>
      </c>
      <c r="D91" s="3" t="s">
        <v>1386</v>
      </c>
      <c r="E91" s="4">
        <f>'Owner KPIs'!K91</f>
        <v>0.0</v>
      </c>
      <c r="F91" s="3" t="s">
        <v>1045</v>
      </c>
      <c r="G91" s="7" t="s">
        <v>1325</v>
      </c>
      <c r="H91" s="3" t="s">
        <v>843</v>
      </c>
      <c r="I91" s="3" t="s">
        <v>1327</v>
      </c>
    </row>
    <row r="92" spans="1:9">
      <c r="A92" s="2" t="s">
        <v>848</v>
      </c>
      <c r="B92" s="3" t="s">
        <v>849</v>
      </c>
      <c r="C92" s="3" t="s">
        <v>514</v>
      </c>
      <c r="D92" s="3" t="s">
        <v>1387</v>
      </c>
      <c r="E92" s="4">
        <f>'Owner KPIs'!K92</f>
        <v>1.0</v>
      </c>
      <c r="F92" s="3" t="s">
        <v>1136</v>
      </c>
      <c r="G92" s="7" t="s">
        <v>1325</v>
      </c>
      <c r="H92" s="3" t="s">
        <v>843</v>
      </c>
      <c r="I92" s="3" t="s">
        <v>1327</v>
      </c>
    </row>
    <row r="93" spans="1:9">
      <c r="A93" s="2" t="s">
        <v>851</v>
      </c>
      <c r="B93" s="3" t="s">
        <v>852</v>
      </c>
      <c r="C93" s="3" t="s">
        <v>514</v>
      </c>
      <c r="D93" s="3" t="s">
        <v>1388</v>
      </c>
      <c r="E93" s="4">
        <f>'Owner KPIs'!K93</f>
        <v>7.0</v>
      </c>
      <c r="F93" s="3" t="s">
        <v>1200</v>
      </c>
      <c r="G93" s="7" t="s">
        <v>1325</v>
      </c>
      <c r="H93" s="3" t="s">
        <v>854</v>
      </c>
      <c r="I93" s="3" t="s">
        <v>1327</v>
      </c>
    </row>
    <row r="94" spans="1:9">
      <c r="A94" s="2" t="s">
        <v>855</v>
      </c>
      <c r="B94" s="3" t="s">
        <v>856</v>
      </c>
      <c r="C94" s="3" t="s">
        <v>514</v>
      </c>
      <c r="D94" s="3" t="s">
        <v>1389</v>
      </c>
      <c r="E94" s="4">
        <f>'Owner KPIs'!K94</f>
        <v>0.0</v>
      </c>
      <c r="F94" s="3" t="s">
        <v>1045</v>
      </c>
      <c r="G94" s="7" t="s">
        <v>1325</v>
      </c>
      <c r="H94" s="3" t="s">
        <v>843</v>
      </c>
      <c r="I94" s="3" t="s">
        <v>1327</v>
      </c>
    </row>
    <row r="95" spans="1:9">
      <c r="A95" s="2" t="s">
        <v>857</v>
      </c>
      <c r="B95" s="3" t="s">
        <v>858</v>
      </c>
      <c r="C95" s="3" t="s">
        <v>514</v>
      </c>
      <c r="D95" s="3" t="s">
        <v>1390</v>
      </c>
      <c r="E95" s="4">
        <f>'Owner KPIs'!K95</f>
        <v>1.0</v>
      </c>
      <c r="F95" s="3" t="s">
        <v>1136</v>
      </c>
      <c r="G95" s="7" t="s">
        <v>1325</v>
      </c>
      <c r="H95" s="3" t="s">
        <v>843</v>
      </c>
      <c r="I95" s="3" t="s">
        <v>1327</v>
      </c>
    </row>
    <row r="96" spans="1:9">
      <c r="A96" s="2" t="s">
        <v>860</v>
      </c>
      <c r="B96" s="3" t="s">
        <v>861</v>
      </c>
      <c r="C96" s="3" t="s">
        <v>514</v>
      </c>
      <c r="D96" s="3" t="s">
        <v>1391</v>
      </c>
      <c r="E96" s="4">
        <f>'Owner KPIs'!K96</f>
        <v>1.0</v>
      </c>
      <c r="F96" s="3" t="s">
        <v>1136</v>
      </c>
      <c r="G96" s="7" t="s">
        <v>1325</v>
      </c>
      <c r="H96" s="3" t="s">
        <v>843</v>
      </c>
      <c r="I96" s="3" t="s">
        <v>1327</v>
      </c>
    </row>
    <row r="97" spans="1:9">
      <c r="A97" s="2" t="s">
        <v>863</v>
      </c>
      <c r="B97" s="3" t="s">
        <v>864</v>
      </c>
      <c r="C97" s="3" t="s">
        <v>514</v>
      </c>
      <c r="D97" s="3" t="s">
        <v>1392</v>
      </c>
      <c r="E97" s="4">
        <f>'Owner KPIs'!K97</f>
        <v>1.0</v>
      </c>
      <c r="F97" s="3" t="s">
        <v>1136</v>
      </c>
      <c r="G97" s="7" t="s">
        <v>1325</v>
      </c>
      <c r="H97" s="3" t="s">
        <v>843</v>
      </c>
      <c r="I97" s="3" t="s">
        <v>1327</v>
      </c>
    </row>
    <row r="98" spans="1:9">
      <c r="A98" s="2" t="s">
        <v>865</v>
      </c>
      <c r="B98" s="3" t="s">
        <v>866</v>
      </c>
      <c r="C98" s="3" t="s">
        <v>447</v>
      </c>
      <c r="D98" s="3" t="s">
        <v>1393</v>
      </c>
      <c r="E98" s="4">
        <f>'Owner KPIs'!K98</f>
        <v>87.96</v>
      </c>
      <c r="F98" s="3" t="s">
        <v>1282</v>
      </c>
      <c r="G98" s="7" t="s">
        <v>1325</v>
      </c>
      <c r="H98" s="3" t="s">
        <v>843</v>
      </c>
      <c r="I98" s="3" t="s">
        <v>1327</v>
      </c>
    </row>
    <row r="99" spans="1:9">
      <c r="A99" s="2" t="s">
        <v>870</v>
      </c>
      <c r="B99" s="3" t="s">
        <v>871</v>
      </c>
      <c r="C99" s="3" t="s">
        <v>185</v>
      </c>
      <c r="D99" s="3" t="s">
        <v>1394</v>
      </c>
      <c r="E99" s="4">
        <f>'Owner KPIs'!K99</f>
        <v>32.81</v>
      </c>
      <c r="F99" s="3" t="s">
        <v>1284</v>
      </c>
      <c r="G99" s="5" t="s">
        <v>1321</v>
      </c>
      <c r="H99" s="3" t="s">
        <v>843</v>
      </c>
      <c r="I99" s="3" t="s">
        <v>1327</v>
      </c>
    </row>
    <row r="100" spans="1:9">
      <c r="A100" s="2" t="s">
        <v>875</v>
      </c>
      <c r="B100" s="3" t="s">
        <v>876</v>
      </c>
      <c r="C100" s="3" t="s">
        <v>447</v>
      </c>
      <c r="D100" s="3" t="s">
        <v>1395</v>
      </c>
      <c r="E100" s="4">
        <f>'Owner KPIs'!K100</f>
        <v>83.93</v>
      </c>
      <c r="F100" s="3" t="s">
        <v>1265</v>
      </c>
      <c r="G100" s="7" t="s">
        <v>1325</v>
      </c>
      <c r="H100" s="3" t="s">
        <v>843</v>
      </c>
      <c r="I100" s="3" t="s">
        <v>1327</v>
      </c>
    </row>
    <row r="101" spans="1:9">
      <c r="A101" s="2" t="s">
        <v>880</v>
      </c>
      <c r="B101" s="3" t="s">
        <v>881</v>
      </c>
      <c r="C101" s="3" t="s">
        <v>514</v>
      </c>
      <c r="D101" s="3" t="s">
        <v>1396</v>
      </c>
      <c r="E101" s="4">
        <f>'Owner KPIs'!K101</f>
        <v>9.0</v>
      </c>
      <c r="F101" s="3" t="s">
        <v>1267</v>
      </c>
      <c r="G101" s="7" t="s">
        <v>1325</v>
      </c>
      <c r="H101" s="3" t="s">
        <v>843</v>
      </c>
      <c r="I101" s="3" t="s">
        <v>1327</v>
      </c>
    </row>
    <row r="102" spans="1:9">
      <c r="A102" s="2" t="s">
        <v>884</v>
      </c>
      <c r="B102" s="3" t="s">
        <v>885</v>
      </c>
      <c r="C102" s="3" t="s">
        <v>447</v>
      </c>
      <c r="D102" s="3" t="s">
        <v>886</v>
      </c>
      <c r="E102" s="4">
        <f>'Owner KPIs'!K102</f>
        <v>99.02</v>
      </c>
      <c r="F102" s="3" t="s">
        <v>1287</v>
      </c>
      <c r="G102" s="5" t="s">
        <v>1321</v>
      </c>
      <c r="H102" s="3" t="s">
        <v>843</v>
      </c>
      <c r="I102" s="3" t="s">
        <v>1327</v>
      </c>
    </row>
    <row r="103" spans="1:9">
      <c r="A103" s="2" t="s">
        <v>889</v>
      </c>
      <c r="B103" s="3" t="s">
        <v>890</v>
      </c>
      <c r="C103" s="3" t="s">
        <v>447</v>
      </c>
      <c r="D103" s="3" t="s">
        <v>891</v>
      </c>
      <c r="E103" s="4">
        <f>'Owner KPIs'!K103</f>
        <v>95.98</v>
      </c>
      <c r="F103" s="3" t="s">
        <v>1289</v>
      </c>
      <c r="G103" s="5" t="s">
        <v>1321</v>
      </c>
      <c r="H103" s="3" t="s">
        <v>843</v>
      </c>
      <c r="I103" s="3" t="s">
        <v>1327</v>
      </c>
    </row>
    <row r="104" spans="1:9">
      <c r="A104" s="2" t="s">
        <v>894</v>
      </c>
      <c r="B104" s="3" t="s">
        <v>895</v>
      </c>
      <c r="C104" s="3" t="s">
        <v>447</v>
      </c>
      <c r="D104" s="3" t="s">
        <v>896</v>
      </c>
      <c r="E104" s="4">
        <f>'Owner KPIs'!K104</f>
        <v>0.38</v>
      </c>
      <c r="F104" s="3" t="s">
        <v>1270</v>
      </c>
      <c r="G104" s="5" t="s">
        <v>1321</v>
      </c>
      <c r="H104" s="3" t="s">
        <v>843</v>
      </c>
      <c r="I104" s="3" t="s">
        <v>1327</v>
      </c>
    </row>
    <row r="105" spans="1:9">
      <c r="A105" s="2" t="s">
        <v>899</v>
      </c>
      <c r="B105" s="3" t="s">
        <v>900</v>
      </c>
      <c r="C105" s="3" t="s">
        <v>447</v>
      </c>
      <c r="D105" s="3" t="s">
        <v>901</v>
      </c>
      <c r="E105" s="4">
        <f>'Owner KPIs'!K105</f>
        <v>0.27</v>
      </c>
      <c r="F105" s="3" t="s">
        <v>1397</v>
      </c>
      <c r="G105" s="7" t="s">
        <v>1325</v>
      </c>
      <c r="H105" s="3" t="s">
        <v>843</v>
      </c>
      <c r="I105" s="3" t="s">
        <v>1328</v>
      </c>
    </row>
    <row r="106" spans="1:9">
      <c r="A106" s="2" t="s">
        <v>904</v>
      </c>
      <c r="B106" s="3" t="s">
        <v>905</v>
      </c>
      <c r="C106" s="3" t="s">
        <v>514</v>
      </c>
      <c r="D106" s="3" t="s">
        <v>1398</v>
      </c>
      <c r="E106" s="4">
        <f>'Owner KPIs'!K106</f>
        <v>1.0</v>
      </c>
      <c r="F106" s="3" t="s">
        <v>1011</v>
      </c>
      <c r="G106" s="7" t="s">
        <v>1325</v>
      </c>
      <c r="H106" s="3" t="s">
        <v>456</v>
      </c>
      <c r="I106" s="3" t="s">
        <v>1327</v>
      </c>
    </row>
    <row r="107" spans="1:9">
      <c r="A107" s="2" t="s">
        <v>907</v>
      </c>
      <c r="B107" s="3" t="s">
        <v>908</v>
      </c>
      <c r="C107" s="3" t="s">
        <v>185</v>
      </c>
      <c r="D107" s="3" t="s">
        <v>909</v>
      </c>
      <c r="E107" s="4">
        <f>'Owner KPIs'!K107</f>
        <v>2.45</v>
      </c>
      <c r="F107" s="3" t="s">
        <v>1204</v>
      </c>
      <c r="G107" s="7" t="s">
        <v>1325</v>
      </c>
      <c r="H107" s="3" t="s">
        <v>911</v>
      </c>
      <c r="I107" s="3" t="s">
        <v>1327</v>
      </c>
    </row>
    <row r="108" spans="1:9">
      <c r="A108" s="2" t="s">
        <v>913</v>
      </c>
      <c r="B108" s="3" t="s">
        <v>914</v>
      </c>
      <c r="C108" s="3" t="s">
        <v>514</v>
      </c>
      <c r="D108" s="3" t="s">
        <v>915</v>
      </c>
      <c r="E108" s="4">
        <f>'Owner KPIs'!K108</f>
        <v>11.0</v>
      </c>
      <c r="F108" s="3" t="s">
        <v>1207</v>
      </c>
      <c r="G108" s="7" t="s">
        <v>1325</v>
      </c>
      <c r="H108" s="3" t="s">
        <v>911</v>
      </c>
      <c r="I108" s="3" t="s">
        <v>1327</v>
      </c>
    </row>
    <row r="109" spans="1:9">
      <c r="A109" s="2" t="s">
        <v>917</v>
      </c>
      <c r="B109" s="3" t="s">
        <v>918</v>
      </c>
      <c r="C109" s="3" t="s">
        <v>514</v>
      </c>
      <c r="D109" s="3" t="s">
        <v>1399</v>
      </c>
      <c r="E109" s="4">
        <f>'Owner KPIs'!K109</f>
        <v>4.0</v>
      </c>
      <c r="F109" s="3" t="s">
        <v>1210</v>
      </c>
      <c r="G109" s="5" t="s">
        <v>1321</v>
      </c>
      <c r="H109" s="3" t="s">
        <v>911</v>
      </c>
      <c r="I109" s="3" t="s">
        <v>1327</v>
      </c>
    </row>
    <row r="110" spans="1:9">
      <c r="A110" s="2" t="s">
        <v>922</v>
      </c>
      <c r="B110" s="3" t="s">
        <v>923</v>
      </c>
      <c r="C110" s="3" t="s">
        <v>729</v>
      </c>
      <c r="D110" s="3" t="s">
        <v>1400</v>
      </c>
      <c r="E110" s="8" t="str">
        <f>'Owner KPIs'!K110</f>
        <v>8 of 9</v>
      </c>
      <c r="F110" s="3" t="s">
        <v>1213</v>
      </c>
      <c r="G110" s="5" t="s">
        <v>1321</v>
      </c>
      <c r="H110" s="3" t="s">
        <v>911</v>
      </c>
      <c r="I110" s="3" t="s">
        <v>1327</v>
      </c>
    </row>
    <row r="111" spans="1:9">
      <c r="A111" s="2" t="s">
        <v>927</v>
      </c>
      <c r="B111" s="3" t="s">
        <v>928</v>
      </c>
      <c r="C111" s="3" t="s">
        <v>185</v>
      </c>
      <c r="D111" s="3" t="s">
        <v>929</v>
      </c>
      <c r="E111" s="4">
        <f>'Owner KPIs'!K111</f>
        <v>1.12</v>
      </c>
      <c r="F111" s="3" t="s">
        <v>1067</v>
      </c>
      <c r="G111" s="5" t="s">
        <v>1321</v>
      </c>
      <c r="H111" s="3" t="s">
        <v>609</v>
      </c>
      <c r="I111" s="3" t="s">
        <v>1327</v>
      </c>
    </row>
    <row r="112" spans="1:9">
      <c r="A112" s="2" t="s">
        <v>932</v>
      </c>
      <c r="B112" s="3" t="s">
        <v>933</v>
      </c>
      <c r="C112" s="3" t="s">
        <v>729</v>
      </c>
      <c r="D112" s="3" t="s">
        <v>934</v>
      </c>
      <c r="E112" s="8" t="str">
        <f>'Owner KPIs'!K112</f>
        <v>Not triggered</v>
      </c>
      <c r="F112" s="3" t="s">
        <v>1110</v>
      </c>
      <c r="G112" s="7" t="s">
        <v>1325</v>
      </c>
      <c r="H112" s="3" t="s">
        <v>609</v>
      </c>
      <c r="I112" s="3" t="s">
        <v>1328</v>
      </c>
    </row>
    <row r="113" spans="1:9">
      <c r="A113" s="2" t="s">
        <v>936</v>
      </c>
      <c r="B113" s="3" t="s">
        <v>937</v>
      </c>
      <c r="C113" s="3" t="s">
        <v>185</v>
      </c>
      <c r="D113" s="3" t="s">
        <v>1401</v>
      </c>
      <c r="E113" s="4">
        <f>'Owner KPIs'!K113</f>
        <v>4.0</v>
      </c>
      <c r="F113" s="3" t="s">
        <v>1324</v>
      </c>
      <c r="G113" s="6" t="s">
        <v>1324</v>
      </c>
      <c r="H113" s="3" t="s">
        <v>941</v>
      </c>
      <c r="I113" s="3" t="s">
        <v>1327</v>
      </c>
    </row>
    <row r="114" spans="1:9">
      <c r="A114" s="2" t="s">
        <v>942</v>
      </c>
      <c r="B114" s="3" t="s">
        <v>943</v>
      </c>
      <c r="C114" s="3" t="s">
        <v>447</v>
      </c>
      <c r="D114" s="3" t="s">
        <v>1402</v>
      </c>
      <c r="E114" s="4">
        <f>'Owner KPIs'!K114</f>
        <v>69.69</v>
      </c>
      <c r="F114" s="3" t="s">
        <v>1018</v>
      </c>
      <c r="G114" s="5" t="s">
        <v>1321</v>
      </c>
      <c r="H114" s="3" t="s">
        <v>947</v>
      </c>
      <c r="I114" s="3" t="s">
        <v>1327</v>
      </c>
    </row>
    <row r="115" spans="1:9">
      <c r="A115" s="2" t="s">
        <v>949</v>
      </c>
      <c r="B115" s="3" t="s">
        <v>950</v>
      </c>
      <c r="C115" s="3" t="s">
        <v>574</v>
      </c>
      <c r="D115" s="3" t="s">
        <v>1403</v>
      </c>
      <c r="E115" s="4">
        <f>'Owner KPIs'!K115</f>
        <v>-56.18</v>
      </c>
      <c r="F115" s="3" t="s">
        <v>1404</v>
      </c>
      <c r="G115" s="5" t="s">
        <v>1321</v>
      </c>
      <c r="H115" s="3" t="s">
        <v>953</v>
      </c>
      <c r="I115" s="3" t="s">
        <v>1327</v>
      </c>
    </row>
    <row r="116" spans="1:9">
      <c r="A116" s="2" t="s">
        <v>955</v>
      </c>
      <c r="B116" s="3" t="s">
        <v>956</v>
      </c>
      <c r="C116" s="3" t="s">
        <v>957</v>
      </c>
      <c r="D116" s="3" t="s">
        <v>1405</v>
      </c>
      <c r="E116" s="8" t="str">
        <f>'Owner KPIs'!K116</f>
        <v>None within 90 d</v>
      </c>
      <c r="F116" s="3" t="s">
        <v>1406</v>
      </c>
      <c r="G116" s="5" t="s">
        <v>1321</v>
      </c>
      <c r="H116" s="3" t="s">
        <v>961</v>
      </c>
      <c r="I116" s="3" t="s">
        <v>1327</v>
      </c>
    </row>
    <row r="117" spans="1:9">
      <c r="A117" s="2" t="s">
        <v>963</v>
      </c>
      <c r="B117" s="3" t="s">
        <v>964</v>
      </c>
      <c r="C117" s="3" t="s">
        <v>729</v>
      </c>
      <c r="D117" s="3" t="s">
        <v>1407</v>
      </c>
      <c r="E117" s="8" t="str">
        <f>'Owner KPIs'!K117</f>
        <v>Not forecast</v>
      </c>
      <c r="F117" s="3" t="s">
        <v>1054</v>
      </c>
      <c r="G117" s="7" t="s">
        <v>1325</v>
      </c>
      <c r="H117" s="3" t="s">
        <v>961</v>
      </c>
      <c r="I117" s="3" t="s">
        <v>1327</v>
      </c>
    </row>
    <row r="118" spans="1:9">
      <c r="A118" s="2" t="s">
        <v>969</v>
      </c>
      <c r="B118" s="3" t="s">
        <v>970</v>
      </c>
      <c r="C118" s="3" t="s">
        <v>971</v>
      </c>
      <c r="D118" s="3" t="s">
        <v>1408</v>
      </c>
      <c r="E118" s="4">
        <f>'Owner KPIs'!K118</f>
        <v>28.01</v>
      </c>
      <c r="F118" s="3" t="s">
        <v>1233</v>
      </c>
      <c r="G118" s="5" t="s">
        <v>1321</v>
      </c>
      <c r="H118" s="3" t="s">
        <v>463</v>
      </c>
      <c r="I118" s="3" t="s">
        <v>1327</v>
      </c>
    </row>
    <row r="119" spans="1:9">
      <c r="A119" s="2" t="s">
        <v>974</v>
      </c>
      <c r="B119" s="3" t="s">
        <v>975</v>
      </c>
      <c r="C119" s="3" t="s">
        <v>447</v>
      </c>
      <c r="D119" s="3" t="s">
        <v>1409</v>
      </c>
      <c r="E119" s="4">
        <f>'Owner KPIs'!K119</f>
        <v>0.0</v>
      </c>
      <c r="F119" s="3" t="s">
        <v>1236</v>
      </c>
      <c r="G119" s="5" t="s">
        <v>1321</v>
      </c>
      <c r="H119" s="3" t="s">
        <v>463</v>
      </c>
      <c r="I119" s="3" t="s">
        <v>1327</v>
      </c>
    </row>
  </sheetData>
  <autoFilter ref="A1:I119"/>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N119"/>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0.7109375" customWidth="1"/>
    <col min="2" max="2" width="32.7109375" customWidth="1"/>
    <col min="3" max="3" width="11.7109375" customWidth="1"/>
    <col min="4" max="4" width="13.7109375" customWidth="1"/>
    <col min="5" max="5" width="52.7109375" customWidth="1"/>
    <col min="6" max="11" width="13.7109375" customWidth="1"/>
    <col min="12" max="12" width="34.7109375" customWidth="1"/>
    <col min="13" max="13" width="26.7109375" customWidth="1"/>
    <col min="14" max="14" width="40.7109375" customWidth="1"/>
  </cols>
  <sheetData>
    <row r="1" spans="1:14">
      <c r="A1" s="1" t="s">
        <v>431</v>
      </c>
      <c r="B1" s="1" t="s">
        <v>432</v>
      </c>
      <c r="C1" s="1" t="s">
        <v>433</v>
      </c>
      <c r="D1" s="1" t="s">
        <v>434</v>
      </c>
      <c r="E1" s="1" t="s">
        <v>435</v>
      </c>
      <c r="F1" s="1" t="s">
        <v>436</v>
      </c>
      <c r="G1" s="1" t="s">
        <v>437</v>
      </c>
      <c r="H1" s="1" t="s">
        <v>438</v>
      </c>
      <c r="I1" s="1" t="s">
        <v>439</v>
      </c>
      <c r="J1" s="1" t="s">
        <v>440</v>
      </c>
      <c r="K1" s="1" t="s">
        <v>441</v>
      </c>
      <c r="L1" s="1" t="s">
        <v>442</v>
      </c>
      <c r="M1" s="1" t="s">
        <v>443</v>
      </c>
      <c r="N1" s="1" t="s">
        <v>444</v>
      </c>
    </row>
    <row r="2" spans="1:14">
      <c r="A2" s="2" t="s">
        <v>445</v>
      </c>
      <c r="B2" s="3" t="s">
        <v>446</v>
      </c>
      <c r="C2" s="3" t="s">
        <v>447</v>
      </c>
      <c r="D2" s="3" t="s">
        <v>21</v>
      </c>
      <c r="E2" s="3" t="s">
        <v>448</v>
      </c>
      <c r="F2" s="4">
        <f>ROUND(IFERROR(100*'Group Inputs'!M4/'Group Inputs'!K4,0),2)</f>
        <v>96.24</v>
      </c>
      <c r="G2" s="4">
        <f>ROUND(IFERROR(100*'Group Inputs'!M5/'Group Inputs'!K5,0),2)</f>
        <v>91.56</v>
      </c>
      <c r="H2" s="4">
        <f>ROUND(IFERROR(100*'Group Inputs'!M6/'Group Inputs'!K6,0),2)</f>
        <v>89.93</v>
      </c>
      <c r="I2" s="4">
        <f>ROUND(IFERROR(100*'Group Inputs'!M7/'Group Inputs'!K7,0),2)</f>
        <v>94.02</v>
      </c>
      <c r="J2" s="4">
        <f>ROUND(IFERROR(100*'Group Inputs'!M8/'Group Inputs'!K8,0),2)</f>
        <v>92.36</v>
      </c>
      <c r="K2" s="4">
        <f>ROUND(IFERROR(100*'Group Inputs'!M9/'Group Inputs'!K9,0),2)</f>
        <v>95.51</v>
      </c>
      <c r="L2" s="3" t="s">
        <v>449</v>
      </c>
      <c r="M2" s="3" t="s">
        <v>450</v>
      </c>
      <c r="N2" s="3" t="s">
        <v>451</v>
      </c>
    </row>
    <row r="3" spans="1:14">
      <c r="A3" s="2" t="s">
        <v>452</v>
      </c>
      <c r="B3" s="3" t="s">
        <v>453</v>
      </c>
      <c r="C3" s="3" t="s">
        <v>447</v>
      </c>
      <c r="D3" s="3" t="s">
        <v>21</v>
      </c>
      <c r="E3" s="3" t="s">
        <v>454</v>
      </c>
      <c r="F3" s="4">
        <f>ROUND(IFERROR(100*'Group Inputs'!M4/'Group Inputs'!J4,0),2)</f>
        <v>83.98</v>
      </c>
      <c r="G3" s="4">
        <f>ROUND(IFERROR(100*'Group Inputs'!M5/'Group Inputs'!J5,0),2)</f>
        <v>76.21</v>
      </c>
      <c r="H3" s="4">
        <f>ROUND(IFERROR(100*'Group Inputs'!M6/'Group Inputs'!J6,0),2)</f>
        <v>79.77</v>
      </c>
      <c r="I3" s="4">
        <f>ROUND(IFERROR(100*'Group Inputs'!M7/'Group Inputs'!J7,0),2)</f>
        <v>82.31</v>
      </c>
      <c r="J3" s="4">
        <f>ROUND(IFERROR(100*'Group Inputs'!M8/'Group Inputs'!J8,0),2)</f>
        <v>78.87</v>
      </c>
      <c r="K3" s="4">
        <f>ROUND(IFERROR(100*'Group Inputs'!M9/'Group Inputs'!J9,0),2)</f>
        <v>83.44</v>
      </c>
      <c r="L3" s="3" t="s">
        <v>455</v>
      </c>
      <c r="M3" s="3" t="s">
        <v>456</v>
      </c>
      <c r="N3" s="3" t="s">
        <v>457</v>
      </c>
    </row>
    <row r="4" spans="1:14">
      <c r="A4" s="2" t="s">
        <v>458</v>
      </c>
      <c r="B4" s="3" t="s">
        <v>459</v>
      </c>
      <c r="C4" s="3" t="s">
        <v>460</v>
      </c>
      <c r="D4" s="3" t="s">
        <v>21</v>
      </c>
      <c r="E4" s="3" t="s">
        <v>461</v>
      </c>
      <c r="F4" s="4">
        <f>ROUND(IFERROR('Group Inputs'!G4/'Group Inputs'!R4,0),2)</f>
        <v>293.82</v>
      </c>
      <c r="G4" s="4">
        <f>ROUND(IFERROR('Group Inputs'!G5/'Group Inputs'!R5,0),2)</f>
        <v>188.58</v>
      </c>
      <c r="H4" s="4">
        <f>ROUND(IFERROR('Group Inputs'!G6/'Group Inputs'!R6,0),2)</f>
        <v>239.02</v>
      </c>
      <c r="I4" s="4">
        <f>ROUND(IFERROR('Group Inputs'!G7/'Group Inputs'!R7,0),2)</f>
        <v>189.91</v>
      </c>
      <c r="J4" s="4">
        <f>ROUND(IFERROR('Group Inputs'!G8/'Group Inputs'!R8,0),2)</f>
        <v>211.68</v>
      </c>
      <c r="K4" s="4">
        <f>ROUND(IFERROR('Group Inputs'!G9/'Group Inputs'!R9,0),2)</f>
        <v>269.69</v>
      </c>
      <c r="L4" s="3" t="s">
        <v>462</v>
      </c>
      <c r="M4" s="3" t="s">
        <v>463</v>
      </c>
      <c r="N4" s="3" t="s">
        <v>464</v>
      </c>
    </row>
    <row r="5" spans="1:14">
      <c r="A5" s="2" t="s">
        <v>465</v>
      </c>
      <c r="B5" s="3" t="s">
        <v>466</v>
      </c>
      <c r="C5" s="3" t="s">
        <v>460</v>
      </c>
      <c r="D5" s="3" t="s">
        <v>21</v>
      </c>
      <c r="E5" s="3" t="s">
        <v>467</v>
      </c>
      <c r="F5" s="4">
        <f>ROUND(IFERROR('Group Inputs'!S4/'Group Inputs'!R4,0),2)</f>
        <v>5.08</v>
      </c>
      <c r="G5" s="4">
        <f>ROUND(IFERROR('Group Inputs'!S5/'Group Inputs'!R5,0),2)</f>
        <v>6.16</v>
      </c>
      <c r="H5" s="4">
        <f>ROUND(IFERROR('Group Inputs'!S6/'Group Inputs'!R6,0),2)</f>
        <v>6.58</v>
      </c>
      <c r="I5" s="4">
        <f>ROUND(IFERROR('Group Inputs'!S7/'Group Inputs'!R7,0),2)</f>
        <v>6.69</v>
      </c>
      <c r="J5" s="4">
        <f>ROUND(IFERROR('Group Inputs'!S8/'Group Inputs'!R8,0),2)</f>
        <v>6.91</v>
      </c>
      <c r="K5" s="4">
        <f>ROUND(IFERROR('Group Inputs'!S9/'Group Inputs'!R9,0),2)</f>
        <v>7.83</v>
      </c>
      <c r="L5" s="3" t="s">
        <v>468</v>
      </c>
      <c r="M5" s="3" t="s">
        <v>463</v>
      </c>
      <c r="N5" s="3" t="s">
        <v>469</v>
      </c>
    </row>
    <row r="6" spans="1:14">
      <c r="A6" s="2" t="s">
        <v>470</v>
      </c>
      <c r="B6" s="3" t="s">
        <v>471</v>
      </c>
      <c r="C6" s="3" t="s">
        <v>460</v>
      </c>
      <c r="D6" s="3" t="s">
        <v>21</v>
      </c>
      <c r="E6" s="3" t="s">
        <v>471</v>
      </c>
      <c r="F6" s="4">
        <f>ROUND('Group Inputs'!H4,2)</f>
        <v>103.9</v>
      </c>
      <c r="G6" s="4">
        <f>ROUND('Group Inputs'!H5,2)</f>
        <v>167.9</v>
      </c>
      <c r="H6" s="4">
        <f>ROUND('Group Inputs'!H6,2)</f>
        <v>142.0</v>
      </c>
      <c r="I6" s="4">
        <f>ROUND('Group Inputs'!H7,2)</f>
        <v>185.3</v>
      </c>
      <c r="J6" s="4">
        <f>ROUND('Group Inputs'!H8,2)</f>
        <v>164.0</v>
      </c>
      <c r="K6" s="4">
        <f>ROUND('Group Inputs'!H9,2)</f>
        <v>154.4</v>
      </c>
      <c r="L6" s="3" t="s">
        <v>472</v>
      </c>
      <c r="M6" s="3" t="s">
        <v>463</v>
      </c>
      <c r="N6" s="3" t="s">
        <v>33</v>
      </c>
    </row>
    <row r="7" spans="1:14">
      <c r="A7" s="2" t="s">
        <v>473</v>
      </c>
      <c r="B7" s="3" t="s">
        <v>474</v>
      </c>
      <c r="C7" s="3" t="s">
        <v>447</v>
      </c>
      <c r="D7" s="3" t="s">
        <v>21</v>
      </c>
      <c r="E7" s="3" t="s">
        <v>475</v>
      </c>
      <c r="F7" s="4">
        <f>ROUND(IFERROR(100*'Group Inputs'!U4/'Group Inputs'!T4,0),2)</f>
        <v>93.46</v>
      </c>
      <c r="G7" s="4">
        <f>ROUND(IFERROR(100*'Group Inputs'!U5/'Group Inputs'!T5,0),2)</f>
        <v>92.73</v>
      </c>
      <c r="H7" s="4">
        <f>ROUND(IFERROR(100*'Group Inputs'!U6/'Group Inputs'!T6,0),2)</f>
        <v>94.68</v>
      </c>
      <c r="I7" s="4">
        <f>ROUND(IFERROR(100*'Group Inputs'!U7/'Group Inputs'!T7,0),2)</f>
        <v>92.55</v>
      </c>
      <c r="J7" s="4">
        <f>ROUND(IFERROR(100*'Group Inputs'!U8/'Group Inputs'!T8,0),2)</f>
        <v>98.28</v>
      </c>
      <c r="K7" s="4">
        <f>ROUND(IFERROR(100*'Group Inputs'!U9/'Group Inputs'!T9,0),2)</f>
        <v>95.62</v>
      </c>
      <c r="L7" s="3" t="s">
        <v>476</v>
      </c>
      <c r="M7" s="3" t="s">
        <v>463</v>
      </c>
      <c r="N7" s="3" t="s">
        <v>477</v>
      </c>
    </row>
    <row r="8" spans="1:14">
      <c r="A8" s="2" t="s">
        <v>478</v>
      </c>
      <c r="B8" s="3" t="s">
        <v>479</v>
      </c>
      <c r="C8" s="3" t="s">
        <v>480</v>
      </c>
      <c r="D8" s="3" t="s">
        <v>21</v>
      </c>
      <c r="E8" s="3" t="s">
        <v>481</v>
      </c>
      <c r="F8" s="4">
        <f>ROUND(IFERROR(1000*('Group Inputs'!V4+'Group Inputs'!X4)/'Group Inputs'!M4,0),2)</f>
        <v>3046.73</v>
      </c>
      <c r="G8" s="4">
        <f>ROUND(IFERROR(1000*('Group Inputs'!V5+'Group Inputs'!X5)/'Group Inputs'!M5,0),2)</f>
        <v>3159.42</v>
      </c>
      <c r="H8" s="4">
        <f>ROUND(IFERROR(1000*('Group Inputs'!V6+'Group Inputs'!X6)/'Group Inputs'!M6,0),2)</f>
        <v>3165.25</v>
      </c>
      <c r="I8" s="4">
        <f>ROUND(IFERROR(1000*('Group Inputs'!V7+'Group Inputs'!X7)/'Group Inputs'!M7,0),2)</f>
        <v>3100.89</v>
      </c>
      <c r="J8" s="4">
        <f>ROUND(IFERROR(1000*('Group Inputs'!V8+'Group Inputs'!X8)/'Group Inputs'!M8,0),2)</f>
        <v>3164.76</v>
      </c>
      <c r="K8" s="4">
        <f>ROUND(IFERROR(1000*('Group Inputs'!V9+'Group Inputs'!X9)/'Group Inputs'!M9,0),2)</f>
        <v>2933.74</v>
      </c>
      <c r="L8" s="3" t="s">
        <v>482</v>
      </c>
      <c r="M8" s="3" t="s">
        <v>463</v>
      </c>
      <c r="N8" s="3" t="s">
        <v>483</v>
      </c>
    </row>
    <row r="9" spans="1:14">
      <c r="A9" s="2" t="s">
        <v>484</v>
      </c>
      <c r="B9" s="3" t="s">
        <v>485</v>
      </c>
      <c r="C9" s="3" t="s">
        <v>486</v>
      </c>
      <c r="D9" s="3" t="s">
        <v>21</v>
      </c>
      <c r="E9" s="3" t="s">
        <v>485</v>
      </c>
      <c r="F9" s="4">
        <f>ROUND('Group Inputs'!V4,2)</f>
        <v>1911388.7</v>
      </c>
      <c r="G9" s="4">
        <f>ROUND('Group Inputs'!V5,2)</f>
        <v>1857317.9</v>
      </c>
      <c r="H9" s="4">
        <f>ROUND('Group Inputs'!V6,2)</f>
        <v>1886763.2</v>
      </c>
      <c r="I9" s="4">
        <f>ROUND('Group Inputs'!V7,2)</f>
        <v>1970228.4</v>
      </c>
      <c r="J9" s="4">
        <f>ROUND('Group Inputs'!V8,2)</f>
        <v>1926079.2</v>
      </c>
      <c r="K9" s="4">
        <f>ROUND('Group Inputs'!V9,2)</f>
        <v>1827824.8</v>
      </c>
      <c r="L9" s="3" t="s">
        <v>487</v>
      </c>
      <c r="M9" s="3" t="s">
        <v>463</v>
      </c>
      <c r="N9" s="3" t="s">
        <v>61</v>
      </c>
    </row>
    <row r="10" spans="1:14">
      <c r="A10" s="2" t="s">
        <v>488</v>
      </c>
      <c r="B10" s="3" t="s">
        <v>489</v>
      </c>
      <c r="C10" s="3" t="s">
        <v>486</v>
      </c>
      <c r="D10" s="3" t="s">
        <v>21</v>
      </c>
      <c r="E10" s="3" t="s">
        <v>489</v>
      </c>
      <c r="F10" s="4">
        <f>ROUND('Group Inputs'!W4,2)</f>
        <v>490330.5</v>
      </c>
      <c r="G10" s="4">
        <f>ROUND('Group Inputs'!W5,2)</f>
        <v>492350.2</v>
      </c>
      <c r="H10" s="4">
        <f>ROUND('Group Inputs'!W6,2)</f>
        <v>514853.4</v>
      </c>
      <c r="I10" s="4">
        <f>ROUND('Group Inputs'!W7,2)</f>
        <v>564124.2</v>
      </c>
      <c r="J10" s="4">
        <f>ROUND('Group Inputs'!W8,2)</f>
        <v>544908.7</v>
      </c>
      <c r="K10" s="4">
        <f>ROUND('Group Inputs'!W9,2)</f>
        <v>459369.3</v>
      </c>
      <c r="L10" s="3" t="s">
        <v>490</v>
      </c>
      <c r="M10" s="3" t="s">
        <v>463</v>
      </c>
      <c r="N10" s="3" t="s">
        <v>63</v>
      </c>
    </row>
    <row r="11" spans="1:14">
      <c r="A11" s="2" t="s">
        <v>491</v>
      </c>
      <c r="B11" s="3" t="s">
        <v>492</v>
      </c>
      <c r="C11" s="3" t="s">
        <v>493</v>
      </c>
      <c r="D11" s="3" t="s">
        <v>21</v>
      </c>
      <c r="E11" s="3" t="s">
        <v>494</v>
      </c>
      <c r="F11" s="4">
        <f>ROUND('Group Inputs'!Y4,2)</f>
        <v>1352732.0</v>
      </c>
      <c r="G11" s="4">
        <f>ROUND('Group Inputs'!Y5,2)</f>
        <v>1282066.0</v>
      </c>
      <c r="H11" s="4">
        <f>ROUND('Group Inputs'!Y6,2)</f>
        <v>1245659.0</v>
      </c>
      <c r="I11" s="4">
        <f>ROUND('Group Inputs'!Y7,2)</f>
        <v>1399278.0</v>
      </c>
      <c r="J11" s="4">
        <f>ROUND('Group Inputs'!Y8,2)</f>
        <v>1363699.0</v>
      </c>
      <c r="K11" s="4">
        <f>ROUND('Group Inputs'!Y9,2)</f>
        <v>1450141.0</v>
      </c>
      <c r="L11" s="3" t="s">
        <v>495</v>
      </c>
      <c r="M11" s="3" t="s">
        <v>496</v>
      </c>
      <c r="N11" s="3" t="s">
        <v>67</v>
      </c>
    </row>
    <row r="12" spans="1:14">
      <c r="A12" s="2" t="s">
        <v>497</v>
      </c>
      <c r="B12" s="3" t="s">
        <v>498</v>
      </c>
      <c r="C12" s="3" t="s">
        <v>499</v>
      </c>
      <c r="D12" s="3" t="s">
        <v>21</v>
      </c>
      <c r="E12" s="3" t="s">
        <v>498</v>
      </c>
      <c r="F12" s="4">
        <f>ROUND('Group Inputs'!Z4,2)</f>
        <v>425627.0</v>
      </c>
      <c r="G12" s="4">
        <f>ROUND('Group Inputs'!Z5,2)</f>
        <v>382393.0</v>
      </c>
      <c r="H12" s="4">
        <f>ROUND('Group Inputs'!Z6,2)</f>
        <v>374121.0</v>
      </c>
      <c r="I12" s="4">
        <f>ROUND('Group Inputs'!Z7,2)</f>
        <v>397386.0</v>
      </c>
      <c r="J12" s="4">
        <f>ROUND('Group Inputs'!Z8,2)</f>
        <v>410412.0</v>
      </c>
      <c r="K12" s="4">
        <f>ROUND('Group Inputs'!Z9,2)</f>
        <v>427664.0</v>
      </c>
      <c r="L12" s="3" t="s">
        <v>500</v>
      </c>
      <c r="M12" s="3" t="s">
        <v>496</v>
      </c>
      <c r="N12" s="3" t="s">
        <v>69</v>
      </c>
    </row>
    <row r="13" spans="1:14">
      <c r="A13" s="2" t="s">
        <v>501</v>
      </c>
      <c r="B13" s="3" t="s">
        <v>502</v>
      </c>
      <c r="C13" s="3" t="s">
        <v>503</v>
      </c>
      <c r="D13" s="3" t="s">
        <v>21</v>
      </c>
      <c r="E13" s="3" t="s">
        <v>504</v>
      </c>
      <c r="F13" s="4">
        <f>ROUND(IFERROR('Group Inputs'!AA4/'Group Inputs'!M4,0),2)</f>
        <v>3.37</v>
      </c>
      <c r="G13" s="4">
        <f>ROUND(IFERROR('Group Inputs'!AA5/'Group Inputs'!M5,0),2)</f>
        <v>3.18</v>
      </c>
      <c r="H13" s="4">
        <f>ROUND(IFERROR('Group Inputs'!AA6/'Group Inputs'!M6,0),2)</f>
        <v>3.26</v>
      </c>
      <c r="I13" s="4">
        <f>ROUND(IFERROR('Group Inputs'!AA7/'Group Inputs'!M7,0),2)</f>
        <v>3.25</v>
      </c>
      <c r="J13" s="4">
        <f>ROUND(IFERROR('Group Inputs'!AA8/'Group Inputs'!M8,0),2)</f>
        <v>3.52</v>
      </c>
      <c r="K13" s="4">
        <f>ROUND(IFERROR('Group Inputs'!AA9/'Group Inputs'!M9,0),2)</f>
        <v>3.42</v>
      </c>
      <c r="L13" s="3" t="s">
        <v>505</v>
      </c>
      <c r="M13" s="3" t="s">
        <v>496</v>
      </c>
      <c r="N13" s="3" t="s">
        <v>506</v>
      </c>
    </row>
    <row r="14" spans="1:14">
      <c r="A14" s="2" t="s">
        <v>507</v>
      </c>
      <c r="B14" s="3" t="s">
        <v>508</v>
      </c>
      <c r="C14" s="3" t="s">
        <v>509</v>
      </c>
      <c r="D14" s="3" t="s">
        <v>21</v>
      </c>
      <c r="E14" s="3" t="s">
        <v>508</v>
      </c>
      <c r="F14" s="4">
        <f>ROUND('Group Inputs'!AB4,2)</f>
        <v>28497.0</v>
      </c>
      <c r="G14" s="4">
        <f>ROUND('Group Inputs'!AB5,2)</f>
        <v>55870.0</v>
      </c>
      <c r="H14" s="4">
        <f>ROUND('Group Inputs'!AB6,2)</f>
        <v>72181.0</v>
      </c>
      <c r="I14" s="4">
        <f>ROUND('Group Inputs'!AB7,2)</f>
        <v>38527.0</v>
      </c>
      <c r="J14" s="4">
        <f>ROUND('Group Inputs'!AB8,2)</f>
        <v>44820.0</v>
      </c>
      <c r="K14" s="4">
        <f>ROUND('Group Inputs'!AB9,2)</f>
        <v>36810.0</v>
      </c>
      <c r="L14" s="3" t="s">
        <v>510</v>
      </c>
      <c r="M14" s="3" t="s">
        <v>511</v>
      </c>
      <c r="N14" s="3" t="s">
        <v>73</v>
      </c>
    </row>
    <row r="15" spans="1:14">
      <c r="A15" s="2" t="s">
        <v>512</v>
      </c>
      <c r="B15" s="3" t="s">
        <v>513</v>
      </c>
      <c r="C15" s="3" t="s">
        <v>514</v>
      </c>
      <c r="D15" s="3" t="s">
        <v>21</v>
      </c>
      <c r="E15" s="3" t="s">
        <v>515</v>
      </c>
      <c r="F15" s="4">
        <f>ROUND('Group Inputs'!AO4,2)</f>
        <v>3.0</v>
      </c>
      <c r="G15" s="4">
        <f>ROUND('Group Inputs'!AO5,2)</f>
        <v>3.0</v>
      </c>
      <c r="H15" s="4">
        <f>ROUND('Group Inputs'!AO6,2)</f>
        <v>1.0</v>
      </c>
      <c r="I15" s="4">
        <f>ROUND('Group Inputs'!AO7,2)</f>
        <v>6.0</v>
      </c>
      <c r="J15" s="4">
        <f>ROUND('Group Inputs'!AO8,2)</f>
        <v>6.0</v>
      </c>
      <c r="K15" s="4">
        <f>ROUND('Group Inputs'!AO9,2)</f>
        <v>5.0</v>
      </c>
      <c r="L15" s="3" t="s">
        <v>516</v>
      </c>
      <c r="M15" s="3" t="s">
        <v>517</v>
      </c>
      <c r="N15" s="3" t="s">
        <v>99</v>
      </c>
    </row>
    <row r="16" spans="1:14">
      <c r="A16" s="2" t="s">
        <v>518</v>
      </c>
      <c r="B16" s="3" t="s">
        <v>519</v>
      </c>
      <c r="C16" s="3" t="s">
        <v>447</v>
      </c>
      <c r="D16" s="3" t="s">
        <v>21</v>
      </c>
      <c r="E16" s="3" t="s">
        <v>520</v>
      </c>
      <c r="F16" s="4">
        <f>ROUND(IFERROR(100*'Group Inputs'!AQ4/'Group Inputs'!AP4,0),2)</f>
        <v>5.98</v>
      </c>
      <c r="G16" s="4">
        <f>ROUND(IFERROR(100*'Group Inputs'!AQ5/'Group Inputs'!AP5,0),2)</f>
        <v>7.08</v>
      </c>
      <c r="H16" s="4">
        <f>ROUND(IFERROR(100*'Group Inputs'!AQ6/'Group Inputs'!AP6,0),2)</f>
        <v>7.48</v>
      </c>
      <c r="I16" s="4">
        <f>ROUND(IFERROR(100*'Group Inputs'!AQ7/'Group Inputs'!AP7,0),2)</f>
        <v>7.98</v>
      </c>
      <c r="J16" s="4">
        <f>ROUND(IFERROR(100*'Group Inputs'!AQ8/'Group Inputs'!AP8,0),2)</f>
        <v>7.63</v>
      </c>
      <c r="K16" s="4">
        <f>ROUND(IFERROR(100*'Group Inputs'!AQ9/'Group Inputs'!AP9,0),2)</f>
        <v>8.66</v>
      </c>
      <c r="L16" s="3" t="s">
        <v>521</v>
      </c>
      <c r="M16" s="3" t="s">
        <v>522</v>
      </c>
      <c r="N16" s="3" t="s">
        <v>523</v>
      </c>
    </row>
    <row r="17" spans="1:14">
      <c r="A17" s="2" t="s">
        <v>524</v>
      </c>
      <c r="B17" s="3" t="s">
        <v>525</v>
      </c>
      <c r="C17" s="3" t="s">
        <v>526</v>
      </c>
      <c r="D17" s="3" t="s">
        <v>21</v>
      </c>
      <c r="E17" s="3" t="s">
        <v>527</v>
      </c>
      <c r="F17" s="4">
        <f>ROUND(IFERROR(200000*'Group Inputs'!AE4/'Group Inputs'!AD4,0),2)</f>
        <v>0.87</v>
      </c>
      <c r="G17" s="4">
        <f>ROUND(IFERROR(200000*'Group Inputs'!AE5/'Group Inputs'!AD5,0),2)</f>
        <v>1.87</v>
      </c>
      <c r="H17" s="4">
        <f>ROUND(IFERROR(200000*'Group Inputs'!AE6/'Group Inputs'!AD6,0),2)</f>
        <v>2.26</v>
      </c>
      <c r="I17" s="4">
        <f>ROUND(IFERROR(200000*'Group Inputs'!AE7/'Group Inputs'!AD7,0),2)</f>
        <v>1.35</v>
      </c>
      <c r="J17" s="4">
        <f>ROUND(IFERROR(200000*'Group Inputs'!AE8/'Group Inputs'!AD8,0),2)</f>
        <v>1.55</v>
      </c>
      <c r="K17" s="4">
        <f>ROUND(IFERROR(200000*'Group Inputs'!AE9/'Group Inputs'!AD9,0),2)</f>
        <v>0.47</v>
      </c>
      <c r="L17" s="3" t="s">
        <v>528</v>
      </c>
      <c r="M17" s="3" t="s">
        <v>529</v>
      </c>
      <c r="N17" s="3" t="s">
        <v>530</v>
      </c>
    </row>
    <row r="18" spans="1:14">
      <c r="A18" s="2" t="s">
        <v>531</v>
      </c>
      <c r="B18" s="3" t="s">
        <v>532</v>
      </c>
      <c r="C18" s="3" t="s">
        <v>514</v>
      </c>
      <c r="D18" s="3" t="s">
        <v>21</v>
      </c>
      <c r="E18" s="3" t="s">
        <v>532</v>
      </c>
      <c r="F18" s="4">
        <f>ROUND('Group Inputs'!AF4,2)</f>
        <v>1.0</v>
      </c>
      <c r="G18" s="4">
        <f>ROUND('Group Inputs'!AF5,2)</f>
        <v>1.0</v>
      </c>
      <c r="H18" s="4">
        <f>ROUND('Group Inputs'!AF6,2)</f>
        <v>0.0</v>
      </c>
      <c r="I18" s="4">
        <f>ROUND('Group Inputs'!AF7,2)</f>
        <v>2.0</v>
      </c>
      <c r="J18" s="4">
        <f>ROUND('Group Inputs'!AF8,2)</f>
        <v>1.0</v>
      </c>
      <c r="K18" s="4">
        <f>ROUND('Group Inputs'!AF9,2)</f>
        <v>3.0</v>
      </c>
      <c r="L18" s="3" t="s">
        <v>533</v>
      </c>
      <c r="M18" s="3" t="s">
        <v>529</v>
      </c>
      <c r="N18" s="3" t="s">
        <v>81</v>
      </c>
    </row>
    <row r="19" spans="1:14">
      <c r="A19" s="2" t="s">
        <v>534</v>
      </c>
      <c r="B19" s="3" t="s">
        <v>535</v>
      </c>
      <c r="C19" s="3" t="s">
        <v>514</v>
      </c>
      <c r="D19" s="3" t="s">
        <v>21</v>
      </c>
      <c r="E19" s="3" t="s">
        <v>535</v>
      </c>
      <c r="F19" s="4">
        <f>ROUND('Group Inputs'!AG4,2)</f>
        <v>39.0</v>
      </c>
      <c r="G19" s="4">
        <f>ROUND('Group Inputs'!AG5,2)</f>
        <v>46.0</v>
      </c>
      <c r="H19" s="4">
        <f>ROUND('Group Inputs'!AG6,2)</f>
        <v>44.0</v>
      </c>
      <c r="I19" s="4">
        <f>ROUND('Group Inputs'!AG7,2)</f>
        <v>32.0</v>
      </c>
      <c r="J19" s="4">
        <f>ROUND('Group Inputs'!AG8,2)</f>
        <v>42.0</v>
      </c>
      <c r="K19" s="4">
        <f>ROUND('Group Inputs'!AG9,2)</f>
        <v>41.0</v>
      </c>
      <c r="L19" s="3" t="s">
        <v>536</v>
      </c>
      <c r="M19" s="3" t="s">
        <v>529</v>
      </c>
      <c r="N19" s="3" t="s">
        <v>83</v>
      </c>
    </row>
    <row r="20" spans="1:14">
      <c r="A20" s="2" t="s">
        <v>537</v>
      </c>
      <c r="B20" s="3" t="s">
        <v>538</v>
      </c>
      <c r="C20" s="3" t="s">
        <v>514</v>
      </c>
      <c r="D20" s="3" t="s">
        <v>21</v>
      </c>
      <c r="E20" s="3" t="s">
        <v>538</v>
      </c>
      <c r="F20" s="4">
        <f>ROUND('Group Inputs'!AH4,2)</f>
        <v>0.0</v>
      </c>
      <c r="G20" s="4">
        <f>ROUND('Group Inputs'!AH5,2)</f>
        <v>1.0</v>
      </c>
      <c r="H20" s="4">
        <f>ROUND('Group Inputs'!AH6,2)</f>
        <v>0.0</v>
      </c>
      <c r="I20" s="4">
        <f>ROUND('Group Inputs'!AH7,2)</f>
        <v>0.0</v>
      </c>
      <c r="J20" s="4">
        <f>ROUND('Group Inputs'!AH8,2)</f>
        <v>1.0</v>
      </c>
      <c r="K20" s="4">
        <f>ROUND('Group Inputs'!AH9,2)</f>
        <v>0.0</v>
      </c>
      <c r="L20" s="3" t="s">
        <v>533</v>
      </c>
      <c r="M20" s="3" t="s">
        <v>529</v>
      </c>
      <c r="N20" s="3" t="s">
        <v>85</v>
      </c>
    </row>
    <row r="21" spans="1:14">
      <c r="A21" s="2" t="s">
        <v>539</v>
      </c>
      <c r="B21" s="3" t="s">
        <v>540</v>
      </c>
      <c r="C21" s="3" t="s">
        <v>514</v>
      </c>
      <c r="D21" s="3" t="s">
        <v>21</v>
      </c>
      <c r="E21" s="3" t="s">
        <v>540</v>
      </c>
      <c r="F21" s="4">
        <f>ROUND('Group Inputs'!AI4,2)</f>
        <v>2.0</v>
      </c>
      <c r="G21" s="4">
        <f>ROUND('Group Inputs'!AI5,2)</f>
        <v>1.0</v>
      </c>
      <c r="H21" s="4">
        <f>ROUND('Group Inputs'!AI6,2)</f>
        <v>1.0</v>
      </c>
      <c r="I21" s="4">
        <f>ROUND('Group Inputs'!AI7,2)</f>
        <v>3.0</v>
      </c>
      <c r="J21" s="4">
        <f>ROUND('Group Inputs'!AI8,2)</f>
        <v>1.0</v>
      </c>
      <c r="K21" s="4">
        <f>ROUND('Group Inputs'!AI9,2)</f>
        <v>2.0</v>
      </c>
      <c r="L21" s="3" t="s">
        <v>541</v>
      </c>
      <c r="M21" s="3" t="s">
        <v>529</v>
      </c>
      <c r="N21" s="3" t="s">
        <v>87</v>
      </c>
    </row>
    <row r="22" spans="1:14">
      <c r="A22" s="2" t="s">
        <v>542</v>
      </c>
      <c r="B22" s="3" t="s">
        <v>543</v>
      </c>
      <c r="C22" s="3" t="s">
        <v>514</v>
      </c>
      <c r="D22" s="3" t="s">
        <v>21</v>
      </c>
      <c r="E22" s="3" t="s">
        <v>544</v>
      </c>
      <c r="F22" s="4">
        <f>ROUND('Group Inputs'!AL4,2)</f>
        <v>12.0</v>
      </c>
      <c r="G22" s="4">
        <f>ROUND('Group Inputs'!AL5,2)</f>
        <v>14.0</v>
      </c>
      <c r="H22" s="4">
        <f>ROUND('Group Inputs'!AL6,2)</f>
        <v>8.0</v>
      </c>
      <c r="I22" s="4">
        <f>ROUND('Group Inputs'!AL7,2)</f>
        <v>12.0</v>
      </c>
      <c r="J22" s="4">
        <f>ROUND('Group Inputs'!AL8,2)</f>
        <v>3.0</v>
      </c>
      <c r="K22" s="4">
        <f>ROUND('Group Inputs'!AL9,2)</f>
        <v>9.0</v>
      </c>
      <c r="L22" s="3" t="s">
        <v>533</v>
      </c>
      <c r="M22" s="3" t="s">
        <v>529</v>
      </c>
      <c r="N22" s="3" t="s">
        <v>93</v>
      </c>
    </row>
    <row r="23" spans="1:14">
      <c r="A23" s="2" t="s">
        <v>545</v>
      </c>
      <c r="B23" s="3" t="s">
        <v>546</v>
      </c>
      <c r="C23" s="3" t="s">
        <v>185</v>
      </c>
      <c r="D23" s="3" t="s">
        <v>21</v>
      </c>
      <c r="E23" s="3" t="s">
        <v>547</v>
      </c>
      <c r="F23" s="4">
        <f>ROUND('Group Inputs'!AR4,2)</f>
        <v>215.0</v>
      </c>
      <c r="G23" s="4">
        <f>ROUND('Group Inputs'!AR5,2)</f>
        <v>185.0</v>
      </c>
      <c r="H23" s="4">
        <f>ROUND('Group Inputs'!AR6,2)</f>
        <v>155.0</v>
      </c>
      <c r="I23" s="4">
        <f>ROUND('Group Inputs'!AR7,2)</f>
        <v>125.0</v>
      </c>
      <c r="J23" s="4">
        <f>ROUND('Group Inputs'!AR8,2)</f>
        <v>95.0</v>
      </c>
      <c r="K23" s="4">
        <f>ROUND('Group Inputs'!AR9,2)</f>
        <v>65.0</v>
      </c>
      <c r="L23" s="3" t="s">
        <v>548</v>
      </c>
      <c r="M23" s="3" t="s">
        <v>529</v>
      </c>
      <c r="N23" s="3" t="s">
        <v>105</v>
      </c>
    </row>
    <row r="24" spans="1:14">
      <c r="A24" s="2" t="s">
        <v>549</v>
      </c>
      <c r="B24" s="3" t="s">
        <v>550</v>
      </c>
      <c r="C24" s="3" t="s">
        <v>447</v>
      </c>
      <c r="D24" s="3" t="s">
        <v>21</v>
      </c>
      <c r="E24" s="3" t="s">
        <v>454</v>
      </c>
      <c r="F24" s="4">
        <f>ROUND(IFERROR(100*'Group Inputs'!M4/'Group Inputs'!J4,0),2)</f>
        <v>83.98</v>
      </c>
      <c r="G24" s="4">
        <f>ROUND(IFERROR(100*'Group Inputs'!M5/'Group Inputs'!J5,0),2)</f>
        <v>76.21</v>
      </c>
      <c r="H24" s="4">
        <f>ROUND(IFERROR(100*'Group Inputs'!M6/'Group Inputs'!J6,0),2)</f>
        <v>79.77</v>
      </c>
      <c r="I24" s="4">
        <f>ROUND(IFERROR(100*'Group Inputs'!M7/'Group Inputs'!J7,0),2)</f>
        <v>82.31</v>
      </c>
      <c r="J24" s="4">
        <f>ROUND(IFERROR(100*'Group Inputs'!M8/'Group Inputs'!J8,0),2)</f>
        <v>78.87</v>
      </c>
      <c r="K24" s="4">
        <f>ROUND(IFERROR(100*'Group Inputs'!M9/'Group Inputs'!J9,0),2)</f>
        <v>83.44</v>
      </c>
      <c r="L24" s="3" t="s">
        <v>551</v>
      </c>
      <c r="M24" s="3" t="s">
        <v>552</v>
      </c>
      <c r="N24" s="3" t="s">
        <v>457</v>
      </c>
    </row>
    <row r="25" spans="1:14">
      <c r="A25" s="2" t="s">
        <v>553</v>
      </c>
      <c r="B25" s="3" t="s">
        <v>554</v>
      </c>
      <c r="C25" s="3" t="s">
        <v>447</v>
      </c>
      <c r="D25" s="3" t="s">
        <v>21</v>
      </c>
      <c r="E25" s="3" t="s">
        <v>555</v>
      </c>
      <c r="F25" s="4">
        <f>ROUND(IFERROR(100*'Group Inputs'!M4/'Group Inputs'!I4,0),2)</f>
        <v>84.74</v>
      </c>
      <c r="G25" s="4">
        <f>ROUND(IFERROR(100*'Group Inputs'!M5/'Group Inputs'!I5,0),2)</f>
        <v>81.53</v>
      </c>
      <c r="H25" s="4">
        <f>ROUND(IFERROR(100*'Group Inputs'!M6/'Group Inputs'!I6,0),2)</f>
        <v>80.23</v>
      </c>
      <c r="I25" s="4">
        <f>ROUND(IFERROR(100*'Group Inputs'!M7/'Group Inputs'!I7,0),2)</f>
        <v>82.78</v>
      </c>
      <c r="J25" s="4">
        <f>ROUND(IFERROR(100*'Group Inputs'!M8/'Group Inputs'!I8,0),2)</f>
        <v>82.21</v>
      </c>
      <c r="K25" s="4">
        <f>ROUND(IFERROR(100*'Group Inputs'!M9/'Group Inputs'!I9,0),2)</f>
        <v>84.07</v>
      </c>
      <c r="L25" s="3" t="s">
        <v>556</v>
      </c>
      <c r="M25" s="3" t="s">
        <v>463</v>
      </c>
      <c r="N25" s="3" t="s">
        <v>557</v>
      </c>
    </row>
    <row r="26" spans="1:14">
      <c r="A26" s="2" t="s">
        <v>558</v>
      </c>
      <c r="B26" s="3" t="s">
        <v>559</v>
      </c>
      <c r="C26" s="3" t="s">
        <v>447</v>
      </c>
      <c r="D26" s="3" t="s">
        <v>21</v>
      </c>
      <c r="E26" s="3" t="s">
        <v>560</v>
      </c>
      <c r="F26" s="4">
        <f>ROUND(IF('Group Inputs'!AT4=0,0,100*'Group Inputs'!AS4/'Group Inputs'!AT4),2)</f>
        <v>95.35</v>
      </c>
      <c r="G26" s="4">
        <f>ROUND(IF('Group Inputs'!AT5=0,0,100*'Group Inputs'!AS5/'Group Inputs'!AT5),2)</f>
        <v>91.65</v>
      </c>
      <c r="H26" s="4">
        <f>ROUND(IF('Group Inputs'!AT6=0,0,100*'Group Inputs'!AS6/'Group Inputs'!AT6),2)</f>
        <v>88.97</v>
      </c>
      <c r="I26" s="4">
        <f>ROUND(IF('Group Inputs'!AT7=0,0,100*'Group Inputs'!AS7/'Group Inputs'!AT7),2)</f>
        <v>93.98</v>
      </c>
      <c r="J26" s="4">
        <f>ROUND(IF('Group Inputs'!AT8=0,0,100*'Group Inputs'!AS8/'Group Inputs'!AT8),2)</f>
        <v>92.4</v>
      </c>
      <c r="K26" s="4">
        <f>ROUND(IF('Group Inputs'!AT9=0,0,100*'Group Inputs'!AS9/'Group Inputs'!AT9),2)</f>
        <v>95.23</v>
      </c>
      <c r="L26" s="3" t="s">
        <v>561</v>
      </c>
      <c r="M26" s="3" t="s">
        <v>456</v>
      </c>
      <c r="N26" s="3" t="s">
        <v>562</v>
      </c>
    </row>
    <row r="27" spans="1:14">
      <c r="A27" s="2" t="s">
        <v>563</v>
      </c>
      <c r="B27" s="3" t="s">
        <v>564</v>
      </c>
      <c r="C27" s="3" t="s">
        <v>447</v>
      </c>
      <c r="D27" s="3" t="s">
        <v>21</v>
      </c>
      <c r="E27" s="3" t="s">
        <v>560</v>
      </c>
      <c r="F27" s="4">
        <f>ROUND(IF('Group Inputs'!AT4=0,0,100*'Group Inputs'!AS4/'Group Inputs'!AT4),2)</f>
        <v>95.35</v>
      </c>
      <c r="G27" s="4">
        <f>ROUND(IF('Group Inputs'!AT5=0,0,100*'Group Inputs'!AS5/'Group Inputs'!AT5),2)</f>
        <v>91.65</v>
      </c>
      <c r="H27" s="4">
        <f>ROUND(IF('Group Inputs'!AT6=0,0,100*'Group Inputs'!AS6/'Group Inputs'!AT6),2)</f>
        <v>88.97</v>
      </c>
      <c r="I27" s="4">
        <f>ROUND(IF('Group Inputs'!AT7=0,0,100*'Group Inputs'!AS7/'Group Inputs'!AT7),2)</f>
        <v>93.98</v>
      </c>
      <c r="J27" s="4">
        <f>ROUND(IF('Group Inputs'!AT8=0,0,100*'Group Inputs'!AS8/'Group Inputs'!AT8),2)</f>
        <v>92.4</v>
      </c>
      <c r="K27" s="4">
        <f>ROUND(IF('Group Inputs'!AT9=0,0,100*'Group Inputs'!AS9/'Group Inputs'!AT9),2)</f>
        <v>95.23</v>
      </c>
      <c r="L27" s="3" t="s">
        <v>565</v>
      </c>
      <c r="M27" s="3" t="s">
        <v>566</v>
      </c>
      <c r="N27" s="3" t="s">
        <v>562</v>
      </c>
    </row>
    <row r="28" spans="1:14">
      <c r="A28" s="2" t="s">
        <v>567</v>
      </c>
      <c r="B28" s="3" t="s">
        <v>568</v>
      </c>
      <c r="C28" s="3" t="s">
        <v>480</v>
      </c>
      <c r="D28" s="3" t="s">
        <v>21</v>
      </c>
      <c r="E28" s="3" t="s">
        <v>569</v>
      </c>
      <c r="F28" s="4">
        <f>ROUND(IF('Group Inputs'!M4=0,0,1000*'Group Inputs'!AW4/'Group Inputs'!M4),2)</f>
        <v>186.81</v>
      </c>
      <c r="G28" s="4">
        <f>ROUND(IF('Group Inputs'!M5=0,0,1000*'Group Inputs'!AW5/'Group Inputs'!M5),2)</f>
        <v>185.82</v>
      </c>
      <c r="H28" s="4">
        <f>ROUND(IF('Group Inputs'!M6=0,0,1000*'Group Inputs'!AW6/'Group Inputs'!M6),2)</f>
        <v>191.62</v>
      </c>
      <c r="I28" s="4">
        <f>ROUND(IF('Group Inputs'!M7=0,0,1000*'Group Inputs'!AW7/'Group Inputs'!M7),2)</f>
        <v>171.72</v>
      </c>
      <c r="J28" s="4">
        <f>ROUND(IF('Group Inputs'!M8=0,0,1000*'Group Inputs'!AW8/'Group Inputs'!M8),2)</f>
        <v>187.69</v>
      </c>
      <c r="K28" s="4">
        <f>ROUND(IF('Group Inputs'!M9=0,0,1000*'Group Inputs'!AW9/'Group Inputs'!M9),2)</f>
        <v>174.29</v>
      </c>
      <c r="L28" s="3" t="s">
        <v>570</v>
      </c>
      <c r="M28" s="3" t="s">
        <v>463</v>
      </c>
      <c r="N28" s="3" t="s">
        <v>571</v>
      </c>
    </row>
    <row r="29" spans="1:14">
      <c r="A29" s="2" t="s">
        <v>572</v>
      </c>
      <c r="B29" s="3" t="s">
        <v>573</v>
      </c>
      <c r="C29" s="3" t="s">
        <v>574</v>
      </c>
      <c r="D29" s="3" t="s">
        <v>575</v>
      </c>
      <c r="E29" s="3" t="s">
        <v>576</v>
      </c>
      <c r="F29" s="4">
        <f>ROUND(SUM('Group Inputs'!FV$4:FV4)/1000,2)</f>
        <v>321.96</v>
      </c>
      <c r="G29" s="4">
        <f>ROUND(SUM('Group Inputs'!FV$4:FV5)/1000,2)</f>
        <v>574.52</v>
      </c>
      <c r="H29" s="4">
        <f>ROUND(SUM('Group Inputs'!FV$4:FV6)/1000,2)</f>
        <v>816.46</v>
      </c>
      <c r="I29" s="4">
        <f>ROUND(SUM('Group Inputs'!FV$4:FV7)/1000,2)</f>
        <v>1114.42</v>
      </c>
      <c r="J29" s="4">
        <f>ROUND(SUM('Group Inputs'!FV$4:FV8)/1000,2)</f>
        <v>1363.11</v>
      </c>
      <c r="K29" s="4">
        <f>ROUND(SUM('Group Inputs'!FV$4:FV9)/1000,2)</f>
        <v>1760.09</v>
      </c>
      <c r="L29" s="3" t="s">
        <v>577</v>
      </c>
      <c r="M29" s="3" t="s">
        <v>456</v>
      </c>
      <c r="N29" s="3" t="s">
        <v>396</v>
      </c>
    </row>
    <row r="30" spans="1:14">
      <c r="A30" s="2" t="s">
        <v>578</v>
      </c>
      <c r="B30" s="3" t="s">
        <v>579</v>
      </c>
      <c r="C30" s="3" t="s">
        <v>574</v>
      </c>
      <c r="D30" s="3" t="s">
        <v>575</v>
      </c>
      <c r="E30" s="3" t="s">
        <v>580</v>
      </c>
      <c r="F30" s="4">
        <f>ROUND(SUM('Group Inputs'!FW$4:FW4)/1000,2)</f>
        <v>232.68</v>
      </c>
      <c r="G30" s="4">
        <f>ROUND(SUM('Group Inputs'!FW$4:FW5)/1000,2)</f>
        <v>397.26</v>
      </c>
      <c r="H30" s="4">
        <f>ROUND(SUM('Group Inputs'!FW$4:FW6)/1000,2)</f>
        <v>550.73</v>
      </c>
      <c r="I30" s="4">
        <f>ROUND(SUM('Group Inputs'!FW$4:FW7)/1000,2)</f>
        <v>760.11</v>
      </c>
      <c r="J30" s="4">
        <f>ROUND(SUM('Group Inputs'!FW$4:FW8)/1000,2)</f>
        <v>920.64</v>
      </c>
      <c r="K30" s="4">
        <f>ROUND(SUM('Group Inputs'!FW$4:FW9)/1000,2)</f>
        <v>1228.14</v>
      </c>
      <c r="L30" s="3" t="s">
        <v>581</v>
      </c>
      <c r="M30" s="3" t="s">
        <v>456</v>
      </c>
      <c r="N30" s="3" t="s">
        <v>399</v>
      </c>
    </row>
    <row r="31" spans="1:14">
      <c r="A31" s="2" t="s">
        <v>582</v>
      </c>
      <c r="B31" s="3" t="s">
        <v>583</v>
      </c>
      <c r="C31" s="3" t="s">
        <v>574</v>
      </c>
      <c r="D31" s="3" t="s">
        <v>575</v>
      </c>
      <c r="E31" s="3" t="s">
        <v>584</v>
      </c>
      <c r="F31" s="4">
        <f>ROUND(SUM('Group Inputs'!AU$4:AU4)/1000,2)</f>
        <v>2349.26</v>
      </c>
      <c r="G31" s="4">
        <f>ROUND(SUM('Group Inputs'!AU$4:AU5)/1000,2)</f>
        <v>4568.1</v>
      </c>
      <c r="H31" s="4">
        <f>ROUND(SUM('Group Inputs'!AU$4:AU6)/1000,2)</f>
        <v>6803.75</v>
      </c>
      <c r="I31" s="4">
        <f>ROUND(SUM('Group Inputs'!AU$4:AU7)/1000,2)</f>
        <v>9188.45</v>
      </c>
      <c r="J31" s="4">
        <f>ROUND(SUM('Group Inputs'!AU$4:AU8)/1000,2)</f>
        <v>11475.48</v>
      </c>
      <c r="K31" s="4">
        <f>ROUND(SUM('Group Inputs'!AU$4:AU9)/1000,2)</f>
        <v>13811.3</v>
      </c>
      <c r="L31" s="3" t="s">
        <v>585</v>
      </c>
      <c r="M31" s="3" t="s">
        <v>456</v>
      </c>
      <c r="N31" s="3" t="s">
        <v>111</v>
      </c>
    </row>
    <row r="32" spans="1:14">
      <c r="A32" s="2" t="s">
        <v>586</v>
      </c>
      <c r="B32" s="3" t="s">
        <v>587</v>
      </c>
      <c r="C32" s="3" t="s">
        <v>574</v>
      </c>
      <c r="D32" s="3" t="s">
        <v>575</v>
      </c>
      <c r="E32" s="3" t="s">
        <v>588</v>
      </c>
      <c r="F32" s="4">
        <f>ROUND(SUM('Group Inputs'!GA$4:GA4)/1000,2)</f>
        <v>65.96</v>
      </c>
      <c r="G32" s="4">
        <f>ROUND(SUM('Group Inputs'!GA$4:GA5)/1000,2)</f>
        <v>311.68</v>
      </c>
      <c r="H32" s="4">
        <f>ROUND(SUM('Group Inputs'!GA$4:GA6)/1000,2)</f>
        <v>327.88</v>
      </c>
      <c r="I32" s="4">
        <f>ROUND(SUM('Group Inputs'!GA$4:GA7)/1000,2)</f>
        <v>372.88</v>
      </c>
      <c r="J32" s="4">
        <f>ROUND(SUM('Group Inputs'!GA$4:GA8)/1000,2)</f>
        <v>448.76</v>
      </c>
      <c r="K32" s="4">
        <f>ROUND(SUM('Group Inputs'!GA$4:GA9)/1000,2)</f>
        <v>606.18</v>
      </c>
      <c r="L32" s="3" t="s">
        <v>589</v>
      </c>
      <c r="M32" s="3" t="s">
        <v>590</v>
      </c>
      <c r="N32" s="3" t="s">
        <v>411</v>
      </c>
    </row>
    <row r="33" spans="1:14">
      <c r="A33" s="2" t="s">
        <v>591</v>
      </c>
      <c r="B33" s="3" t="s">
        <v>592</v>
      </c>
      <c r="C33" s="3" t="s">
        <v>447</v>
      </c>
      <c r="D33" s="3" t="s">
        <v>575</v>
      </c>
      <c r="E33" s="3" t="s">
        <v>593</v>
      </c>
      <c r="F33" s="4">
        <f>ROUND(IF('Group Inputs'!CA4=0,0,100*SUM('Group Inputs'!FW$4:FW4)*12/'Group Inputs'!D4/'Group Inputs'!CA4),2)</f>
        <v>13.42</v>
      </c>
      <c r="G33" s="4">
        <f>ROUND(IF('Group Inputs'!CA5=0,0,100*SUM('Group Inputs'!FW$4:FW5)*12/'Group Inputs'!D5/'Group Inputs'!CA5),2)</f>
        <v>11.41</v>
      </c>
      <c r="H33" s="4">
        <f>ROUND(IF('Group Inputs'!CA6=0,0,100*SUM('Group Inputs'!FW$4:FW6)*12/'Group Inputs'!D6/'Group Inputs'!CA6),2)</f>
        <v>10.51</v>
      </c>
      <c r="I33" s="4">
        <f>ROUND(IF('Group Inputs'!CA7=0,0,100*SUM('Group Inputs'!FW$4:FW7)*12/'Group Inputs'!D7/'Group Inputs'!CA7),2)</f>
        <v>10.83</v>
      </c>
      <c r="J33" s="4">
        <f>ROUND(IF('Group Inputs'!CA8=0,0,100*SUM('Group Inputs'!FW$4:FW8)*12/'Group Inputs'!D8/'Group Inputs'!CA8),2)</f>
        <v>10.46</v>
      </c>
      <c r="K33" s="4">
        <f>ROUND(IF('Group Inputs'!CA9=0,0,100*SUM('Group Inputs'!FW$4:FW9)*12/'Group Inputs'!D9/'Group Inputs'!CA9),2)</f>
        <v>11.58</v>
      </c>
      <c r="L33" s="3" t="s">
        <v>594</v>
      </c>
      <c r="M33" s="3" t="s">
        <v>456</v>
      </c>
      <c r="N33" s="3" t="s">
        <v>595</v>
      </c>
    </row>
    <row r="34" spans="1:14">
      <c r="A34" s="2" t="s">
        <v>596</v>
      </c>
      <c r="B34" s="3" t="s">
        <v>597</v>
      </c>
      <c r="C34" s="3" t="s">
        <v>574</v>
      </c>
      <c r="D34" s="3" t="s">
        <v>598</v>
      </c>
      <c r="E34" s="3" t="s">
        <v>599</v>
      </c>
      <c r="F34" s="4">
        <f>ROUND('Group Inputs'!GB4/1000,2)</f>
        <v>7000.0</v>
      </c>
      <c r="G34" s="4">
        <f>ROUND('Group Inputs'!GB5/1000,2)</f>
        <v>6930.0</v>
      </c>
      <c r="H34" s="4">
        <f>ROUND('Group Inputs'!GB6/1000,2)</f>
        <v>6860.0</v>
      </c>
      <c r="I34" s="4">
        <f>ROUND('Group Inputs'!GB7/1000,2)</f>
        <v>6790.0</v>
      </c>
      <c r="J34" s="4">
        <f>ROUND('Group Inputs'!GB8/1000,2)</f>
        <v>6720.0</v>
      </c>
      <c r="K34" s="4">
        <f>ROUND('Group Inputs'!GB9/1000,2)</f>
        <v>6650.0</v>
      </c>
      <c r="L34" s="3" t="s">
        <v>600</v>
      </c>
      <c r="M34" s="3" t="s">
        <v>590</v>
      </c>
      <c r="N34" s="3" t="s">
        <v>414</v>
      </c>
    </row>
    <row r="35" spans="1:14">
      <c r="A35" s="2" t="s">
        <v>601</v>
      </c>
      <c r="B35" s="3" t="s">
        <v>602</v>
      </c>
      <c r="C35" s="3" t="s">
        <v>574</v>
      </c>
      <c r="D35" s="3" t="s">
        <v>575</v>
      </c>
      <c r="E35" s="3" t="s">
        <v>603</v>
      </c>
      <c r="F35" s="4">
        <f>ROUND((SUM('Group Inputs'!FW$4:FW4)*(1-Parameters!$B$2)-'Group Inputs'!CA4*Parameters!$B$3*'Group Inputs'!D4/12)/1000,2)</f>
        <v>9.85</v>
      </c>
      <c r="G35" s="4">
        <f>ROUND((SUM('Group Inputs'!FW$4:FW5)*(1-Parameters!$B$2)-'Group Inputs'!CA5*Parameters!$B$3*'Group Inputs'!D5/12)/1000,2)</f>
        <v>-32.71</v>
      </c>
      <c r="H35" s="4">
        <f>ROUND((SUM('Group Inputs'!FW$4:FW6)*(1-Parameters!$B$2)-'Group Inputs'!CA6*Parameters!$B$3*'Group Inputs'!D6/12)/1000,2)</f>
        <v>-84.91</v>
      </c>
      <c r="I35" s="4">
        <f>ROUND((SUM('Group Inputs'!FW$4:FW7)*(1-Parameters!$B$2)-'Group Inputs'!CA7*Parameters!$B$3*'Group Inputs'!D7/12)/1000,2)</f>
        <v>-96.49</v>
      </c>
      <c r="J35" s="4">
        <f>ROUND((SUM('Group Inputs'!FW$4:FW8)*(1-Parameters!$B$2)-'Group Inputs'!CA8*Parameters!$B$3*'Group Inputs'!D8/12)/1000,2)</f>
        <v>-146.03</v>
      </c>
      <c r="K35" s="4">
        <f>ROUND((SUM('Group Inputs'!FW$4:FW9)*(1-Parameters!$B$2)-'Group Inputs'!CA9*Parameters!$B$3*'Group Inputs'!D9/12)/1000,2)</f>
        <v>-86.65</v>
      </c>
      <c r="L35" s="3" t="s">
        <v>604</v>
      </c>
      <c r="M35" s="3" t="s">
        <v>456</v>
      </c>
      <c r="N35" s="3" t="s">
        <v>595</v>
      </c>
    </row>
    <row r="36" spans="1:14">
      <c r="A36" s="2" t="s">
        <v>605</v>
      </c>
      <c r="B36" s="3" t="s">
        <v>606</v>
      </c>
      <c r="C36" s="3" t="s">
        <v>574</v>
      </c>
      <c r="D36" s="3" t="s">
        <v>598</v>
      </c>
      <c r="E36" s="3" t="s">
        <v>607</v>
      </c>
      <c r="F36" s="4">
        <f>ROUND('Group Inputs'!CC4/1000,2)</f>
        <v>2099.11</v>
      </c>
      <c r="G36" s="4">
        <f>ROUND('Group Inputs'!CC5/1000,2)</f>
        <v>2017.66</v>
      </c>
      <c r="H36" s="4">
        <f>ROUND('Group Inputs'!CC6/1000,2)</f>
        <v>1986.19</v>
      </c>
      <c r="I36" s="4">
        <f>ROUND('Group Inputs'!CC7/1000,2)</f>
        <v>2142.07</v>
      </c>
      <c r="J36" s="4">
        <f>ROUND('Group Inputs'!CC8/1000,2)</f>
        <v>2027.31</v>
      </c>
      <c r="K36" s="4">
        <f>ROUND('Group Inputs'!CC9/1000,2)</f>
        <v>2141.82</v>
      </c>
      <c r="L36" s="3" t="s">
        <v>608</v>
      </c>
      <c r="M36" s="3" t="s">
        <v>609</v>
      </c>
      <c r="N36" s="3" t="s">
        <v>198</v>
      </c>
    </row>
    <row r="37" spans="1:14">
      <c r="A37" s="2" t="s">
        <v>610</v>
      </c>
      <c r="B37" s="3" t="s">
        <v>611</v>
      </c>
      <c r="C37" s="3" t="s">
        <v>574</v>
      </c>
      <c r="D37" s="3" t="s">
        <v>575</v>
      </c>
      <c r="E37" s="3" t="s">
        <v>612</v>
      </c>
      <c r="F37" s="4">
        <f>ROUND(SUM('Group Inputs'!CN$4:CN4)/1000,2)</f>
        <v>3.83</v>
      </c>
      <c r="G37" s="4">
        <f>ROUND(SUM('Group Inputs'!CN$4:CN5)/1000,2)</f>
        <v>7.49</v>
      </c>
      <c r="H37" s="4">
        <f>ROUND(SUM('Group Inputs'!CN$4:CN6)/1000,2)</f>
        <v>11.28</v>
      </c>
      <c r="I37" s="4">
        <f>ROUND(SUM('Group Inputs'!CN$4:CN7)/1000,2)</f>
        <v>14.88</v>
      </c>
      <c r="J37" s="4">
        <f>ROUND(SUM('Group Inputs'!CN$4:CN8)/1000,2)</f>
        <v>18.62</v>
      </c>
      <c r="K37" s="4">
        <f>ROUND(SUM('Group Inputs'!CN$4:CN9)/1000,2)</f>
        <v>22.03</v>
      </c>
      <c r="L37" s="3" t="s">
        <v>613</v>
      </c>
      <c r="M37" s="3" t="s">
        <v>609</v>
      </c>
      <c r="N37" s="3" t="s">
        <v>220</v>
      </c>
    </row>
    <row r="38" spans="1:14">
      <c r="A38" s="2" t="s">
        <v>614</v>
      </c>
      <c r="B38" s="3" t="s">
        <v>615</v>
      </c>
      <c r="C38" s="3" t="s">
        <v>616</v>
      </c>
      <c r="D38" s="3" t="s">
        <v>21</v>
      </c>
      <c r="E38" s="3" t="s">
        <v>617</v>
      </c>
      <c r="F38" s="4">
        <f>ROUND('Group Inputs'!CM4/'Group Inputs'!C4/1000,2)</f>
        <v>77.02</v>
      </c>
      <c r="G38" s="4">
        <f>ROUND('Group Inputs'!CM5/'Group Inputs'!C5/1000,2)</f>
        <v>70.67</v>
      </c>
      <c r="H38" s="4">
        <f>ROUND('Group Inputs'!CM6/'Group Inputs'!C6/1000,2)</f>
        <v>73.45</v>
      </c>
      <c r="I38" s="4">
        <f>ROUND('Group Inputs'!CM7/'Group Inputs'!C7/1000,2)</f>
        <v>75.79</v>
      </c>
      <c r="J38" s="4">
        <f>ROUND('Group Inputs'!CM8/'Group Inputs'!C8/1000,2)</f>
        <v>73.61</v>
      </c>
      <c r="K38" s="4">
        <f>ROUND('Group Inputs'!CM9/'Group Inputs'!C9/1000,2)</f>
        <v>76.77</v>
      </c>
      <c r="L38" s="3" t="s">
        <v>618</v>
      </c>
      <c r="M38" s="3" t="s">
        <v>619</v>
      </c>
      <c r="N38" s="3" t="s">
        <v>620</v>
      </c>
    </row>
    <row r="39" spans="1:14">
      <c r="A39" s="2" t="s">
        <v>621</v>
      </c>
      <c r="B39" s="3" t="s">
        <v>622</v>
      </c>
      <c r="C39" s="3" t="s">
        <v>185</v>
      </c>
      <c r="D39" s="3" t="s">
        <v>598</v>
      </c>
      <c r="E39" s="3" t="s">
        <v>623</v>
      </c>
      <c r="F39" s="4">
        <f>ROUND('Group Inputs'!GD4+'Group Inputs'!GF4-'Group Inputs'!GE4,2)</f>
        <v>34.91</v>
      </c>
      <c r="G39" s="4">
        <f>ROUND('Group Inputs'!GD5+'Group Inputs'!GF5-'Group Inputs'!GE5,2)</f>
        <v>35.93</v>
      </c>
      <c r="H39" s="4">
        <f>ROUND('Group Inputs'!GD6+'Group Inputs'!GF6-'Group Inputs'!GE6,2)</f>
        <v>34.78</v>
      </c>
      <c r="I39" s="4">
        <f>ROUND('Group Inputs'!GD7+'Group Inputs'!GF7-'Group Inputs'!GE7,2)</f>
        <v>33.84</v>
      </c>
      <c r="J39" s="4">
        <f>ROUND('Group Inputs'!GD8+'Group Inputs'!GF8-'Group Inputs'!GE8,2)</f>
        <v>35.58</v>
      </c>
      <c r="K39" s="4">
        <f>ROUND('Group Inputs'!GD9+'Group Inputs'!GF9-'Group Inputs'!GE9,2)</f>
        <v>32.59</v>
      </c>
      <c r="L39" s="3" t="s">
        <v>624</v>
      </c>
      <c r="M39" s="3" t="s">
        <v>609</v>
      </c>
      <c r="N39" s="3" t="s">
        <v>625</v>
      </c>
    </row>
    <row r="40" spans="1:14">
      <c r="A40" s="2" t="s">
        <v>626</v>
      </c>
      <c r="B40" s="3" t="s">
        <v>627</v>
      </c>
      <c r="C40" s="3" t="s">
        <v>574</v>
      </c>
      <c r="D40" s="3" t="s">
        <v>628</v>
      </c>
      <c r="E40" s="3" t="s">
        <v>629</v>
      </c>
      <c r="F40" s="4">
        <f>ROUND(('Group Inputs'!CO4-'Group Inputs'!CP4)/1000,2)</f>
        <v>0.0</v>
      </c>
      <c r="G40" s="4">
        <f>ROUND(('Group Inputs'!CO5-'Group Inputs'!CP5)/1000,2)</f>
        <v>0.0</v>
      </c>
      <c r="H40" s="4">
        <f>ROUND(('Group Inputs'!CO6-'Group Inputs'!CP6)/1000,2)</f>
        <v>0.0</v>
      </c>
      <c r="I40" s="4">
        <f>ROUND(('Group Inputs'!CO7-'Group Inputs'!CP7)/1000,2)</f>
        <v>0.0</v>
      </c>
      <c r="J40" s="4">
        <f>ROUND(('Group Inputs'!CO8-'Group Inputs'!CP8)/1000,2)</f>
        <v>25.62</v>
      </c>
      <c r="K40" s="4">
        <f>ROUND(('Group Inputs'!CO9-'Group Inputs'!CP9)/1000,2)</f>
        <v>27.21</v>
      </c>
      <c r="L40" s="3" t="s">
        <v>630</v>
      </c>
      <c r="M40" s="3" t="s">
        <v>619</v>
      </c>
      <c r="N40" s="3" t="s">
        <v>631</v>
      </c>
    </row>
    <row r="41" spans="1:14">
      <c r="A41" s="2" t="s">
        <v>632</v>
      </c>
      <c r="B41" s="3" t="s">
        <v>633</v>
      </c>
      <c r="C41" s="3" t="s">
        <v>185</v>
      </c>
      <c r="D41" s="3" t="s">
        <v>598</v>
      </c>
      <c r="E41" s="3" t="s">
        <v>634</v>
      </c>
      <c r="F41" s="4">
        <f>ROUND('Group Inputs'!GD4,2)</f>
        <v>47.16</v>
      </c>
      <c r="G41" s="4">
        <f>ROUND('Group Inputs'!GD5,2)</f>
        <v>48.66</v>
      </c>
      <c r="H41" s="4">
        <f>ROUND('Group Inputs'!GD6,2)</f>
        <v>48.42</v>
      </c>
      <c r="I41" s="4">
        <f>ROUND('Group Inputs'!GD7,2)</f>
        <v>48.03</v>
      </c>
      <c r="J41" s="4">
        <f>ROUND('Group Inputs'!GD8,2)</f>
        <v>47.51</v>
      </c>
      <c r="K41" s="4">
        <f>ROUND('Group Inputs'!GD9,2)</f>
        <v>46.97</v>
      </c>
      <c r="L41" s="3" t="s">
        <v>635</v>
      </c>
      <c r="M41" s="3" t="s">
        <v>619</v>
      </c>
      <c r="N41" s="3" t="s">
        <v>420</v>
      </c>
    </row>
    <row r="42" spans="1:14">
      <c r="A42" s="2" t="s">
        <v>636</v>
      </c>
      <c r="B42" s="3" t="s">
        <v>637</v>
      </c>
      <c r="C42" s="3" t="s">
        <v>185</v>
      </c>
      <c r="D42" s="3" t="s">
        <v>598</v>
      </c>
      <c r="E42" s="3" t="s">
        <v>638</v>
      </c>
      <c r="F42" s="4">
        <f>ROUND('Group Inputs'!GE4,2)</f>
        <v>50.37</v>
      </c>
      <c r="G42" s="4">
        <f>ROUND('Group Inputs'!GE5,2)</f>
        <v>51.11</v>
      </c>
      <c r="H42" s="4">
        <f>ROUND('Group Inputs'!GE6,2)</f>
        <v>52.39</v>
      </c>
      <c r="I42" s="4">
        <f>ROUND('Group Inputs'!GE7,2)</f>
        <v>51.26</v>
      </c>
      <c r="J42" s="4">
        <f>ROUND('Group Inputs'!GE8,2)</f>
        <v>50.37</v>
      </c>
      <c r="K42" s="4">
        <f>ROUND('Group Inputs'!GE9,2)</f>
        <v>52.15</v>
      </c>
      <c r="L42" s="3" t="s">
        <v>639</v>
      </c>
      <c r="M42" s="3" t="s">
        <v>609</v>
      </c>
      <c r="N42" s="3" t="s">
        <v>423</v>
      </c>
    </row>
    <row r="43" spans="1:14">
      <c r="A43" s="2" t="s">
        <v>640</v>
      </c>
      <c r="B43" s="3" t="s">
        <v>641</v>
      </c>
      <c r="C43" s="3" t="s">
        <v>185</v>
      </c>
      <c r="D43" s="3" t="s">
        <v>598</v>
      </c>
      <c r="E43" s="3" t="s">
        <v>642</v>
      </c>
      <c r="F43" s="4">
        <f>ROUND('Group Inputs'!GF4,2)</f>
        <v>38.13</v>
      </c>
      <c r="G43" s="4">
        <f>ROUND('Group Inputs'!GF5,2)</f>
        <v>38.38</v>
      </c>
      <c r="H43" s="4">
        <f>ROUND('Group Inputs'!GF6,2)</f>
        <v>38.75</v>
      </c>
      <c r="I43" s="4">
        <f>ROUND('Group Inputs'!GF7,2)</f>
        <v>37.06</v>
      </c>
      <c r="J43" s="4">
        <f>ROUND('Group Inputs'!GF8,2)</f>
        <v>38.44</v>
      </c>
      <c r="K43" s="4">
        <f>ROUND('Group Inputs'!GF9,2)</f>
        <v>37.76</v>
      </c>
      <c r="L43" s="3" t="s">
        <v>643</v>
      </c>
      <c r="M43" s="3" t="s">
        <v>609</v>
      </c>
      <c r="N43" s="3" t="s">
        <v>426</v>
      </c>
    </row>
    <row r="44" spans="1:14">
      <c r="A44" s="2" t="s">
        <v>644</v>
      </c>
      <c r="B44" s="3" t="s">
        <v>645</v>
      </c>
      <c r="C44" s="3" t="s">
        <v>574</v>
      </c>
      <c r="D44" s="3" t="s">
        <v>598</v>
      </c>
      <c r="E44" s="3" t="s">
        <v>646</v>
      </c>
      <c r="F44" s="4">
        <f>ROUND('Group Inputs'!FX4/1000,2)</f>
        <v>2912.58</v>
      </c>
      <c r="G44" s="4">
        <f>ROUND('Group Inputs'!FX5/1000,2)</f>
        <v>2720.0</v>
      </c>
      <c r="H44" s="4">
        <f>ROUND('Group Inputs'!FX6/1000,2)</f>
        <v>2750.36</v>
      </c>
      <c r="I44" s="4">
        <f>ROUND('Group Inputs'!FX7/1000,2)</f>
        <v>2792.72</v>
      </c>
      <c r="J44" s="4">
        <f>ROUND('Group Inputs'!FX8/1000,2)</f>
        <v>2763.73</v>
      </c>
      <c r="K44" s="4">
        <f>ROUND('Group Inputs'!FX9/1000,2)</f>
        <v>2780.99</v>
      </c>
      <c r="L44" s="3" t="s">
        <v>647</v>
      </c>
      <c r="M44" s="3" t="s">
        <v>609</v>
      </c>
      <c r="N44" s="3" t="s">
        <v>402</v>
      </c>
    </row>
    <row r="45" spans="1:14">
      <c r="A45" s="2" t="s">
        <v>648</v>
      </c>
      <c r="B45" s="3" t="s">
        <v>649</v>
      </c>
      <c r="C45" s="3" t="s">
        <v>574</v>
      </c>
      <c r="D45" s="3" t="s">
        <v>21</v>
      </c>
      <c r="E45" s="3" t="s">
        <v>650</v>
      </c>
      <c r="F45" s="4">
        <f>ROUND('Group Inputs'!FY4/1000,2)</f>
        <v>43.69</v>
      </c>
      <c r="G45" s="4">
        <f>ROUND('Group Inputs'!FY5/1000,2)</f>
        <v>-192.58</v>
      </c>
      <c r="H45" s="4">
        <f>ROUND('Group Inputs'!FY6/1000,2)</f>
        <v>30.36</v>
      </c>
      <c r="I45" s="4">
        <f>ROUND('Group Inputs'!FY7/1000,2)</f>
        <v>42.36</v>
      </c>
      <c r="J45" s="4">
        <f>ROUND('Group Inputs'!FY8/1000,2)</f>
        <v>-29.0</v>
      </c>
      <c r="K45" s="4">
        <f>ROUND('Group Inputs'!FY9/1000,2)</f>
        <v>17.26</v>
      </c>
      <c r="L45" s="3" t="s">
        <v>651</v>
      </c>
      <c r="M45" s="3" t="s">
        <v>609</v>
      </c>
      <c r="N45" s="3" t="s">
        <v>405</v>
      </c>
    </row>
    <row r="46" spans="1:14">
      <c r="A46" s="2" t="s">
        <v>652</v>
      </c>
      <c r="B46" s="3" t="s">
        <v>653</v>
      </c>
      <c r="C46" s="3" t="s">
        <v>185</v>
      </c>
      <c r="D46" s="3" t="s">
        <v>598</v>
      </c>
      <c r="E46" s="3" t="s">
        <v>654</v>
      </c>
      <c r="F46" s="4">
        <f>ROUND(IF('Group Inputs'!AU4=0,0,'Group Inputs'!FX4/'Group Inputs'!AU4*'Group Inputs'!C4),2)</f>
        <v>37.19</v>
      </c>
      <c r="G46" s="4">
        <f>ROUND(IF('Group Inputs'!AU5=0,0,'Group Inputs'!FX5/'Group Inputs'!AU5*'Group Inputs'!C5),2)</f>
        <v>38.0</v>
      </c>
      <c r="H46" s="4">
        <f>ROUND(IF('Group Inputs'!AU6=0,0,'Group Inputs'!FX6/'Group Inputs'!AU6*'Group Inputs'!C6),2)</f>
        <v>36.91</v>
      </c>
      <c r="I46" s="4">
        <f>ROUND(IF('Group Inputs'!AU7=0,0,'Group Inputs'!FX7/'Group Inputs'!AU7*'Group Inputs'!C7),2)</f>
        <v>36.3</v>
      </c>
      <c r="J46" s="4">
        <f>ROUND(IF('Group Inputs'!AU8=0,0,'Group Inputs'!FX8/'Group Inputs'!AU8*'Group Inputs'!C8),2)</f>
        <v>37.46</v>
      </c>
      <c r="K46" s="4">
        <f>ROUND(IF('Group Inputs'!AU9=0,0,'Group Inputs'!FX9/'Group Inputs'!AU9*'Group Inputs'!C9),2)</f>
        <v>35.72</v>
      </c>
      <c r="L46" s="3" t="s">
        <v>655</v>
      </c>
      <c r="M46" s="3" t="s">
        <v>609</v>
      </c>
      <c r="N46" s="3" t="s">
        <v>656</v>
      </c>
    </row>
    <row r="47" spans="1:14">
      <c r="A47" s="2" t="s">
        <v>657</v>
      </c>
      <c r="B47" s="3" t="s">
        <v>658</v>
      </c>
      <c r="C47" s="3" t="s">
        <v>659</v>
      </c>
      <c r="D47" s="3" t="s">
        <v>598</v>
      </c>
      <c r="E47" s="3" t="s">
        <v>660</v>
      </c>
      <c r="F47" s="4">
        <f>ROUND(IF(('Group Inputs'!X4+'Group Inputs'!BY4+'Group Inputs'!CE4)=0,0,('Group Inputs'!CC4+'Group Inputs'!CD4)/('Group Inputs'!X4+'Group Inputs'!BY4+'Group Inputs'!CE4)),2)</f>
        <v>15.85</v>
      </c>
      <c r="G47" s="4">
        <f>ROUND(IF(('Group Inputs'!X5+'Group Inputs'!BY5+'Group Inputs'!CE5)=0,0,('Group Inputs'!CC5+'Group Inputs'!CD5)/('Group Inputs'!X5+'Group Inputs'!BY5+'Group Inputs'!CE5)),2)</f>
        <v>15.91</v>
      </c>
      <c r="H47" s="4">
        <f>ROUND(IF(('Group Inputs'!X6+'Group Inputs'!BY6+'Group Inputs'!CE6)=0,0,('Group Inputs'!CC6+'Group Inputs'!CD6)/('Group Inputs'!X6+'Group Inputs'!BY6+'Group Inputs'!CE6)),2)</f>
        <v>16.11</v>
      </c>
      <c r="I47" s="4">
        <f>ROUND(IF(('Group Inputs'!X7+'Group Inputs'!BY7+'Group Inputs'!CE7)=0,0,('Group Inputs'!CC7+'Group Inputs'!CD7)/('Group Inputs'!X7+'Group Inputs'!BY7+'Group Inputs'!CE7)),2)</f>
        <v>16.2</v>
      </c>
      <c r="J47" s="4">
        <f>ROUND(IF(('Group Inputs'!X8+'Group Inputs'!BY8+'Group Inputs'!CE8)=0,0,('Group Inputs'!CC8+'Group Inputs'!CD8)/('Group Inputs'!X8+'Group Inputs'!BY8+'Group Inputs'!CE8)),2)</f>
        <v>15.88</v>
      </c>
      <c r="K47" s="4">
        <f>ROUND(IF(('Group Inputs'!X9+'Group Inputs'!BY9+'Group Inputs'!CE9)=0,0,('Group Inputs'!CC9+'Group Inputs'!CD9)/('Group Inputs'!X9+'Group Inputs'!BY9+'Group Inputs'!CE9)),2)</f>
        <v>16.71</v>
      </c>
      <c r="L47" s="3" t="s">
        <v>661</v>
      </c>
      <c r="M47" s="3" t="s">
        <v>609</v>
      </c>
      <c r="N47" s="3" t="s">
        <v>662</v>
      </c>
    </row>
    <row r="48" spans="1:14">
      <c r="A48" s="2" t="s">
        <v>663</v>
      </c>
      <c r="B48" s="3" t="s">
        <v>664</v>
      </c>
      <c r="C48" s="3" t="s">
        <v>447</v>
      </c>
      <c r="D48" s="3" t="s">
        <v>598</v>
      </c>
      <c r="E48" s="3" t="s">
        <v>665</v>
      </c>
      <c r="F48" s="4">
        <f>ROUND(IF('Group Inputs'!GC4=0,0,100*(Parameters!$B$4-'Group Inputs'!GB4/'Group Inputs'!GC4)/Parameters!$B$4),2)</f>
        <v>27.53</v>
      </c>
      <c r="G48" s="4">
        <f>ROUND(IF('Group Inputs'!GC5=0,0,100*(Parameters!$B$4-'Group Inputs'!GB5/'Group Inputs'!GC5)/Parameters!$B$4),2)</f>
        <v>19.59</v>
      </c>
      <c r="H48" s="4">
        <f>ROUND(IF('Group Inputs'!GC6=0,0,100*(Parameters!$B$4-'Group Inputs'!GB6/'Group Inputs'!GC6)/Parameters!$B$4),2)</f>
        <v>15.98</v>
      </c>
      <c r="I48" s="4">
        <f>ROUND(IF('Group Inputs'!GC7=0,0,100*(Parameters!$B$4-'Group Inputs'!GB7/'Group Inputs'!GC7)/Parameters!$B$4),2)</f>
        <v>18.76</v>
      </c>
      <c r="J48" s="4">
        <f>ROUND(IF('Group Inputs'!GC8=0,0,100*(Parameters!$B$4-'Group Inputs'!GB8/'Group Inputs'!GC8)/Parameters!$B$4),2)</f>
        <v>17.84</v>
      </c>
      <c r="K48" s="4">
        <f>ROUND(IF('Group Inputs'!GC9=0,0,100*(Parameters!$B$4-'Group Inputs'!GB9/'Group Inputs'!GC9)/Parameters!$B$4),2)</f>
        <v>24.44</v>
      </c>
      <c r="L48" s="3" t="s">
        <v>666</v>
      </c>
      <c r="M48" s="3" t="s">
        <v>609</v>
      </c>
      <c r="N48" s="3" t="s">
        <v>667</v>
      </c>
    </row>
    <row r="49" spans="1:14">
      <c r="A49" s="2" t="s">
        <v>668</v>
      </c>
      <c r="B49" s="3" t="s">
        <v>669</v>
      </c>
      <c r="C49" s="3" t="s">
        <v>574</v>
      </c>
      <c r="D49" s="3" t="s">
        <v>598</v>
      </c>
      <c r="E49" s="3" t="s">
        <v>670</v>
      </c>
      <c r="F49" s="4">
        <f>ROUND('Group Inputs'!CF4/1000,2)</f>
        <v>844.3</v>
      </c>
      <c r="G49" s="4">
        <f>ROUND('Group Inputs'!CF5/1000,2)</f>
        <v>922.92</v>
      </c>
      <c r="H49" s="4">
        <f>ROUND('Group Inputs'!CF6/1000,2)</f>
        <v>881.23</v>
      </c>
      <c r="I49" s="4">
        <f>ROUND('Group Inputs'!CF7/1000,2)</f>
        <v>910.31</v>
      </c>
      <c r="J49" s="4">
        <f>ROUND('Group Inputs'!CF8/1000,2)</f>
        <v>866.12</v>
      </c>
      <c r="K49" s="4">
        <f>ROUND('Group Inputs'!CF9/1000,2)</f>
        <v>891.41</v>
      </c>
      <c r="L49" s="3" t="s">
        <v>671</v>
      </c>
      <c r="M49" s="3" t="s">
        <v>609</v>
      </c>
      <c r="N49" s="3" t="s">
        <v>204</v>
      </c>
    </row>
    <row r="50" spans="1:14">
      <c r="A50" s="2" t="s">
        <v>672</v>
      </c>
      <c r="B50" s="3" t="s">
        <v>673</v>
      </c>
      <c r="C50" s="3" t="s">
        <v>574</v>
      </c>
      <c r="D50" s="3" t="s">
        <v>598</v>
      </c>
      <c r="E50" s="3" t="s">
        <v>674</v>
      </c>
      <c r="F50" s="4">
        <f>ROUND('Group Inputs'!CG4/1000,2)</f>
        <v>2721.45</v>
      </c>
      <c r="G50" s="4">
        <f>ROUND('Group Inputs'!CG5/1000,2)</f>
        <v>2519.26</v>
      </c>
      <c r="H50" s="4">
        <f>ROUND('Group Inputs'!CG6/1000,2)</f>
        <v>2568.18</v>
      </c>
      <c r="I50" s="4">
        <f>ROUND('Group Inputs'!CG7/1000,2)</f>
        <v>2622.48</v>
      </c>
      <c r="J50" s="4">
        <f>ROUND('Group Inputs'!CG8/1000,2)</f>
        <v>2627.52</v>
      </c>
      <c r="K50" s="4">
        <f>ROUND('Group Inputs'!CG9/1000,2)</f>
        <v>2720.83</v>
      </c>
      <c r="L50" s="3" t="s">
        <v>675</v>
      </c>
      <c r="M50" s="3" t="s">
        <v>609</v>
      </c>
      <c r="N50" s="3" t="s">
        <v>206</v>
      </c>
    </row>
    <row r="51" spans="1:14">
      <c r="A51" s="2" t="s">
        <v>676</v>
      </c>
      <c r="B51" s="3" t="s">
        <v>677</v>
      </c>
      <c r="C51" s="3" t="s">
        <v>574</v>
      </c>
      <c r="D51" s="3" t="s">
        <v>598</v>
      </c>
      <c r="E51" s="3" t="s">
        <v>678</v>
      </c>
      <c r="F51" s="4">
        <f>ROUND(('Group Inputs'!CZ4-'Group Inputs'!DA4)/1000,2)</f>
        <v>190.79</v>
      </c>
      <c r="G51" s="4">
        <f>ROUND(('Group Inputs'!CZ5-'Group Inputs'!DA5)/1000,2)</f>
        <v>207.5</v>
      </c>
      <c r="H51" s="4">
        <f>ROUND(('Group Inputs'!CZ6-'Group Inputs'!DA6)/1000,2)</f>
        <v>188.28</v>
      </c>
      <c r="I51" s="4">
        <f>ROUND(('Group Inputs'!CZ7-'Group Inputs'!DA7)/1000,2)</f>
        <v>227.78</v>
      </c>
      <c r="J51" s="4">
        <f>ROUND(('Group Inputs'!CZ8-'Group Inputs'!DA8)/1000,2)</f>
        <v>225.53</v>
      </c>
      <c r="K51" s="4">
        <f>ROUND(('Group Inputs'!CZ9-'Group Inputs'!DA9)/1000,2)</f>
        <v>221.72</v>
      </c>
      <c r="L51" s="3" t="s">
        <v>679</v>
      </c>
      <c r="M51" s="3" t="s">
        <v>609</v>
      </c>
      <c r="N51" s="3" t="s">
        <v>680</v>
      </c>
    </row>
    <row r="52" spans="1:14">
      <c r="A52" s="2" t="s">
        <v>681</v>
      </c>
      <c r="B52" s="3" t="s">
        <v>682</v>
      </c>
      <c r="C52" s="3" t="s">
        <v>447</v>
      </c>
      <c r="D52" s="3" t="s">
        <v>21</v>
      </c>
      <c r="E52" s="3" t="s">
        <v>683</v>
      </c>
      <c r="F52" s="4">
        <f>ROUND(IF('Group Inputs'!DE4=0,0,100*'Group Inputs'!DD4/'Group Inputs'!DE4),2)</f>
        <v>89.09</v>
      </c>
      <c r="G52" s="4">
        <f>ROUND(IF('Group Inputs'!DE5=0,0,100*'Group Inputs'!DD5/'Group Inputs'!DE5),2)</f>
        <v>92.53</v>
      </c>
      <c r="H52" s="4">
        <f>ROUND(IF('Group Inputs'!DE6=0,0,100*'Group Inputs'!DD6/'Group Inputs'!DE6),2)</f>
        <v>92.84</v>
      </c>
      <c r="I52" s="4">
        <f>ROUND(IF('Group Inputs'!DE7=0,0,100*'Group Inputs'!DD7/'Group Inputs'!DE7),2)</f>
        <v>90.54</v>
      </c>
      <c r="J52" s="4">
        <f>ROUND(IF('Group Inputs'!DE8=0,0,100*'Group Inputs'!DD8/'Group Inputs'!DE8),2)</f>
        <v>92.99</v>
      </c>
      <c r="K52" s="4">
        <f>ROUND(IF('Group Inputs'!DE9=0,0,100*'Group Inputs'!DD9/'Group Inputs'!DE9),2)</f>
        <v>91.7</v>
      </c>
      <c r="L52" s="3" t="s">
        <v>684</v>
      </c>
      <c r="M52" s="3" t="s">
        <v>609</v>
      </c>
      <c r="N52" s="3" t="s">
        <v>685</v>
      </c>
    </row>
    <row r="53" spans="1:14">
      <c r="A53" s="2" t="s">
        <v>686</v>
      </c>
      <c r="B53" s="3" t="s">
        <v>687</v>
      </c>
      <c r="C53" s="3" t="s">
        <v>447</v>
      </c>
      <c r="D53" s="3" t="s">
        <v>598</v>
      </c>
      <c r="E53" s="3" t="s">
        <v>688</v>
      </c>
      <c r="F53" s="4">
        <f>ROUND(IF(('Group Inputs'!CZ4-'Group Inputs'!DA4)=0,0,100*('Group Inputs'!DB4-'Group Inputs'!DC4)/('Group Inputs'!CZ4-'Group Inputs'!DA4)),2)</f>
        <v>80.23</v>
      </c>
      <c r="G53" s="4">
        <f>ROUND(IF(('Group Inputs'!CZ5-'Group Inputs'!DA5)=0,0,100*('Group Inputs'!DB5-'Group Inputs'!DC5)/('Group Inputs'!CZ5-'Group Inputs'!DA5)),2)</f>
        <v>82.15</v>
      </c>
      <c r="H53" s="4">
        <f>ROUND(IF(('Group Inputs'!CZ6-'Group Inputs'!DA6)=0,0,100*('Group Inputs'!DB6-'Group Inputs'!DC6)/('Group Inputs'!CZ6-'Group Inputs'!DA6)),2)</f>
        <v>78.55</v>
      </c>
      <c r="I53" s="4">
        <f>ROUND(IF(('Group Inputs'!CZ7-'Group Inputs'!DA7)=0,0,100*('Group Inputs'!DB7-'Group Inputs'!DC7)/('Group Inputs'!CZ7-'Group Inputs'!DA7)),2)</f>
        <v>80.32</v>
      </c>
      <c r="J53" s="4">
        <f>ROUND(IF(('Group Inputs'!CZ8-'Group Inputs'!DA8)=0,0,100*('Group Inputs'!DB8-'Group Inputs'!DC8)/('Group Inputs'!CZ8-'Group Inputs'!DA8)),2)</f>
        <v>71.35</v>
      </c>
      <c r="K53" s="4">
        <f>ROUND(IF(('Group Inputs'!CZ9-'Group Inputs'!DA9)=0,0,100*('Group Inputs'!DB9-'Group Inputs'!DC9)/('Group Inputs'!CZ9-'Group Inputs'!DA9)),2)</f>
        <v>75.83</v>
      </c>
      <c r="L53" s="3" t="s">
        <v>689</v>
      </c>
      <c r="M53" s="3" t="s">
        <v>609</v>
      </c>
      <c r="N53" s="3" t="s">
        <v>690</v>
      </c>
    </row>
    <row r="54" spans="1:14">
      <c r="A54" s="2" t="s">
        <v>691</v>
      </c>
      <c r="B54" s="3" t="s">
        <v>692</v>
      </c>
      <c r="C54" s="3" t="s">
        <v>447</v>
      </c>
      <c r="D54" s="3" t="s">
        <v>693</v>
      </c>
      <c r="E54" s="3" t="s">
        <v>694</v>
      </c>
      <c r="F54" s="4">
        <f>ROUND(IF('Group Inputs'!DF4=0,0,100*'Group Inputs'!DG4/'Group Inputs'!DF4),2)</f>
        <v>70.22</v>
      </c>
      <c r="G54" s="4">
        <f>ROUND(IF('Group Inputs'!DF5=0,0,100*'Group Inputs'!DG5/'Group Inputs'!DF5),2)</f>
        <v>71.1</v>
      </c>
      <c r="H54" s="4">
        <f>ROUND(IF('Group Inputs'!DF6=0,0,100*'Group Inputs'!DG6/'Group Inputs'!DF6),2)</f>
        <v>69.89</v>
      </c>
      <c r="I54" s="4">
        <f>ROUND(IF('Group Inputs'!DF7=0,0,100*'Group Inputs'!DG7/'Group Inputs'!DF7),2)</f>
        <v>68.44</v>
      </c>
      <c r="J54" s="4">
        <f>ROUND(IF('Group Inputs'!DF8=0,0,100*'Group Inputs'!DG8/'Group Inputs'!DF8),2)</f>
        <v>69.67</v>
      </c>
      <c r="K54" s="4">
        <f>ROUND(IF('Group Inputs'!DF9=0,0,100*'Group Inputs'!DG9/'Group Inputs'!DF9),2)</f>
        <v>70.65</v>
      </c>
      <c r="L54" s="3" t="s">
        <v>695</v>
      </c>
      <c r="M54" s="3" t="s">
        <v>609</v>
      </c>
      <c r="N54" s="3" t="s">
        <v>696</v>
      </c>
    </row>
    <row r="55" spans="1:14">
      <c r="A55" s="2" t="s">
        <v>697</v>
      </c>
      <c r="B55" s="3" t="s">
        <v>698</v>
      </c>
      <c r="C55" s="3" t="s">
        <v>574</v>
      </c>
      <c r="D55" s="3" t="s">
        <v>598</v>
      </c>
      <c r="E55" s="3" t="s">
        <v>699</v>
      </c>
      <c r="F55" s="4">
        <f>ROUND(0.05*('Group Inputs'!DB4-'Group Inputs'!DC4)/1000,2)</f>
        <v>7.65</v>
      </c>
      <c r="G55" s="4">
        <f>ROUND(0.05*('Group Inputs'!DB5-'Group Inputs'!DC5)/1000,2)</f>
        <v>8.52</v>
      </c>
      <c r="H55" s="4">
        <f>ROUND(0.05*('Group Inputs'!DB6-'Group Inputs'!DC6)/1000,2)</f>
        <v>7.39</v>
      </c>
      <c r="I55" s="4">
        <f>ROUND(0.05*('Group Inputs'!DB7-'Group Inputs'!DC7)/1000,2)</f>
        <v>9.15</v>
      </c>
      <c r="J55" s="4">
        <f>ROUND(0.05*('Group Inputs'!DB8-'Group Inputs'!DC8)/1000,2)</f>
        <v>8.05</v>
      </c>
      <c r="K55" s="4">
        <f>ROUND(0.05*('Group Inputs'!DB9-'Group Inputs'!DC9)/1000,2)</f>
        <v>8.41</v>
      </c>
      <c r="L55" s="3" t="s">
        <v>700</v>
      </c>
      <c r="M55" s="3" t="s">
        <v>609</v>
      </c>
      <c r="N55" s="3" t="s">
        <v>701</v>
      </c>
    </row>
    <row r="56" spans="1:14">
      <c r="A56" s="2" t="s">
        <v>702</v>
      </c>
      <c r="B56" s="3" t="s">
        <v>703</v>
      </c>
      <c r="C56" s="3" t="s">
        <v>574</v>
      </c>
      <c r="D56" s="3" t="s">
        <v>704</v>
      </c>
      <c r="E56" s="3" t="s">
        <v>705</v>
      </c>
      <c r="F56" s="4">
        <f>ROUND('Group Inputs'!DH4/1000,2)</f>
        <v>1860.0</v>
      </c>
      <c r="G56" s="4">
        <f>ROUND('Group Inputs'!DH5/1000,2)</f>
        <v>1860.0</v>
      </c>
      <c r="H56" s="4">
        <f>ROUND('Group Inputs'!DH6/1000,2)</f>
        <v>1860.0</v>
      </c>
      <c r="I56" s="4">
        <f>ROUND('Group Inputs'!DH7/1000,2)</f>
        <v>1860.0</v>
      </c>
      <c r="J56" s="4">
        <f>ROUND('Group Inputs'!DH8/1000,2)</f>
        <v>1860.0</v>
      </c>
      <c r="K56" s="4">
        <f>ROUND('Group Inputs'!DH9/1000,2)</f>
        <v>1860.0</v>
      </c>
      <c r="L56" s="3" t="s">
        <v>706</v>
      </c>
      <c r="M56" s="3" t="s">
        <v>707</v>
      </c>
      <c r="N56" s="3" t="s">
        <v>260</v>
      </c>
    </row>
    <row r="57" spans="1:14">
      <c r="A57" s="2" t="s">
        <v>708</v>
      </c>
      <c r="B57" s="3" t="s">
        <v>709</v>
      </c>
      <c r="C57" s="3" t="s">
        <v>574</v>
      </c>
      <c r="D57" s="3" t="s">
        <v>710</v>
      </c>
      <c r="E57" s="3" t="s">
        <v>711</v>
      </c>
      <c r="F57" s="4">
        <f>ROUND('Group Inputs'!DI4/1000,2)</f>
        <v>838.53</v>
      </c>
      <c r="G57" s="4">
        <f>ROUND('Group Inputs'!DI5/1000,2)</f>
        <v>933.32</v>
      </c>
      <c r="H57" s="4">
        <f>ROUND('Group Inputs'!DI6/1000,2)</f>
        <v>1037.26</v>
      </c>
      <c r="I57" s="4">
        <f>ROUND('Group Inputs'!DI7/1000,2)</f>
        <v>1134.85</v>
      </c>
      <c r="J57" s="4">
        <f>ROUND('Group Inputs'!DI8/1000,2)</f>
        <v>1238.53</v>
      </c>
      <c r="K57" s="4">
        <f>ROUND('Group Inputs'!DI9/1000,2)</f>
        <v>1347.73</v>
      </c>
      <c r="L57" s="3" t="s">
        <v>712</v>
      </c>
      <c r="M57" s="3" t="s">
        <v>707</v>
      </c>
      <c r="N57" s="3" t="s">
        <v>262</v>
      </c>
    </row>
    <row r="58" spans="1:14">
      <c r="A58" s="2" t="s">
        <v>713</v>
      </c>
      <c r="B58" s="3" t="s">
        <v>714</v>
      </c>
      <c r="C58" s="3" t="s">
        <v>574</v>
      </c>
      <c r="D58" s="3" t="s">
        <v>575</v>
      </c>
      <c r="E58" s="3" t="s">
        <v>715</v>
      </c>
      <c r="F58" s="4">
        <f>ROUND(SUM('Group Inputs'!DJ$4:DJ4)/1000,2)</f>
        <v>146.56</v>
      </c>
      <c r="G58" s="4">
        <f>ROUND(SUM('Group Inputs'!DJ$4:DJ5)/1000,2)</f>
        <v>291.62</v>
      </c>
      <c r="H58" s="4">
        <f>ROUND(SUM('Group Inputs'!DJ$4:DJ6)/1000,2)</f>
        <v>435.28</v>
      </c>
      <c r="I58" s="4">
        <f>ROUND(SUM('Group Inputs'!DJ$4:DJ7)/1000,2)</f>
        <v>582.9</v>
      </c>
      <c r="J58" s="4">
        <f>ROUND(SUM('Group Inputs'!DJ$4:DJ8)/1000,2)</f>
        <v>734.84</v>
      </c>
      <c r="K58" s="4">
        <f>ROUND(SUM('Group Inputs'!DJ$4:DJ9)/1000,2)</f>
        <v>879.71</v>
      </c>
      <c r="L58" s="3" t="s">
        <v>716</v>
      </c>
      <c r="M58" s="3" t="s">
        <v>707</v>
      </c>
      <c r="N58" s="3" t="s">
        <v>264</v>
      </c>
    </row>
    <row r="59" spans="1:14">
      <c r="A59" s="2" t="s">
        <v>717</v>
      </c>
      <c r="B59" s="3" t="s">
        <v>718</v>
      </c>
      <c r="C59" s="3" t="s">
        <v>447</v>
      </c>
      <c r="D59" s="3" t="s">
        <v>710</v>
      </c>
      <c r="E59" s="3" t="s">
        <v>719</v>
      </c>
      <c r="F59" s="4">
        <f>ROUND(IF('Group Inputs'!DH4=0,0,100*'Group Inputs'!DK4/'Group Inputs'!DH4),2)</f>
        <v>38.0</v>
      </c>
      <c r="G59" s="4">
        <f>ROUND(IF('Group Inputs'!DH5=0,0,100*'Group Inputs'!DK5/'Group Inputs'!DH5),2)</f>
        <v>42.57</v>
      </c>
      <c r="H59" s="4">
        <f>ROUND(IF('Group Inputs'!DH6=0,0,100*'Group Inputs'!DK6/'Group Inputs'!DH6),2)</f>
        <v>47.14</v>
      </c>
      <c r="I59" s="4">
        <f>ROUND(IF('Group Inputs'!DH7=0,0,100*'Group Inputs'!DK7/'Group Inputs'!DH7),2)</f>
        <v>51.71</v>
      </c>
      <c r="J59" s="4">
        <f>ROUND(IF('Group Inputs'!DH8=0,0,100*'Group Inputs'!DK8/'Group Inputs'!DH8),2)</f>
        <v>56.28</v>
      </c>
      <c r="K59" s="4">
        <f>ROUND(IF('Group Inputs'!DH9=0,0,100*'Group Inputs'!DK9/'Group Inputs'!DH9),2)</f>
        <v>60.85</v>
      </c>
      <c r="L59" s="3" t="s">
        <v>720</v>
      </c>
      <c r="M59" s="3" t="s">
        <v>721</v>
      </c>
      <c r="N59" s="3" t="s">
        <v>722</v>
      </c>
    </row>
    <row r="60" spans="1:14">
      <c r="A60" s="2" t="s">
        <v>723</v>
      </c>
      <c r="B60" s="3" t="s">
        <v>724</v>
      </c>
      <c r="C60" s="3" t="s">
        <v>574</v>
      </c>
      <c r="D60" s="3" t="s">
        <v>598</v>
      </c>
      <c r="E60" s="3" t="s">
        <v>725</v>
      </c>
      <c r="F60" s="4">
        <f>ROUND('Group Inputs'!DL4/1000,2)</f>
        <v>139.24</v>
      </c>
      <c r="G60" s="4">
        <f>ROUND('Group Inputs'!DL5/1000,2)</f>
        <v>161.83</v>
      </c>
      <c r="H60" s="4">
        <f>ROUND('Group Inputs'!DL6/1000,2)</f>
        <v>152.29</v>
      </c>
      <c r="I60" s="4">
        <f>ROUND('Group Inputs'!DL7/1000,2)</f>
        <v>153.97</v>
      </c>
      <c r="J60" s="4">
        <f>ROUND('Group Inputs'!DL8/1000,2)</f>
        <v>153.09</v>
      </c>
      <c r="K60" s="4">
        <f>ROUND('Group Inputs'!DL9/1000,2)</f>
        <v>148.03</v>
      </c>
      <c r="L60" s="3" t="s">
        <v>726</v>
      </c>
      <c r="M60" s="3" t="s">
        <v>707</v>
      </c>
      <c r="N60" s="3" t="s">
        <v>268</v>
      </c>
    </row>
    <row r="61" spans="1:14">
      <c r="A61" s="2" t="s">
        <v>727</v>
      </c>
      <c r="B61" s="3" t="s">
        <v>728</v>
      </c>
      <c r="C61" s="3" t="s">
        <v>729</v>
      </c>
      <c r="D61" s="3" t="s">
        <v>598</v>
      </c>
      <c r="E61" s="3" t="s">
        <v>730</v>
      </c>
      <c r="F61" s="8" t="str">
        <f>'Group Inputs'!DM4&amp;" on track · "&amp;'Group Inputs'!DN4&amp;" at risk · "&amp;'Group Inputs'!DO4&amp;" off track"</f>
        <v>9 on track · 2 at risk · 0 off track</v>
      </c>
      <c r="G61" s="8" t="str">
        <f>'Group Inputs'!DM5&amp;" on track · "&amp;'Group Inputs'!DN5&amp;" at risk · "&amp;'Group Inputs'!DO5&amp;" off track"</f>
        <v>9 on track · 2 at risk · 0 off track</v>
      </c>
      <c r="H61" s="8" t="str">
        <f>'Group Inputs'!DM6&amp;" on track · "&amp;'Group Inputs'!DN6&amp;" at risk · "&amp;'Group Inputs'!DO6&amp;" off track"</f>
        <v>9 on track · 2 at risk · 0 off track</v>
      </c>
      <c r="I61" s="8" t="str">
        <f>'Group Inputs'!DM7&amp;" on track · "&amp;'Group Inputs'!DN7&amp;" at risk · "&amp;'Group Inputs'!DO7&amp;" off track"</f>
        <v>9 on track · 2 at risk · 0 off track</v>
      </c>
      <c r="J61" s="8" t="str">
        <f>'Group Inputs'!DM8&amp;" on track · "&amp;'Group Inputs'!DN8&amp;" at risk · "&amp;'Group Inputs'!DO8&amp;" off track"</f>
        <v>9 on track · 2 at risk · 0 off track</v>
      </c>
      <c r="K61" s="8" t="str">
        <f>'Group Inputs'!DM9&amp;" on track · "&amp;'Group Inputs'!DN9&amp;" at risk · "&amp;'Group Inputs'!DO9&amp;" off track"</f>
        <v>9 on track · 2 at risk · 0 off track</v>
      </c>
      <c r="L61" s="3" t="s">
        <v>731</v>
      </c>
      <c r="M61" s="3" t="s">
        <v>707</v>
      </c>
      <c r="N61" s="3" t="s">
        <v>732</v>
      </c>
    </row>
    <row r="62" spans="1:14">
      <c r="A62" s="2" t="s">
        <v>733</v>
      </c>
      <c r="B62" s="3" t="s">
        <v>734</v>
      </c>
      <c r="C62" s="3" t="s">
        <v>447</v>
      </c>
      <c r="D62" s="3" t="s">
        <v>575</v>
      </c>
      <c r="E62" s="3" t="s">
        <v>735</v>
      </c>
      <c r="F62" s="4">
        <f>ROUND(IF(SUM('Group Inputs'!DX$4:DX4)=0,0,100*SUM('Group Inputs'!DY$4:DY4)/SUM('Group Inputs'!DX$4:DX4)),2)</f>
        <v>46.69</v>
      </c>
      <c r="G62" s="4">
        <f>ROUND(IF(SUM('Group Inputs'!DX$4:DX5)=0,0,100*SUM('Group Inputs'!DY$4:DY5)/SUM('Group Inputs'!DX$4:DX5)),2)</f>
        <v>47.85</v>
      </c>
      <c r="H62" s="4">
        <f>ROUND(IF(SUM('Group Inputs'!DX$4:DX6)=0,0,100*SUM('Group Inputs'!DY$4:DY6)/SUM('Group Inputs'!DX$4:DX6)),2)</f>
        <v>47.74</v>
      </c>
      <c r="I62" s="4">
        <f>ROUND(IF(SUM('Group Inputs'!DX$4:DX7)=0,0,100*SUM('Group Inputs'!DY$4:DY7)/SUM('Group Inputs'!DX$4:DX7)),2)</f>
        <v>48.04</v>
      </c>
      <c r="J62" s="4">
        <f>ROUND(IF(SUM('Group Inputs'!DX$4:DX8)=0,0,100*SUM('Group Inputs'!DY$4:DY8)/SUM('Group Inputs'!DX$4:DX8)),2)</f>
        <v>48.1</v>
      </c>
      <c r="K62" s="4">
        <f>ROUND(IF(SUM('Group Inputs'!DX$4:DX9)=0,0,100*SUM('Group Inputs'!DY$4:DY9)/SUM('Group Inputs'!DX$4:DX9)),2)</f>
        <v>47.96</v>
      </c>
      <c r="L62" s="3" t="s">
        <v>736</v>
      </c>
      <c r="M62" s="3" t="s">
        <v>707</v>
      </c>
      <c r="N62" s="3" t="s">
        <v>737</v>
      </c>
    </row>
    <row r="63" spans="1:14">
      <c r="A63" s="2" t="s">
        <v>738</v>
      </c>
      <c r="B63" s="3" t="s">
        <v>739</v>
      </c>
      <c r="C63" s="3" t="s">
        <v>514</v>
      </c>
      <c r="D63" s="3" t="s">
        <v>598</v>
      </c>
      <c r="E63" s="3" t="s">
        <v>740</v>
      </c>
      <c r="F63" s="4">
        <f>ROUND('Group Inputs'!DP4,2)</f>
        <v>0.0</v>
      </c>
      <c r="G63" s="4">
        <f>ROUND('Group Inputs'!DP5,2)</f>
        <v>0.0</v>
      </c>
      <c r="H63" s="4">
        <f>ROUND('Group Inputs'!DP6,2)</f>
        <v>0.0</v>
      </c>
      <c r="I63" s="4">
        <f>ROUND('Group Inputs'!DP7,2)</f>
        <v>1.0</v>
      </c>
      <c r="J63" s="4">
        <f>ROUND('Group Inputs'!DP8,2)</f>
        <v>1.0</v>
      </c>
      <c r="K63" s="4">
        <f>ROUND('Group Inputs'!DP9,2)</f>
        <v>1.0</v>
      </c>
      <c r="L63" s="3" t="s">
        <v>741</v>
      </c>
      <c r="M63" s="3" t="s">
        <v>707</v>
      </c>
      <c r="N63" s="3" t="s">
        <v>276</v>
      </c>
    </row>
    <row r="64" spans="1:14">
      <c r="A64" s="2" t="s">
        <v>742</v>
      </c>
      <c r="B64" s="3" t="s">
        <v>743</v>
      </c>
      <c r="C64" s="3" t="s">
        <v>447</v>
      </c>
      <c r="D64" s="3" t="s">
        <v>710</v>
      </c>
      <c r="E64" s="3" t="s">
        <v>744</v>
      </c>
      <c r="F64" s="4">
        <f>ROUND(IF('Group Inputs'!DV4=0,0,100*'Group Inputs'!DW4/'Group Inputs'!DV4),2)</f>
        <v>29.84</v>
      </c>
      <c r="G64" s="4">
        <f>ROUND(IF('Group Inputs'!DV5=0,0,100*'Group Inputs'!DW5/'Group Inputs'!DV5),2)</f>
        <v>34.68</v>
      </c>
      <c r="H64" s="4">
        <f>ROUND(IF('Group Inputs'!DV6=0,0,100*'Group Inputs'!DW6/'Group Inputs'!DV6),2)</f>
        <v>39.52</v>
      </c>
      <c r="I64" s="4">
        <f>ROUND(IF('Group Inputs'!DV7=0,0,100*'Group Inputs'!DW7/'Group Inputs'!DV7),2)</f>
        <v>44.35</v>
      </c>
      <c r="J64" s="4">
        <f>ROUND(IF('Group Inputs'!DV8=0,0,100*'Group Inputs'!DW8/'Group Inputs'!DV8),2)</f>
        <v>49.19</v>
      </c>
      <c r="K64" s="4">
        <f>ROUND(IF('Group Inputs'!DV9=0,0,100*'Group Inputs'!DW9/'Group Inputs'!DV9),2)</f>
        <v>54.03</v>
      </c>
      <c r="L64" s="3" t="s">
        <v>745</v>
      </c>
      <c r="M64" s="3" t="s">
        <v>746</v>
      </c>
      <c r="N64" s="3" t="s">
        <v>747</v>
      </c>
    </row>
    <row r="65" spans="1:14">
      <c r="A65" s="2" t="s">
        <v>748</v>
      </c>
      <c r="B65" s="3" t="s">
        <v>749</v>
      </c>
      <c r="C65" s="3" t="s">
        <v>447</v>
      </c>
      <c r="D65" s="3" t="s">
        <v>710</v>
      </c>
      <c r="E65" s="3" t="s">
        <v>744</v>
      </c>
      <c r="F65" s="4">
        <f>ROUND(IF('Group Inputs'!DV4=0,0,100*'Group Inputs'!DW4/'Group Inputs'!DV4),2)</f>
        <v>29.84</v>
      </c>
      <c r="G65" s="4">
        <f>ROUND(IF('Group Inputs'!DV5=0,0,100*'Group Inputs'!DW5/'Group Inputs'!DV5),2)</f>
        <v>34.68</v>
      </c>
      <c r="H65" s="4">
        <f>ROUND(IF('Group Inputs'!DV6=0,0,100*'Group Inputs'!DW6/'Group Inputs'!DV6),2)</f>
        <v>39.52</v>
      </c>
      <c r="I65" s="4">
        <f>ROUND(IF('Group Inputs'!DV7=0,0,100*'Group Inputs'!DW7/'Group Inputs'!DV7),2)</f>
        <v>44.35</v>
      </c>
      <c r="J65" s="4">
        <f>ROUND(IF('Group Inputs'!DV8=0,0,100*'Group Inputs'!DW8/'Group Inputs'!DV8),2)</f>
        <v>49.19</v>
      </c>
      <c r="K65" s="4">
        <f>ROUND(IF('Group Inputs'!DV9=0,0,100*'Group Inputs'!DW9/'Group Inputs'!DV9),2)</f>
        <v>54.03</v>
      </c>
      <c r="L65" s="3" t="s">
        <v>750</v>
      </c>
      <c r="M65" s="3" t="s">
        <v>721</v>
      </c>
      <c r="N65" s="3" t="s">
        <v>747</v>
      </c>
    </row>
    <row r="66" spans="1:14">
      <c r="A66" s="2" t="s">
        <v>751</v>
      </c>
      <c r="B66" s="3" t="s">
        <v>752</v>
      </c>
      <c r="C66" s="3" t="s">
        <v>729</v>
      </c>
      <c r="D66" s="3" t="s">
        <v>598</v>
      </c>
      <c r="E66" s="3" t="s">
        <v>753</v>
      </c>
      <c r="F66" s="8" t="str">
        <f>'Group Inputs'!DS4&amp;" on track · "&amp;'Group Inputs'!DT4&amp;" at risk · "&amp;'Group Inputs'!DU4&amp;" delayed"</f>
        <v>15 on track · 6 at risk · 3 delayed</v>
      </c>
      <c r="G66" s="8" t="str">
        <f>'Group Inputs'!DS5&amp;" on track · "&amp;'Group Inputs'!DT5&amp;" at risk · "&amp;'Group Inputs'!DU5&amp;" delayed"</f>
        <v>15 on track · 6 at risk · 3 delayed</v>
      </c>
      <c r="H66" s="8" t="str">
        <f>'Group Inputs'!DS6&amp;" on track · "&amp;'Group Inputs'!DT6&amp;" at risk · "&amp;'Group Inputs'!DU6&amp;" delayed"</f>
        <v>15 on track · 6 at risk · 3 delayed</v>
      </c>
      <c r="I66" s="8" t="str">
        <f>'Group Inputs'!DS7&amp;" on track · "&amp;'Group Inputs'!DT7&amp;" at risk · "&amp;'Group Inputs'!DU7&amp;" delayed"</f>
        <v>15 on track · 6 at risk · 3 delayed</v>
      </c>
      <c r="J66" s="8" t="str">
        <f>'Group Inputs'!DS8&amp;" on track · "&amp;'Group Inputs'!DT8&amp;" at risk · "&amp;'Group Inputs'!DU8&amp;" delayed"</f>
        <v>15 on track · 6 at risk · 3 delayed</v>
      </c>
      <c r="K66" s="8" t="str">
        <f>'Group Inputs'!DS9&amp;" on track · "&amp;'Group Inputs'!DT9&amp;" at risk · "&amp;'Group Inputs'!DU9&amp;" delayed"</f>
        <v>15 on track · 6 at risk · 3 delayed</v>
      </c>
      <c r="L66" s="3" t="s">
        <v>754</v>
      </c>
      <c r="M66" s="3" t="s">
        <v>707</v>
      </c>
      <c r="N66" s="3" t="s">
        <v>755</v>
      </c>
    </row>
    <row r="67" spans="1:14">
      <c r="A67" s="2" t="s">
        <v>756</v>
      </c>
      <c r="B67" s="3" t="s">
        <v>757</v>
      </c>
      <c r="C67" s="3" t="s">
        <v>574</v>
      </c>
      <c r="D67" s="3" t="s">
        <v>575</v>
      </c>
      <c r="E67" s="3" t="s">
        <v>758</v>
      </c>
      <c r="F67" s="4">
        <f>ROUND(SUM('Group Inputs'!DZ$4:DZ4)/1000,2)</f>
        <v>2.36</v>
      </c>
      <c r="G67" s="4">
        <f>ROUND(SUM('Group Inputs'!DZ$4:DZ5)/1000,2)</f>
        <v>4.7</v>
      </c>
      <c r="H67" s="4">
        <f>ROUND(SUM('Group Inputs'!DZ$4:DZ6)/1000,2)</f>
        <v>7.09</v>
      </c>
      <c r="I67" s="4">
        <f>ROUND(SUM('Group Inputs'!DZ$4:DZ7)/1000,2)</f>
        <v>9.47</v>
      </c>
      <c r="J67" s="4">
        <f>ROUND(SUM('Group Inputs'!DZ$4:DZ8)/1000,2)</f>
        <v>11.86</v>
      </c>
      <c r="K67" s="4">
        <f>ROUND(SUM('Group Inputs'!DZ$4:DZ9)/1000,2)</f>
        <v>14.21</v>
      </c>
      <c r="L67" s="3" t="s">
        <v>759</v>
      </c>
      <c r="M67" s="3" t="s">
        <v>707</v>
      </c>
      <c r="N67" s="3" t="s">
        <v>296</v>
      </c>
    </row>
    <row r="68" spans="1:14">
      <c r="A68" s="2" t="s">
        <v>760</v>
      </c>
      <c r="B68" s="3" t="s">
        <v>761</v>
      </c>
      <c r="C68" s="3" t="s">
        <v>574</v>
      </c>
      <c r="D68" s="3" t="s">
        <v>575</v>
      </c>
      <c r="E68" s="3" t="s">
        <v>762</v>
      </c>
      <c r="F68" s="4">
        <f>ROUND(SUM('Group Inputs'!EA$4:EA4)/1000,2)</f>
        <v>1.44</v>
      </c>
      <c r="G68" s="4">
        <f>ROUND(SUM('Group Inputs'!EA$4:EA5)/1000,2)</f>
        <v>2.94</v>
      </c>
      <c r="H68" s="4">
        <f>ROUND(SUM('Group Inputs'!EA$4:EA6)/1000,2)</f>
        <v>4.37</v>
      </c>
      <c r="I68" s="4">
        <f>ROUND(SUM('Group Inputs'!EA$4:EA7)/1000,2)</f>
        <v>5.86</v>
      </c>
      <c r="J68" s="4">
        <f>ROUND(SUM('Group Inputs'!EA$4:EA8)/1000,2)</f>
        <v>7.28</v>
      </c>
      <c r="K68" s="4">
        <f>ROUND(SUM('Group Inputs'!EA$4:EA9)/1000,2)</f>
        <v>8.71</v>
      </c>
      <c r="L68" s="3" t="s">
        <v>763</v>
      </c>
      <c r="M68" s="3" t="s">
        <v>707</v>
      </c>
      <c r="N68" s="3" t="s">
        <v>298</v>
      </c>
    </row>
    <row r="69" spans="1:14">
      <c r="A69" s="2" t="s">
        <v>764</v>
      </c>
      <c r="B69" s="3" t="s">
        <v>765</v>
      </c>
      <c r="C69" s="3" t="s">
        <v>574</v>
      </c>
      <c r="D69" s="3" t="s">
        <v>575</v>
      </c>
      <c r="E69" s="3" t="s">
        <v>766</v>
      </c>
      <c r="F69" s="4">
        <f>ROUND(SUM('Group Inputs'!EB$4:EB4)/1000,2)</f>
        <v>1.77</v>
      </c>
      <c r="G69" s="4">
        <f>ROUND(SUM('Group Inputs'!EB$4:EB5)/1000,2)</f>
        <v>3.67</v>
      </c>
      <c r="H69" s="4">
        <f>ROUND(SUM('Group Inputs'!EB$4:EB6)/1000,2)</f>
        <v>5.56</v>
      </c>
      <c r="I69" s="4">
        <f>ROUND(SUM('Group Inputs'!EB$4:EB7)/1000,2)</f>
        <v>7.47</v>
      </c>
      <c r="J69" s="4">
        <f>ROUND(SUM('Group Inputs'!EB$4:EB8)/1000,2)</f>
        <v>9.36</v>
      </c>
      <c r="K69" s="4">
        <f>ROUND(SUM('Group Inputs'!EB$4:EB9)/1000,2)</f>
        <v>11.25</v>
      </c>
      <c r="L69" s="3" t="s">
        <v>767</v>
      </c>
      <c r="M69" s="3" t="s">
        <v>707</v>
      </c>
      <c r="N69" s="3" t="s">
        <v>300</v>
      </c>
    </row>
    <row r="70" spans="1:14">
      <c r="A70" s="2" t="s">
        <v>768</v>
      </c>
      <c r="B70" s="3" t="s">
        <v>769</v>
      </c>
      <c r="C70" s="3" t="s">
        <v>447</v>
      </c>
      <c r="D70" s="3" t="s">
        <v>21</v>
      </c>
      <c r="E70" s="3" t="s">
        <v>770</v>
      </c>
      <c r="F70" s="4">
        <f>ROUND(IF('Group Inputs'!AY4=0,0,100*'Group Inputs'!AZ4/'Group Inputs'!AY4),2)</f>
        <v>91.11</v>
      </c>
      <c r="G70" s="4">
        <f>ROUND(IF('Group Inputs'!AY5=0,0,100*'Group Inputs'!AZ5/'Group Inputs'!AY5),2)</f>
        <v>91.39</v>
      </c>
      <c r="H70" s="4">
        <f>ROUND(IF('Group Inputs'!AY6=0,0,100*'Group Inputs'!AZ6/'Group Inputs'!AY6),2)</f>
        <v>92.06</v>
      </c>
      <c r="I70" s="4">
        <f>ROUND(IF('Group Inputs'!AY7=0,0,100*'Group Inputs'!AZ7/'Group Inputs'!AY7),2)</f>
        <v>91.89</v>
      </c>
      <c r="J70" s="4">
        <f>ROUND(IF('Group Inputs'!AY8=0,0,100*'Group Inputs'!AZ8/'Group Inputs'!AY8),2)</f>
        <v>91.17</v>
      </c>
      <c r="K70" s="4">
        <f>ROUND(IF('Group Inputs'!AY9=0,0,100*'Group Inputs'!AZ9/'Group Inputs'!AY9),2)</f>
        <v>91.41</v>
      </c>
      <c r="L70" s="3" t="s">
        <v>771</v>
      </c>
      <c r="M70" s="3" t="s">
        <v>463</v>
      </c>
      <c r="N70" s="3" t="s">
        <v>772</v>
      </c>
    </row>
    <row r="71" spans="1:14">
      <c r="A71" s="2" t="s">
        <v>773</v>
      </c>
      <c r="B71" s="3" t="s">
        <v>774</v>
      </c>
      <c r="C71" s="3" t="s">
        <v>447</v>
      </c>
      <c r="D71" s="3" t="s">
        <v>21</v>
      </c>
      <c r="E71" s="3" t="s">
        <v>775</v>
      </c>
      <c r="F71" s="4">
        <f>ROUND(IF('Group Inputs'!BF4=0,0,100*'Group Inputs'!BG4/'Group Inputs'!BF4),2)</f>
        <v>34.56</v>
      </c>
      <c r="G71" s="4">
        <f>ROUND(IF('Group Inputs'!BF5=0,0,100*'Group Inputs'!BG5/'Group Inputs'!BF5),2)</f>
        <v>36.53</v>
      </c>
      <c r="H71" s="4">
        <f>ROUND(IF('Group Inputs'!BF6=0,0,100*'Group Inputs'!BG6/'Group Inputs'!BF6),2)</f>
        <v>37.4</v>
      </c>
      <c r="I71" s="4">
        <f>ROUND(IF('Group Inputs'!BF7=0,0,100*'Group Inputs'!BG7/'Group Inputs'!BF7),2)</f>
        <v>36.17</v>
      </c>
      <c r="J71" s="4">
        <f>ROUND(IF('Group Inputs'!BF8=0,0,100*'Group Inputs'!BG8/'Group Inputs'!BF8),2)</f>
        <v>36.78</v>
      </c>
      <c r="K71" s="4">
        <f>ROUND(IF('Group Inputs'!BF9=0,0,100*'Group Inputs'!BG9/'Group Inputs'!BF9),2)</f>
        <v>35.19</v>
      </c>
      <c r="L71" s="3" t="s">
        <v>776</v>
      </c>
      <c r="M71" s="3" t="s">
        <v>463</v>
      </c>
      <c r="N71" s="3" t="s">
        <v>777</v>
      </c>
    </row>
    <row r="72" spans="1:14">
      <c r="A72" s="2" t="s">
        <v>778</v>
      </c>
      <c r="B72" s="3" t="s">
        <v>779</v>
      </c>
      <c r="C72" s="3" t="s">
        <v>514</v>
      </c>
      <c r="D72" s="3" t="s">
        <v>575</v>
      </c>
      <c r="E72" s="3" t="s">
        <v>780</v>
      </c>
      <c r="F72" s="4">
        <f>ROUND(SUM('Group Inputs'!BH$4:BH4),2)</f>
        <v>0.0</v>
      </c>
      <c r="G72" s="4">
        <f>ROUND(SUM('Group Inputs'!BH$4:BH5),2)</f>
        <v>0.0</v>
      </c>
      <c r="H72" s="4">
        <f>ROUND(SUM('Group Inputs'!BH$4:BH6),2)</f>
        <v>1.0</v>
      </c>
      <c r="I72" s="4">
        <f>ROUND(SUM('Group Inputs'!BH$4:BH7),2)</f>
        <v>1.0</v>
      </c>
      <c r="J72" s="4">
        <f>ROUND(SUM('Group Inputs'!BH$4:BH8),2)</f>
        <v>1.0</v>
      </c>
      <c r="K72" s="4">
        <f>ROUND(SUM('Group Inputs'!BH$4:BH9),2)</f>
        <v>3.0</v>
      </c>
      <c r="L72" s="3" t="s">
        <v>781</v>
      </c>
      <c r="M72" s="3" t="s">
        <v>463</v>
      </c>
      <c r="N72" s="3" t="s">
        <v>137</v>
      </c>
    </row>
    <row r="73" spans="1:14">
      <c r="A73" s="2" t="s">
        <v>782</v>
      </c>
      <c r="B73" s="3" t="s">
        <v>783</v>
      </c>
      <c r="C73" s="3" t="s">
        <v>514</v>
      </c>
      <c r="D73" s="3" t="s">
        <v>598</v>
      </c>
      <c r="E73" s="3" t="s">
        <v>784</v>
      </c>
      <c r="F73" s="4">
        <f>ROUND('Group Inputs'!EE4,2)</f>
        <v>3.0</v>
      </c>
      <c r="G73" s="4">
        <f>ROUND('Group Inputs'!EE5,2)</f>
        <v>5.0</v>
      </c>
      <c r="H73" s="4">
        <f>ROUND('Group Inputs'!EE6,2)</f>
        <v>4.0</v>
      </c>
      <c r="I73" s="4">
        <f>ROUND('Group Inputs'!EE7,2)</f>
        <v>5.0</v>
      </c>
      <c r="J73" s="4">
        <f>ROUND('Group Inputs'!EE8,2)</f>
        <v>4.0</v>
      </c>
      <c r="K73" s="4">
        <f>ROUND('Group Inputs'!EE9,2)</f>
        <v>4.0</v>
      </c>
      <c r="L73" s="3" t="s">
        <v>785</v>
      </c>
      <c r="M73" s="3" t="s">
        <v>529</v>
      </c>
      <c r="N73" s="3" t="s">
        <v>306</v>
      </c>
    </row>
    <row r="74" spans="1:14">
      <c r="A74" s="2" t="s">
        <v>786</v>
      </c>
      <c r="B74" s="3" t="s">
        <v>787</v>
      </c>
      <c r="C74" s="3" t="s">
        <v>447</v>
      </c>
      <c r="D74" s="3" t="s">
        <v>598</v>
      </c>
      <c r="E74" s="3" t="s">
        <v>788</v>
      </c>
      <c r="F74" s="4">
        <f>ROUND(IF('Group Inputs'!EC4=0,0,100*'Group Inputs'!ED4/'Group Inputs'!EC4),2)</f>
        <v>96.43</v>
      </c>
      <c r="G74" s="4">
        <f>ROUND(IF('Group Inputs'!EC5=0,0,100*'Group Inputs'!ED5/'Group Inputs'!EC5),2)</f>
        <v>95.0</v>
      </c>
      <c r="H74" s="4">
        <f>ROUND(IF('Group Inputs'!EC6=0,0,100*'Group Inputs'!ED6/'Group Inputs'!EC6),2)</f>
        <v>96.43</v>
      </c>
      <c r="I74" s="4">
        <f>ROUND(IF('Group Inputs'!EC7=0,0,100*'Group Inputs'!ED7/'Group Inputs'!EC7),2)</f>
        <v>95.0</v>
      </c>
      <c r="J74" s="4">
        <f>ROUND(IF('Group Inputs'!EC8=0,0,100*'Group Inputs'!ED8/'Group Inputs'!EC8),2)</f>
        <v>95.0</v>
      </c>
      <c r="K74" s="4">
        <f>ROUND(IF('Group Inputs'!EC9=0,0,100*'Group Inputs'!ED9/'Group Inputs'!EC9),2)</f>
        <v>95.71</v>
      </c>
      <c r="L74" s="3" t="s">
        <v>789</v>
      </c>
      <c r="M74" s="3" t="s">
        <v>529</v>
      </c>
      <c r="N74" s="3" t="s">
        <v>790</v>
      </c>
    </row>
    <row r="75" spans="1:14">
      <c r="A75" s="2" t="s">
        <v>791</v>
      </c>
      <c r="B75" s="3" t="s">
        <v>792</v>
      </c>
      <c r="C75" s="3" t="s">
        <v>514</v>
      </c>
      <c r="D75" s="3" t="s">
        <v>598</v>
      </c>
      <c r="E75" s="3" t="s">
        <v>793</v>
      </c>
      <c r="F75" s="4">
        <f>ROUND('Group Inputs'!EF4,2)</f>
        <v>1.0</v>
      </c>
      <c r="G75" s="4">
        <f>ROUND('Group Inputs'!EF5,2)</f>
        <v>1.0</v>
      </c>
      <c r="H75" s="4">
        <f>ROUND('Group Inputs'!EF6,2)</f>
        <v>0.0</v>
      </c>
      <c r="I75" s="4">
        <f>ROUND('Group Inputs'!EF7,2)</f>
        <v>1.0</v>
      </c>
      <c r="J75" s="4">
        <f>ROUND('Group Inputs'!EF8,2)</f>
        <v>0.0</v>
      </c>
      <c r="K75" s="4">
        <f>ROUND('Group Inputs'!EF9,2)</f>
        <v>0.0</v>
      </c>
      <c r="L75" s="3" t="s">
        <v>794</v>
      </c>
      <c r="M75" s="3" t="s">
        <v>529</v>
      </c>
      <c r="N75" s="3" t="s">
        <v>308</v>
      </c>
    </row>
    <row r="76" spans="1:14">
      <c r="A76" s="2" t="s">
        <v>795</v>
      </c>
      <c r="B76" s="3" t="s">
        <v>796</v>
      </c>
      <c r="C76" s="3" t="s">
        <v>514</v>
      </c>
      <c r="D76" s="3" t="s">
        <v>598</v>
      </c>
      <c r="E76" s="3" t="s">
        <v>797</v>
      </c>
      <c r="F76" s="4">
        <f>ROUND('Group Inputs'!BM4,2)</f>
        <v>0.0</v>
      </c>
      <c r="G76" s="4">
        <f>ROUND('Group Inputs'!BM5,2)</f>
        <v>0.0</v>
      </c>
      <c r="H76" s="4">
        <f>ROUND('Group Inputs'!BM6,2)</f>
        <v>0.0</v>
      </c>
      <c r="I76" s="4">
        <f>ROUND('Group Inputs'!BM7,2)</f>
        <v>0.0</v>
      </c>
      <c r="J76" s="4">
        <f>ROUND('Group Inputs'!BM8,2)</f>
        <v>0.0</v>
      </c>
      <c r="K76" s="4">
        <f>ROUND('Group Inputs'!BM9,2)</f>
        <v>0.0</v>
      </c>
      <c r="L76" s="3" t="s">
        <v>533</v>
      </c>
      <c r="M76" s="3" t="s">
        <v>529</v>
      </c>
      <c r="N76" s="3" t="s">
        <v>147</v>
      </c>
    </row>
    <row r="77" spans="1:14">
      <c r="A77" s="2" t="s">
        <v>798</v>
      </c>
      <c r="B77" s="3" t="s">
        <v>799</v>
      </c>
      <c r="C77" s="3" t="s">
        <v>729</v>
      </c>
      <c r="D77" s="3" t="s">
        <v>598</v>
      </c>
      <c r="E77" s="3" t="s">
        <v>800</v>
      </c>
      <c r="F77" s="8" t="str">
        <f>IF('Group Inputs'!BQ4&gt;0,"Triggered","Not triggered")</f>
        <v>Not triggered</v>
      </c>
      <c r="G77" s="8" t="str">
        <f>IF('Group Inputs'!BQ5&gt;0,"Triggered","Not triggered")</f>
        <v>Not triggered</v>
      </c>
      <c r="H77" s="8" t="str">
        <f>IF('Group Inputs'!BQ6&gt;0,"Triggered","Not triggered")</f>
        <v>Not triggered</v>
      </c>
      <c r="I77" s="8" t="str">
        <f>IF('Group Inputs'!BQ7&gt;0,"Triggered","Not triggered")</f>
        <v>Not triggered</v>
      </c>
      <c r="J77" s="8" t="str">
        <f>IF('Group Inputs'!BQ8&gt;0,"Triggered","Not triggered")</f>
        <v>Not triggered</v>
      </c>
      <c r="K77" s="8" t="str">
        <f>IF('Group Inputs'!BQ9&gt;0,"Triggered","Not triggered")</f>
        <v>Not triggered</v>
      </c>
      <c r="L77" s="3" t="s">
        <v>801</v>
      </c>
      <c r="M77" s="3" t="s">
        <v>529</v>
      </c>
      <c r="N77" s="3" t="s">
        <v>155</v>
      </c>
    </row>
    <row r="78" spans="1:14">
      <c r="A78" s="2" t="s">
        <v>802</v>
      </c>
      <c r="B78" s="3" t="s">
        <v>803</v>
      </c>
      <c r="C78" s="3" t="s">
        <v>514</v>
      </c>
      <c r="D78" s="3" t="s">
        <v>575</v>
      </c>
      <c r="E78" s="3" t="s">
        <v>804</v>
      </c>
      <c r="F78" s="4">
        <f>ROUND(SUM('Group Inputs'!BP$4:BP4),2)</f>
        <v>0.0</v>
      </c>
      <c r="G78" s="4">
        <f>ROUND(SUM('Group Inputs'!BP$4:BP5),2)</f>
        <v>0.0</v>
      </c>
      <c r="H78" s="4">
        <f>ROUND(SUM('Group Inputs'!BP$4:BP6),2)</f>
        <v>0.0</v>
      </c>
      <c r="I78" s="4">
        <f>ROUND(SUM('Group Inputs'!BP$4:BP7),2)</f>
        <v>0.0</v>
      </c>
      <c r="J78" s="4">
        <f>ROUND(SUM('Group Inputs'!BP$4:BP8),2)</f>
        <v>0.0</v>
      </c>
      <c r="K78" s="4">
        <f>ROUND(SUM('Group Inputs'!BP$4:BP9),2)</f>
        <v>0.0</v>
      </c>
      <c r="L78" s="3" t="s">
        <v>533</v>
      </c>
      <c r="M78" s="3" t="s">
        <v>529</v>
      </c>
      <c r="N78" s="3" t="s">
        <v>153</v>
      </c>
    </row>
    <row r="79" spans="1:14">
      <c r="A79" s="2" t="s">
        <v>805</v>
      </c>
      <c r="B79" s="3" t="s">
        <v>806</v>
      </c>
      <c r="C79" s="3" t="s">
        <v>514</v>
      </c>
      <c r="D79" s="3" t="s">
        <v>575</v>
      </c>
      <c r="E79" s="3" t="s">
        <v>804</v>
      </c>
      <c r="F79" s="4">
        <f>ROUND(SUM('Group Inputs'!BP$4:BP4),2)</f>
        <v>0.0</v>
      </c>
      <c r="G79" s="4">
        <f>ROUND(SUM('Group Inputs'!BP$4:BP5),2)</f>
        <v>0.0</v>
      </c>
      <c r="H79" s="4">
        <f>ROUND(SUM('Group Inputs'!BP$4:BP6),2)</f>
        <v>0.0</v>
      </c>
      <c r="I79" s="4">
        <f>ROUND(SUM('Group Inputs'!BP$4:BP7),2)</f>
        <v>0.0</v>
      </c>
      <c r="J79" s="4">
        <f>ROUND(SUM('Group Inputs'!BP$4:BP8),2)</f>
        <v>0.0</v>
      </c>
      <c r="K79" s="4">
        <f>ROUND(SUM('Group Inputs'!BP$4:BP9),2)</f>
        <v>0.0</v>
      </c>
      <c r="L79" s="3" t="s">
        <v>807</v>
      </c>
      <c r="M79" s="3" t="s">
        <v>456</v>
      </c>
      <c r="N79" s="3" t="s">
        <v>153</v>
      </c>
    </row>
    <row r="80" spans="1:14">
      <c r="A80" s="2" t="s">
        <v>808</v>
      </c>
      <c r="B80" s="3" t="s">
        <v>806</v>
      </c>
      <c r="C80" s="3" t="s">
        <v>514</v>
      </c>
      <c r="D80" s="3" t="s">
        <v>575</v>
      </c>
      <c r="E80" s="3" t="s">
        <v>804</v>
      </c>
      <c r="F80" s="4">
        <f>ROUND(SUM('Group Inputs'!BP$4:BP4),2)</f>
        <v>0.0</v>
      </c>
      <c r="G80" s="4">
        <f>ROUND(SUM('Group Inputs'!BP$4:BP5),2)</f>
        <v>0.0</v>
      </c>
      <c r="H80" s="4">
        <f>ROUND(SUM('Group Inputs'!BP$4:BP6),2)</f>
        <v>0.0</v>
      </c>
      <c r="I80" s="4">
        <f>ROUND(SUM('Group Inputs'!BP$4:BP7),2)</f>
        <v>0.0</v>
      </c>
      <c r="J80" s="4">
        <f>ROUND(SUM('Group Inputs'!BP$4:BP8),2)</f>
        <v>0.0</v>
      </c>
      <c r="K80" s="4">
        <f>ROUND(SUM('Group Inputs'!BP$4:BP9),2)</f>
        <v>0.0</v>
      </c>
      <c r="L80" s="3" t="s">
        <v>809</v>
      </c>
      <c r="M80" s="3" t="s">
        <v>566</v>
      </c>
      <c r="N80" s="3" t="s">
        <v>153</v>
      </c>
    </row>
    <row r="81" spans="1:14">
      <c r="A81" s="2" t="s">
        <v>810</v>
      </c>
      <c r="B81" s="3" t="s">
        <v>811</v>
      </c>
      <c r="C81" s="3" t="s">
        <v>514</v>
      </c>
      <c r="D81" s="3" t="s">
        <v>598</v>
      </c>
      <c r="E81" s="3" t="s">
        <v>811</v>
      </c>
      <c r="F81" s="4">
        <f>ROUND('Group Inputs'!BR4,2)</f>
        <v>0.0</v>
      </c>
      <c r="G81" s="4">
        <f>ROUND('Group Inputs'!BR5,2)</f>
        <v>0.0</v>
      </c>
      <c r="H81" s="4">
        <f>ROUND('Group Inputs'!BR6,2)</f>
        <v>0.0</v>
      </c>
      <c r="I81" s="4">
        <f>ROUND('Group Inputs'!BR7,2)</f>
        <v>0.0</v>
      </c>
      <c r="J81" s="4">
        <f>ROUND('Group Inputs'!BR8,2)</f>
        <v>0.0</v>
      </c>
      <c r="K81" s="4">
        <f>ROUND('Group Inputs'!BR9,2)</f>
        <v>0.0</v>
      </c>
      <c r="L81" s="3" t="s">
        <v>812</v>
      </c>
      <c r="M81" s="3" t="s">
        <v>529</v>
      </c>
      <c r="N81" s="3" t="s">
        <v>157</v>
      </c>
    </row>
    <row r="82" spans="1:14">
      <c r="A82" s="2" t="s">
        <v>813</v>
      </c>
      <c r="B82" s="3" t="s">
        <v>814</v>
      </c>
      <c r="C82" s="3" t="s">
        <v>514</v>
      </c>
      <c r="D82" s="3" t="s">
        <v>575</v>
      </c>
      <c r="E82" s="3" t="s">
        <v>815</v>
      </c>
      <c r="F82" s="4">
        <f>ROUND(SUM('Group Inputs'!EH$4:EH4),2)</f>
        <v>1.0</v>
      </c>
      <c r="G82" s="4">
        <f>ROUND(SUM('Group Inputs'!EH$4:EH5),2)</f>
        <v>1.0</v>
      </c>
      <c r="H82" s="4">
        <f>ROUND(SUM('Group Inputs'!EH$4:EH6),2)</f>
        <v>1.0</v>
      </c>
      <c r="I82" s="4">
        <f>ROUND(SUM('Group Inputs'!EH$4:EH7),2)</f>
        <v>2.0</v>
      </c>
      <c r="J82" s="4">
        <f>ROUND(SUM('Group Inputs'!EH$4:EH8),2)</f>
        <v>3.0</v>
      </c>
      <c r="K82" s="4">
        <f>ROUND(SUM('Group Inputs'!EH$4:EH9),2)</f>
        <v>4.0</v>
      </c>
      <c r="L82" s="3" t="s">
        <v>785</v>
      </c>
      <c r="M82" s="3" t="s">
        <v>529</v>
      </c>
      <c r="N82" s="3" t="s">
        <v>312</v>
      </c>
    </row>
    <row r="83" spans="1:14">
      <c r="A83" s="2" t="s">
        <v>816</v>
      </c>
      <c r="B83" s="3" t="s">
        <v>817</v>
      </c>
      <c r="C83" s="3" t="s">
        <v>514</v>
      </c>
      <c r="D83" s="3" t="s">
        <v>575</v>
      </c>
      <c r="E83" s="3" t="s">
        <v>818</v>
      </c>
      <c r="F83" s="4">
        <f>ROUND(SUM('Group Inputs'!EI$4:EI4),2)</f>
        <v>0.0</v>
      </c>
      <c r="G83" s="4">
        <f>ROUND(SUM('Group Inputs'!EI$4:EI5),2)</f>
        <v>0.0</v>
      </c>
      <c r="H83" s="4">
        <f>ROUND(SUM('Group Inputs'!EI$4:EI6),2)</f>
        <v>0.0</v>
      </c>
      <c r="I83" s="4">
        <f>ROUND(SUM('Group Inputs'!EI$4:EI7),2)</f>
        <v>0.0</v>
      </c>
      <c r="J83" s="4">
        <f>ROUND(SUM('Group Inputs'!EI$4:EI8),2)</f>
        <v>0.0</v>
      </c>
      <c r="K83" s="4">
        <f>ROUND(SUM('Group Inputs'!EI$4:EI9),2)</f>
        <v>0.0</v>
      </c>
      <c r="L83" s="3" t="s">
        <v>533</v>
      </c>
      <c r="M83" s="3" t="s">
        <v>529</v>
      </c>
      <c r="N83" s="3" t="s">
        <v>314</v>
      </c>
    </row>
    <row r="84" spans="1:14">
      <c r="A84" s="2" t="s">
        <v>819</v>
      </c>
      <c r="B84" s="3" t="s">
        <v>820</v>
      </c>
      <c r="C84" s="3" t="s">
        <v>514</v>
      </c>
      <c r="D84" s="3" t="s">
        <v>575</v>
      </c>
      <c r="E84" s="3" t="s">
        <v>821</v>
      </c>
      <c r="F84" s="4">
        <f>ROUND(SUM('Group Inputs'!EL$4:EL4),2)</f>
        <v>0.0</v>
      </c>
      <c r="G84" s="4">
        <f>ROUND(SUM('Group Inputs'!EL$4:EL5),2)</f>
        <v>0.0</v>
      </c>
      <c r="H84" s="4">
        <f>ROUND(SUM('Group Inputs'!EL$4:EL6),2)</f>
        <v>0.0</v>
      </c>
      <c r="I84" s="4">
        <f>ROUND(SUM('Group Inputs'!EL$4:EL7),2)</f>
        <v>1.0</v>
      </c>
      <c r="J84" s="4">
        <f>ROUND(SUM('Group Inputs'!EL$4:EL8),2)</f>
        <v>3.0</v>
      </c>
      <c r="K84" s="4">
        <f>ROUND(SUM('Group Inputs'!EL$4:EL9),2)</f>
        <v>4.0</v>
      </c>
      <c r="L84" s="3" t="s">
        <v>822</v>
      </c>
      <c r="M84" s="3" t="s">
        <v>529</v>
      </c>
      <c r="N84" s="3" t="s">
        <v>320</v>
      </c>
    </row>
    <row r="85" spans="1:14">
      <c r="A85" s="2" t="s">
        <v>823</v>
      </c>
      <c r="B85" s="3" t="s">
        <v>824</v>
      </c>
      <c r="C85" s="3" t="s">
        <v>514</v>
      </c>
      <c r="D85" s="3" t="s">
        <v>575</v>
      </c>
      <c r="E85" s="3" t="s">
        <v>825</v>
      </c>
      <c r="F85" s="4">
        <f>ROUND(SUM('Group Inputs'!EM$4:EM4),2)</f>
        <v>0.0</v>
      </c>
      <c r="G85" s="4">
        <f>ROUND(SUM('Group Inputs'!EM$4:EM5),2)</f>
        <v>0.0</v>
      </c>
      <c r="H85" s="4">
        <f>ROUND(SUM('Group Inputs'!EM$4:EM6),2)</f>
        <v>0.0</v>
      </c>
      <c r="I85" s="4">
        <f>ROUND(SUM('Group Inputs'!EM$4:EM7),2)</f>
        <v>0.0</v>
      </c>
      <c r="J85" s="4">
        <f>ROUND(SUM('Group Inputs'!EM$4:EM8),2)</f>
        <v>0.0</v>
      </c>
      <c r="K85" s="4">
        <f>ROUND(SUM('Group Inputs'!EM$4:EM9),2)</f>
        <v>0.0</v>
      </c>
      <c r="L85" s="3" t="s">
        <v>533</v>
      </c>
      <c r="M85" s="3" t="s">
        <v>529</v>
      </c>
      <c r="N85" s="3" t="s">
        <v>322</v>
      </c>
    </row>
    <row r="86" spans="1:14">
      <c r="A86" s="2" t="s">
        <v>826</v>
      </c>
      <c r="B86" s="3" t="s">
        <v>827</v>
      </c>
      <c r="C86" s="3" t="s">
        <v>514</v>
      </c>
      <c r="D86" s="3" t="s">
        <v>575</v>
      </c>
      <c r="E86" s="3" t="s">
        <v>828</v>
      </c>
      <c r="F86" s="4">
        <f>ROUND(SUM('Group Inputs'!EN$4:EN4),2)</f>
        <v>0.0</v>
      </c>
      <c r="G86" s="4">
        <f>ROUND(SUM('Group Inputs'!EN$4:EN5),2)</f>
        <v>0.0</v>
      </c>
      <c r="H86" s="4">
        <f>ROUND(SUM('Group Inputs'!EN$4:EN6),2)</f>
        <v>1.0</v>
      </c>
      <c r="I86" s="4">
        <f>ROUND(SUM('Group Inputs'!EN$4:EN7),2)</f>
        <v>1.0</v>
      </c>
      <c r="J86" s="4">
        <f>ROUND(SUM('Group Inputs'!EN$4:EN8),2)</f>
        <v>1.0</v>
      </c>
      <c r="K86" s="4">
        <f>ROUND(SUM('Group Inputs'!EN$4:EN9),2)</f>
        <v>1.0</v>
      </c>
      <c r="L86" s="3" t="s">
        <v>794</v>
      </c>
      <c r="M86" s="3" t="s">
        <v>529</v>
      </c>
      <c r="N86" s="3" t="s">
        <v>324</v>
      </c>
    </row>
    <row r="87" spans="1:14">
      <c r="A87" s="2" t="s">
        <v>829</v>
      </c>
      <c r="B87" s="3" t="s">
        <v>830</v>
      </c>
      <c r="C87" s="3" t="s">
        <v>514</v>
      </c>
      <c r="D87" s="3" t="s">
        <v>575</v>
      </c>
      <c r="E87" s="3" t="s">
        <v>831</v>
      </c>
      <c r="F87" s="4">
        <f>ROUND(SUM('Group Inputs'!EO$4:EO4),2)</f>
        <v>0.0</v>
      </c>
      <c r="G87" s="4">
        <f>ROUND(SUM('Group Inputs'!EO$4:EO5),2)</f>
        <v>0.0</v>
      </c>
      <c r="H87" s="4">
        <f>ROUND(SUM('Group Inputs'!EO$4:EO6),2)</f>
        <v>0.0</v>
      </c>
      <c r="I87" s="4">
        <f>ROUND(SUM('Group Inputs'!EO$4:EO7),2)</f>
        <v>0.0</v>
      </c>
      <c r="J87" s="4">
        <f>ROUND(SUM('Group Inputs'!EO$4:EO8),2)</f>
        <v>0.0</v>
      </c>
      <c r="K87" s="4">
        <f>ROUND(SUM('Group Inputs'!EO$4:EO9),2)</f>
        <v>0.0</v>
      </c>
      <c r="L87" s="3" t="s">
        <v>533</v>
      </c>
      <c r="M87" s="3" t="s">
        <v>529</v>
      </c>
      <c r="N87" s="3" t="s">
        <v>326</v>
      </c>
    </row>
    <row r="88" spans="1:14">
      <c r="A88" s="2" t="s">
        <v>832</v>
      </c>
      <c r="B88" s="3" t="s">
        <v>833</v>
      </c>
      <c r="C88" s="3" t="s">
        <v>514</v>
      </c>
      <c r="D88" s="3" t="s">
        <v>575</v>
      </c>
      <c r="E88" s="3" t="s">
        <v>834</v>
      </c>
      <c r="F88" s="4">
        <f>ROUND(SUM('Group Inputs'!EP$4:EP4),2)</f>
        <v>0.0</v>
      </c>
      <c r="G88" s="4">
        <f>ROUND(SUM('Group Inputs'!EP$4:EP5),2)</f>
        <v>0.0</v>
      </c>
      <c r="H88" s="4">
        <f>ROUND(SUM('Group Inputs'!EP$4:EP6),2)</f>
        <v>0.0</v>
      </c>
      <c r="I88" s="4">
        <f>ROUND(SUM('Group Inputs'!EP$4:EP7),2)</f>
        <v>0.0</v>
      </c>
      <c r="J88" s="4">
        <f>ROUND(SUM('Group Inputs'!EP$4:EP8),2)</f>
        <v>0.0</v>
      </c>
      <c r="K88" s="4">
        <f>ROUND(SUM('Group Inputs'!EP$4:EP9),2)</f>
        <v>0.0</v>
      </c>
      <c r="L88" s="3" t="s">
        <v>533</v>
      </c>
      <c r="M88" s="3" t="s">
        <v>529</v>
      </c>
      <c r="N88" s="3" t="s">
        <v>328</v>
      </c>
    </row>
    <row r="89" spans="1:14">
      <c r="A89" s="2" t="s">
        <v>835</v>
      </c>
      <c r="B89" s="3" t="s">
        <v>836</v>
      </c>
      <c r="C89" s="3" t="s">
        <v>514</v>
      </c>
      <c r="D89" s="3" t="s">
        <v>575</v>
      </c>
      <c r="E89" s="3" t="s">
        <v>837</v>
      </c>
      <c r="F89" s="4">
        <f>ROUND(SUM('Group Inputs'!EQ$4:EQ4),2)</f>
        <v>1.0</v>
      </c>
      <c r="G89" s="4">
        <f>ROUND(SUM('Group Inputs'!EQ$4:EQ5),2)</f>
        <v>3.0</v>
      </c>
      <c r="H89" s="4">
        <f>ROUND(SUM('Group Inputs'!EQ$4:EQ6),2)</f>
        <v>6.0</v>
      </c>
      <c r="I89" s="4">
        <f>ROUND(SUM('Group Inputs'!EQ$4:EQ7),2)</f>
        <v>7.0</v>
      </c>
      <c r="J89" s="4">
        <f>ROUND(SUM('Group Inputs'!EQ$4:EQ8),2)</f>
        <v>11.0</v>
      </c>
      <c r="K89" s="4">
        <f>ROUND(SUM('Group Inputs'!EQ$4:EQ9),2)</f>
        <v>14.0</v>
      </c>
      <c r="L89" s="3" t="s">
        <v>838</v>
      </c>
      <c r="M89" s="3" t="s">
        <v>529</v>
      </c>
      <c r="N89" s="3" t="s">
        <v>330</v>
      </c>
    </row>
    <row r="90" spans="1:14">
      <c r="A90" s="2" t="s">
        <v>839</v>
      </c>
      <c r="B90" s="3" t="s">
        <v>840</v>
      </c>
      <c r="C90" s="3" t="s">
        <v>514</v>
      </c>
      <c r="D90" s="3" t="s">
        <v>598</v>
      </c>
      <c r="E90" s="3" t="s">
        <v>841</v>
      </c>
      <c r="F90" s="4">
        <f>ROUND('Group Inputs'!ER4,2)</f>
        <v>1.0</v>
      </c>
      <c r="G90" s="4">
        <f>ROUND('Group Inputs'!ER5,2)</f>
        <v>2.0</v>
      </c>
      <c r="H90" s="4">
        <f>ROUND('Group Inputs'!ER6,2)</f>
        <v>0.0</v>
      </c>
      <c r="I90" s="4">
        <f>ROUND('Group Inputs'!ER7,2)</f>
        <v>1.0</v>
      </c>
      <c r="J90" s="4">
        <f>ROUND('Group Inputs'!ER8,2)</f>
        <v>2.0</v>
      </c>
      <c r="K90" s="4">
        <f>ROUND('Group Inputs'!ER9,2)</f>
        <v>2.0</v>
      </c>
      <c r="L90" s="3" t="s">
        <v>842</v>
      </c>
      <c r="M90" s="3" t="s">
        <v>843</v>
      </c>
      <c r="N90" s="3" t="s">
        <v>332</v>
      </c>
    </row>
    <row r="91" spans="1:14">
      <c r="A91" s="2" t="s">
        <v>844</v>
      </c>
      <c r="B91" s="3" t="s">
        <v>845</v>
      </c>
      <c r="C91" s="3" t="s">
        <v>514</v>
      </c>
      <c r="D91" s="3" t="s">
        <v>598</v>
      </c>
      <c r="E91" s="3" t="s">
        <v>846</v>
      </c>
      <c r="F91" s="4">
        <f>ROUND('Group Inputs'!ES4,2)</f>
        <v>0.0</v>
      </c>
      <c r="G91" s="4">
        <f>ROUND('Group Inputs'!ES5,2)</f>
        <v>0.0</v>
      </c>
      <c r="H91" s="4">
        <f>ROUND('Group Inputs'!ES6,2)</f>
        <v>0.0</v>
      </c>
      <c r="I91" s="4">
        <f>ROUND('Group Inputs'!ES7,2)</f>
        <v>0.0</v>
      </c>
      <c r="J91" s="4">
        <f>ROUND('Group Inputs'!ES8,2)</f>
        <v>0.0</v>
      </c>
      <c r="K91" s="4">
        <f>ROUND('Group Inputs'!ES9,2)</f>
        <v>0.0</v>
      </c>
      <c r="L91" s="3" t="s">
        <v>847</v>
      </c>
      <c r="M91" s="3" t="s">
        <v>843</v>
      </c>
      <c r="N91" s="3" t="s">
        <v>334</v>
      </c>
    </row>
    <row r="92" spans="1:14">
      <c r="A92" s="2" t="s">
        <v>848</v>
      </c>
      <c r="B92" s="3" t="s">
        <v>849</v>
      </c>
      <c r="C92" s="3" t="s">
        <v>514</v>
      </c>
      <c r="D92" s="3" t="s">
        <v>598</v>
      </c>
      <c r="E92" s="3" t="s">
        <v>849</v>
      </c>
      <c r="F92" s="4">
        <f>ROUND('Group Inputs'!ET4,2)</f>
        <v>1.0</v>
      </c>
      <c r="G92" s="4">
        <f>ROUND('Group Inputs'!ET5,2)</f>
        <v>1.0</v>
      </c>
      <c r="H92" s="4">
        <f>ROUND('Group Inputs'!ET6,2)</f>
        <v>1.0</v>
      </c>
      <c r="I92" s="4">
        <f>ROUND('Group Inputs'!ET7,2)</f>
        <v>1.0</v>
      </c>
      <c r="J92" s="4">
        <f>ROUND('Group Inputs'!ET8,2)</f>
        <v>1.0</v>
      </c>
      <c r="K92" s="4">
        <f>ROUND('Group Inputs'!ET9,2)</f>
        <v>1.0</v>
      </c>
      <c r="L92" s="3" t="s">
        <v>850</v>
      </c>
      <c r="M92" s="3" t="s">
        <v>843</v>
      </c>
      <c r="N92" s="3" t="s">
        <v>336</v>
      </c>
    </row>
    <row r="93" spans="1:14">
      <c r="A93" s="2" t="s">
        <v>851</v>
      </c>
      <c r="B93" s="3" t="s">
        <v>852</v>
      </c>
      <c r="C93" s="3" t="s">
        <v>514</v>
      </c>
      <c r="D93" s="3" t="s">
        <v>598</v>
      </c>
      <c r="E93" s="3" t="s">
        <v>852</v>
      </c>
      <c r="F93" s="4">
        <f>ROUND('Group Inputs'!EU4,2)</f>
        <v>8.0</v>
      </c>
      <c r="G93" s="4">
        <f>ROUND('Group Inputs'!EU5,2)</f>
        <v>8.0</v>
      </c>
      <c r="H93" s="4">
        <f>ROUND('Group Inputs'!EU6,2)</f>
        <v>8.0</v>
      </c>
      <c r="I93" s="4">
        <f>ROUND('Group Inputs'!EU7,2)</f>
        <v>7.0</v>
      </c>
      <c r="J93" s="4">
        <f>ROUND('Group Inputs'!EU8,2)</f>
        <v>8.0</v>
      </c>
      <c r="K93" s="4">
        <f>ROUND('Group Inputs'!EU9,2)</f>
        <v>7.0</v>
      </c>
      <c r="L93" s="3" t="s">
        <v>853</v>
      </c>
      <c r="M93" s="3" t="s">
        <v>854</v>
      </c>
      <c r="N93" s="3" t="s">
        <v>338</v>
      </c>
    </row>
    <row r="94" spans="1:14">
      <c r="A94" s="2" t="s">
        <v>855</v>
      </c>
      <c r="B94" s="3" t="s">
        <v>856</v>
      </c>
      <c r="C94" s="3" t="s">
        <v>514</v>
      </c>
      <c r="D94" s="3" t="s">
        <v>598</v>
      </c>
      <c r="E94" s="3" t="s">
        <v>856</v>
      </c>
      <c r="F94" s="4">
        <f>ROUND('Group Inputs'!EV4,2)</f>
        <v>0.0</v>
      </c>
      <c r="G94" s="4">
        <f>ROUND('Group Inputs'!EV5,2)</f>
        <v>0.0</v>
      </c>
      <c r="H94" s="4">
        <f>ROUND('Group Inputs'!EV6,2)</f>
        <v>0.0</v>
      </c>
      <c r="I94" s="4">
        <f>ROUND('Group Inputs'!EV7,2)</f>
        <v>0.0</v>
      </c>
      <c r="J94" s="4">
        <f>ROUND('Group Inputs'!EV8,2)</f>
        <v>0.0</v>
      </c>
      <c r="K94" s="4">
        <f>ROUND('Group Inputs'!EV9,2)</f>
        <v>0.0</v>
      </c>
      <c r="L94" s="3" t="s">
        <v>847</v>
      </c>
      <c r="M94" s="3" t="s">
        <v>843</v>
      </c>
      <c r="N94" s="3" t="s">
        <v>340</v>
      </c>
    </row>
    <row r="95" spans="1:14">
      <c r="A95" s="2" t="s">
        <v>857</v>
      </c>
      <c r="B95" s="3" t="s">
        <v>858</v>
      </c>
      <c r="C95" s="3" t="s">
        <v>514</v>
      </c>
      <c r="D95" s="3" t="s">
        <v>598</v>
      </c>
      <c r="E95" s="3" t="s">
        <v>859</v>
      </c>
      <c r="F95" s="4">
        <f>ROUND('Group Inputs'!EW4,2)</f>
        <v>1.0</v>
      </c>
      <c r="G95" s="4">
        <f>ROUND('Group Inputs'!EW5,2)</f>
        <v>1.0</v>
      </c>
      <c r="H95" s="4">
        <f>ROUND('Group Inputs'!EW6,2)</f>
        <v>1.0</v>
      </c>
      <c r="I95" s="4">
        <f>ROUND('Group Inputs'!EW7,2)</f>
        <v>1.0</v>
      </c>
      <c r="J95" s="4">
        <f>ROUND('Group Inputs'!EW8,2)</f>
        <v>1.0</v>
      </c>
      <c r="K95" s="4">
        <f>ROUND('Group Inputs'!EW9,2)</f>
        <v>1.0</v>
      </c>
      <c r="L95" s="3" t="s">
        <v>850</v>
      </c>
      <c r="M95" s="3" t="s">
        <v>843</v>
      </c>
      <c r="N95" s="3" t="s">
        <v>342</v>
      </c>
    </row>
    <row r="96" spans="1:14">
      <c r="A96" s="2" t="s">
        <v>860</v>
      </c>
      <c r="B96" s="3" t="s">
        <v>861</v>
      </c>
      <c r="C96" s="3" t="s">
        <v>514</v>
      </c>
      <c r="D96" s="3" t="s">
        <v>598</v>
      </c>
      <c r="E96" s="3" t="s">
        <v>862</v>
      </c>
      <c r="F96" s="4">
        <f>ROUND('Group Inputs'!EX4,2)</f>
        <v>1.0</v>
      </c>
      <c r="G96" s="4">
        <f>ROUND('Group Inputs'!EX5,2)</f>
        <v>1.0</v>
      </c>
      <c r="H96" s="4">
        <f>ROUND('Group Inputs'!EX6,2)</f>
        <v>1.0</v>
      </c>
      <c r="I96" s="4">
        <f>ROUND('Group Inputs'!EX7,2)</f>
        <v>1.0</v>
      </c>
      <c r="J96" s="4">
        <f>ROUND('Group Inputs'!EX8,2)</f>
        <v>1.0</v>
      </c>
      <c r="K96" s="4">
        <f>ROUND('Group Inputs'!EX9,2)</f>
        <v>1.0</v>
      </c>
      <c r="L96" s="3" t="s">
        <v>850</v>
      </c>
      <c r="M96" s="3" t="s">
        <v>843</v>
      </c>
      <c r="N96" s="3" t="s">
        <v>344</v>
      </c>
    </row>
    <row r="97" spans="1:14">
      <c r="A97" s="2" t="s">
        <v>863</v>
      </c>
      <c r="B97" s="3" t="s">
        <v>864</v>
      </c>
      <c r="C97" s="3" t="s">
        <v>514</v>
      </c>
      <c r="D97" s="3" t="s">
        <v>598</v>
      </c>
      <c r="E97" s="3" t="s">
        <v>864</v>
      </c>
      <c r="F97" s="4">
        <f>ROUND('Group Inputs'!FH4,2)</f>
        <v>0.0</v>
      </c>
      <c r="G97" s="4">
        <f>ROUND('Group Inputs'!FH5,2)</f>
        <v>0.0</v>
      </c>
      <c r="H97" s="4">
        <f>ROUND('Group Inputs'!FH6,2)</f>
        <v>0.0</v>
      </c>
      <c r="I97" s="4">
        <f>ROUND('Group Inputs'!FH7,2)</f>
        <v>0.0</v>
      </c>
      <c r="J97" s="4">
        <f>ROUND('Group Inputs'!FH8,2)</f>
        <v>1.0</v>
      </c>
      <c r="K97" s="4">
        <f>ROUND('Group Inputs'!FH9,2)</f>
        <v>1.0</v>
      </c>
      <c r="L97" s="3" t="s">
        <v>850</v>
      </c>
      <c r="M97" s="3" t="s">
        <v>843</v>
      </c>
      <c r="N97" s="3" t="s">
        <v>364</v>
      </c>
    </row>
    <row r="98" spans="1:14">
      <c r="A98" s="2" t="s">
        <v>865</v>
      </c>
      <c r="B98" s="3" t="s">
        <v>866</v>
      </c>
      <c r="C98" s="3" t="s">
        <v>447</v>
      </c>
      <c r="D98" s="3" t="s">
        <v>598</v>
      </c>
      <c r="E98" s="3" t="s">
        <v>867</v>
      </c>
      <c r="F98" s="4">
        <f>ROUND(IF('Group Inputs'!EY4=0,0,100*'Group Inputs'!EZ4/'Group Inputs'!EY4),2)</f>
        <v>87.96</v>
      </c>
      <c r="G98" s="4">
        <f>ROUND(IF('Group Inputs'!EY5=0,0,100*'Group Inputs'!EZ5/'Group Inputs'!EY5),2)</f>
        <v>87.96</v>
      </c>
      <c r="H98" s="4">
        <f>ROUND(IF('Group Inputs'!EY6=0,0,100*'Group Inputs'!EZ6/'Group Inputs'!EY6),2)</f>
        <v>87.96</v>
      </c>
      <c r="I98" s="4">
        <f>ROUND(IF('Group Inputs'!EY7=0,0,100*'Group Inputs'!EZ7/'Group Inputs'!EY7),2)</f>
        <v>88.89</v>
      </c>
      <c r="J98" s="4">
        <f>ROUND(IF('Group Inputs'!EY8=0,0,100*'Group Inputs'!EZ8/'Group Inputs'!EY8),2)</f>
        <v>87.96</v>
      </c>
      <c r="K98" s="4">
        <f>ROUND(IF('Group Inputs'!EY9=0,0,100*'Group Inputs'!EZ9/'Group Inputs'!EY9),2)</f>
        <v>87.96</v>
      </c>
      <c r="L98" s="3" t="s">
        <v>868</v>
      </c>
      <c r="M98" s="3" t="s">
        <v>843</v>
      </c>
      <c r="N98" s="3" t="s">
        <v>869</v>
      </c>
    </row>
    <row r="99" spans="1:14">
      <c r="A99" s="2" t="s">
        <v>870</v>
      </c>
      <c r="B99" s="3" t="s">
        <v>871</v>
      </c>
      <c r="C99" s="3" t="s">
        <v>185</v>
      </c>
      <c r="D99" s="3" t="s">
        <v>575</v>
      </c>
      <c r="E99" s="3" t="s">
        <v>872</v>
      </c>
      <c r="F99" s="4">
        <f>ROUND(IF(SUM('Group Inputs'!FA$4:FA4)=0,0,SUM('Group Inputs'!FB$4:FB4)/SUM('Group Inputs'!FA$4:FA4)),2)</f>
        <v>33.2</v>
      </c>
      <c r="G99" s="4">
        <f>ROUND(IF(SUM('Group Inputs'!FA$4:FA5)=0,0,SUM('Group Inputs'!FB$4:FB5)/SUM('Group Inputs'!FA$4:FA5)),2)</f>
        <v>32.0</v>
      </c>
      <c r="H99" s="4">
        <f>ROUND(IF(SUM('Group Inputs'!FA$4:FA6)=0,0,SUM('Group Inputs'!FB$4:FB6)/SUM('Group Inputs'!FA$4:FA6)),2)</f>
        <v>33.31</v>
      </c>
      <c r="I99" s="4">
        <f>ROUND(IF(SUM('Group Inputs'!FA$4:FA7)=0,0,SUM('Group Inputs'!FB$4:FB7)/SUM('Group Inputs'!FA$4:FA7)),2)</f>
        <v>32.41</v>
      </c>
      <c r="J99" s="4">
        <f>ROUND(IF(SUM('Group Inputs'!FA$4:FA8)=0,0,SUM('Group Inputs'!FB$4:FB8)/SUM('Group Inputs'!FA$4:FA8)),2)</f>
        <v>32.71</v>
      </c>
      <c r="K99" s="4">
        <f>ROUND(IF(SUM('Group Inputs'!FA$4:FA9)=0,0,SUM('Group Inputs'!FB$4:FB9)/SUM('Group Inputs'!FA$4:FA9)),2)</f>
        <v>32.81</v>
      </c>
      <c r="L99" s="3" t="s">
        <v>873</v>
      </c>
      <c r="M99" s="3" t="s">
        <v>843</v>
      </c>
      <c r="N99" s="3" t="s">
        <v>874</v>
      </c>
    </row>
    <row r="100" spans="1:14">
      <c r="A100" s="2" t="s">
        <v>875</v>
      </c>
      <c r="B100" s="3" t="s">
        <v>876</v>
      </c>
      <c r="C100" s="3" t="s">
        <v>447</v>
      </c>
      <c r="D100" s="3" t="s">
        <v>598</v>
      </c>
      <c r="E100" s="3" t="s">
        <v>877</v>
      </c>
      <c r="F100" s="4">
        <f>ROUND(IF('Group Inputs'!FC4=0,0,100*'Group Inputs'!FD4/'Group Inputs'!FC4),2)</f>
        <v>83.93</v>
      </c>
      <c r="G100" s="4">
        <f>ROUND(IF('Group Inputs'!FC5=0,0,100*'Group Inputs'!FD5/'Group Inputs'!FC5),2)</f>
        <v>83.93</v>
      </c>
      <c r="H100" s="4">
        <f>ROUND(IF('Group Inputs'!FC6=0,0,100*'Group Inputs'!FD6/'Group Inputs'!FC6),2)</f>
        <v>83.93</v>
      </c>
      <c r="I100" s="4">
        <f>ROUND(IF('Group Inputs'!FC7=0,0,100*'Group Inputs'!FD7/'Group Inputs'!FC7),2)</f>
        <v>83.93</v>
      </c>
      <c r="J100" s="4">
        <f>ROUND(IF('Group Inputs'!FC8=0,0,100*'Group Inputs'!FD8/'Group Inputs'!FC8),2)</f>
        <v>83.93</v>
      </c>
      <c r="K100" s="4">
        <f>ROUND(IF('Group Inputs'!FC9=0,0,100*'Group Inputs'!FD9/'Group Inputs'!FC9),2)</f>
        <v>83.93</v>
      </c>
      <c r="L100" s="3" t="s">
        <v>878</v>
      </c>
      <c r="M100" s="3" t="s">
        <v>843</v>
      </c>
      <c r="N100" s="3" t="s">
        <v>879</v>
      </c>
    </row>
    <row r="101" spans="1:14">
      <c r="A101" s="2" t="s">
        <v>880</v>
      </c>
      <c r="B101" s="3" t="s">
        <v>881</v>
      </c>
      <c r="C101" s="3" t="s">
        <v>514</v>
      </c>
      <c r="D101" s="3" t="s">
        <v>598</v>
      </c>
      <c r="E101" s="3" t="s">
        <v>882</v>
      </c>
      <c r="F101" s="4">
        <f>ROUND('Group Inputs'!FC4-'Group Inputs'!FD4,2)</f>
        <v>9.0</v>
      </c>
      <c r="G101" s="4">
        <f>ROUND('Group Inputs'!FC5-'Group Inputs'!FD5,2)</f>
        <v>9.0</v>
      </c>
      <c r="H101" s="4">
        <f>ROUND('Group Inputs'!FC6-'Group Inputs'!FD6,2)</f>
        <v>9.0</v>
      </c>
      <c r="I101" s="4">
        <f>ROUND('Group Inputs'!FC7-'Group Inputs'!FD7,2)</f>
        <v>9.0</v>
      </c>
      <c r="J101" s="4">
        <f>ROUND('Group Inputs'!FC8-'Group Inputs'!FD8,2)</f>
        <v>9.0</v>
      </c>
      <c r="K101" s="4">
        <f>ROUND('Group Inputs'!FC9-'Group Inputs'!FD9,2)</f>
        <v>9.0</v>
      </c>
      <c r="L101" s="3" t="s">
        <v>883</v>
      </c>
      <c r="M101" s="3" t="s">
        <v>843</v>
      </c>
      <c r="N101" s="3" t="s">
        <v>879</v>
      </c>
    </row>
    <row r="102" spans="1:14">
      <c r="A102" s="2" t="s">
        <v>884</v>
      </c>
      <c r="B102" s="3" t="s">
        <v>885</v>
      </c>
      <c r="C102" s="3" t="s">
        <v>447</v>
      </c>
      <c r="D102" s="3" t="s">
        <v>21</v>
      </c>
      <c r="E102" s="3" t="s">
        <v>886</v>
      </c>
      <c r="F102" s="4">
        <f>ROUND(IF('Group Inputs'!FI4=0,0,100*'Group Inputs'!FJ4/'Group Inputs'!FI4),2)</f>
        <v>99.45</v>
      </c>
      <c r="G102" s="4">
        <f>ROUND(IF('Group Inputs'!FI5=0,0,100*'Group Inputs'!FJ5/'Group Inputs'!FI5),2)</f>
        <v>99.42</v>
      </c>
      <c r="H102" s="4">
        <f>ROUND(IF('Group Inputs'!FI6=0,0,100*'Group Inputs'!FJ6/'Group Inputs'!FI6),2)</f>
        <v>99.23</v>
      </c>
      <c r="I102" s="4">
        <f>ROUND(IF('Group Inputs'!FI7=0,0,100*'Group Inputs'!FJ7/'Group Inputs'!FI7),2)</f>
        <v>98.97</v>
      </c>
      <c r="J102" s="4">
        <f>ROUND(IF('Group Inputs'!FI8=0,0,100*'Group Inputs'!FJ8/'Group Inputs'!FI8),2)</f>
        <v>99.33</v>
      </c>
      <c r="K102" s="4">
        <f>ROUND(IF('Group Inputs'!FI9=0,0,100*'Group Inputs'!FJ9/'Group Inputs'!FI9),2)</f>
        <v>99.02</v>
      </c>
      <c r="L102" s="3" t="s">
        <v>887</v>
      </c>
      <c r="M102" s="3" t="s">
        <v>843</v>
      </c>
      <c r="N102" s="3" t="s">
        <v>888</v>
      </c>
    </row>
    <row r="103" spans="1:14">
      <c r="A103" s="2" t="s">
        <v>889</v>
      </c>
      <c r="B103" s="3" t="s">
        <v>890</v>
      </c>
      <c r="C103" s="3" t="s">
        <v>447</v>
      </c>
      <c r="D103" s="3" t="s">
        <v>21</v>
      </c>
      <c r="E103" s="3" t="s">
        <v>891</v>
      </c>
      <c r="F103" s="4">
        <f>ROUND(IF('Group Inputs'!FK4=0,0,100*'Group Inputs'!FL4/'Group Inputs'!FK4),2)</f>
        <v>96.83</v>
      </c>
      <c r="G103" s="4">
        <f>ROUND(IF('Group Inputs'!FK5=0,0,100*'Group Inputs'!FL5/'Group Inputs'!FK5),2)</f>
        <v>96.34</v>
      </c>
      <c r="H103" s="4">
        <f>ROUND(IF('Group Inputs'!FK6=0,0,100*'Group Inputs'!FL6/'Group Inputs'!FK6),2)</f>
        <v>96.46</v>
      </c>
      <c r="I103" s="4">
        <f>ROUND(IF('Group Inputs'!FK7=0,0,100*'Group Inputs'!FL7/'Group Inputs'!FK7),2)</f>
        <v>96.95</v>
      </c>
      <c r="J103" s="4">
        <f>ROUND(IF('Group Inputs'!FK8=0,0,100*'Group Inputs'!FL8/'Group Inputs'!FK8),2)</f>
        <v>96.83</v>
      </c>
      <c r="K103" s="4">
        <f>ROUND(IF('Group Inputs'!FK9=0,0,100*'Group Inputs'!FL9/'Group Inputs'!FK9),2)</f>
        <v>95.98</v>
      </c>
      <c r="L103" s="3" t="s">
        <v>892</v>
      </c>
      <c r="M103" s="3" t="s">
        <v>843</v>
      </c>
      <c r="N103" s="3" t="s">
        <v>893</v>
      </c>
    </row>
    <row r="104" spans="1:14">
      <c r="A104" s="2" t="s">
        <v>894</v>
      </c>
      <c r="B104" s="3" t="s">
        <v>895</v>
      </c>
      <c r="C104" s="3" t="s">
        <v>447</v>
      </c>
      <c r="D104" s="3" t="s">
        <v>21</v>
      </c>
      <c r="E104" s="3" t="s">
        <v>896</v>
      </c>
      <c r="F104" s="4">
        <f>ROUND(IF('Group Inputs'!AU4=0,0,100*ABS('Group Inputs'!CI4-'Group Inputs'!AU4)/'Group Inputs'!AU4),2)</f>
        <v>0.92</v>
      </c>
      <c r="G104" s="4">
        <f>ROUND(IF('Group Inputs'!AU5=0,0,100*ABS('Group Inputs'!CI5-'Group Inputs'!AU5)/'Group Inputs'!AU5),2)</f>
        <v>0.32</v>
      </c>
      <c r="H104" s="4">
        <f>ROUND(IF('Group Inputs'!AU6=0,0,100*ABS('Group Inputs'!CI6-'Group Inputs'!AU6)/'Group Inputs'!AU6),2)</f>
        <v>0.44</v>
      </c>
      <c r="I104" s="4">
        <f>ROUND(IF('Group Inputs'!AU7=0,0,100*ABS('Group Inputs'!CI7-'Group Inputs'!AU7)/'Group Inputs'!AU7),2)</f>
        <v>0.1</v>
      </c>
      <c r="J104" s="4">
        <f>ROUND(IF('Group Inputs'!AU8=0,0,100*ABS('Group Inputs'!CI8-'Group Inputs'!AU8)/'Group Inputs'!AU8),2)</f>
        <v>0.24</v>
      </c>
      <c r="K104" s="4">
        <f>ROUND(IF('Group Inputs'!AU9=0,0,100*ABS('Group Inputs'!CI9-'Group Inputs'!AU9)/'Group Inputs'!AU9),2)</f>
        <v>0.38</v>
      </c>
      <c r="L104" s="3" t="s">
        <v>897</v>
      </c>
      <c r="M104" s="3" t="s">
        <v>843</v>
      </c>
      <c r="N104" s="3" t="s">
        <v>898</v>
      </c>
    </row>
    <row r="105" spans="1:14">
      <c r="A105" s="2" t="s">
        <v>899</v>
      </c>
      <c r="B105" s="3" t="s">
        <v>900</v>
      </c>
      <c r="C105" s="3" t="s">
        <v>447</v>
      </c>
      <c r="D105" s="3" t="s">
        <v>21</v>
      </c>
      <c r="E105" s="3" t="s">
        <v>901</v>
      </c>
      <c r="F105" s="4">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0.29</v>
      </c>
      <c r="G105" s="4">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0.21</v>
      </c>
      <c r="H105" s="4">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0.28</v>
      </c>
      <c r="I105" s="4">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0.2</v>
      </c>
      <c r="J105" s="4">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0.23</v>
      </c>
      <c r="K105" s="4">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0.27</v>
      </c>
      <c r="L105" s="3" t="s">
        <v>902</v>
      </c>
      <c r="M105" s="3" t="s">
        <v>843</v>
      </c>
      <c r="N105" s="3" t="s">
        <v>903</v>
      </c>
    </row>
    <row r="106" spans="1:14">
      <c r="A106" s="2" t="s">
        <v>904</v>
      </c>
      <c r="B106" s="3" t="s">
        <v>905</v>
      </c>
      <c r="C106" s="3" t="s">
        <v>514</v>
      </c>
      <c r="D106" s="3" t="s">
        <v>598</v>
      </c>
      <c r="E106" s="3" t="s">
        <v>905</v>
      </c>
      <c r="F106" s="4">
        <f>ROUND('Group Inputs'!FM4,2)</f>
        <v>0.0</v>
      </c>
      <c r="G106" s="4">
        <f>ROUND('Group Inputs'!FM5,2)</f>
        <v>0.0</v>
      </c>
      <c r="H106" s="4">
        <f>ROUND('Group Inputs'!FM6,2)</f>
        <v>0.0</v>
      </c>
      <c r="I106" s="4">
        <f>ROUND('Group Inputs'!FM7,2)</f>
        <v>0.0</v>
      </c>
      <c r="J106" s="4">
        <f>ROUND('Group Inputs'!FM8,2)</f>
        <v>1.0</v>
      </c>
      <c r="K106" s="4">
        <f>ROUND('Group Inputs'!FM9,2)</f>
        <v>1.0</v>
      </c>
      <c r="L106" s="3" t="s">
        <v>906</v>
      </c>
      <c r="M106" s="3" t="s">
        <v>456</v>
      </c>
      <c r="N106" s="3" t="s">
        <v>374</v>
      </c>
    </row>
    <row r="107" spans="1:14">
      <c r="A107" s="2" t="s">
        <v>907</v>
      </c>
      <c r="B107" s="3" t="s">
        <v>908</v>
      </c>
      <c r="C107" s="3" t="s">
        <v>185</v>
      </c>
      <c r="D107" s="3" t="s">
        <v>21</v>
      </c>
      <c r="E107" s="3" t="s">
        <v>909</v>
      </c>
      <c r="F107" s="4">
        <f>ROUND(IF('Group Inputs'!FP4=0,0,'Group Inputs'!FQ4/'Group Inputs'!FP4),2)</f>
        <v>2.56</v>
      </c>
      <c r="G107" s="4">
        <f>ROUND(IF('Group Inputs'!FP5=0,0,'Group Inputs'!FQ5/'Group Inputs'!FP5),2)</f>
        <v>2.41</v>
      </c>
      <c r="H107" s="4">
        <f>ROUND(IF('Group Inputs'!FP6=0,0,'Group Inputs'!FQ6/'Group Inputs'!FP6),2)</f>
        <v>2.44</v>
      </c>
      <c r="I107" s="4">
        <f>ROUND(IF('Group Inputs'!FP7=0,0,'Group Inputs'!FQ7/'Group Inputs'!FP7),2)</f>
        <v>2.56</v>
      </c>
      <c r="J107" s="4">
        <f>ROUND(IF('Group Inputs'!FP8=0,0,'Group Inputs'!FQ8/'Group Inputs'!FP8),2)</f>
        <v>2.46</v>
      </c>
      <c r="K107" s="4">
        <f>ROUND(IF('Group Inputs'!FP9=0,0,'Group Inputs'!FQ9/'Group Inputs'!FP9),2)</f>
        <v>2.45</v>
      </c>
      <c r="L107" s="3" t="s">
        <v>910</v>
      </c>
      <c r="M107" s="3" t="s">
        <v>911</v>
      </c>
      <c r="N107" s="3" t="s">
        <v>912</v>
      </c>
    </row>
    <row r="108" spans="1:14">
      <c r="A108" s="2" t="s">
        <v>913</v>
      </c>
      <c r="B108" s="3" t="s">
        <v>914</v>
      </c>
      <c r="C108" s="3" t="s">
        <v>514</v>
      </c>
      <c r="D108" s="3" t="s">
        <v>21</v>
      </c>
      <c r="E108" s="3" t="s">
        <v>915</v>
      </c>
      <c r="F108" s="4">
        <f>ROUND('Group Inputs'!FR4,2)</f>
        <v>12.0</v>
      </c>
      <c r="G108" s="4">
        <f>ROUND('Group Inputs'!FR5,2)</f>
        <v>10.0</v>
      </c>
      <c r="H108" s="4">
        <f>ROUND('Group Inputs'!FR6,2)</f>
        <v>11.0</v>
      </c>
      <c r="I108" s="4">
        <f>ROUND('Group Inputs'!FR7,2)</f>
        <v>11.0</v>
      </c>
      <c r="J108" s="4">
        <f>ROUND('Group Inputs'!FR8,2)</f>
        <v>11.0</v>
      </c>
      <c r="K108" s="4">
        <f>ROUND('Group Inputs'!FR9,2)</f>
        <v>11.0</v>
      </c>
      <c r="L108" s="3" t="s">
        <v>916</v>
      </c>
      <c r="M108" s="3" t="s">
        <v>911</v>
      </c>
      <c r="N108" s="3" t="s">
        <v>384</v>
      </c>
    </row>
    <row r="109" spans="1:14">
      <c r="A109" s="2" t="s">
        <v>917</v>
      </c>
      <c r="B109" s="3" t="s">
        <v>918</v>
      </c>
      <c r="C109" s="3" t="s">
        <v>514</v>
      </c>
      <c r="D109" s="3" t="s">
        <v>919</v>
      </c>
      <c r="E109" s="3" t="s">
        <v>920</v>
      </c>
      <c r="F109" s="4">
        <f>ROUND(SUM('Group Inputs'!FS4:FS4),2)</f>
        <v>0.0</v>
      </c>
      <c r="G109" s="4">
        <f>ROUND(SUM('Group Inputs'!FS4:FS5),2)</f>
        <v>1.0</v>
      </c>
      <c r="H109" s="4">
        <f>ROUND(SUM('Group Inputs'!FS4:FS6),2)</f>
        <v>2.0</v>
      </c>
      <c r="I109" s="4">
        <f>ROUND(SUM('Group Inputs'!FS5:FS7),2)</f>
        <v>4.0</v>
      </c>
      <c r="J109" s="4">
        <f>ROUND(SUM('Group Inputs'!FS6:FS8),2)</f>
        <v>4.0</v>
      </c>
      <c r="K109" s="4">
        <f>ROUND(SUM('Group Inputs'!FS7:FS9),2)</f>
        <v>4.0</v>
      </c>
      <c r="L109" s="3" t="s">
        <v>921</v>
      </c>
      <c r="M109" s="3" t="s">
        <v>911</v>
      </c>
      <c r="N109" s="3" t="s">
        <v>386</v>
      </c>
    </row>
    <row r="110" spans="1:14">
      <c r="A110" s="2" t="s">
        <v>922</v>
      </c>
      <c r="B110" s="3" t="s">
        <v>923</v>
      </c>
      <c r="C110" s="3" t="s">
        <v>729</v>
      </c>
      <c r="D110" s="3" t="s">
        <v>575</v>
      </c>
      <c r="E110" s="3" t="s">
        <v>924</v>
      </c>
      <c r="F110" s="8" t="str">
        <f>SUM('Group Inputs'!FU$4:FU4)&amp;" of "&amp;SUM('Group Inputs'!FT$4:FT4)</f>
        <v>1 of 1</v>
      </c>
      <c r="G110" s="8" t="str">
        <f>SUM('Group Inputs'!FU$4:FU5)&amp;" of "&amp;SUM('Group Inputs'!FT$4:FT5)</f>
        <v>2 of 2</v>
      </c>
      <c r="H110" s="8" t="str">
        <f>SUM('Group Inputs'!FU$4:FU6)&amp;" of "&amp;SUM('Group Inputs'!FT$4:FT6)</f>
        <v>2 of 3</v>
      </c>
      <c r="I110" s="8" t="str">
        <f>SUM('Group Inputs'!FU$4:FU7)&amp;" of "&amp;SUM('Group Inputs'!FT$4:FT7)</f>
        <v>4 of 5</v>
      </c>
      <c r="J110" s="8" t="str">
        <f>SUM('Group Inputs'!FU$4:FU8)&amp;" of "&amp;SUM('Group Inputs'!FT$4:FT8)</f>
        <v>6 of 7</v>
      </c>
      <c r="K110" s="8" t="str">
        <f>SUM('Group Inputs'!FU$4:FU9)&amp;" of "&amp;SUM('Group Inputs'!FT$4:FT9)</f>
        <v>8 of 9</v>
      </c>
      <c r="L110" s="3" t="s">
        <v>925</v>
      </c>
      <c r="M110" s="3" t="s">
        <v>911</v>
      </c>
      <c r="N110" s="3" t="s">
        <v>926</v>
      </c>
    </row>
    <row r="111" spans="1:14">
      <c r="A111" s="2" t="s">
        <v>927</v>
      </c>
      <c r="B111" s="3" t="s">
        <v>928</v>
      </c>
      <c r="C111" s="3" t="s">
        <v>185</v>
      </c>
      <c r="D111" s="3" t="s">
        <v>21</v>
      </c>
      <c r="E111" s="3" t="s">
        <v>929</v>
      </c>
      <c r="F111" s="4">
        <f>ROUND(IF('Group Inputs'!CQ4=0,0,('Group Inputs'!CR4-'Group Inputs'!CS4)/'Group Inputs'!CQ4),2)</f>
        <v>0.16</v>
      </c>
      <c r="G111" s="4">
        <f>ROUND(IF('Group Inputs'!CQ5=0,0,('Group Inputs'!CR5-'Group Inputs'!CS5)/'Group Inputs'!CQ5),2)</f>
        <v>-0.01</v>
      </c>
      <c r="H111" s="4">
        <f>ROUND(IF('Group Inputs'!CQ6=0,0,('Group Inputs'!CR6-'Group Inputs'!CS6)/'Group Inputs'!CQ6),2)</f>
        <v>0.13</v>
      </c>
      <c r="I111" s="4">
        <f>ROUND(IF('Group Inputs'!CQ7=0,0,('Group Inputs'!CR7-'Group Inputs'!CS7)/'Group Inputs'!CQ7),2)</f>
        <v>0.03</v>
      </c>
      <c r="J111" s="4">
        <f>ROUND(IF('Group Inputs'!CQ8=0,0,('Group Inputs'!CR8-'Group Inputs'!CS8)/'Group Inputs'!CQ8),2)</f>
        <v>1.41</v>
      </c>
      <c r="K111" s="4">
        <f>ROUND(IF('Group Inputs'!CQ9=0,0,('Group Inputs'!CR9-'Group Inputs'!CS9)/'Group Inputs'!CQ9),2)</f>
        <v>1.12</v>
      </c>
      <c r="L111" s="3" t="s">
        <v>930</v>
      </c>
      <c r="M111" s="3" t="s">
        <v>609</v>
      </c>
      <c r="N111" s="3" t="s">
        <v>931</v>
      </c>
    </row>
    <row r="112" spans="1:14">
      <c r="A112" s="2" t="s">
        <v>932</v>
      </c>
      <c r="B112" s="3" t="s">
        <v>933</v>
      </c>
      <c r="C112" s="3" t="s">
        <v>729</v>
      </c>
      <c r="D112" s="3" t="s">
        <v>21</v>
      </c>
      <c r="E112" s="3" t="s">
        <v>934</v>
      </c>
      <c r="F112" s="8" t="str">
        <f>IF('Group Inputs'!FZ4&lt;0,"Triggered","Not triggered")</f>
        <v>Not triggered</v>
      </c>
      <c r="G112" s="8" t="str">
        <f>IF('Group Inputs'!FZ5&lt;0,"Triggered","Not triggered")</f>
        <v>Not triggered</v>
      </c>
      <c r="H112" s="8" t="str">
        <f>IF('Group Inputs'!FZ6&lt;0,"Triggered","Not triggered")</f>
        <v>Not triggered</v>
      </c>
      <c r="I112" s="8" t="str">
        <f>IF('Group Inputs'!FZ7&lt;0,"Triggered","Not triggered")</f>
        <v>Not triggered</v>
      </c>
      <c r="J112" s="8" t="str">
        <f>IF('Group Inputs'!FZ8&lt;0,"Triggered","Not triggered")</f>
        <v>Not triggered</v>
      </c>
      <c r="K112" s="8" t="str">
        <f>IF('Group Inputs'!FZ9&lt;0,"Triggered","Not triggered")</f>
        <v>Not triggered</v>
      </c>
      <c r="L112" s="3" t="s">
        <v>935</v>
      </c>
      <c r="M112" s="3" t="s">
        <v>609</v>
      </c>
      <c r="N112" s="3" t="s">
        <v>408</v>
      </c>
    </row>
    <row r="113" spans="1:14">
      <c r="A113" s="2" t="s">
        <v>936</v>
      </c>
      <c r="B113" s="3" t="s">
        <v>937</v>
      </c>
      <c r="C113" s="3" t="s">
        <v>185</v>
      </c>
      <c r="D113" s="3" t="s">
        <v>938</v>
      </c>
      <c r="E113" s="3" t="s">
        <v>939</v>
      </c>
      <c r="F113" s="4">
        <f>ROUND('Group Inputs'!BS4,2)</f>
        <v>17.0</v>
      </c>
      <c r="G113" s="4">
        <f>ROUND('Group Inputs'!BS5,2)</f>
        <v>12.0</v>
      </c>
      <c r="H113" s="4">
        <f>ROUND('Group Inputs'!BS6,2)</f>
        <v>18.0</v>
      </c>
      <c r="I113" s="4">
        <f>ROUND('Group Inputs'!BS7,2)</f>
        <v>12.0</v>
      </c>
      <c r="J113" s="4">
        <f>ROUND('Group Inputs'!BS8,2)</f>
        <v>10.0</v>
      </c>
      <c r="K113" s="4">
        <f>ROUND('Group Inputs'!BS9,2)</f>
        <v>4.0</v>
      </c>
      <c r="L113" s="3" t="s">
        <v>940</v>
      </c>
      <c r="M113" s="3" t="s">
        <v>941</v>
      </c>
      <c r="N113" s="3" t="s">
        <v>159</v>
      </c>
    </row>
    <row r="114" spans="1:14">
      <c r="A114" s="2" t="s">
        <v>942</v>
      </c>
      <c r="B114" s="3" t="s">
        <v>943</v>
      </c>
      <c r="C114" s="3" t="s">
        <v>447</v>
      </c>
      <c r="D114" s="3" t="s">
        <v>944</v>
      </c>
      <c r="E114" s="3" t="s">
        <v>945</v>
      </c>
      <c r="F114" s="4">
        <f>ROUND(100*NORM.DIST('Group Inputs'!BT4,'Group Inputs'!BU4,SQRT('Group Inputs'!BV4),TRUE),2)</f>
        <v>64.9</v>
      </c>
      <c r="G114" s="4">
        <f>ROUND(100*NORM.DIST('Group Inputs'!BT5,'Group Inputs'!BU5,SQRT('Group Inputs'!BV5),TRUE),2)</f>
        <v>59.89</v>
      </c>
      <c r="H114" s="4">
        <f>ROUND(100*NORM.DIST('Group Inputs'!BT6,'Group Inputs'!BU6,SQRT('Group Inputs'!BV6),TRUE),2)</f>
        <v>65.54</v>
      </c>
      <c r="I114" s="4">
        <f>ROUND(100*NORM.DIST('Group Inputs'!BT7,'Group Inputs'!BU7,SQRT('Group Inputs'!BV7),TRUE),2)</f>
        <v>65.82</v>
      </c>
      <c r="J114" s="4">
        <f>ROUND(100*NORM.DIST('Group Inputs'!BT8,'Group Inputs'!BU8,SQRT('Group Inputs'!BV8),TRUE),2)</f>
        <v>61.08</v>
      </c>
      <c r="K114" s="4">
        <f>ROUND(100*NORM.DIST('Group Inputs'!BT9,'Group Inputs'!BU9,SQRT('Group Inputs'!BV9),TRUE),2)</f>
        <v>69.69</v>
      </c>
      <c r="L114" s="3" t="s">
        <v>946</v>
      </c>
      <c r="M114" s="3" t="s">
        <v>947</v>
      </c>
      <c r="N114" s="3" t="s">
        <v>948</v>
      </c>
    </row>
    <row r="115" spans="1:14">
      <c r="A115" s="2" t="s">
        <v>949</v>
      </c>
      <c r="B115" s="3" t="s">
        <v>950</v>
      </c>
      <c r="C115" s="3" t="s">
        <v>574</v>
      </c>
      <c r="D115" s="3" t="s">
        <v>938</v>
      </c>
      <c r="E115" s="3" t="s">
        <v>951</v>
      </c>
      <c r="F115" s="4">
        <f>ROUND(('Group Inputs'!CU4-'Group Inputs'!CV4)/1000,2)</f>
        <v>-21.12</v>
      </c>
      <c r="G115" s="4">
        <f>ROUND(('Group Inputs'!CU5-'Group Inputs'!CV5)/1000,2)</f>
        <v>-20.76</v>
      </c>
      <c r="H115" s="4">
        <f>ROUND(('Group Inputs'!CU6-'Group Inputs'!CV6)/1000,2)</f>
        <v>-12.01</v>
      </c>
      <c r="I115" s="4">
        <f>ROUND(('Group Inputs'!CU7-'Group Inputs'!CV7)/1000,2)</f>
        <v>-13.98</v>
      </c>
      <c r="J115" s="4">
        <f>ROUND(('Group Inputs'!CU8-'Group Inputs'!CV8)/1000,2)</f>
        <v>-38.92</v>
      </c>
      <c r="K115" s="4">
        <f>ROUND(('Group Inputs'!CU9-'Group Inputs'!CV9)/1000,2)</f>
        <v>-56.18</v>
      </c>
      <c r="L115" s="3" t="s">
        <v>952</v>
      </c>
      <c r="M115" s="3" t="s">
        <v>953</v>
      </c>
      <c r="N115" s="3" t="s">
        <v>954</v>
      </c>
    </row>
    <row r="116" spans="1:14">
      <c r="A116" s="2" t="s">
        <v>955</v>
      </c>
      <c r="B116" s="3" t="s">
        <v>956</v>
      </c>
      <c r="C116" s="3" t="s">
        <v>957</v>
      </c>
      <c r="D116" s="3" t="s">
        <v>958</v>
      </c>
      <c r="E116" s="3" t="s">
        <v>959</v>
      </c>
      <c r="F116" s="8" t="str">
        <f>IF('Group Inputs'!CC4+'Group Inputs'!CD4+'Group Inputs'!CW4&gt;=0,"None within 90 d",ROUND(('Group Inputs'!CC4+'Group Inputs'!CD4+'Group Inputs'!CW4)/1000,1))</f>
        <v>None within 90 d</v>
      </c>
      <c r="G116" s="8" t="str">
        <f>IF('Group Inputs'!CC5+'Group Inputs'!CD5+'Group Inputs'!CW5&gt;=0,"None within 90 d",ROUND(('Group Inputs'!CC5+'Group Inputs'!CD5+'Group Inputs'!CW5)/1000,1))</f>
        <v>None within 90 d</v>
      </c>
      <c r="H116" s="8" t="str">
        <f>IF('Group Inputs'!CC6+'Group Inputs'!CD6+'Group Inputs'!CW6&gt;=0,"None within 90 d",ROUND(('Group Inputs'!CC6+'Group Inputs'!CD6+'Group Inputs'!CW6)/1000,1))</f>
        <v>None within 90 d</v>
      </c>
      <c r="I116" s="8" t="str">
        <f>IF('Group Inputs'!CC7+'Group Inputs'!CD7+'Group Inputs'!CW7&gt;=0,"None within 90 d",ROUND(('Group Inputs'!CC7+'Group Inputs'!CD7+'Group Inputs'!CW7)/1000,1))</f>
        <v>None within 90 d</v>
      </c>
      <c r="J116" s="8" t="str">
        <f>IF('Group Inputs'!CC8+'Group Inputs'!CD8+'Group Inputs'!CW8&gt;=0,"None within 90 d",ROUND(('Group Inputs'!CC8+'Group Inputs'!CD8+'Group Inputs'!CW8)/1000,1))</f>
        <v>None within 90 d</v>
      </c>
      <c r="K116" s="8" t="str">
        <f>IF('Group Inputs'!CC9+'Group Inputs'!CD9+'Group Inputs'!CW9&gt;=0,"None within 90 d",ROUND(('Group Inputs'!CC9+'Group Inputs'!CD9+'Group Inputs'!CW9)/1000,1))</f>
        <v>None within 90 d</v>
      </c>
      <c r="L116" s="3" t="s">
        <v>960</v>
      </c>
      <c r="M116" s="3" t="s">
        <v>961</v>
      </c>
      <c r="N116" s="3" t="s">
        <v>962</v>
      </c>
    </row>
    <row r="117" spans="1:14">
      <c r="A117" s="2" t="s">
        <v>963</v>
      </c>
      <c r="B117" s="3" t="s">
        <v>964</v>
      </c>
      <c r="C117" s="3" t="s">
        <v>729</v>
      </c>
      <c r="D117" s="3" t="s">
        <v>965</v>
      </c>
      <c r="E117" s="3" t="s">
        <v>966</v>
      </c>
      <c r="F117" s="8" t="str">
        <f>IF('Group Inputs'!CY4=0,"No forecast",IF('Group Inputs'!CX4/'Group Inputs'!CY4&gt;Parameters!$B$4,"Breach forecast","Not forecast"))</f>
        <v>Not forecast</v>
      </c>
      <c r="G117" s="8" t="str">
        <f>IF('Group Inputs'!CY5=0,"No forecast",IF('Group Inputs'!CX5/'Group Inputs'!CY5&gt;Parameters!$B$4,"Breach forecast","Not forecast"))</f>
        <v>Not forecast</v>
      </c>
      <c r="H117" s="8" t="str">
        <f>IF('Group Inputs'!CY6=0,"No forecast",IF('Group Inputs'!CX6/'Group Inputs'!CY6&gt;Parameters!$B$4,"Breach forecast","Not forecast"))</f>
        <v>Not forecast</v>
      </c>
      <c r="I117" s="8" t="str">
        <f>IF('Group Inputs'!CY7=0,"No forecast",IF('Group Inputs'!CX7/'Group Inputs'!CY7&gt;Parameters!$B$4,"Breach forecast","Not forecast"))</f>
        <v>Not forecast</v>
      </c>
      <c r="J117" s="8" t="str">
        <f>IF('Group Inputs'!CY8=0,"No forecast",IF('Group Inputs'!CX8/'Group Inputs'!CY8&gt;Parameters!$B$4,"Breach forecast","Not forecast"))</f>
        <v>Not forecast</v>
      </c>
      <c r="K117" s="8" t="str">
        <f>IF('Group Inputs'!CY9=0,"No forecast",IF('Group Inputs'!CX9/'Group Inputs'!CY9&gt;Parameters!$B$4,"Breach forecast","Not forecast"))</f>
        <v>Not forecast</v>
      </c>
      <c r="L117" s="3" t="s">
        <v>967</v>
      </c>
      <c r="M117" s="3" t="s">
        <v>961</v>
      </c>
      <c r="N117" s="3" t="s">
        <v>968</v>
      </c>
    </row>
    <row r="118" spans="1:14">
      <c r="A118" s="2" t="s">
        <v>969</v>
      </c>
      <c r="B118" s="3" t="s">
        <v>970</v>
      </c>
      <c r="C118" s="3" t="s">
        <v>971</v>
      </c>
      <c r="D118" s="3" t="s">
        <v>944</v>
      </c>
      <c r="E118" s="3" t="s">
        <v>972</v>
      </c>
      <c r="F118" s="4">
        <f>ROUND('Group Inputs'!BX4/1000,2)</f>
        <v>19.21</v>
      </c>
      <c r="G118" s="4">
        <f>ROUND('Group Inputs'!BX5/1000,2)</f>
        <v>28.02</v>
      </c>
      <c r="H118" s="4">
        <f>ROUND('Group Inputs'!BX6/1000,2)</f>
        <v>23.28</v>
      </c>
      <c r="I118" s="4">
        <f>ROUND('Group Inputs'!BX7/1000,2)</f>
        <v>32.77</v>
      </c>
      <c r="J118" s="4">
        <f>ROUND('Group Inputs'!BX8/1000,2)</f>
        <v>28.34</v>
      </c>
      <c r="K118" s="4">
        <f>ROUND('Group Inputs'!BX9/1000,2)</f>
        <v>28.01</v>
      </c>
      <c r="L118" s="3" t="s">
        <v>973</v>
      </c>
      <c r="M118" s="3" t="s">
        <v>463</v>
      </c>
      <c r="N118" s="3" t="s">
        <v>169</v>
      </c>
    </row>
    <row r="119" spans="1:14">
      <c r="A119" s="2" t="s">
        <v>974</v>
      </c>
      <c r="B119" s="3" t="s">
        <v>975</v>
      </c>
      <c r="C119" s="3" t="s">
        <v>447</v>
      </c>
      <c r="D119" s="3" t="s">
        <v>944</v>
      </c>
      <c r="E119" s="3" t="s">
        <v>976</v>
      </c>
      <c r="F119" s="4">
        <f>ROUND(100*NORM.DIST(0.78*'Group Inputs'!BW4,'Group Inputs'!BU4,SQRT('Group Inputs'!BV4),TRUE),2)</f>
        <v>0.0</v>
      </c>
      <c r="G119" s="4">
        <f>ROUND(100*NORM.DIST(0.78*'Group Inputs'!BW5,'Group Inputs'!BU5,SQRT('Group Inputs'!BV5),TRUE),2)</f>
        <v>0.0</v>
      </c>
      <c r="H119" s="4">
        <f>ROUND(100*NORM.DIST(0.78*'Group Inputs'!BW6,'Group Inputs'!BU6,SQRT('Group Inputs'!BV6),TRUE),2)</f>
        <v>0.0</v>
      </c>
      <c r="I119" s="4">
        <f>ROUND(100*NORM.DIST(0.78*'Group Inputs'!BW7,'Group Inputs'!BU7,SQRT('Group Inputs'!BV7),TRUE),2)</f>
        <v>0.0</v>
      </c>
      <c r="J119" s="4">
        <f>ROUND(100*NORM.DIST(0.78*'Group Inputs'!BW8,'Group Inputs'!BU8,SQRT('Group Inputs'!BV8),TRUE),2)</f>
        <v>0.0</v>
      </c>
      <c r="K119" s="4">
        <f>ROUND(100*NORM.DIST(0.78*'Group Inputs'!BW9,'Group Inputs'!BU9,SQRT('Group Inputs'!BV9),TRUE),2)</f>
        <v>0.0</v>
      </c>
      <c r="L119" s="3" t="s">
        <v>977</v>
      </c>
      <c r="M119" s="3" t="s">
        <v>463</v>
      </c>
      <c r="N119" s="3" t="s">
        <v>978</v>
      </c>
    </row>
  </sheetData>
  <autoFilter ref="A1:N119"/>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J19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5.7109375" customWidth="1"/>
    <col min="2" max="2" width="16.7109375" customWidth="1"/>
    <col min="3" max="3" width="34.7109375" customWidth="1"/>
    <col min="4" max="4" width="9.7109375" customWidth="1"/>
    <col min="5" max="5" width="36.7109375" customWidth="1"/>
    <col min="6" max="6" width="10.7109375" customWidth="1"/>
    <col min="7" max="7" width="11.7109375" customWidth="1"/>
    <col min="8" max="8" width="22.7109375" customWidth="1"/>
    <col min="9" max="9" width="14.7109375" customWidth="1"/>
    <col min="10" max="10" width="40.7109375" customWidth="1"/>
  </cols>
  <sheetData>
    <row r="1" spans="1:10">
      <c r="A1" s="1" t="s">
        <v>979</v>
      </c>
      <c r="B1" s="1" t="s">
        <v>980</v>
      </c>
      <c r="C1" s="1" t="s">
        <v>981</v>
      </c>
      <c r="D1" s="1" t="s">
        <v>982</v>
      </c>
      <c r="E1" s="1" t="s">
        <v>983</v>
      </c>
      <c r="F1" s="1" t="s">
        <v>431</v>
      </c>
      <c r="G1" s="1" t="s">
        <v>984</v>
      </c>
      <c r="H1" s="1" t="s">
        <v>985</v>
      </c>
      <c r="I1" s="1" t="s">
        <v>986</v>
      </c>
      <c r="J1" s="1" t="s">
        <v>987</v>
      </c>
    </row>
    <row r="2" spans="1:10">
      <c r="A2" s="3">
        <v>1</v>
      </c>
      <c r="B2" s="3" t="s">
        <v>566</v>
      </c>
      <c r="C2" s="3" t="s">
        <v>988</v>
      </c>
      <c r="D2" s="3" t="s">
        <v>989</v>
      </c>
      <c r="E2" s="3" t="s">
        <v>990</v>
      </c>
      <c r="F2" s="3" t="s">
        <v>445</v>
      </c>
      <c r="G2" s="3" t="s">
        <v>15</v>
      </c>
      <c r="H2" s="3" t="s">
        <v>991</v>
      </c>
      <c r="I2" s="4">
        <f>'Owner KPIs'!K2</f>
        <v>95.51</v>
      </c>
      <c r="J2" s="3" t="s">
        <v>992</v>
      </c>
    </row>
    <row r="3" spans="1:10">
      <c r="A3" s="3">
        <v>2</v>
      </c>
      <c r="B3" s="3" t="s">
        <v>566</v>
      </c>
      <c r="C3" s="3" t="s">
        <v>988</v>
      </c>
      <c r="D3" s="3" t="s">
        <v>989</v>
      </c>
      <c r="E3" s="3" t="s">
        <v>993</v>
      </c>
      <c r="F3" s="3" t="s">
        <v>572</v>
      </c>
      <c r="G3" s="3" t="s">
        <v>15</v>
      </c>
      <c r="H3" s="3" t="s">
        <v>994</v>
      </c>
      <c r="I3" s="4">
        <f>'Owner KPIs'!K29</f>
        <v>1760.09</v>
      </c>
      <c r="J3" s="3" t="s">
        <v>995</v>
      </c>
    </row>
    <row r="4" spans="1:10">
      <c r="A4" s="3">
        <v>3</v>
      </c>
      <c r="B4" s="3" t="s">
        <v>566</v>
      </c>
      <c r="C4" s="3" t="s">
        <v>988</v>
      </c>
      <c r="D4" s="3" t="s">
        <v>989</v>
      </c>
      <c r="E4" s="3" t="s">
        <v>996</v>
      </c>
      <c r="F4" s="3" t="s">
        <v>578</v>
      </c>
      <c r="G4" s="3" t="s">
        <v>15</v>
      </c>
      <c r="H4" s="3" t="s">
        <v>997</v>
      </c>
      <c r="I4" s="4">
        <f>'Owner KPIs'!K30</f>
        <v>1228.14</v>
      </c>
      <c r="J4" s="3" t="s">
        <v>998</v>
      </c>
    </row>
    <row r="5" spans="1:10">
      <c r="A5" s="3">
        <v>4</v>
      </c>
      <c r="B5" s="3" t="s">
        <v>566</v>
      </c>
      <c r="C5" s="3" t="s">
        <v>988</v>
      </c>
      <c r="D5" s="3" t="s">
        <v>989</v>
      </c>
      <c r="E5" s="3" t="s">
        <v>999</v>
      </c>
      <c r="F5" s="3" t="s">
        <v>586</v>
      </c>
      <c r="G5" s="3" t="s">
        <v>15</v>
      </c>
      <c r="H5" s="3" t="s">
        <v>1000</v>
      </c>
      <c r="I5" s="4">
        <f>'Owner KPIs'!K32</f>
        <v>606.18</v>
      </c>
      <c r="J5" s="3" t="s">
        <v>1001</v>
      </c>
    </row>
    <row r="6" spans="1:10">
      <c r="A6" s="3">
        <v>5</v>
      </c>
      <c r="B6" s="3" t="s">
        <v>566</v>
      </c>
      <c r="C6" s="3" t="s">
        <v>988</v>
      </c>
      <c r="D6" s="3" t="s">
        <v>989</v>
      </c>
      <c r="E6" s="3" t="s">
        <v>1002</v>
      </c>
      <c r="F6" s="3" t="s">
        <v>591</v>
      </c>
      <c r="G6" s="3" t="s">
        <v>15</v>
      </c>
      <c r="H6" s="3" t="s">
        <v>1003</v>
      </c>
      <c r="I6" s="4">
        <f>'Owner KPIs'!K33</f>
        <v>11.58</v>
      </c>
      <c r="J6" s="3" t="s">
        <v>1004</v>
      </c>
    </row>
    <row r="7" spans="1:10">
      <c r="A7" s="3">
        <v>6</v>
      </c>
      <c r="B7" s="3" t="s">
        <v>566</v>
      </c>
      <c r="C7" s="3" t="s">
        <v>988</v>
      </c>
      <c r="D7" s="3" t="s">
        <v>989</v>
      </c>
      <c r="E7" s="3" t="s">
        <v>1005</v>
      </c>
      <c r="F7" s="3" t="s">
        <v>596</v>
      </c>
      <c r="G7" s="3" t="s">
        <v>15</v>
      </c>
      <c r="H7" s="3" t="s">
        <v>1006</v>
      </c>
      <c r="I7" s="4">
        <f>'Owner KPIs'!K34</f>
        <v>6650.0</v>
      </c>
      <c r="J7" s="3" t="s">
        <v>1007</v>
      </c>
    </row>
    <row r="8" spans="1:10">
      <c r="A8" s="3">
        <v>7</v>
      </c>
      <c r="B8" s="3" t="s">
        <v>566</v>
      </c>
      <c r="C8" s="3" t="s">
        <v>988</v>
      </c>
      <c r="D8" s="3" t="s">
        <v>989</v>
      </c>
      <c r="E8" s="3" t="s">
        <v>1008</v>
      </c>
      <c r="F8" s="3" t="s">
        <v>717</v>
      </c>
      <c r="G8" s="3" t="s">
        <v>15</v>
      </c>
      <c r="H8" s="3" t="s">
        <v>1009</v>
      </c>
      <c r="I8" s="4">
        <f>'Owner KPIs'!K59</f>
        <v>60.85</v>
      </c>
      <c r="J8" s="3" t="s">
        <v>1010</v>
      </c>
    </row>
    <row r="9" spans="1:10">
      <c r="A9" s="3">
        <v>8</v>
      </c>
      <c r="B9" s="3" t="s">
        <v>566</v>
      </c>
      <c r="C9" s="3" t="s">
        <v>988</v>
      </c>
      <c r="D9" s="3" t="s">
        <v>989</v>
      </c>
      <c r="E9" s="3" t="s">
        <v>905</v>
      </c>
      <c r="F9" s="3" t="s">
        <v>904</v>
      </c>
      <c r="G9" s="3" t="s">
        <v>15</v>
      </c>
      <c r="H9" s="3" t="s">
        <v>1011</v>
      </c>
      <c r="I9" s="4">
        <f>'Owner KPIs'!K106</f>
        <v>1.0</v>
      </c>
      <c r="J9" s="3" t="s">
        <v>1012</v>
      </c>
    </row>
    <row r="10" spans="1:10">
      <c r="A10" s="3">
        <v>9</v>
      </c>
      <c r="B10" s="3" t="s">
        <v>566</v>
      </c>
      <c r="C10" s="3" t="s">
        <v>988</v>
      </c>
      <c r="D10" s="3" t="s">
        <v>1013</v>
      </c>
      <c r="E10" s="3" t="s">
        <v>1014</v>
      </c>
      <c r="F10" s="3" t="s">
        <v>936</v>
      </c>
      <c r="G10" s="3" t="s">
        <v>178</v>
      </c>
      <c r="H10" s="3" t="s">
        <v>1015</v>
      </c>
      <c r="I10" s="4">
        <f>ROUND('Plant Inputs'!BT15,2)</f>
        <v>4.0</v>
      </c>
      <c r="J10" s="3" t="s">
        <v>1016</v>
      </c>
    </row>
    <row r="11" spans="1:10">
      <c r="A11" s="3">
        <v>10</v>
      </c>
      <c r="B11" s="3" t="s">
        <v>566</v>
      </c>
      <c r="C11" s="3" t="s">
        <v>988</v>
      </c>
      <c r="D11" s="3" t="s">
        <v>1013</v>
      </c>
      <c r="E11" s="3" t="s">
        <v>1017</v>
      </c>
      <c r="F11" s="3" t="s">
        <v>942</v>
      </c>
      <c r="G11" s="3" t="s">
        <v>15</v>
      </c>
      <c r="H11" s="3" t="s">
        <v>1018</v>
      </c>
      <c r="I11" s="4">
        <f>'Owner KPIs'!K114</f>
        <v>69.69</v>
      </c>
      <c r="J11" s="3" t="s">
        <v>1019</v>
      </c>
    </row>
    <row r="12" spans="1:10">
      <c r="A12" s="3">
        <v>11</v>
      </c>
      <c r="B12" s="3" t="s">
        <v>566</v>
      </c>
      <c r="C12" s="3" t="s">
        <v>988</v>
      </c>
      <c r="D12" s="3" t="s">
        <v>1013</v>
      </c>
      <c r="E12" s="3" t="s">
        <v>1020</v>
      </c>
      <c r="F12" s="3" t="s">
        <v>949</v>
      </c>
      <c r="G12" s="3" t="s">
        <v>15</v>
      </c>
      <c r="H12" s="3" t="s">
        <v>1021</v>
      </c>
      <c r="I12" s="4">
        <f>'Owner KPIs'!K115</f>
        <v>-56.18</v>
      </c>
      <c r="J12" s="3" t="s">
        <v>1022</v>
      </c>
    </row>
    <row r="13" spans="1:10">
      <c r="A13" s="3">
        <v>12</v>
      </c>
      <c r="B13" s="3" t="s">
        <v>566</v>
      </c>
      <c r="C13" s="3" t="s">
        <v>988</v>
      </c>
      <c r="D13" s="3" t="s">
        <v>1023</v>
      </c>
      <c r="E13" s="3" t="s">
        <v>453</v>
      </c>
      <c r="F13" s="3" t="s">
        <v>452</v>
      </c>
      <c r="G13" s="3" t="s">
        <v>15</v>
      </c>
      <c r="H13" s="3" t="s">
        <v>1024</v>
      </c>
      <c r="I13" s="4">
        <f>'Owner KPIs'!K3</f>
        <v>83.44</v>
      </c>
      <c r="J13" s="3" t="s">
        <v>1025</v>
      </c>
    </row>
    <row r="14" spans="1:10">
      <c r="A14" s="3">
        <v>13</v>
      </c>
      <c r="B14" s="3" t="s">
        <v>566</v>
      </c>
      <c r="C14" s="3" t="s">
        <v>988</v>
      </c>
      <c r="D14" s="3" t="s">
        <v>1023</v>
      </c>
      <c r="E14" s="3" t="s">
        <v>1026</v>
      </c>
      <c r="F14" s="3" t="s">
        <v>549</v>
      </c>
      <c r="G14" s="3" t="s">
        <v>15</v>
      </c>
      <c r="H14" s="3" t="s">
        <v>1024</v>
      </c>
      <c r="I14" s="4">
        <f>'Owner KPIs'!K24</f>
        <v>83.44</v>
      </c>
      <c r="J14" s="3" t="s">
        <v>1027</v>
      </c>
    </row>
    <row r="15" spans="1:10">
      <c r="A15" s="3">
        <v>14</v>
      </c>
      <c r="B15" s="3" t="s">
        <v>566</v>
      </c>
      <c r="C15" s="3" t="s">
        <v>988</v>
      </c>
      <c r="D15" s="3" t="s">
        <v>1023</v>
      </c>
      <c r="E15" s="3" t="s">
        <v>1028</v>
      </c>
      <c r="F15" s="3" t="s">
        <v>558</v>
      </c>
      <c r="G15" s="3" t="s">
        <v>15</v>
      </c>
      <c r="H15" s="3" t="s">
        <v>1029</v>
      </c>
      <c r="I15" s="4">
        <f>'Owner KPIs'!K26</f>
        <v>95.23</v>
      </c>
      <c r="J15" s="3" t="s">
        <v>1030</v>
      </c>
    </row>
    <row r="16" spans="1:10">
      <c r="A16" s="3">
        <v>15</v>
      </c>
      <c r="B16" s="3" t="s">
        <v>566</v>
      </c>
      <c r="C16" s="3" t="s">
        <v>988</v>
      </c>
      <c r="D16" s="3" t="s">
        <v>1023</v>
      </c>
      <c r="E16" s="3" t="s">
        <v>1031</v>
      </c>
      <c r="F16" s="3" t="s">
        <v>563</v>
      </c>
      <c r="G16" s="3" t="s">
        <v>15</v>
      </c>
      <c r="H16" s="3" t="s">
        <v>1029</v>
      </c>
      <c r="I16" s="4">
        <f>'Owner KPIs'!K27</f>
        <v>95.23</v>
      </c>
      <c r="J16" s="3" t="s">
        <v>1032</v>
      </c>
    </row>
    <row r="17" spans="1:10">
      <c r="A17" s="3">
        <v>16</v>
      </c>
      <c r="B17" s="3" t="s">
        <v>566</v>
      </c>
      <c r="C17" s="3" t="s">
        <v>988</v>
      </c>
      <c r="D17" s="3" t="s">
        <v>1023</v>
      </c>
      <c r="E17" s="3" t="s">
        <v>579</v>
      </c>
      <c r="F17" s="3" t="s">
        <v>578</v>
      </c>
      <c r="G17" s="3" t="s">
        <v>15</v>
      </c>
      <c r="H17" s="3" t="s">
        <v>997</v>
      </c>
      <c r="I17" s="4">
        <f>'Owner KPIs'!K30</f>
        <v>1228.14</v>
      </c>
      <c r="J17" s="3" t="s">
        <v>998</v>
      </c>
    </row>
    <row r="18" spans="1:10">
      <c r="A18" s="3">
        <v>17</v>
      </c>
      <c r="B18" s="3" t="s">
        <v>566</v>
      </c>
      <c r="C18" s="3" t="s">
        <v>988</v>
      </c>
      <c r="D18" s="3" t="s">
        <v>1023</v>
      </c>
      <c r="E18" s="3" t="s">
        <v>583</v>
      </c>
      <c r="F18" s="3" t="s">
        <v>582</v>
      </c>
      <c r="G18" s="3" t="s">
        <v>15</v>
      </c>
      <c r="H18" s="3" t="s">
        <v>1033</v>
      </c>
      <c r="I18" s="4">
        <f>'Owner KPIs'!K31</f>
        <v>13811.3</v>
      </c>
      <c r="J18" s="3" t="s">
        <v>1034</v>
      </c>
    </row>
    <row r="19" spans="1:10">
      <c r="A19" s="3">
        <v>18</v>
      </c>
      <c r="B19" s="3" t="s">
        <v>566</v>
      </c>
      <c r="C19" s="3" t="s">
        <v>988</v>
      </c>
      <c r="D19" s="3" t="s">
        <v>1023</v>
      </c>
      <c r="E19" s="3" t="s">
        <v>1035</v>
      </c>
      <c r="F19" s="3" t="s">
        <v>591</v>
      </c>
      <c r="G19" s="3" t="s">
        <v>15</v>
      </c>
      <c r="H19" s="3" t="s">
        <v>1036</v>
      </c>
      <c r="I19" s="4">
        <f>'Owner KPIs'!K33</f>
        <v>11.58</v>
      </c>
      <c r="J19" s="3" t="s">
        <v>1004</v>
      </c>
    </row>
    <row r="20" spans="1:10">
      <c r="A20" s="3">
        <v>19</v>
      </c>
      <c r="B20" s="3" t="s">
        <v>566</v>
      </c>
      <c r="C20" s="3" t="s">
        <v>988</v>
      </c>
      <c r="D20" s="3" t="s">
        <v>1023</v>
      </c>
      <c r="E20" s="3" t="s">
        <v>1037</v>
      </c>
      <c r="F20" s="3" t="s">
        <v>601</v>
      </c>
      <c r="G20" s="3" t="s">
        <v>15</v>
      </c>
      <c r="H20" s="3" t="s">
        <v>1038</v>
      </c>
      <c r="I20" s="4">
        <f>'Owner KPIs'!K35</f>
        <v>-86.65</v>
      </c>
      <c r="J20" s="3" t="s">
        <v>1039</v>
      </c>
    </row>
    <row r="21" spans="1:10">
      <c r="A21" s="3">
        <v>20</v>
      </c>
      <c r="B21" s="3" t="s">
        <v>566</v>
      </c>
      <c r="C21" s="3" t="s">
        <v>988</v>
      </c>
      <c r="D21" s="3" t="s">
        <v>1023</v>
      </c>
      <c r="E21" s="3" t="s">
        <v>1040</v>
      </c>
      <c r="F21" s="3" t="s">
        <v>742</v>
      </c>
      <c r="G21" s="3" t="s">
        <v>15</v>
      </c>
      <c r="H21" s="3" t="s">
        <v>1041</v>
      </c>
      <c r="I21" s="4">
        <f>'Owner KPIs'!K64</f>
        <v>54.03</v>
      </c>
      <c r="J21" s="3" t="s">
        <v>1042</v>
      </c>
    </row>
    <row r="22" spans="1:10">
      <c r="A22" s="3">
        <v>21</v>
      </c>
      <c r="B22" s="3" t="s">
        <v>566</v>
      </c>
      <c r="C22" s="3" t="s">
        <v>988</v>
      </c>
      <c r="D22" s="3" t="s">
        <v>1023</v>
      </c>
      <c r="E22" s="3" t="s">
        <v>749</v>
      </c>
      <c r="F22" s="3" t="s">
        <v>748</v>
      </c>
      <c r="G22" s="3" t="s">
        <v>15</v>
      </c>
      <c r="H22" s="3" t="s">
        <v>1041</v>
      </c>
      <c r="I22" s="4">
        <f>'Owner KPIs'!K65</f>
        <v>54.03</v>
      </c>
      <c r="J22" s="3" t="s">
        <v>1043</v>
      </c>
    </row>
    <row r="23" spans="1:10">
      <c r="A23" s="3">
        <v>22</v>
      </c>
      <c r="B23" s="3" t="s">
        <v>566</v>
      </c>
      <c r="C23" s="3" t="s">
        <v>988</v>
      </c>
      <c r="D23" s="3" t="s">
        <v>1023</v>
      </c>
      <c r="E23" s="3" t="s">
        <v>1044</v>
      </c>
      <c r="F23" s="3" t="s">
        <v>805</v>
      </c>
      <c r="G23" s="3" t="s">
        <v>15</v>
      </c>
      <c r="H23" s="3" t="s">
        <v>1045</v>
      </c>
      <c r="I23" s="4">
        <f>'Owner KPIs'!K79</f>
        <v>0.0</v>
      </c>
      <c r="J23" s="3" t="s">
        <v>1046</v>
      </c>
    </row>
    <row r="24" spans="1:10">
      <c r="A24" s="3">
        <v>23</v>
      </c>
      <c r="B24" s="3" t="s">
        <v>566</v>
      </c>
      <c r="C24" s="3" t="s">
        <v>988</v>
      </c>
      <c r="D24" s="3" t="s">
        <v>1023</v>
      </c>
      <c r="E24" s="3" t="s">
        <v>1044</v>
      </c>
      <c r="F24" s="3" t="s">
        <v>808</v>
      </c>
      <c r="G24" s="3" t="s">
        <v>15</v>
      </c>
      <c r="H24" s="3" t="s">
        <v>1045</v>
      </c>
      <c r="I24" s="4">
        <f>'Owner KPIs'!K80</f>
        <v>0.0</v>
      </c>
      <c r="J24" s="3" t="s">
        <v>1047</v>
      </c>
    </row>
    <row r="25" spans="1:10">
      <c r="A25" s="3">
        <v>24</v>
      </c>
      <c r="B25" s="3" t="s">
        <v>1048</v>
      </c>
      <c r="C25" s="3" t="s">
        <v>1049</v>
      </c>
      <c r="D25" s="3" t="s">
        <v>1013</v>
      </c>
      <c r="E25" s="3" t="s">
        <v>1014</v>
      </c>
      <c r="F25" s="3" t="s">
        <v>936</v>
      </c>
      <c r="G25" s="3" t="s">
        <v>178</v>
      </c>
      <c r="H25" s="3" t="s">
        <v>1015</v>
      </c>
      <c r="I25" s="4">
        <f>ROUND('Plant Inputs'!BT15,2)</f>
        <v>4.0</v>
      </c>
      <c r="J25" s="3" t="s">
        <v>1016</v>
      </c>
    </row>
    <row r="26" spans="1:10">
      <c r="A26" s="3">
        <v>25</v>
      </c>
      <c r="B26" s="3" t="s">
        <v>1048</v>
      </c>
      <c r="C26" s="3" t="s">
        <v>1049</v>
      </c>
      <c r="D26" s="3" t="s">
        <v>1013</v>
      </c>
      <c r="E26" s="3" t="s">
        <v>1017</v>
      </c>
      <c r="F26" s="3" t="s">
        <v>942</v>
      </c>
      <c r="G26" s="3" t="s">
        <v>15</v>
      </c>
      <c r="H26" s="3" t="s">
        <v>1018</v>
      </c>
      <c r="I26" s="4">
        <f>'Owner KPIs'!K114</f>
        <v>69.69</v>
      </c>
      <c r="J26" s="3" t="s">
        <v>1019</v>
      </c>
    </row>
    <row r="27" spans="1:10">
      <c r="A27" s="3">
        <v>26</v>
      </c>
      <c r="B27" s="3" t="s">
        <v>1048</v>
      </c>
      <c r="C27" s="3" t="s">
        <v>1049</v>
      </c>
      <c r="D27" s="3" t="s">
        <v>1013</v>
      </c>
      <c r="E27" s="3" t="s">
        <v>1050</v>
      </c>
      <c r="F27" s="3" t="s">
        <v>949</v>
      </c>
      <c r="G27" s="3" t="s">
        <v>15</v>
      </c>
      <c r="H27" s="3" t="s">
        <v>1021</v>
      </c>
      <c r="I27" s="4">
        <f>'Owner KPIs'!K115</f>
        <v>-56.18</v>
      </c>
      <c r="J27" s="3" t="s">
        <v>1022</v>
      </c>
    </row>
    <row r="28" spans="1:10">
      <c r="A28" s="3">
        <v>27</v>
      </c>
      <c r="B28" s="3" t="s">
        <v>1048</v>
      </c>
      <c r="C28" s="3" t="s">
        <v>1049</v>
      </c>
      <c r="D28" s="3" t="s">
        <v>1013</v>
      </c>
      <c r="E28" s="3" t="s">
        <v>1051</v>
      </c>
      <c r="F28" s="3" t="s">
        <v>955</v>
      </c>
      <c r="G28" s="3" t="s">
        <v>15</v>
      </c>
      <c r="H28" s="3" t="s">
        <v>1052</v>
      </c>
      <c r="I28" s="8" t="str">
        <f>'Owner KPIs'!K116</f>
        <v>None within 90 d</v>
      </c>
      <c r="J28" s="3" t="s">
        <v>1053</v>
      </c>
    </row>
    <row r="29" spans="1:10">
      <c r="A29" s="3">
        <v>28</v>
      </c>
      <c r="B29" s="3" t="s">
        <v>1048</v>
      </c>
      <c r="C29" s="3" t="s">
        <v>1049</v>
      </c>
      <c r="D29" s="3" t="s">
        <v>1013</v>
      </c>
      <c r="E29" s="3" t="s">
        <v>964</v>
      </c>
      <c r="F29" s="3" t="s">
        <v>963</v>
      </c>
      <c r="G29" s="3" t="s">
        <v>15</v>
      </c>
      <c r="H29" s="3" t="s">
        <v>1054</v>
      </c>
      <c r="I29" s="8" t="str">
        <f>'Owner KPIs'!K117</f>
        <v>Not forecast</v>
      </c>
      <c r="J29" s="3" t="s">
        <v>1055</v>
      </c>
    </row>
    <row r="30" spans="1:10">
      <c r="A30" s="3">
        <v>29</v>
      </c>
      <c r="B30" s="3" t="s">
        <v>609</v>
      </c>
      <c r="C30" s="3" t="s">
        <v>1056</v>
      </c>
      <c r="D30" s="3" t="s">
        <v>989</v>
      </c>
      <c r="E30" s="3" t="s">
        <v>999</v>
      </c>
      <c r="F30" s="3" t="s">
        <v>586</v>
      </c>
      <c r="G30" s="3" t="s">
        <v>15</v>
      </c>
      <c r="H30" s="3" t="s">
        <v>1000</v>
      </c>
      <c r="I30" s="4">
        <f>'Owner KPIs'!K32</f>
        <v>606.18</v>
      </c>
      <c r="J30" s="3" t="s">
        <v>1001</v>
      </c>
    </row>
    <row r="31" spans="1:10">
      <c r="A31" s="3">
        <v>30</v>
      </c>
      <c r="B31" s="3" t="s">
        <v>609</v>
      </c>
      <c r="C31" s="3" t="s">
        <v>1056</v>
      </c>
      <c r="D31" s="3" t="s">
        <v>989</v>
      </c>
      <c r="E31" s="3" t="s">
        <v>606</v>
      </c>
      <c r="F31" s="3" t="s">
        <v>605</v>
      </c>
      <c r="G31" s="3" t="s">
        <v>15</v>
      </c>
      <c r="H31" s="3" t="s">
        <v>1057</v>
      </c>
      <c r="I31" s="4">
        <f>'Owner KPIs'!K36</f>
        <v>2141.82</v>
      </c>
      <c r="J31" s="3" t="s">
        <v>1058</v>
      </c>
    </row>
    <row r="32" spans="1:10">
      <c r="A32" s="3">
        <v>31</v>
      </c>
      <c r="B32" s="3" t="s">
        <v>609</v>
      </c>
      <c r="C32" s="3" t="s">
        <v>1056</v>
      </c>
      <c r="D32" s="3" t="s">
        <v>989</v>
      </c>
      <c r="E32" s="3" t="s">
        <v>627</v>
      </c>
      <c r="F32" s="3" t="s">
        <v>626</v>
      </c>
      <c r="G32" s="3" t="s">
        <v>15</v>
      </c>
      <c r="H32" s="3" t="s">
        <v>1059</v>
      </c>
      <c r="I32" s="4">
        <f>'Owner KPIs'!K40</f>
        <v>27.21</v>
      </c>
      <c r="J32" s="3" t="s">
        <v>1060</v>
      </c>
    </row>
    <row r="33" spans="1:10">
      <c r="A33" s="3">
        <v>32</v>
      </c>
      <c r="B33" s="3" t="s">
        <v>609</v>
      </c>
      <c r="C33" s="3" t="s">
        <v>1056</v>
      </c>
      <c r="D33" s="3" t="s">
        <v>989</v>
      </c>
      <c r="E33" s="3" t="s">
        <v>645</v>
      </c>
      <c r="F33" s="3" t="s">
        <v>644</v>
      </c>
      <c r="G33" s="3" t="s">
        <v>15</v>
      </c>
      <c r="H33" s="3" t="s">
        <v>1061</v>
      </c>
      <c r="I33" s="4">
        <f>'Owner KPIs'!K44</f>
        <v>2780.99</v>
      </c>
      <c r="J33" s="3" t="s">
        <v>1062</v>
      </c>
    </row>
    <row r="34" spans="1:10">
      <c r="A34" s="3">
        <v>33</v>
      </c>
      <c r="B34" s="3" t="s">
        <v>609</v>
      </c>
      <c r="C34" s="3" t="s">
        <v>1056</v>
      </c>
      <c r="D34" s="3" t="s">
        <v>989</v>
      </c>
      <c r="E34" s="3" t="s">
        <v>658</v>
      </c>
      <c r="F34" s="3" t="s">
        <v>657</v>
      </c>
      <c r="G34" s="3" t="s">
        <v>15</v>
      </c>
      <c r="H34" s="3" t="s">
        <v>1063</v>
      </c>
      <c r="I34" s="4">
        <f>'Owner KPIs'!K47</f>
        <v>16.71</v>
      </c>
      <c r="J34" s="3" t="s">
        <v>1064</v>
      </c>
    </row>
    <row r="35" spans="1:10">
      <c r="A35" s="3">
        <v>34</v>
      </c>
      <c r="B35" s="3" t="s">
        <v>609</v>
      </c>
      <c r="C35" s="3" t="s">
        <v>1056</v>
      </c>
      <c r="D35" s="3" t="s">
        <v>989</v>
      </c>
      <c r="E35" s="3" t="s">
        <v>664</v>
      </c>
      <c r="F35" s="3" t="s">
        <v>663</v>
      </c>
      <c r="G35" s="3" t="s">
        <v>15</v>
      </c>
      <c r="H35" s="3" t="s">
        <v>1065</v>
      </c>
      <c r="I35" s="4">
        <f>'Owner KPIs'!K48</f>
        <v>24.44</v>
      </c>
      <c r="J35" s="3" t="s">
        <v>1066</v>
      </c>
    </row>
    <row r="36" spans="1:10">
      <c r="A36" s="3">
        <v>35</v>
      </c>
      <c r="B36" s="3" t="s">
        <v>609</v>
      </c>
      <c r="C36" s="3" t="s">
        <v>1056</v>
      </c>
      <c r="D36" s="3" t="s">
        <v>1013</v>
      </c>
      <c r="E36" s="3" t="s">
        <v>928</v>
      </c>
      <c r="F36" s="3" t="s">
        <v>927</v>
      </c>
      <c r="G36" s="3" t="s">
        <v>15</v>
      </c>
      <c r="H36" s="3" t="s">
        <v>1067</v>
      </c>
      <c r="I36" s="4">
        <f>'Owner KPIs'!K111</f>
        <v>1.12</v>
      </c>
      <c r="J36" s="3" t="s">
        <v>1068</v>
      </c>
    </row>
    <row r="37" spans="1:10">
      <c r="A37" s="3">
        <v>36</v>
      </c>
      <c r="B37" s="3" t="s">
        <v>609</v>
      </c>
      <c r="C37" s="3" t="s">
        <v>1056</v>
      </c>
      <c r="D37" s="3" t="s">
        <v>1013</v>
      </c>
      <c r="E37" s="3" t="s">
        <v>1051</v>
      </c>
      <c r="F37" s="3" t="s">
        <v>955</v>
      </c>
      <c r="G37" s="3" t="s">
        <v>15</v>
      </c>
      <c r="H37" s="3" t="s">
        <v>1069</v>
      </c>
      <c r="I37" s="8" t="str">
        <f>'Owner KPIs'!K116</f>
        <v>None within 90 d</v>
      </c>
      <c r="J37" s="3" t="s">
        <v>1053</v>
      </c>
    </row>
    <row r="38" spans="1:10">
      <c r="A38" s="3">
        <v>37</v>
      </c>
      <c r="B38" s="3" t="s">
        <v>609</v>
      </c>
      <c r="C38" s="3" t="s">
        <v>1056</v>
      </c>
      <c r="D38" s="3" t="s">
        <v>1013</v>
      </c>
      <c r="E38" s="3" t="s">
        <v>964</v>
      </c>
      <c r="F38" s="3" t="s">
        <v>963</v>
      </c>
      <c r="G38" s="3" t="s">
        <v>15</v>
      </c>
      <c r="H38" s="3" t="s">
        <v>1054</v>
      </c>
      <c r="I38" s="8" t="str">
        <f>'Owner KPIs'!K117</f>
        <v>Not forecast</v>
      </c>
      <c r="J38" s="3" t="s">
        <v>1055</v>
      </c>
    </row>
    <row r="39" spans="1:10">
      <c r="A39" s="3">
        <v>38</v>
      </c>
      <c r="B39" s="3" t="s">
        <v>609</v>
      </c>
      <c r="C39" s="3" t="s">
        <v>1056</v>
      </c>
      <c r="D39" s="3" t="s">
        <v>1023</v>
      </c>
      <c r="E39" s="3" t="s">
        <v>1005</v>
      </c>
      <c r="F39" s="3" t="s">
        <v>596</v>
      </c>
      <c r="G39" s="3" t="s">
        <v>15</v>
      </c>
      <c r="H39" s="3" t="s">
        <v>1006</v>
      </c>
      <c r="I39" s="4">
        <f>'Owner KPIs'!K34</f>
        <v>6650.0</v>
      </c>
      <c r="J39" s="3" t="s">
        <v>1007</v>
      </c>
    </row>
    <row r="40" spans="1:10">
      <c r="A40" s="3">
        <v>39</v>
      </c>
      <c r="B40" s="3" t="s">
        <v>609</v>
      </c>
      <c r="C40" s="3" t="s">
        <v>1056</v>
      </c>
      <c r="D40" s="3" t="s">
        <v>1023</v>
      </c>
      <c r="E40" s="3" t="s">
        <v>1070</v>
      </c>
      <c r="F40" s="3" t="s">
        <v>610</v>
      </c>
      <c r="G40" s="3" t="s">
        <v>15</v>
      </c>
      <c r="H40" s="3" t="s">
        <v>1071</v>
      </c>
      <c r="I40" s="4">
        <f>'Owner KPIs'!K37</f>
        <v>22.03</v>
      </c>
      <c r="J40" s="3" t="s">
        <v>1072</v>
      </c>
    </row>
    <row r="41" spans="1:10">
      <c r="A41" s="3">
        <v>40</v>
      </c>
      <c r="B41" s="3" t="s">
        <v>609</v>
      </c>
      <c r="C41" s="3" t="s">
        <v>1056</v>
      </c>
      <c r="D41" s="3" t="s">
        <v>1023</v>
      </c>
      <c r="E41" s="3" t="s">
        <v>1073</v>
      </c>
      <c r="F41" s="3" t="s">
        <v>614</v>
      </c>
      <c r="G41" s="3" t="s">
        <v>15</v>
      </c>
      <c r="H41" s="3" t="s">
        <v>1074</v>
      </c>
      <c r="I41" s="4">
        <f>'Owner KPIs'!K38</f>
        <v>76.77</v>
      </c>
      <c r="J41" s="3" t="s">
        <v>1075</v>
      </c>
    </row>
    <row r="42" spans="1:10">
      <c r="A42" s="3">
        <v>41</v>
      </c>
      <c r="B42" s="3" t="s">
        <v>609</v>
      </c>
      <c r="C42" s="3" t="s">
        <v>1056</v>
      </c>
      <c r="D42" s="3" t="s">
        <v>1023</v>
      </c>
      <c r="E42" s="3" t="s">
        <v>622</v>
      </c>
      <c r="F42" s="3" t="s">
        <v>621</v>
      </c>
      <c r="G42" s="3" t="s">
        <v>15</v>
      </c>
      <c r="H42" s="3" t="s">
        <v>1076</v>
      </c>
      <c r="I42" s="4">
        <f>'Owner KPIs'!K39</f>
        <v>32.59</v>
      </c>
      <c r="J42" s="3" t="s">
        <v>1077</v>
      </c>
    </row>
    <row r="43" spans="1:10">
      <c r="A43" s="3">
        <v>42</v>
      </c>
      <c r="B43" s="3" t="s">
        <v>609</v>
      </c>
      <c r="C43" s="3" t="s">
        <v>1056</v>
      </c>
      <c r="D43" s="3" t="s">
        <v>1023</v>
      </c>
      <c r="E43" s="3" t="s">
        <v>633</v>
      </c>
      <c r="F43" s="3" t="s">
        <v>632</v>
      </c>
      <c r="G43" s="3" t="s">
        <v>15</v>
      </c>
      <c r="H43" s="3" t="s">
        <v>1078</v>
      </c>
      <c r="I43" s="4">
        <f>'Owner KPIs'!K41</f>
        <v>46.97</v>
      </c>
      <c r="J43" s="3" t="s">
        <v>1079</v>
      </c>
    </row>
    <row r="44" spans="1:10">
      <c r="A44" s="3">
        <v>43</v>
      </c>
      <c r="B44" s="3" t="s">
        <v>609</v>
      </c>
      <c r="C44" s="3" t="s">
        <v>1056</v>
      </c>
      <c r="D44" s="3" t="s">
        <v>1023</v>
      </c>
      <c r="E44" s="3" t="s">
        <v>637</v>
      </c>
      <c r="F44" s="3" t="s">
        <v>636</v>
      </c>
      <c r="G44" s="3" t="s">
        <v>15</v>
      </c>
      <c r="H44" s="3" t="s">
        <v>1080</v>
      </c>
      <c r="I44" s="4">
        <f>'Owner KPIs'!K42</f>
        <v>52.15</v>
      </c>
      <c r="J44" s="3" t="s">
        <v>1081</v>
      </c>
    </row>
    <row r="45" spans="1:10">
      <c r="A45" s="3">
        <v>44</v>
      </c>
      <c r="B45" s="3" t="s">
        <v>609</v>
      </c>
      <c r="C45" s="3" t="s">
        <v>1056</v>
      </c>
      <c r="D45" s="3" t="s">
        <v>1023</v>
      </c>
      <c r="E45" s="3" t="s">
        <v>641</v>
      </c>
      <c r="F45" s="3" t="s">
        <v>640</v>
      </c>
      <c r="G45" s="3" t="s">
        <v>15</v>
      </c>
      <c r="H45" s="3" t="s">
        <v>1082</v>
      </c>
      <c r="I45" s="4">
        <f>'Owner KPIs'!K43</f>
        <v>37.76</v>
      </c>
      <c r="J45" s="3" t="s">
        <v>1083</v>
      </c>
    </row>
    <row r="46" spans="1:10">
      <c r="A46" s="3">
        <v>45</v>
      </c>
      <c r="B46" s="3" t="s">
        <v>609</v>
      </c>
      <c r="C46" s="3" t="s">
        <v>1056</v>
      </c>
      <c r="D46" s="3" t="s">
        <v>1023</v>
      </c>
      <c r="E46" s="3" t="s">
        <v>1084</v>
      </c>
      <c r="F46" s="3" t="s">
        <v>648</v>
      </c>
      <c r="G46" s="3" t="s">
        <v>15</v>
      </c>
      <c r="H46" s="3" t="s">
        <v>1085</v>
      </c>
      <c r="I46" s="4">
        <f>'Owner KPIs'!K45</f>
        <v>17.26</v>
      </c>
      <c r="J46" s="3" t="s">
        <v>1086</v>
      </c>
    </row>
    <row r="47" spans="1:10">
      <c r="A47" s="3">
        <v>46</v>
      </c>
      <c r="B47" s="3" t="s">
        <v>609</v>
      </c>
      <c r="C47" s="3" t="s">
        <v>1056</v>
      </c>
      <c r="D47" s="3" t="s">
        <v>1023</v>
      </c>
      <c r="E47" s="3" t="s">
        <v>653</v>
      </c>
      <c r="F47" s="3" t="s">
        <v>652</v>
      </c>
      <c r="G47" s="3" t="s">
        <v>15</v>
      </c>
      <c r="H47" s="3" t="s">
        <v>1087</v>
      </c>
      <c r="I47" s="4">
        <f>'Owner KPIs'!K46</f>
        <v>35.72</v>
      </c>
      <c r="J47" s="3" t="s">
        <v>1088</v>
      </c>
    </row>
    <row r="48" spans="1:10">
      <c r="A48" s="3">
        <v>47</v>
      </c>
      <c r="B48" s="3" t="s">
        <v>609</v>
      </c>
      <c r="C48" s="3" t="s">
        <v>1056</v>
      </c>
      <c r="D48" s="3" t="s">
        <v>1023</v>
      </c>
      <c r="E48" s="3" t="s">
        <v>1089</v>
      </c>
      <c r="F48" s="3" t="s">
        <v>668</v>
      </c>
      <c r="G48" s="3" t="s">
        <v>15</v>
      </c>
      <c r="H48" s="3" t="s">
        <v>1090</v>
      </c>
      <c r="I48" s="4">
        <f>'Owner KPIs'!K49</f>
        <v>891.41</v>
      </c>
      <c r="J48" s="3" t="s">
        <v>1091</v>
      </c>
    </row>
    <row r="49" spans="1:10">
      <c r="A49" s="3">
        <v>48</v>
      </c>
      <c r="B49" s="3" t="s">
        <v>609</v>
      </c>
      <c r="C49" s="3" t="s">
        <v>1056</v>
      </c>
      <c r="D49" s="3" t="s">
        <v>1023</v>
      </c>
      <c r="E49" s="3" t="s">
        <v>1092</v>
      </c>
      <c r="F49" s="3" t="s">
        <v>672</v>
      </c>
      <c r="G49" s="3" t="s">
        <v>15</v>
      </c>
      <c r="H49" s="3" t="s">
        <v>1093</v>
      </c>
      <c r="I49" s="4">
        <f>'Owner KPIs'!K50</f>
        <v>2720.83</v>
      </c>
      <c r="J49" s="3" t="s">
        <v>1094</v>
      </c>
    </row>
    <row r="50" spans="1:10">
      <c r="A50" s="3">
        <v>49</v>
      </c>
      <c r="B50" s="3" t="s">
        <v>609</v>
      </c>
      <c r="C50" s="3" t="s">
        <v>1056</v>
      </c>
      <c r="D50" s="3" t="s">
        <v>1023</v>
      </c>
      <c r="E50" s="3" t="s">
        <v>1095</v>
      </c>
      <c r="F50" s="3" t="s">
        <v>676</v>
      </c>
      <c r="G50" s="3" t="s">
        <v>15</v>
      </c>
      <c r="H50" s="3" t="s">
        <v>1096</v>
      </c>
      <c r="I50" s="4">
        <f>'Owner KPIs'!K51</f>
        <v>221.72</v>
      </c>
      <c r="J50" s="3" t="s">
        <v>1097</v>
      </c>
    </row>
    <row r="51" spans="1:10">
      <c r="A51" s="3">
        <v>50</v>
      </c>
      <c r="B51" s="3" t="s">
        <v>609</v>
      </c>
      <c r="C51" s="3" t="s">
        <v>1056</v>
      </c>
      <c r="D51" s="3" t="s">
        <v>1023</v>
      </c>
      <c r="E51" s="3" t="s">
        <v>682</v>
      </c>
      <c r="F51" s="3" t="s">
        <v>681</v>
      </c>
      <c r="G51" s="3" t="s">
        <v>15</v>
      </c>
      <c r="H51" s="3" t="s">
        <v>1098</v>
      </c>
      <c r="I51" s="4">
        <f>'Owner KPIs'!K52</f>
        <v>91.7</v>
      </c>
      <c r="J51" s="3" t="s">
        <v>1099</v>
      </c>
    </row>
    <row r="52" spans="1:10">
      <c r="A52" s="3">
        <v>51</v>
      </c>
      <c r="B52" s="3" t="s">
        <v>609</v>
      </c>
      <c r="C52" s="3" t="s">
        <v>1056</v>
      </c>
      <c r="D52" s="3" t="s">
        <v>1023</v>
      </c>
      <c r="E52" s="3" t="s">
        <v>1100</v>
      </c>
      <c r="F52" s="3" t="s">
        <v>686</v>
      </c>
      <c r="G52" s="3" t="s">
        <v>15</v>
      </c>
      <c r="H52" s="3" t="s">
        <v>1101</v>
      </c>
      <c r="I52" s="4">
        <f>'Owner KPIs'!K53</f>
        <v>75.83</v>
      </c>
      <c r="J52" s="3" t="s">
        <v>1102</v>
      </c>
    </row>
    <row r="53" spans="1:10">
      <c r="A53" s="3">
        <v>52</v>
      </c>
      <c r="B53" s="3" t="s">
        <v>609</v>
      </c>
      <c r="C53" s="3" t="s">
        <v>1056</v>
      </c>
      <c r="D53" s="3" t="s">
        <v>1023</v>
      </c>
      <c r="E53" s="3" t="s">
        <v>1103</v>
      </c>
      <c r="F53" s="3" t="s">
        <v>691</v>
      </c>
      <c r="G53" s="3" t="s">
        <v>15</v>
      </c>
      <c r="H53" s="3" t="s">
        <v>1104</v>
      </c>
      <c r="I53" s="4">
        <f>'Owner KPIs'!K54</f>
        <v>70.65</v>
      </c>
      <c r="J53" s="3" t="s">
        <v>1105</v>
      </c>
    </row>
    <row r="54" spans="1:10">
      <c r="A54" s="3">
        <v>53</v>
      </c>
      <c r="B54" s="3" t="s">
        <v>609</v>
      </c>
      <c r="C54" s="3" t="s">
        <v>1056</v>
      </c>
      <c r="D54" s="3" t="s">
        <v>1023</v>
      </c>
      <c r="E54" s="3" t="s">
        <v>1106</v>
      </c>
      <c r="F54" s="3" t="s">
        <v>697</v>
      </c>
      <c r="G54" s="3" t="s">
        <v>15</v>
      </c>
      <c r="H54" s="3" t="s">
        <v>1107</v>
      </c>
      <c r="I54" s="4">
        <f>'Owner KPIs'!K55</f>
        <v>8.41</v>
      </c>
      <c r="J54" s="3" t="s">
        <v>1108</v>
      </c>
    </row>
    <row r="55" spans="1:10">
      <c r="A55" s="3">
        <v>54</v>
      </c>
      <c r="B55" s="3" t="s">
        <v>609</v>
      </c>
      <c r="C55" s="3" t="s">
        <v>1056</v>
      </c>
      <c r="D55" s="3" t="s">
        <v>1023</v>
      </c>
      <c r="E55" s="3" t="s">
        <v>1109</v>
      </c>
      <c r="F55" s="3" t="s">
        <v>932</v>
      </c>
      <c r="G55" s="3" t="s">
        <v>15</v>
      </c>
      <c r="H55" s="3" t="s">
        <v>1110</v>
      </c>
      <c r="I55" s="8" t="str">
        <f>'Owner KPIs'!K112</f>
        <v>Not triggered</v>
      </c>
      <c r="J55" s="3" t="s">
        <v>1111</v>
      </c>
    </row>
    <row r="56" spans="1:10">
      <c r="A56" s="3">
        <v>55</v>
      </c>
      <c r="B56" s="3" t="s">
        <v>707</v>
      </c>
      <c r="C56" s="3" t="s">
        <v>1112</v>
      </c>
      <c r="D56" s="3" t="s">
        <v>989</v>
      </c>
      <c r="E56" s="3" t="s">
        <v>1113</v>
      </c>
      <c r="F56" s="3" t="s">
        <v>702</v>
      </c>
      <c r="G56" s="3" t="s">
        <v>15</v>
      </c>
      <c r="H56" s="3" t="s">
        <v>1114</v>
      </c>
      <c r="I56" s="4">
        <f>'Owner KPIs'!K56</f>
        <v>1860.0</v>
      </c>
      <c r="J56" s="3" t="s">
        <v>1115</v>
      </c>
    </row>
    <row r="57" spans="1:10">
      <c r="A57" s="3">
        <v>56</v>
      </c>
      <c r="B57" s="3" t="s">
        <v>707</v>
      </c>
      <c r="C57" s="3" t="s">
        <v>1112</v>
      </c>
      <c r="D57" s="3" t="s">
        <v>989</v>
      </c>
      <c r="E57" s="3" t="s">
        <v>1116</v>
      </c>
      <c r="F57" s="3" t="s">
        <v>708</v>
      </c>
      <c r="G57" s="3" t="s">
        <v>15</v>
      </c>
      <c r="H57" s="3" t="s">
        <v>1117</v>
      </c>
      <c r="I57" s="4">
        <f>'Owner KPIs'!K57</f>
        <v>1347.73</v>
      </c>
      <c r="J57" s="3" t="s">
        <v>1118</v>
      </c>
    </row>
    <row r="58" spans="1:10">
      <c r="A58" s="3">
        <v>57</v>
      </c>
      <c r="B58" s="3" t="s">
        <v>707</v>
      </c>
      <c r="C58" s="3" t="s">
        <v>1112</v>
      </c>
      <c r="D58" s="3" t="s">
        <v>989</v>
      </c>
      <c r="E58" s="3" t="s">
        <v>1119</v>
      </c>
      <c r="F58" s="3" t="s">
        <v>713</v>
      </c>
      <c r="G58" s="3" t="s">
        <v>15</v>
      </c>
      <c r="H58" s="3" t="s">
        <v>1120</v>
      </c>
      <c r="I58" s="4">
        <f>'Owner KPIs'!K58</f>
        <v>879.71</v>
      </c>
      <c r="J58" s="3" t="s">
        <v>1121</v>
      </c>
    </row>
    <row r="59" spans="1:10">
      <c r="A59" s="3">
        <v>58</v>
      </c>
      <c r="B59" s="3" t="s">
        <v>707</v>
      </c>
      <c r="C59" s="3" t="s">
        <v>1112</v>
      </c>
      <c r="D59" s="3" t="s">
        <v>989</v>
      </c>
      <c r="E59" s="3" t="s">
        <v>1008</v>
      </c>
      <c r="F59" s="3" t="s">
        <v>717</v>
      </c>
      <c r="G59" s="3" t="s">
        <v>15</v>
      </c>
      <c r="H59" s="3" t="s">
        <v>1009</v>
      </c>
      <c r="I59" s="4">
        <f>'Owner KPIs'!K59</f>
        <v>60.85</v>
      </c>
      <c r="J59" s="3" t="s">
        <v>1010</v>
      </c>
    </row>
    <row r="60" spans="1:10">
      <c r="A60" s="3">
        <v>59</v>
      </c>
      <c r="B60" s="3" t="s">
        <v>707</v>
      </c>
      <c r="C60" s="3" t="s">
        <v>1112</v>
      </c>
      <c r="D60" s="3" t="s">
        <v>989</v>
      </c>
      <c r="E60" s="3" t="s">
        <v>724</v>
      </c>
      <c r="F60" s="3" t="s">
        <v>723</v>
      </c>
      <c r="G60" s="3" t="s">
        <v>15</v>
      </c>
      <c r="H60" s="3" t="s">
        <v>1122</v>
      </c>
      <c r="I60" s="4">
        <f>'Owner KPIs'!K60</f>
        <v>148.03</v>
      </c>
      <c r="J60" s="3" t="s">
        <v>1123</v>
      </c>
    </row>
    <row r="61" spans="1:10">
      <c r="A61" s="3">
        <v>60</v>
      </c>
      <c r="B61" s="3" t="s">
        <v>707</v>
      </c>
      <c r="C61" s="3" t="s">
        <v>1112</v>
      </c>
      <c r="D61" s="3" t="s">
        <v>989</v>
      </c>
      <c r="E61" s="3" t="s">
        <v>1124</v>
      </c>
      <c r="F61" s="3" t="s">
        <v>733</v>
      </c>
      <c r="G61" s="3" t="s">
        <v>15</v>
      </c>
      <c r="H61" s="3" t="s">
        <v>1125</v>
      </c>
      <c r="I61" s="4">
        <f>'Owner KPIs'!K62</f>
        <v>47.96</v>
      </c>
      <c r="J61" s="3" t="s">
        <v>1126</v>
      </c>
    </row>
    <row r="62" spans="1:10">
      <c r="A62" s="3">
        <v>61</v>
      </c>
      <c r="B62" s="3" t="s">
        <v>707</v>
      </c>
      <c r="C62" s="3" t="s">
        <v>1112</v>
      </c>
      <c r="D62" s="3" t="s">
        <v>989</v>
      </c>
      <c r="E62" s="3" t="s">
        <v>1127</v>
      </c>
      <c r="F62" s="3" t="s">
        <v>756</v>
      </c>
      <c r="G62" s="3" t="s">
        <v>15</v>
      </c>
      <c r="H62" s="3" t="s">
        <v>1128</v>
      </c>
      <c r="I62" s="4">
        <f>'Owner KPIs'!K67</f>
        <v>14.21</v>
      </c>
      <c r="J62" s="3" t="s">
        <v>1129</v>
      </c>
    </row>
    <row r="63" spans="1:10">
      <c r="A63" s="3">
        <v>62</v>
      </c>
      <c r="B63" s="3" t="s">
        <v>707</v>
      </c>
      <c r="C63" s="3" t="s">
        <v>1112</v>
      </c>
      <c r="D63" s="3" t="s">
        <v>989</v>
      </c>
      <c r="E63" s="3" t="s">
        <v>1130</v>
      </c>
      <c r="F63" s="3" t="s">
        <v>760</v>
      </c>
      <c r="G63" s="3" t="s">
        <v>15</v>
      </c>
      <c r="H63" s="3" t="s">
        <v>1131</v>
      </c>
      <c r="I63" s="4">
        <f>'Owner KPIs'!K68</f>
        <v>8.71</v>
      </c>
      <c r="J63" s="3" t="s">
        <v>1132</v>
      </c>
    </row>
    <row r="64" spans="1:10">
      <c r="A64" s="3">
        <v>63</v>
      </c>
      <c r="B64" s="3" t="s">
        <v>707</v>
      </c>
      <c r="C64" s="3" t="s">
        <v>1112</v>
      </c>
      <c r="D64" s="3" t="s">
        <v>989</v>
      </c>
      <c r="E64" s="3" t="s">
        <v>765</v>
      </c>
      <c r="F64" s="3" t="s">
        <v>764</v>
      </c>
      <c r="G64" s="3" t="s">
        <v>15</v>
      </c>
      <c r="H64" s="3" t="s">
        <v>1133</v>
      </c>
      <c r="I64" s="4">
        <f>'Owner KPIs'!K69</f>
        <v>11.25</v>
      </c>
      <c r="J64" s="3" t="s">
        <v>1134</v>
      </c>
    </row>
    <row r="65" spans="1:10">
      <c r="A65" s="3">
        <v>64</v>
      </c>
      <c r="B65" s="3" t="s">
        <v>707</v>
      </c>
      <c r="C65" s="3" t="s">
        <v>1112</v>
      </c>
      <c r="D65" s="3" t="s">
        <v>1013</v>
      </c>
      <c r="E65" s="3" t="s">
        <v>724</v>
      </c>
      <c r="F65" s="3" t="s">
        <v>723</v>
      </c>
      <c r="G65" s="3" t="s">
        <v>15</v>
      </c>
      <c r="H65" s="3" t="s">
        <v>1135</v>
      </c>
      <c r="I65" s="4">
        <f>'Owner KPIs'!K60</f>
        <v>148.03</v>
      </c>
      <c r="J65" s="3" t="s">
        <v>1123</v>
      </c>
    </row>
    <row r="66" spans="1:10">
      <c r="A66" s="3">
        <v>65</v>
      </c>
      <c r="B66" s="3" t="s">
        <v>707</v>
      </c>
      <c r="C66" s="3" t="s">
        <v>1112</v>
      </c>
      <c r="D66" s="3" t="s">
        <v>1013</v>
      </c>
      <c r="E66" s="3" t="s">
        <v>739</v>
      </c>
      <c r="F66" s="3" t="s">
        <v>738</v>
      </c>
      <c r="G66" s="3" t="s">
        <v>15</v>
      </c>
      <c r="H66" s="3" t="s">
        <v>1136</v>
      </c>
      <c r="I66" s="4">
        <f>'Owner KPIs'!K63</f>
        <v>1.0</v>
      </c>
      <c r="J66" s="3" t="s">
        <v>1137</v>
      </c>
    </row>
    <row r="67" spans="1:10">
      <c r="A67" s="3">
        <v>66</v>
      </c>
      <c r="B67" s="3" t="s">
        <v>707</v>
      </c>
      <c r="C67" s="3" t="s">
        <v>1112</v>
      </c>
      <c r="D67" s="3" t="s">
        <v>1023</v>
      </c>
      <c r="E67" s="3" t="s">
        <v>1138</v>
      </c>
      <c r="F67" s="3" t="s">
        <v>727</v>
      </c>
      <c r="G67" s="3" t="s">
        <v>15</v>
      </c>
      <c r="H67" s="3" t="s">
        <v>1139</v>
      </c>
      <c r="I67" s="8" t="str">
        <f>'Owner KPIs'!K61</f>
        <v>9 on track · 2 at risk · 0 off track</v>
      </c>
      <c r="J67" s="3" t="s">
        <v>1140</v>
      </c>
    </row>
    <row r="68" spans="1:10">
      <c r="A68" s="3">
        <v>67</v>
      </c>
      <c r="B68" s="3" t="s">
        <v>707</v>
      </c>
      <c r="C68" s="3" t="s">
        <v>1112</v>
      </c>
      <c r="D68" s="3" t="s">
        <v>1023</v>
      </c>
      <c r="E68" s="3" t="s">
        <v>739</v>
      </c>
      <c r="F68" s="3" t="s">
        <v>738</v>
      </c>
      <c r="G68" s="3" t="s">
        <v>15</v>
      </c>
      <c r="H68" s="3" t="s">
        <v>1136</v>
      </c>
      <c r="I68" s="4">
        <f>'Owner KPIs'!K63</f>
        <v>1.0</v>
      </c>
      <c r="J68" s="3" t="s">
        <v>1137</v>
      </c>
    </row>
    <row r="69" spans="1:10">
      <c r="A69" s="3">
        <v>68</v>
      </c>
      <c r="B69" s="3" t="s">
        <v>707</v>
      </c>
      <c r="C69" s="3" t="s">
        <v>1112</v>
      </c>
      <c r="D69" s="3" t="s">
        <v>1023</v>
      </c>
      <c r="E69" s="3" t="s">
        <v>1040</v>
      </c>
      <c r="F69" s="3" t="s">
        <v>742</v>
      </c>
      <c r="G69" s="3" t="s">
        <v>15</v>
      </c>
      <c r="H69" s="3" t="s">
        <v>1041</v>
      </c>
      <c r="I69" s="4">
        <f>'Owner KPIs'!K64</f>
        <v>54.03</v>
      </c>
      <c r="J69" s="3" t="s">
        <v>1042</v>
      </c>
    </row>
    <row r="70" spans="1:10">
      <c r="A70" s="3">
        <v>69</v>
      </c>
      <c r="B70" s="3" t="s">
        <v>707</v>
      </c>
      <c r="C70" s="3" t="s">
        <v>1112</v>
      </c>
      <c r="D70" s="3" t="s">
        <v>1023</v>
      </c>
      <c r="E70" s="3" t="s">
        <v>749</v>
      </c>
      <c r="F70" s="3" t="s">
        <v>748</v>
      </c>
      <c r="G70" s="3" t="s">
        <v>15</v>
      </c>
      <c r="H70" s="3" t="s">
        <v>1041</v>
      </c>
      <c r="I70" s="4">
        <f>'Owner KPIs'!K65</f>
        <v>54.03</v>
      </c>
      <c r="J70" s="3" t="s">
        <v>1043</v>
      </c>
    </row>
    <row r="71" spans="1:10">
      <c r="A71" s="3">
        <v>70</v>
      </c>
      <c r="B71" s="3" t="s">
        <v>707</v>
      </c>
      <c r="C71" s="3" t="s">
        <v>1112</v>
      </c>
      <c r="D71" s="3" t="s">
        <v>1023</v>
      </c>
      <c r="E71" s="3" t="s">
        <v>1141</v>
      </c>
      <c r="F71" s="3" t="s">
        <v>751</v>
      </c>
      <c r="G71" s="3" t="s">
        <v>15</v>
      </c>
      <c r="H71" s="3" t="s">
        <v>1142</v>
      </c>
      <c r="I71" s="8" t="str">
        <f>'Owner KPIs'!K66</f>
        <v>15 on track · 6 at risk · 3 delayed</v>
      </c>
      <c r="J71" s="3" t="s">
        <v>1143</v>
      </c>
    </row>
    <row r="72" spans="1:10">
      <c r="A72" s="3">
        <v>71</v>
      </c>
      <c r="B72" s="3" t="s">
        <v>707</v>
      </c>
      <c r="C72" s="3" t="s">
        <v>1112</v>
      </c>
      <c r="D72" s="3" t="s">
        <v>1023</v>
      </c>
      <c r="E72" s="3" t="s">
        <v>1144</v>
      </c>
      <c r="F72" s="3" t="s">
        <v>756</v>
      </c>
      <c r="G72" s="3" t="s">
        <v>15</v>
      </c>
      <c r="H72" s="3" t="s">
        <v>1128</v>
      </c>
      <c r="I72" s="4">
        <f>'Owner KPIs'!K67</f>
        <v>14.21</v>
      </c>
      <c r="J72" s="3" t="s">
        <v>1129</v>
      </c>
    </row>
    <row r="73" spans="1:10">
      <c r="A73" s="3">
        <v>72</v>
      </c>
      <c r="B73" s="3" t="s">
        <v>707</v>
      </c>
      <c r="C73" s="3" t="s">
        <v>1112</v>
      </c>
      <c r="D73" s="3" t="s">
        <v>1023</v>
      </c>
      <c r="E73" s="3" t="s">
        <v>1145</v>
      </c>
      <c r="F73" s="3" t="s">
        <v>760</v>
      </c>
      <c r="G73" s="3" t="s">
        <v>15</v>
      </c>
      <c r="H73" s="3" t="s">
        <v>1131</v>
      </c>
      <c r="I73" s="4">
        <f>'Owner KPIs'!K68</f>
        <v>8.71</v>
      </c>
      <c r="J73" s="3" t="s">
        <v>1132</v>
      </c>
    </row>
    <row r="74" spans="1:10">
      <c r="A74" s="3">
        <v>73</v>
      </c>
      <c r="B74" s="3" t="s">
        <v>707</v>
      </c>
      <c r="C74" s="3" t="s">
        <v>1112</v>
      </c>
      <c r="D74" s="3" t="s">
        <v>1023</v>
      </c>
      <c r="E74" s="3" t="s">
        <v>1146</v>
      </c>
      <c r="F74" s="3" t="s">
        <v>764</v>
      </c>
      <c r="G74" s="3" t="s">
        <v>15</v>
      </c>
      <c r="H74" s="3" t="s">
        <v>1133</v>
      </c>
      <c r="I74" s="4">
        <f>'Owner KPIs'!K69</f>
        <v>11.25</v>
      </c>
      <c r="J74" s="3" t="s">
        <v>1134</v>
      </c>
    </row>
    <row r="75" spans="1:10">
      <c r="A75" s="3">
        <v>74</v>
      </c>
      <c r="B75" s="3" t="s">
        <v>529</v>
      </c>
      <c r="C75" s="3" t="s">
        <v>1147</v>
      </c>
      <c r="D75" s="3" t="s">
        <v>989</v>
      </c>
      <c r="E75" s="3" t="s">
        <v>1148</v>
      </c>
      <c r="F75" s="3" t="s">
        <v>524</v>
      </c>
      <c r="G75" s="3" t="s">
        <v>15</v>
      </c>
      <c r="H75" s="3" t="s">
        <v>1149</v>
      </c>
      <c r="I75" s="4">
        <f>'Owner KPIs'!K17</f>
        <v>0.47</v>
      </c>
      <c r="J75" s="3" t="s">
        <v>1150</v>
      </c>
    </row>
    <row r="76" spans="1:10">
      <c r="A76" s="3">
        <v>75</v>
      </c>
      <c r="B76" s="3" t="s">
        <v>529</v>
      </c>
      <c r="C76" s="3" t="s">
        <v>1147</v>
      </c>
      <c r="D76" s="3" t="s">
        <v>989</v>
      </c>
      <c r="E76" s="3" t="s">
        <v>1151</v>
      </c>
      <c r="F76" s="3" t="s">
        <v>537</v>
      </c>
      <c r="G76" s="3" t="s">
        <v>15</v>
      </c>
      <c r="H76" s="3" t="s">
        <v>1045</v>
      </c>
      <c r="I76" s="4">
        <f>'Owner KPIs'!K20</f>
        <v>0.0</v>
      </c>
      <c r="J76" s="3" t="s">
        <v>1152</v>
      </c>
    </row>
    <row r="77" spans="1:10">
      <c r="A77" s="3">
        <v>76</v>
      </c>
      <c r="B77" s="3" t="s">
        <v>529</v>
      </c>
      <c r="C77" s="3" t="s">
        <v>1147</v>
      </c>
      <c r="D77" s="3" t="s">
        <v>989</v>
      </c>
      <c r="E77" s="3" t="s">
        <v>1153</v>
      </c>
      <c r="F77" s="3" t="s">
        <v>545</v>
      </c>
      <c r="G77" s="3" t="s">
        <v>15</v>
      </c>
      <c r="H77" s="3" t="s">
        <v>1154</v>
      </c>
      <c r="I77" s="4">
        <f>'Owner KPIs'!K23</f>
        <v>65.0</v>
      </c>
      <c r="J77" s="3" t="s">
        <v>1155</v>
      </c>
    </row>
    <row r="78" spans="1:10">
      <c r="A78" s="3">
        <v>77</v>
      </c>
      <c r="B78" s="3" t="s">
        <v>529</v>
      </c>
      <c r="C78" s="3" t="s">
        <v>1147</v>
      </c>
      <c r="D78" s="3" t="s">
        <v>989</v>
      </c>
      <c r="E78" s="3" t="s">
        <v>796</v>
      </c>
      <c r="F78" s="3" t="s">
        <v>795</v>
      </c>
      <c r="G78" s="3" t="s">
        <v>15</v>
      </c>
      <c r="H78" s="3" t="s">
        <v>1045</v>
      </c>
      <c r="I78" s="4">
        <f>'Owner KPIs'!K76</f>
        <v>0.0</v>
      </c>
      <c r="J78" s="3" t="s">
        <v>1156</v>
      </c>
    </row>
    <row r="79" spans="1:10">
      <c r="A79" s="3">
        <v>78</v>
      </c>
      <c r="B79" s="3" t="s">
        <v>529</v>
      </c>
      <c r="C79" s="3" t="s">
        <v>1147</v>
      </c>
      <c r="D79" s="3" t="s">
        <v>989</v>
      </c>
      <c r="E79" s="3" t="s">
        <v>799</v>
      </c>
      <c r="F79" s="3" t="s">
        <v>798</v>
      </c>
      <c r="G79" s="3" t="s">
        <v>15</v>
      </c>
      <c r="H79" s="3" t="s">
        <v>1110</v>
      </c>
      <c r="I79" s="8" t="str">
        <f>'Owner KPIs'!K77</f>
        <v>Not triggered</v>
      </c>
      <c r="J79" s="3" t="s">
        <v>1157</v>
      </c>
    </row>
    <row r="80" spans="1:10">
      <c r="A80" s="3">
        <v>79</v>
      </c>
      <c r="B80" s="3" t="s">
        <v>529</v>
      </c>
      <c r="C80" s="3" t="s">
        <v>1147</v>
      </c>
      <c r="D80" s="3" t="s">
        <v>989</v>
      </c>
      <c r="E80" s="3" t="s">
        <v>1158</v>
      </c>
      <c r="F80" s="3" t="s">
        <v>816</v>
      </c>
      <c r="G80" s="3" t="s">
        <v>15</v>
      </c>
      <c r="H80" s="3" t="s">
        <v>1045</v>
      </c>
      <c r="I80" s="4">
        <f>'Owner KPIs'!K83</f>
        <v>0.0</v>
      </c>
      <c r="J80" s="3" t="s">
        <v>1159</v>
      </c>
    </row>
    <row r="81" spans="1:10">
      <c r="A81" s="3">
        <v>80</v>
      </c>
      <c r="B81" s="3" t="s">
        <v>529</v>
      </c>
      <c r="C81" s="3" t="s">
        <v>1147</v>
      </c>
      <c r="D81" s="3" t="s">
        <v>1023</v>
      </c>
      <c r="E81" s="3" t="s">
        <v>492</v>
      </c>
      <c r="F81" s="3" t="s">
        <v>491</v>
      </c>
      <c r="G81" s="3" t="s">
        <v>15</v>
      </c>
      <c r="H81" s="3" t="s">
        <v>1160</v>
      </c>
      <c r="I81" s="4">
        <f>'Owner KPIs'!K11</f>
        <v>1450141.0</v>
      </c>
      <c r="J81" s="3" t="s">
        <v>1161</v>
      </c>
    </row>
    <row r="82" spans="1:10">
      <c r="A82" s="3">
        <v>81</v>
      </c>
      <c r="B82" s="3" t="s">
        <v>529</v>
      </c>
      <c r="C82" s="3" t="s">
        <v>1147</v>
      </c>
      <c r="D82" s="3" t="s">
        <v>1023</v>
      </c>
      <c r="E82" s="3" t="s">
        <v>498</v>
      </c>
      <c r="F82" s="3" t="s">
        <v>497</v>
      </c>
      <c r="G82" s="3" t="s">
        <v>15</v>
      </c>
      <c r="H82" s="3" t="s">
        <v>1162</v>
      </c>
      <c r="I82" s="4">
        <f>'Owner KPIs'!K12</f>
        <v>427664.0</v>
      </c>
      <c r="J82" s="3" t="s">
        <v>1163</v>
      </c>
    </row>
    <row r="83" spans="1:10">
      <c r="A83" s="3">
        <v>82</v>
      </c>
      <c r="B83" s="3" t="s">
        <v>529</v>
      </c>
      <c r="C83" s="3" t="s">
        <v>1147</v>
      </c>
      <c r="D83" s="3" t="s">
        <v>1023</v>
      </c>
      <c r="E83" s="3" t="s">
        <v>502</v>
      </c>
      <c r="F83" s="3" t="s">
        <v>501</v>
      </c>
      <c r="G83" s="3" t="s">
        <v>15</v>
      </c>
      <c r="H83" s="3" t="s">
        <v>1164</v>
      </c>
      <c r="I83" s="4">
        <f>'Owner KPIs'!K13</f>
        <v>3.42</v>
      </c>
      <c r="J83" s="3" t="s">
        <v>1165</v>
      </c>
    </row>
    <row r="84" spans="1:10">
      <c r="A84" s="3">
        <v>83</v>
      </c>
      <c r="B84" s="3" t="s">
        <v>529</v>
      </c>
      <c r="C84" s="3" t="s">
        <v>1147</v>
      </c>
      <c r="D84" s="3" t="s">
        <v>1023</v>
      </c>
      <c r="E84" s="3" t="s">
        <v>1148</v>
      </c>
      <c r="F84" s="3" t="s">
        <v>524</v>
      </c>
      <c r="G84" s="3" t="s">
        <v>15</v>
      </c>
      <c r="H84" s="3" t="s">
        <v>1149</v>
      </c>
      <c r="I84" s="4">
        <f>'Owner KPIs'!K17</f>
        <v>0.47</v>
      </c>
      <c r="J84" s="3" t="s">
        <v>1150</v>
      </c>
    </row>
    <row r="85" spans="1:10">
      <c r="A85" s="3">
        <v>84</v>
      </c>
      <c r="B85" s="3" t="s">
        <v>529</v>
      </c>
      <c r="C85" s="3" t="s">
        <v>1147</v>
      </c>
      <c r="D85" s="3" t="s">
        <v>1023</v>
      </c>
      <c r="E85" s="3" t="s">
        <v>1166</v>
      </c>
      <c r="F85" s="3" t="s">
        <v>531</v>
      </c>
      <c r="G85" s="3" t="s">
        <v>15</v>
      </c>
      <c r="H85" s="3" t="s">
        <v>1045</v>
      </c>
      <c r="I85" s="4">
        <f>'Owner KPIs'!K18</f>
        <v>3.0</v>
      </c>
      <c r="J85" s="3" t="s">
        <v>1167</v>
      </c>
    </row>
    <row r="86" spans="1:10">
      <c r="A86" s="3">
        <v>85</v>
      </c>
      <c r="B86" s="3" t="s">
        <v>529</v>
      </c>
      <c r="C86" s="3" t="s">
        <v>1147</v>
      </c>
      <c r="D86" s="3" t="s">
        <v>1023</v>
      </c>
      <c r="E86" s="3" t="s">
        <v>1168</v>
      </c>
      <c r="F86" s="3" t="s">
        <v>534</v>
      </c>
      <c r="G86" s="3" t="s">
        <v>15</v>
      </c>
      <c r="H86" s="3" t="s">
        <v>1169</v>
      </c>
      <c r="I86" s="4">
        <f>'Owner KPIs'!K19</f>
        <v>41.0</v>
      </c>
      <c r="J86" s="3" t="s">
        <v>1170</v>
      </c>
    </row>
    <row r="87" spans="1:10">
      <c r="A87" s="3">
        <v>86</v>
      </c>
      <c r="B87" s="3" t="s">
        <v>529</v>
      </c>
      <c r="C87" s="3" t="s">
        <v>1147</v>
      </c>
      <c r="D87" s="3" t="s">
        <v>1023</v>
      </c>
      <c r="E87" s="3" t="s">
        <v>1171</v>
      </c>
      <c r="F87" s="3" t="s">
        <v>539</v>
      </c>
      <c r="G87" s="3" t="s">
        <v>15</v>
      </c>
      <c r="H87" s="3" t="s">
        <v>1172</v>
      </c>
      <c r="I87" s="4">
        <f>'Owner KPIs'!K21</f>
        <v>2.0</v>
      </c>
      <c r="J87" s="3" t="s">
        <v>1173</v>
      </c>
    </row>
    <row r="88" spans="1:10">
      <c r="A88" s="3">
        <v>87</v>
      </c>
      <c r="B88" s="3" t="s">
        <v>529</v>
      </c>
      <c r="C88" s="3" t="s">
        <v>1147</v>
      </c>
      <c r="D88" s="3" t="s">
        <v>1023</v>
      </c>
      <c r="E88" s="3" t="s">
        <v>543</v>
      </c>
      <c r="F88" s="3" t="s">
        <v>542</v>
      </c>
      <c r="G88" s="3" t="s">
        <v>15</v>
      </c>
      <c r="H88" s="3" t="s">
        <v>1045</v>
      </c>
      <c r="I88" s="4">
        <f>'Owner KPIs'!K22</f>
        <v>9.0</v>
      </c>
      <c r="J88" s="3" t="s">
        <v>1174</v>
      </c>
    </row>
    <row r="89" spans="1:10">
      <c r="A89" s="3">
        <v>88</v>
      </c>
      <c r="B89" s="3" t="s">
        <v>529</v>
      </c>
      <c r="C89" s="3" t="s">
        <v>1147</v>
      </c>
      <c r="D89" s="3" t="s">
        <v>1023</v>
      </c>
      <c r="E89" s="3" t="s">
        <v>1175</v>
      </c>
      <c r="F89" s="3" t="s">
        <v>782</v>
      </c>
      <c r="G89" s="3" t="s">
        <v>15</v>
      </c>
      <c r="H89" s="3" t="s">
        <v>1176</v>
      </c>
      <c r="I89" s="4">
        <f>'Owner KPIs'!K73</f>
        <v>4.0</v>
      </c>
      <c r="J89" s="3" t="s">
        <v>1177</v>
      </c>
    </row>
    <row r="90" spans="1:10">
      <c r="A90" s="3">
        <v>89</v>
      </c>
      <c r="B90" s="3" t="s">
        <v>529</v>
      </c>
      <c r="C90" s="3" t="s">
        <v>1147</v>
      </c>
      <c r="D90" s="3" t="s">
        <v>1023</v>
      </c>
      <c r="E90" s="3" t="s">
        <v>787</v>
      </c>
      <c r="F90" s="3" t="s">
        <v>786</v>
      </c>
      <c r="G90" s="3" t="s">
        <v>15</v>
      </c>
      <c r="H90" s="3" t="s">
        <v>1178</v>
      </c>
      <c r="I90" s="4">
        <f>'Owner KPIs'!K74</f>
        <v>95.71</v>
      </c>
      <c r="J90" s="3" t="s">
        <v>1179</v>
      </c>
    </row>
    <row r="91" spans="1:10">
      <c r="A91" s="3">
        <v>90</v>
      </c>
      <c r="B91" s="3" t="s">
        <v>529</v>
      </c>
      <c r="C91" s="3" t="s">
        <v>1147</v>
      </c>
      <c r="D91" s="3" t="s">
        <v>1023</v>
      </c>
      <c r="E91" s="3" t="s">
        <v>792</v>
      </c>
      <c r="F91" s="3" t="s">
        <v>791</v>
      </c>
      <c r="G91" s="3" t="s">
        <v>15</v>
      </c>
      <c r="H91" s="3" t="s">
        <v>1136</v>
      </c>
      <c r="I91" s="4">
        <f>'Owner KPIs'!K75</f>
        <v>0.0</v>
      </c>
      <c r="J91" s="3" t="s">
        <v>1180</v>
      </c>
    </row>
    <row r="92" spans="1:10">
      <c r="A92" s="3">
        <v>91</v>
      </c>
      <c r="B92" s="3" t="s">
        <v>529</v>
      </c>
      <c r="C92" s="3" t="s">
        <v>1147</v>
      </c>
      <c r="D92" s="3" t="s">
        <v>1023</v>
      </c>
      <c r="E92" s="3" t="s">
        <v>1044</v>
      </c>
      <c r="F92" s="3" t="s">
        <v>802</v>
      </c>
      <c r="G92" s="3" t="s">
        <v>15</v>
      </c>
      <c r="H92" s="3" t="s">
        <v>1045</v>
      </c>
      <c r="I92" s="4">
        <f>'Owner KPIs'!K78</f>
        <v>0.0</v>
      </c>
      <c r="J92" s="3" t="s">
        <v>1181</v>
      </c>
    </row>
    <row r="93" spans="1:10">
      <c r="A93" s="3">
        <v>92</v>
      </c>
      <c r="B93" s="3" t="s">
        <v>529</v>
      </c>
      <c r="C93" s="3" t="s">
        <v>1147</v>
      </c>
      <c r="D93" s="3" t="s">
        <v>1023</v>
      </c>
      <c r="E93" s="3" t="s">
        <v>811</v>
      </c>
      <c r="F93" s="3" t="s">
        <v>810</v>
      </c>
      <c r="G93" s="3" t="s">
        <v>15</v>
      </c>
      <c r="H93" s="3" t="s">
        <v>1182</v>
      </c>
      <c r="I93" s="4">
        <f>'Owner KPIs'!K81</f>
        <v>0.0</v>
      </c>
      <c r="J93" s="3" t="s">
        <v>1183</v>
      </c>
    </row>
    <row r="94" spans="1:10">
      <c r="A94" s="3">
        <v>93</v>
      </c>
      <c r="B94" s="3" t="s">
        <v>529</v>
      </c>
      <c r="C94" s="3" t="s">
        <v>1147</v>
      </c>
      <c r="D94" s="3" t="s">
        <v>1023</v>
      </c>
      <c r="E94" s="3" t="s">
        <v>1184</v>
      </c>
      <c r="F94" s="3" t="s">
        <v>813</v>
      </c>
      <c r="G94" s="3" t="s">
        <v>15</v>
      </c>
      <c r="H94" s="3" t="s">
        <v>1176</v>
      </c>
      <c r="I94" s="4">
        <f>'Owner KPIs'!K82</f>
        <v>4.0</v>
      </c>
      <c r="J94" s="3" t="s">
        <v>1185</v>
      </c>
    </row>
    <row r="95" spans="1:10">
      <c r="A95" s="3">
        <v>94</v>
      </c>
      <c r="B95" s="3" t="s">
        <v>529</v>
      </c>
      <c r="C95" s="3" t="s">
        <v>1147</v>
      </c>
      <c r="D95" s="3" t="s">
        <v>1023</v>
      </c>
      <c r="E95" s="3" t="s">
        <v>1186</v>
      </c>
      <c r="F95" s="3" t="s">
        <v>819</v>
      </c>
      <c r="G95" s="3" t="s">
        <v>15</v>
      </c>
      <c r="H95" s="3" t="s">
        <v>1187</v>
      </c>
      <c r="I95" s="4">
        <f>'Owner KPIs'!K84</f>
        <v>4.0</v>
      </c>
      <c r="J95" s="3" t="s">
        <v>1188</v>
      </c>
    </row>
    <row r="96" spans="1:10">
      <c r="A96" s="3">
        <v>95</v>
      </c>
      <c r="B96" s="3" t="s">
        <v>529</v>
      </c>
      <c r="C96" s="3" t="s">
        <v>1147</v>
      </c>
      <c r="D96" s="3" t="s">
        <v>1023</v>
      </c>
      <c r="E96" s="3" t="s">
        <v>1189</v>
      </c>
      <c r="F96" s="3" t="s">
        <v>823</v>
      </c>
      <c r="G96" s="3" t="s">
        <v>15</v>
      </c>
      <c r="H96" s="3" t="s">
        <v>1045</v>
      </c>
      <c r="I96" s="4">
        <f>'Owner KPIs'!K85</f>
        <v>0.0</v>
      </c>
      <c r="J96" s="3" t="s">
        <v>1190</v>
      </c>
    </row>
    <row r="97" spans="1:10">
      <c r="A97" s="3">
        <v>96</v>
      </c>
      <c r="B97" s="3" t="s">
        <v>529</v>
      </c>
      <c r="C97" s="3" t="s">
        <v>1147</v>
      </c>
      <c r="D97" s="3" t="s">
        <v>1023</v>
      </c>
      <c r="E97" s="3" t="s">
        <v>1191</v>
      </c>
      <c r="F97" s="3" t="s">
        <v>826</v>
      </c>
      <c r="G97" s="3" t="s">
        <v>15</v>
      </c>
      <c r="H97" s="3" t="s">
        <v>1136</v>
      </c>
      <c r="I97" s="4">
        <f>'Owner KPIs'!K86</f>
        <v>1.0</v>
      </c>
      <c r="J97" s="3" t="s">
        <v>1192</v>
      </c>
    </row>
    <row r="98" spans="1:10">
      <c r="A98" s="3">
        <v>97</v>
      </c>
      <c r="B98" s="3" t="s">
        <v>529</v>
      </c>
      <c r="C98" s="3" t="s">
        <v>1147</v>
      </c>
      <c r="D98" s="3" t="s">
        <v>1023</v>
      </c>
      <c r="E98" s="3" t="s">
        <v>1193</v>
      </c>
      <c r="F98" s="3" t="s">
        <v>829</v>
      </c>
      <c r="G98" s="3" t="s">
        <v>15</v>
      </c>
      <c r="H98" s="3" t="s">
        <v>1045</v>
      </c>
      <c r="I98" s="4">
        <f>'Owner KPIs'!K87</f>
        <v>0.0</v>
      </c>
      <c r="J98" s="3" t="s">
        <v>1194</v>
      </c>
    </row>
    <row r="99" spans="1:10">
      <c r="A99" s="3">
        <v>98</v>
      </c>
      <c r="B99" s="3" t="s">
        <v>529</v>
      </c>
      <c r="C99" s="3" t="s">
        <v>1147</v>
      </c>
      <c r="D99" s="3" t="s">
        <v>1023</v>
      </c>
      <c r="E99" s="3" t="s">
        <v>1195</v>
      </c>
      <c r="F99" s="3" t="s">
        <v>832</v>
      </c>
      <c r="G99" s="3" t="s">
        <v>15</v>
      </c>
      <c r="H99" s="3" t="s">
        <v>1045</v>
      </c>
      <c r="I99" s="4">
        <f>'Owner KPIs'!K88</f>
        <v>0.0</v>
      </c>
      <c r="J99" s="3" t="s">
        <v>1196</v>
      </c>
    </row>
    <row r="100" spans="1:10">
      <c r="A100" s="3">
        <v>99</v>
      </c>
      <c r="B100" s="3" t="s">
        <v>529</v>
      </c>
      <c r="C100" s="3" t="s">
        <v>1147</v>
      </c>
      <c r="D100" s="3" t="s">
        <v>1023</v>
      </c>
      <c r="E100" s="3" t="s">
        <v>1197</v>
      </c>
      <c r="F100" s="3" t="s">
        <v>835</v>
      </c>
      <c r="G100" s="3" t="s">
        <v>15</v>
      </c>
      <c r="H100" s="3" t="s">
        <v>1198</v>
      </c>
      <c r="I100" s="4">
        <f>'Owner KPIs'!K89</f>
        <v>14.0</v>
      </c>
      <c r="J100" s="3" t="s">
        <v>1199</v>
      </c>
    </row>
    <row r="101" spans="1:10">
      <c r="A101" s="3">
        <v>100</v>
      </c>
      <c r="B101" s="3" t="s">
        <v>529</v>
      </c>
      <c r="C101" s="3" t="s">
        <v>1147</v>
      </c>
      <c r="D101" s="3" t="s">
        <v>1023</v>
      </c>
      <c r="E101" s="3" t="s">
        <v>852</v>
      </c>
      <c r="F101" s="3" t="s">
        <v>851</v>
      </c>
      <c r="G101" s="3" t="s">
        <v>15</v>
      </c>
      <c r="H101" s="3" t="s">
        <v>1200</v>
      </c>
      <c r="I101" s="4">
        <f>'Owner KPIs'!K93</f>
        <v>7.0</v>
      </c>
      <c r="J101" s="3" t="s">
        <v>1201</v>
      </c>
    </row>
    <row r="102" spans="1:10">
      <c r="A102" s="3">
        <v>101</v>
      </c>
      <c r="B102" s="3" t="s">
        <v>911</v>
      </c>
      <c r="C102" s="3" t="s">
        <v>1202</v>
      </c>
      <c r="D102" s="3" t="s">
        <v>1013</v>
      </c>
      <c r="E102" s="3" t="s">
        <v>1203</v>
      </c>
      <c r="F102" s="3" t="s">
        <v>907</v>
      </c>
      <c r="G102" s="3" t="s">
        <v>15</v>
      </c>
      <c r="H102" s="3" t="s">
        <v>1204</v>
      </c>
      <c r="I102" s="4">
        <f>'Owner KPIs'!K107</f>
        <v>2.45</v>
      </c>
      <c r="J102" s="3" t="s">
        <v>1205</v>
      </c>
    </row>
    <row r="103" spans="1:10">
      <c r="A103" s="3">
        <v>102</v>
      </c>
      <c r="B103" s="3" t="s">
        <v>911</v>
      </c>
      <c r="C103" s="3" t="s">
        <v>1202</v>
      </c>
      <c r="D103" s="3" t="s">
        <v>1013</v>
      </c>
      <c r="E103" s="3" t="s">
        <v>1206</v>
      </c>
      <c r="F103" s="3" t="s">
        <v>913</v>
      </c>
      <c r="G103" s="3" t="s">
        <v>15</v>
      </c>
      <c r="H103" s="3" t="s">
        <v>1207</v>
      </c>
      <c r="I103" s="4">
        <f>'Owner KPIs'!K108</f>
        <v>11.0</v>
      </c>
      <c r="J103" s="3" t="s">
        <v>1208</v>
      </c>
    </row>
    <row r="104" spans="1:10">
      <c r="A104" s="3">
        <v>103</v>
      </c>
      <c r="B104" s="3" t="s">
        <v>911</v>
      </c>
      <c r="C104" s="3" t="s">
        <v>1202</v>
      </c>
      <c r="D104" s="3" t="s">
        <v>1013</v>
      </c>
      <c r="E104" s="3" t="s">
        <v>1209</v>
      </c>
      <c r="F104" s="3" t="s">
        <v>917</v>
      </c>
      <c r="G104" s="3" t="s">
        <v>15</v>
      </c>
      <c r="H104" s="3" t="s">
        <v>1210</v>
      </c>
      <c r="I104" s="4">
        <f>'Owner KPIs'!K109</f>
        <v>4.0</v>
      </c>
      <c r="J104" s="3" t="s">
        <v>1211</v>
      </c>
    </row>
    <row r="105" spans="1:10">
      <c r="A105" s="3">
        <v>104</v>
      </c>
      <c r="B105" s="3" t="s">
        <v>911</v>
      </c>
      <c r="C105" s="3" t="s">
        <v>1202</v>
      </c>
      <c r="D105" s="3" t="s">
        <v>1013</v>
      </c>
      <c r="E105" s="3" t="s">
        <v>1212</v>
      </c>
      <c r="F105" s="3" t="s">
        <v>922</v>
      </c>
      <c r="G105" s="3" t="s">
        <v>15</v>
      </c>
      <c r="H105" s="3" t="s">
        <v>1213</v>
      </c>
      <c r="I105" s="8" t="str">
        <f>'Owner KPIs'!K110</f>
        <v>8 of 9</v>
      </c>
      <c r="J105" s="3" t="s">
        <v>1214</v>
      </c>
    </row>
    <row r="106" spans="1:10">
      <c r="A106" s="3">
        <v>105</v>
      </c>
      <c r="B106" s="3" t="s">
        <v>463</v>
      </c>
      <c r="C106" s="3" t="s">
        <v>1215</v>
      </c>
      <c r="D106" s="3" t="s">
        <v>989</v>
      </c>
      <c r="E106" s="3" t="s">
        <v>990</v>
      </c>
      <c r="F106" s="3" t="s">
        <v>445</v>
      </c>
      <c r="G106" s="3" t="s">
        <v>15</v>
      </c>
      <c r="H106" s="3" t="s">
        <v>991</v>
      </c>
      <c r="I106" s="4">
        <f>'Owner KPIs'!K2</f>
        <v>95.51</v>
      </c>
      <c r="J106" s="3" t="s">
        <v>992</v>
      </c>
    </row>
    <row r="107" spans="1:10">
      <c r="A107" s="3">
        <v>106</v>
      </c>
      <c r="B107" s="3" t="s">
        <v>463</v>
      </c>
      <c r="C107" s="3" t="s">
        <v>1215</v>
      </c>
      <c r="D107" s="3" t="s">
        <v>989</v>
      </c>
      <c r="E107" s="3" t="s">
        <v>1216</v>
      </c>
      <c r="F107" s="3" t="s">
        <v>458</v>
      </c>
      <c r="G107" s="3" t="s">
        <v>15</v>
      </c>
      <c r="H107" s="3" t="s">
        <v>1217</v>
      </c>
      <c r="I107" s="4">
        <f>'Owner KPIs'!K4</f>
        <v>269.69</v>
      </c>
      <c r="J107" s="3" t="s">
        <v>1218</v>
      </c>
    </row>
    <row r="108" spans="1:10">
      <c r="A108" s="3">
        <v>107</v>
      </c>
      <c r="B108" s="3" t="s">
        <v>463</v>
      </c>
      <c r="C108" s="3" t="s">
        <v>1215</v>
      </c>
      <c r="D108" s="3" t="s">
        <v>989</v>
      </c>
      <c r="E108" s="3" t="s">
        <v>1219</v>
      </c>
      <c r="F108" s="3" t="s">
        <v>478</v>
      </c>
      <c r="G108" s="3" t="s">
        <v>15</v>
      </c>
      <c r="H108" s="3" t="s">
        <v>1220</v>
      </c>
      <c r="I108" s="4">
        <f>'Owner KPIs'!K8</f>
        <v>2933.74</v>
      </c>
      <c r="J108" s="3" t="s">
        <v>1221</v>
      </c>
    </row>
    <row r="109" spans="1:10">
      <c r="A109" s="3">
        <v>108</v>
      </c>
      <c r="B109" s="3" t="s">
        <v>463</v>
      </c>
      <c r="C109" s="3" t="s">
        <v>1215</v>
      </c>
      <c r="D109" s="3" t="s">
        <v>989</v>
      </c>
      <c r="E109" s="3" t="s">
        <v>1026</v>
      </c>
      <c r="F109" s="3" t="s">
        <v>549</v>
      </c>
      <c r="G109" s="3" t="s">
        <v>15</v>
      </c>
      <c r="H109" s="3" t="s">
        <v>1222</v>
      </c>
      <c r="I109" s="4">
        <f>'Owner KPIs'!K24</f>
        <v>83.44</v>
      </c>
      <c r="J109" s="3" t="s">
        <v>1027</v>
      </c>
    </row>
    <row r="110" spans="1:10">
      <c r="A110" s="3">
        <v>109</v>
      </c>
      <c r="B110" s="3" t="s">
        <v>463</v>
      </c>
      <c r="C110" s="3" t="s">
        <v>1215</v>
      </c>
      <c r="D110" s="3" t="s">
        <v>989</v>
      </c>
      <c r="E110" s="3" t="s">
        <v>1223</v>
      </c>
      <c r="F110" s="3" t="s">
        <v>553</v>
      </c>
      <c r="G110" s="3" t="s">
        <v>15</v>
      </c>
      <c r="H110" s="3" t="s">
        <v>1224</v>
      </c>
      <c r="I110" s="4">
        <f>'Owner KPIs'!K25</f>
        <v>84.07</v>
      </c>
      <c r="J110" s="3" t="s">
        <v>1225</v>
      </c>
    </row>
    <row r="111" spans="1:10">
      <c r="A111" s="3">
        <v>110</v>
      </c>
      <c r="B111" s="3" t="s">
        <v>463</v>
      </c>
      <c r="C111" s="3" t="s">
        <v>1215</v>
      </c>
      <c r="D111" s="3" t="s">
        <v>989</v>
      </c>
      <c r="E111" s="3" t="s">
        <v>1226</v>
      </c>
      <c r="F111" s="3" t="s">
        <v>768</v>
      </c>
      <c r="G111" s="3" t="s">
        <v>15</v>
      </c>
      <c r="H111" s="3" t="s">
        <v>1227</v>
      </c>
      <c r="I111" s="4">
        <f>'Owner KPIs'!K70</f>
        <v>91.41</v>
      </c>
      <c r="J111" s="3" t="s">
        <v>1228</v>
      </c>
    </row>
    <row r="112" spans="1:10">
      <c r="A112" s="3">
        <v>111</v>
      </c>
      <c r="B112" s="3" t="s">
        <v>463</v>
      </c>
      <c r="C112" s="3" t="s">
        <v>1215</v>
      </c>
      <c r="D112" s="3" t="s">
        <v>1013</v>
      </c>
      <c r="E112" s="3" t="s">
        <v>1229</v>
      </c>
      <c r="F112" s="3" t="s">
        <v>512</v>
      </c>
      <c r="G112" s="3" t="s">
        <v>15</v>
      </c>
      <c r="H112" s="3" t="s">
        <v>1230</v>
      </c>
      <c r="I112" s="4">
        <f>'Owner KPIs'!K15</f>
        <v>5.0</v>
      </c>
      <c r="J112" s="3" t="s">
        <v>1231</v>
      </c>
    </row>
    <row r="113" spans="1:10">
      <c r="A113" s="3">
        <v>112</v>
      </c>
      <c r="B113" s="3" t="s">
        <v>463</v>
      </c>
      <c r="C113" s="3" t="s">
        <v>1215</v>
      </c>
      <c r="D113" s="3" t="s">
        <v>1013</v>
      </c>
      <c r="E113" s="3" t="s">
        <v>1014</v>
      </c>
      <c r="F113" s="3" t="s">
        <v>936</v>
      </c>
      <c r="G113" s="3" t="s">
        <v>178</v>
      </c>
      <c r="H113" s="3" t="s">
        <v>1015</v>
      </c>
      <c r="I113" s="4">
        <f>ROUND('Plant Inputs'!BT15,2)</f>
        <v>4.0</v>
      </c>
      <c r="J113" s="3" t="s">
        <v>1016</v>
      </c>
    </row>
    <row r="114" spans="1:10">
      <c r="A114" s="3">
        <v>113</v>
      </c>
      <c r="B114" s="3" t="s">
        <v>463</v>
      </c>
      <c r="C114" s="3" t="s">
        <v>1215</v>
      </c>
      <c r="D114" s="3" t="s">
        <v>1013</v>
      </c>
      <c r="E114" s="3" t="s">
        <v>1232</v>
      </c>
      <c r="F114" s="3" t="s">
        <v>969</v>
      </c>
      <c r="G114" s="3" t="s">
        <v>15</v>
      </c>
      <c r="H114" s="3" t="s">
        <v>1233</v>
      </c>
      <c r="I114" s="4">
        <f>'Owner KPIs'!K118</f>
        <v>28.01</v>
      </c>
      <c r="J114" s="3" t="s">
        <v>1234</v>
      </c>
    </row>
    <row r="115" spans="1:10">
      <c r="A115" s="3">
        <v>114</v>
      </c>
      <c r="B115" s="3" t="s">
        <v>463</v>
      </c>
      <c r="C115" s="3" t="s">
        <v>1215</v>
      </c>
      <c r="D115" s="3" t="s">
        <v>1013</v>
      </c>
      <c r="E115" s="3" t="s">
        <v>1235</v>
      </c>
      <c r="F115" s="3" t="s">
        <v>974</v>
      </c>
      <c r="G115" s="3" t="s">
        <v>15</v>
      </c>
      <c r="H115" s="3" t="s">
        <v>1236</v>
      </c>
      <c r="I115" s="4">
        <f>'Owner KPIs'!K119</f>
        <v>0.0</v>
      </c>
      <c r="J115" s="3" t="s">
        <v>1237</v>
      </c>
    </row>
    <row r="116" spans="1:10">
      <c r="A116" s="3">
        <v>115</v>
      </c>
      <c r="B116" s="3" t="s">
        <v>463</v>
      </c>
      <c r="C116" s="3" t="s">
        <v>1215</v>
      </c>
      <c r="D116" s="3" t="s">
        <v>1023</v>
      </c>
      <c r="E116" s="3" t="s">
        <v>1216</v>
      </c>
      <c r="F116" s="3" t="s">
        <v>458</v>
      </c>
      <c r="G116" s="3" t="s">
        <v>15</v>
      </c>
      <c r="H116" s="3" t="s">
        <v>1217</v>
      </c>
      <c r="I116" s="4">
        <f>'Owner KPIs'!K4</f>
        <v>269.69</v>
      </c>
      <c r="J116" s="3" t="s">
        <v>1218</v>
      </c>
    </row>
    <row r="117" spans="1:10">
      <c r="A117" s="3">
        <v>116</v>
      </c>
      <c r="B117" s="3" t="s">
        <v>463</v>
      </c>
      <c r="C117" s="3" t="s">
        <v>1215</v>
      </c>
      <c r="D117" s="3" t="s">
        <v>1023</v>
      </c>
      <c r="E117" s="3" t="s">
        <v>1238</v>
      </c>
      <c r="F117" s="3" t="s">
        <v>465</v>
      </c>
      <c r="G117" s="3" t="s">
        <v>15</v>
      </c>
      <c r="H117" s="3" t="s">
        <v>1239</v>
      </c>
      <c r="I117" s="4">
        <f>'Owner KPIs'!K5</f>
        <v>7.83</v>
      </c>
      <c r="J117" s="3" t="s">
        <v>1240</v>
      </c>
    </row>
    <row r="118" spans="1:10">
      <c r="A118" s="3">
        <v>117</v>
      </c>
      <c r="B118" s="3" t="s">
        <v>463</v>
      </c>
      <c r="C118" s="3" t="s">
        <v>1215</v>
      </c>
      <c r="D118" s="3" t="s">
        <v>1023</v>
      </c>
      <c r="E118" s="3" t="s">
        <v>1241</v>
      </c>
      <c r="F118" s="3" t="s">
        <v>470</v>
      </c>
      <c r="G118" s="3" t="s">
        <v>15</v>
      </c>
      <c r="H118" s="3" t="s">
        <v>1242</v>
      </c>
      <c r="I118" s="4">
        <f>'Owner KPIs'!K6</f>
        <v>154.4</v>
      </c>
      <c r="J118" s="3" t="s">
        <v>1243</v>
      </c>
    </row>
    <row r="119" spans="1:10">
      <c r="A119" s="3">
        <v>118</v>
      </c>
      <c r="B119" s="3" t="s">
        <v>463</v>
      </c>
      <c r="C119" s="3" t="s">
        <v>1215</v>
      </c>
      <c r="D119" s="3" t="s">
        <v>1023</v>
      </c>
      <c r="E119" s="3" t="s">
        <v>1244</v>
      </c>
      <c r="F119" s="3" t="s">
        <v>473</v>
      </c>
      <c r="G119" s="3" t="s">
        <v>15</v>
      </c>
      <c r="H119" s="3" t="s">
        <v>1245</v>
      </c>
      <c r="I119" s="4">
        <f>'Owner KPIs'!K7</f>
        <v>95.62</v>
      </c>
      <c r="J119" s="3" t="s">
        <v>1246</v>
      </c>
    </row>
    <row r="120" spans="1:10">
      <c r="A120" s="3">
        <v>119</v>
      </c>
      <c r="B120" s="3" t="s">
        <v>463</v>
      </c>
      <c r="C120" s="3" t="s">
        <v>1215</v>
      </c>
      <c r="D120" s="3" t="s">
        <v>1023</v>
      </c>
      <c r="E120" s="3" t="s">
        <v>1219</v>
      </c>
      <c r="F120" s="3" t="s">
        <v>478</v>
      </c>
      <c r="G120" s="3" t="s">
        <v>15</v>
      </c>
      <c r="H120" s="3" t="s">
        <v>1247</v>
      </c>
      <c r="I120" s="4">
        <f>'Owner KPIs'!K8</f>
        <v>2933.74</v>
      </c>
      <c r="J120" s="3" t="s">
        <v>1221</v>
      </c>
    </row>
    <row r="121" spans="1:10">
      <c r="A121" s="3">
        <v>120</v>
      </c>
      <c r="B121" s="3" t="s">
        <v>463</v>
      </c>
      <c r="C121" s="3" t="s">
        <v>1215</v>
      </c>
      <c r="D121" s="3" t="s">
        <v>1023</v>
      </c>
      <c r="E121" s="3" t="s">
        <v>1248</v>
      </c>
      <c r="F121" s="3" t="s">
        <v>484</v>
      </c>
      <c r="G121" s="3" t="s">
        <v>15</v>
      </c>
      <c r="H121" s="3" t="s">
        <v>1249</v>
      </c>
      <c r="I121" s="4">
        <f>'Owner KPIs'!K9</f>
        <v>1827824.8</v>
      </c>
      <c r="J121" s="3" t="s">
        <v>1250</v>
      </c>
    </row>
    <row r="122" spans="1:10">
      <c r="A122" s="3">
        <v>121</v>
      </c>
      <c r="B122" s="3" t="s">
        <v>463</v>
      </c>
      <c r="C122" s="3" t="s">
        <v>1215</v>
      </c>
      <c r="D122" s="3" t="s">
        <v>1023</v>
      </c>
      <c r="E122" s="3" t="s">
        <v>1251</v>
      </c>
      <c r="F122" s="3" t="s">
        <v>488</v>
      </c>
      <c r="G122" s="3" t="s">
        <v>15</v>
      </c>
      <c r="H122" s="3" t="s">
        <v>1252</v>
      </c>
      <c r="I122" s="4">
        <f>'Owner KPIs'!K10</f>
        <v>459369.3</v>
      </c>
      <c r="J122" s="3" t="s">
        <v>1253</v>
      </c>
    </row>
    <row r="123" spans="1:10">
      <c r="A123" s="3">
        <v>122</v>
      </c>
      <c r="B123" s="3" t="s">
        <v>463</v>
      </c>
      <c r="C123" s="3" t="s">
        <v>1215</v>
      </c>
      <c r="D123" s="3" t="s">
        <v>1023</v>
      </c>
      <c r="E123" s="3" t="s">
        <v>492</v>
      </c>
      <c r="F123" s="3" t="s">
        <v>491</v>
      </c>
      <c r="G123" s="3" t="s">
        <v>15</v>
      </c>
      <c r="H123" s="3" t="s">
        <v>1160</v>
      </c>
      <c r="I123" s="4">
        <f>'Owner KPIs'!K11</f>
        <v>1450141.0</v>
      </c>
      <c r="J123" s="3" t="s">
        <v>1161</v>
      </c>
    </row>
    <row r="124" spans="1:10">
      <c r="A124" s="3">
        <v>123</v>
      </c>
      <c r="B124" s="3" t="s">
        <v>463</v>
      </c>
      <c r="C124" s="3" t="s">
        <v>1215</v>
      </c>
      <c r="D124" s="3" t="s">
        <v>1023</v>
      </c>
      <c r="E124" s="3" t="s">
        <v>498</v>
      </c>
      <c r="F124" s="3" t="s">
        <v>497</v>
      </c>
      <c r="G124" s="3" t="s">
        <v>15</v>
      </c>
      <c r="H124" s="3" t="s">
        <v>1162</v>
      </c>
      <c r="I124" s="4">
        <f>'Owner KPIs'!K12</f>
        <v>427664.0</v>
      </c>
      <c r="J124" s="3" t="s">
        <v>1163</v>
      </c>
    </row>
    <row r="125" spans="1:10">
      <c r="A125" s="3">
        <v>124</v>
      </c>
      <c r="B125" s="3" t="s">
        <v>463</v>
      </c>
      <c r="C125" s="3" t="s">
        <v>1215</v>
      </c>
      <c r="D125" s="3" t="s">
        <v>1023</v>
      </c>
      <c r="E125" s="3" t="s">
        <v>502</v>
      </c>
      <c r="F125" s="3" t="s">
        <v>501</v>
      </c>
      <c r="G125" s="3" t="s">
        <v>15</v>
      </c>
      <c r="H125" s="3" t="s">
        <v>1164</v>
      </c>
      <c r="I125" s="4">
        <f>'Owner KPIs'!K13</f>
        <v>3.42</v>
      </c>
      <c r="J125" s="3" t="s">
        <v>1165</v>
      </c>
    </row>
    <row r="126" spans="1:10">
      <c r="A126" s="3">
        <v>125</v>
      </c>
      <c r="B126" s="3" t="s">
        <v>463</v>
      </c>
      <c r="C126" s="3" t="s">
        <v>1215</v>
      </c>
      <c r="D126" s="3" t="s">
        <v>1023</v>
      </c>
      <c r="E126" s="3" t="s">
        <v>1254</v>
      </c>
      <c r="F126" s="3" t="s">
        <v>512</v>
      </c>
      <c r="G126" s="3" t="s">
        <v>15</v>
      </c>
      <c r="H126" s="3" t="s">
        <v>1230</v>
      </c>
      <c r="I126" s="4">
        <f>'Owner KPIs'!K15</f>
        <v>5.0</v>
      </c>
      <c r="J126" s="3" t="s">
        <v>1231</v>
      </c>
    </row>
    <row r="127" spans="1:10">
      <c r="A127" s="3">
        <v>126</v>
      </c>
      <c r="B127" s="3" t="s">
        <v>463</v>
      </c>
      <c r="C127" s="3" t="s">
        <v>1215</v>
      </c>
      <c r="D127" s="3" t="s">
        <v>1023</v>
      </c>
      <c r="E127" s="3" t="s">
        <v>568</v>
      </c>
      <c r="F127" s="3" t="s">
        <v>567</v>
      </c>
      <c r="G127" s="3" t="s">
        <v>15</v>
      </c>
      <c r="H127" s="3" t="s">
        <v>1255</v>
      </c>
      <c r="I127" s="4">
        <f>'Owner KPIs'!K28</f>
        <v>174.29</v>
      </c>
      <c r="J127" s="3" t="s">
        <v>1256</v>
      </c>
    </row>
    <row r="128" spans="1:10">
      <c r="A128" s="3">
        <v>127</v>
      </c>
      <c r="B128" s="3" t="s">
        <v>463</v>
      </c>
      <c r="C128" s="3" t="s">
        <v>1215</v>
      </c>
      <c r="D128" s="3" t="s">
        <v>1023</v>
      </c>
      <c r="E128" s="3" t="s">
        <v>1257</v>
      </c>
      <c r="F128" s="3" t="s">
        <v>768</v>
      </c>
      <c r="G128" s="3" t="s">
        <v>15</v>
      </c>
      <c r="H128" s="3" t="s">
        <v>1098</v>
      </c>
      <c r="I128" s="4">
        <f>'Owner KPIs'!K70</f>
        <v>91.41</v>
      </c>
      <c r="J128" s="3" t="s">
        <v>1228</v>
      </c>
    </row>
    <row r="129" spans="1:10">
      <c r="A129" s="3">
        <v>128</v>
      </c>
      <c r="B129" s="3" t="s">
        <v>463</v>
      </c>
      <c r="C129" s="3" t="s">
        <v>1215</v>
      </c>
      <c r="D129" s="3" t="s">
        <v>1023</v>
      </c>
      <c r="E129" s="3" t="s">
        <v>774</v>
      </c>
      <c r="F129" s="3" t="s">
        <v>773</v>
      </c>
      <c r="G129" s="3" t="s">
        <v>15</v>
      </c>
      <c r="H129" s="3" t="s">
        <v>1258</v>
      </c>
      <c r="I129" s="4">
        <f>'Owner KPIs'!K71</f>
        <v>35.19</v>
      </c>
      <c r="J129" s="3" t="s">
        <v>1259</v>
      </c>
    </row>
    <row r="130" spans="1:10">
      <c r="A130" s="3">
        <v>129</v>
      </c>
      <c r="B130" s="3" t="s">
        <v>463</v>
      </c>
      <c r="C130" s="3" t="s">
        <v>1215</v>
      </c>
      <c r="D130" s="3" t="s">
        <v>1023</v>
      </c>
      <c r="E130" s="3" t="s">
        <v>779</v>
      </c>
      <c r="F130" s="3" t="s">
        <v>778</v>
      </c>
      <c r="G130" s="3" t="s">
        <v>15</v>
      </c>
      <c r="H130" s="3" t="s">
        <v>1045</v>
      </c>
      <c r="I130" s="4">
        <f>'Owner KPIs'!K72</f>
        <v>3.0</v>
      </c>
      <c r="J130" s="3" t="s">
        <v>1260</v>
      </c>
    </row>
    <row r="131" spans="1:10">
      <c r="A131" s="3">
        <v>130</v>
      </c>
      <c r="B131" s="3" t="s">
        <v>463</v>
      </c>
      <c r="C131" s="3" t="s">
        <v>1215</v>
      </c>
      <c r="D131" s="3" t="s">
        <v>1023</v>
      </c>
      <c r="E131" s="3" t="s">
        <v>1261</v>
      </c>
      <c r="F131" s="3" t="s">
        <v>969</v>
      </c>
      <c r="G131" s="3" t="s">
        <v>15</v>
      </c>
      <c r="H131" s="3" t="s">
        <v>1233</v>
      </c>
      <c r="I131" s="4">
        <f>'Owner KPIs'!K118</f>
        <v>28.01</v>
      </c>
      <c r="J131" s="3" t="s">
        <v>1234</v>
      </c>
    </row>
    <row r="132" spans="1:10">
      <c r="A132" s="3">
        <v>131</v>
      </c>
      <c r="B132" s="3" t="s">
        <v>843</v>
      </c>
      <c r="C132" s="3" t="s">
        <v>1262</v>
      </c>
      <c r="D132" s="3" t="s">
        <v>989</v>
      </c>
      <c r="E132" s="3" t="s">
        <v>861</v>
      </c>
      <c r="F132" s="3" t="s">
        <v>860</v>
      </c>
      <c r="G132" s="3" t="s">
        <v>15</v>
      </c>
      <c r="H132" s="3" t="s">
        <v>1136</v>
      </c>
      <c r="I132" s="4">
        <f>'Owner KPIs'!K96</f>
        <v>1.0</v>
      </c>
      <c r="J132" s="3" t="s">
        <v>1263</v>
      </c>
    </row>
    <row r="133" spans="1:10">
      <c r="A133" s="3">
        <v>132</v>
      </c>
      <c r="B133" s="3" t="s">
        <v>843</v>
      </c>
      <c r="C133" s="3" t="s">
        <v>1262</v>
      </c>
      <c r="D133" s="3" t="s">
        <v>989</v>
      </c>
      <c r="E133" s="3" t="s">
        <v>864</v>
      </c>
      <c r="F133" s="3" t="s">
        <v>863</v>
      </c>
      <c r="G133" s="3" t="s">
        <v>15</v>
      </c>
      <c r="H133" s="3" t="s">
        <v>1136</v>
      </c>
      <c r="I133" s="4">
        <f>'Owner KPIs'!K97</f>
        <v>1.0</v>
      </c>
      <c r="J133" s="3" t="s">
        <v>1264</v>
      </c>
    </row>
    <row r="134" spans="1:10">
      <c r="A134" s="3">
        <v>133</v>
      </c>
      <c r="B134" s="3" t="s">
        <v>843</v>
      </c>
      <c r="C134" s="3" t="s">
        <v>1262</v>
      </c>
      <c r="D134" s="3" t="s">
        <v>989</v>
      </c>
      <c r="E134" s="3" t="s">
        <v>876</v>
      </c>
      <c r="F134" s="3" t="s">
        <v>875</v>
      </c>
      <c r="G134" s="3" t="s">
        <v>15</v>
      </c>
      <c r="H134" s="3" t="s">
        <v>1265</v>
      </c>
      <c r="I134" s="4">
        <f>'Owner KPIs'!K100</f>
        <v>83.93</v>
      </c>
      <c r="J134" s="3" t="s">
        <v>1266</v>
      </c>
    </row>
    <row r="135" spans="1:10">
      <c r="A135" s="3">
        <v>134</v>
      </c>
      <c r="B135" s="3" t="s">
        <v>843</v>
      </c>
      <c r="C135" s="3" t="s">
        <v>1262</v>
      </c>
      <c r="D135" s="3" t="s">
        <v>989</v>
      </c>
      <c r="E135" s="3" t="s">
        <v>881</v>
      </c>
      <c r="F135" s="3" t="s">
        <v>880</v>
      </c>
      <c r="G135" s="3" t="s">
        <v>15</v>
      </c>
      <c r="H135" s="3" t="s">
        <v>1267</v>
      </c>
      <c r="I135" s="4">
        <f>'Owner KPIs'!K101</f>
        <v>9.0</v>
      </c>
      <c r="J135" s="3" t="s">
        <v>1268</v>
      </c>
    </row>
    <row r="136" spans="1:10">
      <c r="A136" s="3">
        <v>135</v>
      </c>
      <c r="B136" s="3" t="s">
        <v>843</v>
      </c>
      <c r="C136" s="3" t="s">
        <v>1262</v>
      </c>
      <c r="D136" s="3" t="s">
        <v>989</v>
      </c>
      <c r="E136" s="3" t="s">
        <v>1269</v>
      </c>
      <c r="F136" s="3" t="s">
        <v>894</v>
      </c>
      <c r="G136" s="3" t="s">
        <v>15</v>
      </c>
      <c r="H136" s="3" t="s">
        <v>1270</v>
      </c>
      <c r="I136" s="4">
        <f>'Owner KPIs'!K104</f>
        <v>0.38</v>
      </c>
      <c r="J136" s="3" t="s">
        <v>1271</v>
      </c>
    </row>
    <row r="137" spans="1:10">
      <c r="A137" s="3">
        <v>136</v>
      </c>
      <c r="B137" s="3" t="s">
        <v>843</v>
      </c>
      <c r="C137" s="3" t="s">
        <v>1262</v>
      </c>
      <c r="D137" s="3" t="s">
        <v>989</v>
      </c>
      <c r="E137" s="3" t="s">
        <v>1272</v>
      </c>
      <c r="F137" s="3" t="s">
        <v>899</v>
      </c>
      <c r="G137" s="3" t="s">
        <v>15</v>
      </c>
      <c r="H137" s="3" t="s">
        <v>1273</v>
      </c>
      <c r="I137" s="4">
        <f>'Owner KPIs'!K105</f>
        <v>0.27</v>
      </c>
      <c r="J137" s="3" t="s">
        <v>1274</v>
      </c>
    </row>
    <row r="138" spans="1:10">
      <c r="A138" s="3">
        <v>137</v>
      </c>
      <c r="B138" s="3" t="s">
        <v>843</v>
      </c>
      <c r="C138" s="3" t="s">
        <v>1262</v>
      </c>
      <c r="D138" s="3" t="s">
        <v>1023</v>
      </c>
      <c r="E138" s="3" t="s">
        <v>840</v>
      </c>
      <c r="F138" s="3" t="s">
        <v>839</v>
      </c>
      <c r="G138" s="3" t="s">
        <v>15</v>
      </c>
      <c r="H138" s="3" t="s">
        <v>1275</v>
      </c>
      <c r="I138" s="4">
        <f>'Owner KPIs'!K90</f>
        <v>2.0</v>
      </c>
      <c r="J138" s="3" t="s">
        <v>1276</v>
      </c>
    </row>
    <row r="139" spans="1:10">
      <c r="A139" s="3">
        <v>138</v>
      </c>
      <c r="B139" s="3" t="s">
        <v>843</v>
      </c>
      <c r="C139" s="3" t="s">
        <v>1262</v>
      </c>
      <c r="D139" s="3" t="s">
        <v>1023</v>
      </c>
      <c r="E139" s="3" t="s">
        <v>1277</v>
      </c>
      <c r="F139" s="3" t="s">
        <v>844</v>
      </c>
      <c r="G139" s="3" t="s">
        <v>15</v>
      </c>
      <c r="H139" s="3" t="s">
        <v>1045</v>
      </c>
      <c r="I139" s="4">
        <f>'Owner KPIs'!K91</f>
        <v>0.0</v>
      </c>
      <c r="J139" s="3" t="s">
        <v>1278</v>
      </c>
    </row>
    <row r="140" spans="1:10">
      <c r="A140" s="3">
        <v>139</v>
      </c>
      <c r="B140" s="3" t="s">
        <v>843</v>
      </c>
      <c r="C140" s="3" t="s">
        <v>1262</v>
      </c>
      <c r="D140" s="3" t="s">
        <v>1023</v>
      </c>
      <c r="E140" s="3" t="s">
        <v>849</v>
      </c>
      <c r="F140" s="3" t="s">
        <v>848</v>
      </c>
      <c r="G140" s="3" t="s">
        <v>15</v>
      </c>
      <c r="H140" s="3" t="s">
        <v>1136</v>
      </c>
      <c r="I140" s="4">
        <f>'Owner KPIs'!K92</f>
        <v>1.0</v>
      </c>
      <c r="J140" s="3" t="s">
        <v>1279</v>
      </c>
    </row>
    <row r="141" spans="1:10">
      <c r="A141" s="3">
        <v>140</v>
      </c>
      <c r="B141" s="3" t="s">
        <v>843</v>
      </c>
      <c r="C141" s="3" t="s">
        <v>1262</v>
      </c>
      <c r="D141" s="3" t="s">
        <v>1023</v>
      </c>
      <c r="E141" s="3" t="s">
        <v>852</v>
      </c>
      <c r="F141" s="3" t="s">
        <v>851</v>
      </c>
      <c r="G141" s="3" t="s">
        <v>15</v>
      </c>
      <c r="H141" s="3" t="s">
        <v>1200</v>
      </c>
      <c r="I141" s="4">
        <f>'Owner KPIs'!K93</f>
        <v>7.0</v>
      </c>
      <c r="J141" s="3" t="s">
        <v>1201</v>
      </c>
    </row>
    <row r="142" spans="1:10">
      <c r="A142" s="3">
        <v>141</v>
      </c>
      <c r="B142" s="3" t="s">
        <v>843</v>
      </c>
      <c r="C142" s="3" t="s">
        <v>1262</v>
      </c>
      <c r="D142" s="3" t="s">
        <v>1023</v>
      </c>
      <c r="E142" s="3" t="s">
        <v>856</v>
      </c>
      <c r="F142" s="3" t="s">
        <v>855</v>
      </c>
      <c r="G142" s="3" t="s">
        <v>15</v>
      </c>
      <c r="H142" s="3" t="s">
        <v>1045</v>
      </c>
      <c r="I142" s="4">
        <f>'Owner KPIs'!K94</f>
        <v>0.0</v>
      </c>
      <c r="J142" s="3" t="s">
        <v>1280</v>
      </c>
    </row>
    <row r="143" spans="1:10">
      <c r="A143" s="3">
        <v>142</v>
      </c>
      <c r="B143" s="3" t="s">
        <v>843</v>
      </c>
      <c r="C143" s="3" t="s">
        <v>1262</v>
      </c>
      <c r="D143" s="3" t="s">
        <v>1023</v>
      </c>
      <c r="E143" s="3" t="s">
        <v>858</v>
      </c>
      <c r="F143" s="3" t="s">
        <v>857</v>
      </c>
      <c r="G143" s="3" t="s">
        <v>15</v>
      </c>
      <c r="H143" s="3" t="s">
        <v>1136</v>
      </c>
      <c r="I143" s="4">
        <f>'Owner KPIs'!K95</f>
        <v>1.0</v>
      </c>
      <c r="J143" s="3" t="s">
        <v>1281</v>
      </c>
    </row>
    <row r="144" spans="1:10">
      <c r="A144" s="3">
        <v>143</v>
      </c>
      <c r="B144" s="3" t="s">
        <v>843</v>
      </c>
      <c r="C144" s="3" t="s">
        <v>1262</v>
      </c>
      <c r="D144" s="3" t="s">
        <v>1023</v>
      </c>
      <c r="E144" s="3" t="s">
        <v>861</v>
      </c>
      <c r="F144" s="3" t="s">
        <v>860</v>
      </c>
      <c r="G144" s="3" t="s">
        <v>15</v>
      </c>
      <c r="H144" s="3" t="s">
        <v>1136</v>
      </c>
      <c r="I144" s="4">
        <f>'Owner KPIs'!K96</f>
        <v>1.0</v>
      </c>
      <c r="J144" s="3" t="s">
        <v>1263</v>
      </c>
    </row>
    <row r="145" spans="1:10">
      <c r="A145" s="3">
        <v>144</v>
      </c>
      <c r="B145" s="3" t="s">
        <v>843</v>
      </c>
      <c r="C145" s="3" t="s">
        <v>1262</v>
      </c>
      <c r="D145" s="3" t="s">
        <v>1023</v>
      </c>
      <c r="E145" s="3" t="s">
        <v>866</v>
      </c>
      <c r="F145" s="3" t="s">
        <v>865</v>
      </c>
      <c r="G145" s="3" t="s">
        <v>15</v>
      </c>
      <c r="H145" s="3" t="s">
        <v>1282</v>
      </c>
      <c r="I145" s="4">
        <f>'Owner KPIs'!K98</f>
        <v>87.96</v>
      </c>
      <c r="J145" s="3" t="s">
        <v>1283</v>
      </c>
    </row>
    <row r="146" spans="1:10">
      <c r="A146" s="3">
        <v>145</v>
      </c>
      <c r="B146" s="3" t="s">
        <v>843</v>
      </c>
      <c r="C146" s="3" t="s">
        <v>1262</v>
      </c>
      <c r="D146" s="3" t="s">
        <v>1023</v>
      </c>
      <c r="E146" s="3" t="s">
        <v>871</v>
      </c>
      <c r="F146" s="3" t="s">
        <v>870</v>
      </c>
      <c r="G146" s="3" t="s">
        <v>15</v>
      </c>
      <c r="H146" s="3" t="s">
        <v>1284</v>
      </c>
      <c r="I146" s="4">
        <f>'Owner KPIs'!K99</f>
        <v>32.81</v>
      </c>
      <c r="J146" s="3" t="s">
        <v>1285</v>
      </c>
    </row>
    <row r="147" spans="1:10">
      <c r="A147" s="3">
        <v>146</v>
      </c>
      <c r="B147" s="3" t="s">
        <v>843</v>
      </c>
      <c r="C147" s="3" t="s">
        <v>1262</v>
      </c>
      <c r="D147" s="3" t="s">
        <v>1023</v>
      </c>
      <c r="E147" s="3" t="s">
        <v>1286</v>
      </c>
      <c r="F147" s="3" t="s">
        <v>875</v>
      </c>
      <c r="G147" s="3" t="s">
        <v>15</v>
      </c>
      <c r="H147" s="3" t="s">
        <v>1265</v>
      </c>
      <c r="I147" s="4">
        <f>'Owner KPIs'!K100</f>
        <v>83.93</v>
      </c>
      <c r="J147" s="3" t="s">
        <v>1266</v>
      </c>
    </row>
    <row r="148" spans="1:10">
      <c r="A148" s="3">
        <v>147</v>
      </c>
      <c r="B148" s="3" t="s">
        <v>843</v>
      </c>
      <c r="C148" s="3" t="s">
        <v>1262</v>
      </c>
      <c r="D148" s="3" t="s">
        <v>1023</v>
      </c>
      <c r="E148" s="3" t="s">
        <v>885</v>
      </c>
      <c r="F148" s="3" t="s">
        <v>884</v>
      </c>
      <c r="G148" s="3" t="s">
        <v>15</v>
      </c>
      <c r="H148" s="3" t="s">
        <v>1287</v>
      </c>
      <c r="I148" s="4">
        <f>'Owner KPIs'!K102</f>
        <v>99.02</v>
      </c>
      <c r="J148" s="3" t="s">
        <v>1288</v>
      </c>
    </row>
    <row r="149" spans="1:10">
      <c r="A149" s="3">
        <v>148</v>
      </c>
      <c r="B149" s="3" t="s">
        <v>843</v>
      </c>
      <c r="C149" s="3" t="s">
        <v>1262</v>
      </c>
      <c r="D149" s="3" t="s">
        <v>1023</v>
      </c>
      <c r="E149" s="3" t="s">
        <v>890</v>
      </c>
      <c r="F149" s="3" t="s">
        <v>889</v>
      </c>
      <c r="G149" s="3" t="s">
        <v>15</v>
      </c>
      <c r="H149" s="3" t="s">
        <v>1289</v>
      </c>
      <c r="I149" s="4">
        <f>'Owner KPIs'!K103</f>
        <v>95.98</v>
      </c>
      <c r="J149" s="3" t="s">
        <v>1290</v>
      </c>
    </row>
    <row r="150" spans="1:10">
      <c r="A150" s="3">
        <v>149</v>
      </c>
      <c r="B150" s="3" t="s">
        <v>843</v>
      </c>
      <c r="C150" s="3" t="s">
        <v>1262</v>
      </c>
      <c r="D150" s="3" t="s">
        <v>1023</v>
      </c>
      <c r="E150" s="3" t="s">
        <v>1269</v>
      </c>
      <c r="F150" s="3" t="s">
        <v>894</v>
      </c>
      <c r="G150" s="3" t="s">
        <v>15</v>
      </c>
      <c r="H150" s="3" t="s">
        <v>1270</v>
      </c>
      <c r="I150" s="4">
        <f>'Owner KPIs'!K104</f>
        <v>0.38</v>
      </c>
      <c r="J150" s="3" t="s">
        <v>1271</v>
      </c>
    </row>
    <row r="151" spans="1:10">
      <c r="A151" s="3">
        <v>150</v>
      </c>
      <c r="B151" s="3" t="s">
        <v>843</v>
      </c>
      <c r="C151" s="3" t="s">
        <v>1262</v>
      </c>
      <c r="D151" s="3" t="s">
        <v>1023</v>
      </c>
      <c r="E151" s="3" t="s">
        <v>1272</v>
      </c>
      <c r="F151" s="3" t="s">
        <v>899</v>
      </c>
      <c r="G151" s="3" t="s">
        <v>15</v>
      </c>
      <c r="H151" s="3" t="s">
        <v>1291</v>
      </c>
      <c r="I151" s="4">
        <f>'Owner KPIs'!K105</f>
        <v>0.27</v>
      </c>
      <c r="J151" s="3" t="s">
        <v>1274</v>
      </c>
    </row>
    <row r="152" spans="1:10">
      <c r="A152" s="3">
        <v>151</v>
      </c>
      <c r="B152" s="3" t="s">
        <v>1292</v>
      </c>
      <c r="C152" s="3" t="s">
        <v>1293</v>
      </c>
      <c r="D152" s="3" t="s">
        <v>989</v>
      </c>
      <c r="E152" s="3" t="s">
        <v>1294</v>
      </c>
      <c r="F152" s="3" t="s">
        <v>445</v>
      </c>
      <c r="G152" s="3" t="s">
        <v>170</v>
      </c>
      <c r="H152" s="3" t="s">
        <v>1295</v>
      </c>
      <c r="I152" s="4">
        <f>ROUND(IFERROR(100*'Entity Inputs'!M9/'Entity Inputs'!K9,0),2)</f>
        <v>91.27</v>
      </c>
      <c r="J152" s="3" t="s">
        <v>1296</v>
      </c>
    </row>
    <row r="153" spans="1:10">
      <c r="A153" s="3">
        <v>152</v>
      </c>
      <c r="B153" s="3" t="s">
        <v>1297</v>
      </c>
      <c r="C153" s="3" t="s">
        <v>1298</v>
      </c>
      <c r="D153" s="3" t="s">
        <v>989</v>
      </c>
      <c r="E153" s="3" t="s">
        <v>1020</v>
      </c>
      <c r="F153" s="3" t="s">
        <v>949</v>
      </c>
      <c r="G153" s="3" t="s">
        <v>15</v>
      </c>
      <c r="H153" s="3" t="s">
        <v>1299</v>
      </c>
      <c r="I153" s="4">
        <f>'Owner KPIs'!K115</f>
        <v>-56.18</v>
      </c>
      <c r="J153" s="3" t="s">
        <v>1022</v>
      </c>
    </row>
    <row r="154" spans="1:10">
      <c r="A154" s="3">
        <v>153</v>
      </c>
      <c r="B154" s="3" t="s">
        <v>511</v>
      </c>
      <c r="C154" s="3" t="s">
        <v>1300</v>
      </c>
      <c r="D154" s="3" t="s">
        <v>989</v>
      </c>
      <c r="E154" s="3" t="s">
        <v>1301</v>
      </c>
      <c r="F154" s="3" t="s">
        <v>445</v>
      </c>
      <c r="G154" s="3" t="s">
        <v>178</v>
      </c>
      <c r="H154" s="3" t="s">
        <v>1302</v>
      </c>
      <c r="I154" s="4">
        <f>ROUND(IFERROR(100*'Plant Inputs'!N15/'Plant Inputs'!L15,0),2)</f>
        <v>78.4</v>
      </c>
      <c r="J154" s="3" t="s">
        <v>1016</v>
      </c>
    </row>
    <row r="155" spans="1:10">
      <c r="A155" s="3">
        <v>154</v>
      </c>
      <c r="B155" s="3" t="s">
        <v>511</v>
      </c>
      <c r="C155" s="3" t="s">
        <v>1300</v>
      </c>
      <c r="D155" s="3" t="s">
        <v>989</v>
      </c>
      <c r="E155" s="3" t="s">
        <v>1303</v>
      </c>
      <c r="F155" s="3" t="s">
        <v>507</v>
      </c>
      <c r="G155" s="3" t="s">
        <v>178</v>
      </c>
      <c r="H155" s="3" t="s">
        <v>1304</v>
      </c>
      <c r="I155" s="4">
        <f>ROUND('Plant Inputs'!AC15,2)</f>
        <v>24322.0</v>
      </c>
      <c r="J155" s="3" t="s">
        <v>1016</v>
      </c>
    </row>
    <row r="156" spans="1:10">
      <c r="A156" s="3">
        <v>155</v>
      </c>
      <c r="B156" s="3" t="s">
        <v>511</v>
      </c>
      <c r="C156" s="3" t="s">
        <v>1300</v>
      </c>
      <c r="D156" s="3" t="s">
        <v>989</v>
      </c>
      <c r="E156" s="3" t="s">
        <v>1305</v>
      </c>
      <c r="F156" s="3" t="s">
        <v>512</v>
      </c>
      <c r="G156" s="3" t="s">
        <v>15</v>
      </c>
      <c r="H156" s="3" t="s">
        <v>1230</v>
      </c>
      <c r="I156" s="4">
        <f>'Owner KPIs'!K15</f>
        <v>5.0</v>
      </c>
      <c r="J156" s="3" t="s">
        <v>1231</v>
      </c>
    </row>
    <row r="157" spans="1:10">
      <c r="A157" s="3">
        <v>156</v>
      </c>
      <c r="B157" s="3" t="s">
        <v>511</v>
      </c>
      <c r="C157" s="3" t="s">
        <v>1300</v>
      </c>
      <c r="D157" s="3" t="s">
        <v>989</v>
      </c>
      <c r="E157" s="3" t="s">
        <v>1014</v>
      </c>
      <c r="F157" s="3" t="s">
        <v>936</v>
      </c>
      <c r="G157" s="3" t="s">
        <v>178</v>
      </c>
      <c r="H157" s="3" t="s">
        <v>1015</v>
      </c>
      <c r="I157" s="4">
        <f>ROUND('Plant Inputs'!BT15,2)</f>
        <v>4.0</v>
      </c>
      <c r="J157" s="3" t="s">
        <v>1016</v>
      </c>
    </row>
    <row r="158" spans="1:10">
      <c r="A158" s="3">
        <v>157</v>
      </c>
      <c r="B158" s="3" t="s">
        <v>522</v>
      </c>
      <c r="C158" s="3" t="s">
        <v>1306</v>
      </c>
      <c r="D158" s="3" t="s">
        <v>989</v>
      </c>
      <c r="E158" s="3" t="s">
        <v>519</v>
      </c>
      <c r="F158" s="3" t="s">
        <v>518</v>
      </c>
      <c r="G158" s="3" t="s">
        <v>15</v>
      </c>
      <c r="H158" s="3" t="s">
        <v>1307</v>
      </c>
      <c r="I158" s="4">
        <f>'Owner KPIs'!K16</f>
        <v>8.66</v>
      </c>
      <c r="J158" s="3" t="s">
        <v>1308</v>
      </c>
    </row>
    <row r="159" spans="1:10">
      <c r="A159" s="3">
        <v>158</v>
      </c>
      <c r="B159" s="3" t="s">
        <v>522</v>
      </c>
      <c r="C159" s="3" t="s">
        <v>1306</v>
      </c>
      <c r="D159" s="3" t="s">
        <v>989</v>
      </c>
      <c r="E159" s="3" t="s">
        <v>1309</v>
      </c>
      <c r="F159" s="3" t="s">
        <v>614</v>
      </c>
      <c r="G159" s="3" t="s">
        <v>170</v>
      </c>
      <c r="H159" s="3" t="s">
        <v>1310</v>
      </c>
      <c r="I159" s="4">
        <f>ROUND('Entity Inputs'!CM9/'Entity Inputs'!D9/1000,2)</f>
        <v>38.6</v>
      </c>
      <c r="J159" s="3" t="s">
        <v>1296</v>
      </c>
    </row>
    <row r="160" spans="1:10">
      <c r="A160" s="3">
        <v>159</v>
      </c>
      <c r="B160" s="3" t="s">
        <v>522</v>
      </c>
      <c r="C160" s="3" t="s">
        <v>1306</v>
      </c>
      <c r="D160" s="3" t="s">
        <v>989</v>
      </c>
      <c r="E160" s="3" t="s">
        <v>627</v>
      </c>
      <c r="F160" s="3" t="s">
        <v>626</v>
      </c>
      <c r="G160" s="3" t="s">
        <v>15</v>
      </c>
      <c r="H160" s="3" t="s">
        <v>1059</v>
      </c>
      <c r="I160" s="4">
        <f>'Owner KPIs'!K40</f>
        <v>27.21</v>
      </c>
      <c r="J160" s="3" t="s">
        <v>1060</v>
      </c>
    </row>
    <row r="161" spans="1:10">
      <c r="A161" s="3">
        <v>160</v>
      </c>
      <c r="B161" s="3" t="s">
        <v>522</v>
      </c>
      <c r="C161" s="3" t="s">
        <v>1306</v>
      </c>
      <c r="D161" s="3" t="s">
        <v>989</v>
      </c>
      <c r="E161" s="3" t="s">
        <v>1311</v>
      </c>
      <c r="F161" s="3" t="s">
        <v>632</v>
      </c>
      <c r="G161" s="3" t="s">
        <v>170</v>
      </c>
      <c r="H161" s="3" t="s">
        <v>1312</v>
      </c>
      <c r="I161" s="4">
        <f>ROUND((IF('Entity Inputs'!AU9=0,0,'Entity Inputs'!CJ9/'Entity Inputs'!AU9*'Entity Inputs'!D9)),2)</f>
        <v>52.0</v>
      </c>
      <c r="J161" s="3" t="s">
        <v>1296</v>
      </c>
    </row>
    <row r="162" spans="1:10">
      <c r="A162" s="3">
        <v>161</v>
      </c>
      <c r="B162" s="3" t="s">
        <v>1313</v>
      </c>
      <c r="C162" s="3" t="s">
        <v>988</v>
      </c>
      <c r="D162" s="3" t="s">
        <v>989</v>
      </c>
      <c r="E162" s="3" t="s">
        <v>990</v>
      </c>
      <c r="F162" s="3" t="s">
        <v>445</v>
      </c>
      <c r="G162" s="3" t="s">
        <v>15</v>
      </c>
      <c r="H162" s="3" t="s">
        <v>991</v>
      </c>
      <c r="I162" s="4">
        <f>'Owner KPIs'!K2</f>
        <v>95.51</v>
      </c>
      <c r="J162" s="3" t="s">
        <v>992</v>
      </c>
    </row>
    <row r="163" spans="1:10">
      <c r="A163" s="3">
        <v>162</v>
      </c>
      <c r="B163" s="3" t="s">
        <v>1313</v>
      </c>
      <c r="C163" s="3" t="s">
        <v>988</v>
      </c>
      <c r="D163" s="3" t="s">
        <v>989</v>
      </c>
      <c r="E163" s="3" t="s">
        <v>993</v>
      </c>
      <c r="F163" s="3" t="s">
        <v>572</v>
      </c>
      <c r="G163" s="3" t="s">
        <v>15</v>
      </c>
      <c r="H163" s="3" t="s">
        <v>994</v>
      </c>
      <c r="I163" s="4">
        <f>'Owner KPIs'!K29</f>
        <v>1760.09</v>
      </c>
      <c r="J163" s="3" t="s">
        <v>995</v>
      </c>
    </row>
    <row r="164" spans="1:10">
      <c r="A164" s="3">
        <v>163</v>
      </c>
      <c r="B164" s="3" t="s">
        <v>1313</v>
      </c>
      <c r="C164" s="3" t="s">
        <v>988</v>
      </c>
      <c r="D164" s="3" t="s">
        <v>989</v>
      </c>
      <c r="E164" s="3" t="s">
        <v>999</v>
      </c>
      <c r="F164" s="3" t="s">
        <v>586</v>
      </c>
      <c r="G164" s="3" t="s">
        <v>15</v>
      </c>
      <c r="H164" s="3" t="s">
        <v>1000</v>
      </c>
      <c r="I164" s="4">
        <f>'Owner KPIs'!K32</f>
        <v>606.18</v>
      </c>
      <c r="J164" s="3" t="s">
        <v>1001</v>
      </c>
    </row>
    <row r="165" spans="1:10">
      <c r="A165" s="3">
        <v>164</v>
      </c>
      <c r="B165" s="3" t="s">
        <v>1313</v>
      </c>
      <c r="C165" s="3" t="s">
        <v>988</v>
      </c>
      <c r="D165" s="3" t="s">
        <v>989</v>
      </c>
      <c r="E165" s="3" t="s">
        <v>1005</v>
      </c>
      <c r="F165" s="3" t="s">
        <v>596</v>
      </c>
      <c r="G165" s="3" t="s">
        <v>15</v>
      </c>
      <c r="H165" s="3" t="s">
        <v>1006</v>
      </c>
      <c r="I165" s="4">
        <f>'Owner KPIs'!K34</f>
        <v>6650.0</v>
      </c>
      <c r="J165" s="3" t="s">
        <v>1007</v>
      </c>
    </row>
    <row r="166" spans="1:10">
      <c r="A166" s="3">
        <v>165</v>
      </c>
      <c r="B166" s="3" t="s">
        <v>1313</v>
      </c>
      <c r="C166" s="3" t="s">
        <v>988</v>
      </c>
      <c r="D166" s="3" t="s">
        <v>989</v>
      </c>
      <c r="E166" s="3" t="s">
        <v>1008</v>
      </c>
      <c r="F166" s="3" t="s">
        <v>717</v>
      </c>
      <c r="G166" s="3" t="s">
        <v>15</v>
      </c>
      <c r="H166" s="3" t="s">
        <v>1009</v>
      </c>
      <c r="I166" s="4">
        <f>'Owner KPIs'!K59</f>
        <v>60.85</v>
      </c>
      <c r="J166" s="3" t="s">
        <v>1010</v>
      </c>
    </row>
    <row r="167" spans="1:10">
      <c r="A167" s="3">
        <v>166</v>
      </c>
      <c r="B167" s="3" t="s">
        <v>1313</v>
      </c>
      <c r="C167" s="3" t="s">
        <v>988</v>
      </c>
      <c r="D167" s="3" t="s">
        <v>989</v>
      </c>
      <c r="E167" s="3" t="s">
        <v>905</v>
      </c>
      <c r="F167" s="3" t="s">
        <v>904</v>
      </c>
      <c r="G167" s="3" t="s">
        <v>15</v>
      </c>
      <c r="H167" s="3" t="s">
        <v>1011</v>
      </c>
      <c r="I167" s="4">
        <f>'Owner KPIs'!K106</f>
        <v>1.0</v>
      </c>
      <c r="J167" s="3" t="s">
        <v>1012</v>
      </c>
    </row>
    <row r="168" spans="1:10">
      <c r="A168" s="3">
        <v>167</v>
      </c>
      <c r="B168" s="3" t="s">
        <v>1313</v>
      </c>
      <c r="C168" s="3" t="s">
        <v>988</v>
      </c>
      <c r="D168" s="3" t="s">
        <v>1013</v>
      </c>
      <c r="E168" s="3" t="s">
        <v>1014</v>
      </c>
      <c r="F168" s="3" t="s">
        <v>936</v>
      </c>
      <c r="G168" s="3" t="s">
        <v>178</v>
      </c>
      <c r="H168" s="3" t="s">
        <v>1015</v>
      </c>
      <c r="I168" s="4">
        <f>ROUND('Plant Inputs'!BT15,2)</f>
        <v>4.0</v>
      </c>
      <c r="J168" s="3" t="s">
        <v>1016</v>
      </c>
    </row>
    <row r="169" spans="1:10">
      <c r="A169" s="3">
        <v>168</v>
      </c>
      <c r="B169" s="3" t="s">
        <v>1313</v>
      </c>
      <c r="C169" s="3" t="s">
        <v>988</v>
      </c>
      <c r="D169" s="3" t="s">
        <v>1013</v>
      </c>
      <c r="E169" s="3" t="s">
        <v>1017</v>
      </c>
      <c r="F169" s="3" t="s">
        <v>942</v>
      </c>
      <c r="G169" s="3" t="s">
        <v>15</v>
      </c>
      <c r="H169" s="3" t="s">
        <v>1018</v>
      </c>
      <c r="I169" s="4">
        <f>'Owner KPIs'!K114</f>
        <v>69.69</v>
      </c>
      <c r="J169" s="3" t="s">
        <v>1019</v>
      </c>
    </row>
    <row r="170" spans="1:10">
      <c r="A170" s="3">
        <v>169</v>
      </c>
      <c r="B170" s="3" t="s">
        <v>1313</v>
      </c>
      <c r="C170" s="3" t="s">
        <v>988</v>
      </c>
      <c r="D170" s="3" t="s">
        <v>1013</v>
      </c>
      <c r="E170" s="3" t="s">
        <v>1020</v>
      </c>
      <c r="F170" s="3" t="s">
        <v>949</v>
      </c>
      <c r="G170" s="3" t="s">
        <v>15</v>
      </c>
      <c r="H170" s="3" t="s">
        <v>1021</v>
      </c>
      <c r="I170" s="4">
        <f>'Owner KPIs'!K115</f>
        <v>-56.18</v>
      </c>
      <c r="J170" s="3" t="s">
        <v>1022</v>
      </c>
    </row>
    <row r="171" spans="1:10">
      <c r="A171" s="3">
        <v>170</v>
      </c>
      <c r="B171" s="3" t="s">
        <v>1313</v>
      </c>
      <c r="C171" s="3" t="s">
        <v>988</v>
      </c>
      <c r="D171" s="3" t="s">
        <v>1023</v>
      </c>
      <c r="E171" s="3" t="s">
        <v>453</v>
      </c>
      <c r="F171" s="3" t="s">
        <v>452</v>
      </c>
      <c r="G171" s="3" t="s">
        <v>15</v>
      </c>
      <c r="H171" s="3" t="s">
        <v>1024</v>
      </c>
      <c r="I171" s="4">
        <f>'Owner KPIs'!K3</f>
        <v>83.44</v>
      </c>
      <c r="J171" s="3" t="s">
        <v>1025</v>
      </c>
    </row>
    <row r="172" spans="1:10">
      <c r="A172" s="3">
        <v>171</v>
      </c>
      <c r="B172" s="3" t="s">
        <v>1313</v>
      </c>
      <c r="C172" s="3" t="s">
        <v>988</v>
      </c>
      <c r="D172" s="3" t="s">
        <v>1023</v>
      </c>
      <c r="E172" s="3" t="s">
        <v>1028</v>
      </c>
      <c r="F172" s="3" t="s">
        <v>558</v>
      </c>
      <c r="G172" s="3" t="s">
        <v>15</v>
      </c>
      <c r="H172" s="3" t="s">
        <v>1029</v>
      </c>
      <c r="I172" s="4">
        <f>'Owner KPIs'!K26</f>
        <v>95.23</v>
      </c>
      <c r="J172" s="3" t="s">
        <v>1030</v>
      </c>
    </row>
    <row r="173" spans="1:10">
      <c r="A173" s="3">
        <v>172</v>
      </c>
      <c r="B173" s="3" t="s">
        <v>1313</v>
      </c>
      <c r="C173" s="3" t="s">
        <v>988</v>
      </c>
      <c r="D173" s="3" t="s">
        <v>1023</v>
      </c>
      <c r="E173" s="3" t="s">
        <v>579</v>
      </c>
      <c r="F173" s="3" t="s">
        <v>578</v>
      </c>
      <c r="G173" s="3" t="s">
        <v>15</v>
      </c>
      <c r="H173" s="3" t="s">
        <v>997</v>
      </c>
      <c r="I173" s="4">
        <f>'Owner KPIs'!K30</f>
        <v>1228.14</v>
      </c>
      <c r="J173" s="3" t="s">
        <v>998</v>
      </c>
    </row>
    <row r="174" spans="1:10">
      <c r="A174" s="3">
        <v>173</v>
      </c>
      <c r="B174" s="3" t="s">
        <v>1313</v>
      </c>
      <c r="C174" s="3" t="s">
        <v>988</v>
      </c>
      <c r="D174" s="3" t="s">
        <v>1023</v>
      </c>
      <c r="E174" s="3" t="s">
        <v>583</v>
      </c>
      <c r="F174" s="3" t="s">
        <v>582</v>
      </c>
      <c r="G174" s="3" t="s">
        <v>15</v>
      </c>
      <c r="H174" s="3" t="s">
        <v>1033</v>
      </c>
      <c r="I174" s="4">
        <f>'Owner KPIs'!K31</f>
        <v>13811.3</v>
      </c>
      <c r="J174" s="3" t="s">
        <v>1034</v>
      </c>
    </row>
    <row r="175" spans="1:10">
      <c r="A175" s="3">
        <v>174</v>
      </c>
      <c r="B175" s="3" t="s">
        <v>1313</v>
      </c>
      <c r="C175" s="3" t="s">
        <v>988</v>
      </c>
      <c r="D175" s="3" t="s">
        <v>1023</v>
      </c>
      <c r="E175" s="3" t="s">
        <v>1035</v>
      </c>
      <c r="F175" s="3" t="s">
        <v>591</v>
      </c>
      <c r="G175" s="3" t="s">
        <v>15</v>
      </c>
      <c r="H175" s="3" t="s">
        <v>1036</v>
      </c>
      <c r="I175" s="4">
        <f>'Owner KPIs'!K33</f>
        <v>11.58</v>
      </c>
      <c r="J175" s="3" t="s">
        <v>1004</v>
      </c>
    </row>
    <row r="176" spans="1:10">
      <c r="A176" s="3">
        <v>175</v>
      </c>
      <c r="B176" s="3" t="s">
        <v>1313</v>
      </c>
      <c r="C176" s="3" t="s">
        <v>988</v>
      </c>
      <c r="D176" s="3" t="s">
        <v>1023</v>
      </c>
      <c r="E176" s="3" t="s">
        <v>1037</v>
      </c>
      <c r="F176" s="3" t="s">
        <v>601</v>
      </c>
      <c r="G176" s="3" t="s">
        <v>15</v>
      </c>
      <c r="H176" s="3" t="s">
        <v>1038</v>
      </c>
      <c r="I176" s="4">
        <f>'Owner KPIs'!K35</f>
        <v>-86.65</v>
      </c>
      <c r="J176" s="3" t="s">
        <v>1039</v>
      </c>
    </row>
    <row r="177" spans="1:10">
      <c r="A177" s="3">
        <v>176</v>
      </c>
      <c r="B177" s="3" t="s">
        <v>1313</v>
      </c>
      <c r="C177" s="3" t="s">
        <v>988</v>
      </c>
      <c r="D177" s="3" t="s">
        <v>1023</v>
      </c>
      <c r="E177" s="3" t="s">
        <v>749</v>
      </c>
      <c r="F177" s="3" t="s">
        <v>748</v>
      </c>
      <c r="G177" s="3" t="s">
        <v>15</v>
      </c>
      <c r="H177" s="3" t="s">
        <v>1041</v>
      </c>
      <c r="I177" s="4">
        <f>'Owner KPIs'!K65</f>
        <v>54.03</v>
      </c>
      <c r="J177" s="3" t="s">
        <v>1043</v>
      </c>
    </row>
    <row r="178" spans="1:10">
      <c r="A178" s="3">
        <v>177</v>
      </c>
      <c r="B178" s="3" t="s">
        <v>1313</v>
      </c>
      <c r="C178" s="3" t="s">
        <v>988</v>
      </c>
      <c r="D178" s="3" t="s">
        <v>1023</v>
      </c>
      <c r="E178" s="3" t="s">
        <v>1044</v>
      </c>
      <c r="F178" s="3" t="s">
        <v>805</v>
      </c>
      <c r="G178" s="3" t="s">
        <v>15</v>
      </c>
      <c r="H178" s="3" t="s">
        <v>1045</v>
      </c>
      <c r="I178" s="4">
        <f>'Owner KPIs'!K79</f>
        <v>0.0</v>
      </c>
      <c r="J178" s="3" t="s">
        <v>1046</v>
      </c>
    </row>
    <row r="179" spans="1:10">
      <c r="A179" s="3">
        <v>178</v>
      </c>
      <c r="B179" s="3" t="s">
        <v>1314</v>
      </c>
      <c r="C179" s="3" t="s">
        <v>988</v>
      </c>
      <c r="D179" s="3" t="s">
        <v>989</v>
      </c>
      <c r="E179" s="3" t="s">
        <v>990</v>
      </c>
      <c r="F179" s="3" t="s">
        <v>445</v>
      </c>
      <c r="G179" s="3" t="s">
        <v>15</v>
      </c>
      <c r="H179" s="3" t="s">
        <v>991</v>
      </c>
      <c r="I179" s="4">
        <f>'Owner KPIs'!K2</f>
        <v>95.51</v>
      </c>
      <c r="J179" s="3" t="s">
        <v>992</v>
      </c>
    </row>
    <row r="180" spans="1:10">
      <c r="A180" s="3">
        <v>179</v>
      </c>
      <c r="B180" s="3" t="s">
        <v>1314</v>
      </c>
      <c r="C180" s="3" t="s">
        <v>988</v>
      </c>
      <c r="D180" s="3" t="s">
        <v>989</v>
      </c>
      <c r="E180" s="3" t="s">
        <v>993</v>
      </c>
      <c r="F180" s="3" t="s">
        <v>572</v>
      </c>
      <c r="G180" s="3" t="s">
        <v>15</v>
      </c>
      <c r="H180" s="3" t="s">
        <v>994</v>
      </c>
      <c r="I180" s="4">
        <f>'Owner KPIs'!K29</f>
        <v>1760.09</v>
      </c>
      <c r="J180" s="3" t="s">
        <v>995</v>
      </c>
    </row>
    <row r="181" spans="1:10">
      <c r="A181" s="3">
        <v>180</v>
      </c>
      <c r="B181" s="3" t="s">
        <v>1314</v>
      </c>
      <c r="C181" s="3" t="s">
        <v>988</v>
      </c>
      <c r="D181" s="3" t="s">
        <v>989</v>
      </c>
      <c r="E181" s="3" t="s">
        <v>999</v>
      </c>
      <c r="F181" s="3" t="s">
        <v>586</v>
      </c>
      <c r="G181" s="3" t="s">
        <v>15</v>
      </c>
      <c r="H181" s="3" t="s">
        <v>1000</v>
      </c>
      <c r="I181" s="4">
        <f>'Owner KPIs'!K32</f>
        <v>606.18</v>
      </c>
      <c r="J181" s="3" t="s">
        <v>1001</v>
      </c>
    </row>
    <row r="182" spans="1:10">
      <c r="A182" s="3">
        <v>181</v>
      </c>
      <c r="B182" s="3" t="s">
        <v>1314</v>
      </c>
      <c r="C182" s="3" t="s">
        <v>988</v>
      </c>
      <c r="D182" s="3" t="s">
        <v>989</v>
      </c>
      <c r="E182" s="3" t="s">
        <v>1005</v>
      </c>
      <c r="F182" s="3" t="s">
        <v>596</v>
      </c>
      <c r="G182" s="3" t="s">
        <v>15</v>
      </c>
      <c r="H182" s="3" t="s">
        <v>1006</v>
      </c>
      <c r="I182" s="4">
        <f>'Owner KPIs'!K34</f>
        <v>6650.0</v>
      </c>
      <c r="J182" s="3" t="s">
        <v>1007</v>
      </c>
    </row>
    <row r="183" spans="1:10">
      <c r="A183" s="3">
        <v>182</v>
      </c>
      <c r="B183" s="3" t="s">
        <v>1314</v>
      </c>
      <c r="C183" s="3" t="s">
        <v>988</v>
      </c>
      <c r="D183" s="3" t="s">
        <v>989</v>
      </c>
      <c r="E183" s="3" t="s">
        <v>1008</v>
      </c>
      <c r="F183" s="3" t="s">
        <v>717</v>
      </c>
      <c r="G183" s="3" t="s">
        <v>15</v>
      </c>
      <c r="H183" s="3" t="s">
        <v>1009</v>
      </c>
      <c r="I183" s="4">
        <f>'Owner KPIs'!K59</f>
        <v>60.85</v>
      </c>
      <c r="J183" s="3" t="s">
        <v>1010</v>
      </c>
    </row>
    <row r="184" spans="1:10">
      <c r="A184" s="3">
        <v>183</v>
      </c>
      <c r="B184" s="3" t="s">
        <v>1314</v>
      </c>
      <c r="C184" s="3" t="s">
        <v>988</v>
      </c>
      <c r="D184" s="3" t="s">
        <v>989</v>
      </c>
      <c r="E184" s="3" t="s">
        <v>905</v>
      </c>
      <c r="F184" s="3" t="s">
        <v>904</v>
      </c>
      <c r="G184" s="3" t="s">
        <v>15</v>
      </c>
      <c r="H184" s="3" t="s">
        <v>1011</v>
      </c>
      <c r="I184" s="4">
        <f>'Owner KPIs'!K106</f>
        <v>1.0</v>
      </c>
      <c r="J184" s="3" t="s">
        <v>1012</v>
      </c>
    </row>
    <row r="185" spans="1:10">
      <c r="A185" s="3">
        <v>184</v>
      </c>
      <c r="B185" s="3" t="s">
        <v>1314</v>
      </c>
      <c r="C185" s="3" t="s">
        <v>988</v>
      </c>
      <c r="D185" s="3" t="s">
        <v>1013</v>
      </c>
      <c r="E185" s="3" t="s">
        <v>1014</v>
      </c>
      <c r="F185" s="3" t="s">
        <v>936</v>
      </c>
      <c r="G185" s="3" t="s">
        <v>178</v>
      </c>
      <c r="H185" s="3" t="s">
        <v>1015</v>
      </c>
      <c r="I185" s="4">
        <f>ROUND('Plant Inputs'!BT15,2)</f>
        <v>4.0</v>
      </c>
      <c r="J185" s="3" t="s">
        <v>1016</v>
      </c>
    </row>
    <row r="186" spans="1:10">
      <c r="A186" s="3">
        <v>185</v>
      </c>
      <c r="B186" s="3" t="s">
        <v>1314</v>
      </c>
      <c r="C186" s="3" t="s">
        <v>988</v>
      </c>
      <c r="D186" s="3" t="s">
        <v>1013</v>
      </c>
      <c r="E186" s="3" t="s">
        <v>1017</v>
      </c>
      <c r="F186" s="3" t="s">
        <v>942</v>
      </c>
      <c r="G186" s="3" t="s">
        <v>15</v>
      </c>
      <c r="H186" s="3" t="s">
        <v>1018</v>
      </c>
      <c r="I186" s="4">
        <f>'Owner KPIs'!K114</f>
        <v>69.69</v>
      </c>
      <c r="J186" s="3" t="s">
        <v>1019</v>
      </c>
    </row>
    <row r="187" spans="1:10">
      <c r="A187" s="3">
        <v>186</v>
      </c>
      <c r="B187" s="3" t="s">
        <v>1314</v>
      </c>
      <c r="C187" s="3" t="s">
        <v>988</v>
      </c>
      <c r="D187" s="3" t="s">
        <v>1013</v>
      </c>
      <c r="E187" s="3" t="s">
        <v>1020</v>
      </c>
      <c r="F187" s="3" t="s">
        <v>949</v>
      </c>
      <c r="G187" s="3" t="s">
        <v>15</v>
      </c>
      <c r="H187" s="3" t="s">
        <v>1021</v>
      </c>
      <c r="I187" s="4">
        <f>'Owner KPIs'!K115</f>
        <v>-56.18</v>
      </c>
      <c r="J187" s="3" t="s">
        <v>1022</v>
      </c>
    </row>
    <row r="188" spans="1:10">
      <c r="A188" s="3">
        <v>187</v>
      </c>
      <c r="B188" s="3" t="s">
        <v>1314</v>
      </c>
      <c r="C188" s="3" t="s">
        <v>988</v>
      </c>
      <c r="D188" s="3" t="s">
        <v>1023</v>
      </c>
      <c r="E188" s="3" t="s">
        <v>453</v>
      </c>
      <c r="F188" s="3" t="s">
        <v>452</v>
      </c>
      <c r="G188" s="3" t="s">
        <v>15</v>
      </c>
      <c r="H188" s="3" t="s">
        <v>1024</v>
      </c>
      <c r="I188" s="4">
        <f>'Owner KPIs'!K3</f>
        <v>83.44</v>
      </c>
      <c r="J188" s="3" t="s">
        <v>1025</v>
      </c>
    </row>
    <row r="189" spans="1:10">
      <c r="A189" s="3">
        <v>188</v>
      </c>
      <c r="B189" s="3" t="s">
        <v>1314</v>
      </c>
      <c r="C189" s="3" t="s">
        <v>988</v>
      </c>
      <c r="D189" s="3" t="s">
        <v>1023</v>
      </c>
      <c r="E189" s="3" t="s">
        <v>1028</v>
      </c>
      <c r="F189" s="3" t="s">
        <v>558</v>
      </c>
      <c r="G189" s="3" t="s">
        <v>15</v>
      </c>
      <c r="H189" s="3" t="s">
        <v>1029</v>
      </c>
      <c r="I189" s="4">
        <f>'Owner KPIs'!K26</f>
        <v>95.23</v>
      </c>
      <c r="J189" s="3" t="s">
        <v>1030</v>
      </c>
    </row>
    <row r="190" spans="1:10">
      <c r="A190" s="3">
        <v>189</v>
      </c>
      <c r="B190" s="3" t="s">
        <v>1314</v>
      </c>
      <c r="C190" s="3" t="s">
        <v>988</v>
      </c>
      <c r="D190" s="3" t="s">
        <v>1023</v>
      </c>
      <c r="E190" s="3" t="s">
        <v>579</v>
      </c>
      <c r="F190" s="3" t="s">
        <v>578</v>
      </c>
      <c r="G190" s="3" t="s">
        <v>15</v>
      </c>
      <c r="H190" s="3" t="s">
        <v>997</v>
      </c>
      <c r="I190" s="4">
        <f>'Owner KPIs'!K30</f>
        <v>1228.14</v>
      </c>
      <c r="J190" s="3" t="s">
        <v>998</v>
      </c>
    </row>
    <row r="191" spans="1:10">
      <c r="A191" s="3">
        <v>190</v>
      </c>
      <c r="B191" s="3" t="s">
        <v>1314</v>
      </c>
      <c r="C191" s="3" t="s">
        <v>988</v>
      </c>
      <c r="D191" s="3" t="s">
        <v>1023</v>
      </c>
      <c r="E191" s="3" t="s">
        <v>583</v>
      </c>
      <c r="F191" s="3" t="s">
        <v>582</v>
      </c>
      <c r="G191" s="3" t="s">
        <v>15</v>
      </c>
      <c r="H191" s="3" t="s">
        <v>1033</v>
      </c>
      <c r="I191" s="4">
        <f>'Owner KPIs'!K31</f>
        <v>13811.3</v>
      </c>
      <c r="J191" s="3" t="s">
        <v>1034</v>
      </c>
    </row>
    <row r="192" spans="1:10">
      <c r="A192" s="3">
        <v>191</v>
      </c>
      <c r="B192" s="3" t="s">
        <v>1314</v>
      </c>
      <c r="C192" s="3" t="s">
        <v>988</v>
      </c>
      <c r="D192" s="3" t="s">
        <v>1023</v>
      </c>
      <c r="E192" s="3" t="s">
        <v>1035</v>
      </c>
      <c r="F192" s="3" t="s">
        <v>591</v>
      </c>
      <c r="G192" s="3" t="s">
        <v>15</v>
      </c>
      <c r="H192" s="3" t="s">
        <v>1036</v>
      </c>
      <c r="I192" s="4">
        <f>'Owner KPIs'!K33</f>
        <v>11.58</v>
      </c>
      <c r="J192" s="3" t="s">
        <v>1004</v>
      </c>
    </row>
    <row r="193" spans="1:10">
      <c r="A193" s="3">
        <v>192</v>
      </c>
      <c r="B193" s="3" t="s">
        <v>1314</v>
      </c>
      <c r="C193" s="3" t="s">
        <v>988</v>
      </c>
      <c r="D193" s="3" t="s">
        <v>1023</v>
      </c>
      <c r="E193" s="3" t="s">
        <v>1037</v>
      </c>
      <c r="F193" s="3" t="s">
        <v>601</v>
      </c>
      <c r="G193" s="3" t="s">
        <v>15</v>
      </c>
      <c r="H193" s="3" t="s">
        <v>1038</v>
      </c>
      <c r="I193" s="4">
        <f>'Owner KPIs'!K35</f>
        <v>-86.65</v>
      </c>
      <c r="J193" s="3" t="s">
        <v>1039</v>
      </c>
    </row>
    <row r="194" spans="1:10">
      <c r="A194" s="3">
        <v>193</v>
      </c>
      <c r="B194" s="3" t="s">
        <v>1314</v>
      </c>
      <c r="C194" s="3" t="s">
        <v>988</v>
      </c>
      <c r="D194" s="3" t="s">
        <v>1023</v>
      </c>
      <c r="E194" s="3" t="s">
        <v>749</v>
      </c>
      <c r="F194" s="3" t="s">
        <v>748</v>
      </c>
      <c r="G194" s="3" t="s">
        <v>15</v>
      </c>
      <c r="H194" s="3" t="s">
        <v>1041</v>
      </c>
      <c r="I194" s="4">
        <f>'Owner KPIs'!K65</f>
        <v>54.03</v>
      </c>
      <c r="J194" s="3" t="s">
        <v>1043</v>
      </c>
    </row>
    <row r="195" spans="1:10">
      <c r="A195" s="3">
        <v>194</v>
      </c>
      <c r="B195" s="3" t="s">
        <v>1314</v>
      </c>
      <c r="C195" s="3" t="s">
        <v>988</v>
      </c>
      <c r="D195" s="3" t="s">
        <v>1023</v>
      </c>
      <c r="E195" s="3" t="s">
        <v>1044</v>
      </c>
      <c r="F195" s="3" t="s">
        <v>805</v>
      </c>
      <c r="G195" s="3" t="s">
        <v>15</v>
      </c>
      <c r="H195" s="3" t="s">
        <v>1045</v>
      </c>
      <c r="I195" s="4">
        <f>'Owner KPIs'!K79</f>
        <v>0.0</v>
      </c>
      <c r="J195" s="3" t="s">
        <v>1046</v>
      </c>
    </row>
  </sheetData>
  <autoFilter ref="A1:J195"/>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GG9"/>
  <sheetViews>
    <sheetView workbookViewId="0">
      <pane xSplit="2" ySplit="3" topLeftCell="C4" activePane="bottomRight" state="frozen"/>
      <selection pane="topRight" activeCell="C1" sqref="C1"/>
      <selection pane="bottomLeft" activeCell="A4" sqref="A4"/>
      <selection pane="bottomRight"/>
    </sheetView>
  </sheetViews>
  <sheetFormatPr defaultRowHeight="15"/>
  <cols>
    <col min="1" max="2" width="10.7109375" customWidth="1"/>
    <col min="3" max="189" width="15.7109375" customWidth="1"/>
  </cols>
  <sheetData>
    <row r="1" spans="1:189" ht="48" customHeight="1">
      <c r="A1" s="9" t="s">
        <v>15</v>
      </c>
      <c r="B1" s="9" t="s">
        <v>21</v>
      </c>
      <c r="C1" s="9" t="s">
        <v>184</v>
      </c>
      <c r="D1" s="9" t="s">
        <v>391</v>
      </c>
      <c r="E1" s="9" t="s">
        <v>26</v>
      </c>
      <c r="F1" s="9" t="s">
        <v>28</v>
      </c>
      <c r="G1" s="9" t="s">
        <v>30</v>
      </c>
      <c r="H1" s="9" t="s">
        <v>32</v>
      </c>
      <c r="I1" s="9" t="s">
        <v>34</v>
      </c>
      <c r="J1" s="9" t="s">
        <v>36</v>
      </c>
      <c r="K1" s="9" t="s">
        <v>38</v>
      </c>
      <c r="L1" s="9" t="s">
        <v>40</v>
      </c>
      <c r="M1" s="9" t="s">
        <v>42</v>
      </c>
      <c r="N1" s="9" t="s">
        <v>44</v>
      </c>
      <c r="O1" s="9" t="s">
        <v>46</v>
      </c>
      <c r="P1" s="9" t="s">
        <v>48</v>
      </c>
      <c r="Q1" s="9" t="s">
        <v>50</v>
      </c>
      <c r="R1" s="9" t="s">
        <v>52</v>
      </c>
      <c r="S1" s="9" t="s">
        <v>54</v>
      </c>
      <c r="T1" s="9" t="s">
        <v>56</v>
      </c>
      <c r="U1" s="9" t="s">
        <v>58</v>
      </c>
      <c r="V1" s="9" t="s">
        <v>60</v>
      </c>
      <c r="W1" s="9" t="s">
        <v>62</v>
      </c>
      <c r="X1" s="9" t="s">
        <v>64</v>
      </c>
      <c r="Y1" s="9" t="s">
        <v>66</v>
      </c>
      <c r="Z1" s="9" t="s">
        <v>68</v>
      </c>
      <c r="AA1" s="9" t="s">
        <v>70</v>
      </c>
      <c r="AB1" s="9" t="s">
        <v>72</v>
      </c>
      <c r="AC1" s="9" t="s">
        <v>74</v>
      </c>
      <c r="AD1" s="9" t="s">
        <v>76</v>
      </c>
      <c r="AE1" s="9" t="s">
        <v>78</v>
      </c>
      <c r="AF1" s="9" t="s">
        <v>80</v>
      </c>
      <c r="AG1" s="9" t="s">
        <v>82</v>
      </c>
      <c r="AH1" s="9" t="s">
        <v>84</v>
      </c>
      <c r="AI1" s="9" t="s">
        <v>86</v>
      </c>
      <c r="AJ1" s="9" t="s">
        <v>88</v>
      </c>
      <c r="AK1" s="9" t="s">
        <v>90</v>
      </c>
      <c r="AL1" s="9" t="s">
        <v>92</v>
      </c>
      <c r="AM1" s="9" t="s">
        <v>94</v>
      </c>
      <c r="AN1" s="9" t="s">
        <v>96</v>
      </c>
      <c r="AO1" s="9" t="s">
        <v>98</v>
      </c>
      <c r="AP1" s="9" t="s">
        <v>100</v>
      </c>
      <c r="AQ1" s="9" t="s">
        <v>102</v>
      </c>
      <c r="AR1" s="9" t="s">
        <v>104</v>
      </c>
      <c r="AS1" s="9" t="s">
        <v>106</v>
      </c>
      <c r="AT1" s="9" t="s">
        <v>108</v>
      </c>
      <c r="AU1" s="9" t="s">
        <v>110</v>
      </c>
      <c r="AV1" s="9" t="s">
        <v>112</v>
      </c>
      <c r="AW1" s="9" t="s">
        <v>114</v>
      </c>
      <c r="AX1" s="9" t="s">
        <v>116</v>
      </c>
      <c r="AY1" s="9" t="s">
        <v>118</v>
      </c>
      <c r="AZ1" s="9" t="s">
        <v>120</v>
      </c>
      <c r="BA1" s="9" t="s">
        <v>122</v>
      </c>
      <c r="BB1" s="9" t="s">
        <v>124</v>
      </c>
      <c r="BC1" s="9" t="s">
        <v>126</v>
      </c>
      <c r="BD1" s="9" t="s">
        <v>128</v>
      </c>
      <c r="BE1" s="9" t="s">
        <v>130</v>
      </c>
      <c r="BF1" s="9" t="s">
        <v>132</v>
      </c>
      <c r="BG1" s="9" t="s">
        <v>134</v>
      </c>
      <c r="BH1" s="9" t="s">
        <v>136</v>
      </c>
      <c r="BI1" s="9" t="s">
        <v>138</v>
      </c>
      <c r="BJ1" s="9" t="s">
        <v>140</v>
      </c>
      <c r="BK1" s="9" t="s">
        <v>142</v>
      </c>
      <c r="BL1" s="9" t="s">
        <v>144</v>
      </c>
      <c r="BM1" s="9" t="s">
        <v>146</v>
      </c>
      <c r="BN1" s="9" t="s">
        <v>148</v>
      </c>
      <c r="BO1" s="9" t="s">
        <v>150</v>
      </c>
      <c r="BP1" s="9" t="s">
        <v>152</v>
      </c>
      <c r="BQ1" s="9" t="s">
        <v>154</v>
      </c>
      <c r="BR1" s="9" t="s">
        <v>156</v>
      </c>
      <c r="BS1" s="9" t="s">
        <v>158</v>
      </c>
      <c r="BT1" s="9" t="s">
        <v>160</v>
      </c>
      <c r="BU1" s="9" t="s">
        <v>162</v>
      </c>
      <c r="BV1" s="9" t="s">
        <v>164</v>
      </c>
      <c r="BW1" s="9" t="s">
        <v>166</v>
      </c>
      <c r="BX1" s="9" t="s">
        <v>168</v>
      </c>
      <c r="BY1" s="9" t="s">
        <v>188</v>
      </c>
      <c r="BZ1" s="9" t="s">
        <v>191</v>
      </c>
      <c r="CA1" s="9" t="s">
        <v>193</v>
      </c>
      <c r="CB1" s="9" t="s">
        <v>195</v>
      </c>
      <c r="CC1" s="9" t="s">
        <v>197</v>
      </c>
      <c r="CD1" s="9" t="s">
        <v>199</v>
      </c>
      <c r="CE1" s="9" t="s">
        <v>201</v>
      </c>
      <c r="CF1" s="9" t="s">
        <v>203</v>
      </c>
      <c r="CG1" s="9" t="s">
        <v>205</v>
      </c>
      <c r="CH1" s="9" t="s">
        <v>207</v>
      </c>
      <c r="CI1" s="9" t="s">
        <v>209</v>
      </c>
      <c r="CJ1" s="9" t="s">
        <v>211</v>
      </c>
      <c r="CK1" s="9" t="s">
        <v>213</v>
      </c>
      <c r="CL1" s="9" t="s">
        <v>215</v>
      </c>
      <c r="CM1" s="9" t="s">
        <v>217</v>
      </c>
      <c r="CN1" s="9" t="s">
        <v>219</v>
      </c>
      <c r="CO1" s="9" t="s">
        <v>221</v>
      </c>
      <c r="CP1" s="9" t="s">
        <v>223</v>
      </c>
      <c r="CQ1" s="9" t="s">
        <v>225</v>
      </c>
      <c r="CR1" s="9" t="s">
        <v>227</v>
      </c>
      <c r="CS1" s="9" t="s">
        <v>229</v>
      </c>
      <c r="CT1" s="9" t="s">
        <v>231</v>
      </c>
      <c r="CU1" s="9" t="s">
        <v>233</v>
      </c>
      <c r="CV1" s="9" t="s">
        <v>235</v>
      </c>
      <c r="CW1" s="9" t="s">
        <v>237</v>
      </c>
      <c r="CX1" s="9" t="s">
        <v>239</v>
      </c>
      <c r="CY1" s="9" t="s">
        <v>241</v>
      </c>
      <c r="CZ1" s="9" t="s">
        <v>243</v>
      </c>
      <c r="DA1" s="9" t="s">
        <v>245</v>
      </c>
      <c r="DB1" s="9" t="s">
        <v>247</v>
      </c>
      <c r="DC1" s="9" t="s">
        <v>249</v>
      </c>
      <c r="DD1" s="9" t="s">
        <v>251</v>
      </c>
      <c r="DE1" s="9" t="s">
        <v>253</v>
      </c>
      <c r="DF1" s="9" t="s">
        <v>255</v>
      </c>
      <c r="DG1" s="9" t="s">
        <v>257</v>
      </c>
      <c r="DH1" s="9" t="s">
        <v>259</v>
      </c>
      <c r="DI1" s="9" t="s">
        <v>261</v>
      </c>
      <c r="DJ1" s="9" t="s">
        <v>263</v>
      </c>
      <c r="DK1" s="9" t="s">
        <v>265</v>
      </c>
      <c r="DL1" s="9" t="s">
        <v>267</v>
      </c>
      <c r="DM1" s="9" t="s">
        <v>269</v>
      </c>
      <c r="DN1" s="9" t="s">
        <v>271</v>
      </c>
      <c r="DO1" s="9" t="s">
        <v>273</v>
      </c>
      <c r="DP1" s="9" t="s">
        <v>275</v>
      </c>
      <c r="DQ1" s="9" t="s">
        <v>277</v>
      </c>
      <c r="DR1" s="9" t="s">
        <v>279</v>
      </c>
      <c r="DS1" s="9" t="s">
        <v>281</v>
      </c>
      <c r="DT1" s="9" t="s">
        <v>283</v>
      </c>
      <c r="DU1" s="9" t="s">
        <v>285</v>
      </c>
      <c r="DV1" s="9" t="s">
        <v>287</v>
      </c>
      <c r="DW1" s="9" t="s">
        <v>289</v>
      </c>
      <c r="DX1" s="9" t="s">
        <v>291</v>
      </c>
      <c r="DY1" s="9" t="s">
        <v>293</v>
      </c>
      <c r="DZ1" s="9" t="s">
        <v>295</v>
      </c>
      <c r="EA1" s="9" t="s">
        <v>297</v>
      </c>
      <c r="EB1" s="9" t="s">
        <v>299</v>
      </c>
      <c r="EC1" s="9" t="s">
        <v>301</v>
      </c>
      <c r="ED1" s="9" t="s">
        <v>303</v>
      </c>
      <c r="EE1" s="9" t="s">
        <v>305</v>
      </c>
      <c r="EF1" s="9" t="s">
        <v>307</v>
      </c>
      <c r="EG1" s="9" t="s">
        <v>309</v>
      </c>
      <c r="EH1" s="9" t="s">
        <v>311</v>
      </c>
      <c r="EI1" s="9" t="s">
        <v>313</v>
      </c>
      <c r="EJ1" s="9" t="s">
        <v>315</v>
      </c>
      <c r="EK1" s="9" t="s">
        <v>317</v>
      </c>
      <c r="EL1" s="9" t="s">
        <v>319</v>
      </c>
      <c r="EM1" s="9" t="s">
        <v>321</v>
      </c>
      <c r="EN1" s="9" t="s">
        <v>323</v>
      </c>
      <c r="EO1" s="9" t="s">
        <v>325</v>
      </c>
      <c r="EP1" s="9" t="s">
        <v>327</v>
      </c>
      <c r="EQ1" s="9" t="s">
        <v>329</v>
      </c>
      <c r="ER1" s="9" t="s">
        <v>331</v>
      </c>
      <c r="ES1" s="9" t="s">
        <v>333</v>
      </c>
      <c r="ET1" s="9" t="s">
        <v>335</v>
      </c>
      <c r="EU1" s="9" t="s">
        <v>337</v>
      </c>
      <c r="EV1" s="9" t="s">
        <v>339</v>
      </c>
      <c r="EW1" s="9" t="s">
        <v>341</v>
      </c>
      <c r="EX1" s="9" t="s">
        <v>343</v>
      </c>
      <c r="EY1" s="9" t="s">
        <v>345</v>
      </c>
      <c r="EZ1" s="9" t="s">
        <v>347</v>
      </c>
      <c r="FA1" s="9" t="s">
        <v>349</v>
      </c>
      <c r="FB1" s="9" t="s">
        <v>351</v>
      </c>
      <c r="FC1" s="9" t="s">
        <v>353</v>
      </c>
      <c r="FD1" s="9" t="s">
        <v>355</v>
      </c>
      <c r="FE1" s="9" t="s">
        <v>357</v>
      </c>
      <c r="FF1" s="9" t="s">
        <v>359</v>
      </c>
      <c r="FG1" s="9" t="s">
        <v>361</v>
      </c>
      <c r="FH1" s="9" t="s">
        <v>363</v>
      </c>
      <c r="FI1" s="9" t="s">
        <v>365</v>
      </c>
      <c r="FJ1" s="9" t="s">
        <v>367</v>
      </c>
      <c r="FK1" s="9" t="s">
        <v>369</v>
      </c>
      <c r="FL1" s="9" t="s">
        <v>371</v>
      </c>
      <c r="FM1" s="9" t="s">
        <v>373</v>
      </c>
      <c r="FN1" s="9" t="s">
        <v>375</v>
      </c>
      <c r="FO1" s="9" t="s">
        <v>377</v>
      </c>
      <c r="FP1" s="9" t="s">
        <v>379</v>
      </c>
      <c r="FQ1" s="9" t="s">
        <v>381</v>
      </c>
      <c r="FR1" s="9" t="s">
        <v>383</v>
      </c>
      <c r="FS1" s="9" t="s">
        <v>385</v>
      </c>
      <c r="FT1" s="9" t="s">
        <v>387</v>
      </c>
      <c r="FU1" s="9" t="s">
        <v>389</v>
      </c>
      <c r="FV1" s="10" t="s">
        <v>395</v>
      </c>
      <c r="FW1" s="10" t="s">
        <v>398</v>
      </c>
      <c r="FX1" s="10" t="s">
        <v>401</v>
      </c>
      <c r="FY1" s="10" t="s">
        <v>404</v>
      </c>
      <c r="FZ1" s="10" t="s">
        <v>407</v>
      </c>
      <c r="GA1" s="10" t="s">
        <v>410</v>
      </c>
      <c r="GB1" s="10" t="s">
        <v>413</v>
      </c>
      <c r="GC1" s="10" t="s">
        <v>416</v>
      </c>
      <c r="GD1" s="10" t="s">
        <v>419</v>
      </c>
      <c r="GE1" s="10" t="s">
        <v>422</v>
      </c>
      <c r="GF1" s="10" t="s">
        <v>425</v>
      </c>
      <c r="GG1" s="10" t="s">
        <v>428</v>
      </c>
    </row>
    <row r="2" spans="1:189">
      <c r="A2" s="11" t="s">
        <v>16</v>
      </c>
      <c r="B2" s="11" t="s">
        <v>22</v>
      </c>
      <c r="C2" s="11" t="s">
        <v>185</v>
      </c>
      <c r="D2" s="11" t="s">
        <v>392</v>
      </c>
      <c r="E2" s="11" t="s">
        <v>27</v>
      </c>
      <c r="F2" s="11" t="s">
        <v>29</v>
      </c>
      <c r="G2" s="11" t="s">
        <v>31</v>
      </c>
      <c r="H2" s="11" t="s">
        <v>33</v>
      </c>
      <c r="I2" s="11" t="s">
        <v>35</v>
      </c>
      <c r="J2" s="11" t="s">
        <v>37</v>
      </c>
      <c r="K2" s="11" t="s">
        <v>39</v>
      </c>
      <c r="L2" s="11" t="s">
        <v>41</v>
      </c>
      <c r="M2" s="11" t="s">
        <v>43</v>
      </c>
      <c r="N2" s="11" t="s">
        <v>45</v>
      </c>
      <c r="O2" s="11" t="s">
        <v>47</v>
      </c>
      <c r="P2" s="11" t="s">
        <v>49</v>
      </c>
      <c r="Q2" s="11" t="s">
        <v>51</v>
      </c>
      <c r="R2" s="11" t="s">
        <v>53</v>
      </c>
      <c r="S2" s="11" t="s">
        <v>55</v>
      </c>
      <c r="T2" s="11" t="s">
        <v>57</v>
      </c>
      <c r="U2" s="11" t="s">
        <v>59</v>
      </c>
      <c r="V2" s="11" t="s">
        <v>61</v>
      </c>
      <c r="W2" s="11" t="s">
        <v>63</v>
      </c>
      <c r="X2" s="11" t="s">
        <v>65</v>
      </c>
      <c r="Y2" s="11" t="s">
        <v>67</v>
      </c>
      <c r="Z2" s="11" t="s">
        <v>69</v>
      </c>
      <c r="AA2" s="11" t="s">
        <v>71</v>
      </c>
      <c r="AB2" s="11" t="s">
        <v>73</v>
      </c>
      <c r="AC2" s="11" t="s">
        <v>75</v>
      </c>
      <c r="AD2" s="11" t="s">
        <v>77</v>
      </c>
      <c r="AE2" s="11" t="s">
        <v>79</v>
      </c>
      <c r="AF2" s="11" t="s">
        <v>81</v>
      </c>
      <c r="AG2" s="11" t="s">
        <v>83</v>
      </c>
      <c r="AH2" s="11" t="s">
        <v>85</v>
      </c>
      <c r="AI2" s="11" t="s">
        <v>87</v>
      </c>
      <c r="AJ2" s="11" t="s">
        <v>89</v>
      </c>
      <c r="AK2" s="11" t="s">
        <v>91</v>
      </c>
      <c r="AL2" s="11" t="s">
        <v>93</v>
      </c>
      <c r="AM2" s="11" t="s">
        <v>95</v>
      </c>
      <c r="AN2" s="11" t="s">
        <v>97</v>
      </c>
      <c r="AO2" s="11" t="s">
        <v>99</v>
      </c>
      <c r="AP2" s="11" t="s">
        <v>101</v>
      </c>
      <c r="AQ2" s="11" t="s">
        <v>103</v>
      </c>
      <c r="AR2" s="11" t="s">
        <v>105</v>
      </c>
      <c r="AS2" s="11" t="s">
        <v>107</v>
      </c>
      <c r="AT2" s="11" t="s">
        <v>109</v>
      </c>
      <c r="AU2" s="11" t="s">
        <v>111</v>
      </c>
      <c r="AV2" s="11" t="s">
        <v>113</v>
      </c>
      <c r="AW2" s="11" t="s">
        <v>115</v>
      </c>
      <c r="AX2" s="11" t="s">
        <v>117</v>
      </c>
      <c r="AY2" s="11" t="s">
        <v>119</v>
      </c>
      <c r="AZ2" s="11" t="s">
        <v>121</v>
      </c>
      <c r="BA2" s="11" t="s">
        <v>123</v>
      </c>
      <c r="BB2" s="11" t="s">
        <v>125</v>
      </c>
      <c r="BC2" s="11" t="s">
        <v>127</v>
      </c>
      <c r="BD2" s="11" t="s">
        <v>129</v>
      </c>
      <c r="BE2" s="11" t="s">
        <v>131</v>
      </c>
      <c r="BF2" s="11" t="s">
        <v>133</v>
      </c>
      <c r="BG2" s="11" t="s">
        <v>135</v>
      </c>
      <c r="BH2" s="11" t="s">
        <v>137</v>
      </c>
      <c r="BI2" s="11" t="s">
        <v>139</v>
      </c>
      <c r="BJ2" s="11" t="s">
        <v>141</v>
      </c>
      <c r="BK2" s="11" t="s">
        <v>143</v>
      </c>
      <c r="BL2" s="11" t="s">
        <v>145</v>
      </c>
      <c r="BM2" s="11" t="s">
        <v>147</v>
      </c>
      <c r="BN2" s="11" t="s">
        <v>149</v>
      </c>
      <c r="BO2" s="11" t="s">
        <v>151</v>
      </c>
      <c r="BP2" s="11" t="s">
        <v>153</v>
      </c>
      <c r="BQ2" s="11" t="s">
        <v>155</v>
      </c>
      <c r="BR2" s="11" t="s">
        <v>157</v>
      </c>
      <c r="BS2" s="11" t="s">
        <v>159</v>
      </c>
      <c r="BT2" s="11" t="s">
        <v>161</v>
      </c>
      <c r="BU2" s="11" t="s">
        <v>163</v>
      </c>
      <c r="BV2" s="11" t="s">
        <v>165</v>
      </c>
      <c r="BW2" s="11" t="s">
        <v>167</v>
      </c>
      <c r="BX2" s="11" t="s">
        <v>169</v>
      </c>
      <c r="BY2" s="11" t="s">
        <v>189</v>
      </c>
      <c r="BZ2" s="11" t="s">
        <v>192</v>
      </c>
      <c r="CA2" s="11" t="s">
        <v>194</v>
      </c>
      <c r="CB2" s="11" t="s">
        <v>196</v>
      </c>
      <c r="CC2" s="11" t="s">
        <v>198</v>
      </c>
      <c r="CD2" s="11" t="s">
        <v>200</v>
      </c>
      <c r="CE2" s="11" t="s">
        <v>202</v>
      </c>
      <c r="CF2" s="11" t="s">
        <v>204</v>
      </c>
      <c r="CG2" s="11" t="s">
        <v>206</v>
      </c>
      <c r="CH2" s="11" t="s">
        <v>208</v>
      </c>
      <c r="CI2" s="11" t="s">
        <v>210</v>
      </c>
      <c r="CJ2" s="11" t="s">
        <v>212</v>
      </c>
      <c r="CK2" s="11" t="s">
        <v>214</v>
      </c>
      <c r="CL2" s="11" t="s">
        <v>216</v>
      </c>
      <c r="CM2" s="11" t="s">
        <v>218</v>
      </c>
      <c r="CN2" s="11" t="s">
        <v>220</v>
      </c>
      <c r="CO2" s="11" t="s">
        <v>222</v>
      </c>
      <c r="CP2" s="11" t="s">
        <v>224</v>
      </c>
      <c r="CQ2" s="11" t="s">
        <v>226</v>
      </c>
      <c r="CR2" s="11" t="s">
        <v>228</v>
      </c>
      <c r="CS2" s="11" t="s">
        <v>230</v>
      </c>
      <c r="CT2" s="11" t="s">
        <v>232</v>
      </c>
      <c r="CU2" s="11" t="s">
        <v>234</v>
      </c>
      <c r="CV2" s="11" t="s">
        <v>236</v>
      </c>
      <c r="CW2" s="11" t="s">
        <v>238</v>
      </c>
      <c r="CX2" s="11" t="s">
        <v>240</v>
      </c>
      <c r="CY2" s="11" t="s">
        <v>242</v>
      </c>
      <c r="CZ2" s="11" t="s">
        <v>244</v>
      </c>
      <c r="DA2" s="11" t="s">
        <v>246</v>
      </c>
      <c r="DB2" s="11" t="s">
        <v>248</v>
      </c>
      <c r="DC2" s="11" t="s">
        <v>250</v>
      </c>
      <c r="DD2" s="11" t="s">
        <v>252</v>
      </c>
      <c r="DE2" s="11" t="s">
        <v>254</v>
      </c>
      <c r="DF2" s="11" t="s">
        <v>256</v>
      </c>
      <c r="DG2" s="11" t="s">
        <v>258</v>
      </c>
      <c r="DH2" s="11" t="s">
        <v>260</v>
      </c>
      <c r="DI2" s="11" t="s">
        <v>262</v>
      </c>
      <c r="DJ2" s="11" t="s">
        <v>264</v>
      </c>
      <c r="DK2" s="11" t="s">
        <v>266</v>
      </c>
      <c r="DL2" s="11" t="s">
        <v>268</v>
      </c>
      <c r="DM2" s="11" t="s">
        <v>270</v>
      </c>
      <c r="DN2" s="11" t="s">
        <v>272</v>
      </c>
      <c r="DO2" s="11" t="s">
        <v>274</v>
      </c>
      <c r="DP2" s="11" t="s">
        <v>276</v>
      </c>
      <c r="DQ2" s="11" t="s">
        <v>278</v>
      </c>
      <c r="DR2" s="11" t="s">
        <v>280</v>
      </c>
      <c r="DS2" s="11" t="s">
        <v>282</v>
      </c>
      <c r="DT2" s="11" t="s">
        <v>284</v>
      </c>
      <c r="DU2" s="11" t="s">
        <v>286</v>
      </c>
      <c r="DV2" s="11" t="s">
        <v>288</v>
      </c>
      <c r="DW2" s="11" t="s">
        <v>290</v>
      </c>
      <c r="DX2" s="11" t="s">
        <v>292</v>
      </c>
      <c r="DY2" s="11" t="s">
        <v>294</v>
      </c>
      <c r="DZ2" s="11" t="s">
        <v>296</v>
      </c>
      <c r="EA2" s="11" t="s">
        <v>298</v>
      </c>
      <c r="EB2" s="11" t="s">
        <v>300</v>
      </c>
      <c r="EC2" s="11" t="s">
        <v>302</v>
      </c>
      <c r="ED2" s="11" t="s">
        <v>304</v>
      </c>
      <c r="EE2" s="11" t="s">
        <v>306</v>
      </c>
      <c r="EF2" s="11" t="s">
        <v>308</v>
      </c>
      <c r="EG2" s="11" t="s">
        <v>310</v>
      </c>
      <c r="EH2" s="11" t="s">
        <v>312</v>
      </c>
      <c r="EI2" s="11" t="s">
        <v>314</v>
      </c>
      <c r="EJ2" s="11" t="s">
        <v>316</v>
      </c>
      <c r="EK2" s="11" t="s">
        <v>318</v>
      </c>
      <c r="EL2" s="11" t="s">
        <v>320</v>
      </c>
      <c r="EM2" s="11" t="s">
        <v>322</v>
      </c>
      <c r="EN2" s="11" t="s">
        <v>324</v>
      </c>
      <c r="EO2" s="11" t="s">
        <v>326</v>
      </c>
      <c r="EP2" s="11" t="s">
        <v>328</v>
      </c>
      <c r="EQ2" s="11" t="s">
        <v>330</v>
      </c>
      <c r="ER2" s="11" t="s">
        <v>332</v>
      </c>
      <c r="ES2" s="11" t="s">
        <v>334</v>
      </c>
      <c r="ET2" s="11" t="s">
        <v>336</v>
      </c>
      <c r="EU2" s="11" t="s">
        <v>338</v>
      </c>
      <c r="EV2" s="11" t="s">
        <v>340</v>
      </c>
      <c r="EW2" s="11" t="s">
        <v>342</v>
      </c>
      <c r="EX2" s="11" t="s">
        <v>344</v>
      </c>
      <c r="EY2" s="11" t="s">
        <v>346</v>
      </c>
      <c r="EZ2" s="11" t="s">
        <v>348</v>
      </c>
      <c r="FA2" s="11" t="s">
        <v>350</v>
      </c>
      <c r="FB2" s="11" t="s">
        <v>352</v>
      </c>
      <c r="FC2" s="11" t="s">
        <v>354</v>
      </c>
      <c r="FD2" s="11" t="s">
        <v>356</v>
      </c>
      <c r="FE2" s="11" t="s">
        <v>358</v>
      </c>
      <c r="FF2" s="11" t="s">
        <v>360</v>
      </c>
      <c r="FG2" s="11" t="s">
        <v>362</v>
      </c>
      <c r="FH2" s="11" t="s">
        <v>364</v>
      </c>
      <c r="FI2" s="11" t="s">
        <v>366</v>
      </c>
      <c r="FJ2" s="11" t="s">
        <v>368</v>
      </c>
      <c r="FK2" s="11" t="s">
        <v>370</v>
      </c>
      <c r="FL2" s="11" t="s">
        <v>372</v>
      </c>
      <c r="FM2" s="11" t="s">
        <v>374</v>
      </c>
      <c r="FN2" s="11" t="s">
        <v>376</v>
      </c>
      <c r="FO2" s="11" t="s">
        <v>378</v>
      </c>
      <c r="FP2" s="11" t="s">
        <v>380</v>
      </c>
      <c r="FQ2" s="11" t="s">
        <v>382</v>
      </c>
      <c r="FR2" s="11" t="s">
        <v>384</v>
      </c>
      <c r="FS2" s="11" t="s">
        <v>386</v>
      </c>
      <c r="FT2" s="11" t="s">
        <v>388</v>
      </c>
      <c r="FU2" s="11" t="s">
        <v>390</v>
      </c>
      <c r="FV2" s="11" t="s">
        <v>396</v>
      </c>
      <c r="FW2" s="11" t="s">
        <v>399</v>
      </c>
      <c r="FX2" s="11" t="s">
        <v>402</v>
      </c>
      <c r="FY2" s="11" t="s">
        <v>405</v>
      </c>
      <c r="FZ2" s="11" t="s">
        <v>408</v>
      </c>
      <c r="GA2" s="11" t="s">
        <v>411</v>
      </c>
      <c r="GB2" s="11" t="s">
        <v>414</v>
      </c>
      <c r="GC2" s="11" t="s">
        <v>417</v>
      </c>
      <c r="GD2" s="11" t="s">
        <v>420</v>
      </c>
      <c r="GE2" s="11" t="s">
        <v>423</v>
      </c>
      <c r="GF2" s="11" t="s">
        <v>426</v>
      </c>
      <c r="GG2" s="11" t="s">
        <v>429</v>
      </c>
    </row>
    <row r="3" spans="1:189" ht="60" customHeight="1">
      <c r="A3" s="9"/>
      <c r="B3" s="9"/>
      <c r="C3" s="9"/>
      <c r="D3" s="9"/>
      <c r="E3" s="12" t="s">
        <v>393</v>
      </c>
      <c r="F3" s="12" t="s">
        <v>393</v>
      </c>
      <c r="G3" s="12" t="s">
        <v>393</v>
      </c>
      <c r="H3" s="12" t="s">
        <v>393</v>
      </c>
      <c r="I3" s="12" t="s">
        <v>393</v>
      </c>
      <c r="J3" s="12" t="s">
        <v>393</v>
      </c>
      <c r="K3" s="12" t="s">
        <v>393</v>
      </c>
      <c r="L3" s="12" t="s">
        <v>393</v>
      </c>
      <c r="M3" s="12" t="s">
        <v>393</v>
      </c>
      <c r="N3" s="12" t="s">
        <v>393</v>
      </c>
      <c r="O3" s="12" t="s">
        <v>393</v>
      </c>
      <c r="P3" s="12" t="s">
        <v>393</v>
      </c>
      <c r="Q3" s="12" t="s">
        <v>393</v>
      </c>
      <c r="R3" s="12" t="s">
        <v>393</v>
      </c>
      <c r="S3" s="12" t="s">
        <v>393</v>
      </c>
      <c r="T3" s="12" t="s">
        <v>393</v>
      </c>
      <c r="U3" s="12" t="s">
        <v>393</v>
      </c>
      <c r="V3" s="12" t="s">
        <v>393</v>
      </c>
      <c r="W3" s="12" t="s">
        <v>393</v>
      </c>
      <c r="X3" s="12" t="s">
        <v>393</v>
      </c>
      <c r="Y3" s="12" t="s">
        <v>393</v>
      </c>
      <c r="Z3" s="12" t="s">
        <v>393</v>
      </c>
      <c r="AA3" s="12" t="s">
        <v>393</v>
      </c>
      <c r="AB3" s="12" t="s">
        <v>393</v>
      </c>
      <c r="AC3" s="12" t="s">
        <v>393</v>
      </c>
      <c r="AD3" s="12" t="s">
        <v>393</v>
      </c>
      <c r="AE3" s="12" t="s">
        <v>393</v>
      </c>
      <c r="AF3" s="12" t="s">
        <v>393</v>
      </c>
      <c r="AG3" s="12" t="s">
        <v>393</v>
      </c>
      <c r="AH3" s="12" t="s">
        <v>393</v>
      </c>
      <c r="AI3" s="12" t="s">
        <v>393</v>
      </c>
      <c r="AJ3" s="12" t="s">
        <v>393</v>
      </c>
      <c r="AK3" s="12" t="s">
        <v>393</v>
      </c>
      <c r="AL3" s="12" t="s">
        <v>393</v>
      </c>
      <c r="AM3" s="12" t="s">
        <v>393</v>
      </c>
      <c r="AN3" s="12" t="s">
        <v>393</v>
      </c>
      <c r="AO3" s="12" t="s">
        <v>393</v>
      </c>
      <c r="AP3" s="12" t="s">
        <v>393</v>
      </c>
      <c r="AQ3" s="12" t="s">
        <v>393</v>
      </c>
      <c r="AR3" s="12" t="s">
        <v>394</v>
      </c>
      <c r="AS3" s="12" t="s">
        <v>393</v>
      </c>
      <c r="AT3" s="12" t="s">
        <v>393</v>
      </c>
      <c r="AU3" s="12" t="s">
        <v>393</v>
      </c>
      <c r="AV3" s="12" t="s">
        <v>393</v>
      </c>
      <c r="AW3" s="12" t="s">
        <v>393</v>
      </c>
      <c r="AX3" s="12" t="s">
        <v>393</v>
      </c>
      <c r="AY3" s="12" t="s">
        <v>393</v>
      </c>
      <c r="AZ3" s="12" t="s">
        <v>393</v>
      </c>
      <c r="BA3" s="12" t="s">
        <v>393</v>
      </c>
      <c r="BB3" s="12" t="s">
        <v>393</v>
      </c>
      <c r="BC3" s="12" t="s">
        <v>393</v>
      </c>
      <c r="BD3" s="12" t="s">
        <v>393</v>
      </c>
      <c r="BE3" s="12" t="s">
        <v>393</v>
      </c>
      <c r="BF3" s="12" t="s">
        <v>393</v>
      </c>
      <c r="BG3" s="12" t="s">
        <v>393</v>
      </c>
      <c r="BH3" s="12" t="s">
        <v>393</v>
      </c>
      <c r="BI3" s="12" t="s">
        <v>393</v>
      </c>
      <c r="BJ3" s="12" t="s">
        <v>393</v>
      </c>
      <c r="BK3" s="12" t="s">
        <v>393</v>
      </c>
      <c r="BL3" s="12" t="s">
        <v>393</v>
      </c>
      <c r="BM3" s="12" t="s">
        <v>393</v>
      </c>
      <c r="BN3" s="12" t="s">
        <v>393</v>
      </c>
      <c r="BO3" s="12" t="s">
        <v>393</v>
      </c>
      <c r="BP3" s="12" t="s">
        <v>393</v>
      </c>
      <c r="BQ3" s="12" t="s">
        <v>393</v>
      </c>
      <c r="BR3" s="12" t="s">
        <v>393</v>
      </c>
      <c r="BS3" s="12" t="s">
        <v>394</v>
      </c>
      <c r="BT3" s="12" t="s">
        <v>393</v>
      </c>
      <c r="BU3" s="12" t="s">
        <v>393</v>
      </c>
      <c r="BV3" s="12" t="s">
        <v>393</v>
      </c>
      <c r="BW3" s="12" t="s">
        <v>393</v>
      </c>
      <c r="BX3" s="12" t="s">
        <v>393</v>
      </c>
      <c r="BY3" s="12" t="s">
        <v>393</v>
      </c>
      <c r="BZ3" s="12" t="s">
        <v>393</v>
      </c>
      <c r="CA3" s="12" t="s">
        <v>393</v>
      </c>
      <c r="CB3" s="12" t="s">
        <v>393</v>
      </c>
      <c r="CC3" s="12" t="s">
        <v>393</v>
      </c>
      <c r="CD3" s="12" t="s">
        <v>393</v>
      </c>
      <c r="CE3" s="12" t="s">
        <v>393</v>
      </c>
      <c r="CF3" s="12" t="s">
        <v>393</v>
      </c>
      <c r="CG3" s="12" t="s">
        <v>393</v>
      </c>
      <c r="CH3" s="12" t="s">
        <v>393</v>
      </c>
      <c r="CI3" s="12" t="s">
        <v>393</v>
      </c>
      <c r="CJ3" s="12" t="s">
        <v>393</v>
      </c>
      <c r="CK3" s="12" t="s">
        <v>393</v>
      </c>
      <c r="CL3" s="12" t="s">
        <v>393</v>
      </c>
      <c r="CM3" s="12" t="s">
        <v>393</v>
      </c>
      <c r="CN3" s="12" t="s">
        <v>393</v>
      </c>
      <c r="CO3" s="12" t="s">
        <v>393</v>
      </c>
      <c r="CP3" s="12" t="s">
        <v>393</v>
      </c>
      <c r="CQ3" s="12" t="s">
        <v>393</v>
      </c>
      <c r="CR3" s="12" t="s">
        <v>393</v>
      </c>
      <c r="CS3" s="12" t="s">
        <v>393</v>
      </c>
      <c r="CT3" s="12" t="s">
        <v>393</v>
      </c>
      <c r="CU3" s="12" t="s">
        <v>393</v>
      </c>
      <c r="CV3" s="12" t="s">
        <v>393</v>
      </c>
      <c r="CW3" s="12" t="s">
        <v>393</v>
      </c>
      <c r="CX3" s="12" t="s">
        <v>393</v>
      </c>
      <c r="CY3" s="12" t="s">
        <v>393</v>
      </c>
      <c r="CZ3" s="12" t="s">
        <v>393</v>
      </c>
      <c r="DA3" s="12" t="s">
        <v>393</v>
      </c>
      <c r="DB3" s="12" t="s">
        <v>393</v>
      </c>
      <c r="DC3" s="12" t="s">
        <v>393</v>
      </c>
      <c r="DD3" s="12" t="s">
        <v>393</v>
      </c>
      <c r="DE3" s="12" t="s">
        <v>393</v>
      </c>
      <c r="DF3" s="12" t="s">
        <v>393</v>
      </c>
      <c r="DG3" s="12" t="s">
        <v>393</v>
      </c>
      <c r="DH3" s="12" t="s">
        <v>393</v>
      </c>
      <c r="DI3" s="12" t="s">
        <v>393</v>
      </c>
      <c r="DJ3" s="12" t="s">
        <v>393</v>
      </c>
      <c r="DK3" s="12" t="s">
        <v>393</v>
      </c>
      <c r="DL3" s="12" t="s">
        <v>393</v>
      </c>
      <c r="DM3" s="12" t="s">
        <v>393</v>
      </c>
      <c r="DN3" s="12" t="s">
        <v>393</v>
      </c>
      <c r="DO3" s="12" t="s">
        <v>393</v>
      </c>
      <c r="DP3" s="12" t="s">
        <v>393</v>
      </c>
      <c r="DQ3" s="12" t="s">
        <v>393</v>
      </c>
      <c r="DR3" s="12" t="s">
        <v>393</v>
      </c>
      <c r="DS3" s="12" t="s">
        <v>393</v>
      </c>
      <c r="DT3" s="12" t="s">
        <v>393</v>
      </c>
      <c r="DU3" s="12" t="s">
        <v>393</v>
      </c>
      <c r="DV3" s="12" t="s">
        <v>393</v>
      </c>
      <c r="DW3" s="12" t="s">
        <v>393</v>
      </c>
      <c r="DX3" s="12" t="s">
        <v>393</v>
      </c>
      <c r="DY3" s="12" t="s">
        <v>393</v>
      </c>
      <c r="DZ3" s="12" t="s">
        <v>393</v>
      </c>
      <c r="EA3" s="12" t="s">
        <v>393</v>
      </c>
      <c r="EB3" s="12" t="s">
        <v>393</v>
      </c>
      <c r="EC3" s="12" t="s">
        <v>393</v>
      </c>
      <c r="ED3" s="12" t="s">
        <v>393</v>
      </c>
      <c r="EE3" s="12" t="s">
        <v>393</v>
      </c>
      <c r="EF3" s="12" t="s">
        <v>393</v>
      </c>
      <c r="EG3" s="12" t="s">
        <v>393</v>
      </c>
      <c r="EH3" s="12" t="s">
        <v>393</v>
      </c>
      <c r="EI3" s="12" t="s">
        <v>393</v>
      </c>
      <c r="EJ3" s="12" t="s">
        <v>393</v>
      </c>
      <c r="EK3" s="12" t="s">
        <v>393</v>
      </c>
      <c r="EL3" s="12" t="s">
        <v>393</v>
      </c>
      <c r="EM3" s="12" t="s">
        <v>393</v>
      </c>
      <c r="EN3" s="12" t="s">
        <v>393</v>
      </c>
      <c r="EO3" s="12" t="s">
        <v>393</v>
      </c>
      <c r="EP3" s="12" t="s">
        <v>393</v>
      </c>
      <c r="EQ3" s="12" t="s">
        <v>393</v>
      </c>
      <c r="ER3" s="12" t="s">
        <v>393</v>
      </c>
      <c r="ES3" s="12" t="s">
        <v>393</v>
      </c>
      <c r="ET3" s="12" t="s">
        <v>393</v>
      </c>
      <c r="EU3" s="12" t="s">
        <v>393</v>
      </c>
      <c r="EV3" s="12" t="s">
        <v>393</v>
      </c>
      <c r="EW3" s="12" t="s">
        <v>393</v>
      </c>
      <c r="EX3" s="12" t="s">
        <v>393</v>
      </c>
      <c r="EY3" s="12" t="s">
        <v>393</v>
      </c>
      <c r="EZ3" s="12" t="s">
        <v>393</v>
      </c>
      <c r="FA3" s="12" t="s">
        <v>393</v>
      </c>
      <c r="FB3" s="12" t="s">
        <v>393</v>
      </c>
      <c r="FC3" s="12" t="s">
        <v>393</v>
      </c>
      <c r="FD3" s="12" t="s">
        <v>393</v>
      </c>
      <c r="FE3" s="12" t="s">
        <v>393</v>
      </c>
      <c r="FF3" s="12" t="s">
        <v>393</v>
      </c>
      <c r="FG3" s="12" t="s">
        <v>393</v>
      </c>
      <c r="FH3" s="12" t="s">
        <v>393</v>
      </c>
      <c r="FI3" s="12" t="s">
        <v>393</v>
      </c>
      <c r="FJ3" s="12" t="s">
        <v>393</v>
      </c>
      <c r="FK3" s="12" t="s">
        <v>393</v>
      </c>
      <c r="FL3" s="12" t="s">
        <v>393</v>
      </c>
      <c r="FM3" s="12" t="s">
        <v>393</v>
      </c>
      <c r="FN3" s="12" t="s">
        <v>393</v>
      </c>
      <c r="FO3" s="12" t="s">
        <v>393</v>
      </c>
      <c r="FP3" s="12" t="s">
        <v>393</v>
      </c>
      <c r="FQ3" s="12" t="s">
        <v>393</v>
      </c>
      <c r="FR3" s="12" t="s">
        <v>393</v>
      </c>
      <c r="FS3" s="12" t="s">
        <v>393</v>
      </c>
      <c r="FT3" s="12" t="s">
        <v>393</v>
      </c>
      <c r="FU3" s="12" t="s">
        <v>393</v>
      </c>
      <c r="FV3" s="13" t="s">
        <v>397</v>
      </c>
      <c r="FW3" s="13" t="s">
        <v>400</v>
      </c>
      <c r="FX3" s="13" t="s">
        <v>403</v>
      </c>
      <c r="FY3" s="13" t="s">
        <v>406</v>
      </c>
      <c r="FZ3" s="13" t="s">
        <v>409</v>
      </c>
      <c r="GA3" s="13" t="s">
        <v>412</v>
      </c>
      <c r="GB3" s="13" t="s">
        <v>415</v>
      </c>
      <c r="GC3" s="13" t="s">
        <v>418</v>
      </c>
      <c r="GD3" s="13" t="s">
        <v>421</v>
      </c>
      <c r="GE3" s="13" t="s">
        <v>424</v>
      </c>
      <c r="GF3" s="13" t="s">
        <v>427</v>
      </c>
      <c r="GG3" s="13" t="s">
        <v>430</v>
      </c>
    </row>
    <row r="4" spans="1:189">
      <c r="A4" t="s">
        <v>15</v>
      </c>
      <c r="B4" t="s">
        <v>172</v>
      </c>
      <c r="C4">
        <v>30</v>
      </c>
      <c r="D4">
        <v>1</v>
      </c>
      <c r="E4" s="14">
        <f>SUM('Entity Inputs'!E4,'Entity Inputs'!E10)</f>
        <v>4320.0</v>
      </c>
      <c r="F4" s="14">
        <f>SUM('Entity Inputs'!F4,'Entity Inputs'!F10)</f>
        <v>4284.0</v>
      </c>
      <c r="G4" s="14">
        <f>SUM('Entity Inputs'!G4,'Entity Inputs'!G10)</f>
        <v>4113.5</v>
      </c>
      <c r="H4" s="14">
        <f>SUM('Entity Inputs'!H4,'Entity Inputs'!H10)</f>
        <v>103.9</v>
      </c>
      <c r="I4" s="14">
        <f>SUM('Entity Inputs'!I4,'Entity Inputs'!I10)</f>
        <v>743065.0</v>
      </c>
      <c r="J4" s="14">
        <f>SUM('Entity Inputs'!J4,'Entity Inputs'!J10)</f>
        <v>749808.0</v>
      </c>
      <c r="K4" s="14">
        <f>SUM('Entity Inputs'!K4,'Entity Inputs'!K10)</f>
        <v>654253.0</v>
      </c>
      <c r="L4" s="14">
        <f>SUM('Entity Inputs'!L4,'Entity Inputs'!L10)</f>
        <v>650517.0</v>
      </c>
      <c r="M4" s="14">
        <f>SUM('Entity Inputs'!M4,'Entity Inputs'!M10)</f>
        <v>629656.0</v>
      </c>
      <c r="N4" s="14">
        <f>SUM('Entity Inputs'!N4,'Entity Inputs'!N10)</f>
        <v>695737.0</v>
      </c>
      <c r="O4" s="14">
        <f>SUM('Entity Inputs'!O4,'Entity Inputs'!O10)</f>
        <v>151630.0</v>
      </c>
      <c r="P4" s="14">
        <f>SUM('Entity Inputs'!P4,'Entity Inputs'!P10)</f>
        <v>131905.0</v>
      </c>
      <c r="Q4" s="14">
        <f>SUM('Entity Inputs'!Q4,'Entity Inputs'!Q10)</f>
        <v>18729.0</v>
      </c>
      <c r="R4" s="14">
        <f>SUM('Entity Inputs'!R4,'Entity Inputs'!R10)</f>
        <v>14.0</v>
      </c>
      <c r="S4" s="14">
        <f>SUM('Entity Inputs'!S4,'Entity Inputs'!S10)</f>
        <v>71.10000000000001</v>
      </c>
      <c r="T4" s="14">
        <f>SUM('Entity Inputs'!T4,'Entity Inputs'!T10)</f>
        <v>260.0</v>
      </c>
      <c r="U4" s="14">
        <f>SUM('Entity Inputs'!U4,'Entity Inputs'!U10)</f>
        <v>243.0</v>
      </c>
      <c r="V4" s="14">
        <f>SUM('Entity Inputs'!V4,'Entity Inputs'!V10)</f>
        <v>1911388.7000000002</v>
      </c>
      <c r="W4" s="14">
        <f>SUM('Entity Inputs'!W4,'Entity Inputs'!W10)</f>
        <v>490330.5</v>
      </c>
      <c r="X4" s="14">
        <f>SUM('Entity Inputs'!X4,'Entity Inputs'!X10)</f>
        <v>7002.5</v>
      </c>
      <c r="Y4" s="14">
        <f>SUM('Entity Inputs'!Y4,'Entity Inputs'!Y10)</f>
        <v>1352732.0</v>
      </c>
      <c r="Z4" s="14">
        <f>SUM('Entity Inputs'!Z4,'Entity Inputs'!Z10)</f>
        <v>425627.0</v>
      </c>
      <c r="AA4" s="14">
        <f>SUM('Entity Inputs'!AA4,'Entity Inputs'!AA10)</f>
        <v>2122206.0</v>
      </c>
      <c r="AB4" s="14">
        <f>SUM('Entity Inputs'!AB4,'Entity Inputs'!AB10)</f>
        <v>28497.0</v>
      </c>
      <c r="AC4" s="14">
        <f>SUM('Entity Inputs'!AC4,'Entity Inputs'!AC10)</f>
        <v>8.0</v>
      </c>
      <c r="AD4" s="14">
        <f>SUM('Entity Inputs'!AD4,'Entity Inputs'!AD10)</f>
        <v>459000.0</v>
      </c>
      <c r="AE4" s="14">
        <f>SUM('Entity Inputs'!AE4,'Entity Inputs'!AE10)</f>
        <v>2.0</v>
      </c>
      <c r="AF4" s="14">
        <f>SUM('Entity Inputs'!AF4,'Entity Inputs'!AF10)</f>
        <v>1.0</v>
      </c>
      <c r="AG4" s="14">
        <f>SUM('Entity Inputs'!AG4,'Entity Inputs'!AG10)</f>
        <v>39.0</v>
      </c>
      <c r="AH4" s="14">
        <f>SUM('Entity Inputs'!AH4,'Entity Inputs'!AH10)</f>
        <v>0.0</v>
      </c>
      <c r="AI4" s="14">
        <f>SUM('Entity Inputs'!AI4,'Entity Inputs'!AI10)</f>
        <v>2.0</v>
      </c>
      <c r="AJ4" s="14">
        <f>SUM('Entity Inputs'!AJ4,'Entity Inputs'!AJ10)</f>
        <v>1.0</v>
      </c>
      <c r="AK4" s="14">
        <f>SUM('Entity Inputs'!AK4,'Entity Inputs'!AK10)</f>
        <v>60.0</v>
      </c>
      <c r="AL4" s="14">
        <f>SUM('Entity Inputs'!AL4,'Entity Inputs'!AL10)</f>
        <v>12.0</v>
      </c>
      <c r="AM4" s="14">
        <f>SUM('Entity Inputs'!AM4,'Entity Inputs'!AM10)</f>
        <v>9.0</v>
      </c>
      <c r="AN4" s="14">
        <f>SUM('Entity Inputs'!AN4,'Entity Inputs'!AN10)</f>
        <v>6.0</v>
      </c>
      <c r="AO4" s="14">
        <f>SUM('Entity Inputs'!AO4,'Entity Inputs'!AO10)</f>
        <v>3.0</v>
      </c>
      <c r="AP4" s="14">
        <f>SUM('Entity Inputs'!AP4,'Entity Inputs'!AP10)</f>
        <v>1036.0</v>
      </c>
      <c r="AQ4" s="14">
        <f>SUM('Entity Inputs'!AQ4,'Entity Inputs'!AQ10)</f>
        <v>62.0</v>
      </c>
      <c r="AR4" s="14">
        <f>MIN('Entity Inputs'!AR4,'Entity Inputs'!AR10)</f>
        <v>215</v>
      </c>
      <c r="AS4" s="14">
        <f>SUM('Entity Inputs'!AS4,'Entity Inputs'!AS10)</f>
        <v>625586.0</v>
      </c>
      <c r="AT4" s="14">
        <f>SUM('Entity Inputs'!AT4,'Entity Inputs'!AT10)</f>
        <v>656098.0</v>
      </c>
      <c r="AU4" s="14">
        <f>SUM('Entity Inputs'!AU4,'Entity Inputs'!AU10)</f>
        <v>2349263.5</v>
      </c>
      <c r="AV4" s="14">
        <f>SUM('Entity Inputs'!AV4,'Entity Inputs'!AV10)</f>
        <v>2466928.5</v>
      </c>
      <c r="AW4" s="14">
        <f>SUM('Entity Inputs'!AW4,'Entity Inputs'!AW10)</f>
        <v>117629.1</v>
      </c>
      <c r="AX4" s="14">
        <f>SUM('Entity Inputs'!AX4,'Entity Inputs'!AX10)</f>
        <v>89279.3</v>
      </c>
      <c r="AY4" s="14">
        <f>SUM('Entity Inputs'!AY4,'Entity Inputs'!AY10)</f>
        <v>1305.0</v>
      </c>
      <c r="AZ4" s="14">
        <f>SUM('Entity Inputs'!AZ4,'Entity Inputs'!AZ10)</f>
        <v>1189.0</v>
      </c>
      <c r="BA4" s="14">
        <f>SUM('Entity Inputs'!BA4,'Entity Inputs'!BA10)</f>
        <v>690449.0</v>
      </c>
      <c r="BB4" s="14">
        <f>SUM('Entity Inputs'!BB4,'Entity Inputs'!BB10)</f>
        <v>662572.0</v>
      </c>
      <c r="BC4" s="14">
        <f>SUM('Entity Inputs'!BC4,'Entity Inputs'!BC10)</f>
        <v>7872.0</v>
      </c>
      <c r="BD4" s="14">
        <f>SUM('Entity Inputs'!BD4,'Entity Inputs'!BD10)</f>
        <v>4634.0</v>
      </c>
      <c r="BE4" s="14">
        <f>SUM('Entity Inputs'!BE4,'Entity Inputs'!BE10)</f>
        <v>4879.0</v>
      </c>
      <c r="BF4" s="14">
        <f>SUM('Entity Inputs'!BF4,'Entity Inputs'!BF10)</f>
        <v>1067130.0</v>
      </c>
      <c r="BG4" s="14">
        <f>SUM('Entity Inputs'!BG4,'Entity Inputs'!BG10)</f>
        <v>368852.6</v>
      </c>
      <c r="BH4" s="14">
        <f>SUM('Entity Inputs'!BH4,'Entity Inputs'!BH10)</f>
        <v>0.0</v>
      </c>
      <c r="BI4" s="14">
        <f>SUM('Entity Inputs'!BI4,'Entity Inputs'!BI10)</f>
        <v>3.0</v>
      </c>
      <c r="BJ4" s="14">
        <f>SUM('Entity Inputs'!BJ4,'Entity Inputs'!BJ10)</f>
        <v>2.0</v>
      </c>
      <c r="BK4" s="14">
        <f>SUM('Entity Inputs'!BK4,'Entity Inputs'!BK10)</f>
        <v>3.0</v>
      </c>
      <c r="BL4" s="14">
        <f>SUM('Entity Inputs'!BL4,'Entity Inputs'!BL10)</f>
        <v>4.0</v>
      </c>
      <c r="BM4" s="14">
        <f>SUM('Entity Inputs'!BM4,'Entity Inputs'!BM10)</f>
        <v>0.0</v>
      </c>
      <c r="BN4" s="14">
        <f>SUM('Entity Inputs'!BN4,'Entity Inputs'!BN10)</f>
        <v>0.0</v>
      </c>
      <c r="BO4" s="14">
        <f>SUM('Entity Inputs'!BO4,'Entity Inputs'!BO10)</f>
        <v>0.0</v>
      </c>
      <c r="BP4" s="14">
        <f>SUM('Entity Inputs'!BP4,'Entity Inputs'!BP10)</f>
        <v>0.0</v>
      </c>
      <c r="BQ4" s="14">
        <f>SUM('Entity Inputs'!BQ4,'Entity Inputs'!BQ10)</f>
        <v>0.0</v>
      </c>
      <c r="BR4" s="14">
        <f>SUM('Entity Inputs'!BR4,'Entity Inputs'!BR10)</f>
        <v>0.0</v>
      </c>
      <c r="BS4" s="14">
        <f>MIN('Entity Inputs'!BS4,'Entity Inputs'!BS10)</f>
        <v>17</v>
      </c>
      <c r="BT4" s="14">
        <f>SUM('Entity Inputs'!BT4,'Entity Inputs'!BT10)</f>
        <v>660395.0</v>
      </c>
      <c r="BU4" s="14">
        <f>SUM('Entity Inputs'!BU4,'Entity Inputs'!BU10)</f>
        <v>653965.0</v>
      </c>
      <c r="BV4" s="14">
        <f>SUM('Entity Inputs'!BV4,'Entity Inputs'!BV10)</f>
        <v>282244117.0</v>
      </c>
      <c r="BW4" s="14">
        <f>SUM('Entity Inputs'!BW4,'Entity Inputs'!BW10)</f>
        <v>743065.0</v>
      </c>
      <c r="BX4" s="14">
        <f>SUM('Entity Inputs'!BX4,'Entity Inputs'!BX10)</f>
        <v>19207.0</v>
      </c>
      <c r="BY4" s="14">
        <f>SUM('Entity Inputs'!BY4,'Entity Inputs'!BY10)</f>
        <v>108909.2</v>
      </c>
      <c r="BZ4" s="14">
        <f>SUM('Entity Inputs'!BZ4,'Entity Inputs'!BZ10)</f>
        <v>65760.6</v>
      </c>
      <c r="CA4" s="14">
        <f>SUM('Entity Inputs'!CA4,'Entity Inputs'!CA10)</f>
        <v>20800000.0</v>
      </c>
      <c r="CB4" s="14">
        <f>SUM('Entity Inputs'!CB4,'Entity Inputs'!CB10)</f>
        <v>9099113.7</v>
      </c>
      <c r="CC4" s="14">
        <f>SUM('Entity Inputs'!CC4,'Entity Inputs'!CC10)</f>
        <v>2099113.7</v>
      </c>
      <c r="CD4" s="14">
        <f>SUM('Entity Inputs'!CD4,'Entity Inputs'!CD10)</f>
        <v>903397.0</v>
      </c>
      <c r="CE4" s="14">
        <f>SUM('Entity Inputs'!CE4,'Entity Inputs'!CE10)</f>
        <v>73500.0</v>
      </c>
      <c r="CF4" s="14">
        <f>SUM('Entity Inputs'!CF4,'Entity Inputs'!CF10)</f>
        <v>844304.7</v>
      </c>
      <c r="CG4" s="14">
        <f>SUM('Entity Inputs'!CG4,'Entity Inputs'!CG10)</f>
        <v>2721454.3</v>
      </c>
      <c r="CH4" s="14">
        <f>SUM('Entity Inputs'!CH4,'Entity Inputs'!CH10)</f>
        <v>322240.0</v>
      </c>
      <c r="CI4" s="14">
        <f>SUM('Entity Inputs'!CI4,'Entity Inputs'!CI10)</f>
        <v>2327623.3</v>
      </c>
      <c r="CJ4" s="14">
        <f>SUM('Entity Inputs'!CJ4,'Entity Inputs'!CJ10)</f>
        <v>3692917.2</v>
      </c>
      <c r="CK4" s="14">
        <f>SUM('Entity Inputs'!CK4,'Entity Inputs'!CK10)</f>
        <v>3209413.1</v>
      </c>
      <c r="CL4" s="14">
        <f>SUM('Entity Inputs'!CL4,'Entity Inputs'!CL10)</f>
        <v>2429077.6</v>
      </c>
      <c r="CM4" s="14">
        <f>SUM('Entity Inputs'!CM4,'Entity Inputs'!CM10)</f>
        <v>2310535.9000000004</v>
      </c>
      <c r="CN4" s="14">
        <f>SUM('Entity Inputs'!CN4,'Entity Inputs'!CN10)</f>
        <v>3826.3</v>
      </c>
      <c r="CO4" s="14">
        <f>SUM('Entity Inputs'!CO4,'Entity Inputs'!CO10)</f>
        <v>186096.0</v>
      </c>
      <c r="CP4" s="14">
        <f>SUM('Entity Inputs'!CP4,'Entity Inputs'!CP10)</f>
        <v>186096.0</v>
      </c>
      <c r="CQ4" s="14">
        <f>SUM('Entity Inputs'!CQ4,'Entity Inputs'!CQ10)</f>
        <v>792.0</v>
      </c>
      <c r="CR4" s="14">
        <f>SUM('Entity Inputs'!CR4,'Entity Inputs'!CR10)</f>
        <v>35769.0</v>
      </c>
      <c r="CS4" s="14">
        <f>SUM('Entity Inputs'!CS4,'Entity Inputs'!CS10)</f>
        <v>35640.0</v>
      </c>
      <c r="CT4" s="14">
        <f>SUM('Entity Inputs'!CT4,'Entity Inputs'!CT10)</f>
        <v>0.0</v>
      </c>
      <c r="CU4" s="14">
        <f>SUM('Entity Inputs'!CU4,'Entity Inputs'!CU10)</f>
        <v>1921445.4</v>
      </c>
      <c r="CV4" s="14">
        <f>SUM('Entity Inputs'!CV4,'Entity Inputs'!CV10)</f>
        <v>1942564.4</v>
      </c>
      <c r="CW4" s="14">
        <f>SUM('Entity Inputs'!CW4,'Entity Inputs'!CW10)</f>
        <v>338667.9</v>
      </c>
      <c r="CX4" s="14">
        <f>SUM('Entity Inputs'!CX4,'Entity Inputs'!CX10)</f>
        <v>6928217.3</v>
      </c>
      <c r="CY4" s="14">
        <f>SUM('Entity Inputs'!CY4,'Entity Inputs'!CY10)</f>
        <v>3776934.5</v>
      </c>
      <c r="CZ4" s="14">
        <f>SUM('Entity Inputs'!CZ4,'Entity Inputs'!CZ10)</f>
        <v>724158.6</v>
      </c>
      <c r="DA4" s="14">
        <f>SUM('Entity Inputs'!DA4,'Entity Inputs'!DA10)</f>
        <v>533367.2</v>
      </c>
      <c r="DB4" s="14">
        <f>SUM('Entity Inputs'!DB4,'Entity Inputs'!DB10)</f>
        <v>573842.5</v>
      </c>
      <c r="DC4" s="14">
        <f>SUM('Entity Inputs'!DC4,'Entity Inputs'!DC10)</f>
        <v>420775.9</v>
      </c>
      <c r="DD4" s="14">
        <f>SUM('Entity Inputs'!DD4,'Entity Inputs'!DD10)</f>
        <v>10219.3</v>
      </c>
      <c r="DE4" s="14">
        <f>SUM('Entity Inputs'!DE4,'Entity Inputs'!DE10)</f>
        <v>11471.2</v>
      </c>
      <c r="DF4" s="14">
        <f>SUM('Entity Inputs'!DF4,'Entity Inputs'!DF10)</f>
        <v>4336408.2</v>
      </c>
      <c r="DG4" s="14">
        <f>SUM('Entity Inputs'!DG4,'Entity Inputs'!DG10)</f>
        <v>3045059.9000000004</v>
      </c>
      <c r="DH4" s="14">
        <f>SUM('Entity Inputs'!DH4,'Entity Inputs'!DH10)</f>
        <v>1860000.0</v>
      </c>
      <c r="DI4" s="14">
        <f>SUM('Entity Inputs'!DI4,'Entity Inputs'!DI10)</f>
        <v>838529.3</v>
      </c>
      <c r="DJ4" s="14">
        <f>SUM('Entity Inputs'!DJ4,'Entity Inputs'!DJ10)</f>
        <v>146556.6</v>
      </c>
      <c r="DK4" s="14">
        <f>SUM('Entity Inputs'!DK4,'Entity Inputs'!DK10)</f>
        <v>706800.0</v>
      </c>
      <c r="DL4" s="14">
        <f>SUM('Entity Inputs'!DL4,'Entity Inputs'!DL10)</f>
        <v>139237.5</v>
      </c>
      <c r="DM4" s="14">
        <f>SUM('Entity Inputs'!DM4,'Entity Inputs'!DM10)</f>
        <v>9.0</v>
      </c>
      <c r="DN4" s="14">
        <f>SUM('Entity Inputs'!DN4,'Entity Inputs'!DN10)</f>
        <v>2.0</v>
      </c>
      <c r="DO4" s="14">
        <f>SUM('Entity Inputs'!DO4,'Entity Inputs'!DO10)</f>
        <v>0.0</v>
      </c>
      <c r="DP4" s="14">
        <f>SUM('Entity Inputs'!DP4,'Entity Inputs'!DP10)</f>
        <v>0.0</v>
      </c>
      <c r="DQ4" s="14">
        <f>SUM('Entity Inputs'!DQ4,'Entity Inputs'!DQ10)</f>
        <v>11.0</v>
      </c>
      <c r="DR4" s="14">
        <f>SUM('Entity Inputs'!DR4,'Entity Inputs'!DR10)</f>
        <v>26.0</v>
      </c>
      <c r="DS4" s="14">
        <f>SUM('Entity Inputs'!DS4,'Entity Inputs'!DS10)</f>
        <v>15.0</v>
      </c>
      <c r="DT4" s="14">
        <f>SUM('Entity Inputs'!DT4,'Entity Inputs'!DT10)</f>
        <v>6.0</v>
      </c>
      <c r="DU4" s="14">
        <f>SUM('Entity Inputs'!DU4,'Entity Inputs'!DU10)</f>
        <v>3.0</v>
      </c>
      <c r="DV4" s="14">
        <f>SUM('Entity Inputs'!DV4,'Entity Inputs'!DV10)</f>
        <v>124.0</v>
      </c>
      <c r="DW4" s="14">
        <f>SUM('Entity Inputs'!DW4,'Entity Inputs'!DW10)</f>
        <v>37.0</v>
      </c>
      <c r="DX4" s="14">
        <f>SUM('Entity Inputs'!DX4,'Entity Inputs'!DX10)</f>
        <v>13965.5</v>
      </c>
      <c r="DY4" s="14">
        <f>SUM('Entity Inputs'!DY4,'Entity Inputs'!DY10)</f>
        <v>6521.1</v>
      </c>
      <c r="DZ4" s="14">
        <f>SUM('Entity Inputs'!DZ4,'Entity Inputs'!DZ10)</f>
        <v>2363.8</v>
      </c>
      <c r="EA4" s="14">
        <f>SUM('Entity Inputs'!EA4,'Entity Inputs'!EA10)</f>
        <v>1443.8999999999999</v>
      </c>
      <c r="EB4" s="14">
        <f>SUM('Entity Inputs'!EB4,'Entity Inputs'!EB10)</f>
        <v>1773.9</v>
      </c>
      <c r="EC4" s="14">
        <f>SUM('Entity Inputs'!EC4,'Entity Inputs'!EC10)</f>
        <v>140.0</v>
      </c>
      <c r="ED4" s="14">
        <f>SUM('Entity Inputs'!ED4,'Entity Inputs'!ED10)</f>
        <v>135.0</v>
      </c>
      <c r="EE4" s="14">
        <f>SUM('Entity Inputs'!EE4,'Entity Inputs'!EE10)</f>
        <v>3.0</v>
      </c>
      <c r="EF4" s="14">
        <f>SUM('Entity Inputs'!EF4,'Entity Inputs'!EF10)</f>
        <v>1.0</v>
      </c>
      <c r="EG4" s="14">
        <f>SUM('Entity Inputs'!EG4,'Entity Inputs'!EG10)</f>
        <v>3.0</v>
      </c>
      <c r="EH4" s="14">
        <f>SUM('Entity Inputs'!EH4,'Entity Inputs'!EH10)</f>
        <v>1.0</v>
      </c>
      <c r="EI4" s="14">
        <f>SUM('Entity Inputs'!EI4,'Entity Inputs'!EI10)</f>
        <v>0.0</v>
      </c>
      <c r="EJ4" s="14">
        <f>SUM('Entity Inputs'!EJ4,'Entity Inputs'!EJ10)</f>
        <v>2.0</v>
      </c>
      <c r="EK4" s="14">
        <f>SUM('Entity Inputs'!EK4,'Entity Inputs'!EK10)</f>
        <v>2.0</v>
      </c>
      <c r="EL4" s="14">
        <f>SUM('Entity Inputs'!EL4,'Entity Inputs'!EL10)</f>
        <v>0.0</v>
      </c>
      <c r="EM4" s="14">
        <f>SUM('Entity Inputs'!EM4,'Entity Inputs'!EM10)</f>
        <v>0.0</v>
      </c>
      <c r="EN4" s="14">
        <f>SUM('Entity Inputs'!EN4,'Entity Inputs'!EN10)</f>
        <v>0.0</v>
      </c>
      <c r="EO4" s="14">
        <f>SUM('Entity Inputs'!EO4,'Entity Inputs'!EO10)</f>
        <v>0.0</v>
      </c>
      <c r="EP4" s="14">
        <f>SUM('Entity Inputs'!EP4,'Entity Inputs'!EP10)</f>
        <v>0.0</v>
      </c>
      <c r="EQ4" s="14">
        <f>SUM('Entity Inputs'!EQ4,'Entity Inputs'!EQ10)</f>
        <v>1.0</v>
      </c>
      <c r="ER4" s="14">
        <f>SUM('Entity Inputs'!ER4,'Entity Inputs'!ER10)</f>
        <v>1.0</v>
      </c>
      <c r="ES4" s="14">
        <f>SUM('Entity Inputs'!ES4,'Entity Inputs'!ES10)</f>
        <v>0.0</v>
      </c>
      <c r="ET4" s="14">
        <f>SUM('Entity Inputs'!ET4,'Entity Inputs'!ET10)</f>
        <v>1.0</v>
      </c>
      <c r="EU4" s="14">
        <f>SUM('Entity Inputs'!EU4,'Entity Inputs'!EU10)</f>
        <v>8.0</v>
      </c>
      <c r="EV4" s="14">
        <f>SUM('Entity Inputs'!EV4,'Entity Inputs'!EV10)</f>
        <v>0.0</v>
      </c>
      <c r="EW4" s="14">
        <f>SUM('Entity Inputs'!EW4,'Entity Inputs'!EW10)</f>
        <v>1.0</v>
      </c>
      <c r="EX4" s="14">
        <f>SUM('Entity Inputs'!EX4,'Entity Inputs'!EX10)</f>
        <v>1.0</v>
      </c>
      <c r="EY4" s="14">
        <f>SUM('Entity Inputs'!EY4,'Entity Inputs'!EY10)</f>
        <v>108.0</v>
      </c>
      <c r="EZ4" s="14">
        <f>SUM('Entity Inputs'!EZ4,'Entity Inputs'!EZ10)</f>
        <v>95.0</v>
      </c>
      <c r="FA4" s="14">
        <f>SUM('Entity Inputs'!FA4,'Entity Inputs'!FA10)</f>
        <v>5.0</v>
      </c>
      <c r="FB4" s="14">
        <f>SUM('Entity Inputs'!FB4,'Entity Inputs'!FB10)</f>
        <v>166.0</v>
      </c>
      <c r="FC4" s="14">
        <f>SUM('Entity Inputs'!FC4,'Entity Inputs'!FC10)</f>
        <v>56.0</v>
      </c>
      <c r="FD4" s="14">
        <f>SUM('Entity Inputs'!FD4,'Entity Inputs'!FD10)</f>
        <v>47.0</v>
      </c>
      <c r="FE4" s="14">
        <f>SUM('Entity Inputs'!FE4,'Entity Inputs'!FE10)</f>
        <v>52.0</v>
      </c>
      <c r="FF4" s="14">
        <f>SUM('Entity Inputs'!FF4,'Entity Inputs'!FF10)</f>
        <v>1.0</v>
      </c>
      <c r="FG4" s="14">
        <f>SUM('Entity Inputs'!FG4,'Entity Inputs'!FG10)</f>
        <v>1.0</v>
      </c>
      <c r="FH4" s="14">
        <f>SUM('Entity Inputs'!FH4,'Entity Inputs'!FH10)</f>
        <v>0.0</v>
      </c>
      <c r="FI4" s="14">
        <f>SUM('Entity Inputs'!FI4,'Entity Inputs'!FI10)</f>
        <v>997324.0</v>
      </c>
      <c r="FJ4" s="14">
        <f>SUM('Entity Inputs'!FJ4,'Entity Inputs'!FJ10)</f>
        <v>991798.0</v>
      </c>
      <c r="FK4" s="14">
        <f>SUM('Entity Inputs'!FK4,'Entity Inputs'!FK10)</f>
        <v>820.0</v>
      </c>
      <c r="FL4" s="14">
        <f>SUM('Entity Inputs'!FL4,'Entity Inputs'!FL10)</f>
        <v>794.0</v>
      </c>
      <c r="FM4" s="14">
        <f>SUM('Entity Inputs'!FM4,'Entity Inputs'!FM10)</f>
        <v>0.0</v>
      </c>
      <c r="FN4" s="14">
        <f>SUM('Entity Inputs'!FN4,'Entity Inputs'!FN10)</f>
        <v>0.0</v>
      </c>
      <c r="FO4" s="14">
        <f>SUM('Entity Inputs'!FO4,'Entity Inputs'!FO10)</f>
        <v>0.0</v>
      </c>
      <c r="FP4" s="14">
        <f>SUM('Entity Inputs'!FP4,'Entity Inputs'!FP10)</f>
        <v>12.0</v>
      </c>
      <c r="FQ4" s="14">
        <f>SUM('Entity Inputs'!FQ4,'Entity Inputs'!FQ10)</f>
        <v>30.700000000000003</v>
      </c>
      <c r="FR4" s="14">
        <f>SUM('Entity Inputs'!FR4,'Entity Inputs'!FR10)</f>
        <v>12.0</v>
      </c>
      <c r="FS4" s="14">
        <f>SUM('Entity Inputs'!FS4,'Entity Inputs'!FS10)</f>
        <v>0.0</v>
      </c>
      <c r="FT4" s="14">
        <f>SUM('Entity Inputs'!FT4,'Entity Inputs'!FT10)</f>
        <v>1.0</v>
      </c>
      <c r="FU4" s="14">
        <f>SUM('Entity Inputs'!FU4,'Entity Inputs'!FU10)</f>
        <v>1.0</v>
      </c>
      <c r="FV4" s="15">
        <f>AU4-V4-X4-BY4</f>
        <v>321963.0999999998</v>
      </c>
      <c r="FW4" s="15">
        <f>FV4-AX4</f>
        <v>232683.7999999998</v>
      </c>
      <c r="FX4" s="15">
        <f>CJ4+CL4-CK4</f>
        <v>2912581.7000000007</v>
      </c>
      <c r="FY4" s="15">
        <f>FX4-Parameters!$B$7</f>
        <v>43688.70000000065</v>
      </c>
      <c r="FZ4" s="15">
        <f>FV4-BZ4-FY4</f>
        <v>212513.79999999914</v>
      </c>
      <c r="GA4" s="15">
        <f>FZ4-DJ4</f>
        <v>65957.19999999914</v>
      </c>
      <c r="GB4" s="15">
        <f>CB4-CC4</f>
        <v>6999999.999999999</v>
      </c>
      <c r="GC4" s="15">
        <f>SUM(FV$4:FV4)*12/D4</f>
        <v>3863557.1999999974</v>
      </c>
      <c r="GD4" s="15">
        <f>IF(AU4=0,0,CJ4/AU4*C4)</f>
        <v>47.15840347411008</v>
      </c>
      <c r="GE4" s="15">
        <f>IF(V4=0,0,CK4/V4*C4)</f>
        <v>50.373005239593596</v>
      </c>
      <c r="GF4" s="15">
        <f>IF(V4=0,0,CL4/V4*C4)</f>
        <v>38.12533159791098</v>
      </c>
      <c r="GG4" s="15">
        <f>IF(OR(AS4=0,AT4=0,AV4=0),0,100*((AU4/AS4)/(AV4/AT4)-1))</f>
        <v>-0.12498405095641152</v>
      </c>
    </row>
    <row r="5" spans="1:189">
      <c r="A5" t="s">
        <v>15</v>
      </c>
      <c r="B5" t="s">
        <v>173</v>
      </c>
      <c r="C5">
        <v>31</v>
      </c>
      <c r="D5">
        <v>2</v>
      </c>
      <c r="E5" s="14">
        <f>SUM('Entity Inputs'!E5,'Entity Inputs'!E11)</f>
        <v>4464.0</v>
      </c>
      <c r="F5" s="14">
        <f>SUM('Entity Inputs'!F5,'Entity Inputs'!F11)</f>
        <v>4205.0</v>
      </c>
      <c r="G5" s="14">
        <f>SUM('Entity Inputs'!G5,'Entity Inputs'!G11)</f>
        <v>3960.1000000000004</v>
      </c>
      <c r="H5" s="14">
        <f>SUM('Entity Inputs'!H5,'Entity Inputs'!H11)</f>
        <v>167.89999999999998</v>
      </c>
      <c r="I5" s="14">
        <f>SUM('Entity Inputs'!I5,'Entity Inputs'!I11)</f>
        <v>724257.0</v>
      </c>
      <c r="J5" s="14">
        <f>SUM('Entity Inputs'!J5,'Entity Inputs'!J11)</f>
        <v>774802.0</v>
      </c>
      <c r="K5" s="14">
        <f>SUM('Entity Inputs'!K5,'Entity Inputs'!K11)</f>
        <v>644875.0</v>
      </c>
      <c r="L5" s="14">
        <f>SUM('Entity Inputs'!L5,'Entity Inputs'!L11)</f>
        <v>610774.0</v>
      </c>
      <c r="M5" s="14">
        <f>SUM('Entity Inputs'!M5,'Entity Inputs'!M11)</f>
        <v>590465.0</v>
      </c>
      <c r="N5" s="14">
        <f>SUM('Entity Inputs'!N5,'Entity Inputs'!N11)</f>
        <v>639407.0</v>
      </c>
      <c r="O5" s="14">
        <f>SUM('Entity Inputs'!O5,'Entity Inputs'!O11)</f>
        <v>123174.0</v>
      </c>
      <c r="P5" s="14">
        <f>SUM('Entity Inputs'!P5,'Entity Inputs'!P11)</f>
        <v>106051.0</v>
      </c>
      <c r="Q5" s="14">
        <f>SUM('Entity Inputs'!Q5,'Entity Inputs'!Q11)</f>
        <v>28641.0</v>
      </c>
      <c r="R5" s="14">
        <f>SUM('Entity Inputs'!R5,'Entity Inputs'!R11)</f>
        <v>21.0</v>
      </c>
      <c r="S5" s="14">
        <f>SUM('Entity Inputs'!S5,'Entity Inputs'!S11)</f>
        <v>129.4</v>
      </c>
      <c r="T5" s="14">
        <f>SUM('Entity Inputs'!T5,'Entity Inputs'!T11)</f>
        <v>275.0</v>
      </c>
      <c r="U5" s="14">
        <f>SUM('Entity Inputs'!U5,'Entity Inputs'!U11)</f>
        <v>255.0</v>
      </c>
      <c r="V5" s="14">
        <f>SUM('Entity Inputs'!V5,'Entity Inputs'!V11)</f>
        <v>1857317.9000000001</v>
      </c>
      <c r="W5" s="14">
        <f>SUM('Entity Inputs'!W5,'Entity Inputs'!W11)</f>
        <v>492350.2</v>
      </c>
      <c r="X5" s="14">
        <f>SUM('Entity Inputs'!X5,'Entity Inputs'!X11)</f>
        <v>8206.3</v>
      </c>
      <c r="Y5" s="14">
        <f>SUM('Entity Inputs'!Y5,'Entity Inputs'!Y11)</f>
        <v>1282066.0</v>
      </c>
      <c r="Z5" s="14">
        <f>SUM('Entity Inputs'!Z5,'Entity Inputs'!Z11)</f>
        <v>382393.0</v>
      </c>
      <c r="AA5" s="14">
        <f>SUM('Entity Inputs'!AA5,'Entity Inputs'!AA11)</f>
        <v>1878809.0</v>
      </c>
      <c r="AB5" s="14">
        <f>SUM('Entity Inputs'!AB5,'Entity Inputs'!AB11)</f>
        <v>55870.0</v>
      </c>
      <c r="AC5" s="14">
        <f>SUM('Entity Inputs'!AC5,'Entity Inputs'!AC11)</f>
        <v>6.0</v>
      </c>
      <c r="AD5" s="14">
        <f>SUM('Entity Inputs'!AD5,'Entity Inputs'!AD11)</f>
        <v>427000.0</v>
      </c>
      <c r="AE5" s="14">
        <f>SUM('Entity Inputs'!AE5,'Entity Inputs'!AE11)</f>
        <v>4.0</v>
      </c>
      <c r="AF5" s="14">
        <f>SUM('Entity Inputs'!AF5,'Entity Inputs'!AF11)</f>
        <v>1.0</v>
      </c>
      <c r="AG5" s="14">
        <f>SUM('Entity Inputs'!AG5,'Entity Inputs'!AG11)</f>
        <v>46.0</v>
      </c>
      <c r="AH5" s="14">
        <f>SUM('Entity Inputs'!AH5,'Entity Inputs'!AH11)</f>
        <v>1.0</v>
      </c>
      <c r="AI5" s="14">
        <f>SUM('Entity Inputs'!AI5,'Entity Inputs'!AI11)</f>
        <v>1.0</v>
      </c>
      <c r="AJ5" s="14">
        <f>SUM('Entity Inputs'!AJ5,'Entity Inputs'!AJ11)</f>
        <v>0.0</v>
      </c>
      <c r="AK5" s="14">
        <f>SUM('Entity Inputs'!AK5,'Entity Inputs'!AK11)</f>
        <v>58.0</v>
      </c>
      <c r="AL5" s="14">
        <f>SUM('Entity Inputs'!AL5,'Entity Inputs'!AL11)</f>
        <v>14.0</v>
      </c>
      <c r="AM5" s="14">
        <f>SUM('Entity Inputs'!AM5,'Entity Inputs'!AM11)</f>
        <v>8.0</v>
      </c>
      <c r="AN5" s="14">
        <f>SUM('Entity Inputs'!AN5,'Entity Inputs'!AN11)</f>
        <v>8.0</v>
      </c>
      <c r="AO5" s="14">
        <f>SUM('Entity Inputs'!AO5,'Entity Inputs'!AO11)</f>
        <v>3.0</v>
      </c>
      <c r="AP5" s="14">
        <f>SUM('Entity Inputs'!AP5,'Entity Inputs'!AP11)</f>
        <v>1159.0</v>
      </c>
      <c r="AQ5" s="14">
        <f>SUM('Entity Inputs'!AQ5,'Entity Inputs'!AQ11)</f>
        <v>82.0</v>
      </c>
      <c r="AR5" s="14">
        <f>MIN('Entity Inputs'!AR5,'Entity Inputs'!AR11)</f>
        <v>185</v>
      </c>
      <c r="AS5" s="14">
        <f>SUM('Entity Inputs'!AS5,'Entity Inputs'!AS11)</f>
        <v>590080.0</v>
      </c>
      <c r="AT5" s="14">
        <f>SUM('Entity Inputs'!AT5,'Entity Inputs'!AT11)</f>
        <v>643832.0</v>
      </c>
      <c r="AU5" s="14">
        <f>SUM('Entity Inputs'!AU5,'Entity Inputs'!AU11)</f>
        <v>2218839.1</v>
      </c>
      <c r="AV5" s="14">
        <f>SUM('Entity Inputs'!AV5,'Entity Inputs'!AV11)</f>
        <v>2420808.4000000004</v>
      </c>
      <c r="AW5" s="14">
        <f>SUM('Entity Inputs'!AW5,'Entity Inputs'!AW11)</f>
        <v>109717.90000000001</v>
      </c>
      <c r="AX5" s="14">
        <f>SUM('Entity Inputs'!AX5,'Entity Inputs'!AX11)</f>
        <v>87987.40000000001</v>
      </c>
      <c r="AY5" s="14">
        <f>SUM('Entity Inputs'!AY5,'Entity Inputs'!AY11)</f>
        <v>1277.0</v>
      </c>
      <c r="AZ5" s="14">
        <f>SUM('Entity Inputs'!AZ5,'Entity Inputs'!AZ11)</f>
        <v>1167.0</v>
      </c>
      <c r="BA5" s="14">
        <f>SUM('Entity Inputs'!BA5,'Entity Inputs'!BA11)</f>
        <v>635837.0</v>
      </c>
      <c r="BB5" s="14">
        <f>SUM('Entity Inputs'!BB5,'Entity Inputs'!BB11)</f>
        <v>607351.0</v>
      </c>
      <c r="BC5" s="14">
        <f>SUM('Entity Inputs'!BC5,'Entity Inputs'!BC11)</f>
        <v>5654.0</v>
      </c>
      <c r="BD5" s="14">
        <f>SUM('Entity Inputs'!BD5,'Entity Inputs'!BD11)</f>
        <v>4746.0</v>
      </c>
      <c r="BE5" s="14">
        <f>SUM('Entity Inputs'!BE5,'Entity Inputs'!BE11)</f>
        <v>4885.0</v>
      </c>
      <c r="BF5" s="14">
        <f>SUM('Entity Inputs'!BF5,'Entity Inputs'!BF11)</f>
        <v>1046558.0</v>
      </c>
      <c r="BG5" s="14">
        <f>SUM('Entity Inputs'!BG5,'Entity Inputs'!BG11)</f>
        <v>382358.80000000005</v>
      </c>
      <c r="BH5" s="14">
        <f>SUM('Entity Inputs'!BH5,'Entity Inputs'!BH11)</f>
        <v>0.0</v>
      </c>
      <c r="BI5" s="14">
        <f>SUM('Entity Inputs'!BI5,'Entity Inputs'!BI11)</f>
        <v>3.0</v>
      </c>
      <c r="BJ5" s="14">
        <f>SUM('Entity Inputs'!BJ5,'Entity Inputs'!BJ11)</f>
        <v>1.0</v>
      </c>
      <c r="BK5" s="14">
        <f>SUM('Entity Inputs'!BK5,'Entity Inputs'!BK11)</f>
        <v>1.0</v>
      </c>
      <c r="BL5" s="14">
        <f>SUM('Entity Inputs'!BL5,'Entity Inputs'!BL11)</f>
        <v>2.0</v>
      </c>
      <c r="BM5" s="14">
        <f>SUM('Entity Inputs'!BM5,'Entity Inputs'!BM11)</f>
        <v>0.0</v>
      </c>
      <c r="BN5" s="14">
        <f>SUM('Entity Inputs'!BN5,'Entity Inputs'!BN11)</f>
        <v>1.0</v>
      </c>
      <c r="BO5" s="14">
        <f>SUM('Entity Inputs'!BO5,'Entity Inputs'!BO11)</f>
        <v>0.0</v>
      </c>
      <c r="BP5" s="14">
        <f>SUM('Entity Inputs'!BP5,'Entity Inputs'!BP11)</f>
        <v>0.0</v>
      </c>
      <c r="BQ5" s="14">
        <f>SUM('Entity Inputs'!BQ5,'Entity Inputs'!BQ11)</f>
        <v>0.0</v>
      </c>
      <c r="BR5" s="14">
        <f>SUM('Entity Inputs'!BR5,'Entity Inputs'!BR11)</f>
        <v>0.0</v>
      </c>
      <c r="BS5" s="14">
        <f>MIN('Entity Inputs'!BS5,'Entity Inputs'!BS11)</f>
        <v>12</v>
      </c>
      <c r="BT5" s="14">
        <f>SUM('Entity Inputs'!BT5,'Entity Inputs'!BT11)</f>
        <v>649801.0</v>
      </c>
      <c r="BU5" s="14">
        <f>SUM('Entity Inputs'!BU5,'Entity Inputs'!BU11)</f>
        <v>645666.0</v>
      </c>
      <c r="BV5" s="14">
        <f>SUM('Entity Inputs'!BV5,'Entity Inputs'!BV11)</f>
        <v>272360559.0</v>
      </c>
      <c r="BW5" s="14">
        <f>SUM('Entity Inputs'!BW5,'Entity Inputs'!BW11)</f>
        <v>724257.0</v>
      </c>
      <c r="BX5" s="14">
        <f>SUM('Entity Inputs'!BX5,'Entity Inputs'!BX11)</f>
        <v>28018.0</v>
      </c>
      <c r="BY5" s="14">
        <f>SUM('Entity Inputs'!BY5,'Entity Inputs'!BY11)</f>
        <v>100755.3</v>
      </c>
      <c r="BZ5" s="14">
        <f>SUM('Entity Inputs'!BZ5,'Entity Inputs'!BZ11)</f>
        <v>54351.1</v>
      </c>
      <c r="CA5" s="14">
        <f>SUM('Entity Inputs'!CA5,'Entity Inputs'!CA11)</f>
        <v>20883200.0</v>
      </c>
      <c r="CB5" s="14">
        <f>SUM('Entity Inputs'!CB5,'Entity Inputs'!CB11)</f>
        <v>8947661.6</v>
      </c>
      <c r="CC5" s="14">
        <f>SUM('Entity Inputs'!CC5,'Entity Inputs'!CC11)</f>
        <v>2017661.6</v>
      </c>
      <c r="CD5" s="14">
        <f>SUM('Entity Inputs'!CD5,'Entity Inputs'!CD11)</f>
        <v>873410.3</v>
      </c>
      <c r="CE5" s="14">
        <f>SUM('Entity Inputs'!CE5,'Entity Inputs'!CE11)</f>
        <v>72765.0</v>
      </c>
      <c r="CF5" s="14">
        <f>SUM('Entity Inputs'!CF5,'Entity Inputs'!CF11)</f>
        <v>922918.1000000001</v>
      </c>
      <c r="CG5" s="14">
        <f>SUM('Entity Inputs'!CG5,'Entity Inputs'!CG11)</f>
        <v>2519257.7</v>
      </c>
      <c r="CH5" s="14">
        <f>SUM('Entity Inputs'!CH5,'Entity Inputs'!CH11)</f>
        <v>252242.0</v>
      </c>
      <c r="CI5" s="14">
        <f>SUM('Entity Inputs'!CI5,'Entity Inputs'!CI11)</f>
        <v>2211784.9000000004</v>
      </c>
      <c r="CJ5" s="14">
        <f>SUM('Entity Inputs'!CJ5,'Entity Inputs'!CJ11)</f>
        <v>3482516.3</v>
      </c>
      <c r="CK5" s="14">
        <f>SUM('Entity Inputs'!CK5,'Entity Inputs'!CK11)</f>
        <v>3062231.0</v>
      </c>
      <c r="CL5" s="14">
        <f>SUM('Entity Inputs'!CL5,'Entity Inputs'!CL11)</f>
        <v>2299712.9000000004</v>
      </c>
      <c r="CM5" s="14">
        <f>SUM('Entity Inputs'!CM5,'Entity Inputs'!CM11)</f>
        <v>2190667.8</v>
      </c>
      <c r="CN5" s="14">
        <f>SUM('Entity Inputs'!CN5,'Entity Inputs'!CN11)</f>
        <v>3664.4</v>
      </c>
      <c r="CO5" s="14">
        <f>SUM('Entity Inputs'!CO5,'Entity Inputs'!CO11)</f>
        <v>197350.9</v>
      </c>
      <c r="CP5" s="14">
        <f>SUM('Entity Inputs'!CP5,'Entity Inputs'!CP11)</f>
        <v>197350.9</v>
      </c>
      <c r="CQ5" s="14">
        <f>SUM('Entity Inputs'!CQ5,'Entity Inputs'!CQ11)</f>
        <v>734.0</v>
      </c>
      <c r="CR5" s="14">
        <f>SUM('Entity Inputs'!CR5,'Entity Inputs'!CR11)</f>
        <v>33025.0</v>
      </c>
      <c r="CS5" s="14">
        <f>SUM('Entity Inputs'!CS5,'Entity Inputs'!CS11)</f>
        <v>33030.0</v>
      </c>
      <c r="CT5" s="14">
        <f>SUM('Entity Inputs'!CT5,'Entity Inputs'!CT11)</f>
        <v>1.0</v>
      </c>
      <c r="CU5" s="14">
        <f>SUM('Entity Inputs'!CU5,'Entity Inputs'!CU11)</f>
        <v>1501487.5</v>
      </c>
      <c r="CV5" s="14">
        <f>SUM('Entity Inputs'!CV5,'Entity Inputs'!CV11)</f>
        <v>1522247.4</v>
      </c>
      <c r="CW5" s="14">
        <f>SUM('Entity Inputs'!CW5,'Entity Inputs'!CW11)</f>
        <v>260668.8</v>
      </c>
      <c r="CX5" s="14">
        <f>SUM('Entity Inputs'!CX5,'Entity Inputs'!CX11)</f>
        <v>6880788.0</v>
      </c>
      <c r="CY5" s="14">
        <f>SUM('Entity Inputs'!CY5,'Entity Inputs'!CY11)</f>
        <v>2961852.0</v>
      </c>
      <c r="CZ5" s="14">
        <f>SUM('Entity Inputs'!CZ5,'Entity Inputs'!CZ11)</f>
        <v>715308.8</v>
      </c>
      <c r="DA5" s="14">
        <f>SUM('Entity Inputs'!DA5,'Entity Inputs'!DA11)</f>
        <v>507809.10000000003</v>
      </c>
      <c r="DB5" s="14">
        <f>SUM('Entity Inputs'!DB5,'Entity Inputs'!DB11)</f>
        <v>581147.2</v>
      </c>
      <c r="DC5" s="14">
        <f>SUM('Entity Inputs'!DC5,'Entity Inputs'!DC11)</f>
        <v>410679.9</v>
      </c>
      <c r="DD5" s="14">
        <f>SUM('Entity Inputs'!DD5,'Entity Inputs'!DD11)</f>
        <v>7958.8</v>
      </c>
      <c r="DE5" s="14">
        <f>SUM('Entity Inputs'!DE5,'Entity Inputs'!DE11)</f>
        <v>8601.6</v>
      </c>
      <c r="DF5" s="14">
        <f>SUM('Entity Inputs'!DF5,'Entity Inputs'!DF11)</f>
        <v>4305420.8</v>
      </c>
      <c r="DG5" s="14">
        <f>SUM('Entity Inputs'!DG5,'Entity Inputs'!DG11)</f>
        <v>3061203.8</v>
      </c>
      <c r="DH5" s="14">
        <f>SUM('Entity Inputs'!DH5,'Entity Inputs'!DH11)</f>
        <v>1860000.0</v>
      </c>
      <c r="DI5" s="14">
        <f>SUM('Entity Inputs'!DI5,'Entity Inputs'!DI11)</f>
        <v>933323.1000000001</v>
      </c>
      <c r="DJ5" s="14">
        <f>SUM('Entity Inputs'!DJ5,'Entity Inputs'!DJ11)</f>
        <v>145067.40000000002</v>
      </c>
      <c r="DK5" s="14">
        <f>SUM('Entity Inputs'!DK5,'Entity Inputs'!DK11)</f>
        <v>791800.0</v>
      </c>
      <c r="DL5" s="14">
        <f>SUM('Entity Inputs'!DL5,'Entity Inputs'!DL11)</f>
        <v>161831.1</v>
      </c>
      <c r="DM5" s="14">
        <f>SUM('Entity Inputs'!DM5,'Entity Inputs'!DM11)</f>
        <v>9.0</v>
      </c>
      <c r="DN5" s="14">
        <f>SUM('Entity Inputs'!DN5,'Entity Inputs'!DN11)</f>
        <v>2.0</v>
      </c>
      <c r="DO5" s="14">
        <f>SUM('Entity Inputs'!DO5,'Entity Inputs'!DO11)</f>
        <v>0.0</v>
      </c>
      <c r="DP5" s="14">
        <f>SUM('Entity Inputs'!DP5,'Entity Inputs'!DP11)</f>
        <v>0.0</v>
      </c>
      <c r="DQ5" s="14">
        <f>SUM('Entity Inputs'!DQ5,'Entity Inputs'!DQ11)</f>
        <v>10.0</v>
      </c>
      <c r="DR5" s="14">
        <f>SUM('Entity Inputs'!DR5,'Entity Inputs'!DR11)</f>
        <v>22.0</v>
      </c>
      <c r="DS5" s="14">
        <f>SUM('Entity Inputs'!DS5,'Entity Inputs'!DS11)</f>
        <v>15.0</v>
      </c>
      <c r="DT5" s="14">
        <f>SUM('Entity Inputs'!DT5,'Entity Inputs'!DT11)</f>
        <v>6.0</v>
      </c>
      <c r="DU5" s="14">
        <f>SUM('Entity Inputs'!DU5,'Entity Inputs'!DU11)</f>
        <v>3.0</v>
      </c>
      <c r="DV5" s="14">
        <f>SUM('Entity Inputs'!DV5,'Entity Inputs'!DV11)</f>
        <v>124.0</v>
      </c>
      <c r="DW5" s="14">
        <f>SUM('Entity Inputs'!DW5,'Entity Inputs'!DW11)</f>
        <v>43.0</v>
      </c>
      <c r="DX5" s="14">
        <f>SUM('Entity Inputs'!DX5,'Entity Inputs'!DX11)</f>
        <v>14465.400000000001</v>
      </c>
      <c r="DY5" s="14">
        <f>SUM('Entity Inputs'!DY5,'Entity Inputs'!DY11)</f>
        <v>7082.700000000001</v>
      </c>
      <c r="DZ5" s="14">
        <f>SUM('Entity Inputs'!DZ5,'Entity Inputs'!DZ11)</f>
        <v>2340.2</v>
      </c>
      <c r="EA5" s="14">
        <f>SUM('Entity Inputs'!EA5,'Entity Inputs'!EA11)</f>
        <v>1492.6999999999998</v>
      </c>
      <c r="EB5" s="14">
        <f>SUM('Entity Inputs'!EB5,'Entity Inputs'!EB11)</f>
        <v>1895.1</v>
      </c>
      <c r="EC5" s="14">
        <f>SUM('Entity Inputs'!EC5,'Entity Inputs'!EC11)</f>
        <v>140.0</v>
      </c>
      <c r="ED5" s="14">
        <f>SUM('Entity Inputs'!ED5,'Entity Inputs'!ED11)</f>
        <v>133.0</v>
      </c>
      <c r="EE5" s="14">
        <f>SUM('Entity Inputs'!EE5,'Entity Inputs'!EE11)</f>
        <v>5.0</v>
      </c>
      <c r="EF5" s="14">
        <f>SUM('Entity Inputs'!EF5,'Entity Inputs'!EF11)</f>
        <v>1.0</v>
      </c>
      <c r="EG5" s="14">
        <f>SUM('Entity Inputs'!EG5,'Entity Inputs'!EG11)</f>
        <v>3.0</v>
      </c>
      <c r="EH5" s="14">
        <f>SUM('Entity Inputs'!EH5,'Entity Inputs'!EH11)</f>
        <v>0.0</v>
      </c>
      <c r="EI5" s="14">
        <f>SUM('Entity Inputs'!EI5,'Entity Inputs'!EI11)</f>
        <v>0.0</v>
      </c>
      <c r="EJ5" s="14">
        <f>SUM('Entity Inputs'!EJ5,'Entity Inputs'!EJ11)</f>
        <v>2.0</v>
      </c>
      <c r="EK5" s="14">
        <f>SUM('Entity Inputs'!EK5,'Entity Inputs'!EK11)</f>
        <v>1.0</v>
      </c>
      <c r="EL5" s="14">
        <f>SUM('Entity Inputs'!EL5,'Entity Inputs'!EL11)</f>
        <v>0.0</v>
      </c>
      <c r="EM5" s="14">
        <f>SUM('Entity Inputs'!EM5,'Entity Inputs'!EM11)</f>
        <v>0.0</v>
      </c>
      <c r="EN5" s="14">
        <f>SUM('Entity Inputs'!EN5,'Entity Inputs'!EN11)</f>
        <v>0.0</v>
      </c>
      <c r="EO5" s="14">
        <f>SUM('Entity Inputs'!EO5,'Entity Inputs'!EO11)</f>
        <v>0.0</v>
      </c>
      <c r="EP5" s="14">
        <f>SUM('Entity Inputs'!EP5,'Entity Inputs'!EP11)</f>
        <v>0.0</v>
      </c>
      <c r="EQ5" s="14">
        <f>SUM('Entity Inputs'!EQ5,'Entity Inputs'!EQ11)</f>
        <v>2.0</v>
      </c>
      <c r="ER5" s="14">
        <f>SUM('Entity Inputs'!ER5,'Entity Inputs'!ER11)</f>
        <v>2.0</v>
      </c>
      <c r="ES5" s="14">
        <f>SUM('Entity Inputs'!ES5,'Entity Inputs'!ES11)</f>
        <v>0.0</v>
      </c>
      <c r="ET5" s="14">
        <f>SUM('Entity Inputs'!ET5,'Entity Inputs'!ET11)</f>
        <v>1.0</v>
      </c>
      <c r="EU5" s="14">
        <f>SUM('Entity Inputs'!EU5,'Entity Inputs'!EU11)</f>
        <v>8.0</v>
      </c>
      <c r="EV5" s="14">
        <f>SUM('Entity Inputs'!EV5,'Entity Inputs'!EV11)</f>
        <v>0.0</v>
      </c>
      <c r="EW5" s="14">
        <f>SUM('Entity Inputs'!EW5,'Entity Inputs'!EW11)</f>
        <v>1.0</v>
      </c>
      <c r="EX5" s="14">
        <f>SUM('Entity Inputs'!EX5,'Entity Inputs'!EX11)</f>
        <v>1.0</v>
      </c>
      <c r="EY5" s="14">
        <f>SUM('Entity Inputs'!EY5,'Entity Inputs'!EY11)</f>
        <v>108.0</v>
      </c>
      <c r="EZ5" s="14">
        <f>SUM('Entity Inputs'!EZ5,'Entity Inputs'!EZ11)</f>
        <v>95.0</v>
      </c>
      <c r="FA5" s="14">
        <f>SUM('Entity Inputs'!FA5,'Entity Inputs'!FA11)</f>
        <v>4.0</v>
      </c>
      <c r="FB5" s="14">
        <f>SUM('Entity Inputs'!FB5,'Entity Inputs'!FB11)</f>
        <v>122.0</v>
      </c>
      <c r="FC5" s="14">
        <f>SUM('Entity Inputs'!FC5,'Entity Inputs'!FC11)</f>
        <v>56.0</v>
      </c>
      <c r="FD5" s="14">
        <f>SUM('Entity Inputs'!FD5,'Entity Inputs'!FD11)</f>
        <v>47.0</v>
      </c>
      <c r="FE5" s="14">
        <f>SUM('Entity Inputs'!FE5,'Entity Inputs'!FE11)</f>
        <v>52.0</v>
      </c>
      <c r="FF5" s="14">
        <f>SUM('Entity Inputs'!FF5,'Entity Inputs'!FF11)</f>
        <v>1.0</v>
      </c>
      <c r="FG5" s="14">
        <f>SUM('Entity Inputs'!FG5,'Entity Inputs'!FG11)</f>
        <v>1.0</v>
      </c>
      <c r="FH5" s="14">
        <f>SUM('Entity Inputs'!FH5,'Entity Inputs'!FH11)</f>
        <v>0.0</v>
      </c>
      <c r="FI5" s="14">
        <f>SUM('Entity Inputs'!FI5,'Entity Inputs'!FI11)</f>
        <v>970266.0</v>
      </c>
      <c r="FJ5" s="14">
        <f>SUM('Entity Inputs'!FJ5,'Entity Inputs'!FJ11)</f>
        <v>964647.0</v>
      </c>
      <c r="FK5" s="14">
        <f>SUM('Entity Inputs'!FK5,'Entity Inputs'!FK11)</f>
        <v>820.0</v>
      </c>
      <c r="FL5" s="14">
        <f>SUM('Entity Inputs'!FL5,'Entity Inputs'!FL11)</f>
        <v>790.0</v>
      </c>
      <c r="FM5" s="14">
        <f>SUM('Entity Inputs'!FM5,'Entity Inputs'!FM11)</f>
        <v>0.0</v>
      </c>
      <c r="FN5" s="14">
        <f>SUM('Entity Inputs'!FN5,'Entity Inputs'!FN11)</f>
        <v>0.0</v>
      </c>
      <c r="FO5" s="14">
        <f>SUM('Entity Inputs'!FO5,'Entity Inputs'!FO11)</f>
        <v>0.0</v>
      </c>
      <c r="FP5" s="14">
        <f>SUM('Entity Inputs'!FP5,'Entity Inputs'!FP11)</f>
        <v>8.0</v>
      </c>
      <c r="FQ5" s="14">
        <f>SUM('Entity Inputs'!FQ5,'Entity Inputs'!FQ11)</f>
        <v>19.3</v>
      </c>
      <c r="FR5" s="14">
        <f>SUM('Entity Inputs'!FR5,'Entity Inputs'!FR11)</f>
        <v>10.0</v>
      </c>
      <c r="FS5" s="14">
        <f>SUM('Entity Inputs'!FS5,'Entity Inputs'!FS11)</f>
        <v>1.0</v>
      </c>
      <c r="FT5" s="14">
        <f>SUM('Entity Inputs'!FT5,'Entity Inputs'!FT11)</f>
        <v>1.0</v>
      </c>
      <c r="FU5" s="14">
        <f>SUM('Entity Inputs'!FU5,'Entity Inputs'!FU11)</f>
        <v>1.0</v>
      </c>
      <c r="FV5" s="15">
        <f>AU5-V5-X5-BY5</f>
        <v>252559.59999999998</v>
      </c>
      <c r="FW5" s="15">
        <f>FV5-AX5</f>
        <v>164572.19999999995</v>
      </c>
      <c r="FX5" s="15">
        <f>CJ5+CL5-CK5</f>
        <v>2719998.2</v>
      </c>
      <c r="FY5" s="15">
        <f>FX5-FX4</f>
        <v>-192583.50000000047</v>
      </c>
      <c r="FZ5" s="15">
        <f>FV5-BZ5-FY5</f>
        <v>390792.00000000047</v>
      </c>
      <c r="GA5" s="15">
        <f>FZ5-DJ5</f>
        <v>245724.60000000044</v>
      </c>
      <c r="GB5" s="15">
        <f>CB5-CC5</f>
        <v>6930000.0</v>
      </c>
      <c r="GC5" s="15">
        <f>SUM(FV$4:FV5)*12/D5</f>
        <v>3447136.1999999983</v>
      </c>
      <c r="GD5" s="15">
        <f>IF(AU5=0,0,CJ5/AU5*C5)</f>
        <v>48.65517526710251</v>
      </c>
      <c r="GE5" s="15">
        <f>IF(V5=0,0,CK5/V5*C5)</f>
        <v>51.110884679461705</v>
      </c>
      <c r="GF5" s="15">
        <f>IF(V5=0,0,CL5/V5*C5)</f>
        <v>38.38389750079941</v>
      </c>
      <c r="GG5" s="15">
        <f>IF(OR(AS5=0,AT5=0,AV5=0),0,100*((AU5/AS5)/(AV5/AT5)-1))</f>
        <v>0.006230072772361872</v>
      </c>
    </row>
    <row r="6" spans="1:189">
      <c r="A6" t="s">
        <v>15</v>
      </c>
      <c r="B6" t="s">
        <v>174</v>
      </c>
      <c r="C6">
        <v>30</v>
      </c>
      <c r="D6">
        <v>3</v>
      </c>
      <c r="E6" s="14">
        <f>SUM('Entity Inputs'!E6,'Entity Inputs'!E12)</f>
        <v>4320.0</v>
      </c>
      <c r="F6" s="14">
        <f>SUM('Entity Inputs'!F6,'Entity Inputs'!F12)</f>
        <v>4295.0</v>
      </c>
      <c r="G6" s="14">
        <f>SUM('Entity Inputs'!G6,'Entity Inputs'!G12)</f>
        <v>4063.3</v>
      </c>
      <c r="H6" s="14">
        <f>SUM('Entity Inputs'!H6,'Entity Inputs'!H12)</f>
        <v>142.0</v>
      </c>
      <c r="I6" s="14">
        <f>SUM('Entity Inputs'!I6,'Entity Inputs'!I12)</f>
        <v>745554.0</v>
      </c>
      <c r="J6" s="14">
        <f>SUM('Entity Inputs'!J6,'Entity Inputs'!J12)</f>
        <v>749808.0</v>
      </c>
      <c r="K6" s="14">
        <f>SUM('Entity Inputs'!K6,'Entity Inputs'!K12)</f>
        <v>665109.0</v>
      </c>
      <c r="L6" s="14">
        <f>SUM('Entity Inputs'!L6,'Entity Inputs'!L12)</f>
        <v>617636.0</v>
      </c>
      <c r="M6" s="14">
        <f>SUM('Entity Inputs'!M6,'Entity Inputs'!M12)</f>
        <v>598134.0</v>
      </c>
      <c r="N6" s="14">
        <f>SUM('Entity Inputs'!N6,'Entity Inputs'!N12)</f>
        <v>653880.0</v>
      </c>
      <c r="O6" s="14">
        <f>SUM('Entity Inputs'!O6,'Entity Inputs'!O12)</f>
        <v>130336.0</v>
      </c>
      <c r="P6" s="14">
        <f>SUM('Entity Inputs'!P6,'Entity Inputs'!P12)</f>
        <v>114893.0</v>
      </c>
      <c r="Q6" s="14">
        <f>SUM('Entity Inputs'!Q6,'Entity Inputs'!Q12)</f>
        <v>24878.0</v>
      </c>
      <c r="R6" s="14">
        <f>SUM('Entity Inputs'!R6,'Entity Inputs'!R12)</f>
        <v>17.0</v>
      </c>
      <c r="S6" s="14">
        <f>SUM('Entity Inputs'!S6,'Entity Inputs'!S12)</f>
        <v>111.80000000000001</v>
      </c>
      <c r="T6" s="14">
        <f>SUM('Entity Inputs'!T6,'Entity Inputs'!T12)</f>
        <v>263.0</v>
      </c>
      <c r="U6" s="14">
        <f>SUM('Entity Inputs'!U6,'Entity Inputs'!U12)</f>
        <v>249.0</v>
      </c>
      <c r="V6" s="14">
        <f>SUM('Entity Inputs'!V6,'Entity Inputs'!V12)</f>
        <v>1886763.2000000002</v>
      </c>
      <c r="W6" s="14">
        <f>SUM('Entity Inputs'!W6,'Entity Inputs'!W12)</f>
        <v>514853.4</v>
      </c>
      <c r="X6" s="14">
        <f>SUM('Entity Inputs'!X6,'Entity Inputs'!X12)</f>
        <v>6480.2</v>
      </c>
      <c r="Y6" s="14">
        <f>SUM('Entity Inputs'!Y6,'Entity Inputs'!Y12)</f>
        <v>1245659.0</v>
      </c>
      <c r="Z6" s="14">
        <f>SUM('Entity Inputs'!Z6,'Entity Inputs'!Z12)</f>
        <v>374121.0</v>
      </c>
      <c r="AA6" s="14">
        <f>SUM('Entity Inputs'!AA6,'Entity Inputs'!AA12)</f>
        <v>1951323.0</v>
      </c>
      <c r="AB6" s="14">
        <f>SUM('Entity Inputs'!AB6,'Entity Inputs'!AB12)</f>
        <v>72181.0</v>
      </c>
      <c r="AC6" s="14">
        <f>SUM('Entity Inputs'!AC6,'Entity Inputs'!AC12)</f>
        <v>9.0</v>
      </c>
      <c r="AD6" s="14">
        <f>SUM('Entity Inputs'!AD6,'Entity Inputs'!AD12)</f>
        <v>443000.0</v>
      </c>
      <c r="AE6" s="14">
        <f>SUM('Entity Inputs'!AE6,'Entity Inputs'!AE12)</f>
        <v>5.0</v>
      </c>
      <c r="AF6" s="14">
        <f>SUM('Entity Inputs'!AF6,'Entity Inputs'!AF12)</f>
        <v>0.0</v>
      </c>
      <c r="AG6" s="14">
        <f>SUM('Entity Inputs'!AG6,'Entity Inputs'!AG12)</f>
        <v>44.0</v>
      </c>
      <c r="AH6" s="14">
        <f>SUM('Entity Inputs'!AH6,'Entity Inputs'!AH12)</f>
        <v>0.0</v>
      </c>
      <c r="AI6" s="14">
        <f>SUM('Entity Inputs'!AI6,'Entity Inputs'!AI12)</f>
        <v>1.0</v>
      </c>
      <c r="AJ6" s="14">
        <f>SUM('Entity Inputs'!AJ6,'Entity Inputs'!AJ12)</f>
        <v>1.0</v>
      </c>
      <c r="AK6" s="14">
        <f>SUM('Entity Inputs'!AK6,'Entity Inputs'!AK12)</f>
        <v>45.0</v>
      </c>
      <c r="AL6" s="14">
        <f>SUM('Entity Inputs'!AL6,'Entity Inputs'!AL12)</f>
        <v>8.0</v>
      </c>
      <c r="AM6" s="14">
        <f>SUM('Entity Inputs'!AM6,'Entity Inputs'!AM12)</f>
        <v>9.0</v>
      </c>
      <c r="AN6" s="14">
        <f>SUM('Entity Inputs'!AN6,'Entity Inputs'!AN12)</f>
        <v>8.0</v>
      </c>
      <c r="AO6" s="14">
        <f>SUM('Entity Inputs'!AO6,'Entity Inputs'!AO12)</f>
        <v>1.0</v>
      </c>
      <c r="AP6" s="14">
        <f>SUM('Entity Inputs'!AP6,'Entity Inputs'!AP12)</f>
        <v>1109.0</v>
      </c>
      <c r="AQ6" s="14">
        <f>SUM('Entity Inputs'!AQ6,'Entity Inputs'!AQ12)</f>
        <v>83.0</v>
      </c>
      <c r="AR6" s="14">
        <f>MIN('Entity Inputs'!AR6,'Entity Inputs'!AR12)</f>
        <v>155</v>
      </c>
      <c r="AS6" s="14">
        <f>SUM('Entity Inputs'!AS6,'Entity Inputs'!AS12)</f>
        <v>592634.0</v>
      </c>
      <c r="AT6" s="14">
        <f>SUM('Entity Inputs'!AT6,'Entity Inputs'!AT12)</f>
        <v>666119.0</v>
      </c>
      <c r="AU6" s="14">
        <f>SUM('Entity Inputs'!AU6,'Entity Inputs'!AU12)</f>
        <v>2235648.7</v>
      </c>
      <c r="AV6" s="14">
        <f>SUM('Entity Inputs'!AV6,'Entity Inputs'!AV12)</f>
        <v>2504607.4</v>
      </c>
      <c r="AW6" s="14">
        <f>SUM('Entity Inputs'!AW6,'Entity Inputs'!AW12)</f>
        <v>114615.8</v>
      </c>
      <c r="AX6" s="14">
        <f>SUM('Entity Inputs'!AX6,'Entity Inputs'!AX12)</f>
        <v>88467.79999999999</v>
      </c>
      <c r="AY6" s="14">
        <f>SUM('Entity Inputs'!AY6,'Entity Inputs'!AY12)</f>
        <v>1373.0</v>
      </c>
      <c r="AZ6" s="14">
        <f>SUM('Entity Inputs'!AZ6,'Entity Inputs'!AZ12)</f>
        <v>1264.0</v>
      </c>
      <c r="BA6" s="14">
        <f>SUM('Entity Inputs'!BA6,'Entity Inputs'!BA12)</f>
        <v>650182.0</v>
      </c>
      <c r="BB6" s="14">
        <f>SUM('Entity Inputs'!BB6,'Entity Inputs'!BB12)</f>
        <v>630209.0</v>
      </c>
      <c r="BC6" s="14">
        <f>SUM('Entity Inputs'!BC6,'Entity Inputs'!BC12)</f>
        <v>5472.0</v>
      </c>
      <c r="BD6" s="14">
        <f>SUM('Entity Inputs'!BD6,'Entity Inputs'!BD12)</f>
        <v>4620.0</v>
      </c>
      <c r="BE6" s="14">
        <f>SUM('Entity Inputs'!BE6,'Entity Inputs'!BE12)</f>
        <v>4767.0</v>
      </c>
      <c r="BF6" s="14">
        <f>SUM('Entity Inputs'!BF6,'Entity Inputs'!BF12)</f>
        <v>1065448.9</v>
      </c>
      <c r="BG6" s="14">
        <f>SUM('Entity Inputs'!BG6,'Entity Inputs'!BG12)</f>
        <v>398487.7</v>
      </c>
      <c r="BH6" s="14">
        <f>SUM('Entity Inputs'!BH6,'Entity Inputs'!BH12)</f>
        <v>1.0</v>
      </c>
      <c r="BI6" s="14">
        <f>SUM('Entity Inputs'!BI6,'Entity Inputs'!BI12)</f>
        <v>1.0</v>
      </c>
      <c r="BJ6" s="14">
        <f>SUM('Entity Inputs'!BJ6,'Entity Inputs'!BJ12)</f>
        <v>2.0</v>
      </c>
      <c r="BK6" s="14">
        <f>SUM('Entity Inputs'!BK6,'Entity Inputs'!BK12)</f>
        <v>3.0</v>
      </c>
      <c r="BL6" s="14">
        <f>SUM('Entity Inputs'!BL6,'Entity Inputs'!BL12)</f>
        <v>4.0</v>
      </c>
      <c r="BM6" s="14">
        <f>SUM('Entity Inputs'!BM6,'Entity Inputs'!BM12)</f>
        <v>0.0</v>
      </c>
      <c r="BN6" s="14">
        <f>SUM('Entity Inputs'!BN6,'Entity Inputs'!BN12)</f>
        <v>0.0</v>
      </c>
      <c r="BO6" s="14">
        <f>SUM('Entity Inputs'!BO6,'Entity Inputs'!BO12)</f>
        <v>0.0</v>
      </c>
      <c r="BP6" s="14">
        <f>SUM('Entity Inputs'!BP6,'Entity Inputs'!BP12)</f>
        <v>0.0</v>
      </c>
      <c r="BQ6" s="14">
        <f>SUM('Entity Inputs'!BQ6,'Entity Inputs'!BQ12)</f>
        <v>0.0</v>
      </c>
      <c r="BR6" s="14">
        <f>SUM('Entity Inputs'!BR6,'Entity Inputs'!BR12)</f>
        <v>0.0</v>
      </c>
      <c r="BS6" s="14">
        <f>MIN('Entity Inputs'!BS6,'Entity Inputs'!BS12)</f>
        <v>18</v>
      </c>
      <c r="BT6" s="14">
        <f>SUM('Entity Inputs'!BT6,'Entity Inputs'!BT12)</f>
        <v>669096.0</v>
      </c>
      <c r="BU6" s="14">
        <f>SUM('Entity Inputs'!BU6,'Entity Inputs'!BU12)</f>
        <v>662563.0</v>
      </c>
      <c r="BV6" s="14">
        <f>SUM('Entity Inputs'!BV6,'Entity Inputs'!BV12)</f>
        <v>266716438.0</v>
      </c>
      <c r="BW6" s="14">
        <f>SUM('Entity Inputs'!BW6,'Entity Inputs'!BW12)</f>
        <v>745554.0</v>
      </c>
      <c r="BX6" s="14">
        <f>SUM('Entity Inputs'!BX6,'Entity Inputs'!BX12)</f>
        <v>23284.0</v>
      </c>
      <c r="BY6" s="14">
        <f>SUM('Entity Inputs'!BY6,'Entity Inputs'!BY12)</f>
        <v>100465.79999999999</v>
      </c>
      <c r="BZ6" s="14">
        <f>SUM('Entity Inputs'!BZ6,'Entity Inputs'!BZ12)</f>
        <v>51727.8</v>
      </c>
      <c r="CA6" s="14">
        <f>SUM('Entity Inputs'!CA6,'Entity Inputs'!CA12)</f>
        <v>20966400.0</v>
      </c>
      <c r="CB6" s="14">
        <f>SUM('Entity Inputs'!CB6,'Entity Inputs'!CB12)</f>
        <v>8846191.399999999</v>
      </c>
      <c r="CC6" s="14">
        <f>SUM('Entity Inputs'!CC6,'Entity Inputs'!CC12)</f>
        <v>1986191.4</v>
      </c>
      <c r="CD6" s="14">
        <f>SUM('Entity Inputs'!CD6,'Entity Inputs'!CD12)</f>
        <v>896428.1</v>
      </c>
      <c r="CE6" s="14">
        <f>SUM('Entity Inputs'!CE6,'Entity Inputs'!CE12)</f>
        <v>72030.0</v>
      </c>
      <c r="CF6" s="14">
        <f>SUM('Entity Inputs'!CF6,'Entity Inputs'!CF12)</f>
        <v>881233.3</v>
      </c>
      <c r="CG6" s="14">
        <f>SUM('Entity Inputs'!CG6,'Entity Inputs'!CG12)</f>
        <v>2568180.9</v>
      </c>
      <c r="CH6" s="14">
        <f>SUM('Entity Inputs'!CH6,'Entity Inputs'!CH12)</f>
        <v>241464.69999999998</v>
      </c>
      <c r="CI6" s="14">
        <f>SUM('Entity Inputs'!CI6,'Entity Inputs'!CI12)</f>
        <v>2245429.6</v>
      </c>
      <c r="CJ6" s="14">
        <f>SUM('Entity Inputs'!CJ6,'Entity Inputs'!CJ12)</f>
        <v>3608355.3</v>
      </c>
      <c r="CK6" s="14">
        <f>SUM('Entity Inputs'!CK6,'Entity Inputs'!CK12)</f>
        <v>3294920.3</v>
      </c>
      <c r="CL6" s="14">
        <f>SUM('Entity Inputs'!CL6,'Entity Inputs'!CL12)</f>
        <v>2436926.9</v>
      </c>
      <c r="CM6" s="14">
        <f>SUM('Entity Inputs'!CM6,'Entity Inputs'!CM12)</f>
        <v>2203457.6</v>
      </c>
      <c r="CN6" s="14">
        <f>SUM('Entity Inputs'!CN6,'Entity Inputs'!CN12)</f>
        <v>3784.2999999999997</v>
      </c>
      <c r="CO6" s="14">
        <f>SUM('Entity Inputs'!CO6,'Entity Inputs'!CO12)</f>
        <v>196267.7</v>
      </c>
      <c r="CP6" s="14">
        <f>SUM('Entity Inputs'!CP6,'Entity Inputs'!CP12)</f>
        <v>196267.7</v>
      </c>
      <c r="CQ6" s="14">
        <f>SUM('Entity Inputs'!CQ6,'Entity Inputs'!CQ12)</f>
        <v>758.0</v>
      </c>
      <c r="CR6" s="14">
        <f>SUM('Entity Inputs'!CR6,'Entity Inputs'!CR12)</f>
        <v>34210.0</v>
      </c>
      <c r="CS6" s="14">
        <f>SUM('Entity Inputs'!CS6,'Entity Inputs'!CS12)</f>
        <v>34110.0</v>
      </c>
      <c r="CT6" s="14">
        <f>SUM('Entity Inputs'!CT6,'Entity Inputs'!CT12)</f>
        <v>0.0</v>
      </c>
      <c r="CU6" s="14">
        <f>SUM('Entity Inputs'!CU6,'Entity Inputs'!CU12)</f>
        <v>1443633.8</v>
      </c>
      <c r="CV6" s="14">
        <f>SUM('Entity Inputs'!CV6,'Entity Inputs'!CV12)</f>
        <v>1455641.9</v>
      </c>
      <c r="CW6" s="14">
        <f>SUM('Entity Inputs'!CW6,'Entity Inputs'!CW12)</f>
        <v>247703.9</v>
      </c>
      <c r="CX6" s="14">
        <f>SUM('Entity Inputs'!CX6,'Entity Inputs'!CX12)</f>
        <v>6761559.9</v>
      </c>
      <c r="CY6" s="14">
        <f>SUM('Entity Inputs'!CY6,'Entity Inputs'!CY12)</f>
        <v>2835283.7</v>
      </c>
      <c r="CZ6" s="14">
        <f>SUM('Entity Inputs'!CZ6,'Entity Inputs'!CZ12)</f>
        <v>706443.8999999999</v>
      </c>
      <c r="DA6" s="14">
        <f>SUM('Entity Inputs'!DA6,'Entity Inputs'!DA12)</f>
        <v>518162.4</v>
      </c>
      <c r="DB6" s="14">
        <f>SUM('Entity Inputs'!DB6,'Entity Inputs'!DB12)</f>
        <v>559114.3</v>
      </c>
      <c r="DC6" s="14">
        <f>SUM('Entity Inputs'!DC6,'Entity Inputs'!DC12)</f>
        <v>411224.6</v>
      </c>
      <c r="DD6" s="14">
        <f>SUM('Entity Inputs'!DD6,'Entity Inputs'!DD12)</f>
        <v>7733.799999999999</v>
      </c>
      <c r="DE6" s="14">
        <f>SUM('Entity Inputs'!DE6,'Entity Inputs'!DE12)</f>
        <v>8330.3</v>
      </c>
      <c r="DF6" s="14">
        <f>SUM('Entity Inputs'!DF6,'Entity Inputs'!DF12)</f>
        <v>4307643.3</v>
      </c>
      <c r="DG6" s="14">
        <f>SUM('Entity Inputs'!DG6,'Entity Inputs'!DG12)</f>
        <v>3010603.7</v>
      </c>
      <c r="DH6" s="14">
        <f>SUM('Entity Inputs'!DH6,'Entity Inputs'!DH12)</f>
        <v>1860000.0</v>
      </c>
      <c r="DI6" s="14">
        <f>SUM('Entity Inputs'!DI6,'Entity Inputs'!DI12)</f>
        <v>1037264.3999999999</v>
      </c>
      <c r="DJ6" s="14">
        <f>SUM('Entity Inputs'!DJ6,'Entity Inputs'!DJ12)</f>
        <v>143652.5</v>
      </c>
      <c r="DK6" s="14">
        <f>SUM('Entity Inputs'!DK6,'Entity Inputs'!DK12)</f>
        <v>876800.0</v>
      </c>
      <c r="DL6" s="14">
        <f>SUM('Entity Inputs'!DL6,'Entity Inputs'!DL12)</f>
        <v>152285.7</v>
      </c>
      <c r="DM6" s="14">
        <f>SUM('Entity Inputs'!DM6,'Entity Inputs'!DM12)</f>
        <v>9.0</v>
      </c>
      <c r="DN6" s="14">
        <f>SUM('Entity Inputs'!DN6,'Entity Inputs'!DN12)</f>
        <v>2.0</v>
      </c>
      <c r="DO6" s="14">
        <f>SUM('Entity Inputs'!DO6,'Entity Inputs'!DO12)</f>
        <v>0.0</v>
      </c>
      <c r="DP6" s="14">
        <f>SUM('Entity Inputs'!DP6,'Entity Inputs'!DP12)</f>
        <v>0.0</v>
      </c>
      <c r="DQ6" s="14">
        <f>SUM('Entity Inputs'!DQ6,'Entity Inputs'!DQ12)</f>
        <v>11.0</v>
      </c>
      <c r="DR6" s="14">
        <f>SUM('Entity Inputs'!DR6,'Entity Inputs'!DR12)</f>
        <v>24.0</v>
      </c>
      <c r="DS6" s="14">
        <f>SUM('Entity Inputs'!DS6,'Entity Inputs'!DS12)</f>
        <v>15.0</v>
      </c>
      <c r="DT6" s="14">
        <f>SUM('Entity Inputs'!DT6,'Entity Inputs'!DT12)</f>
        <v>6.0</v>
      </c>
      <c r="DU6" s="14">
        <f>SUM('Entity Inputs'!DU6,'Entity Inputs'!DU12)</f>
        <v>3.0</v>
      </c>
      <c r="DV6" s="14">
        <f>SUM('Entity Inputs'!DV6,'Entity Inputs'!DV12)</f>
        <v>124.0</v>
      </c>
      <c r="DW6" s="14">
        <f>SUM('Entity Inputs'!DW6,'Entity Inputs'!DW12)</f>
        <v>49.0</v>
      </c>
      <c r="DX6" s="14">
        <f>SUM('Entity Inputs'!DX6,'Entity Inputs'!DX12)</f>
        <v>14111.0</v>
      </c>
      <c r="DY6" s="14">
        <f>SUM('Entity Inputs'!DY6,'Entity Inputs'!DY12)</f>
        <v>6707.1</v>
      </c>
      <c r="DZ6" s="14">
        <f>SUM('Entity Inputs'!DZ6,'Entity Inputs'!DZ12)</f>
        <v>2384.8999999999996</v>
      </c>
      <c r="EA6" s="14">
        <f>SUM('Entity Inputs'!EA6,'Entity Inputs'!EA12)</f>
        <v>1435.2</v>
      </c>
      <c r="EB6" s="14">
        <f>SUM('Entity Inputs'!EB6,'Entity Inputs'!EB12)</f>
        <v>1895.1</v>
      </c>
      <c r="EC6" s="14">
        <f>SUM('Entity Inputs'!EC6,'Entity Inputs'!EC12)</f>
        <v>140.0</v>
      </c>
      <c r="ED6" s="14">
        <f>SUM('Entity Inputs'!ED6,'Entity Inputs'!ED12)</f>
        <v>135.0</v>
      </c>
      <c r="EE6" s="14">
        <f>SUM('Entity Inputs'!EE6,'Entity Inputs'!EE12)</f>
        <v>4.0</v>
      </c>
      <c r="EF6" s="14">
        <f>SUM('Entity Inputs'!EF6,'Entity Inputs'!EF12)</f>
        <v>0.0</v>
      </c>
      <c r="EG6" s="14">
        <f>SUM('Entity Inputs'!EG6,'Entity Inputs'!EG12)</f>
        <v>3.0</v>
      </c>
      <c r="EH6" s="14">
        <f>SUM('Entity Inputs'!EH6,'Entity Inputs'!EH12)</f>
        <v>0.0</v>
      </c>
      <c r="EI6" s="14">
        <f>SUM('Entity Inputs'!EI6,'Entity Inputs'!EI12)</f>
        <v>0.0</v>
      </c>
      <c r="EJ6" s="14">
        <f>SUM('Entity Inputs'!EJ6,'Entity Inputs'!EJ12)</f>
        <v>0.0</v>
      </c>
      <c r="EK6" s="14">
        <f>SUM('Entity Inputs'!EK6,'Entity Inputs'!EK12)</f>
        <v>0.0</v>
      </c>
      <c r="EL6" s="14">
        <f>SUM('Entity Inputs'!EL6,'Entity Inputs'!EL12)</f>
        <v>0.0</v>
      </c>
      <c r="EM6" s="14">
        <f>SUM('Entity Inputs'!EM6,'Entity Inputs'!EM12)</f>
        <v>0.0</v>
      </c>
      <c r="EN6" s="14">
        <f>SUM('Entity Inputs'!EN6,'Entity Inputs'!EN12)</f>
        <v>1.0</v>
      </c>
      <c r="EO6" s="14">
        <f>SUM('Entity Inputs'!EO6,'Entity Inputs'!EO12)</f>
        <v>0.0</v>
      </c>
      <c r="EP6" s="14">
        <f>SUM('Entity Inputs'!EP6,'Entity Inputs'!EP12)</f>
        <v>0.0</v>
      </c>
      <c r="EQ6" s="14">
        <f>SUM('Entity Inputs'!EQ6,'Entity Inputs'!EQ12)</f>
        <v>3.0</v>
      </c>
      <c r="ER6" s="14">
        <f>SUM('Entity Inputs'!ER6,'Entity Inputs'!ER12)</f>
        <v>0.0</v>
      </c>
      <c r="ES6" s="14">
        <f>SUM('Entity Inputs'!ES6,'Entity Inputs'!ES12)</f>
        <v>0.0</v>
      </c>
      <c r="ET6" s="14">
        <f>SUM('Entity Inputs'!ET6,'Entity Inputs'!ET12)</f>
        <v>1.0</v>
      </c>
      <c r="EU6" s="14">
        <f>SUM('Entity Inputs'!EU6,'Entity Inputs'!EU12)</f>
        <v>8.0</v>
      </c>
      <c r="EV6" s="14">
        <f>SUM('Entity Inputs'!EV6,'Entity Inputs'!EV12)</f>
        <v>0.0</v>
      </c>
      <c r="EW6" s="14">
        <f>SUM('Entity Inputs'!EW6,'Entity Inputs'!EW12)</f>
        <v>1.0</v>
      </c>
      <c r="EX6" s="14">
        <f>SUM('Entity Inputs'!EX6,'Entity Inputs'!EX12)</f>
        <v>1.0</v>
      </c>
      <c r="EY6" s="14">
        <f>SUM('Entity Inputs'!EY6,'Entity Inputs'!EY12)</f>
        <v>108.0</v>
      </c>
      <c r="EZ6" s="14">
        <f>SUM('Entity Inputs'!EZ6,'Entity Inputs'!EZ12)</f>
        <v>95.0</v>
      </c>
      <c r="FA6" s="14">
        <f>SUM('Entity Inputs'!FA6,'Entity Inputs'!FA12)</f>
        <v>4.0</v>
      </c>
      <c r="FB6" s="14">
        <f>SUM('Entity Inputs'!FB6,'Entity Inputs'!FB12)</f>
        <v>145.0</v>
      </c>
      <c r="FC6" s="14">
        <f>SUM('Entity Inputs'!FC6,'Entity Inputs'!FC12)</f>
        <v>56.0</v>
      </c>
      <c r="FD6" s="14">
        <f>SUM('Entity Inputs'!FD6,'Entity Inputs'!FD12)</f>
        <v>47.0</v>
      </c>
      <c r="FE6" s="14">
        <f>SUM('Entity Inputs'!FE6,'Entity Inputs'!FE12)</f>
        <v>52.0</v>
      </c>
      <c r="FF6" s="14">
        <f>SUM('Entity Inputs'!FF6,'Entity Inputs'!FF12)</f>
        <v>1.0</v>
      </c>
      <c r="FG6" s="14">
        <f>SUM('Entity Inputs'!FG6,'Entity Inputs'!FG12)</f>
        <v>1.0</v>
      </c>
      <c r="FH6" s="14">
        <f>SUM('Entity Inputs'!FH6,'Entity Inputs'!FH12)</f>
        <v>0.0</v>
      </c>
      <c r="FI6" s="14">
        <f>SUM('Entity Inputs'!FI6,'Entity Inputs'!FI12)</f>
        <v>988464.0</v>
      </c>
      <c r="FJ6" s="14">
        <f>SUM('Entity Inputs'!FJ6,'Entity Inputs'!FJ12)</f>
        <v>980818.0</v>
      </c>
      <c r="FK6" s="14">
        <f>SUM('Entity Inputs'!FK6,'Entity Inputs'!FK12)</f>
        <v>820.0</v>
      </c>
      <c r="FL6" s="14">
        <f>SUM('Entity Inputs'!FL6,'Entity Inputs'!FL12)</f>
        <v>791.0</v>
      </c>
      <c r="FM6" s="14">
        <f>SUM('Entity Inputs'!FM6,'Entity Inputs'!FM12)</f>
        <v>0.0</v>
      </c>
      <c r="FN6" s="14">
        <f>SUM('Entity Inputs'!FN6,'Entity Inputs'!FN12)</f>
        <v>0.0</v>
      </c>
      <c r="FO6" s="14">
        <f>SUM('Entity Inputs'!FO6,'Entity Inputs'!FO12)</f>
        <v>0.0</v>
      </c>
      <c r="FP6" s="14">
        <f>SUM('Entity Inputs'!FP6,'Entity Inputs'!FP12)</f>
        <v>8.0</v>
      </c>
      <c r="FQ6" s="14">
        <f>SUM('Entity Inputs'!FQ6,'Entity Inputs'!FQ12)</f>
        <v>19.5</v>
      </c>
      <c r="FR6" s="14">
        <f>SUM('Entity Inputs'!FR6,'Entity Inputs'!FR12)</f>
        <v>11.0</v>
      </c>
      <c r="FS6" s="14">
        <f>SUM('Entity Inputs'!FS6,'Entity Inputs'!FS12)</f>
        <v>1.0</v>
      </c>
      <c r="FT6" s="14">
        <f>SUM('Entity Inputs'!FT6,'Entity Inputs'!FT12)</f>
        <v>1.0</v>
      </c>
      <c r="FU6" s="14">
        <f>SUM('Entity Inputs'!FU6,'Entity Inputs'!FU12)</f>
        <v>0.0</v>
      </c>
      <c r="FV6" s="15">
        <f>AU6-V6-X6-BY6</f>
        <v>241939.5</v>
      </c>
      <c r="FW6" s="15">
        <f>FV6-AX6</f>
        <v>153471.7</v>
      </c>
      <c r="FX6" s="15">
        <f>CJ6+CL6-CK6</f>
        <v>2750361.8999999994</v>
      </c>
      <c r="FY6" s="15">
        <f>FX6-FX5</f>
        <v>30363.699999999255</v>
      </c>
      <c r="FZ6" s="15">
        <f>FV6-BZ6-FY6</f>
        <v>159848.00000000076</v>
      </c>
      <c r="GA6" s="15">
        <f>FZ6-DJ6</f>
        <v>16195.500000000757</v>
      </c>
      <c r="GB6" s="15">
        <f>CB6-CC6</f>
        <v>6859999.999999998</v>
      </c>
      <c r="GC6" s="15">
        <f>SUM(FV$4:FV6)*12/D6</f>
        <v>3265848.799999999</v>
      </c>
      <c r="GD6" s="15">
        <f>IF(AU6=0,0,CJ6/AU6*C6)</f>
        <v>48.420245542155165</v>
      </c>
      <c r="GE6" s="15">
        <f>IF(V6=0,0,CK6/V6*C6)</f>
        <v>52.39004502525806</v>
      </c>
      <c r="GF6" s="15">
        <f>IF(V6=0,0,CL6/V6*C6)</f>
        <v>38.747738454937</v>
      </c>
      <c r="GG6" s="15">
        <f>IF(OR(AS6=0,AT6=0,AV6=0),0,100*((AU6/AS6)/(AV6/AT6)-1))</f>
        <v>0.32961823126316236</v>
      </c>
    </row>
    <row r="7" spans="1:189">
      <c r="A7" t="s">
        <v>15</v>
      </c>
      <c r="B7" t="s">
        <v>175</v>
      </c>
      <c r="C7">
        <v>31</v>
      </c>
      <c r="D7">
        <v>4</v>
      </c>
      <c r="E7" s="14">
        <f>SUM('Entity Inputs'!E7,'Entity Inputs'!E13)</f>
        <v>4464.0</v>
      </c>
      <c r="F7" s="14">
        <f>SUM('Entity Inputs'!F7,'Entity Inputs'!F13)</f>
        <v>4439.0</v>
      </c>
      <c r="G7" s="14">
        <f>SUM('Entity Inputs'!G7,'Entity Inputs'!G13)</f>
        <v>4178.1</v>
      </c>
      <c r="H7" s="14">
        <f>SUM('Entity Inputs'!H7,'Entity Inputs'!H13)</f>
        <v>185.3</v>
      </c>
      <c r="I7" s="14">
        <f>SUM('Entity Inputs'!I7,'Entity Inputs'!I13)</f>
        <v>770386.0</v>
      </c>
      <c r="J7" s="14">
        <f>SUM('Entity Inputs'!J7,'Entity Inputs'!J13)</f>
        <v>774802.0</v>
      </c>
      <c r="K7" s="14">
        <f>SUM('Entity Inputs'!K7,'Entity Inputs'!K13)</f>
        <v>678280.0</v>
      </c>
      <c r="L7" s="14">
        <f>SUM('Entity Inputs'!L7,'Entity Inputs'!L13)</f>
        <v>661278.0</v>
      </c>
      <c r="M7" s="14">
        <f>SUM('Entity Inputs'!M7,'Entity Inputs'!M13)</f>
        <v>637730.0</v>
      </c>
      <c r="N7" s="14">
        <f>SUM('Entity Inputs'!N7,'Entity Inputs'!N13)</f>
        <v>697342.0</v>
      </c>
      <c r="O7" s="14">
        <f>SUM('Entity Inputs'!O7,'Entity Inputs'!O13)</f>
        <v>146686.0</v>
      </c>
      <c r="P7" s="14">
        <f>SUM('Entity Inputs'!P7,'Entity Inputs'!P13)</f>
        <v>127849.0</v>
      </c>
      <c r="Q7" s="14">
        <f>SUM('Entity Inputs'!Q7,'Entity Inputs'!Q13)</f>
        <v>32847.0</v>
      </c>
      <c r="R7" s="14">
        <f>SUM('Entity Inputs'!R7,'Entity Inputs'!R13)</f>
        <v>22.0</v>
      </c>
      <c r="S7" s="14">
        <f>SUM('Entity Inputs'!S7,'Entity Inputs'!S13)</f>
        <v>147.1</v>
      </c>
      <c r="T7" s="14">
        <f>SUM('Entity Inputs'!T7,'Entity Inputs'!T13)</f>
        <v>282.0</v>
      </c>
      <c r="U7" s="14">
        <f>SUM('Entity Inputs'!U7,'Entity Inputs'!U13)</f>
        <v>261.0</v>
      </c>
      <c r="V7" s="14">
        <f>SUM('Entity Inputs'!V7,'Entity Inputs'!V13)</f>
        <v>1970228.4000000001</v>
      </c>
      <c r="W7" s="14">
        <f>SUM('Entity Inputs'!W7,'Entity Inputs'!W13)</f>
        <v>564124.2</v>
      </c>
      <c r="X7" s="14">
        <f>SUM('Entity Inputs'!X7,'Entity Inputs'!X13)</f>
        <v>7301.6</v>
      </c>
      <c r="Y7" s="14">
        <f>SUM('Entity Inputs'!Y7,'Entity Inputs'!Y13)</f>
        <v>1399278.0</v>
      </c>
      <c r="Z7" s="14">
        <f>SUM('Entity Inputs'!Z7,'Entity Inputs'!Z13)</f>
        <v>397386.0</v>
      </c>
      <c r="AA7" s="14">
        <f>SUM('Entity Inputs'!AA7,'Entity Inputs'!AA13)</f>
        <v>2075090.0</v>
      </c>
      <c r="AB7" s="14">
        <f>SUM('Entity Inputs'!AB7,'Entity Inputs'!AB13)</f>
        <v>38527.0</v>
      </c>
      <c r="AC7" s="14">
        <f>SUM('Entity Inputs'!AC7,'Entity Inputs'!AC13)</f>
        <v>3.0</v>
      </c>
      <c r="AD7" s="14">
        <f>SUM('Entity Inputs'!AD7,'Entity Inputs'!AD13)</f>
        <v>445000.0</v>
      </c>
      <c r="AE7" s="14">
        <f>SUM('Entity Inputs'!AE7,'Entity Inputs'!AE13)</f>
        <v>3.0</v>
      </c>
      <c r="AF7" s="14">
        <f>SUM('Entity Inputs'!AF7,'Entity Inputs'!AF13)</f>
        <v>2.0</v>
      </c>
      <c r="AG7" s="14">
        <f>SUM('Entity Inputs'!AG7,'Entity Inputs'!AG13)</f>
        <v>32.0</v>
      </c>
      <c r="AH7" s="14">
        <f>SUM('Entity Inputs'!AH7,'Entity Inputs'!AH13)</f>
        <v>0.0</v>
      </c>
      <c r="AI7" s="14">
        <f>SUM('Entity Inputs'!AI7,'Entity Inputs'!AI13)</f>
        <v>3.0</v>
      </c>
      <c r="AJ7" s="14">
        <f>SUM('Entity Inputs'!AJ7,'Entity Inputs'!AJ13)</f>
        <v>0.0</v>
      </c>
      <c r="AK7" s="14">
        <f>SUM('Entity Inputs'!AK7,'Entity Inputs'!AK13)</f>
        <v>60.0</v>
      </c>
      <c r="AL7" s="14">
        <f>SUM('Entity Inputs'!AL7,'Entity Inputs'!AL13)</f>
        <v>12.0</v>
      </c>
      <c r="AM7" s="14">
        <f>SUM('Entity Inputs'!AM7,'Entity Inputs'!AM13)</f>
        <v>7.0</v>
      </c>
      <c r="AN7" s="14">
        <f>SUM('Entity Inputs'!AN7,'Entity Inputs'!AN13)</f>
        <v>6.0</v>
      </c>
      <c r="AO7" s="14">
        <f>SUM('Entity Inputs'!AO7,'Entity Inputs'!AO13)</f>
        <v>6.0</v>
      </c>
      <c r="AP7" s="14">
        <f>SUM('Entity Inputs'!AP7,'Entity Inputs'!AP13)</f>
        <v>977.0</v>
      </c>
      <c r="AQ7" s="14">
        <f>SUM('Entity Inputs'!AQ7,'Entity Inputs'!AQ13)</f>
        <v>78.0</v>
      </c>
      <c r="AR7" s="14">
        <f>MIN('Entity Inputs'!AR7,'Entity Inputs'!AR13)</f>
        <v>125</v>
      </c>
      <c r="AS7" s="14">
        <f>SUM('Entity Inputs'!AS7,'Entity Inputs'!AS13)</f>
        <v>635438.0</v>
      </c>
      <c r="AT7" s="14">
        <f>SUM('Entity Inputs'!AT7,'Entity Inputs'!AT13)</f>
        <v>676173.0</v>
      </c>
      <c r="AU7" s="14">
        <f>SUM('Entity Inputs'!AU7,'Entity Inputs'!AU13)</f>
        <v>2384701.9</v>
      </c>
      <c r="AV7" s="14">
        <f>SUM('Entity Inputs'!AV7,'Entity Inputs'!AV13)</f>
        <v>2542410.4</v>
      </c>
      <c r="AW7" s="14">
        <f>SUM('Entity Inputs'!AW7,'Entity Inputs'!AW13)</f>
        <v>109507.9</v>
      </c>
      <c r="AX7" s="14">
        <f>SUM('Entity Inputs'!AX7,'Entity Inputs'!AX13)</f>
        <v>88574.3</v>
      </c>
      <c r="AY7" s="14">
        <f>SUM('Entity Inputs'!AY7,'Entity Inputs'!AY13)</f>
        <v>1331.0</v>
      </c>
      <c r="AZ7" s="14">
        <f>SUM('Entity Inputs'!AZ7,'Entity Inputs'!AZ13)</f>
        <v>1223.0</v>
      </c>
      <c r="BA7" s="14">
        <f>SUM('Entity Inputs'!BA7,'Entity Inputs'!BA13)</f>
        <v>686998.0</v>
      </c>
      <c r="BB7" s="14">
        <f>SUM('Entity Inputs'!BB7,'Entity Inputs'!BB13)</f>
        <v>658620.0</v>
      </c>
      <c r="BC7" s="14">
        <f>SUM('Entity Inputs'!BC7,'Entity Inputs'!BC13)</f>
        <v>5953.0</v>
      </c>
      <c r="BD7" s="14">
        <f>SUM('Entity Inputs'!BD7,'Entity Inputs'!BD13)</f>
        <v>5208.0</v>
      </c>
      <c r="BE7" s="14">
        <f>SUM('Entity Inputs'!BE7,'Entity Inputs'!BE13)</f>
        <v>5337.0</v>
      </c>
      <c r="BF7" s="14">
        <f>SUM('Entity Inputs'!BF7,'Entity Inputs'!BF13)</f>
        <v>1045229.7999999999</v>
      </c>
      <c r="BG7" s="14">
        <f>SUM('Entity Inputs'!BG7,'Entity Inputs'!BG13)</f>
        <v>378014.8</v>
      </c>
      <c r="BH7" s="14">
        <f>SUM('Entity Inputs'!BH7,'Entity Inputs'!BH13)</f>
        <v>0.0</v>
      </c>
      <c r="BI7" s="14">
        <f>SUM('Entity Inputs'!BI7,'Entity Inputs'!BI13)</f>
        <v>1.0</v>
      </c>
      <c r="BJ7" s="14">
        <f>SUM('Entity Inputs'!BJ7,'Entity Inputs'!BJ13)</f>
        <v>2.0</v>
      </c>
      <c r="BK7" s="14">
        <f>SUM('Entity Inputs'!BK7,'Entity Inputs'!BK13)</f>
        <v>2.0</v>
      </c>
      <c r="BL7" s="14">
        <f>SUM('Entity Inputs'!BL7,'Entity Inputs'!BL13)</f>
        <v>4.0</v>
      </c>
      <c r="BM7" s="14">
        <f>SUM('Entity Inputs'!BM7,'Entity Inputs'!BM13)</f>
        <v>0.0</v>
      </c>
      <c r="BN7" s="14">
        <f>SUM('Entity Inputs'!BN7,'Entity Inputs'!BN13)</f>
        <v>1.0</v>
      </c>
      <c r="BO7" s="14">
        <f>SUM('Entity Inputs'!BO7,'Entity Inputs'!BO13)</f>
        <v>0.0</v>
      </c>
      <c r="BP7" s="14">
        <f>SUM('Entity Inputs'!BP7,'Entity Inputs'!BP13)</f>
        <v>0.0</v>
      </c>
      <c r="BQ7" s="14">
        <f>SUM('Entity Inputs'!BQ7,'Entity Inputs'!BQ13)</f>
        <v>0.0</v>
      </c>
      <c r="BR7" s="14">
        <f>SUM('Entity Inputs'!BR7,'Entity Inputs'!BR13)</f>
        <v>0.0</v>
      </c>
      <c r="BS7" s="14">
        <f>MIN('Entity Inputs'!BS7,'Entity Inputs'!BS13)</f>
        <v>12</v>
      </c>
      <c r="BT7" s="14">
        <f>SUM('Entity Inputs'!BT7,'Entity Inputs'!BT13)</f>
        <v>682196.0</v>
      </c>
      <c r="BU7" s="14">
        <f>SUM('Entity Inputs'!BU7,'Entity Inputs'!BU13)</f>
        <v>675253.0</v>
      </c>
      <c r="BV7" s="14">
        <f>SUM('Entity Inputs'!BV7,'Entity Inputs'!BV13)</f>
        <v>290381779.0</v>
      </c>
      <c r="BW7" s="14">
        <f>SUM('Entity Inputs'!BW7,'Entity Inputs'!BW13)</f>
        <v>770386.0</v>
      </c>
      <c r="BX7" s="14">
        <f>SUM('Entity Inputs'!BX7,'Entity Inputs'!BX13)</f>
        <v>32772.0</v>
      </c>
      <c r="BY7" s="14">
        <f>SUM('Entity Inputs'!BY7,'Entity Inputs'!BY13)</f>
        <v>109216.8</v>
      </c>
      <c r="BZ7" s="14">
        <f>SUM('Entity Inputs'!BZ7,'Entity Inputs'!BZ13)</f>
        <v>62968.399999999994</v>
      </c>
      <c r="CA7" s="14">
        <f>SUM('Entity Inputs'!CA7,'Entity Inputs'!CA13)</f>
        <v>21049600.0</v>
      </c>
      <c r="CB7" s="14">
        <f>SUM('Entity Inputs'!CB7,'Entity Inputs'!CB13)</f>
        <v>8932071.2</v>
      </c>
      <c r="CC7" s="14">
        <f>SUM('Entity Inputs'!CC7,'Entity Inputs'!CC13)</f>
        <v>2142071.2</v>
      </c>
      <c r="CD7" s="14">
        <f>SUM('Entity Inputs'!CD7,'Entity Inputs'!CD13)</f>
        <v>900739.8</v>
      </c>
      <c r="CE7" s="14">
        <f>SUM('Entity Inputs'!CE7,'Entity Inputs'!CE13)</f>
        <v>71295.0</v>
      </c>
      <c r="CF7" s="14">
        <f>SUM('Entity Inputs'!CF7,'Entity Inputs'!CF13)</f>
        <v>910310.3</v>
      </c>
      <c r="CG7" s="14">
        <f>SUM('Entity Inputs'!CG7,'Entity Inputs'!CG13)</f>
        <v>2622480.8</v>
      </c>
      <c r="CH7" s="14">
        <f>SUM('Entity Inputs'!CH7,'Entity Inputs'!CH13)</f>
        <v>297861.9</v>
      </c>
      <c r="CI7" s="14">
        <f>SUM('Entity Inputs'!CI7,'Entity Inputs'!CI13)</f>
        <v>2387045.5</v>
      </c>
      <c r="CJ7" s="14">
        <f>SUM('Entity Inputs'!CJ7,'Entity Inputs'!CJ13)</f>
        <v>3694900.6</v>
      </c>
      <c r="CK7" s="14">
        <f>SUM('Entity Inputs'!CK7,'Entity Inputs'!CK13)</f>
        <v>3257654.4</v>
      </c>
      <c r="CL7" s="14">
        <f>SUM('Entity Inputs'!CL7,'Entity Inputs'!CL13)</f>
        <v>2355477.0999999996</v>
      </c>
      <c r="CM7" s="14">
        <f>SUM('Entity Inputs'!CM7,'Entity Inputs'!CM13)</f>
        <v>2349520.7</v>
      </c>
      <c r="CN7" s="14">
        <f>SUM('Entity Inputs'!CN7,'Entity Inputs'!CN13)</f>
        <v>3607.0</v>
      </c>
      <c r="CO7" s="14">
        <f>SUM('Entity Inputs'!CO7,'Entity Inputs'!CO13)</f>
        <v>197786.9</v>
      </c>
      <c r="CP7" s="14">
        <f>SUM('Entity Inputs'!CP7,'Entity Inputs'!CP13)</f>
        <v>197786.9</v>
      </c>
      <c r="CQ7" s="14">
        <f>SUM('Entity Inputs'!CQ7,'Entity Inputs'!CQ13)</f>
        <v>780.0</v>
      </c>
      <c r="CR7" s="14">
        <f>SUM('Entity Inputs'!CR7,'Entity Inputs'!CR13)</f>
        <v>35124.0</v>
      </c>
      <c r="CS7" s="14">
        <f>SUM('Entity Inputs'!CS7,'Entity Inputs'!CS13)</f>
        <v>35100.0</v>
      </c>
      <c r="CT7" s="14">
        <f>SUM('Entity Inputs'!CT7,'Entity Inputs'!CT13)</f>
        <v>1.0</v>
      </c>
      <c r="CU7" s="14">
        <f>SUM('Entity Inputs'!CU7,'Entity Inputs'!CU13)</f>
        <v>1780285.1</v>
      </c>
      <c r="CV7" s="14">
        <f>SUM('Entity Inputs'!CV7,'Entity Inputs'!CV13)</f>
        <v>1794265.0</v>
      </c>
      <c r="CW7" s="14">
        <f>SUM('Entity Inputs'!CW7,'Entity Inputs'!CW13)</f>
        <v>312111.80000000005</v>
      </c>
      <c r="CX7" s="14">
        <f>SUM('Entity Inputs'!CX7,'Entity Inputs'!CX13)</f>
        <v>6723079.199999999</v>
      </c>
      <c r="CY7" s="14">
        <f>SUM('Entity Inputs'!CY7,'Entity Inputs'!CY13)</f>
        <v>3531953.4000000004</v>
      </c>
      <c r="CZ7" s="14">
        <f>SUM('Entity Inputs'!CZ7,'Entity Inputs'!CZ13)</f>
        <v>793744.0</v>
      </c>
      <c r="DA7" s="14">
        <f>SUM('Entity Inputs'!DA7,'Entity Inputs'!DA13)</f>
        <v>565960.4</v>
      </c>
      <c r="DB7" s="14">
        <f>SUM('Entity Inputs'!DB7,'Entity Inputs'!DB13)</f>
        <v>648543.4</v>
      </c>
      <c r="DC7" s="14">
        <f>SUM('Entity Inputs'!DC7,'Entity Inputs'!DC13)</f>
        <v>465577.7</v>
      </c>
      <c r="DD7" s="14">
        <f>SUM('Entity Inputs'!DD7,'Entity Inputs'!DD13)</f>
        <v>12843.1</v>
      </c>
      <c r="DE7" s="14">
        <f>SUM('Entity Inputs'!DE7,'Entity Inputs'!DE13)</f>
        <v>14184.900000000001</v>
      </c>
      <c r="DF7" s="14">
        <f>SUM('Entity Inputs'!DF7,'Entity Inputs'!DF13)</f>
        <v>4635623.9</v>
      </c>
      <c r="DG7" s="14">
        <f>SUM('Entity Inputs'!DG7,'Entity Inputs'!DG13)</f>
        <v>3172453.0999999996</v>
      </c>
      <c r="DH7" s="14">
        <f>SUM('Entity Inputs'!DH7,'Entity Inputs'!DH13)</f>
        <v>1860000.0</v>
      </c>
      <c r="DI7" s="14">
        <f>SUM('Entity Inputs'!DI7,'Entity Inputs'!DI13)</f>
        <v>1134853.5</v>
      </c>
      <c r="DJ7" s="14">
        <f>SUM('Entity Inputs'!DJ7,'Entity Inputs'!DJ13)</f>
        <v>147622.4</v>
      </c>
      <c r="DK7" s="14">
        <f>SUM('Entity Inputs'!DK7,'Entity Inputs'!DK13)</f>
        <v>961800.0</v>
      </c>
      <c r="DL7" s="14">
        <f>SUM('Entity Inputs'!DL7,'Entity Inputs'!DL13)</f>
        <v>153971.0</v>
      </c>
      <c r="DM7" s="14">
        <f>SUM('Entity Inputs'!DM7,'Entity Inputs'!DM13)</f>
        <v>9.0</v>
      </c>
      <c r="DN7" s="14">
        <f>SUM('Entity Inputs'!DN7,'Entity Inputs'!DN13)</f>
        <v>2.0</v>
      </c>
      <c r="DO7" s="14">
        <f>SUM('Entity Inputs'!DO7,'Entity Inputs'!DO13)</f>
        <v>0.0</v>
      </c>
      <c r="DP7" s="14">
        <f>SUM('Entity Inputs'!DP7,'Entity Inputs'!DP13)</f>
        <v>1.0</v>
      </c>
      <c r="DQ7" s="14">
        <f>SUM('Entity Inputs'!DQ7,'Entity Inputs'!DQ13)</f>
        <v>10.0</v>
      </c>
      <c r="DR7" s="14">
        <f>SUM('Entity Inputs'!DR7,'Entity Inputs'!DR13)</f>
        <v>21.0</v>
      </c>
      <c r="DS7" s="14">
        <f>SUM('Entity Inputs'!DS7,'Entity Inputs'!DS13)</f>
        <v>15.0</v>
      </c>
      <c r="DT7" s="14">
        <f>SUM('Entity Inputs'!DT7,'Entity Inputs'!DT13)</f>
        <v>6.0</v>
      </c>
      <c r="DU7" s="14">
        <f>SUM('Entity Inputs'!DU7,'Entity Inputs'!DU13)</f>
        <v>3.0</v>
      </c>
      <c r="DV7" s="14">
        <f>SUM('Entity Inputs'!DV7,'Entity Inputs'!DV13)</f>
        <v>124.0</v>
      </c>
      <c r="DW7" s="14">
        <f>SUM('Entity Inputs'!DW7,'Entity Inputs'!DW13)</f>
        <v>55.0</v>
      </c>
      <c r="DX7" s="14">
        <f>SUM('Entity Inputs'!DX7,'Entity Inputs'!DX13)</f>
        <v>14496.300000000001</v>
      </c>
      <c r="DY7" s="14">
        <f>SUM('Entity Inputs'!DY7,'Entity Inputs'!DY13)</f>
        <v>7092.0</v>
      </c>
      <c r="DZ7" s="14">
        <f>SUM('Entity Inputs'!DZ7,'Entity Inputs'!DZ13)</f>
        <v>2378.6</v>
      </c>
      <c r="EA7" s="14">
        <f>SUM('Entity Inputs'!EA7,'Entity Inputs'!EA13)</f>
        <v>1484.8999999999999</v>
      </c>
      <c r="EB7" s="14">
        <f>SUM('Entity Inputs'!EB7,'Entity Inputs'!EB13)</f>
        <v>1910.6</v>
      </c>
      <c r="EC7" s="14">
        <f>SUM('Entity Inputs'!EC7,'Entity Inputs'!EC13)</f>
        <v>140.0</v>
      </c>
      <c r="ED7" s="14">
        <f>SUM('Entity Inputs'!ED7,'Entity Inputs'!ED13)</f>
        <v>133.0</v>
      </c>
      <c r="EE7" s="14">
        <f>SUM('Entity Inputs'!EE7,'Entity Inputs'!EE13)</f>
        <v>5.0</v>
      </c>
      <c r="EF7" s="14">
        <f>SUM('Entity Inputs'!EF7,'Entity Inputs'!EF13)</f>
        <v>1.0</v>
      </c>
      <c r="EG7" s="14">
        <f>SUM('Entity Inputs'!EG7,'Entity Inputs'!EG13)</f>
        <v>3.0</v>
      </c>
      <c r="EH7" s="14">
        <f>SUM('Entity Inputs'!EH7,'Entity Inputs'!EH13)</f>
        <v>1.0</v>
      </c>
      <c r="EI7" s="14">
        <f>SUM('Entity Inputs'!EI7,'Entity Inputs'!EI13)</f>
        <v>0.0</v>
      </c>
      <c r="EJ7" s="14">
        <f>SUM('Entity Inputs'!EJ7,'Entity Inputs'!EJ13)</f>
        <v>2.0</v>
      </c>
      <c r="EK7" s="14">
        <f>SUM('Entity Inputs'!EK7,'Entity Inputs'!EK13)</f>
        <v>1.0</v>
      </c>
      <c r="EL7" s="14">
        <f>SUM('Entity Inputs'!EL7,'Entity Inputs'!EL13)</f>
        <v>1.0</v>
      </c>
      <c r="EM7" s="14">
        <f>SUM('Entity Inputs'!EM7,'Entity Inputs'!EM13)</f>
        <v>0.0</v>
      </c>
      <c r="EN7" s="14">
        <f>SUM('Entity Inputs'!EN7,'Entity Inputs'!EN13)</f>
        <v>0.0</v>
      </c>
      <c r="EO7" s="14">
        <f>SUM('Entity Inputs'!EO7,'Entity Inputs'!EO13)</f>
        <v>0.0</v>
      </c>
      <c r="EP7" s="14">
        <f>SUM('Entity Inputs'!EP7,'Entity Inputs'!EP13)</f>
        <v>0.0</v>
      </c>
      <c r="EQ7" s="14">
        <f>SUM('Entity Inputs'!EQ7,'Entity Inputs'!EQ13)</f>
        <v>1.0</v>
      </c>
      <c r="ER7" s="14">
        <f>SUM('Entity Inputs'!ER7,'Entity Inputs'!ER13)</f>
        <v>1.0</v>
      </c>
      <c r="ES7" s="14">
        <f>SUM('Entity Inputs'!ES7,'Entity Inputs'!ES13)</f>
        <v>0.0</v>
      </c>
      <c r="ET7" s="14">
        <f>SUM('Entity Inputs'!ET7,'Entity Inputs'!ET13)</f>
        <v>1.0</v>
      </c>
      <c r="EU7" s="14">
        <f>SUM('Entity Inputs'!EU7,'Entity Inputs'!EU13)</f>
        <v>7.0</v>
      </c>
      <c r="EV7" s="14">
        <f>SUM('Entity Inputs'!EV7,'Entity Inputs'!EV13)</f>
        <v>0.0</v>
      </c>
      <c r="EW7" s="14">
        <f>SUM('Entity Inputs'!EW7,'Entity Inputs'!EW13)</f>
        <v>1.0</v>
      </c>
      <c r="EX7" s="14">
        <f>SUM('Entity Inputs'!EX7,'Entity Inputs'!EX13)</f>
        <v>1.0</v>
      </c>
      <c r="EY7" s="14">
        <f>SUM('Entity Inputs'!EY7,'Entity Inputs'!EY13)</f>
        <v>108.0</v>
      </c>
      <c r="EZ7" s="14">
        <f>SUM('Entity Inputs'!EZ7,'Entity Inputs'!EZ13)</f>
        <v>96.0</v>
      </c>
      <c r="FA7" s="14">
        <f>SUM('Entity Inputs'!FA7,'Entity Inputs'!FA13)</f>
        <v>4.0</v>
      </c>
      <c r="FB7" s="14">
        <f>SUM('Entity Inputs'!FB7,'Entity Inputs'!FB13)</f>
        <v>118.0</v>
      </c>
      <c r="FC7" s="14">
        <f>SUM('Entity Inputs'!FC7,'Entity Inputs'!FC13)</f>
        <v>56.0</v>
      </c>
      <c r="FD7" s="14">
        <f>SUM('Entity Inputs'!FD7,'Entity Inputs'!FD13)</f>
        <v>47.0</v>
      </c>
      <c r="FE7" s="14">
        <f>SUM('Entity Inputs'!FE7,'Entity Inputs'!FE13)</f>
        <v>52.0</v>
      </c>
      <c r="FF7" s="14">
        <f>SUM('Entity Inputs'!FF7,'Entity Inputs'!FF13)</f>
        <v>1.0</v>
      </c>
      <c r="FG7" s="14">
        <f>SUM('Entity Inputs'!FG7,'Entity Inputs'!FG13)</f>
        <v>1.0</v>
      </c>
      <c r="FH7" s="14">
        <f>SUM('Entity Inputs'!FH7,'Entity Inputs'!FH13)</f>
        <v>0.0</v>
      </c>
      <c r="FI7" s="14">
        <f>SUM('Entity Inputs'!FI7,'Entity Inputs'!FI13)</f>
        <v>1029162.0</v>
      </c>
      <c r="FJ7" s="14">
        <f>SUM('Entity Inputs'!FJ7,'Entity Inputs'!FJ13)</f>
        <v>1018610.0</v>
      </c>
      <c r="FK7" s="14">
        <f>SUM('Entity Inputs'!FK7,'Entity Inputs'!FK13)</f>
        <v>820.0</v>
      </c>
      <c r="FL7" s="14">
        <f>SUM('Entity Inputs'!FL7,'Entity Inputs'!FL13)</f>
        <v>795.0</v>
      </c>
      <c r="FM7" s="14">
        <f>SUM('Entity Inputs'!FM7,'Entity Inputs'!FM13)</f>
        <v>0.0</v>
      </c>
      <c r="FN7" s="14">
        <f>SUM('Entity Inputs'!FN7,'Entity Inputs'!FN13)</f>
        <v>0.0</v>
      </c>
      <c r="FO7" s="14">
        <f>SUM('Entity Inputs'!FO7,'Entity Inputs'!FO13)</f>
        <v>0.0</v>
      </c>
      <c r="FP7" s="14">
        <f>SUM('Entity Inputs'!FP7,'Entity Inputs'!FP13)</f>
        <v>8.0</v>
      </c>
      <c r="FQ7" s="14">
        <f>SUM('Entity Inputs'!FQ7,'Entity Inputs'!FQ13)</f>
        <v>20.5</v>
      </c>
      <c r="FR7" s="14">
        <f>SUM('Entity Inputs'!FR7,'Entity Inputs'!FR13)</f>
        <v>11.0</v>
      </c>
      <c r="FS7" s="14">
        <f>SUM('Entity Inputs'!FS7,'Entity Inputs'!FS13)</f>
        <v>2.0</v>
      </c>
      <c r="FT7" s="14">
        <f>SUM('Entity Inputs'!FT7,'Entity Inputs'!FT13)</f>
        <v>2.0</v>
      </c>
      <c r="FU7" s="14">
        <f>SUM('Entity Inputs'!FU7,'Entity Inputs'!FU13)</f>
        <v>2.0</v>
      </c>
      <c r="FV7" s="15">
        <f>AU7-V7-X7-BY7</f>
        <v>297955.0999999998</v>
      </c>
      <c r="FW7" s="15">
        <f>FV7-AX7</f>
        <v>209380.7999999998</v>
      </c>
      <c r="FX7" s="15">
        <f>CJ7+CL7-CK7</f>
        <v>2792723.2999999993</v>
      </c>
      <c r="FY7" s="15">
        <f>FX7-FX6</f>
        <v>42361.39999999991</v>
      </c>
      <c r="FZ7" s="15">
        <f>FV7-BZ7-FY7</f>
        <v>192625.2999999999</v>
      </c>
      <c r="GA7" s="15">
        <f>FZ7-DJ7</f>
        <v>45002.89999999991</v>
      </c>
      <c r="GB7" s="15">
        <f>CB7-CC7</f>
        <v>6789999.999999999</v>
      </c>
      <c r="GC7" s="15">
        <f>SUM(FV$4:FV7)*12/D7</f>
        <v>3343251.8999999985</v>
      </c>
      <c r="GD7" s="15">
        <f>IF(AU7=0,0,CJ7/AU7*C7)</f>
        <v>48.0319651693153</v>
      </c>
      <c r="GE7" s="15">
        <f>IF(V7=0,0,CK7/V7*C7)</f>
        <v>51.25663928100924</v>
      </c>
      <c r="GF7" s="15">
        <f>IF(V7=0,0,CL7/V7*C7)</f>
        <v>37.06158641302703</v>
      </c>
      <c r="GG7" s="15">
        <f>IF(OR(AS7=0,AT7=0,AV7=0),0,100*((AU7/AS7)/(AV7/AT7)-1))</f>
        <v>-0.19022332939020448</v>
      </c>
    </row>
    <row r="8" spans="1:189">
      <c r="A8" t="s">
        <v>15</v>
      </c>
      <c r="B8" t="s">
        <v>176</v>
      </c>
      <c r="C8">
        <v>31</v>
      </c>
      <c r="D8">
        <v>5</v>
      </c>
      <c r="E8" s="14">
        <f>SUM('Entity Inputs'!E8,'Entity Inputs'!E14)</f>
        <v>4464.0</v>
      </c>
      <c r="F8" s="14">
        <f>SUM('Entity Inputs'!F8,'Entity Inputs'!F14)</f>
        <v>4280.0</v>
      </c>
      <c r="G8" s="14">
        <f>SUM('Entity Inputs'!G8,'Entity Inputs'!G14)</f>
        <v>4022.0</v>
      </c>
      <c r="H8" s="14">
        <f>SUM('Entity Inputs'!H8,'Entity Inputs'!H14)</f>
        <v>164.0</v>
      </c>
      <c r="I8" s="14">
        <f>SUM('Entity Inputs'!I8,'Entity Inputs'!I14)</f>
        <v>743292.0</v>
      </c>
      <c r="J8" s="14">
        <f>SUM('Entity Inputs'!J8,'Entity Inputs'!J14)</f>
        <v>774802.0</v>
      </c>
      <c r="K8" s="14">
        <f>SUM('Entity Inputs'!K8,'Entity Inputs'!K14)</f>
        <v>661605.0</v>
      </c>
      <c r="L8" s="14">
        <f>SUM('Entity Inputs'!L8,'Entity Inputs'!L14)</f>
        <v>626623.0</v>
      </c>
      <c r="M8" s="14">
        <f>SUM('Entity Inputs'!M8,'Entity Inputs'!M14)</f>
        <v>611088.0</v>
      </c>
      <c r="N8" s="14">
        <f>SUM('Entity Inputs'!N8,'Entity Inputs'!N14)</f>
        <v>670841.0</v>
      </c>
      <c r="O8" s="14">
        <f>SUM('Entity Inputs'!O8,'Entity Inputs'!O14)</f>
        <v>151700.0</v>
      </c>
      <c r="P8" s="14">
        <f>SUM('Entity Inputs'!P8,'Entity Inputs'!P14)</f>
        <v>134276.0</v>
      </c>
      <c r="Q8" s="14">
        <f>SUM('Entity Inputs'!Q8,'Entity Inputs'!Q14)</f>
        <v>30108.0</v>
      </c>
      <c r="R8" s="14">
        <f>SUM('Entity Inputs'!R8,'Entity Inputs'!R14)</f>
        <v>19.0</v>
      </c>
      <c r="S8" s="14">
        <f>SUM('Entity Inputs'!S8,'Entity Inputs'!S14)</f>
        <v>131.2</v>
      </c>
      <c r="T8" s="14">
        <f>SUM('Entity Inputs'!T8,'Entity Inputs'!T14)</f>
        <v>233.0</v>
      </c>
      <c r="U8" s="14">
        <f>SUM('Entity Inputs'!U8,'Entity Inputs'!U14)</f>
        <v>229.0</v>
      </c>
      <c r="V8" s="14">
        <f>SUM('Entity Inputs'!V8,'Entity Inputs'!V14)</f>
        <v>1926079.2000000002</v>
      </c>
      <c r="W8" s="14">
        <f>SUM('Entity Inputs'!W8,'Entity Inputs'!W14)</f>
        <v>544908.7</v>
      </c>
      <c r="X8" s="14">
        <f>SUM('Entity Inputs'!X8,'Entity Inputs'!X14)</f>
        <v>7866.1</v>
      </c>
      <c r="Y8" s="14">
        <f>SUM('Entity Inputs'!Y8,'Entity Inputs'!Y14)</f>
        <v>1363699.0</v>
      </c>
      <c r="Z8" s="14">
        <f>SUM('Entity Inputs'!Z8,'Entity Inputs'!Z14)</f>
        <v>410412.0</v>
      </c>
      <c r="AA8" s="14">
        <f>SUM('Entity Inputs'!AA8,'Entity Inputs'!AA14)</f>
        <v>2150639.0</v>
      </c>
      <c r="AB8" s="14">
        <f>SUM('Entity Inputs'!AB8,'Entity Inputs'!AB14)</f>
        <v>44820.0</v>
      </c>
      <c r="AC8" s="14">
        <f>SUM('Entity Inputs'!AC8,'Entity Inputs'!AC14)</f>
        <v>11.0</v>
      </c>
      <c r="AD8" s="14">
        <f>SUM('Entity Inputs'!AD8,'Entity Inputs'!AD14)</f>
        <v>388000.0</v>
      </c>
      <c r="AE8" s="14">
        <f>SUM('Entity Inputs'!AE8,'Entity Inputs'!AE14)</f>
        <v>3.0</v>
      </c>
      <c r="AF8" s="14">
        <f>SUM('Entity Inputs'!AF8,'Entity Inputs'!AF14)</f>
        <v>1.0</v>
      </c>
      <c r="AG8" s="14">
        <f>SUM('Entity Inputs'!AG8,'Entity Inputs'!AG14)</f>
        <v>42.0</v>
      </c>
      <c r="AH8" s="14">
        <f>SUM('Entity Inputs'!AH8,'Entity Inputs'!AH14)</f>
        <v>1.0</v>
      </c>
      <c r="AI8" s="14">
        <f>SUM('Entity Inputs'!AI8,'Entity Inputs'!AI14)</f>
        <v>1.0</v>
      </c>
      <c r="AJ8" s="14">
        <f>SUM('Entity Inputs'!AJ8,'Entity Inputs'!AJ14)</f>
        <v>0.0</v>
      </c>
      <c r="AK8" s="14">
        <f>SUM('Entity Inputs'!AK8,'Entity Inputs'!AK14)</f>
        <v>44.0</v>
      </c>
      <c r="AL8" s="14">
        <f>SUM('Entity Inputs'!AL8,'Entity Inputs'!AL14)</f>
        <v>3.0</v>
      </c>
      <c r="AM8" s="14">
        <f>SUM('Entity Inputs'!AM8,'Entity Inputs'!AM14)</f>
        <v>11.0</v>
      </c>
      <c r="AN8" s="14">
        <f>SUM('Entity Inputs'!AN8,'Entity Inputs'!AN14)</f>
        <v>10.0</v>
      </c>
      <c r="AO8" s="14">
        <f>SUM('Entity Inputs'!AO8,'Entity Inputs'!AO14)</f>
        <v>6.0</v>
      </c>
      <c r="AP8" s="14">
        <f>SUM('Entity Inputs'!AP8,'Entity Inputs'!AP14)</f>
        <v>1075.0</v>
      </c>
      <c r="AQ8" s="14">
        <f>SUM('Entity Inputs'!AQ8,'Entity Inputs'!AQ14)</f>
        <v>82.0</v>
      </c>
      <c r="AR8" s="14">
        <f>MIN('Entity Inputs'!AR8,'Entity Inputs'!AR14)</f>
        <v>95</v>
      </c>
      <c r="AS8" s="14">
        <f>SUM('Entity Inputs'!AS8,'Entity Inputs'!AS14)</f>
        <v>610022.0</v>
      </c>
      <c r="AT8" s="14">
        <f>SUM('Entity Inputs'!AT8,'Entity Inputs'!AT14)</f>
        <v>660188.0</v>
      </c>
      <c r="AU8" s="14">
        <f>SUM('Entity Inputs'!AU8,'Entity Inputs'!AU14)</f>
        <v>2287029.2</v>
      </c>
      <c r="AV8" s="14">
        <f>SUM('Entity Inputs'!AV8,'Entity Inputs'!AV14)</f>
        <v>2482306.8</v>
      </c>
      <c r="AW8" s="14">
        <f>SUM('Entity Inputs'!AW8,'Entity Inputs'!AW14)</f>
        <v>114697.2</v>
      </c>
      <c r="AX8" s="14">
        <f>SUM('Entity Inputs'!AX8,'Entity Inputs'!AX14)</f>
        <v>88167.3</v>
      </c>
      <c r="AY8" s="14">
        <f>SUM('Entity Inputs'!AY8,'Entity Inputs'!AY14)</f>
        <v>1280.0</v>
      </c>
      <c r="AZ8" s="14">
        <f>SUM('Entity Inputs'!AZ8,'Entity Inputs'!AZ14)</f>
        <v>1167.0</v>
      </c>
      <c r="BA8" s="14">
        <f>SUM('Entity Inputs'!BA8,'Entity Inputs'!BA14)</f>
        <v>669580.0</v>
      </c>
      <c r="BB8" s="14">
        <f>SUM('Entity Inputs'!BB8,'Entity Inputs'!BB14)</f>
        <v>649013.0</v>
      </c>
      <c r="BC8" s="14">
        <f>SUM('Entity Inputs'!BC8,'Entity Inputs'!BC14)</f>
        <v>8615.0</v>
      </c>
      <c r="BD8" s="14">
        <f>SUM('Entity Inputs'!BD8,'Entity Inputs'!BD14)</f>
        <v>5068.0</v>
      </c>
      <c r="BE8" s="14">
        <f>SUM('Entity Inputs'!BE8,'Entity Inputs'!BE14)</f>
        <v>5196.0</v>
      </c>
      <c r="BF8" s="14">
        <f>SUM('Entity Inputs'!BF8,'Entity Inputs'!BF14)</f>
        <v>1023859.2000000001</v>
      </c>
      <c r="BG8" s="14">
        <f>SUM('Entity Inputs'!BG8,'Entity Inputs'!BG14)</f>
        <v>376580.2</v>
      </c>
      <c r="BH8" s="14">
        <f>SUM('Entity Inputs'!BH8,'Entity Inputs'!BH14)</f>
        <v>0.0</v>
      </c>
      <c r="BI8" s="14">
        <f>SUM('Entity Inputs'!BI8,'Entity Inputs'!BI14)</f>
        <v>0.0</v>
      </c>
      <c r="BJ8" s="14">
        <f>SUM('Entity Inputs'!BJ8,'Entity Inputs'!BJ14)</f>
        <v>0.0</v>
      </c>
      <c r="BK8" s="14">
        <f>SUM('Entity Inputs'!BK8,'Entity Inputs'!BK14)</f>
        <v>2.0</v>
      </c>
      <c r="BL8" s="14">
        <f>SUM('Entity Inputs'!BL8,'Entity Inputs'!BL14)</f>
        <v>4.0</v>
      </c>
      <c r="BM8" s="14">
        <f>SUM('Entity Inputs'!BM8,'Entity Inputs'!BM14)</f>
        <v>0.0</v>
      </c>
      <c r="BN8" s="14">
        <f>SUM('Entity Inputs'!BN8,'Entity Inputs'!BN14)</f>
        <v>1.0</v>
      </c>
      <c r="BO8" s="14">
        <f>SUM('Entity Inputs'!BO8,'Entity Inputs'!BO14)</f>
        <v>0.0</v>
      </c>
      <c r="BP8" s="14">
        <f>SUM('Entity Inputs'!BP8,'Entity Inputs'!BP14)</f>
        <v>0.0</v>
      </c>
      <c r="BQ8" s="14">
        <f>SUM('Entity Inputs'!BQ8,'Entity Inputs'!BQ14)</f>
        <v>0.0</v>
      </c>
      <c r="BR8" s="14">
        <f>SUM('Entity Inputs'!BR8,'Entity Inputs'!BR14)</f>
        <v>0.0</v>
      </c>
      <c r="BS8" s="14">
        <f>MIN('Entity Inputs'!BS8,'Entity Inputs'!BS14)</f>
        <v>10</v>
      </c>
      <c r="BT8" s="14">
        <f>SUM('Entity Inputs'!BT8,'Entity Inputs'!BT14)</f>
        <v>664556.0</v>
      </c>
      <c r="BU8" s="14">
        <f>SUM('Entity Inputs'!BU8,'Entity Inputs'!BU14)</f>
        <v>659868.0</v>
      </c>
      <c r="BV8" s="14">
        <f>SUM('Entity Inputs'!BV8,'Entity Inputs'!BV14)</f>
        <v>277302717.0</v>
      </c>
      <c r="BW8" s="14">
        <f>SUM('Entity Inputs'!BW8,'Entity Inputs'!BW14)</f>
        <v>743292.0</v>
      </c>
      <c r="BX8" s="14">
        <f>SUM('Entity Inputs'!BX8,'Entity Inputs'!BX14)</f>
        <v>28337.0</v>
      </c>
      <c r="BY8" s="14">
        <f>SUM('Entity Inputs'!BY8,'Entity Inputs'!BY14)</f>
        <v>104388.3</v>
      </c>
      <c r="BZ8" s="14">
        <f>SUM('Entity Inputs'!BZ8,'Entity Inputs'!BZ14)</f>
        <v>49875.8</v>
      </c>
      <c r="CA8" s="14">
        <f>SUM('Entity Inputs'!CA8,'Entity Inputs'!CA14)</f>
        <v>21132800.0</v>
      </c>
      <c r="CB8" s="14">
        <f>SUM('Entity Inputs'!CB8,'Entity Inputs'!CB14)</f>
        <v>8747310.5</v>
      </c>
      <c r="CC8" s="14">
        <f>SUM('Entity Inputs'!CC8,'Entity Inputs'!CC14)</f>
        <v>2027310.5</v>
      </c>
      <c r="CD8" s="14">
        <f>SUM('Entity Inputs'!CD8,'Entity Inputs'!CD14)</f>
        <v>875899.8</v>
      </c>
      <c r="CE8" s="14">
        <f>SUM('Entity Inputs'!CE8,'Entity Inputs'!CE14)</f>
        <v>70560.0</v>
      </c>
      <c r="CF8" s="14">
        <f>SUM('Entity Inputs'!CF8,'Entity Inputs'!CF14)</f>
        <v>866117.7</v>
      </c>
      <c r="CG8" s="14">
        <f>SUM('Entity Inputs'!CG8,'Entity Inputs'!CG14)</f>
        <v>2627519.9</v>
      </c>
      <c r="CH8" s="14">
        <f>SUM('Entity Inputs'!CH8,'Entity Inputs'!CH14)</f>
        <v>248703.90000000002</v>
      </c>
      <c r="CI8" s="14">
        <f>SUM('Entity Inputs'!CI8,'Entity Inputs'!CI14)</f>
        <v>2292454.3</v>
      </c>
      <c r="CJ8" s="14">
        <f>SUM('Entity Inputs'!CJ8,'Entity Inputs'!CJ14)</f>
        <v>3505362.0999999996</v>
      </c>
      <c r="CK8" s="14">
        <f>SUM('Entity Inputs'!CK8,'Entity Inputs'!CK14)</f>
        <v>3129664.0</v>
      </c>
      <c r="CL8" s="14">
        <f>SUM('Entity Inputs'!CL8,'Entity Inputs'!CL14)</f>
        <v>2388029.9</v>
      </c>
      <c r="CM8" s="14">
        <f>SUM('Entity Inputs'!CM8,'Entity Inputs'!CM14)</f>
        <v>2282013.5</v>
      </c>
      <c r="CN8" s="14">
        <f>SUM('Entity Inputs'!CN8,'Entity Inputs'!CN14)</f>
        <v>3739.2</v>
      </c>
      <c r="CO8" s="14">
        <f>SUM('Entity Inputs'!CO8,'Entity Inputs'!CO14)</f>
        <v>182887.2</v>
      </c>
      <c r="CP8" s="14">
        <f>SUM('Entity Inputs'!CP8,'Entity Inputs'!CP14)</f>
        <v>157266.90000000002</v>
      </c>
      <c r="CQ8" s="14">
        <f>SUM('Entity Inputs'!CQ8,'Entity Inputs'!CQ14)</f>
        <v>755.0</v>
      </c>
      <c r="CR8" s="14">
        <f>SUM('Entity Inputs'!CR8,'Entity Inputs'!CR14)</f>
        <v>35040.0</v>
      </c>
      <c r="CS8" s="14">
        <f>SUM('Entity Inputs'!CS8,'Entity Inputs'!CS14)</f>
        <v>33975.0</v>
      </c>
      <c r="CT8" s="14">
        <f>SUM('Entity Inputs'!CT8,'Entity Inputs'!CT14)</f>
        <v>3.0</v>
      </c>
      <c r="CU8" s="14">
        <f>SUM('Entity Inputs'!CU8,'Entity Inputs'!CU14)</f>
        <v>1459331.5</v>
      </c>
      <c r="CV8" s="14">
        <f>SUM('Entity Inputs'!CV8,'Entity Inputs'!CV14)</f>
        <v>1498248.1</v>
      </c>
      <c r="CW8" s="14">
        <f>SUM('Entity Inputs'!CW8,'Entity Inputs'!CW14)</f>
        <v>291855.1</v>
      </c>
      <c r="CX8" s="14">
        <f>SUM('Entity Inputs'!CX8,'Entity Inputs'!CX14)</f>
        <v>6635539.4</v>
      </c>
      <c r="CY8" s="14">
        <f>SUM('Entity Inputs'!CY8,'Entity Inputs'!CY14)</f>
        <v>2926282.0</v>
      </c>
      <c r="CZ8" s="14">
        <f>SUM('Entity Inputs'!CZ8,'Entity Inputs'!CZ14)</f>
        <v>722608.9</v>
      </c>
      <c r="DA8" s="14">
        <f>SUM('Entity Inputs'!DA8,'Entity Inputs'!DA14)</f>
        <v>497079.8</v>
      </c>
      <c r="DB8" s="14">
        <f>SUM('Entity Inputs'!DB8,'Entity Inputs'!DB14)</f>
        <v>584849.6</v>
      </c>
      <c r="DC8" s="14">
        <f>SUM('Entity Inputs'!DC8,'Entity Inputs'!DC14)</f>
        <v>423930.7</v>
      </c>
      <c r="DD8" s="14">
        <f>SUM('Entity Inputs'!DD8,'Entity Inputs'!DD14)</f>
        <v>9567.6</v>
      </c>
      <c r="DE8" s="14">
        <f>SUM('Entity Inputs'!DE8,'Entity Inputs'!DE14)</f>
        <v>10289.2</v>
      </c>
      <c r="DF8" s="14">
        <f>SUM('Entity Inputs'!DF8,'Entity Inputs'!DF14)</f>
        <v>4407372.5</v>
      </c>
      <c r="DG8" s="14">
        <f>SUM('Entity Inputs'!DG8,'Entity Inputs'!DG14)</f>
        <v>3070830.9</v>
      </c>
      <c r="DH8" s="14">
        <f>SUM('Entity Inputs'!DH8,'Entity Inputs'!DH14)</f>
        <v>1860000.0</v>
      </c>
      <c r="DI8" s="14">
        <f>SUM('Entity Inputs'!DI8,'Entity Inputs'!DI14)</f>
        <v>1238527.0</v>
      </c>
      <c r="DJ8" s="14">
        <f>SUM('Entity Inputs'!DJ8,'Entity Inputs'!DJ14)</f>
        <v>151938.1</v>
      </c>
      <c r="DK8" s="14">
        <f>SUM('Entity Inputs'!DK8,'Entity Inputs'!DK14)</f>
        <v>1046800.0</v>
      </c>
      <c r="DL8" s="14">
        <f>SUM('Entity Inputs'!DL8,'Entity Inputs'!DL14)</f>
        <v>153087.80000000002</v>
      </c>
      <c r="DM8" s="14">
        <f>SUM('Entity Inputs'!DM8,'Entity Inputs'!DM14)</f>
        <v>9.0</v>
      </c>
      <c r="DN8" s="14">
        <f>SUM('Entity Inputs'!DN8,'Entity Inputs'!DN14)</f>
        <v>2.0</v>
      </c>
      <c r="DO8" s="14">
        <f>SUM('Entity Inputs'!DO8,'Entity Inputs'!DO14)</f>
        <v>0.0</v>
      </c>
      <c r="DP8" s="14">
        <f>SUM('Entity Inputs'!DP8,'Entity Inputs'!DP14)</f>
        <v>1.0</v>
      </c>
      <c r="DQ8" s="14">
        <f>SUM('Entity Inputs'!DQ8,'Entity Inputs'!DQ14)</f>
        <v>13.0</v>
      </c>
      <c r="DR8" s="14">
        <f>SUM('Entity Inputs'!DR8,'Entity Inputs'!DR14)</f>
        <v>28.0</v>
      </c>
      <c r="DS8" s="14">
        <f>SUM('Entity Inputs'!DS8,'Entity Inputs'!DS14)</f>
        <v>15.0</v>
      </c>
      <c r="DT8" s="14">
        <f>SUM('Entity Inputs'!DT8,'Entity Inputs'!DT14)</f>
        <v>6.0</v>
      </c>
      <c r="DU8" s="14">
        <f>SUM('Entity Inputs'!DU8,'Entity Inputs'!DU14)</f>
        <v>3.0</v>
      </c>
      <c r="DV8" s="14">
        <f>SUM('Entity Inputs'!DV8,'Entity Inputs'!DV14)</f>
        <v>124.0</v>
      </c>
      <c r="DW8" s="14">
        <f>SUM('Entity Inputs'!DW8,'Entity Inputs'!DW14)</f>
        <v>61.0</v>
      </c>
      <c r="DX8" s="14">
        <f>SUM('Entity Inputs'!DX8,'Entity Inputs'!DX14)</f>
        <v>14203.800000000001</v>
      </c>
      <c r="DY8" s="14">
        <f>SUM('Entity Inputs'!DY8,'Entity Inputs'!DY14)</f>
        <v>6865.9</v>
      </c>
      <c r="DZ8" s="14">
        <f>SUM('Entity Inputs'!DZ8,'Entity Inputs'!DZ14)</f>
        <v>2393.2</v>
      </c>
      <c r="EA8" s="14">
        <f>SUM('Entity Inputs'!EA8,'Entity Inputs'!EA14)</f>
        <v>1421.0</v>
      </c>
      <c r="EB8" s="14">
        <f>SUM('Entity Inputs'!EB8,'Entity Inputs'!EB14)</f>
        <v>1883.3</v>
      </c>
      <c r="EC8" s="14">
        <f>SUM('Entity Inputs'!EC8,'Entity Inputs'!EC14)</f>
        <v>140.0</v>
      </c>
      <c r="ED8" s="14">
        <f>SUM('Entity Inputs'!ED8,'Entity Inputs'!ED14)</f>
        <v>133.0</v>
      </c>
      <c r="EE8" s="14">
        <f>SUM('Entity Inputs'!EE8,'Entity Inputs'!EE14)</f>
        <v>4.0</v>
      </c>
      <c r="EF8" s="14">
        <f>SUM('Entity Inputs'!EF8,'Entity Inputs'!EF14)</f>
        <v>0.0</v>
      </c>
      <c r="EG8" s="14">
        <f>SUM('Entity Inputs'!EG8,'Entity Inputs'!EG14)</f>
        <v>3.0</v>
      </c>
      <c r="EH8" s="14">
        <f>SUM('Entity Inputs'!EH8,'Entity Inputs'!EH14)</f>
        <v>1.0</v>
      </c>
      <c r="EI8" s="14">
        <f>SUM('Entity Inputs'!EI8,'Entity Inputs'!EI14)</f>
        <v>0.0</v>
      </c>
      <c r="EJ8" s="14">
        <f>SUM('Entity Inputs'!EJ8,'Entity Inputs'!EJ14)</f>
        <v>2.0</v>
      </c>
      <c r="EK8" s="14">
        <f>SUM('Entity Inputs'!EK8,'Entity Inputs'!EK14)</f>
        <v>2.0</v>
      </c>
      <c r="EL8" s="14">
        <f>SUM('Entity Inputs'!EL8,'Entity Inputs'!EL14)</f>
        <v>2.0</v>
      </c>
      <c r="EM8" s="14">
        <f>SUM('Entity Inputs'!EM8,'Entity Inputs'!EM14)</f>
        <v>0.0</v>
      </c>
      <c r="EN8" s="14">
        <f>SUM('Entity Inputs'!EN8,'Entity Inputs'!EN14)</f>
        <v>0.0</v>
      </c>
      <c r="EO8" s="14">
        <f>SUM('Entity Inputs'!EO8,'Entity Inputs'!EO14)</f>
        <v>0.0</v>
      </c>
      <c r="EP8" s="14">
        <f>SUM('Entity Inputs'!EP8,'Entity Inputs'!EP14)</f>
        <v>0.0</v>
      </c>
      <c r="EQ8" s="14">
        <f>SUM('Entity Inputs'!EQ8,'Entity Inputs'!EQ14)</f>
        <v>4.0</v>
      </c>
      <c r="ER8" s="14">
        <f>SUM('Entity Inputs'!ER8,'Entity Inputs'!ER14)</f>
        <v>2.0</v>
      </c>
      <c r="ES8" s="14">
        <f>SUM('Entity Inputs'!ES8,'Entity Inputs'!ES14)</f>
        <v>0.0</v>
      </c>
      <c r="ET8" s="14">
        <f>SUM('Entity Inputs'!ET8,'Entity Inputs'!ET14)</f>
        <v>1.0</v>
      </c>
      <c r="EU8" s="14">
        <f>SUM('Entity Inputs'!EU8,'Entity Inputs'!EU14)</f>
        <v>8.0</v>
      </c>
      <c r="EV8" s="14">
        <f>SUM('Entity Inputs'!EV8,'Entity Inputs'!EV14)</f>
        <v>0.0</v>
      </c>
      <c r="EW8" s="14">
        <f>SUM('Entity Inputs'!EW8,'Entity Inputs'!EW14)</f>
        <v>1.0</v>
      </c>
      <c r="EX8" s="14">
        <f>SUM('Entity Inputs'!EX8,'Entity Inputs'!EX14)</f>
        <v>1.0</v>
      </c>
      <c r="EY8" s="14">
        <f>SUM('Entity Inputs'!EY8,'Entity Inputs'!EY14)</f>
        <v>108.0</v>
      </c>
      <c r="EZ8" s="14">
        <f>SUM('Entity Inputs'!EZ8,'Entity Inputs'!EZ14)</f>
        <v>95.0</v>
      </c>
      <c r="FA8" s="14">
        <f>SUM('Entity Inputs'!FA8,'Entity Inputs'!FA14)</f>
        <v>4.0</v>
      </c>
      <c r="FB8" s="14">
        <f>SUM('Entity Inputs'!FB8,'Entity Inputs'!FB14)</f>
        <v>136.0</v>
      </c>
      <c r="FC8" s="14">
        <f>SUM('Entity Inputs'!FC8,'Entity Inputs'!FC14)</f>
        <v>56.0</v>
      </c>
      <c r="FD8" s="14">
        <f>SUM('Entity Inputs'!FD8,'Entity Inputs'!FD14)</f>
        <v>47.0</v>
      </c>
      <c r="FE8" s="14">
        <f>SUM('Entity Inputs'!FE8,'Entity Inputs'!FE14)</f>
        <v>52.0</v>
      </c>
      <c r="FF8" s="14">
        <f>SUM('Entity Inputs'!FF8,'Entity Inputs'!FF14)</f>
        <v>2.0</v>
      </c>
      <c r="FG8" s="14">
        <f>SUM('Entity Inputs'!FG8,'Entity Inputs'!FG14)</f>
        <v>1.0</v>
      </c>
      <c r="FH8" s="14">
        <f>SUM('Entity Inputs'!FH8,'Entity Inputs'!FH14)</f>
        <v>1.0</v>
      </c>
      <c r="FI8" s="14">
        <f>SUM('Entity Inputs'!FI8,'Entity Inputs'!FI14)</f>
        <v>988417.0</v>
      </c>
      <c r="FJ8" s="14">
        <f>SUM('Entity Inputs'!FJ8,'Entity Inputs'!FJ14)</f>
        <v>981805.0</v>
      </c>
      <c r="FK8" s="14">
        <f>SUM('Entity Inputs'!FK8,'Entity Inputs'!FK14)</f>
        <v>820.0</v>
      </c>
      <c r="FL8" s="14">
        <f>SUM('Entity Inputs'!FL8,'Entity Inputs'!FL14)</f>
        <v>794.0</v>
      </c>
      <c r="FM8" s="14">
        <f>SUM('Entity Inputs'!FM8,'Entity Inputs'!FM14)</f>
        <v>1.0</v>
      </c>
      <c r="FN8" s="14">
        <f>SUM('Entity Inputs'!FN8,'Entity Inputs'!FN14)</f>
        <v>0.0</v>
      </c>
      <c r="FO8" s="14">
        <f>SUM('Entity Inputs'!FO8,'Entity Inputs'!FO14)</f>
        <v>0.0</v>
      </c>
      <c r="FP8" s="14">
        <f>SUM('Entity Inputs'!FP8,'Entity Inputs'!FP14)</f>
        <v>9.0</v>
      </c>
      <c r="FQ8" s="14">
        <f>SUM('Entity Inputs'!FQ8,'Entity Inputs'!FQ14)</f>
        <v>22.1</v>
      </c>
      <c r="FR8" s="14">
        <f>SUM('Entity Inputs'!FR8,'Entity Inputs'!FR14)</f>
        <v>11.0</v>
      </c>
      <c r="FS8" s="14">
        <f>SUM('Entity Inputs'!FS8,'Entity Inputs'!FS14)</f>
        <v>1.0</v>
      </c>
      <c r="FT8" s="14">
        <f>SUM('Entity Inputs'!FT8,'Entity Inputs'!FT14)</f>
        <v>2.0</v>
      </c>
      <c r="FU8" s="14">
        <f>SUM('Entity Inputs'!FU8,'Entity Inputs'!FU14)</f>
        <v>2.0</v>
      </c>
      <c r="FV8" s="15">
        <f>AU8-V8-X8-BY8</f>
        <v>248695.60000000003</v>
      </c>
      <c r="FW8" s="15">
        <f>FV8-AX8</f>
        <v>160528.30000000005</v>
      </c>
      <c r="FX8" s="15">
        <f>CJ8+CL8-CK8</f>
        <v>2763728.0</v>
      </c>
      <c r="FY8" s="15">
        <f>FX8-FX7</f>
        <v>-28995.299999999348</v>
      </c>
      <c r="FZ8" s="15">
        <f>FV8-BZ8-FY8</f>
        <v>227815.0999999994</v>
      </c>
      <c r="GA8" s="15">
        <f>FZ8-DJ8</f>
        <v>75876.99999999939</v>
      </c>
      <c r="GB8" s="15">
        <f>CB8-CC8</f>
        <v>6720000.0</v>
      </c>
      <c r="GC8" s="15">
        <f>SUM(FV$4:FV8)*12/D8</f>
        <v>3271470.9599999995</v>
      </c>
      <c r="GD8" s="15">
        <f>IF(AU8=0,0,CJ8/AU8*C8)</f>
        <v>47.514139784485465</v>
      </c>
      <c r="GE8" s="15">
        <f>IF(V8=0,0,CK8/V8*C8)</f>
        <v>50.37154443077937</v>
      </c>
      <c r="GF8" s="15">
        <f>IF(V8=0,0,CL8/V8*C8)</f>
        <v>38.43503782191303</v>
      </c>
      <c r="GG8" s="15">
        <f>IF(OR(AS8=0,AT8=0,AV8=0),0,100*((AU8/AS8)/(AV8/AT8)-1))</f>
        <v>-0.2900770117596374</v>
      </c>
    </row>
    <row r="9" spans="1:189">
      <c r="A9" t="s">
        <v>15</v>
      </c>
      <c r="B9" t="s">
        <v>177</v>
      </c>
      <c r="C9">
        <v>30</v>
      </c>
      <c r="D9">
        <v>6</v>
      </c>
      <c r="E9" s="14">
        <f>SUM('Entity Inputs'!E9,'Entity Inputs'!E15)</f>
        <v>4320.0</v>
      </c>
      <c r="F9" s="14">
        <f>SUM('Entity Inputs'!F9,'Entity Inputs'!F15)</f>
        <v>4287.0</v>
      </c>
      <c r="G9" s="14">
        <f>SUM('Entity Inputs'!G9,'Entity Inputs'!G15)</f>
        <v>4045.3999999999996</v>
      </c>
      <c r="H9" s="14">
        <f>SUM('Entity Inputs'!H9,'Entity Inputs'!H15)</f>
        <v>154.4</v>
      </c>
      <c r="I9" s="14">
        <f>SUM('Entity Inputs'!I9,'Entity Inputs'!I15)</f>
        <v>744212.0</v>
      </c>
      <c r="J9" s="14">
        <f>SUM('Entity Inputs'!J9,'Entity Inputs'!J15)</f>
        <v>749808.0</v>
      </c>
      <c r="K9" s="14">
        <f>SUM('Entity Inputs'!K9,'Entity Inputs'!K15)</f>
        <v>655054.0</v>
      </c>
      <c r="L9" s="14">
        <f>SUM('Entity Inputs'!L9,'Entity Inputs'!L15)</f>
        <v>643004.0</v>
      </c>
      <c r="M9" s="14">
        <f>SUM('Entity Inputs'!M9,'Entity Inputs'!M15)</f>
        <v>625667.0</v>
      </c>
      <c r="N9" s="14">
        <f>SUM('Entity Inputs'!N9,'Entity Inputs'!N15)</f>
        <v>680575.0</v>
      </c>
      <c r="O9" s="14">
        <f>SUM('Entity Inputs'!O9,'Entity Inputs'!O15)</f>
        <v>146965.0</v>
      </c>
      <c r="P9" s="14">
        <f>SUM('Entity Inputs'!P9,'Entity Inputs'!P15)</f>
        <v>128381.0</v>
      </c>
      <c r="Q9" s="14">
        <f>SUM('Entity Inputs'!Q9,'Entity Inputs'!Q15)</f>
        <v>27176.0</v>
      </c>
      <c r="R9" s="14">
        <f>SUM('Entity Inputs'!R9,'Entity Inputs'!R15)</f>
        <v>15.0</v>
      </c>
      <c r="S9" s="14">
        <f>SUM('Entity Inputs'!S9,'Entity Inputs'!S15)</f>
        <v>117.39999999999999</v>
      </c>
      <c r="T9" s="14">
        <f>SUM('Entity Inputs'!T9,'Entity Inputs'!T15)</f>
        <v>274.0</v>
      </c>
      <c r="U9" s="14">
        <f>SUM('Entity Inputs'!U9,'Entity Inputs'!U15)</f>
        <v>262.0</v>
      </c>
      <c r="V9" s="14">
        <f>SUM('Entity Inputs'!V9,'Entity Inputs'!V15)</f>
        <v>1827824.7999999998</v>
      </c>
      <c r="W9" s="14">
        <f>SUM('Entity Inputs'!W9,'Entity Inputs'!W15)</f>
        <v>459369.29999999993</v>
      </c>
      <c r="X9" s="14">
        <f>SUM('Entity Inputs'!X9,'Entity Inputs'!X15)</f>
        <v>7718.9</v>
      </c>
      <c r="Y9" s="14">
        <f>SUM('Entity Inputs'!Y9,'Entity Inputs'!Y15)</f>
        <v>1450141.0</v>
      </c>
      <c r="Z9" s="14">
        <f>SUM('Entity Inputs'!Z9,'Entity Inputs'!Z15)</f>
        <v>427664.0</v>
      </c>
      <c r="AA9" s="14">
        <f>SUM('Entity Inputs'!AA9,'Entity Inputs'!AA15)</f>
        <v>2140719.0</v>
      </c>
      <c r="AB9" s="14">
        <f>SUM('Entity Inputs'!AB9,'Entity Inputs'!AB15)</f>
        <v>36810.0</v>
      </c>
      <c r="AC9" s="14">
        <f>SUM('Entity Inputs'!AC9,'Entity Inputs'!AC15)</f>
        <v>7.0</v>
      </c>
      <c r="AD9" s="14">
        <f>SUM('Entity Inputs'!AD9,'Entity Inputs'!AD15)</f>
        <v>425000.0</v>
      </c>
      <c r="AE9" s="14">
        <f>SUM('Entity Inputs'!AE9,'Entity Inputs'!AE15)</f>
        <v>1.0</v>
      </c>
      <c r="AF9" s="14">
        <f>SUM('Entity Inputs'!AF9,'Entity Inputs'!AF15)</f>
        <v>3.0</v>
      </c>
      <c r="AG9" s="14">
        <f>SUM('Entity Inputs'!AG9,'Entity Inputs'!AG15)</f>
        <v>41.0</v>
      </c>
      <c r="AH9" s="14">
        <f>SUM('Entity Inputs'!AH9,'Entity Inputs'!AH15)</f>
        <v>0.0</v>
      </c>
      <c r="AI9" s="14">
        <f>SUM('Entity Inputs'!AI9,'Entity Inputs'!AI15)</f>
        <v>2.0</v>
      </c>
      <c r="AJ9" s="14">
        <f>SUM('Entity Inputs'!AJ9,'Entity Inputs'!AJ15)</f>
        <v>0.0</v>
      </c>
      <c r="AK9" s="14">
        <f>SUM('Entity Inputs'!AK9,'Entity Inputs'!AK15)</f>
        <v>45.0</v>
      </c>
      <c r="AL9" s="14">
        <f>SUM('Entity Inputs'!AL9,'Entity Inputs'!AL15)</f>
        <v>9.0</v>
      </c>
      <c r="AM9" s="14">
        <f>SUM('Entity Inputs'!AM9,'Entity Inputs'!AM15)</f>
        <v>4.0</v>
      </c>
      <c r="AN9" s="14">
        <f>SUM('Entity Inputs'!AN9,'Entity Inputs'!AN15)</f>
        <v>3.0</v>
      </c>
      <c r="AO9" s="14">
        <f>SUM('Entity Inputs'!AO9,'Entity Inputs'!AO15)</f>
        <v>5.0</v>
      </c>
      <c r="AP9" s="14">
        <f>SUM('Entity Inputs'!AP9,'Entity Inputs'!AP15)</f>
        <v>1051.0</v>
      </c>
      <c r="AQ9" s="14">
        <f>SUM('Entity Inputs'!AQ9,'Entity Inputs'!AQ15)</f>
        <v>91.0</v>
      </c>
      <c r="AR9" s="14">
        <f>MIN('Entity Inputs'!AR9,'Entity Inputs'!AR15)</f>
        <v>65</v>
      </c>
      <c r="AS9" s="14">
        <f>SUM('Entity Inputs'!AS9,'Entity Inputs'!AS15)</f>
        <v>623746.0</v>
      </c>
      <c r="AT9" s="14">
        <f>SUM('Entity Inputs'!AT9,'Entity Inputs'!AT15)</f>
        <v>654973.0</v>
      </c>
      <c r="AU9" s="14">
        <f>SUM('Entity Inputs'!AU9,'Entity Inputs'!AU15)</f>
        <v>2335817.8</v>
      </c>
      <c r="AV9" s="14">
        <f>SUM('Entity Inputs'!AV9,'Entity Inputs'!AV15)</f>
        <v>2462698.5</v>
      </c>
      <c r="AW9" s="14">
        <f>SUM('Entity Inputs'!AW9,'Entity Inputs'!AW15)</f>
        <v>109048.79999999999</v>
      </c>
      <c r="AX9" s="14">
        <f>SUM('Entity Inputs'!AX9,'Entity Inputs'!AX15)</f>
        <v>89473.7</v>
      </c>
      <c r="AY9" s="14">
        <f>SUM('Entity Inputs'!AY9,'Entity Inputs'!AY15)</f>
        <v>1339.0</v>
      </c>
      <c r="AZ9" s="14">
        <f>SUM('Entity Inputs'!AZ9,'Entity Inputs'!AZ15)</f>
        <v>1224.0</v>
      </c>
      <c r="BA9" s="14">
        <f>SUM('Entity Inputs'!BA9,'Entity Inputs'!BA15)</f>
        <v>672929.0</v>
      </c>
      <c r="BB9" s="14">
        <f>SUM('Entity Inputs'!BB9,'Entity Inputs'!BB15)</f>
        <v>651499.0</v>
      </c>
      <c r="BC9" s="14">
        <f>SUM('Entity Inputs'!BC9,'Entity Inputs'!BC15)</f>
        <v>7320.0</v>
      </c>
      <c r="BD9" s="14">
        <f>SUM('Entity Inputs'!BD9,'Entity Inputs'!BD15)</f>
        <v>5166.0</v>
      </c>
      <c r="BE9" s="14">
        <f>SUM('Entity Inputs'!BE9,'Entity Inputs'!BE15)</f>
        <v>5437.0</v>
      </c>
      <c r="BF9" s="14">
        <f>SUM('Entity Inputs'!BF9,'Entity Inputs'!BF15)</f>
        <v>1019083.3999999999</v>
      </c>
      <c r="BG9" s="14">
        <f>SUM('Entity Inputs'!BG9,'Entity Inputs'!BG15)</f>
        <v>358582.30000000005</v>
      </c>
      <c r="BH9" s="14">
        <f>SUM('Entity Inputs'!BH9,'Entity Inputs'!BH15)</f>
        <v>2.0</v>
      </c>
      <c r="BI9" s="14">
        <f>SUM('Entity Inputs'!BI9,'Entity Inputs'!BI15)</f>
        <v>0.0</v>
      </c>
      <c r="BJ9" s="14">
        <f>SUM('Entity Inputs'!BJ9,'Entity Inputs'!BJ15)</f>
        <v>3.0</v>
      </c>
      <c r="BK9" s="14">
        <f>SUM('Entity Inputs'!BK9,'Entity Inputs'!BK15)</f>
        <v>1.0</v>
      </c>
      <c r="BL9" s="14">
        <f>SUM('Entity Inputs'!BL9,'Entity Inputs'!BL15)</f>
        <v>2.0</v>
      </c>
      <c r="BM9" s="14">
        <f>SUM('Entity Inputs'!BM9,'Entity Inputs'!BM15)</f>
        <v>0.0</v>
      </c>
      <c r="BN9" s="14">
        <f>SUM('Entity Inputs'!BN9,'Entity Inputs'!BN15)</f>
        <v>0.0</v>
      </c>
      <c r="BO9" s="14">
        <f>SUM('Entity Inputs'!BO9,'Entity Inputs'!BO15)</f>
        <v>0.0</v>
      </c>
      <c r="BP9" s="14">
        <f>SUM('Entity Inputs'!BP9,'Entity Inputs'!BP15)</f>
        <v>0.0</v>
      </c>
      <c r="BQ9" s="14">
        <f>SUM('Entity Inputs'!BQ9,'Entity Inputs'!BQ15)</f>
        <v>0.0</v>
      </c>
      <c r="BR9" s="14">
        <f>SUM('Entity Inputs'!BR9,'Entity Inputs'!BR15)</f>
        <v>0.0</v>
      </c>
      <c r="BS9" s="14">
        <f>MIN('Entity Inputs'!BS9,'Entity Inputs'!BS15)</f>
        <v>4</v>
      </c>
      <c r="BT9" s="14">
        <f>SUM('Entity Inputs'!BT9,'Entity Inputs'!BT15)</f>
        <v>661346.0</v>
      </c>
      <c r="BU9" s="14">
        <f>SUM('Entity Inputs'!BU9,'Entity Inputs'!BU15)</f>
        <v>652912.0</v>
      </c>
      <c r="BV9" s="14">
        <f>SUM('Entity Inputs'!BV9,'Entity Inputs'!BV15)</f>
        <v>267584263.0</v>
      </c>
      <c r="BW9" s="14">
        <f>SUM('Entity Inputs'!BW9,'Entity Inputs'!BW15)</f>
        <v>744212.0</v>
      </c>
      <c r="BX9" s="14">
        <f>SUM('Entity Inputs'!BX9,'Entity Inputs'!BX15)</f>
        <v>28008.0</v>
      </c>
      <c r="BY9" s="14">
        <f>SUM('Entity Inputs'!BY9,'Entity Inputs'!BY15)</f>
        <v>103293.8</v>
      </c>
      <c r="BZ9" s="14">
        <f>SUM('Entity Inputs'!BZ9,'Entity Inputs'!BZ15)</f>
        <v>77420.9</v>
      </c>
      <c r="CA9" s="14">
        <f>SUM('Entity Inputs'!CA9,'Entity Inputs'!CA15)</f>
        <v>21216000.0</v>
      </c>
      <c r="CB9" s="14">
        <f>SUM('Entity Inputs'!CB9,'Entity Inputs'!CB15)</f>
        <v>8791822.399999999</v>
      </c>
      <c r="CC9" s="14">
        <f>SUM('Entity Inputs'!CC9,'Entity Inputs'!CC15)</f>
        <v>2141822.4</v>
      </c>
      <c r="CD9" s="14">
        <f>SUM('Entity Inputs'!CD9,'Entity Inputs'!CD15)</f>
        <v>880814.6000000001</v>
      </c>
      <c r="CE9" s="14">
        <f>SUM('Entity Inputs'!CE9,'Entity Inputs'!CE15)</f>
        <v>69825.0</v>
      </c>
      <c r="CF9" s="14">
        <f>SUM('Entity Inputs'!CF9,'Entity Inputs'!CF15)</f>
        <v>891410.2</v>
      </c>
      <c r="CG9" s="14">
        <f>SUM('Entity Inputs'!CG9,'Entity Inputs'!CG15)</f>
        <v>2720832.1</v>
      </c>
      <c r="CH9" s="14">
        <f>SUM('Entity Inputs'!CH9,'Entity Inputs'!CH15)</f>
        <v>396100.19999999995</v>
      </c>
      <c r="CI9" s="14">
        <f>SUM('Entity Inputs'!CI9,'Entity Inputs'!CI15)</f>
        <v>2326971.1</v>
      </c>
      <c r="CJ9" s="14">
        <f>SUM('Entity Inputs'!CJ9,'Entity Inputs'!CJ15)</f>
        <v>3657489.0</v>
      </c>
      <c r="CK9" s="14">
        <f>SUM('Entity Inputs'!CK9,'Entity Inputs'!CK15)</f>
        <v>3177113.9000000004</v>
      </c>
      <c r="CL9" s="14">
        <f>SUM('Entity Inputs'!CL9,'Entity Inputs'!CL15)</f>
        <v>2300611.5</v>
      </c>
      <c r="CM9" s="14">
        <f>SUM('Entity Inputs'!CM9,'Entity Inputs'!CM15)</f>
        <v>2303231.4000000004</v>
      </c>
      <c r="CN9" s="14">
        <f>SUM('Entity Inputs'!CN9,'Entity Inputs'!CN15)</f>
        <v>3410.7</v>
      </c>
      <c r="CO9" s="14">
        <f>SUM('Entity Inputs'!CO9,'Entity Inputs'!CO15)</f>
        <v>205271.0</v>
      </c>
      <c r="CP9" s="14">
        <f>SUM('Entity Inputs'!CP9,'Entity Inputs'!CP15)</f>
        <v>178058.40000000002</v>
      </c>
      <c r="CQ9" s="14">
        <f>SUM('Entity Inputs'!CQ9,'Entity Inputs'!CQ15)</f>
        <v>750.0</v>
      </c>
      <c r="CR9" s="14">
        <f>SUM('Entity Inputs'!CR9,'Entity Inputs'!CR15)</f>
        <v>34592.0</v>
      </c>
      <c r="CS9" s="14">
        <f>SUM('Entity Inputs'!CS9,'Entity Inputs'!CS15)</f>
        <v>33750.0</v>
      </c>
      <c r="CT9" s="14">
        <f>SUM('Entity Inputs'!CT9,'Entity Inputs'!CT15)</f>
        <v>3.0</v>
      </c>
      <c r="CU9" s="14">
        <f>SUM('Entity Inputs'!CU9,'Entity Inputs'!CU15)</f>
        <v>2334226.4</v>
      </c>
      <c r="CV9" s="14">
        <f>SUM('Entity Inputs'!CV9,'Entity Inputs'!CV15)</f>
        <v>2390406.5</v>
      </c>
      <c r="CW9" s="14">
        <f>SUM('Entity Inputs'!CW9,'Entity Inputs'!CW15)</f>
        <v>347118.3</v>
      </c>
      <c r="CX9" s="14">
        <f>SUM('Entity Inputs'!CX9,'Entity Inputs'!CX15)</f>
        <v>6584269.1</v>
      </c>
      <c r="CY9" s="14">
        <f>SUM('Entity Inputs'!CY9,'Entity Inputs'!CY15)</f>
        <v>4695236.9</v>
      </c>
      <c r="CZ9" s="14">
        <f>SUM('Entity Inputs'!CZ9,'Entity Inputs'!CZ15)</f>
        <v>767723.3</v>
      </c>
      <c r="DA9" s="14">
        <f>SUM('Entity Inputs'!DA9,'Entity Inputs'!DA15)</f>
        <v>545998.6</v>
      </c>
      <c r="DB9" s="14">
        <f>SUM('Entity Inputs'!DB9,'Entity Inputs'!DB15)</f>
        <v>614925.4</v>
      </c>
      <c r="DC9" s="14">
        <f>SUM('Entity Inputs'!DC9,'Entity Inputs'!DC15)</f>
        <v>446793.4</v>
      </c>
      <c r="DD9" s="14">
        <f>SUM('Entity Inputs'!DD9,'Entity Inputs'!DD15)</f>
        <v>11376.900000000001</v>
      </c>
      <c r="DE9" s="14">
        <f>SUM('Entity Inputs'!DE9,'Entity Inputs'!DE15)</f>
        <v>12406.099999999999</v>
      </c>
      <c r="DF9" s="14">
        <f>SUM('Entity Inputs'!DF9,'Entity Inputs'!DF15)</f>
        <v>4533205.0</v>
      </c>
      <c r="DG9" s="14">
        <f>SUM('Entity Inputs'!DG9,'Entity Inputs'!DG15)</f>
        <v>3202912.2</v>
      </c>
      <c r="DH9" s="14">
        <f>SUM('Entity Inputs'!DH9,'Entity Inputs'!DH15)</f>
        <v>1860000.0</v>
      </c>
      <c r="DI9" s="14">
        <f>SUM('Entity Inputs'!DI9,'Entity Inputs'!DI15)</f>
        <v>1347733.2999999998</v>
      </c>
      <c r="DJ9" s="14">
        <f>SUM('Entity Inputs'!DJ9,'Entity Inputs'!DJ15)</f>
        <v>144874.2</v>
      </c>
      <c r="DK9" s="14">
        <f>SUM('Entity Inputs'!DK9,'Entity Inputs'!DK15)</f>
        <v>1131800.0</v>
      </c>
      <c r="DL9" s="14">
        <f>SUM('Entity Inputs'!DL9,'Entity Inputs'!DL15)</f>
        <v>148031.4</v>
      </c>
      <c r="DM9" s="14">
        <f>SUM('Entity Inputs'!DM9,'Entity Inputs'!DM15)</f>
        <v>9.0</v>
      </c>
      <c r="DN9" s="14">
        <f>SUM('Entity Inputs'!DN9,'Entity Inputs'!DN15)</f>
        <v>2.0</v>
      </c>
      <c r="DO9" s="14">
        <f>SUM('Entity Inputs'!DO9,'Entity Inputs'!DO15)</f>
        <v>0.0</v>
      </c>
      <c r="DP9" s="14">
        <f>SUM('Entity Inputs'!DP9,'Entity Inputs'!DP15)</f>
        <v>1.0</v>
      </c>
      <c r="DQ9" s="14">
        <f>SUM('Entity Inputs'!DQ9,'Entity Inputs'!DQ15)</f>
        <v>11.0</v>
      </c>
      <c r="DR9" s="14">
        <f>SUM('Entity Inputs'!DR9,'Entity Inputs'!DR15)</f>
        <v>19.0</v>
      </c>
      <c r="DS9" s="14">
        <f>SUM('Entity Inputs'!DS9,'Entity Inputs'!DS15)</f>
        <v>15.0</v>
      </c>
      <c r="DT9" s="14">
        <f>SUM('Entity Inputs'!DT9,'Entity Inputs'!DT15)</f>
        <v>6.0</v>
      </c>
      <c r="DU9" s="14">
        <f>SUM('Entity Inputs'!DU9,'Entity Inputs'!DU15)</f>
        <v>3.0</v>
      </c>
      <c r="DV9" s="14">
        <f>SUM('Entity Inputs'!DV9,'Entity Inputs'!DV15)</f>
        <v>124.0</v>
      </c>
      <c r="DW9" s="14">
        <f>SUM('Entity Inputs'!DW9,'Entity Inputs'!DW15)</f>
        <v>67.0</v>
      </c>
      <c r="DX9" s="14">
        <f>SUM('Entity Inputs'!DX9,'Entity Inputs'!DX15)</f>
        <v>14155.7</v>
      </c>
      <c r="DY9" s="14">
        <f>SUM('Entity Inputs'!DY9,'Entity Inputs'!DY15)</f>
        <v>6684.7</v>
      </c>
      <c r="DZ9" s="14">
        <f>SUM('Entity Inputs'!DZ9,'Entity Inputs'!DZ15)</f>
        <v>2346.7</v>
      </c>
      <c r="EA9" s="14">
        <f>SUM('Entity Inputs'!EA9,'Entity Inputs'!EA15)</f>
        <v>1431.5</v>
      </c>
      <c r="EB9" s="14">
        <f>SUM('Entity Inputs'!EB9,'Entity Inputs'!EB15)</f>
        <v>1889.9</v>
      </c>
      <c r="EC9" s="14">
        <f>SUM('Entity Inputs'!EC9,'Entity Inputs'!EC15)</f>
        <v>140.0</v>
      </c>
      <c r="ED9" s="14">
        <f>SUM('Entity Inputs'!ED9,'Entity Inputs'!ED15)</f>
        <v>134.0</v>
      </c>
      <c r="EE9" s="14">
        <f>SUM('Entity Inputs'!EE9,'Entity Inputs'!EE15)</f>
        <v>4.0</v>
      </c>
      <c r="EF9" s="14">
        <f>SUM('Entity Inputs'!EF9,'Entity Inputs'!EF15)</f>
        <v>0.0</v>
      </c>
      <c r="EG9" s="14">
        <f>SUM('Entity Inputs'!EG9,'Entity Inputs'!EG15)</f>
        <v>3.0</v>
      </c>
      <c r="EH9" s="14">
        <f>SUM('Entity Inputs'!EH9,'Entity Inputs'!EH15)</f>
        <v>1.0</v>
      </c>
      <c r="EI9" s="14">
        <f>SUM('Entity Inputs'!EI9,'Entity Inputs'!EI15)</f>
        <v>0.0</v>
      </c>
      <c r="EJ9" s="14">
        <f>SUM('Entity Inputs'!EJ9,'Entity Inputs'!EJ15)</f>
        <v>0.0</v>
      </c>
      <c r="EK9" s="14">
        <f>SUM('Entity Inputs'!EK9,'Entity Inputs'!EK15)</f>
        <v>0.0</v>
      </c>
      <c r="EL9" s="14">
        <f>SUM('Entity Inputs'!EL9,'Entity Inputs'!EL15)</f>
        <v>1.0</v>
      </c>
      <c r="EM9" s="14">
        <f>SUM('Entity Inputs'!EM9,'Entity Inputs'!EM15)</f>
        <v>0.0</v>
      </c>
      <c r="EN9" s="14">
        <f>SUM('Entity Inputs'!EN9,'Entity Inputs'!EN15)</f>
        <v>0.0</v>
      </c>
      <c r="EO9" s="14">
        <f>SUM('Entity Inputs'!EO9,'Entity Inputs'!EO15)</f>
        <v>0.0</v>
      </c>
      <c r="EP9" s="14">
        <f>SUM('Entity Inputs'!EP9,'Entity Inputs'!EP15)</f>
        <v>0.0</v>
      </c>
      <c r="EQ9" s="14">
        <f>SUM('Entity Inputs'!EQ9,'Entity Inputs'!EQ15)</f>
        <v>3.0</v>
      </c>
      <c r="ER9" s="14">
        <f>SUM('Entity Inputs'!ER9,'Entity Inputs'!ER15)</f>
        <v>2.0</v>
      </c>
      <c r="ES9" s="14">
        <f>SUM('Entity Inputs'!ES9,'Entity Inputs'!ES15)</f>
        <v>0.0</v>
      </c>
      <c r="ET9" s="14">
        <f>SUM('Entity Inputs'!ET9,'Entity Inputs'!ET15)</f>
        <v>1.0</v>
      </c>
      <c r="EU9" s="14">
        <f>SUM('Entity Inputs'!EU9,'Entity Inputs'!EU15)</f>
        <v>7.0</v>
      </c>
      <c r="EV9" s="14">
        <f>SUM('Entity Inputs'!EV9,'Entity Inputs'!EV15)</f>
        <v>0.0</v>
      </c>
      <c r="EW9" s="14">
        <f>SUM('Entity Inputs'!EW9,'Entity Inputs'!EW15)</f>
        <v>1.0</v>
      </c>
      <c r="EX9" s="14">
        <f>SUM('Entity Inputs'!EX9,'Entity Inputs'!EX15)</f>
        <v>1.0</v>
      </c>
      <c r="EY9" s="14">
        <f>SUM('Entity Inputs'!EY9,'Entity Inputs'!EY15)</f>
        <v>108.0</v>
      </c>
      <c r="EZ9" s="14">
        <f>SUM('Entity Inputs'!EZ9,'Entity Inputs'!EZ15)</f>
        <v>95.0</v>
      </c>
      <c r="FA9" s="14">
        <f>SUM('Entity Inputs'!FA9,'Entity Inputs'!FA15)</f>
        <v>5.0</v>
      </c>
      <c r="FB9" s="14">
        <f>SUM('Entity Inputs'!FB9,'Entity Inputs'!FB15)</f>
        <v>166.0</v>
      </c>
      <c r="FC9" s="14">
        <f>SUM('Entity Inputs'!FC9,'Entity Inputs'!FC15)</f>
        <v>56.0</v>
      </c>
      <c r="FD9" s="14">
        <f>SUM('Entity Inputs'!FD9,'Entity Inputs'!FD15)</f>
        <v>47.0</v>
      </c>
      <c r="FE9" s="14">
        <f>SUM('Entity Inputs'!FE9,'Entity Inputs'!FE15)</f>
        <v>52.0</v>
      </c>
      <c r="FF9" s="14">
        <f>SUM('Entity Inputs'!FF9,'Entity Inputs'!FF15)</f>
        <v>2.0</v>
      </c>
      <c r="FG9" s="14">
        <f>SUM('Entity Inputs'!FG9,'Entity Inputs'!FG15)</f>
        <v>1.0</v>
      </c>
      <c r="FH9" s="14">
        <f>SUM('Entity Inputs'!FH9,'Entity Inputs'!FH15)</f>
        <v>1.0</v>
      </c>
      <c r="FI9" s="14">
        <f>SUM('Entity Inputs'!FI9,'Entity Inputs'!FI15)</f>
        <v>1004309.0</v>
      </c>
      <c r="FJ9" s="14">
        <f>SUM('Entity Inputs'!FJ9,'Entity Inputs'!FJ15)</f>
        <v>994443.0</v>
      </c>
      <c r="FK9" s="14">
        <f>SUM('Entity Inputs'!FK9,'Entity Inputs'!FK15)</f>
        <v>820.0</v>
      </c>
      <c r="FL9" s="14">
        <f>SUM('Entity Inputs'!FL9,'Entity Inputs'!FL15)</f>
        <v>787.0</v>
      </c>
      <c r="FM9" s="14">
        <f>SUM('Entity Inputs'!FM9,'Entity Inputs'!FM15)</f>
        <v>1.0</v>
      </c>
      <c r="FN9" s="14">
        <f>SUM('Entity Inputs'!FN9,'Entity Inputs'!FN15)</f>
        <v>1.0</v>
      </c>
      <c r="FO9" s="14">
        <f>SUM('Entity Inputs'!FO9,'Entity Inputs'!FO15)</f>
        <v>0.0</v>
      </c>
      <c r="FP9" s="14">
        <f>SUM('Entity Inputs'!FP9,'Entity Inputs'!FP15)</f>
        <v>11.0</v>
      </c>
      <c r="FQ9" s="14">
        <f>SUM('Entity Inputs'!FQ9,'Entity Inputs'!FQ15)</f>
        <v>27.0</v>
      </c>
      <c r="FR9" s="14">
        <f>SUM('Entity Inputs'!FR9,'Entity Inputs'!FR15)</f>
        <v>11.0</v>
      </c>
      <c r="FS9" s="14">
        <f>SUM('Entity Inputs'!FS9,'Entity Inputs'!FS15)</f>
        <v>1.0</v>
      </c>
      <c r="FT9" s="14">
        <f>SUM('Entity Inputs'!FT9,'Entity Inputs'!FT15)</f>
        <v>2.0</v>
      </c>
      <c r="FU9" s="14">
        <f>SUM('Entity Inputs'!FU9,'Entity Inputs'!FU15)</f>
        <v>2.0</v>
      </c>
      <c r="FV9" s="15">
        <f>AU9-V9-X9-BY9</f>
        <v>396980.3</v>
      </c>
      <c r="FW9" s="15">
        <f>FV9-AX9</f>
        <v>307506.6</v>
      </c>
      <c r="FX9" s="15">
        <f>CJ9+CL9-CK9</f>
        <v>2780986.5999999996</v>
      </c>
      <c r="FY9" s="15">
        <f>FX9-FX8</f>
        <v>17258.599999999627</v>
      </c>
      <c r="FZ9" s="15">
        <f>FV9-BZ9-FY9</f>
        <v>302300.8000000004</v>
      </c>
      <c r="GA9" s="15">
        <f>FZ9-DJ9</f>
        <v>157426.60000000038</v>
      </c>
      <c r="GB9" s="15">
        <f>CB9-CC9</f>
        <v>6649999.999999998</v>
      </c>
      <c r="GC9" s="15">
        <f>SUM(FV$4:FV9)*12/D9</f>
        <v>3520186.4</v>
      </c>
      <c r="GD9" s="15">
        <f>IF(AU9=0,0,CJ9/AU9*C9)</f>
        <v>46.97484110276068</v>
      </c>
      <c r="GE9" s="15">
        <f>IF(V9=0,0,CK9/V9*C9)</f>
        <v>52.14581671066069</v>
      </c>
      <c r="GF9" s="15">
        <f>IF(V9=0,0,CL9/V9*C9)</f>
        <v>37.759825230514444</v>
      </c>
      <c r="GG9" s="15">
        <f>IF(OR(AS9=0,AT9=0,AV9=0),0,100*((AU9/AS9)/(AV9/AT9)-1))</f>
        <v>-0.40366860023611784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FU15"/>
  <sheetViews>
    <sheetView workbookViewId="0">
      <pane xSplit="3" ySplit="3" topLeftCell="D4" activePane="bottomRight" state="frozen"/>
      <selection pane="topRight" activeCell="D1" sqref="D1"/>
      <selection pane="bottomLeft" activeCell="A4" sqref="A4"/>
      <selection pane="bottomRight"/>
    </sheetView>
  </sheetViews>
  <sheetFormatPr defaultRowHeight="15"/>
  <cols>
    <col min="1" max="3" width="10.7109375" customWidth="1"/>
    <col min="4" max="177" width="15.7109375" customWidth="1"/>
  </cols>
  <sheetData>
    <row r="1" spans="1:177" ht="48" customHeight="1">
      <c r="A1" s="9" t="s">
        <v>15</v>
      </c>
      <c r="B1" s="9" t="s">
        <v>17</v>
      </c>
      <c r="C1" s="9" t="s">
        <v>21</v>
      </c>
      <c r="D1" s="9" t="s">
        <v>184</v>
      </c>
      <c r="E1" s="9" t="s">
        <v>26</v>
      </c>
      <c r="F1" s="9" t="s">
        <v>28</v>
      </c>
      <c r="G1" s="9" t="s">
        <v>30</v>
      </c>
      <c r="H1" s="9" t="s">
        <v>32</v>
      </c>
      <c r="I1" s="9" t="s">
        <v>34</v>
      </c>
      <c r="J1" s="9" t="s">
        <v>36</v>
      </c>
      <c r="K1" s="9" t="s">
        <v>38</v>
      </c>
      <c r="L1" s="9" t="s">
        <v>40</v>
      </c>
      <c r="M1" s="9" t="s">
        <v>42</v>
      </c>
      <c r="N1" s="9" t="s">
        <v>44</v>
      </c>
      <c r="O1" s="9" t="s">
        <v>46</v>
      </c>
      <c r="P1" s="9" t="s">
        <v>48</v>
      </c>
      <c r="Q1" s="9" t="s">
        <v>50</v>
      </c>
      <c r="R1" s="9" t="s">
        <v>52</v>
      </c>
      <c r="S1" s="9" t="s">
        <v>54</v>
      </c>
      <c r="T1" s="9" t="s">
        <v>56</v>
      </c>
      <c r="U1" s="9" t="s">
        <v>58</v>
      </c>
      <c r="V1" s="9" t="s">
        <v>60</v>
      </c>
      <c r="W1" s="9" t="s">
        <v>62</v>
      </c>
      <c r="X1" s="9" t="s">
        <v>64</v>
      </c>
      <c r="Y1" s="9" t="s">
        <v>66</v>
      </c>
      <c r="Z1" s="9" t="s">
        <v>68</v>
      </c>
      <c r="AA1" s="9" t="s">
        <v>70</v>
      </c>
      <c r="AB1" s="9" t="s">
        <v>72</v>
      </c>
      <c r="AC1" s="9" t="s">
        <v>74</v>
      </c>
      <c r="AD1" s="9" t="s">
        <v>76</v>
      </c>
      <c r="AE1" s="9" t="s">
        <v>78</v>
      </c>
      <c r="AF1" s="9" t="s">
        <v>80</v>
      </c>
      <c r="AG1" s="9" t="s">
        <v>82</v>
      </c>
      <c r="AH1" s="9" t="s">
        <v>84</v>
      </c>
      <c r="AI1" s="9" t="s">
        <v>86</v>
      </c>
      <c r="AJ1" s="9" t="s">
        <v>88</v>
      </c>
      <c r="AK1" s="9" t="s">
        <v>90</v>
      </c>
      <c r="AL1" s="9" t="s">
        <v>92</v>
      </c>
      <c r="AM1" s="9" t="s">
        <v>94</v>
      </c>
      <c r="AN1" s="9" t="s">
        <v>96</v>
      </c>
      <c r="AO1" s="9" t="s">
        <v>98</v>
      </c>
      <c r="AP1" s="9" t="s">
        <v>100</v>
      </c>
      <c r="AQ1" s="9" t="s">
        <v>102</v>
      </c>
      <c r="AR1" s="9" t="s">
        <v>104</v>
      </c>
      <c r="AS1" s="9" t="s">
        <v>106</v>
      </c>
      <c r="AT1" s="9" t="s">
        <v>108</v>
      </c>
      <c r="AU1" s="9" t="s">
        <v>110</v>
      </c>
      <c r="AV1" s="9" t="s">
        <v>112</v>
      </c>
      <c r="AW1" s="9" t="s">
        <v>114</v>
      </c>
      <c r="AX1" s="9" t="s">
        <v>116</v>
      </c>
      <c r="AY1" s="9" t="s">
        <v>118</v>
      </c>
      <c r="AZ1" s="9" t="s">
        <v>120</v>
      </c>
      <c r="BA1" s="9" t="s">
        <v>122</v>
      </c>
      <c r="BB1" s="9" t="s">
        <v>124</v>
      </c>
      <c r="BC1" s="9" t="s">
        <v>126</v>
      </c>
      <c r="BD1" s="9" t="s">
        <v>128</v>
      </c>
      <c r="BE1" s="9" t="s">
        <v>130</v>
      </c>
      <c r="BF1" s="9" t="s">
        <v>132</v>
      </c>
      <c r="BG1" s="9" t="s">
        <v>134</v>
      </c>
      <c r="BH1" s="9" t="s">
        <v>136</v>
      </c>
      <c r="BI1" s="9" t="s">
        <v>138</v>
      </c>
      <c r="BJ1" s="9" t="s">
        <v>140</v>
      </c>
      <c r="BK1" s="9" t="s">
        <v>142</v>
      </c>
      <c r="BL1" s="9" t="s">
        <v>144</v>
      </c>
      <c r="BM1" s="9" t="s">
        <v>146</v>
      </c>
      <c r="BN1" s="9" t="s">
        <v>148</v>
      </c>
      <c r="BO1" s="9" t="s">
        <v>150</v>
      </c>
      <c r="BP1" s="9" t="s">
        <v>152</v>
      </c>
      <c r="BQ1" s="9" t="s">
        <v>154</v>
      </c>
      <c r="BR1" s="9" t="s">
        <v>156</v>
      </c>
      <c r="BS1" s="9" t="s">
        <v>158</v>
      </c>
      <c r="BT1" s="9" t="s">
        <v>160</v>
      </c>
      <c r="BU1" s="9" t="s">
        <v>162</v>
      </c>
      <c r="BV1" s="9" t="s">
        <v>164</v>
      </c>
      <c r="BW1" s="9" t="s">
        <v>166</v>
      </c>
      <c r="BX1" s="9" t="s">
        <v>168</v>
      </c>
      <c r="BY1" s="9" t="s">
        <v>188</v>
      </c>
      <c r="BZ1" s="9" t="s">
        <v>191</v>
      </c>
      <c r="CA1" s="9" t="s">
        <v>193</v>
      </c>
      <c r="CB1" s="9" t="s">
        <v>195</v>
      </c>
      <c r="CC1" s="9" t="s">
        <v>197</v>
      </c>
      <c r="CD1" s="9" t="s">
        <v>199</v>
      </c>
      <c r="CE1" s="9" t="s">
        <v>201</v>
      </c>
      <c r="CF1" s="9" t="s">
        <v>203</v>
      </c>
      <c r="CG1" s="9" t="s">
        <v>205</v>
      </c>
      <c r="CH1" s="9" t="s">
        <v>207</v>
      </c>
      <c r="CI1" s="9" t="s">
        <v>209</v>
      </c>
      <c r="CJ1" s="9" t="s">
        <v>211</v>
      </c>
      <c r="CK1" s="9" t="s">
        <v>213</v>
      </c>
      <c r="CL1" s="9" t="s">
        <v>215</v>
      </c>
      <c r="CM1" s="9" t="s">
        <v>217</v>
      </c>
      <c r="CN1" s="9" t="s">
        <v>219</v>
      </c>
      <c r="CO1" s="9" t="s">
        <v>221</v>
      </c>
      <c r="CP1" s="9" t="s">
        <v>223</v>
      </c>
      <c r="CQ1" s="9" t="s">
        <v>225</v>
      </c>
      <c r="CR1" s="9" t="s">
        <v>227</v>
      </c>
      <c r="CS1" s="9" t="s">
        <v>229</v>
      </c>
      <c r="CT1" s="9" t="s">
        <v>231</v>
      </c>
      <c r="CU1" s="9" t="s">
        <v>233</v>
      </c>
      <c r="CV1" s="9" t="s">
        <v>235</v>
      </c>
      <c r="CW1" s="9" t="s">
        <v>237</v>
      </c>
      <c r="CX1" s="9" t="s">
        <v>239</v>
      </c>
      <c r="CY1" s="9" t="s">
        <v>241</v>
      </c>
      <c r="CZ1" s="9" t="s">
        <v>243</v>
      </c>
      <c r="DA1" s="9" t="s">
        <v>245</v>
      </c>
      <c r="DB1" s="9" t="s">
        <v>247</v>
      </c>
      <c r="DC1" s="9" t="s">
        <v>249</v>
      </c>
      <c r="DD1" s="9" t="s">
        <v>251</v>
      </c>
      <c r="DE1" s="9" t="s">
        <v>253</v>
      </c>
      <c r="DF1" s="9" t="s">
        <v>255</v>
      </c>
      <c r="DG1" s="9" t="s">
        <v>257</v>
      </c>
      <c r="DH1" s="9" t="s">
        <v>259</v>
      </c>
      <c r="DI1" s="9" t="s">
        <v>261</v>
      </c>
      <c r="DJ1" s="9" t="s">
        <v>263</v>
      </c>
      <c r="DK1" s="9" t="s">
        <v>265</v>
      </c>
      <c r="DL1" s="9" t="s">
        <v>267</v>
      </c>
      <c r="DM1" s="9" t="s">
        <v>269</v>
      </c>
      <c r="DN1" s="9" t="s">
        <v>271</v>
      </c>
      <c r="DO1" s="9" t="s">
        <v>273</v>
      </c>
      <c r="DP1" s="9" t="s">
        <v>275</v>
      </c>
      <c r="DQ1" s="9" t="s">
        <v>277</v>
      </c>
      <c r="DR1" s="9" t="s">
        <v>279</v>
      </c>
      <c r="DS1" s="9" t="s">
        <v>281</v>
      </c>
      <c r="DT1" s="9" t="s">
        <v>283</v>
      </c>
      <c r="DU1" s="9" t="s">
        <v>285</v>
      </c>
      <c r="DV1" s="9" t="s">
        <v>287</v>
      </c>
      <c r="DW1" s="9" t="s">
        <v>289</v>
      </c>
      <c r="DX1" s="9" t="s">
        <v>291</v>
      </c>
      <c r="DY1" s="9" t="s">
        <v>293</v>
      </c>
      <c r="DZ1" s="9" t="s">
        <v>295</v>
      </c>
      <c r="EA1" s="9" t="s">
        <v>297</v>
      </c>
      <c r="EB1" s="9" t="s">
        <v>299</v>
      </c>
      <c r="EC1" s="9" t="s">
        <v>301</v>
      </c>
      <c r="ED1" s="9" t="s">
        <v>303</v>
      </c>
      <c r="EE1" s="9" t="s">
        <v>305</v>
      </c>
      <c r="EF1" s="9" t="s">
        <v>307</v>
      </c>
      <c r="EG1" s="9" t="s">
        <v>309</v>
      </c>
      <c r="EH1" s="9" t="s">
        <v>311</v>
      </c>
      <c r="EI1" s="9" t="s">
        <v>313</v>
      </c>
      <c r="EJ1" s="9" t="s">
        <v>315</v>
      </c>
      <c r="EK1" s="9" t="s">
        <v>317</v>
      </c>
      <c r="EL1" s="9" t="s">
        <v>319</v>
      </c>
      <c r="EM1" s="9" t="s">
        <v>321</v>
      </c>
      <c r="EN1" s="9" t="s">
        <v>323</v>
      </c>
      <c r="EO1" s="9" t="s">
        <v>325</v>
      </c>
      <c r="EP1" s="9" t="s">
        <v>327</v>
      </c>
      <c r="EQ1" s="9" t="s">
        <v>329</v>
      </c>
      <c r="ER1" s="9" t="s">
        <v>331</v>
      </c>
      <c r="ES1" s="9" t="s">
        <v>333</v>
      </c>
      <c r="ET1" s="9" t="s">
        <v>335</v>
      </c>
      <c r="EU1" s="9" t="s">
        <v>337</v>
      </c>
      <c r="EV1" s="9" t="s">
        <v>339</v>
      </c>
      <c r="EW1" s="9" t="s">
        <v>341</v>
      </c>
      <c r="EX1" s="9" t="s">
        <v>343</v>
      </c>
      <c r="EY1" s="9" t="s">
        <v>345</v>
      </c>
      <c r="EZ1" s="9" t="s">
        <v>347</v>
      </c>
      <c r="FA1" s="9" t="s">
        <v>349</v>
      </c>
      <c r="FB1" s="9" t="s">
        <v>351</v>
      </c>
      <c r="FC1" s="9" t="s">
        <v>353</v>
      </c>
      <c r="FD1" s="9" t="s">
        <v>355</v>
      </c>
      <c r="FE1" s="9" t="s">
        <v>357</v>
      </c>
      <c r="FF1" s="9" t="s">
        <v>359</v>
      </c>
      <c r="FG1" s="9" t="s">
        <v>361</v>
      </c>
      <c r="FH1" s="9" t="s">
        <v>363</v>
      </c>
      <c r="FI1" s="9" t="s">
        <v>365</v>
      </c>
      <c r="FJ1" s="9" t="s">
        <v>367</v>
      </c>
      <c r="FK1" s="9" t="s">
        <v>369</v>
      </c>
      <c r="FL1" s="9" t="s">
        <v>371</v>
      </c>
      <c r="FM1" s="9" t="s">
        <v>373</v>
      </c>
      <c r="FN1" s="9" t="s">
        <v>375</v>
      </c>
      <c r="FO1" s="9" t="s">
        <v>377</v>
      </c>
      <c r="FP1" s="9" t="s">
        <v>379</v>
      </c>
      <c r="FQ1" s="9" t="s">
        <v>381</v>
      </c>
      <c r="FR1" s="9" t="s">
        <v>383</v>
      </c>
      <c r="FS1" s="9" t="s">
        <v>385</v>
      </c>
      <c r="FT1" s="9" t="s">
        <v>387</v>
      </c>
      <c r="FU1" s="9" t="s">
        <v>389</v>
      </c>
    </row>
    <row r="2" spans="1:177">
      <c r="A2" s="11" t="s">
        <v>16</v>
      </c>
      <c r="B2" s="11" t="s">
        <v>18</v>
      </c>
      <c r="C2" s="11" t="s">
        <v>22</v>
      </c>
      <c r="D2" s="11" t="s">
        <v>185</v>
      </c>
      <c r="E2" s="11" t="s">
        <v>27</v>
      </c>
      <c r="F2" s="11" t="s">
        <v>29</v>
      </c>
      <c r="G2" s="11" t="s">
        <v>31</v>
      </c>
      <c r="H2" s="11" t="s">
        <v>33</v>
      </c>
      <c r="I2" s="11" t="s">
        <v>35</v>
      </c>
      <c r="J2" s="11" t="s">
        <v>37</v>
      </c>
      <c r="K2" s="11" t="s">
        <v>39</v>
      </c>
      <c r="L2" s="11" t="s">
        <v>41</v>
      </c>
      <c r="M2" s="11" t="s">
        <v>43</v>
      </c>
      <c r="N2" s="11" t="s">
        <v>45</v>
      </c>
      <c r="O2" s="11" t="s">
        <v>47</v>
      </c>
      <c r="P2" s="11" t="s">
        <v>49</v>
      </c>
      <c r="Q2" s="11" t="s">
        <v>51</v>
      </c>
      <c r="R2" s="11" t="s">
        <v>53</v>
      </c>
      <c r="S2" s="11" t="s">
        <v>55</v>
      </c>
      <c r="T2" s="11" t="s">
        <v>57</v>
      </c>
      <c r="U2" s="11" t="s">
        <v>59</v>
      </c>
      <c r="V2" s="11" t="s">
        <v>61</v>
      </c>
      <c r="W2" s="11" t="s">
        <v>63</v>
      </c>
      <c r="X2" s="11" t="s">
        <v>65</v>
      </c>
      <c r="Y2" s="11" t="s">
        <v>67</v>
      </c>
      <c r="Z2" s="11" t="s">
        <v>69</v>
      </c>
      <c r="AA2" s="11" t="s">
        <v>71</v>
      </c>
      <c r="AB2" s="11" t="s">
        <v>73</v>
      </c>
      <c r="AC2" s="11" t="s">
        <v>75</v>
      </c>
      <c r="AD2" s="11" t="s">
        <v>77</v>
      </c>
      <c r="AE2" s="11" t="s">
        <v>79</v>
      </c>
      <c r="AF2" s="11" t="s">
        <v>81</v>
      </c>
      <c r="AG2" s="11" t="s">
        <v>83</v>
      </c>
      <c r="AH2" s="11" t="s">
        <v>85</v>
      </c>
      <c r="AI2" s="11" t="s">
        <v>87</v>
      </c>
      <c r="AJ2" s="11" t="s">
        <v>89</v>
      </c>
      <c r="AK2" s="11" t="s">
        <v>91</v>
      </c>
      <c r="AL2" s="11" t="s">
        <v>93</v>
      </c>
      <c r="AM2" s="11" t="s">
        <v>95</v>
      </c>
      <c r="AN2" s="11" t="s">
        <v>97</v>
      </c>
      <c r="AO2" s="11" t="s">
        <v>99</v>
      </c>
      <c r="AP2" s="11" t="s">
        <v>101</v>
      </c>
      <c r="AQ2" s="11" t="s">
        <v>103</v>
      </c>
      <c r="AR2" s="11" t="s">
        <v>105</v>
      </c>
      <c r="AS2" s="11" t="s">
        <v>107</v>
      </c>
      <c r="AT2" s="11" t="s">
        <v>109</v>
      </c>
      <c r="AU2" s="11" t="s">
        <v>111</v>
      </c>
      <c r="AV2" s="11" t="s">
        <v>113</v>
      </c>
      <c r="AW2" s="11" t="s">
        <v>115</v>
      </c>
      <c r="AX2" s="11" t="s">
        <v>117</v>
      </c>
      <c r="AY2" s="11" t="s">
        <v>119</v>
      </c>
      <c r="AZ2" s="11" t="s">
        <v>121</v>
      </c>
      <c r="BA2" s="11" t="s">
        <v>123</v>
      </c>
      <c r="BB2" s="11" t="s">
        <v>125</v>
      </c>
      <c r="BC2" s="11" t="s">
        <v>127</v>
      </c>
      <c r="BD2" s="11" t="s">
        <v>129</v>
      </c>
      <c r="BE2" s="11" t="s">
        <v>131</v>
      </c>
      <c r="BF2" s="11" t="s">
        <v>133</v>
      </c>
      <c r="BG2" s="11" t="s">
        <v>135</v>
      </c>
      <c r="BH2" s="11" t="s">
        <v>137</v>
      </c>
      <c r="BI2" s="11" t="s">
        <v>139</v>
      </c>
      <c r="BJ2" s="11" t="s">
        <v>141</v>
      </c>
      <c r="BK2" s="11" t="s">
        <v>143</v>
      </c>
      <c r="BL2" s="11" t="s">
        <v>145</v>
      </c>
      <c r="BM2" s="11" t="s">
        <v>147</v>
      </c>
      <c r="BN2" s="11" t="s">
        <v>149</v>
      </c>
      <c r="BO2" s="11" t="s">
        <v>151</v>
      </c>
      <c r="BP2" s="11" t="s">
        <v>153</v>
      </c>
      <c r="BQ2" s="11" t="s">
        <v>155</v>
      </c>
      <c r="BR2" s="11" t="s">
        <v>157</v>
      </c>
      <c r="BS2" s="11" t="s">
        <v>159</v>
      </c>
      <c r="BT2" s="11" t="s">
        <v>161</v>
      </c>
      <c r="BU2" s="11" t="s">
        <v>163</v>
      </c>
      <c r="BV2" s="11" t="s">
        <v>165</v>
      </c>
      <c r="BW2" s="11" t="s">
        <v>167</v>
      </c>
      <c r="BX2" s="11" t="s">
        <v>169</v>
      </c>
      <c r="BY2" s="11" t="s">
        <v>189</v>
      </c>
      <c r="BZ2" s="11" t="s">
        <v>192</v>
      </c>
      <c r="CA2" s="11" t="s">
        <v>194</v>
      </c>
      <c r="CB2" s="11" t="s">
        <v>196</v>
      </c>
      <c r="CC2" s="11" t="s">
        <v>198</v>
      </c>
      <c r="CD2" s="11" t="s">
        <v>200</v>
      </c>
      <c r="CE2" s="11" t="s">
        <v>202</v>
      </c>
      <c r="CF2" s="11" t="s">
        <v>204</v>
      </c>
      <c r="CG2" s="11" t="s">
        <v>206</v>
      </c>
      <c r="CH2" s="11" t="s">
        <v>208</v>
      </c>
      <c r="CI2" s="11" t="s">
        <v>210</v>
      </c>
      <c r="CJ2" s="11" t="s">
        <v>212</v>
      </c>
      <c r="CK2" s="11" t="s">
        <v>214</v>
      </c>
      <c r="CL2" s="11" t="s">
        <v>216</v>
      </c>
      <c r="CM2" s="11" t="s">
        <v>218</v>
      </c>
      <c r="CN2" s="11" t="s">
        <v>220</v>
      </c>
      <c r="CO2" s="11" t="s">
        <v>222</v>
      </c>
      <c r="CP2" s="11" t="s">
        <v>224</v>
      </c>
      <c r="CQ2" s="11" t="s">
        <v>226</v>
      </c>
      <c r="CR2" s="11" t="s">
        <v>228</v>
      </c>
      <c r="CS2" s="11" t="s">
        <v>230</v>
      </c>
      <c r="CT2" s="11" t="s">
        <v>232</v>
      </c>
      <c r="CU2" s="11" t="s">
        <v>234</v>
      </c>
      <c r="CV2" s="11" t="s">
        <v>236</v>
      </c>
      <c r="CW2" s="11" t="s">
        <v>238</v>
      </c>
      <c r="CX2" s="11" t="s">
        <v>240</v>
      </c>
      <c r="CY2" s="11" t="s">
        <v>242</v>
      </c>
      <c r="CZ2" s="11" t="s">
        <v>244</v>
      </c>
      <c r="DA2" s="11" t="s">
        <v>246</v>
      </c>
      <c r="DB2" s="11" t="s">
        <v>248</v>
      </c>
      <c r="DC2" s="11" t="s">
        <v>250</v>
      </c>
      <c r="DD2" s="11" t="s">
        <v>252</v>
      </c>
      <c r="DE2" s="11" t="s">
        <v>254</v>
      </c>
      <c r="DF2" s="11" t="s">
        <v>256</v>
      </c>
      <c r="DG2" s="11" t="s">
        <v>258</v>
      </c>
      <c r="DH2" s="11" t="s">
        <v>260</v>
      </c>
      <c r="DI2" s="11" t="s">
        <v>262</v>
      </c>
      <c r="DJ2" s="11" t="s">
        <v>264</v>
      </c>
      <c r="DK2" s="11" t="s">
        <v>266</v>
      </c>
      <c r="DL2" s="11" t="s">
        <v>268</v>
      </c>
      <c r="DM2" s="11" t="s">
        <v>270</v>
      </c>
      <c r="DN2" s="11" t="s">
        <v>272</v>
      </c>
      <c r="DO2" s="11" t="s">
        <v>274</v>
      </c>
      <c r="DP2" s="11" t="s">
        <v>276</v>
      </c>
      <c r="DQ2" s="11" t="s">
        <v>278</v>
      </c>
      <c r="DR2" s="11" t="s">
        <v>280</v>
      </c>
      <c r="DS2" s="11" t="s">
        <v>282</v>
      </c>
      <c r="DT2" s="11" t="s">
        <v>284</v>
      </c>
      <c r="DU2" s="11" t="s">
        <v>286</v>
      </c>
      <c r="DV2" s="11" t="s">
        <v>288</v>
      </c>
      <c r="DW2" s="11" t="s">
        <v>290</v>
      </c>
      <c r="DX2" s="11" t="s">
        <v>292</v>
      </c>
      <c r="DY2" s="11" t="s">
        <v>294</v>
      </c>
      <c r="DZ2" s="11" t="s">
        <v>296</v>
      </c>
      <c r="EA2" s="11" t="s">
        <v>298</v>
      </c>
      <c r="EB2" s="11" t="s">
        <v>300</v>
      </c>
      <c r="EC2" s="11" t="s">
        <v>302</v>
      </c>
      <c r="ED2" s="11" t="s">
        <v>304</v>
      </c>
      <c r="EE2" s="11" t="s">
        <v>306</v>
      </c>
      <c r="EF2" s="11" t="s">
        <v>308</v>
      </c>
      <c r="EG2" s="11" t="s">
        <v>310</v>
      </c>
      <c r="EH2" s="11" t="s">
        <v>312</v>
      </c>
      <c r="EI2" s="11" t="s">
        <v>314</v>
      </c>
      <c r="EJ2" s="11" t="s">
        <v>316</v>
      </c>
      <c r="EK2" s="11" t="s">
        <v>318</v>
      </c>
      <c r="EL2" s="11" t="s">
        <v>320</v>
      </c>
      <c r="EM2" s="11" t="s">
        <v>322</v>
      </c>
      <c r="EN2" s="11" t="s">
        <v>324</v>
      </c>
      <c r="EO2" s="11" t="s">
        <v>326</v>
      </c>
      <c r="EP2" s="11" t="s">
        <v>328</v>
      </c>
      <c r="EQ2" s="11" t="s">
        <v>330</v>
      </c>
      <c r="ER2" s="11" t="s">
        <v>332</v>
      </c>
      <c r="ES2" s="11" t="s">
        <v>334</v>
      </c>
      <c r="ET2" s="11" t="s">
        <v>336</v>
      </c>
      <c r="EU2" s="11" t="s">
        <v>338</v>
      </c>
      <c r="EV2" s="11" t="s">
        <v>340</v>
      </c>
      <c r="EW2" s="11" t="s">
        <v>342</v>
      </c>
      <c r="EX2" s="11" t="s">
        <v>344</v>
      </c>
      <c r="EY2" s="11" t="s">
        <v>346</v>
      </c>
      <c r="EZ2" s="11" t="s">
        <v>348</v>
      </c>
      <c r="FA2" s="11" t="s">
        <v>350</v>
      </c>
      <c r="FB2" s="11" t="s">
        <v>352</v>
      </c>
      <c r="FC2" s="11" t="s">
        <v>354</v>
      </c>
      <c r="FD2" s="11" t="s">
        <v>356</v>
      </c>
      <c r="FE2" s="11" t="s">
        <v>358</v>
      </c>
      <c r="FF2" s="11" t="s">
        <v>360</v>
      </c>
      <c r="FG2" s="11" t="s">
        <v>362</v>
      </c>
      <c r="FH2" s="11" t="s">
        <v>364</v>
      </c>
      <c r="FI2" s="11" t="s">
        <v>366</v>
      </c>
      <c r="FJ2" s="11" t="s">
        <v>368</v>
      </c>
      <c r="FK2" s="11" t="s">
        <v>370</v>
      </c>
      <c r="FL2" s="11" t="s">
        <v>372</v>
      </c>
      <c r="FM2" s="11" t="s">
        <v>374</v>
      </c>
      <c r="FN2" s="11" t="s">
        <v>376</v>
      </c>
      <c r="FO2" s="11" t="s">
        <v>378</v>
      </c>
      <c r="FP2" s="11" t="s">
        <v>380</v>
      </c>
      <c r="FQ2" s="11" t="s">
        <v>382</v>
      </c>
      <c r="FR2" s="11" t="s">
        <v>384</v>
      </c>
      <c r="FS2" s="11" t="s">
        <v>386</v>
      </c>
      <c r="FT2" s="11" t="s">
        <v>388</v>
      </c>
      <c r="FU2" s="11" t="s">
        <v>390</v>
      </c>
    </row>
    <row r="3" spans="1:177" ht="45" customHeight="1">
      <c r="A3" s="9"/>
      <c r="B3" s="9"/>
      <c r="C3" s="9"/>
      <c r="D3" s="9"/>
      <c r="E3" s="12" t="s">
        <v>186</v>
      </c>
      <c r="F3" s="12" t="s">
        <v>186</v>
      </c>
      <c r="G3" s="12" t="s">
        <v>186</v>
      </c>
      <c r="H3" s="12" t="s">
        <v>186</v>
      </c>
      <c r="I3" s="12" t="s">
        <v>186</v>
      </c>
      <c r="J3" s="12" t="s">
        <v>186</v>
      </c>
      <c r="K3" s="12" t="s">
        <v>186</v>
      </c>
      <c r="L3" s="12" t="s">
        <v>186</v>
      </c>
      <c r="M3" s="12" t="s">
        <v>186</v>
      </c>
      <c r="N3" s="12" t="s">
        <v>186</v>
      </c>
      <c r="O3" s="12" t="s">
        <v>186</v>
      </c>
      <c r="P3" s="12" t="s">
        <v>186</v>
      </c>
      <c r="Q3" s="12" t="s">
        <v>186</v>
      </c>
      <c r="R3" s="12" t="s">
        <v>186</v>
      </c>
      <c r="S3" s="12" t="s">
        <v>186</v>
      </c>
      <c r="T3" s="12" t="s">
        <v>186</v>
      </c>
      <c r="U3" s="12" t="s">
        <v>186</v>
      </c>
      <c r="V3" s="12" t="s">
        <v>186</v>
      </c>
      <c r="W3" s="12" t="s">
        <v>186</v>
      </c>
      <c r="X3" s="12" t="s">
        <v>186</v>
      </c>
      <c r="Y3" s="12" t="s">
        <v>186</v>
      </c>
      <c r="Z3" s="12" t="s">
        <v>186</v>
      </c>
      <c r="AA3" s="12" t="s">
        <v>186</v>
      </c>
      <c r="AB3" s="12" t="s">
        <v>186</v>
      </c>
      <c r="AC3" s="12" t="s">
        <v>186</v>
      </c>
      <c r="AD3" s="12" t="s">
        <v>186</v>
      </c>
      <c r="AE3" s="12" t="s">
        <v>186</v>
      </c>
      <c r="AF3" s="12" t="s">
        <v>186</v>
      </c>
      <c r="AG3" s="12" t="s">
        <v>186</v>
      </c>
      <c r="AH3" s="12" t="s">
        <v>186</v>
      </c>
      <c r="AI3" s="12" t="s">
        <v>186</v>
      </c>
      <c r="AJ3" s="12" t="s">
        <v>186</v>
      </c>
      <c r="AK3" s="12" t="s">
        <v>186</v>
      </c>
      <c r="AL3" s="12" t="s">
        <v>186</v>
      </c>
      <c r="AM3" s="12" t="s">
        <v>186</v>
      </c>
      <c r="AN3" s="12" t="s">
        <v>186</v>
      </c>
      <c r="AO3" s="12" t="s">
        <v>186</v>
      </c>
      <c r="AP3" s="12" t="s">
        <v>186</v>
      </c>
      <c r="AQ3" s="12" t="s">
        <v>186</v>
      </c>
      <c r="AR3" s="12" t="s">
        <v>187</v>
      </c>
      <c r="AS3" s="12" t="s">
        <v>186</v>
      </c>
      <c r="AT3" s="12" t="s">
        <v>186</v>
      </c>
      <c r="AU3" s="12" t="s">
        <v>186</v>
      </c>
      <c r="AV3" s="12" t="s">
        <v>186</v>
      </c>
      <c r="AW3" s="12" t="s">
        <v>186</v>
      </c>
      <c r="AX3" s="12" t="s">
        <v>186</v>
      </c>
      <c r="AY3" s="12" t="s">
        <v>186</v>
      </c>
      <c r="AZ3" s="12" t="s">
        <v>186</v>
      </c>
      <c r="BA3" s="12" t="s">
        <v>186</v>
      </c>
      <c r="BB3" s="12" t="s">
        <v>186</v>
      </c>
      <c r="BC3" s="12" t="s">
        <v>186</v>
      </c>
      <c r="BD3" s="12" t="s">
        <v>186</v>
      </c>
      <c r="BE3" s="12" t="s">
        <v>186</v>
      </c>
      <c r="BF3" s="12" t="s">
        <v>186</v>
      </c>
      <c r="BG3" s="12" t="s">
        <v>186</v>
      </c>
      <c r="BH3" s="12" t="s">
        <v>186</v>
      </c>
      <c r="BI3" s="12" t="s">
        <v>186</v>
      </c>
      <c r="BJ3" s="12" t="s">
        <v>186</v>
      </c>
      <c r="BK3" s="12" t="s">
        <v>186</v>
      </c>
      <c r="BL3" s="12" t="s">
        <v>186</v>
      </c>
      <c r="BM3" s="12" t="s">
        <v>186</v>
      </c>
      <c r="BN3" s="12" t="s">
        <v>186</v>
      </c>
      <c r="BO3" s="12" t="s">
        <v>186</v>
      </c>
      <c r="BP3" s="12" t="s">
        <v>186</v>
      </c>
      <c r="BQ3" s="12" t="s">
        <v>186</v>
      </c>
      <c r="BR3" s="12" t="s">
        <v>186</v>
      </c>
      <c r="BS3" s="12" t="s">
        <v>187</v>
      </c>
      <c r="BT3" s="12" t="s">
        <v>186</v>
      </c>
      <c r="BU3" s="12" t="s">
        <v>186</v>
      </c>
      <c r="BV3" s="12" t="s">
        <v>186</v>
      </c>
      <c r="BW3" s="12" t="s">
        <v>186</v>
      </c>
      <c r="BX3" s="12" t="s">
        <v>186</v>
      </c>
      <c r="BY3" s="13" t="s">
        <v>190</v>
      </c>
      <c r="BZ3" s="13" t="s">
        <v>190</v>
      </c>
      <c r="CA3" s="13" t="s">
        <v>190</v>
      </c>
      <c r="CB3" s="13" t="s">
        <v>190</v>
      </c>
      <c r="CC3" s="13" t="s">
        <v>190</v>
      </c>
      <c r="CD3" s="13" t="s">
        <v>190</v>
      </c>
      <c r="CE3" s="13" t="s">
        <v>190</v>
      </c>
      <c r="CF3" s="13" t="s">
        <v>190</v>
      </c>
      <c r="CG3" s="13" t="s">
        <v>190</v>
      </c>
      <c r="CH3" s="13" t="s">
        <v>190</v>
      </c>
      <c r="CI3" s="13" t="s">
        <v>190</v>
      </c>
      <c r="CJ3" s="13" t="s">
        <v>190</v>
      </c>
      <c r="CK3" s="13" t="s">
        <v>190</v>
      </c>
      <c r="CL3" s="13" t="s">
        <v>190</v>
      </c>
      <c r="CM3" s="13" t="s">
        <v>190</v>
      </c>
      <c r="CN3" s="13" t="s">
        <v>190</v>
      </c>
      <c r="CO3" s="13" t="s">
        <v>190</v>
      </c>
      <c r="CP3" s="13" t="s">
        <v>190</v>
      </c>
      <c r="CQ3" s="13" t="s">
        <v>190</v>
      </c>
      <c r="CR3" s="13" t="s">
        <v>190</v>
      </c>
      <c r="CS3" s="13" t="s">
        <v>190</v>
      </c>
      <c r="CT3" s="13" t="s">
        <v>190</v>
      </c>
      <c r="CU3" s="13" t="s">
        <v>190</v>
      </c>
      <c r="CV3" s="13" t="s">
        <v>190</v>
      </c>
      <c r="CW3" s="13" t="s">
        <v>190</v>
      </c>
      <c r="CX3" s="13" t="s">
        <v>190</v>
      </c>
      <c r="CY3" s="13" t="s">
        <v>190</v>
      </c>
      <c r="CZ3" s="13" t="s">
        <v>190</v>
      </c>
      <c r="DA3" s="13" t="s">
        <v>190</v>
      </c>
      <c r="DB3" s="13" t="s">
        <v>190</v>
      </c>
      <c r="DC3" s="13" t="s">
        <v>190</v>
      </c>
      <c r="DD3" s="13" t="s">
        <v>190</v>
      </c>
      <c r="DE3" s="13" t="s">
        <v>190</v>
      </c>
      <c r="DF3" s="13" t="s">
        <v>190</v>
      </c>
      <c r="DG3" s="13" t="s">
        <v>190</v>
      </c>
      <c r="DH3" s="13" t="s">
        <v>190</v>
      </c>
      <c r="DI3" s="13" t="s">
        <v>190</v>
      </c>
      <c r="DJ3" s="13" t="s">
        <v>190</v>
      </c>
      <c r="DK3" s="13" t="s">
        <v>190</v>
      </c>
      <c r="DL3" s="13" t="s">
        <v>190</v>
      </c>
      <c r="DM3" s="13" t="s">
        <v>190</v>
      </c>
      <c r="DN3" s="13" t="s">
        <v>190</v>
      </c>
      <c r="DO3" s="13" t="s">
        <v>190</v>
      </c>
      <c r="DP3" s="13" t="s">
        <v>190</v>
      </c>
      <c r="DQ3" s="13" t="s">
        <v>190</v>
      </c>
      <c r="DR3" s="13" t="s">
        <v>190</v>
      </c>
      <c r="DS3" s="13" t="s">
        <v>190</v>
      </c>
      <c r="DT3" s="13" t="s">
        <v>190</v>
      </c>
      <c r="DU3" s="13" t="s">
        <v>190</v>
      </c>
      <c r="DV3" s="13" t="s">
        <v>190</v>
      </c>
      <c r="DW3" s="13" t="s">
        <v>190</v>
      </c>
      <c r="DX3" s="13" t="s">
        <v>190</v>
      </c>
      <c r="DY3" s="13" t="s">
        <v>190</v>
      </c>
      <c r="DZ3" s="13" t="s">
        <v>190</v>
      </c>
      <c r="EA3" s="13" t="s">
        <v>190</v>
      </c>
      <c r="EB3" s="13" t="s">
        <v>190</v>
      </c>
      <c r="EC3" s="13" t="s">
        <v>190</v>
      </c>
      <c r="ED3" s="13" t="s">
        <v>190</v>
      </c>
      <c r="EE3" s="13" t="s">
        <v>190</v>
      </c>
      <c r="EF3" s="13" t="s">
        <v>190</v>
      </c>
      <c r="EG3" s="13" t="s">
        <v>190</v>
      </c>
      <c r="EH3" s="13" t="s">
        <v>190</v>
      </c>
      <c r="EI3" s="13" t="s">
        <v>190</v>
      </c>
      <c r="EJ3" s="13" t="s">
        <v>190</v>
      </c>
      <c r="EK3" s="13" t="s">
        <v>190</v>
      </c>
      <c r="EL3" s="13" t="s">
        <v>190</v>
      </c>
      <c r="EM3" s="13" t="s">
        <v>190</v>
      </c>
      <c r="EN3" s="13" t="s">
        <v>190</v>
      </c>
      <c r="EO3" s="13" t="s">
        <v>190</v>
      </c>
      <c r="EP3" s="13" t="s">
        <v>190</v>
      </c>
      <c r="EQ3" s="13" t="s">
        <v>190</v>
      </c>
      <c r="ER3" s="13" t="s">
        <v>190</v>
      </c>
      <c r="ES3" s="13" t="s">
        <v>190</v>
      </c>
      <c r="ET3" s="13" t="s">
        <v>190</v>
      </c>
      <c r="EU3" s="13" t="s">
        <v>190</v>
      </c>
      <c r="EV3" s="13" t="s">
        <v>190</v>
      </c>
      <c r="EW3" s="13" t="s">
        <v>190</v>
      </c>
      <c r="EX3" s="13" t="s">
        <v>190</v>
      </c>
      <c r="EY3" s="13" t="s">
        <v>190</v>
      </c>
      <c r="EZ3" s="13" t="s">
        <v>190</v>
      </c>
      <c r="FA3" s="13" t="s">
        <v>190</v>
      </c>
      <c r="FB3" s="13" t="s">
        <v>190</v>
      </c>
      <c r="FC3" s="13" t="s">
        <v>190</v>
      </c>
      <c r="FD3" s="13" t="s">
        <v>190</v>
      </c>
      <c r="FE3" s="13" t="s">
        <v>190</v>
      </c>
      <c r="FF3" s="13" t="s">
        <v>190</v>
      </c>
      <c r="FG3" s="13" t="s">
        <v>190</v>
      </c>
      <c r="FH3" s="13" t="s">
        <v>190</v>
      </c>
      <c r="FI3" s="13" t="s">
        <v>190</v>
      </c>
      <c r="FJ3" s="13" t="s">
        <v>190</v>
      </c>
      <c r="FK3" s="13" t="s">
        <v>190</v>
      </c>
      <c r="FL3" s="13" t="s">
        <v>190</v>
      </c>
      <c r="FM3" s="13" t="s">
        <v>190</v>
      </c>
      <c r="FN3" s="13" t="s">
        <v>190</v>
      </c>
      <c r="FO3" s="13" t="s">
        <v>190</v>
      </c>
      <c r="FP3" s="13" t="s">
        <v>190</v>
      </c>
      <c r="FQ3" s="13" t="s">
        <v>190</v>
      </c>
      <c r="FR3" s="13" t="s">
        <v>190</v>
      </c>
      <c r="FS3" s="13" t="s">
        <v>190</v>
      </c>
      <c r="FT3" s="13" t="s">
        <v>190</v>
      </c>
      <c r="FU3" s="13" t="s">
        <v>190</v>
      </c>
    </row>
    <row r="4" spans="1:177">
      <c r="A4" t="s">
        <v>15</v>
      </c>
      <c r="B4" t="s">
        <v>170</v>
      </c>
      <c r="C4" t="s">
        <v>172</v>
      </c>
      <c r="D4">
        <v>30</v>
      </c>
      <c r="E4" s="14">
        <f>SUM('Plant Inputs'!F4,'Plant Inputs'!F10,'Plant Inputs'!F16)</f>
        <v>2160.0</v>
      </c>
      <c r="F4" s="14">
        <f>SUM('Plant Inputs'!G4,'Plant Inputs'!G10,'Plant Inputs'!G16)</f>
        <v>2141.0</v>
      </c>
      <c r="G4" s="14">
        <f>SUM('Plant Inputs'!H4,'Plant Inputs'!H10,'Plant Inputs'!H16)</f>
        <v>2046.5</v>
      </c>
      <c r="H4" s="14">
        <f>SUM('Plant Inputs'!I4,'Plant Inputs'!I10,'Plant Inputs'!I16)</f>
        <v>62.8</v>
      </c>
      <c r="I4" s="14">
        <f>SUM('Plant Inputs'!J4,'Plant Inputs'!J10,'Plant Inputs'!J16)</f>
        <v>393328.0</v>
      </c>
      <c r="J4" s="14">
        <f>SUM('Plant Inputs'!K4,'Plant Inputs'!K10,'Plant Inputs'!K16)</f>
        <v>397008.0</v>
      </c>
      <c r="K4" s="14">
        <f>SUM('Plant Inputs'!L4,'Plant Inputs'!L10,'Plant Inputs'!L16)</f>
        <v>346056.0</v>
      </c>
      <c r="L4" s="14">
        <f>SUM('Plant Inputs'!M4,'Plant Inputs'!M10,'Plant Inputs'!M16)</f>
        <v>328945.0</v>
      </c>
      <c r="M4" s="14">
        <f>SUM('Plant Inputs'!N4,'Plant Inputs'!N10,'Plant Inputs'!N16)</f>
        <v>321162.0</v>
      </c>
      <c r="N4" s="14">
        <f>SUM('Plant Inputs'!O4,'Plant Inputs'!O10,'Plant Inputs'!O16)</f>
        <v>358136.0</v>
      </c>
      <c r="O4" s="14">
        <f>SUM('Plant Inputs'!P4,'Plant Inputs'!P10,'Plant Inputs'!P16)</f>
        <v>74315.0</v>
      </c>
      <c r="P4" s="14">
        <f>SUM('Plant Inputs'!Q4,'Plant Inputs'!Q10,'Plant Inputs'!Q16)</f>
        <v>64615.0</v>
      </c>
      <c r="Q4" s="14">
        <f>SUM('Plant Inputs'!R4,'Plant Inputs'!R10,'Plant Inputs'!R16)</f>
        <v>11849.0</v>
      </c>
      <c r="R4" s="14">
        <f>SUM('Plant Inputs'!S4,'Plant Inputs'!S10,'Plant Inputs'!S16)</f>
        <v>9.0</v>
      </c>
      <c r="S4" s="14">
        <f>SUM('Plant Inputs'!T4,'Plant Inputs'!T10,'Plant Inputs'!T16)</f>
        <v>47.300000000000004</v>
      </c>
      <c r="T4" s="14">
        <f>SUM('Plant Inputs'!U4,'Plant Inputs'!U10,'Plant Inputs'!U16)</f>
        <v>123.0</v>
      </c>
      <c r="U4" s="14">
        <f>SUM('Plant Inputs'!V4,'Plant Inputs'!V10,'Plant Inputs'!V16)</f>
        <v>115.0</v>
      </c>
      <c r="V4" s="14">
        <f>SUM('Plant Inputs'!W4,'Plant Inputs'!W10,'Plant Inputs'!W16)</f>
        <v>969684.7000000001</v>
      </c>
      <c r="W4" s="14">
        <f>SUM('Plant Inputs'!X4,'Plant Inputs'!X10,'Plant Inputs'!X16)</f>
        <v>232897.8</v>
      </c>
      <c r="X4" s="14">
        <f>SUM('Plant Inputs'!Y4,'Plant Inputs'!Y10,'Plant Inputs'!Y16)</f>
        <v>3580.2000000000003</v>
      </c>
      <c r="Y4" s="14">
        <f>SUM('Plant Inputs'!Z4,'Plant Inputs'!Z10,'Plant Inputs'!Z16)</f>
        <v>663733.0</v>
      </c>
      <c r="Z4" s="14">
        <f>SUM('Plant Inputs'!AA4,'Plant Inputs'!AA10,'Plant Inputs'!AA16)</f>
        <v>230681.0</v>
      </c>
      <c r="AA4" s="14">
        <f>SUM('Plant Inputs'!AB4,'Plant Inputs'!AB10,'Plant Inputs'!AB16)</f>
        <v>1071778.0</v>
      </c>
      <c r="AB4" s="14">
        <f>SUM('Plant Inputs'!AC4,'Plant Inputs'!AC10,'Plant Inputs'!AC16)</f>
        <v>25809.0</v>
      </c>
      <c r="AC4" s="14">
        <f>SUM('Plant Inputs'!AD4,'Plant Inputs'!AD10,'Plant Inputs'!AD16)</f>
        <v>4.0</v>
      </c>
      <c r="AD4" s="14">
        <f>SUM('Plant Inputs'!AE4,'Plant Inputs'!AE10,'Plant Inputs'!AE16)</f>
        <v>221000.0</v>
      </c>
      <c r="AE4" s="14">
        <f>SUM('Plant Inputs'!AF4,'Plant Inputs'!AF10,'Plant Inputs'!AF16)</f>
        <v>0.0</v>
      </c>
      <c r="AF4" s="14">
        <f>SUM('Plant Inputs'!AG4,'Plant Inputs'!AG10,'Plant Inputs'!AG16)</f>
        <v>1.0</v>
      </c>
      <c r="AG4" s="14">
        <f>SUM('Plant Inputs'!AH4,'Plant Inputs'!AH10,'Plant Inputs'!AH16)</f>
        <v>21.0</v>
      </c>
      <c r="AH4" s="14">
        <f>SUM('Plant Inputs'!AI4,'Plant Inputs'!AI10,'Plant Inputs'!AI16)</f>
        <v>0.0</v>
      </c>
      <c r="AI4" s="14">
        <f>SUM('Plant Inputs'!AJ4,'Plant Inputs'!AJ10,'Plant Inputs'!AJ16)</f>
        <v>1.0</v>
      </c>
      <c r="AJ4" s="14">
        <f>SUM('Plant Inputs'!AK4,'Plant Inputs'!AK10,'Plant Inputs'!AK16)</f>
        <v>0.0</v>
      </c>
      <c r="AK4" s="14">
        <f>SUM('Plant Inputs'!AL4,'Plant Inputs'!AL10,'Plant Inputs'!AL16)</f>
        <v>25.0</v>
      </c>
      <c r="AL4" s="14">
        <f>SUM('Plant Inputs'!AM4,'Plant Inputs'!AM10,'Plant Inputs'!AM16)</f>
        <v>7.0</v>
      </c>
      <c r="AM4" s="14">
        <f>SUM('Plant Inputs'!AN4,'Plant Inputs'!AN10,'Plant Inputs'!AN16)</f>
        <v>4.0</v>
      </c>
      <c r="AN4" s="14">
        <f>SUM('Plant Inputs'!AO4,'Plant Inputs'!AO10,'Plant Inputs'!AO16)</f>
        <v>3.0</v>
      </c>
      <c r="AO4" s="14">
        <f>SUM('Plant Inputs'!AP4,'Plant Inputs'!AP10,'Plant Inputs'!AP16)</f>
        <v>1.0</v>
      </c>
      <c r="AP4" s="14">
        <f>SUM('Plant Inputs'!AQ4,'Plant Inputs'!AQ10,'Plant Inputs'!AQ16)</f>
        <v>475.0</v>
      </c>
      <c r="AQ4" s="14">
        <f>SUM('Plant Inputs'!AR4,'Plant Inputs'!AR10,'Plant Inputs'!AR16)</f>
        <v>25.0</v>
      </c>
      <c r="AR4" s="14">
        <f>MIN('Plant Inputs'!AS4,'Plant Inputs'!AS10,'Plant Inputs'!AS16)</f>
        <v>215</v>
      </c>
      <c r="AS4" s="14">
        <f>SUM('Plant Inputs'!AT4,'Plant Inputs'!AT10,'Plant Inputs'!AT16)</f>
        <v>319125.0</v>
      </c>
      <c r="AT4" s="14">
        <f>SUM('Plant Inputs'!AU4,'Plant Inputs'!AU10,'Plant Inputs'!AU16)</f>
        <v>346912.0</v>
      </c>
      <c r="AU4" s="14">
        <f>SUM('Plant Inputs'!AV4,'Plant Inputs'!AV10,'Plant Inputs'!AV16)</f>
        <v>1196058.7</v>
      </c>
      <c r="AV4" s="14">
        <f>SUM('Plant Inputs'!AW4,'Plant Inputs'!AW10,'Plant Inputs'!AW16)</f>
        <v>1304389.1</v>
      </c>
      <c r="AW4" s="14">
        <f>SUM('Plant Inputs'!AX4,'Plant Inputs'!AX10,'Plant Inputs'!AX16)</f>
        <v>62188.40000000001</v>
      </c>
      <c r="AX4" s="14">
        <f>SUM('Plant Inputs'!AY4,'Plant Inputs'!AY10,'Plant Inputs'!AY16)</f>
        <v>46646.5</v>
      </c>
      <c r="AY4" s="14">
        <f>SUM('Plant Inputs'!AZ4,'Plant Inputs'!AZ10,'Plant Inputs'!AZ16)</f>
        <v>545.0</v>
      </c>
      <c r="AZ4" s="14">
        <f>SUM('Plant Inputs'!BA4,'Plant Inputs'!BA10,'Plant Inputs'!BA16)</f>
        <v>493.0</v>
      </c>
      <c r="BA4" s="14">
        <f>SUM('Plant Inputs'!BB4,'Plant Inputs'!BB10,'Plant Inputs'!BB16)</f>
        <v>356576.0</v>
      </c>
      <c r="BB4" s="14">
        <f>SUM('Plant Inputs'!BC4,'Plant Inputs'!BC10,'Plant Inputs'!BC16)</f>
        <v>343275.0</v>
      </c>
      <c r="BC4" s="14">
        <f>SUM('Plant Inputs'!BD4,'Plant Inputs'!BD10,'Plant Inputs'!BD16)</f>
        <v>4065.0</v>
      </c>
      <c r="BD4" s="14">
        <f>SUM('Plant Inputs'!BE4,'Plant Inputs'!BE10,'Plant Inputs'!BE16)</f>
        <v>2114.0</v>
      </c>
      <c r="BE4" s="14">
        <f>SUM('Plant Inputs'!BF4,'Plant Inputs'!BF10,'Plant Inputs'!BF16)</f>
        <v>2242.0</v>
      </c>
      <c r="BF4" s="14">
        <f>SUM('Plant Inputs'!BG4,'Plant Inputs'!BG10,'Plant Inputs'!BG16)</f>
        <v>517470.19999999995</v>
      </c>
      <c r="BG4" s="14">
        <f>SUM('Plant Inputs'!BH4,'Plant Inputs'!BH10,'Plant Inputs'!BH16)</f>
        <v>198437.80000000002</v>
      </c>
      <c r="BH4" s="14">
        <f>SUM('Plant Inputs'!BI4,'Plant Inputs'!BI10,'Plant Inputs'!BI16)</f>
        <v>0.0</v>
      </c>
      <c r="BI4" s="14">
        <f>SUM('Plant Inputs'!BJ4,'Plant Inputs'!BJ10,'Plant Inputs'!BJ16)</f>
        <v>1.0</v>
      </c>
      <c r="BJ4" s="14">
        <f>SUM('Plant Inputs'!BK4,'Plant Inputs'!BK10,'Plant Inputs'!BK16)</f>
        <v>2.0</v>
      </c>
      <c r="BK4" s="14">
        <f>SUM('Plant Inputs'!BL4,'Plant Inputs'!BL10,'Plant Inputs'!BL16)</f>
        <v>2.0</v>
      </c>
      <c r="BL4" s="14">
        <f>SUM('Plant Inputs'!BM4,'Plant Inputs'!BM10,'Plant Inputs'!BM16)</f>
        <v>3.0</v>
      </c>
      <c r="BM4" s="14">
        <f>SUM('Plant Inputs'!BN4,'Plant Inputs'!BN10,'Plant Inputs'!BN16)</f>
        <v>0.0</v>
      </c>
      <c r="BN4" s="14">
        <f>SUM('Plant Inputs'!BO4,'Plant Inputs'!BO10,'Plant Inputs'!BO16)</f>
        <v>0.0</v>
      </c>
      <c r="BO4" s="14">
        <f>SUM('Plant Inputs'!BP4,'Plant Inputs'!BP10,'Plant Inputs'!BP16)</f>
        <v>0.0</v>
      </c>
      <c r="BP4" s="14">
        <f>SUM('Plant Inputs'!BQ4,'Plant Inputs'!BQ10,'Plant Inputs'!BQ16)</f>
        <v>0.0</v>
      </c>
      <c r="BQ4" s="14">
        <f>SUM('Plant Inputs'!BR4,'Plant Inputs'!BR10,'Plant Inputs'!BR16)</f>
        <v>0.0</v>
      </c>
      <c r="BR4" s="14">
        <f>SUM('Plant Inputs'!BS4,'Plant Inputs'!BS10,'Plant Inputs'!BS16)</f>
        <v>0.0</v>
      </c>
      <c r="BS4" s="14">
        <f>MIN('Plant Inputs'!BT4,'Plant Inputs'!BT10,'Plant Inputs'!BT16)</f>
        <v>17</v>
      </c>
      <c r="BT4" s="14">
        <f>SUM('Plant Inputs'!BU4,'Plant Inputs'!BU10,'Plant Inputs'!BU16)</f>
        <v>349487.0</v>
      </c>
      <c r="BU4" s="14">
        <f>SUM('Plant Inputs'!BV4,'Plant Inputs'!BV10,'Plant Inputs'!BV16)</f>
        <v>339473.0</v>
      </c>
      <c r="BV4" s="14">
        <f>SUM('Plant Inputs'!BW4,'Plant Inputs'!BW10,'Plant Inputs'!BW16)</f>
        <v>150111897.0</v>
      </c>
      <c r="BW4" s="14">
        <f>SUM('Plant Inputs'!BX4,'Plant Inputs'!BX10,'Plant Inputs'!BX16)</f>
        <v>393328.0</v>
      </c>
      <c r="BX4" s="14">
        <f>SUM('Plant Inputs'!BY4,'Plant Inputs'!BY10,'Plant Inputs'!BY16)</f>
        <v>11718.0</v>
      </c>
      <c r="BY4" s="16">
        <v>54938.6</v>
      </c>
      <c r="BZ4" s="16">
        <v>35929.2</v>
      </c>
      <c r="CA4" s="16">
        <v>10800000</v>
      </c>
      <c r="CB4" s="16">
        <v>4736181</v>
      </c>
      <c r="CC4" s="16">
        <v>936181</v>
      </c>
      <c r="CD4" s="16">
        <v>436986.6</v>
      </c>
      <c r="CE4" s="16">
        <v>39900</v>
      </c>
      <c r="CF4" s="16">
        <v>442623.4</v>
      </c>
      <c r="CG4" s="16">
        <v>1357977.9</v>
      </c>
      <c r="CH4" s="16">
        <v>167684.4</v>
      </c>
      <c r="CI4" s="16">
        <v>1183542.5</v>
      </c>
      <c r="CJ4" s="16">
        <v>2022544.1</v>
      </c>
      <c r="CK4" s="16">
        <v>1234856.8</v>
      </c>
      <c r="CL4" s="16">
        <v>1354000.8</v>
      </c>
      <c r="CM4" s="16">
        <v>1181957.8</v>
      </c>
      <c r="CN4" s="16">
        <v>519.8</v>
      </c>
      <c r="CO4" s="16">
        <v>115844.2</v>
      </c>
      <c r="CP4" s="16">
        <v>115844.2</v>
      </c>
      <c r="CQ4" s="16">
        <v>418</v>
      </c>
      <c r="CR4" s="16">
        <v>18974</v>
      </c>
      <c r="CS4" s="16">
        <v>18810</v>
      </c>
      <c r="CT4" s="16">
        <v>0</v>
      </c>
      <c r="CU4" s="16">
        <v>997106.1</v>
      </c>
      <c r="CV4" s="16">
        <v>1011641.5</v>
      </c>
      <c r="CW4" s="16">
        <v>195977</v>
      </c>
      <c r="CX4" s="16">
        <v>3747391.4</v>
      </c>
      <c r="CY4" s="16">
        <v>1976093.2</v>
      </c>
      <c r="CZ4" s="16">
        <v>425331</v>
      </c>
      <c r="DA4" s="16">
        <v>314182</v>
      </c>
      <c r="DB4" s="16">
        <v>339270.5</v>
      </c>
      <c r="DC4" s="16">
        <v>248759</v>
      </c>
      <c r="DD4" s="16">
        <v>5649.1</v>
      </c>
      <c r="DE4" s="16">
        <v>6321.3</v>
      </c>
      <c r="DF4" s="16">
        <v>2572845.7</v>
      </c>
      <c r="DG4" s="16">
        <v>1994270.3</v>
      </c>
      <c r="DH4" s="16">
        <v>1000000</v>
      </c>
      <c r="DI4" s="16">
        <v>449046.9</v>
      </c>
      <c r="DJ4" s="16">
        <v>76777.10000000001</v>
      </c>
      <c r="DK4" s="16">
        <v>380000</v>
      </c>
      <c r="DL4" s="16">
        <v>22271.5</v>
      </c>
      <c r="DM4" s="16">
        <v>5</v>
      </c>
      <c r="DN4" s="16">
        <v>1</v>
      </c>
      <c r="DO4" s="16">
        <v>0</v>
      </c>
      <c r="DP4" s="16">
        <v>0</v>
      </c>
      <c r="DQ4" s="16">
        <v>7</v>
      </c>
      <c r="DR4" s="16">
        <v>21</v>
      </c>
      <c r="DS4" s="16">
        <v>5</v>
      </c>
      <c r="DT4" s="16">
        <v>2</v>
      </c>
      <c r="DU4" s="16">
        <v>1</v>
      </c>
      <c r="DV4" s="16">
        <v>60</v>
      </c>
      <c r="DW4" s="16">
        <v>18</v>
      </c>
      <c r="DX4" s="16">
        <v>4834.8</v>
      </c>
      <c r="DY4" s="16">
        <v>3489.6</v>
      </c>
      <c r="DZ4" s="16">
        <v>987.8</v>
      </c>
      <c r="EA4" s="16">
        <v>352.3</v>
      </c>
      <c r="EB4" s="16">
        <v>600.2</v>
      </c>
      <c r="EC4" s="16">
        <v>72</v>
      </c>
      <c r="ED4" s="16">
        <v>69</v>
      </c>
      <c r="EE4" s="16">
        <v>1</v>
      </c>
      <c r="EF4" s="16">
        <v>0</v>
      </c>
      <c r="EG4" s="16">
        <v>2</v>
      </c>
      <c r="EH4" s="16">
        <v>1</v>
      </c>
      <c r="EI4" s="16">
        <v>0</v>
      </c>
      <c r="EJ4" s="16">
        <v>1</v>
      </c>
      <c r="EK4" s="16">
        <v>1</v>
      </c>
      <c r="EL4" s="16">
        <v>0</v>
      </c>
      <c r="EM4" s="16">
        <v>0</v>
      </c>
      <c r="EN4" s="16">
        <v>0</v>
      </c>
      <c r="EO4" s="16">
        <v>0</v>
      </c>
      <c r="EP4" s="16">
        <v>0</v>
      </c>
      <c r="EQ4" s="16">
        <v>1</v>
      </c>
      <c r="ER4" s="16">
        <v>1</v>
      </c>
      <c r="ES4" s="16">
        <v>0</v>
      </c>
      <c r="ET4" s="16">
        <v>1</v>
      </c>
      <c r="EU4" s="16">
        <v>2</v>
      </c>
      <c r="EV4" s="16">
        <v>0</v>
      </c>
      <c r="EW4" s="16">
        <v>0</v>
      </c>
      <c r="EX4" s="16">
        <v>0</v>
      </c>
      <c r="EY4" s="16">
        <v>50</v>
      </c>
      <c r="EZ4" s="16">
        <v>43</v>
      </c>
      <c r="FA4" s="16">
        <v>2</v>
      </c>
      <c r="FB4" s="16">
        <v>55</v>
      </c>
      <c r="FC4" s="16">
        <v>28</v>
      </c>
      <c r="FD4" s="16">
        <v>23</v>
      </c>
      <c r="FE4" s="16">
        <v>26</v>
      </c>
      <c r="FF4" s="16">
        <v>0</v>
      </c>
      <c r="FG4" s="16">
        <v>1</v>
      </c>
      <c r="FH4" s="16">
        <v>0</v>
      </c>
      <c r="FI4" s="16">
        <v>482362</v>
      </c>
      <c r="FJ4" s="16">
        <v>479530</v>
      </c>
      <c r="FK4" s="16">
        <v>400</v>
      </c>
      <c r="FL4" s="16">
        <v>381</v>
      </c>
      <c r="FM4" s="16">
        <v>0</v>
      </c>
      <c r="FN4" s="16">
        <v>0</v>
      </c>
      <c r="FO4" s="16">
        <v>0</v>
      </c>
      <c r="FP4" s="16">
        <v>6</v>
      </c>
      <c r="FQ4" s="16">
        <v>17.8</v>
      </c>
      <c r="FR4" s="16">
        <v>4</v>
      </c>
      <c r="FS4" s="16">
        <v>0</v>
      </c>
      <c r="FT4" s="16">
        <v>0</v>
      </c>
      <c r="FU4" s="16">
        <v>0</v>
      </c>
    </row>
    <row r="5" spans="1:177">
      <c r="A5" t="s">
        <v>15</v>
      </c>
      <c r="B5" t="s">
        <v>170</v>
      </c>
      <c r="C5" t="s">
        <v>173</v>
      </c>
      <c r="D5">
        <v>31</v>
      </c>
      <c r="E5" s="14">
        <f>SUM('Plant Inputs'!F5,'Plant Inputs'!F11,'Plant Inputs'!F17)</f>
        <v>2232.0</v>
      </c>
      <c r="F5" s="14">
        <f>SUM('Plant Inputs'!G5,'Plant Inputs'!G11,'Plant Inputs'!G17)</f>
        <v>2109.0</v>
      </c>
      <c r="G5" s="14">
        <f>SUM('Plant Inputs'!H5,'Plant Inputs'!H11,'Plant Inputs'!H17)</f>
        <v>1977.4</v>
      </c>
      <c r="H5" s="14">
        <f>SUM('Plant Inputs'!I5,'Plant Inputs'!I11,'Plant Inputs'!I17)</f>
        <v>88.0</v>
      </c>
      <c r="I5" s="14">
        <f>SUM('Plant Inputs'!J5,'Plant Inputs'!J11,'Plant Inputs'!J17)</f>
        <v>384488.0</v>
      </c>
      <c r="J5" s="14">
        <f>SUM('Plant Inputs'!K5,'Plant Inputs'!K11,'Plant Inputs'!K17)</f>
        <v>410242.0</v>
      </c>
      <c r="K5" s="14">
        <f>SUM('Plant Inputs'!L5,'Plant Inputs'!L11,'Plant Inputs'!L17)</f>
        <v>346126.0</v>
      </c>
      <c r="L5" s="14">
        <f>SUM('Plant Inputs'!M5,'Plant Inputs'!M11,'Plant Inputs'!M17)</f>
        <v>313194.0</v>
      </c>
      <c r="M5" s="14">
        <f>SUM('Plant Inputs'!N5,'Plant Inputs'!N11,'Plant Inputs'!N17)</f>
        <v>301438.0</v>
      </c>
      <c r="N5" s="14">
        <f>SUM('Plant Inputs'!O5,'Plant Inputs'!O11,'Plant Inputs'!O17)</f>
        <v>328020.0</v>
      </c>
      <c r="O5" s="14">
        <f>SUM('Plant Inputs'!P5,'Plant Inputs'!P11,'Plant Inputs'!P17)</f>
        <v>63947.0</v>
      </c>
      <c r="P5" s="14">
        <f>SUM('Plant Inputs'!Q5,'Plant Inputs'!Q11,'Plant Inputs'!Q17)</f>
        <v>54804.0</v>
      </c>
      <c r="Q5" s="14">
        <f>SUM('Plant Inputs'!R5,'Plant Inputs'!R11,'Plant Inputs'!R17)</f>
        <v>16433.0</v>
      </c>
      <c r="R5" s="14">
        <f>SUM('Plant Inputs'!S5,'Plant Inputs'!S11,'Plant Inputs'!S17)</f>
        <v>12.0</v>
      </c>
      <c r="S5" s="14">
        <f>SUM('Plant Inputs'!T5,'Plant Inputs'!T11,'Plant Inputs'!T17)</f>
        <v>74.4</v>
      </c>
      <c r="T5" s="14">
        <f>SUM('Plant Inputs'!U5,'Plant Inputs'!U11,'Plant Inputs'!U17)</f>
        <v>146.0</v>
      </c>
      <c r="U5" s="14">
        <f>SUM('Plant Inputs'!V5,'Plant Inputs'!V11,'Plant Inputs'!V17)</f>
        <v>131.0</v>
      </c>
      <c r="V5" s="14">
        <f>SUM('Plant Inputs'!W5,'Plant Inputs'!W11,'Plant Inputs'!W17)</f>
        <v>1003677.6000000001</v>
      </c>
      <c r="W5" s="14">
        <f>SUM('Plant Inputs'!X5,'Plant Inputs'!X11,'Plant Inputs'!X17)</f>
        <v>266120.60000000003</v>
      </c>
      <c r="X5" s="14">
        <f>SUM('Plant Inputs'!Y5,'Plant Inputs'!Y11,'Plant Inputs'!Y17)</f>
        <v>3769.6</v>
      </c>
      <c r="Y5" s="14">
        <f>SUM('Plant Inputs'!Z5,'Plant Inputs'!Z11,'Plant Inputs'!Z17)</f>
        <v>702326.0</v>
      </c>
      <c r="Z5" s="14">
        <f>SUM('Plant Inputs'!AA5,'Plant Inputs'!AA11,'Plant Inputs'!AA17)</f>
        <v>188840.0</v>
      </c>
      <c r="AA5" s="14">
        <f>SUM('Plant Inputs'!AB5,'Plant Inputs'!AB11,'Plant Inputs'!AB17)</f>
        <v>1006841.0</v>
      </c>
      <c r="AB5" s="14">
        <f>SUM('Plant Inputs'!AC5,'Plant Inputs'!AC11,'Plant Inputs'!AC17)</f>
        <v>43812.0</v>
      </c>
      <c r="AC5" s="14">
        <f>SUM('Plant Inputs'!AD5,'Plant Inputs'!AD11,'Plant Inputs'!AD17)</f>
        <v>6.0</v>
      </c>
      <c r="AD5" s="14">
        <f>SUM('Plant Inputs'!AE5,'Plant Inputs'!AE11,'Plant Inputs'!AE17)</f>
        <v>211000.0</v>
      </c>
      <c r="AE5" s="14">
        <f>SUM('Plant Inputs'!AF5,'Plant Inputs'!AF11,'Plant Inputs'!AF17)</f>
        <v>2.0</v>
      </c>
      <c r="AF5" s="14">
        <f>SUM('Plant Inputs'!AG5,'Plant Inputs'!AG11,'Plant Inputs'!AG17)</f>
        <v>0.0</v>
      </c>
      <c r="AG5" s="14">
        <f>SUM('Plant Inputs'!AH5,'Plant Inputs'!AH11,'Plant Inputs'!AH17)</f>
        <v>18.0</v>
      </c>
      <c r="AH5" s="14">
        <f>SUM('Plant Inputs'!AI5,'Plant Inputs'!AI11,'Plant Inputs'!AI17)</f>
        <v>0.0</v>
      </c>
      <c r="AI5" s="14">
        <f>SUM('Plant Inputs'!AJ5,'Plant Inputs'!AJ11,'Plant Inputs'!AJ17)</f>
        <v>1.0</v>
      </c>
      <c r="AJ5" s="14">
        <f>SUM('Plant Inputs'!AK5,'Plant Inputs'!AK11,'Plant Inputs'!AK17)</f>
        <v>0.0</v>
      </c>
      <c r="AK5" s="14">
        <f>SUM('Plant Inputs'!AL5,'Plant Inputs'!AL11,'Plant Inputs'!AL17)</f>
        <v>26.0</v>
      </c>
      <c r="AL5" s="14">
        <f>SUM('Plant Inputs'!AM5,'Plant Inputs'!AM11,'Plant Inputs'!AM17)</f>
        <v>5.0</v>
      </c>
      <c r="AM5" s="14">
        <f>SUM('Plant Inputs'!AN5,'Plant Inputs'!AN11,'Plant Inputs'!AN17)</f>
        <v>3.0</v>
      </c>
      <c r="AN5" s="14">
        <f>SUM('Plant Inputs'!AO5,'Plant Inputs'!AO11,'Plant Inputs'!AO17)</f>
        <v>3.0</v>
      </c>
      <c r="AO5" s="14">
        <f>SUM('Plant Inputs'!AP5,'Plant Inputs'!AP11,'Plant Inputs'!AP17)</f>
        <v>0.0</v>
      </c>
      <c r="AP5" s="14">
        <f>SUM('Plant Inputs'!AQ5,'Plant Inputs'!AQ11,'Plant Inputs'!AQ17)</f>
        <v>683.0</v>
      </c>
      <c r="AQ5" s="14">
        <f>SUM('Plant Inputs'!AR5,'Plant Inputs'!AR11,'Plant Inputs'!AR17)</f>
        <v>43.0</v>
      </c>
      <c r="AR5" s="14">
        <f>MIN('Plant Inputs'!AS5,'Plant Inputs'!AS11,'Plant Inputs'!AS17)</f>
        <v>185</v>
      </c>
      <c r="AS5" s="14">
        <f>SUM('Plant Inputs'!AT5,'Plant Inputs'!AT11,'Plant Inputs'!AT17)</f>
        <v>301046.0</v>
      </c>
      <c r="AT5" s="14">
        <f>SUM('Plant Inputs'!AU5,'Plant Inputs'!AU11,'Plant Inputs'!AU17)</f>
        <v>344116.0</v>
      </c>
      <c r="AU5" s="14">
        <f>SUM('Plant Inputs'!AV5,'Plant Inputs'!AV11,'Plant Inputs'!AV17)</f>
        <v>1125908.0</v>
      </c>
      <c r="AV5" s="14">
        <f>SUM('Plant Inputs'!AW5,'Plant Inputs'!AW11,'Plant Inputs'!AW17)</f>
        <v>1293876.2000000002</v>
      </c>
      <c r="AW5" s="14">
        <f>SUM('Plant Inputs'!AX5,'Plant Inputs'!AX11,'Plant Inputs'!AX17)</f>
        <v>55719.600000000006</v>
      </c>
      <c r="AX5" s="14">
        <f>SUM('Plant Inputs'!AY5,'Plant Inputs'!AY11,'Plant Inputs'!AY17)</f>
        <v>46164.100000000006</v>
      </c>
      <c r="AY5" s="14">
        <f>SUM('Plant Inputs'!AZ5,'Plant Inputs'!AZ11,'Plant Inputs'!AZ17)</f>
        <v>572.0</v>
      </c>
      <c r="AZ5" s="14">
        <f>SUM('Plant Inputs'!BA5,'Plant Inputs'!BA11,'Plant Inputs'!BA17)</f>
        <v>506.0</v>
      </c>
      <c r="BA5" s="14">
        <f>SUM('Plant Inputs'!BB5,'Plant Inputs'!BB11,'Plant Inputs'!BB17)</f>
        <v>330685.0</v>
      </c>
      <c r="BB5" s="14">
        <f>SUM('Plant Inputs'!BC5,'Plant Inputs'!BC11,'Plant Inputs'!BC17)</f>
        <v>318817.0</v>
      </c>
      <c r="BC5" s="14">
        <f>SUM('Plant Inputs'!BD5,'Plant Inputs'!BD11,'Plant Inputs'!BD17)</f>
        <v>2613.0</v>
      </c>
      <c r="BD5" s="14">
        <f>SUM('Plant Inputs'!BE5,'Plant Inputs'!BE11,'Plant Inputs'!BE17)</f>
        <v>2632.0</v>
      </c>
      <c r="BE5" s="14">
        <f>SUM('Plant Inputs'!BF5,'Plant Inputs'!BF11,'Plant Inputs'!BF17)</f>
        <v>2716.0</v>
      </c>
      <c r="BF5" s="14">
        <f>SUM('Plant Inputs'!BG5,'Plant Inputs'!BG11,'Plant Inputs'!BG17)</f>
        <v>554781.7</v>
      </c>
      <c r="BG5" s="14">
        <f>SUM('Plant Inputs'!BH5,'Plant Inputs'!BH11,'Plant Inputs'!BH17)</f>
        <v>222154.6</v>
      </c>
      <c r="BH5" s="14">
        <f>SUM('Plant Inputs'!BI5,'Plant Inputs'!BI11,'Plant Inputs'!BI17)</f>
        <v>0.0</v>
      </c>
      <c r="BI5" s="14">
        <f>SUM('Plant Inputs'!BJ5,'Plant Inputs'!BJ11,'Plant Inputs'!BJ17)</f>
        <v>2.0</v>
      </c>
      <c r="BJ5" s="14">
        <f>SUM('Plant Inputs'!BK5,'Plant Inputs'!BK11,'Plant Inputs'!BK17)</f>
        <v>1.0</v>
      </c>
      <c r="BK5" s="14">
        <f>SUM('Plant Inputs'!BL5,'Plant Inputs'!BL11,'Plant Inputs'!BL17)</f>
        <v>1.0</v>
      </c>
      <c r="BL5" s="14">
        <f>SUM('Plant Inputs'!BM5,'Plant Inputs'!BM11,'Plant Inputs'!BM17)</f>
        <v>1.0</v>
      </c>
      <c r="BM5" s="14">
        <f>SUM('Plant Inputs'!BN5,'Plant Inputs'!BN11,'Plant Inputs'!BN17)</f>
        <v>0.0</v>
      </c>
      <c r="BN5" s="14">
        <f>SUM('Plant Inputs'!BO5,'Plant Inputs'!BO11,'Plant Inputs'!BO17)</f>
        <v>0.0</v>
      </c>
      <c r="BO5" s="14">
        <f>SUM('Plant Inputs'!BP5,'Plant Inputs'!BP11,'Plant Inputs'!BP17)</f>
        <v>0.0</v>
      </c>
      <c r="BP5" s="14">
        <f>SUM('Plant Inputs'!BQ5,'Plant Inputs'!BQ11,'Plant Inputs'!BQ17)</f>
        <v>0.0</v>
      </c>
      <c r="BQ5" s="14">
        <f>SUM('Plant Inputs'!BR5,'Plant Inputs'!BR11,'Plant Inputs'!BR17)</f>
        <v>0.0</v>
      </c>
      <c r="BR5" s="14">
        <f>SUM('Plant Inputs'!BS5,'Plant Inputs'!BS11,'Plant Inputs'!BS17)</f>
        <v>0.0</v>
      </c>
      <c r="BS5" s="14">
        <f>MIN('Plant Inputs'!BT5,'Plant Inputs'!BT11,'Plant Inputs'!BT17)</f>
        <v>12</v>
      </c>
      <c r="BT5" s="14">
        <f>SUM('Plant Inputs'!BU5,'Plant Inputs'!BU11,'Plant Inputs'!BU17)</f>
        <v>350845.0</v>
      </c>
      <c r="BU5" s="14">
        <f>SUM('Plant Inputs'!BV5,'Plant Inputs'!BV11,'Plant Inputs'!BV17)</f>
        <v>344395.0</v>
      </c>
      <c r="BV5" s="14">
        <f>SUM('Plant Inputs'!BW5,'Plant Inputs'!BW11,'Plant Inputs'!BW17)</f>
        <v>158876053.0</v>
      </c>
      <c r="BW5" s="14">
        <f>SUM('Plant Inputs'!BX5,'Plant Inputs'!BX11,'Plant Inputs'!BX17)</f>
        <v>384488.0</v>
      </c>
      <c r="BX5" s="14">
        <f>SUM('Plant Inputs'!BY5,'Plant Inputs'!BY11,'Plant Inputs'!BY17)</f>
        <v>15568.0</v>
      </c>
      <c r="BY5" s="16">
        <v>50704.9</v>
      </c>
      <c r="BZ5" s="16">
        <v>14276.1</v>
      </c>
      <c r="CA5" s="16">
        <v>10843200</v>
      </c>
      <c r="CB5" s="16">
        <v>4689727.1</v>
      </c>
      <c r="CC5" s="16">
        <v>927727.1</v>
      </c>
      <c r="CD5" s="16">
        <v>438182.1</v>
      </c>
      <c r="CE5" s="16">
        <v>39501</v>
      </c>
      <c r="CF5" s="16">
        <v>484600.2</v>
      </c>
      <c r="CG5" s="16">
        <v>1326721.5</v>
      </c>
      <c r="CH5" s="16">
        <v>67821.89999999999</v>
      </c>
      <c r="CI5" s="16">
        <v>1128801.3</v>
      </c>
      <c r="CJ5" s="16">
        <v>1918893.1</v>
      </c>
      <c r="CK5" s="16">
        <v>1294064.9</v>
      </c>
      <c r="CL5" s="16">
        <v>1295301.1</v>
      </c>
      <c r="CM5" s="16">
        <v>1117881.8</v>
      </c>
      <c r="CN5" s="16">
        <v>812.1</v>
      </c>
      <c r="CO5" s="16">
        <v>123248</v>
      </c>
      <c r="CP5" s="16">
        <v>123248</v>
      </c>
      <c r="CQ5" s="16">
        <v>382</v>
      </c>
      <c r="CR5" s="16">
        <v>17264</v>
      </c>
      <c r="CS5" s="16">
        <v>17190</v>
      </c>
      <c r="CT5" s="16">
        <v>0</v>
      </c>
      <c r="CU5" s="16">
        <v>403490.1</v>
      </c>
      <c r="CV5" s="16">
        <v>409969.6</v>
      </c>
      <c r="CW5" s="16">
        <v>76015</v>
      </c>
      <c r="CX5" s="16">
        <v>3729497.8</v>
      </c>
      <c r="CY5" s="16">
        <v>797457</v>
      </c>
      <c r="CZ5" s="16">
        <v>402268.2</v>
      </c>
      <c r="DA5" s="16">
        <v>277847.9</v>
      </c>
      <c r="DB5" s="16">
        <v>324638.2</v>
      </c>
      <c r="DC5" s="16">
        <v>229566.1</v>
      </c>
      <c r="DD5" s="16">
        <v>3941.5</v>
      </c>
      <c r="DE5" s="16">
        <v>4320.5</v>
      </c>
      <c r="DF5" s="16">
        <v>2519902.8</v>
      </c>
      <c r="DG5" s="16">
        <v>1969944</v>
      </c>
      <c r="DH5" s="16">
        <v>1000000</v>
      </c>
      <c r="DI5" s="16">
        <v>500855.7</v>
      </c>
      <c r="DJ5" s="16">
        <v>75177.60000000001</v>
      </c>
      <c r="DK5" s="16">
        <v>422000</v>
      </c>
      <c r="DL5" s="16">
        <v>25527.6</v>
      </c>
      <c r="DM5" s="16">
        <v>5</v>
      </c>
      <c r="DN5" s="16">
        <v>1</v>
      </c>
      <c r="DO5" s="16">
        <v>0</v>
      </c>
      <c r="DP5" s="16">
        <v>0</v>
      </c>
      <c r="DQ5" s="16">
        <v>6</v>
      </c>
      <c r="DR5" s="16">
        <v>17</v>
      </c>
      <c r="DS5" s="16">
        <v>5</v>
      </c>
      <c r="DT5" s="16">
        <v>2</v>
      </c>
      <c r="DU5" s="16">
        <v>1</v>
      </c>
      <c r="DV5" s="16">
        <v>60</v>
      </c>
      <c r="DW5" s="16">
        <v>21</v>
      </c>
      <c r="DX5" s="16">
        <v>5163.3</v>
      </c>
      <c r="DY5" s="16">
        <v>3608.4</v>
      </c>
      <c r="DZ5" s="16">
        <v>951.1</v>
      </c>
      <c r="EA5" s="16">
        <v>446.1</v>
      </c>
      <c r="EB5" s="16">
        <v>650.5</v>
      </c>
      <c r="EC5" s="16">
        <v>72</v>
      </c>
      <c r="ED5" s="16">
        <v>68</v>
      </c>
      <c r="EE5" s="16">
        <v>2</v>
      </c>
      <c r="EF5" s="16">
        <v>0</v>
      </c>
      <c r="EG5" s="16">
        <v>2</v>
      </c>
      <c r="EH5" s="16">
        <v>0</v>
      </c>
      <c r="EI5" s="16">
        <v>0</v>
      </c>
      <c r="EJ5" s="16">
        <v>1</v>
      </c>
      <c r="EK5" s="16">
        <v>0</v>
      </c>
      <c r="EL5" s="16">
        <v>0</v>
      </c>
      <c r="EM5" s="16">
        <v>0</v>
      </c>
      <c r="EN5" s="16">
        <v>0</v>
      </c>
      <c r="EO5" s="16">
        <v>0</v>
      </c>
      <c r="EP5" s="16">
        <v>0</v>
      </c>
      <c r="EQ5" s="16">
        <v>0</v>
      </c>
      <c r="ER5" s="16">
        <v>1</v>
      </c>
      <c r="ES5" s="16">
        <v>0</v>
      </c>
      <c r="ET5" s="16">
        <v>1</v>
      </c>
      <c r="EU5" s="16">
        <v>3</v>
      </c>
      <c r="EV5" s="16">
        <v>0</v>
      </c>
      <c r="EW5" s="16">
        <v>0</v>
      </c>
      <c r="EX5" s="16">
        <v>0</v>
      </c>
      <c r="EY5" s="16">
        <v>50</v>
      </c>
      <c r="EZ5" s="16">
        <v>43</v>
      </c>
      <c r="FA5" s="16">
        <v>3</v>
      </c>
      <c r="FB5" s="16">
        <v>85</v>
      </c>
      <c r="FC5" s="16">
        <v>28</v>
      </c>
      <c r="FD5" s="16">
        <v>23</v>
      </c>
      <c r="FE5" s="16">
        <v>26</v>
      </c>
      <c r="FF5" s="16">
        <v>0</v>
      </c>
      <c r="FG5" s="16">
        <v>1</v>
      </c>
      <c r="FH5" s="16">
        <v>0</v>
      </c>
      <c r="FI5" s="16">
        <v>488893</v>
      </c>
      <c r="FJ5" s="16">
        <v>485890</v>
      </c>
      <c r="FK5" s="16">
        <v>400</v>
      </c>
      <c r="FL5" s="16">
        <v>379</v>
      </c>
      <c r="FM5" s="16">
        <v>0</v>
      </c>
      <c r="FN5" s="16">
        <v>0</v>
      </c>
      <c r="FO5" s="16">
        <v>0</v>
      </c>
      <c r="FP5" s="16">
        <v>4</v>
      </c>
      <c r="FQ5" s="16">
        <v>11.6</v>
      </c>
      <c r="FR5" s="16">
        <v>3</v>
      </c>
      <c r="FS5" s="16">
        <v>0</v>
      </c>
      <c r="FT5" s="16">
        <v>0</v>
      </c>
      <c r="FU5" s="16">
        <v>0</v>
      </c>
    </row>
    <row r="6" spans="1:177">
      <c r="A6" t="s">
        <v>15</v>
      </c>
      <c r="B6" t="s">
        <v>170</v>
      </c>
      <c r="C6" t="s">
        <v>174</v>
      </c>
      <c r="D6">
        <v>30</v>
      </c>
      <c r="E6" s="14">
        <f>SUM('Plant Inputs'!F6,'Plant Inputs'!F12,'Plant Inputs'!F18)</f>
        <v>2160.0</v>
      </c>
      <c r="F6" s="14">
        <f>SUM('Plant Inputs'!G6,'Plant Inputs'!G12,'Plant Inputs'!G18)</f>
        <v>2157.0</v>
      </c>
      <c r="G6" s="14">
        <f>SUM('Plant Inputs'!H6,'Plant Inputs'!H12,'Plant Inputs'!H18)</f>
        <v>2023.7</v>
      </c>
      <c r="H6" s="14">
        <f>SUM('Plant Inputs'!I6,'Plant Inputs'!I12,'Plant Inputs'!I18)</f>
        <v>85.7</v>
      </c>
      <c r="I6" s="14">
        <f>SUM('Plant Inputs'!J6,'Plant Inputs'!J12,'Plant Inputs'!J18)</f>
        <v>396405.0</v>
      </c>
      <c r="J6" s="14">
        <f>SUM('Plant Inputs'!K6,'Plant Inputs'!K12,'Plant Inputs'!K18)</f>
        <v>397008.0</v>
      </c>
      <c r="K6" s="14">
        <f>SUM('Plant Inputs'!L6,'Plant Inputs'!L12,'Plant Inputs'!L18)</f>
        <v>350330.0</v>
      </c>
      <c r="L6" s="14">
        <f>SUM('Plant Inputs'!M6,'Plant Inputs'!M12,'Plant Inputs'!M18)</f>
        <v>315205.0</v>
      </c>
      <c r="M6" s="14">
        <f>SUM('Plant Inputs'!N6,'Plant Inputs'!N12,'Plant Inputs'!N18)</f>
        <v>302144.0</v>
      </c>
      <c r="N6" s="14">
        <f>SUM('Plant Inputs'!O6,'Plant Inputs'!O12,'Plant Inputs'!O18)</f>
        <v>324030.0</v>
      </c>
      <c r="O6" s="14">
        <f>SUM('Plant Inputs'!P6,'Plant Inputs'!P12,'Plant Inputs'!P18)</f>
        <v>68775.0</v>
      </c>
      <c r="P6" s="14">
        <f>SUM('Plant Inputs'!Q6,'Plant Inputs'!Q12,'Plant Inputs'!Q18)</f>
        <v>59968.0</v>
      </c>
      <c r="Q6" s="14">
        <f>SUM('Plant Inputs'!R6,'Plant Inputs'!R12,'Plant Inputs'!R18)</f>
        <v>16320.0</v>
      </c>
      <c r="R6" s="14">
        <f>SUM('Plant Inputs'!S6,'Plant Inputs'!S12,'Plant Inputs'!S18)</f>
        <v>10.0</v>
      </c>
      <c r="S6" s="14">
        <f>SUM('Plant Inputs'!T6,'Plant Inputs'!T12,'Plant Inputs'!T18)</f>
        <v>70.4</v>
      </c>
      <c r="T6" s="14">
        <f>SUM('Plant Inputs'!U6,'Plant Inputs'!U12,'Plant Inputs'!U18)</f>
        <v>134.0</v>
      </c>
      <c r="U6" s="14">
        <f>SUM('Plant Inputs'!V6,'Plant Inputs'!V12,'Plant Inputs'!V18)</f>
        <v>124.0</v>
      </c>
      <c r="V6" s="14">
        <f>SUM('Plant Inputs'!W6,'Plant Inputs'!W12,'Plant Inputs'!W18)</f>
        <v>936612.8</v>
      </c>
      <c r="W6" s="14">
        <f>SUM('Plant Inputs'!X6,'Plant Inputs'!X12,'Plant Inputs'!X18)</f>
        <v>240228.4</v>
      </c>
      <c r="X6" s="14">
        <f>SUM('Plant Inputs'!Y6,'Plant Inputs'!Y12,'Plant Inputs'!Y18)</f>
        <v>3155.0</v>
      </c>
      <c r="Y6" s="14">
        <f>SUM('Plant Inputs'!Z6,'Plant Inputs'!Z12,'Plant Inputs'!Z18)</f>
        <v>622781.0</v>
      </c>
      <c r="Z6" s="14">
        <f>SUM('Plant Inputs'!AA6,'Plant Inputs'!AA12,'Plant Inputs'!AA18)</f>
        <v>188173.0</v>
      </c>
      <c r="AA6" s="14">
        <f>SUM('Plant Inputs'!AB6,'Plant Inputs'!AB12,'Plant Inputs'!AB18)</f>
        <v>989137.0</v>
      </c>
      <c r="AB6" s="14">
        <f>SUM('Plant Inputs'!AC6,'Plant Inputs'!AC12,'Plant Inputs'!AC18)</f>
        <v>49614.0</v>
      </c>
      <c r="AC6" s="14">
        <f>SUM('Plant Inputs'!AD6,'Plant Inputs'!AD12,'Plant Inputs'!AD18)</f>
        <v>5.0</v>
      </c>
      <c r="AD6" s="14">
        <f>SUM('Plant Inputs'!AE6,'Plant Inputs'!AE12,'Plant Inputs'!AE18)</f>
        <v>225000.0</v>
      </c>
      <c r="AE6" s="14">
        <f>SUM('Plant Inputs'!AF6,'Plant Inputs'!AF12,'Plant Inputs'!AF18)</f>
        <v>3.0</v>
      </c>
      <c r="AF6" s="14">
        <f>SUM('Plant Inputs'!AG6,'Plant Inputs'!AG12,'Plant Inputs'!AG18)</f>
        <v>0.0</v>
      </c>
      <c r="AG6" s="14">
        <f>SUM('Plant Inputs'!AH6,'Plant Inputs'!AH12,'Plant Inputs'!AH18)</f>
        <v>22.0</v>
      </c>
      <c r="AH6" s="14">
        <f>SUM('Plant Inputs'!AI6,'Plant Inputs'!AI12,'Plant Inputs'!AI18)</f>
        <v>0.0</v>
      </c>
      <c r="AI6" s="14">
        <f>SUM('Plant Inputs'!AJ6,'Plant Inputs'!AJ12,'Plant Inputs'!AJ18)</f>
        <v>1.0</v>
      </c>
      <c r="AJ6" s="14">
        <f>SUM('Plant Inputs'!AK6,'Plant Inputs'!AK12,'Plant Inputs'!AK18)</f>
        <v>0.0</v>
      </c>
      <c r="AK6" s="14">
        <f>SUM('Plant Inputs'!AL6,'Plant Inputs'!AL12,'Plant Inputs'!AL18)</f>
        <v>23.0</v>
      </c>
      <c r="AL6" s="14">
        <f>SUM('Plant Inputs'!AM6,'Plant Inputs'!AM12,'Plant Inputs'!AM18)</f>
        <v>4.0</v>
      </c>
      <c r="AM6" s="14">
        <f>SUM('Plant Inputs'!AN6,'Plant Inputs'!AN12,'Plant Inputs'!AN18)</f>
        <v>4.0</v>
      </c>
      <c r="AN6" s="14">
        <f>SUM('Plant Inputs'!AO6,'Plant Inputs'!AO12,'Plant Inputs'!AO18)</f>
        <v>3.0</v>
      </c>
      <c r="AO6" s="14">
        <f>SUM('Plant Inputs'!AP6,'Plant Inputs'!AP12,'Plant Inputs'!AP18)</f>
        <v>1.0</v>
      </c>
      <c r="AP6" s="14">
        <f>SUM('Plant Inputs'!AQ6,'Plant Inputs'!AQ12,'Plant Inputs'!AQ18)</f>
        <v>523.0</v>
      </c>
      <c r="AQ6" s="14">
        <f>SUM('Plant Inputs'!AR6,'Plant Inputs'!AR12,'Plant Inputs'!AR18)</f>
        <v>45.0</v>
      </c>
      <c r="AR6" s="14">
        <f>MIN('Plant Inputs'!AS6,'Plant Inputs'!AS12,'Plant Inputs'!AS18)</f>
        <v>155</v>
      </c>
      <c r="AS6" s="14">
        <f>SUM('Plant Inputs'!AT6,'Plant Inputs'!AT12,'Plant Inputs'!AT18)</f>
        <v>298382.0</v>
      </c>
      <c r="AT6" s="14">
        <f>SUM('Plant Inputs'!AU6,'Plant Inputs'!AU12,'Plant Inputs'!AU18)</f>
        <v>351394.0</v>
      </c>
      <c r="AU6" s="14">
        <f>SUM('Plant Inputs'!AV6,'Plant Inputs'!AV12,'Plant Inputs'!AV18)</f>
        <v>1122941.6</v>
      </c>
      <c r="AV6" s="14">
        <f>SUM('Plant Inputs'!AW6,'Plant Inputs'!AW12,'Plant Inputs'!AW18)</f>
        <v>1321241.4</v>
      </c>
      <c r="AW6" s="14">
        <f>SUM('Plant Inputs'!AX6,'Plant Inputs'!AX12,'Plant Inputs'!AX18)</f>
        <v>54701.1</v>
      </c>
      <c r="AX6" s="14">
        <f>SUM('Plant Inputs'!AY6,'Plant Inputs'!AY12,'Plant Inputs'!AY18)</f>
        <v>46544.7</v>
      </c>
      <c r="AY6" s="14">
        <f>SUM('Plant Inputs'!AZ6,'Plant Inputs'!AZ12,'Plant Inputs'!AZ18)</f>
        <v>629.0</v>
      </c>
      <c r="AZ6" s="14">
        <f>SUM('Plant Inputs'!BA6,'Plant Inputs'!BA12,'Plant Inputs'!BA18)</f>
        <v>569.0</v>
      </c>
      <c r="BA6" s="14">
        <f>SUM('Plant Inputs'!BB6,'Plant Inputs'!BB12,'Plant Inputs'!BB18)</f>
        <v>323536.0</v>
      </c>
      <c r="BB6" s="14">
        <f>SUM('Plant Inputs'!BC6,'Plant Inputs'!BC12,'Plant Inputs'!BC18)</f>
        <v>313013.0</v>
      </c>
      <c r="BC6" s="14">
        <f>SUM('Plant Inputs'!BD6,'Plant Inputs'!BD12,'Plant Inputs'!BD18)</f>
        <v>3081.0</v>
      </c>
      <c r="BD6" s="14">
        <f>SUM('Plant Inputs'!BE6,'Plant Inputs'!BE12,'Plant Inputs'!BE18)</f>
        <v>2282.0</v>
      </c>
      <c r="BE6" s="14">
        <f>SUM('Plant Inputs'!BF6,'Plant Inputs'!BF12,'Plant Inputs'!BF18)</f>
        <v>2372.0</v>
      </c>
      <c r="BF6" s="14">
        <f>SUM('Plant Inputs'!BG6,'Plant Inputs'!BG12,'Plant Inputs'!BG18)</f>
        <v>536546.4</v>
      </c>
      <c r="BG6" s="14">
        <f>SUM('Plant Inputs'!BH6,'Plant Inputs'!BH12,'Plant Inputs'!BH18)</f>
        <v>205625.3</v>
      </c>
      <c r="BH6" s="14">
        <f>SUM('Plant Inputs'!BI6,'Plant Inputs'!BI12,'Plant Inputs'!BI18)</f>
        <v>1.0</v>
      </c>
      <c r="BI6" s="14">
        <f>SUM('Plant Inputs'!BJ6,'Plant Inputs'!BJ12,'Plant Inputs'!BJ18)</f>
        <v>0.0</v>
      </c>
      <c r="BJ6" s="14">
        <f>SUM('Plant Inputs'!BK6,'Plant Inputs'!BK12,'Plant Inputs'!BK18)</f>
        <v>0.0</v>
      </c>
      <c r="BK6" s="14">
        <f>SUM('Plant Inputs'!BL6,'Plant Inputs'!BL12,'Plant Inputs'!BL18)</f>
        <v>2.0</v>
      </c>
      <c r="BL6" s="14">
        <f>SUM('Plant Inputs'!BM6,'Plant Inputs'!BM12,'Plant Inputs'!BM18)</f>
        <v>2.0</v>
      </c>
      <c r="BM6" s="14">
        <f>SUM('Plant Inputs'!BN6,'Plant Inputs'!BN12,'Plant Inputs'!BN18)</f>
        <v>0.0</v>
      </c>
      <c r="BN6" s="14">
        <f>SUM('Plant Inputs'!BO6,'Plant Inputs'!BO12,'Plant Inputs'!BO18)</f>
        <v>0.0</v>
      </c>
      <c r="BO6" s="14">
        <f>SUM('Plant Inputs'!BP6,'Plant Inputs'!BP12,'Plant Inputs'!BP18)</f>
        <v>0.0</v>
      </c>
      <c r="BP6" s="14">
        <f>SUM('Plant Inputs'!BQ6,'Plant Inputs'!BQ12,'Plant Inputs'!BQ18)</f>
        <v>0.0</v>
      </c>
      <c r="BQ6" s="14">
        <f>SUM('Plant Inputs'!BR6,'Plant Inputs'!BR12,'Plant Inputs'!BR18)</f>
        <v>0.0</v>
      </c>
      <c r="BR6" s="14">
        <f>SUM('Plant Inputs'!BS6,'Plant Inputs'!BS12,'Plant Inputs'!BS18)</f>
        <v>0.0</v>
      </c>
      <c r="BS6" s="14">
        <f>MIN('Plant Inputs'!BT6,'Plant Inputs'!BT12,'Plant Inputs'!BT18)</f>
        <v>18</v>
      </c>
      <c r="BT6" s="14">
        <f>SUM('Plant Inputs'!BU6,'Plant Inputs'!BU12,'Plant Inputs'!BU18)</f>
        <v>351296.0</v>
      </c>
      <c r="BU6" s="14">
        <f>SUM('Plant Inputs'!BV6,'Plant Inputs'!BV12,'Plant Inputs'!BV18)</f>
        <v>342407.0</v>
      </c>
      <c r="BV6" s="14">
        <f>SUM('Plant Inputs'!BW6,'Plant Inputs'!BW12,'Plant Inputs'!BW18)</f>
        <v>141852847.0</v>
      </c>
      <c r="BW6" s="14">
        <f>SUM('Plant Inputs'!BX6,'Plant Inputs'!BX12,'Plant Inputs'!BX18)</f>
        <v>396405.0</v>
      </c>
      <c r="BX6" s="14">
        <f>SUM('Plant Inputs'!BY6,'Plant Inputs'!BY12,'Plant Inputs'!BY18)</f>
        <v>15624.0</v>
      </c>
      <c r="BY6" s="16">
        <v>48811.1</v>
      </c>
      <c r="BZ6" s="16">
        <v>29278.7</v>
      </c>
      <c r="CA6" s="16">
        <v>10886400</v>
      </c>
      <c r="CB6" s="16">
        <v>4635169.6</v>
      </c>
      <c r="CC6" s="16">
        <v>911169.6</v>
      </c>
      <c r="CD6" s="16">
        <v>460112.3</v>
      </c>
      <c r="CE6" s="16">
        <v>39102</v>
      </c>
      <c r="CF6" s="16">
        <v>476219.3</v>
      </c>
      <c r="CG6" s="16">
        <v>1378110</v>
      </c>
      <c r="CH6" s="16">
        <v>133983.3</v>
      </c>
      <c r="CI6" s="16">
        <v>1126086</v>
      </c>
      <c r="CJ6" s="16">
        <v>1943165.8</v>
      </c>
      <c r="CK6" s="16">
        <v>1271185.4</v>
      </c>
      <c r="CL6" s="16">
        <v>1281353</v>
      </c>
      <c r="CM6" s="16">
        <v>1116529.3</v>
      </c>
      <c r="CN6" s="16">
        <v>735.6</v>
      </c>
      <c r="CO6" s="16">
        <v>117650.6</v>
      </c>
      <c r="CP6" s="16">
        <v>117650.6</v>
      </c>
      <c r="CQ6" s="16">
        <v>425</v>
      </c>
      <c r="CR6" s="16">
        <v>19112</v>
      </c>
      <c r="CS6" s="16">
        <v>19125</v>
      </c>
      <c r="CT6" s="16">
        <v>0</v>
      </c>
      <c r="CU6" s="16">
        <v>802788</v>
      </c>
      <c r="CV6" s="16">
        <v>808463.3</v>
      </c>
      <c r="CW6" s="16">
        <v>155641.9</v>
      </c>
      <c r="CX6" s="16">
        <v>3675892.6</v>
      </c>
      <c r="CY6" s="16">
        <v>1569788.9</v>
      </c>
      <c r="CZ6" s="16">
        <v>418805.1</v>
      </c>
      <c r="DA6" s="16">
        <v>306320.8</v>
      </c>
      <c r="DB6" s="16">
        <v>327500.7</v>
      </c>
      <c r="DC6" s="16">
        <v>240203.5</v>
      </c>
      <c r="DD6" s="16">
        <v>4261.9</v>
      </c>
      <c r="DE6" s="16">
        <v>4555.5</v>
      </c>
      <c r="DF6" s="16">
        <v>2534835.3</v>
      </c>
      <c r="DG6" s="16">
        <v>1925015.9</v>
      </c>
      <c r="DH6" s="16">
        <v>1000000</v>
      </c>
      <c r="DI6" s="16">
        <v>561019.6</v>
      </c>
      <c r="DJ6" s="16">
        <v>73628.5</v>
      </c>
      <c r="DK6" s="16">
        <v>464000</v>
      </c>
      <c r="DL6" s="16">
        <v>21951.6</v>
      </c>
      <c r="DM6" s="16">
        <v>5</v>
      </c>
      <c r="DN6" s="16">
        <v>1</v>
      </c>
      <c r="DO6" s="16">
        <v>0</v>
      </c>
      <c r="DP6" s="16">
        <v>0</v>
      </c>
      <c r="DQ6" s="16">
        <v>4</v>
      </c>
      <c r="DR6" s="16">
        <v>14</v>
      </c>
      <c r="DS6" s="16">
        <v>5</v>
      </c>
      <c r="DT6" s="16">
        <v>2</v>
      </c>
      <c r="DU6" s="16">
        <v>1</v>
      </c>
      <c r="DV6" s="16">
        <v>60</v>
      </c>
      <c r="DW6" s="16">
        <v>24</v>
      </c>
      <c r="DX6" s="16">
        <v>5112.3</v>
      </c>
      <c r="DY6" s="16">
        <v>3419.9</v>
      </c>
      <c r="DZ6" s="16">
        <v>1071.3</v>
      </c>
      <c r="EA6" s="16">
        <v>417.2</v>
      </c>
      <c r="EB6" s="16">
        <v>665.8</v>
      </c>
      <c r="EC6" s="16">
        <v>72</v>
      </c>
      <c r="ED6" s="16">
        <v>69</v>
      </c>
      <c r="EE6" s="16">
        <v>2</v>
      </c>
      <c r="EF6" s="16">
        <v>0</v>
      </c>
      <c r="EG6" s="16">
        <v>2</v>
      </c>
      <c r="EH6" s="16">
        <v>0</v>
      </c>
      <c r="EI6" s="16">
        <v>0</v>
      </c>
      <c r="EJ6" s="16">
        <v>0</v>
      </c>
      <c r="EK6" s="16">
        <v>0</v>
      </c>
      <c r="EL6" s="16">
        <v>0</v>
      </c>
      <c r="EM6" s="16">
        <v>0</v>
      </c>
      <c r="EN6" s="16">
        <v>0</v>
      </c>
      <c r="EO6" s="16">
        <v>0</v>
      </c>
      <c r="EP6" s="16">
        <v>0</v>
      </c>
      <c r="EQ6" s="16">
        <v>2</v>
      </c>
      <c r="ER6" s="16">
        <v>0</v>
      </c>
      <c r="ES6" s="16">
        <v>0</v>
      </c>
      <c r="ET6" s="16">
        <v>1</v>
      </c>
      <c r="EU6" s="16">
        <v>2</v>
      </c>
      <c r="EV6" s="16">
        <v>0</v>
      </c>
      <c r="EW6" s="16">
        <v>0</v>
      </c>
      <c r="EX6" s="16">
        <v>0</v>
      </c>
      <c r="EY6" s="16">
        <v>50</v>
      </c>
      <c r="EZ6" s="16">
        <v>43</v>
      </c>
      <c r="FA6" s="16">
        <v>1</v>
      </c>
      <c r="FB6" s="16">
        <v>30</v>
      </c>
      <c r="FC6" s="16">
        <v>28</v>
      </c>
      <c r="FD6" s="16">
        <v>23</v>
      </c>
      <c r="FE6" s="16">
        <v>26</v>
      </c>
      <c r="FF6" s="16">
        <v>0</v>
      </c>
      <c r="FG6" s="16">
        <v>1</v>
      </c>
      <c r="FH6" s="16">
        <v>0</v>
      </c>
      <c r="FI6" s="16">
        <v>488990</v>
      </c>
      <c r="FJ6" s="16">
        <v>485052</v>
      </c>
      <c r="FK6" s="16">
        <v>400</v>
      </c>
      <c r="FL6" s="16">
        <v>378</v>
      </c>
      <c r="FM6" s="16">
        <v>0</v>
      </c>
      <c r="FN6" s="16">
        <v>0</v>
      </c>
      <c r="FO6" s="16">
        <v>0</v>
      </c>
      <c r="FP6" s="16">
        <v>4</v>
      </c>
      <c r="FQ6" s="16">
        <v>11.7</v>
      </c>
      <c r="FR6" s="16">
        <v>4</v>
      </c>
      <c r="FS6" s="16">
        <v>1</v>
      </c>
      <c r="FT6" s="16">
        <v>1</v>
      </c>
      <c r="FU6" s="16">
        <v>1</v>
      </c>
    </row>
    <row r="7" spans="1:177">
      <c r="A7" t="s">
        <v>15</v>
      </c>
      <c r="B7" t="s">
        <v>170</v>
      </c>
      <c r="C7" t="s">
        <v>175</v>
      </c>
      <c r="D7">
        <v>31</v>
      </c>
      <c r="E7" s="14">
        <f>SUM('Plant Inputs'!F7,'Plant Inputs'!F13,'Plant Inputs'!F19)</f>
        <v>2232.0</v>
      </c>
      <c r="F7" s="14">
        <f>SUM('Plant Inputs'!G7,'Plant Inputs'!G13,'Plant Inputs'!G19)</f>
        <v>2216.0</v>
      </c>
      <c r="G7" s="14">
        <f>SUM('Plant Inputs'!H7,'Plant Inputs'!H13,'Plant Inputs'!H19)</f>
        <v>2054.8</v>
      </c>
      <c r="H7" s="14">
        <f>SUM('Plant Inputs'!I7,'Plant Inputs'!I13,'Plant Inputs'!I19)</f>
        <v>127.1</v>
      </c>
      <c r="I7" s="14">
        <f>SUM('Plant Inputs'!J7,'Plant Inputs'!J13,'Plant Inputs'!J19)</f>
        <v>407155.0</v>
      </c>
      <c r="J7" s="14">
        <f>SUM('Plant Inputs'!K7,'Plant Inputs'!K13,'Plant Inputs'!K19)</f>
        <v>410242.0</v>
      </c>
      <c r="K7" s="14">
        <f>SUM('Plant Inputs'!L7,'Plant Inputs'!L13,'Plant Inputs'!L19)</f>
        <v>353877.0</v>
      </c>
      <c r="L7" s="14">
        <f>SUM('Plant Inputs'!M7,'Plant Inputs'!M13,'Plant Inputs'!M19)</f>
        <v>335677.0</v>
      </c>
      <c r="M7" s="14">
        <f>SUM('Plant Inputs'!N7,'Plant Inputs'!N13,'Plant Inputs'!N19)</f>
        <v>322095.0</v>
      </c>
      <c r="N7" s="14">
        <f>SUM('Plant Inputs'!O7,'Plant Inputs'!O13,'Plant Inputs'!O19)</f>
        <v>357955.0</v>
      </c>
      <c r="O7" s="14">
        <f>SUM('Plant Inputs'!P7,'Plant Inputs'!P13,'Plant Inputs'!P19)</f>
        <v>77968.0</v>
      </c>
      <c r="P7" s="14">
        <f>SUM('Plant Inputs'!Q7,'Plant Inputs'!Q13,'Plant Inputs'!Q19)</f>
        <v>68247.0</v>
      </c>
      <c r="Q7" s="14">
        <f>SUM('Plant Inputs'!R7,'Plant Inputs'!R13,'Plant Inputs'!R19)</f>
        <v>23717.0</v>
      </c>
      <c r="R7" s="14">
        <f>SUM('Plant Inputs'!S7,'Plant Inputs'!S13,'Plant Inputs'!S19)</f>
        <v>14.0</v>
      </c>
      <c r="S7" s="14">
        <f>SUM('Plant Inputs'!T7,'Plant Inputs'!T13,'Plant Inputs'!T19)</f>
        <v>108.8</v>
      </c>
      <c r="T7" s="14">
        <f>SUM('Plant Inputs'!U7,'Plant Inputs'!U13,'Plant Inputs'!U19)</f>
        <v>142.0</v>
      </c>
      <c r="U7" s="14">
        <f>SUM('Plant Inputs'!V7,'Plant Inputs'!V13,'Plant Inputs'!V19)</f>
        <v>126.0</v>
      </c>
      <c r="V7" s="14">
        <f>SUM('Plant Inputs'!W7,'Plant Inputs'!W13,'Plant Inputs'!W19)</f>
        <v>953215.4000000001</v>
      </c>
      <c r="W7" s="14">
        <f>SUM('Plant Inputs'!X7,'Plant Inputs'!X13,'Plant Inputs'!X19)</f>
        <v>250507.4</v>
      </c>
      <c r="X7" s="14">
        <f>SUM('Plant Inputs'!Y7,'Plant Inputs'!Y13,'Plant Inputs'!Y19)</f>
        <v>3486.0000000000005</v>
      </c>
      <c r="Y7" s="14">
        <f>SUM('Plant Inputs'!Z7,'Plant Inputs'!Z13,'Plant Inputs'!Z19)</f>
        <v>738476.0</v>
      </c>
      <c r="Z7" s="14">
        <f>SUM('Plant Inputs'!AA7,'Plant Inputs'!AA13,'Plant Inputs'!AA19)</f>
        <v>190291.0</v>
      </c>
      <c r="AA7" s="14">
        <f>SUM('Plant Inputs'!AB7,'Plant Inputs'!AB13,'Plant Inputs'!AB19)</f>
        <v>1071006.0</v>
      </c>
      <c r="AB7" s="14">
        <f>SUM('Plant Inputs'!AC7,'Plant Inputs'!AC13,'Plant Inputs'!AC19)</f>
        <v>30407.0</v>
      </c>
      <c r="AC7" s="14">
        <f>SUM('Plant Inputs'!AD7,'Plant Inputs'!AD13,'Plant Inputs'!AD19)</f>
        <v>2.0</v>
      </c>
      <c r="AD7" s="14">
        <f>SUM('Plant Inputs'!AE7,'Plant Inputs'!AE13,'Plant Inputs'!AE19)</f>
        <v>232000.0</v>
      </c>
      <c r="AE7" s="14">
        <f>SUM('Plant Inputs'!AF7,'Plant Inputs'!AF13,'Plant Inputs'!AF19)</f>
        <v>2.0</v>
      </c>
      <c r="AF7" s="14">
        <f>SUM('Plant Inputs'!AG7,'Plant Inputs'!AG13,'Plant Inputs'!AG19)</f>
        <v>1.0</v>
      </c>
      <c r="AG7" s="14">
        <f>SUM('Plant Inputs'!AH7,'Plant Inputs'!AH13,'Plant Inputs'!AH19)</f>
        <v>19.0</v>
      </c>
      <c r="AH7" s="14">
        <f>SUM('Plant Inputs'!AI7,'Plant Inputs'!AI13,'Plant Inputs'!AI19)</f>
        <v>0.0</v>
      </c>
      <c r="AI7" s="14">
        <f>SUM('Plant Inputs'!AJ7,'Plant Inputs'!AJ13,'Plant Inputs'!AJ19)</f>
        <v>2.0</v>
      </c>
      <c r="AJ7" s="14">
        <f>SUM('Plant Inputs'!AK7,'Plant Inputs'!AK13,'Plant Inputs'!AK19)</f>
        <v>0.0</v>
      </c>
      <c r="AK7" s="14">
        <f>SUM('Plant Inputs'!AL7,'Plant Inputs'!AL13,'Plant Inputs'!AL19)</f>
        <v>24.0</v>
      </c>
      <c r="AL7" s="14">
        <f>SUM('Plant Inputs'!AM7,'Plant Inputs'!AM13,'Plant Inputs'!AM19)</f>
        <v>5.0</v>
      </c>
      <c r="AM7" s="14">
        <f>SUM('Plant Inputs'!AN7,'Plant Inputs'!AN13,'Plant Inputs'!AN19)</f>
        <v>4.0</v>
      </c>
      <c r="AN7" s="14">
        <f>SUM('Plant Inputs'!AO7,'Plant Inputs'!AO13,'Plant Inputs'!AO19)</f>
        <v>4.0</v>
      </c>
      <c r="AO7" s="14">
        <f>SUM('Plant Inputs'!AP7,'Plant Inputs'!AP13,'Plant Inputs'!AP19)</f>
        <v>2.0</v>
      </c>
      <c r="AP7" s="14">
        <f>SUM('Plant Inputs'!AQ7,'Plant Inputs'!AQ13,'Plant Inputs'!AQ19)</f>
        <v>473.0</v>
      </c>
      <c r="AQ7" s="14">
        <f>SUM('Plant Inputs'!AR7,'Plant Inputs'!AR13,'Plant Inputs'!AR19)</f>
        <v>36.0</v>
      </c>
      <c r="AR7" s="14">
        <f>MIN('Plant Inputs'!AS7,'Plant Inputs'!AS13,'Plant Inputs'!AS19)</f>
        <v>125</v>
      </c>
      <c r="AS7" s="14">
        <f>SUM('Plant Inputs'!AT7,'Plant Inputs'!AT13,'Plant Inputs'!AT19)</f>
        <v>318013.0</v>
      </c>
      <c r="AT7" s="14">
        <f>SUM('Plant Inputs'!AU7,'Plant Inputs'!AU13,'Plant Inputs'!AU19)</f>
        <v>352859.0</v>
      </c>
      <c r="AU7" s="14">
        <f>SUM('Plant Inputs'!AV7,'Plant Inputs'!AV13,'Plant Inputs'!AV19)</f>
        <v>1189685.5</v>
      </c>
      <c r="AV7" s="14">
        <f>SUM('Plant Inputs'!AW7,'Plant Inputs'!AW13,'Plant Inputs'!AW19)</f>
        <v>1326749.7999999998</v>
      </c>
      <c r="AW7" s="14">
        <f>SUM('Plant Inputs'!AX7,'Plant Inputs'!AX13,'Plant Inputs'!AX19)</f>
        <v>52069.5</v>
      </c>
      <c r="AX7" s="14">
        <f>SUM('Plant Inputs'!AY7,'Plant Inputs'!AY13,'Plant Inputs'!AY19)</f>
        <v>47000.2</v>
      </c>
      <c r="AY7" s="14">
        <f>SUM('Plant Inputs'!AZ7,'Plant Inputs'!AZ13,'Plant Inputs'!AZ19)</f>
        <v>610.0</v>
      </c>
      <c r="AZ7" s="14">
        <f>SUM('Plant Inputs'!BA7,'Plant Inputs'!BA13,'Plant Inputs'!BA19)</f>
        <v>551.0</v>
      </c>
      <c r="BA7" s="14">
        <f>SUM('Plant Inputs'!BB7,'Plant Inputs'!BB13,'Plant Inputs'!BB19)</f>
        <v>354831.0</v>
      </c>
      <c r="BB7" s="14">
        <f>SUM('Plant Inputs'!BC7,'Plant Inputs'!BC13,'Plant Inputs'!BC19)</f>
        <v>339517.0</v>
      </c>
      <c r="BC7" s="14">
        <f>SUM('Plant Inputs'!BD7,'Plant Inputs'!BD13,'Plant Inputs'!BD19)</f>
        <v>3896.0</v>
      </c>
      <c r="BD7" s="14">
        <f>SUM('Plant Inputs'!BE7,'Plant Inputs'!BE13,'Plant Inputs'!BE19)</f>
        <v>2142.0</v>
      </c>
      <c r="BE7" s="14">
        <f>SUM('Plant Inputs'!BF7,'Plant Inputs'!BF13,'Plant Inputs'!BF19)</f>
        <v>2290.0</v>
      </c>
      <c r="BF7" s="14">
        <f>SUM('Plant Inputs'!BG7,'Plant Inputs'!BG13,'Plant Inputs'!BG19)</f>
        <v>486309.6</v>
      </c>
      <c r="BG7" s="14">
        <f>SUM('Plant Inputs'!BH7,'Plant Inputs'!BH13,'Plant Inputs'!BH19)</f>
        <v>186003.4</v>
      </c>
      <c r="BH7" s="14">
        <f>SUM('Plant Inputs'!BI7,'Plant Inputs'!BI13,'Plant Inputs'!BI19)</f>
        <v>0.0</v>
      </c>
      <c r="BI7" s="14">
        <f>SUM('Plant Inputs'!BJ7,'Plant Inputs'!BJ13,'Plant Inputs'!BJ19)</f>
        <v>0.0</v>
      </c>
      <c r="BJ7" s="14">
        <f>SUM('Plant Inputs'!BK7,'Plant Inputs'!BK13,'Plant Inputs'!BK19)</f>
        <v>0.0</v>
      </c>
      <c r="BK7" s="14">
        <f>SUM('Plant Inputs'!BL7,'Plant Inputs'!BL13,'Plant Inputs'!BL19)</f>
        <v>1.0</v>
      </c>
      <c r="BL7" s="14">
        <f>SUM('Plant Inputs'!BM7,'Plant Inputs'!BM13,'Plant Inputs'!BM19)</f>
        <v>1.0</v>
      </c>
      <c r="BM7" s="14">
        <f>SUM('Plant Inputs'!BN7,'Plant Inputs'!BN13,'Plant Inputs'!BN19)</f>
        <v>0.0</v>
      </c>
      <c r="BN7" s="14">
        <f>SUM('Plant Inputs'!BO7,'Plant Inputs'!BO13,'Plant Inputs'!BO19)</f>
        <v>1.0</v>
      </c>
      <c r="BO7" s="14">
        <f>SUM('Plant Inputs'!BP7,'Plant Inputs'!BP13,'Plant Inputs'!BP19)</f>
        <v>0.0</v>
      </c>
      <c r="BP7" s="14">
        <f>SUM('Plant Inputs'!BQ7,'Plant Inputs'!BQ13,'Plant Inputs'!BQ19)</f>
        <v>0.0</v>
      </c>
      <c r="BQ7" s="14">
        <f>SUM('Plant Inputs'!BR7,'Plant Inputs'!BR13,'Plant Inputs'!BR19)</f>
        <v>0.0</v>
      </c>
      <c r="BR7" s="14">
        <f>SUM('Plant Inputs'!BS7,'Plant Inputs'!BS13,'Plant Inputs'!BS19)</f>
        <v>0.0</v>
      </c>
      <c r="BS7" s="14">
        <f>MIN('Plant Inputs'!BT7,'Plant Inputs'!BT13,'Plant Inputs'!BT19)</f>
        <v>12</v>
      </c>
      <c r="BT7" s="14">
        <f>SUM('Plant Inputs'!BU7,'Plant Inputs'!BU13,'Plant Inputs'!BU19)</f>
        <v>353760.0</v>
      </c>
      <c r="BU7" s="14">
        <f>SUM('Plant Inputs'!BV7,'Plant Inputs'!BV13,'Plant Inputs'!BV19)</f>
        <v>344411.0</v>
      </c>
      <c r="BV7" s="14">
        <f>SUM('Plant Inputs'!BW7,'Plant Inputs'!BW13,'Plant Inputs'!BW19)</f>
        <v>156457896.0</v>
      </c>
      <c r="BW7" s="14">
        <f>SUM('Plant Inputs'!BX7,'Plant Inputs'!BX13,'Plant Inputs'!BX19)</f>
        <v>407155.0</v>
      </c>
      <c r="BX7" s="14">
        <f>SUM('Plant Inputs'!BY7,'Plant Inputs'!BY13,'Plant Inputs'!BY19)</f>
        <v>23730.0</v>
      </c>
      <c r="BY7" s="16">
        <v>54606.3</v>
      </c>
      <c r="BZ7" s="16">
        <v>39213.2</v>
      </c>
      <c r="CA7" s="16">
        <v>10929600</v>
      </c>
      <c r="CB7" s="16">
        <v>4608966.7</v>
      </c>
      <c r="CC7" s="16">
        <v>922966.7</v>
      </c>
      <c r="CD7" s="16">
        <v>458165.4</v>
      </c>
      <c r="CE7" s="16">
        <v>38703</v>
      </c>
      <c r="CF7" s="16">
        <v>484735.8</v>
      </c>
      <c r="CG7" s="16">
        <v>1328589.5</v>
      </c>
      <c r="CH7" s="16">
        <v>178047.3</v>
      </c>
      <c r="CI7" s="16">
        <v>1185026</v>
      </c>
      <c r="CJ7" s="16">
        <v>1960349</v>
      </c>
      <c r="CK7" s="16">
        <v>1201672</v>
      </c>
      <c r="CL7" s="16">
        <v>1233450.9</v>
      </c>
      <c r="CM7" s="16">
        <v>1188396</v>
      </c>
      <c r="CN7" s="16">
        <v>694.8</v>
      </c>
      <c r="CO7" s="16">
        <v>119061.7</v>
      </c>
      <c r="CP7" s="16">
        <v>119061.7</v>
      </c>
      <c r="CQ7" s="16">
        <v>438</v>
      </c>
      <c r="CR7" s="16">
        <v>19650</v>
      </c>
      <c r="CS7" s="16">
        <v>19710</v>
      </c>
      <c r="CT7" s="16">
        <v>0</v>
      </c>
      <c r="CU7" s="16">
        <v>1065509.6</v>
      </c>
      <c r="CV7" s="16">
        <v>1075543.1</v>
      </c>
      <c r="CW7" s="16">
        <v>172153.2</v>
      </c>
      <c r="CX7" s="16">
        <v>3675766.9</v>
      </c>
      <c r="CY7" s="16">
        <v>2119721.6</v>
      </c>
      <c r="CZ7" s="16">
        <v>446718.8</v>
      </c>
      <c r="DA7" s="16">
        <v>323811.5</v>
      </c>
      <c r="DB7" s="16">
        <v>364424.2</v>
      </c>
      <c r="DC7" s="16">
        <v>266166.7</v>
      </c>
      <c r="DD7" s="16">
        <v>6450.1</v>
      </c>
      <c r="DE7" s="16">
        <v>7325.1</v>
      </c>
      <c r="DF7" s="16">
        <v>2637874.2</v>
      </c>
      <c r="DG7" s="16">
        <v>2001983.7</v>
      </c>
      <c r="DH7" s="16">
        <v>1000000</v>
      </c>
      <c r="DI7" s="16">
        <v>608680.1</v>
      </c>
      <c r="DJ7" s="16">
        <v>80895.5</v>
      </c>
      <c r="DK7" s="16">
        <v>506000</v>
      </c>
      <c r="DL7" s="16">
        <v>24159.6</v>
      </c>
      <c r="DM7" s="16">
        <v>5</v>
      </c>
      <c r="DN7" s="16">
        <v>1</v>
      </c>
      <c r="DO7" s="16">
        <v>0</v>
      </c>
      <c r="DP7" s="16">
        <v>0</v>
      </c>
      <c r="DQ7" s="16">
        <v>6</v>
      </c>
      <c r="DR7" s="16">
        <v>17</v>
      </c>
      <c r="DS7" s="16">
        <v>5</v>
      </c>
      <c r="DT7" s="16">
        <v>2</v>
      </c>
      <c r="DU7" s="16">
        <v>1</v>
      </c>
      <c r="DV7" s="16">
        <v>60</v>
      </c>
      <c r="DW7" s="16">
        <v>27</v>
      </c>
      <c r="DX7" s="16">
        <v>5177.6</v>
      </c>
      <c r="DY7" s="16">
        <v>3634.4</v>
      </c>
      <c r="DZ7" s="16">
        <v>1084</v>
      </c>
      <c r="EA7" s="16">
        <v>415.8</v>
      </c>
      <c r="EB7" s="16">
        <v>690.3</v>
      </c>
      <c r="EC7" s="16">
        <v>72</v>
      </c>
      <c r="ED7" s="16">
        <v>68</v>
      </c>
      <c r="EE7" s="16">
        <v>2</v>
      </c>
      <c r="EF7" s="16">
        <v>0</v>
      </c>
      <c r="EG7" s="16">
        <v>2</v>
      </c>
      <c r="EH7" s="16">
        <v>1</v>
      </c>
      <c r="EI7" s="16">
        <v>0</v>
      </c>
      <c r="EJ7" s="16">
        <v>1</v>
      </c>
      <c r="EK7" s="16">
        <v>0</v>
      </c>
      <c r="EL7" s="16">
        <v>0</v>
      </c>
      <c r="EM7" s="16">
        <v>0</v>
      </c>
      <c r="EN7" s="16">
        <v>0</v>
      </c>
      <c r="EO7" s="16">
        <v>0</v>
      </c>
      <c r="EP7" s="16">
        <v>0</v>
      </c>
      <c r="EQ7" s="16">
        <v>1</v>
      </c>
      <c r="ER7" s="16">
        <v>1</v>
      </c>
      <c r="ES7" s="16">
        <v>0</v>
      </c>
      <c r="ET7" s="16">
        <v>1</v>
      </c>
      <c r="EU7" s="16">
        <v>2</v>
      </c>
      <c r="EV7" s="16">
        <v>0</v>
      </c>
      <c r="EW7" s="16">
        <v>0</v>
      </c>
      <c r="EX7" s="16">
        <v>0</v>
      </c>
      <c r="EY7" s="16">
        <v>50</v>
      </c>
      <c r="EZ7" s="16">
        <v>43</v>
      </c>
      <c r="FA7" s="16">
        <v>3</v>
      </c>
      <c r="FB7" s="16">
        <v>82</v>
      </c>
      <c r="FC7" s="16">
        <v>28</v>
      </c>
      <c r="FD7" s="16">
        <v>23</v>
      </c>
      <c r="FE7" s="16">
        <v>26</v>
      </c>
      <c r="FF7" s="16">
        <v>0</v>
      </c>
      <c r="FG7" s="16">
        <v>1</v>
      </c>
      <c r="FH7" s="16">
        <v>0</v>
      </c>
      <c r="FI7" s="16">
        <v>517040</v>
      </c>
      <c r="FJ7" s="16">
        <v>512116</v>
      </c>
      <c r="FK7" s="16">
        <v>400</v>
      </c>
      <c r="FL7" s="16">
        <v>380</v>
      </c>
      <c r="FM7" s="16">
        <v>0</v>
      </c>
      <c r="FN7" s="16">
        <v>0</v>
      </c>
      <c r="FO7" s="16">
        <v>0</v>
      </c>
      <c r="FP7" s="16">
        <v>4</v>
      </c>
      <c r="FQ7" s="16">
        <v>12</v>
      </c>
      <c r="FR7" s="16">
        <v>3</v>
      </c>
      <c r="FS7" s="16">
        <v>1</v>
      </c>
      <c r="FT7" s="16">
        <v>1</v>
      </c>
      <c r="FU7" s="16">
        <v>1</v>
      </c>
    </row>
    <row r="8" spans="1:177">
      <c r="A8" t="s">
        <v>15</v>
      </c>
      <c r="B8" t="s">
        <v>170</v>
      </c>
      <c r="C8" t="s">
        <v>176</v>
      </c>
      <c r="D8">
        <v>31</v>
      </c>
      <c r="E8" s="14">
        <f>SUM('Plant Inputs'!F8,'Plant Inputs'!F14,'Plant Inputs'!F20)</f>
        <v>2232.0</v>
      </c>
      <c r="F8" s="14">
        <f>SUM('Plant Inputs'!G8,'Plant Inputs'!G14,'Plant Inputs'!G20)</f>
        <v>2162.0</v>
      </c>
      <c r="G8" s="14">
        <f>SUM('Plant Inputs'!H8,'Plant Inputs'!H14,'Plant Inputs'!H20)</f>
        <v>2026.0</v>
      </c>
      <c r="H8" s="14">
        <f>SUM('Plant Inputs'!I8,'Plant Inputs'!I14,'Plant Inputs'!I20)</f>
        <v>96.19999999999999</v>
      </c>
      <c r="I8" s="14">
        <f>SUM('Plant Inputs'!J8,'Plant Inputs'!J14,'Plant Inputs'!J20)</f>
        <v>397019.0</v>
      </c>
      <c r="J8" s="14">
        <f>SUM('Plant Inputs'!K8,'Plant Inputs'!K14,'Plant Inputs'!K20)</f>
        <v>410242.0</v>
      </c>
      <c r="K8" s="14">
        <f>SUM('Plant Inputs'!L8,'Plant Inputs'!L14,'Plant Inputs'!L20)</f>
        <v>352869.0</v>
      </c>
      <c r="L8" s="14">
        <f>SUM('Plant Inputs'!M8,'Plant Inputs'!M14,'Plant Inputs'!M20)</f>
        <v>322341.0</v>
      </c>
      <c r="M8" s="14">
        <f>SUM('Plant Inputs'!N8,'Plant Inputs'!N14,'Plant Inputs'!N20)</f>
        <v>312572.0</v>
      </c>
      <c r="N8" s="14">
        <f>SUM('Plant Inputs'!O8,'Plant Inputs'!O14,'Plant Inputs'!O20)</f>
        <v>342784.0</v>
      </c>
      <c r="O8" s="14">
        <f>SUM('Plant Inputs'!P8,'Plant Inputs'!P14,'Plant Inputs'!P20)</f>
        <v>76378.0</v>
      </c>
      <c r="P8" s="14">
        <f>SUM('Plant Inputs'!Q8,'Plant Inputs'!Q14,'Plant Inputs'!Q20)</f>
        <v>66416.0</v>
      </c>
      <c r="Q8" s="14">
        <f>SUM('Plant Inputs'!R8,'Plant Inputs'!R14,'Plant Inputs'!R20)</f>
        <v>18044.0</v>
      </c>
      <c r="R8" s="14">
        <f>SUM('Plant Inputs'!S8,'Plant Inputs'!S14,'Plant Inputs'!S20)</f>
        <v>10.0</v>
      </c>
      <c r="S8" s="14">
        <f>SUM('Plant Inputs'!T8,'Plant Inputs'!T14,'Plant Inputs'!T20)</f>
        <v>81.8</v>
      </c>
      <c r="T8" s="14">
        <f>SUM('Plant Inputs'!U8,'Plant Inputs'!U14,'Plant Inputs'!U20)</f>
        <v>115.0</v>
      </c>
      <c r="U8" s="14">
        <f>SUM('Plant Inputs'!V8,'Plant Inputs'!V14,'Plant Inputs'!V20)</f>
        <v>112.0</v>
      </c>
      <c r="V8" s="14">
        <f>SUM('Plant Inputs'!W8,'Plant Inputs'!W14,'Plant Inputs'!W20)</f>
        <v>985820.0</v>
      </c>
      <c r="W8" s="14">
        <f>SUM('Plant Inputs'!X8,'Plant Inputs'!X14,'Plant Inputs'!X20)</f>
        <v>298298.6</v>
      </c>
      <c r="X8" s="14">
        <f>SUM('Plant Inputs'!Y8,'Plant Inputs'!Y14,'Plant Inputs'!Y20)</f>
        <v>3674.9999999999995</v>
      </c>
      <c r="Y8" s="14">
        <f>SUM('Plant Inputs'!Z8,'Plant Inputs'!Z14,'Plant Inputs'!Z20)</f>
        <v>673374.0</v>
      </c>
      <c r="Z8" s="14">
        <f>SUM('Plant Inputs'!AA8,'Plant Inputs'!AA14,'Plant Inputs'!AA20)</f>
        <v>216415.0</v>
      </c>
      <c r="AA8" s="14">
        <f>SUM('Plant Inputs'!AB8,'Plant Inputs'!AB14,'Plant Inputs'!AB20)</f>
        <v>1125992.0</v>
      </c>
      <c r="AB8" s="14">
        <f>SUM('Plant Inputs'!AC8,'Plant Inputs'!AC14,'Plant Inputs'!AC20)</f>
        <v>38187.0</v>
      </c>
      <c r="AC8" s="14">
        <f>SUM('Plant Inputs'!AD8,'Plant Inputs'!AD14,'Plant Inputs'!AD20)</f>
        <v>7.0</v>
      </c>
      <c r="AD8" s="14">
        <f>SUM('Plant Inputs'!AE8,'Plant Inputs'!AE14,'Plant Inputs'!AE20)</f>
        <v>193000.0</v>
      </c>
      <c r="AE8" s="14">
        <f>SUM('Plant Inputs'!AF8,'Plant Inputs'!AF14,'Plant Inputs'!AF20)</f>
        <v>2.0</v>
      </c>
      <c r="AF8" s="14">
        <f>SUM('Plant Inputs'!AG8,'Plant Inputs'!AG14,'Plant Inputs'!AG20)</f>
        <v>1.0</v>
      </c>
      <c r="AG8" s="14">
        <f>SUM('Plant Inputs'!AH8,'Plant Inputs'!AH14,'Plant Inputs'!AH20)</f>
        <v>19.0</v>
      </c>
      <c r="AH8" s="14">
        <f>SUM('Plant Inputs'!AI8,'Plant Inputs'!AI14,'Plant Inputs'!AI20)</f>
        <v>1.0</v>
      </c>
      <c r="AI8" s="14">
        <f>SUM('Plant Inputs'!AJ8,'Plant Inputs'!AJ14,'Plant Inputs'!AJ20)</f>
        <v>0.0</v>
      </c>
      <c r="AJ8" s="14">
        <f>SUM('Plant Inputs'!AK8,'Plant Inputs'!AK14,'Plant Inputs'!AK20)</f>
        <v>0.0</v>
      </c>
      <c r="AK8" s="14">
        <f>SUM('Plant Inputs'!AL8,'Plant Inputs'!AL14,'Plant Inputs'!AL20)</f>
        <v>18.0</v>
      </c>
      <c r="AL8" s="14">
        <f>SUM('Plant Inputs'!AM8,'Plant Inputs'!AM14,'Plant Inputs'!AM20)</f>
        <v>1.0</v>
      </c>
      <c r="AM8" s="14">
        <f>SUM('Plant Inputs'!AN8,'Plant Inputs'!AN14,'Plant Inputs'!AN20)</f>
        <v>3.0</v>
      </c>
      <c r="AN8" s="14">
        <f>SUM('Plant Inputs'!AO8,'Plant Inputs'!AO14,'Plant Inputs'!AO20)</f>
        <v>2.0</v>
      </c>
      <c r="AO8" s="14">
        <f>SUM('Plant Inputs'!AP8,'Plant Inputs'!AP14,'Plant Inputs'!AP20)</f>
        <v>3.0</v>
      </c>
      <c r="AP8" s="14">
        <f>SUM('Plant Inputs'!AQ8,'Plant Inputs'!AQ14,'Plant Inputs'!AQ20)</f>
        <v>456.0</v>
      </c>
      <c r="AQ8" s="14">
        <f>SUM('Plant Inputs'!AR8,'Plant Inputs'!AR14,'Plant Inputs'!AR20)</f>
        <v>46.0</v>
      </c>
      <c r="AR8" s="14">
        <f>MIN('Plant Inputs'!AS8,'Plant Inputs'!AS14,'Plant Inputs'!AS20)</f>
        <v>95</v>
      </c>
      <c r="AS8" s="14">
        <f>SUM('Plant Inputs'!AT8,'Plant Inputs'!AT14,'Plant Inputs'!AT20)</f>
        <v>314142.0</v>
      </c>
      <c r="AT8" s="14">
        <f>SUM('Plant Inputs'!AU8,'Plant Inputs'!AU14,'Plant Inputs'!AU20)</f>
        <v>353373.0</v>
      </c>
      <c r="AU8" s="14">
        <f>SUM('Plant Inputs'!AV8,'Plant Inputs'!AV14,'Plant Inputs'!AV20)</f>
        <v>1182005.4</v>
      </c>
      <c r="AV8" s="14">
        <f>SUM('Plant Inputs'!AW8,'Plant Inputs'!AW14,'Plant Inputs'!AW20)</f>
        <v>1328682.5</v>
      </c>
      <c r="AW8" s="14">
        <f>SUM('Plant Inputs'!AX8,'Plant Inputs'!AX14,'Plant Inputs'!AX20)</f>
        <v>61671.0</v>
      </c>
      <c r="AX8" s="14">
        <f>SUM('Plant Inputs'!AY8,'Plant Inputs'!AY14,'Plant Inputs'!AY20)</f>
        <v>46821.8</v>
      </c>
      <c r="AY8" s="14">
        <f>SUM('Plant Inputs'!AZ8,'Plant Inputs'!AZ14,'Plant Inputs'!AZ20)</f>
        <v>574.0</v>
      </c>
      <c r="AZ8" s="14">
        <f>SUM('Plant Inputs'!BA8,'Plant Inputs'!BA14,'Plant Inputs'!BA20)</f>
        <v>510.0</v>
      </c>
      <c r="BA8" s="14">
        <f>SUM('Plant Inputs'!BB8,'Plant Inputs'!BB14,'Plant Inputs'!BB20)</f>
        <v>336937.0</v>
      </c>
      <c r="BB8" s="14">
        <f>SUM('Plant Inputs'!BC8,'Plant Inputs'!BC14,'Plant Inputs'!BC20)</f>
        <v>326540.0</v>
      </c>
      <c r="BC8" s="14">
        <f>SUM('Plant Inputs'!BD8,'Plant Inputs'!BD14,'Plant Inputs'!BD20)</f>
        <v>5196.0</v>
      </c>
      <c r="BD8" s="14">
        <f>SUM('Plant Inputs'!BE8,'Plant Inputs'!BE14,'Plant Inputs'!BE20)</f>
        <v>2534.0</v>
      </c>
      <c r="BE8" s="14">
        <f>SUM('Plant Inputs'!BF8,'Plant Inputs'!BF14,'Plant Inputs'!BF20)</f>
        <v>2660.0</v>
      </c>
      <c r="BF8" s="14">
        <f>SUM('Plant Inputs'!BG8,'Plant Inputs'!BG14,'Plant Inputs'!BG20)</f>
        <v>525426.4</v>
      </c>
      <c r="BG8" s="14">
        <f>SUM('Plant Inputs'!BH8,'Plant Inputs'!BH14,'Plant Inputs'!BH20)</f>
        <v>203713.2</v>
      </c>
      <c r="BH8" s="14">
        <f>SUM('Plant Inputs'!BI8,'Plant Inputs'!BI14,'Plant Inputs'!BI20)</f>
        <v>0.0</v>
      </c>
      <c r="BI8" s="14">
        <f>SUM('Plant Inputs'!BJ8,'Plant Inputs'!BJ14,'Plant Inputs'!BJ20)</f>
        <v>0.0</v>
      </c>
      <c r="BJ8" s="14">
        <f>SUM('Plant Inputs'!BK8,'Plant Inputs'!BK14,'Plant Inputs'!BK20)</f>
        <v>0.0</v>
      </c>
      <c r="BK8" s="14">
        <f>SUM('Plant Inputs'!BL8,'Plant Inputs'!BL14,'Plant Inputs'!BL20)</f>
        <v>1.0</v>
      </c>
      <c r="BL8" s="14">
        <f>SUM('Plant Inputs'!BM8,'Plant Inputs'!BM14,'Plant Inputs'!BM20)</f>
        <v>2.0</v>
      </c>
      <c r="BM8" s="14">
        <f>SUM('Plant Inputs'!BN8,'Plant Inputs'!BN14,'Plant Inputs'!BN20)</f>
        <v>0.0</v>
      </c>
      <c r="BN8" s="14">
        <f>SUM('Plant Inputs'!BO8,'Plant Inputs'!BO14,'Plant Inputs'!BO20)</f>
        <v>0.0</v>
      </c>
      <c r="BO8" s="14">
        <f>SUM('Plant Inputs'!BP8,'Plant Inputs'!BP14,'Plant Inputs'!BP20)</f>
        <v>0.0</v>
      </c>
      <c r="BP8" s="14">
        <f>SUM('Plant Inputs'!BQ8,'Plant Inputs'!BQ14,'Plant Inputs'!BQ20)</f>
        <v>0.0</v>
      </c>
      <c r="BQ8" s="14">
        <f>SUM('Plant Inputs'!BR8,'Plant Inputs'!BR14,'Plant Inputs'!BR20)</f>
        <v>0.0</v>
      </c>
      <c r="BR8" s="14">
        <f>SUM('Plant Inputs'!BS8,'Plant Inputs'!BS14,'Plant Inputs'!BS20)</f>
        <v>0.0</v>
      </c>
      <c r="BS8" s="14">
        <f>MIN('Plant Inputs'!BT8,'Plant Inputs'!BT14,'Plant Inputs'!BT20)</f>
        <v>10</v>
      </c>
      <c r="BT8" s="14">
        <f>SUM('Plant Inputs'!BU8,'Plant Inputs'!BU14,'Plant Inputs'!BU20)</f>
        <v>355856.0</v>
      </c>
      <c r="BU8" s="14">
        <f>SUM('Plant Inputs'!BV8,'Plant Inputs'!BV14,'Plant Inputs'!BV20)</f>
        <v>348535.0</v>
      </c>
      <c r="BV8" s="14">
        <f>SUM('Plant Inputs'!BW8,'Plant Inputs'!BW14,'Plant Inputs'!BW20)</f>
        <v>146074050.0</v>
      </c>
      <c r="BW8" s="14">
        <f>SUM('Plant Inputs'!BX8,'Plant Inputs'!BX14,'Plant Inputs'!BX20)</f>
        <v>397019.0</v>
      </c>
      <c r="BX8" s="14">
        <f>SUM('Plant Inputs'!BY8,'Plant Inputs'!BY14,'Plant Inputs'!BY20)</f>
        <v>16568.0</v>
      </c>
      <c r="BY8" s="16">
        <v>51744.4</v>
      </c>
      <c r="BZ8" s="16">
        <v>26325.4</v>
      </c>
      <c r="CA8" s="16">
        <v>10972800</v>
      </c>
      <c r="CB8" s="16">
        <v>4538500.4</v>
      </c>
      <c r="CC8" s="16">
        <v>890500.4</v>
      </c>
      <c r="CD8" s="16">
        <v>450000.3</v>
      </c>
      <c r="CE8" s="16">
        <v>38304</v>
      </c>
      <c r="CF8" s="16">
        <v>430017.2</v>
      </c>
      <c r="CG8" s="16">
        <v>1434553</v>
      </c>
      <c r="CH8" s="16">
        <v>141020.6</v>
      </c>
      <c r="CI8" s="16">
        <v>1178034.5</v>
      </c>
      <c r="CJ8" s="16">
        <v>1942517.4</v>
      </c>
      <c r="CK8" s="16">
        <v>1220348.1</v>
      </c>
      <c r="CL8" s="16">
        <v>1299238.7</v>
      </c>
      <c r="CM8" s="16">
        <v>1172897</v>
      </c>
      <c r="CN8" s="16">
        <v>595.6</v>
      </c>
      <c r="CO8" s="16">
        <v>111451.4</v>
      </c>
      <c r="CP8" s="16">
        <v>85831.10000000001</v>
      </c>
      <c r="CQ8" s="16">
        <v>429</v>
      </c>
      <c r="CR8" s="16">
        <v>20245</v>
      </c>
      <c r="CS8" s="16">
        <v>19305</v>
      </c>
      <c r="CT8" s="16">
        <v>2</v>
      </c>
      <c r="CU8" s="16">
        <v>814011.1</v>
      </c>
      <c r="CV8" s="16">
        <v>844976.7</v>
      </c>
      <c r="CW8" s="16">
        <v>168030.4</v>
      </c>
      <c r="CX8" s="16">
        <v>3603080.9</v>
      </c>
      <c r="CY8" s="16">
        <v>1658464.7</v>
      </c>
      <c r="CZ8" s="16">
        <v>420833</v>
      </c>
      <c r="DA8" s="16">
        <v>289646.6</v>
      </c>
      <c r="DB8" s="16">
        <v>345045.2</v>
      </c>
      <c r="DC8" s="16">
        <v>254976</v>
      </c>
      <c r="DD8" s="16">
        <v>5930.1</v>
      </c>
      <c r="DE8" s="16">
        <v>6390.2</v>
      </c>
      <c r="DF8" s="16">
        <v>2577012.3</v>
      </c>
      <c r="DG8" s="16">
        <v>2005260.4</v>
      </c>
      <c r="DH8" s="16">
        <v>1000000</v>
      </c>
      <c r="DI8" s="16">
        <v>671475.8</v>
      </c>
      <c r="DJ8" s="16">
        <v>82465.60000000001</v>
      </c>
      <c r="DK8" s="16">
        <v>548000</v>
      </c>
      <c r="DL8" s="16">
        <v>21559.1</v>
      </c>
      <c r="DM8" s="16">
        <v>5</v>
      </c>
      <c r="DN8" s="16">
        <v>1</v>
      </c>
      <c r="DO8" s="16">
        <v>0</v>
      </c>
      <c r="DP8" s="16">
        <v>0</v>
      </c>
      <c r="DQ8" s="16">
        <v>7</v>
      </c>
      <c r="DR8" s="16">
        <v>21</v>
      </c>
      <c r="DS8" s="16">
        <v>5</v>
      </c>
      <c r="DT8" s="16">
        <v>2</v>
      </c>
      <c r="DU8" s="16">
        <v>1</v>
      </c>
      <c r="DV8" s="16">
        <v>60</v>
      </c>
      <c r="DW8" s="16">
        <v>30</v>
      </c>
      <c r="DX8" s="16">
        <v>5059.6</v>
      </c>
      <c r="DY8" s="16">
        <v>3578</v>
      </c>
      <c r="DZ8" s="16">
        <v>1035</v>
      </c>
      <c r="EA8" s="16">
        <v>350.8</v>
      </c>
      <c r="EB8" s="16">
        <v>639.5</v>
      </c>
      <c r="EC8" s="16">
        <v>72</v>
      </c>
      <c r="ED8" s="16">
        <v>68</v>
      </c>
      <c r="EE8" s="16">
        <v>2</v>
      </c>
      <c r="EF8" s="16">
        <v>0</v>
      </c>
      <c r="EG8" s="16">
        <v>2</v>
      </c>
      <c r="EH8" s="16">
        <v>0</v>
      </c>
      <c r="EI8" s="16">
        <v>0</v>
      </c>
      <c r="EJ8" s="16">
        <v>1</v>
      </c>
      <c r="EK8" s="16">
        <v>1</v>
      </c>
      <c r="EL8" s="16">
        <v>1</v>
      </c>
      <c r="EM8" s="16">
        <v>0</v>
      </c>
      <c r="EN8" s="16">
        <v>0</v>
      </c>
      <c r="EO8" s="16">
        <v>0</v>
      </c>
      <c r="EP8" s="16">
        <v>0</v>
      </c>
      <c r="EQ8" s="16">
        <v>2</v>
      </c>
      <c r="ER8" s="16">
        <v>1</v>
      </c>
      <c r="ES8" s="16">
        <v>0</v>
      </c>
      <c r="ET8" s="16">
        <v>1</v>
      </c>
      <c r="EU8" s="16">
        <v>3</v>
      </c>
      <c r="EV8" s="16">
        <v>0</v>
      </c>
      <c r="EW8" s="16">
        <v>0</v>
      </c>
      <c r="EX8" s="16">
        <v>0</v>
      </c>
      <c r="EY8" s="16">
        <v>50</v>
      </c>
      <c r="EZ8" s="16">
        <v>43</v>
      </c>
      <c r="FA8" s="16">
        <v>2</v>
      </c>
      <c r="FB8" s="16">
        <v>60</v>
      </c>
      <c r="FC8" s="16">
        <v>28</v>
      </c>
      <c r="FD8" s="16">
        <v>23</v>
      </c>
      <c r="FE8" s="16">
        <v>26</v>
      </c>
      <c r="FF8" s="16">
        <v>0</v>
      </c>
      <c r="FG8" s="16">
        <v>1</v>
      </c>
      <c r="FH8" s="16">
        <v>1</v>
      </c>
      <c r="FI8" s="16">
        <v>489715</v>
      </c>
      <c r="FJ8" s="16">
        <v>486862</v>
      </c>
      <c r="FK8" s="16">
        <v>400</v>
      </c>
      <c r="FL8" s="16">
        <v>382</v>
      </c>
      <c r="FM8" s="16">
        <v>1</v>
      </c>
      <c r="FN8" s="16">
        <v>0</v>
      </c>
      <c r="FO8" s="16">
        <v>0</v>
      </c>
      <c r="FP8" s="16">
        <v>4</v>
      </c>
      <c r="FQ8" s="16">
        <v>12.2</v>
      </c>
      <c r="FR8" s="16">
        <v>3</v>
      </c>
      <c r="FS8" s="16">
        <v>1</v>
      </c>
      <c r="FT8" s="16">
        <v>1</v>
      </c>
      <c r="FU8" s="16">
        <v>1</v>
      </c>
    </row>
    <row r="9" spans="1:177">
      <c r="A9" t="s">
        <v>15</v>
      </c>
      <c r="B9" t="s">
        <v>170</v>
      </c>
      <c r="C9" t="s">
        <v>177</v>
      </c>
      <c r="D9">
        <v>30</v>
      </c>
      <c r="E9" s="14">
        <f>SUM('Plant Inputs'!F9,'Plant Inputs'!F15,'Plant Inputs'!F21)</f>
        <v>2160.0</v>
      </c>
      <c r="F9" s="14">
        <f>SUM('Plant Inputs'!G9,'Plant Inputs'!G15,'Plant Inputs'!G21)</f>
        <v>2147.0</v>
      </c>
      <c r="G9" s="14">
        <f>SUM('Plant Inputs'!H9,'Plant Inputs'!H15,'Plant Inputs'!H21)</f>
        <v>1984.1999999999998</v>
      </c>
      <c r="H9" s="14">
        <f>SUM('Plant Inputs'!I9,'Plant Inputs'!I15,'Plant Inputs'!I21)</f>
        <v>120.7</v>
      </c>
      <c r="I9" s="14">
        <f>SUM('Plant Inputs'!J9,'Plant Inputs'!J15,'Plant Inputs'!J21)</f>
        <v>394982.0</v>
      </c>
      <c r="J9" s="14">
        <f>SUM('Plant Inputs'!K9,'Plant Inputs'!K15,'Plant Inputs'!K21)</f>
        <v>397008.0</v>
      </c>
      <c r="K9" s="14">
        <f>SUM('Plant Inputs'!L9,'Plant Inputs'!L15,'Plant Inputs'!L21)</f>
        <v>347088.0</v>
      </c>
      <c r="L9" s="14">
        <f>SUM('Plant Inputs'!M9,'Plant Inputs'!M15,'Plant Inputs'!M21)</f>
        <v>327032.0</v>
      </c>
      <c r="M9" s="14">
        <f>SUM('Plant Inputs'!N9,'Plant Inputs'!N15,'Plant Inputs'!N21)</f>
        <v>316798.0</v>
      </c>
      <c r="N9" s="14">
        <f>SUM('Plant Inputs'!O9,'Plant Inputs'!O15,'Plant Inputs'!O21)</f>
        <v>346362.0</v>
      </c>
      <c r="O9" s="14">
        <f>SUM('Plant Inputs'!P9,'Plant Inputs'!P15,'Plant Inputs'!P21)</f>
        <v>77576.0</v>
      </c>
      <c r="P9" s="14">
        <f>SUM('Plant Inputs'!Q9,'Plant Inputs'!Q15,'Plant Inputs'!Q21)</f>
        <v>67855.0</v>
      </c>
      <c r="Q9" s="14">
        <f>SUM('Plant Inputs'!R9,'Plant Inputs'!R15,'Plant Inputs'!R21)</f>
        <v>21684.0</v>
      </c>
      <c r="R9" s="14">
        <f>SUM('Plant Inputs'!S9,'Plant Inputs'!S15,'Plant Inputs'!S21)</f>
        <v>12.0</v>
      </c>
      <c r="S9" s="14">
        <f>SUM('Plant Inputs'!T9,'Plant Inputs'!T15,'Plant Inputs'!T21)</f>
        <v>98.89999999999999</v>
      </c>
      <c r="T9" s="14">
        <f>SUM('Plant Inputs'!U9,'Plant Inputs'!U15,'Plant Inputs'!U21)</f>
        <v>137.0</v>
      </c>
      <c r="U9" s="14">
        <f>SUM('Plant Inputs'!V9,'Plant Inputs'!V15,'Plant Inputs'!V21)</f>
        <v>128.0</v>
      </c>
      <c r="V9" s="14">
        <f>SUM('Plant Inputs'!W9,'Plant Inputs'!W15,'Plant Inputs'!W21)</f>
        <v>900069.3999999999</v>
      </c>
      <c r="W9" s="14">
        <f>SUM('Plant Inputs'!X9,'Plant Inputs'!X15,'Plant Inputs'!X21)</f>
        <v>218672.4</v>
      </c>
      <c r="X9" s="14">
        <f>SUM('Plant Inputs'!Y9,'Plant Inputs'!Y15,'Plant Inputs'!Y21)</f>
        <v>3769.7999999999997</v>
      </c>
      <c r="Y9" s="14">
        <f>SUM('Plant Inputs'!Z9,'Plant Inputs'!Z15,'Plant Inputs'!Z21)</f>
        <v>741310.0</v>
      </c>
      <c r="Z9" s="14">
        <f>SUM('Plant Inputs'!AA9,'Plant Inputs'!AA15,'Plant Inputs'!AA21)</f>
        <v>219505.0</v>
      </c>
      <c r="AA9" s="14">
        <f>SUM('Plant Inputs'!AB9,'Plant Inputs'!AB15,'Plant Inputs'!AB21)</f>
        <v>1144453.0</v>
      </c>
      <c r="AB9" s="14">
        <f>SUM('Plant Inputs'!AC9,'Plant Inputs'!AC15,'Plant Inputs'!AC21)</f>
        <v>30930.0</v>
      </c>
      <c r="AC9" s="14">
        <f>SUM('Plant Inputs'!AD9,'Plant Inputs'!AD15,'Plant Inputs'!AD21)</f>
        <v>5.0</v>
      </c>
      <c r="AD9" s="14">
        <f>SUM('Plant Inputs'!AE9,'Plant Inputs'!AE15,'Plant Inputs'!AE21)</f>
        <v>219000.0</v>
      </c>
      <c r="AE9" s="14">
        <f>SUM('Plant Inputs'!AF9,'Plant Inputs'!AF15,'Plant Inputs'!AF21)</f>
        <v>1.0</v>
      </c>
      <c r="AF9" s="14">
        <f>SUM('Plant Inputs'!AG9,'Plant Inputs'!AG15,'Plant Inputs'!AG21)</f>
        <v>1.0</v>
      </c>
      <c r="AG9" s="14">
        <f>SUM('Plant Inputs'!AH9,'Plant Inputs'!AH15,'Plant Inputs'!AH21)</f>
        <v>20.0</v>
      </c>
      <c r="AH9" s="14">
        <f>SUM('Plant Inputs'!AI9,'Plant Inputs'!AI15,'Plant Inputs'!AI21)</f>
        <v>0.0</v>
      </c>
      <c r="AI9" s="14">
        <f>SUM('Plant Inputs'!AJ9,'Plant Inputs'!AJ15,'Plant Inputs'!AJ21)</f>
        <v>1.0</v>
      </c>
      <c r="AJ9" s="14">
        <f>SUM('Plant Inputs'!AK9,'Plant Inputs'!AK15,'Plant Inputs'!AK21)</f>
        <v>0.0</v>
      </c>
      <c r="AK9" s="14">
        <f>SUM('Plant Inputs'!AL9,'Plant Inputs'!AL15,'Plant Inputs'!AL21)</f>
        <v>28.0</v>
      </c>
      <c r="AL9" s="14">
        <f>SUM('Plant Inputs'!AM9,'Plant Inputs'!AM15,'Plant Inputs'!AM21)</f>
        <v>7.0</v>
      </c>
      <c r="AM9" s="14">
        <f>SUM('Plant Inputs'!AN9,'Plant Inputs'!AN15,'Plant Inputs'!AN21)</f>
        <v>4.0</v>
      </c>
      <c r="AN9" s="14">
        <f>SUM('Plant Inputs'!AO9,'Plant Inputs'!AO15,'Plant Inputs'!AO21)</f>
        <v>3.0</v>
      </c>
      <c r="AO9" s="14">
        <f>SUM('Plant Inputs'!AP9,'Plant Inputs'!AP15,'Plant Inputs'!AP21)</f>
        <v>4.0</v>
      </c>
      <c r="AP9" s="14">
        <f>SUM('Plant Inputs'!AQ9,'Plant Inputs'!AQ15,'Plant Inputs'!AQ21)</f>
        <v>559.0</v>
      </c>
      <c r="AQ9" s="14">
        <f>SUM('Plant Inputs'!AR9,'Plant Inputs'!AR15,'Plant Inputs'!AR21)</f>
        <v>61.0</v>
      </c>
      <c r="AR9" s="14">
        <f>MIN('Plant Inputs'!AS9,'Plant Inputs'!AS15,'Plant Inputs'!AS21)</f>
        <v>65</v>
      </c>
      <c r="AS9" s="14">
        <f>SUM('Plant Inputs'!AT9,'Plant Inputs'!AT15,'Plant Inputs'!AT21)</f>
        <v>310047.0</v>
      </c>
      <c r="AT9" s="14">
        <f>SUM('Plant Inputs'!AU9,'Plant Inputs'!AU15,'Plant Inputs'!AU21)</f>
        <v>347556.0</v>
      </c>
      <c r="AU9" s="14">
        <f>SUM('Plant Inputs'!AV9,'Plant Inputs'!AV15,'Plant Inputs'!AV21)</f>
        <v>1155724.2</v>
      </c>
      <c r="AV9" s="14">
        <f>SUM('Plant Inputs'!AW9,'Plant Inputs'!AW15,'Plant Inputs'!AW21)</f>
        <v>1306810.6</v>
      </c>
      <c r="AW9" s="14">
        <f>SUM('Plant Inputs'!AX9,'Plant Inputs'!AX15,'Plant Inputs'!AX21)</f>
        <v>55885.899999999994</v>
      </c>
      <c r="AX9" s="14">
        <f>SUM('Plant Inputs'!AY9,'Plant Inputs'!AY15,'Plant Inputs'!AY21)</f>
        <v>47328.2</v>
      </c>
      <c r="AY9" s="14">
        <f>SUM('Plant Inputs'!AZ9,'Plant Inputs'!AZ15,'Plant Inputs'!AZ21)</f>
        <v>614.0</v>
      </c>
      <c r="AZ9" s="14">
        <f>SUM('Plant Inputs'!BA9,'Plant Inputs'!BA15,'Plant Inputs'!BA21)</f>
        <v>555.0</v>
      </c>
      <c r="BA9" s="14">
        <f>SUM('Plant Inputs'!BB9,'Plant Inputs'!BB15,'Plant Inputs'!BB21)</f>
        <v>343753.0</v>
      </c>
      <c r="BB9" s="14">
        <f>SUM('Plant Inputs'!BC9,'Plant Inputs'!BC15,'Plant Inputs'!BC21)</f>
        <v>333481.0</v>
      </c>
      <c r="BC9" s="14">
        <f>SUM('Plant Inputs'!BD9,'Plant Inputs'!BD15,'Plant Inputs'!BD21)</f>
        <v>3243.0</v>
      </c>
      <c r="BD9" s="14">
        <f>SUM('Plant Inputs'!BE9,'Plant Inputs'!BE15,'Plant Inputs'!BE21)</f>
        <v>2534.0</v>
      </c>
      <c r="BE9" s="14">
        <f>SUM('Plant Inputs'!BF9,'Plant Inputs'!BF15,'Plant Inputs'!BF21)</f>
        <v>2709.0</v>
      </c>
      <c r="BF9" s="14">
        <f>SUM('Plant Inputs'!BG9,'Plant Inputs'!BG15,'Plant Inputs'!BG21)</f>
        <v>498240.2</v>
      </c>
      <c r="BG9" s="14">
        <f>SUM('Plant Inputs'!BH9,'Plant Inputs'!BH15,'Plant Inputs'!BH21)</f>
        <v>173445.1</v>
      </c>
      <c r="BH9" s="14">
        <f>SUM('Plant Inputs'!BI9,'Plant Inputs'!BI15,'Plant Inputs'!BI21)</f>
        <v>1.0</v>
      </c>
      <c r="BI9" s="14">
        <f>SUM('Plant Inputs'!BJ9,'Plant Inputs'!BJ15,'Plant Inputs'!BJ21)</f>
        <v>0.0</v>
      </c>
      <c r="BJ9" s="14">
        <f>SUM('Plant Inputs'!BK9,'Plant Inputs'!BK15,'Plant Inputs'!BK21)</f>
        <v>2.0</v>
      </c>
      <c r="BK9" s="14">
        <f>SUM('Plant Inputs'!BL9,'Plant Inputs'!BL15,'Plant Inputs'!BL21)</f>
        <v>1.0</v>
      </c>
      <c r="BL9" s="14">
        <f>SUM('Plant Inputs'!BM9,'Plant Inputs'!BM15,'Plant Inputs'!BM21)</f>
        <v>1.0</v>
      </c>
      <c r="BM9" s="14">
        <f>SUM('Plant Inputs'!BN9,'Plant Inputs'!BN15,'Plant Inputs'!BN21)</f>
        <v>0.0</v>
      </c>
      <c r="BN9" s="14">
        <f>SUM('Plant Inputs'!BO9,'Plant Inputs'!BO15,'Plant Inputs'!BO21)</f>
        <v>0.0</v>
      </c>
      <c r="BO9" s="14">
        <f>SUM('Plant Inputs'!BP9,'Plant Inputs'!BP15,'Plant Inputs'!BP21)</f>
        <v>0.0</v>
      </c>
      <c r="BP9" s="14">
        <f>SUM('Plant Inputs'!BQ9,'Plant Inputs'!BQ15,'Plant Inputs'!BQ21)</f>
        <v>0.0</v>
      </c>
      <c r="BQ9" s="14">
        <f>SUM('Plant Inputs'!BR9,'Plant Inputs'!BR15,'Plant Inputs'!BR21)</f>
        <v>0.0</v>
      </c>
      <c r="BR9" s="14">
        <f>SUM('Plant Inputs'!BS9,'Plant Inputs'!BS15,'Plant Inputs'!BS21)</f>
        <v>0.0</v>
      </c>
      <c r="BS9" s="14">
        <f>MIN('Plant Inputs'!BT9,'Plant Inputs'!BT15,'Plant Inputs'!BT21)</f>
        <v>4</v>
      </c>
      <c r="BT9" s="14">
        <f>SUM('Plant Inputs'!BU9,'Plant Inputs'!BU15,'Plant Inputs'!BU21)</f>
        <v>347978.0</v>
      </c>
      <c r="BU9" s="14">
        <f>SUM('Plant Inputs'!BV9,'Plant Inputs'!BV15,'Plant Inputs'!BV21)</f>
        <v>338180.0</v>
      </c>
      <c r="BV9" s="14">
        <f>SUM('Plant Inputs'!BW9,'Plant Inputs'!BW15,'Plant Inputs'!BW21)</f>
        <v>143103746.0</v>
      </c>
      <c r="BW9" s="14">
        <f>SUM('Plant Inputs'!BX9,'Plant Inputs'!BX15,'Plant Inputs'!BX21)</f>
        <v>394982.0</v>
      </c>
      <c r="BX9" s="14">
        <f>SUM('Plant Inputs'!BY9,'Plant Inputs'!BY15,'Plant Inputs'!BY21)</f>
        <v>22295.0</v>
      </c>
      <c r="BY9" s="16">
        <v>50448.8</v>
      </c>
      <c r="BZ9" s="16">
        <v>37174.1</v>
      </c>
      <c r="CA9" s="16">
        <v>11016000</v>
      </c>
      <c r="CB9" s="16">
        <v>4577082.6</v>
      </c>
      <c r="CC9" s="16">
        <v>967082.6</v>
      </c>
      <c r="CD9" s="16">
        <v>449031.4</v>
      </c>
      <c r="CE9" s="16">
        <v>37905</v>
      </c>
      <c r="CF9" s="16">
        <v>486342.3</v>
      </c>
      <c r="CG9" s="16">
        <v>1440701.8</v>
      </c>
      <c r="CH9" s="16">
        <v>201088.9</v>
      </c>
      <c r="CI9" s="16">
        <v>1153045</v>
      </c>
      <c r="CJ9" s="16">
        <v>2003213.3</v>
      </c>
      <c r="CK9" s="16">
        <v>1205957.8</v>
      </c>
      <c r="CL9" s="16">
        <v>1214918.8</v>
      </c>
      <c r="CM9" s="16">
        <v>1158127.3</v>
      </c>
      <c r="CN9" s="16">
        <v>843.3</v>
      </c>
      <c r="CO9" s="16">
        <v>122055.2</v>
      </c>
      <c r="CP9" s="16">
        <v>94842.60000000001</v>
      </c>
      <c r="CQ9" s="16">
        <v>395</v>
      </c>
      <c r="CR9" s="16">
        <v>18541</v>
      </c>
      <c r="CS9" s="16">
        <v>17775</v>
      </c>
      <c r="CT9" s="16">
        <v>2</v>
      </c>
      <c r="CU9" s="16">
        <v>1161973.5</v>
      </c>
      <c r="CV9" s="16">
        <v>1210504.1</v>
      </c>
      <c r="CW9" s="16">
        <v>164691.3</v>
      </c>
      <c r="CX9" s="16">
        <v>3584699.7</v>
      </c>
      <c r="CY9" s="16">
        <v>2391562.6</v>
      </c>
      <c r="CZ9" s="16">
        <v>437492.4</v>
      </c>
      <c r="DA9" s="16">
        <v>314223.8</v>
      </c>
      <c r="DB9" s="16">
        <v>354951.3</v>
      </c>
      <c r="DC9" s="16">
        <v>255711.3</v>
      </c>
      <c r="DD9" s="16">
        <v>7006.3</v>
      </c>
      <c r="DE9" s="16">
        <v>7653.2</v>
      </c>
      <c r="DF9" s="16">
        <v>2579231.2</v>
      </c>
      <c r="DG9" s="16">
        <v>2009224.9</v>
      </c>
      <c r="DH9" s="16">
        <v>1000000</v>
      </c>
      <c r="DI9" s="16">
        <v>722629.1</v>
      </c>
      <c r="DJ9" s="16">
        <v>79170.5</v>
      </c>
      <c r="DK9" s="16">
        <v>590000</v>
      </c>
      <c r="DL9" s="16">
        <v>20798.4</v>
      </c>
      <c r="DM9" s="16">
        <v>5</v>
      </c>
      <c r="DN9" s="16">
        <v>1</v>
      </c>
      <c r="DO9" s="16">
        <v>0</v>
      </c>
      <c r="DP9" s="16">
        <v>0</v>
      </c>
      <c r="DQ9" s="16">
        <v>4</v>
      </c>
      <c r="DR9" s="16">
        <v>10</v>
      </c>
      <c r="DS9" s="16">
        <v>5</v>
      </c>
      <c r="DT9" s="16">
        <v>2</v>
      </c>
      <c r="DU9" s="16">
        <v>1</v>
      </c>
      <c r="DV9" s="16">
        <v>60</v>
      </c>
      <c r="DW9" s="16">
        <v>32</v>
      </c>
      <c r="DX9" s="16">
        <v>4825.8</v>
      </c>
      <c r="DY9" s="16">
        <v>3192.7</v>
      </c>
      <c r="DZ9" s="16">
        <v>1075</v>
      </c>
      <c r="EA9" s="16">
        <v>391.3</v>
      </c>
      <c r="EB9" s="16">
        <v>648.2</v>
      </c>
      <c r="EC9" s="16">
        <v>72</v>
      </c>
      <c r="ED9" s="16">
        <v>69</v>
      </c>
      <c r="EE9" s="16">
        <v>2</v>
      </c>
      <c r="EF9" s="16">
        <v>0</v>
      </c>
      <c r="EG9" s="16">
        <v>2</v>
      </c>
      <c r="EH9" s="16">
        <v>0</v>
      </c>
      <c r="EI9" s="16">
        <v>0</v>
      </c>
      <c r="EJ9" s="16">
        <v>0</v>
      </c>
      <c r="EK9" s="16">
        <v>0</v>
      </c>
      <c r="EL9" s="16">
        <v>1</v>
      </c>
      <c r="EM9" s="16">
        <v>0</v>
      </c>
      <c r="EN9" s="16">
        <v>0</v>
      </c>
      <c r="EO9" s="16">
        <v>0</v>
      </c>
      <c r="EP9" s="16">
        <v>0</v>
      </c>
      <c r="EQ9" s="16">
        <v>1</v>
      </c>
      <c r="ER9" s="16">
        <v>1</v>
      </c>
      <c r="ES9" s="16">
        <v>0</v>
      </c>
      <c r="ET9" s="16">
        <v>1</v>
      </c>
      <c r="EU9" s="16">
        <v>2</v>
      </c>
      <c r="EV9" s="16">
        <v>0</v>
      </c>
      <c r="EW9" s="16">
        <v>0</v>
      </c>
      <c r="EX9" s="16">
        <v>0</v>
      </c>
      <c r="EY9" s="16">
        <v>50</v>
      </c>
      <c r="EZ9" s="16">
        <v>43</v>
      </c>
      <c r="FA9" s="16">
        <v>3</v>
      </c>
      <c r="FB9" s="16">
        <v>88</v>
      </c>
      <c r="FC9" s="16">
        <v>28</v>
      </c>
      <c r="FD9" s="16">
        <v>23</v>
      </c>
      <c r="FE9" s="16">
        <v>26</v>
      </c>
      <c r="FF9" s="16">
        <v>0</v>
      </c>
      <c r="FG9" s="16">
        <v>1</v>
      </c>
      <c r="FH9" s="16">
        <v>1</v>
      </c>
      <c r="FI9" s="16">
        <v>500044</v>
      </c>
      <c r="FJ9" s="16">
        <v>494690</v>
      </c>
      <c r="FK9" s="16">
        <v>400</v>
      </c>
      <c r="FL9" s="16">
        <v>377</v>
      </c>
      <c r="FM9" s="16">
        <v>1</v>
      </c>
      <c r="FN9" s="16">
        <v>0</v>
      </c>
      <c r="FO9" s="16">
        <v>0</v>
      </c>
      <c r="FP9" s="16">
        <v>6</v>
      </c>
      <c r="FQ9" s="16">
        <v>16.7</v>
      </c>
      <c r="FR9" s="16">
        <v>3</v>
      </c>
      <c r="FS9" s="16">
        <v>1</v>
      </c>
      <c r="FT9" s="16">
        <v>1</v>
      </c>
      <c r="FU9" s="16">
        <v>1</v>
      </c>
    </row>
    <row r="10" spans="1:177">
      <c r="A10" t="s">
        <v>15</v>
      </c>
      <c r="B10" t="s">
        <v>180</v>
      </c>
      <c r="C10" t="s">
        <v>172</v>
      </c>
      <c r="D10">
        <v>30</v>
      </c>
      <c r="E10" s="14">
        <f>SUM('Plant Inputs'!F22,'Plant Inputs'!F28,'Plant Inputs'!F34)</f>
        <v>2160.0</v>
      </c>
      <c r="F10" s="14">
        <f>SUM('Plant Inputs'!G22,'Plant Inputs'!G28,'Plant Inputs'!G34)</f>
        <v>2143.0</v>
      </c>
      <c r="G10" s="14">
        <f>SUM('Plant Inputs'!H22,'Plant Inputs'!H28,'Plant Inputs'!H34)</f>
        <v>2067.0</v>
      </c>
      <c r="H10" s="14">
        <f>SUM('Plant Inputs'!I22,'Plant Inputs'!I28,'Plant Inputs'!I34)</f>
        <v>41.1</v>
      </c>
      <c r="I10" s="14">
        <f>SUM('Plant Inputs'!J22,'Plant Inputs'!J28,'Plant Inputs'!J34)</f>
        <v>349737.0</v>
      </c>
      <c r="J10" s="14">
        <f>SUM('Plant Inputs'!K22,'Plant Inputs'!K28,'Plant Inputs'!K34)</f>
        <v>352800.0</v>
      </c>
      <c r="K10" s="14">
        <f>SUM('Plant Inputs'!L22,'Plant Inputs'!L28,'Plant Inputs'!L34)</f>
        <v>308197.0</v>
      </c>
      <c r="L10" s="14">
        <f>SUM('Plant Inputs'!M22,'Plant Inputs'!M28,'Plant Inputs'!M34)</f>
        <v>321572.0</v>
      </c>
      <c r="M10" s="14">
        <f>SUM('Plant Inputs'!N22,'Plant Inputs'!N28,'Plant Inputs'!N34)</f>
        <v>308494.0</v>
      </c>
      <c r="N10" s="14">
        <f>SUM('Plant Inputs'!O22,'Plant Inputs'!O28,'Plant Inputs'!O34)</f>
        <v>337601.0</v>
      </c>
      <c r="O10" s="14">
        <f>SUM('Plant Inputs'!P22,'Plant Inputs'!P28,'Plant Inputs'!P34)</f>
        <v>77315.0</v>
      </c>
      <c r="P10" s="14">
        <f>SUM('Plant Inputs'!Q22,'Plant Inputs'!Q28,'Plant Inputs'!Q34)</f>
        <v>67290.0</v>
      </c>
      <c r="Q10" s="14">
        <f>SUM('Plant Inputs'!R22,'Plant Inputs'!R28,'Plant Inputs'!R34)</f>
        <v>6880.0</v>
      </c>
      <c r="R10" s="14">
        <f>SUM('Plant Inputs'!S22,'Plant Inputs'!S28,'Plant Inputs'!S34)</f>
        <v>5.0</v>
      </c>
      <c r="S10" s="14">
        <f>SUM('Plant Inputs'!T22,'Plant Inputs'!T28,'Plant Inputs'!T34)</f>
        <v>23.8</v>
      </c>
      <c r="T10" s="14">
        <f>SUM('Plant Inputs'!U22,'Plant Inputs'!U28,'Plant Inputs'!U34)</f>
        <v>137.0</v>
      </c>
      <c r="U10" s="14">
        <f>SUM('Plant Inputs'!V22,'Plant Inputs'!V28,'Plant Inputs'!V34)</f>
        <v>128.0</v>
      </c>
      <c r="V10" s="14">
        <f>SUM('Plant Inputs'!W22,'Plant Inputs'!W28,'Plant Inputs'!W34)</f>
        <v>941704.0</v>
      </c>
      <c r="W10" s="14">
        <f>SUM('Plant Inputs'!X22,'Plant Inputs'!X28,'Plant Inputs'!X34)</f>
        <v>257432.69999999998</v>
      </c>
      <c r="X10" s="14">
        <f>SUM('Plant Inputs'!Y22,'Plant Inputs'!Y28,'Plant Inputs'!Y34)</f>
        <v>3422.3</v>
      </c>
      <c r="Y10" s="14">
        <f>SUM('Plant Inputs'!Z22,'Plant Inputs'!Z28,'Plant Inputs'!Z34)</f>
        <v>688999.0</v>
      </c>
      <c r="Z10" s="14">
        <f>SUM('Plant Inputs'!AA22,'Plant Inputs'!AA28,'Plant Inputs'!AA34)</f>
        <v>194946.0</v>
      </c>
      <c r="AA10" s="14">
        <f>SUM('Plant Inputs'!AB22,'Plant Inputs'!AB28,'Plant Inputs'!AB34)</f>
        <v>1050428.0</v>
      </c>
      <c r="AB10" s="14">
        <f>SUM('Plant Inputs'!AC22,'Plant Inputs'!AC28,'Plant Inputs'!AC34)</f>
        <v>2688.0</v>
      </c>
      <c r="AC10" s="14">
        <f>SUM('Plant Inputs'!AD22,'Plant Inputs'!AD28,'Plant Inputs'!AD34)</f>
        <v>4.0</v>
      </c>
      <c r="AD10" s="14">
        <f>SUM('Plant Inputs'!AE22,'Plant Inputs'!AE28,'Plant Inputs'!AE34)</f>
        <v>238000.0</v>
      </c>
      <c r="AE10" s="14">
        <f>SUM('Plant Inputs'!AF22,'Plant Inputs'!AF28,'Plant Inputs'!AF34)</f>
        <v>2.0</v>
      </c>
      <c r="AF10" s="14">
        <f>SUM('Plant Inputs'!AG22,'Plant Inputs'!AG28,'Plant Inputs'!AG34)</f>
        <v>0.0</v>
      </c>
      <c r="AG10" s="14">
        <f>SUM('Plant Inputs'!AH22,'Plant Inputs'!AH28,'Plant Inputs'!AH34)</f>
        <v>18.0</v>
      </c>
      <c r="AH10" s="14">
        <f>SUM('Plant Inputs'!AI22,'Plant Inputs'!AI28,'Plant Inputs'!AI34)</f>
        <v>0.0</v>
      </c>
      <c r="AI10" s="14">
        <f>SUM('Plant Inputs'!AJ22,'Plant Inputs'!AJ28,'Plant Inputs'!AJ34)</f>
        <v>1.0</v>
      </c>
      <c r="AJ10" s="14">
        <f>SUM('Plant Inputs'!AK22,'Plant Inputs'!AK28,'Plant Inputs'!AK34)</f>
        <v>1.0</v>
      </c>
      <c r="AK10" s="14">
        <f>SUM('Plant Inputs'!AL22,'Plant Inputs'!AL28,'Plant Inputs'!AL34)</f>
        <v>35.0</v>
      </c>
      <c r="AL10" s="14">
        <f>SUM('Plant Inputs'!AM22,'Plant Inputs'!AM28,'Plant Inputs'!AM34)</f>
        <v>5.0</v>
      </c>
      <c r="AM10" s="14">
        <f>SUM('Plant Inputs'!AN22,'Plant Inputs'!AN28,'Plant Inputs'!AN34)</f>
        <v>5.0</v>
      </c>
      <c r="AN10" s="14">
        <f>SUM('Plant Inputs'!AO22,'Plant Inputs'!AO28,'Plant Inputs'!AO34)</f>
        <v>3.0</v>
      </c>
      <c r="AO10" s="14">
        <f>SUM('Plant Inputs'!AP22,'Plant Inputs'!AP28,'Plant Inputs'!AP34)</f>
        <v>2.0</v>
      </c>
      <c r="AP10" s="14">
        <f>SUM('Plant Inputs'!AQ22,'Plant Inputs'!AQ28,'Plant Inputs'!AQ34)</f>
        <v>561.0</v>
      </c>
      <c r="AQ10" s="14">
        <f>SUM('Plant Inputs'!AR22,'Plant Inputs'!AR28,'Plant Inputs'!AR34)</f>
        <v>37.0</v>
      </c>
      <c r="AR10" s="14">
        <f>MIN('Plant Inputs'!AS22,'Plant Inputs'!AS28,'Plant Inputs'!AS34)</f>
        <v>252</v>
      </c>
      <c r="AS10" s="14">
        <f>SUM('Plant Inputs'!AT22,'Plant Inputs'!AT28,'Plant Inputs'!AT34)</f>
        <v>306461.0</v>
      </c>
      <c r="AT10" s="14">
        <f>SUM('Plant Inputs'!AU22,'Plant Inputs'!AU28,'Plant Inputs'!AU34)</f>
        <v>309186.0</v>
      </c>
      <c r="AU10" s="14">
        <f>SUM('Plant Inputs'!AV22,'Plant Inputs'!AV28,'Plant Inputs'!AV34)</f>
        <v>1153204.7999999998</v>
      </c>
      <c r="AV10" s="14">
        <f>SUM('Plant Inputs'!AW22,'Plant Inputs'!AW28,'Plant Inputs'!AW34)</f>
        <v>1162539.4</v>
      </c>
      <c r="AW10" s="14">
        <f>SUM('Plant Inputs'!AX22,'Plant Inputs'!AX28,'Plant Inputs'!AX34)</f>
        <v>55440.7</v>
      </c>
      <c r="AX10" s="14">
        <f>SUM('Plant Inputs'!AY22,'Plant Inputs'!AY28,'Plant Inputs'!AY34)</f>
        <v>42632.8</v>
      </c>
      <c r="AY10" s="14">
        <f>SUM('Plant Inputs'!AZ22,'Plant Inputs'!AZ28,'Plant Inputs'!AZ34)</f>
        <v>760.0</v>
      </c>
      <c r="AZ10" s="14">
        <f>SUM('Plant Inputs'!BA22,'Plant Inputs'!BA28,'Plant Inputs'!BA34)</f>
        <v>696.0</v>
      </c>
      <c r="BA10" s="14">
        <f>SUM('Plant Inputs'!BB22,'Plant Inputs'!BB28,'Plant Inputs'!BB34)</f>
        <v>333873.0</v>
      </c>
      <c r="BB10" s="14">
        <f>SUM('Plant Inputs'!BC22,'Plant Inputs'!BC28,'Plant Inputs'!BC34)</f>
        <v>319297.0</v>
      </c>
      <c r="BC10" s="14">
        <f>SUM('Plant Inputs'!BD22,'Plant Inputs'!BD28,'Plant Inputs'!BD34)</f>
        <v>3807.0</v>
      </c>
      <c r="BD10" s="14">
        <f>SUM('Plant Inputs'!BE22,'Plant Inputs'!BE28,'Plant Inputs'!BE34)</f>
        <v>2520.0</v>
      </c>
      <c r="BE10" s="14">
        <f>SUM('Plant Inputs'!BF22,'Plant Inputs'!BF28,'Plant Inputs'!BF34)</f>
        <v>2637.0</v>
      </c>
      <c r="BF10" s="14">
        <f>SUM('Plant Inputs'!BG22,'Plant Inputs'!BG28,'Plant Inputs'!BG34)</f>
        <v>549659.8</v>
      </c>
      <c r="BG10" s="14">
        <f>SUM('Plant Inputs'!BH22,'Plant Inputs'!BH28,'Plant Inputs'!BH34)</f>
        <v>170414.8</v>
      </c>
      <c r="BH10" s="14">
        <f>SUM('Plant Inputs'!BI22,'Plant Inputs'!BI28,'Plant Inputs'!BI34)</f>
        <v>0.0</v>
      </c>
      <c r="BI10" s="14">
        <f>SUM('Plant Inputs'!BJ22,'Plant Inputs'!BJ28,'Plant Inputs'!BJ34)</f>
        <v>2.0</v>
      </c>
      <c r="BJ10" s="14">
        <f>SUM('Plant Inputs'!BK22,'Plant Inputs'!BK28,'Plant Inputs'!BK34)</f>
        <v>0.0</v>
      </c>
      <c r="BK10" s="14">
        <f>SUM('Plant Inputs'!BL22,'Plant Inputs'!BL28,'Plant Inputs'!BL34)</f>
        <v>1.0</v>
      </c>
      <c r="BL10" s="14">
        <f>SUM('Plant Inputs'!BM22,'Plant Inputs'!BM28,'Plant Inputs'!BM34)</f>
        <v>1.0</v>
      </c>
      <c r="BM10" s="14">
        <f>SUM('Plant Inputs'!BN22,'Plant Inputs'!BN28,'Plant Inputs'!BN34)</f>
        <v>0.0</v>
      </c>
      <c r="BN10" s="14">
        <f>SUM('Plant Inputs'!BO22,'Plant Inputs'!BO28,'Plant Inputs'!BO34)</f>
        <v>0.0</v>
      </c>
      <c r="BO10" s="14">
        <f>SUM('Plant Inputs'!BP22,'Plant Inputs'!BP28,'Plant Inputs'!BP34)</f>
        <v>0.0</v>
      </c>
      <c r="BP10" s="14">
        <f>SUM('Plant Inputs'!BQ22,'Plant Inputs'!BQ28,'Plant Inputs'!BQ34)</f>
        <v>0.0</v>
      </c>
      <c r="BQ10" s="14">
        <f>SUM('Plant Inputs'!BR22,'Plant Inputs'!BR28,'Plant Inputs'!BR34)</f>
        <v>0.0</v>
      </c>
      <c r="BR10" s="14">
        <f>SUM('Plant Inputs'!BS22,'Plant Inputs'!BS28,'Plant Inputs'!BS34)</f>
        <v>0.0</v>
      </c>
      <c r="BS10" s="14">
        <f>MIN('Plant Inputs'!BT22,'Plant Inputs'!BT28,'Plant Inputs'!BT34)</f>
        <v>99</v>
      </c>
      <c r="BT10" s="14">
        <f>SUM('Plant Inputs'!BU22,'Plant Inputs'!BU28,'Plant Inputs'!BU34)</f>
        <v>310908.0</v>
      </c>
      <c r="BU10" s="14">
        <f>SUM('Plant Inputs'!BV22,'Plant Inputs'!BV28,'Plant Inputs'!BV34)</f>
        <v>314492.0</v>
      </c>
      <c r="BV10" s="14">
        <f>SUM('Plant Inputs'!BW22,'Plant Inputs'!BW28,'Plant Inputs'!BW34)</f>
        <v>132132220.0</v>
      </c>
      <c r="BW10" s="14">
        <f>SUM('Plant Inputs'!BX22,'Plant Inputs'!BX28,'Plant Inputs'!BX34)</f>
        <v>349737.0</v>
      </c>
      <c r="BX10" s="14">
        <f>SUM('Plant Inputs'!BY22,'Plant Inputs'!BY28,'Plant Inputs'!BY34)</f>
        <v>7489.0</v>
      </c>
      <c r="BY10" s="16">
        <v>53970.6</v>
      </c>
      <c r="BZ10" s="16">
        <v>29831.4</v>
      </c>
      <c r="CA10" s="16">
        <v>10000000</v>
      </c>
      <c r="CB10" s="16">
        <v>4362932.7</v>
      </c>
      <c r="CC10" s="16">
        <v>1162932.7</v>
      </c>
      <c r="CD10" s="16">
        <v>466410.4</v>
      </c>
      <c r="CE10" s="16">
        <v>33600</v>
      </c>
      <c r="CF10" s="16">
        <v>401681.3</v>
      </c>
      <c r="CG10" s="16">
        <v>1363476.4</v>
      </c>
      <c r="CH10" s="16">
        <v>154555.6</v>
      </c>
      <c r="CI10" s="16">
        <v>1144080.8</v>
      </c>
      <c r="CJ10" s="16">
        <v>1670373.1</v>
      </c>
      <c r="CK10" s="16">
        <v>1974556.3</v>
      </c>
      <c r="CL10" s="16">
        <v>1075076.8</v>
      </c>
      <c r="CM10" s="16">
        <v>1128578.1</v>
      </c>
      <c r="CN10" s="16">
        <v>3306.5</v>
      </c>
      <c r="CO10" s="16">
        <v>70251.8</v>
      </c>
      <c r="CP10" s="16">
        <v>70251.8</v>
      </c>
      <c r="CQ10" s="16">
        <v>374</v>
      </c>
      <c r="CR10" s="16">
        <v>16795</v>
      </c>
      <c r="CS10" s="16">
        <v>16830</v>
      </c>
      <c r="CT10" s="16">
        <v>0</v>
      </c>
      <c r="CU10" s="16">
        <v>924339.3</v>
      </c>
      <c r="CV10" s="16">
        <v>930922.9</v>
      </c>
      <c r="CW10" s="16">
        <v>142690.9</v>
      </c>
      <c r="CX10" s="16">
        <v>3180825.9</v>
      </c>
      <c r="CY10" s="16">
        <v>1800841.3</v>
      </c>
      <c r="CZ10" s="16">
        <v>298827.6</v>
      </c>
      <c r="DA10" s="16">
        <v>219185.2</v>
      </c>
      <c r="DB10" s="16">
        <v>234572</v>
      </c>
      <c r="DC10" s="16">
        <v>172016.9</v>
      </c>
      <c r="DD10" s="16">
        <v>4570.2</v>
      </c>
      <c r="DE10" s="16">
        <v>5149.9</v>
      </c>
      <c r="DF10" s="16">
        <v>1763562.5</v>
      </c>
      <c r="DG10" s="16">
        <v>1050789.6</v>
      </c>
      <c r="DH10" s="16">
        <v>860000</v>
      </c>
      <c r="DI10" s="16">
        <v>389482.4</v>
      </c>
      <c r="DJ10" s="16">
        <v>69779.5</v>
      </c>
      <c r="DK10" s="16">
        <v>326800</v>
      </c>
      <c r="DL10" s="16">
        <v>116966</v>
      </c>
      <c r="DM10" s="16">
        <v>4</v>
      </c>
      <c r="DN10" s="16">
        <v>1</v>
      </c>
      <c r="DO10" s="16">
        <v>0</v>
      </c>
      <c r="DP10" s="16">
        <v>0</v>
      </c>
      <c r="DQ10" s="16">
        <v>4</v>
      </c>
      <c r="DR10" s="16">
        <v>5</v>
      </c>
      <c r="DS10" s="16">
        <v>10</v>
      </c>
      <c r="DT10" s="16">
        <v>4</v>
      </c>
      <c r="DU10" s="16">
        <v>2</v>
      </c>
      <c r="DV10" s="16">
        <v>64</v>
      </c>
      <c r="DW10" s="16">
        <v>19</v>
      </c>
      <c r="DX10" s="16">
        <v>9130.700000000001</v>
      </c>
      <c r="DY10" s="16">
        <v>3031.5</v>
      </c>
      <c r="DZ10" s="16">
        <v>1376</v>
      </c>
      <c r="EA10" s="16">
        <v>1091.6</v>
      </c>
      <c r="EB10" s="16">
        <v>1173.7</v>
      </c>
      <c r="EC10" s="16">
        <v>68</v>
      </c>
      <c r="ED10" s="16">
        <v>66</v>
      </c>
      <c r="EE10" s="16">
        <v>2</v>
      </c>
      <c r="EF10" s="16">
        <v>1</v>
      </c>
      <c r="EG10" s="16">
        <v>1</v>
      </c>
      <c r="EH10" s="16">
        <v>0</v>
      </c>
      <c r="EI10" s="16">
        <v>0</v>
      </c>
      <c r="EJ10" s="16">
        <v>1</v>
      </c>
      <c r="EK10" s="16">
        <v>1</v>
      </c>
      <c r="EL10" s="16">
        <v>0</v>
      </c>
      <c r="EM10" s="16">
        <v>0</v>
      </c>
      <c r="EN10" s="16">
        <v>0</v>
      </c>
      <c r="EO10" s="16">
        <v>0</v>
      </c>
      <c r="EP10" s="16">
        <v>0</v>
      </c>
      <c r="EQ10" s="16">
        <v>0</v>
      </c>
      <c r="ER10" s="16">
        <v>0</v>
      </c>
      <c r="ES10" s="16">
        <v>0</v>
      </c>
      <c r="ET10" s="16">
        <v>0</v>
      </c>
      <c r="EU10" s="16">
        <v>6</v>
      </c>
      <c r="EV10" s="16">
        <v>0</v>
      </c>
      <c r="EW10" s="16">
        <v>1</v>
      </c>
      <c r="EX10" s="16">
        <v>1</v>
      </c>
      <c r="EY10" s="16">
        <v>58</v>
      </c>
      <c r="EZ10" s="16">
        <v>52</v>
      </c>
      <c r="FA10" s="16">
        <v>3</v>
      </c>
      <c r="FB10" s="16">
        <v>111</v>
      </c>
      <c r="FC10" s="16">
        <v>28</v>
      </c>
      <c r="FD10" s="16">
        <v>24</v>
      </c>
      <c r="FE10" s="16">
        <v>26</v>
      </c>
      <c r="FF10" s="16">
        <v>1</v>
      </c>
      <c r="FG10" s="16">
        <v>0</v>
      </c>
      <c r="FH10" s="16">
        <v>0</v>
      </c>
      <c r="FI10" s="16">
        <v>514962</v>
      </c>
      <c r="FJ10" s="16">
        <v>512268</v>
      </c>
      <c r="FK10" s="16">
        <v>420</v>
      </c>
      <c r="FL10" s="16">
        <v>413</v>
      </c>
      <c r="FM10" s="16">
        <v>0</v>
      </c>
      <c r="FN10" s="16">
        <v>0</v>
      </c>
      <c r="FO10" s="16">
        <v>0</v>
      </c>
      <c r="FP10" s="16">
        <v>6</v>
      </c>
      <c r="FQ10" s="16">
        <v>12.9</v>
      </c>
      <c r="FR10" s="16">
        <v>8</v>
      </c>
      <c r="FS10" s="16">
        <v>0</v>
      </c>
      <c r="FT10" s="16">
        <v>1</v>
      </c>
      <c r="FU10" s="16">
        <v>1</v>
      </c>
    </row>
    <row r="11" spans="1:177">
      <c r="A11" t="s">
        <v>15</v>
      </c>
      <c r="B11" t="s">
        <v>180</v>
      </c>
      <c r="C11" t="s">
        <v>173</v>
      </c>
      <c r="D11">
        <v>31</v>
      </c>
      <c r="E11" s="14">
        <f>SUM('Plant Inputs'!F23,'Plant Inputs'!F29,'Plant Inputs'!F35)</f>
        <v>2232.0</v>
      </c>
      <c r="F11" s="14">
        <f>SUM('Plant Inputs'!G23,'Plant Inputs'!G29,'Plant Inputs'!G35)</f>
        <v>2096.0</v>
      </c>
      <c r="G11" s="14">
        <f>SUM('Plant Inputs'!H23,'Plant Inputs'!H29,'Plant Inputs'!H35)</f>
        <v>1982.7</v>
      </c>
      <c r="H11" s="14">
        <f>SUM('Plant Inputs'!I23,'Plant Inputs'!I29,'Plant Inputs'!I35)</f>
        <v>79.89999999999999</v>
      </c>
      <c r="I11" s="14">
        <f>SUM('Plant Inputs'!J23,'Plant Inputs'!J29,'Plant Inputs'!J35)</f>
        <v>339769.0</v>
      </c>
      <c r="J11" s="14">
        <f>SUM('Plant Inputs'!K23,'Plant Inputs'!K29,'Plant Inputs'!K35)</f>
        <v>364560.0</v>
      </c>
      <c r="K11" s="14">
        <f>SUM('Plant Inputs'!L23,'Plant Inputs'!L29,'Plant Inputs'!L35)</f>
        <v>298749.0</v>
      </c>
      <c r="L11" s="14">
        <f>SUM('Plant Inputs'!M23,'Plant Inputs'!M29,'Plant Inputs'!M35)</f>
        <v>297580.0</v>
      </c>
      <c r="M11" s="14">
        <f>SUM('Plant Inputs'!N23,'Plant Inputs'!N29,'Plant Inputs'!N35)</f>
        <v>289027.0</v>
      </c>
      <c r="N11" s="14">
        <f>SUM('Plant Inputs'!O23,'Plant Inputs'!O29,'Plant Inputs'!O35)</f>
        <v>311387.0</v>
      </c>
      <c r="O11" s="14">
        <f>SUM('Plant Inputs'!P23,'Plant Inputs'!P29,'Plant Inputs'!P35)</f>
        <v>59227.0</v>
      </c>
      <c r="P11" s="14">
        <f>SUM('Plant Inputs'!Q23,'Plant Inputs'!Q29,'Plant Inputs'!Q35)</f>
        <v>51247.0</v>
      </c>
      <c r="Q11" s="14">
        <f>SUM('Plant Inputs'!R23,'Plant Inputs'!R29,'Plant Inputs'!R35)</f>
        <v>12208.0</v>
      </c>
      <c r="R11" s="14">
        <f>SUM('Plant Inputs'!S23,'Plant Inputs'!S29,'Plant Inputs'!S35)</f>
        <v>9.0</v>
      </c>
      <c r="S11" s="14">
        <f>SUM('Plant Inputs'!T23,'Plant Inputs'!T29,'Plant Inputs'!T35)</f>
        <v>55.00000000000001</v>
      </c>
      <c r="T11" s="14">
        <f>SUM('Plant Inputs'!U23,'Plant Inputs'!U29,'Plant Inputs'!U35)</f>
        <v>129.0</v>
      </c>
      <c r="U11" s="14">
        <f>SUM('Plant Inputs'!V23,'Plant Inputs'!V29,'Plant Inputs'!V35)</f>
        <v>124.0</v>
      </c>
      <c r="V11" s="14">
        <f>SUM('Plant Inputs'!W23,'Plant Inputs'!W29,'Plant Inputs'!W35)</f>
        <v>853640.3</v>
      </c>
      <c r="W11" s="14">
        <f>SUM('Plant Inputs'!X23,'Plant Inputs'!X29,'Plant Inputs'!X35)</f>
        <v>226229.59999999998</v>
      </c>
      <c r="X11" s="14">
        <f>SUM('Plant Inputs'!Y23,'Plant Inputs'!Y29,'Plant Inputs'!Y35)</f>
        <v>4436.7</v>
      </c>
      <c r="Y11" s="14">
        <f>SUM('Plant Inputs'!Z23,'Plant Inputs'!Z29,'Plant Inputs'!Z35)</f>
        <v>579740.0</v>
      </c>
      <c r="Z11" s="14">
        <f>SUM('Plant Inputs'!AA23,'Plant Inputs'!AA29,'Plant Inputs'!AA35)</f>
        <v>193553.0</v>
      </c>
      <c r="AA11" s="14">
        <f>SUM('Plant Inputs'!AB23,'Plant Inputs'!AB29,'Plant Inputs'!AB35)</f>
        <v>871968.0</v>
      </c>
      <c r="AB11" s="14">
        <f>SUM('Plant Inputs'!AC23,'Plant Inputs'!AC29,'Plant Inputs'!AC35)</f>
        <v>12058.0</v>
      </c>
      <c r="AC11" s="14">
        <f>SUM('Plant Inputs'!AD23,'Plant Inputs'!AD29,'Plant Inputs'!AD35)</f>
        <v>0.0</v>
      </c>
      <c r="AD11" s="14">
        <f>SUM('Plant Inputs'!AE23,'Plant Inputs'!AE29,'Plant Inputs'!AE35)</f>
        <v>216000.0</v>
      </c>
      <c r="AE11" s="14">
        <f>SUM('Plant Inputs'!AF23,'Plant Inputs'!AF29,'Plant Inputs'!AF35)</f>
        <v>2.0</v>
      </c>
      <c r="AF11" s="14">
        <f>SUM('Plant Inputs'!AG23,'Plant Inputs'!AG29,'Plant Inputs'!AG35)</f>
        <v>1.0</v>
      </c>
      <c r="AG11" s="14">
        <f>SUM('Plant Inputs'!AH23,'Plant Inputs'!AH29,'Plant Inputs'!AH35)</f>
        <v>28.0</v>
      </c>
      <c r="AH11" s="14">
        <f>SUM('Plant Inputs'!AI23,'Plant Inputs'!AI29,'Plant Inputs'!AI35)</f>
        <v>1.0</v>
      </c>
      <c r="AI11" s="14">
        <f>SUM('Plant Inputs'!AJ23,'Plant Inputs'!AJ29,'Plant Inputs'!AJ35)</f>
        <v>0.0</v>
      </c>
      <c r="AJ11" s="14">
        <f>SUM('Plant Inputs'!AK23,'Plant Inputs'!AK29,'Plant Inputs'!AK35)</f>
        <v>0.0</v>
      </c>
      <c r="AK11" s="14">
        <f>SUM('Plant Inputs'!AL23,'Plant Inputs'!AL29,'Plant Inputs'!AL35)</f>
        <v>32.0</v>
      </c>
      <c r="AL11" s="14">
        <f>SUM('Plant Inputs'!AM23,'Plant Inputs'!AM29,'Plant Inputs'!AM35)</f>
        <v>9.0</v>
      </c>
      <c r="AM11" s="14">
        <f>SUM('Plant Inputs'!AN23,'Plant Inputs'!AN29,'Plant Inputs'!AN35)</f>
        <v>5.0</v>
      </c>
      <c r="AN11" s="14">
        <f>SUM('Plant Inputs'!AO23,'Plant Inputs'!AO29,'Plant Inputs'!AO35)</f>
        <v>5.0</v>
      </c>
      <c r="AO11" s="14">
        <f>SUM('Plant Inputs'!AP23,'Plant Inputs'!AP29,'Plant Inputs'!AP35)</f>
        <v>3.0</v>
      </c>
      <c r="AP11" s="14">
        <f>SUM('Plant Inputs'!AQ23,'Plant Inputs'!AQ29,'Plant Inputs'!AQ35)</f>
        <v>476.0</v>
      </c>
      <c r="AQ11" s="14">
        <f>SUM('Plant Inputs'!AR23,'Plant Inputs'!AR29,'Plant Inputs'!AR35)</f>
        <v>39.0</v>
      </c>
      <c r="AR11" s="14">
        <f>MIN('Plant Inputs'!AS23,'Plant Inputs'!AS29,'Plant Inputs'!AS35)</f>
        <v>222</v>
      </c>
      <c r="AS11" s="14">
        <f>SUM('Plant Inputs'!AT23,'Plant Inputs'!AT29,'Plant Inputs'!AT35)</f>
        <v>289034.0</v>
      </c>
      <c r="AT11" s="14">
        <f>SUM('Plant Inputs'!AU23,'Plant Inputs'!AU29,'Plant Inputs'!AU35)</f>
        <v>299716.0</v>
      </c>
      <c r="AU11" s="14">
        <f>SUM('Plant Inputs'!AV23,'Plant Inputs'!AV29,'Plant Inputs'!AV35)</f>
        <v>1092931.1</v>
      </c>
      <c r="AV11" s="14">
        <f>SUM('Plant Inputs'!AW23,'Plant Inputs'!AW29,'Plant Inputs'!AW35)</f>
        <v>1126932.2</v>
      </c>
      <c r="AW11" s="14">
        <f>SUM('Plant Inputs'!AX23,'Plant Inputs'!AX29,'Plant Inputs'!AX35)</f>
        <v>53998.3</v>
      </c>
      <c r="AX11" s="14">
        <f>SUM('Plant Inputs'!AY23,'Plant Inputs'!AY29,'Plant Inputs'!AY35)</f>
        <v>41823.3</v>
      </c>
      <c r="AY11" s="14">
        <f>SUM('Plant Inputs'!AZ23,'Plant Inputs'!AZ29,'Plant Inputs'!AZ35)</f>
        <v>705.0</v>
      </c>
      <c r="AZ11" s="14">
        <f>SUM('Plant Inputs'!BA23,'Plant Inputs'!BA29,'Plant Inputs'!BA35)</f>
        <v>661.0</v>
      </c>
      <c r="BA11" s="14">
        <f>SUM('Plant Inputs'!BB23,'Plant Inputs'!BB29,'Plant Inputs'!BB35)</f>
        <v>305152.0</v>
      </c>
      <c r="BB11" s="14">
        <f>SUM('Plant Inputs'!BC23,'Plant Inputs'!BC29,'Plant Inputs'!BC35)</f>
        <v>288534.0</v>
      </c>
      <c r="BC11" s="14">
        <f>SUM('Plant Inputs'!BD23,'Plant Inputs'!BD29,'Plant Inputs'!BD35)</f>
        <v>3041.0</v>
      </c>
      <c r="BD11" s="14">
        <f>SUM('Plant Inputs'!BE23,'Plant Inputs'!BE29,'Plant Inputs'!BE35)</f>
        <v>2114.0</v>
      </c>
      <c r="BE11" s="14">
        <f>SUM('Plant Inputs'!BF23,'Plant Inputs'!BF29,'Plant Inputs'!BF35)</f>
        <v>2169.0</v>
      </c>
      <c r="BF11" s="14">
        <f>SUM('Plant Inputs'!BG23,'Plant Inputs'!BG29,'Plant Inputs'!BG35)</f>
        <v>491776.3</v>
      </c>
      <c r="BG11" s="14">
        <f>SUM('Plant Inputs'!BH23,'Plant Inputs'!BH29,'Plant Inputs'!BH35)</f>
        <v>160204.2</v>
      </c>
      <c r="BH11" s="14">
        <f>SUM('Plant Inputs'!BI23,'Plant Inputs'!BI29,'Plant Inputs'!BI35)</f>
        <v>0.0</v>
      </c>
      <c r="BI11" s="14">
        <f>SUM('Plant Inputs'!BJ23,'Plant Inputs'!BJ29,'Plant Inputs'!BJ35)</f>
        <v>1.0</v>
      </c>
      <c r="BJ11" s="14">
        <f>SUM('Plant Inputs'!BK23,'Plant Inputs'!BK29,'Plant Inputs'!BK35)</f>
        <v>0.0</v>
      </c>
      <c r="BK11" s="14">
        <f>SUM('Plant Inputs'!BL23,'Plant Inputs'!BL29,'Plant Inputs'!BL35)</f>
        <v>0.0</v>
      </c>
      <c r="BL11" s="14">
        <f>SUM('Plant Inputs'!BM23,'Plant Inputs'!BM29,'Plant Inputs'!BM35)</f>
        <v>1.0</v>
      </c>
      <c r="BM11" s="14">
        <f>SUM('Plant Inputs'!BN23,'Plant Inputs'!BN29,'Plant Inputs'!BN35)</f>
        <v>0.0</v>
      </c>
      <c r="BN11" s="14">
        <f>SUM('Plant Inputs'!BO23,'Plant Inputs'!BO29,'Plant Inputs'!BO35)</f>
        <v>1.0</v>
      </c>
      <c r="BO11" s="14">
        <f>SUM('Plant Inputs'!BP23,'Plant Inputs'!BP29,'Plant Inputs'!BP35)</f>
        <v>0.0</v>
      </c>
      <c r="BP11" s="14">
        <f>SUM('Plant Inputs'!BQ23,'Plant Inputs'!BQ29,'Plant Inputs'!BQ35)</f>
        <v>0.0</v>
      </c>
      <c r="BQ11" s="14">
        <f>SUM('Plant Inputs'!BR23,'Plant Inputs'!BR29,'Plant Inputs'!BR35)</f>
        <v>0.0</v>
      </c>
      <c r="BR11" s="14">
        <f>SUM('Plant Inputs'!BS23,'Plant Inputs'!BS29,'Plant Inputs'!BS35)</f>
        <v>0.0</v>
      </c>
      <c r="BS11" s="14">
        <f>MIN('Plant Inputs'!BT23,'Plant Inputs'!BT29,'Plant Inputs'!BT35)</f>
        <v>99</v>
      </c>
      <c r="BT11" s="14">
        <f>SUM('Plant Inputs'!BU23,'Plant Inputs'!BU29,'Plant Inputs'!BU35)</f>
        <v>298956.0</v>
      </c>
      <c r="BU11" s="14">
        <f>SUM('Plant Inputs'!BV23,'Plant Inputs'!BV29,'Plant Inputs'!BV35)</f>
        <v>301271.0</v>
      </c>
      <c r="BV11" s="14">
        <f>SUM('Plant Inputs'!BW23,'Plant Inputs'!BW29,'Plant Inputs'!BW35)</f>
        <v>113484506.0</v>
      </c>
      <c r="BW11" s="14">
        <f>SUM('Plant Inputs'!BX23,'Plant Inputs'!BX29,'Plant Inputs'!BX35)</f>
        <v>339769.0</v>
      </c>
      <c r="BX11" s="14">
        <f>SUM('Plant Inputs'!BY23,'Plant Inputs'!BY29,'Plant Inputs'!BY35)</f>
        <v>12450.0</v>
      </c>
      <c r="BY11" s="16">
        <v>50050.4</v>
      </c>
      <c r="BZ11" s="16">
        <v>40075</v>
      </c>
      <c r="CA11" s="16">
        <v>10040000</v>
      </c>
      <c r="CB11" s="16">
        <v>4257934.5</v>
      </c>
      <c r="CC11" s="16">
        <v>1089934.5</v>
      </c>
      <c r="CD11" s="16">
        <v>435228.2</v>
      </c>
      <c r="CE11" s="16">
        <v>33264</v>
      </c>
      <c r="CF11" s="16">
        <v>438317.9</v>
      </c>
      <c r="CG11" s="16">
        <v>1192536.2</v>
      </c>
      <c r="CH11" s="16">
        <v>184420.1</v>
      </c>
      <c r="CI11" s="16">
        <v>1082983.6</v>
      </c>
      <c r="CJ11" s="16">
        <v>1563623.2</v>
      </c>
      <c r="CK11" s="16">
        <v>1768166.1</v>
      </c>
      <c r="CL11" s="16">
        <v>1004411.8</v>
      </c>
      <c r="CM11" s="16">
        <v>1072786</v>
      </c>
      <c r="CN11" s="16">
        <v>2852.3</v>
      </c>
      <c r="CO11" s="16">
        <v>74102.89999999999</v>
      </c>
      <c r="CP11" s="16">
        <v>74102.89999999999</v>
      </c>
      <c r="CQ11" s="16">
        <v>352</v>
      </c>
      <c r="CR11" s="16">
        <v>15761</v>
      </c>
      <c r="CS11" s="16">
        <v>15840</v>
      </c>
      <c r="CT11" s="16">
        <v>1</v>
      </c>
      <c r="CU11" s="16">
        <v>1097997.4</v>
      </c>
      <c r="CV11" s="16">
        <v>1112277.8</v>
      </c>
      <c r="CW11" s="16">
        <v>184653.8</v>
      </c>
      <c r="CX11" s="16">
        <v>3151290.2</v>
      </c>
      <c r="CY11" s="16">
        <v>2164395</v>
      </c>
      <c r="CZ11" s="16">
        <v>313040.6</v>
      </c>
      <c r="DA11" s="16">
        <v>229961.2</v>
      </c>
      <c r="DB11" s="16">
        <v>256509</v>
      </c>
      <c r="DC11" s="16">
        <v>181113.8</v>
      </c>
      <c r="DD11" s="16">
        <v>4017.3</v>
      </c>
      <c r="DE11" s="16">
        <v>4281.1</v>
      </c>
      <c r="DF11" s="16">
        <v>1785518</v>
      </c>
      <c r="DG11" s="16">
        <v>1091259.8</v>
      </c>
      <c r="DH11" s="16">
        <v>860000</v>
      </c>
      <c r="DI11" s="16">
        <v>432467.4</v>
      </c>
      <c r="DJ11" s="16">
        <v>69889.8</v>
      </c>
      <c r="DK11" s="16">
        <v>369800</v>
      </c>
      <c r="DL11" s="16">
        <v>136303.5</v>
      </c>
      <c r="DM11" s="16">
        <v>4</v>
      </c>
      <c r="DN11" s="16">
        <v>1</v>
      </c>
      <c r="DO11" s="16">
        <v>0</v>
      </c>
      <c r="DP11" s="16">
        <v>0</v>
      </c>
      <c r="DQ11" s="16">
        <v>4</v>
      </c>
      <c r="DR11" s="16">
        <v>5</v>
      </c>
      <c r="DS11" s="16">
        <v>10</v>
      </c>
      <c r="DT11" s="16">
        <v>4</v>
      </c>
      <c r="DU11" s="16">
        <v>2</v>
      </c>
      <c r="DV11" s="16">
        <v>64</v>
      </c>
      <c r="DW11" s="16">
        <v>22</v>
      </c>
      <c r="DX11" s="16">
        <v>9302.1</v>
      </c>
      <c r="DY11" s="16">
        <v>3474.3</v>
      </c>
      <c r="DZ11" s="16">
        <v>1389.1</v>
      </c>
      <c r="EA11" s="16">
        <v>1046.6</v>
      </c>
      <c r="EB11" s="16">
        <v>1244.6</v>
      </c>
      <c r="EC11" s="16">
        <v>68</v>
      </c>
      <c r="ED11" s="16">
        <v>65</v>
      </c>
      <c r="EE11" s="16">
        <v>3</v>
      </c>
      <c r="EF11" s="16">
        <v>1</v>
      </c>
      <c r="EG11" s="16">
        <v>1</v>
      </c>
      <c r="EH11" s="16">
        <v>0</v>
      </c>
      <c r="EI11" s="16">
        <v>0</v>
      </c>
      <c r="EJ11" s="16">
        <v>1</v>
      </c>
      <c r="EK11" s="16">
        <v>1</v>
      </c>
      <c r="EL11" s="16">
        <v>0</v>
      </c>
      <c r="EM11" s="16">
        <v>0</v>
      </c>
      <c r="EN11" s="16">
        <v>0</v>
      </c>
      <c r="EO11" s="16">
        <v>0</v>
      </c>
      <c r="EP11" s="16">
        <v>0</v>
      </c>
      <c r="EQ11" s="16">
        <v>2</v>
      </c>
      <c r="ER11" s="16">
        <v>1</v>
      </c>
      <c r="ES11" s="16">
        <v>0</v>
      </c>
      <c r="ET11" s="16">
        <v>0</v>
      </c>
      <c r="EU11" s="16">
        <v>5</v>
      </c>
      <c r="EV11" s="16">
        <v>0</v>
      </c>
      <c r="EW11" s="16">
        <v>1</v>
      </c>
      <c r="EX11" s="16">
        <v>1</v>
      </c>
      <c r="EY11" s="16">
        <v>58</v>
      </c>
      <c r="EZ11" s="16">
        <v>52</v>
      </c>
      <c r="FA11" s="16">
        <v>1</v>
      </c>
      <c r="FB11" s="16">
        <v>37</v>
      </c>
      <c r="FC11" s="16">
        <v>28</v>
      </c>
      <c r="FD11" s="16">
        <v>24</v>
      </c>
      <c r="FE11" s="16">
        <v>26</v>
      </c>
      <c r="FF11" s="16">
        <v>1</v>
      </c>
      <c r="FG11" s="16">
        <v>0</v>
      </c>
      <c r="FH11" s="16">
        <v>0</v>
      </c>
      <c r="FI11" s="16">
        <v>481373</v>
      </c>
      <c r="FJ11" s="16">
        <v>478757</v>
      </c>
      <c r="FK11" s="16">
        <v>420</v>
      </c>
      <c r="FL11" s="16">
        <v>411</v>
      </c>
      <c r="FM11" s="16">
        <v>0</v>
      </c>
      <c r="FN11" s="16">
        <v>0</v>
      </c>
      <c r="FO11" s="16">
        <v>0</v>
      </c>
      <c r="FP11" s="16">
        <v>4</v>
      </c>
      <c r="FQ11" s="16">
        <v>7.7</v>
      </c>
      <c r="FR11" s="16">
        <v>7</v>
      </c>
      <c r="FS11" s="16">
        <v>1</v>
      </c>
      <c r="FT11" s="16">
        <v>1</v>
      </c>
      <c r="FU11" s="16">
        <v>1</v>
      </c>
    </row>
    <row r="12" spans="1:177">
      <c r="A12" t="s">
        <v>15</v>
      </c>
      <c r="B12" t="s">
        <v>180</v>
      </c>
      <c r="C12" t="s">
        <v>174</v>
      </c>
      <c r="D12">
        <v>30</v>
      </c>
      <c r="E12" s="14">
        <f>SUM('Plant Inputs'!F24,'Plant Inputs'!F30,'Plant Inputs'!F36)</f>
        <v>2160.0</v>
      </c>
      <c r="F12" s="14">
        <f>SUM('Plant Inputs'!G24,'Plant Inputs'!G30,'Plant Inputs'!G36)</f>
        <v>2138.0</v>
      </c>
      <c r="G12" s="14">
        <f>SUM('Plant Inputs'!H24,'Plant Inputs'!H30,'Plant Inputs'!H36)</f>
        <v>2039.6</v>
      </c>
      <c r="H12" s="14">
        <f>SUM('Plant Inputs'!I24,'Plant Inputs'!I30,'Plant Inputs'!I36)</f>
        <v>56.300000000000004</v>
      </c>
      <c r="I12" s="14">
        <f>SUM('Plant Inputs'!J24,'Plant Inputs'!J30,'Plant Inputs'!J36)</f>
        <v>349149.0</v>
      </c>
      <c r="J12" s="14">
        <f>SUM('Plant Inputs'!K24,'Plant Inputs'!K30,'Plant Inputs'!K36)</f>
        <v>352800.0</v>
      </c>
      <c r="K12" s="14">
        <f>SUM('Plant Inputs'!L24,'Plant Inputs'!L30,'Plant Inputs'!L36)</f>
        <v>314779.0</v>
      </c>
      <c r="L12" s="14">
        <f>SUM('Plant Inputs'!M24,'Plant Inputs'!M30,'Plant Inputs'!M36)</f>
        <v>302431.0</v>
      </c>
      <c r="M12" s="14">
        <f>SUM('Plant Inputs'!N24,'Plant Inputs'!N30,'Plant Inputs'!N36)</f>
        <v>295990.0</v>
      </c>
      <c r="N12" s="14">
        <f>SUM('Plant Inputs'!O24,'Plant Inputs'!O30,'Plant Inputs'!O36)</f>
        <v>329850.0</v>
      </c>
      <c r="O12" s="14">
        <f>SUM('Plant Inputs'!P24,'Plant Inputs'!P30,'Plant Inputs'!P36)</f>
        <v>61561.0</v>
      </c>
      <c r="P12" s="14">
        <f>SUM('Plant Inputs'!Q24,'Plant Inputs'!Q30,'Plant Inputs'!Q36)</f>
        <v>54925.0</v>
      </c>
      <c r="Q12" s="14">
        <f>SUM('Plant Inputs'!R24,'Plant Inputs'!R30,'Plant Inputs'!R36)</f>
        <v>8558.0</v>
      </c>
      <c r="R12" s="14">
        <f>SUM('Plant Inputs'!S24,'Plant Inputs'!S30,'Plant Inputs'!S36)</f>
        <v>7.0</v>
      </c>
      <c r="S12" s="14">
        <f>SUM('Plant Inputs'!T24,'Plant Inputs'!T30,'Plant Inputs'!T36)</f>
        <v>41.4</v>
      </c>
      <c r="T12" s="14">
        <f>SUM('Plant Inputs'!U24,'Plant Inputs'!U30,'Plant Inputs'!U36)</f>
        <v>129.0</v>
      </c>
      <c r="U12" s="14">
        <f>SUM('Plant Inputs'!V24,'Plant Inputs'!V30,'Plant Inputs'!V36)</f>
        <v>125.0</v>
      </c>
      <c r="V12" s="14">
        <f>SUM('Plant Inputs'!W24,'Plant Inputs'!W30,'Plant Inputs'!W36)</f>
        <v>950150.4</v>
      </c>
      <c r="W12" s="14">
        <f>SUM('Plant Inputs'!X24,'Plant Inputs'!X30,'Plant Inputs'!X36)</f>
        <v>274625.0</v>
      </c>
      <c r="X12" s="14">
        <f>SUM('Plant Inputs'!Y24,'Plant Inputs'!Y30,'Plant Inputs'!Y36)</f>
        <v>3325.2</v>
      </c>
      <c r="Y12" s="14">
        <f>SUM('Plant Inputs'!Z24,'Plant Inputs'!Z30,'Plant Inputs'!Z36)</f>
        <v>622878.0</v>
      </c>
      <c r="Z12" s="14">
        <f>SUM('Plant Inputs'!AA24,'Plant Inputs'!AA30,'Plant Inputs'!AA36)</f>
        <v>185948.0</v>
      </c>
      <c r="AA12" s="14">
        <f>SUM('Plant Inputs'!AB24,'Plant Inputs'!AB30,'Plant Inputs'!AB36)</f>
        <v>962186.0</v>
      </c>
      <c r="AB12" s="14">
        <f>SUM('Plant Inputs'!AC24,'Plant Inputs'!AC30,'Plant Inputs'!AC36)</f>
        <v>22567.0</v>
      </c>
      <c r="AC12" s="14">
        <f>SUM('Plant Inputs'!AD24,'Plant Inputs'!AD30,'Plant Inputs'!AD36)</f>
        <v>4.0</v>
      </c>
      <c r="AD12" s="14">
        <f>SUM('Plant Inputs'!AE24,'Plant Inputs'!AE30,'Plant Inputs'!AE36)</f>
        <v>218000.0</v>
      </c>
      <c r="AE12" s="14">
        <f>SUM('Plant Inputs'!AF24,'Plant Inputs'!AF30,'Plant Inputs'!AF36)</f>
        <v>2.0</v>
      </c>
      <c r="AF12" s="14">
        <f>SUM('Plant Inputs'!AG24,'Plant Inputs'!AG30,'Plant Inputs'!AG36)</f>
        <v>0.0</v>
      </c>
      <c r="AG12" s="14">
        <f>SUM('Plant Inputs'!AH24,'Plant Inputs'!AH30,'Plant Inputs'!AH36)</f>
        <v>22.0</v>
      </c>
      <c r="AH12" s="14">
        <f>SUM('Plant Inputs'!AI24,'Plant Inputs'!AI30,'Plant Inputs'!AI36)</f>
        <v>0.0</v>
      </c>
      <c r="AI12" s="14">
        <f>SUM('Plant Inputs'!AJ24,'Plant Inputs'!AJ30,'Plant Inputs'!AJ36)</f>
        <v>0.0</v>
      </c>
      <c r="AJ12" s="14">
        <f>SUM('Plant Inputs'!AK24,'Plant Inputs'!AK30,'Plant Inputs'!AK36)</f>
        <v>1.0</v>
      </c>
      <c r="AK12" s="14">
        <f>SUM('Plant Inputs'!AL24,'Plant Inputs'!AL30,'Plant Inputs'!AL36)</f>
        <v>22.0</v>
      </c>
      <c r="AL12" s="14">
        <f>SUM('Plant Inputs'!AM24,'Plant Inputs'!AM30,'Plant Inputs'!AM36)</f>
        <v>4.0</v>
      </c>
      <c r="AM12" s="14">
        <f>SUM('Plant Inputs'!AN24,'Plant Inputs'!AN30,'Plant Inputs'!AN36)</f>
        <v>5.0</v>
      </c>
      <c r="AN12" s="14">
        <f>SUM('Plant Inputs'!AO24,'Plant Inputs'!AO30,'Plant Inputs'!AO36)</f>
        <v>5.0</v>
      </c>
      <c r="AO12" s="14">
        <f>SUM('Plant Inputs'!AP24,'Plant Inputs'!AP30,'Plant Inputs'!AP36)</f>
        <v>0.0</v>
      </c>
      <c r="AP12" s="14">
        <f>SUM('Plant Inputs'!AQ24,'Plant Inputs'!AQ30,'Plant Inputs'!AQ36)</f>
        <v>586.0</v>
      </c>
      <c r="AQ12" s="14">
        <f>SUM('Plant Inputs'!AR24,'Plant Inputs'!AR30,'Plant Inputs'!AR36)</f>
        <v>38.0</v>
      </c>
      <c r="AR12" s="14">
        <f>MIN('Plant Inputs'!AS24,'Plant Inputs'!AS30,'Plant Inputs'!AS36)</f>
        <v>192</v>
      </c>
      <c r="AS12" s="14">
        <f>SUM('Plant Inputs'!AT24,'Plant Inputs'!AT30,'Plant Inputs'!AT36)</f>
        <v>294252.0</v>
      </c>
      <c r="AT12" s="14">
        <f>SUM('Plant Inputs'!AU24,'Plant Inputs'!AU30,'Plant Inputs'!AU36)</f>
        <v>314725.0</v>
      </c>
      <c r="AU12" s="14">
        <f>SUM('Plant Inputs'!AV24,'Plant Inputs'!AV30,'Plant Inputs'!AV36)</f>
        <v>1112707.1</v>
      </c>
      <c r="AV12" s="14">
        <f>SUM('Plant Inputs'!AW24,'Plant Inputs'!AW30,'Plant Inputs'!AW36)</f>
        <v>1183366.0</v>
      </c>
      <c r="AW12" s="14">
        <f>SUM('Plant Inputs'!AX24,'Plant Inputs'!AX30,'Plant Inputs'!AX36)</f>
        <v>59914.700000000004</v>
      </c>
      <c r="AX12" s="14">
        <f>SUM('Plant Inputs'!AY24,'Plant Inputs'!AY30,'Plant Inputs'!AY36)</f>
        <v>41923.1</v>
      </c>
      <c r="AY12" s="14">
        <f>SUM('Plant Inputs'!AZ24,'Plant Inputs'!AZ30,'Plant Inputs'!AZ36)</f>
        <v>744.0</v>
      </c>
      <c r="AZ12" s="14">
        <f>SUM('Plant Inputs'!BA24,'Plant Inputs'!BA30,'Plant Inputs'!BA36)</f>
        <v>695.0</v>
      </c>
      <c r="BA12" s="14">
        <f>SUM('Plant Inputs'!BB24,'Plant Inputs'!BB30,'Plant Inputs'!BB36)</f>
        <v>326646.0</v>
      </c>
      <c r="BB12" s="14">
        <f>SUM('Plant Inputs'!BC24,'Plant Inputs'!BC30,'Plant Inputs'!BC36)</f>
        <v>317196.0</v>
      </c>
      <c r="BC12" s="14">
        <f>SUM('Plant Inputs'!BD24,'Plant Inputs'!BD30,'Plant Inputs'!BD36)</f>
        <v>2391.0</v>
      </c>
      <c r="BD12" s="14">
        <f>SUM('Plant Inputs'!BE24,'Plant Inputs'!BE30,'Plant Inputs'!BE36)</f>
        <v>2338.0</v>
      </c>
      <c r="BE12" s="14">
        <f>SUM('Plant Inputs'!BF24,'Plant Inputs'!BF30,'Plant Inputs'!BF36)</f>
        <v>2395.0</v>
      </c>
      <c r="BF12" s="14">
        <f>SUM('Plant Inputs'!BG24,'Plant Inputs'!BG30,'Plant Inputs'!BG36)</f>
        <v>528902.5</v>
      </c>
      <c r="BG12" s="14">
        <f>SUM('Plant Inputs'!BH24,'Plant Inputs'!BH30,'Plant Inputs'!BH36)</f>
        <v>192862.40000000002</v>
      </c>
      <c r="BH12" s="14">
        <f>SUM('Plant Inputs'!BI24,'Plant Inputs'!BI30,'Plant Inputs'!BI36)</f>
        <v>0.0</v>
      </c>
      <c r="BI12" s="14">
        <f>SUM('Plant Inputs'!BJ24,'Plant Inputs'!BJ30,'Plant Inputs'!BJ36)</f>
        <v>1.0</v>
      </c>
      <c r="BJ12" s="14">
        <f>SUM('Plant Inputs'!BK24,'Plant Inputs'!BK30,'Plant Inputs'!BK36)</f>
        <v>2.0</v>
      </c>
      <c r="BK12" s="14">
        <f>SUM('Plant Inputs'!BL24,'Plant Inputs'!BL30,'Plant Inputs'!BL36)</f>
        <v>1.0</v>
      </c>
      <c r="BL12" s="14">
        <f>SUM('Plant Inputs'!BM24,'Plant Inputs'!BM30,'Plant Inputs'!BM36)</f>
        <v>2.0</v>
      </c>
      <c r="BM12" s="14">
        <f>SUM('Plant Inputs'!BN24,'Plant Inputs'!BN30,'Plant Inputs'!BN36)</f>
        <v>0.0</v>
      </c>
      <c r="BN12" s="14">
        <f>SUM('Plant Inputs'!BO24,'Plant Inputs'!BO30,'Plant Inputs'!BO36)</f>
        <v>0.0</v>
      </c>
      <c r="BO12" s="14">
        <f>SUM('Plant Inputs'!BP24,'Plant Inputs'!BP30,'Plant Inputs'!BP36)</f>
        <v>0.0</v>
      </c>
      <c r="BP12" s="14">
        <f>SUM('Plant Inputs'!BQ24,'Plant Inputs'!BQ30,'Plant Inputs'!BQ36)</f>
        <v>0.0</v>
      </c>
      <c r="BQ12" s="14">
        <f>SUM('Plant Inputs'!BR24,'Plant Inputs'!BR30,'Plant Inputs'!BR36)</f>
        <v>0.0</v>
      </c>
      <c r="BR12" s="14">
        <f>SUM('Plant Inputs'!BS24,'Plant Inputs'!BS30,'Plant Inputs'!BS36)</f>
        <v>0.0</v>
      </c>
      <c r="BS12" s="14">
        <f>MIN('Plant Inputs'!BT24,'Plant Inputs'!BT30,'Plant Inputs'!BT36)</f>
        <v>99</v>
      </c>
      <c r="BT12" s="14">
        <f>SUM('Plant Inputs'!BU24,'Plant Inputs'!BU30,'Plant Inputs'!BU36)</f>
        <v>317800.0</v>
      </c>
      <c r="BU12" s="14">
        <f>SUM('Plant Inputs'!BV24,'Plant Inputs'!BV30,'Plant Inputs'!BV36)</f>
        <v>320156.0</v>
      </c>
      <c r="BV12" s="14">
        <f>SUM('Plant Inputs'!BW24,'Plant Inputs'!BW30,'Plant Inputs'!BW36)</f>
        <v>124863591.0</v>
      </c>
      <c r="BW12" s="14">
        <f>SUM('Plant Inputs'!BX24,'Plant Inputs'!BX30,'Plant Inputs'!BX36)</f>
        <v>349149.0</v>
      </c>
      <c r="BX12" s="14">
        <f>SUM('Plant Inputs'!BY24,'Plant Inputs'!BY30,'Plant Inputs'!BY36)</f>
        <v>7660.0</v>
      </c>
      <c r="BY12" s="16">
        <v>51654.7</v>
      </c>
      <c r="BZ12" s="16">
        <v>22449.1</v>
      </c>
      <c r="CA12" s="16">
        <v>10080000</v>
      </c>
      <c r="CB12" s="16">
        <v>4211021.8</v>
      </c>
      <c r="CC12" s="16">
        <v>1075021.8</v>
      </c>
      <c r="CD12" s="16">
        <v>436315.8</v>
      </c>
      <c r="CE12" s="16">
        <v>32928</v>
      </c>
      <c r="CF12" s="16">
        <v>405014</v>
      </c>
      <c r="CG12" s="16">
        <v>1190070.9</v>
      </c>
      <c r="CH12" s="16">
        <v>107481.4</v>
      </c>
      <c r="CI12" s="16">
        <v>1119343.6</v>
      </c>
      <c r="CJ12" s="16">
        <v>1665189.5</v>
      </c>
      <c r="CK12" s="16">
        <v>2023734.9</v>
      </c>
      <c r="CL12" s="16">
        <v>1155573.9</v>
      </c>
      <c r="CM12" s="16">
        <v>1086928.3</v>
      </c>
      <c r="CN12" s="16">
        <v>3048.7</v>
      </c>
      <c r="CO12" s="16">
        <v>78617.10000000001</v>
      </c>
      <c r="CP12" s="16">
        <v>78617.10000000001</v>
      </c>
      <c r="CQ12" s="16">
        <v>333</v>
      </c>
      <c r="CR12" s="16">
        <v>15098</v>
      </c>
      <c r="CS12" s="16">
        <v>14985</v>
      </c>
      <c r="CT12" s="16">
        <v>0</v>
      </c>
      <c r="CU12" s="16">
        <v>640845.8</v>
      </c>
      <c r="CV12" s="16">
        <v>647178.6</v>
      </c>
      <c r="CW12" s="16">
        <v>92062</v>
      </c>
      <c r="CX12" s="16">
        <v>3085667.3</v>
      </c>
      <c r="CY12" s="16">
        <v>1265494.8</v>
      </c>
      <c r="CZ12" s="16">
        <v>287638.8</v>
      </c>
      <c r="DA12" s="16">
        <v>211841.6</v>
      </c>
      <c r="DB12" s="16">
        <v>231613.6</v>
      </c>
      <c r="DC12" s="16">
        <v>171021.1</v>
      </c>
      <c r="DD12" s="16">
        <v>3471.9</v>
      </c>
      <c r="DE12" s="16">
        <v>3774.8</v>
      </c>
      <c r="DF12" s="16">
        <v>1772808</v>
      </c>
      <c r="DG12" s="16">
        <v>1085587.8</v>
      </c>
      <c r="DH12" s="16">
        <v>860000</v>
      </c>
      <c r="DI12" s="16">
        <v>476244.8</v>
      </c>
      <c r="DJ12" s="16">
        <v>70024</v>
      </c>
      <c r="DK12" s="16">
        <v>412800</v>
      </c>
      <c r="DL12" s="16">
        <v>130334.1</v>
      </c>
      <c r="DM12" s="16">
        <v>4</v>
      </c>
      <c r="DN12" s="16">
        <v>1</v>
      </c>
      <c r="DO12" s="16">
        <v>0</v>
      </c>
      <c r="DP12" s="16">
        <v>0</v>
      </c>
      <c r="DQ12" s="16">
        <v>7</v>
      </c>
      <c r="DR12" s="16">
        <v>10</v>
      </c>
      <c r="DS12" s="16">
        <v>10</v>
      </c>
      <c r="DT12" s="16">
        <v>4</v>
      </c>
      <c r="DU12" s="16">
        <v>2</v>
      </c>
      <c r="DV12" s="16">
        <v>64</v>
      </c>
      <c r="DW12" s="16">
        <v>25</v>
      </c>
      <c r="DX12" s="16">
        <v>8998.700000000001</v>
      </c>
      <c r="DY12" s="16">
        <v>3287.2</v>
      </c>
      <c r="DZ12" s="16">
        <v>1313.6</v>
      </c>
      <c r="EA12" s="16">
        <v>1018</v>
      </c>
      <c r="EB12" s="16">
        <v>1229.3</v>
      </c>
      <c r="EC12" s="16">
        <v>68</v>
      </c>
      <c r="ED12" s="16">
        <v>66</v>
      </c>
      <c r="EE12" s="16">
        <v>2</v>
      </c>
      <c r="EF12" s="16">
        <v>0</v>
      </c>
      <c r="EG12" s="16">
        <v>1</v>
      </c>
      <c r="EH12" s="16">
        <v>0</v>
      </c>
      <c r="EI12" s="16">
        <v>0</v>
      </c>
      <c r="EJ12" s="16">
        <v>0</v>
      </c>
      <c r="EK12" s="16">
        <v>0</v>
      </c>
      <c r="EL12" s="16">
        <v>0</v>
      </c>
      <c r="EM12" s="16">
        <v>0</v>
      </c>
      <c r="EN12" s="16">
        <v>1</v>
      </c>
      <c r="EO12" s="16">
        <v>0</v>
      </c>
      <c r="EP12" s="16">
        <v>0</v>
      </c>
      <c r="EQ12" s="16">
        <v>1</v>
      </c>
      <c r="ER12" s="16">
        <v>0</v>
      </c>
      <c r="ES12" s="16">
        <v>0</v>
      </c>
      <c r="ET12" s="16">
        <v>0</v>
      </c>
      <c r="EU12" s="16">
        <v>6</v>
      </c>
      <c r="EV12" s="16">
        <v>0</v>
      </c>
      <c r="EW12" s="16">
        <v>1</v>
      </c>
      <c r="EX12" s="16">
        <v>1</v>
      </c>
      <c r="EY12" s="16">
        <v>58</v>
      </c>
      <c r="EZ12" s="16">
        <v>52</v>
      </c>
      <c r="FA12" s="16">
        <v>3</v>
      </c>
      <c r="FB12" s="16">
        <v>115</v>
      </c>
      <c r="FC12" s="16">
        <v>28</v>
      </c>
      <c r="FD12" s="16">
        <v>24</v>
      </c>
      <c r="FE12" s="16">
        <v>26</v>
      </c>
      <c r="FF12" s="16">
        <v>1</v>
      </c>
      <c r="FG12" s="16">
        <v>0</v>
      </c>
      <c r="FH12" s="16">
        <v>0</v>
      </c>
      <c r="FI12" s="16">
        <v>499474</v>
      </c>
      <c r="FJ12" s="16">
        <v>495766</v>
      </c>
      <c r="FK12" s="16">
        <v>420</v>
      </c>
      <c r="FL12" s="16">
        <v>413</v>
      </c>
      <c r="FM12" s="16">
        <v>0</v>
      </c>
      <c r="FN12" s="16">
        <v>0</v>
      </c>
      <c r="FO12" s="16">
        <v>0</v>
      </c>
      <c r="FP12" s="16">
        <v>4</v>
      </c>
      <c r="FQ12" s="16">
        <v>7.8</v>
      </c>
      <c r="FR12" s="16">
        <v>7</v>
      </c>
      <c r="FS12" s="16">
        <v>0</v>
      </c>
      <c r="FT12" s="16">
        <v>0</v>
      </c>
      <c r="FU12" s="16">
        <v>-1</v>
      </c>
    </row>
    <row r="13" spans="1:177">
      <c r="A13" t="s">
        <v>15</v>
      </c>
      <c r="B13" t="s">
        <v>180</v>
      </c>
      <c r="C13" t="s">
        <v>175</v>
      </c>
      <c r="D13">
        <v>31</v>
      </c>
      <c r="E13" s="14">
        <f>SUM('Plant Inputs'!F25,'Plant Inputs'!F31,'Plant Inputs'!F37)</f>
        <v>2232.0</v>
      </c>
      <c r="F13" s="14">
        <f>SUM('Plant Inputs'!G25,'Plant Inputs'!G31,'Plant Inputs'!G37)</f>
        <v>2223.0</v>
      </c>
      <c r="G13" s="14">
        <f>SUM('Plant Inputs'!H25,'Plant Inputs'!H31,'Plant Inputs'!H37)</f>
        <v>2123.3</v>
      </c>
      <c r="H13" s="14">
        <f>SUM('Plant Inputs'!I25,'Plant Inputs'!I31,'Plant Inputs'!I37)</f>
        <v>58.2</v>
      </c>
      <c r="I13" s="14">
        <f>SUM('Plant Inputs'!J25,'Plant Inputs'!J31,'Plant Inputs'!J37)</f>
        <v>363231.0</v>
      </c>
      <c r="J13" s="14">
        <f>SUM('Plant Inputs'!K25,'Plant Inputs'!K31,'Plant Inputs'!K37)</f>
        <v>364560.0</v>
      </c>
      <c r="K13" s="14">
        <f>SUM('Plant Inputs'!L25,'Plant Inputs'!L31,'Plant Inputs'!L37)</f>
        <v>324403.0</v>
      </c>
      <c r="L13" s="14">
        <f>SUM('Plant Inputs'!M25,'Plant Inputs'!M31,'Plant Inputs'!M37)</f>
        <v>325601.0</v>
      </c>
      <c r="M13" s="14">
        <f>SUM('Plant Inputs'!N25,'Plant Inputs'!N31,'Plant Inputs'!N37)</f>
        <v>315635.0</v>
      </c>
      <c r="N13" s="14">
        <f>SUM('Plant Inputs'!O25,'Plant Inputs'!O31,'Plant Inputs'!O37)</f>
        <v>339387.0</v>
      </c>
      <c r="O13" s="14">
        <f>SUM('Plant Inputs'!P25,'Plant Inputs'!P31,'Plant Inputs'!P37)</f>
        <v>68718.0</v>
      </c>
      <c r="P13" s="14">
        <f>SUM('Plant Inputs'!Q25,'Plant Inputs'!Q31,'Plant Inputs'!Q37)</f>
        <v>59602.0</v>
      </c>
      <c r="Q13" s="14">
        <f>SUM('Plant Inputs'!R25,'Plant Inputs'!R31,'Plant Inputs'!R37)</f>
        <v>9130.0</v>
      </c>
      <c r="R13" s="14">
        <f>SUM('Plant Inputs'!S25,'Plant Inputs'!S31,'Plant Inputs'!S37)</f>
        <v>8.0</v>
      </c>
      <c r="S13" s="14">
        <f>SUM('Plant Inputs'!T25,'Plant Inputs'!T31,'Plant Inputs'!T37)</f>
        <v>38.3</v>
      </c>
      <c r="T13" s="14">
        <f>SUM('Plant Inputs'!U25,'Plant Inputs'!U31,'Plant Inputs'!U37)</f>
        <v>140.0</v>
      </c>
      <c r="U13" s="14">
        <f>SUM('Plant Inputs'!V25,'Plant Inputs'!V31,'Plant Inputs'!V37)</f>
        <v>135.0</v>
      </c>
      <c r="V13" s="14">
        <f>SUM('Plant Inputs'!W25,'Plant Inputs'!W31,'Plant Inputs'!W37)</f>
        <v>1017013.0</v>
      </c>
      <c r="W13" s="14">
        <f>SUM('Plant Inputs'!X25,'Plant Inputs'!X31,'Plant Inputs'!X37)</f>
        <v>313616.8</v>
      </c>
      <c r="X13" s="14">
        <f>SUM('Plant Inputs'!Y25,'Plant Inputs'!Y31,'Plant Inputs'!Y37)</f>
        <v>3815.6</v>
      </c>
      <c r="Y13" s="14">
        <f>SUM('Plant Inputs'!Z25,'Plant Inputs'!Z31,'Plant Inputs'!Z37)</f>
        <v>660802.0</v>
      </c>
      <c r="Z13" s="14">
        <f>SUM('Plant Inputs'!AA25,'Plant Inputs'!AA31,'Plant Inputs'!AA37)</f>
        <v>207095.0</v>
      </c>
      <c r="AA13" s="14">
        <f>SUM('Plant Inputs'!AB25,'Plant Inputs'!AB31,'Plant Inputs'!AB37)</f>
        <v>1004084.0</v>
      </c>
      <c r="AB13" s="14">
        <f>SUM('Plant Inputs'!AC25,'Plant Inputs'!AC31,'Plant Inputs'!AC37)</f>
        <v>8120.0</v>
      </c>
      <c r="AC13" s="14">
        <f>SUM('Plant Inputs'!AD25,'Plant Inputs'!AD31,'Plant Inputs'!AD37)</f>
        <v>1.0</v>
      </c>
      <c r="AD13" s="14">
        <f>SUM('Plant Inputs'!AE25,'Plant Inputs'!AE31,'Plant Inputs'!AE37)</f>
        <v>213000.0</v>
      </c>
      <c r="AE13" s="14">
        <f>SUM('Plant Inputs'!AF25,'Plant Inputs'!AF31,'Plant Inputs'!AF37)</f>
        <v>1.0</v>
      </c>
      <c r="AF13" s="14">
        <f>SUM('Plant Inputs'!AG25,'Plant Inputs'!AG31,'Plant Inputs'!AG37)</f>
        <v>1.0</v>
      </c>
      <c r="AG13" s="14">
        <f>SUM('Plant Inputs'!AH25,'Plant Inputs'!AH31,'Plant Inputs'!AH37)</f>
        <v>13.0</v>
      </c>
      <c r="AH13" s="14">
        <f>SUM('Plant Inputs'!AI25,'Plant Inputs'!AI31,'Plant Inputs'!AI37)</f>
        <v>0.0</v>
      </c>
      <c r="AI13" s="14">
        <f>SUM('Plant Inputs'!AJ25,'Plant Inputs'!AJ31,'Plant Inputs'!AJ37)</f>
        <v>1.0</v>
      </c>
      <c r="AJ13" s="14">
        <f>SUM('Plant Inputs'!AK25,'Plant Inputs'!AK31,'Plant Inputs'!AK37)</f>
        <v>0.0</v>
      </c>
      <c r="AK13" s="14">
        <f>SUM('Plant Inputs'!AL25,'Plant Inputs'!AL31,'Plant Inputs'!AL37)</f>
        <v>36.0</v>
      </c>
      <c r="AL13" s="14">
        <f>SUM('Plant Inputs'!AM25,'Plant Inputs'!AM31,'Plant Inputs'!AM37)</f>
        <v>7.0</v>
      </c>
      <c r="AM13" s="14">
        <f>SUM('Plant Inputs'!AN25,'Plant Inputs'!AN31,'Plant Inputs'!AN37)</f>
        <v>3.0</v>
      </c>
      <c r="AN13" s="14">
        <f>SUM('Plant Inputs'!AO25,'Plant Inputs'!AO31,'Plant Inputs'!AO37)</f>
        <v>2.0</v>
      </c>
      <c r="AO13" s="14">
        <f>SUM('Plant Inputs'!AP25,'Plant Inputs'!AP31,'Plant Inputs'!AP37)</f>
        <v>4.0</v>
      </c>
      <c r="AP13" s="14">
        <f>SUM('Plant Inputs'!AQ25,'Plant Inputs'!AQ31,'Plant Inputs'!AQ37)</f>
        <v>504.0</v>
      </c>
      <c r="AQ13" s="14">
        <f>SUM('Plant Inputs'!AR25,'Plant Inputs'!AR31,'Plant Inputs'!AR37)</f>
        <v>42.0</v>
      </c>
      <c r="AR13" s="14">
        <f>MIN('Plant Inputs'!AS25,'Plant Inputs'!AS31,'Plant Inputs'!AS37)</f>
        <v>162</v>
      </c>
      <c r="AS13" s="14">
        <f>SUM('Plant Inputs'!AT25,'Plant Inputs'!AT31,'Plant Inputs'!AT37)</f>
        <v>317425.0</v>
      </c>
      <c r="AT13" s="14">
        <f>SUM('Plant Inputs'!AU25,'Plant Inputs'!AU31,'Plant Inputs'!AU37)</f>
        <v>323314.0</v>
      </c>
      <c r="AU13" s="14">
        <f>SUM('Plant Inputs'!AV25,'Plant Inputs'!AV31,'Plant Inputs'!AV37)</f>
        <v>1195016.4</v>
      </c>
      <c r="AV13" s="14">
        <f>SUM('Plant Inputs'!AW25,'Plant Inputs'!AW31,'Plant Inputs'!AW37)</f>
        <v>1215660.6</v>
      </c>
      <c r="AW13" s="14">
        <f>SUM('Plant Inputs'!AX25,'Plant Inputs'!AX31,'Plant Inputs'!AX37)</f>
        <v>57438.4</v>
      </c>
      <c r="AX13" s="14">
        <f>SUM('Plant Inputs'!AY25,'Plant Inputs'!AY31,'Plant Inputs'!AY37)</f>
        <v>41574.100000000006</v>
      </c>
      <c r="AY13" s="14">
        <f>SUM('Plant Inputs'!AZ25,'Plant Inputs'!AZ31,'Plant Inputs'!AZ37)</f>
        <v>721.0</v>
      </c>
      <c r="AZ13" s="14">
        <f>SUM('Plant Inputs'!BA25,'Plant Inputs'!BA31,'Plant Inputs'!BA37)</f>
        <v>672.0</v>
      </c>
      <c r="BA13" s="14">
        <f>SUM('Plant Inputs'!BB25,'Plant Inputs'!BB31,'Plant Inputs'!BB37)</f>
        <v>332167.0</v>
      </c>
      <c r="BB13" s="14">
        <f>SUM('Plant Inputs'!BC25,'Plant Inputs'!BC31,'Plant Inputs'!BC37)</f>
        <v>319103.0</v>
      </c>
      <c r="BC13" s="14">
        <f>SUM('Plant Inputs'!BD25,'Plant Inputs'!BD31,'Plant Inputs'!BD37)</f>
        <v>2057.0</v>
      </c>
      <c r="BD13" s="14">
        <f>SUM('Plant Inputs'!BE25,'Plant Inputs'!BE31,'Plant Inputs'!BE37)</f>
        <v>3066.0</v>
      </c>
      <c r="BE13" s="14">
        <f>SUM('Plant Inputs'!BF25,'Plant Inputs'!BF31,'Plant Inputs'!BF37)</f>
        <v>3047.0</v>
      </c>
      <c r="BF13" s="14">
        <f>SUM('Plant Inputs'!BG25,'Plant Inputs'!BG31,'Plant Inputs'!BG37)</f>
        <v>558920.2</v>
      </c>
      <c r="BG13" s="14">
        <f>SUM('Plant Inputs'!BH25,'Plant Inputs'!BH31,'Plant Inputs'!BH37)</f>
        <v>192011.4</v>
      </c>
      <c r="BH13" s="14">
        <f>SUM('Plant Inputs'!BI25,'Plant Inputs'!BI31,'Plant Inputs'!BI37)</f>
        <v>0.0</v>
      </c>
      <c r="BI13" s="14">
        <f>SUM('Plant Inputs'!BJ25,'Plant Inputs'!BJ31,'Plant Inputs'!BJ37)</f>
        <v>1.0</v>
      </c>
      <c r="BJ13" s="14">
        <f>SUM('Plant Inputs'!BK25,'Plant Inputs'!BK31,'Plant Inputs'!BK37)</f>
        <v>2.0</v>
      </c>
      <c r="BK13" s="14">
        <f>SUM('Plant Inputs'!BL25,'Plant Inputs'!BL31,'Plant Inputs'!BL37)</f>
        <v>1.0</v>
      </c>
      <c r="BL13" s="14">
        <f>SUM('Plant Inputs'!BM25,'Plant Inputs'!BM31,'Plant Inputs'!BM37)</f>
        <v>3.0</v>
      </c>
      <c r="BM13" s="14">
        <f>SUM('Plant Inputs'!BN25,'Plant Inputs'!BN31,'Plant Inputs'!BN37)</f>
        <v>0.0</v>
      </c>
      <c r="BN13" s="14">
        <f>SUM('Plant Inputs'!BO25,'Plant Inputs'!BO31,'Plant Inputs'!BO37)</f>
        <v>0.0</v>
      </c>
      <c r="BO13" s="14">
        <f>SUM('Plant Inputs'!BP25,'Plant Inputs'!BP31,'Plant Inputs'!BP37)</f>
        <v>0.0</v>
      </c>
      <c r="BP13" s="14">
        <f>SUM('Plant Inputs'!BQ25,'Plant Inputs'!BQ31,'Plant Inputs'!BQ37)</f>
        <v>0.0</v>
      </c>
      <c r="BQ13" s="14">
        <f>SUM('Plant Inputs'!BR25,'Plant Inputs'!BR31,'Plant Inputs'!BR37)</f>
        <v>0.0</v>
      </c>
      <c r="BR13" s="14">
        <f>SUM('Plant Inputs'!BS25,'Plant Inputs'!BS31,'Plant Inputs'!BS37)</f>
        <v>0.0</v>
      </c>
      <c r="BS13" s="14">
        <f>MIN('Plant Inputs'!BT25,'Plant Inputs'!BT31,'Plant Inputs'!BT37)</f>
        <v>99</v>
      </c>
      <c r="BT13" s="14">
        <f>SUM('Plant Inputs'!BU25,'Plant Inputs'!BU31,'Plant Inputs'!BU37)</f>
        <v>328436.0</v>
      </c>
      <c r="BU13" s="14">
        <f>SUM('Plant Inputs'!BV25,'Plant Inputs'!BV31,'Plant Inputs'!BV37)</f>
        <v>330842.0</v>
      </c>
      <c r="BV13" s="14">
        <f>SUM('Plant Inputs'!BW25,'Plant Inputs'!BW31,'Plant Inputs'!BW37)</f>
        <v>133923883.0</v>
      </c>
      <c r="BW13" s="14">
        <f>SUM('Plant Inputs'!BX25,'Plant Inputs'!BX31,'Plant Inputs'!BX37)</f>
        <v>363231.0</v>
      </c>
      <c r="BX13" s="14">
        <f>SUM('Plant Inputs'!BY25,'Plant Inputs'!BY31,'Plant Inputs'!BY37)</f>
        <v>9042.0</v>
      </c>
      <c r="BY13" s="16">
        <v>54610.5</v>
      </c>
      <c r="BZ13" s="16">
        <v>23755.2</v>
      </c>
      <c r="CA13" s="16">
        <v>10120000</v>
      </c>
      <c r="CB13" s="16">
        <v>4323104.5</v>
      </c>
      <c r="CC13" s="16">
        <v>1219104.5</v>
      </c>
      <c r="CD13" s="16">
        <v>442574.4</v>
      </c>
      <c r="CE13" s="16">
        <v>32592</v>
      </c>
      <c r="CF13" s="16">
        <v>425574.5</v>
      </c>
      <c r="CG13" s="16">
        <v>1293891.3</v>
      </c>
      <c r="CH13" s="16">
        <v>119814.6</v>
      </c>
      <c r="CI13" s="16">
        <v>1202019.5</v>
      </c>
      <c r="CJ13" s="16">
        <v>1734551.6</v>
      </c>
      <c r="CK13" s="16">
        <v>2055982.4</v>
      </c>
      <c r="CL13" s="16">
        <v>1122026.2</v>
      </c>
      <c r="CM13" s="16">
        <v>1161124.7</v>
      </c>
      <c r="CN13" s="16">
        <v>2912.2</v>
      </c>
      <c r="CO13" s="16">
        <v>78725.2</v>
      </c>
      <c r="CP13" s="16">
        <v>78725.2</v>
      </c>
      <c r="CQ13" s="16">
        <v>342</v>
      </c>
      <c r="CR13" s="16">
        <v>15474</v>
      </c>
      <c r="CS13" s="16">
        <v>15390</v>
      </c>
      <c r="CT13" s="16">
        <v>1</v>
      </c>
      <c r="CU13" s="16">
        <v>714775.5</v>
      </c>
      <c r="CV13" s="16">
        <v>718721.9</v>
      </c>
      <c r="CW13" s="16">
        <v>139958.6</v>
      </c>
      <c r="CX13" s="16">
        <v>3047312.3</v>
      </c>
      <c r="CY13" s="16">
        <v>1412231.8</v>
      </c>
      <c r="CZ13" s="16">
        <v>347025.2</v>
      </c>
      <c r="DA13" s="16">
        <v>242148.9</v>
      </c>
      <c r="DB13" s="16">
        <v>284119.2</v>
      </c>
      <c r="DC13" s="16">
        <v>199411</v>
      </c>
      <c r="DD13" s="16">
        <v>6393</v>
      </c>
      <c r="DE13" s="16">
        <v>6859.8</v>
      </c>
      <c r="DF13" s="16">
        <v>1997749.7</v>
      </c>
      <c r="DG13" s="16">
        <v>1170469.4</v>
      </c>
      <c r="DH13" s="16">
        <v>860000</v>
      </c>
      <c r="DI13" s="16">
        <v>526173.4</v>
      </c>
      <c r="DJ13" s="16">
        <v>66726.89999999999</v>
      </c>
      <c r="DK13" s="16">
        <v>455800</v>
      </c>
      <c r="DL13" s="16">
        <v>129811.4</v>
      </c>
      <c r="DM13" s="16">
        <v>4</v>
      </c>
      <c r="DN13" s="16">
        <v>1</v>
      </c>
      <c r="DO13" s="16">
        <v>0</v>
      </c>
      <c r="DP13" s="16">
        <v>1</v>
      </c>
      <c r="DQ13" s="16">
        <v>4</v>
      </c>
      <c r="DR13" s="16">
        <v>4</v>
      </c>
      <c r="DS13" s="16">
        <v>10</v>
      </c>
      <c r="DT13" s="16">
        <v>4</v>
      </c>
      <c r="DU13" s="16">
        <v>2</v>
      </c>
      <c r="DV13" s="16">
        <v>64</v>
      </c>
      <c r="DW13" s="16">
        <v>28</v>
      </c>
      <c r="DX13" s="16">
        <v>9318.700000000001</v>
      </c>
      <c r="DY13" s="16">
        <v>3457.6</v>
      </c>
      <c r="DZ13" s="16">
        <v>1294.6</v>
      </c>
      <c r="EA13" s="16">
        <v>1069.1</v>
      </c>
      <c r="EB13" s="16">
        <v>1220.3</v>
      </c>
      <c r="EC13" s="16">
        <v>68</v>
      </c>
      <c r="ED13" s="16">
        <v>65</v>
      </c>
      <c r="EE13" s="16">
        <v>3</v>
      </c>
      <c r="EF13" s="16">
        <v>1</v>
      </c>
      <c r="EG13" s="16">
        <v>1</v>
      </c>
      <c r="EH13" s="16">
        <v>0</v>
      </c>
      <c r="EI13" s="16">
        <v>0</v>
      </c>
      <c r="EJ13" s="16">
        <v>1</v>
      </c>
      <c r="EK13" s="16">
        <v>1</v>
      </c>
      <c r="EL13" s="16">
        <v>1</v>
      </c>
      <c r="EM13" s="16">
        <v>0</v>
      </c>
      <c r="EN13" s="16">
        <v>0</v>
      </c>
      <c r="EO13" s="16">
        <v>0</v>
      </c>
      <c r="EP13" s="16">
        <v>0</v>
      </c>
      <c r="EQ13" s="16">
        <v>0</v>
      </c>
      <c r="ER13" s="16">
        <v>0</v>
      </c>
      <c r="ES13" s="16">
        <v>0</v>
      </c>
      <c r="ET13" s="16">
        <v>0</v>
      </c>
      <c r="EU13" s="16">
        <v>5</v>
      </c>
      <c r="EV13" s="16">
        <v>0</v>
      </c>
      <c r="EW13" s="16">
        <v>1</v>
      </c>
      <c r="EX13" s="16">
        <v>1</v>
      </c>
      <c r="EY13" s="16">
        <v>58</v>
      </c>
      <c r="EZ13" s="16">
        <v>53</v>
      </c>
      <c r="FA13" s="16">
        <v>1</v>
      </c>
      <c r="FB13" s="16">
        <v>36</v>
      </c>
      <c r="FC13" s="16">
        <v>28</v>
      </c>
      <c r="FD13" s="16">
        <v>24</v>
      </c>
      <c r="FE13" s="16">
        <v>26</v>
      </c>
      <c r="FF13" s="16">
        <v>1</v>
      </c>
      <c r="FG13" s="16">
        <v>0</v>
      </c>
      <c r="FH13" s="16">
        <v>0</v>
      </c>
      <c r="FI13" s="16">
        <v>512122</v>
      </c>
      <c r="FJ13" s="16">
        <v>506494</v>
      </c>
      <c r="FK13" s="16">
        <v>420</v>
      </c>
      <c r="FL13" s="16">
        <v>415</v>
      </c>
      <c r="FM13" s="16">
        <v>0</v>
      </c>
      <c r="FN13" s="16">
        <v>0</v>
      </c>
      <c r="FO13" s="16">
        <v>0</v>
      </c>
      <c r="FP13" s="16">
        <v>4</v>
      </c>
      <c r="FQ13" s="16">
        <v>8.5</v>
      </c>
      <c r="FR13" s="16">
        <v>8</v>
      </c>
      <c r="FS13" s="16">
        <v>1</v>
      </c>
      <c r="FT13" s="16">
        <v>1</v>
      </c>
      <c r="FU13" s="16">
        <v>1</v>
      </c>
    </row>
    <row r="14" spans="1:177">
      <c r="A14" t="s">
        <v>15</v>
      </c>
      <c r="B14" t="s">
        <v>180</v>
      </c>
      <c r="C14" t="s">
        <v>176</v>
      </c>
      <c r="D14">
        <v>31</v>
      </c>
      <c r="E14" s="14">
        <f>SUM('Plant Inputs'!F26,'Plant Inputs'!F32,'Plant Inputs'!F38)</f>
        <v>2232.0</v>
      </c>
      <c r="F14" s="14">
        <f>SUM('Plant Inputs'!G26,'Plant Inputs'!G32,'Plant Inputs'!G38)</f>
        <v>2118.0</v>
      </c>
      <c r="G14" s="14">
        <f>SUM('Plant Inputs'!H26,'Plant Inputs'!H32,'Plant Inputs'!H38)</f>
        <v>1996.0</v>
      </c>
      <c r="H14" s="14">
        <f>SUM('Plant Inputs'!I26,'Plant Inputs'!I32,'Plant Inputs'!I38)</f>
        <v>67.8</v>
      </c>
      <c r="I14" s="14">
        <f>SUM('Plant Inputs'!J26,'Plant Inputs'!J32,'Plant Inputs'!J38)</f>
        <v>346273.0</v>
      </c>
      <c r="J14" s="14">
        <f>SUM('Plant Inputs'!K26,'Plant Inputs'!K32,'Plant Inputs'!K38)</f>
        <v>364560.0</v>
      </c>
      <c r="K14" s="14">
        <f>SUM('Plant Inputs'!L26,'Plant Inputs'!L32,'Plant Inputs'!L38)</f>
        <v>308736.0</v>
      </c>
      <c r="L14" s="14">
        <f>SUM('Plant Inputs'!M26,'Plant Inputs'!M32,'Plant Inputs'!M38)</f>
        <v>304282.0</v>
      </c>
      <c r="M14" s="14">
        <f>SUM('Plant Inputs'!N26,'Plant Inputs'!N32,'Plant Inputs'!N38)</f>
        <v>298516.0</v>
      </c>
      <c r="N14" s="14">
        <f>SUM('Plant Inputs'!O26,'Plant Inputs'!O32,'Plant Inputs'!O38)</f>
        <v>328057.0</v>
      </c>
      <c r="O14" s="14">
        <f>SUM('Plant Inputs'!P26,'Plant Inputs'!P32,'Plant Inputs'!P38)</f>
        <v>75322.0</v>
      </c>
      <c r="P14" s="14">
        <f>SUM('Plant Inputs'!Q26,'Plant Inputs'!Q32,'Plant Inputs'!Q38)</f>
        <v>67860.0</v>
      </c>
      <c r="Q14" s="14">
        <f>SUM('Plant Inputs'!R26,'Plant Inputs'!R32,'Plant Inputs'!R38)</f>
        <v>12064.0</v>
      </c>
      <c r="R14" s="14">
        <f>SUM('Plant Inputs'!S26,'Plant Inputs'!S32,'Plant Inputs'!S38)</f>
        <v>9.0</v>
      </c>
      <c r="S14" s="14">
        <f>SUM('Plant Inputs'!T26,'Plant Inputs'!T32,'Plant Inputs'!T38)</f>
        <v>49.400000000000006</v>
      </c>
      <c r="T14" s="14">
        <f>SUM('Plant Inputs'!U26,'Plant Inputs'!U32,'Plant Inputs'!U38)</f>
        <v>118.0</v>
      </c>
      <c r="U14" s="14">
        <f>SUM('Plant Inputs'!V26,'Plant Inputs'!V32,'Plant Inputs'!V38)</f>
        <v>117.0</v>
      </c>
      <c r="V14" s="14">
        <f>SUM('Plant Inputs'!W26,'Plant Inputs'!W32,'Plant Inputs'!W38)</f>
        <v>940259.2000000001</v>
      </c>
      <c r="W14" s="14">
        <f>SUM('Plant Inputs'!X26,'Plant Inputs'!X32,'Plant Inputs'!X38)</f>
        <v>246610.1</v>
      </c>
      <c r="X14" s="14">
        <f>SUM('Plant Inputs'!Y26,'Plant Inputs'!Y32,'Plant Inputs'!Y38)</f>
        <v>4191.1</v>
      </c>
      <c r="Y14" s="14">
        <f>SUM('Plant Inputs'!Z26,'Plant Inputs'!Z32,'Plant Inputs'!Z38)</f>
        <v>690325.0</v>
      </c>
      <c r="Z14" s="14">
        <f>SUM('Plant Inputs'!AA26,'Plant Inputs'!AA32,'Plant Inputs'!AA38)</f>
        <v>193997.0</v>
      </c>
      <c r="AA14" s="14">
        <f>SUM('Plant Inputs'!AB26,'Plant Inputs'!AB32,'Plant Inputs'!AB38)</f>
        <v>1024647.0</v>
      </c>
      <c r="AB14" s="14">
        <f>SUM('Plant Inputs'!AC26,'Plant Inputs'!AC32,'Plant Inputs'!AC38)</f>
        <v>6633.0</v>
      </c>
      <c r="AC14" s="14">
        <f>SUM('Plant Inputs'!AD26,'Plant Inputs'!AD32,'Plant Inputs'!AD38)</f>
        <v>4.0</v>
      </c>
      <c r="AD14" s="14">
        <f>SUM('Plant Inputs'!AE26,'Plant Inputs'!AE32,'Plant Inputs'!AE38)</f>
        <v>195000.0</v>
      </c>
      <c r="AE14" s="14">
        <f>SUM('Plant Inputs'!AF26,'Plant Inputs'!AF32,'Plant Inputs'!AF38)</f>
        <v>1.0</v>
      </c>
      <c r="AF14" s="14">
        <f>SUM('Plant Inputs'!AG26,'Plant Inputs'!AG32,'Plant Inputs'!AG38)</f>
        <v>0.0</v>
      </c>
      <c r="AG14" s="14">
        <f>SUM('Plant Inputs'!AH26,'Plant Inputs'!AH32,'Plant Inputs'!AH38)</f>
        <v>23.0</v>
      </c>
      <c r="AH14" s="14">
        <f>SUM('Plant Inputs'!AI26,'Plant Inputs'!AI32,'Plant Inputs'!AI38)</f>
        <v>0.0</v>
      </c>
      <c r="AI14" s="14">
        <f>SUM('Plant Inputs'!AJ26,'Plant Inputs'!AJ32,'Plant Inputs'!AJ38)</f>
        <v>1.0</v>
      </c>
      <c r="AJ14" s="14">
        <f>SUM('Plant Inputs'!AK26,'Plant Inputs'!AK32,'Plant Inputs'!AK38)</f>
        <v>0.0</v>
      </c>
      <c r="AK14" s="14">
        <f>SUM('Plant Inputs'!AL26,'Plant Inputs'!AL32,'Plant Inputs'!AL38)</f>
        <v>26.0</v>
      </c>
      <c r="AL14" s="14">
        <f>SUM('Plant Inputs'!AM26,'Plant Inputs'!AM32,'Plant Inputs'!AM38)</f>
        <v>2.0</v>
      </c>
      <c r="AM14" s="14">
        <f>SUM('Plant Inputs'!AN26,'Plant Inputs'!AN32,'Plant Inputs'!AN38)</f>
        <v>8.0</v>
      </c>
      <c r="AN14" s="14">
        <f>SUM('Plant Inputs'!AO26,'Plant Inputs'!AO32,'Plant Inputs'!AO38)</f>
        <v>8.0</v>
      </c>
      <c r="AO14" s="14">
        <f>SUM('Plant Inputs'!AP26,'Plant Inputs'!AP32,'Plant Inputs'!AP38)</f>
        <v>3.0</v>
      </c>
      <c r="AP14" s="14">
        <f>SUM('Plant Inputs'!AQ26,'Plant Inputs'!AQ32,'Plant Inputs'!AQ38)</f>
        <v>619.0</v>
      </c>
      <c r="AQ14" s="14">
        <f>SUM('Plant Inputs'!AR26,'Plant Inputs'!AR32,'Plant Inputs'!AR38)</f>
        <v>36.0</v>
      </c>
      <c r="AR14" s="14">
        <f>MIN('Plant Inputs'!AS26,'Plant Inputs'!AS32,'Plant Inputs'!AS38)</f>
        <v>132</v>
      </c>
      <c r="AS14" s="14">
        <f>SUM('Plant Inputs'!AT26,'Plant Inputs'!AT32,'Plant Inputs'!AT38)</f>
        <v>295880.0</v>
      </c>
      <c r="AT14" s="14">
        <f>SUM('Plant Inputs'!AU26,'Plant Inputs'!AU32,'Plant Inputs'!AU38)</f>
        <v>306815.0</v>
      </c>
      <c r="AU14" s="14">
        <f>SUM('Plant Inputs'!AV26,'Plant Inputs'!AV32,'Plant Inputs'!AV38)</f>
        <v>1105023.8</v>
      </c>
      <c r="AV14" s="14">
        <f>SUM('Plant Inputs'!AW26,'Plant Inputs'!AW32,'Plant Inputs'!AW38)</f>
        <v>1153624.3</v>
      </c>
      <c r="AW14" s="14">
        <f>SUM('Plant Inputs'!AX26,'Plant Inputs'!AX32,'Plant Inputs'!AX38)</f>
        <v>53026.2</v>
      </c>
      <c r="AX14" s="14">
        <f>SUM('Plant Inputs'!AY26,'Plant Inputs'!AY32,'Plant Inputs'!AY38)</f>
        <v>41345.5</v>
      </c>
      <c r="AY14" s="14">
        <f>SUM('Plant Inputs'!AZ26,'Plant Inputs'!AZ32,'Plant Inputs'!AZ38)</f>
        <v>706.0</v>
      </c>
      <c r="AZ14" s="14">
        <f>SUM('Plant Inputs'!BA26,'Plant Inputs'!BA32,'Plant Inputs'!BA38)</f>
        <v>657.0</v>
      </c>
      <c r="BA14" s="14">
        <f>SUM('Plant Inputs'!BB26,'Plant Inputs'!BB32,'Plant Inputs'!BB38)</f>
        <v>332643.0</v>
      </c>
      <c r="BB14" s="14">
        <f>SUM('Plant Inputs'!BC26,'Plant Inputs'!BC32,'Plant Inputs'!BC38)</f>
        <v>322473.0</v>
      </c>
      <c r="BC14" s="14">
        <f>SUM('Plant Inputs'!BD26,'Plant Inputs'!BD32,'Plant Inputs'!BD38)</f>
        <v>3419.0</v>
      </c>
      <c r="BD14" s="14">
        <f>SUM('Plant Inputs'!BE26,'Plant Inputs'!BE32,'Plant Inputs'!BE38)</f>
        <v>2534.0</v>
      </c>
      <c r="BE14" s="14">
        <f>SUM('Plant Inputs'!BF26,'Plant Inputs'!BF32,'Plant Inputs'!BF38)</f>
        <v>2536.0</v>
      </c>
      <c r="BF14" s="14">
        <f>SUM('Plant Inputs'!BG26,'Plant Inputs'!BG32,'Plant Inputs'!BG38)</f>
        <v>498432.80000000005</v>
      </c>
      <c r="BG14" s="14">
        <f>SUM('Plant Inputs'!BH26,'Plant Inputs'!BH32,'Plant Inputs'!BH38)</f>
        <v>172867.0</v>
      </c>
      <c r="BH14" s="14">
        <f>SUM('Plant Inputs'!BI26,'Plant Inputs'!BI32,'Plant Inputs'!BI38)</f>
        <v>0.0</v>
      </c>
      <c r="BI14" s="14">
        <f>SUM('Plant Inputs'!BJ26,'Plant Inputs'!BJ32,'Plant Inputs'!BJ38)</f>
        <v>0.0</v>
      </c>
      <c r="BJ14" s="14">
        <f>SUM('Plant Inputs'!BK26,'Plant Inputs'!BK32,'Plant Inputs'!BK38)</f>
        <v>0.0</v>
      </c>
      <c r="BK14" s="14">
        <f>SUM('Plant Inputs'!BL26,'Plant Inputs'!BL32,'Plant Inputs'!BL38)</f>
        <v>1.0</v>
      </c>
      <c r="BL14" s="14">
        <f>SUM('Plant Inputs'!BM26,'Plant Inputs'!BM32,'Plant Inputs'!BM38)</f>
        <v>2.0</v>
      </c>
      <c r="BM14" s="14">
        <f>SUM('Plant Inputs'!BN26,'Plant Inputs'!BN32,'Plant Inputs'!BN38)</f>
        <v>0.0</v>
      </c>
      <c r="BN14" s="14">
        <f>SUM('Plant Inputs'!BO26,'Plant Inputs'!BO32,'Plant Inputs'!BO38)</f>
        <v>1.0</v>
      </c>
      <c r="BO14" s="14">
        <f>SUM('Plant Inputs'!BP26,'Plant Inputs'!BP32,'Plant Inputs'!BP38)</f>
        <v>0.0</v>
      </c>
      <c r="BP14" s="14">
        <f>SUM('Plant Inputs'!BQ26,'Plant Inputs'!BQ32,'Plant Inputs'!BQ38)</f>
        <v>0.0</v>
      </c>
      <c r="BQ14" s="14">
        <f>SUM('Plant Inputs'!BR26,'Plant Inputs'!BR32,'Plant Inputs'!BR38)</f>
        <v>0.0</v>
      </c>
      <c r="BR14" s="14">
        <f>SUM('Plant Inputs'!BS26,'Plant Inputs'!BS32,'Plant Inputs'!BS38)</f>
        <v>0.0</v>
      </c>
      <c r="BS14" s="14">
        <f>MIN('Plant Inputs'!BT26,'Plant Inputs'!BT32,'Plant Inputs'!BT38)</f>
        <v>99</v>
      </c>
      <c r="BT14" s="14">
        <f>SUM('Plant Inputs'!BU26,'Plant Inputs'!BU32,'Plant Inputs'!BU38)</f>
        <v>308700.0</v>
      </c>
      <c r="BU14" s="14">
        <f>SUM('Plant Inputs'!BV26,'Plant Inputs'!BV32,'Plant Inputs'!BV38)</f>
        <v>311333.0</v>
      </c>
      <c r="BV14" s="14">
        <f>SUM('Plant Inputs'!BW26,'Plant Inputs'!BW32,'Plant Inputs'!BW38)</f>
        <v>131228667.0</v>
      </c>
      <c r="BW14" s="14">
        <f>SUM('Plant Inputs'!BX26,'Plant Inputs'!BX32,'Plant Inputs'!BX38)</f>
        <v>346273.0</v>
      </c>
      <c r="BX14" s="14">
        <f>SUM('Plant Inputs'!BY26,'Plant Inputs'!BY32,'Plant Inputs'!BY38)</f>
        <v>11769.0</v>
      </c>
      <c r="BY14" s="16">
        <v>52643.9</v>
      </c>
      <c r="BZ14" s="16">
        <v>23550.4</v>
      </c>
      <c r="CA14" s="16">
        <v>10160000</v>
      </c>
      <c r="CB14" s="16">
        <v>4208810.1</v>
      </c>
      <c r="CC14" s="16">
        <v>1136810.1</v>
      </c>
      <c r="CD14" s="16">
        <v>425899.5</v>
      </c>
      <c r="CE14" s="16">
        <v>32256</v>
      </c>
      <c r="CF14" s="16">
        <v>436100.5</v>
      </c>
      <c r="CG14" s="16">
        <v>1192966.9</v>
      </c>
      <c r="CH14" s="16">
        <v>107683.3</v>
      </c>
      <c r="CI14" s="16">
        <v>1114419.8</v>
      </c>
      <c r="CJ14" s="16">
        <v>1562844.7</v>
      </c>
      <c r="CK14" s="16">
        <v>1909315.9</v>
      </c>
      <c r="CL14" s="16">
        <v>1088791.2</v>
      </c>
      <c r="CM14" s="16">
        <v>1109116.5</v>
      </c>
      <c r="CN14" s="16">
        <v>3143.6</v>
      </c>
      <c r="CO14" s="16">
        <v>71435.8</v>
      </c>
      <c r="CP14" s="16">
        <v>71435.8</v>
      </c>
      <c r="CQ14" s="16">
        <v>326</v>
      </c>
      <c r="CR14" s="16">
        <v>14795</v>
      </c>
      <c r="CS14" s="16">
        <v>14670</v>
      </c>
      <c r="CT14" s="16">
        <v>1</v>
      </c>
      <c r="CU14" s="16">
        <v>645320.4</v>
      </c>
      <c r="CV14" s="16">
        <v>653271.4</v>
      </c>
      <c r="CW14" s="16">
        <v>123824.7</v>
      </c>
      <c r="CX14" s="16">
        <v>3032458.5</v>
      </c>
      <c r="CY14" s="16">
        <v>1267817.3</v>
      </c>
      <c r="CZ14" s="16">
        <v>301775.9</v>
      </c>
      <c r="DA14" s="16">
        <v>207433.2</v>
      </c>
      <c r="DB14" s="16">
        <v>239804.4</v>
      </c>
      <c r="DC14" s="16">
        <v>168954.7</v>
      </c>
      <c r="DD14" s="16">
        <v>3637.5</v>
      </c>
      <c r="DE14" s="16">
        <v>3899</v>
      </c>
      <c r="DF14" s="16">
        <v>1830360.2</v>
      </c>
      <c r="DG14" s="16">
        <v>1065570.5</v>
      </c>
      <c r="DH14" s="16">
        <v>860000</v>
      </c>
      <c r="DI14" s="16">
        <v>567051.2</v>
      </c>
      <c r="DJ14" s="16">
        <v>69472.5</v>
      </c>
      <c r="DK14" s="16">
        <v>498800</v>
      </c>
      <c r="DL14" s="16">
        <v>131528.7</v>
      </c>
      <c r="DM14" s="16">
        <v>4</v>
      </c>
      <c r="DN14" s="16">
        <v>1</v>
      </c>
      <c r="DO14" s="16">
        <v>0</v>
      </c>
      <c r="DP14" s="16">
        <v>1</v>
      </c>
      <c r="DQ14" s="16">
        <v>6</v>
      </c>
      <c r="DR14" s="16">
        <v>7</v>
      </c>
      <c r="DS14" s="16">
        <v>10</v>
      </c>
      <c r="DT14" s="16">
        <v>4</v>
      </c>
      <c r="DU14" s="16">
        <v>2</v>
      </c>
      <c r="DV14" s="16">
        <v>64</v>
      </c>
      <c r="DW14" s="16">
        <v>31</v>
      </c>
      <c r="DX14" s="16">
        <v>9144.200000000001</v>
      </c>
      <c r="DY14" s="16">
        <v>3287.9</v>
      </c>
      <c r="DZ14" s="16">
        <v>1358.2</v>
      </c>
      <c r="EA14" s="16">
        <v>1070.2</v>
      </c>
      <c r="EB14" s="16">
        <v>1243.8</v>
      </c>
      <c r="EC14" s="16">
        <v>68</v>
      </c>
      <c r="ED14" s="16">
        <v>65</v>
      </c>
      <c r="EE14" s="16">
        <v>2</v>
      </c>
      <c r="EF14" s="16">
        <v>0</v>
      </c>
      <c r="EG14" s="16">
        <v>1</v>
      </c>
      <c r="EH14" s="16">
        <v>1</v>
      </c>
      <c r="EI14" s="16">
        <v>0</v>
      </c>
      <c r="EJ14" s="16">
        <v>1</v>
      </c>
      <c r="EK14" s="16">
        <v>1</v>
      </c>
      <c r="EL14" s="16">
        <v>1</v>
      </c>
      <c r="EM14" s="16">
        <v>0</v>
      </c>
      <c r="EN14" s="16">
        <v>0</v>
      </c>
      <c r="EO14" s="16">
        <v>0</v>
      </c>
      <c r="EP14" s="16">
        <v>0</v>
      </c>
      <c r="EQ14" s="16">
        <v>2</v>
      </c>
      <c r="ER14" s="16">
        <v>1</v>
      </c>
      <c r="ES14" s="16">
        <v>0</v>
      </c>
      <c r="ET14" s="16">
        <v>0</v>
      </c>
      <c r="EU14" s="16">
        <v>5</v>
      </c>
      <c r="EV14" s="16">
        <v>0</v>
      </c>
      <c r="EW14" s="16">
        <v>1</v>
      </c>
      <c r="EX14" s="16">
        <v>1</v>
      </c>
      <c r="EY14" s="16">
        <v>58</v>
      </c>
      <c r="EZ14" s="16">
        <v>52</v>
      </c>
      <c r="FA14" s="16">
        <v>2</v>
      </c>
      <c r="FB14" s="16">
        <v>76</v>
      </c>
      <c r="FC14" s="16">
        <v>28</v>
      </c>
      <c r="FD14" s="16">
        <v>24</v>
      </c>
      <c r="FE14" s="16">
        <v>26</v>
      </c>
      <c r="FF14" s="16">
        <v>2</v>
      </c>
      <c r="FG14" s="16">
        <v>0</v>
      </c>
      <c r="FH14" s="16">
        <v>0</v>
      </c>
      <c r="FI14" s="16">
        <v>498702</v>
      </c>
      <c r="FJ14" s="16">
        <v>494943</v>
      </c>
      <c r="FK14" s="16">
        <v>420</v>
      </c>
      <c r="FL14" s="16">
        <v>412</v>
      </c>
      <c r="FM14" s="16">
        <v>0</v>
      </c>
      <c r="FN14" s="16">
        <v>0</v>
      </c>
      <c r="FO14" s="16">
        <v>0</v>
      </c>
      <c r="FP14" s="16">
        <v>5</v>
      </c>
      <c r="FQ14" s="16">
        <v>9.9</v>
      </c>
      <c r="FR14" s="16">
        <v>8</v>
      </c>
      <c r="FS14" s="16">
        <v>0</v>
      </c>
      <c r="FT14" s="16">
        <v>1</v>
      </c>
      <c r="FU14" s="16">
        <v>1</v>
      </c>
    </row>
    <row r="15" spans="1:177">
      <c r="A15" t="s">
        <v>15</v>
      </c>
      <c r="B15" t="s">
        <v>180</v>
      </c>
      <c r="C15" t="s">
        <v>177</v>
      </c>
      <c r="D15">
        <v>30</v>
      </c>
      <c r="E15" s="14">
        <f>SUM('Plant Inputs'!F27,'Plant Inputs'!F33,'Plant Inputs'!F39)</f>
        <v>2160.0</v>
      </c>
      <c r="F15" s="14">
        <f>SUM('Plant Inputs'!G27,'Plant Inputs'!G33,'Plant Inputs'!G39)</f>
        <v>2140.0</v>
      </c>
      <c r="G15" s="14">
        <f>SUM('Plant Inputs'!H27,'Plant Inputs'!H33,'Plant Inputs'!H39)</f>
        <v>2061.2</v>
      </c>
      <c r="H15" s="14">
        <f>SUM('Plant Inputs'!I27,'Plant Inputs'!I33,'Plant Inputs'!I39)</f>
        <v>33.699999999999996</v>
      </c>
      <c r="I15" s="14">
        <f>SUM('Plant Inputs'!J27,'Plant Inputs'!J33,'Plant Inputs'!J39)</f>
        <v>349230.0</v>
      </c>
      <c r="J15" s="14">
        <f>SUM('Plant Inputs'!K27,'Plant Inputs'!K33,'Plant Inputs'!K39)</f>
        <v>352800.0</v>
      </c>
      <c r="K15" s="14">
        <f>SUM('Plant Inputs'!L27,'Plant Inputs'!L33,'Plant Inputs'!L39)</f>
        <v>307966.0</v>
      </c>
      <c r="L15" s="14">
        <f>SUM('Plant Inputs'!M27,'Plant Inputs'!M33,'Plant Inputs'!M39)</f>
        <v>315972.0</v>
      </c>
      <c r="M15" s="14">
        <f>SUM('Plant Inputs'!N27,'Plant Inputs'!N33,'Plant Inputs'!N39)</f>
        <v>308869.0</v>
      </c>
      <c r="N15" s="14">
        <f>SUM('Plant Inputs'!O27,'Plant Inputs'!O33,'Plant Inputs'!O39)</f>
        <v>334213.0</v>
      </c>
      <c r="O15" s="14">
        <f>SUM('Plant Inputs'!P27,'Plant Inputs'!P33,'Plant Inputs'!P39)</f>
        <v>69389.0</v>
      </c>
      <c r="P15" s="14">
        <f>SUM('Plant Inputs'!Q27,'Plant Inputs'!Q33,'Plant Inputs'!Q39)</f>
        <v>60526.0</v>
      </c>
      <c r="Q15" s="14">
        <f>SUM('Plant Inputs'!R27,'Plant Inputs'!R33,'Plant Inputs'!R39)</f>
        <v>5492.0</v>
      </c>
      <c r="R15" s="14">
        <f>SUM('Plant Inputs'!S27,'Plant Inputs'!S33,'Plant Inputs'!S39)</f>
        <v>3.0</v>
      </c>
      <c r="S15" s="14">
        <f>SUM('Plant Inputs'!T27,'Plant Inputs'!T33,'Plant Inputs'!T39)</f>
        <v>18.5</v>
      </c>
      <c r="T15" s="14">
        <f>SUM('Plant Inputs'!U27,'Plant Inputs'!U33,'Plant Inputs'!U39)</f>
        <v>137.0</v>
      </c>
      <c r="U15" s="14">
        <f>SUM('Plant Inputs'!V27,'Plant Inputs'!V33,'Plant Inputs'!V39)</f>
        <v>134.0</v>
      </c>
      <c r="V15" s="14">
        <f>SUM('Plant Inputs'!W27,'Plant Inputs'!W33,'Plant Inputs'!W39)</f>
        <v>927755.3999999999</v>
      </c>
      <c r="W15" s="14">
        <f>SUM('Plant Inputs'!X27,'Plant Inputs'!X33,'Plant Inputs'!X39)</f>
        <v>240696.89999999997</v>
      </c>
      <c r="X15" s="14">
        <f>SUM('Plant Inputs'!Y27,'Plant Inputs'!Y33,'Plant Inputs'!Y39)</f>
        <v>3949.1</v>
      </c>
      <c r="Y15" s="14">
        <f>SUM('Plant Inputs'!Z27,'Plant Inputs'!Z33,'Plant Inputs'!Z39)</f>
        <v>708831.0</v>
      </c>
      <c r="Z15" s="14">
        <f>SUM('Plant Inputs'!AA27,'Plant Inputs'!AA33,'Plant Inputs'!AA39)</f>
        <v>208159.0</v>
      </c>
      <c r="AA15" s="14">
        <f>SUM('Plant Inputs'!AB27,'Plant Inputs'!AB33,'Plant Inputs'!AB39)</f>
        <v>996266.0</v>
      </c>
      <c r="AB15" s="14">
        <f>SUM('Plant Inputs'!AC27,'Plant Inputs'!AC33,'Plant Inputs'!AC39)</f>
        <v>5880.0</v>
      </c>
      <c r="AC15" s="14">
        <f>SUM('Plant Inputs'!AD27,'Plant Inputs'!AD33,'Plant Inputs'!AD39)</f>
        <v>2.0</v>
      </c>
      <c r="AD15" s="14">
        <f>SUM('Plant Inputs'!AE27,'Plant Inputs'!AE33,'Plant Inputs'!AE39)</f>
        <v>206000.0</v>
      </c>
      <c r="AE15" s="14">
        <f>SUM('Plant Inputs'!AF27,'Plant Inputs'!AF33,'Plant Inputs'!AF39)</f>
        <v>0.0</v>
      </c>
      <c r="AF15" s="14">
        <f>SUM('Plant Inputs'!AG27,'Plant Inputs'!AG33,'Plant Inputs'!AG39)</f>
        <v>2.0</v>
      </c>
      <c r="AG15" s="14">
        <f>SUM('Plant Inputs'!AH27,'Plant Inputs'!AH33,'Plant Inputs'!AH39)</f>
        <v>21.0</v>
      </c>
      <c r="AH15" s="14">
        <f>SUM('Plant Inputs'!AI27,'Plant Inputs'!AI33,'Plant Inputs'!AI39)</f>
        <v>0.0</v>
      </c>
      <c r="AI15" s="14">
        <f>SUM('Plant Inputs'!AJ27,'Plant Inputs'!AJ33,'Plant Inputs'!AJ39)</f>
        <v>1.0</v>
      </c>
      <c r="AJ15" s="14">
        <f>SUM('Plant Inputs'!AK27,'Plant Inputs'!AK33,'Plant Inputs'!AK39)</f>
        <v>0.0</v>
      </c>
      <c r="AK15" s="14">
        <f>SUM('Plant Inputs'!AL27,'Plant Inputs'!AL33,'Plant Inputs'!AL39)</f>
        <v>17.0</v>
      </c>
      <c r="AL15" s="14">
        <f>SUM('Plant Inputs'!AM27,'Plant Inputs'!AM33,'Plant Inputs'!AM39)</f>
        <v>2.0</v>
      </c>
      <c r="AM15" s="14">
        <f>SUM('Plant Inputs'!AN27,'Plant Inputs'!AN33,'Plant Inputs'!AN39)</f>
        <v>0.0</v>
      </c>
      <c r="AN15" s="14">
        <f>SUM('Plant Inputs'!AO27,'Plant Inputs'!AO33,'Plant Inputs'!AO39)</f>
        <v>0.0</v>
      </c>
      <c r="AO15" s="14">
        <f>SUM('Plant Inputs'!AP27,'Plant Inputs'!AP33,'Plant Inputs'!AP39)</f>
        <v>1.0</v>
      </c>
      <c r="AP15" s="14">
        <f>SUM('Plant Inputs'!AQ27,'Plant Inputs'!AQ33,'Plant Inputs'!AQ39)</f>
        <v>492.0</v>
      </c>
      <c r="AQ15" s="14">
        <f>SUM('Plant Inputs'!AR27,'Plant Inputs'!AR33,'Plant Inputs'!AR39)</f>
        <v>30.0</v>
      </c>
      <c r="AR15" s="14">
        <f>MIN('Plant Inputs'!AS27,'Plant Inputs'!AS33,'Plant Inputs'!AS39)</f>
        <v>102</v>
      </c>
      <c r="AS15" s="14">
        <f>SUM('Plant Inputs'!AT27,'Plant Inputs'!AT33,'Plant Inputs'!AT39)</f>
        <v>313699.0</v>
      </c>
      <c r="AT15" s="14">
        <f>SUM('Plant Inputs'!AU27,'Plant Inputs'!AU33,'Plant Inputs'!AU39)</f>
        <v>307417.0</v>
      </c>
      <c r="AU15" s="14">
        <f>SUM('Plant Inputs'!AV27,'Plant Inputs'!AV33,'Plant Inputs'!AV39)</f>
        <v>1180093.6</v>
      </c>
      <c r="AV15" s="14">
        <f>SUM('Plant Inputs'!AW27,'Plant Inputs'!AW33,'Plant Inputs'!AW39)</f>
        <v>1155887.9000000001</v>
      </c>
      <c r="AW15" s="14">
        <f>SUM('Plant Inputs'!AX27,'Plant Inputs'!AX33,'Plant Inputs'!AX39)</f>
        <v>53162.9</v>
      </c>
      <c r="AX15" s="14">
        <f>SUM('Plant Inputs'!AY27,'Plant Inputs'!AY33,'Plant Inputs'!AY39)</f>
        <v>42145.5</v>
      </c>
      <c r="AY15" s="14">
        <f>SUM('Plant Inputs'!AZ27,'Plant Inputs'!AZ33,'Plant Inputs'!AZ39)</f>
        <v>725.0</v>
      </c>
      <c r="AZ15" s="14">
        <f>SUM('Plant Inputs'!BA27,'Plant Inputs'!BA33,'Plant Inputs'!BA39)</f>
        <v>669.0</v>
      </c>
      <c r="BA15" s="14">
        <f>SUM('Plant Inputs'!BB27,'Plant Inputs'!BB33,'Plant Inputs'!BB39)</f>
        <v>329176.0</v>
      </c>
      <c r="BB15" s="14">
        <f>SUM('Plant Inputs'!BC27,'Plant Inputs'!BC33,'Plant Inputs'!BC39)</f>
        <v>318018.0</v>
      </c>
      <c r="BC15" s="14">
        <f>SUM('Plant Inputs'!BD27,'Plant Inputs'!BD33,'Plant Inputs'!BD39)</f>
        <v>4077.0</v>
      </c>
      <c r="BD15" s="14">
        <f>SUM('Plant Inputs'!BE27,'Plant Inputs'!BE33,'Plant Inputs'!BE39)</f>
        <v>2632.0</v>
      </c>
      <c r="BE15" s="14">
        <f>SUM('Plant Inputs'!BF27,'Plant Inputs'!BF33,'Plant Inputs'!BF39)</f>
        <v>2728.0</v>
      </c>
      <c r="BF15" s="14">
        <f>SUM('Plant Inputs'!BG27,'Plant Inputs'!BG33,'Plant Inputs'!BG39)</f>
        <v>520843.19999999995</v>
      </c>
      <c r="BG15" s="14">
        <f>SUM('Plant Inputs'!BH27,'Plant Inputs'!BH33,'Plant Inputs'!BH39)</f>
        <v>185137.2</v>
      </c>
      <c r="BH15" s="14">
        <f>SUM('Plant Inputs'!BI27,'Plant Inputs'!BI33,'Plant Inputs'!BI39)</f>
        <v>1.0</v>
      </c>
      <c r="BI15" s="14">
        <f>SUM('Plant Inputs'!BJ27,'Plant Inputs'!BJ33,'Plant Inputs'!BJ39)</f>
        <v>0.0</v>
      </c>
      <c r="BJ15" s="14">
        <f>SUM('Plant Inputs'!BK27,'Plant Inputs'!BK33,'Plant Inputs'!BK39)</f>
        <v>1.0</v>
      </c>
      <c r="BK15" s="14">
        <f>SUM('Plant Inputs'!BL27,'Plant Inputs'!BL33,'Plant Inputs'!BL39)</f>
        <v>0.0</v>
      </c>
      <c r="BL15" s="14">
        <f>SUM('Plant Inputs'!BM27,'Plant Inputs'!BM33,'Plant Inputs'!BM39)</f>
        <v>1.0</v>
      </c>
      <c r="BM15" s="14">
        <f>SUM('Plant Inputs'!BN27,'Plant Inputs'!BN33,'Plant Inputs'!BN39)</f>
        <v>0.0</v>
      </c>
      <c r="BN15" s="14">
        <f>SUM('Plant Inputs'!BO27,'Plant Inputs'!BO33,'Plant Inputs'!BO39)</f>
        <v>0.0</v>
      </c>
      <c r="BO15" s="14">
        <f>SUM('Plant Inputs'!BP27,'Plant Inputs'!BP33,'Plant Inputs'!BP39)</f>
        <v>0.0</v>
      </c>
      <c r="BP15" s="14">
        <f>SUM('Plant Inputs'!BQ27,'Plant Inputs'!BQ33,'Plant Inputs'!BQ39)</f>
        <v>0.0</v>
      </c>
      <c r="BQ15" s="14">
        <f>SUM('Plant Inputs'!BR27,'Plant Inputs'!BR33,'Plant Inputs'!BR39)</f>
        <v>0.0</v>
      </c>
      <c r="BR15" s="14">
        <f>SUM('Plant Inputs'!BS27,'Plant Inputs'!BS33,'Plant Inputs'!BS39)</f>
        <v>0.0</v>
      </c>
      <c r="BS15" s="14">
        <f>MIN('Plant Inputs'!BT27,'Plant Inputs'!BT33,'Plant Inputs'!BT39)</f>
        <v>99</v>
      </c>
      <c r="BT15" s="14">
        <f>SUM('Plant Inputs'!BU27,'Plant Inputs'!BU33,'Plant Inputs'!BU39)</f>
        <v>313368.0</v>
      </c>
      <c r="BU15" s="14">
        <f>SUM('Plant Inputs'!BV27,'Plant Inputs'!BV33,'Plant Inputs'!BV39)</f>
        <v>314732.0</v>
      </c>
      <c r="BV15" s="14">
        <f>SUM('Plant Inputs'!BW27,'Plant Inputs'!BW33,'Plant Inputs'!BW39)</f>
        <v>124480517.0</v>
      </c>
      <c r="BW15" s="14">
        <f>SUM('Plant Inputs'!BX27,'Plant Inputs'!BX33,'Plant Inputs'!BX39)</f>
        <v>349230.0</v>
      </c>
      <c r="BX15" s="14">
        <f>SUM('Plant Inputs'!BY27,'Plant Inputs'!BY33,'Plant Inputs'!BY39)</f>
        <v>5713.0</v>
      </c>
      <c r="BY15" s="16">
        <v>52845</v>
      </c>
      <c r="BZ15" s="16">
        <v>40246.8</v>
      </c>
      <c r="CA15" s="16">
        <v>10200000</v>
      </c>
      <c r="CB15" s="16">
        <v>4214739.8</v>
      </c>
      <c r="CC15" s="16">
        <v>1174739.8</v>
      </c>
      <c r="CD15" s="16">
        <v>431783.2</v>
      </c>
      <c r="CE15" s="16">
        <v>31920</v>
      </c>
      <c r="CF15" s="16">
        <v>405067.9</v>
      </c>
      <c r="CG15" s="16">
        <v>1280130.3</v>
      </c>
      <c r="CH15" s="16">
        <v>195011.3</v>
      </c>
      <c r="CI15" s="16">
        <v>1173926.1</v>
      </c>
      <c r="CJ15" s="16">
        <v>1654275.7</v>
      </c>
      <c r="CK15" s="16">
        <v>1971156.1</v>
      </c>
      <c r="CL15" s="16">
        <v>1085692.7</v>
      </c>
      <c r="CM15" s="16">
        <v>1145104.1</v>
      </c>
      <c r="CN15" s="16">
        <v>2567.4</v>
      </c>
      <c r="CO15" s="16">
        <v>83215.8</v>
      </c>
      <c r="CP15" s="16">
        <v>83215.8</v>
      </c>
      <c r="CQ15" s="16">
        <v>355</v>
      </c>
      <c r="CR15" s="16">
        <v>16051</v>
      </c>
      <c r="CS15" s="16">
        <v>15975</v>
      </c>
      <c r="CT15" s="16">
        <v>1</v>
      </c>
      <c r="CU15" s="16">
        <v>1172252.9</v>
      </c>
      <c r="CV15" s="16">
        <v>1179902.4</v>
      </c>
      <c r="CW15" s="16">
        <v>182427</v>
      </c>
      <c r="CX15" s="16">
        <v>2999569.4</v>
      </c>
      <c r="CY15" s="16">
        <v>2303674.3</v>
      </c>
      <c r="CZ15" s="16">
        <v>330230.9</v>
      </c>
      <c r="DA15" s="16">
        <v>231774.8</v>
      </c>
      <c r="DB15" s="16">
        <v>259974.1</v>
      </c>
      <c r="DC15" s="16">
        <v>191082.1</v>
      </c>
      <c r="DD15" s="16">
        <v>4370.6</v>
      </c>
      <c r="DE15" s="16">
        <v>4752.9</v>
      </c>
      <c r="DF15" s="16">
        <v>1953973.8</v>
      </c>
      <c r="DG15" s="16">
        <v>1193687.3</v>
      </c>
      <c r="DH15" s="16">
        <v>860000</v>
      </c>
      <c r="DI15" s="16">
        <v>625104.2</v>
      </c>
      <c r="DJ15" s="16">
        <v>65703.7</v>
      </c>
      <c r="DK15" s="16">
        <v>541800</v>
      </c>
      <c r="DL15" s="16">
        <v>127233</v>
      </c>
      <c r="DM15" s="16">
        <v>4</v>
      </c>
      <c r="DN15" s="16">
        <v>1</v>
      </c>
      <c r="DO15" s="16">
        <v>0</v>
      </c>
      <c r="DP15" s="16">
        <v>1</v>
      </c>
      <c r="DQ15" s="16">
        <v>7</v>
      </c>
      <c r="DR15" s="16">
        <v>9</v>
      </c>
      <c r="DS15" s="16">
        <v>10</v>
      </c>
      <c r="DT15" s="16">
        <v>4</v>
      </c>
      <c r="DU15" s="16">
        <v>2</v>
      </c>
      <c r="DV15" s="16">
        <v>64</v>
      </c>
      <c r="DW15" s="16">
        <v>35</v>
      </c>
      <c r="DX15" s="16">
        <v>9329.9</v>
      </c>
      <c r="DY15" s="16">
        <v>3492</v>
      </c>
      <c r="DZ15" s="16">
        <v>1271.7</v>
      </c>
      <c r="EA15" s="16">
        <v>1040.2</v>
      </c>
      <c r="EB15" s="16">
        <v>1241.7</v>
      </c>
      <c r="EC15" s="16">
        <v>68</v>
      </c>
      <c r="ED15" s="16">
        <v>65</v>
      </c>
      <c r="EE15" s="16">
        <v>2</v>
      </c>
      <c r="EF15" s="16">
        <v>0</v>
      </c>
      <c r="EG15" s="16">
        <v>1</v>
      </c>
      <c r="EH15" s="16">
        <v>1</v>
      </c>
      <c r="EI15" s="16">
        <v>0</v>
      </c>
      <c r="EJ15" s="16">
        <v>0</v>
      </c>
      <c r="EK15" s="16">
        <v>0</v>
      </c>
      <c r="EL15" s="16">
        <v>0</v>
      </c>
      <c r="EM15" s="16">
        <v>0</v>
      </c>
      <c r="EN15" s="16">
        <v>0</v>
      </c>
      <c r="EO15" s="16">
        <v>0</v>
      </c>
      <c r="EP15" s="16">
        <v>0</v>
      </c>
      <c r="EQ15" s="16">
        <v>2</v>
      </c>
      <c r="ER15" s="16">
        <v>1</v>
      </c>
      <c r="ES15" s="16">
        <v>0</v>
      </c>
      <c r="ET15" s="16">
        <v>0</v>
      </c>
      <c r="EU15" s="16">
        <v>5</v>
      </c>
      <c r="EV15" s="16">
        <v>0</v>
      </c>
      <c r="EW15" s="16">
        <v>1</v>
      </c>
      <c r="EX15" s="16">
        <v>1</v>
      </c>
      <c r="EY15" s="16">
        <v>58</v>
      </c>
      <c r="EZ15" s="16">
        <v>52</v>
      </c>
      <c r="FA15" s="16">
        <v>2</v>
      </c>
      <c r="FB15" s="16">
        <v>78</v>
      </c>
      <c r="FC15" s="16">
        <v>28</v>
      </c>
      <c r="FD15" s="16">
        <v>24</v>
      </c>
      <c r="FE15" s="16">
        <v>26</v>
      </c>
      <c r="FF15" s="16">
        <v>2</v>
      </c>
      <c r="FG15" s="16">
        <v>0</v>
      </c>
      <c r="FH15" s="16">
        <v>0</v>
      </c>
      <c r="FI15" s="16">
        <v>504265</v>
      </c>
      <c r="FJ15" s="16">
        <v>499753</v>
      </c>
      <c r="FK15" s="16">
        <v>420</v>
      </c>
      <c r="FL15" s="16">
        <v>410</v>
      </c>
      <c r="FM15" s="16">
        <v>0</v>
      </c>
      <c r="FN15" s="16">
        <v>1</v>
      </c>
      <c r="FO15" s="16">
        <v>0</v>
      </c>
      <c r="FP15" s="16">
        <v>5</v>
      </c>
      <c r="FQ15" s="16">
        <v>10.3</v>
      </c>
      <c r="FR15" s="16">
        <v>8</v>
      </c>
      <c r="FS15" s="16">
        <v>0</v>
      </c>
      <c r="FT15" s="16">
        <v>1</v>
      </c>
      <c r="FU15" s="16">
        <v>1</v>
      </c>
    </row>
  </sheetData>
  <autoFilter ref="A3:FU15"/>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Y39"/>
  <sheetViews>
    <sheetView workbookViewId="0">
      <pane xSplit="4" ySplit="3" topLeftCell="E4" activePane="bottomRight" state="frozen"/>
      <selection pane="topRight" activeCell="E1" sqref="E1"/>
      <selection pane="bottomLeft" activeCell="A4" sqref="A4"/>
      <selection pane="bottomRight"/>
    </sheetView>
  </sheetViews>
  <sheetFormatPr defaultRowHeight="15"/>
  <cols>
    <col min="1" max="4" width="10.7109375" customWidth="1"/>
    <col min="5" max="77" width="15.7109375" customWidth="1"/>
  </cols>
  <sheetData>
    <row r="1" spans="1:77" ht="48" customHeight="1">
      <c r="A1" s="9" t="s">
        <v>15</v>
      </c>
      <c r="B1" s="9" t="s">
        <v>17</v>
      </c>
      <c r="C1" s="9" t="s">
        <v>19</v>
      </c>
      <c r="D1" s="9" t="s">
        <v>21</v>
      </c>
      <c r="E1" s="9" t="s">
        <v>23</v>
      </c>
      <c r="F1" s="9" t="s">
        <v>26</v>
      </c>
      <c r="G1" s="9" t="s">
        <v>28</v>
      </c>
      <c r="H1" s="9" t="s">
        <v>30</v>
      </c>
      <c r="I1" s="9" t="s">
        <v>32</v>
      </c>
      <c r="J1" s="9" t="s">
        <v>34</v>
      </c>
      <c r="K1" s="9" t="s">
        <v>36</v>
      </c>
      <c r="L1" s="9" t="s">
        <v>38</v>
      </c>
      <c r="M1" s="9" t="s">
        <v>40</v>
      </c>
      <c r="N1" s="9" t="s">
        <v>42</v>
      </c>
      <c r="O1" s="9" t="s">
        <v>44</v>
      </c>
      <c r="P1" s="9" t="s">
        <v>46</v>
      </c>
      <c r="Q1" s="9" t="s">
        <v>48</v>
      </c>
      <c r="R1" s="9" t="s">
        <v>50</v>
      </c>
      <c r="S1" s="9" t="s">
        <v>52</v>
      </c>
      <c r="T1" s="9" t="s">
        <v>54</v>
      </c>
      <c r="U1" s="9" t="s">
        <v>56</v>
      </c>
      <c r="V1" s="9" t="s">
        <v>58</v>
      </c>
      <c r="W1" s="9" t="s">
        <v>60</v>
      </c>
      <c r="X1" s="9" t="s">
        <v>62</v>
      </c>
      <c r="Y1" s="9" t="s">
        <v>64</v>
      </c>
      <c r="Z1" s="9" t="s">
        <v>66</v>
      </c>
      <c r="AA1" s="9" t="s">
        <v>68</v>
      </c>
      <c r="AB1" s="9" t="s">
        <v>70</v>
      </c>
      <c r="AC1" s="9" t="s">
        <v>72</v>
      </c>
      <c r="AD1" s="9" t="s">
        <v>74</v>
      </c>
      <c r="AE1" s="9" t="s">
        <v>76</v>
      </c>
      <c r="AF1" s="9" t="s">
        <v>78</v>
      </c>
      <c r="AG1" s="9" t="s">
        <v>80</v>
      </c>
      <c r="AH1" s="9" t="s">
        <v>82</v>
      </c>
      <c r="AI1" s="9" t="s">
        <v>84</v>
      </c>
      <c r="AJ1" s="9" t="s">
        <v>86</v>
      </c>
      <c r="AK1" s="9" t="s">
        <v>88</v>
      </c>
      <c r="AL1" s="9" t="s">
        <v>90</v>
      </c>
      <c r="AM1" s="9" t="s">
        <v>92</v>
      </c>
      <c r="AN1" s="9" t="s">
        <v>94</v>
      </c>
      <c r="AO1" s="9" t="s">
        <v>96</v>
      </c>
      <c r="AP1" s="9" t="s">
        <v>98</v>
      </c>
      <c r="AQ1" s="9" t="s">
        <v>100</v>
      </c>
      <c r="AR1" s="9" t="s">
        <v>102</v>
      </c>
      <c r="AS1" s="9" t="s">
        <v>104</v>
      </c>
      <c r="AT1" s="9" t="s">
        <v>106</v>
      </c>
      <c r="AU1" s="9" t="s">
        <v>108</v>
      </c>
      <c r="AV1" s="9" t="s">
        <v>110</v>
      </c>
      <c r="AW1" s="9" t="s">
        <v>112</v>
      </c>
      <c r="AX1" s="9" t="s">
        <v>114</v>
      </c>
      <c r="AY1" s="9" t="s">
        <v>116</v>
      </c>
      <c r="AZ1" s="9" t="s">
        <v>118</v>
      </c>
      <c r="BA1" s="9" t="s">
        <v>120</v>
      </c>
      <c r="BB1" s="9" t="s">
        <v>122</v>
      </c>
      <c r="BC1" s="9" t="s">
        <v>124</v>
      </c>
      <c r="BD1" s="9" t="s">
        <v>126</v>
      </c>
      <c r="BE1" s="9" t="s">
        <v>128</v>
      </c>
      <c r="BF1" s="9" t="s">
        <v>130</v>
      </c>
      <c r="BG1" s="9" t="s">
        <v>132</v>
      </c>
      <c r="BH1" s="9" t="s">
        <v>134</v>
      </c>
      <c r="BI1" s="9" t="s">
        <v>136</v>
      </c>
      <c r="BJ1" s="9" t="s">
        <v>138</v>
      </c>
      <c r="BK1" s="9" t="s">
        <v>140</v>
      </c>
      <c r="BL1" s="9" t="s">
        <v>142</v>
      </c>
      <c r="BM1" s="9" t="s">
        <v>144</v>
      </c>
      <c r="BN1" s="9" t="s">
        <v>146</v>
      </c>
      <c r="BO1" s="9" t="s">
        <v>148</v>
      </c>
      <c r="BP1" s="9" t="s">
        <v>150</v>
      </c>
      <c r="BQ1" s="9" t="s">
        <v>152</v>
      </c>
      <c r="BR1" s="9" t="s">
        <v>154</v>
      </c>
      <c r="BS1" s="9" t="s">
        <v>156</v>
      </c>
      <c r="BT1" s="9" t="s">
        <v>158</v>
      </c>
      <c r="BU1" s="9" t="s">
        <v>160</v>
      </c>
      <c r="BV1" s="9" t="s">
        <v>162</v>
      </c>
      <c r="BW1" s="9" t="s">
        <v>164</v>
      </c>
      <c r="BX1" s="9" t="s">
        <v>166</v>
      </c>
      <c r="BY1" s="9" t="s">
        <v>168</v>
      </c>
    </row>
    <row r="2" spans="1:77">
      <c r="A2" s="11" t="s">
        <v>16</v>
      </c>
      <c r="B2" s="11" t="s">
        <v>18</v>
      </c>
      <c r="C2" s="11" t="s">
        <v>20</v>
      </c>
      <c r="D2" s="11" t="s">
        <v>22</v>
      </c>
      <c r="E2" s="11" t="s">
        <v>24</v>
      </c>
      <c r="F2" s="11" t="s">
        <v>27</v>
      </c>
      <c r="G2" s="11" t="s">
        <v>29</v>
      </c>
      <c r="H2" s="11" t="s">
        <v>31</v>
      </c>
      <c r="I2" s="11" t="s">
        <v>33</v>
      </c>
      <c r="J2" s="11" t="s">
        <v>35</v>
      </c>
      <c r="K2" s="11" t="s">
        <v>37</v>
      </c>
      <c r="L2" s="11" t="s">
        <v>39</v>
      </c>
      <c r="M2" s="11" t="s">
        <v>41</v>
      </c>
      <c r="N2" s="11" t="s">
        <v>43</v>
      </c>
      <c r="O2" s="11" t="s">
        <v>45</v>
      </c>
      <c r="P2" s="11" t="s">
        <v>47</v>
      </c>
      <c r="Q2" s="11" t="s">
        <v>49</v>
      </c>
      <c r="R2" s="11" t="s">
        <v>51</v>
      </c>
      <c r="S2" s="11" t="s">
        <v>53</v>
      </c>
      <c r="T2" s="11" t="s">
        <v>55</v>
      </c>
      <c r="U2" s="11" t="s">
        <v>57</v>
      </c>
      <c r="V2" s="11" t="s">
        <v>59</v>
      </c>
      <c r="W2" s="11" t="s">
        <v>61</v>
      </c>
      <c r="X2" s="11" t="s">
        <v>63</v>
      </c>
      <c r="Y2" s="11" t="s">
        <v>65</v>
      </c>
      <c r="Z2" s="11" t="s">
        <v>67</v>
      </c>
      <c r="AA2" s="11" t="s">
        <v>69</v>
      </c>
      <c r="AB2" s="11" t="s">
        <v>71</v>
      </c>
      <c r="AC2" s="11" t="s">
        <v>73</v>
      </c>
      <c r="AD2" s="11" t="s">
        <v>75</v>
      </c>
      <c r="AE2" s="11" t="s">
        <v>77</v>
      </c>
      <c r="AF2" s="11" t="s">
        <v>79</v>
      </c>
      <c r="AG2" s="11" t="s">
        <v>81</v>
      </c>
      <c r="AH2" s="11" t="s">
        <v>83</v>
      </c>
      <c r="AI2" s="11" t="s">
        <v>85</v>
      </c>
      <c r="AJ2" s="11" t="s">
        <v>87</v>
      </c>
      <c r="AK2" s="11" t="s">
        <v>89</v>
      </c>
      <c r="AL2" s="11" t="s">
        <v>91</v>
      </c>
      <c r="AM2" s="11" t="s">
        <v>93</v>
      </c>
      <c r="AN2" s="11" t="s">
        <v>95</v>
      </c>
      <c r="AO2" s="11" t="s">
        <v>97</v>
      </c>
      <c r="AP2" s="11" t="s">
        <v>99</v>
      </c>
      <c r="AQ2" s="11" t="s">
        <v>101</v>
      </c>
      <c r="AR2" s="11" t="s">
        <v>103</v>
      </c>
      <c r="AS2" s="11" t="s">
        <v>105</v>
      </c>
      <c r="AT2" s="11" t="s">
        <v>107</v>
      </c>
      <c r="AU2" s="11" t="s">
        <v>109</v>
      </c>
      <c r="AV2" s="11" t="s">
        <v>111</v>
      </c>
      <c r="AW2" s="11" t="s">
        <v>113</v>
      </c>
      <c r="AX2" s="11" t="s">
        <v>115</v>
      </c>
      <c r="AY2" s="11" t="s">
        <v>117</v>
      </c>
      <c r="AZ2" s="11" t="s">
        <v>119</v>
      </c>
      <c r="BA2" s="11" t="s">
        <v>121</v>
      </c>
      <c r="BB2" s="11" t="s">
        <v>123</v>
      </c>
      <c r="BC2" s="11" t="s">
        <v>125</v>
      </c>
      <c r="BD2" s="11" t="s">
        <v>127</v>
      </c>
      <c r="BE2" s="11" t="s">
        <v>129</v>
      </c>
      <c r="BF2" s="11" t="s">
        <v>131</v>
      </c>
      <c r="BG2" s="11" t="s">
        <v>133</v>
      </c>
      <c r="BH2" s="11" t="s">
        <v>135</v>
      </c>
      <c r="BI2" s="11" t="s">
        <v>137</v>
      </c>
      <c r="BJ2" s="11" t="s">
        <v>139</v>
      </c>
      <c r="BK2" s="11" t="s">
        <v>141</v>
      </c>
      <c r="BL2" s="11" t="s">
        <v>143</v>
      </c>
      <c r="BM2" s="11" t="s">
        <v>145</v>
      </c>
      <c r="BN2" s="11" t="s">
        <v>147</v>
      </c>
      <c r="BO2" s="11" t="s">
        <v>149</v>
      </c>
      <c r="BP2" s="11" t="s">
        <v>151</v>
      </c>
      <c r="BQ2" s="11" t="s">
        <v>153</v>
      </c>
      <c r="BR2" s="11" t="s">
        <v>155</v>
      </c>
      <c r="BS2" s="11" t="s">
        <v>157</v>
      </c>
      <c r="BT2" s="11" t="s">
        <v>159</v>
      </c>
      <c r="BU2" s="11" t="s">
        <v>161</v>
      </c>
      <c r="BV2" s="11" t="s">
        <v>163</v>
      </c>
      <c r="BW2" s="11" t="s">
        <v>165</v>
      </c>
      <c r="BX2" s="11" t="s">
        <v>167</v>
      </c>
      <c r="BY2" s="11" t="s">
        <v>169</v>
      </c>
    </row>
    <row r="3" spans="1:77">
      <c r="A3" s="9"/>
      <c r="B3" s="9"/>
      <c r="C3" s="9"/>
      <c r="D3" s="9"/>
      <c r="E3" s="9" t="s">
        <v>25</v>
      </c>
      <c r="F3" s="9" t="s">
        <v>25</v>
      </c>
      <c r="G3" s="9" t="s">
        <v>25</v>
      </c>
      <c r="H3" s="9" t="s">
        <v>25</v>
      </c>
      <c r="I3" s="9" t="s">
        <v>25</v>
      </c>
      <c r="J3" s="9" t="s">
        <v>25</v>
      </c>
      <c r="K3" s="9" t="s">
        <v>25</v>
      </c>
      <c r="L3" s="9" t="s">
        <v>25</v>
      </c>
      <c r="M3" s="9" t="s">
        <v>25</v>
      </c>
      <c r="N3" s="9" t="s">
        <v>25</v>
      </c>
      <c r="O3" s="9" t="s">
        <v>25</v>
      </c>
      <c r="P3" s="9" t="s">
        <v>25</v>
      </c>
      <c r="Q3" s="9" t="s">
        <v>25</v>
      </c>
      <c r="R3" s="9" t="s">
        <v>25</v>
      </c>
      <c r="S3" s="9" t="s">
        <v>25</v>
      </c>
      <c r="T3" s="9" t="s">
        <v>25</v>
      </c>
      <c r="U3" s="9" t="s">
        <v>25</v>
      </c>
      <c r="V3" s="9" t="s">
        <v>25</v>
      </c>
      <c r="W3" s="9" t="s">
        <v>25</v>
      </c>
      <c r="X3" s="9" t="s">
        <v>25</v>
      </c>
      <c r="Y3" s="9" t="s">
        <v>25</v>
      </c>
      <c r="Z3" s="9" t="s">
        <v>25</v>
      </c>
      <c r="AA3" s="9" t="s">
        <v>25</v>
      </c>
      <c r="AB3" s="9" t="s">
        <v>25</v>
      </c>
      <c r="AC3" s="9" t="s">
        <v>25</v>
      </c>
      <c r="AD3" s="9" t="s">
        <v>25</v>
      </c>
      <c r="AE3" s="9" t="s">
        <v>25</v>
      </c>
      <c r="AF3" s="9" t="s">
        <v>25</v>
      </c>
      <c r="AG3" s="9" t="s">
        <v>25</v>
      </c>
      <c r="AH3" s="9" t="s">
        <v>25</v>
      </c>
      <c r="AI3" s="9" t="s">
        <v>25</v>
      </c>
      <c r="AJ3" s="9" t="s">
        <v>25</v>
      </c>
      <c r="AK3" s="9" t="s">
        <v>25</v>
      </c>
      <c r="AL3" s="9" t="s">
        <v>25</v>
      </c>
      <c r="AM3" s="9" t="s">
        <v>25</v>
      </c>
      <c r="AN3" s="9" t="s">
        <v>25</v>
      </c>
      <c r="AO3" s="9" t="s">
        <v>25</v>
      </c>
      <c r="AP3" s="9" t="s">
        <v>25</v>
      </c>
      <c r="AQ3" s="9" t="s">
        <v>25</v>
      </c>
      <c r="AR3" s="9" t="s">
        <v>25</v>
      </c>
      <c r="AS3" s="9" t="s">
        <v>25</v>
      </c>
      <c r="AT3" s="9" t="s">
        <v>25</v>
      </c>
      <c r="AU3" s="9" t="s">
        <v>25</v>
      </c>
      <c r="AV3" s="9" t="s">
        <v>25</v>
      </c>
      <c r="AW3" s="9" t="s">
        <v>25</v>
      </c>
      <c r="AX3" s="9" t="s">
        <v>25</v>
      </c>
      <c r="AY3" s="9" t="s">
        <v>25</v>
      </c>
      <c r="AZ3" s="9" t="s">
        <v>25</v>
      </c>
      <c r="BA3" s="9" t="s">
        <v>25</v>
      </c>
      <c r="BB3" s="9" t="s">
        <v>25</v>
      </c>
      <c r="BC3" s="9" t="s">
        <v>25</v>
      </c>
      <c r="BD3" s="9" t="s">
        <v>25</v>
      </c>
      <c r="BE3" s="9" t="s">
        <v>25</v>
      </c>
      <c r="BF3" s="9" t="s">
        <v>25</v>
      </c>
      <c r="BG3" s="9" t="s">
        <v>25</v>
      </c>
      <c r="BH3" s="9" t="s">
        <v>25</v>
      </c>
      <c r="BI3" s="9" t="s">
        <v>25</v>
      </c>
      <c r="BJ3" s="9" t="s">
        <v>25</v>
      </c>
      <c r="BK3" s="9" t="s">
        <v>25</v>
      </c>
      <c r="BL3" s="9" t="s">
        <v>25</v>
      </c>
      <c r="BM3" s="9" t="s">
        <v>25</v>
      </c>
      <c r="BN3" s="9" t="s">
        <v>25</v>
      </c>
      <c r="BO3" s="9" t="s">
        <v>25</v>
      </c>
      <c r="BP3" s="9" t="s">
        <v>25</v>
      </c>
      <c r="BQ3" s="9" t="s">
        <v>25</v>
      </c>
      <c r="BR3" s="9" t="s">
        <v>25</v>
      </c>
      <c r="BS3" s="9" t="s">
        <v>25</v>
      </c>
      <c r="BT3" s="9" t="s">
        <v>25</v>
      </c>
      <c r="BU3" s="9" t="s">
        <v>25</v>
      </c>
      <c r="BV3" s="9" t="s">
        <v>25</v>
      </c>
      <c r="BW3" s="9" t="s">
        <v>25</v>
      </c>
      <c r="BX3" s="9" t="s">
        <v>25</v>
      </c>
      <c r="BY3" s="9" t="s">
        <v>25</v>
      </c>
    </row>
    <row r="4" spans="1:77">
      <c r="A4" s="17" t="s">
        <v>15</v>
      </c>
      <c r="B4" s="17" t="s">
        <v>170</v>
      </c>
      <c r="C4" s="17" t="s">
        <v>171</v>
      </c>
      <c r="D4" s="17" t="s">
        <v>172</v>
      </c>
      <c r="E4" s="17">
        <v>137.1</v>
      </c>
      <c r="F4" s="17">
        <v>720</v>
      </c>
      <c r="G4" s="17">
        <v>714</v>
      </c>
      <c r="H4" s="17">
        <v>692.3</v>
      </c>
      <c r="I4" s="17">
        <v>13.3</v>
      </c>
      <c r="J4" s="17">
        <v>97889</v>
      </c>
      <c r="K4" s="17">
        <v>98712</v>
      </c>
      <c r="L4" s="17">
        <v>88515</v>
      </c>
      <c r="M4" s="17">
        <v>89648</v>
      </c>
      <c r="N4" s="17">
        <v>87087</v>
      </c>
      <c r="O4" s="17">
        <v>95600</v>
      </c>
      <c r="P4" s="17">
        <v>19579</v>
      </c>
      <c r="Q4" s="17">
        <v>17553</v>
      </c>
      <c r="R4" s="17">
        <v>1823</v>
      </c>
      <c r="S4" s="17">
        <v>2</v>
      </c>
      <c r="T4" s="17">
        <v>7.1</v>
      </c>
      <c r="U4" s="17">
        <v>37</v>
      </c>
      <c r="V4" s="17">
        <v>36</v>
      </c>
      <c r="W4" s="17">
        <v>251985.8</v>
      </c>
      <c r="X4" s="17">
        <v>62832</v>
      </c>
      <c r="Y4" s="17">
        <v>1091.7</v>
      </c>
      <c r="Z4" s="17">
        <v>167244</v>
      </c>
      <c r="AA4" s="17">
        <v>61316</v>
      </c>
      <c r="AB4" s="17">
        <v>311042</v>
      </c>
      <c r="AC4" s="17">
        <v>3223</v>
      </c>
      <c r="AD4" s="17">
        <v>1</v>
      </c>
      <c r="AE4" s="17">
        <v>79000</v>
      </c>
      <c r="AF4" s="17">
        <v>0</v>
      </c>
      <c r="AG4" s="17">
        <v>1</v>
      </c>
      <c r="AH4" s="17">
        <v>10</v>
      </c>
      <c r="AI4" s="17">
        <v>0</v>
      </c>
      <c r="AJ4" s="17">
        <v>0</v>
      </c>
      <c r="AK4" s="17">
        <v>0</v>
      </c>
      <c r="AL4" s="17">
        <v>14</v>
      </c>
      <c r="AM4" s="17">
        <v>4</v>
      </c>
      <c r="AN4" s="17">
        <v>0</v>
      </c>
      <c r="AO4" s="17">
        <v>0</v>
      </c>
      <c r="AP4" s="17">
        <v>0</v>
      </c>
      <c r="AQ4" s="17">
        <v>158</v>
      </c>
      <c r="AR4" s="17">
        <v>9</v>
      </c>
      <c r="AS4" s="17">
        <v>311</v>
      </c>
      <c r="AT4" s="17">
        <v>87409</v>
      </c>
      <c r="AU4" s="17">
        <v>89254</v>
      </c>
      <c r="AV4" s="17">
        <v>329486.5</v>
      </c>
      <c r="AW4" s="17">
        <v>335595</v>
      </c>
      <c r="AX4" s="17">
        <v>15168.7</v>
      </c>
      <c r="AY4" s="17">
        <v>11886.3</v>
      </c>
      <c r="AZ4" s="17">
        <v>209</v>
      </c>
      <c r="BA4" s="17">
        <v>195</v>
      </c>
      <c r="BB4" s="17">
        <v>95742</v>
      </c>
      <c r="BC4" s="17">
        <v>92606</v>
      </c>
      <c r="BD4" s="17">
        <v>1350</v>
      </c>
      <c r="BE4" s="17">
        <v>588</v>
      </c>
      <c r="BF4" s="17">
        <v>583</v>
      </c>
      <c r="BG4" s="17">
        <v>131922.8</v>
      </c>
      <c r="BH4" s="17">
        <v>40636.9</v>
      </c>
      <c r="BI4" s="17">
        <v>0</v>
      </c>
      <c r="BJ4" s="17">
        <v>0</v>
      </c>
      <c r="BK4" s="17">
        <v>1</v>
      </c>
      <c r="BL4" s="17">
        <v>0</v>
      </c>
      <c r="BM4" s="17">
        <v>1</v>
      </c>
      <c r="BN4" s="17">
        <v>0</v>
      </c>
      <c r="BO4" s="17">
        <v>0</v>
      </c>
      <c r="BP4" s="17">
        <v>0</v>
      </c>
      <c r="BQ4" s="17">
        <v>0</v>
      </c>
      <c r="BR4" s="17">
        <v>0</v>
      </c>
      <c r="BS4" s="17">
        <v>0</v>
      </c>
      <c r="BT4" s="17">
        <v>99</v>
      </c>
      <c r="BU4" s="17">
        <v>87645</v>
      </c>
      <c r="BV4" s="17">
        <v>87637</v>
      </c>
      <c r="BW4" s="17">
        <v>24380601</v>
      </c>
      <c r="BX4" s="17">
        <v>97889</v>
      </c>
      <c r="BY4" s="17">
        <v>1620</v>
      </c>
    </row>
    <row r="5" spans="1:77">
      <c r="A5" s="17" t="s">
        <v>15</v>
      </c>
      <c r="B5" s="17" t="s">
        <v>170</v>
      </c>
      <c r="C5" s="17" t="s">
        <v>171</v>
      </c>
      <c r="D5" s="17" t="s">
        <v>173</v>
      </c>
      <c r="E5" s="17">
        <v>137.1</v>
      </c>
      <c r="F5" s="17">
        <v>744</v>
      </c>
      <c r="G5" s="17">
        <v>744</v>
      </c>
      <c r="H5" s="17">
        <v>702.5</v>
      </c>
      <c r="I5" s="17">
        <v>19.6</v>
      </c>
      <c r="J5" s="17">
        <v>102002</v>
      </c>
      <c r="K5" s="17">
        <v>102002</v>
      </c>
      <c r="L5" s="17">
        <v>88139</v>
      </c>
      <c r="M5" s="17">
        <v>84940</v>
      </c>
      <c r="N5" s="17">
        <v>80872</v>
      </c>
      <c r="O5" s="17">
        <v>86252</v>
      </c>
      <c r="P5" s="17">
        <v>17739</v>
      </c>
      <c r="Q5" s="17">
        <v>15002</v>
      </c>
      <c r="R5" s="17">
        <v>2687</v>
      </c>
      <c r="S5" s="17">
        <v>3</v>
      </c>
      <c r="T5" s="17">
        <v>15.5</v>
      </c>
      <c r="U5" s="17">
        <v>48</v>
      </c>
      <c r="V5" s="17">
        <v>47</v>
      </c>
      <c r="W5" s="17">
        <v>272778.7</v>
      </c>
      <c r="X5" s="17">
        <v>79959.60000000001</v>
      </c>
      <c r="Y5" s="17">
        <v>1465.4</v>
      </c>
      <c r="Z5" s="17">
        <v>205726</v>
      </c>
      <c r="AA5" s="17">
        <v>53724</v>
      </c>
      <c r="AB5" s="17">
        <v>252523</v>
      </c>
      <c r="AC5" s="17">
        <v>5217</v>
      </c>
      <c r="AD5" s="17">
        <v>1</v>
      </c>
      <c r="AE5" s="17">
        <v>66000</v>
      </c>
      <c r="AF5" s="17">
        <v>0</v>
      </c>
      <c r="AG5" s="17">
        <v>0</v>
      </c>
      <c r="AH5" s="17">
        <v>4</v>
      </c>
      <c r="AI5" s="17">
        <v>0</v>
      </c>
      <c r="AJ5" s="17">
        <v>0</v>
      </c>
      <c r="AK5" s="17">
        <v>0</v>
      </c>
      <c r="AL5" s="17">
        <v>11</v>
      </c>
      <c r="AM5" s="17">
        <v>2</v>
      </c>
      <c r="AN5" s="17">
        <v>3</v>
      </c>
      <c r="AO5" s="17">
        <v>3</v>
      </c>
      <c r="AP5" s="17">
        <v>0</v>
      </c>
      <c r="AQ5" s="17">
        <v>256</v>
      </c>
      <c r="AR5" s="17">
        <v>10</v>
      </c>
      <c r="AS5" s="17">
        <v>281</v>
      </c>
      <c r="AT5" s="17">
        <v>81067</v>
      </c>
      <c r="AU5" s="17">
        <v>87363</v>
      </c>
      <c r="AV5" s="17">
        <v>309234.4</v>
      </c>
      <c r="AW5" s="17">
        <v>328484.9</v>
      </c>
      <c r="AX5" s="17">
        <v>17277.2</v>
      </c>
      <c r="AY5" s="17">
        <v>11827.2</v>
      </c>
      <c r="AZ5" s="17">
        <v>166</v>
      </c>
      <c r="BA5" s="17">
        <v>151</v>
      </c>
      <c r="BB5" s="17">
        <v>85077</v>
      </c>
      <c r="BC5" s="17">
        <v>81619</v>
      </c>
      <c r="BD5" s="17">
        <v>587</v>
      </c>
      <c r="BE5" s="17">
        <v>868</v>
      </c>
      <c r="BF5" s="17">
        <v>870</v>
      </c>
      <c r="BG5" s="17">
        <v>150305.9</v>
      </c>
      <c r="BH5" s="17">
        <v>52546</v>
      </c>
      <c r="BI5" s="17">
        <v>0</v>
      </c>
      <c r="BJ5" s="17">
        <v>1</v>
      </c>
      <c r="BK5" s="17">
        <v>0</v>
      </c>
      <c r="BL5" s="17">
        <v>0</v>
      </c>
      <c r="BM5" s="17">
        <v>0</v>
      </c>
      <c r="BN5" s="17">
        <v>0</v>
      </c>
      <c r="BO5" s="17">
        <v>0</v>
      </c>
      <c r="BP5" s="17">
        <v>0</v>
      </c>
      <c r="BQ5" s="17">
        <v>0</v>
      </c>
      <c r="BR5" s="17">
        <v>0</v>
      </c>
      <c r="BS5" s="17">
        <v>0</v>
      </c>
      <c r="BT5" s="17">
        <v>99</v>
      </c>
      <c r="BU5" s="17">
        <v>89736</v>
      </c>
      <c r="BV5" s="17">
        <v>91812</v>
      </c>
      <c r="BW5" s="17">
        <v>30306703</v>
      </c>
      <c r="BX5" s="17">
        <v>102002</v>
      </c>
      <c r="BY5" s="17">
        <v>2913</v>
      </c>
    </row>
    <row r="6" spans="1:77">
      <c r="A6" s="17" t="s">
        <v>15</v>
      </c>
      <c r="B6" s="17" t="s">
        <v>170</v>
      </c>
      <c r="C6" s="17" t="s">
        <v>171</v>
      </c>
      <c r="D6" s="17" t="s">
        <v>174</v>
      </c>
      <c r="E6" s="17">
        <v>137.1</v>
      </c>
      <c r="F6" s="17">
        <v>720</v>
      </c>
      <c r="G6" s="17">
        <v>720</v>
      </c>
      <c r="H6" s="17">
        <v>681.5</v>
      </c>
      <c r="I6" s="17">
        <v>18.6</v>
      </c>
      <c r="J6" s="17">
        <v>98712</v>
      </c>
      <c r="K6" s="17">
        <v>98712</v>
      </c>
      <c r="L6" s="17">
        <v>88801</v>
      </c>
      <c r="M6" s="17">
        <v>84328</v>
      </c>
      <c r="N6" s="17">
        <v>81129</v>
      </c>
      <c r="O6" s="17">
        <v>86263</v>
      </c>
      <c r="P6" s="17">
        <v>18895</v>
      </c>
      <c r="Q6" s="17">
        <v>16380</v>
      </c>
      <c r="R6" s="17">
        <v>2550</v>
      </c>
      <c r="S6" s="17">
        <v>2</v>
      </c>
      <c r="T6" s="17">
        <v>14.7</v>
      </c>
      <c r="U6" s="17">
        <v>48</v>
      </c>
      <c r="V6" s="17">
        <v>45</v>
      </c>
      <c r="W6" s="17">
        <v>269800.1</v>
      </c>
      <c r="X6" s="17">
        <v>63241.6</v>
      </c>
      <c r="Y6" s="17">
        <v>1103.4</v>
      </c>
      <c r="Z6" s="17">
        <v>166424</v>
      </c>
      <c r="AA6" s="17">
        <v>60010</v>
      </c>
      <c r="AB6" s="17">
        <v>243788</v>
      </c>
      <c r="AC6" s="17">
        <v>7297</v>
      </c>
      <c r="AD6" s="17">
        <v>2</v>
      </c>
      <c r="AE6" s="17">
        <v>91000</v>
      </c>
      <c r="AF6" s="17">
        <v>1</v>
      </c>
      <c r="AG6" s="17">
        <v>0</v>
      </c>
      <c r="AH6" s="17">
        <v>10</v>
      </c>
      <c r="AI6" s="17">
        <v>0</v>
      </c>
      <c r="AJ6" s="17">
        <v>1</v>
      </c>
      <c r="AK6" s="17">
        <v>0</v>
      </c>
      <c r="AL6" s="17">
        <v>5</v>
      </c>
      <c r="AM6" s="17">
        <v>1</v>
      </c>
      <c r="AN6" s="17">
        <v>0</v>
      </c>
      <c r="AO6" s="17">
        <v>0</v>
      </c>
      <c r="AP6" s="17">
        <v>0</v>
      </c>
      <c r="AQ6" s="17">
        <v>148</v>
      </c>
      <c r="AR6" s="17">
        <v>11</v>
      </c>
      <c r="AS6" s="17">
        <v>251</v>
      </c>
      <c r="AT6" s="17">
        <v>78859</v>
      </c>
      <c r="AU6" s="17">
        <v>89179</v>
      </c>
      <c r="AV6" s="17">
        <v>300728.2</v>
      </c>
      <c r="AW6" s="17">
        <v>335313</v>
      </c>
      <c r="AX6" s="17">
        <v>16758.3</v>
      </c>
      <c r="AY6" s="17">
        <v>11531.2</v>
      </c>
      <c r="AZ6" s="17">
        <v>179</v>
      </c>
      <c r="BA6" s="17">
        <v>167</v>
      </c>
      <c r="BB6" s="17">
        <v>87881</v>
      </c>
      <c r="BC6" s="17">
        <v>85157</v>
      </c>
      <c r="BD6" s="17">
        <v>708</v>
      </c>
      <c r="BE6" s="17">
        <v>980</v>
      </c>
      <c r="BF6" s="17">
        <v>979</v>
      </c>
      <c r="BG6" s="17">
        <v>148313</v>
      </c>
      <c r="BH6" s="17">
        <v>46780.1</v>
      </c>
      <c r="BI6" s="17">
        <v>1</v>
      </c>
      <c r="BJ6" s="17">
        <v>0</v>
      </c>
      <c r="BK6" s="17">
        <v>0</v>
      </c>
      <c r="BL6" s="17">
        <v>0</v>
      </c>
      <c r="BM6" s="17">
        <v>1</v>
      </c>
      <c r="BN6" s="17">
        <v>0</v>
      </c>
      <c r="BO6" s="17">
        <v>0</v>
      </c>
      <c r="BP6" s="17">
        <v>0</v>
      </c>
      <c r="BQ6" s="17">
        <v>0</v>
      </c>
      <c r="BR6" s="17">
        <v>0</v>
      </c>
      <c r="BS6" s="17">
        <v>0</v>
      </c>
      <c r="BT6" s="17">
        <v>99</v>
      </c>
      <c r="BU6" s="17">
        <v>89319</v>
      </c>
      <c r="BV6" s="17">
        <v>90196</v>
      </c>
      <c r="BW6" s="17">
        <v>26705815</v>
      </c>
      <c r="BX6" s="17">
        <v>98712</v>
      </c>
      <c r="BY6" s="17">
        <v>2398</v>
      </c>
    </row>
    <row r="7" spans="1:77">
      <c r="A7" s="17" t="s">
        <v>15</v>
      </c>
      <c r="B7" s="17" t="s">
        <v>170</v>
      </c>
      <c r="C7" s="17" t="s">
        <v>171</v>
      </c>
      <c r="D7" s="17" t="s">
        <v>175</v>
      </c>
      <c r="E7" s="17">
        <v>137.1</v>
      </c>
      <c r="F7" s="17">
        <v>744</v>
      </c>
      <c r="G7" s="17">
        <v>741</v>
      </c>
      <c r="H7" s="17">
        <v>701.6</v>
      </c>
      <c r="I7" s="17">
        <v>27.2</v>
      </c>
      <c r="J7" s="17">
        <v>101591</v>
      </c>
      <c r="K7" s="17">
        <v>102002</v>
      </c>
      <c r="L7" s="17">
        <v>88152</v>
      </c>
      <c r="M7" s="17">
        <v>86711</v>
      </c>
      <c r="N7" s="17">
        <v>83254</v>
      </c>
      <c r="O7" s="17">
        <v>94209</v>
      </c>
      <c r="P7" s="17">
        <v>21264</v>
      </c>
      <c r="Q7" s="17">
        <v>19441</v>
      </c>
      <c r="R7" s="17">
        <v>3729</v>
      </c>
      <c r="S7" s="17">
        <v>4</v>
      </c>
      <c r="T7" s="17">
        <v>21.3</v>
      </c>
      <c r="U7" s="17">
        <v>55</v>
      </c>
      <c r="V7" s="17">
        <v>52</v>
      </c>
      <c r="W7" s="17">
        <v>221284.2</v>
      </c>
      <c r="X7" s="17">
        <v>64810.6</v>
      </c>
      <c r="Y7" s="17">
        <v>1144.9</v>
      </c>
      <c r="Z7" s="17">
        <v>180484</v>
      </c>
      <c r="AA7" s="17">
        <v>54600</v>
      </c>
      <c r="AB7" s="17">
        <v>243753</v>
      </c>
      <c r="AC7" s="17">
        <v>5312</v>
      </c>
      <c r="AD7" s="17">
        <v>0</v>
      </c>
      <c r="AE7" s="17">
        <v>76000</v>
      </c>
      <c r="AF7" s="17">
        <v>1</v>
      </c>
      <c r="AG7" s="17">
        <v>0</v>
      </c>
      <c r="AH7" s="17">
        <v>9</v>
      </c>
      <c r="AI7" s="17">
        <v>0</v>
      </c>
      <c r="AJ7" s="17">
        <v>1</v>
      </c>
      <c r="AK7" s="17">
        <v>0</v>
      </c>
      <c r="AL7" s="17">
        <v>4</v>
      </c>
      <c r="AM7" s="17">
        <v>1</v>
      </c>
      <c r="AN7" s="17">
        <v>3</v>
      </c>
      <c r="AO7" s="17">
        <v>3</v>
      </c>
      <c r="AP7" s="17">
        <v>1</v>
      </c>
      <c r="AQ7" s="17">
        <v>198</v>
      </c>
      <c r="AR7" s="17">
        <v>9</v>
      </c>
      <c r="AS7" s="17">
        <v>221</v>
      </c>
      <c r="AT7" s="17">
        <v>84466</v>
      </c>
      <c r="AU7" s="17">
        <v>87398</v>
      </c>
      <c r="AV7" s="17">
        <v>321422</v>
      </c>
      <c r="AW7" s="17">
        <v>328616.5</v>
      </c>
      <c r="AX7" s="17">
        <v>11354.6</v>
      </c>
      <c r="AY7" s="17">
        <v>11607.9</v>
      </c>
      <c r="AZ7" s="17">
        <v>300</v>
      </c>
      <c r="BA7" s="17">
        <v>281</v>
      </c>
      <c r="BB7" s="17">
        <v>96576</v>
      </c>
      <c r="BC7" s="17">
        <v>93033</v>
      </c>
      <c r="BD7" s="17">
        <v>1429</v>
      </c>
      <c r="BE7" s="17">
        <v>742</v>
      </c>
      <c r="BF7" s="17">
        <v>772</v>
      </c>
      <c r="BG7" s="17">
        <v>112971</v>
      </c>
      <c r="BH7" s="17">
        <v>43971.6</v>
      </c>
      <c r="BI7" s="17">
        <v>0</v>
      </c>
      <c r="BJ7" s="17">
        <v>0</v>
      </c>
      <c r="BK7" s="17">
        <v>0</v>
      </c>
      <c r="BL7" s="17">
        <v>0</v>
      </c>
      <c r="BM7" s="17">
        <v>0</v>
      </c>
      <c r="BN7" s="17">
        <v>0</v>
      </c>
      <c r="BO7" s="17">
        <v>1</v>
      </c>
      <c r="BP7" s="17">
        <v>0</v>
      </c>
      <c r="BQ7" s="17">
        <v>0</v>
      </c>
      <c r="BR7" s="17">
        <v>0</v>
      </c>
      <c r="BS7" s="17">
        <v>0</v>
      </c>
      <c r="BT7" s="17">
        <v>99</v>
      </c>
      <c r="BU7" s="17">
        <v>87292</v>
      </c>
      <c r="BV7" s="17">
        <v>87138</v>
      </c>
      <c r="BW7" s="17">
        <v>23937559</v>
      </c>
      <c r="BX7" s="17">
        <v>101591</v>
      </c>
      <c r="BY7" s="17">
        <v>3863</v>
      </c>
    </row>
    <row r="8" spans="1:77">
      <c r="A8" s="17" t="s">
        <v>15</v>
      </c>
      <c r="B8" s="17" t="s">
        <v>170</v>
      </c>
      <c r="C8" s="17" t="s">
        <v>171</v>
      </c>
      <c r="D8" s="17" t="s">
        <v>176</v>
      </c>
      <c r="E8" s="17">
        <v>137.1</v>
      </c>
      <c r="F8" s="17">
        <v>744</v>
      </c>
      <c r="G8" s="17">
        <v>744</v>
      </c>
      <c r="H8" s="17">
        <v>710.7</v>
      </c>
      <c r="I8" s="17">
        <v>19.1</v>
      </c>
      <c r="J8" s="17">
        <v>102002</v>
      </c>
      <c r="K8" s="17">
        <v>102002</v>
      </c>
      <c r="L8" s="17">
        <v>91424</v>
      </c>
      <c r="M8" s="17">
        <v>90032</v>
      </c>
      <c r="N8" s="17">
        <v>87527</v>
      </c>
      <c r="O8" s="17">
        <v>94670</v>
      </c>
      <c r="P8" s="17">
        <v>19426</v>
      </c>
      <c r="Q8" s="17">
        <v>17234</v>
      </c>
      <c r="R8" s="17">
        <v>2619</v>
      </c>
      <c r="S8" s="17">
        <v>2</v>
      </c>
      <c r="T8" s="17">
        <v>14</v>
      </c>
      <c r="U8" s="17">
        <v>32</v>
      </c>
      <c r="V8" s="17">
        <v>31</v>
      </c>
      <c r="W8" s="17">
        <v>268254.7</v>
      </c>
      <c r="X8" s="17">
        <v>78893.89999999999</v>
      </c>
      <c r="Y8" s="17">
        <v>1065.3</v>
      </c>
      <c r="Z8" s="17">
        <v>192091</v>
      </c>
      <c r="AA8" s="17">
        <v>54889</v>
      </c>
      <c r="AB8" s="17">
        <v>306311</v>
      </c>
      <c r="AC8" s="17">
        <v>1480</v>
      </c>
      <c r="AD8" s="17">
        <v>2</v>
      </c>
      <c r="AE8" s="17">
        <v>56000</v>
      </c>
      <c r="AF8" s="17">
        <v>1</v>
      </c>
      <c r="AG8" s="17">
        <v>0</v>
      </c>
      <c r="AH8" s="17">
        <v>6</v>
      </c>
      <c r="AI8" s="17">
        <v>0</v>
      </c>
      <c r="AJ8" s="17">
        <v>0</v>
      </c>
      <c r="AK8" s="17">
        <v>0</v>
      </c>
      <c r="AL8" s="17">
        <v>5</v>
      </c>
      <c r="AM8" s="17">
        <v>0</v>
      </c>
      <c r="AN8" s="17">
        <v>1</v>
      </c>
      <c r="AO8" s="17">
        <v>1</v>
      </c>
      <c r="AP8" s="17">
        <v>2</v>
      </c>
      <c r="AQ8" s="17">
        <v>121</v>
      </c>
      <c r="AR8" s="17">
        <v>10</v>
      </c>
      <c r="AS8" s="17">
        <v>191</v>
      </c>
      <c r="AT8" s="17">
        <v>86793</v>
      </c>
      <c r="AU8" s="17">
        <v>91102</v>
      </c>
      <c r="AV8" s="17">
        <v>330981.6</v>
      </c>
      <c r="AW8" s="17">
        <v>342543.5</v>
      </c>
      <c r="AX8" s="17">
        <v>16048.6</v>
      </c>
      <c r="AY8" s="17">
        <v>11694.1</v>
      </c>
      <c r="AZ8" s="17">
        <v>169</v>
      </c>
      <c r="BA8" s="17">
        <v>156</v>
      </c>
      <c r="BB8" s="17">
        <v>95196</v>
      </c>
      <c r="BC8" s="17">
        <v>92043</v>
      </c>
      <c r="BD8" s="17">
        <v>1181</v>
      </c>
      <c r="BE8" s="17">
        <v>868</v>
      </c>
      <c r="BF8" s="17">
        <v>855</v>
      </c>
      <c r="BG8" s="17">
        <v>154797</v>
      </c>
      <c r="BH8" s="17">
        <v>58229.3</v>
      </c>
      <c r="BI8" s="17">
        <v>0</v>
      </c>
      <c r="BJ8" s="17">
        <v>0</v>
      </c>
      <c r="BK8" s="17">
        <v>0</v>
      </c>
      <c r="BL8" s="17">
        <v>0</v>
      </c>
      <c r="BM8" s="17">
        <v>1</v>
      </c>
      <c r="BN8" s="17">
        <v>0</v>
      </c>
      <c r="BO8" s="17">
        <v>0</v>
      </c>
      <c r="BP8" s="17">
        <v>0</v>
      </c>
      <c r="BQ8" s="17">
        <v>0</v>
      </c>
      <c r="BR8" s="17">
        <v>0</v>
      </c>
      <c r="BS8" s="17">
        <v>0</v>
      </c>
      <c r="BT8" s="17">
        <v>99</v>
      </c>
      <c r="BU8" s="17">
        <v>92975</v>
      </c>
      <c r="BV8" s="17">
        <v>93639</v>
      </c>
      <c r="BW8" s="17">
        <v>35960460</v>
      </c>
      <c r="BX8" s="17">
        <v>102002</v>
      </c>
      <c r="BY8" s="17">
        <v>2699</v>
      </c>
    </row>
    <row r="9" spans="1:77">
      <c r="A9" s="17" t="s">
        <v>15</v>
      </c>
      <c r="B9" s="17" t="s">
        <v>170</v>
      </c>
      <c r="C9" s="17" t="s">
        <v>171</v>
      </c>
      <c r="D9" s="17" t="s">
        <v>177</v>
      </c>
      <c r="E9" s="17">
        <v>137.1</v>
      </c>
      <c r="F9" s="17">
        <v>720</v>
      </c>
      <c r="G9" s="17">
        <v>711</v>
      </c>
      <c r="H9" s="17">
        <v>664.5</v>
      </c>
      <c r="I9" s="17">
        <v>30.2</v>
      </c>
      <c r="J9" s="17">
        <v>97478</v>
      </c>
      <c r="K9" s="17">
        <v>98712</v>
      </c>
      <c r="L9" s="17">
        <v>85234</v>
      </c>
      <c r="M9" s="17">
        <v>84182</v>
      </c>
      <c r="N9" s="17">
        <v>81854</v>
      </c>
      <c r="O9" s="17">
        <v>89479</v>
      </c>
      <c r="P9" s="17">
        <v>19996</v>
      </c>
      <c r="Q9" s="17">
        <v>18334</v>
      </c>
      <c r="R9" s="17">
        <v>4140</v>
      </c>
      <c r="S9" s="17">
        <v>4</v>
      </c>
      <c r="T9" s="17">
        <v>21.6</v>
      </c>
      <c r="U9" s="17">
        <v>46</v>
      </c>
      <c r="V9" s="17">
        <v>43</v>
      </c>
      <c r="W9" s="17">
        <v>226098.2</v>
      </c>
      <c r="X9" s="17">
        <v>50616</v>
      </c>
      <c r="Y9" s="17">
        <v>1375.5</v>
      </c>
      <c r="Z9" s="17">
        <v>148807</v>
      </c>
      <c r="AA9" s="17">
        <v>59115</v>
      </c>
      <c r="AB9" s="17">
        <v>289576</v>
      </c>
      <c r="AC9" s="17">
        <v>3669</v>
      </c>
      <c r="AD9" s="17">
        <v>0</v>
      </c>
      <c r="AE9" s="17">
        <v>55000</v>
      </c>
      <c r="AF9" s="17">
        <v>0</v>
      </c>
      <c r="AG9" s="17">
        <v>1</v>
      </c>
      <c r="AH9" s="17">
        <v>9</v>
      </c>
      <c r="AI9" s="17">
        <v>0</v>
      </c>
      <c r="AJ9" s="17">
        <v>0</v>
      </c>
      <c r="AK9" s="17">
        <v>0</v>
      </c>
      <c r="AL9" s="17">
        <v>14</v>
      </c>
      <c r="AM9" s="17">
        <v>4</v>
      </c>
      <c r="AN9" s="17">
        <v>2</v>
      </c>
      <c r="AO9" s="17">
        <v>2</v>
      </c>
      <c r="AP9" s="17">
        <v>2</v>
      </c>
      <c r="AQ9" s="17">
        <v>120</v>
      </c>
      <c r="AR9" s="17">
        <v>9</v>
      </c>
      <c r="AS9" s="17">
        <v>161</v>
      </c>
      <c r="AT9" s="17">
        <v>79865</v>
      </c>
      <c r="AU9" s="17">
        <v>86061</v>
      </c>
      <c r="AV9" s="17">
        <v>300900.3</v>
      </c>
      <c r="AW9" s="17">
        <v>323589.4</v>
      </c>
      <c r="AX9" s="17">
        <v>13488.8</v>
      </c>
      <c r="AY9" s="17">
        <v>11990.8</v>
      </c>
      <c r="AZ9" s="17">
        <v>151</v>
      </c>
      <c r="BA9" s="17">
        <v>140</v>
      </c>
      <c r="BB9" s="17">
        <v>89804</v>
      </c>
      <c r="BC9" s="17">
        <v>86335</v>
      </c>
      <c r="BD9" s="17">
        <v>1211</v>
      </c>
      <c r="BE9" s="17">
        <v>644</v>
      </c>
      <c r="BF9" s="17">
        <v>676</v>
      </c>
      <c r="BG9" s="17">
        <v>116619.5</v>
      </c>
      <c r="BH9" s="17">
        <v>35125</v>
      </c>
      <c r="BI9" s="17">
        <v>1</v>
      </c>
      <c r="BJ9" s="17">
        <v>0</v>
      </c>
      <c r="BK9" s="17">
        <v>1</v>
      </c>
      <c r="BL9" s="17">
        <v>0</v>
      </c>
      <c r="BM9" s="17">
        <v>0</v>
      </c>
      <c r="BN9" s="17">
        <v>0</v>
      </c>
      <c r="BO9" s="17">
        <v>0</v>
      </c>
      <c r="BP9" s="17">
        <v>0</v>
      </c>
      <c r="BQ9" s="17">
        <v>0</v>
      </c>
      <c r="BR9" s="17">
        <v>0</v>
      </c>
      <c r="BS9" s="17">
        <v>0</v>
      </c>
      <c r="BT9" s="17">
        <v>99</v>
      </c>
      <c r="BU9" s="17">
        <v>85101</v>
      </c>
      <c r="BV9" s="17">
        <v>86567</v>
      </c>
      <c r="BW9" s="17">
        <v>26609951</v>
      </c>
      <c r="BX9" s="17">
        <v>97478</v>
      </c>
      <c r="BY9" s="17">
        <v>4173</v>
      </c>
    </row>
    <row r="10" spans="1:77">
      <c r="A10" s="17" t="s">
        <v>15</v>
      </c>
      <c r="B10" s="17" t="s">
        <v>170</v>
      </c>
      <c r="C10" s="17" t="s">
        <v>178</v>
      </c>
      <c r="D10" s="17" t="s">
        <v>172</v>
      </c>
      <c r="E10" s="17">
        <v>188.9</v>
      </c>
      <c r="F10" s="17">
        <v>720</v>
      </c>
      <c r="G10" s="17">
        <v>718</v>
      </c>
      <c r="H10" s="17">
        <v>675.1</v>
      </c>
      <c r="I10" s="17">
        <v>31</v>
      </c>
      <c r="J10" s="17">
        <v>135630</v>
      </c>
      <c r="K10" s="17">
        <v>136008</v>
      </c>
      <c r="L10" s="17">
        <v>117160</v>
      </c>
      <c r="M10" s="17">
        <v>101595</v>
      </c>
      <c r="N10" s="17">
        <v>98478</v>
      </c>
      <c r="O10" s="17">
        <v>110890</v>
      </c>
      <c r="P10" s="17">
        <v>24227</v>
      </c>
      <c r="Q10" s="17">
        <v>19946</v>
      </c>
      <c r="R10" s="17">
        <v>5856</v>
      </c>
      <c r="S10" s="17">
        <v>5</v>
      </c>
      <c r="T10" s="17">
        <v>28.6</v>
      </c>
      <c r="U10" s="17">
        <v>40</v>
      </c>
      <c r="V10" s="17">
        <v>34</v>
      </c>
      <c r="W10" s="17">
        <v>293950</v>
      </c>
      <c r="X10" s="17">
        <v>67780.39999999999</v>
      </c>
      <c r="Y10" s="17">
        <v>1112.1</v>
      </c>
      <c r="Z10" s="17">
        <v>202909</v>
      </c>
      <c r="AA10" s="17">
        <v>69227</v>
      </c>
      <c r="AB10" s="17">
        <v>349419</v>
      </c>
      <c r="AC10" s="17">
        <v>17173</v>
      </c>
      <c r="AD10" s="17">
        <v>2</v>
      </c>
      <c r="AE10" s="17">
        <v>61000</v>
      </c>
      <c r="AF10" s="17">
        <v>0</v>
      </c>
      <c r="AG10" s="17">
        <v>0</v>
      </c>
      <c r="AH10" s="17">
        <v>6</v>
      </c>
      <c r="AI10" s="17">
        <v>0</v>
      </c>
      <c r="AJ10" s="17">
        <v>0</v>
      </c>
      <c r="AK10" s="17">
        <v>0</v>
      </c>
      <c r="AL10" s="17">
        <v>6</v>
      </c>
      <c r="AM10" s="17">
        <v>2</v>
      </c>
      <c r="AN10" s="17">
        <v>3</v>
      </c>
      <c r="AO10" s="17">
        <v>3</v>
      </c>
      <c r="AP10" s="17">
        <v>1</v>
      </c>
      <c r="AQ10" s="17">
        <v>187</v>
      </c>
      <c r="AR10" s="17">
        <v>11</v>
      </c>
      <c r="AS10" s="17">
        <v>215</v>
      </c>
      <c r="AT10" s="17">
        <v>99647</v>
      </c>
      <c r="AU10" s="17">
        <v>116251</v>
      </c>
      <c r="AV10" s="17">
        <v>367581.1</v>
      </c>
      <c r="AW10" s="17">
        <v>437103.8</v>
      </c>
      <c r="AX10" s="17">
        <v>20037.9</v>
      </c>
      <c r="AY10" s="17">
        <v>15943.3</v>
      </c>
      <c r="AZ10" s="17">
        <v>167</v>
      </c>
      <c r="BA10" s="17">
        <v>142</v>
      </c>
      <c r="BB10" s="17">
        <v>108759</v>
      </c>
      <c r="BC10" s="17">
        <v>107531</v>
      </c>
      <c r="BD10" s="17">
        <v>1079</v>
      </c>
      <c r="BE10" s="17">
        <v>574</v>
      </c>
      <c r="BF10" s="17">
        <v>662</v>
      </c>
      <c r="BG10" s="17">
        <v>161218.5</v>
      </c>
      <c r="BH10" s="17">
        <v>73012.8</v>
      </c>
      <c r="BI10" s="17">
        <v>0</v>
      </c>
      <c r="BJ10" s="17">
        <v>1</v>
      </c>
      <c r="BK10" s="17">
        <v>1</v>
      </c>
      <c r="BL10" s="17">
        <v>1</v>
      </c>
      <c r="BM10" s="17">
        <v>1</v>
      </c>
      <c r="BN10" s="17">
        <v>0</v>
      </c>
      <c r="BO10" s="17">
        <v>0</v>
      </c>
      <c r="BP10" s="17">
        <v>0</v>
      </c>
      <c r="BQ10" s="17">
        <v>0</v>
      </c>
      <c r="BR10" s="17">
        <v>0</v>
      </c>
      <c r="BS10" s="17">
        <v>0</v>
      </c>
      <c r="BT10" s="17">
        <v>17</v>
      </c>
      <c r="BU10" s="17">
        <v>119412</v>
      </c>
      <c r="BV10" s="17">
        <v>107510</v>
      </c>
      <c r="BW10" s="17">
        <v>40574219</v>
      </c>
      <c r="BX10" s="17">
        <v>135630</v>
      </c>
      <c r="BY10" s="17">
        <v>5356</v>
      </c>
    </row>
    <row r="11" spans="1:77">
      <c r="A11" s="17" t="s">
        <v>15</v>
      </c>
      <c r="B11" s="17" t="s">
        <v>170</v>
      </c>
      <c r="C11" s="17" t="s">
        <v>178</v>
      </c>
      <c r="D11" s="17" t="s">
        <v>173</v>
      </c>
      <c r="E11" s="17">
        <v>188.9</v>
      </c>
      <c r="F11" s="17">
        <v>744</v>
      </c>
      <c r="G11" s="17">
        <v>690</v>
      </c>
      <c r="H11" s="17">
        <v>630.7</v>
      </c>
      <c r="I11" s="17">
        <v>45.8</v>
      </c>
      <c r="J11" s="17">
        <v>130341</v>
      </c>
      <c r="K11" s="17">
        <v>140542</v>
      </c>
      <c r="L11" s="17">
        <v>118660</v>
      </c>
      <c r="M11" s="17">
        <v>98372</v>
      </c>
      <c r="N11" s="17">
        <v>96839</v>
      </c>
      <c r="O11" s="17">
        <v>102676</v>
      </c>
      <c r="P11" s="17">
        <v>19541</v>
      </c>
      <c r="Q11" s="17">
        <v>16926</v>
      </c>
      <c r="R11" s="17">
        <v>8652</v>
      </c>
      <c r="S11" s="17">
        <v>5</v>
      </c>
      <c r="T11" s="17">
        <v>40.5</v>
      </c>
      <c r="U11" s="17">
        <v>44</v>
      </c>
      <c r="V11" s="17">
        <v>33</v>
      </c>
      <c r="W11" s="17">
        <v>350205.1</v>
      </c>
      <c r="X11" s="17">
        <v>97181.8</v>
      </c>
      <c r="Y11" s="17">
        <v>1212.1</v>
      </c>
      <c r="Z11" s="17">
        <v>176546</v>
      </c>
      <c r="AA11" s="17">
        <v>62330</v>
      </c>
      <c r="AB11" s="17">
        <v>375349</v>
      </c>
      <c r="AC11" s="17">
        <v>20499</v>
      </c>
      <c r="AD11" s="17">
        <v>4</v>
      </c>
      <c r="AE11" s="17">
        <v>69000</v>
      </c>
      <c r="AF11" s="17">
        <v>1</v>
      </c>
      <c r="AG11" s="17">
        <v>0</v>
      </c>
      <c r="AH11" s="17">
        <v>4</v>
      </c>
      <c r="AI11" s="17">
        <v>0</v>
      </c>
      <c r="AJ11" s="17">
        <v>0</v>
      </c>
      <c r="AK11" s="17">
        <v>0</v>
      </c>
      <c r="AL11" s="17">
        <v>5</v>
      </c>
      <c r="AM11" s="17">
        <v>1</v>
      </c>
      <c r="AN11" s="17">
        <v>0</v>
      </c>
      <c r="AO11" s="17">
        <v>0</v>
      </c>
      <c r="AP11" s="17">
        <v>0</v>
      </c>
      <c r="AQ11" s="17">
        <v>197</v>
      </c>
      <c r="AR11" s="17">
        <v>21</v>
      </c>
      <c r="AS11" s="17">
        <v>185</v>
      </c>
      <c r="AT11" s="17">
        <v>96710</v>
      </c>
      <c r="AU11" s="17">
        <v>118595</v>
      </c>
      <c r="AV11" s="17">
        <v>355792.8</v>
      </c>
      <c r="AW11" s="17">
        <v>445917.2</v>
      </c>
      <c r="AX11" s="17">
        <v>18442.1</v>
      </c>
      <c r="AY11" s="17">
        <v>15809.6</v>
      </c>
      <c r="AZ11" s="17">
        <v>174</v>
      </c>
      <c r="BA11" s="17">
        <v>142</v>
      </c>
      <c r="BB11" s="17">
        <v>102899</v>
      </c>
      <c r="BC11" s="17">
        <v>101308</v>
      </c>
      <c r="BD11" s="17">
        <v>846</v>
      </c>
      <c r="BE11" s="17">
        <v>616</v>
      </c>
      <c r="BF11" s="17">
        <v>696</v>
      </c>
      <c r="BG11" s="17">
        <v>188788.5</v>
      </c>
      <c r="BH11" s="17">
        <v>87101.10000000001</v>
      </c>
      <c r="BI11" s="17">
        <v>0</v>
      </c>
      <c r="BJ11" s="17">
        <v>0</v>
      </c>
      <c r="BK11" s="17">
        <v>1</v>
      </c>
      <c r="BL11" s="17">
        <v>1</v>
      </c>
      <c r="BM11" s="17">
        <v>0</v>
      </c>
      <c r="BN11" s="17">
        <v>0</v>
      </c>
      <c r="BO11" s="17">
        <v>0</v>
      </c>
      <c r="BP11" s="17">
        <v>0</v>
      </c>
      <c r="BQ11" s="17">
        <v>0</v>
      </c>
      <c r="BR11" s="17">
        <v>0</v>
      </c>
      <c r="BS11" s="17">
        <v>0</v>
      </c>
      <c r="BT11" s="17">
        <v>12</v>
      </c>
      <c r="BU11" s="17">
        <v>120898</v>
      </c>
      <c r="BV11" s="17">
        <v>110663</v>
      </c>
      <c r="BW11" s="17">
        <v>51573641</v>
      </c>
      <c r="BX11" s="17">
        <v>130341</v>
      </c>
      <c r="BY11" s="17">
        <v>8040</v>
      </c>
    </row>
    <row r="12" spans="1:77">
      <c r="A12" s="17" t="s">
        <v>15</v>
      </c>
      <c r="B12" s="17" t="s">
        <v>170</v>
      </c>
      <c r="C12" s="17" t="s">
        <v>178</v>
      </c>
      <c r="D12" s="17" t="s">
        <v>174</v>
      </c>
      <c r="E12" s="17">
        <v>188.9</v>
      </c>
      <c r="F12" s="17">
        <v>720</v>
      </c>
      <c r="G12" s="17">
        <v>718</v>
      </c>
      <c r="H12" s="17">
        <v>669.9</v>
      </c>
      <c r="I12" s="17">
        <v>37.1</v>
      </c>
      <c r="J12" s="17">
        <v>135630</v>
      </c>
      <c r="K12" s="17">
        <v>136008</v>
      </c>
      <c r="L12" s="17">
        <v>120521</v>
      </c>
      <c r="M12" s="17">
        <v>96232</v>
      </c>
      <c r="N12" s="17">
        <v>91848</v>
      </c>
      <c r="O12" s="17">
        <v>97224</v>
      </c>
      <c r="P12" s="17">
        <v>21417</v>
      </c>
      <c r="Q12" s="17">
        <v>17596</v>
      </c>
      <c r="R12" s="17">
        <v>7008</v>
      </c>
      <c r="S12" s="17">
        <v>4</v>
      </c>
      <c r="T12" s="17">
        <v>32.6</v>
      </c>
      <c r="U12" s="17">
        <v>36</v>
      </c>
      <c r="V12" s="17">
        <v>31</v>
      </c>
      <c r="W12" s="17">
        <v>321487.9</v>
      </c>
      <c r="X12" s="17">
        <v>71503.8</v>
      </c>
      <c r="Y12" s="17">
        <v>1098.9</v>
      </c>
      <c r="Z12" s="17">
        <v>174177</v>
      </c>
      <c r="AA12" s="17">
        <v>54970</v>
      </c>
      <c r="AB12" s="17">
        <v>368624</v>
      </c>
      <c r="AC12" s="17">
        <v>28075</v>
      </c>
      <c r="AD12" s="17">
        <v>2</v>
      </c>
      <c r="AE12" s="17">
        <v>62000</v>
      </c>
      <c r="AF12" s="17">
        <v>1</v>
      </c>
      <c r="AG12" s="17">
        <v>0</v>
      </c>
      <c r="AH12" s="17">
        <v>4</v>
      </c>
      <c r="AI12" s="17">
        <v>0</v>
      </c>
      <c r="AJ12" s="17">
        <v>0</v>
      </c>
      <c r="AK12" s="17">
        <v>0</v>
      </c>
      <c r="AL12" s="17">
        <v>5</v>
      </c>
      <c r="AM12" s="17">
        <v>0</v>
      </c>
      <c r="AN12" s="17">
        <v>2</v>
      </c>
      <c r="AO12" s="17">
        <v>1</v>
      </c>
      <c r="AP12" s="17">
        <v>1</v>
      </c>
      <c r="AQ12" s="17">
        <v>194</v>
      </c>
      <c r="AR12" s="17">
        <v>21</v>
      </c>
      <c r="AS12" s="17">
        <v>155</v>
      </c>
      <c r="AT12" s="17">
        <v>93443</v>
      </c>
      <c r="AU12" s="17">
        <v>119908</v>
      </c>
      <c r="AV12" s="17">
        <v>341097.4</v>
      </c>
      <c r="AW12" s="17">
        <v>450854.1</v>
      </c>
      <c r="AX12" s="17">
        <v>17509.3</v>
      </c>
      <c r="AY12" s="17">
        <v>15920</v>
      </c>
      <c r="AZ12" s="17">
        <v>150</v>
      </c>
      <c r="BA12" s="17">
        <v>124</v>
      </c>
      <c r="BB12" s="17">
        <v>98097</v>
      </c>
      <c r="BC12" s="17">
        <v>96415</v>
      </c>
      <c r="BD12" s="17">
        <v>1343</v>
      </c>
      <c r="BE12" s="17">
        <v>630</v>
      </c>
      <c r="BF12" s="17">
        <v>704</v>
      </c>
      <c r="BG12" s="17">
        <v>190497.7</v>
      </c>
      <c r="BH12" s="17">
        <v>86054.39999999999</v>
      </c>
      <c r="BI12" s="17">
        <v>0</v>
      </c>
      <c r="BJ12" s="17">
        <v>0</v>
      </c>
      <c r="BK12" s="17">
        <v>0</v>
      </c>
      <c r="BL12" s="17">
        <v>1</v>
      </c>
      <c r="BM12" s="17">
        <v>1</v>
      </c>
      <c r="BN12" s="17">
        <v>0</v>
      </c>
      <c r="BO12" s="17">
        <v>0</v>
      </c>
      <c r="BP12" s="17">
        <v>0</v>
      </c>
      <c r="BQ12" s="17">
        <v>0</v>
      </c>
      <c r="BR12" s="17">
        <v>0</v>
      </c>
      <c r="BS12" s="17">
        <v>0</v>
      </c>
      <c r="BT12" s="17">
        <v>18</v>
      </c>
      <c r="BU12" s="17">
        <v>119591</v>
      </c>
      <c r="BV12" s="17">
        <v>108329</v>
      </c>
      <c r="BW12" s="17">
        <v>44645372</v>
      </c>
      <c r="BX12" s="17">
        <v>135630</v>
      </c>
      <c r="BY12" s="17">
        <v>6878</v>
      </c>
    </row>
    <row r="13" spans="1:77">
      <c r="A13" s="17" t="s">
        <v>15</v>
      </c>
      <c r="B13" s="17" t="s">
        <v>170</v>
      </c>
      <c r="C13" s="17" t="s">
        <v>178</v>
      </c>
      <c r="D13" s="17" t="s">
        <v>175</v>
      </c>
      <c r="E13" s="17">
        <v>188.9</v>
      </c>
      <c r="F13" s="17">
        <v>744</v>
      </c>
      <c r="G13" s="17">
        <v>737</v>
      </c>
      <c r="H13" s="17">
        <v>655.4</v>
      </c>
      <c r="I13" s="17">
        <v>69.3</v>
      </c>
      <c r="J13" s="17">
        <v>139219</v>
      </c>
      <c r="K13" s="17">
        <v>140542</v>
      </c>
      <c r="L13" s="17">
        <v>122135</v>
      </c>
      <c r="M13" s="17">
        <v>101413</v>
      </c>
      <c r="N13" s="17">
        <v>97731</v>
      </c>
      <c r="O13" s="17">
        <v>108037</v>
      </c>
      <c r="P13" s="17">
        <v>20571</v>
      </c>
      <c r="Q13" s="17">
        <v>17916</v>
      </c>
      <c r="R13" s="17">
        <v>13091</v>
      </c>
      <c r="S13" s="17">
        <v>6</v>
      </c>
      <c r="T13" s="17">
        <v>65.7</v>
      </c>
      <c r="U13" s="17">
        <v>56</v>
      </c>
      <c r="V13" s="17">
        <v>44</v>
      </c>
      <c r="W13" s="17">
        <v>350472.9</v>
      </c>
      <c r="X13" s="17">
        <v>93258.3</v>
      </c>
      <c r="Y13" s="17">
        <v>1434.2</v>
      </c>
      <c r="Z13" s="17">
        <v>204288</v>
      </c>
      <c r="AA13" s="17">
        <v>57701</v>
      </c>
      <c r="AB13" s="17">
        <v>356252</v>
      </c>
      <c r="AC13" s="17">
        <v>22870</v>
      </c>
      <c r="AD13" s="17">
        <v>2</v>
      </c>
      <c r="AE13" s="17">
        <v>68000</v>
      </c>
      <c r="AF13" s="17">
        <v>0</v>
      </c>
      <c r="AG13" s="17">
        <v>1</v>
      </c>
      <c r="AH13" s="17">
        <v>6</v>
      </c>
      <c r="AI13" s="17">
        <v>0</v>
      </c>
      <c r="AJ13" s="17">
        <v>1</v>
      </c>
      <c r="AK13" s="17">
        <v>0</v>
      </c>
      <c r="AL13" s="17">
        <v>7</v>
      </c>
      <c r="AM13" s="17">
        <v>0</v>
      </c>
      <c r="AN13" s="17">
        <v>1</v>
      </c>
      <c r="AO13" s="17">
        <v>1</v>
      </c>
      <c r="AP13" s="17">
        <v>0</v>
      </c>
      <c r="AQ13" s="17">
        <v>129</v>
      </c>
      <c r="AR13" s="17">
        <v>15</v>
      </c>
      <c r="AS13" s="17">
        <v>125</v>
      </c>
      <c r="AT13" s="17">
        <v>95686</v>
      </c>
      <c r="AU13" s="17">
        <v>120914</v>
      </c>
      <c r="AV13" s="17">
        <v>355004.6</v>
      </c>
      <c r="AW13" s="17">
        <v>454636.6</v>
      </c>
      <c r="AX13" s="17">
        <v>21552.3</v>
      </c>
      <c r="AY13" s="17">
        <v>15764.7</v>
      </c>
      <c r="AZ13" s="17">
        <v>159</v>
      </c>
      <c r="BA13" s="17">
        <v>128</v>
      </c>
      <c r="BB13" s="17">
        <v>105180</v>
      </c>
      <c r="BC13" s="17">
        <v>101093</v>
      </c>
      <c r="BD13" s="17">
        <v>720</v>
      </c>
      <c r="BE13" s="17">
        <v>658</v>
      </c>
      <c r="BF13" s="17">
        <v>772</v>
      </c>
      <c r="BG13" s="17">
        <v>179819.6</v>
      </c>
      <c r="BH13" s="17">
        <v>82831.7</v>
      </c>
      <c r="BI13" s="17">
        <v>0</v>
      </c>
      <c r="BJ13" s="17">
        <v>0</v>
      </c>
      <c r="BK13" s="17">
        <v>0</v>
      </c>
      <c r="BL13" s="17">
        <v>1</v>
      </c>
      <c r="BM13" s="17">
        <v>1</v>
      </c>
      <c r="BN13" s="17">
        <v>0</v>
      </c>
      <c r="BO13" s="17">
        <v>0</v>
      </c>
      <c r="BP13" s="17">
        <v>0</v>
      </c>
      <c r="BQ13" s="17">
        <v>0</v>
      </c>
      <c r="BR13" s="17">
        <v>0</v>
      </c>
      <c r="BS13" s="17">
        <v>0</v>
      </c>
      <c r="BT13" s="17">
        <v>12</v>
      </c>
      <c r="BU13" s="17">
        <v>123620</v>
      </c>
      <c r="BV13" s="17">
        <v>113701</v>
      </c>
      <c r="BW13" s="17">
        <v>53958022</v>
      </c>
      <c r="BX13" s="17">
        <v>139219</v>
      </c>
      <c r="BY13" s="17">
        <v>13208</v>
      </c>
    </row>
    <row r="14" spans="1:77">
      <c r="A14" s="17" t="s">
        <v>15</v>
      </c>
      <c r="B14" s="17" t="s">
        <v>170</v>
      </c>
      <c r="C14" s="17" t="s">
        <v>178</v>
      </c>
      <c r="D14" s="17" t="s">
        <v>176</v>
      </c>
      <c r="E14" s="17">
        <v>188.9</v>
      </c>
      <c r="F14" s="17">
        <v>744</v>
      </c>
      <c r="G14" s="17">
        <v>674</v>
      </c>
      <c r="H14" s="17">
        <v>603.4</v>
      </c>
      <c r="I14" s="17">
        <v>53.5</v>
      </c>
      <c r="J14" s="17">
        <v>127319</v>
      </c>
      <c r="K14" s="17">
        <v>140542</v>
      </c>
      <c r="L14" s="17">
        <v>109907</v>
      </c>
      <c r="M14" s="17">
        <v>90236</v>
      </c>
      <c r="N14" s="17">
        <v>86596</v>
      </c>
      <c r="O14" s="17">
        <v>97767</v>
      </c>
      <c r="P14" s="17">
        <v>22655</v>
      </c>
      <c r="Q14" s="17">
        <v>18611</v>
      </c>
      <c r="R14" s="17">
        <v>10106</v>
      </c>
      <c r="S14" s="17">
        <v>4</v>
      </c>
      <c r="T14" s="17">
        <v>46.8</v>
      </c>
      <c r="U14" s="17">
        <v>39</v>
      </c>
      <c r="V14" s="17">
        <v>37</v>
      </c>
      <c r="W14" s="17">
        <v>293787.6</v>
      </c>
      <c r="X14" s="17">
        <v>89718.10000000001</v>
      </c>
      <c r="Y14" s="17">
        <v>1404.1</v>
      </c>
      <c r="Z14" s="17">
        <v>164589</v>
      </c>
      <c r="AA14" s="17">
        <v>62319</v>
      </c>
      <c r="AB14" s="17">
        <v>347920</v>
      </c>
      <c r="AC14" s="17">
        <v>23073</v>
      </c>
      <c r="AD14" s="17">
        <v>3</v>
      </c>
      <c r="AE14" s="17">
        <v>69000</v>
      </c>
      <c r="AF14" s="17">
        <v>0</v>
      </c>
      <c r="AG14" s="17">
        <v>1</v>
      </c>
      <c r="AH14" s="17">
        <v>5</v>
      </c>
      <c r="AI14" s="17">
        <v>1</v>
      </c>
      <c r="AJ14" s="17">
        <v>0</v>
      </c>
      <c r="AK14" s="17">
        <v>0</v>
      </c>
      <c r="AL14" s="17">
        <v>8</v>
      </c>
      <c r="AM14" s="17">
        <v>1</v>
      </c>
      <c r="AN14" s="17">
        <v>0</v>
      </c>
      <c r="AO14" s="17">
        <v>0</v>
      </c>
      <c r="AP14" s="17">
        <v>0</v>
      </c>
      <c r="AQ14" s="17">
        <v>212</v>
      </c>
      <c r="AR14" s="17">
        <v>32</v>
      </c>
      <c r="AS14" s="17">
        <v>95</v>
      </c>
      <c r="AT14" s="17">
        <v>87463</v>
      </c>
      <c r="AU14" s="17">
        <v>110393</v>
      </c>
      <c r="AV14" s="17">
        <v>324045</v>
      </c>
      <c r="AW14" s="17">
        <v>415077.7</v>
      </c>
      <c r="AX14" s="17">
        <v>17217.2</v>
      </c>
      <c r="AY14" s="17">
        <v>16383.2</v>
      </c>
      <c r="AZ14" s="17">
        <v>157</v>
      </c>
      <c r="BA14" s="17">
        <v>131</v>
      </c>
      <c r="BB14" s="17">
        <v>94985</v>
      </c>
      <c r="BC14" s="17">
        <v>92164</v>
      </c>
      <c r="BD14" s="17">
        <v>1526</v>
      </c>
      <c r="BE14" s="17">
        <v>560</v>
      </c>
      <c r="BF14" s="17">
        <v>665</v>
      </c>
      <c r="BG14" s="17">
        <v>153621.7</v>
      </c>
      <c r="BH14" s="17">
        <v>72743.60000000001</v>
      </c>
      <c r="BI14" s="17">
        <v>0</v>
      </c>
      <c r="BJ14" s="17">
        <v>0</v>
      </c>
      <c r="BK14" s="17">
        <v>0</v>
      </c>
      <c r="BL14" s="17">
        <v>1</v>
      </c>
      <c r="BM14" s="17">
        <v>0</v>
      </c>
      <c r="BN14" s="17">
        <v>0</v>
      </c>
      <c r="BO14" s="17">
        <v>0</v>
      </c>
      <c r="BP14" s="17">
        <v>0</v>
      </c>
      <c r="BQ14" s="17">
        <v>0</v>
      </c>
      <c r="BR14" s="17">
        <v>0</v>
      </c>
      <c r="BS14" s="17">
        <v>0</v>
      </c>
      <c r="BT14" s="17">
        <v>10</v>
      </c>
      <c r="BU14" s="17">
        <v>111815</v>
      </c>
      <c r="BV14" s="17">
        <v>102323</v>
      </c>
      <c r="BW14" s="17">
        <v>35614658</v>
      </c>
      <c r="BX14" s="17">
        <v>127319</v>
      </c>
      <c r="BY14" s="17">
        <v>8914</v>
      </c>
    </row>
    <row r="15" spans="1:77">
      <c r="A15" s="17" t="s">
        <v>15</v>
      </c>
      <c r="B15" s="17" t="s">
        <v>170</v>
      </c>
      <c r="C15" s="17" t="s">
        <v>178</v>
      </c>
      <c r="D15" s="17" t="s">
        <v>177</v>
      </c>
      <c r="E15" s="17">
        <v>188.9</v>
      </c>
      <c r="F15" s="17">
        <v>720</v>
      </c>
      <c r="G15" s="17">
        <v>717</v>
      </c>
      <c r="H15" s="17">
        <v>624.3</v>
      </c>
      <c r="I15" s="17">
        <v>78.2</v>
      </c>
      <c r="J15" s="17">
        <v>135441</v>
      </c>
      <c r="K15" s="17">
        <v>136008</v>
      </c>
      <c r="L15" s="17">
        <v>121475</v>
      </c>
      <c r="M15" s="17">
        <v>97250</v>
      </c>
      <c r="N15" s="17">
        <v>95233</v>
      </c>
      <c r="O15" s="17">
        <v>102279</v>
      </c>
      <c r="P15" s="17">
        <v>20791</v>
      </c>
      <c r="Q15" s="17">
        <v>17994</v>
      </c>
      <c r="R15" s="17">
        <v>14772</v>
      </c>
      <c r="S15" s="17">
        <v>6</v>
      </c>
      <c r="T15" s="17">
        <v>68.5</v>
      </c>
      <c r="U15" s="17">
        <v>33</v>
      </c>
      <c r="V15" s="17">
        <v>27</v>
      </c>
      <c r="W15" s="17">
        <v>308111</v>
      </c>
      <c r="X15" s="17">
        <v>70784.39999999999</v>
      </c>
      <c r="Y15" s="17">
        <v>940.2</v>
      </c>
      <c r="Z15" s="17">
        <v>245659</v>
      </c>
      <c r="AA15" s="17">
        <v>68824</v>
      </c>
      <c r="AB15" s="17">
        <v>358135</v>
      </c>
      <c r="AC15" s="17">
        <v>24322</v>
      </c>
      <c r="AD15" s="17">
        <v>4</v>
      </c>
      <c r="AE15" s="17">
        <v>95000</v>
      </c>
      <c r="AF15" s="17">
        <v>0</v>
      </c>
      <c r="AG15" s="17">
        <v>0</v>
      </c>
      <c r="AH15" s="17">
        <v>2</v>
      </c>
      <c r="AI15" s="17">
        <v>0</v>
      </c>
      <c r="AJ15" s="17">
        <v>1</v>
      </c>
      <c r="AK15" s="17">
        <v>0</v>
      </c>
      <c r="AL15" s="17">
        <v>6</v>
      </c>
      <c r="AM15" s="17">
        <v>1</v>
      </c>
      <c r="AN15" s="17">
        <v>2</v>
      </c>
      <c r="AO15" s="17">
        <v>1</v>
      </c>
      <c r="AP15" s="17">
        <v>1</v>
      </c>
      <c r="AQ15" s="17">
        <v>225</v>
      </c>
      <c r="AR15" s="17">
        <v>36</v>
      </c>
      <c r="AS15" s="17">
        <v>65</v>
      </c>
      <c r="AT15" s="17">
        <v>94217</v>
      </c>
      <c r="AU15" s="17">
        <v>121397</v>
      </c>
      <c r="AV15" s="17">
        <v>346059.3</v>
      </c>
      <c r="AW15" s="17">
        <v>456452.7</v>
      </c>
      <c r="AX15" s="17">
        <v>20557.3</v>
      </c>
      <c r="AY15" s="17">
        <v>16054.5</v>
      </c>
      <c r="AZ15" s="17">
        <v>173</v>
      </c>
      <c r="BA15" s="17">
        <v>147</v>
      </c>
      <c r="BB15" s="17">
        <v>103840</v>
      </c>
      <c r="BC15" s="17">
        <v>101122</v>
      </c>
      <c r="BD15" s="17">
        <v>1125</v>
      </c>
      <c r="BE15" s="17">
        <v>658</v>
      </c>
      <c r="BF15" s="17">
        <v>772</v>
      </c>
      <c r="BG15" s="17">
        <v>171707.4</v>
      </c>
      <c r="BH15" s="17">
        <v>73868.5</v>
      </c>
      <c r="BI15" s="17">
        <v>0</v>
      </c>
      <c r="BJ15" s="17">
        <v>0</v>
      </c>
      <c r="BK15" s="17">
        <v>0</v>
      </c>
      <c r="BL15" s="17">
        <v>1</v>
      </c>
      <c r="BM15" s="17">
        <v>1</v>
      </c>
      <c r="BN15" s="17">
        <v>0</v>
      </c>
      <c r="BO15" s="17">
        <v>0</v>
      </c>
      <c r="BP15" s="17">
        <v>0</v>
      </c>
      <c r="BQ15" s="17">
        <v>0</v>
      </c>
      <c r="BR15" s="17">
        <v>0</v>
      </c>
      <c r="BS15" s="17">
        <v>0</v>
      </c>
      <c r="BT15" s="17">
        <v>4</v>
      </c>
      <c r="BU15" s="17">
        <v>121378</v>
      </c>
      <c r="BV15" s="17">
        <v>108581</v>
      </c>
      <c r="BW15" s="17">
        <v>36663480</v>
      </c>
      <c r="BX15" s="17">
        <v>135441</v>
      </c>
      <c r="BY15" s="17">
        <v>15611</v>
      </c>
    </row>
    <row r="16" spans="1:77">
      <c r="A16" s="17" t="s">
        <v>15</v>
      </c>
      <c r="B16" s="17" t="s">
        <v>170</v>
      </c>
      <c r="C16" s="17" t="s">
        <v>179</v>
      </c>
      <c r="D16" s="17" t="s">
        <v>172</v>
      </c>
      <c r="E16" s="17">
        <v>225.4</v>
      </c>
      <c r="F16" s="17">
        <v>720</v>
      </c>
      <c r="G16" s="17">
        <v>709</v>
      </c>
      <c r="H16" s="17">
        <v>679.1</v>
      </c>
      <c r="I16" s="17">
        <v>18.5</v>
      </c>
      <c r="J16" s="17">
        <v>159809</v>
      </c>
      <c r="K16" s="17">
        <v>162288</v>
      </c>
      <c r="L16" s="17">
        <v>140381</v>
      </c>
      <c r="M16" s="17">
        <v>137702</v>
      </c>
      <c r="N16" s="17">
        <v>135597</v>
      </c>
      <c r="O16" s="17">
        <v>151646</v>
      </c>
      <c r="P16" s="17">
        <v>30509</v>
      </c>
      <c r="Q16" s="17">
        <v>27116</v>
      </c>
      <c r="R16" s="17">
        <v>4170</v>
      </c>
      <c r="S16" s="17">
        <v>2</v>
      </c>
      <c r="T16" s="17">
        <v>11.6</v>
      </c>
      <c r="U16" s="17">
        <v>46</v>
      </c>
      <c r="V16" s="17">
        <v>45</v>
      </c>
      <c r="W16" s="17">
        <v>423748.9</v>
      </c>
      <c r="X16" s="17">
        <v>102285.4</v>
      </c>
      <c r="Y16" s="17">
        <v>1376.4</v>
      </c>
      <c r="Z16" s="17">
        <v>293580</v>
      </c>
      <c r="AA16" s="17">
        <v>100138</v>
      </c>
      <c r="AB16" s="17">
        <v>411317</v>
      </c>
      <c r="AC16" s="17">
        <v>5413</v>
      </c>
      <c r="AD16" s="17">
        <v>1</v>
      </c>
      <c r="AE16" s="17">
        <v>81000</v>
      </c>
      <c r="AF16" s="17">
        <v>0</v>
      </c>
      <c r="AG16" s="17">
        <v>0</v>
      </c>
      <c r="AH16" s="17">
        <v>5</v>
      </c>
      <c r="AI16" s="17">
        <v>0</v>
      </c>
      <c r="AJ16" s="17">
        <v>1</v>
      </c>
      <c r="AK16" s="17">
        <v>0</v>
      </c>
      <c r="AL16" s="17">
        <v>5</v>
      </c>
      <c r="AM16" s="17">
        <v>1</v>
      </c>
      <c r="AN16" s="17">
        <v>1</v>
      </c>
      <c r="AO16" s="17">
        <v>0</v>
      </c>
      <c r="AP16" s="17">
        <v>0</v>
      </c>
      <c r="AQ16" s="17">
        <v>130</v>
      </c>
      <c r="AR16" s="17">
        <v>5</v>
      </c>
      <c r="AS16" s="17">
        <v>218</v>
      </c>
      <c r="AT16" s="17">
        <v>132069</v>
      </c>
      <c r="AU16" s="17">
        <v>141407</v>
      </c>
      <c r="AV16" s="17">
        <v>498991.1</v>
      </c>
      <c r="AW16" s="17">
        <v>531690.3</v>
      </c>
      <c r="AX16" s="17">
        <v>26981.8</v>
      </c>
      <c r="AY16" s="17">
        <v>18816.9</v>
      </c>
      <c r="AZ16" s="17">
        <v>169</v>
      </c>
      <c r="BA16" s="17">
        <v>156</v>
      </c>
      <c r="BB16" s="17">
        <v>152075</v>
      </c>
      <c r="BC16" s="17">
        <v>143138</v>
      </c>
      <c r="BD16" s="17">
        <v>1636</v>
      </c>
      <c r="BE16" s="17">
        <v>952</v>
      </c>
      <c r="BF16" s="17">
        <v>997</v>
      </c>
      <c r="BG16" s="17">
        <v>224328.9</v>
      </c>
      <c r="BH16" s="17">
        <v>84788.10000000001</v>
      </c>
      <c r="BI16" s="17">
        <v>0</v>
      </c>
      <c r="BJ16" s="17">
        <v>0</v>
      </c>
      <c r="BK16" s="17">
        <v>0</v>
      </c>
      <c r="BL16" s="17">
        <v>1</v>
      </c>
      <c r="BM16" s="17">
        <v>1</v>
      </c>
      <c r="BN16" s="17">
        <v>0</v>
      </c>
      <c r="BO16" s="17">
        <v>0</v>
      </c>
      <c r="BP16" s="17">
        <v>0</v>
      </c>
      <c r="BQ16" s="17">
        <v>0</v>
      </c>
      <c r="BR16" s="17">
        <v>0</v>
      </c>
      <c r="BS16" s="17">
        <v>0</v>
      </c>
      <c r="BT16" s="17">
        <v>99</v>
      </c>
      <c r="BU16" s="17">
        <v>142430</v>
      </c>
      <c r="BV16" s="17">
        <v>144326</v>
      </c>
      <c r="BW16" s="17">
        <v>85157077</v>
      </c>
      <c r="BX16" s="17">
        <v>159809</v>
      </c>
      <c r="BY16" s="17">
        <v>4742</v>
      </c>
    </row>
    <row r="17" spans="1:77">
      <c r="A17" s="17" t="s">
        <v>15</v>
      </c>
      <c r="B17" s="17" t="s">
        <v>170</v>
      </c>
      <c r="C17" s="17" t="s">
        <v>179</v>
      </c>
      <c r="D17" s="17" t="s">
        <v>173</v>
      </c>
      <c r="E17" s="17">
        <v>225.4</v>
      </c>
      <c r="F17" s="17">
        <v>744</v>
      </c>
      <c r="G17" s="17">
        <v>675</v>
      </c>
      <c r="H17" s="17">
        <v>644.2</v>
      </c>
      <c r="I17" s="17">
        <v>22.6</v>
      </c>
      <c r="J17" s="17">
        <v>152145</v>
      </c>
      <c r="K17" s="17">
        <v>167698</v>
      </c>
      <c r="L17" s="17">
        <v>139327</v>
      </c>
      <c r="M17" s="17">
        <v>129882</v>
      </c>
      <c r="N17" s="17">
        <v>123727</v>
      </c>
      <c r="O17" s="17">
        <v>139092</v>
      </c>
      <c r="P17" s="17">
        <v>26667</v>
      </c>
      <c r="Q17" s="17">
        <v>22876</v>
      </c>
      <c r="R17" s="17">
        <v>5094</v>
      </c>
      <c r="S17" s="17">
        <v>4</v>
      </c>
      <c r="T17" s="17">
        <v>18.4</v>
      </c>
      <c r="U17" s="17">
        <v>54</v>
      </c>
      <c r="V17" s="17">
        <v>51</v>
      </c>
      <c r="W17" s="17">
        <v>380693.8</v>
      </c>
      <c r="X17" s="17">
        <v>88979.2</v>
      </c>
      <c r="Y17" s="17">
        <v>1092.1</v>
      </c>
      <c r="Z17" s="17">
        <v>320054</v>
      </c>
      <c r="AA17" s="17">
        <v>72786</v>
      </c>
      <c r="AB17" s="17">
        <v>378969</v>
      </c>
      <c r="AC17" s="17">
        <v>18096</v>
      </c>
      <c r="AD17" s="17">
        <v>1</v>
      </c>
      <c r="AE17" s="17">
        <v>76000</v>
      </c>
      <c r="AF17" s="17">
        <v>1</v>
      </c>
      <c r="AG17" s="17">
        <v>0</v>
      </c>
      <c r="AH17" s="17">
        <v>10</v>
      </c>
      <c r="AI17" s="17">
        <v>0</v>
      </c>
      <c r="AJ17" s="17">
        <v>1</v>
      </c>
      <c r="AK17" s="17">
        <v>0</v>
      </c>
      <c r="AL17" s="17">
        <v>10</v>
      </c>
      <c r="AM17" s="17">
        <v>2</v>
      </c>
      <c r="AN17" s="17">
        <v>0</v>
      </c>
      <c r="AO17" s="17">
        <v>0</v>
      </c>
      <c r="AP17" s="17">
        <v>0</v>
      </c>
      <c r="AQ17" s="17">
        <v>230</v>
      </c>
      <c r="AR17" s="17">
        <v>12</v>
      </c>
      <c r="AS17" s="17">
        <v>188</v>
      </c>
      <c r="AT17" s="17">
        <v>123269</v>
      </c>
      <c r="AU17" s="17">
        <v>138158</v>
      </c>
      <c r="AV17" s="17">
        <v>460880.8</v>
      </c>
      <c r="AW17" s="17">
        <v>519474.1</v>
      </c>
      <c r="AX17" s="17">
        <v>20000.3</v>
      </c>
      <c r="AY17" s="17">
        <v>18527.3</v>
      </c>
      <c r="AZ17" s="17">
        <v>232</v>
      </c>
      <c r="BA17" s="17">
        <v>213</v>
      </c>
      <c r="BB17" s="17">
        <v>142709</v>
      </c>
      <c r="BC17" s="17">
        <v>135890</v>
      </c>
      <c r="BD17" s="17">
        <v>1180</v>
      </c>
      <c r="BE17" s="17">
        <v>1148</v>
      </c>
      <c r="BF17" s="17">
        <v>1150</v>
      </c>
      <c r="BG17" s="17">
        <v>215687.3</v>
      </c>
      <c r="BH17" s="17">
        <v>82507.5</v>
      </c>
      <c r="BI17" s="17">
        <v>0</v>
      </c>
      <c r="BJ17" s="17">
        <v>1</v>
      </c>
      <c r="BK17" s="17">
        <v>0</v>
      </c>
      <c r="BL17" s="17">
        <v>0</v>
      </c>
      <c r="BM17" s="17">
        <v>1</v>
      </c>
      <c r="BN17" s="17">
        <v>0</v>
      </c>
      <c r="BO17" s="17">
        <v>0</v>
      </c>
      <c r="BP17" s="17">
        <v>0</v>
      </c>
      <c r="BQ17" s="17">
        <v>0</v>
      </c>
      <c r="BR17" s="17">
        <v>0</v>
      </c>
      <c r="BS17" s="17">
        <v>0</v>
      </c>
      <c r="BT17" s="17">
        <v>99</v>
      </c>
      <c r="BU17" s="17">
        <v>140211</v>
      </c>
      <c r="BV17" s="17">
        <v>141920</v>
      </c>
      <c r="BW17" s="17">
        <v>76995709</v>
      </c>
      <c r="BX17" s="17">
        <v>152145</v>
      </c>
      <c r="BY17" s="17">
        <v>4615</v>
      </c>
    </row>
    <row r="18" spans="1:77">
      <c r="A18" s="17" t="s">
        <v>15</v>
      </c>
      <c r="B18" s="17" t="s">
        <v>170</v>
      </c>
      <c r="C18" s="17" t="s">
        <v>179</v>
      </c>
      <c r="D18" s="17" t="s">
        <v>174</v>
      </c>
      <c r="E18" s="17">
        <v>225.4</v>
      </c>
      <c r="F18" s="17">
        <v>720</v>
      </c>
      <c r="G18" s="17">
        <v>719</v>
      </c>
      <c r="H18" s="17">
        <v>672.3</v>
      </c>
      <c r="I18" s="17">
        <v>30</v>
      </c>
      <c r="J18" s="17">
        <v>162063</v>
      </c>
      <c r="K18" s="17">
        <v>162288</v>
      </c>
      <c r="L18" s="17">
        <v>141008</v>
      </c>
      <c r="M18" s="17">
        <v>134645</v>
      </c>
      <c r="N18" s="17">
        <v>129167</v>
      </c>
      <c r="O18" s="17">
        <v>140543</v>
      </c>
      <c r="P18" s="17">
        <v>28463</v>
      </c>
      <c r="Q18" s="17">
        <v>25992</v>
      </c>
      <c r="R18" s="17">
        <v>6762</v>
      </c>
      <c r="S18" s="17">
        <v>4</v>
      </c>
      <c r="T18" s="17">
        <v>23.1</v>
      </c>
      <c r="U18" s="17">
        <v>50</v>
      </c>
      <c r="V18" s="17">
        <v>48</v>
      </c>
      <c r="W18" s="17">
        <v>345324.8</v>
      </c>
      <c r="X18" s="17">
        <v>105483</v>
      </c>
      <c r="Y18" s="17">
        <v>952.7</v>
      </c>
      <c r="Z18" s="17">
        <v>282180</v>
      </c>
      <c r="AA18" s="17">
        <v>73193</v>
      </c>
      <c r="AB18" s="17">
        <v>376725</v>
      </c>
      <c r="AC18" s="17">
        <v>14242</v>
      </c>
      <c r="AD18" s="17">
        <v>1</v>
      </c>
      <c r="AE18" s="17">
        <v>72000</v>
      </c>
      <c r="AF18" s="17">
        <v>1</v>
      </c>
      <c r="AG18" s="17">
        <v>0</v>
      </c>
      <c r="AH18" s="17">
        <v>8</v>
      </c>
      <c r="AI18" s="17">
        <v>0</v>
      </c>
      <c r="AJ18" s="17">
        <v>0</v>
      </c>
      <c r="AK18" s="17">
        <v>0</v>
      </c>
      <c r="AL18" s="17">
        <v>13</v>
      </c>
      <c r="AM18" s="17">
        <v>3</v>
      </c>
      <c r="AN18" s="17">
        <v>2</v>
      </c>
      <c r="AO18" s="17">
        <v>2</v>
      </c>
      <c r="AP18" s="17">
        <v>0</v>
      </c>
      <c r="AQ18" s="17">
        <v>181</v>
      </c>
      <c r="AR18" s="17">
        <v>13</v>
      </c>
      <c r="AS18" s="17">
        <v>158</v>
      </c>
      <c r="AT18" s="17">
        <v>126080</v>
      </c>
      <c r="AU18" s="17">
        <v>142307</v>
      </c>
      <c r="AV18" s="17">
        <v>481116</v>
      </c>
      <c r="AW18" s="17">
        <v>535074.3</v>
      </c>
      <c r="AX18" s="17">
        <v>20433.5</v>
      </c>
      <c r="AY18" s="17">
        <v>19093.5</v>
      </c>
      <c r="AZ18" s="17">
        <v>300</v>
      </c>
      <c r="BA18" s="17">
        <v>278</v>
      </c>
      <c r="BB18" s="17">
        <v>137558</v>
      </c>
      <c r="BC18" s="17">
        <v>131441</v>
      </c>
      <c r="BD18" s="17">
        <v>1030</v>
      </c>
      <c r="BE18" s="17">
        <v>672</v>
      </c>
      <c r="BF18" s="17">
        <v>689</v>
      </c>
      <c r="BG18" s="17">
        <v>197735.7</v>
      </c>
      <c r="BH18" s="17">
        <v>72790.8</v>
      </c>
      <c r="BI18" s="17">
        <v>0</v>
      </c>
      <c r="BJ18" s="17">
        <v>0</v>
      </c>
      <c r="BK18" s="17">
        <v>0</v>
      </c>
      <c r="BL18" s="17">
        <v>1</v>
      </c>
      <c r="BM18" s="17">
        <v>0</v>
      </c>
      <c r="BN18" s="17">
        <v>0</v>
      </c>
      <c r="BO18" s="17">
        <v>0</v>
      </c>
      <c r="BP18" s="17">
        <v>0</v>
      </c>
      <c r="BQ18" s="17">
        <v>0</v>
      </c>
      <c r="BR18" s="17">
        <v>0</v>
      </c>
      <c r="BS18" s="17">
        <v>0</v>
      </c>
      <c r="BT18" s="17">
        <v>99</v>
      </c>
      <c r="BU18" s="17">
        <v>142386</v>
      </c>
      <c r="BV18" s="17">
        <v>143882</v>
      </c>
      <c r="BW18" s="17">
        <v>70501660</v>
      </c>
      <c r="BX18" s="17">
        <v>162063</v>
      </c>
      <c r="BY18" s="17">
        <v>6348</v>
      </c>
    </row>
    <row r="19" spans="1:77">
      <c r="A19" s="17" t="s">
        <v>15</v>
      </c>
      <c r="B19" s="17" t="s">
        <v>170</v>
      </c>
      <c r="C19" s="17" t="s">
        <v>179</v>
      </c>
      <c r="D19" s="17" t="s">
        <v>175</v>
      </c>
      <c r="E19" s="17">
        <v>225.4</v>
      </c>
      <c r="F19" s="17">
        <v>744</v>
      </c>
      <c r="G19" s="17">
        <v>738</v>
      </c>
      <c r="H19" s="17">
        <v>697.8</v>
      </c>
      <c r="I19" s="17">
        <v>30.6</v>
      </c>
      <c r="J19" s="17">
        <v>166345</v>
      </c>
      <c r="K19" s="17">
        <v>167698</v>
      </c>
      <c r="L19" s="17">
        <v>143590</v>
      </c>
      <c r="M19" s="17">
        <v>147553</v>
      </c>
      <c r="N19" s="17">
        <v>141110</v>
      </c>
      <c r="O19" s="17">
        <v>155709</v>
      </c>
      <c r="P19" s="17">
        <v>36133</v>
      </c>
      <c r="Q19" s="17">
        <v>30890</v>
      </c>
      <c r="R19" s="17">
        <v>6897</v>
      </c>
      <c r="S19" s="17">
        <v>4</v>
      </c>
      <c r="T19" s="17">
        <v>21.8</v>
      </c>
      <c r="U19" s="17">
        <v>31</v>
      </c>
      <c r="V19" s="17">
        <v>30</v>
      </c>
      <c r="W19" s="17">
        <v>381458.3</v>
      </c>
      <c r="X19" s="17">
        <v>92438.5</v>
      </c>
      <c r="Y19" s="17">
        <v>906.9</v>
      </c>
      <c r="Z19" s="17">
        <v>353704</v>
      </c>
      <c r="AA19" s="17">
        <v>77990</v>
      </c>
      <c r="AB19" s="17">
        <v>471001</v>
      </c>
      <c r="AC19" s="17">
        <v>2225</v>
      </c>
      <c r="AD19" s="17">
        <v>0</v>
      </c>
      <c r="AE19" s="17">
        <v>88000</v>
      </c>
      <c r="AF19" s="17">
        <v>1</v>
      </c>
      <c r="AG19" s="17">
        <v>0</v>
      </c>
      <c r="AH19" s="17">
        <v>4</v>
      </c>
      <c r="AI19" s="17">
        <v>0</v>
      </c>
      <c r="AJ19" s="17">
        <v>0</v>
      </c>
      <c r="AK19" s="17">
        <v>0</v>
      </c>
      <c r="AL19" s="17">
        <v>13</v>
      </c>
      <c r="AM19" s="17">
        <v>4</v>
      </c>
      <c r="AN19" s="17">
        <v>0</v>
      </c>
      <c r="AO19" s="17">
        <v>0</v>
      </c>
      <c r="AP19" s="17">
        <v>1</v>
      </c>
      <c r="AQ19" s="17">
        <v>146</v>
      </c>
      <c r="AR19" s="17">
        <v>12</v>
      </c>
      <c r="AS19" s="17">
        <v>128</v>
      </c>
      <c r="AT19" s="17">
        <v>137861</v>
      </c>
      <c r="AU19" s="17">
        <v>144547</v>
      </c>
      <c r="AV19" s="17">
        <v>513258.9</v>
      </c>
      <c r="AW19" s="17">
        <v>543496.7</v>
      </c>
      <c r="AX19" s="17">
        <v>19162.6</v>
      </c>
      <c r="AY19" s="17">
        <v>19627.6</v>
      </c>
      <c r="AZ19" s="17">
        <v>151</v>
      </c>
      <c r="BA19" s="17">
        <v>142</v>
      </c>
      <c r="BB19" s="17">
        <v>153075</v>
      </c>
      <c r="BC19" s="17">
        <v>145391</v>
      </c>
      <c r="BD19" s="17">
        <v>1747</v>
      </c>
      <c r="BE19" s="17">
        <v>742</v>
      </c>
      <c r="BF19" s="17">
        <v>746</v>
      </c>
      <c r="BG19" s="17">
        <v>193519</v>
      </c>
      <c r="BH19" s="17">
        <v>59200.1</v>
      </c>
      <c r="BI19" s="17">
        <v>0</v>
      </c>
      <c r="BJ19" s="17">
        <v>0</v>
      </c>
      <c r="BK19" s="17">
        <v>0</v>
      </c>
      <c r="BL19" s="17">
        <v>0</v>
      </c>
      <c r="BM19" s="17">
        <v>0</v>
      </c>
      <c r="BN19" s="17">
        <v>0</v>
      </c>
      <c r="BO19" s="17">
        <v>0</v>
      </c>
      <c r="BP19" s="17">
        <v>0</v>
      </c>
      <c r="BQ19" s="17">
        <v>0</v>
      </c>
      <c r="BR19" s="17">
        <v>0</v>
      </c>
      <c r="BS19" s="17">
        <v>0</v>
      </c>
      <c r="BT19" s="17">
        <v>99</v>
      </c>
      <c r="BU19" s="17">
        <v>142848</v>
      </c>
      <c r="BV19" s="17">
        <v>143572</v>
      </c>
      <c r="BW19" s="17">
        <v>78562315</v>
      </c>
      <c r="BX19" s="17">
        <v>166345</v>
      </c>
      <c r="BY19" s="17">
        <v>6659</v>
      </c>
    </row>
    <row r="20" spans="1:77">
      <c r="A20" s="17" t="s">
        <v>15</v>
      </c>
      <c r="B20" s="17" t="s">
        <v>170</v>
      </c>
      <c r="C20" s="17" t="s">
        <v>179</v>
      </c>
      <c r="D20" s="17" t="s">
        <v>176</v>
      </c>
      <c r="E20" s="17">
        <v>225.4</v>
      </c>
      <c r="F20" s="17">
        <v>744</v>
      </c>
      <c r="G20" s="17">
        <v>744</v>
      </c>
      <c r="H20" s="17">
        <v>711.9</v>
      </c>
      <c r="I20" s="17">
        <v>23.6</v>
      </c>
      <c r="J20" s="17">
        <v>167698</v>
      </c>
      <c r="K20" s="17">
        <v>167698</v>
      </c>
      <c r="L20" s="17">
        <v>151538</v>
      </c>
      <c r="M20" s="17">
        <v>142073</v>
      </c>
      <c r="N20" s="17">
        <v>138449</v>
      </c>
      <c r="O20" s="17">
        <v>150347</v>
      </c>
      <c r="P20" s="17">
        <v>34297</v>
      </c>
      <c r="Q20" s="17">
        <v>30571</v>
      </c>
      <c r="R20" s="17">
        <v>5319</v>
      </c>
      <c r="S20" s="17">
        <v>4</v>
      </c>
      <c r="T20" s="17">
        <v>21</v>
      </c>
      <c r="U20" s="17">
        <v>44</v>
      </c>
      <c r="V20" s="17">
        <v>44</v>
      </c>
      <c r="W20" s="17">
        <v>423777.7</v>
      </c>
      <c r="X20" s="17">
        <v>129686.6</v>
      </c>
      <c r="Y20" s="17">
        <v>1205.6</v>
      </c>
      <c r="Z20" s="17">
        <v>316694</v>
      </c>
      <c r="AA20" s="17">
        <v>99207</v>
      </c>
      <c r="AB20" s="17">
        <v>471761</v>
      </c>
      <c r="AC20" s="17">
        <v>13634</v>
      </c>
      <c r="AD20" s="17">
        <v>2</v>
      </c>
      <c r="AE20" s="17">
        <v>68000</v>
      </c>
      <c r="AF20" s="17">
        <v>1</v>
      </c>
      <c r="AG20" s="17">
        <v>0</v>
      </c>
      <c r="AH20" s="17">
        <v>8</v>
      </c>
      <c r="AI20" s="17">
        <v>0</v>
      </c>
      <c r="AJ20" s="17">
        <v>0</v>
      </c>
      <c r="AK20" s="17">
        <v>0</v>
      </c>
      <c r="AL20" s="17">
        <v>5</v>
      </c>
      <c r="AM20" s="17">
        <v>0</v>
      </c>
      <c r="AN20" s="17">
        <v>2</v>
      </c>
      <c r="AO20" s="17">
        <v>1</v>
      </c>
      <c r="AP20" s="17">
        <v>1</v>
      </c>
      <c r="AQ20" s="17">
        <v>123</v>
      </c>
      <c r="AR20" s="17">
        <v>4</v>
      </c>
      <c r="AS20" s="17">
        <v>98</v>
      </c>
      <c r="AT20" s="17">
        <v>139886</v>
      </c>
      <c r="AU20" s="17">
        <v>151878</v>
      </c>
      <c r="AV20" s="17">
        <v>526978.8</v>
      </c>
      <c r="AW20" s="17">
        <v>571061.3</v>
      </c>
      <c r="AX20" s="17">
        <v>28405.2</v>
      </c>
      <c r="AY20" s="17">
        <v>18744.5</v>
      </c>
      <c r="AZ20" s="17">
        <v>248</v>
      </c>
      <c r="BA20" s="17">
        <v>223</v>
      </c>
      <c r="BB20" s="17">
        <v>146756</v>
      </c>
      <c r="BC20" s="17">
        <v>142333</v>
      </c>
      <c r="BD20" s="17">
        <v>2489</v>
      </c>
      <c r="BE20" s="17">
        <v>1106</v>
      </c>
      <c r="BF20" s="17">
        <v>1140</v>
      </c>
      <c r="BG20" s="17">
        <v>217007.7</v>
      </c>
      <c r="BH20" s="17">
        <v>72740.3</v>
      </c>
      <c r="BI20" s="17">
        <v>0</v>
      </c>
      <c r="BJ20" s="17">
        <v>0</v>
      </c>
      <c r="BK20" s="17">
        <v>0</v>
      </c>
      <c r="BL20" s="17">
        <v>0</v>
      </c>
      <c r="BM20" s="17">
        <v>1</v>
      </c>
      <c r="BN20" s="17">
        <v>0</v>
      </c>
      <c r="BO20" s="17">
        <v>0</v>
      </c>
      <c r="BP20" s="17">
        <v>0</v>
      </c>
      <c r="BQ20" s="17">
        <v>0</v>
      </c>
      <c r="BR20" s="17">
        <v>0</v>
      </c>
      <c r="BS20" s="17">
        <v>0</v>
      </c>
      <c r="BT20" s="17">
        <v>99</v>
      </c>
      <c r="BU20" s="17">
        <v>151066</v>
      </c>
      <c r="BV20" s="17">
        <v>152573</v>
      </c>
      <c r="BW20" s="17">
        <v>74498932</v>
      </c>
      <c r="BX20" s="17">
        <v>167698</v>
      </c>
      <c r="BY20" s="17">
        <v>4955</v>
      </c>
    </row>
    <row r="21" spans="1:77">
      <c r="A21" s="17" t="s">
        <v>15</v>
      </c>
      <c r="B21" s="17" t="s">
        <v>170</v>
      </c>
      <c r="C21" s="17" t="s">
        <v>179</v>
      </c>
      <c r="D21" s="17" t="s">
        <v>177</v>
      </c>
      <c r="E21" s="17">
        <v>225.4</v>
      </c>
      <c r="F21" s="17">
        <v>720</v>
      </c>
      <c r="G21" s="17">
        <v>719</v>
      </c>
      <c r="H21" s="17">
        <v>695.4</v>
      </c>
      <c r="I21" s="17">
        <v>12.3</v>
      </c>
      <c r="J21" s="17">
        <v>162063</v>
      </c>
      <c r="K21" s="17">
        <v>162288</v>
      </c>
      <c r="L21" s="17">
        <v>140379</v>
      </c>
      <c r="M21" s="17">
        <v>145600</v>
      </c>
      <c r="N21" s="17">
        <v>139711</v>
      </c>
      <c r="O21" s="17">
        <v>154604</v>
      </c>
      <c r="P21" s="17">
        <v>36789</v>
      </c>
      <c r="Q21" s="17">
        <v>31527</v>
      </c>
      <c r="R21" s="17">
        <v>2772</v>
      </c>
      <c r="S21" s="17">
        <v>2</v>
      </c>
      <c r="T21" s="17">
        <v>8.800000000000001</v>
      </c>
      <c r="U21" s="17">
        <v>58</v>
      </c>
      <c r="V21" s="17">
        <v>58</v>
      </c>
      <c r="W21" s="17">
        <v>365860.2</v>
      </c>
      <c r="X21" s="17">
        <v>97272</v>
      </c>
      <c r="Y21" s="17">
        <v>1454.1</v>
      </c>
      <c r="Z21" s="17">
        <v>346844</v>
      </c>
      <c r="AA21" s="17">
        <v>91566</v>
      </c>
      <c r="AB21" s="17">
        <v>496742</v>
      </c>
      <c r="AC21" s="17">
        <v>2939</v>
      </c>
      <c r="AD21" s="17">
        <v>1</v>
      </c>
      <c r="AE21" s="17">
        <v>69000</v>
      </c>
      <c r="AF21" s="17">
        <v>1</v>
      </c>
      <c r="AG21" s="17">
        <v>0</v>
      </c>
      <c r="AH21" s="17">
        <v>9</v>
      </c>
      <c r="AI21" s="17">
        <v>0</v>
      </c>
      <c r="AJ21" s="17">
        <v>0</v>
      </c>
      <c r="AK21" s="17">
        <v>0</v>
      </c>
      <c r="AL21" s="17">
        <v>8</v>
      </c>
      <c r="AM21" s="17">
        <v>2</v>
      </c>
      <c r="AN21" s="17">
        <v>0</v>
      </c>
      <c r="AO21" s="17">
        <v>0</v>
      </c>
      <c r="AP21" s="17">
        <v>1</v>
      </c>
      <c r="AQ21" s="17">
        <v>214</v>
      </c>
      <c r="AR21" s="17">
        <v>16</v>
      </c>
      <c r="AS21" s="17">
        <v>68</v>
      </c>
      <c r="AT21" s="17">
        <v>135965</v>
      </c>
      <c r="AU21" s="17">
        <v>140098</v>
      </c>
      <c r="AV21" s="17">
        <v>508764.6</v>
      </c>
      <c r="AW21" s="17">
        <v>526768.5</v>
      </c>
      <c r="AX21" s="17">
        <v>21839.8</v>
      </c>
      <c r="AY21" s="17">
        <v>19282.9</v>
      </c>
      <c r="AZ21" s="17">
        <v>290</v>
      </c>
      <c r="BA21" s="17">
        <v>268</v>
      </c>
      <c r="BB21" s="17">
        <v>150109</v>
      </c>
      <c r="BC21" s="17">
        <v>146024</v>
      </c>
      <c r="BD21" s="17">
        <v>907</v>
      </c>
      <c r="BE21" s="17">
        <v>1232</v>
      </c>
      <c r="BF21" s="17">
        <v>1261</v>
      </c>
      <c r="BG21" s="17">
        <v>209913.3</v>
      </c>
      <c r="BH21" s="17">
        <v>64451.6</v>
      </c>
      <c r="BI21" s="17">
        <v>0</v>
      </c>
      <c r="BJ21" s="17">
        <v>0</v>
      </c>
      <c r="BK21" s="17">
        <v>1</v>
      </c>
      <c r="BL21" s="17">
        <v>0</v>
      </c>
      <c r="BM21" s="17">
        <v>0</v>
      </c>
      <c r="BN21" s="17">
        <v>0</v>
      </c>
      <c r="BO21" s="17">
        <v>0</v>
      </c>
      <c r="BP21" s="17">
        <v>0</v>
      </c>
      <c r="BQ21" s="17">
        <v>0</v>
      </c>
      <c r="BR21" s="17">
        <v>0</v>
      </c>
      <c r="BS21" s="17">
        <v>0</v>
      </c>
      <c r="BT21" s="17">
        <v>99</v>
      </c>
      <c r="BU21" s="17">
        <v>141499</v>
      </c>
      <c r="BV21" s="17">
        <v>143032</v>
      </c>
      <c r="BW21" s="17">
        <v>79830315</v>
      </c>
      <c r="BX21" s="17">
        <v>162063</v>
      </c>
      <c r="BY21" s="17">
        <v>2511</v>
      </c>
    </row>
    <row r="22" spans="1:77">
      <c r="A22" s="17" t="s">
        <v>15</v>
      </c>
      <c r="B22" s="17" t="s">
        <v>180</v>
      </c>
      <c r="C22" s="17" t="s">
        <v>181</v>
      </c>
      <c r="D22" s="17" t="s">
        <v>172</v>
      </c>
      <c r="E22" s="17">
        <v>126.8</v>
      </c>
      <c r="F22" s="17">
        <v>720</v>
      </c>
      <c r="G22" s="17">
        <v>717</v>
      </c>
      <c r="H22" s="17">
        <v>688.4</v>
      </c>
      <c r="I22" s="17">
        <v>13.3</v>
      </c>
      <c r="J22" s="17">
        <v>90916</v>
      </c>
      <c r="K22" s="17">
        <v>91296</v>
      </c>
      <c r="L22" s="17">
        <v>79171</v>
      </c>
      <c r="M22" s="17">
        <v>79525</v>
      </c>
      <c r="N22" s="17">
        <v>77084</v>
      </c>
      <c r="O22" s="17">
        <v>83058</v>
      </c>
      <c r="P22" s="17">
        <v>18101</v>
      </c>
      <c r="Q22" s="17">
        <v>16015</v>
      </c>
      <c r="R22" s="17">
        <v>1686</v>
      </c>
      <c r="S22" s="17">
        <v>2</v>
      </c>
      <c r="T22" s="17">
        <v>6.8</v>
      </c>
      <c r="U22" s="17">
        <v>46</v>
      </c>
      <c r="V22" s="17">
        <v>43</v>
      </c>
      <c r="W22" s="17">
        <v>238202.9</v>
      </c>
      <c r="X22" s="17">
        <v>62768.6</v>
      </c>
      <c r="Y22" s="17">
        <v>1114.8</v>
      </c>
      <c r="Z22" s="17">
        <v>186852</v>
      </c>
      <c r="AA22" s="17">
        <v>47773</v>
      </c>
      <c r="AB22" s="17">
        <v>263207</v>
      </c>
      <c r="AC22" s="17">
        <v>29</v>
      </c>
      <c r="AD22" s="17">
        <v>0</v>
      </c>
      <c r="AE22" s="17">
        <v>82000</v>
      </c>
      <c r="AF22" s="17">
        <v>0</v>
      </c>
      <c r="AG22" s="17">
        <v>0</v>
      </c>
      <c r="AH22" s="17">
        <v>5</v>
      </c>
      <c r="AI22" s="17">
        <v>0</v>
      </c>
      <c r="AJ22" s="17">
        <v>0</v>
      </c>
      <c r="AK22" s="17">
        <v>0</v>
      </c>
      <c r="AL22" s="17">
        <v>14</v>
      </c>
      <c r="AM22" s="17">
        <v>4</v>
      </c>
      <c r="AN22" s="17">
        <v>2</v>
      </c>
      <c r="AO22" s="17">
        <v>1</v>
      </c>
      <c r="AP22" s="17">
        <v>2</v>
      </c>
      <c r="AQ22" s="17">
        <v>243</v>
      </c>
      <c r="AR22" s="17">
        <v>21</v>
      </c>
      <c r="AS22" s="17">
        <v>369</v>
      </c>
      <c r="AT22" s="17">
        <v>78225</v>
      </c>
      <c r="AU22" s="17">
        <v>79795</v>
      </c>
      <c r="AV22" s="17">
        <v>292752.8</v>
      </c>
      <c r="AW22" s="17">
        <v>300029.2</v>
      </c>
      <c r="AX22" s="17">
        <v>12037.8</v>
      </c>
      <c r="AY22" s="17">
        <v>10982</v>
      </c>
      <c r="AZ22" s="17">
        <v>185</v>
      </c>
      <c r="BA22" s="17">
        <v>171</v>
      </c>
      <c r="BB22" s="17">
        <v>85445</v>
      </c>
      <c r="BC22" s="17">
        <v>81285</v>
      </c>
      <c r="BD22" s="17">
        <v>817</v>
      </c>
      <c r="BE22" s="17">
        <v>910</v>
      </c>
      <c r="BF22" s="17">
        <v>944</v>
      </c>
      <c r="BG22" s="17">
        <v>138709</v>
      </c>
      <c r="BH22" s="17">
        <v>42357</v>
      </c>
      <c r="BI22" s="17">
        <v>0</v>
      </c>
      <c r="BJ22" s="17">
        <v>1</v>
      </c>
      <c r="BK22" s="17">
        <v>0</v>
      </c>
      <c r="BL22" s="17">
        <v>0</v>
      </c>
      <c r="BM22" s="17">
        <v>0</v>
      </c>
      <c r="BN22" s="17">
        <v>0</v>
      </c>
      <c r="BO22" s="17">
        <v>0</v>
      </c>
      <c r="BP22" s="17">
        <v>0</v>
      </c>
      <c r="BQ22" s="17">
        <v>0</v>
      </c>
      <c r="BR22" s="17">
        <v>0</v>
      </c>
      <c r="BS22" s="17">
        <v>0</v>
      </c>
      <c r="BT22" s="17">
        <v>99</v>
      </c>
      <c r="BU22" s="17">
        <v>80201</v>
      </c>
      <c r="BV22" s="17">
        <v>80236</v>
      </c>
      <c r="BW22" s="17">
        <v>22408244</v>
      </c>
      <c r="BX22" s="17">
        <v>90916</v>
      </c>
      <c r="BY22" s="17">
        <v>1762</v>
      </c>
    </row>
    <row r="23" spans="1:77">
      <c r="A23" s="17" t="s">
        <v>15</v>
      </c>
      <c r="B23" s="17" t="s">
        <v>180</v>
      </c>
      <c r="C23" s="17" t="s">
        <v>181</v>
      </c>
      <c r="D23" s="17" t="s">
        <v>173</v>
      </c>
      <c r="E23" s="17">
        <v>126.8</v>
      </c>
      <c r="F23" s="17">
        <v>744</v>
      </c>
      <c r="G23" s="17">
        <v>744</v>
      </c>
      <c r="H23" s="17">
        <v>690.2</v>
      </c>
      <c r="I23" s="17">
        <v>40.9</v>
      </c>
      <c r="J23" s="17">
        <v>94339</v>
      </c>
      <c r="K23" s="17">
        <v>94339</v>
      </c>
      <c r="L23" s="17">
        <v>84525</v>
      </c>
      <c r="M23" s="17">
        <v>77136</v>
      </c>
      <c r="N23" s="17">
        <v>76321</v>
      </c>
      <c r="O23" s="17">
        <v>83199</v>
      </c>
      <c r="P23" s="17">
        <v>16003</v>
      </c>
      <c r="Q23" s="17">
        <v>14046</v>
      </c>
      <c r="R23" s="17">
        <v>5186</v>
      </c>
      <c r="S23" s="17">
        <v>4</v>
      </c>
      <c r="T23" s="17">
        <v>31.1</v>
      </c>
      <c r="U23" s="17">
        <v>39</v>
      </c>
      <c r="V23" s="17">
        <v>39</v>
      </c>
      <c r="W23" s="17">
        <v>233996.7</v>
      </c>
      <c r="X23" s="17">
        <v>64991.9</v>
      </c>
      <c r="Y23" s="17">
        <v>1447.4</v>
      </c>
      <c r="Z23" s="17">
        <v>165220</v>
      </c>
      <c r="AA23" s="17">
        <v>55497</v>
      </c>
      <c r="AB23" s="17">
        <v>234243</v>
      </c>
      <c r="AC23" s="17">
        <v>10015</v>
      </c>
      <c r="AD23" s="17">
        <v>0</v>
      </c>
      <c r="AE23" s="17">
        <v>78000</v>
      </c>
      <c r="AF23" s="17">
        <v>2</v>
      </c>
      <c r="AG23" s="17">
        <v>0</v>
      </c>
      <c r="AH23" s="17">
        <v>8</v>
      </c>
      <c r="AI23" s="17">
        <v>0</v>
      </c>
      <c r="AJ23" s="17">
        <v>0</v>
      </c>
      <c r="AK23" s="17">
        <v>0</v>
      </c>
      <c r="AL23" s="17">
        <v>14</v>
      </c>
      <c r="AM23" s="17">
        <v>4</v>
      </c>
      <c r="AN23" s="17">
        <v>1</v>
      </c>
      <c r="AO23" s="17">
        <v>1</v>
      </c>
      <c r="AP23" s="17">
        <v>2</v>
      </c>
      <c r="AQ23" s="17">
        <v>142</v>
      </c>
      <c r="AR23" s="17">
        <v>12</v>
      </c>
      <c r="AS23" s="17">
        <v>339</v>
      </c>
      <c r="AT23" s="17">
        <v>76384</v>
      </c>
      <c r="AU23" s="17">
        <v>84435</v>
      </c>
      <c r="AV23" s="17">
        <v>286207.4</v>
      </c>
      <c r="AW23" s="17">
        <v>317475.6</v>
      </c>
      <c r="AX23" s="17">
        <v>12579.9</v>
      </c>
      <c r="AY23" s="17">
        <v>10522.7</v>
      </c>
      <c r="AZ23" s="17">
        <v>256</v>
      </c>
      <c r="BA23" s="17">
        <v>244</v>
      </c>
      <c r="BB23" s="17">
        <v>81385</v>
      </c>
      <c r="BC23" s="17">
        <v>76900</v>
      </c>
      <c r="BD23" s="17">
        <v>1273</v>
      </c>
      <c r="BE23" s="17">
        <v>868</v>
      </c>
      <c r="BF23" s="17">
        <v>864</v>
      </c>
      <c r="BG23" s="17">
        <v>134793.4</v>
      </c>
      <c r="BH23" s="17">
        <v>42151.6</v>
      </c>
      <c r="BI23" s="17">
        <v>0</v>
      </c>
      <c r="BJ23" s="17">
        <v>1</v>
      </c>
      <c r="BK23" s="17">
        <v>0</v>
      </c>
      <c r="BL23" s="17">
        <v>0</v>
      </c>
      <c r="BM23" s="17">
        <v>0</v>
      </c>
      <c r="BN23" s="17">
        <v>0</v>
      </c>
      <c r="BO23" s="17">
        <v>1</v>
      </c>
      <c r="BP23" s="17">
        <v>0</v>
      </c>
      <c r="BQ23" s="17">
        <v>0</v>
      </c>
      <c r="BR23" s="17">
        <v>0</v>
      </c>
      <c r="BS23" s="17">
        <v>0</v>
      </c>
      <c r="BT23" s="17">
        <v>99</v>
      </c>
      <c r="BU23" s="17">
        <v>84694</v>
      </c>
      <c r="BV23" s="17">
        <v>86072</v>
      </c>
      <c r="BW23" s="17">
        <v>29628619</v>
      </c>
      <c r="BX23" s="17">
        <v>94339</v>
      </c>
      <c r="BY23" s="17">
        <v>5194</v>
      </c>
    </row>
    <row r="24" spans="1:77">
      <c r="A24" s="17" t="s">
        <v>15</v>
      </c>
      <c r="B24" s="17" t="s">
        <v>180</v>
      </c>
      <c r="C24" s="17" t="s">
        <v>181</v>
      </c>
      <c r="D24" s="17" t="s">
        <v>174</v>
      </c>
      <c r="E24" s="17">
        <v>126.8</v>
      </c>
      <c r="F24" s="17">
        <v>720</v>
      </c>
      <c r="G24" s="17">
        <v>715</v>
      </c>
      <c r="H24" s="17">
        <v>673.8</v>
      </c>
      <c r="I24" s="17">
        <v>33.6</v>
      </c>
      <c r="J24" s="17">
        <v>90662</v>
      </c>
      <c r="K24" s="17">
        <v>91296</v>
      </c>
      <c r="L24" s="17">
        <v>81891</v>
      </c>
      <c r="M24" s="17">
        <v>77095</v>
      </c>
      <c r="N24" s="17">
        <v>75177</v>
      </c>
      <c r="O24" s="17">
        <v>82906</v>
      </c>
      <c r="P24" s="17">
        <v>14930</v>
      </c>
      <c r="Q24" s="17">
        <v>13568</v>
      </c>
      <c r="R24" s="17">
        <v>4260</v>
      </c>
      <c r="S24" s="17">
        <v>3</v>
      </c>
      <c r="T24" s="17">
        <v>25.4</v>
      </c>
      <c r="U24" s="17">
        <v>57</v>
      </c>
      <c r="V24" s="17">
        <v>54</v>
      </c>
      <c r="W24" s="17">
        <v>245128.1</v>
      </c>
      <c r="X24" s="17">
        <v>77698.3</v>
      </c>
      <c r="Y24" s="17">
        <v>915.1</v>
      </c>
      <c r="Z24" s="17">
        <v>135852</v>
      </c>
      <c r="AA24" s="17">
        <v>41790</v>
      </c>
      <c r="AB24" s="17">
        <v>240232</v>
      </c>
      <c r="AC24" s="17">
        <v>6867</v>
      </c>
      <c r="AD24" s="17">
        <v>0</v>
      </c>
      <c r="AE24" s="17">
        <v>61000</v>
      </c>
      <c r="AF24" s="17">
        <v>0</v>
      </c>
      <c r="AG24" s="17">
        <v>0</v>
      </c>
      <c r="AH24" s="17">
        <v>11</v>
      </c>
      <c r="AI24" s="17">
        <v>0</v>
      </c>
      <c r="AJ24" s="17">
        <v>0</v>
      </c>
      <c r="AK24" s="17">
        <v>0</v>
      </c>
      <c r="AL24" s="17">
        <v>7</v>
      </c>
      <c r="AM24" s="17">
        <v>1</v>
      </c>
      <c r="AN24" s="17">
        <v>2</v>
      </c>
      <c r="AO24" s="17">
        <v>2</v>
      </c>
      <c r="AP24" s="17">
        <v>0</v>
      </c>
      <c r="AQ24" s="17">
        <v>162</v>
      </c>
      <c r="AR24" s="17">
        <v>12</v>
      </c>
      <c r="AS24" s="17">
        <v>309</v>
      </c>
      <c r="AT24" s="17">
        <v>73486</v>
      </c>
      <c r="AU24" s="17">
        <v>81728</v>
      </c>
      <c r="AV24" s="17">
        <v>279181.4</v>
      </c>
      <c r="AW24" s="17">
        <v>307297.3</v>
      </c>
      <c r="AX24" s="17">
        <v>13248</v>
      </c>
      <c r="AY24" s="17">
        <v>10780</v>
      </c>
      <c r="AZ24" s="17">
        <v>260</v>
      </c>
      <c r="BA24" s="17">
        <v>244</v>
      </c>
      <c r="BB24" s="17">
        <v>82921</v>
      </c>
      <c r="BC24" s="17">
        <v>80610</v>
      </c>
      <c r="BD24" s="17">
        <v>1193</v>
      </c>
      <c r="BE24" s="17">
        <v>616</v>
      </c>
      <c r="BF24" s="17">
        <v>612</v>
      </c>
      <c r="BG24" s="17">
        <v>125625</v>
      </c>
      <c r="BH24" s="17">
        <v>45178.6</v>
      </c>
      <c r="BI24" s="17">
        <v>0</v>
      </c>
      <c r="BJ24" s="17">
        <v>0</v>
      </c>
      <c r="BK24" s="17">
        <v>0</v>
      </c>
      <c r="BL24" s="17">
        <v>0</v>
      </c>
      <c r="BM24" s="17">
        <v>1</v>
      </c>
      <c r="BN24" s="17">
        <v>0</v>
      </c>
      <c r="BO24" s="17">
        <v>0</v>
      </c>
      <c r="BP24" s="17">
        <v>0</v>
      </c>
      <c r="BQ24" s="17">
        <v>0</v>
      </c>
      <c r="BR24" s="17">
        <v>0</v>
      </c>
      <c r="BS24" s="17">
        <v>0</v>
      </c>
      <c r="BT24" s="17">
        <v>99</v>
      </c>
      <c r="BU24" s="17">
        <v>82984</v>
      </c>
      <c r="BV24" s="17">
        <v>84868</v>
      </c>
      <c r="BW24" s="17">
        <v>28287238</v>
      </c>
      <c r="BX24" s="17">
        <v>90662</v>
      </c>
      <c r="BY24" s="17">
        <v>3740</v>
      </c>
    </row>
    <row r="25" spans="1:77">
      <c r="A25" s="17" t="s">
        <v>15</v>
      </c>
      <c r="B25" s="17" t="s">
        <v>180</v>
      </c>
      <c r="C25" s="17" t="s">
        <v>181</v>
      </c>
      <c r="D25" s="17" t="s">
        <v>175</v>
      </c>
      <c r="E25" s="17">
        <v>126.8</v>
      </c>
      <c r="F25" s="17">
        <v>744</v>
      </c>
      <c r="G25" s="17">
        <v>741</v>
      </c>
      <c r="H25" s="17">
        <v>708.1</v>
      </c>
      <c r="I25" s="17">
        <v>22</v>
      </c>
      <c r="J25" s="17">
        <v>93959</v>
      </c>
      <c r="K25" s="17">
        <v>94339</v>
      </c>
      <c r="L25" s="17">
        <v>82701</v>
      </c>
      <c r="M25" s="17">
        <v>79759</v>
      </c>
      <c r="N25" s="17">
        <v>77695</v>
      </c>
      <c r="O25" s="17">
        <v>82058</v>
      </c>
      <c r="P25" s="17">
        <v>17436</v>
      </c>
      <c r="Q25" s="17">
        <v>14929</v>
      </c>
      <c r="R25" s="17">
        <v>2790</v>
      </c>
      <c r="S25" s="17">
        <v>4</v>
      </c>
      <c r="T25" s="17">
        <v>15.4</v>
      </c>
      <c r="U25" s="17">
        <v>51</v>
      </c>
      <c r="V25" s="17">
        <v>49</v>
      </c>
      <c r="W25" s="17">
        <v>257344</v>
      </c>
      <c r="X25" s="17">
        <v>81305.8</v>
      </c>
      <c r="Y25" s="17">
        <v>1342.1</v>
      </c>
      <c r="Z25" s="17">
        <v>154581</v>
      </c>
      <c r="AA25" s="17">
        <v>45272</v>
      </c>
      <c r="AB25" s="17">
        <v>243309</v>
      </c>
      <c r="AC25" s="17">
        <v>5005</v>
      </c>
      <c r="AD25" s="17">
        <v>1</v>
      </c>
      <c r="AE25" s="17">
        <v>62000</v>
      </c>
      <c r="AF25" s="17">
        <v>0</v>
      </c>
      <c r="AG25" s="17">
        <v>1</v>
      </c>
      <c r="AH25" s="17">
        <v>4</v>
      </c>
      <c r="AI25" s="17">
        <v>0</v>
      </c>
      <c r="AJ25" s="17">
        <v>1</v>
      </c>
      <c r="AK25" s="17">
        <v>0</v>
      </c>
      <c r="AL25" s="17">
        <v>13</v>
      </c>
      <c r="AM25" s="17">
        <v>2</v>
      </c>
      <c r="AN25" s="17">
        <v>0</v>
      </c>
      <c r="AO25" s="17">
        <v>0</v>
      </c>
      <c r="AP25" s="17">
        <v>1</v>
      </c>
      <c r="AQ25" s="17">
        <v>184</v>
      </c>
      <c r="AR25" s="17">
        <v>16</v>
      </c>
      <c r="AS25" s="17">
        <v>279</v>
      </c>
      <c r="AT25" s="17">
        <v>77247</v>
      </c>
      <c r="AU25" s="17">
        <v>82056</v>
      </c>
      <c r="AV25" s="17">
        <v>291169.2</v>
      </c>
      <c r="AW25" s="17">
        <v>308530.6</v>
      </c>
      <c r="AX25" s="17">
        <v>13722.7</v>
      </c>
      <c r="AY25" s="17">
        <v>11010.1</v>
      </c>
      <c r="AZ25" s="17">
        <v>185</v>
      </c>
      <c r="BA25" s="17">
        <v>171</v>
      </c>
      <c r="BB25" s="17">
        <v>79610</v>
      </c>
      <c r="BC25" s="17">
        <v>75439</v>
      </c>
      <c r="BD25" s="17">
        <v>478</v>
      </c>
      <c r="BE25" s="17">
        <v>966</v>
      </c>
      <c r="BF25" s="17">
        <v>950</v>
      </c>
      <c r="BG25" s="17">
        <v>140730.1</v>
      </c>
      <c r="BH25" s="17">
        <v>45590.2</v>
      </c>
      <c r="BI25" s="17">
        <v>0</v>
      </c>
      <c r="BJ25" s="17">
        <v>0</v>
      </c>
      <c r="BK25" s="17">
        <v>1</v>
      </c>
      <c r="BL25" s="17">
        <v>0</v>
      </c>
      <c r="BM25" s="17">
        <v>1</v>
      </c>
      <c r="BN25" s="17">
        <v>0</v>
      </c>
      <c r="BO25" s="17">
        <v>0</v>
      </c>
      <c r="BP25" s="17">
        <v>0</v>
      </c>
      <c r="BQ25" s="17">
        <v>0</v>
      </c>
      <c r="BR25" s="17">
        <v>0</v>
      </c>
      <c r="BS25" s="17">
        <v>0</v>
      </c>
      <c r="BT25" s="17">
        <v>99</v>
      </c>
      <c r="BU25" s="17">
        <v>83335</v>
      </c>
      <c r="BV25" s="17">
        <v>83508</v>
      </c>
      <c r="BW25" s="17">
        <v>27394770</v>
      </c>
      <c r="BX25" s="17">
        <v>93959</v>
      </c>
      <c r="BY25" s="17">
        <v>3147</v>
      </c>
    </row>
    <row r="26" spans="1:77">
      <c r="A26" s="17" t="s">
        <v>15</v>
      </c>
      <c r="B26" s="17" t="s">
        <v>180</v>
      </c>
      <c r="C26" s="17" t="s">
        <v>181</v>
      </c>
      <c r="D26" s="17" t="s">
        <v>176</v>
      </c>
      <c r="E26" s="17">
        <v>126.8</v>
      </c>
      <c r="F26" s="17">
        <v>744</v>
      </c>
      <c r="G26" s="17">
        <v>679</v>
      </c>
      <c r="H26" s="17">
        <v>649.4</v>
      </c>
      <c r="I26" s="17">
        <v>9.4</v>
      </c>
      <c r="J26" s="17">
        <v>86097</v>
      </c>
      <c r="K26" s="17">
        <v>94339</v>
      </c>
      <c r="L26" s="17">
        <v>76728</v>
      </c>
      <c r="M26" s="17">
        <v>78482</v>
      </c>
      <c r="N26" s="17">
        <v>77594</v>
      </c>
      <c r="O26" s="17">
        <v>84729</v>
      </c>
      <c r="P26" s="17">
        <v>18910</v>
      </c>
      <c r="Q26" s="17">
        <v>16857</v>
      </c>
      <c r="R26" s="17">
        <v>1192</v>
      </c>
      <c r="S26" s="17">
        <v>1</v>
      </c>
      <c r="T26" s="17">
        <v>4.1</v>
      </c>
      <c r="U26" s="17">
        <v>34</v>
      </c>
      <c r="V26" s="17">
        <v>33</v>
      </c>
      <c r="W26" s="17">
        <v>220843.7</v>
      </c>
      <c r="X26" s="17">
        <v>64490.9</v>
      </c>
      <c r="Y26" s="17">
        <v>1234.9</v>
      </c>
      <c r="Z26" s="17">
        <v>184195</v>
      </c>
      <c r="AA26" s="17">
        <v>53673</v>
      </c>
      <c r="AB26" s="17">
        <v>235582</v>
      </c>
      <c r="AC26" s="17">
        <v>806</v>
      </c>
      <c r="AD26" s="17">
        <v>0</v>
      </c>
      <c r="AE26" s="17">
        <v>70000</v>
      </c>
      <c r="AF26" s="17">
        <v>0</v>
      </c>
      <c r="AG26" s="17">
        <v>0</v>
      </c>
      <c r="AH26" s="17">
        <v>2</v>
      </c>
      <c r="AI26" s="17">
        <v>0</v>
      </c>
      <c r="AJ26" s="17">
        <v>1</v>
      </c>
      <c r="AK26" s="17">
        <v>0</v>
      </c>
      <c r="AL26" s="17">
        <v>12</v>
      </c>
      <c r="AM26" s="17">
        <v>1</v>
      </c>
      <c r="AN26" s="17">
        <v>2</v>
      </c>
      <c r="AO26" s="17">
        <v>2</v>
      </c>
      <c r="AP26" s="17">
        <v>2</v>
      </c>
      <c r="AQ26" s="17">
        <v>203</v>
      </c>
      <c r="AR26" s="17">
        <v>17</v>
      </c>
      <c r="AS26" s="17">
        <v>249</v>
      </c>
      <c r="AT26" s="17">
        <v>77529</v>
      </c>
      <c r="AU26" s="17">
        <v>76544</v>
      </c>
      <c r="AV26" s="17">
        <v>289721.3</v>
      </c>
      <c r="AW26" s="17">
        <v>287805.4</v>
      </c>
      <c r="AX26" s="17">
        <v>14166.6</v>
      </c>
      <c r="AY26" s="17">
        <v>10471.6</v>
      </c>
      <c r="AZ26" s="17">
        <v>289</v>
      </c>
      <c r="BA26" s="17">
        <v>271</v>
      </c>
      <c r="BB26" s="17">
        <v>86419</v>
      </c>
      <c r="BC26" s="17">
        <v>81593</v>
      </c>
      <c r="BD26" s="17">
        <v>1269</v>
      </c>
      <c r="BE26" s="17">
        <v>854</v>
      </c>
      <c r="BF26" s="17">
        <v>848</v>
      </c>
      <c r="BG26" s="17">
        <v>125934</v>
      </c>
      <c r="BH26" s="17">
        <v>46998.8</v>
      </c>
      <c r="BI26" s="17">
        <v>0</v>
      </c>
      <c r="BJ26" s="17">
        <v>0</v>
      </c>
      <c r="BK26" s="17">
        <v>0</v>
      </c>
      <c r="BL26" s="17">
        <v>0</v>
      </c>
      <c r="BM26" s="17">
        <v>1</v>
      </c>
      <c r="BN26" s="17">
        <v>0</v>
      </c>
      <c r="BO26" s="17">
        <v>0</v>
      </c>
      <c r="BP26" s="17">
        <v>0</v>
      </c>
      <c r="BQ26" s="17">
        <v>0</v>
      </c>
      <c r="BR26" s="17">
        <v>0</v>
      </c>
      <c r="BS26" s="17">
        <v>0</v>
      </c>
      <c r="BT26" s="17">
        <v>99</v>
      </c>
      <c r="BU26" s="17">
        <v>76557</v>
      </c>
      <c r="BV26" s="17">
        <v>77850</v>
      </c>
      <c r="BW26" s="17">
        <v>25092390</v>
      </c>
      <c r="BX26" s="17">
        <v>86097</v>
      </c>
      <c r="BY26" s="17">
        <v>1134</v>
      </c>
    </row>
    <row r="27" spans="1:77">
      <c r="A27" s="17" t="s">
        <v>15</v>
      </c>
      <c r="B27" s="17" t="s">
        <v>180</v>
      </c>
      <c r="C27" s="17" t="s">
        <v>181</v>
      </c>
      <c r="D27" s="17" t="s">
        <v>177</v>
      </c>
      <c r="E27" s="17">
        <v>126.8</v>
      </c>
      <c r="F27" s="17">
        <v>720</v>
      </c>
      <c r="G27" s="17">
        <v>718</v>
      </c>
      <c r="H27" s="17">
        <v>690.6</v>
      </c>
      <c r="I27" s="17">
        <v>10.1</v>
      </c>
      <c r="J27" s="17">
        <v>91042</v>
      </c>
      <c r="K27" s="17">
        <v>91296</v>
      </c>
      <c r="L27" s="17">
        <v>79048</v>
      </c>
      <c r="M27" s="17">
        <v>83890</v>
      </c>
      <c r="N27" s="17">
        <v>81694</v>
      </c>
      <c r="O27" s="17">
        <v>90180</v>
      </c>
      <c r="P27" s="17">
        <v>20374</v>
      </c>
      <c r="Q27" s="17">
        <v>18005</v>
      </c>
      <c r="R27" s="17">
        <v>1281</v>
      </c>
      <c r="S27" s="17">
        <v>1</v>
      </c>
      <c r="T27" s="17">
        <v>6.8</v>
      </c>
      <c r="U27" s="17">
        <v>59</v>
      </c>
      <c r="V27" s="17">
        <v>59</v>
      </c>
      <c r="W27" s="17">
        <v>266460.1</v>
      </c>
      <c r="X27" s="17">
        <v>82640.2</v>
      </c>
      <c r="Y27" s="17">
        <v>1127.6</v>
      </c>
      <c r="Z27" s="17">
        <v>178267</v>
      </c>
      <c r="AA27" s="17">
        <v>58385</v>
      </c>
      <c r="AB27" s="17">
        <v>283879</v>
      </c>
      <c r="AC27" s="17">
        <v>0</v>
      </c>
      <c r="AD27" s="17">
        <v>0</v>
      </c>
      <c r="AE27" s="17">
        <v>57000</v>
      </c>
      <c r="AF27" s="17">
        <v>0</v>
      </c>
      <c r="AG27" s="17">
        <v>0</v>
      </c>
      <c r="AH27" s="17">
        <v>3</v>
      </c>
      <c r="AI27" s="17">
        <v>0</v>
      </c>
      <c r="AJ27" s="17">
        <v>1</v>
      </c>
      <c r="AK27" s="17">
        <v>0</v>
      </c>
      <c r="AL27" s="17">
        <v>6</v>
      </c>
      <c r="AM27" s="17">
        <v>1</v>
      </c>
      <c r="AN27" s="17">
        <v>0</v>
      </c>
      <c r="AO27" s="17">
        <v>0</v>
      </c>
      <c r="AP27" s="17">
        <v>0</v>
      </c>
      <c r="AQ27" s="17">
        <v>169</v>
      </c>
      <c r="AR27" s="17">
        <v>12</v>
      </c>
      <c r="AS27" s="17">
        <v>219</v>
      </c>
      <c r="AT27" s="17">
        <v>83171</v>
      </c>
      <c r="AU27" s="17">
        <v>78942</v>
      </c>
      <c r="AV27" s="17">
        <v>310595</v>
      </c>
      <c r="AW27" s="17">
        <v>296821.9</v>
      </c>
      <c r="AX27" s="17">
        <v>16180</v>
      </c>
      <c r="AY27" s="17">
        <v>11077.3</v>
      </c>
      <c r="AZ27" s="17">
        <v>290</v>
      </c>
      <c r="BA27" s="17">
        <v>271</v>
      </c>
      <c r="BB27" s="17">
        <v>90306</v>
      </c>
      <c r="BC27" s="17">
        <v>85528</v>
      </c>
      <c r="BD27" s="17">
        <v>1378</v>
      </c>
      <c r="BE27" s="17">
        <v>1148</v>
      </c>
      <c r="BF27" s="17">
        <v>1193</v>
      </c>
      <c r="BG27" s="17">
        <v>145373</v>
      </c>
      <c r="BH27" s="17">
        <v>45358</v>
      </c>
      <c r="BI27" s="17">
        <v>0</v>
      </c>
      <c r="BJ27" s="17">
        <v>0</v>
      </c>
      <c r="BK27" s="17">
        <v>0</v>
      </c>
      <c r="BL27" s="17">
        <v>0</v>
      </c>
      <c r="BM27" s="17">
        <v>0</v>
      </c>
      <c r="BN27" s="17">
        <v>0</v>
      </c>
      <c r="BO27" s="17">
        <v>0</v>
      </c>
      <c r="BP27" s="17">
        <v>0</v>
      </c>
      <c r="BQ27" s="17">
        <v>0</v>
      </c>
      <c r="BR27" s="17">
        <v>0</v>
      </c>
      <c r="BS27" s="17">
        <v>0</v>
      </c>
      <c r="BT27" s="17">
        <v>99</v>
      </c>
      <c r="BU27" s="17">
        <v>80582</v>
      </c>
      <c r="BV27" s="17">
        <v>80307</v>
      </c>
      <c r="BW27" s="17">
        <v>23556548</v>
      </c>
      <c r="BX27" s="17">
        <v>91042</v>
      </c>
      <c r="BY27" s="17">
        <v>1421</v>
      </c>
    </row>
    <row r="28" spans="1:77">
      <c r="A28" s="17" t="s">
        <v>15</v>
      </c>
      <c r="B28" s="17" t="s">
        <v>180</v>
      </c>
      <c r="C28" s="17" t="s">
        <v>182</v>
      </c>
      <c r="D28" s="17" t="s">
        <v>172</v>
      </c>
      <c r="E28" s="17">
        <v>205</v>
      </c>
      <c r="F28" s="17">
        <v>720</v>
      </c>
      <c r="G28" s="17">
        <v>710</v>
      </c>
      <c r="H28" s="17">
        <v>684.5</v>
      </c>
      <c r="I28" s="17">
        <v>17</v>
      </c>
      <c r="J28" s="17">
        <v>145550</v>
      </c>
      <c r="K28" s="17">
        <v>147600</v>
      </c>
      <c r="L28" s="17">
        <v>129763</v>
      </c>
      <c r="M28" s="17">
        <v>135746</v>
      </c>
      <c r="N28" s="17">
        <v>129454</v>
      </c>
      <c r="O28" s="17">
        <v>144929</v>
      </c>
      <c r="P28" s="17">
        <v>32992</v>
      </c>
      <c r="Q28" s="17">
        <v>28916</v>
      </c>
      <c r="R28" s="17">
        <v>3485</v>
      </c>
      <c r="S28" s="17">
        <v>2</v>
      </c>
      <c r="T28" s="17">
        <v>13.9</v>
      </c>
      <c r="U28" s="17">
        <v>52</v>
      </c>
      <c r="V28" s="17">
        <v>48</v>
      </c>
      <c r="W28" s="17">
        <v>435077.3</v>
      </c>
      <c r="X28" s="17">
        <v>128779.7</v>
      </c>
      <c r="Y28" s="17">
        <v>1262.8</v>
      </c>
      <c r="Z28" s="17">
        <v>292639</v>
      </c>
      <c r="AA28" s="17">
        <v>86136</v>
      </c>
      <c r="AB28" s="17">
        <v>447791</v>
      </c>
      <c r="AC28" s="17">
        <v>2659</v>
      </c>
      <c r="AD28" s="17">
        <v>2</v>
      </c>
      <c r="AE28" s="17">
        <v>88000</v>
      </c>
      <c r="AF28" s="17">
        <v>2</v>
      </c>
      <c r="AG28" s="17">
        <v>0</v>
      </c>
      <c r="AH28" s="17">
        <v>3</v>
      </c>
      <c r="AI28" s="17">
        <v>0</v>
      </c>
      <c r="AJ28" s="17">
        <v>0</v>
      </c>
      <c r="AK28" s="17">
        <v>0</v>
      </c>
      <c r="AL28" s="17">
        <v>12</v>
      </c>
      <c r="AM28" s="17">
        <v>0</v>
      </c>
      <c r="AN28" s="17">
        <v>1</v>
      </c>
      <c r="AO28" s="17">
        <v>0</v>
      </c>
      <c r="AP28" s="17">
        <v>0</v>
      </c>
      <c r="AQ28" s="17">
        <v>134</v>
      </c>
      <c r="AR28" s="17">
        <v>10</v>
      </c>
      <c r="AS28" s="17">
        <v>252</v>
      </c>
      <c r="AT28" s="17">
        <v>126937</v>
      </c>
      <c r="AU28" s="17">
        <v>131046</v>
      </c>
      <c r="AV28" s="17">
        <v>474578.4</v>
      </c>
      <c r="AW28" s="17">
        <v>492733</v>
      </c>
      <c r="AX28" s="17">
        <v>24654.9</v>
      </c>
      <c r="AY28" s="17">
        <v>18002.6</v>
      </c>
      <c r="AZ28" s="17">
        <v>280</v>
      </c>
      <c r="BA28" s="17">
        <v>258</v>
      </c>
      <c r="BB28" s="17">
        <v>140973</v>
      </c>
      <c r="BC28" s="17">
        <v>132586</v>
      </c>
      <c r="BD28" s="17">
        <v>1848</v>
      </c>
      <c r="BE28" s="17">
        <v>1022</v>
      </c>
      <c r="BF28" s="17">
        <v>1097</v>
      </c>
      <c r="BG28" s="17">
        <v>253921.8</v>
      </c>
      <c r="BH28" s="17">
        <v>78167.5</v>
      </c>
      <c r="BI28" s="17">
        <v>0</v>
      </c>
      <c r="BJ28" s="17">
        <v>0</v>
      </c>
      <c r="BK28" s="17">
        <v>0</v>
      </c>
      <c r="BL28" s="17">
        <v>1</v>
      </c>
      <c r="BM28" s="17">
        <v>1</v>
      </c>
      <c r="BN28" s="17">
        <v>0</v>
      </c>
      <c r="BO28" s="17">
        <v>0</v>
      </c>
      <c r="BP28" s="17">
        <v>0</v>
      </c>
      <c r="BQ28" s="17">
        <v>0</v>
      </c>
      <c r="BR28" s="17">
        <v>0</v>
      </c>
      <c r="BS28" s="17">
        <v>0</v>
      </c>
      <c r="BT28" s="17">
        <v>99</v>
      </c>
      <c r="BU28" s="17">
        <v>129733</v>
      </c>
      <c r="BV28" s="17">
        <v>131690</v>
      </c>
      <c r="BW28" s="17">
        <v>72606958</v>
      </c>
      <c r="BX28" s="17">
        <v>145550</v>
      </c>
      <c r="BY28" s="17">
        <v>3973</v>
      </c>
    </row>
    <row r="29" spans="1:77">
      <c r="A29" s="17" t="s">
        <v>15</v>
      </c>
      <c r="B29" s="17" t="s">
        <v>180</v>
      </c>
      <c r="C29" s="17" t="s">
        <v>182</v>
      </c>
      <c r="D29" s="17" t="s">
        <v>173</v>
      </c>
      <c r="E29" s="17">
        <v>205</v>
      </c>
      <c r="F29" s="17">
        <v>744</v>
      </c>
      <c r="G29" s="17">
        <v>674</v>
      </c>
      <c r="H29" s="17">
        <v>642.5</v>
      </c>
      <c r="I29" s="17">
        <v>18.2</v>
      </c>
      <c r="J29" s="17">
        <v>138170</v>
      </c>
      <c r="K29" s="17">
        <v>152520</v>
      </c>
      <c r="L29" s="17">
        <v>121141</v>
      </c>
      <c r="M29" s="17">
        <v>127057</v>
      </c>
      <c r="N29" s="17">
        <v>121753</v>
      </c>
      <c r="O29" s="17">
        <v>132003</v>
      </c>
      <c r="P29" s="17">
        <v>24602</v>
      </c>
      <c r="Q29" s="17">
        <v>21013</v>
      </c>
      <c r="R29" s="17">
        <v>3731</v>
      </c>
      <c r="S29" s="17">
        <v>2</v>
      </c>
      <c r="T29" s="17">
        <v>9.300000000000001</v>
      </c>
      <c r="U29" s="17">
        <v>39</v>
      </c>
      <c r="V29" s="17">
        <v>36</v>
      </c>
      <c r="W29" s="17">
        <v>362340.8</v>
      </c>
      <c r="X29" s="17">
        <v>89550</v>
      </c>
      <c r="Y29" s="17">
        <v>1517.5</v>
      </c>
      <c r="Z29" s="17">
        <v>244417</v>
      </c>
      <c r="AA29" s="17">
        <v>74247</v>
      </c>
      <c r="AB29" s="17">
        <v>353899</v>
      </c>
      <c r="AC29" s="17">
        <v>0</v>
      </c>
      <c r="AD29" s="17">
        <v>0</v>
      </c>
      <c r="AE29" s="17">
        <v>79000</v>
      </c>
      <c r="AF29" s="17">
        <v>0</v>
      </c>
      <c r="AG29" s="17">
        <v>0</v>
      </c>
      <c r="AH29" s="17">
        <v>12</v>
      </c>
      <c r="AI29" s="17">
        <v>0</v>
      </c>
      <c r="AJ29" s="17">
        <v>0</v>
      </c>
      <c r="AK29" s="17">
        <v>0</v>
      </c>
      <c r="AL29" s="17">
        <v>12</v>
      </c>
      <c r="AM29" s="17">
        <v>3</v>
      </c>
      <c r="AN29" s="17">
        <v>2</v>
      </c>
      <c r="AO29" s="17">
        <v>2</v>
      </c>
      <c r="AP29" s="17">
        <v>1</v>
      </c>
      <c r="AQ29" s="17">
        <v>149</v>
      </c>
      <c r="AR29" s="17">
        <v>12</v>
      </c>
      <c r="AS29" s="17">
        <v>222</v>
      </c>
      <c r="AT29" s="17">
        <v>121779</v>
      </c>
      <c r="AU29" s="17">
        <v>122065</v>
      </c>
      <c r="AV29" s="17">
        <v>464614.6</v>
      </c>
      <c r="AW29" s="17">
        <v>458964.4</v>
      </c>
      <c r="AX29" s="17">
        <v>23636.6</v>
      </c>
      <c r="AY29" s="17">
        <v>17476.6</v>
      </c>
      <c r="AZ29" s="17">
        <v>208</v>
      </c>
      <c r="BA29" s="17">
        <v>190</v>
      </c>
      <c r="BB29" s="17">
        <v>128569</v>
      </c>
      <c r="BC29" s="17">
        <v>121230</v>
      </c>
      <c r="BD29" s="17">
        <v>631</v>
      </c>
      <c r="BE29" s="17">
        <v>602</v>
      </c>
      <c r="BF29" s="17">
        <v>628</v>
      </c>
      <c r="BG29" s="17">
        <v>216076.1</v>
      </c>
      <c r="BH29" s="17">
        <v>68076.8</v>
      </c>
      <c r="BI29" s="17">
        <v>0</v>
      </c>
      <c r="BJ29" s="17">
        <v>0</v>
      </c>
      <c r="BK29" s="17">
        <v>0</v>
      </c>
      <c r="BL29" s="17">
        <v>0</v>
      </c>
      <c r="BM29" s="17">
        <v>1</v>
      </c>
      <c r="BN29" s="17">
        <v>0</v>
      </c>
      <c r="BO29" s="17">
        <v>0</v>
      </c>
      <c r="BP29" s="17">
        <v>0</v>
      </c>
      <c r="BQ29" s="17">
        <v>0</v>
      </c>
      <c r="BR29" s="17">
        <v>0</v>
      </c>
      <c r="BS29" s="17">
        <v>0</v>
      </c>
      <c r="BT29" s="17">
        <v>99</v>
      </c>
      <c r="BU29" s="17">
        <v>121668</v>
      </c>
      <c r="BV29" s="17">
        <v>122263</v>
      </c>
      <c r="BW29" s="17">
        <v>48910799</v>
      </c>
      <c r="BX29" s="17">
        <v>138170</v>
      </c>
      <c r="BY29" s="17">
        <v>3744</v>
      </c>
    </row>
    <row r="30" spans="1:77">
      <c r="A30" s="17" t="s">
        <v>15</v>
      </c>
      <c r="B30" s="17" t="s">
        <v>180</v>
      </c>
      <c r="C30" s="17" t="s">
        <v>182</v>
      </c>
      <c r="D30" s="17" t="s">
        <v>174</v>
      </c>
      <c r="E30" s="17">
        <v>205</v>
      </c>
      <c r="F30" s="17">
        <v>720</v>
      </c>
      <c r="G30" s="17">
        <v>713</v>
      </c>
      <c r="H30" s="17">
        <v>680.7</v>
      </c>
      <c r="I30" s="17">
        <v>15.1</v>
      </c>
      <c r="J30" s="17">
        <v>146165</v>
      </c>
      <c r="K30" s="17">
        <v>147600</v>
      </c>
      <c r="L30" s="17">
        <v>131151</v>
      </c>
      <c r="M30" s="17">
        <v>125961</v>
      </c>
      <c r="N30" s="17">
        <v>123027</v>
      </c>
      <c r="O30" s="17">
        <v>137718</v>
      </c>
      <c r="P30" s="17">
        <v>26078</v>
      </c>
      <c r="Q30" s="17">
        <v>23615</v>
      </c>
      <c r="R30" s="17">
        <v>3096</v>
      </c>
      <c r="S30" s="17">
        <v>3</v>
      </c>
      <c r="T30" s="17">
        <v>12</v>
      </c>
      <c r="U30" s="17">
        <v>38</v>
      </c>
      <c r="V30" s="17">
        <v>37</v>
      </c>
      <c r="W30" s="17">
        <v>411518.7</v>
      </c>
      <c r="X30" s="17">
        <v>126359</v>
      </c>
      <c r="Y30" s="17">
        <v>1457</v>
      </c>
      <c r="Z30" s="17">
        <v>277551</v>
      </c>
      <c r="AA30" s="17">
        <v>89682</v>
      </c>
      <c r="AB30" s="17">
        <v>432290</v>
      </c>
      <c r="AC30" s="17">
        <v>11194</v>
      </c>
      <c r="AD30" s="17">
        <v>2</v>
      </c>
      <c r="AE30" s="17">
        <v>64000</v>
      </c>
      <c r="AF30" s="17">
        <v>2</v>
      </c>
      <c r="AG30" s="17">
        <v>0</v>
      </c>
      <c r="AH30" s="17">
        <v>6</v>
      </c>
      <c r="AI30" s="17">
        <v>0</v>
      </c>
      <c r="AJ30" s="17">
        <v>0</v>
      </c>
      <c r="AK30" s="17">
        <v>1</v>
      </c>
      <c r="AL30" s="17">
        <v>3</v>
      </c>
      <c r="AM30" s="17">
        <v>1</v>
      </c>
      <c r="AN30" s="17">
        <v>0</v>
      </c>
      <c r="AO30" s="17">
        <v>0</v>
      </c>
      <c r="AP30" s="17">
        <v>0</v>
      </c>
      <c r="AQ30" s="17">
        <v>249</v>
      </c>
      <c r="AR30" s="17">
        <v>18</v>
      </c>
      <c r="AS30" s="17">
        <v>192</v>
      </c>
      <c r="AT30" s="17">
        <v>122701</v>
      </c>
      <c r="AU30" s="17">
        <v>131018</v>
      </c>
      <c r="AV30" s="17">
        <v>463267.7</v>
      </c>
      <c r="AW30" s="17">
        <v>492627.7</v>
      </c>
      <c r="AX30" s="17">
        <v>26455.3</v>
      </c>
      <c r="AY30" s="17">
        <v>17493.2</v>
      </c>
      <c r="AZ30" s="17">
        <v>187</v>
      </c>
      <c r="BA30" s="17">
        <v>170</v>
      </c>
      <c r="BB30" s="17">
        <v>133988</v>
      </c>
      <c r="BC30" s="17">
        <v>130452</v>
      </c>
      <c r="BD30" s="17">
        <v>617</v>
      </c>
      <c r="BE30" s="17">
        <v>1134</v>
      </c>
      <c r="BF30" s="17">
        <v>1202</v>
      </c>
      <c r="BG30" s="17">
        <v>242243.9</v>
      </c>
      <c r="BH30" s="17">
        <v>89931.10000000001</v>
      </c>
      <c r="BI30" s="17">
        <v>0</v>
      </c>
      <c r="BJ30" s="17">
        <v>1</v>
      </c>
      <c r="BK30" s="17">
        <v>1</v>
      </c>
      <c r="BL30" s="17">
        <v>1</v>
      </c>
      <c r="BM30" s="17">
        <v>1</v>
      </c>
      <c r="BN30" s="17">
        <v>0</v>
      </c>
      <c r="BO30" s="17">
        <v>0</v>
      </c>
      <c r="BP30" s="17">
        <v>0</v>
      </c>
      <c r="BQ30" s="17">
        <v>0</v>
      </c>
      <c r="BR30" s="17">
        <v>0</v>
      </c>
      <c r="BS30" s="17">
        <v>0</v>
      </c>
      <c r="BT30" s="17">
        <v>99</v>
      </c>
      <c r="BU30" s="17">
        <v>132111</v>
      </c>
      <c r="BV30" s="17">
        <v>132015</v>
      </c>
      <c r="BW30" s="17">
        <v>56526721</v>
      </c>
      <c r="BX30" s="17">
        <v>146165</v>
      </c>
      <c r="BY30" s="17">
        <v>2889</v>
      </c>
    </row>
    <row r="31" spans="1:77">
      <c r="A31" s="17" t="s">
        <v>15</v>
      </c>
      <c r="B31" s="17" t="s">
        <v>180</v>
      </c>
      <c r="C31" s="17" t="s">
        <v>182</v>
      </c>
      <c r="D31" s="17" t="s">
        <v>175</v>
      </c>
      <c r="E31" s="17">
        <v>205</v>
      </c>
      <c r="F31" s="17">
        <v>744</v>
      </c>
      <c r="G31" s="17">
        <v>744</v>
      </c>
      <c r="H31" s="17">
        <v>715.3</v>
      </c>
      <c r="I31" s="17">
        <v>13.1</v>
      </c>
      <c r="J31" s="17">
        <v>152520</v>
      </c>
      <c r="K31" s="17">
        <v>152520</v>
      </c>
      <c r="L31" s="17">
        <v>137952</v>
      </c>
      <c r="M31" s="17">
        <v>141931</v>
      </c>
      <c r="N31" s="17">
        <v>136982</v>
      </c>
      <c r="O31" s="17">
        <v>145102</v>
      </c>
      <c r="P31" s="17">
        <v>29563</v>
      </c>
      <c r="Q31" s="17">
        <v>26355</v>
      </c>
      <c r="R31" s="17">
        <v>2686</v>
      </c>
      <c r="S31" s="17">
        <v>1</v>
      </c>
      <c r="T31" s="17">
        <v>6</v>
      </c>
      <c r="U31" s="17">
        <v>58</v>
      </c>
      <c r="V31" s="17">
        <v>57</v>
      </c>
      <c r="W31" s="17">
        <v>444075.7</v>
      </c>
      <c r="X31" s="17">
        <v>131632.2</v>
      </c>
      <c r="Y31" s="17">
        <v>1411.4</v>
      </c>
      <c r="Z31" s="17">
        <v>285264</v>
      </c>
      <c r="AA31" s="17">
        <v>93285</v>
      </c>
      <c r="AB31" s="17">
        <v>457581</v>
      </c>
      <c r="AC31" s="17">
        <v>1175</v>
      </c>
      <c r="AD31" s="17">
        <v>0</v>
      </c>
      <c r="AE31" s="17">
        <v>65000</v>
      </c>
      <c r="AF31" s="17">
        <v>1</v>
      </c>
      <c r="AG31" s="17">
        <v>0</v>
      </c>
      <c r="AH31" s="17">
        <v>3</v>
      </c>
      <c r="AI31" s="17">
        <v>0</v>
      </c>
      <c r="AJ31" s="17">
        <v>0</v>
      </c>
      <c r="AK31" s="17">
        <v>0</v>
      </c>
      <c r="AL31" s="17">
        <v>14</v>
      </c>
      <c r="AM31" s="17">
        <v>4</v>
      </c>
      <c r="AN31" s="17">
        <v>0</v>
      </c>
      <c r="AO31" s="17">
        <v>0</v>
      </c>
      <c r="AP31" s="17">
        <v>1</v>
      </c>
      <c r="AQ31" s="17">
        <v>167</v>
      </c>
      <c r="AR31" s="17">
        <v>14</v>
      </c>
      <c r="AS31" s="17">
        <v>162</v>
      </c>
      <c r="AT31" s="17">
        <v>138862</v>
      </c>
      <c r="AU31" s="17">
        <v>137969</v>
      </c>
      <c r="AV31" s="17">
        <v>525780.3</v>
      </c>
      <c r="AW31" s="17">
        <v>518763.4</v>
      </c>
      <c r="AX31" s="17">
        <v>27030.8</v>
      </c>
      <c r="AY31" s="17">
        <v>17228.8</v>
      </c>
      <c r="AZ31" s="17">
        <v>256</v>
      </c>
      <c r="BA31" s="17">
        <v>239</v>
      </c>
      <c r="BB31" s="17">
        <v>142258</v>
      </c>
      <c r="BC31" s="17">
        <v>135171</v>
      </c>
      <c r="BD31" s="17">
        <v>660</v>
      </c>
      <c r="BE31" s="17">
        <v>910</v>
      </c>
      <c r="BF31" s="17">
        <v>898</v>
      </c>
      <c r="BG31" s="17">
        <v>243517.9</v>
      </c>
      <c r="BH31" s="17">
        <v>87017.8</v>
      </c>
      <c r="BI31" s="17">
        <v>0</v>
      </c>
      <c r="BJ31" s="17">
        <v>1</v>
      </c>
      <c r="BK31" s="17">
        <v>1</v>
      </c>
      <c r="BL31" s="17">
        <v>0</v>
      </c>
      <c r="BM31" s="17">
        <v>1</v>
      </c>
      <c r="BN31" s="17">
        <v>0</v>
      </c>
      <c r="BO31" s="17">
        <v>0</v>
      </c>
      <c r="BP31" s="17">
        <v>0</v>
      </c>
      <c r="BQ31" s="17">
        <v>0</v>
      </c>
      <c r="BR31" s="17">
        <v>0</v>
      </c>
      <c r="BS31" s="17">
        <v>0</v>
      </c>
      <c r="BT31" s="17">
        <v>99</v>
      </c>
      <c r="BU31" s="17">
        <v>140177</v>
      </c>
      <c r="BV31" s="17">
        <v>140153</v>
      </c>
      <c r="BW31" s="17">
        <v>60097020</v>
      </c>
      <c r="BX31" s="17">
        <v>152520</v>
      </c>
      <c r="BY31" s="17">
        <v>2618</v>
      </c>
    </row>
    <row r="32" spans="1:77">
      <c r="A32" s="17" t="s">
        <v>15</v>
      </c>
      <c r="B32" s="17" t="s">
        <v>180</v>
      </c>
      <c r="C32" s="17" t="s">
        <v>182</v>
      </c>
      <c r="D32" s="17" t="s">
        <v>176</v>
      </c>
      <c r="E32" s="17">
        <v>205</v>
      </c>
      <c r="F32" s="17">
        <v>744</v>
      </c>
      <c r="G32" s="17">
        <v>695</v>
      </c>
      <c r="H32" s="17">
        <v>644.6</v>
      </c>
      <c r="I32" s="17">
        <v>34.9</v>
      </c>
      <c r="J32" s="17">
        <v>142475</v>
      </c>
      <c r="K32" s="17">
        <v>152520</v>
      </c>
      <c r="L32" s="17">
        <v>126640</v>
      </c>
      <c r="M32" s="17">
        <v>125577</v>
      </c>
      <c r="N32" s="17">
        <v>123607</v>
      </c>
      <c r="O32" s="17">
        <v>138276</v>
      </c>
      <c r="P32" s="17">
        <v>32113</v>
      </c>
      <c r="Q32" s="17">
        <v>29045</v>
      </c>
      <c r="R32" s="17">
        <v>7154</v>
      </c>
      <c r="S32" s="17">
        <v>4</v>
      </c>
      <c r="T32" s="17">
        <v>30.5</v>
      </c>
      <c r="U32" s="17">
        <v>54</v>
      </c>
      <c r="V32" s="17">
        <v>54</v>
      </c>
      <c r="W32" s="17">
        <v>390308.9</v>
      </c>
      <c r="X32" s="17">
        <v>92794.10000000001</v>
      </c>
      <c r="Y32" s="17">
        <v>1470.7</v>
      </c>
      <c r="Z32" s="17">
        <v>320464</v>
      </c>
      <c r="AA32" s="17">
        <v>79520</v>
      </c>
      <c r="AB32" s="17">
        <v>439606</v>
      </c>
      <c r="AC32" s="17">
        <v>0</v>
      </c>
      <c r="AD32" s="17">
        <v>2</v>
      </c>
      <c r="AE32" s="17">
        <v>68000</v>
      </c>
      <c r="AF32" s="17">
        <v>0</v>
      </c>
      <c r="AG32" s="17">
        <v>0</v>
      </c>
      <c r="AH32" s="17">
        <v>11</v>
      </c>
      <c r="AI32" s="17">
        <v>0</v>
      </c>
      <c r="AJ32" s="17">
        <v>0</v>
      </c>
      <c r="AK32" s="17">
        <v>0</v>
      </c>
      <c r="AL32" s="17">
        <v>8</v>
      </c>
      <c r="AM32" s="17">
        <v>1</v>
      </c>
      <c r="AN32" s="17">
        <v>3</v>
      </c>
      <c r="AO32" s="17">
        <v>3</v>
      </c>
      <c r="AP32" s="17">
        <v>1</v>
      </c>
      <c r="AQ32" s="17">
        <v>185</v>
      </c>
      <c r="AR32" s="17">
        <v>11</v>
      </c>
      <c r="AS32" s="17">
        <v>132</v>
      </c>
      <c r="AT32" s="17">
        <v>122433</v>
      </c>
      <c r="AU32" s="17">
        <v>125687</v>
      </c>
      <c r="AV32" s="17">
        <v>456214</v>
      </c>
      <c r="AW32" s="17">
        <v>472583.1</v>
      </c>
      <c r="AX32" s="17">
        <v>19729.8</v>
      </c>
      <c r="AY32" s="17">
        <v>17527</v>
      </c>
      <c r="AZ32" s="17">
        <v>162</v>
      </c>
      <c r="BA32" s="17">
        <v>147</v>
      </c>
      <c r="BB32" s="17">
        <v>138383</v>
      </c>
      <c r="BC32" s="17">
        <v>134882</v>
      </c>
      <c r="BD32" s="17">
        <v>1069</v>
      </c>
      <c r="BE32" s="17">
        <v>602</v>
      </c>
      <c r="BF32" s="17">
        <v>623</v>
      </c>
      <c r="BG32" s="17">
        <v>204888.7</v>
      </c>
      <c r="BH32" s="17">
        <v>69384.7</v>
      </c>
      <c r="BI32" s="17">
        <v>0</v>
      </c>
      <c r="BJ32" s="17">
        <v>0</v>
      </c>
      <c r="BK32" s="17">
        <v>0</v>
      </c>
      <c r="BL32" s="17">
        <v>0</v>
      </c>
      <c r="BM32" s="17">
        <v>1</v>
      </c>
      <c r="BN32" s="17">
        <v>0</v>
      </c>
      <c r="BO32" s="17">
        <v>1</v>
      </c>
      <c r="BP32" s="17">
        <v>0</v>
      </c>
      <c r="BQ32" s="17">
        <v>0</v>
      </c>
      <c r="BR32" s="17">
        <v>0</v>
      </c>
      <c r="BS32" s="17">
        <v>0</v>
      </c>
      <c r="BT32" s="17">
        <v>99</v>
      </c>
      <c r="BU32" s="17">
        <v>127165</v>
      </c>
      <c r="BV32" s="17">
        <v>127020</v>
      </c>
      <c r="BW32" s="17">
        <v>65248016</v>
      </c>
      <c r="BX32" s="17">
        <v>142475</v>
      </c>
      <c r="BY32" s="17">
        <v>6469</v>
      </c>
    </row>
    <row r="33" spans="1:77">
      <c r="A33" s="17" t="s">
        <v>15</v>
      </c>
      <c r="B33" s="17" t="s">
        <v>180</v>
      </c>
      <c r="C33" s="17" t="s">
        <v>182</v>
      </c>
      <c r="D33" s="17" t="s">
        <v>177</v>
      </c>
      <c r="E33" s="17">
        <v>205</v>
      </c>
      <c r="F33" s="17">
        <v>720</v>
      </c>
      <c r="G33" s="17">
        <v>710</v>
      </c>
      <c r="H33" s="17">
        <v>689.9</v>
      </c>
      <c r="I33" s="17">
        <v>10.2</v>
      </c>
      <c r="J33" s="17">
        <v>145550</v>
      </c>
      <c r="K33" s="17">
        <v>147600</v>
      </c>
      <c r="L33" s="17">
        <v>130881</v>
      </c>
      <c r="M33" s="17">
        <v>134645</v>
      </c>
      <c r="N33" s="17">
        <v>132787</v>
      </c>
      <c r="O33" s="17">
        <v>142400</v>
      </c>
      <c r="P33" s="17">
        <v>28428</v>
      </c>
      <c r="Q33" s="17">
        <v>25111</v>
      </c>
      <c r="R33" s="17">
        <v>2091</v>
      </c>
      <c r="S33" s="17">
        <v>1</v>
      </c>
      <c r="T33" s="17">
        <v>5.2</v>
      </c>
      <c r="U33" s="17">
        <v>42</v>
      </c>
      <c r="V33" s="17">
        <v>41</v>
      </c>
      <c r="W33" s="17">
        <v>398678.1</v>
      </c>
      <c r="X33" s="17">
        <v>92193.89999999999</v>
      </c>
      <c r="Y33" s="17">
        <v>1248.5</v>
      </c>
      <c r="Z33" s="17">
        <v>299945</v>
      </c>
      <c r="AA33" s="17">
        <v>86535</v>
      </c>
      <c r="AB33" s="17">
        <v>425107</v>
      </c>
      <c r="AC33" s="17">
        <v>0</v>
      </c>
      <c r="AD33" s="17">
        <v>1</v>
      </c>
      <c r="AE33" s="17">
        <v>60000</v>
      </c>
      <c r="AF33" s="17">
        <v>0</v>
      </c>
      <c r="AG33" s="17">
        <v>1</v>
      </c>
      <c r="AH33" s="17">
        <v>9</v>
      </c>
      <c r="AI33" s="17">
        <v>0</v>
      </c>
      <c r="AJ33" s="17">
        <v>0</v>
      </c>
      <c r="AK33" s="17">
        <v>0</v>
      </c>
      <c r="AL33" s="17">
        <v>6</v>
      </c>
      <c r="AM33" s="17">
        <v>0</v>
      </c>
      <c r="AN33" s="17">
        <v>0</v>
      </c>
      <c r="AO33" s="17">
        <v>0</v>
      </c>
      <c r="AP33" s="17">
        <v>0</v>
      </c>
      <c r="AQ33" s="17">
        <v>198</v>
      </c>
      <c r="AR33" s="17">
        <v>15</v>
      </c>
      <c r="AS33" s="17">
        <v>102</v>
      </c>
      <c r="AT33" s="17">
        <v>134472</v>
      </c>
      <c r="AU33" s="17">
        <v>130597</v>
      </c>
      <c r="AV33" s="17">
        <v>506388.4</v>
      </c>
      <c r="AW33" s="17">
        <v>491044.7</v>
      </c>
      <c r="AX33" s="17">
        <v>22330.4</v>
      </c>
      <c r="AY33" s="17">
        <v>17627.7</v>
      </c>
      <c r="AZ33" s="17">
        <v>284</v>
      </c>
      <c r="BA33" s="17">
        <v>261</v>
      </c>
      <c r="BB33" s="17">
        <v>138360</v>
      </c>
      <c r="BC33" s="17">
        <v>136947</v>
      </c>
      <c r="BD33" s="17">
        <v>1389</v>
      </c>
      <c r="BE33" s="17">
        <v>868</v>
      </c>
      <c r="BF33" s="17">
        <v>926</v>
      </c>
      <c r="BG33" s="17">
        <v>229069.1</v>
      </c>
      <c r="BH33" s="17">
        <v>81412.2</v>
      </c>
      <c r="BI33" s="17">
        <v>1</v>
      </c>
      <c r="BJ33" s="17">
        <v>0</v>
      </c>
      <c r="BK33" s="17">
        <v>0</v>
      </c>
      <c r="BL33" s="17">
        <v>0</v>
      </c>
      <c r="BM33" s="17">
        <v>1</v>
      </c>
      <c r="BN33" s="17">
        <v>0</v>
      </c>
      <c r="BO33" s="17">
        <v>0</v>
      </c>
      <c r="BP33" s="17">
        <v>0</v>
      </c>
      <c r="BQ33" s="17">
        <v>0</v>
      </c>
      <c r="BR33" s="17">
        <v>0</v>
      </c>
      <c r="BS33" s="17">
        <v>0</v>
      </c>
      <c r="BT33" s="17">
        <v>99</v>
      </c>
      <c r="BU33" s="17">
        <v>133388</v>
      </c>
      <c r="BV33" s="17">
        <v>134036</v>
      </c>
      <c r="BW33" s="17">
        <v>67486316</v>
      </c>
      <c r="BX33" s="17">
        <v>145550</v>
      </c>
      <c r="BY33" s="17">
        <v>2268</v>
      </c>
    </row>
    <row r="34" spans="1:77">
      <c r="A34" s="17" t="s">
        <v>15</v>
      </c>
      <c r="B34" s="17" t="s">
        <v>180</v>
      </c>
      <c r="C34" s="17" t="s">
        <v>183</v>
      </c>
      <c r="D34" s="17" t="s">
        <v>172</v>
      </c>
      <c r="E34" s="17">
        <v>158.2</v>
      </c>
      <c r="F34" s="17">
        <v>720</v>
      </c>
      <c r="G34" s="17">
        <v>716</v>
      </c>
      <c r="H34" s="17">
        <v>694.1</v>
      </c>
      <c r="I34" s="17">
        <v>10.8</v>
      </c>
      <c r="J34" s="17">
        <v>113271</v>
      </c>
      <c r="K34" s="17">
        <v>113904</v>
      </c>
      <c r="L34" s="17">
        <v>99263</v>
      </c>
      <c r="M34" s="17">
        <v>106301</v>
      </c>
      <c r="N34" s="17">
        <v>101956</v>
      </c>
      <c r="O34" s="17">
        <v>109614</v>
      </c>
      <c r="P34" s="17">
        <v>26222</v>
      </c>
      <c r="Q34" s="17">
        <v>22359</v>
      </c>
      <c r="R34" s="17">
        <v>1709</v>
      </c>
      <c r="S34" s="17">
        <v>1</v>
      </c>
      <c r="T34" s="17">
        <v>3.1</v>
      </c>
      <c r="U34" s="17">
        <v>39</v>
      </c>
      <c r="V34" s="17">
        <v>37</v>
      </c>
      <c r="W34" s="17">
        <v>268423.8</v>
      </c>
      <c r="X34" s="17">
        <v>65884.39999999999</v>
      </c>
      <c r="Y34" s="17">
        <v>1044.7</v>
      </c>
      <c r="Z34" s="17">
        <v>209508</v>
      </c>
      <c r="AA34" s="17">
        <v>61037</v>
      </c>
      <c r="AB34" s="17">
        <v>339430</v>
      </c>
      <c r="AC34" s="17">
        <v>0</v>
      </c>
      <c r="AD34" s="17">
        <v>2</v>
      </c>
      <c r="AE34" s="17">
        <v>68000</v>
      </c>
      <c r="AF34" s="17">
        <v>0</v>
      </c>
      <c r="AG34" s="17">
        <v>0</v>
      </c>
      <c r="AH34" s="17">
        <v>10</v>
      </c>
      <c r="AI34" s="17">
        <v>0</v>
      </c>
      <c r="AJ34" s="17">
        <v>1</v>
      </c>
      <c r="AK34" s="17">
        <v>1</v>
      </c>
      <c r="AL34" s="17">
        <v>9</v>
      </c>
      <c r="AM34" s="17">
        <v>1</v>
      </c>
      <c r="AN34" s="17">
        <v>2</v>
      </c>
      <c r="AO34" s="17">
        <v>2</v>
      </c>
      <c r="AP34" s="17">
        <v>0</v>
      </c>
      <c r="AQ34" s="17">
        <v>184</v>
      </c>
      <c r="AR34" s="17">
        <v>6</v>
      </c>
      <c r="AS34" s="17">
        <v>260</v>
      </c>
      <c r="AT34" s="17">
        <v>101299</v>
      </c>
      <c r="AU34" s="17">
        <v>98345</v>
      </c>
      <c r="AV34" s="17">
        <v>385873.6</v>
      </c>
      <c r="AW34" s="17">
        <v>369777.2</v>
      </c>
      <c r="AX34" s="17">
        <v>18748</v>
      </c>
      <c r="AY34" s="17">
        <v>13648.2</v>
      </c>
      <c r="AZ34" s="17">
        <v>295</v>
      </c>
      <c r="BA34" s="17">
        <v>267</v>
      </c>
      <c r="BB34" s="17">
        <v>107455</v>
      </c>
      <c r="BC34" s="17">
        <v>105426</v>
      </c>
      <c r="BD34" s="17">
        <v>1142</v>
      </c>
      <c r="BE34" s="17">
        <v>588</v>
      </c>
      <c r="BF34" s="17">
        <v>596</v>
      </c>
      <c r="BG34" s="17">
        <v>157029</v>
      </c>
      <c r="BH34" s="17">
        <v>49890.3</v>
      </c>
      <c r="BI34" s="17">
        <v>0</v>
      </c>
      <c r="BJ34" s="17">
        <v>1</v>
      </c>
      <c r="BK34" s="17">
        <v>0</v>
      </c>
      <c r="BL34" s="17">
        <v>0</v>
      </c>
      <c r="BM34" s="17">
        <v>0</v>
      </c>
      <c r="BN34" s="17">
        <v>0</v>
      </c>
      <c r="BO34" s="17">
        <v>0</v>
      </c>
      <c r="BP34" s="17">
        <v>0</v>
      </c>
      <c r="BQ34" s="17">
        <v>0</v>
      </c>
      <c r="BR34" s="17">
        <v>0</v>
      </c>
      <c r="BS34" s="17">
        <v>0</v>
      </c>
      <c r="BT34" s="17">
        <v>99</v>
      </c>
      <c r="BU34" s="17">
        <v>100974</v>
      </c>
      <c r="BV34" s="17">
        <v>102566</v>
      </c>
      <c r="BW34" s="17">
        <v>37117018</v>
      </c>
      <c r="BX34" s="17">
        <v>113271</v>
      </c>
      <c r="BY34" s="17">
        <v>1754</v>
      </c>
    </row>
    <row r="35" spans="1:77">
      <c r="A35" s="17" t="s">
        <v>15</v>
      </c>
      <c r="B35" s="17" t="s">
        <v>180</v>
      </c>
      <c r="C35" s="17" t="s">
        <v>183</v>
      </c>
      <c r="D35" s="17" t="s">
        <v>173</v>
      </c>
      <c r="E35" s="17">
        <v>158.2</v>
      </c>
      <c r="F35" s="17">
        <v>744</v>
      </c>
      <c r="G35" s="17">
        <v>678</v>
      </c>
      <c r="H35" s="17">
        <v>650</v>
      </c>
      <c r="I35" s="17">
        <v>20.8</v>
      </c>
      <c r="J35" s="17">
        <v>107260</v>
      </c>
      <c r="K35" s="17">
        <v>117701</v>
      </c>
      <c r="L35" s="17">
        <v>93083</v>
      </c>
      <c r="M35" s="17">
        <v>93387</v>
      </c>
      <c r="N35" s="17">
        <v>90953</v>
      </c>
      <c r="O35" s="17">
        <v>96185</v>
      </c>
      <c r="P35" s="17">
        <v>18622</v>
      </c>
      <c r="Q35" s="17">
        <v>16188</v>
      </c>
      <c r="R35" s="17">
        <v>3291</v>
      </c>
      <c r="S35" s="17">
        <v>3</v>
      </c>
      <c r="T35" s="17">
        <v>14.6</v>
      </c>
      <c r="U35" s="17">
        <v>51</v>
      </c>
      <c r="V35" s="17">
        <v>49</v>
      </c>
      <c r="W35" s="17">
        <v>257302.8</v>
      </c>
      <c r="X35" s="17">
        <v>71687.7</v>
      </c>
      <c r="Y35" s="17">
        <v>1471.8</v>
      </c>
      <c r="Z35" s="17">
        <v>170103</v>
      </c>
      <c r="AA35" s="17">
        <v>63809</v>
      </c>
      <c r="AB35" s="17">
        <v>283826</v>
      </c>
      <c r="AC35" s="17">
        <v>2043</v>
      </c>
      <c r="AD35" s="17">
        <v>0</v>
      </c>
      <c r="AE35" s="17">
        <v>59000</v>
      </c>
      <c r="AF35" s="17">
        <v>0</v>
      </c>
      <c r="AG35" s="17">
        <v>1</v>
      </c>
      <c r="AH35" s="17">
        <v>8</v>
      </c>
      <c r="AI35" s="17">
        <v>1</v>
      </c>
      <c r="AJ35" s="17">
        <v>0</v>
      </c>
      <c r="AK35" s="17">
        <v>0</v>
      </c>
      <c r="AL35" s="17">
        <v>6</v>
      </c>
      <c r="AM35" s="17">
        <v>2</v>
      </c>
      <c r="AN35" s="17">
        <v>2</v>
      </c>
      <c r="AO35" s="17">
        <v>2</v>
      </c>
      <c r="AP35" s="17">
        <v>0</v>
      </c>
      <c r="AQ35" s="17">
        <v>185</v>
      </c>
      <c r="AR35" s="17">
        <v>15</v>
      </c>
      <c r="AS35" s="17">
        <v>230</v>
      </c>
      <c r="AT35" s="17">
        <v>90871</v>
      </c>
      <c r="AU35" s="17">
        <v>93216</v>
      </c>
      <c r="AV35" s="17">
        <v>342109.1</v>
      </c>
      <c r="AW35" s="17">
        <v>350492.2</v>
      </c>
      <c r="AX35" s="17">
        <v>17781.8</v>
      </c>
      <c r="AY35" s="17">
        <v>13824</v>
      </c>
      <c r="AZ35" s="17">
        <v>241</v>
      </c>
      <c r="BA35" s="17">
        <v>227</v>
      </c>
      <c r="BB35" s="17">
        <v>95198</v>
      </c>
      <c r="BC35" s="17">
        <v>90404</v>
      </c>
      <c r="BD35" s="17">
        <v>1137</v>
      </c>
      <c r="BE35" s="17">
        <v>644</v>
      </c>
      <c r="BF35" s="17">
        <v>677</v>
      </c>
      <c r="BG35" s="17">
        <v>140906.8</v>
      </c>
      <c r="BH35" s="17">
        <v>49975.8</v>
      </c>
      <c r="BI35" s="17">
        <v>0</v>
      </c>
      <c r="BJ35" s="17">
        <v>0</v>
      </c>
      <c r="BK35" s="17">
        <v>0</v>
      </c>
      <c r="BL35" s="17">
        <v>0</v>
      </c>
      <c r="BM35" s="17">
        <v>0</v>
      </c>
      <c r="BN35" s="17">
        <v>0</v>
      </c>
      <c r="BO35" s="17">
        <v>0</v>
      </c>
      <c r="BP35" s="17">
        <v>0</v>
      </c>
      <c r="BQ35" s="17">
        <v>0</v>
      </c>
      <c r="BR35" s="17">
        <v>0</v>
      </c>
      <c r="BS35" s="17">
        <v>0</v>
      </c>
      <c r="BT35" s="17">
        <v>99</v>
      </c>
      <c r="BU35" s="17">
        <v>92594</v>
      </c>
      <c r="BV35" s="17">
        <v>92936</v>
      </c>
      <c r="BW35" s="17">
        <v>34945088</v>
      </c>
      <c r="BX35" s="17">
        <v>107260</v>
      </c>
      <c r="BY35" s="17">
        <v>3512</v>
      </c>
    </row>
    <row r="36" spans="1:77">
      <c r="A36" s="17" t="s">
        <v>15</v>
      </c>
      <c r="B36" s="17" t="s">
        <v>180</v>
      </c>
      <c r="C36" s="17" t="s">
        <v>183</v>
      </c>
      <c r="D36" s="17" t="s">
        <v>174</v>
      </c>
      <c r="E36" s="17">
        <v>158.2</v>
      </c>
      <c r="F36" s="17">
        <v>720</v>
      </c>
      <c r="G36" s="17">
        <v>710</v>
      </c>
      <c r="H36" s="17">
        <v>685.1</v>
      </c>
      <c r="I36" s="17">
        <v>7.6</v>
      </c>
      <c r="J36" s="17">
        <v>112322</v>
      </c>
      <c r="K36" s="17">
        <v>113904</v>
      </c>
      <c r="L36" s="17">
        <v>101737</v>
      </c>
      <c r="M36" s="17">
        <v>99375</v>
      </c>
      <c r="N36" s="17">
        <v>97786</v>
      </c>
      <c r="O36" s="17">
        <v>109226</v>
      </c>
      <c r="P36" s="17">
        <v>20553</v>
      </c>
      <c r="Q36" s="17">
        <v>17742</v>
      </c>
      <c r="R36" s="17">
        <v>1202</v>
      </c>
      <c r="S36" s="17">
        <v>1</v>
      </c>
      <c r="T36" s="17">
        <v>4</v>
      </c>
      <c r="U36" s="17">
        <v>34</v>
      </c>
      <c r="V36" s="17">
        <v>34</v>
      </c>
      <c r="W36" s="17">
        <v>293503.6</v>
      </c>
      <c r="X36" s="17">
        <v>70567.7</v>
      </c>
      <c r="Y36" s="17">
        <v>953.1</v>
      </c>
      <c r="Z36" s="17">
        <v>209475</v>
      </c>
      <c r="AA36" s="17">
        <v>54476</v>
      </c>
      <c r="AB36" s="17">
        <v>289664</v>
      </c>
      <c r="AC36" s="17">
        <v>4506</v>
      </c>
      <c r="AD36" s="17">
        <v>2</v>
      </c>
      <c r="AE36" s="17">
        <v>93000</v>
      </c>
      <c r="AF36" s="17">
        <v>0</v>
      </c>
      <c r="AG36" s="17">
        <v>0</v>
      </c>
      <c r="AH36" s="17">
        <v>5</v>
      </c>
      <c r="AI36" s="17">
        <v>0</v>
      </c>
      <c r="AJ36" s="17">
        <v>0</v>
      </c>
      <c r="AK36" s="17">
        <v>0</v>
      </c>
      <c r="AL36" s="17">
        <v>12</v>
      </c>
      <c r="AM36" s="17">
        <v>2</v>
      </c>
      <c r="AN36" s="17">
        <v>3</v>
      </c>
      <c r="AO36" s="17">
        <v>3</v>
      </c>
      <c r="AP36" s="17">
        <v>0</v>
      </c>
      <c r="AQ36" s="17">
        <v>175</v>
      </c>
      <c r="AR36" s="17">
        <v>8</v>
      </c>
      <c r="AS36" s="17">
        <v>200</v>
      </c>
      <c r="AT36" s="17">
        <v>98065</v>
      </c>
      <c r="AU36" s="17">
        <v>101979</v>
      </c>
      <c r="AV36" s="17">
        <v>370258</v>
      </c>
      <c r="AW36" s="17">
        <v>383441</v>
      </c>
      <c r="AX36" s="17">
        <v>20211.4</v>
      </c>
      <c r="AY36" s="17">
        <v>13649.9</v>
      </c>
      <c r="AZ36" s="17">
        <v>297</v>
      </c>
      <c r="BA36" s="17">
        <v>281</v>
      </c>
      <c r="BB36" s="17">
        <v>109737</v>
      </c>
      <c r="BC36" s="17">
        <v>106134</v>
      </c>
      <c r="BD36" s="17">
        <v>581</v>
      </c>
      <c r="BE36" s="17">
        <v>588</v>
      </c>
      <c r="BF36" s="17">
        <v>581</v>
      </c>
      <c r="BG36" s="17">
        <v>161033.6</v>
      </c>
      <c r="BH36" s="17">
        <v>57752.7</v>
      </c>
      <c r="BI36" s="17">
        <v>0</v>
      </c>
      <c r="BJ36" s="17">
        <v>0</v>
      </c>
      <c r="BK36" s="17">
        <v>1</v>
      </c>
      <c r="BL36" s="17">
        <v>0</v>
      </c>
      <c r="BM36" s="17">
        <v>0</v>
      </c>
      <c r="BN36" s="17">
        <v>0</v>
      </c>
      <c r="BO36" s="17">
        <v>0</v>
      </c>
      <c r="BP36" s="17">
        <v>0</v>
      </c>
      <c r="BQ36" s="17">
        <v>0</v>
      </c>
      <c r="BR36" s="17">
        <v>0</v>
      </c>
      <c r="BS36" s="17">
        <v>0</v>
      </c>
      <c r="BT36" s="17">
        <v>99</v>
      </c>
      <c r="BU36" s="17">
        <v>102705</v>
      </c>
      <c r="BV36" s="17">
        <v>103273</v>
      </c>
      <c r="BW36" s="17">
        <v>40049632</v>
      </c>
      <c r="BX36" s="17">
        <v>112322</v>
      </c>
      <c r="BY36" s="17">
        <v>1031</v>
      </c>
    </row>
    <row r="37" spans="1:77">
      <c r="A37" s="17" t="s">
        <v>15</v>
      </c>
      <c r="B37" s="17" t="s">
        <v>180</v>
      </c>
      <c r="C37" s="17" t="s">
        <v>183</v>
      </c>
      <c r="D37" s="17" t="s">
        <v>175</v>
      </c>
      <c r="E37" s="17">
        <v>158.2</v>
      </c>
      <c r="F37" s="17">
        <v>744</v>
      </c>
      <c r="G37" s="17">
        <v>738</v>
      </c>
      <c r="H37" s="17">
        <v>699.9</v>
      </c>
      <c r="I37" s="17">
        <v>23.1</v>
      </c>
      <c r="J37" s="17">
        <v>116752</v>
      </c>
      <c r="K37" s="17">
        <v>117701</v>
      </c>
      <c r="L37" s="17">
        <v>103750</v>
      </c>
      <c r="M37" s="17">
        <v>103911</v>
      </c>
      <c r="N37" s="17">
        <v>100958</v>
      </c>
      <c r="O37" s="17">
        <v>112227</v>
      </c>
      <c r="P37" s="17">
        <v>21719</v>
      </c>
      <c r="Q37" s="17">
        <v>18318</v>
      </c>
      <c r="R37" s="17">
        <v>3654</v>
      </c>
      <c r="S37" s="17">
        <v>3</v>
      </c>
      <c r="T37" s="17">
        <v>16.9</v>
      </c>
      <c r="U37" s="17">
        <v>31</v>
      </c>
      <c r="V37" s="17">
        <v>29</v>
      </c>
      <c r="W37" s="17">
        <v>315593.3</v>
      </c>
      <c r="X37" s="17">
        <v>100678.8</v>
      </c>
      <c r="Y37" s="17">
        <v>1062.1</v>
      </c>
      <c r="Z37" s="17">
        <v>220957</v>
      </c>
      <c r="AA37" s="17">
        <v>68538</v>
      </c>
      <c r="AB37" s="17">
        <v>303194</v>
      </c>
      <c r="AC37" s="17">
        <v>1940</v>
      </c>
      <c r="AD37" s="17">
        <v>0</v>
      </c>
      <c r="AE37" s="17">
        <v>86000</v>
      </c>
      <c r="AF37" s="17">
        <v>0</v>
      </c>
      <c r="AG37" s="17">
        <v>0</v>
      </c>
      <c r="AH37" s="17">
        <v>6</v>
      </c>
      <c r="AI37" s="17">
        <v>0</v>
      </c>
      <c r="AJ37" s="17">
        <v>0</v>
      </c>
      <c r="AK37" s="17">
        <v>0</v>
      </c>
      <c r="AL37" s="17">
        <v>9</v>
      </c>
      <c r="AM37" s="17">
        <v>1</v>
      </c>
      <c r="AN37" s="17">
        <v>3</v>
      </c>
      <c r="AO37" s="17">
        <v>2</v>
      </c>
      <c r="AP37" s="17">
        <v>2</v>
      </c>
      <c r="AQ37" s="17">
        <v>153</v>
      </c>
      <c r="AR37" s="17">
        <v>12</v>
      </c>
      <c r="AS37" s="17">
        <v>170</v>
      </c>
      <c r="AT37" s="17">
        <v>101316</v>
      </c>
      <c r="AU37" s="17">
        <v>103289</v>
      </c>
      <c r="AV37" s="17">
        <v>378066.9</v>
      </c>
      <c r="AW37" s="17">
        <v>388366.6</v>
      </c>
      <c r="AX37" s="17">
        <v>16684.9</v>
      </c>
      <c r="AY37" s="17">
        <v>13335.2</v>
      </c>
      <c r="AZ37" s="17">
        <v>280</v>
      </c>
      <c r="BA37" s="17">
        <v>262</v>
      </c>
      <c r="BB37" s="17">
        <v>110299</v>
      </c>
      <c r="BC37" s="17">
        <v>108493</v>
      </c>
      <c r="BD37" s="17">
        <v>919</v>
      </c>
      <c r="BE37" s="17">
        <v>1190</v>
      </c>
      <c r="BF37" s="17">
        <v>1199</v>
      </c>
      <c r="BG37" s="17">
        <v>174672.2</v>
      </c>
      <c r="BH37" s="17">
        <v>59403.4</v>
      </c>
      <c r="BI37" s="17">
        <v>0</v>
      </c>
      <c r="BJ37" s="17">
        <v>0</v>
      </c>
      <c r="BK37" s="17">
        <v>0</v>
      </c>
      <c r="BL37" s="17">
        <v>1</v>
      </c>
      <c r="BM37" s="17">
        <v>1</v>
      </c>
      <c r="BN37" s="17">
        <v>0</v>
      </c>
      <c r="BO37" s="17">
        <v>0</v>
      </c>
      <c r="BP37" s="17">
        <v>0</v>
      </c>
      <c r="BQ37" s="17">
        <v>0</v>
      </c>
      <c r="BR37" s="17">
        <v>0</v>
      </c>
      <c r="BS37" s="17">
        <v>0</v>
      </c>
      <c r="BT37" s="17">
        <v>99</v>
      </c>
      <c r="BU37" s="17">
        <v>104924</v>
      </c>
      <c r="BV37" s="17">
        <v>107181</v>
      </c>
      <c r="BW37" s="17">
        <v>46432093</v>
      </c>
      <c r="BX37" s="17">
        <v>116752</v>
      </c>
      <c r="BY37" s="17">
        <v>3277</v>
      </c>
    </row>
    <row r="38" spans="1:77">
      <c r="A38" s="17" t="s">
        <v>15</v>
      </c>
      <c r="B38" s="17" t="s">
        <v>180</v>
      </c>
      <c r="C38" s="17" t="s">
        <v>183</v>
      </c>
      <c r="D38" s="17" t="s">
        <v>176</v>
      </c>
      <c r="E38" s="17">
        <v>158.2</v>
      </c>
      <c r="F38" s="17">
        <v>744</v>
      </c>
      <c r="G38" s="17">
        <v>744</v>
      </c>
      <c r="H38" s="17">
        <v>702</v>
      </c>
      <c r="I38" s="17">
        <v>23.5</v>
      </c>
      <c r="J38" s="17">
        <v>117701</v>
      </c>
      <c r="K38" s="17">
        <v>117701</v>
      </c>
      <c r="L38" s="17">
        <v>105368</v>
      </c>
      <c r="M38" s="17">
        <v>100223</v>
      </c>
      <c r="N38" s="17">
        <v>97315</v>
      </c>
      <c r="O38" s="17">
        <v>105052</v>
      </c>
      <c r="P38" s="17">
        <v>24299</v>
      </c>
      <c r="Q38" s="17">
        <v>21958</v>
      </c>
      <c r="R38" s="17">
        <v>3718</v>
      </c>
      <c r="S38" s="17">
        <v>4</v>
      </c>
      <c r="T38" s="17">
        <v>14.8</v>
      </c>
      <c r="U38" s="17">
        <v>30</v>
      </c>
      <c r="V38" s="17">
        <v>30</v>
      </c>
      <c r="W38" s="17">
        <v>329106.6</v>
      </c>
      <c r="X38" s="17">
        <v>89325.10000000001</v>
      </c>
      <c r="Y38" s="17">
        <v>1485.5</v>
      </c>
      <c r="Z38" s="17">
        <v>185666</v>
      </c>
      <c r="AA38" s="17">
        <v>60804</v>
      </c>
      <c r="AB38" s="17">
        <v>349459</v>
      </c>
      <c r="AC38" s="17">
        <v>5827</v>
      </c>
      <c r="AD38" s="17">
        <v>2</v>
      </c>
      <c r="AE38" s="17">
        <v>57000</v>
      </c>
      <c r="AF38" s="17">
        <v>1</v>
      </c>
      <c r="AG38" s="17">
        <v>0</v>
      </c>
      <c r="AH38" s="17">
        <v>10</v>
      </c>
      <c r="AI38" s="17">
        <v>0</v>
      </c>
      <c r="AJ38" s="17">
        <v>0</v>
      </c>
      <c r="AK38" s="17">
        <v>0</v>
      </c>
      <c r="AL38" s="17">
        <v>6</v>
      </c>
      <c r="AM38" s="17">
        <v>0</v>
      </c>
      <c r="AN38" s="17">
        <v>3</v>
      </c>
      <c r="AO38" s="17">
        <v>3</v>
      </c>
      <c r="AP38" s="17">
        <v>0</v>
      </c>
      <c r="AQ38" s="17">
        <v>231</v>
      </c>
      <c r="AR38" s="17">
        <v>8</v>
      </c>
      <c r="AS38" s="17">
        <v>140</v>
      </c>
      <c r="AT38" s="17">
        <v>95918</v>
      </c>
      <c r="AU38" s="17">
        <v>104584</v>
      </c>
      <c r="AV38" s="17">
        <v>359088.5</v>
      </c>
      <c r="AW38" s="17">
        <v>393235.8</v>
      </c>
      <c r="AX38" s="17">
        <v>19129.8</v>
      </c>
      <c r="AY38" s="17">
        <v>13346.9</v>
      </c>
      <c r="AZ38" s="17">
        <v>255</v>
      </c>
      <c r="BA38" s="17">
        <v>239</v>
      </c>
      <c r="BB38" s="17">
        <v>107841</v>
      </c>
      <c r="BC38" s="17">
        <v>105998</v>
      </c>
      <c r="BD38" s="17">
        <v>1081</v>
      </c>
      <c r="BE38" s="17">
        <v>1078</v>
      </c>
      <c r="BF38" s="17">
        <v>1065</v>
      </c>
      <c r="BG38" s="17">
        <v>167610.1</v>
      </c>
      <c r="BH38" s="17">
        <v>56483.5</v>
      </c>
      <c r="BI38" s="17">
        <v>0</v>
      </c>
      <c r="BJ38" s="17">
        <v>0</v>
      </c>
      <c r="BK38" s="17">
        <v>0</v>
      </c>
      <c r="BL38" s="17">
        <v>1</v>
      </c>
      <c r="BM38" s="17">
        <v>0</v>
      </c>
      <c r="BN38" s="17">
        <v>0</v>
      </c>
      <c r="BO38" s="17">
        <v>0</v>
      </c>
      <c r="BP38" s="17">
        <v>0</v>
      </c>
      <c r="BQ38" s="17">
        <v>0</v>
      </c>
      <c r="BR38" s="17">
        <v>0</v>
      </c>
      <c r="BS38" s="17">
        <v>0</v>
      </c>
      <c r="BT38" s="17">
        <v>99</v>
      </c>
      <c r="BU38" s="17">
        <v>104978</v>
      </c>
      <c r="BV38" s="17">
        <v>106463</v>
      </c>
      <c r="BW38" s="17">
        <v>40888261</v>
      </c>
      <c r="BX38" s="17">
        <v>117701</v>
      </c>
      <c r="BY38" s="17">
        <v>4166</v>
      </c>
    </row>
    <row r="39" spans="1:77">
      <c r="A39" s="17" t="s">
        <v>15</v>
      </c>
      <c r="B39" s="17" t="s">
        <v>180</v>
      </c>
      <c r="C39" s="17" t="s">
        <v>183</v>
      </c>
      <c r="D39" s="17" t="s">
        <v>177</v>
      </c>
      <c r="E39" s="17">
        <v>158.2</v>
      </c>
      <c r="F39" s="17">
        <v>720</v>
      </c>
      <c r="G39" s="17">
        <v>712</v>
      </c>
      <c r="H39" s="17">
        <v>680.7</v>
      </c>
      <c r="I39" s="17">
        <v>13.4</v>
      </c>
      <c r="J39" s="17">
        <v>112638</v>
      </c>
      <c r="K39" s="17">
        <v>113904</v>
      </c>
      <c r="L39" s="17">
        <v>98037</v>
      </c>
      <c r="M39" s="17">
        <v>97437</v>
      </c>
      <c r="N39" s="17">
        <v>94388</v>
      </c>
      <c r="O39" s="17">
        <v>101633</v>
      </c>
      <c r="P39" s="17">
        <v>20587</v>
      </c>
      <c r="Q39" s="17">
        <v>17410</v>
      </c>
      <c r="R39" s="17">
        <v>2120</v>
      </c>
      <c r="S39" s="17">
        <v>1</v>
      </c>
      <c r="T39" s="17">
        <v>6.5</v>
      </c>
      <c r="U39" s="17">
        <v>36</v>
      </c>
      <c r="V39" s="17">
        <v>34</v>
      </c>
      <c r="W39" s="17">
        <v>262617.2</v>
      </c>
      <c r="X39" s="17">
        <v>65862.8</v>
      </c>
      <c r="Y39" s="17">
        <v>1573</v>
      </c>
      <c r="Z39" s="17">
        <v>230619</v>
      </c>
      <c r="AA39" s="17">
        <v>63239</v>
      </c>
      <c r="AB39" s="17">
        <v>287280</v>
      </c>
      <c r="AC39" s="17">
        <v>5880</v>
      </c>
      <c r="AD39" s="17">
        <v>1</v>
      </c>
      <c r="AE39" s="17">
        <v>89000</v>
      </c>
      <c r="AF39" s="17">
        <v>0</v>
      </c>
      <c r="AG39" s="17">
        <v>1</v>
      </c>
      <c r="AH39" s="17">
        <v>9</v>
      </c>
      <c r="AI39" s="17">
        <v>0</v>
      </c>
      <c r="AJ39" s="17">
        <v>0</v>
      </c>
      <c r="AK39" s="17">
        <v>0</v>
      </c>
      <c r="AL39" s="17">
        <v>5</v>
      </c>
      <c r="AM39" s="17">
        <v>1</v>
      </c>
      <c r="AN39" s="17">
        <v>0</v>
      </c>
      <c r="AO39" s="17">
        <v>0</v>
      </c>
      <c r="AP39" s="17">
        <v>1</v>
      </c>
      <c r="AQ39" s="17">
        <v>125</v>
      </c>
      <c r="AR39" s="17">
        <v>3</v>
      </c>
      <c r="AS39" s="17">
        <v>110</v>
      </c>
      <c r="AT39" s="17">
        <v>96056</v>
      </c>
      <c r="AU39" s="17">
        <v>97878</v>
      </c>
      <c r="AV39" s="17">
        <v>363110.2</v>
      </c>
      <c r="AW39" s="17">
        <v>368021.3</v>
      </c>
      <c r="AX39" s="17">
        <v>14652.5</v>
      </c>
      <c r="AY39" s="17">
        <v>13440.5</v>
      </c>
      <c r="AZ39" s="17">
        <v>151</v>
      </c>
      <c r="BA39" s="17">
        <v>137</v>
      </c>
      <c r="BB39" s="17">
        <v>100510</v>
      </c>
      <c r="BC39" s="17">
        <v>95543</v>
      </c>
      <c r="BD39" s="17">
        <v>1310</v>
      </c>
      <c r="BE39" s="17">
        <v>616</v>
      </c>
      <c r="BF39" s="17">
        <v>609</v>
      </c>
      <c r="BG39" s="17">
        <v>146401.1</v>
      </c>
      <c r="BH39" s="17">
        <v>58367</v>
      </c>
      <c r="BI39" s="17">
        <v>0</v>
      </c>
      <c r="BJ39" s="17">
        <v>0</v>
      </c>
      <c r="BK39" s="17">
        <v>1</v>
      </c>
      <c r="BL39" s="17">
        <v>0</v>
      </c>
      <c r="BM39" s="17">
        <v>0</v>
      </c>
      <c r="BN39" s="17">
        <v>0</v>
      </c>
      <c r="BO39" s="17">
        <v>0</v>
      </c>
      <c r="BP39" s="17">
        <v>0</v>
      </c>
      <c r="BQ39" s="17">
        <v>0</v>
      </c>
      <c r="BR39" s="17">
        <v>0</v>
      </c>
      <c r="BS39" s="17">
        <v>0</v>
      </c>
      <c r="BT39" s="17">
        <v>99</v>
      </c>
      <c r="BU39" s="17">
        <v>99398</v>
      </c>
      <c r="BV39" s="17">
        <v>100389</v>
      </c>
      <c r="BW39" s="17">
        <v>33437653</v>
      </c>
      <c r="BX39" s="17">
        <v>112638</v>
      </c>
      <c r="BY39" s="17">
        <v>2024</v>
      </c>
    </row>
  </sheetData>
  <autoFilter ref="A3:BY39"/>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7"/>
  <sheetViews>
    <sheetView workbookViewId="0"/>
  </sheetViews>
  <sheetFormatPr defaultRowHeight="15"/>
  <cols>
    <col min="1" max="1" width="18.7109375" customWidth="1"/>
    <col min="2" max="2" width="14.7109375" customWidth="1"/>
    <col min="3" max="3" width="60.7109375" customWidth="1"/>
  </cols>
  <sheetData>
    <row r="1" spans="1:3">
      <c r="A1" s="1" t="s">
        <v>0</v>
      </c>
      <c r="B1" s="1" t="s">
        <v>1</v>
      </c>
      <c r="C1" s="1" t="s">
        <v>2</v>
      </c>
    </row>
    <row r="2" spans="1:3">
      <c r="A2" s="2" t="s">
        <v>3</v>
      </c>
      <c r="B2" s="18">
        <v>0.25</v>
      </c>
      <c r="C2" s="3" t="s">
        <v>4</v>
      </c>
    </row>
    <row r="3" spans="1:3">
      <c r="A3" s="2" t="s">
        <v>5</v>
      </c>
      <c r="B3" s="18">
        <v>0.095</v>
      </c>
      <c r="C3" s="3" t="s">
        <v>6</v>
      </c>
    </row>
    <row r="4" spans="1:3">
      <c r="A4" s="2" t="s">
        <v>7</v>
      </c>
      <c r="B4" s="18">
        <v>2.5</v>
      </c>
      <c r="C4" s="3" t="s">
        <v>8</v>
      </c>
    </row>
    <row r="5" spans="1:3">
      <c r="A5" s="2" t="s">
        <v>9</v>
      </c>
      <c r="B5" s="18">
        <v>2109562.8</v>
      </c>
      <c r="C5" s="3" t="s">
        <v>10</v>
      </c>
    </row>
    <row r="6" spans="1:3">
      <c r="A6" s="2" t="s">
        <v>11</v>
      </c>
      <c r="B6" s="18">
        <v>759330.2</v>
      </c>
      <c r="C6" s="3" t="s">
        <v>12</v>
      </c>
    </row>
    <row r="7" spans="1:3">
      <c r="A7" s="2" t="s">
        <v>13</v>
      </c>
      <c r="B7" s="19">
        <f>B5+B6</f>
        <v>2868893.0</v>
      </c>
      <c r="C7" s="3" t="s">
        <v>14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10"/>
  <sheetViews>
    <sheetView workbookViewId="0"/>
  </sheetViews>
  <sheetFormatPr defaultRowHeight="15"/>
  <cols>
    <col min="1" max="1" width="120.7109375" customWidth="1"/>
  </cols>
  <sheetData>
    <row r="1" spans="1:1">
      <c r="A1" s="1" t="s">
        <v>1410</v>
      </c>
    </row>
    <row r="2" spans="1:1">
      <c r="A2" s="20" t="s">
        <v>1411</v>
      </c>
    </row>
    <row r="3" spans="1:1">
      <c r="A3" s="20" t="s">
        <v>1412</v>
      </c>
    </row>
    <row r="4" spans="1:1">
      <c r="A4" s="20" t="s">
        <v>1413</v>
      </c>
    </row>
    <row r="5" spans="1:1">
      <c r="A5" s="20" t="s">
        <v>1414</v>
      </c>
    </row>
    <row r="6" spans="1:1">
      <c r="A6" s="20" t="s">
        <v>1415</v>
      </c>
    </row>
    <row r="7" spans="1:1">
      <c r="A7" s="20" t="s">
        <v>1416</v>
      </c>
    </row>
    <row r="8" spans="1:1">
      <c r="A8" s="20" t="s">
        <v>1417</v>
      </c>
    </row>
    <row r="9" spans="1:1">
      <c r="A9" s="20" t="s">
        <v>1418</v>
      </c>
    </row>
    <row r="10" spans="1:1">
      <c r="A10" s="20" t="s">
        <v>1419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Calculated vs Shown</vt:lpstr>
      <vt:lpstr>Owner KPIs</vt:lpstr>
      <vt:lpstr>Owner Screens</vt:lpstr>
      <vt:lpstr>Group Inputs</vt:lpstr>
      <vt:lpstr>Entity Inputs</vt:lpstr>
      <vt:lpstr>Plant Inputs</vt:lpstr>
      <vt:lpstr>Parameters</vt:lpstr>
      <vt:lpstr>About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2026-10-05T18:41:25Z</dcterms:created>
  <dcterms:modified xsi:type="dcterms:W3CDTF">2026-10-05T18:41:25Z</dcterms:modified>
</cp:coreProperties>
</file>