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Calculated vs Shown" sheetId="1" state="visible" r:id="rId1"/>
    <sheet xmlns:r="http://schemas.openxmlformats.org/officeDocument/2006/relationships" name="Group KPIs" sheetId="2" state="visible" r:id="rId2"/>
    <sheet xmlns:r="http://schemas.openxmlformats.org/officeDocument/2006/relationships" name="Group Inputs" sheetId="3" state="visible" r:id="rId3"/>
    <sheet xmlns:r="http://schemas.openxmlformats.org/officeDocument/2006/relationships" name="Entity Inputs" sheetId="4" state="visible" r:id="rId4"/>
    <sheet xmlns:r="http://schemas.openxmlformats.org/officeDocument/2006/relationships" name="Plant Inputs" sheetId="5" state="visible" r:id="rId5"/>
    <sheet xmlns:r="http://schemas.openxmlformats.org/officeDocument/2006/relationships" name="Parameters" sheetId="6" state="visible" r:id="rId6"/>
    <sheet xmlns:r="http://schemas.openxmlformats.org/officeDocument/2006/relationships" name="About" sheetId="7" state="visible" r:id="rId7"/>
  </sheets>
  <definedNames>
    <definedName name="_xlnm._FilterDatabase" localSheetId="0" hidden="1">'Calculated vs Shown'!$A$1:$I$150</definedName>
    <definedName name="_xlnm._FilterDatabase" localSheetId="1" hidden="1">'Group KPIs'!$A$1:$N$150</definedName>
    <definedName name="_xlnm._FilterDatabase" localSheetId="3" hidden="1">'Entity Inputs'!$A$3:$FU$15</definedName>
    <definedName name="_xlnm._FilterDatabase" localSheetId="4"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s>
  <fills count="15">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4" fontId="0" fillId="12" borderId="0" pivotButton="0" quotePrefix="0" xfId="0"/>
    <xf numFmtId="4" fontId="0" fillId="0" borderId="1" pivotButton="0" quotePrefix="0" xfId="0"/>
    <xf numFmtId="164"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50"/>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mockups (Group)</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'Group KPIs'!K2</f>
        <v/>
      </c>
      <c r="F2" s="3" t="inlineStr">
        <is>
          <t>98.1%</t>
        </is>
      </c>
      <c r="G2" s="5" t="inlineStr">
        <is>
          <t>Different</t>
        </is>
      </c>
      <c r="H2" s="3" t="inlineStr">
        <is>
          <t>E-01,E-02,E-05,G-01,G-02,G-03,G-05,O-01,O-09,S-03,S-10,STATE GALLERY</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'Group KPIs'!K3</f>
        <v/>
      </c>
      <c r="F3" s="3" t="inlineStr">
        <is>
          <t>86%</t>
        </is>
      </c>
      <c r="G3" s="5" t="inlineStr">
        <is>
          <t>Different</t>
        </is>
      </c>
      <c r="H3" s="3" t="inlineStr">
        <is>
          <t>E-02,G-05,O-01,STATE GALLERY</t>
        </is>
      </c>
      <c r="I3" s="3" t="inlineStr">
        <is>
          <t>Original plant data (plant_base.csv, synthetic)</t>
        </is>
      </c>
    </row>
    <row r="4">
      <c r="A4" s="2" t="inlineStr">
        <is>
          <t>PLT-001</t>
        </is>
      </c>
      <c r="B4" s="3" t="inlineStr">
        <is>
          <t>Asset utilization</t>
        </is>
      </c>
      <c r="C4" s="3" t="inlineStr">
        <is>
          <t>%</t>
        </is>
      </c>
      <c r="D4" s="3" t="inlineStr">
        <is>
          <t>Run hours ÷ Calendar hours × 100</t>
        </is>
      </c>
      <c r="E4" s="21">
        <f>'Group KPIs'!K4</f>
        <v/>
      </c>
      <c r="F4" s="3" t="inlineStr">
        <is>
          <t>Not shown</t>
        </is>
      </c>
      <c r="G4" s="6" t="inlineStr">
        <is>
          <t>Not shown</t>
        </is>
      </c>
      <c r="H4" s="3" t="n"/>
      <c r="I4" s="3" t="inlineStr">
        <is>
          <t>Original plant data (plant_base.csv, synthetic)</t>
        </is>
      </c>
    </row>
    <row r="5">
      <c r="A5" s="2" t="inlineStr">
        <is>
          <t>PLT-002</t>
        </is>
      </c>
      <c r="B5" s="3" t="inlineStr">
        <is>
          <t>OEE</t>
        </is>
      </c>
      <c r="C5" s="3" t="inlineStr">
        <is>
          <t>%</t>
        </is>
      </c>
      <c r="D5" s="3" t="inlineStr">
        <is>
          <t>Availability × Performance × Quality = Good output ÷ Ideal output × 100</t>
        </is>
      </c>
      <c r="E5" s="21">
        <f>'Group KPIs'!K5</f>
        <v/>
      </c>
      <c r="F5" s="3" t="inlineStr">
        <is>
          <t>78 %</t>
        </is>
      </c>
      <c r="G5" s="5" t="inlineStr">
        <is>
          <t>Different</t>
        </is>
      </c>
      <c r="H5" s="3" t="inlineStr">
        <is>
          <t>E-02,G-05</t>
        </is>
      </c>
      <c r="I5" s="3" t="inlineStr">
        <is>
          <t>Original plant data (plant_base.csv, synthetic)</t>
        </is>
      </c>
    </row>
    <row r="6">
      <c r="A6" s="2" t="inlineStr">
        <is>
          <t>PLT-004</t>
        </is>
      </c>
      <c r="B6" s="3" t="inlineStr">
        <is>
          <t>Recovery percentage</t>
        </is>
      </c>
      <c r="C6" s="3" t="inlineStr">
        <is>
          <t>%</t>
        </is>
      </c>
      <c r="D6" s="3" t="inlineStr">
        <is>
          <t>Valuable content recovered ÷ Valuable content in feed × 100</t>
        </is>
      </c>
      <c r="E6" s="21">
        <f>'Group KPIs'!K6</f>
        <v/>
      </c>
      <c r="F6" s="3" t="inlineStr">
        <is>
          <t>Not shown</t>
        </is>
      </c>
      <c r="G6" s="6" t="inlineStr">
        <is>
          <t>Not shown</t>
        </is>
      </c>
      <c r="H6" s="3" t="n"/>
      <c r="I6" s="3" t="inlineStr">
        <is>
          <t>Original plant data (plant_base.csv, synthetic)</t>
        </is>
      </c>
    </row>
    <row r="7">
      <c r="A7" s="2" t="inlineStr">
        <is>
          <t>PLT-005</t>
        </is>
      </c>
      <c r="B7" s="3" t="inlineStr">
        <is>
          <t>Yield</t>
        </is>
      </c>
      <c r="C7" s="3" t="inlineStr">
        <is>
          <t>%</t>
        </is>
      </c>
      <c r="D7" s="3" t="inlineStr">
        <is>
          <t>Good output ÷ Feed input × 100</t>
        </is>
      </c>
      <c r="E7" s="21">
        <f>'Group KPIs'!K7</f>
        <v/>
      </c>
      <c r="F7" s="3" t="inlineStr">
        <is>
          <t>Not shown</t>
        </is>
      </c>
      <c r="G7" s="6" t="inlineStr">
        <is>
          <t>Not shown</t>
        </is>
      </c>
      <c r="H7" s="3" t="n"/>
      <c r="I7" s="3" t="inlineStr">
        <is>
          <t>Original plant data (plant_base.csv, synthetic)</t>
        </is>
      </c>
    </row>
    <row r="8">
      <c r="A8" s="2" t="inlineStr">
        <is>
          <t>REL-001</t>
        </is>
      </c>
      <c r="B8" s="3" t="inlineStr">
        <is>
          <t>MTBF</t>
        </is>
      </c>
      <c r="C8" s="3" t="inlineStr">
        <is>
          <t>h</t>
        </is>
      </c>
      <c r="D8" s="3" t="inlineStr">
        <is>
          <t>Run hours ÷ Breakdowns</t>
        </is>
      </c>
      <c r="E8" s="21">
        <f>'Group KPIs'!K8</f>
        <v/>
      </c>
      <c r="F8" s="3" t="inlineStr">
        <is>
          <t>205 h</t>
        </is>
      </c>
      <c r="G8" s="5" t="inlineStr">
        <is>
          <t>Different</t>
        </is>
      </c>
      <c r="H8" s="3" t="inlineStr">
        <is>
          <t>E-03,G-05,O-09</t>
        </is>
      </c>
      <c r="I8" s="3" t="inlineStr">
        <is>
          <t>Original plant data (plant_base.csv, synthetic)</t>
        </is>
      </c>
    </row>
    <row r="9">
      <c r="A9" s="2" t="inlineStr">
        <is>
          <t>REL-002</t>
        </is>
      </c>
      <c r="B9" s="3" t="inlineStr">
        <is>
          <t>Mean Time to Repair</t>
        </is>
      </c>
      <c r="C9" s="3" t="inlineStr">
        <is>
          <t>h</t>
        </is>
      </c>
      <c r="D9" s="3" t="inlineStr">
        <is>
          <t>Repair hours ÷ Breakdowns</t>
        </is>
      </c>
      <c r="E9" s="21">
        <f>'Group KPIs'!K9</f>
        <v/>
      </c>
      <c r="F9" s="3" t="inlineStr">
        <is>
          <t>3.6 h</t>
        </is>
      </c>
      <c r="G9" s="5" t="inlineStr">
        <is>
          <t>Different</t>
        </is>
      </c>
      <c r="H9" s="3" t="inlineStr">
        <is>
          <t>E-03,G-05,O-09</t>
        </is>
      </c>
      <c r="I9" s="3" t="inlineStr">
        <is>
          <t>Original plant data (plant_base.csv, synthetic)</t>
        </is>
      </c>
    </row>
    <row r="10">
      <c r="A10" s="2" t="inlineStr">
        <is>
          <t>REL-003</t>
        </is>
      </c>
      <c r="B10" s="3" t="inlineStr">
        <is>
          <t>Unplanned downtime</t>
        </is>
      </c>
      <c r="C10" s="3" t="inlineStr">
        <is>
          <t>h</t>
        </is>
      </c>
      <c r="D10" s="3" t="inlineStr">
        <is>
          <t>Unplanned downtime</t>
        </is>
      </c>
      <c r="E10" s="21">
        <f>'Group KPIs'!K10</f>
        <v/>
      </c>
      <c r="F10" s="3" t="inlineStr">
        <is>
          <t>3.1 % of hours</t>
        </is>
      </c>
      <c r="G10" s="5" t="inlineStr">
        <is>
          <t>Different</t>
        </is>
      </c>
      <c r="H10" s="3" t="inlineStr">
        <is>
          <t>E-03,G-05,O-09</t>
        </is>
      </c>
      <c r="I10" s="3" t="inlineStr">
        <is>
          <t>Original plant data (plant_base.csv, synthetic)</t>
        </is>
      </c>
    </row>
    <row r="11">
      <c r="A11" s="2" t="inlineStr">
        <is>
          <t>REL-004</t>
        </is>
      </c>
      <c r="B11" s="3" t="inlineStr">
        <is>
          <t>Production loss from downtime</t>
        </is>
      </c>
      <c r="C11" s="3" t="inlineStr">
        <is>
          <t>t</t>
        </is>
      </c>
      <c r="D11" s="3" t="inlineStr">
        <is>
          <t>Production lost to downtime</t>
        </is>
      </c>
      <c r="E11" s="21">
        <f>'Group KPIs'!K11</f>
        <v/>
      </c>
      <c r="F11" s="3" t="inlineStr">
        <is>
          <t>93%</t>
        </is>
      </c>
      <c r="G11" s="5" t="inlineStr">
        <is>
          <t>Different</t>
        </is>
      </c>
      <c r="H11" s="3" t="inlineStr">
        <is>
          <t>E-03,G-05</t>
        </is>
      </c>
      <c r="I11" s="3" t="inlineStr">
        <is>
          <t>Original plant data (plant_base.csv, synthetic)</t>
        </is>
      </c>
    </row>
    <row r="12">
      <c r="A12" s="2" t="inlineStr">
        <is>
          <t>REL-005</t>
        </is>
      </c>
      <c r="B12" s="3" t="inlineStr">
        <is>
          <t>Preventive-maintenance compliance</t>
        </is>
      </c>
      <c r="C12" s="3" t="inlineStr">
        <is>
          <t>%</t>
        </is>
      </c>
      <c r="D12" s="3" t="inlineStr">
        <is>
          <t>Preventive maintenance completed ÷ Preventive maintenance scheduled × 100</t>
        </is>
      </c>
      <c r="E12" s="21">
        <f>'Group KPIs'!K12</f>
        <v/>
      </c>
      <c r="F12" s="3" t="inlineStr">
        <is>
          <t>93%</t>
        </is>
      </c>
      <c r="G12" s="5" t="inlineStr">
        <is>
          <t>Different</t>
        </is>
      </c>
      <c r="H12" s="3" t="inlineStr">
        <is>
          <t>E-03,O-09</t>
        </is>
      </c>
      <c r="I12" s="3" t="inlineStr">
        <is>
          <t>Original plant data (plant_base.csv, synthetic)</t>
        </is>
      </c>
    </row>
    <row r="13">
      <c r="A13" s="2" t="inlineStr">
        <is>
          <t>CST-001</t>
        </is>
      </c>
      <c r="B13" s="3" t="inlineStr">
        <is>
          <t>Cost per tonne</t>
        </is>
      </c>
      <c r="C13" s="3" t="inlineStr">
        <is>
          <t>₹/t</t>
        </is>
      </c>
      <c r="D13" s="3" t="inlineStr">
        <is>
          <t>(Variable cost + Fixed cost) × 1000 ÷ Good output</t>
        </is>
      </c>
      <c r="E13" s="21">
        <f>'Group KPIs'!K13</f>
        <v/>
      </c>
      <c r="F13" s="3" t="inlineStr">
        <is>
          <t>₹412 /t</t>
        </is>
      </c>
      <c r="G13" s="5" t="inlineStr">
        <is>
          <t>Different</t>
        </is>
      </c>
      <c r="H13" s="3" t="inlineStr">
        <is>
          <t>E-02,E-11,G-03,G-05,O-09</t>
        </is>
      </c>
      <c r="I13" s="3" t="inlineStr">
        <is>
          <t>Original plant data (plant_base.csv, synthetic)</t>
        </is>
      </c>
    </row>
    <row r="14">
      <c r="A14" s="2" t="inlineStr">
        <is>
          <t>CST-002</t>
        </is>
      </c>
      <c r="B14" s="3" t="inlineStr">
        <is>
          <t>Variable cost</t>
        </is>
      </c>
      <c r="C14" s="3" t="inlineStr">
        <is>
          <t>₹ thousand</t>
        </is>
      </c>
      <c r="D14" s="3" t="inlineStr">
        <is>
          <t>Variable cost</t>
        </is>
      </c>
      <c r="E14" s="21">
        <f>'Group KPIs'!K14</f>
        <v/>
      </c>
      <c r="F14" s="3" t="inlineStr">
        <is>
          <t>₹214 /t</t>
        </is>
      </c>
      <c r="G14" s="5" t="inlineStr">
        <is>
          <t>Different</t>
        </is>
      </c>
      <c r="H14" s="3" t="inlineStr">
        <is>
          <t>E-02,E-11,G-03,O-09</t>
        </is>
      </c>
      <c r="I14" s="3" t="inlineStr">
        <is>
          <t>Original plant data (plant_base.csv, synthetic)</t>
        </is>
      </c>
    </row>
    <row r="15">
      <c r="A15" s="2" t="inlineStr">
        <is>
          <t>CST-003</t>
        </is>
      </c>
      <c r="B15" s="3" t="inlineStr">
        <is>
          <t>Fuel cost</t>
        </is>
      </c>
      <c r="C15" s="3" t="inlineStr">
        <is>
          <t>₹ thousand</t>
        </is>
      </c>
      <c r="D15" s="3" t="inlineStr">
        <is>
          <t>Fuel cost</t>
        </is>
      </c>
      <c r="E15" s="21">
        <f>'Group KPIs'!K15</f>
        <v/>
      </c>
      <c r="F15" s="3" t="inlineStr">
        <is>
          <t>9.8 ₹/t</t>
        </is>
      </c>
      <c r="G15" s="5" t="inlineStr">
        <is>
          <t>Different</t>
        </is>
      </c>
      <c r="H15" s="3" t="inlineStr">
        <is>
          <t>E-02,O-09</t>
        </is>
      </c>
      <c r="I15" s="3" t="inlineStr">
        <is>
          <t>Original plant data (plant_base.csv, synthetic)</t>
        </is>
      </c>
    </row>
    <row r="16">
      <c r="A16" s="2" t="inlineStr">
        <is>
          <t>SUS-001</t>
        </is>
      </c>
      <c r="B16" s="3" t="inlineStr">
        <is>
          <t>Water usage</t>
        </is>
      </c>
      <c r="C16" s="3" t="inlineStr">
        <is>
          <t>m3</t>
        </is>
      </c>
      <c r="D16" s="3" t="inlineStr">
        <is>
          <t>Water used</t>
        </is>
      </c>
      <c r="E16" s="21">
        <f>'Group KPIs'!K16</f>
        <v/>
      </c>
      <c r="F16" s="3" t="inlineStr">
        <is>
          <t>3.1 m³/t</t>
        </is>
      </c>
      <c r="G16" s="5" t="inlineStr">
        <is>
          <t>Different</t>
        </is>
      </c>
      <c r="H16" s="3" t="inlineStr">
        <is>
          <t>E-02,E-07,G-05,G-07,O-05,O-09</t>
        </is>
      </c>
      <c r="I16" s="3" t="inlineStr">
        <is>
          <t>Original plant data (plant_base.csv, synthetic)</t>
        </is>
      </c>
    </row>
    <row r="17">
      <c r="A17" s="2" t="inlineStr">
        <is>
          <t>SUS-002</t>
        </is>
      </c>
      <c r="B17" s="3" t="inlineStr">
        <is>
          <t>Emissions</t>
        </is>
      </c>
      <c r="C17" s="3" t="inlineStr">
        <is>
          <t>tCO2e</t>
        </is>
      </c>
      <c r="D17" s="3" t="inlineStr">
        <is>
          <t>Emissions</t>
        </is>
      </c>
      <c r="E17" s="21">
        <f>'Group KPIs'!K17</f>
        <v/>
      </c>
      <c r="F17" s="3" t="inlineStr">
        <is>
          <t>0.82 tCO2e/t</t>
        </is>
      </c>
      <c r="G17" s="5" t="inlineStr">
        <is>
          <t>Different</t>
        </is>
      </c>
      <c r="H17" s="3" t="inlineStr">
        <is>
          <t>E-02,E-07,G-05,G-07,O-05,O-09</t>
        </is>
      </c>
      <c r="I17" s="3" t="inlineStr">
        <is>
          <t>Original plant data (plant_base.csv, synthetic)</t>
        </is>
      </c>
    </row>
    <row r="18">
      <c r="A18" s="2" t="inlineStr">
        <is>
          <t>SUS-003</t>
        </is>
      </c>
      <c r="B18" s="3" t="inlineStr">
        <is>
          <t>Energy intensity</t>
        </is>
      </c>
      <c r="C18" s="3" t="inlineStr">
        <is>
          <t>GJ/t</t>
        </is>
      </c>
      <c r="D18" s="3" t="inlineStr">
        <is>
          <t>Energy used ÷ Good output</t>
        </is>
      </c>
      <c r="E18" s="21">
        <f>'Group KPIs'!K18</f>
        <v/>
      </c>
      <c r="F18" s="3" t="inlineStr">
        <is>
          <t>5.2 GJ/t</t>
        </is>
      </c>
      <c r="G18" s="5" t="inlineStr">
        <is>
          <t>Different</t>
        </is>
      </c>
      <c r="H18" s="3" t="inlineStr">
        <is>
          <t>E-02,E-07,G-05,G-07,O-05,O-09</t>
        </is>
      </c>
      <c r="I18" s="3" t="inlineStr">
        <is>
          <t>Original plant data (plant_base.csv, synthetic)</t>
        </is>
      </c>
    </row>
    <row r="19">
      <c r="A19" s="2" t="inlineStr">
        <is>
          <t>SIG-007</t>
        </is>
      </c>
      <c r="B19" s="3" t="inlineStr">
        <is>
          <t>Production at risk</t>
        </is>
      </c>
      <c r="C19" s="3" t="inlineStr">
        <is>
          <t>t</t>
        </is>
      </c>
      <c r="D19" s="3" t="inlineStr">
        <is>
          <t>Production at risk</t>
        </is>
      </c>
      <c r="E19" s="21">
        <f>'Group KPIs'!K19</f>
        <v/>
      </c>
      <c r="F19" s="3" t="inlineStr">
        <is>
          <t>Not shown</t>
        </is>
      </c>
      <c r="G19" s="6" t="inlineStr">
        <is>
          <t>Not shown</t>
        </is>
      </c>
      <c r="H19" s="3" t="n"/>
      <c r="I19" s="3" t="inlineStr">
        <is>
          <t>Original plant data (plant_base.csv, synthetic)</t>
        </is>
      </c>
    </row>
    <row r="20">
      <c r="A20" s="2" t="inlineStr">
        <is>
          <t>SIG-008</t>
        </is>
      </c>
      <c r="B20" s="3" t="inlineStr">
        <is>
          <t>Critical plant-state alerts</t>
        </is>
      </c>
      <c r="C20" s="3" t="inlineStr">
        <is>
          <t>count</t>
        </is>
      </c>
      <c r="D20" s="3" t="inlineStr">
        <is>
          <t>Critical plant alerts</t>
        </is>
      </c>
      <c r="E20" s="21">
        <f>'Group KPIs'!K20</f>
        <v/>
      </c>
      <c r="F20" s="3" t="inlineStr">
        <is>
          <t>Not shown</t>
        </is>
      </c>
      <c r="G20" s="6" t="inlineStr">
        <is>
          <t>Not shown</t>
        </is>
      </c>
      <c r="H20" s="3" t="n"/>
      <c r="I20" s="3" t="inlineStr">
        <is>
          <t>Original plant data (plant_base.csv, synthetic)</t>
        </is>
      </c>
    </row>
    <row r="21">
      <c r="A21" s="2" t="inlineStr">
        <is>
          <t>SIG-009</t>
        </is>
      </c>
      <c r="B21" s="3" t="inlineStr">
        <is>
          <t>Critical-material shortage risk</t>
        </is>
      </c>
      <c r="C21" s="3" t="inlineStr">
        <is>
          <t>count</t>
        </is>
      </c>
      <c r="D21" s="3" t="inlineStr">
        <is>
          <t>Critical materials at risk</t>
        </is>
      </c>
      <c r="E21" s="21">
        <f>'Group KPIs'!K21</f>
        <v/>
      </c>
      <c r="F21" s="3" t="inlineStr">
        <is>
          <t>3.5 days of cover</t>
        </is>
      </c>
      <c r="G21" s="5" t="inlineStr">
        <is>
          <t>Different</t>
        </is>
      </c>
      <c r="H21" s="3" t="inlineStr">
        <is>
          <t>E-01,E-04,O-09,S-10,S-12</t>
        </is>
      </c>
      <c r="I21" s="3" t="inlineStr">
        <is>
          <t>Original plant data (plant_base.csv, synthetic)</t>
        </is>
      </c>
    </row>
    <row r="22">
      <c r="A22" s="2" t="inlineStr">
        <is>
          <t>SIG-012</t>
        </is>
      </c>
      <c r="B22" s="3" t="inlineStr">
        <is>
          <t>Dispatch delays</t>
        </is>
      </c>
      <c r="C22" s="3" t="inlineStr">
        <is>
          <t>%</t>
        </is>
      </c>
      <c r="D22" s="3" t="inlineStr">
        <is>
          <t>Delayed dispatches ÷ Dispatches × 100</t>
        </is>
      </c>
      <c r="E22" s="21">
        <f>'Group KPIs'!K22</f>
        <v/>
      </c>
      <c r="F22" s="3" t="inlineStr">
        <is>
          <t>2–4 days</t>
        </is>
      </c>
      <c r="G22" s="5" t="inlineStr">
        <is>
          <t>Different</t>
        </is>
      </c>
      <c r="H22" s="3" t="inlineStr">
        <is>
          <t>E-05,S-11,S-12</t>
        </is>
      </c>
      <c r="I22" s="3" t="inlineStr">
        <is>
          <t>Original plant data (plant_base.csv, synthetic)</t>
        </is>
      </c>
    </row>
    <row r="23">
      <c r="A23" s="2" t="inlineStr">
        <is>
          <t>SIG-021</t>
        </is>
      </c>
      <c r="B23" s="3" t="inlineStr">
        <is>
          <t>Environmental violations</t>
        </is>
      </c>
      <c r="C23" s="3" t="inlineStr">
        <is>
          <t>count</t>
        </is>
      </c>
      <c r="D23" s="3" t="inlineStr">
        <is>
          <t>Environmental violations</t>
        </is>
      </c>
      <c r="E23" s="21">
        <f>'Group KPIs'!K23</f>
        <v/>
      </c>
      <c r="F23" s="3" t="inlineStr">
        <is>
          <t>Not shown</t>
        </is>
      </c>
      <c r="G23" s="6" t="inlineStr">
        <is>
          <t>Not shown</t>
        </is>
      </c>
      <c r="H23" s="3" t="n"/>
      <c r="I23" s="3" t="inlineStr">
        <is>
          <t>Original plant data (plant_base.csv, synthetic)</t>
        </is>
      </c>
    </row>
    <row r="24">
      <c r="A24" s="2" t="inlineStr">
        <is>
          <t>EHS-001</t>
        </is>
      </c>
      <c r="B24" s="3" t="inlineStr">
        <is>
          <t>TRIR</t>
        </is>
      </c>
      <c r="C24" s="3" t="inlineStr">
        <is>
          <t>per 200,000 h</t>
        </is>
      </c>
      <c r="D24" s="3" t="inlineStr">
        <is>
          <t>Recordable injuries × 200,000 ÷ Hours worked</t>
        </is>
      </c>
      <c r="E24" s="21">
        <f>'Group KPIs'!K24</f>
        <v/>
      </c>
      <c r="F24" s="3" t="inlineStr">
        <is>
          <t>0.42</t>
        </is>
      </c>
      <c r="G24" s="5" t="inlineStr">
        <is>
          <t>Different</t>
        </is>
      </c>
      <c r="H24" s="3" t="inlineStr">
        <is>
          <t>E-07,G-07,O-05</t>
        </is>
      </c>
      <c r="I24" s="3" t="inlineStr">
        <is>
          <t>Original plant data (plant_base.csv, synthetic)</t>
        </is>
      </c>
    </row>
    <row r="25">
      <c r="A25" s="2" t="inlineStr">
        <is>
          <t>EHS-002</t>
        </is>
      </c>
      <c r="B25" s="3" t="inlineStr">
        <is>
          <t>Severity incidents</t>
        </is>
      </c>
      <c r="C25" s="3" t="inlineStr">
        <is>
          <t>count</t>
        </is>
      </c>
      <c r="D25" s="3" t="inlineStr">
        <is>
          <t>Severity incidents</t>
        </is>
      </c>
      <c r="E25" s="21">
        <f>'Group KPIs'!K25</f>
        <v/>
      </c>
      <c r="F25" s="3" t="inlineStr">
        <is>
          <t>0</t>
        </is>
      </c>
      <c r="G25" s="5" t="inlineStr">
        <is>
          <t>Different</t>
        </is>
      </c>
      <c r="H25" s="3" t="inlineStr">
        <is>
          <t>E-07,G-01,G-07,O-05</t>
        </is>
      </c>
      <c r="I25" s="3" t="inlineStr">
        <is>
          <t>Original plant data (plant_base.csv, synthetic)</t>
        </is>
      </c>
    </row>
    <row r="26">
      <c r="A26" s="2" t="inlineStr">
        <is>
          <t>EHS-003</t>
        </is>
      </c>
      <c r="B26" s="3" t="inlineStr">
        <is>
          <t>Near misses</t>
        </is>
      </c>
      <c r="C26" s="3" t="inlineStr">
        <is>
          <t>count</t>
        </is>
      </c>
      <c r="D26" s="3" t="inlineStr">
        <is>
          <t>Near misses</t>
        </is>
      </c>
      <c r="E26" s="21">
        <f>'Group KPIs'!K26</f>
        <v/>
      </c>
      <c r="F26" s="3" t="inlineStr">
        <is>
          <t>14</t>
        </is>
      </c>
      <c r="G26" s="5" t="inlineStr">
        <is>
          <t>Different</t>
        </is>
      </c>
      <c r="H26" s="3" t="inlineStr">
        <is>
          <t>E-07,G-07,O-05</t>
        </is>
      </c>
      <c r="I26" s="3" t="inlineStr">
        <is>
          <t>Original plant data (plant_base.csv, synthetic)</t>
        </is>
      </c>
    </row>
    <row r="27">
      <c r="A27" s="2" t="inlineStr">
        <is>
          <t>EHS-004</t>
        </is>
      </c>
      <c r="B27" s="3" t="inlineStr">
        <is>
          <t>Critical safety incidents</t>
        </is>
      </c>
      <c r="C27" s="3" t="inlineStr">
        <is>
          <t>count</t>
        </is>
      </c>
      <c r="D27" s="3" t="inlineStr">
        <is>
          <t>Critical safety incidents</t>
        </is>
      </c>
      <c r="E27" s="21">
        <f>'Group KPIs'!K27</f>
        <v/>
      </c>
      <c r="F27" s="3" t="inlineStr">
        <is>
          <t>0</t>
        </is>
      </c>
      <c r="G27" s="7" t="inlineStr">
        <is>
          <t>Same</t>
        </is>
      </c>
      <c r="H27" s="3" t="inlineStr">
        <is>
          <t>E-07,G-07,O-05</t>
        </is>
      </c>
      <c r="I27" s="3" t="inlineStr">
        <is>
          <t>Original plant data (plant_base.csv, synthetic)</t>
        </is>
      </c>
    </row>
    <row r="28">
      <c r="A28" s="2" t="inlineStr">
        <is>
          <t>EHS-005</t>
        </is>
      </c>
      <c r="B28" s="3" t="inlineStr">
        <is>
          <t>Environmental excursions</t>
        </is>
      </c>
      <c r="C28" s="3" t="inlineStr">
        <is>
          <t>count</t>
        </is>
      </c>
      <c r="D28" s="3" t="inlineStr">
        <is>
          <t>Environmental excursions</t>
        </is>
      </c>
      <c r="E28" s="21">
        <f>'Group KPIs'!K28</f>
        <v/>
      </c>
      <c r="F28" s="3" t="inlineStr">
        <is>
          <t>1 (minor, closed)</t>
        </is>
      </c>
      <c r="G28" s="5" t="inlineStr">
        <is>
          <t>Different</t>
        </is>
      </c>
      <c r="H28" s="3" t="inlineStr">
        <is>
          <t>E-07,G-07,O-05</t>
        </is>
      </c>
      <c r="I28" s="3" t="inlineStr">
        <is>
          <t>Original plant data (plant_base.csv, synthetic)</t>
        </is>
      </c>
    </row>
    <row r="29">
      <c r="A29" s="2" t="inlineStr">
        <is>
          <t>EHS-006</t>
        </is>
      </c>
      <c r="B29" s="3" t="inlineStr">
        <is>
          <t>Open EHS corrective actions</t>
        </is>
      </c>
      <c r="C29" s="3" t="inlineStr">
        <is>
          <t>count</t>
        </is>
      </c>
      <c r="D29" s="3" t="inlineStr">
        <is>
          <t>Open EHS corrective actions</t>
        </is>
      </c>
      <c r="E29" s="21">
        <f>'Group KPIs'!K29</f>
        <v/>
      </c>
      <c r="F29" s="3" t="inlineStr">
        <is>
          <t>9</t>
        </is>
      </c>
      <c r="G29" s="5" t="inlineStr">
        <is>
          <t>Different</t>
        </is>
      </c>
      <c r="H29" s="3" t="inlineStr">
        <is>
          <t>E-07,G-07</t>
        </is>
      </c>
      <c r="I29" s="3" t="inlineStr">
        <is>
          <t>Original plant data (plant_base.csv, synthetic)</t>
        </is>
      </c>
    </row>
    <row r="30">
      <c r="A30" s="2" t="inlineStr">
        <is>
          <t>EHS-007</t>
        </is>
      </c>
      <c r="B30" s="3" t="inlineStr">
        <is>
          <t>Overdue EHS actions</t>
        </is>
      </c>
      <c r="C30" s="3" t="inlineStr">
        <is>
          <t>count</t>
        </is>
      </c>
      <c r="D30" s="3" t="inlineStr">
        <is>
          <t>Overdue EHS corrective actions</t>
        </is>
      </c>
      <c r="E30" s="21">
        <f>'Group KPIs'!K30</f>
        <v/>
      </c>
      <c r="F30" s="3" t="inlineStr">
        <is>
          <t>0</t>
        </is>
      </c>
      <c r="G30" s="5" t="inlineStr">
        <is>
          <t>Different</t>
        </is>
      </c>
      <c r="H30" s="3" t="inlineStr">
        <is>
          <t>E-07,G-07,O-05</t>
        </is>
      </c>
      <c r="I30" s="3" t="inlineStr">
        <is>
          <t>Original plant data (plant_base.csv, synthetic)</t>
        </is>
      </c>
    </row>
    <row r="31">
      <c r="A31" s="2" t="inlineStr">
        <is>
          <t>EHS-009</t>
        </is>
      </c>
      <c r="B31" s="3" t="inlineStr">
        <is>
          <t>EHS investigation completion</t>
        </is>
      </c>
      <c r="C31" s="3" t="inlineStr">
        <is>
          <t>%</t>
        </is>
      </c>
      <c r="D31" s="3" t="inlineStr">
        <is>
          <t>EHS investigations completed ÷ EHS investigations due × 100 (100 if none due)</t>
        </is>
      </c>
      <c r="E31" s="21">
        <f>'Group KPIs'!K31</f>
        <v/>
      </c>
      <c r="F31" s="3" t="inlineStr">
        <is>
          <t>100%</t>
        </is>
      </c>
      <c r="G31" s="5" t="inlineStr">
        <is>
          <t>Different</t>
        </is>
      </c>
      <c r="H31" s="3" t="inlineStr">
        <is>
          <t>E-07,G-07</t>
        </is>
      </c>
      <c r="I31" s="3" t="inlineStr">
        <is>
          <t>Original plant data (plant_base.csv, synthetic)</t>
        </is>
      </c>
    </row>
    <row r="32">
      <c r="A32" s="2" t="inlineStr">
        <is>
          <t>REG-006</t>
        </is>
      </c>
      <c r="B32" s="3" t="inlineStr">
        <is>
          <t>Licence or permit expiry clock</t>
        </is>
      </c>
      <c r="C32" s="3" t="inlineStr">
        <is>
          <t>days</t>
        </is>
      </c>
      <c r="D32" s="3" t="inlineStr">
        <is>
          <t>Days to permit expiry (lowest plant)</t>
        </is>
      </c>
      <c r="E32" s="21">
        <f>'Group KPIs'!K32</f>
        <v/>
      </c>
      <c r="F32" s="3" t="inlineStr">
        <is>
          <t>74 days · Entity C1</t>
        </is>
      </c>
      <c r="G32" s="5" t="inlineStr">
        <is>
          <t>Different</t>
        </is>
      </c>
      <c r="H32" s="3" t="inlineStr">
        <is>
          <t>E-07,O-05</t>
        </is>
      </c>
      <c r="I32" s="3" t="inlineStr">
        <is>
          <t>Original plant data (plant_base.csv, synthetic)</t>
        </is>
      </c>
    </row>
    <row r="33">
      <c r="A33" s="2" t="inlineStr">
        <is>
          <t>OPS-005</t>
        </is>
      </c>
      <c r="B33" s="3" t="inlineStr">
        <is>
          <t>Capacity utilisation (same measure as OPS-003)</t>
        </is>
      </c>
      <c r="C33" s="3" t="inlineStr">
        <is>
          <t>%</t>
        </is>
      </c>
      <c r="D33" s="3" t="inlineStr">
        <is>
          <t>Good output ÷ Installed capacity × 100</t>
        </is>
      </c>
      <c r="E33" s="21">
        <f>'Group KPIs'!K33</f>
        <v/>
      </c>
      <c r="F33" s="3" t="inlineStr">
        <is>
          <t>86%</t>
        </is>
      </c>
      <c r="G33" s="5" t="inlineStr">
        <is>
          <t>Different</t>
        </is>
      </c>
      <c r="H33" s="3" t="inlineStr">
        <is>
          <t>E-01,G-01,O-01,O-09</t>
        </is>
      </c>
      <c r="I33" s="3" t="inlineStr">
        <is>
          <t>Original plant data (plant_base.csv, synthetic)</t>
        </is>
      </c>
    </row>
    <row r="34">
      <c r="A34" s="2" t="inlineStr">
        <is>
          <t>OPS-006</t>
        </is>
      </c>
      <c r="B34" s="3" t="inlineStr">
        <is>
          <t>OEE · Group weighted (same measure as PLT-002)</t>
        </is>
      </c>
      <c r="C34" s="3" t="inlineStr">
        <is>
          <t>%</t>
        </is>
      </c>
      <c r="D34" s="3" t="inlineStr">
        <is>
          <t>Good output ÷ Ideal output × 100 (weighted by output, not an average of plants)</t>
        </is>
      </c>
      <c r="E34" s="21">
        <f>'Group KPIs'!K34</f>
        <v/>
      </c>
      <c r="F34" s="3" t="inlineStr">
        <is>
          <t>78.4 %</t>
        </is>
      </c>
      <c r="G34" s="5" t="inlineStr">
        <is>
          <t>Different</t>
        </is>
      </c>
      <c r="H34" s="3" t="inlineStr">
        <is>
          <t>O-09</t>
        </is>
      </c>
      <c r="I34" s="3" t="inlineStr">
        <is>
          <t>Original plant data (plant_base.csv, synthetic)</t>
        </is>
      </c>
    </row>
    <row r="35">
      <c r="A35" s="2" t="inlineStr">
        <is>
          <t>OPS-002</t>
        </is>
      </c>
      <c r="B35" s="3" t="inlineStr">
        <is>
          <t>Sales vs plan</t>
        </is>
      </c>
      <c r="C35" s="3" t="inlineStr">
        <is>
          <t>%</t>
        </is>
      </c>
      <c r="D35" s="3" t="inlineStr">
        <is>
          <t>Sales volume ÷ Planned sales volume × 100</t>
        </is>
      </c>
      <c r="E35" s="21">
        <f>'Group KPIs'!K35</f>
        <v/>
      </c>
      <c r="F35" s="3" t="inlineStr">
        <is>
          <t>97.6%</t>
        </is>
      </c>
      <c r="G35" s="5" t="inlineStr">
        <is>
          <t>Different</t>
        </is>
      </c>
      <c r="H35" s="3" t="inlineStr">
        <is>
          <t>E-01,G-01,G-03,O-01,STATE GALLERY</t>
        </is>
      </c>
      <c r="I35" s="3" t="inlineStr">
        <is>
          <t>Synthetic inputs added for this model</t>
        </is>
      </c>
    </row>
    <row r="36">
      <c r="A36" s="2" t="inlineStr">
        <is>
          <t>OPS-004</t>
        </is>
      </c>
      <c r="B36" s="3" t="inlineStr">
        <is>
          <t>Sales vs plan · Group (same measure as OPS-002)</t>
        </is>
      </c>
      <c r="C36" s="3" t="inlineStr">
        <is>
          <t>%</t>
        </is>
      </c>
      <c r="D36" s="3" t="inlineStr">
        <is>
          <t>Sales volume ÷ Planned sales volume × 100</t>
        </is>
      </c>
      <c r="E36" s="21">
        <f>'Group KPIs'!K36</f>
        <v/>
      </c>
      <c r="F36" s="3" t="inlineStr">
        <is>
          <t>97.6%</t>
        </is>
      </c>
      <c r="G36" s="5" t="inlineStr">
        <is>
          <t>Different</t>
        </is>
      </c>
      <c r="H36" s="3" t="inlineStr">
        <is>
          <t>O-01</t>
        </is>
      </c>
      <c r="I36" s="3" t="inlineStr">
        <is>
          <t>Synthetic inputs added for this model</t>
        </is>
      </c>
    </row>
    <row r="37">
      <c r="A37" s="2" t="inlineStr">
        <is>
          <t>CST-004</t>
        </is>
      </c>
      <c r="B37" s="3" t="inlineStr">
        <is>
          <t>Power cost per tonne</t>
        </is>
      </c>
      <c r="C37" s="3" t="inlineStr">
        <is>
          <t>₹/t</t>
        </is>
      </c>
      <c r="D37" s="3" t="inlineStr">
        <is>
          <t>Power cost × 1000 ÷ Good output</t>
        </is>
      </c>
      <c r="E37" s="21">
        <f>'Group KPIs'!K37</f>
        <v/>
      </c>
      <c r="F37" s="3" t="inlineStr">
        <is>
          <t>6.1 ₹/t</t>
        </is>
      </c>
      <c r="G37" s="5" t="inlineStr">
        <is>
          <t>Different</t>
        </is>
      </c>
      <c r="H37" s="3" t="inlineStr">
        <is>
          <t>O-09</t>
        </is>
      </c>
      <c r="I37" s="3" t="inlineStr">
        <is>
          <t>Original plant data + synthetic inputs added for this model</t>
        </is>
      </c>
    </row>
    <row r="38">
      <c r="A38" s="2" t="inlineStr">
        <is>
          <t>FIN-001</t>
        </is>
      </c>
      <c r="B38" s="3" t="inlineStr">
        <is>
          <t>EBITDA YTD</t>
        </is>
      </c>
      <c r="C38" s="3" t="inlineStr">
        <is>
          <t>₹ m</t>
        </is>
      </c>
      <c r="D38" s="3" t="inlineStr">
        <is>
          <t>Sum of monthly EBITDA since April ÷ 1000  [Year to date]</t>
        </is>
      </c>
      <c r="E38" s="21">
        <f>'Group KPIs'!K38</f>
        <v/>
      </c>
      <c r="F38" s="3" t="inlineStr">
        <is>
          <t>361.3 ₹ m</t>
        </is>
      </c>
      <c r="G38" s="5" t="inlineStr">
        <is>
          <t>Different</t>
        </is>
      </c>
      <c r="H38" s="3" t="inlineStr">
        <is>
          <t>E-01,E-11,G-01,G-02,G-03,O-01,STATE GALLERY</t>
        </is>
      </c>
      <c r="I38" s="3" t="inlineStr">
        <is>
          <t>Original plant data + synthetic inputs added for this model</t>
        </is>
      </c>
    </row>
    <row r="39">
      <c r="A39" s="2" t="inlineStr">
        <is>
          <t>FIN-002</t>
        </is>
      </c>
      <c r="B39" s="3" t="inlineStr">
        <is>
          <t>EBIT YTD</t>
        </is>
      </c>
      <c r="C39" s="3" t="inlineStr">
        <is>
          <t>₹ m</t>
        </is>
      </c>
      <c r="D39" s="3" t="inlineStr">
        <is>
          <t>Sum of monthly EBIT since April ÷ 1000  [Year to date]</t>
        </is>
      </c>
      <c r="E39" s="21">
        <f>'Group KPIs'!K39</f>
        <v/>
      </c>
      <c r="F39" s="3" t="inlineStr">
        <is>
          <t>238.4 ₹ m</t>
        </is>
      </c>
      <c r="G39" s="5" t="inlineStr">
        <is>
          <t>Different</t>
        </is>
      </c>
      <c r="H39" s="3" t="inlineStr">
        <is>
          <t>E-01,E-11,G-01,G-03,O-01,STATE GALLERY</t>
        </is>
      </c>
      <c r="I39" s="3" t="inlineStr">
        <is>
          <t>Original plant data + synthetic inputs added for this model</t>
        </is>
      </c>
    </row>
    <row r="40">
      <c r="A40" s="2" t="inlineStr">
        <is>
          <t>FIN-003</t>
        </is>
      </c>
      <c r="B40" s="3" t="inlineStr">
        <is>
          <t>Revenue YTD</t>
        </is>
      </c>
      <c r="C40" s="3" t="inlineStr">
        <is>
          <t>₹ m</t>
        </is>
      </c>
      <c r="D40" s="3" t="inlineStr">
        <is>
          <t>Sum of monthly Revenue since April ÷ 1000  [Year to date]</t>
        </is>
      </c>
      <c r="E40" s="21">
        <f>'Group KPIs'!K40</f>
        <v/>
      </c>
      <c r="F40" s="3" t="inlineStr">
        <is>
          <t>2,410 ₹ m</t>
        </is>
      </c>
      <c r="G40" s="5" t="inlineStr">
        <is>
          <t>Different</t>
        </is>
      </c>
      <c r="H40" s="3" t="inlineStr">
        <is>
          <t>E-01,E-11,G-01,G-02,G-03,O-01,STATE GALLERY</t>
        </is>
      </c>
      <c r="I40" s="3" t="inlineStr">
        <is>
          <t>Synthetic inputs added for this model</t>
        </is>
      </c>
    </row>
    <row r="41">
      <c r="A41" s="2" t="inlineStr">
        <is>
          <t>FIN-004</t>
        </is>
      </c>
      <c r="B41" s="3" t="inlineStr">
        <is>
          <t>Free cash flow YTD</t>
        </is>
      </c>
      <c r="C41" s="3" t="inlineStr">
        <is>
          <t>₹ m</t>
        </is>
      </c>
      <c r="D41" s="3" t="inlineStr">
        <is>
          <t>Sum of monthly Free cash flow since April ÷ 1000  [Year to date]</t>
        </is>
      </c>
      <c r="E41" s="21">
        <f>'Group KPIs'!K41</f>
        <v/>
      </c>
      <c r="F41" s="3" t="inlineStr">
        <is>
          <t>96.4 ₹ m</t>
        </is>
      </c>
      <c r="G41" s="5" t="inlineStr">
        <is>
          <t>Different</t>
        </is>
      </c>
      <c r="H41" s="3" t="inlineStr">
        <is>
          <t>O-01, E-01, E-11, G-01, G-03, STATE GALLERY</t>
        </is>
      </c>
      <c r="I41" s="3" t="inlineStr">
        <is>
          <t>Original plant data + synthetic inputs added for this model</t>
        </is>
      </c>
    </row>
    <row r="42">
      <c r="A42" s="2" t="inlineStr">
        <is>
          <t>FIN-005</t>
        </is>
      </c>
      <c r="B42" s="3" t="inlineStr">
        <is>
          <t>ROCE, annualised</t>
        </is>
      </c>
      <c r="C42" s="3" t="inlineStr">
        <is>
          <t>%</t>
        </is>
      </c>
      <c r="D42" s="3" t="inlineStr">
        <is>
          <t>EBIT since April × 12 ÷ months elapsed ÷ Capital employed × 100  [Year to date]</t>
        </is>
      </c>
      <c r="E42" s="21">
        <f>'Group KPIs'!K42</f>
        <v/>
      </c>
      <c r="F42" s="3" t="inlineStr">
        <is>
          <t>11.8%</t>
        </is>
      </c>
      <c r="G42" s="5" t="inlineStr">
        <is>
          <t>Different</t>
        </is>
      </c>
      <c r="H42" s="3" t="inlineStr">
        <is>
          <t>E-01,E-11,G-01,G-03,O-01,STATE GALLERY</t>
        </is>
      </c>
      <c r="I42" s="3" t="inlineStr">
        <is>
          <t>Original plant data + synthetic inputs added for this model</t>
        </is>
      </c>
    </row>
    <row r="43">
      <c r="A43" s="2" t="inlineStr">
        <is>
          <t>FIN-006</t>
        </is>
      </c>
      <c r="B43" s="3" t="inlineStr">
        <is>
          <t>Net debt</t>
        </is>
      </c>
      <c r="C43" s="3" t="inlineStr">
        <is>
          <t>₹ m</t>
        </is>
      </c>
      <c r="D43" s="3" t="inlineStr">
        <is>
          <t>(Gross debt − Cash) ÷ 1000  [Month end]</t>
        </is>
      </c>
      <c r="E43" s="21">
        <f>'Group KPIs'!K43</f>
        <v/>
      </c>
      <c r="F43" s="3" t="inlineStr">
        <is>
          <t>6,650.0 ₹ m</t>
        </is>
      </c>
      <c r="G43" s="5" t="inlineStr">
        <is>
          <t>Same</t>
        </is>
      </c>
      <c r="H43" s="3" t="inlineStr">
        <is>
          <t>O-01, O-03, G-01, G-03, STATE GALLERY</t>
        </is>
      </c>
      <c r="I43" s="3" t="inlineStr">
        <is>
          <t>Synthetic inputs added for this model</t>
        </is>
      </c>
    </row>
    <row r="44">
      <c r="A44" s="2" t="inlineStr">
        <is>
          <t>FIN-007</t>
        </is>
      </c>
      <c r="B44" s="3" t="inlineStr">
        <is>
          <t>Shareholder-value indicator (economic profit YTD)</t>
        </is>
      </c>
      <c r="C44" s="3" t="inlineStr">
        <is>
          <t>₹ m</t>
        </is>
      </c>
      <c r="D44" s="3" t="inlineStr">
        <is>
          <t>(EBIT since April × (1 − Tax rate) − Capital employed × Cost of capital × months elapsed ÷ 12) ÷ 1000  [Year to date]</t>
        </is>
      </c>
      <c r="E44" s="21">
        <f>'Group KPIs'!K44</f>
        <v/>
      </c>
      <c r="F44" s="3" t="inlineStr">
        <is>
          <t>[PLACEHOLDER]</t>
        </is>
      </c>
      <c r="G44" s="5" t="inlineStr">
        <is>
          <t>Different</t>
        </is>
      </c>
      <c r="H44" s="3" t="inlineStr">
        <is>
          <t>G-03,O-01,STATE GALLERY</t>
        </is>
      </c>
      <c r="I44" s="3" t="inlineStr">
        <is>
          <t>Original plant data + synthetic inputs added for this model</t>
        </is>
      </c>
    </row>
    <row r="45">
      <c r="A45" s="2" t="inlineStr">
        <is>
          <t>FIN-008</t>
        </is>
      </c>
      <c r="B45" s="3" t="inlineStr">
        <is>
          <t>FCF conversion (FCF ÷ EBITDA)</t>
        </is>
      </c>
      <c r="C45" s="3" t="inlineStr">
        <is>
          <t>%</t>
        </is>
      </c>
      <c r="D45" s="3" t="inlineStr">
        <is>
          <t>Free cash flow since April ÷ EBITDA since April × 100  [Year to date]</t>
        </is>
      </c>
      <c r="E45" s="21">
        <f>'Group KPIs'!K45</f>
        <v/>
      </c>
      <c r="F45" s="3" t="inlineStr">
        <is>
          <t>27%</t>
        </is>
      </c>
      <c r="G45" s="5" t="inlineStr">
        <is>
          <t>Different</t>
        </is>
      </c>
      <c r="H45" s="3" t="inlineStr">
        <is>
          <t>G-03</t>
        </is>
      </c>
      <c r="I45" s="3" t="inlineStr">
        <is>
          <t>Original plant data + synthetic inputs added for this model</t>
        </is>
      </c>
    </row>
    <row r="46">
      <c r="A46" s="2" t="inlineStr">
        <is>
          <t>CSH-001</t>
        </is>
      </c>
      <c r="B46" s="3" t="inlineStr">
        <is>
          <t>Cash position</t>
        </is>
      </c>
      <c r="C46" s="3" t="inlineStr">
        <is>
          <t>₹ m</t>
        </is>
      </c>
      <c r="D46" s="3" t="inlineStr">
        <is>
          <t>Cash ÷ 1000  [Month end]</t>
        </is>
      </c>
      <c r="E46" s="21">
        <f>'Group KPIs'!K46</f>
        <v/>
      </c>
      <c r="F46" s="3" t="inlineStr">
        <is>
          <t>2,141.8 ₹ m</t>
        </is>
      </c>
      <c r="G46" s="5" t="inlineStr">
        <is>
          <t>Same</t>
        </is>
      </c>
      <c r="H46" s="3" t="inlineStr">
        <is>
          <t>O-03, E-05, G-04</t>
        </is>
      </c>
      <c r="I46" s="3" t="inlineStr">
        <is>
          <t>Synthetic inputs added for this model</t>
        </is>
      </c>
    </row>
    <row r="47">
      <c r="A47" s="2" t="inlineStr">
        <is>
          <t>CSH-002</t>
        </is>
      </c>
      <c r="B47" s="3" t="inlineStr">
        <is>
          <t>Cash released YTD</t>
        </is>
      </c>
      <c r="C47" s="3" t="inlineStr">
        <is>
          <t>₹ m</t>
        </is>
      </c>
      <c r="D47" s="3" t="inlineStr">
        <is>
          <t>Sum of cash released since April ÷ 1000  [Year to date]</t>
        </is>
      </c>
      <c r="E47" s="21">
        <f>'Group KPIs'!K47</f>
        <v/>
      </c>
      <c r="F47" s="3" t="inlineStr">
        <is>
          <t>₹21 m</t>
        </is>
      </c>
      <c r="G47" s="5" t="inlineStr">
        <is>
          <t>Different</t>
        </is>
      </c>
      <c r="H47" s="3" t="inlineStr">
        <is>
          <t>E-05, G-04</t>
        </is>
      </c>
      <c r="I47" s="3" t="inlineStr">
        <is>
          <t>Synthetic inputs added for this model</t>
        </is>
      </c>
    </row>
    <row r="48">
      <c r="A48" s="2" t="inlineStr">
        <is>
          <t>CSH-003</t>
        </is>
      </c>
      <c r="B48" s="3" t="inlineStr">
        <is>
          <t>Daily collections</t>
        </is>
      </c>
      <c r="C48" s="3" t="inlineStr">
        <is>
          <t>₹ m per day</t>
        </is>
      </c>
      <c r="D48" s="3" t="inlineStr">
        <is>
          <t>Cash collected ÷ Days in month ÷ 1000</t>
        </is>
      </c>
      <c r="E48" s="21">
        <f>'Group KPIs'!K48</f>
        <v/>
      </c>
      <c r="F48" s="3" t="inlineStr">
        <is>
          <t>₹18.6 m</t>
        </is>
      </c>
      <c r="G48" s="5" t="inlineStr">
        <is>
          <t>Different</t>
        </is>
      </c>
      <c r="H48" s="3" t="inlineStr">
        <is>
          <t>E-01, E-05, G-04, S-11</t>
        </is>
      </c>
      <c r="I48" s="3" t="inlineStr">
        <is>
          <t>Synthetic inputs added for this model</t>
        </is>
      </c>
    </row>
    <row r="49">
      <c r="A49" s="2" t="inlineStr">
        <is>
          <t>CSH-004</t>
        </is>
      </c>
      <c r="B49" s="3" t="inlineStr">
        <is>
          <t>Cash-conversion cycle</t>
        </is>
      </c>
      <c r="C49" s="3" t="inlineStr">
        <is>
          <t>days</t>
        </is>
      </c>
      <c r="D49" s="3" t="inlineStr">
        <is>
          <t>DSO + Inventory days − DPO  [Month end]</t>
        </is>
      </c>
      <c r="E49" s="21">
        <f>'Group KPIs'!K49</f>
        <v/>
      </c>
      <c r="F49" s="3" t="inlineStr">
        <is>
          <t>33 d</t>
        </is>
      </c>
      <c r="G49" s="7" t="inlineStr">
        <is>
          <t>Same</t>
        </is>
      </c>
      <c r="H49" s="3" t="inlineStr">
        <is>
          <t>E-05, G-04</t>
        </is>
      </c>
      <c r="I49" s="3" t="inlineStr">
        <is>
          <t>Original plant data + synthetic inputs added for this model</t>
        </is>
      </c>
    </row>
    <row r="50">
      <c r="A50" s="2" t="inlineStr">
        <is>
          <t>CSH-006</t>
        </is>
      </c>
      <c r="B50" s="3" t="inlineStr">
        <is>
          <t>Cash-upstream exposure</t>
        </is>
      </c>
      <c r="C50" s="3" t="inlineStr">
        <is>
          <t>₹ m</t>
        </is>
      </c>
      <c r="D50" s="3" t="inlineStr">
        <is>
          <t>(Cash due to be upstreamed − Amount covered by available cash) ÷ 1000  [Next 30 days]</t>
        </is>
      </c>
      <c r="E50" s="21">
        <f>'Group KPIs'!K50</f>
        <v/>
      </c>
      <c r="F50" s="3" t="inlineStr">
        <is>
          <t>27.2 ₹ m</t>
        </is>
      </c>
      <c r="G50" s="5" t="inlineStr">
        <is>
          <t>Same</t>
        </is>
      </c>
      <c r="H50" s="3" t="inlineStr">
        <is>
          <t>O-03, E-01, E-05, G-04, S-11</t>
        </is>
      </c>
      <c r="I50" s="3" t="inlineStr">
        <is>
          <t>Synthetic inputs added for this model</t>
        </is>
      </c>
    </row>
    <row r="51">
      <c r="A51" s="2" t="inlineStr">
        <is>
          <t>WCP-001</t>
        </is>
      </c>
      <c r="B51" s="3" t="inlineStr">
        <is>
          <t>DSO</t>
        </is>
      </c>
      <c r="C51" s="3" t="inlineStr">
        <is>
          <t>days</t>
        </is>
      </c>
      <c r="D51" s="3" t="inlineStr">
        <is>
          <t>Trade receivables ÷ Revenue × Days in month  [Month end]</t>
        </is>
      </c>
      <c r="E51" s="21">
        <f>'Group KPIs'!K51</f>
        <v/>
      </c>
      <c r="F51" s="3" t="inlineStr">
        <is>
          <t>47.0 days</t>
        </is>
      </c>
      <c r="G51" s="7" t="inlineStr">
        <is>
          <t>Same</t>
        </is>
      </c>
      <c r="H51" s="3" t="inlineStr">
        <is>
          <t>O-03, E-01, E-05, G-02, G-04, S-11</t>
        </is>
      </c>
      <c r="I51" s="3" t="inlineStr">
        <is>
          <t>Synthetic inputs added for this model</t>
        </is>
      </c>
    </row>
    <row r="52">
      <c r="A52" s="2" t="inlineStr">
        <is>
          <t>WCP-002</t>
        </is>
      </c>
      <c r="B52" s="3" t="inlineStr">
        <is>
          <t>DPO</t>
        </is>
      </c>
      <c r="C52" s="3" t="inlineStr">
        <is>
          <t>days</t>
        </is>
      </c>
      <c r="D52" s="3" t="inlineStr">
        <is>
          <t>Trade payables ÷ Variable cost × Days in month  [Month end]</t>
        </is>
      </c>
      <c r="E52" s="21">
        <f>'Group KPIs'!K52</f>
        <v/>
      </c>
      <c r="F52" s="3" t="inlineStr">
        <is>
          <t>52 d</t>
        </is>
      </c>
      <c r="G52" s="7" t="inlineStr">
        <is>
          <t>Same</t>
        </is>
      </c>
      <c r="H52" s="3" t="inlineStr">
        <is>
          <t>E-05, G-04</t>
        </is>
      </c>
      <c r="I52" s="3" t="inlineStr">
        <is>
          <t>Original plant data + synthetic inputs added for this model</t>
        </is>
      </c>
    </row>
    <row r="53">
      <c r="A53" s="2" t="inlineStr">
        <is>
          <t>WCP-003</t>
        </is>
      </c>
      <c r="B53" s="3" t="inlineStr">
        <is>
          <t>Inventory days</t>
        </is>
      </c>
      <c r="C53" s="3" t="inlineStr">
        <is>
          <t>days</t>
        </is>
      </c>
      <c r="D53" s="3" t="inlineStr">
        <is>
          <t>Inventory ÷ Variable cost × Days in month  [Month end]</t>
        </is>
      </c>
      <c r="E53" s="21">
        <f>'Group KPIs'!K53</f>
        <v/>
      </c>
      <c r="F53" s="3" t="inlineStr">
        <is>
          <t>38 d</t>
        </is>
      </c>
      <c r="G53" s="7" t="inlineStr">
        <is>
          <t>Same</t>
        </is>
      </c>
      <c r="H53" s="3" t="inlineStr">
        <is>
          <t>E-05, G-04</t>
        </is>
      </c>
      <c r="I53" s="3" t="inlineStr">
        <is>
          <t>Original plant data + synthetic inputs added for this model</t>
        </is>
      </c>
    </row>
    <row r="54">
      <c r="A54" s="2" t="inlineStr">
        <is>
          <t>WCP-004</t>
        </is>
      </c>
      <c r="B54" s="3" t="inlineStr">
        <is>
          <t>Net working capital</t>
        </is>
      </c>
      <c r="C54" s="3" t="inlineStr">
        <is>
          <t>₹ m</t>
        </is>
      </c>
      <c r="D54" s="3" t="inlineStr">
        <is>
          <t>(Trade receivables + Inventory − Trade payables) ÷ 1000  [Month end]</t>
        </is>
      </c>
      <c r="E54" s="21">
        <f>'Group KPIs'!K54</f>
        <v/>
      </c>
      <c r="F54" s="3" t="inlineStr">
        <is>
          <t>2,781.0 ₹ m</t>
        </is>
      </c>
      <c r="G54" s="5" t="inlineStr">
        <is>
          <t>Same</t>
        </is>
      </c>
      <c r="H54" s="3" t="inlineStr">
        <is>
          <t>O-03, E-05, G-04</t>
        </is>
      </c>
      <c r="I54" s="3" t="inlineStr">
        <is>
          <t>Synthetic inputs added for this model</t>
        </is>
      </c>
    </row>
    <row r="55">
      <c r="A55" s="2" t="inlineStr">
        <is>
          <t>WCP-005</t>
        </is>
      </c>
      <c r="B55" s="3" t="inlineStr">
        <is>
          <t>Working-capital movement</t>
        </is>
      </c>
      <c r="C55" s="3" t="inlineStr">
        <is>
          <t>₹ m</t>
        </is>
      </c>
      <c r="D55" s="3" t="inlineStr">
        <is>
          <t>(Net working capital − last month's net working capital) ÷ 1000; positive = cash tied up</t>
        </is>
      </c>
      <c r="E55" s="21">
        <f>'Group KPIs'!K55</f>
        <v/>
      </c>
      <c r="F55" s="3" t="inlineStr">
        <is>
          <t>+₹14 m</t>
        </is>
      </c>
      <c r="G55" s="5" t="inlineStr">
        <is>
          <t>Different</t>
        </is>
      </c>
      <c r="H55" s="3" t="inlineStr">
        <is>
          <t>E-05, G-04</t>
        </is>
      </c>
      <c r="I55" s="3" t="inlineStr">
        <is>
          <t>Synthetic inputs added for this model</t>
        </is>
      </c>
    </row>
    <row r="56">
      <c r="A56" s="2" t="inlineStr">
        <is>
          <t>WCP-006</t>
        </is>
      </c>
      <c r="B56" s="3" t="inlineStr">
        <is>
          <t>Working-capital days</t>
        </is>
      </c>
      <c r="C56" s="3" t="inlineStr">
        <is>
          <t>days</t>
        </is>
      </c>
      <c r="D56" s="3" t="inlineStr">
        <is>
          <t>Net working capital ÷ Revenue × Days in month  [Month end]</t>
        </is>
      </c>
      <c r="E56" s="21">
        <f>'Group KPIs'!K56</f>
        <v/>
      </c>
      <c r="F56" s="3" t="inlineStr">
        <is>
          <t>33</t>
        </is>
      </c>
      <c r="G56" s="5" t="inlineStr">
        <is>
          <t>Different</t>
        </is>
      </c>
      <c r="H56" s="3" t="inlineStr">
        <is>
          <t>E-05, G-04</t>
        </is>
      </c>
      <c r="I56" s="3" t="inlineStr">
        <is>
          <t>Synthetic inputs added for this model</t>
        </is>
      </c>
    </row>
    <row r="57">
      <c r="A57" s="2" t="inlineStr">
        <is>
          <t>LIQ-001</t>
        </is>
      </c>
      <c r="B57" s="3" t="inlineStr">
        <is>
          <t>Liquidity runway</t>
        </is>
      </c>
      <c r="C57" s="3" t="inlineStr">
        <is>
          <t>months</t>
        </is>
      </c>
      <c r="D57" s="3" t="inlineStr">
        <is>
          <t>(Cash + Undrawn facilities) ÷ (Fixed cost + Overheads + Debt service) per month  [Month end]</t>
        </is>
      </c>
      <c r="E57" s="21">
        <f>'Group KPIs'!K57</f>
        <v/>
      </c>
      <c r="F57" s="3" t="inlineStr">
        <is>
          <t>16.7 months</t>
        </is>
      </c>
      <c r="G57" s="5" t="inlineStr">
        <is>
          <t>Same</t>
        </is>
      </c>
      <c r="H57" s="3" t="inlineStr">
        <is>
          <t>O-03, E-05, G-04</t>
        </is>
      </c>
      <c r="I57" s="3" t="inlineStr">
        <is>
          <t>Original plant data + synthetic inputs added for this model</t>
        </is>
      </c>
    </row>
    <row r="58">
      <c r="A58" s="2" t="inlineStr">
        <is>
          <t>LIQ-002</t>
        </is>
      </c>
      <c r="B58" s="3" t="inlineStr">
        <is>
          <t>Covenant headroom</t>
        </is>
      </c>
      <c r="C58" s="3" t="inlineStr">
        <is>
          <t>%</t>
        </is>
      </c>
      <c r="D58" s="3" t="inlineStr">
        <is>
          <t>(Covenant limit − Net debt ÷ Annualised EBITDA) ÷ Covenant limit × 100  [Month end]</t>
        </is>
      </c>
      <c r="E58" s="21">
        <f>'Group KPIs'!K58</f>
        <v/>
      </c>
      <c r="F58" s="3" t="inlineStr">
        <is>
          <t>22 % [TERMS — PH]</t>
        </is>
      </c>
      <c r="G58" s="5" t="inlineStr">
        <is>
          <t>Different</t>
        </is>
      </c>
      <c r="H58" s="3" t="inlineStr">
        <is>
          <t>E-05, G-04</t>
        </is>
      </c>
      <c r="I58" s="3" t="inlineStr">
        <is>
          <t>Original plant data + synthetic inputs added for this model</t>
        </is>
      </c>
    </row>
    <row r="59">
      <c r="A59" s="2" t="inlineStr">
        <is>
          <t>LIQ-003</t>
        </is>
      </c>
      <c r="B59" s="3" t="inlineStr">
        <is>
          <t>Debt-maturity exposure, next 12 months</t>
        </is>
      </c>
      <c r="C59" s="3" t="inlineStr">
        <is>
          <t>₹ m</t>
        </is>
      </c>
      <c r="D59" s="3" t="inlineStr">
        <is>
          <t>Debt maturing in next 12 months ÷ 1000  [Month end]</t>
        </is>
      </c>
      <c r="E59" s="21">
        <f>'Group KPIs'!K59</f>
        <v/>
      </c>
      <c r="F59" s="3" t="inlineStr">
        <is>
          <t>891.4 ₹ m</t>
        </is>
      </c>
      <c r="G59" s="5" t="inlineStr">
        <is>
          <t>Same</t>
        </is>
      </c>
      <c r="H59" s="3" t="inlineStr">
        <is>
          <t>O-03, E-05, G-04</t>
        </is>
      </c>
      <c r="I59" s="3" t="inlineStr">
        <is>
          <t>Synthetic inputs added for this model</t>
        </is>
      </c>
    </row>
    <row r="60">
      <c r="A60" s="2" t="inlineStr">
        <is>
          <t>LIQ-004</t>
        </is>
      </c>
      <c r="B60" s="3" t="inlineStr">
        <is>
          <t>Financing exposure (floating-rate debt)</t>
        </is>
      </c>
      <c r="C60" s="3" t="inlineStr">
        <is>
          <t>₹ m</t>
        </is>
      </c>
      <c r="D60" s="3" t="inlineStr">
        <is>
          <t>Floating-rate debt ÷ 1000  [Month end]</t>
        </is>
      </c>
      <c r="E60" s="21">
        <f>'Group KPIs'!K60</f>
        <v/>
      </c>
      <c r="F60" s="3" t="inlineStr">
        <is>
          <t>2,720.8 ₹ m</t>
        </is>
      </c>
      <c r="G60" s="5" t="inlineStr">
        <is>
          <t>Same</t>
        </is>
      </c>
      <c r="H60" s="3" t="inlineStr">
        <is>
          <t>O-03, G-04</t>
        </is>
      </c>
      <c r="I60" s="3" t="inlineStr">
        <is>
          <t>Synthetic inputs added for this model</t>
        </is>
      </c>
    </row>
    <row r="61">
      <c r="A61" s="2" t="inlineStr">
        <is>
          <t>TRS-001</t>
        </is>
      </c>
      <c r="B61" s="3" t="inlineStr">
        <is>
          <t>FX exposure, unhedged</t>
        </is>
      </c>
      <c r="C61" s="3" t="inlineStr">
        <is>
          <t>₹ m</t>
        </is>
      </c>
      <c r="D61" s="3" t="inlineStr">
        <is>
          <t>(Foreign-currency exposure − Amount hedged) ÷ 1000  [Month end]</t>
        </is>
      </c>
      <c r="E61" s="21">
        <f>'Group KPIs'!K61</f>
        <v/>
      </c>
      <c r="F61" s="3" t="inlineStr">
        <is>
          <t>₹64 m</t>
        </is>
      </c>
      <c r="G61" s="5" t="inlineStr">
        <is>
          <t>Different</t>
        </is>
      </c>
      <c r="H61" s="3" t="inlineStr">
        <is>
          <t>E-05, G-04</t>
        </is>
      </c>
      <c r="I61" s="3" t="inlineStr">
        <is>
          <t>Synthetic inputs added for this model</t>
        </is>
      </c>
    </row>
    <row r="62">
      <c r="A62" s="2" t="inlineStr">
        <is>
          <t>TRS-002</t>
        </is>
      </c>
      <c r="B62" s="3" t="inlineStr">
        <is>
          <t>Hedging effectiveness</t>
        </is>
      </c>
      <c r="C62" s="3" t="inlineStr">
        <is>
          <t>%</t>
        </is>
      </c>
      <c r="D62" s="3" t="inlineStr">
        <is>
          <t>Change in value of hedges ÷ Change in value of hedged items × 100</t>
        </is>
      </c>
      <c r="E62" s="21">
        <f>'Group KPIs'!K62</f>
        <v/>
      </c>
      <c r="F62" s="3" t="inlineStr">
        <is>
          <t>91%</t>
        </is>
      </c>
      <c r="G62" s="5" t="inlineStr">
        <is>
          <t>Different</t>
        </is>
      </c>
      <c r="H62" s="3" t="inlineStr">
        <is>
          <t>E-05, G-04</t>
        </is>
      </c>
      <c r="I62" s="3" t="inlineStr">
        <is>
          <t>Synthetic inputs added for this model</t>
        </is>
      </c>
    </row>
    <row r="63">
      <c r="A63" s="2" t="inlineStr">
        <is>
          <t>TRS-003</t>
        </is>
      </c>
      <c r="B63" s="3" t="inlineStr">
        <is>
          <t>USD share of unhedged FX exposure</t>
        </is>
      </c>
      <c r="C63" s="3" t="inlineStr">
        <is>
          <t>%</t>
        </is>
      </c>
      <c r="D63" s="3" t="inlineStr">
        <is>
          <t>(USD exposure − USD hedged) ÷ (FX exposure − FX hedged) × 100  [Month end]</t>
        </is>
      </c>
      <c r="E63" s="21">
        <f>'Group KPIs'!K63</f>
        <v/>
      </c>
      <c r="F63" s="3" t="inlineStr">
        <is>
          <t>Not on a screen</t>
        </is>
      </c>
      <c r="G63" s="5" t="inlineStr">
        <is>
          <t>—</t>
        </is>
      </c>
      <c r="H63" s="3" t="inlineStr">
        <is>
          <t>—</t>
        </is>
      </c>
      <c r="I63" s="3" t="inlineStr">
        <is>
          <t>Synthetic inputs added for this model</t>
        </is>
      </c>
    </row>
    <row r="64">
      <c r="A64" s="2" t="inlineStr">
        <is>
          <t>TRS-004</t>
        </is>
      </c>
      <c r="B64" s="3" t="inlineStr">
        <is>
          <t>Hedge cover, next 6 months</t>
        </is>
      </c>
      <c r="C64" s="3" t="inlineStr">
        <is>
          <t>%</t>
        </is>
      </c>
      <c r="D64" s="3" t="inlineStr">
        <is>
          <t>Foreign-currency flows hedged ÷ Forecast foreign-currency flows, next 6 months × 100  [Next 6 months]</t>
        </is>
      </c>
      <c r="E64" s="21">
        <f>'Group KPIs'!K64</f>
        <v/>
      </c>
      <c r="F64" s="3" t="inlineStr">
        <is>
          <t>70.7 %</t>
        </is>
      </c>
      <c r="G64" s="5" t="inlineStr">
        <is>
          <t>Same</t>
        </is>
      </c>
      <c r="H64" s="3" t="inlineStr">
        <is>
          <t>O-03, E-05, G-04</t>
        </is>
      </c>
      <c r="I64" s="3" t="inlineStr">
        <is>
          <t>Synthetic inputs added for this model</t>
        </is>
      </c>
    </row>
    <row r="65">
      <c r="A65" s="2" t="inlineStr">
        <is>
          <t>TRS-005</t>
        </is>
      </c>
      <c r="B65" s="3" t="inlineStr">
        <is>
          <t>FX sensitivity, 5% USD move</t>
        </is>
      </c>
      <c r="C65" s="3" t="inlineStr">
        <is>
          <t>₹ m</t>
        </is>
      </c>
      <c r="D65" s="3" t="inlineStr">
        <is>
          <t>5% × (USD exposure − USD hedged) ÷ 1000  [Month end]</t>
        </is>
      </c>
      <c r="E65" s="21">
        <f>'Group KPIs'!K65</f>
        <v/>
      </c>
      <c r="F65" s="3" t="inlineStr">
        <is>
          <t>Not on a screen</t>
        </is>
      </c>
      <c r="G65" s="5" t="inlineStr">
        <is>
          <t>—</t>
        </is>
      </c>
      <c r="H65" s="3" t="inlineStr">
        <is>
          <t>—</t>
        </is>
      </c>
      <c r="I65" s="3" t="inlineStr">
        <is>
          <t>Synthetic inputs added for this model</t>
        </is>
      </c>
    </row>
    <row r="66">
      <c r="A66" s="2" t="inlineStr">
        <is>
          <t>CPX-001</t>
        </is>
      </c>
      <c r="B66" s="3" t="inlineStr">
        <is>
          <t>Approved capex budget</t>
        </is>
      </c>
      <c r="C66" s="3" t="inlineStr">
        <is>
          <t>₹ m</t>
        </is>
      </c>
      <c r="D66" s="3" t="inlineStr">
        <is>
          <t>Approved capex budget ÷ 1000  [Full year]</t>
        </is>
      </c>
      <c r="E66" s="21">
        <f>'Group KPIs'!K66</f>
        <v/>
      </c>
      <c r="F66" s="3" t="inlineStr">
        <is>
          <t>850 ₹ m</t>
        </is>
      </c>
      <c r="G66" s="5" t="inlineStr">
        <is>
          <t>Different</t>
        </is>
      </c>
      <c r="H66" s="3" t="inlineStr">
        <is>
          <t>E-06,G-06,O-04</t>
        </is>
      </c>
      <c r="I66" s="3" t="inlineStr">
        <is>
          <t>Synthetic inputs added for this model</t>
        </is>
      </c>
    </row>
    <row r="67">
      <c r="A67" s="2" t="inlineStr">
        <is>
          <t>CPX-002</t>
        </is>
      </c>
      <c r="B67" s="3" t="inlineStr">
        <is>
          <t>Committed capex</t>
        </is>
      </c>
      <c r="C67" s="3" t="inlineStr">
        <is>
          <t>₹ m</t>
        </is>
      </c>
      <c r="D67" s="3" t="inlineStr">
        <is>
          <t>Capex committed to date ÷ 1000  [To date]</t>
        </is>
      </c>
      <c r="E67" s="21">
        <f>'Group KPIs'!K67</f>
        <v/>
      </c>
      <c r="F67" s="3" t="inlineStr">
        <is>
          <t>610 ₹ m · 72%</t>
        </is>
      </c>
      <c r="G67" s="5" t="inlineStr">
        <is>
          <t>Different</t>
        </is>
      </c>
      <c r="H67" s="3" t="inlineStr">
        <is>
          <t>E-06,G-06,O-04</t>
        </is>
      </c>
      <c r="I67" s="3" t="inlineStr">
        <is>
          <t>Synthetic inputs added for this model</t>
        </is>
      </c>
    </row>
    <row r="68">
      <c r="A68" s="2" t="inlineStr">
        <is>
          <t>CPX-003</t>
        </is>
      </c>
      <c r="B68" s="3" t="inlineStr">
        <is>
          <t>Capex actual spend YTD</t>
        </is>
      </c>
      <c r="C68" s="3" t="inlineStr">
        <is>
          <t>₹ m</t>
        </is>
      </c>
      <c r="D68" s="3" t="inlineStr">
        <is>
          <t>Sum of capex spent since April ÷ 1000  [Year to date]</t>
        </is>
      </c>
      <c r="E68" s="21">
        <f>'Group KPIs'!K68</f>
        <v/>
      </c>
      <c r="F68" s="3" t="inlineStr">
        <is>
          <t>402 ₹ m · 47%</t>
        </is>
      </c>
      <c r="G68" s="5" t="inlineStr">
        <is>
          <t>Different</t>
        </is>
      </c>
      <c r="H68" s="3" t="inlineStr">
        <is>
          <t>E-06,G-06,O-04</t>
        </is>
      </c>
      <c r="I68" s="3" t="inlineStr">
        <is>
          <t>Synthetic inputs added for this model</t>
        </is>
      </c>
    </row>
    <row r="69">
      <c r="A69" s="2" t="inlineStr">
        <is>
          <t>CPX-004</t>
        </is>
      </c>
      <c r="B69" s="3" t="inlineStr">
        <is>
          <t>Capex physical progress, weighted</t>
        </is>
      </c>
      <c r="C69" s="3" t="inlineStr">
        <is>
          <t>%</t>
        </is>
      </c>
      <c r="D69" s="3" t="inlineStr">
        <is>
          <t>Work completed valued at budget ÷ Approved budget × 100 (weights each project by its budget)  [To date]</t>
        </is>
      </c>
      <c r="E69" s="21">
        <f>'Group KPIs'!K69</f>
        <v/>
      </c>
      <c r="F69" s="3" t="inlineStr">
        <is>
          <t>61 % weighted</t>
        </is>
      </c>
      <c r="G69" s="7" t="inlineStr">
        <is>
          <t>Same</t>
        </is>
      </c>
      <c r="H69" s="3" t="inlineStr">
        <is>
          <t>E-06,G-01,G-06,O-01,O-04,STATE GALLERY</t>
        </is>
      </c>
      <c r="I69" s="3" t="inlineStr">
        <is>
          <t>Synthetic inputs added for this model</t>
        </is>
      </c>
    </row>
    <row r="70">
      <c r="A70" s="2" t="inlineStr">
        <is>
          <t>SIG-011</t>
        </is>
      </c>
      <c r="B70" s="3" t="inlineStr">
        <is>
          <t>Capex value at risk</t>
        </is>
      </c>
      <c r="C70" s="3" t="inlineStr">
        <is>
          <t>₹ m</t>
        </is>
      </c>
      <c r="D70" s="3" t="inlineStr">
        <is>
          <t>Budget of projects at risk ÷ 1000  [Month end]</t>
        </is>
      </c>
      <c r="E70" s="21">
        <f>'Group KPIs'!K70</f>
        <v/>
      </c>
      <c r="F70" s="3" t="inlineStr">
        <is>
          <t>₹34 m</t>
        </is>
      </c>
      <c r="G70" s="5" t="inlineStr">
        <is>
          <t>Different</t>
        </is>
      </c>
      <c r="H70" s="3" t="inlineStr">
        <is>
          <t>E-06,G-06,O-04</t>
        </is>
      </c>
      <c r="I70" s="3" t="inlineStr">
        <is>
          <t>Synthetic inputs added for this model</t>
        </is>
      </c>
    </row>
    <row r="71">
      <c r="A71" s="2" t="inlineStr">
        <is>
          <t>PRG-001</t>
        </is>
      </c>
      <c r="B71" s="3" t="inlineStr">
        <is>
          <t>Capex project status</t>
        </is>
      </c>
      <c r="C71" s="3" t="inlineStr">
        <is>
          <t>text</t>
        </is>
      </c>
      <c r="D71" s="3" t="inlineStr">
        <is>
          <t>Count of projects by status  [Month end]</t>
        </is>
      </c>
      <c r="E71" s="8">
        <f>'Group KPIs'!K71</f>
        <v/>
      </c>
      <c r="F71" s="3" t="inlineStr">
        <is>
          <t>9 on track · 2 at risk · 0 off track</t>
        </is>
      </c>
      <c r="G71" s="7" t="inlineStr">
        <is>
          <t>Same</t>
        </is>
      </c>
      <c r="H71" s="3" t="inlineStr">
        <is>
          <t>G-06,O-04</t>
        </is>
      </c>
      <c r="I71" s="3" t="inlineStr">
        <is>
          <t>Synthetic inputs added for this model</t>
        </is>
      </c>
    </row>
    <row r="72">
      <c r="A72" s="2" t="inlineStr">
        <is>
          <t>PRG-002</t>
        </is>
      </c>
      <c r="B72" s="3" t="inlineStr">
        <is>
          <t>Benefits realisation</t>
        </is>
      </c>
      <c r="C72" s="3" t="inlineStr">
        <is>
          <t>%</t>
        </is>
      </c>
      <c r="D72" s="3" t="inlineStr">
        <is>
          <t>Benefits delivered since April ÷ Benefits planned since April × 100  [Year to date]</t>
        </is>
      </c>
      <c r="E72" s="21">
        <f>'Group KPIs'!K72</f>
        <v/>
      </c>
      <c r="F72" s="3" t="inlineStr">
        <is>
          <t>48 % of plan</t>
        </is>
      </c>
      <c r="G72" s="7" t="inlineStr">
        <is>
          <t>Same</t>
        </is>
      </c>
      <c r="H72" s="3" t="inlineStr">
        <is>
          <t>E-06,G-06,O-04</t>
        </is>
      </c>
      <c r="I72" s="3" t="inlineStr">
        <is>
          <t>Synthetic inputs added for this model</t>
        </is>
      </c>
    </row>
    <row r="73">
      <c r="A73" s="2" t="inlineStr">
        <is>
          <t>PRG-003</t>
        </is>
      </c>
      <c r="B73" s="3" t="inlineStr">
        <is>
          <t>Delayed projects</t>
        </is>
      </c>
      <c r="C73" s="3" t="inlineStr">
        <is>
          <t>count</t>
        </is>
      </c>
      <c r="D73" s="3" t="inlineStr">
        <is>
          <t>Capex projects delayed  [Month end]</t>
        </is>
      </c>
      <c r="E73" s="21">
        <f>'Group KPIs'!K73</f>
        <v/>
      </c>
      <c r="F73" s="3" t="inlineStr">
        <is>
          <t>1</t>
        </is>
      </c>
      <c r="G73" s="7" t="inlineStr">
        <is>
          <t>Same</t>
        </is>
      </c>
      <c r="H73" s="3" t="inlineStr">
        <is>
          <t>E-06,G-06,O-04</t>
        </is>
      </c>
      <c r="I73" s="3" t="inlineStr">
        <is>
          <t>Synthetic inputs added for this model</t>
        </is>
      </c>
    </row>
    <row r="74">
      <c r="A74" s="2" t="inlineStr">
        <is>
          <t>PRG-004</t>
        </is>
      </c>
      <c r="B74" s="3" t="inlineStr">
        <is>
          <t>Capex / transformation progress (same measure as STR-002)</t>
        </is>
      </c>
      <c r="C74" s="3" t="inlineStr">
        <is>
          <t>%</t>
        </is>
      </c>
      <c r="D74" s="3" t="inlineStr">
        <is>
          <t>Transformation milestones completed ÷ Milestones in plan × 100  [To date]</t>
        </is>
      </c>
      <c r="E74" s="21">
        <f>'Group KPIs'!K74</f>
        <v/>
      </c>
      <c r="F74" s="3" t="inlineStr">
        <is>
          <t>54%</t>
        </is>
      </c>
      <c r="G74" s="7" t="inlineStr">
        <is>
          <t>Same</t>
        </is>
      </c>
      <c r="H74" s="3" t="inlineStr">
        <is>
          <t>E-01,G-01,O-01,O-04</t>
        </is>
      </c>
      <c r="I74" s="3" t="inlineStr">
        <is>
          <t>Synthetic inputs added for this model</t>
        </is>
      </c>
    </row>
    <row r="75">
      <c r="A75" s="2" t="inlineStr">
        <is>
          <t>STR-002</t>
        </is>
      </c>
      <c r="B75" s="3" t="inlineStr">
        <is>
          <t>Transformation progress</t>
        </is>
      </c>
      <c r="C75" s="3" t="inlineStr">
        <is>
          <t>%</t>
        </is>
      </c>
      <c r="D75" s="3" t="inlineStr">
        <is>
          <t>Transformation milestones completed ÷ Milestones in plan × 100  [To date]</t>
        </is>
      </c>
      <c r="E75" s="21">
        <f>'Group KPIs'!K75</f>
        <v/>
      </c>
      <c r="F75" s="3" t="inlineStr">
        <is>
          <t>54%</t>
        </is>
      </c>
      <c r="G75" s="7" t="inlineStr">
        <is>
          <t>Same</t>
        </is>
      </c>
      <c r="H75" s="3" t="inlineStr">
        <is>
          <t>G-06,O-01,O-04,STATE GALLERY</t>
        </is>
      </c>
      <c r="I75" s="3" t="inlineStr">
        <is>
          <t>Synthetic inputs added for this model</t>
        </is>
      </c>
    </row>
    <row r="76">
      <c r="A76" s="2" t="inlineStr">
        <is>
          <t>PRG-005</t>
        </is>
      </c>
      <c r="B76" s="3" t="inlineStr">
        <is>
          <t>Transformation initiative status</t>
        </is>
      </c>
      <c r="C76" s="3" t="inlineStr">
        <is>
          <t>text</t>
        </is>
      </c>
      <c r="D76" s="3" t="inlineStr">
        <is>
          <t>Count of transformation initiatives by status  [Month end]</t>
        </is>
      </c>
      <c r="E76" s="8">
        <f>'Group KPIs'!K76</f>
        <v/>
      </c>
      <c r="F76" s="3" t="inlineStr">
        <is>
          <t>15 on track · 6 at risk · 3 delayed</t>
        </is>
      </c>
      <c r="G76" s="7" t="inlineStr">
        <is>
          <t>Same</t>
        </is>
      </c>
      <c r="H76" s="3" t="inlineStr">
        <is>
          <t>E-06,O-04</t>
        </is>
      </c>
      <c r="I76" s="3" t="inlineStr">
        <is>
          <t>Synthetic inputs added for this model</t>
        </is>
      </c>
    </row>
    <row r="77">
      <c r="A77" s="2" t="inlineStr">
        <is>
          <t>SUP-006</t>
        </is>
      </c>
      <c r="B77" s="3" t="inlineStr">
        <is>
          <t>Contractor slippage</t>
        </is>
      </c>
      <c r="C77" s="3" t="inlineStr">
        <is>
          <t>days</t>
        </is>
      </c>
      <c r="D77" s="3" t="inlineStr">
        <is>
          <t>Contractor days late ÷ Contractor milestones due (average days late per milestone)</t>
        </is>
      </c>
      <c r="E77" s="21">
        <f>'Group KPIs'!K77</f>
        <v/>
      </c>
      <c r="F77" s="3" t="inlineStr">
        <is>
          <t>Not shown</t>
        </is>
      </c>
      <c r="G77" s="6" t="inlineStr">
        <is>
          <t>Not shown</t>
        </is>
      </c>
      <c r="H77" s="3" t="inlineStr">
        <is>
          <t>E-04,E-06,G-06</t>
        </is>
      </c>
      <c r="I77" s="3" t="inlineStr">
        <is>
          <t>Synthetic inputs added for this model</t>
        </is>
      </c>
    </row>
    <row r="78">
      <c r="A78" s="2" t="inlineStr">
        <is>
          <t>VAL-001</t>
        </is>
      </c>
      <c r="B78" s="3" t="inlineStr">
        <is>
          <t>EBITDA benefit YTD</t>
        </is>
      </c>
      <c r="C78" s="3" t="inlineStr">
        <is>
          <t>₹ m</t>
        </is>
      </c>
      <c r="D78" s="3" t="inlineStr">
        <is>
          <t>Sum of EBITDA benefit since April ÷ 1000  [Year to date]</t>
        </is>
      </c>
      <c r="E78" s="21">
        <f>'Group KPIs'!K78</f>
        <v/>
      </c>
      <c r="F78" s="3" t="inlineStr">
        <is>
          <t>₹14 m</t>
        </is>
      </c>
      <c r="G78" s="7" t="inlineStr">
        <is>
          <t>Same</t>
        </is>
      </c>
      <c r="H78" s="3" t="inlineStr">
        <is>
          <t>E-06,G-06,O-04</t>
        </is>
      </c>
      <c r="I78" s="3" t="inlineStr">
        <is>
          <t>Synthetic inputs added for this model</t>
        </is>
      </c>
    </row>
    <row r="79">
      <c r="A79" s="2" t="inlineStr">
        <is>
          <t>VAL-002</t>
        </is>
      </c>
      <c r="B79" s="3" t="inlineStr">
        <is>
          <t>Cash benefit YTD</t>
        </is>
      </c>
      <c r="C79" s="3" t="inlineStr">
        <is>
          <t>₹ m</t>
        </is>
      </c>
      <c r="D79" s="3" t="inlineStr">
        <is>
          <t>Sum of cash benefit since April ÷ 1000  [Year to date]</t>
        </is>
      </c>
      <c r="E79" s="21">
        <f>'Group KPIs'!K79</f>
        <v/>
      </c>
      <c r="F79" s="3" t="inlineStr">
        <is>
          <t>₹9 m</t>
        </is>
      </c>
      <c r="G79" s="7" t="inlineStr">
        <is>
          <t>Same</t>
        </is>
      </c>
      <c r="H79" s="3" t="inlineStr">
        <is>
          <t>E-06,G-06,O-04</t>
        </is>
      </c>
      <c r="I79" s="3" t="inlineStr">
        <is>
          <t>Synthetic inputs added for this model</t>
        </is>
      </c>
    </row>
    <row r="80">
      <c r="A80" s="2" t="inlineStr">
        <is>
          <t>VAL-003</t>
        </is>
      </c>
      <c r="B80" s="3" t="inlineStr">
        <is>
          <t>Cost savings delivered YTD</t>
        </is>
      </c>
      <c r="C80" s="3" t="inlineStr">
        <is>
          <t>₹ m</t>
        </is>
      </c>
      <c r="D80" s="3" t="inlineStr">
        <is>
          <t>Sum of cost savings since April ÷ 1000  [Year to date]</t>
        </is>
      </c>
      <c r="E80" s="21">
        <f>'Group KPIs'!K80</f>
        <v/>
      </c>
      <c r="F80" s="3" t="inlineStr">
        <is>
          <t>₹11 m</t>
        </is>
      </c>
      <c r="G80" s="7" t="inlineStr">
        <is>
          <t>Same</t>
        </is>
      </c>
      <c r="H80" s="3" t="inlineStr">
        <is>
          <t>E-06,G-06,O-04</t>
        </is>
      </c>
      <c r="I80" s="3" t="inlineStr">
        <is>
          <t>Synthetic inputs added for this model</t>
        </is>
      </c>
    </row>
    <row r="81">
      <c r="A81" s="2" t="inlineStr">
        <is>
          <t>SUP-001</t>
        </is>
      </c>
      <c r="B81" s="3" t="inlineStr">
        <is>
          <t>Supplier on-time delivery</t>
        </is>
      </c>
      <c r="C81" s="3" t="inlineStr">
        <is>
          <t>%</t>
        </is>
      </c>
      <c r="D81" s="3" t="inlineStr">
        <is>
          <t>Purchase-order lines on time ÷ Lines due × 100</t>
        </is>
      </c>
      <c r="E81" s="21">
        <f>'Group KPIs'!K81</f>
        <v/>
      </c>
      <c r="F81" s="3" t="inlineStr">
        <is>
          <t>91%</t>
        </is>
      </c>
      <c r="G81" s="7" t="inlineStr">
        <is>
          <t>Same</t>
        </is>
      </c>
      <c r="H81" s="3" t="inlineStr">
        <is>
          <t>E-04,G-05,O-09</t>
        </is>
      </c>
      <c r="I81" s="3" t="inlineStr">
        <is>
          <t>Synthetic inputs added for this model</t>
        </is>
      </c>
    </row>
    <row r="82">
      <c r="A82" s="2" t="inlineStr">
        <is>
          <t>SUP-002</t>
        </is>
      </c>
      <c r="B82" s="3" t="inlineStr">
        <is>
          <t>Supplier fill rate</t>
        </is>
      </c>
      <c r="C82" s="3" t="inlineStr">
        <is>
          <t>%</t>
        </is>
      </c>
      <c r="D82" s="3" t="inlineStr">
        <is>
          <t>Quantity received ÷ Quantity ordered × 100</t>
        </is>
      </c>
      <c r="E82" s="21">
        <f>'Group KPIs'!K82</f>
        <v/>
      </c>
      <c r="F82" s="3" t="inlineStr">
        <is>
          <t>Not shown</t>
        </is>
      </c>
      <c r="G82" s="6" t="inlineStr">
        <is>
          <t>Not shown</t>
        </is>
      </c>
      <c r="H82" s="3" t="n"/>
      <c r="I82" s="3" t="inlineStr">
        <is>
          <t>Synthetic inputs added for this model</t>
        </is>
      </c>
    </row>
    <row r="83">
      <c r="A83" s="2" t="inlineStr">
        <is>
          <t>SUP-003</t>
        </is>
      </c>
      <c r="B83" s="3" t="inlineStr">
        <is>
          <t>Supplier quality-rejection rate</t>
        </is>
      </c>
      <c r="C83" s="3" t="inlineStr">
        <is>
          <t>%</t>
        </is>
      </c>
      <c r="D83" s="3" t="inlineStr">
        <is>
          <t>Quantity rejected ÷ Quantity received × 100</t>
        </is>
      </c>
      <c r="E83" s="21">
        <f>'Group KPIs'!K83</f>
        <v/>
      </c>
      <c r="F83" s="3" t="inlineStr">
        <is>
          <t>Not shown</t>
        </is>
      </c>
      <c r="G83" s="6" t="inlineStr">
        <is>
          <t>Not shown</t>
        </is>
      </c>
      <c r="H83" s="3" t="n"/>
      <c r="I83" s="3" t="inlineStr">
        <is>
          <t>Synthetic inputs added for this model</t>
        </is>
      </c>
    </row>
    <row r="84">
      <c r="A84" s="2" t="inlineStr">
        <is>
          <t>SUP-004</t>
        </is>
      </c>
      <c r="B84" s="3" t="inlineStr">
        <is>
          <t>Supplier lead-time variance</t>
        </is>
      </c>
      <c r="C84" s="3" t="inlineStr">
        <is>
          <t>%</t>
        </is>
      </c>
      <c r="D84" s="3" t="inlineStr">
        <is>
          <t>(Actual lead time − Planned lead time) ÷ Planned lead time × 100</t>
        </is>
      </c>
      <c r="E84" s="21">
        <f>'Group KPIs'!K84</f>
        <v/>
      </c>
      <c r="F84" s="3" t="inlineStr">
        <is>
          <t>38%</t>
        </is>
      </c>
      <c r="G84" s="5" t="inlineStr">
        <is>
          <t>Different</t>
        </is>
      </c>
      <c r="H84" s="3" t="inlineStr">
        <is>
          <t>E-04,G-05</t>
        </is>
      </c>
      <c r="I84" s="3" t="inlineStr">
        <is>
          <t>Synthetic inputs added for this model</t>
        </is>
      </c>
    </row>
    <row r="85">
      <c r="A85" s="2" t="inlineStr">
        <is>
          <t>SUP-005</t>
        </is>
      </c>
      <c r="B85" s="3" t="inlineStr">
        <is>
          <t>Critical supplier exposure</t>
        </is>
      </c>
      <c r="C85" s="3" t="inlineStr">
        <is>
          <t>count</t>
        </is>
      </c>
      <c r="D85" s="3" t="inlineStr">
        <is>
          <t>Critical single-source suppliers  [Month end]</t>
        </is>
      </c>
      <c r="E85" s="21">
        <f>'Group KPIs'!K85</f>
        <v/>
      </c>
      <c r="F85" s="3" t="inlineStr">
        <is>
          <t>3 single-source (1 elevated: S-07)</t>
        </is>
      </c>
      <c r="G85" s="7" t="inlineStr">
        <is>
          <t>Same</t>
        </is>
      </c>
      <c r="H85" s="3" t="inlineStr">
        <is>
          <t>E-04,G-05</t>
        </is>
      </c>
      <c r="I85" s="3" t="inlineStr">
        <is>
          <t>Synthetic inputs added for this model</t>
        </is>
      </c>
    </row>
    <row r="86">
      <c r="A86" s="2" t="inlineStr">
        <is>
          <t>SUP-007</t>
        </is>
      </c>
      <c r="B86" s="3" t="inlineStr">
        <is>
          <t>Single-source spend share</t>
        </is>
      </c>
      <c r="C86" s="3" t="inlineStr">
        <is>
          <t>%</t>
        </is>
      </c>
      <c r="D86" s="3" t="inlineStr">
        <is>
          <t>Spend with single-source suppliers ÷ Supplier spend × 100</t>
        </is>
      </c>
      <c r="E86" s="21">
        <f>'Group KPIs'!K86</f>
        <v/>
      </c>
      <c r="F86" s="3" t="inlineStr">
        <is>
          <t>38%</t>
        </is>
      </c>
      <c r="G86" s="5" t="inlineStr">
        <is>
          <t>Different</t>
        </is>
      </c>
      <c r="H86" s="3" t="inlineStr">
        <is>
          <t>O-09</t>
        </is>
      </c>
      <c r="I86" s="3" t="inlineStr">
        <is>
          <t>Synthetic inputs added for this model</t>
        </is>
      </c>
    </row>
    <row r="87">
      <c r="A87" s="2" t="inlineStr">
        <is>
          <t>SUP-008</t>
        </is>
      </c>
      <c r="B87" s="3" t="inlineStr">
        <is>
          <t>Supplier EHS incidents YTD</t>
        </is>
      </c>
      <c r="C87" s="3" t="inlineStr">
        <is>
          <t>count</t>
        </is>
      </c>
      <c r="D87" s="3" t="inlineStr">
        <is>
          <t>Sum of supplier EHS incidents since April  [Year to date]</t>
        </is>
      </c>
      <c r="E87" s="21">
        <f>'Group KPIs'!K87</f>
        <v/>
      </c>
      <c r="F87" s="3" t="inlineStr">
        <is>
          <t>0</t>
        </is>
      </c>
      <c r="G87" s="5" t="inlineStr">
        <is>
          <t>Different</t>
        </is>
      </c>
      <c r="H87" s="3" t="inlineStr">
        <is>
          <t>O-09</t>
        </is>
      </c>
      <c r="I87" s="3" t="inlineStr">
        <is>
          <t>Synthetic inputs added for this model</t>
        </is>
      </c>
    </row>
    <row r="88">
      <c r="A88" s="2" t="inlineStr">
        <is>
          <t>CON-001</t>
        </is>
      </c>
      <c r="B88" s="3" t="inlineStr">
        <is>
          <t>Contracts expiring, next 90 days</t>
        </is>
      </c>
      <c r="C88" s="3" t="inlineStr">
        <is>
          <t>count</t>
        </is>
      </c>
      <c r="D88" s="3" t="inlineStr">
        <is>
          <t>Contracts expiring in next 90 days  [Month end]</t>
        </is>
      </c>
      <c r="E88" s="21">
        <f>'Group KPIs'!K88</f>
        <v/>
      </c>
      <c r="F88" s="3" t="inlineStr">
        <is>
          <t>4</t>
        </is>
      </c>
      <c r="G88" s="7" t="inlineStr">
        <is>
          <t>Same</t>
        </is>
      </c>
      <c r="H88" s="3" t="inlineStr">
        <is>
          <t>E-04,E-07,G-07,O-05</t>
        </is>
      </c>
      <c r="I88" s="3" t="inlineStr">
        <is>
          <t>Synthetic inputs added for this model</t>
        </is>
      </c>
    </row>
    <row r="89">
      <c r="A89" s="2" t="inlineStr">
        <is>
          <t>CON-002</t>
        </is>
      </c>
      <c r="B89" s="3" t="inlineStr">
        <is>
          <t>Contract-compliance rate</t>
        </is>
      </c>
      <c r="C89" s="3" t="inlineStr">
        <is>
          <t>%</t>
        </is>
      </c>
      <c r="D89" s="3" t="inlineStr">
        <is>
          <t>Contracts fully compliant ÷ Active contracts × 100  [Month end]</t>
        </is>
      </c>
      <c r="E89" s="21">
        <f>'Group KPIs'!K89</f>
        <v/>
      </c>
      <c r="F89" s="3" t="inlineStr">
        <is>
          <t>96%</t>
        </is>
      </c>
      <c r="G89" s="7" t="inlineStr">
        <is>
          <t>Same</t>
        </is>
      </c>
      <c r="H89" s="3" t="inlineStr">
        <is>
          <t>E-04,E-07,G-07,O-05</t>
        </is>
      </c>
      <c r="I89" s="3" t="inlineStr">
        <is>
          <t>Synthetic inputs added for this model</t>
        </is>
      </c>
    </row>
    <row r="90">
      <c r="A90" s="2" t="inlineStr">
        <is>
          <t>CON-003</t>
        </is>
      </c>
      <c r="B90" s="3" t="inlineStr">
        <is>
          <t>Supplier EHS non-compliance</t>
        </is>
      </c>
      <c r="C90" s="3" t="inlineStr">
        <is>
          <t>count</t>
        </is>
      </c>
      <c r="D90" s="3" t="inlineStr">
        <is>
          <t>Suppliers not meeting EHS requirements  [Month end]</t>
        </is>
      </c>
      <c r="E90" s="21">
        <f>'Group KPIs'!K90</f>
        <v/>
      </c>
      <c r="F90" s="3" t="inlineStr">
        <is>
          <t>1</t>
        </is>
      </c>
      <c r="G90" s="5" t="inlineStr">
        <is>
          <t>Different</t>
        </is>
      </c>
      <c r="H90" s="3" t="inlineStr">
        <is>
          <t>E-04,E-07,G-05,G-07,O-05</t>
        </is>
      </c>
      <c r="I90" s="3" t="inlineStr">
        <is>
          <t>Synthetic inputs added for this model</t>
        </is>
      </c>
    </row>
    <row r="91">
      <c r="A91" s="2" t="inlineStr">
        <is>
          <t>REG-001</t>
        </is>
      </c>
      <c r="B91" s="3" t="inlineStr">
        <is>
          <t>Pending filings</t>
        </is>
      </c>
      <c r="C91" s="3" t="inlineStr">
        <is>
          <t>count</t>
        </is>
      </c>
      <c r="D91" s="3" t="inlineStr">
        <is>
          <t>Regulatory filings pending  [Month end]</t>
        </is>
      </c>
      <c r="E91" s="21">
        <f>'Group KPIs'!K91</f>
        <v/>
      </c>
      <c r="F91" s="3" t="inlineStr">
        <is>
          <t>3</t>
        </is>
      </c>
      <c r="G91" s="5" t="inlineStr">
        <is>
          <t>Different</t>
        </is>
      </c>
      <c r="H91" s="3" t="inlineStr">
        <is>
          <t>E-07,G-07</t>
        </is>
      </c>
      <c r="I91" s="3" t="inlineStr">
        <is>
          <t>Synthetic inputs added for this model</t>
        </is>
      </c>
    </row>
    <row r="92">
      <c r="A92" s="2" t="inlineStr">
        <is>
          <t>REG-002</t>
        </is>
      </c>
      <c r="B92" s="3" t="inlineStr">
        <is>
          <t>Regulatory deadlines, next 30 days</t>
        </is>
      </c>
      <c r="C92" s="3" t="inlineStr">
        <is>
          <t>count</t>
        </is>
      </c>
      <c r="D92" s="3" t="inlineStr">
        <is>
          <t>Regulatory deadlines in next 30 days  [Month end]</t>
        </is>
      </c>
      <c r="E92" s="21">
        <f>'Group KPIs'!K92</f>
        <v/>
      </c>
      <c r="F92" s="3" t="inlineStr">
        <is>
          <t>3</t>
        </is>
      </c>
      <c r="G92" s="7" t="inlineStr">
        <is>
          <t>Same</t>
        </is>
      </c>
      <c r="H92" s="3" t="inlineStr">
        <is>
          <t>E-07,G-07</t>
        </is>
      </c>
      <c r="I92" s="3" t="inlineStr">
        <is>
          <t>Synthetic inputs added for this model</t>
        </is>
      </c>
    </row>
    <row r="93">
      <c r="A93" s="2" t="inlineStr">
        <is>
          <t>REG-003</t>
        </is>
      </c>
      <c r="B93" s="3" t="inlineStr">
        <is>
          <t>Licence expirations, next 12 months</t>
        </is>
      </c>
      <c r="C93" s="3" t="inlineStr">
        <is>
          <t>count</t>
        </is>
      </c>
      <c r="D93" s="3" t="inlineStr">
        <is>
          <t>Licences expiring in next 12 months  [Month end]</t>
        </is>
      </c>
      <c r="E93" s="21">
        <f>'Group KPIs'!K93</f>
        <v/>
      </c>
      <c r="F93" s="3" t="inlineStr">
        <is>
          <t>2</t>
        </is>
      </c>
      <c r="G93" s="5" t="inlineStr">
        <is>
          <t>Different</t>
        </is>
      </c>
      <c r="H93" s="3" t="inlineStr">
        <is>
          <t>E-07,G-07</t>
        </is>
      </c>
      <c r="I93" s="3" t="inlineStr">
        <is>
          <t>Synthetic inputs added for this model</t>
        </is>
      </c>
    </row>
    <row r="94">
      <c r="A94" s="2" t="inlineStr">
        <is>
          <t>REG-004</t>
        </is>
      </c>
      <c r="B94" s="3" t="inlineStr">
        <is>
          <t>Regulatory obligations due, next 30 days</t>
        </is>
      </c>
      <c r="C94" s="3" t="inlineStr">
        <is>
          <t>count</t>
        </is>
      </c>
      <c r="D94" s="3" t="inlineStr">
        <is>
          <t>Regulatory obligations due in next 30 days  [Month end]</t>
        </is>
      </c>
      <c r="E94" s="21">
        <f>'Group KPIs'!K94</f>
        <v/>
      </c>
      <c r="F94" s="3" t="inlineStr">
        <is>
          <t>5</t>
        </is>
      </c>
      <c r="G94" s="5" t="inlineStr">
        <is>
          <t>Different</t>
        </is>
      </c>
      <c r="H94" s="3" t="inlineStr">
        <is>
          <t>E-07,G-07</t>
        </is>
      </c>
      <c r="I94" s="3" t="inlineStr">
        <is>
          <t>Synthetic inputs added for this model</t>
        </is>
      </c>
    </row>
    <row r="95">
      <c r="A95" s="2" t="inlineStr">
        <is>
          <t>REG-005</t>
        </is>
      </c>
      <c r="B95" s="3" t="inlineStr">
        <is>
          <t>Overdue regulatory obligations</t>
        </is>
      </c>
      <c r="C95" s="3" t="inlineStr">
        <is>
          <t>count</t>
        </is>
      </c>
      <c r="D95" s="3" t="inlineStr">
        <is>
          <t>Regulatory obligations overdue  [Month end]</t>
        </is>
      </c>
      <c r="E95" s="21">
        <f>'Group KPIs'!K95</f>
        <v/>
      </c>
      <c r="F95" s="3" t="inlineStr">
        <is>
          <t>0</t>
        </is>
      </c>
      <c r="G95" s="7" t="inlineStr">
        <is>
          <t>Same</t>
        </is>
      </c>
      <c r="H95" s="3" t="inlineStr">
        <is>
          <t>E-07,G-07,O-05</t>
        </is>
      </c>
      <c r="I95" s="3" t="inlineStr">
        <is>
          <t>Synthetic inputs added for this model</t>
        </is>
      </c>
    </row>
    <row r="96">
      <c r="A96" s="2" t="inlineStr">
        <is>
          <t>REG-007</t>
        </is>
      </c>
      <c r="B96" s="3" t="inlineStr">
        <is>
          <t>Open regulatory actions</t>
        </is>
      </c>
      <c r="C96" s="3" t="inlineStr">
        <is>
          <t>count</t>
        </is>
      </c>
      <c r="D96" s="3" t="inlineStr">
        <is>
          <t>Open regulatory actions  [Month end]</t>
        </is>
      </c>
      <c r="E96" s="21">
        <f>'Group KPIs'!K96</f>
        <v/>
      </c>
      <c r="F96" s="3" t="inlineStr">
        <is>
          <t>2</t>
        </is>
      </c>
      <c r="G96" s="5" t="inlineStr">
        <is>
          <t>Different</t>
        </is>
      </c>
      <c r="H96" s="3" t="inlineStr">
        <is>
          <t>E-07,G-07</t>
        </is>
      </c>
      <c r="I96" s="3" t="inlineStr">
        <is>
          <t>Synthetic inputs added for this model</t>
        </is>
      </c>
    </row>
    <row r="97">
      <c r="A97" s="2" t="inlineStr">
        <is>
          <t>REG-008</t>
        </is>
      </c>
      <c r="B97" s="3" t="inlineStr">
        <is>
          <t>Overdue compliance actions</t>
        </is>
      </c>
      <c r="C97" s="3" t="inlineStr">
        <is>
          <t>count</t>
        </is>
      </c>
      <c r="D97" s="3" t="inlineStr">
        <is>
          <t>Overdue compliance actions  [Month end]</t>
        </is>
      </c>
      <c r="E97" s="21">
        <f>'Group KPIs'!K97</f>
        <v/>
      </c>
      <c r="F97" s="3" t="inlineStr">
        <is>
          <t>0</t>
        </is>
      </c>
      <c r="G97" s="7" t="inlineStr">
        <is>
          <t>Same</t>
        </is>
      </c>
      <c r="H97" s="3" t="inlineStr">
        <is>
          <t>E-07,G-07</t>
        </is>
      </c>
      <c r="I97" s="3" t="inlineStr">
        <is>
          <t>Synthetic inputs added for this model</t>
        </is>
      </c>
    </row>
    <row r="98">
      <c r="A98" s="2" t="inlineStr">
        <is>
          <t>REG-009</t>
        </is>
      </c>
      <c r="B98" s="3" t="inlineStr">
        <is>
          <t>Disclosure-clock status</t>
        </is>
      </c>
      <c r="C98" s="3" t="inlineStr">
        <is>
          <t>text</t>
        </is>
      </c>
      <c r="D98" s="3" t="inlineStr">
        <is>
          <t>Triggered if any event that needs disclosure is open, otherwise Not triggered  [Month end]</t>
        </is>
      </c>
      <c r="E98" s="8">
        <f>'Group KPIs'!K98</f>
        <v/>
      </c>
      <c r="F98" s="3" t="inlineStr">
        <is>
          <t>Not triggered</t>
        </is>
      </c>
      <c r="G98" s="7" t="inlineStr">
        <is>
          <t>Same</t>
        </is>
      </c>
      <c r="H98" s="3" t="inlineStr">
        <is>
          <t>O-05</t>
        </is>
      </c>
      <c r="I98" s="3" t="inlineStr">
        <is>
          <t>Synthetic inputs added for this model</t>
        </is>
      </c>
    </row>
    <row r="99">
      <c r="A99" s="2" t="inlineStr">
        <is>
          <t>REG-010</t>
        </is>
      </c>
      <c r="B99" s="3" t="inlineStr">
        <is>
          <t>Regulatory breaches YTD</t>
        </is>
      </c>
      <c r="C99" s="3" t="inlineStr">
        <is>
          <t>count</t>
        </is>
      </c>
      <c r="D99" s="3" t="inlineStr">
        <is>
          <t>Sum of regulatory breaches since April  [Year to date]</t>
        </is>
      </c>
      <c r="E99" s="21">
        <f>'Group KPIs'!K99</f>
        <v/>
      </c>
      <c r="F99" s="3" t="inlineStr">
        <is>
          <t>0</t>
        </is>
      </c>
      <c r="G99" s="7" t="inlineStr">
        <is>
          <t>Same</t>
        </is>
      </c>
      <c r="H99" s="3" t="inlineStr">
        <is>
          <t>E-07,G-01,O-05</t>
        </is>
      </c>
      <c r="I99" s="3" t="inlineStr">
        <is>
          <t>Synthetic inputs added for this model</t>
        </is>
      </c>
    </row>
    <row r="100">
      <c r="A100" s="2" t="inlineStr">
        <is>
          <t>RSK-003</t>
        </is>
      </c>
      <c r="B100" s="3" t="inlineStr">
        <is>
          <t>Regulatory breaches YTD (same measure as REG-010)</t>
        </is>
      </c>
      <c r="C100" s="3" t="inlineStr">
        <is>
          <t>count</t>
        </is>
      </c>
      <c r="D100" s="3" t="inlineStr">
        <is>
          <t>Sum of regulatory breaches since April  [Year to date]</t>
        </is>
      </c>
      <c r="E100" s="21">
        <f>'Group KPIs'!K100</f>
        <v/>
      </c>
      <c r="F100" s="3" t="inlineStr">
        <is>
          <t>0</t>
        </is>
      </c>
      <c r="G100" s="7" t="inlineStr">
        <is>
          <t>Same</t>
        </is>
      </c>
      <c r="H100" s="3" t="inlineStr">
        <is>
          <t>O-01,STATE GALLERY</t>
        </is>
      </c>
      <c r="I100" s="3" t="inlineStr">
        <is>
          <t>Synthetic inputs added for this model</t>
        </is>
      </c>
    </row>
    <row r="101">
      <c r="A101" s="2" t="inlineStr">
        <is>
          <t>CMP-005</t>
        </is>
      </c>
      <c r="B101" s="3" t="inlineStr">
        <is>
          <t>Regulatory breaches YTD (same measure as REG-010)</t>
        </is>
      </c>
      <c r="C101" s="3" t="inlineStr">
        <is>
          <t>count</t>
        </is>
      </c>
      <c r="D101" s="3" t="inlineStr">
        <is>
          <t>Sum of regulatory breaches since April  [Year to date]</t>
        </is>
      </c>
      <c r="E101" s="21">
        <f>'Group KPIs'!K101</f>
        <v/>
      </c>
      <c r="F101" s="3" t="inlineStr">
        <is>
          <t>0</t>
        </is>
      </c>
      <c r="G101" s="7" t="inlineStr">
        <is>
          <t>Same</t>
        </is>
      </c>
      <c r="H101" s="3" t="inlineStr">
        <is>
          <t>E-01,O-01</t>
        </is>
      </c>
      <c r="I101" s="3" t="inlineStr">
        <is>
          <t>Synthetic inputs added for this model</t>
        </is>
      </c>
    </row>
    <row r="102">
      <c r="A102" s="2" t="inlineStr">
        <is>
          <t>EHS-008</t>
        </is>
      </c>
      <c r="B102" s="3" t="inlineStr">
        <is>
          <t>EHS escalation clocks running</t>
        </is>
      </c>
      <c r="C102" s="3" t="inlineStr">
        <is>
          <t>count</t>
        </is>
      </c>
      <c r="D102" s="3" t="inlineStr">
        <is>
          <t>EHS escalation clocks running  [Month end]</t>
        </is>
      </c>
      <c r="E102" s="21">
        <f>'Group KPIs'!K102</f>
        <v/>
      </c>
      <c r="F102" s="3" t="inlineStr">
        <is>
          <t>0 running</t>
        </is>
      </c>
      <c r="G102" s="7" t="inlineStr">
        <is>
          <t>Same</t>
        </is>
      </c>
      <c r="H102" s="3" t="inlineStr">
        <is>
          <t>E-07,G-07,O-05</t>
        </is>
      </c>
      <c r="I102" s="3" t="inlineStr">
        <is>
          <t>Synthetic inputs added for this model</t>
        </is>
      </c>
    </row>
    <row r="103">
      <c r="A103" s="2" t="inlineStr">
        <is>
          <t>EHS-010</t>
        </is>
      </c>
      <c r="B103" s="3" t="inlineStr">
        <is>
          <t>EHS investigation completion rate YTD</t>
        </is>
      </c>
      <c r="C103" s="3" t="inlineStr">
        <is>
          <t>%</t>
        </is>
      </c>
      <c r="D103" s="3" t="inlineStr">
        <is>
          <t>EHS investigations completed since April ÷ Investigations due since April × 100 (100 if none due)  [Year to date]</t>
        </is>
      </c>
      <c r="E103" s="21">
        <f>'Group KPIs'!K103</f>
        <v/>
      </c>
      <c r="F103" s="3" t="inlineStr">
        <is>
          <t>83%</t>
        </is>
      </c>
      <c r="G103" s="5" t="inlineStr">
        <is>
          <t>Different</t>
        </is>
      </c>
      <c r="H103" s="3" t="inlineStr">
        <is>
          <t>G-07</t>
        </is>
      </c>
      <c r="I103" s="3" t="inlineStr">
        <is>
          <t>Original plant data (plant_base.csv, synthetic)</t>
        </is>
      </c>
    </row>
    <row r="104">
      <c r="A104" s="2" t="inlineStr">
        <is>
          <t>CTL-002</t>
        </is>
      </c>
      <c r="B104" s="3" t="inlineStr">
        <is>
          <t>Control failures YTD</t>
        </is>
      </c>
      <c r="C104" s="3" t="inlineStr">
        <is>
          <t>count</t>
        </is>
      </c>
      <c r="D104" s="3" t="inlineStr">
        <is>
          <t>Sum of control failures since April  [Year to date]</t>
        </is>
      </c>
      <c r="E104" s="21">
        <f>'Group KPIs'!K104</f>
        <v/>
      </c>
      <c r="F104" s="3" t="inlineStr">
        <is>
          <t>4</t>
        </is>
      </c>
      <c r="G104" s="7" t="inlineStr">
        <is>
          <t>Same</t>
        </is>
      </c>
      <c r="H104" s="3" t="inlineStr">
        <is>
          <t>E-07,G-07,O-05</t>
        </is>
      </c>
      <c r="I104" s="3" t="inlineStr">
        <is>
          <t>Synthetic inputs added for this model</t>
        </is>
      </c>
    </row>
    <row r="105">
      <c r="A105" s="2" t="inlineStr">
        <is>
          <t>CTL-004</t>
        </is>
      </c>
      <c r="B105" s="3" t="inlineStr">
        <is>
          <t>High-severity control failures YTD</t>
        </is>
      </c>
      <c r="C105" s="3" t="inlineStr">
        <is>
          <t>count</t>
        </is>
      </c>
      <c r="D105" s="3" t="inlineStr">
        <is>
          <t>Sum of high-severity control failures since April  [Year to date]</t>
        </is>
      </c>
      <c r="E105" s="21">
        <f>'Group KPIs'!K105</f>
        <v/>
      </c>
      <c r="F105" s="3" t="inlineStr">
        <is>
          <t>0</t>
        </is>
      </c>
      <c r="G105" s="7" t="inlineStr">
        <is>
          <t>Same</t>
        </is>
      </c>
      <c r="H105" s="3" t="inlineStr">
        <is>
          <t>G-07,O-05</t>
        </is>
      </c>
      <c r="I105" s="3" t="inlineStr">
        <is>
          <t>Synthetic inputs added for this model</t>
        </is>
      </c>
    </row>
    <row r="106">
      <c r="A106" s="2" t="inlineStr">
        <is>
          <t>CTL-005</t>
        </is>
      </c>
      <c r="B106" s="3" t="inlineStr">
        <is>
          <t>Policy exceptions YTD</t>
        </is>
      </c>
      <c r="C106" s="3" t="inlineStr">
        <is>
          <t>count</t>
        </is>
      </c>
      <c r="D106" s="3" t="inlineStr">
        <is>
          <t>Sum of policy exceptions since April  [Year to date]</t>
        </is>
      </c>
      <c r="E106" s="21">
        <f>'Group KPIs'!K106</f>
        <v/>
      </c>
      <c r="F106" s="3" t="inlineStr">
        <is>
          <t>3</t>
        </is>
      </c>
      <c r="G106" s="5" t="inlineStr">
        <is>
          <t>Different</t>
        </is>
      </c>
      <c r="H106" s="3" t="inlineStr">
        <is>
          <t>E-07,G-07,O-05</t>
        </is>
      </c>
      <c r="I106" s="3" t="inlineStr">
        <is>
          <t>Synthetic inputs added for this model</t>
        </is>
      </c>
    </row>
    <row r="107">
      <c r="A107" s="2" t="inlineStr">
        <is>
          <t>CTL-006</t>
        </is>
      </c>
      <c r="B107" s="3" t="inlineStr">
        <is>
          <t>Unauthorised-vendor usage YTD</t>
        </is>
      </c>
      <c r="C107" s="3" t="inlineStr">
        <is>
          <t>count</t>
        </is>
      </c>
      <c r="D107" s="3" t="inlineStr">
        <is>
          <t>Sum of unauthorised vendor uses since April  [Year to date]</t>
        </is>
      </c>
      <c r="E107" s="21">
        <f>'Group KPIs'!K107</f>
        <v/>
      </c>
      <c r="F107" s="3" t="inlineStr">
        <is>
          <t>0</t>
        </is>
      </c>
      <c r="G107" s="7" t="inlineStr">
        <is>
          <t>Same</t>
        </is>
      </c>
      <c r="H107" s="3" t="inlineStr">
        <is>
          <t>E-04,E-07,G-07,O-05</t>
        </is>
      </c>
      <c r="I107" s="3" t="inlineStr">
        <is>
          <t>Synthetic inputs added for this model</t>
        </is>
      </c>
    </row>
    <row r="108">
      <c r="A108" s="2" t="inlineStr">
        <is>
          <t>CTL-007</t>
        </is>
      </c>
      <c r="B108" s="3" t="inlineStr">
        <is>
          <t>Segregation-of-duties exceptions YTD</t>
        </is>
      </c>
      <c r="C108" s="3" t="inlineStr">
        <is>
          <t>count</t>
        </is>
      </c>
      <c r="D108" s="3" t="inlineStr">
        <is>
          <t>Sum of segregation-of-duties exceptions since April  [Year to date]</t>
        </is>
      </c>
      <c r="E108" s="21">
        <f>'Group KPIs'!K108</f>
        <v/>
      </c>
      <c r="F108" s="3" t="inlineStr">
        <is>
          <t>1</t>
        </is>
      </c>
      <c r="G108" s="7" t="inlineStr">
        <is>
          <t>Same</t>
        </is>
      </c>
      <c r="H108" s="3" t="inlineStr">
        <is>
          <t>E-07,G-07,O-05</t>
        </is>
      </c>
      <c r="I108" s="3" t="inlineStr">
        <is>
          <t>Synthetic inputs added for this model</t>
        </is>
      </c>
    </row>
    <row r="109">
      <c r="A109" s="2" t="inlineStr">
        <is>
          <t>CTL-008</t>
        </is>
      </c>
      <c r="B109" s="3" t="inlineStr">
        <is>
          <t>Unauthorised-access events YTD</t>
        </is>
      </c>
      <c r="C109" s="3" t="inlineStr">
        <is>
          <t>count</t>
        </is>
      </c>
      <c r="D109" s="3" t="inlineStr">
        <is>
          <t>Sum of unauthorised access events since April  [Year to date]</t>
        </is>
      </c>
      <c r="E109" s="21">
        <f>'Group KPIs'!K109</f>
        <v/>
      </c>
      <c r="F109" s="3" t="inlineStr">
        <is>
          <t>0</t>
        </is>
      </c>
      <c r="G109" s="7" t="inlineStr">
        <is>
          <t>Same</t>
        </is>
      </c>
      <c r="H109" s="3" t="inlineStr">
        <is>
          <t>E-07,G-07,O-05</t>
        </is>
      </c>
      <c r="I109" s="3" t="inlineStr">
        <is>
          <t>Synthetic inputs added for this model</t>
        </is>
      </c>
    </row>
    <row r="110">
      <c r="A110" s="2" t="inlineStr">
        <is>
          <t>CTL-009</t>
        </is>
      </c>
      <c r="B110" s="3" t="inlineStr">
        <is>
          <t>Data-sharing exceptions YTD</t>
        </is>
      </c>
      <c r="C110" s="3" t="inlineStr">
        <is>
          <t>count</t>
        </is>
      </c>
      <c r="D110" s="3" t="inlineStr">
        <is>
          <t>Sum of data-sharing exceptions since April  [Year to date]</t>
        </is>
      </c>
      <c r="E110" s="21">
        <f>'Group KPIs'!K110</f>
        <v/>
      </c>
      <c r="F110" s="3" t="inlineStr">
        <is>
          <t>0</t>
        </is>
      </c>
      <c r="G110" s="7" t="inlineStr">
        <is>
          <t>Same</t>
        </is>
      </c>
      <c r="H110" s="3" t="inlineStr">
        <is>
          <t>E-07,G-07,O-05</t>
        </is>
      </c>
      <c r="I110" s="3" t="inlineStr">
        <is>
          <t>Synthetic inputs added for this model</t>
        </is>
      </c>
    </row>
    <row r="111">
      <c r="A111" s="2" t="inlineStr">
        <is>
          <t>CTL-010</t>
        </is>
      </c>
      <c r="B111" s="3" t="inlineStr">
        <is>
          <t>Manual overrides YTD</t>
        </is>
      </c>
      <c r="C111" s="3" t="inlineStr">
        <is>
          <t>count</t>
        </is>
      </c>
      <c r="D111" s="3" t="inlineStr">
        <is>
          <t>Sum of manual operational or system overrides since April  [Year to date]</t>
        </is>
      </c>
      <c r="E111" s="21">
        <f>'Group KPIs'!K111</f>
        <v/>
      </c>
      <c r="F111" s="3" t="inlineStr">
        <is>
          <t>12</t>
        </is>
      </c>
      <c r="G111" s="5" t="inlineStr">
        <is>
          <t>Different</t>
        </is>
      </c>
      <c r="H111" s="3" t="inlineStr">
        <is>
          <t>E-07,G-07,O-05</t>
        </is>
      </c>
      <c r="I111" s="3" t="inlineStr">
        <is>
          <t>Synthetic inputs added for this model</t>
        </is>
      </c>
    </row>
    <row r="112">
      <c r="A112" s="2" t="inlineStr">
        <is>
          <t>CTL-003</t>
        </is>
      </c>
      <c r="B112" s="3" t="inlineStr">
        <is>
          <t>Assurance reviews completed</t>
        </is>
      </c>
      <c r="C112" s="3" t="inlineStr">
        <is>
          <t>text</t>
        </is>
      </c>
      <c r="D112" s="3" t="inlineStr">
        <is>
          <t>Assurance reviews completed since April, of those planned since April  [Year to date]</t>
        </is>
      </c>
      <c r="E112" s="8">
        <f>'Group KPIs'!K112</f>
        <v/>
      </c>
      <c r="F112" s="3" t="inlineStr">
        <is>
          <t>6 of 8</t>
        </is>
      </c>
      <c r="G112" s="7" t="inlineStr">
        <is>
          <t>Same</t>
        </is>
      </c>
      <c r="H112" s="3" t="inlineStr">
        <is>
          <t>G-07</t>
        </is>
      </c>
      <c r="I112" s="3" t="inlineStr">
        <is>
          <t>Synthetic inputs added for this model</t>
        </is>
      </c>
    </row>
    <row r="113">
      <c r="A113" s="2" t="inlineStr">
        <is>
          <t>GOV-001</t>
        </is>
      </c>
      <c r="B113" s="3" t="inlineStr">
        <is>
          <t>Ageing certification approvals</t>
        </is>
      </c>
      <c r="C113" s="3" t="inlineStr">
        <is>
          <t>count</t>
        </is>
      </c>
      <c r="D113" s="3" t="inlineStr">
        <is>
          <t>Certification approvals past due date  [Month end]</t>
        </is>
      </c>
      <c r="E113" s="21">
        <f>'Group KPIs'!K113</f>
        <v/>
      </c>
      <c r="F113" s="3" t="inlineStr">
        <is>
          <t>2 &gt; [PH] d</t>
        </is>
      </c>
      <c r="G113" s="7" t="inlineStr">
        <is>
          <t>Same</t>
        </is>
      </c>
      <c r="H113" s="3" t="inlineStr">
        <is>
          <t>E-08,G-08</t>
        </is>
      </c>
      <c r="I113" s="3" t="inlineStr">
        <is>
          <t>Synthetic inputs added for this model</t>
        </is>
      </c>
    </row>
    <row r="114">
      <c r="A114" s="2" t="inlineStr">
        <is>
          <t>GOV-002</t>
        </is>
      </c>
      <c r="B114" s="3" t="inlineStr">
        <is>
          <t>KPI overrides</t>
        </is>
      </c>
      <c r="C114" s="3" t="inlineStr">
        <is>
          <t>count</t>
        </is>
      </c>
      <c r="D114" s="3" t="inlineStr">
        <is>
          <t>KPI values overridden  [Month end]</t>
        </is>
      </c>
      <c r="E114" s="21">
        <f>'Group KPIs'!K114</f>
        <v/>
      </c>
      <c r="F114" s="3" t="inlineStr">
        <is>
          <t>0</t>
        </is>
      </c>
      <c r="G114" s="7" t="inlineStr">
        <is>
          <t>Same</t>
        </is>
      </c>
      <c r="H114" s="3" t="inlineStr">
        <is>
          <t>E-08,G-08</t>
        </is>
      </c>
      <c r="I114" s="3" t="inlineStr">
        <is>
          <t>Synthetic inputs added for this model</t>
        </is>
      </c>
    </row>
    <row r="115">
      <c r="A115" s="2" t="inlineStr">
        <is>
          <t>GOV-003</t>
        </is>
      </c>
      <c r="B115" s="3" t="inlineStr">
        <is>
          <t>Recurring data-quality issues</t>
        </is>
      </c>
      <c r="C115" s="3" t="inlineStr">
        <is>
          <t>count</t>
        </is>
      </c>
      <c r="D115" s="3" t="inlineStr">
        <is>
          <t>Recurring data-quality issues  [Month end]</t>
        </is>
      </c>
      <c r="E115" s="21">
        <f>'Group KPIs'!K115</f>
        <v/>
      </c>
      <c r="F115" s="3" t="inlineStr">
        <is>
          <t>1</t>
        </is>
      </c>
      <c r="G115" s="7" t="inlineStr">
        <is>
          <t>Same</t>
        </is>
      </c>
      <c r="H115" s="3" t="inlineStr">
        <is>
          <t>E-08,G-08</t>
        </is>
      </c>
      <c r="I115" s="3" t="inlineStr">
        <is>
          <t>Synthetic inputs added for this model</t>
        </is>
      </c>
    </row>
    <row r="116">
      <c r="A116" s="2" t="inlineStr">
        <is>
          <t>GOV-004</t>
        </is>
      </c>
      <c r="B116" s="3" t="inlineStr">
        <is>
          <t>Open audit findings</t>
        </is>
      </c>
      <c r="C116" s="3" t="inlineStr">
        <is>
          <t>count</t>
        </is>
      </c>
      <c r="D116" s="3" t="inlineStr">
        <is>
          <t>Open audit findings  [Month end]</t>
        </is>
      </c>
      <c r="E116" s="21">
        <f>'Group KPIs'!K116</f>
        <v/>
      </c>
      <c r="F116" s="3" t="inlineStr">
        <is>
          <t>7</t>
        </is>
      </c>
      <c r="G116" s="7" t="inlineStr">
        <is>
          <t>Same</t>
        </is>
      </c>
      <c r="H116" s="3" t="inlineStr">
        <is>
          <t>E-07,E-08,G-07,G-08,O-05</t>
        </is>
      </c>
      <c r="I116" s="3" t="inlineStr">
        <is>
          <t>Synthetic inputs added for this model</t>
        </is>
      </c>
    </row>
    <row r="117">
      <c r="A117" s="2" t="inlineStr">
        <is>
          <t>GOV-005</t>
        </is>
      </c>
      <c r="B117" s="3" t="inlineStr">
        <is>
          <t>Overdue assurance actions</t>
        </is>
      </c>
      <c r="C117" s="3" t="inlineStr">
        <is>
          <t>count</t>
        </is>
      </c>
      <c r="D117" s="3" t="inlineStr">
        <is>
          <t>Overdue assurance actions  [Month end]</t>
        </is>
      </c>
      <c r="E117" s="21">
        <f>'Group KPIs'!K117</f>
        <v/>
      </c>
      <c r="F117" s="3" t="inlineStr">
        <is>
          <t>0</t>
        </is>
      </c>
      <c r="G117" s="7" t="inlineStr">
        <is>
          <t>Same</t>
        </is>
      </c>
      <c r="H117" s="3" t="inlineStr">
        <is>
          <t>E-08,G-08</t>
        </is>
      </c>
      <c r="I117" s="3" t="inlineStr">
        <is>
          <t>Synthetic inputs added for this model</t>
        </is>
      </c>
    </row>
    <row r="118">
      <c r="A118" s="2" t="inlineStr">
        <is>
          <t>GOV-006</t>
        </is>
      </c>
      <c r="B118" s="3" t="inlineStr">
        <is>
          <t>Repeat findings</t>
        </is>
      </c>
      <c r="C118" s="3" t="inlineStr">
        <is>
          <t>count</t>
        </is>
      </c>
      <c r="D118" s="3" t="inlineStr">
        <is>
          <t>Repeat audit findings  [Month end]</t>
        </is>
      </c>
      <c r="E118" s="21">
        <f>'Group KPIs'!K118</f>
        <v/>
      </c>
      <c r="F118" s="3" t="inlineStr">
        <is>
          <t>1</t>
        </is>
      </c>
      <c r="G118" s="7" t="inlineStr">
        <is>
          <t>Same</t>
        </is>
      </c>
      <c r="H118" s="3" t="inlineStr">
        <is>
          <t>E-08,G-08</t>
        </is>
      </c>
      <c r="I118" s="3" t="inlineStr">
        <is>
          <t>Synthetic inputs added for this model</t>
        </is>
      </c>
    </row>
    <row r="119">
      <c r="A119" s="2" t="inlineStr">
        <is>
          <t>GOV-007</t>
        </is>
      </c>
      <c r="B119" s="3" t="inlineStr">
        <is>
          <t>Leadership KPIs affected by findings</t>
        </is>
      </c>
      <c r="C119" s="3" t="inlineStr">
        <is>
          <t>count</t>
        </is>
      </c>
      <c r="D119" s="3" t="inlineStr">
        <is>
          <t>Leadership KPIs affected by open findings  [Month end]</t>
        </is>
      </c>
      <c r="E119" s="21">
        <f>'Group KPIs'!K119</f>
        <v/>
      </c>
      <c r="F119" s="3" t="inlineStr">
        <is>
          <t>1</t>
        </is>
      </c>
      <c r="G119" s="7" t="inlineStr">
        <is>
          <t>Same</t>
        </is>
      </c>
      <c r="H119" s="3" t="inlineStr">
        <is>
          <t>G-08</t>
        </is>
      </c>
      <c r="I119" s="3" t="inlineStr">
        <is>
          <t>Synthetic inputs added for this model</t>
        </is>
      </c>
    </row>
    <row r="120">
      <c r="A120" s="2" t="inlineStr">
        <is>
          <t>TRU-004</t>
        </is>
      </c>
      <c r="B120" s="3" t="inlineStr">
        <is>
          <t>Open reconciliation breaks</t>
        </is>
      </c>
      <c r="C120" s="3" t="inlineStr">
        <is>
          <t>count</t>
        </is>
      </c>
      <c r="D120" s="3" t="inlineStr">
        <is>
          <t>Open reconciliation breaks  [Month end]</t>
        </is>
      </c>
      <c r="E120" s="21">
        <f>'Group KPIs'!K120</f>
        <v/>
      </c>
      <c r="F120" s="3" t="inlineStr">
        <is>
          <t>1</t>
        </is>
      </c>
      <c r="G120" s="7" t="inlineStr">
        <is>
          <t>Same</t>
        </is>
      </c>
      <c r="H120" s="3" t="inlineStr">
        <is>
          <t>E-08,G-08</t>
        </is>
      </c>
      <c r="I120" s="3" t="inlineStr">
        <is>
          <t>Synthetic inputs added for this model</t>
        </is>
      </c>
    </row>
    <row r="121">
      <c r="A121" s="2" t="inlineStr">
        <is>
          <t>TRU-006</t>
        </is>
      </c>
      <c r="B121" s="3" t="inlineStr">
        <is>
          <t>Overdue certifications</t>
        </is>
      </c>
      <c r="C121" s="3" t="inlineStr">
        <is>
          <t>count</t>
        </is>
      </c>
      <c r="D121" s="3" t="inlineStr">
        <is>
          <t>Certifications overdue  [Month end]</t>
        </is>
      </c>
      <c r="E121" s="21">
        <f>'Group KPIs'!K121</f>
        <v/>
      </c>
      <c r="F121" s="3" t="inlineStr">
        <is>
          <t>2</t>
        </is>
      </c>
      <c r="G121" s="7" t="inlineStr">
        <is>
          <t>Same</t>
        </is>
      </c>
      <c r="H121" s="3" t="inlineStr">
        <is>
          <t>E-08,G-08</t>
        </is>
      </c>
      <c r="I121" s="3" t="inlineStr">
        <is>
          <t>Synthetic inputs added for this model</t>
        </is>
      </c>
    </row>
    <row r="122">
      <c r="A122" s="2" t="inlineStr">
        <is>
          <t>TRU-007</t>
        </is>
      </c>
      <c r="B122" s="3" t="inlineStr">
        <is>
          <t>Material reconciliation breaks</t>
        </is>
      </c>
      <c r="C122" s="3" t="inlineStr">
        <is>
          <t>count</t>
        </is>
      </c>
      <c r="D122" s="3" t="inlineStr">
        <is>
          <t>Material reconciliation breaks  [Month end]</t>
        </is>
      </c>
      <c r="E122" s="21">
        <f>'Group KPIs'!K122</f>
        <v/>
      </c>
      <c r="F122" s="3" t="inlineStr">
        <is>
          <t>1</t>
        </is>
      </c>
      <c r="G122" s="7" t="inlineStr">
        <is>
          <t>Same</t>
        </is>
      </c>
      <c r="H122" s="3" t="inlineStr">
        <is>
          <t>G-08</t>
        </is>
      </c>
      <c r="I122" s="3" t="inlineStr">
        <is>
          <t>Synthetic inputs added for this model</t>
        </is>
      </c>
    </row>
    <row r="123">
      <c r="A123" s="2" t="inlineStr">
        <is>
          <t>GOV-008</t>
        </is>
      </c>
      <c r="B123" s="3" t="inlineStr">
        <is>
          <t>Evidence completeness rate</t>
        </is>
      </c>
      <c r="C123" s="3" t="inlineStr">
        <is>
          <t>%</t>
        </is>
      </c>
      <c r="D123" s="3" t="inlineStr">
        <is>
          <t>Evidence items complete ÷ Evidence items required × 100  [Month end]</t>
        </is>
      </c>
      <c r="E123" s="21">
        <f>'Group KPIs'!K123</f>
        <v/>
      </c>
      <c r="F123" s="3" t="inlineStr">
        <is>
          <t>88%</t>
        </is>
      </c>
      <c r="G123" s="7" t="inlineStr">
        <is>
          <t>Same</t>
        </is>
      </c>
      <c r="H123" s="3" t="inlineStr">
        <is>
          <t>E-08,G-08</t>
        </is>
      </c>
      <c r="I123" s="3" t="inlineStr">
        <is>
          <t>Synthetic inputs added for this model</t>
        </is>
      </c>
    </row>
    <row r="124">
      <c r="A124" s="2" t="inlineStr">
        <is>
          <t>GOV-009</t>
        </is>
      </c>
      <c r="B124" s="3" t="inlineStr">
        <is>
          <t>Average finding-closure time</t>
        </is>
      </c>
      <c r="C124" s="3" t="inlineStr">
        <is>
          <t>days</t>
        </is>
      </c>
      <c r="D124" s="3" t="inlineStr">
        <is>
          <t>Days taken to close findings since April ÷ Findings closed since April  [Year to date]</t>
        </is>
      </c>
      <c r="E124" s="21">
        <f>'Group KPIs'!K124</f>
        <v/>
      </c>
      <c r="F124" s="3" t="inlineStr">
        <is>
          <t>34 d</t>
        </is>
      </c>
      <c r="G124" s="5" t="inlineStr">
        <is>
          <t>Different</t>
        </is>
      </c>
      <c r="H124" s="3" t="inlineStr">
        <is>
          <t>E-08,G-08</t>
        </is>
      </c>
      <c r="I124" s="3" t="inlineStr">
        <is>
          <t>Synthetic inputs added for this model</t>
        </is>
      </c>
    </row>
    <row r="125">
      <c r="A125" s="2" t="inlineStr">
        <is>
          <t>TRU-001</t>
        </is>
      </c>
      <c r="B125" s="3" t="inlineStr">
        <is>
          <t>Certified KPI percentage</t>
        </is>
      </c>
      <c r="C125" s="3" t="inlineStr">
        <is>
          <t>%</t>
        </is>
      </c>
      <c r="D125" s="3" t="inlineStr">
        <is>
          <t>Leadership KPI values certified ÷ Leadership KPI values reported × 100  [Month end]</t>
        </is>
      </c>
      <c r="E125" s="21">
        <f>'Group KPIs'!K125</f>
        <v/>
      </c>
      <c r="F125" s="3" t="inlineStr">
        <is>
          <t>84 % of leadership KPIs</t>
        </is>
      </c>
      <c r="G125" s="7" t="inlineStr">
        <is>
          <t>Same</t>
        </is>
      </c>
      <c r="H125" s="3" t="inlineStr">
        <is>
          <t>E-08,G-01,G-02,G-08</t>
        </is>
      </c>
      <c r="I125" s="3" t="inlineStr">
        <is>
          <t>Synthetic inputs added for this model</t>
        </is>
      </c>
    </row>
    <row r="126">
      <c r="A126" s="2" t="inlineStr">
        <is>
          <t>TRU-002</t>
        </is>
      </c>
      <c r="B126" s="3" t="inlineStr">
        <is>
          <t>Uncertified KPI count</t>
        </is>
      </c>
      <c r="C126" s="3" t="inlineStr">
        <is>
          <t>count</t>
        </is>
      </c>
      <c r="D126" s="3" t="inlineStr">
        <is>
          <t>Leadership KPI values reported − Values certified  [Month end]</t>
        </is>
      </c>
      <c r="E126" s="21">
        <f>'Group KPIs'!K126</f>
        <v/>
      </c>
      <c r="F126" s="3" t="inlineStr">
        <is>
          <t>9</t>
        </is>
      </c>
      <c r="G126" s="7" t="inlineStr">
        <is>
          <t>Same</t>
        </is>
      </c>
      <c r="H126" s="3" t="inlineStr">
        <is>
          <t>G-08</t>
        </is>
      </c>
      <c r="I126" s="3" t="inlineStr">
        <is>
          <t>Synthetic inputs added for this model</t>
        </is>
      </c>
    </row>
    <row r="127">
      <c r="A127" s="2" t="inlineStr">
        <is>
          <t>TRU-005</t>
        </is>
      </c>
      <c r="B127" s="3" t="inlineStr">
        <is>
          <t>KPI certification coverage</t>
        </is>
      </c>
      <c r="C127" s="3" t="inlineStr">
        <is>
          <t>%</t>
        </is>
      </c>
      <c r="D127" s="3" t="inlineStr">
        <is>
          <t>Leadership KPI values inside the certification process ÷ Values reported × 100  [Month end]</t>
        </is>
      </c>
      <c r="E127" s="21">
        <f>'Group KPIs'!K127</f>
        <v/>
      </c>
      <c r="F127" s="3" t="inlineStr">
        <is>
          <t>92%</t>
        </is>
      </c>
      <c r="G127" s="5" t="inlineStr">
        <is>
          <t>Different</t>
        </is>
      </c>
      <c r="H127" s="3" t="inlineStr">
        <is>
          <t>G-08</t>
        </is>
      </c>
      <c r="I127" s="3" t="inlineStr">
        <is>
          <t>Synthetic inputs added for this model</t>
        </is>
      </c>
    </row>
    <row r="128">
      <c r="A128" s="2" t="inlineStr">
        <is>
          <t>TRU-008</t>
        </is>
      </c>
      <c r="B128" s="3" t="inlineStr">
        <is>
          <t>Source-to-Lake reconciliation rate</t>
        </is>
      </c>
      <c r="C128" s="3" t="inlineStr">
        <is>
          <t>%</t>
        </is>
      </c>
      <c r="D128" s="3" t="inlineStr">
        <is>
          <t>Records reconciled to source ÷ Records loaded × 100</t>
        </is>
      </c>
      <c r="E128" s="21">
        <f>'Group KPIs'!K128</f>
        <v/>
      </c>
      <c r="F128" s="3" t="inlineStr">
        <is>
          <t>99.2%</t>
        </is>
      </c>
      <c r="G128" s="5" t="inlineStr">
        <is>
          <t>Different</t>
        </is>
      </c>
      <c r="H128" s="3" t="inlineStr">
        <is>
          <t>E-08,G-08</t>
        </is>
      </c>
      <c r="I128" s="3" t="inlineStr">
        <is>
          <t>Synthetic inputs added for this model</t>
        </is>
      </c>
    </row>
    <row r="129">
      <c r="A129" s="2" t="inlineStr">
        <is>
          <t>TRU-009</t>
        </is>
      </c>
      <c r="B129" s="3" t="inlineStr">
        <is>
          <t>Flash-to-MIS reconciliation rate</t>
        </is>
      </c>
      <c r="C129" s="3" t="inlineStr">
        <is>
          <t>%</t>
        </is>
      </c>
      <c r="D129" s="3" t="inlineStr">
        <is>
          <t>Flash lines matching MIS ÷ Flash report lines × 100</t>
        </is>
      </c>
      <c r="E129" s="21">
        <f>'Group KPIs'!K129</f>
        <v/>
      </c>
      <c r="F129" s="3" t="inlineStr">
        <is>
          <t>96.8%</t>
        </is>
      </c>
      <c r="G129" s="5" t="inlineStr">
        <is>
          <t>Different</t>
        </is>
      </c>
      <c r="H129" s="3" t="inlineStr">
        <is>
          <t>E-08,G-08</t>
        </is>
      </c>
      <c r="I129" s="3" t="inlineStr">
        <is>
          <t>Synthetic inputs added for this model</t>
        </is>
      </c>
    </row>
    <row r="130">
      <c r="A130" s="2" t="inlineStr">
        <is>
          <t>TRU-010</t>
        </is>
      </c>
      <c r="B130" s="3" t="inlineStr">
        <is>
          <t>Flash-to-close variance</t>
        </is>
      </c>
      <c r="C130" s="3" t="inlineStr">
        <is>
          <t>%</t>
        </is>
      </c>
      <c r="D130" s="3" t="inlineStr">
        <is>
          <t>|Flash revenue − Closed revenue| ÷ Closed revenue × 100</t>
        </is>
      </c>
      <c r="E130" s="21">
        <f>'Group KPIs'!K130</f>
        <v/>
      </c>
      <c r="F130" s="3" t="inlineStr">
        <is>
          <t>0.6 %</t>
        </is>
      </c>
      <c r="G130" s="5" t="inlineStr">
        <is>
          <t>Different</t>
        </is>
      </c>
      <c r="H130" s="3" t="inlineStr">
        <is>
          <t>E-08,G-08</t>
        </is>
      </c>
      <c r="I130" s="3" t="inlineStr">
        <is>
          <t>Synthetic inputs added for this model</t>
        </is>
      </c>
    </row>
    <row r="131">
      <c r="A131" s="2" t="inlineStr">
        <is>
          <t>TRU-003</t>
        </is>
      </c>
      <c r="B131" s="3" t="inlineStr">
        <is>
          <t>Variance against Board number (EBITDA)</t>
        </is>
      </c>
      <c r="C131" s="3" t="inlineStr">
        <is>
          <t>%</t>
        </is>
      </c>
      <c r="D131" s="3" t="inlineStr">
        <is>
          <t>(Board-pack EBITDA − Certified EBITDA) ÷ Certified EBITDA × 100</t>
        </is>
      </c>
      <c r="E131" s="21">
        <f>'Group KPIs'!K131</f>
        <v/>
      </c>
      <c r="F131" s="3" t="inlineStr">
        <is>
          <t>[BOARD FIGURE — PH]</t>
        </is>
      </c>
      <c r="G131" s="5" t="inlineStr">
        <is>
          <t>Different</t>
        </is>
      </c>
      <c r="H131" s="3" t="inlineStr">
        <is>
          <t>G-08</t>
        </is>
      </c>
      <c r="I131" s="3" t="inlineStr">
        <is>
          <t>Original plant data + synthetic inputs added for this model</t>
        </is>
      </c>
    </row>
    <row r="132">
      <c r="A132" s="2" t="inlineStr">
        <is>
          <t>TRU-011</t>
        </is>
      </c>
      <c r="B132" s="3" t="inlineStr">
        <is>
          <t>Largest entity variance against Board numbers</t>
        </is>
      </c>
      <c r="C132" s="3" t="inlineStr">
        <is>
          <t>%</t>
        </is>
      </c>
      <c r="D132" s="3" t="inlineStr">
        <is>
          <t>Highest of the entities' |Board-pack EBITDA − Certified EBITDA| ÷ Certified EBITDA × 100</t>
        </is>
      </c>
      <c r="E132" s="21">
        <f>'Group KPIs'!K132</f>
        <v/>
      </c>
      <c r="F132" s="3" t="inlineStr">
        <is>
          <t>0.3% max abs · Entity B2</t>
        </is>
      </c>
      <c r="G132" s="7" t="inlineStr">
        <is>
          <t>Same</t>
        </is>
      </c>
      <c r="H132" s="3" t="inlineStr">
        <is>
          <t>E-08,G-08</t>
        </is>
      </c>
      <c r="I132" s="3" t="inlineStr">
        <is>
          <t>Original plant data + synthetic inputs added for this model</t>
        </is>
      </c>
    </row>
    <row r="133">
      <c r="A133" s="2" t="inlineStr">
        <is>
          <t>EFF-002</t>
        </is>
      </c>
      <c r="B133" s="3" t="inlineStr">
        <is>
          <t>Open critical alerts</t>
        </is>
      </c>
      <c r="C133" s="3" t="inlineStr">
        <is>
          <t>count</t>
        </is>
      </c>
      <c r="D133" s="3" t="inlineStr">
        <is>
          <t>Open critical alerts  [Month end]</t>
        </is>
      </c>
      <c r="E133" s="21">
        <f>'Group KPIs'!K133</f>
        <v/>
      </c>
      <c r="F133" s="3" t="inlineStr">
        <is>
          <t>1</t>
        </is>
      </c>
      <c r="G133" s="7" t="inlineStr">
        <is>
          <t>Same</t>
        </is>
      </c>
      <c r="H133" s="3" t="inlineStr">
        <is>
          <t>E-01,E-09,G-01,G-02,G-07,G-09,O-01,STATE GALLERY</t>
        </is>
      </c>
      <c r="I133" s="3" t="inlineStr">
        <is>
          <t>Synthetic inputs added for this model</t>
        </is>
      </c>
    </row>
    <row r="134">
      <c r="A134" s="2" t="inlineStr">
        <is>
          <t>EFF-006</t>
        </is>
      </c>
      <c r="B134" s="3" t="inlineStr">
        <is>
          <t>Alerts without accepted owners</t>
        </is>
      </c>
      <c r="C134" s="3" t="inlineStr">
        <is>
          <t>count</t>
        </is>
      </c>
      <c r="D134" s="3" t="inlineStr">
        <is>
          <t>Alerts with no accepted owner  [Month end]</t>
        </is>
      </c>
      <c r="E134" s="21">
        <f>'Group KPIs'!K134</f>
        <v/>
      </c>
      <c r="F134" s="3" t="inlineStr">
        <is>
          <t>1</t>
        </is>
      </c>
      <c r="G134" s="7" t="inlineStr">
        <is>
          <t>Same</t>
        </is>
      </c>
      <c r="H134" s="3" t="inlineStr">
        <is>
          <t>G-09</t>
        </is>
      </c>
      <c r="I134" s="3" t="inlineStr">
        <is>
          <t>Synthetic inputs added for this model</t>
        </is>
      </c>
    </row>
    <row r="135">
      <c r="A135" s="2" t="inlineStr">
        <is>
          <t>EFF-007</t>
        </is>
      </c>
      <c r="B135" s="3" t="inlineStr">
        <is>
          <t>Overdue actions</t>
        </is>
      </c>
      <c r="C135" s="3" t="inlineStr">
        <is>
          <t>count</t>
        </is>
      </c>
      <c r="D135" s="3" t="inlineStr">
        <is>
          <t>Overdue actions  [Month end]</t>
        </is>
      </c>
      <c r="E135" s="21">
        <f>'Group KPIs'!K135</f>
        <v/>
      </c>
      <c r="F135" s="3" t="inlineStr">
        <is>
          <t>0</t>
        </is>
      </c>
      <c r="G135" s="7" t="inlineStr">
        <is>
          <t>Same</t>
        </is>
      </c>
      <c r="H135" s="3" t="inlineStr">
        <is>
          <t>E-01,E-09,G-09</t>
        </is>
      </c>
      <c r="I135" s="3" t="inlineStr">
        <is>
          <t>Synthetic inputs added for this model</t>
        </is>
      </c>
    </row>
    <row r="136">
      <c r="A136" s="2" t="inlineStr">
        <is>
          <t>EFF-008</t>
        </is>
      </c>
      <c r="B136" s="3" t="inlineStr">
        <is>
          <t>Average resolution time</t>
        </is>
      </c>
      <c r="C136" s="3" t="inlineStr">
        <is>
          <t>days</t>
        </is>
      </c>
      <c r="D136" s="3" t="inlineStr">
        <is>
          <t>Days taken to resolve alerts ÷ Alerts resolved</t>
        </is>
      </c>
      <c r="E136" s="21">
        <f>'Group KPIs'!K136</f>
        <v/>
      </c>
      <c r="F136" s="3" t="inlineStr">
        <is>
          <t>2.4 d</t>
        </is>
      </c>
      <c r="G136" s="7" t="inlineStr">
        <is>
          <t>Same</t>
        </is>
      </c>
      <c r="H136" s="3" t="inlineStr">
        <is>
          <t>E-09,G-09,O-06</t>
        </is>
      </c>
      <c r="I136" s="3" t="inlineStr">
        <is>
          <t>Synthetic inputs added for this model</t>
        </is>
      </c>
    </row>
    <row r="137">
      <c r="A137" s="2" t="inlineStr">
        <is>
          <t>EFF-009</t>
        </is>
      </c>
      <c r="B137" s="3" t="inlineStr">
        <is>
          <t>Closed escalations, last 30 days</t>
        </is>
      </c>
      <c r="C137" s="3" t="inlineStr">
        <is>
          <t>count</t>
        </is>
      </c>
      <c r="D137" s="3" t="inlineStr">
        <is>
          <t>Escalations closed in the month</t>
        </is>
      </c>
      <c r="E137" s="21">
        <f>'Group KPIs'!K137</f>
        <v/>
      </c>
      <c r="F137" s="3" t="inlineStr">
        <is>
          <t>11</t>
        </is>
      </c>
      <c r="G137" s="7" t="inlineStr">
        <is>
          <t>Same</t>
        </is>
      </c>
      <c r="H137" s="3" t="inlineStr">
        <is>
          <t>E-09,G-09,O-06</t>
        </is>
      </c>
      <c r="I137" s="3" t="inlineStr">
        <is>
          <t>Synthetic inputs added for this model</t>
        </is>
      </c>
    </row>
    <row r="138">
      <c r="A138" s="2" t="inlineStr">
        <is>
          <t>EFF-010</t>
        </is>
      </c>
      <c r="B138" s="3" t="inlineStr">
        <is>
          <t>Repeat issues, last 90 days</t>
        </is>
      </c>
      <c r="C138" s="3" t="inlineStr">
        <is>
          <t>count</t>
        </is>
      </c>
      <c r="D138" s="3" t="inlineStr">
        <is>
          <t>Sum of repeat issues over the last 3 months  [Last 3 months]</t>
        </is>
      </c>
      <c r="E138" s="21">
        <f>'Group KPIs'!K138</f>
        <v/>
      </c>
      <c r="F138" s="3" t="inlineStr">
        <is>
          <t>2</t>
        </is>
      </c>
      <c r="G138" s="5" t="inlineStr">
        <is>
          <t>Different</t>
        </is>
      </c>
      <c r="H138" s="3" t="inlineStr">
        <is>
          <t>E-09,G-09,O-06</t>
        </is>
      </c>
      <c r="I138" s="3" t="inlineStr">
        <is>
          <t>Synthetic inputs added for this model</t>
        </is>
      </c>
    </row>
    <row r="139">
      <c r="A139" s="2" t="inlineStr">
        <is>
          <t>EFF-011</t>
        </is>
      </c>
      <c r="B139" s="3" t="inlineStr">
        <is>
          <t>Root causes eliminated YTD</t>
        </is>
      </c>
      <c r="C139" s="3" t="inlineStr">
        <is>
          <t>text</t>
        </is>
      </c>
      <c r="D139" s="3" t="inlineStr">
        <is>
          <t>Root causes eliminated since April, of those identified since April  [Year to date]</t>
        </is>
      </c>
      <c r="E139" s="8">
        <f>'Group KPIs'!K139</f>
        <v/>
      </c>
      <c r="F139" s="3" t="inlineStr">
        <is>
          <t>7 of 9</t>
        </is>
      </c>
      <c r="G139" s="5" t="inlineStr">
        <is>
          <t>Different</t>
        </is>
      </c>
      <c r="H139" s="3" t="inlineStr">
        <is>
          <t>E-09,G-09,O-06</t>
        </is>
      </c>
      <c r="I139" s="3" t="inlineStr">
        <is>
          <t>Synthetic inputs added for this model</t>
        </is>
      </c>
    </row>
    <row r="140">
      <c r="A140" s="2" t="inlineStr">
        <is>
          <t>SIG-004</t>
        </is>
      </c>
      <c r="B140" s="3" t="inlineStr">
        <is>
          <t>Collections slippage</t>
        </is>
      </c>
      <c r="C140" s="3" t="inlineStr">
        <is>
          <t>days</t>
        </is>
      </c>
      <c r="D140" s="3" t="inlineStr">
        <is>
          <t>(Days taken to collect − Agreed payment terms) ÷ Invoices collected (average days late)</t>
        </is>
      </c>
      <c r="E140" s="21">
        <f>'Group KPIs'!K140</f>
        <v/>
      </c>
      <c r="F140" s="3" t="inlineStr">
        <is>
          <t>+2 d (A1)</t>
        </is>
      </c>
      <c r="G140" s="5" t="inlineStr">
        <is>
          <t>Different</t>
        </is>
      </c>
      <c r="H140" s="3" t="inlineStr">
        <is>
          <t>E-05, G-04, S-12</t>
        </is>
      </c>
      <c r="I140" s="3" t="inlineStr">
        <is>
          <t>Synthetic inputs added for this model</t>
        </is>
      </c>
    </row>
    <row r="141">
      <c r="A141" s="2" t="inlineStr">
        <is>
          <t>SIG-005</t>
        </is>
      </c>
      <c r="B141" s="3" t="inlineStr">
        <is>
          <t>Payment delays</t>
        </is>
      </c>
      <c r="C141" s="3" t="inlineStr">
        <is>
          <t>customers</t>
        </is>
      </c>
      <c r="D141" s="3" t="inlineStr">
        <is>
          <t>Customers more than 30 days overdue  [Month end]</t>
        </is>
      </c>
      <c r="E141" s="21">
        <f>'Group KPIs'!K141</f>
        <v/>
      </c>
      <c r="F141" s="3" t="inlineStr">
        <is>
          <t>2 customers (A1)</t>
        </is>
      </c>
      <c r="G141" s="5" t="inlineStr">
        <is>
          <t>Different</t>
        </is>
      </c>
      <c r="H141" s="3" t="inlineStr">
        <is>
          <t>E-05,G-04</t>
        </is>
      </c>
      <c r="I141" s="3" t="inlineStr">
        <is>
          <t>Synthetic inputs added for this model</t>
        </is>
      </c>
    </row>
    <row r="142">
      <c r="A142" s="2" t="inlineStr">
        <is>
          <t>SIG-006</t>
        </is>
      </c>
      <c r="B142" s="3" t="inlineStr">
        <is>
          <t>Cash burn signal</t>
        </is>
      </c>
      <c r="C142" s="3" t="inlineStr">
        <is>
          <t>text</t>
        </is>
      </c>
      <c r="D142" s="3" t="inlineStr">
        <is>
          <t>Triggered if operating cash flow in the month is negative</t>
        </is>
      </c>
      <c r="E142" s="8">
        <f>'Group KPIs'!K142</f>
        <v/>
      </c>
      <c r="F142" s="3" t="inlineStr">
        <is>
          <t>Not on a screen</t>
        </is>
      </c>
      <c r="G142" s="7" t="inlineStr">
        <is>
          <t>—</t>
        </is>
      </c>
      <c r="H142" s="3" t="inlineStr">
        <is>
          <t>—</t>
        </is>
      </c>
      <c r="I142" s="3" t="inlineStr">
        <is>
          <t>Original plant data + synthetic inputs added for this model</t>
        </is>
      </c>
    </row>
    <row r="143">
      <c r="A143" s="2" t="inlineStr">
        <is>
          <t>SIG-013</t>
        </is>
      </c>
      <c r="B143" s="3" t="inlineStr">
        <is>
          <t>Pricing pressure</t>
        </is>
      </c>
      <c r="C143" s="3" t="inlineStr">
        <is>
          <t>text</t>
        </is>
      </c>
      <c r="D143" s="3" t="inlineStr">
        <is>
          <t>Realised price vs plan: Low if above −1%, Medium down to −3%, High below −3%</t>
        </is>
      </c>
      <c r="E143" s="8">
        <f>'Group KPIs'!K143</f>
        <v/>
      </c>
      <c r="F143" s="3" t="inlineStr">
        <is>
          <t>Low</t>
        </is>
      </c>
      <c r="G143" s="5" t="inlineStr">
        <is>
          <t>Different</t>
        </is>
      </c>
      <c r="H143" s="3" t="inlineStr">
        <is>
          <t>G-03</t>
        </is>
      </c>
      <c r="I143" s="3" t="inlineStr">
        <is>
          <t>Synthetic inputs added for this model</t>
        </is>
      </c>
    </row>
    <row r="144">
      <c r="A144" s="2" t="inlineStr">
        <is>
          <t>PRD-001</t>
        </is>
      </c>
      <c r="B144" s="3" t="inlineStr">
        <is>
          <t>Days to breach (earliest plant)</t>
        </is>
      </c>
      <c r="C144" s="3" t="inlineStr">
        <is>
          <t>days</t>
        </is>
      </c>
      <c r="D144" s="3" t="inlineStr">
        <is>
          <t>Lowest plant forecast of days until its production plan is breached (99 = not expected)  [Forecast]</t>
        </is>
      </c>
      <c r="E144" s="21">
        <f>'Group KPIs'!K144</f>
        <v/>
      </c>
      <c r="F144" s="3" t="inlineStr">
        <is>
          <t>Not shown</t>
        </is>
      </c>
      <c r="G144" s="6" t="inlineStr">
        <is>
          <t>Not shown</t>
        </is>
      </c>
      <c r="H144" s="3" t="inlineStr">
        <is>
          <t>E-01,E-04,O-01,O-02,O-09,S-10,S-12,STATE GALLERY</t>
        </is>
      </c>
      <c r="I144" s="3" t="inlineStr">
        <is>
          <t>Synthetic inputs added for this model</t>
        </is>
      </c>
    </row>
    <row r="145">
      <c r="A145" s="2" t="inlineStr">
        <is>
          <t>PRD-002</t>
        </is>
      </c>
      <c r="B145" s="3" t="inlineStr">
        <is>
          <t>Probability of production plan miss, next month</t>
        </is>
      </c>
      <c r="C145" s="3" t="inlineStr">
        <is>
          <t>%</t>
        </is>
      </c>
      <c r="D145" s="3" t="inlineStr">
        <is>
          <t>Chance that output falls below plan: normal distribution with mean = Forecast good output, spread = √(sum of plant forecast variances)  [Next month]</t>
        </is>
      </c>
      <c r="E145" s="21">
        <f>'Group KPIs'!K145</f>
        <v/>
      </c>
      <c r="F145" s="3" t="inlineStr">
        <is>
          <t>64%</t>
        </is>
      </c>
      <c r="G145" s="5" t="inlineStr">
        <is>
          <t>Different</t>
        </is>
      </c>
      <c r="H145" s="3" t="inlineStr">
        <is>
          <t>G-01,G-10,O-01,O-02,S-12,STATE GALLERY</t>
        </is>
      </c>
      <c r="I145" s="3" t="inlineStr">
        <is>
          <t>Synthetic inputs added for this model</t>
        </is>
      </c>
    </row>
    <row r="146">
      <c r="A146" s="2" t="inlineStr">
        <is>
          <t>PRD-003</t>
        </is>
      </c>
      <c r="B146" s="3" t="inlineStr">
        <is>
          <t>Projected EBITDA gap, rest of year</t>
        </is>
      </c>
      <c r="C146" s="3" t="inlineStr">
        <is>
          <t>₹ m</t>
        </is>
      </c>
      <c r="D146" s="3" t="inlineStr">
        <is>
          <t>(Forecast EBITDA − Planned EBITDA, rest of year) ÷ 1000  [Forecast]</t>
        </is>
      </c>
      <c r="E146" s="21">
        <f>'Group KPIs'!K146</f>
        <v/>
      </c>
      <c r="F146" s="3" t="inlineStr">
        <is>
          <t>−₹9.2 m</t>
        </is>
      </c>
      <c r="G146" s="5" t="inlineStr">
        <is>
          <t>Different</t>
        </is>
      </c>
      <c r="H146" s="3" t="inlineStr">
        <is>
          <t>G-01,G-03,G-10,O-01,O-02,S-09,S-12,STATE GALLERY</t>
        </is>
      </c>
      <c r="I146" s="3" t="inlineStr">
        <is>
          <t>Synthetic inputs added for this model</t>
        </is>
      </c>
    </row>
    <row r="147">
      <c r="A147" s="2" t="inlineStr">
        <is>
          <t>PRD-004</t>
        </is>
      </c>
      <c r="B147" s="3" t="inlineStr">
        <is>
          <t>Projected liquidity gap, next 90 days</t>
        </is>
      </c>
      <c r="C147" s="3" t="inlineStr">
        <is>
          <t>₹ m or text</t>
        </is>
      </c>
      <c r="D147" s="3" t="inlineStr">
        <is>
          <t>Cash + Undrawn facilities + Forecast net cash flow (90 days); 'None' if not negative  [Next 90 days]</t>
        </is>
      </c>
      <c r="E147" s="8">
        <f>'Group KPIs'!K147</f>
        <v/>
      </c>
      <c r="F147" s="3" t="inlineStr">
        <is>
          <t>None within 90 d</t>
        </is>
      </c>
      <c r="G147" s="7" t="inlineStr">
        <is>
          <t>Same</t>
        </is>
      </c>
      <c r="H147" s="3" t="inlineStr">
        <is>
          <t>O-02, G-01, G-04, S-12</t>
        </is>
      </c>
      <c r="I147" s="3" t="inlineStr">
        <is>
          <t>Synthetic inputs added for this model</t>
        </is>
      </c>
    </row>
    <row r="148">
      <c r="A148" s="2" t="inlineStr">
        <is>
          <t>PRD-005</t>
        </is>
      </c>
      <c r="B148" s="3" t="inlineStr">
        <is>
          <t>Forecast covenant breach</t>
        </is>
      </c>
      <c r="C148" s="3" t="inlineStr">
        <is>
          <t>text</t>
        </is>
      </c>
      <c r="D148" s="3" t="inlineStr">
        <is>
          <t>Breach forecast if Forecast net debt ÷ Forecast 12-month EBITDA exceeds the covenant limit  [Quarter end]</t>
        </is>
      </c>
      <c r="E148" s="8">
        <f>'Group KPIs'!K148</f>
        <v/>
      </c>
      <c r="F148" s="3" t="inlineStr">
        <is>
          <t>Not forecast</t>
        </is>
      </c>
      <c r="G148" s="7" t="inlineStr">
        <is>
          <t>Same</t>
        </is>
      </c>
      <c r="H148" s="3" t="inlineStr">
        <is>
          <t>O-02, G-04, G-10, S-12</t>
        </is>
      </c>
      <c r="I148" s="3" t="inlineStr">
        <is>
          <t>Synthetic inputs added for this model</t>
        </is>
      </c>
    </row>
    <row r="149">
      <c r="A149" s="2" t="inlineStr">
        <is>
          <t>PRD-006</t>
        </is>
      </c>
      <c r="B149" s="3" t="inlineStr">
        <is>
          <t>Production loss from downtime, next month</t>
        </is>
      </c>
      <c r="C149" s="3" t="inlineStr">
        <is>
          <t>kt</t>
        </is>
      </c>
      <c r="D149" s="3" t="inlineStr">
        <is>
          <t>Forecast production lost to downtime next month ÷ 1000  [Next month]</t>
        </is>
      </c>
      <c r="E149" s="21">
        <f>'Group KPIs'!K149</f>
        <v/>
      </c>
      <c r="F149" s="3" t="inlineStr">
        <is>
          <t>11.2 kt</t>
        </is>
      </c>
      <c r="G149" s="5" t="inlineStr">
        <is>
          <t>Different</t>
        </is>
      </c>
      <c r="H149" s="3" t="inlineStr">
        <is>
          <t>G-05,G-10,O-09</t>
        </is>
      </c>
      <c r="I149" s="3" t="inlineStr">
        <is>
          <t>Synthetic inputs added for this model</t>
        </is>
      </c>
    </row>
    <row r="150">
      <c r="A150" s="2" t="inlineStr">
        <is>
          <t>PRD-007</t>
        </is>
      </c>
      <c r="B150" s="3" t="inlineStr">
        <is>
          <t>Probability OEE below 78%, next month</t>
        </is>
      </c>
      <c r="C150" s="3" t="inlineStr">
        <is>
          <t>%</t>
        </is>
      </c>
      <c r="D150" s="3" t="inlineStr">
        <is>
          <t>Chance that Forecast good output &lt; 78% × Ideal output next month (same distribution as PRD-002)  [Next month]</t>
        </is>
      </c>
      <c r="E150" s="21">
        <f>'Group KPIs'!K150</f>
        <v/>
      </c>
      <c r="F150" s="3" t="inlineStr">
        <is>
          <t>41%</t>
        </is>
      </c>
      <c r="G150" s="5" t="inlineStr">
        <is>
          <t>Different</t>
        </is>
      </c>
      <c r="H150" s="3" t="inlineStr">
        <is>
          <t>O-09</t>
        </is>
      </c>
      <c r="I150" s="3" t="inlineStr">
        <is>
          <t>Synthetic inputs added for this model</t>
        </is>
      </c>
    </row>
  </sheetData>
  <autoFilter ref="A1:I150"/>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150"/>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2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the mockups today (Group)</t>
        </is>
      </c>
      <c r="M1" s="1" t="inlineStr">
        <is>
          <t>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t>
        </is>
      </c>
      <c r="M2" s="3" t="inlineStr">
        <is>
          <t>E-01,E-02,E-05,G-01,G-02,G-03,G-05,O-01,O-09,S-03,S-10,STATE GALLERY</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t>
        </is>
      </c>
      <c r="M3" s="3" t="inlineStr">
        <is>
          <t>E-02,G-05,O-01,STATE GALLERY</t>
        </is>
      </c>
      <c r="N3" s="3" t="inlineStr">
        <is>
          <t>installed_capacity_t, good_output_t</t>
        </is>
      </c>
    </row>
    <row r="4">
      <c r="A4" s="2" t="inlineStr">
        <is>
          <t>PLT-001</t>
        </is>
      </c>
      <c r="B4" s="3" t="inlineStr">
        <is>
          <t>Asset utilization</t>
        </is>
      </c>
      <c r="C4" s="3" t="inlineStr">
        <is>
          <t>%</t>
        </is>
      </c>
      <c r="D4" s="3" t="inlineStr">
        <is>
          <t>Month</t>
        </is>
      </c>
      <c r="E4" s="3" t="inlineStr">
        <is>
          <t>Run hours ÷ Calendar hours × 100</t>
        </is>
      </c>
      <c r="F4" s="21">
        <f>ROUND(IFERROR(100*'Group Inputs'!G4/'Group Inputs'!E4,0),2)</f>
        <v/>
      </c>
      <c r="G4" s="21">
        <f>ROUND(IFERROR(100*'Group Inputs'!G5/'Group Inputs'!E5,0),2)</f>
        <v/>
      </c>
      <c r="H4" s="21">
        <f>ROUND(IFERROR(100*'Group Inputs'!G6/'Group Inputs'!E6,0),2)</f>
        <v/>
      </c>
      <c r="I4" s="21">
        <f>ROUND(IFERROR(100*'Group Inputs'!G7/'Group Inputs'!E7,0),2)</f>
        <v/>
      </c>
      <c r="J4" s="21">
        <f>ROUND(IFERROR(100*'Group Inputs'!G8/'Group Inputs'!E8,0),2)</f>
        <v/>
      </c>
      <c r="K4" s="21">
        <f>ROUND(IFERROR(100*'Group Inputs'!G9/'Group Inputs'!E9,0),2)</f>
        <v/>
      </c>
      <c r="L4" s="3" t="inlineStr">
        <is>
          <t>Not shown</t>
        </is>
      </c>
      <c r="M4" s="3" t="n"/>
      <c r="N4" s="3" t="inlineStr">
        <is>
          <t>calendar_hours, run_hours</t>
        </is>
      </c>
    </row>
    <row r="5">
      <c r="A5" s="2" t="inlineStr">
        <is>
          <t>PLT-002</t>
        </is>
      </c>
      <c r="B5" s="3" t="inlineStr">
        <is>
          <t>OEE</t>
        </is>
      </c>
      <c r="C5" s="3" t="inlineStr">
        <is>
          <t>%</t>
        </is>
      </c>
      <c r="D5" s="3" t="inlineStr">
        <is>
          <t>Month</t>
        </is>
      </c>
      <c r="E5" s="3" t="inlineStr">
        <is>
          <t>Availability × Performance × Quality = Good output ÷ Ideal output × 100</t>
        </is>
      </c>
      <c r="F5" s="21">
        <f>ROUND(IFERROR(100*'Group Inputs'!M4/'Group Inputs'!I4,0),2)</f>
        <v/>
      </c>
      <c r="G5" s="21">
        <f>ROUND(IFERROR(100*'Group Inputs'!M5/'Group Inputs'!I5,0),2)</f>
        <v/>
      </c>
      <c r="H5" s="21">
        <f>ROUND(IFERROR(100*'Group Inputs'!M6/'Group Inputs'!I6,0),2)</f>
        <v/>
      </c>
      <c r="I5" s="21">
        <f>ROUND(IFERROR(100*'Group Inputs'!M7/'Group Inputs'!I7,0),2)</f>
        <v/>
      </c>
      <c r="J5" s="21">
        <f>ROUND(IFERROR(100*'Group Inputs'!M8/'Group Inputs'!I8,0),2)</f>
        <v/>
      </c>
      <c r="K5" s="21">
        <f>ROUND(IFERROR(100*'Group Inputs'!M9/'Group Inputs'!I9,0),2)</f>
        <v/>
      </c>
      <c r="L5" s="3" t="inlineStr">
        <is>
          <t>78 %</t>
        </is>
      </c>
      <c r="M5" s="3" t="inlineStr">
        <is>
          <t>E-02,G-05</t>
        </is>
      </c>
      <c r="N5" s="3" t="inlineStr">
        <is>
          <t>ideal_output_t, good_output_t</t>
        </is>
      </c>
    </row>
    <row r="6">
      <c r="A6" s="2" t="inlineStr">
        <is>
          <t>PLT-004</t>
        </is>
      </c>
      <c r="B6" s="3" t="inlineStr">
        <is>
          <t>Recovery percentage</t>
        </is>
      </c>
      <c r="C6" s="3" t="inlineStr">
        <is>
          <t>%</t>
        </is>
      </c>
      <c r="D6" s="3" t="inlineStr">
        <is>
          <t>Month</t>
        </is>
      </c>
      <c r="E6" s="3" t="inlineStr">
        <is>
          <t>Valuable content recovered ÷ Valuable content in feed × 100</t>
        </is>
      </c>
      <c r="F6" s="21">
        <f>ROUND(IFERROR(100*'Group Inputs'!P4/'Group Inputs'!O4,0),2)</f>
        <v/>
      </c>
      <c r="G6" s="21">
        <f>ROUND(IFERROR(100*'Group Inputs'!P5/'Group Inputs'!O5,0),2)</f>
        <v/>
      </c>
      <c r="H6" s="21">
        <f>ROUND(IFERROR(100*'Group Inputs'!P6/'Group Inputs'!O6,0),2)</f>
        <v/>
      </c>
      <c r="I6" s="21">
        <f>ROUND(IFERROR(100*'Group Inputs'!P7/'Group Inputs'!O7,0),2)</f>
        <v/>
      </c>
      <c r="J6" s="21">
        <f>ROUND(IFERROR(100*'Group Inputs'!P8/'Group Inputs'!O8,0),2)</f>
        <v/>
      </c>
      <c r="K6" s="21">
        <f>ROUND(IFERROR(100*'Group Inputs'!P9/'Group Inputs'!O9,0),2)</f>
        <v/>
      </c>
      <c r="L6" s="3" t="inlineStr">
        <is>
          <t>Not shown</t>
        </is>
      </c>
      <c r="M6" s="3" t="n"/>
      <c r="N6" s="3" t="inlineStr">
        <is>
          <t>feed_contained_t, recovered_contained_t</t>
        </is>
      </c>
    </row>
    <row r="7">
      <c r="A7" s="2" t="inlineStr">
        <is>
          <t>PLT-005</t>
        </is>
      </c>
      <c r="B7" s="3" t="inlineStr">
        <is>
          <t>Yield</t>
        </is>
      </c>
      <c r="C7" s="3" t="inlineStr">
        <is>
          <t>%</t>
        </is>
      </c>
      <c r="D7" s="3" t="inlineStr">
        <is>
          <t>Month</t>
        </is>
      </c>
      <c r="E7" s="3" t="inlineStr">
        <is>
          <t>Good output ÷ Feed input × 100</t>
        </is>
      </c>
      <c r="F7" s="21">
        <f>ROUND(IFERROR(100*'Group Inputs'!M4/'Group Inputs'!N4,0),2)</f>
        <v/>
      </c>
      <c r="G7" s="21">
        <f>ROUND(IFERROR(100*'Group Inputs'!M5/'Group Inputs'!N5,0),2)</f>
        <v/>
      </c>
      <c r="H7" s="21">
        <f>ROUND(IFERROR(100*'Group Inputs'!M6/'Group Inputs'!N6,0),2)</f>
        <v/>
      </c>
      <c r="I7" s="21">
        <f>ROUND(IFERROR(100*'Group Inputs'!M7/'Group Inputs'!N7,0),2)</f>
        <v/>
      </c>
      <c r="J7" s="21">
        <f>ROUND(IFERROR(100*'Group Inputs'!M8/'Group Inputs'!N8,0),2)</f>
        <v/>
      </c>
      <c r="K7" s="21">
        <f>ROUND(IFERROR(100*'Group Inputs'!M9/'Group Inputs'!N9,0),2)</f>
        <v/>
      </c>
      <c r="L7" s="3" t="inlineStr">
        <is>
          <t>Not shown</t>
        </is>
      </c>
      <c r="M7" s="3" t="n"/>
      <c r="N7" s="3" t="inlineStr">
        <is>
          <t>good_output_t, feed_input_t</t>
        </is>
      </c>
    </row>
    <row r="8">
      <c r="A8" s="2" t="inlineStr">
        <is>
          <t>REL-001</t>
        </is>
      </c>
      <c r="B8" s="3" t="inlineStr">
        <is>
          <t>MTBF</t>
        </is>
      </c>
      <c r="C8" s="3" t="inlineStr">
        <is>
          <t>h</t>
        </is>
      </c>
      <c r="D8" s="3" t="inlineStr">
        <is>
          <t>Month</t>
        </is>
      </c>
      <c r="E8" s="3" t="inlineStr">
        <is>
          <t>Run hours ÷ Breakdowns</t>
        </is>
      </c>
      <c r="F8" s="21">
        <f>ROUND(IFERROR('Group Inputs'!G4/'Group Inputs'!R4,0),2)</f>
        <v/>
      </c>
      <c r="G8" s="21">
        <f>ROUND(IFERROR('Group Inputs'!G5/'Group Inputs'!R5,0),2)</f>
        <v/>
      </c>
      <c r="H8" s="21">
        <f>ROUND(IFERROR('Group Inputs'!G6/'Group Inputs'!R6,0),2)</f>
        <v/>
      </c>
      <c r="I8" s="21">
        <f>ROUND(IFERROR('Group Inputs'!G7/'Group Inputs'!R7,0),2)</f>
        <v/>
      </c>
      <c r="J8" s="21">
        <f>ROUND(IFERROR('Group Inputs'!G8/'Group Inputs'!R8,0),2)</f>
        <v/>
      </c>
      <c r="K8" s="21">
        <f>ROUND(IFERROR('Group Inputs'!G9/'Group Inputs'!R9,0),2)</f>
        <v/>
      </c>
      <c r="L8" s="3" t="inlineStr">
        <is>
          <t>205 h</t>
        </is>
      </c>
      <c r="M8" s="3" t="inlineStr">
        <is>
          <t>E-03,G-05,O-09</t>
        </is>
      </c>
      <c r="N8" s="3" t="inlineStr">
        <is>
          <t>run_hours, failures</t>
        </is>
      </c>
    </row>
    <row r="9">
      <c r="A9" s="2" t="inlineStr">
        <is>
          <t>REL-002</t>
        </is>
      </c>
      <c r="B9" s="3" t="inlineStr">
        <is>
          <t>Mean Time to Repair</t>
        </is>
      </c>
      <c r="C9" s="3" t="inlineStr">
        <is>
          <t>h</t>
        </is>
      </c>
      <c r="D9" s="3" t="inlineStr">
        <is>
          <t>Month</t>
        </is>
      </c>
      <c r="E9" s="3" t="inlineStr">
        <is>
          <t>Repair hours ÷ Breakdowns</t>
        </is>
      </c>
      <c r="F9" s="21">
        <f>ROUND(IFERROR('Group Inputs'!S4/'Group Inputs'!R4,0),2)</f>
        <v/>
      </c>
      <c r="G9" s="21">
        <f>ROUND(IFERROR('Group Inputs'!S5/'Group Inputs'!R5,0),2)</f>
        <v/>
      </c>
      <c r="H9" s="21">
        <f>ROUND(IFERROR('Group Inputs'!S6/'Group Inputs'!R6,0),2)</f>
        <v/>
      </c>
      <c r="I9" s="21">
        <f>ROUND(IFERROR('Group Inputs'!S7/'Group Inputs'!R7,0),2)</f>
        <v/>
      </c>
      <c r="J9" s="21">
        <f>ROUND(IFERROR('Group Inputs'!S8/'Group Inputs'!R8,0),2)</f>
        <v/>
      </c>
      <c r="K9" s="21">
        <f>ROUND(IFERROR('Group Inputs'!S9/'Group Inputs'!R9,0),2)</f>
        <v/>
      </c>
      <c r="L9" s="3" t="inlineStr">
        <is>
          <t>3.6 h</t>
        </is>
      </c>
      <c r="M9" s="3" t="inlineStr">
        <is>
          <t>E-03,G-05,O-09</t>
        </is>
      </c>
      <c r="N9" s="3" t="inlineStr">
        <is>
          <t>failures, repair_hours</t>
        </is>
      </c>
    </row>
    <row r="10">
      <c r="A10" s="2" t="inlineStr">
        <is>
          <t>REL-003</t>
        </is>
      </c>
      <c r="B10" s="3" t="inlineStr">
        <is>
          <t>Unplanned downtime</t>
        </is>
      </c>
      <c r="C10" s="3" t="inlineStr">
        <is>
          <t>h</t>
        </is>
      </c>
      <c r="D10" s="3" t="inlineStr">
        <is>
          <t>Month</t>
        </is>
      </c>
      <c r="E10" s="3" t="inlineStr">
        <is>
          <t>Unplanned downtime</t>
        </is>
      </c>
      <c r="F10" s="21">
        <f>ROUND('Group Inputs'!H4,2)</f>
        <v/>
      </c>
      <c r="G10" s="21">
        <f>ROUND('Group Inputs'!H5,2)</f>
        <v/>
      </c>
      <c r="H10" s="21">
        <f>ROUND('Group Inputs'!H6,2)</f>
        <v/>
      </c>
      <c r="I10" s="21">
        <f>ROUND('Group Inputs'!H7,2)</f>
        <v/>
      </c>
      <c r="J10" s="21">
        <f>ROUND('Group Inputs'!H8,2)</f>
        <v/>
      </c>
      <c r="K10" s="21">
        <f>ROUND('Group Inputs'!H9,2)</f>
        <v/>
      </c>
      <c r="L10" s="3" t="inlineStr">
        <is>
          <t>3.1 % of hours</t>
        </is>
      </c>
      <c r="M10" s="3" t="inlineStr">
        <is>
          <t>E-03,G-05,O-09</t>
        </is>
      </c>
      <c r="N10" s="3" t="inlineStr">
        <is>
          <t>unplanned_downtime_hours</t>
        </is>
      </c>
    </row>
    <row r="11">
      <c r="A11" s="2" t="inlineStr">
        <is>
          <t>REL-004</t>
        </is>
      </c>
      <c r="B11" s="3" t="inlineStr">
        <is>
          <t>Production loss from downtime</t>
        </is>
      </c>
      <c r="C11" s="3" t="inlineStr">
        <is>
          <t>t</t>
        </is>
      </c>
      <c r="D11" s="3" t="inlineStr">
        <is>
          <t>Month</t>
        </is>
      </c>
      <c r="E11" s="3" t="inlineStr">
        <is>
          <t>Production lost to downtime</t>
        </is>
      </c>
      <c r="F11" s="21">
        <f>ROUND('Group Inputs'!Q4,2)</f>
        <v/>
      </c>
      <c r="G11" s="21">
        <f>ROUND('Group Inputs'!Q5,2)</f>
        <v/>
      </c>
      <c r="H11" s="21">
        <f>ROUND('Group Inputs'!Q6,2)</f>
        <v/>
      </c>
      <c r="I11" s="21">
        <f>ROUND('Group Inputs'!Q7,2)</f>
        <v/>
      </c>
      <c r="J11" s="21">
        <f>ROUND('Group Inputs'!Q8,2)</f>
        <v/>
      </c>
      <c r="K11" s="21">
        <f>ROUND('Group Inputs'!Q9,2)</f>
        <v/>
      </c>
      <c r="L11" s="3" t="inlineStr">
        <is>
          <t>93%</t>
        </is>
      </c>
      <c r="M11" s="3" t="inlineStr">
        <is>
          <t>E-03,G-05</t>
        </is>
      </c>
      <c r="N11" s="3" t="inlineStr">
        <is>
          <t>prod_loss_downtime_t</t>
        </is>
      </c>
    </row>
    <row r="12">
      <c r="A12" s="2" t="inlineStr">
        <is>
          <t>REL-005</t>
        </is>
      </c>
      <c r="B12" s="3" t="inlineStr">
        <is>
          <t>Preventive-maintenance compliance</t>
        </is>
      </c>
      <c r="C12" s="3" t="inlineStr">
        <is>
          <t>%</t>
        </is>
      </c>
      <c r="D12" s="3" t="inlineStr">
        <is>
          <t>Month</t>
        </is>
      </c>
      <c r="E12" s="3" t="inlineStr">
        <is>
          <t>Preventive maintenance completed ÷ Preventive maintenance scheduled × 100</t>
        </is>
      </c>
      <c r="F12" s="21">
        <f>ROUND(IFERROR(100*'Group Inputs'!U4/'Group Inputs'!T4,0),2)</f>
        <v/>
      </c>
      <c r="G12" s="21">
        <f>ROUND(IFERROR(100*'Group Inputs'!U5/'Group Inputs'!T5,0),2)</f>
        <v/>
      </c>
      <c r="H12" s="21">
        <f>ROUND(IFERROR(100*'Group Inputs'!U6/'Group Inputs'!T6,0),2)</f>
        <v/>
      </c>
      <c r="I12" s="21">
        <f>ROUND(IFERROR(100*'Group Inputs'!U7/'Group Inputs'!T7,0),2)</f>
        <v/>
      </c>
      <c r="J12" s="21">
        <f>ROUND(IFERROR(100*'Group Inputs'!U8/'Group Inputs'!T8,0),2)</f>
        <v/>
      </c>
      <c r="K12" s="21">
        <f>ROUND(IFERROR(100*'Group Inputs'!U9/'Group Inputs'!T9,0),2)</f>
        <v/>
      </c>
      <c r="L12" s="3" t="inlineStr">
        <is>
          <t>93%</t>
        </is>
      </c>
      <c r="M12" s="3" t="inlineStr">
        <is>
          <t>E-03,O-09</t>
        </is>
      </c>
      <c r="N12" s="3" t="inlineStr">
        <is>
          <t>pm_scheduled, pm_completed</t>
        </is>
      </c>
    </row>
    <row r="13">
      <c r="A13" s="2" t="inlineStr">
        <is>
          <t>CST-001</t>
        </is>
      </c>
      <c r="B13" s="3" t="inlineStr">
        <is>
          <t>Cost per tonne</t>
        </is>
      </c>
      <c r="C13" s="3" t="inlineStr">
        <is>
          <t>₹/t</t>
        </is>
      </c>
      <c r="D13" s="3" t="inlineStr">
        <is>
          <t>Month</t>
        </is>
      </c>
      <c r="E13" s="3" t="inlineStr">
        <is>
          <t>(Variable cost + Fixed cost) × 1000 ÷ Good output</t>
        </is>
      </c>
      <c r="F13" s="21">
        <f>ROUND(IFERROR(1000*('Group Inputs'!V4+'Group Inputs'!X4)/'Group Inputs'!M4,0),2)</f>
        <v/>
      </c>
      <c r="G13" s="21">
        <f>ROUND(IFERROR(1000*('Group Inputs'!V5+'Group Inputs'!X5)/'Group Inputs'!M5,0),2)</f>
        <v/>
      </c>
      <c r="H13" s="21">
        <f>ROUND(IFERROR(1000*('Group Inputs'!V6+'Group Inputs'!X6)/'Group Inputs'!M6,0),2)</f>
        <v/>
      </c>
      <c r="I13" s="21">
        <f>ROUND(IFERROR(1000*('Group Inputs'!V7+'Group Inputs'!X7)/'Group Inputs'!M7,0),2)</f>
        <v/>
      </c>
      <c r="J13" s="21">
        <f>ROUND(IFERROR(1000*('Group Inputs'!V8+'Group Inputs'!X8)/'Group Inputs'!M8,0),2)</f>
        <v/>
      </c>
      <c r="K13" s="21">
        <f>ROUND(IFERROR(1000*('Group Inputs'!V9+'Group Inputs'!X9)/'Group Inputs'!M9,0),2)</f>
        <v/>
      </c>
      <c r="L13" s="3" t="inlineStr">
        <is>
          <t>₹412 /t</t>
        </is>
      </c>
      <c r="M13" s="3" t="inlineStr">
        <is>
          <t>E-02,E-11,G-03,G-05,O-09</t>
        </is>
      </c>
      <c r="N13" s="3" t="inlineStr">
        <is>
          <t>good_output_t, variable_cost_k, fixed_cost_k</t>
        </is>
      </c>
    </row>
    <row r="14">
      <c r="A14" s="2" t="inlineStr">
        <is>
          <t>CST-002</t>
        </is>
      </c>
      <c r="B14" s="3" t="inlineStr">
        <is>
          <t>Variable cost</t>
        </is>
      </c>
      <c r="C14" s="3" t="inlineStr">
        <is>
          <t>₹ thousand</t>
        </is>
      </c>
      <c r="D14" s="3" t="inlineStr">
        <is>
          <t>Month</t>
        </is>
      </c>
      <c r="E14" s="3" t="inlineStr">
        <is>
          <t>Variable cost</t>
        </is>
      </c>
      <c r="F14" s="21">
        <f>ROUND('Group Inputs'!V4,2)</f>
        <v/>
      </c>
      <c r="G14" s="21">
        <f>ROUND('Group Inputs'!V5,2)</f>
        <v/>
      </c>
      <c r="H14" s="21">
        <f>ROUND('Group Inputs'!V6,2)</f>
        <v/>
      </c>
      <c r="I14" s="21">
        <f>ROUND('Group Inputs'!V7,2)</f>
        <v/>
      </c>
      <c r="J14" s="21">
        <f>ROUND('Group Inputs'!V8,2)</f>
        <v/>
      </c>
      <c r="K14" s="21">
        <f>ROUND('Group Inputs'!V9,2)</f>
        <v/>
      </c>
      <c r="L14" s="3" t="inlineStr">
        <is>
          <t>₹214 /t</t>
        </is>
      </c>
      <c r="M14" s="3" t="inlineStr">
        <is>
          <t>E-02,E-11,G-03,O-09</t>
        </is>
      </c>
      <c r="N14" s="3" t="inlineStr">
        <is>
          <t>variable_cost_k</t>
        </is>
      </c>
    </row>
    <row r="15">
      <c r="A15" s="2" t="inlineStr">
        <is>
          <t>CST-003</t>
        </is>
      </c>
      <c r="B15" s="3" t="inlineStr">
        <is>
          <t>Fuel cost</t>
        </is>
      </c>
      <c r="C15" s="3" t="inlineStr">
        <is>
          <t>₹ thousand</t>
        </is>
      </c>
      <c r="D15" s="3" t="inlineStr">
        <is>
          <t>Month</t>
        </is>
      </c>
      <c r="E15" s="3" t="inlineStr">
        <is>
          <t>Fuel cost</t>
        </is>
      </c>
      <c r="F15" s="21">
        <f>ROUND('Group Inputs'!W4,2)</f>
        <v/>
      </c>
      <c r="G15" s="21">
        <f>ROUND('Group Inputs'!W5,2)</f>
        <v/>
      </c>
      <c r="H15" s="21">
        <f>ROUND('Group Inputs'!W6,2)</f>
        <v/>
      </c>
      <c r="I15" s="21">
        <f>ROUND('Group Inputs'!W7,2)</f>
        <v/>
      </c>
      <c r="J15" s="21">
        <f>ROUND('Group Inputs'!W8,2)</f>
        <v/>
      </c>
      <c r="K15" s="21">
        <f>ROUND('Group Inputs'!W9,2)</f>
        <v/>
      </c>
      <c r="L15" s="3" t="inlineStr">
        <is>
          <t>9.8 ₹/t</t>
        </is>
      </c>
      <c r="M15" s="3" t="inlineStr">
        <is>
          <t>E-02,O-09</t>
        </is>
      </c>
      <c r="N15" s="3" t="inlineStr">
        <is>
          <t>fuel_cost_k</t>
        </is>
      </c>
    </row>
    <row r="16">
      <c r="A16" s="2" t="inlineStr">
        <is>
          <t>SUS-001</t>
        </is>
      </c>
      <c r="B16" s="3" t="inlineStr">
        <is>
          <t>Water usage</t>
        </is>
      </c>
      <c r="C16" s="3" t="inlineStr">
        <is>
          <t>m3</t>
        </is>
      </c>
      <c r="D16" s="3" t="inlineStr">
        <is>
          <t>Month</t>
        </is>
      </c>
      <c r="E16" s="3" t="inlineStr">
        <is>
          <t>Water used</t>
        </is>
      </c>
      <c r="F16" s="21">
        <f>ROUND('Group Inputs'!Y4,2)</f>
        <v/>
      </c>
      <c r="G16" s="21">
        <f>ROUND('Group Inputs'!Y5,2)</f>
        <v/>
      </c>
      <c r="H16" s="21">
        <f>ROUND('Group Inputs'!Y6,2)</f>
        <v/>
      </c>
      <c r="I16" s="21">
        <f>ROUND('Group Inputs'!Y7,2)</f>
        <v/>
      </c>
      <c r="J16" s="21">
        <f>ROUND('Group Inputs'!Y8,2)</f>
        <v/>
      </c>
      <c r="K16" s="21">
        <f>ROUND('Group Inputs'!Y9,2)</f>
        <v/>
      </c>
      <c r="L16" s="3" t="inlineStr">
        <is>
          <t>3.1 m³/t</t>
        </is>
      </c>
      <c r="M16" s="3" t="inlineStr">
        <is>
          <t>E-02,E-07,G-05,G-07,O-05,O-09</t>
        </is>
      </c>
      <c r="N16" s="3" t="inlineStr">
        <is>
          <t>water_m3</t>
        </is>
      </c>
    </row>
    <row r="17">
      <c r="A17" s="2" t="inlineStr">
        <is>
          <t>SUS-002</t>
        </is>
      </c>
      <c r="B17" s="3" t="inlineStr">
        <is>
          <t>Emissions</t>
        </is>
      </c>
      <c r="C17" s="3" t="inlineStr">
        <is>
          <t>tCO2e</t>
        </is>
      </c>
      <c r="D17" s="3" t="inlineStr">
        <is>
          <t>Month</t>
        </is>
      </c>
      <c r="E17" s="3" t="inlineStr">
        <is>
          <t>Emissions</t>
        </is>
      </c>
      <c r="F17" s="21">
        <f>ROUND('Group Inputs'!Z4,2)</f>
        <v/>
      </c>
      <c r="G17" s="21">
        <f>ROUND('Group Inputs'!Z5,2)</f>
        <v/>
      </c>
      <c r="H17" s="21">
        <f>ROUND('Group Inputs'!Z6,2)</f>
        <v/>
      </c>
      <c r="I17" s="21">
        <f>ROUND('Group Inputs'!Z7,2)</f>
        <v/>
      </c>
      <c r="J17" s="21">
        <f>ROUND('Group Inputs'!Z8,2)</f>
        <v/>
      </c>
      <c r="K17" s="21">
        <f>ROUND('Group Inputs'!Z9,2)</f>
        <v/>
      </c>
      <c r="L17" s="3" t="inlineStr">
        <is>
          <t>0.82 tCO2e/t</t>
        </is>
      </c>
      <c r="M17" s="3" t="inlineStr">
        <is>
          <t>E-02,E-07,G-05,G-07,O-05,O-09</t>
        </is>
      </c>
      <c r="N17" s="3" t="inlineStr">
        <is>
          <t>emissions_tco2e</t>
        </is>
      </c>
    </row>
    <row r="18">
      <c r="A18" s="2" t="inlineStr">
        <is>
          <t>SUS-003</t>
        </is>
      </c>
      <c r="B18" s="3" t="inlineStr">
        <is>
          <t>Energy intensity</t>
        </is>
      </c>
      <c r="C18" s="3" t="inlineStr">
        <is>
          <t>GJ/t</t>
        </is>
      </c>
      <c r="D18" s="3" t="inlineStr">
        <is>
          <t>Month</t>
        </is>
      </c>
      <c r="E18" s="3" t="inlineStr">
        <is>
          <t>Energy used ÷ Good output</t>
        </is>
      </c>
      <c r="F18" s="21">
        <f>ROUND(IFERROR('Group Inputs'!AA4/'Group Inputs'!M4,0),2)</f>
        <v/>
      </c>
      <c r="G18" s="21">
        <f>ROUND(IFERROR('Group Inputs'!AA5/'Group Inputs'!M5,0),2)</f>
        <v/>
      </c>
      <c r="H18" s="21">
        <f>ROUND(IFERROR('Group Inputs'!AA6/'Group Inputs'!M6,0),2)</f>
        <v/>
      </c>
      <c r="I18" s="21">
        <f>ROUND(IFERROR('Group Inputs'!AA7/'Group Inputs'!M7,0),2)</f>
        <v/>
      </c>
      <c r="J18" s="21">
        <f>ROUND(IFERROR('Group Inputs'!AA8/'Group Inputs'!M8,0),2)</f>
        <v/>
      </c>
      <c r="K18" s="21">
        <f>ROUND(IFERROR('Group Inputs'!AA9/'Group Inputs'!M9,0),2)</f>
        <v/>
      </c>
      <c r="L18" s="3" t="inlineStr">
        <is>
          <t>5.2 GJ/t</t>
        </is>
      </c>
      <c r="M18" s="3" t="inlineStr">
        <is>
          <t>E-02,E-07,G-05,G-07,O-05,O-09</t>
        </is>
      </c>
      <c r="N18" s="3" t="inlineStr">
        <is>
          <t>good_output_t, energy_gj</t>
        </is>
      </c>
    </row>
    <row r="19">
      <c r="A19" s="2" t="inlineStr">
        <is>
          <t>SIG-007</t>
        </is>
      </c>
      <c r="B19" s="3" t="inlineStr">
        <is>
          <t>Production at risk</t>
        </is>
      </c>
      <c r="C19" s="3" t="inlineStr">
        <is>
          <t>t</t>
        </is>
      </c>
      <c r="D19" s="3" t="inlineStr">
        <is>
          <t>Month</t>
        </is>
      </c>
      <c r="E19" s="3" t="inlineStr">
        <is>
          <t>Production at risk</t>
        </is>
      </c>
      <c r="F19" s="21">
        <f>ROUND('Group Inputs'!AB4,2)</f>
        <v/>
      </c>
      <c r="G19" s="21">
        <f>ROUND('Group Inputs'!AB5,2)</f>
        <v/>
      </c>
      <c r="H19" s="21">
        <f>ROUND('Group Inputs'!AB6,2)</f>
        <v/>
      </c>
      <c r="I19" s="21">
        <f>ROUND('Group Inputs'!AB7,2)</f>
        <v/>
      </c>
      <c r="J19" s="21">
        <f>ROUND('Group Inputs'!AB8,2)</f>
        <v/>
      </c>
      <c r="K19" s="21">
        <f>ROUND('Group Inputs'!AB9,2)</f>
        <v/>
      </c>
      <c r="L19" s="3" t="inlineStr">
        <is>
          <t>Not shown</t>
        </is>
      </c>
      <c r="M19" s="3" t="n"/>
      <c r="N19" s="3" t="inlineStr">
        <is>
          <t>production_at_risk_t</t>
        </is>
      </c>
    </row>
    <row r="20">
      <c r="A20" s="2" t="inlineStr">
        <is>
          <t>SIG-008</t>
        </is>
      </c>
      <c r="B20" s="3" t="inlineStr">
        <is>
          <t>Critical plant-state alerts</t>
        </is>
      </c>
      <c r="C20" s="3" t="inlineStr">
        <is>
          <t>count</t>
        </is>
      </c>
      <c r="D20" s="3" t="inlineStr">
        <is>
          <t>Month</t>
        </is>
      </c>
      <c r="E20" s="3" t="inlineStr">
        <is>
          <t>Critical plant alerts</t>
        </is>
      </c>
      <c r="F20" s="21">
        <f>ROUND('Group Inputs'!AC4,2)</f>
        <v/>
      </c>
      <c r="G20" s="21">
        <f>ROUND('Group Inputs'!AC5,2)</f>
        <v/>
      </c>
      <c r="H20" s="21">
        <f>ROUND('Group Inputs'!AC6,2)</f>
        <v/>
      </c>
      <c r="I20" s="21">
        <f>ROUND('Group Inputs'!AC7,2)</f>
        <v/>
      </c>
      <c r="J20" s="21">
        <f>ROUND('Group Inputs'!AC8,2)</f>
        <v/>
      </c>
      <c r="K20" s="21">
        <f>ROUND('Group Inputs'!AC9,2)</f>
        <v/>
      </c>
      <c r="L20" s="3" t="inlineStr">
        <is>
          <t>Not shown</t>
        </is>
      </c>
      <c r="M20" s="3" t="n"/>
      <c r="N20" s="3" t="inlineStr">
        <is>
          <t>critical_plant_alerts</t>
        </is>
      </c>
    </row>
    <row r="21">
      <c r="A21" s="2" t="inlineStr">
        <is>
          <t>SIG-009</t>
        </is>
      </c>
      <c r="B21" s="3" t="inlineStr">
        <is>
          <t>Critical-material shortage risk</t>
        </is>
      </c>
      <c r="C21" s="3" t="inlineStr">
        <is>
          <t>count</t>
        </is>
      </c>
      <c r="D21" s="3" t="inlineStr">
        <is>
          <t>Month</t>
        </is>
      </c>
      <c r="E21" s="3" t="inlineStr">
        <is>
          <t>Critical materials at risk</t>
        </is>
      </c>
      <c r="F21" s="21">
        <f>ROUND('Group Inputs'!AO4,2)</f>
        <v/>
      </c>
      <c r="G21" s="21">
        <f>ROUND('Group Inputs'!AO5,2)</f>
        <v/>
      </c>
      <c r="H21" s="21">
        <f>ROUND('Group Inputs'!AO6,2)</f>
        <v/>
      </c>
      <c r="I21" s="21">
        <f>ROUND('Group Inputs'!AO7,2)</f>
        <v/>
      </c>
      <c r="J21" s="21">
        <f>ROUND('Group Inputs'!AO8,2)</f>
        <v/>
      </c>
      <c r="K21" s="21">
        <f>ROUND('Group Inputs'!AO9,2)</f>
        <v/>
      </c>
      <c r="L21" s="3" t="inlineStr">
        <is>
          <t>3.5 days of cover</t>
        </is>
      </c>
      <c r="M21" s="3" t="inlineStr">
        <is>
          <t>E-01,E-04,O-09,S-10,S-12</t>
        </is>
      </c>
      <c r="N21" s="3" t="inlineStr">
        <is>
          <t>critical_material_risks</t>
        </is>
      </c>
    </row>
    <row r="22">
      <c r="A22" s="2" t="inlineStr">
        <is>
          <t>SIG-012</t>
        </is>
      </c>
      <c r="B22" s="3" t="inlineStr">
        <is>
          <t>Dispatch delays</t>
        </is>
      </c>
      <c r="C22" s="3" t="inlineStr">
        <is>
          <t>%</t>
        </is>
      </c>
      <c r="D22" s="3" t="inlineStr">
        <is>
          <t>Month</t>
        </is>
      </c>
      <c r="E22" s="3" t="inlineStr">
        <is>
          <t>Delayed dispatches ÷ Dispatches × 100</t>
        </is>
      </c>
      <c r="F22" s="21">
        <f>ROUND(IFERROR(100*'Group Inputs'!AQ4/'Group Inputs'!AP4,0),2)</f>
        <v/>
      </c>
      <c r="G22" s="21">
        <f>ROUND(IFERROR(100*'Group Inputs'!AQ5/'Group Inputs'!AP5,0),2)</f>
        <v/>
      </c>
      <c r="H22" s="21">
        <f>ROUND(IFERROR(100*'Group Inputs'!AQ6/'Group Inputs'!AP6,0),2)</f>
        <v/>
      </c>
      <c r="I22" s="21">
        <f>ROUND(IFERROR(100*'Group Inputs'!AQ7/'Group Inputs'!AP7,0),2)</f>
        <v/>
      </c>
      <c r="J22" s="21">
        <f>ROUND(IFERROR(100*'Group Inputs'!AQ8/'Group Inputs'!AP8,0),2)</f>
        <v/>
      </c>
      <c r="K22" s="21">
        <f>ROUND(IFERROR(100*'Group Inputs'!AQ9/'Group Inputs'!AP9,0),2)</f>
        <v/>
      </c>
      <c r="L22" s="3" t="inlineStr">
        <is>
          <t>2–4 days</t>
        </is>
      </c>
      <c r="M22" s="3" t="inlineStr">
        <is>
          <t>E-05,S-11,S-12</t>
        </is>
      </c>
      <c r="N22" s="3" t="inlineStr">
        <is>
          <t>dispatches_total, dispatches_delayed</t>
        </is>
      </c>
    </row>
    <row r="23">
      <c r="A23" s="2" t="inlineStr">
        <is>
          <t>SIG-021</t>
        </is>
      </c>
      <c r="B23" s="3" t="inlineStr">
        <is>
          <t>Environmental violations</t>
        </is>
      </c>
      <c r="C23" s="3" t="inlineStr">
        <is>
          <t>count</t>
        </is>
      </c>
      <c r="D23" s="3" t="inlineStr">
        <is>
          <t>Month</t>
        </is>
      </c>
      <c r="E23" s="3" t="inlineStr">
        <is>
          <t>Environmental violations</t>
        </is>
      </c>
      <c r="F23" s="21">
        <f>ROUND('Group Inputs'!AJ4,2)</f>
        <v/>
      </c>
      <c r="G23" s="21">
        <f>ROUND('Group Inputs'!AJ5,2)</f>
        <v/>
      </c>
      <c r="H23" s="21">
        <f>ROUND('Group Inputs'!AJ6,2)</f>
        <v/>
      </c>
      <c r="I23" s="21">
        <f>ROUND('Group Inputs'!AJ7,2)</f>
        <v/>
      </c>
      <c r="J23" s="21">
        <f>ROUND('Group Inputs'!AJ8,2)</f>
        <v/>
      </c>
      <c r="K23" s="21">
        <f>ROUND('Group Inputs'!AJ9,2)</f>
        <v/>
      </c>
      <c r="L23" s="3" t="inlineStr">
        <is>
          <t>Not shown</t>
        </is>
      </c>
      <c r="M23" s="3" t="n"/>
      <c r="N23" s="3" t="inlineStr">
        <is>
          <t>env_violations</t>
        </is>
      </c>
    </row>
    <row r="24">
      <c r="A24" s="2" t="inlineStr">
        <is>
          <t>EHS-001</t>
        </is>
      </c>
      <c r="B24" s="3" t="inlineStr">
        <is>
          <t>TRIR</t>
        </is>
      </c>
      <c r="C24" s="3" t="inlineStr">
        <is>
          <t>per 200,000 h</t>
        </is>
      </c>
      <c r="D24" s="3" t="inlineStr">
        <is>
          <t>Month</t>
        </is>
      </c>
      <c r="E24" s="3" t="inlineStr">
        <is>
          <t>Recordable injuries × 200,000 ÷ Hours worked</t>
        </is>
      </c>
      <c r="F24" s="21">
        <f>ROUND(IFERROR(200000*'Group Inputs'!AE4/'Group Inputs'!AD4,0),2)</f>
        <v/>
      </c>
      <c r="G24" s="21">
        <f>ROUND(IFERROR(200000*'Group Inputs'!AE5/'Group Inputs'!AD5,0),2)</f>
        <v/>
      </c>
      <c r="H24" s="21">
        <f>ROUND(IFERROR(200000*'Group Inputs'!AE6/'Group Inputs'!AD6,0),2)</f>
        <v/>
      </c>
      <c r="I24" s="21">
        <f>ROUND(IFERROR(200000*'Group Inputs'!AE7/'Group Inputs'!AD7,0),2)</f>
        <v/>
      </c>
      <c r="J24" s="21">
        <f>ROUND(IFERROR(200000*'Group Inputs'!AE8/'Group Inputs'!AD8,0),2)</f>
        <v/>
      </c>
      <c r="K24" s="21">
        <f>ROUND(IFERROR(200000*'Group Inputs'!AE9/'Group Inputs'!AD9,0),2)</f>
        <v/>
      </c>
      <c r="L24" s="3" t="inlineStr">
        <is>
          <t>0.42</t>
        </is>
      </c>
      <c r="M24" s="3" t="inlineStr">
        <is>
          <t>E-07,G-07,O-05</t>
        </is>
      </c>
      <c r="N24" s="3" t="inlineStr">
        <is>
          <t>hours_worked, recordable_injuries</t>
        </is>
      </c>
    </row>
    <row r="25">
      <c r="A25" s="2" t="inlineStr">
        <is>
          <t>EHS-002</t>
        </is>
      </c>
      <c r="B25" s="3" t="inlineStr">
        <is>
          <t>Severity incidents</t>
        </is>
      </c>
      <c r="C25" s="3" t="inlineStr">
        <is>
          <t>count</t>
        </is>
      </c>
      <c r="D25" s="3" t="inlineStr">
        <is>
          <t>Month</t>
        </is>
      </c>
      <c r="E25" s="3" t="inlineStr">
        <is>
          <t>Severity incidents</t>
        </is>
      </c>
      <c r="F25" s="21">
        <f>ROUND('Group Inputs'!AF4,2)</f>
        <v/>
      </c>
      <c r="G25" s="21">
        <f>ROUND('Group Inputs'!AF5,2)</f>
        <v/>
      </c>
      <c r="H25" s="21">
        <f>ROUND('Group Inputs'!AF6,2)</f>
        <v/>
      </c>
      <c r="I25" s="21">
        <f>ROUND('Group Inputs'!AF7,2)</f>
        <v/>
      </c>
      <c r="J25" s="21">
        <f>ROUND('Group Inputs'!AF8,2)</f>
        <v/>
      </c>
      <c r="K25" s="21">
        <f>ROUND('Group Inputs'!AF9,2)</f>
        <v/>
      </c>
      <c r="L25" s="3" t="inlineStr">
        <is>
          <t>0</t>
        </is>
      </c>
      <c r="M25" s="3" t="inlineStr">
        <is>
          <t>E-07,G-01,G-07,O-05</t>
        </is>
      </c>
      <c r="N25" s="3" t="inlineStr">
        <is>
          <t>severity_incidents</t>
        </is>
      </c>
    </row>
    <row r="26">
      <c r="A26" s="2" t="inlineStr">
        <is>
          <t>EHS-003</t>
        </is>
      </c>
      <c r="B26" s="3" t="inlineStr">
        <is>
          <t>Near misses</t>
        </is>
      </c>
      <c r="C26" s="3" t="inlineStr">
        <is>
          <t>count</t>
        </is>
      </c>
      <c r="D26" s="3" t="inlineStr">
        <is>
          <t>Month</t>
        </is>
      </c>
      <c r="E26" s="3" t="inlineStr">
        <is>
          <t>Near misses</t>
        </is>
      </c>
      <c r="F26" s="21">
        <f>ROUND('Group Inputs'!AG4,2)</f>
        <v/>
      </c>
      <c r="G26" s="21">
        <f>ROUND('Group Inputs'!AG5,2)</f>
        <v/>
      </c>
      <c r="H26" s="21">
        <f>ROUND('Group Inputs'!AG6,2)</f>
        <v/>
      </c>
      <c r="I26" s="21">
        <f>ROUND('Group Inputs'!AG7,2)</f>
        <v/>
      </c>
      <c r="J26" s="21">
        <f>ROUND('Group Inputs'!AG8,2)</f>
        <v/>
      </c>
      <c r="K26" s="21">
        <f>ROUND('Group Inputs'!AG9,2)</f>
        <v/>
      </c>
      <c r="L26" s="3" t="inlineStr">
        <is>
          <t>14</t>
        </is>
      </c>
      <c r="M26" s="3" t="inlineStr">
        <is>
          <t>E-07,G-07,O-05</t>
        </is>
      </c>
      <c r="N26" s="3" t="inlineStr">
        <is>
          <t>near_misses</t>
        </is>
      </c>
    </row>
    <row r="27">
      <c r="A27" s="2" t="inlineStr">
        <is>
          <t>EHS-004</t>
        </is>
      </c>
      <c r="B27" s="3" t="inlineStr">
        <is>
          <t>Critical safety incidents</t>
        </is>
      </c>
      <c r="C27" s="3" t="inlineStr">
        <is>
          <t>count</t>
        </is>
      </c>
      <c r="D27" s="3" t="inlineStr">
        <is>
          <t>Month</t>
        </is>
      </c>
      <c r="E27" s="3" t="inlineStr">
        <is>
          <t>Critical safety incidents</t>
        </is>
      </c>
      <c r="F27" s="21">
        <f>ROUND('Group Inputs'!AH4,2)</f>
        <v/>
      </c>
      <c r="G27" s="21">
        <f>ROUND('Group Inputs'!AH5,2)</f>
        <v/>
      </c>
      <c r="H27" s="21">
        <f>ROUND('Group Inputs'!AH6,2)</f>
        <v/>
      </c>
      <c r="I27" s="21">
        <f>ROUND('Group Inputs'!AH7,2)</f>
        <v/>
      </c>
      <c r="J27" s="21">
        <f>ROUND('Group Inputs'!AH8,2)</f>
        <v/>
      </c>
      <c r="K27" s="21">
        <f>ROUND('Group Inputs'!AH9,2)</f>
        <v/>
      </c>
      <c r="L27" s="3" t="inlineStr">
        <is>
          <t>0</t>
        </is>
      </c>
      <c r="M27" s="3" t="inlineStr">
        <is>
          <t>E-07,G-07,O-05</t>
        </is>
      </c>
      <c r="N27" s="3" t="inlineStr">
        <is>
          <t>critical_safety_incidents</t>
        </is>
      </c>
    </row>
    <row r="28">
      <c r="A28" s="2" t="inlineStr">
        <is>
          <t>EHS-005</t>
        </is>
      </c>
      <c r="B28" s="3" t="inlineStr">
        <is>
          <t>Environmental excursions</t>
        </is>
      </c>
      <c r="C28" s="3" t="inlineStr">
        <is>
          <t>count</t>
        </is>
      </c>
      <c r="D28" s="3" t="inlineStr">
        <is>
          <t>Month</t>
        </is>
      </c>
      <c r="E28" s="3" t="inlineStr">
        <is>
          <t>Environmental excursions</t>
        </is>
      </c>
      <c r="F28" s="21">
        <f>ROUND('Group Inputs'!AI4,2)</f>
        <v/>
      </c>
      <c r="G28" s="21">
        <f>ROUND('Group Inputs'!AI5,2)</f>
        <v/>
      </c>
      <c r="H28" s="21">
        <f>ROUND('Group Inputs'!AI6,2)</f>
        <v/>
      </c>
      <c r="I28" s="21">
        <f>ROUND('Group Inputs'!AI7,2)</f>
        <v/>
      </c>
      <c r="J28" s="21">
        <f>ROUND('Group Inputs'!AI8,2)</f>
        <v/>
      </c>
      <c r="K28" s="21">
        <f>ROUND('Group Inputs'!AI9,2)</f>
        <v/>
      </c>
      <c r="L28" s="3" t="inlineStr">
        <is>
          <t>1 (minor, closed)</t>
        </is>
      </c>
      <c r="M28" s="3" t="inlineStr">
        <is>
          <t>E-07,G-07,O-05</t>
        </is>
      </c>
      <c r="N28" s="3" t="inlineStr">
        <is>
          <t>env_excursions</t>
        </is>
      </c>
    </row>
    <row r="29">
      <c r="A29" s="2" t="inlineStr">
        <is>
          <t>EHS-006</t>
        </is>
      </c>
      <c r="B29" s="3" t="inlineStr">
        <is>
          <t>Open EHS corrective actions</t>
        </is>
      </c>
      <c r="C29" s="3" t="inlineStr">
        <is>
          <t>count</t>
        </is>
      </c>
      <c r="D29" s="3" t="inlineStr">
        <is>
          <t>Month</t>
        </is>
      </c>
      <c r="E29" s="3" t="inlineStr">
        <is>
          <t>Open EHS corrective actions</t>
        </is>
      </c>
      <c r="F29" s="21">
        <f>ROUND('Group Inputs'!AK4,2)</f>
        <v/>
      </c>
      <c r="G29" s="21">
        <f>ROUND('Group Inputs'!AK5,2)</f>
        <v/>
      </c>
      <c r="H29" s="21">
        <f>ROUND('Group Inputs'!AK6,2)</f>
        <v/>
      </c>
      <c r="I29" s="21">
        <f>ROUND('Group Inputs'!AK7,2)</f>
        <v/>
      </c>
      <c r="J29" s="21">
        <f>ROUND('Group Inputs'!AK8,2)</f>
        <v/>
      </c>
      <c r="K29" s="21">
        <f>ROUND('Group Inputs'!AK9,2)</f>
        <v/>
      </c>
      <c r="L29" s="3" t="inlineStr">
        <is>
          <t>9</t>
        </is>
      </c>
      <c r="M29" s="3" t="inlineStr">
        <is>
          <t>E-07,G-07</t>
        </is>
      </c>
      <c r="N29" s="3" t="inlineStr">
        <is>
          <t>ehs_ca_open</t>
        </is>
      </c>
    </row>
    <row r="30">
      <c r="A30" s="2" t="inlineStr">
        <is>
          <t>EHS-007</t>
        </is>
      </c>
      <c r="B30" s="3" t="inlineStr">
        <is>
          <t>Overdue EHS actions</t>
        </is>
      </c>
      <c r="C30" s="3" t="inlineStr">
        <is>
          <t>count</t>
        </is>
      </c>
      <c r="D30" s="3" t="inlineStr">
        <is>
          <t>Month</t>
        </is>
      </c>
      <c r="E30" s="3" t="inlineStr">
        <is>
          <t>Overdue EHS corrective actions</t>
        </is>
      </c>
      <c r="F30" s="21">
        <f>ROUND('Group Inputs'!AL4,2)</f>
        <v/>
      </c>
      <c r="G30" s="21">
        <f>ROUND('Group Inputs'!AL5,2)</f>
        <v/>
      </c>
      <c r="H30" s="21">
        <f>ROUND('Group Inputs'!AL6,2)</f>
        <v/>
      </c>
      <c r="I30" s="21">
        <f>ROUND('Group Inputs'!AL7,2)</f>
        <v/>
      </c>
      <c r="J30" s="21">
        <f>ROUND('Group Inputs'!AL8,2)</f>
        <v/>
      </c>
      <c r="K30" s="21">
        <f>ROUND('Group Inputs'!AL9,2)</f>
        <v/>
      </c>
      <c r="L30" s="3" t="inlineStr">
        <is>
          <t>0</t>
        </is>
      </c>
      <c r="M30" s="3" t="inlineStr">
        <is>
          <t>E-07,G-07,O-05</t>
        </is>
      </c>
      <c r="N30" s="3" t="inlineStr">
        <is>
          <t>ehs_ca_overdue</t>
        </is>
      </c>
    </row>
    <row r="31">
      <c r="A31" s="2" t="inlineStr">
        <is>
          <t>EHS-009</t>
        </is>
      </c>
      <c r="B31" s="3" t="inlineStr">
        <is>
          <t>EHS investigation completion</t>
        </is>
      </c>
      <c r="C31" s="3" t="inlineStr">
        <is>
          <t>%</t>
        </is>
      </c>
      <c r="D31" s="3" t="inlineStr">
        <is>
          <t>Month</t>
        </is>
      </c>
      <c r="E31" s="3" t="inlineStr">
        <is>
          <t>EHS investigations completed ÷ EHS investigations due × 100 (100 if none due)</t>
        </is>
      </c>
      <c r="F31" s="21">
        <f>ROUND(IF('Group Inputs'!AM4=0,100,100*'Group Inputs'!AN4/'Group Inputs'!AM4),2)</f>
        <v/>
      </c>
      <c r="G31" s="21">
        <f>ROUND(IF('Group Inputs'!AM5=0,100,100*'Group Inputs'!AN5/'Group Inputs'!AM5),2)</f>
        <v/>
      </c>
      <c r="H31" s="21">
        <f>ROUND(IF('Group Inputs'!AM6=0,100,100*'Group Inputs'!AN6/'Group Inputs'!AM6),2)</f>
        <v/>
      </c>
      <c r="I31" s="21">
        <f>ROUND(IF('Group Inputs'!AM7=0,100,100*'Group Inputs'!AN7/'Group Inputs'!AM7),2)</f>
        <v/>
      </c>
      <c r="J31" s="21">
        <f>ROUND(IF('Group Inputs'!AM8=0,100,100*'Group Inputs'!AN8/'Group Inputs'!AM8),2)</f>
        <v/>
      </c>
      <c r="K31" s="21">
        <f>ROUND(IF('Group Inputs'!AM9=0,100,100*'Group Inputs'!AN9/'Group Inputs'!AM9),2)</f>
        <v/>
      </c>
      <c r="L31" s="3" t="inlineStr">
        <is>
          <t>100%</t>
        </is>
      </c>
      <c r="M31" s="3" t="inlineStr">
        <is>
          <t>E-07,G-07</t>
        </is>
      </c>
      <c r="N31" s="3" t="inlineStr">
        <is>
          <t>investigations_due, investigations_completed</t>
        </is>
      </c>
    </row>
    <row r="32">
      <c r="A32" s="2" t="inlineStr">
        <is>
          <t>REG-006</t>
        </is>
      </c>
      <c r="B32" s="3" t="inlineStr">
        <is>
          <t>Licence or permit expiry clock</t>
        </is>
      </c>
      <c r="C32" s="3" t="inlineStr">
        <is>
          <t>days</t>
        </is>
      </c>
      <c r="D32" s="3" t="inlineStr">
        <is>
          <t>Month</t>
        </is>
      </c>
      <c r="E32" s="3" t="inlineStr">
        <is>
          <t>Days to permit expiry (lowest plant)</t>
        </is>
      </c>
      <c r="F32" s="21">
        <f>ROUND('Group Inputs'!AR4,2)</f>
        <v/>
      </c>
      <c r="G32" s="21">
        <f>ROUND('Group Inputs'!AR5,2)</f>
        <v/>
      </c>
      <c r="H32" s="21">
        <f>ROUND('Group Inputs'!AR6,2)</f>
        <v/>
      </c>
      <c r="I32" s="21">
        <f>ROUND('Group Inputs'!AR7,2)</f>
        <v/>
      </c>
      <c r="J32" s="21">
        <f>ROUND('Group Inputs'!AR8,2)</f>
        <v/>
      </c>
      <c r="K32" s="21">
        <f>ROUND('Group Inputs'!AR9,2)</f>
        <v/>
      </c>
      <c r="L32" s="3" t="inlineStr">
        <is>
          <t>74 days · Entity C1</t>
        </is>
      </c>
      <c r="M32" s="3" t="inlineStr">
        <is>
          <t>E-07,O-05</t>
        </is>
      </c>
      <c r="N32" s="3" t="inlineStr">
        <is>
          <t>permit_days_to_expiry</t>
        </is>
      </c>
    </row>
    <row r="33">
      <c r="A33" s="2" t="inlineStr">
        <is>
          <t>OPS-005</t>
        </is>
      </c>
      <c r="B33" s="3" t="inlineStr">
        <is>
          <t>Capacity utilisation (same measure as OPS-003)</t>
        </is>
      </c>
      <c r="C33" s="3" t="inlineStr">
        <is>
          <t>%</t>
        </is>
      </c>
      <c r="D33" s="3" t="inlineStr">
        <is>
          <t>Month</t>
        </is>
      </c>
      <c r="E33" s="3" t="inlineStr">
        <is>
          <t>Good output ÷ Installed capacity × 100</t>
        </is>
      </c>
      <c r="F33" s="21">
        <f>ROUND(IFERROR(100*'Group Inputs'!M4/'Group Inputs'!J4,0),2)</f>
        <v/>
      </c>
      <c r="G33" s="21">
        <f>ROUND(IFERROR(100*'Group Inputs'!M5/'Group Inputs'!J5,0),2)</f>
        <v/>
      </c>
      <c r="H33" s="21">
        <f>ROUND(IFERROR(100*'Group Inputs'!M6/'Group Inputs'!J6,0),2)</f>
        <v/>
      </c>
      <c r="I33" s="21">
        <f>ROUND(IFERROR(100*'Group Inputs'!M7/'Group Inputs'!J7,0),2)</f>
        <v/>
      </c>
      <c r="J33" s="21">
        <f>ROUND(IFERROR(100*'Group Inputs'!M8/'Group Inputs'!J8,0),2)</f>
        <v/>
      </c>
      <c r="K33" s="21">
        <f>ROUND(IFERROR(100*'Group Inputs'!M9/'Group Inputs'!J9,0),2)</f>
        <v/>
      </c>
      <c r="L33" s="3" t="inlineStr">
        <is>
          <t>86%</t>
        </is>
      </c>
      <c r="M33" s="3" t="inlineStr">
        <is>
          <t>E-01,G-01,O-01,O-09</t>
        </is>
      </c>
      <c r="N33" s="3" t="inlineStr">
        <is>
          <t>installed_capacity_t, good_output_t</t>
        </is>
      </c>
    </row>
    <row r="34">
      <c r="A34" s="2" t="inlineStr">
        <is>
          <t>OPS-006</t>
        </is>
      </c>
      <c r="B34" s="3" t="inlineStr">
        <is>
          <t>OEE · Group weighted (same measure as PLT-002)</t>
        </is>
      </c>
      <c r="C34" s="3" t="inlineStr">
        <is>
          <t>%</t>
        </is>
      </c>
      <c r="D34" s="3" t="inlineStr">
        <is>
          <t>Month</t>
        </is>
      </c>
      <c r="E34" s="3" t="inlineStr">
        <is>
          <t>Good output ÷ Ideal output × 100 (weighted by output, not an average of plants)</t>
        </is>
      </c>
      <c r="F34" s="21">
        <f>ROUND(IFERROR(100*'Group Inputs'!M4/'Group Inputs'!I4,0),2)</f>
        <v/>
      </c>
      <c r="G34" s="21">
        <f>ROUND(IFERROR(100*'Group Inputs'!M5/'Group Inputs'!I5,0),2)</f>
        <v/>
      </c>
      <c r="H34" s="21">
        <f>ROUND(IFERROR(100*'Group Inputs'!M6/'Group Inputs'!I6,0),2)</f>
        <v/>
      </c>
      <c r="I34" s="21">
        <f>ROUND(IFERROR(100*'Group Inputs'!M7/'Group Inputs'!I7,0),2)</f>
        <v/>
      </c>
      <c r="J34" s="21">
        <f>ROUND(IFERROR(100*'Group Inputs'!M8/'Group Inputs'!I8,0),2)</f>
        <v/>
      </c>
      <c r="K34" s="21">
        <f>ROUND(IFERROR(100*'Group Inputs'!M9/'Group Inputs'!I9,0),2)</f>
        <v/>
      </c>
      <c r="L34" s="3" t="inlineStr">
        <is>
          <t>78.4 %</t>
        </is>
      </c>
      <c r="M34" s="3" t="inlineStr">
        <is>
          <t>O-09</t>
        </is>
      </c>
      <c r="N34" s="3" t="inlineStr">
        <is>
          <t>ideal_output_t, good_output_t</t>
        </is>
      </c>
    </row>
    <row r="35">
      <c r="A35" s="2" t="inlineStr">
        <is>
          <t>OPS-002</t>
        </is>
      </c>
      <c r="B35" s="3" t="inlineStr">
        <is>
          <t>Sales vs plan</t>
        </is>
      </c>
      <c r="C35" s="3" t="inlineStr">
        <is>
          <t>%</t>
        </is>
      </c>
      <c r="D35" s="3" t="inlineStr">
        <is>
          <t>Month</t>
        </is>
      </c>
      <c r="E35" s="3" t="inlineStr">
        <is>
          <t>Sales volume ÷ Planned sales volume × 100</t>
        </is>
      </c>
      <c r="F35" s="21">
        <f>ROUND(IF('Group Inputs'!AT4=0,0,100*'Group Inputs'!AS4/'Group Inputs'!AT4),2)</f>
        <v/>
      </c>
      <c r="G35" s="21">
        <f>ROUND(IF('Group Inputs'!AT5=0,0,100*'Group Inputs'!AS5/'Group Inputs'!AT5),2)</f>
        <v/>
      </c>
      <c r="H35" s="21">
        <f>ROUND(IF('Group Inputs'!AT6=0,0,100*'Group Inputs'!AS6/'Group Inputs'!AT6),2)</f>
        <v/>
      </c>
      <c r="I35" s="21">
        <f>ROUND(IF('Group Inputs'!AT7=0,0,100*'Group Inputs'!AS7/'Group Inputs'!AT7),2)</f>
        <v/>
      </c>
      <c r="J35" s="21">
        <f>ROUND(IF('Group Inputs'!AT8=0,0,100*'Group Inputs'!AS8/'Group Inputs'!AT8),2)</f>
        <v/>
      </c>
      <c r="K35" s="21">
        <f>ROUND(IF('Group Inputs'!AT9=0,0,100*'Group Inputs'!AS9/'Group Inputs'!AT9),2)</f>
        <v/>
      </c>
      <c r="L35" s="3" t="inlineStr">
        <is>
          <t>97.6%</t>
        </is>
      </c>
      <c r="M35" s="3" t="inlineStr">
        <is>
          <t>E-01,G-01,G-03,O-01,STATE GALLERY</t>
        </is>
      </c>
      <c r="N35" s="3" t="inlineStr">
        <is>
          <t>sales_t, planned_sales_t</t>
        </is>
      </c>
    </row>
    <row r="36">
      <c r="A36" s="2" t="inlineStr">
        <is>
          <t>OPS-004</t>
        </is>
      </c>
      <c r="B36" s="3" t="inlineStr">
        <is>
          <t>Sales vs plan · Group (same measure as OPS-002)</t>
        </is>
      </c>
      <c r="C36" s="3" t="inlineStr">
        <is>
          <t>%</t>
        </is>
      </c>
      <c r="D36" s="3" t="inlineStr">
        <is>
          <t>Month</t>
        </is>
      </c>
      <c r="E36" s="3" t="inlineStr">
        <is>
          <t>Sales volume ÷ Planned sales volume × 100</t>
        </is>
      </c>
      <c r="F36" s="21">
        <f>ROUND(IF('Group Inputs'!AT4=0,0,100*'Group Inputs'!AS4/'Group Inputs'!AT4),2)</f>
        <v/>
      </c>
      <c r="G36" s="21">
        <f>ROUND(IF('Group Inputs'!AT5=0,0,100*'Group Inputs'!AS5/'Group Inputs'!AT5),2)</f>
        <v/>
      </c>
      <c r="H36" s="21">
        <f>ROUND(IF('Group Inputs'!AT6=0,0,100*'Group Inputs'!AS6/'Group Inputs'!AT6),2)</f>
        <v/>
      </c>
      <c r="I36" s="21">
        <f>ROUND(IF('Group Inputs'!AT7=0,0,100*'Group Inputs'!AS7/'Group Inputs'!AT7),2)</f>
        <v/>
      </c>
      <c r="J36" s="21">
        <f>ROUND(IF('Group Inputs'!AT8=0,0,100*'Group Inputs'!AS8/'Group Inputs'!AT8),2)</f>
        <v/>
      </c>
      <c r="K36" s="21">
        <f>ROUND(IF('Group Inputs'!AT9=0,0,100*'Group Inputs'!AS9/'Group Inputs'!AT9),2)</f>
        <v/>
      </c>
      <c r="L36" s="3" t="inlineStr">
        <is>
          <t>97.6%</t>
        </is>
      </c>
      <c r="M36" s="3" t="inlineStr">
        <is>
          <t>O-01</t>
        </is>
      </c>
      <c r="N36" s="3" t="inlineStr">
        <is>
          <t>sales_t, planned_sales_t</t>
        </is>
      </c>
    </row>
    <row r="37">
      <c r="A37" s="2" t="inlineStr">
        <is>
          <t>CST-004</t>
        </is>
      </c>
      <c r="B37" s="3" t="inlineStr">
        <is>
          <t>Power cost per tonne</t>
        </is>
      </c>
      <c r="C37" s="3" t="inlineStr">
        <is>
          <t>₹/t</t>
        </is>
      </c>
      <c r="D37" s="3" t="inlineStr">
        <is>
          <t>Month</t>
        </is>
      </c>
      <c r="E37" s="3" t="inlineStr">
        <is>
          <t>Power cost × 1000 ÷ Good output</t>
        </is>
      </c>
      <c r="F37" s="21">
        <f>ROUND(IF('Group Inputs'!M4=0,0,1000*'Group Inputs'!AW4/'Group Inputs'!M4),2)</f>
        <v/>
      </c>
      <c r="G37" s="21">
        <f>ROUND(IF('Group Inputs'!M5=0,0,1000*'Group Inputs'!AW5/'Group Inputs'!M5),2)</f>
        <v/>
      </c>
      <c r="H37" s="21">
        <f>ROUND(IF('Group Inputs'!M6=0,0,1000*'Group Inputs'!AW6/'Group Inputs'!M6),2)</f>
        <v/>
      </c>
      <c r="I37" s="21">
        <f>ROUND(IF('Group Inputs'!M7=0,0,1000*'Group Inputs'!AW7/'Group Inputs'!M7),2)</f>
        <v/>
      </c>
      <c r="J37" s="21">
        <f>ROUND(IF('Group Inputs'!M8=0,0,1000*'Group Inputs'!AW8/'Group Inputs'!M8),2)</f>
        <v/>
      </c>
      <c r="K37" s="21">
        <f>ROUND(IF('Group Inputs'!M9=0,0,1000*'Group Inputs'!AW9/'Group Inputs'!M9),2)</f>
        <v/>
      </c>
      <c r="L37" s="3" t="inlineStr">
        <is>
          <t>6.1 ₹/t</t>
        </is>
      </c>
      <c r="M37" s="3" t="inlineStr">
        <is>
          <t>O-09</t>
        </is>
      </c>
      <c r="N37" s="3" t="inlineStr">
        <is>
          <t>good_output_t, power_cost_k</t>
        </is>
      </c>
    </row>
    <row r="38">
      <c r="A38" s="2" t="inlineStr">
        <is>
          <t>FIN-001</t>
        </is>
      </c>
      <c r="B38" s="3" t="inlineStr">
        <is>
          <t>EBITDA YTD</t>
        </is>
      </c>
      <c r="C38" s="3" t="inlineStr">
        <is>
          <t>₹ m</t>
        </is>
      </c>
      <c r="D38" s="3" t="inlineStr">
        <is>
          <t>Year to date</t>
        </is>
      </c>
      <c r="E38" s="3" t="inlineStr">
        <is>
          <t>Sum of monthly EBITDA since April ÷ 1000</t>
        </is>
      </c>
      <c r="F38" s="21">
        <f>ROUND(SUM('Group Inputs'!FV$4:FV4)/1000,2)</f>
        <v/>
      </c>
      <c r="G38" s="21">
        <f>ROUND(SUM('Group Inputs'!FV$4:FV5)/1000,2)</f>
        <v/>
      </c>
      <c r="H38" s="21">
        <f>ROUND(SUM('Group Inputs'!FV$4:FV6)/1000,2)</f>
        <v/>
      </c>
      <c r="I38" s="21">
        <f>ROUND(SUM('Group Inputs'!FV$4:FV7)/1000,2)</f>
        <v/>
      </c>
      <c r="J38" s="21">
        <f>ROUND(SUM('Group Inputs'!FV$4:FV8)/1000,2)</f>
        <v/>
      </c>
      <c r="K38" s="21">
        <f>ROUND(SUM('Group Inputs'!FV$4:FV9)/1000,2)</f>
        <v/>
      </c>
      <c r="L38" s="3" t="inlineStr">
        <is>
          <t>361.3 ₹ m</t>
        </is>
      </c>
      <c r="M38" s="3" t="inlineStr">
        <is>
          <t>E-01,E-11,G-01,G-02,G-03,O-01,STATE GALLERY</t>
        </is>
      </c>
      <c r="N38" s="3" t="inlineStr">
        <is>
          <t>ebitda_k</t>
        </is>
      </c>
    </row>
    <row r="39">
      <c r="A39" s="2" t="inlineStr">
        <is>
          <t>FIN-002</t>
        </is>
      </c>
      <c r="B39" s="3" t="inlineStr">
        <is>
          <t>EBIT YTD</t>
        </is>
      </c>
      <c r="C39" s="3" t="inlineStr">
        <is>
          <t>₹ m</t>
        </is>
      </c>
      <c r="D39" s="3" t="inlineStr">
        <is>
          <t>Year to date</t>
        </is>
      </c>
      <c r="E39" s="3" t="inlineStr">
        <is>
          <t>Sum of monthly EBIT since April ÷ 1000</t>
        </is>
      </c>
      <c r="F39" s="21">
        <f>ROUND(SUM('Group Inputs'!FW$4:FW4)/1000,2)</f>
        <v/>
      </c>
      <c r="G39" s="21">
        <f>ROUND(SUM('Group Inputs'!FW$4:FW5)/1000,2)</f>
        <v/>
      </c>
      <c r="H39" s="21">
        <f>ROUND(SUM('Group Inputs'!FW$4:FW6)/1000,2)</f>
        <v/>
      </c>
      <c r="I39" s="21">
        <f>ROUND(SUM('Group Inputs'!FW$4:FW7)/1000,2)</f>
        <v/>
      </c>
      <c r="J39" s="21">
        <f>ROUND(SUM('Group Inputs'!FW$4:FW8)/1000,2)</f>
        <v/>
      </c>
      <c r="K39" s="21">
        <f>ROUND(SUM('Group Inputs'!FW$4:FW9)/1000,2)</f>
        <v/>
      </c>
      <c r="L39" s="3" t="inlineStr">
        <is>
          <t>238.4 ₹ m</t>
        </is>
      </c>
      <c r="M39" s="3" t="inlineStr">
        <is>
          <t>E-01,E-11,G-01,G-03,O-01,STATE GALLERY</t>
        </is>
      </c>
      <c r="N39" s="3" t="inlineStr">
        <is>
          <t>ebit_k</t>
        </is>
      </c>
    </row>
    <row r="40">
      <c r="A40" s="2" t="inlineStr">
        <is>
          <t>FIN-003</t>
        </is>
      </c>
      <c r="B40" s="3" t="inlineStr">
        <is>
          <t>Revenue YTD</t>
        </is>
      </c>
      <c r="C40" s="3" t="inlineStr">
        <is>
          <t>₹ m</t>
        </is>
      </c>
      <c r="D40" s="3" t="inlineStr">
        <is>
          <t>Year to date</t>
        </is>
      </c>
      <c r="E40" s="3" t="inlineStr">
        <is>
          <t>Sum of monthly Revenue since April ÷ 1000</t>
        </is>
      </c>
      <c r="F40" s="21">
        <f>ROUND(SUM('Group Inputs'!AU$4:AU4)/1000,2)</f>
        <v/>
      </c>
      <c r="G40" s="21">
        <f>ROUND(SUM('Group Inputs'!AU$4:AU5)/1000,2)</f>
        <v/>
      </c>
      <c r="H40" s="21">
        <f>ROUND(SUM('Group Inputs'!AU$4:AU6)/1000,2)</f>
        <v/>
      </c>
      <c r="I40" s="21">
        <f>ROUND(SUM('Group Inputs'!AU$4:AU7)/1000,2)</f>
        <v/>
      </c>
      <c r="J40" s="21">
        <f>ROUND(SUM('Group Inputs'!AU$4:AU8)/1000,2)</f>
        <v/>
      </c>
      <c r="K40" s="21">
        <f>ROUND(SUM('Group Inputs'!AU$4:AU9)/1000,2)</f>
        <v/>
      </c>
      <c r="L40" s="3" t="inlineStr">
        <is>
          <t>2,410 ₹ m</t>
        </is>
      </c>
      <c r="M40" s="3" t="inlineStr">
        <is>
          <t>E-01,E-11,G-01,G-02,G-03,O-01,STATE GALLERY</t>
        </is>
      </c>
      <c r="N40" s="3" t="inlineStr">
        <is>
          <t>revenue_k</t>
        </is>
      </c>
    </row>
    <row r="41">
      <c r="A41" s="2" t="inlineStr">
        <is>
          <t>FIN-004</t>
        </is>
      </c>
      <c r="B41" s="3" t="inlineStr">
        <is>
          <t>Free cash flow YTD</t>
        </is>
      </c>
      <c r="C41" s="3" t="inlineStr">
        <is>
          <t>₹ m</t>
        </is>
      </c>
      <c r="D41" s="3" t="inlineStr">
        <is>
          <t>Year to date</t>
        </is>
      </c>
      <c r="E41" s="3" t="inlineStr">
        <is>
          <t>Sum of monthly Free cash flow since April ÷ 1000</t>
        </is>
      </c>
      <c r="F41" s="21">
        <f>ROUND(SUM('Group Inputs'!GA$4:GA4)/1000,2)</f>
        <v/>
      </c>
      <c r="G41" s="21">
        <f>ROUND(SUM('Group Inputs'!GA$4:GA5)/1000,2)</f>
        <v/>
      </c>
      <c r="H41" s="21">
        <f>ROUND(SUM('Group Inputs'!GA$4:GA6)/1000,2)</f>
        <v/>
      </c>
      <c r="I41" s="21">
        <f>ROUND(SUM('Group Inputs'!GA$4:GA7)/1000,2)</f>
        <v/>
      </c>
      <c r="J41" s="21">
        <f>ROUND(SUM('Group Inputs'!GA$4:GA8)/1000,2)</f>
        <v/>
      </c>
      <c r="K41" s="21">
        <f>ROUND(SUM('Group Inputs'!GA$4:GA9)/1000,2)</f>
        <v/>
      </c>
      <c r="L41" s="3" t="inlineStr">
        <is>
          <t>96.4 ₹ m</t>
        </is>
      </c>
      <c r="M41" s="3" t="inlineStr">
        <is>
          <t>O-01, E-01, E-11, G-01, G-03, STATE GALLERY</t>
        </is>
      </c>
      <c r="N41" s="3" t="inlineStr">
        <is>
          <t>fcf_k</t>
        </is>
      </c>
    </row>
    <row r="42">
      <c r="A42" s="2" t="inlineStr">
        <is>
          <t>FIN-005</t>
        </is>
      </c>
      <c r="B42" s="3" t="inlineStr">
        <is>
          <t>ROCE, annualised</t>
        </is>
      </c>
      <c r="C42" s="3" t="inlineStr">
        <is>
          <t>%</t>
        </is>
      </c>
      <c r="D42" s="3" t="inlineStr">
        <is>
          <t>Year to date</t>
        </is>
      </c>
      <c r="E42" s="3" t="inlineStr">
        <is>
          <t>EBIT since April × 12 ÷ months elapsed ÷ Capital employed × 100</t>
        </is>
      </c>
      <c r="F42" s="21">
        <f>ROUND(IF('Group Inputs'!CA4=0,0,100*SUM('Group Inputs'!FW$4:FW4)*12/'Group Inputs'!D4/'Group Inputs'!CA4),2)</f>
        <v/>
      </c>
      <c r="G42" s="21">
        <f>ROUND(IF('Group Inputs'!CA5=0,0,100*SUM('Group Inputs'!FW$4:FW5)*12/'Group Inputs'!D5/'Group Inputs'!CA5),2)</f>
        <v/>
      </c>
      <c r="H42" s="21">
        <f>ROUND(IF('Group Inputs'!CA6=0,0,100*SUM('Group Inputs'!FW$4:FW6)*12/'Group Inputs'!D6/'Group Inputs'!CA6),2)</f>
        <v/>
      </c>
      <c r="I42" s="21">
        <f>ROUND(IF('Group Inputs'!CA7=0,0,100*SUM('Group Inputs'!FW$4:FW7)*12/'Group Inputs'!D7/'Group Inputs'!CA7),2)</f>
        <v/>
      </c>
      <c r="J42" s="21">
        <f>ROUND(IF('Group Inputs'!CA8=0,0,100*SUM('Group Inputs'!FW$4:FW8)*12/'Group Inputs'!D8/'Group Inputs'!CA8),2)</f>
        <v/>
      </c>
      <c r="K42" s="21">
        <f>ROUND(IF('Group Inputs'!CA9=0,0,100*SUM('Group Inputs'!FW$4:FW9)*12/'Group Inputs'!D9/'Group Inputs'!CA9),2)</f>
        <v/>
      </c>
      <c r="L42" s="3" t="inlineStr">
        <is>
          <t>11.8%</t>
        </is>
      </c>
      <c r="M42" s="3" t="inlineStr">
        <is>
          <t>E-01,E-11,G-01,G-03,O-01,STATE GALLERY</t>
        </is>
      </c>
      <c r="N42" s="3" t="inlineStr">
        <is>
          <t>ytd_months, capital_employed_k, ebit_k</t>
        </is>
      </c>
    </row>
    <row r="43">
      <c r="A43" s="2" t="inlineStr">
        <is>
          <t>FIN-006</t>
        </is>
      </c>
      <c r="B43" s="3" t="inlineStr">
        <is>
          <t>Net debt</t>
        </is>
      </c>
      <c r="C43" s="3" t="inlineStr">
        <is>
          <t>₹ m</t>
        </is>
      </c>
      <c r="D43" s="3" t="inlineStr">
        <is>
          <t>Month end</t>
        </is>
      </c>
      <c r="E43" s="3" t="inlineStr">
        <is>
          <t>(Gross debt − Cash) ÷ 1000</t>
        </is>
      </c>
      <c r="F43" s="21">
        <f>ROUND('Group Inputs'!GB4/1000,2)</f>
        <v/>
      </c>
      <c r="G43" s="21">
        <f>ROUND('Group Inputs'!GB5/1000,2)</f>
        <v/>
      </c>
      <c r="H43" s="21">
        <f>ROUND('Group Inputs'!GB6/1000,2)</f>
        <v/>
      </c>
      <c r="I43" s="21">
        <f>ROUND('Group Inputs'!GB7/1000,2)</f>
        <v/>
      </c>
      <c r="J43" s="21">
        <f>ROUND('Group Inputs'!GB8/1000,2)</f>
        <v/>
      </c>
      <c r="K43" s="21">
        <f>ROUND('Group Inputs'!GB9/1000,2)</f>
        <v/>
      </c>
      <c r="L43" s="3" t="inlineStr">
        <is>
          <t>1,140 ₹ m; 6,650.0 ₹ m (O-03)</t>
        </is>
      </c>
      <c r="M43" s="3" t="inlineStr">
        <is>
          <t>O-01, O-03, G-01, G-03, STATE GALLERY</t>
        </is>
      </c>
      <c r="N43" s="3" t="inlineStr">
        <is>
          <t>net_debt_k</t>
        </is>
      </c>
    </row>
    <row r="44">
      <c r="A44" s="2" t="inlineStr">
        <is>
          <t>FIN-007</t>
        </is>
      </c>
      <c r="B44" s="3" t="inlineStr">
        <is>
          <t>Shareholder-value indicator (economic profit YTD)</t>
        </is>
      </c>
      <c r="C44" s="3" t="inlineStr">
        <is>
          <t>₹ m</t>
        </is>
      </c>
      <c r="D44" s="3" t="inlineStr">
        <is>
          <t>Year to date</t>
        </is>
      </c>
      <c r="E44" s="3" t="inlineStr">
        <is>
          <t>(EBIT since April × (1 − Tax rate) − Capital employed × Cost of capital × months elapsed ÷ 12) ÷ 1000</t>
        </is>
      </c>
      <c r="F44" s="21">
        <f>ROUND((SUM('Group Inputs'!FW$4:FW4)*(1-Parameters!$B$2)-'Group Inputs'!CA4*Parameters!$B$3*'Group Inputs'!D4/12)/1000,2)</f>
        <v/>
      </c>
      <c r="G44" s="21">
        <f>ROUND((SUM('Group Inputs'!FW$4:FW5)*(1-Parameters!$B$2)-'Group Inputs'!CA5*Parameters!$B$3*'Group Inputs'!D5/12)/1000,2)</f>
        <v/>
      </c>
      <c r="H44" s="21">
        <f>ROUND((SUM('Group Inputs'!FW$4:FW6)*(1-Parameters!$B$2)-'Group Inputs'!CA6*Parameters!$B$3*'Group Inputs'!D6/12)/1000,2)</f>
        <v/>
      </c>
      <c r="I44" s="21">
        <f>ROUND((SUM('Group Inputs'!FW$4:FW7)*(1-Parameters!$B$2)-'Group Inputs'!CA7*Parameters!$B$3*'Group Inputs'!D7/12)/1000,2)</f>
        <v/>
      </c>
      <c r="J44" s="21">
        <f>ROUND((SUM('Group Inputs'!FW$4:FW8)*(1-Parameters!$B$2)-'Group Inputs'!CA8*Parameters!$B$3*'Group Inputs'!D8/12)/1000,2)</f>
        <v/>
      </c>
      <c r="K44" s="21">
        <f>ROUND((SUM('Group Inputs'!FW$4:FW9)*(1-Parameters!$B$2)-'Group Inputs'!CA9*Parameters!$B$3*'Group Inputs'!D9/12)/1000,2)</f>
        <v/>
      </c>
      <c r="L44" s="3" t="inlineStr">
        <is>
          <t>[PLACEHOLDER]</t>
        </is>
      </c>
      <c r="M44" s="3" t="inlineStr">
        <is>
          <t>G-03,O-01,STATE GALLERY</t>
        </is>
      </c>
      <c r="N44" s="3" t="inlineStr">
        <is>
          <t>ytd_months, capital_employed_k, ebit_k</t>
        </is>
      </c>
    </row>
    <row r="45">
      <c r="A45" s="2" t="inlineStr">
        <is>
          <t>FIN-008</t>
        </is>
      </c>
      <c r="B45" s="3" t="inlineStr">
        <is>
          <t>FCF conversion (FCF ÷ EBITDA)</t>
        </is>
      </c>
      <c r="C45" s="3" t="inlineStr">
        <is>
          <t>%</t>
        </is>
      </c>
      <c r="D45" s="3" t="inlineStr">
        <is>
          <t>Year to date</t>
        </is>
      </c>
      <c r="E45" s="3" t="inlineStr">
        <is>
          <t>Free cash flow since April ÷ EBITDA since April × 100</t>
        </is>
      </c>
      <c r="F45" s="21">
        <f>ROUND(IF(SUM('Group Inputs'!FV$4:FV4)=0,0,100*SUM('Group Inputs'!GA$4:GA4)/SUM('Group Inputs'!FV$4:FV4)),2)</f>
        <v/>
      </c>
      <c r="G45" s="21">
        <f>ROUND(IF(SUM('Group Inputs'!FV$4:FV5)=0,0,100*SUM('Group Inputs'!GA$4:GA5)/SUM('Group Inputs'!FV$4:FV5)),2)</f>
        <v/>
      </c>
      <c r="H45" s="21">
        <f>ROUND(IF(SUM('Group Inputs'!FV$4:FV6)=0,0,100*SUM('Group Inputs'!GA$4:GA6)/SUM('Group Inputs'!FV$4:FV6)),2)</f>
        <v/>
      </c>
      <c r="I45" s="21">
        <f>ROUND(IF(SUM('Group Inputs'!FV$4:FV7)=0,0,100*SUM('Group Inputs'!GA$4:GA7)/SUM('Group Inputs'!FV$4:FV7)),2)</f>
        <v/>
      </c>
      <c r="J45" s="21">
        <f>ROUND(IF(SUM('Group Inputs'!FV$4:FV8)=0,0,100*SUM('Group Inputs'!GA$4:GA8)/SUM('Group Inputs'!FV$4:FV8)),2)</f>
        <v/>
      </c>
      <c r="K45" s="21">
        <f>ROUND(IF(SUM('Group Inputs'!FV$4:FV9)=0,0,100*SUM('Group Inputs'!GA$4:GA9)/SUM('Group Inputs'!FV$4:FV9)),2)</f>
        <v/>
      </c>
      <c r="L45" s="3" t="inlineStr">
        <is>
          <t>27%</t>
        </is>
      </c>
      <c r="M45" s="3" t="inlineStr">
        <is>
          <t>G-03</t>
        </is>
      </c>
      <c r="N45" s="3" t="inlineStr">
        <is>
          <t>ebitda_k, fcf_k</t>
        </is>
      </c>
    </row>
    <row r="46">
      <c r="A46" s="2" t="inlineStr">
        <is>
          <t>CSH-001</t>
        </is>
      </c>
      <c r="B46" s="3" t="inlineStr">
        <is>
          <t>Cash position</t>
        </is>
      </c>
      <c r="C46" s="3" t="inlineStr">
        <is>
          <t>₹ m</t>
        </is>
      </c>
      <c r="D46" s="3" t="inlineStr">
        <is>
          <t>Month end</t>
        </is>
      </c>
      <c r="E46" s="3" t="inlineStr">
        <is>
          <t>Cash ÷ 1000</t>
        </is>
      </c>
      <c r="F46" s="21">
        <f>ROUND('Group Inputs'!CC4/1000,2)</f>
        <v/>
      </c>
      <c r="G46" s="21">
        <f>ROUND('Group Inputs'!CC5/1000,2)</f>
        <v/>
      </c>
      <c r="H46" s="21">
        <f>ROUND('Group Inputs'!CC6/1000,2)</f>
        <v/>
      </c>
      <c r="I46" s="21">
        <f>ROUND('Group Inputs'!CC7/1000,2)</f>
        <v/>
      </c>
      <c r="J46" s="21">
        <f>ROUND('Group Inputs'!CC8/1000,2)</f>
        <v/>
      </c>
      <c r="K46" s="21">
        <f>ROUND('Group Inputs'!CC9/1000,2)</f>
        <v/>
      </c>
      <c r="L46" s="3" t="inlineStr">
        <is>
          <t>384 ₹ m; 2,141.8 ₹ m (O-03)</t>
        </is>
      </c>
      <c r="M46" s="3" t="inlineStr">
        <is>
          <t>O-03, E-05, G-04</t>
        </is>
      </c>
      <c r="N46" s="3" t="inlineStr">
        <is>
          <t>cash_k</t>
        </is>
      </c>
    </row>
    <row r="47">
      <c r="A47" s="2" t="inlineStr">
        <is>
          <t>CSH-002</t>
        </is>
      </c>
      <c r="B47" s="3" t="inlineStr">
        <is>
          <t>Cash released YTD</t>
        </is>
      </c>
      <c r="C47" s="3" t="inlineStr">
        <is>
          <t>₹ m</t>
        </is>
      </c>
      <c r="D47" s="3" t="inlineStr">
        <is>
          <t>Year to date</t>
        </is>
      </c>
      <c r="E47" s="3" t="inlineStr">
        <is>
          <t>Sum of cash released since April ÷ 1000</t>
        </is>
      </c>
      <c r="F47" s="21">
        <f>ROUND(SUM('Group Inputs'!CN$4:CN4)/1000,2)</f>
        <v/>
      </c>
      <c r="G47" s="21">
        <f>ROUND(SUM('Group Inputs'!CN$4:CN5)/1000,2)</f>
        <v/>
      </c>
      <c r="H47" s="21">
        <f>ROUND(SUM('Group Inputs'!CN$4:CN6)/1000,2)</f>
        <v/>
      </c>
      <c r="I47" s="21">
        <f>ROUND(SUM('Group Inputs'!CN$4:CN7)/1000,2)</f>
        <v/>
      </c>
      <c r="J47" s="21">
        <f>ROUND(SUM('Group Inputs'!CN$4:CN8)/1000,2)</f>
        <v/>
      </c>
      <c r="K47" s="21">
        <f>ROUND(SUM('Group Inputs'!CN$4:CN9)/1000,2)</f>
        <v/>
      </c>
      <c r="L47" s="3" t="inlineStr">
        <is>
          <t>₹21 m</t>
        </is>
      </c>
      <c r="M47" s="3" t="inlineStr">
        <is>
          <t>E-05, G-04</t>
        </is>
      </c>
      <c r="N47" s="3" t="inlineStr">
        <is>
          <t>cash_released_k</t>
        </is>
      </c>
    </row>
    <row r="48">
      <c r="A48" s="2" t="inlineStr">
        <is>
          <t>CSH-003</t>
        </is>
      </c>
      <c r="B48" s="3" t="inlineStr">
        <is>
          <t>Daily collections</t>
        </is>
      </c>
      <c r="C48" s="3" t="inlineStr">
        <is>
          <t>₹ m per day</t>
        </is>
      </c>
      <c r="D48" s="3" t="inlineStr">
        <is>
          <t>Month</t>
        </is>
      </c>
      <c r="E48" s="3" t="inlineStr">
        <is>
          <t>Cash collected ÷ Days in month ÷ 1000</t>
        </is>
      </c>
      <c r="F48" s="21">
        <f>ROUND('Group Inputs'!CM4/'Group Inputs'!C4/1000,2)</f>
        <v/>
      </c>
      <c r="G48" s="21">
        <f>ROUND('Group Inputs'!CM5/'Group Inputs'!C5/1000,2)</f>
        <v/>
      </c>
      <c r="H48" s="21">
        <f>ROUND('Group Inputs'!CM6/'Group Inputs'!C6/1000,2)</f>
        <v/>
      </c>
      <c r="I48" s="21">
        <f>ROUND('Group Inputs'!CM7/'Group Inputs'!C7/1000,2)</f>
        <v/>
      </c>
      <c r="J48" s="21">
        <f>ROUND('Group Inputs'!CM8/'Group Inputs'!C8/1000,2)</f>
        <v/>
      </c>
      <c r="K48" s="21">
        <f>ROUND('Group Inputs'!CM9/'Group Inputs'!C9/1000,2)</f>
        <v/>
      </c>
      <c r="L48" s="3" t="inlineStr">
        <is>
          <t>₹18.6 m</t>
        </is>
      </c>
      <c r="M48" s="3" t="inlineStr">
        <is>
          <t>E-01, E-05, G-04, S-11</t>
        </is>
      </c>
      <c r="N48" s="3" t="inlineStr">
        <is>
          <t>days, collections_k</t>
        </is>
      </c>
    </row>
    <row r="49">
      <c r="A49" s="2" t="inlineStr">
        <is>
          <t>CSH-004</t>
        </is>
      </c>
      <c r="B49" s="3" t="inlineStr">
        <is>
          <t>Cash-conversion cycle</t>
        </is>
      </c>
      <c r="C49" s="3" t="inlineStr">
        <is>
          <t>days</t>
        </is>
      </c>
      <c r="D49" s="3" t="inlineStr">
        <is>
          <t>Month end</t>
        </is>
      </c>
      <c r="E49" s="3" t="inlineStr">
        <is>
          <t>DSO + Inventory days − DPO</t>
        </is>
      </c>
      <c r="F49" s="21">
        <f>ROUND('Group Inputs'!GD4+'Group Inputs'!GF4-'Group Inputs'!GE4,2)</f>
        <v/>
      </c>
      <c r="G49" s="21">
        <f>ROUND('Group Inputs'!GD5+'Group Inputs'!GF5-'Group Inputs'!GE5,2)</f>
        <v/>
      </c>
      <c r="H49" s="21">
        <f>ROUND('Group Inputs'!GD6+'Group Inputs'!GF6-'Group Inputs'!GE6,2)</f>
        <v/>
      </c>
      <c r="I49" s="21">
        <f>ROUND('Group Inputs'!GD7+'Group Inputs'!GF7-'Group Inputs'!GE7,2)</f>
        <v/>
      </c>
      <c r="J49" s="21">
        <f>ROUND('Group Inputs'!GD8+'Group Inputs'!GF8-'Group Inputs'!GE8,2)</f>
        <v/>
      </c>
      <c r="K49" s="21">
        <f>ROUND('Group Inputs'!GD9+'Group Inputs'!GF9-'Group Inputs'!GE9,2)</f>
        <v/>
      </c>
      <c r="L49" s="3" t="inlineStr">
        <is>
          <t>33 d</t>
        </is>
      </c>
      <c r="M49" s="3" t="inlineStr">
        <is>
          <t>E-05, G-04</t>
        </is>
      </c>
      <c r="N49" s="3" t="inlineStr">
        <is>
          <t>dso_d, dpo_d, dio_d</t>
        </is>
      </c>
    </row>
    <row r="50">
      <c r="A50" s="2" t="inlineStr">
        <is>
          <t>CSH-006</t>
        </is>
      </c>
      <c r="B50" s="3" t="inlineStr">
        <is>
          <t>Cash-upstream exposure</t>
        </is>
      </c>
      <c r="C50" s="3" t="inlineStr">
        <is>
          <t>₹ m</t>
        </is>
      </c>
      <c r="D50" s="3" t="inlineStr">
        <is>
          <t>Next 30 days</t>
        </is>
      </c>
      <c r="E50" s="3" t="inlineStr">
        <is>
          <t>(Cash due to be upstreamed − Amount covered by available cash) ÷ 1000</t>
        </is>
      </c>
      <c r="F50" s="21">
        <f>ROUND(('Group Inputs'!CO4-'Group Inputs'!CP4)/1000,2)</f>
        <v/>
      </c>
      <c r="G50" s="21">
        <f>ROUND(('Group Inputs'!CO5-'Group Inputs'!CP5)/1000,2)</f>
        <v/>
      </c>
      <c r="H50" s="21">
        <f>ROUND(('Group Inputs'!CO6-'Group Inputs'!CP6)/1000,2)</f>
        <v/>
      </c>
      <c r="I50" s="21">
        <f>ROUND(('Group Inputs'!CO7-'Group Inputs'!CP7)/1000,2)</f>
        <v/>
      </c>
      <c r="J50" s="21">
        <f>ROUND(('Group Inputs'!CO8-'Group Inputs'!CP8)/1000,2)</f>
        <v/>
      </c>
      <c r="K50" s="21">
        <f>ROUND(('Group Inputs'!CO9-'Group Inputs'!CP9)/1000,2)</f>
        <v/>
      </c>
      <c r="L50" s="3" t="inlineStr">
        <is>
          <t>26 ₹ m; 27.2 ₹ m (O-03)</t>
        </is>
      </c>
      <c r="M50" s="3" t="inlineStr">
        <is>
          <t>O-03, E-01, E-05, G-04, S-11</t>
        </is>
      </c>
      <c r="N50" s="3" t="inlineStr">
        <is>
          <t>upstream_due_k, upstream_covered_k</t>
        </is>
      </c>
    </row>
    <row r="51">
      <c r="A51" s="2" t="inlineStr">
        <is>
          <t>WCP-001</t>
        </is>
      </c>
      <c r="B51" s="3" t="inlineStr">
        <is>
          <t>DSO</t>
        </is>
      </c>
      <c r="C51" s="3" t="inlineStr">
        <is>
          <t>days</t>
        </is>
      </c>
      <c r="D51" s="3" t="inlineStr">
        <is>
          <t>Month end</t>
        </is>
      </c>
      <c r="E51" s="3" t="inlineStr">
        <is>
          <t>Trade receivables ÷ Revenue × Days in month</t>
        </is>
      </c>
      <c r="F51" s="21">
        <f>ROUND('Group Inputs'!GD4,2)</f>
        <v/>
      </c>
      <c r="G51" s="21">
        <f>ROUND('Group Inputs'!GD5,2)</f>
        <v/>
      </c>
      <c r="H51" s="21">
        <f>ROUND('Group Inputs'!GD6,2)</f>
        <v/>
      </c>
      <c r="I51" s="21">
        <f>ROUND('Group Inputs'!GD7,2)</f>
        <v/>
      </c>
      <c r="J51" s="21">
        <f>ROUND('Group Inputs'!GD8,2)</f>
        <v/>
      </c>
      <c r="K51" s="21">
        <f>ROUND('Group Inputs'!GD9,2)</f>
        <v/>
      </c>
      <c r="L51" s="3" t="inlineStr">
        <is>
          <t>47 d; 47.0 days (O-03)</t>
        </is>
      </c>
      <c r="M51" s="3" t="inlineStr">
        <is>
          <t>O-03, E-01, E-05, G-02, G-04, S-11</t>
        </is>
      </c>
      <c r="N51" s="3" t="inlineStr">
        <is>
          <t>dso_d</t>
        </is>
      </c>
    </row>
    <row r="52">
      <c r="A52" s="2" t="inlineStr">
        <is>
          <t>WCP-002</t>
        </is>
      </c>
      <c r="B52" s="3" t="inlineStr">
        <is>
          <t>DPO</t>
        </is>
      </c>
      <c r="C52" s="3" t="inlineStr">
        <is>
          <t>days</t>
        </is>
      </c>
      <c r="D52" s="3" t="inlineStr">
        <is>
          <t>Month end</t>
        </is>
      </c>
      <c r="E52" s="3" t="inlineStr">
        <is>
          <t>Trade payables ÷ Variable cost × Days in month</t>
        </is>
      </c>
      <c r="F52" s="21">
        <f>ROUND('Group Inputs'!GE4,2)</f>
        <v/>
      </c>
      <c r="G52" s="21">
        <f>ROUND('Group Inputs'!GE5,2)</f>
        <v/>
      </c>
      <c r="H52" s="21">
        <f>ROUND('Group Inputs'!GE6,2)</f>
        <v/>
      </c>
      <c r="I52" s="21">
        <f>ROUND('Group Inputs'!GE7,2)</f>
        <v/>
      </c>
      <c r="J52" s="21">
        <f>ROUND('Group Inputs'!GE8,2)</f>
        <v/>
      </c>
      <c r="K52" s="21">
        <f>ROUND('Group Inputs'!GE9,2)</f>
        <v/>
      </c>
      <c r="L52" s="3" t="inlineStr">
        <is>
          <t>52 d</t>
        </is>
      </c>
      <c r="M52" s="3" t="inlineStr">
        <is>
          <t>E-05, G-04</t>
        </is>
      </c>
      <c r="N52" s="3" t="inlineStr">
        <is>
          <t>dpo_d</t>
        </is>
      </c>
    </row>
    <row r="53">
      <c r="A53" s="2" t="inlineStr">
        <is>
          <t>WCP-003</t>
        </is>
      </c>
      <c r="B53" s="3" t="inlineStr">
        <is>
          <t>Inventory days</t>
        </is>
      </c>
      <c r="C53" s="3" t="inlineStr">
        <is>
          <t>days</t>
        </is>
      </c>
      <c r="D53" s="3" t="inlineStr">
        <is>
          <t>Month end</t>
        </is>
      </c>
      <c r="E53" s="3" t="inlineStr">
        <is>
          <t>Inventory ÷ Variable cost × Days in month</t>
        </is>
      </c>
      <c r="F53" s="21">
        <f>ROUND('Group Inputs'!GF4,2)</f>
        <v/>
      </c>
      <c r="G53" s="21">
        <f>ROUND('Group Inputs'!GF5,2)</f>
        <v/>
      </c>
      <c r="H53" s="21">
        <f>ROUND('Group Inputs'!GF6,2)</f>
        <v/>
      </c>
      <c r="I53" s="21">
        <f>ROUND('Group Inputs'!GF7,2)</f>
        <v/>
      </c>
      <c r="J53" s="21">
        <f>ROUND('Group Inputs'!GF8,2)</f>
        <v/>
      </c>
      <c r="K53" s="21">
        <f>ROUND('Group Inputs'!GF9,2)</f>
        <v/>
      </c>
      <c r="L53" s="3" t="inlineStr">
        <is>
          <t>38 d</t>
        </is>
      </c>
      <c r="M53" s="3" t="inlineStr">
        <is>
          <t>E-05, G-04</t>
        </is>
      </c>
      <c r="N53" s="3" t="inlineStr">
        <is>
          <t>dio_d</t>
        </is>
      </c>
    </row>
    <row r="54">
      <c r="A54" s="2" t="inlineStr">
        <is>
          <t>WCP-004</t>
        </is>
      </c>
      <c r="B54" s="3" t="inlineStr">
        <is>
          <t>Net working capital</t>
        </is>
      </c>
      <c r="C54" s="3" t="inlineStr">
        <is>
          <t>₹ m</t>
        </is>
      </c>
      <c r="D54" s="3" t="inlineStr">
        <is>
          <t>Month end</t>
        </is>
      </c>
      <c r="E54" s="3" t="inlineStr">
        <is>
          <t>(Trade receivables + Inventory − Trade payables) ÷ 1000</t>
        </is>
      </c>
      <c r="F54" s="21">
        <f>ROUND('Group Inputs'!FX4/1000,2)</f>
        <v/>
      </c>
      <c r="G54" s="21">
        <f>ROUND('Group Inputs'!FX5/1000,2)</f>
        <v/>
      </c>
      <c r="H54" s="21">
        <f>ROUND('Group Inputs'!FX6/1000,2)</f>
        <v/>
      </c>
      <c r="I54" s="21">
        <f>ROUND('Group Inputs'!FX7/1000,2)</f>
        <v/>
      </c>
      <c r="J54" s="21">
        <f>ROUND('Group Inputs'!FX8/1000,2)</f>
        <v/>
      </c>
      <c r="K54" s="21">
        <f>ROUND('Group Inputs'!FX9/1000,2)</f>
        <v/>
      </c>
      <c r="L54" s="3" t="inlineStr">
        <is>
          <t>512 ₹ m; 2,781.0 ₹ m (O-03)</t>
        </is>
      </c>
      <c r="M54" s="3" t="inlineStr">
        <is>
          <t>O-03, E-05, G-04</t>
        </is>
      </c>
      <c r="N54" s="3" t="inlineStr">
        <is>
          <t>nwc_k</t>
        </is>
      </c>
    </row>
    <row r="55">
      <c r="A55" s="2" t="inlineStr">
        <is>
          <t>WCP-005</t>
        </is>
      </c>
      <c r="B55" s="3" t="inlineStr">
        <is>
          <t>Working-capital movement</t>
        </is>
      </c>
      <c r="C55" s="3" t="inlineStr">
        <is>
          <t>₹ m</t>
        </is>
      </c>
      <c r="D55" s="3" t="inlineStr">
        <is>
          <t>Month</t>
        </is>
      </c>
      <c r="E55" s="3" t="inlineStr">
        <is>
          <t>(Net working capital − last month's net working capital) ÷ 1000; positive = cash tied up</t>
        </is>
      </c>
      <c r="F55" s="21">
        <f>ROUND('Group Inputs'!FY4/1000,2)</f>
        <v/>
      </c>
      <c r="G55" s="21">
        <f>ROUND('Group Inputs'!FY5/1000,2)</f>
        <v/>
      </c>
      <c r="H55" s="21">
        <f>ROUND('Group Inputs'!FY6/1000,2)</f>
        <v/>
      </c>
      <c r="I55" s="21">
        <f>ROUND('Group Inputs'!FY7/1000,2)</f>
        <v/>
      </c>
      <c r="J55" s="21">
        <f>ROUND('Group Inputs'!FY8/1000,2)</f>
        <v/>
      </c>
      <c r="K55" s="21">
        <f>ROUND('Group Inputs'!FY9/1000,2)</f>
        <v/>
      </c>
      <c r="L55" s="3" t="inlineStr">
        <is>
          <t>+₹14 m</t>
        </is>
      </c>
      <c r="M55" s="3" t="inlineStr">
        <is>
          <t>E-05, G-04</t>
        </is>
      </c>
      <c r="N55" s="3" t="inlineStr">
        <is>
          <t>nwc_change_k</t>
        </is>
      </c>
    </row>
    <row r="56">
      <c r="A56" s="2" t="inlineStr">
        <is>
          <t>WCP-006</t>
        </is>
      </c>
      <c r="B56" s="3" t="inlineStr">
        <is>
          <t>Working-capital days</t>
        </is>
      </c>
      <c r="C56" s="3" t="inlineStr">
        <is>
          <t>days</t>
        </is>
      </c>
      <c r="D56" s="3" t="inlineStr">
        <is>
          <t>Month end</t>
        </is>
      </c>
      <c r="E56" s="3" t="inlineStr">
        <is>
          <t>Net working capital ÷ Revenue × Days in month</t>
        </is>
      </c>
      <c r="F56" s="21">
        <f>ROUND(IF('Group Inputs'!AU4=0,0,'Group Inputs'!FX4/'Group Inputs'!AU4*'Group Inputs'!C4),2)</f>
        <v/>
      </c>
      <c r="G56" s="21">
        <f>ROUND(IF('Group Inputs'!AU5=0,0,'Group Inputs'!FX5/'Group Inputs'!AU5*'Group Inputs'!C5),2)</f>
        <v/>
      </c>
      <c r="H56" s="21">
        <f>ROUND(IF('Group Inputs'!AU6=0,0,'Group Inputs'!FX6/'Group Inputs'!AU6*'Group Inputs'!C6),2)</f>
        <v/>
      </c>
      <c r="I56" s="21">
        <f>ROUND(IF('Group Inputs'!AU7=0,0,'Group Inputs'!FX7/'Group Inputs'!AU7*'Group Inputs'!C7),2)</f>
        <v/>
      </c>
      <c r="J56" s="21">
        <f>ROUND(IF('Group Inputs'!AU8=0,0,'Group Inputs'!FX8/'Group Inputs'!AU8*'Group Inputs'!C8),2)</f>
        <v/>
      </c>
      <c r="K56" s="21">
        <f>ROUND(IF('Group Inputs'!AU9=0,0,'Group Inputs'!FX9/'Group Inputs'!AU9*'Group Inputs'!C9),2)</f>
        <v/>
      </c>
      <c r="L56" s="3" t="inlineStr">
        <is>
          <t>33</t>
        </is>
      </c>
      <c r="M56" s="3" t="inlineStr">
        <is>
          <t>E-05, G-04</t>
        </is>
      </c>
      <c r="N56" s="3" t="inlineStr">
        <is>
          <t>days, revenue_k, nwc_k</t>
        </is>
      </c>
    </row>
    <row r="57">
      <c r="A57" s="2" t="inlineStr">
        <is>
          <t>LIQ-001</t>
        </is>
      </c>
      <c r="B57" s="3" t="inlineStr">
        <is>
          <t>Liquidity runway</t>
        </is>
      </c>
      <c r="C57" s="3" t="inlineStr">
        <is>
          <t>months</t>
        </is>
      </c>
      <c r="D57" s="3" t="inlineStr">
        <is>
          <t>Month end</t>
        </is>
      </c>
      <c r="E57" s="3" t="inlineStr">
        <is>
          <t>(Cash + Undrawn facilities) ÷ (Fixed cost + Overheads + Debt service) per month</t>
        </is>
      </c>
      <c r="F57" s="21">
        <f>ROUND(IF(('Group Inputs'!X4+'Group Inputs'!BY4+'Group Inputs'!CE4)=0,0,('Group Inputs'!CC4+'Group Inputs'!CD4)/('Group Inputs'!X4+'Group Inputs'!BY4+'Group Inputs'!CE4)),2)</f>
        <v/>
      </c>
      <c r="G57" s="21">
        <f>ROUND(IF(('Group Inputs'!X5+'Group Inputs'!BY5+'Group Inputs'!CE5)=0,0,('Group Inputs'!CC5+'Group Inputs'!CD5)/('Group Inputs'!X5+'Group Inputs'!BY5+'Group Inputs'!CE5)),2)</f>
        <v/>
      </c>
      <c r="H57" s="21">
        <f>ROUND(IF(('Group Inputs'!X6+'Group Inputs'!BY6+'Group Inputs'!CE6)=0,0,('Group Inputs'!CC6+'Group Inputs'!CD6)/('Group Inputs'!X6+'Group Inputs'!BY6+'Group Inputs'!CE6)),2)</f>
        <v/>
      </c>
      <c r="I57" s="21">
        <f>ROUND(IF(('Group Inputs'!X7+'Group Inputs'!BY7+'Group Inputs'!CE7)=0,0,('Group Inputs'!CC7+'Group Inputs'!CD7)/('Group Inputs'!X7+'Group Inputs'!BY7+'Group Inputs'!CE7)),2)</f>
        <v/>
      </c>
      <c r="J57" s="21">
        <f>ROUND(IF(('Group Inputs'!X8+'Group Inputs'!BY8+'Group Inputs'!CE8)=0,0,('Group Inputs'!CC8+'Group Inputs'!CD8)/('Group Inputs'!X8+'Group Inputs'!BY8+'Group Inputs'!CE8)),2)</f>
        <v/>
      </c>
      <c r="K57" s="21">
        <f>ROUND(IF(('Group Inputs'!X9+'Group Inputs'!BY9+'Group Inputs'!CE9)=0,0,('Group Inputs'!CC9+'Group Inputs'!CD9)/('Group Inputs'!X9+'Group Inputs'!BY9+'Group Inputs'!CE9)),2)</f>
        <v/>
      </c>
      <c r="L57" s="3" t="inlineStr">
        <is>
          <t>14.2 months; 16.7 months (O-03)</t>
        </is>
      </c>
      <c r="M57" s="3" t="inlineStr">
        <is>
          <t>O-03, E-05, G-04</t>
        </is>
      </c>
      <c r="N57" s="3" t="inlineStr">
        <is>
          <t>fixed_cost_k, overhead_k, cash_k, undrawn_facilities_k, debt_service_k</t>
        </is>
      </c>
    </row>
    <row r="58">
      <c r="A58" s="2" t="inlineStr">
        <is>
          <t>LIQ-002</t>
        </is>
      </c>
      <c r="B58" s="3" t="inlineStr">
        <is>
          <t>Covenant headroom</t>
        </is>
      </c>
      <c r="C58" s="3" t="inlineStr">
        <is>
          <t>%</t>
        </is>
      </c>
      <c r="D58" s="3" t="inlineStr">
        <is>
          <t>Month end</t>
        </is>
      </c>
      <c r="E58" s="3" t="inlineStr">
        <is>
          <t>(Covenant limit − Net debt ÷ Annualised EBITDA) ÷ Covenant limit × 100</t>
        </is>
      </c>
      <c r="F58" s="21">
        <f>ROUND(IF('Group Inputs'!GC4=0,0,100*(Parameters!$B$4-'Group Inputs'!GB4/'Group Inputs'!GC4)/Parameters!$B$4),2)</f>
        <v/>
      </c>
      <c r="G58" s="21">
        <f>ROUND(IF('Group Inputs'!GC5=0,0,100*(Parameters!$B$4-'Group Inputs'!GB5/'Group Inputs'!GC5)/Parameters!$B$4),2)</f>
        <v/>
      </c>
      <c r="H58" s="21">
        <f>ROUND(IF('Group Inputs'!GC6=0,0,100*(Parameters!$B$4-'Group Inputs'!GB6/'Group Inputs'!GC6)/Parameters!$B$4),2)</f>
        <v/>
      </c>
      <c r="I58" s="21">
        <f>ROUND(IF('Group Inputs'!GC7=0,0,100*(Parameters!$B$4-'Group Inputs'!GB7/'Group Inputs'!GC7)/Parameters!$B$4),2)</f>
        <v/>
      </c>
      <c r="J58" s="21">
        <f>ROUND(IF('Group Inputs'!GC8=0,0,100*(Parameters!$B$4-'Group Inputs'!GB8/'Group Inputs'!GC8)/Parameters!$B$4),2)</f>
        <v/>
      </c>
      <c r="K58" s="21">
        <f>ROUND(IF('Group Inputs'!GC9=0,0,100*(Parameters!$B$4-'Group Inputs'!GB9/'Group Inputs'!GC9)/Parameters!$B$4),2)</f>
        <v/>
      </c>
      <c r="L58" s="3" t="inlineStr">
        <is>
          <t>22 % [TERMS — PH]</t>
        </is>
      </c>
      <c r="M58" s="3" t="inlineStr">
        <is>
          <t>E-05, G-04</t>
        </is>
      </c>
      <c r="N58" s="3" t="inlineStr">
        <is>
          <t>net_debt_k, ebitda_annualised_k</t>
        </is>
      </c>
    </row>
    <row r="59">
      <c r="A59" s="2" t="inlineStr">
        <is>
          <t>LIQ-003</t>
        </is>
      </c>
      <c r="B59" s="3" t="inlineStr">
        <is>
          <t>Debt-maturity exposure, next 12 months</t>
        </is>
      </c>
      <c r="C59" s="3" t="inlineStr">
        <is>
          <t>₹ m</t>
        </is>
      </c>
      <c r="D59" s="3" t="inlineStr">
        <is>
          <t>Month end</t>
        </is>
      </c>
      <c r="E59" s="3" t="inlineStr">
        <is>
          <t>Debt maturing in next 12 months ÷ 1000</t>
        </is>
      </c>
      <c r="F59" s="21">
        <f>ROUND('Group Inputs'!CF4/1000,2)</f>
        <v/>
      </c>
      <c r="G59" s="21">
        <f>ROUND('Group Inputs'!CF5/1000,2)</f>
        <v/>
      </c>
      <c r="H59" s="21">
        <f>ROUND('Group Inputs'!CF6/1000,2)</f>
        <v/>
      </c>
      <c r="I59" s="21">
        <f>ROUND('Group Inputs'!CF7/1000,2)</f>
        <v/>
      </c>
      <c r="J59" s="21">
        <f>ROUND('Group Inputs'!CF8/1000,2)</f>
        <v/>
      </c>
      <c r="K59" s="21">
        <f>ROUND('Group Inputs'!CF9/1000,2)</f>
        <v/>
      </c>
      <c r="L59" s="3" t="inlineStr">
        <is>
          <t>₹120 m; 891.4 ₹ m (O-03)</t>
        </is>
      </c>
      <c r="M59" s="3" t="inlineStr">
        <is>
          <t>O-03, E-05, G-04</t>
        </is>
      </c>
      <c r="N59" s="3" t="inlineStr">
        <is>
          <t>debt_maturing_12m_k</t>
        </is>
      </c>
    </row>
    <row r="60">
      <c r="A60" s="2" t="inlineStr">
        <is>
          <t>LIQ-004</t>
        </is>
      </c>
      <c r="B60" s="3" t="inlineStr">
        <is>
          <t>Financing exposure (floating-rate debt)</t>
        </is>
      </c>
      <c r="C60" s="3" t="inlineStr">
        <is>
          <t>₹ m</t>
        </is>
      </c>
      <c r="D60" s="3" t="inlineStr">
        <is>
          <t>Month end</t>
        </is>
      </c>
      <c r="E60" s="3" t="inlineStr">
        <is>
          <t>Floating-rate debt ÷ 1000</t>
        </is>
      </c>
      <c r="F60" s="21">
        <f>ROUND('Group Inputs'!CG4/1000,2)</f>
        <v/>
      </c>
      <c r="G60" s="21">
        <f>ROUND('Group Inputs'!CG5/1000,2)</f>
        <v/>
      </c>
      <c r="H60" s="21">
        <f>ROUND('Group Inputs'!CG6/1000,2)</f>
        <v/>
      </c>
      <c r="I60" s="21">
        <f>ROUND('Group Inputs'!CG7/1000,2)</f>
        <v/>
      </c>
      <c r="J60" s="21">
        <f>ROUND('Group Inputs'!CG8/1000,2)</f>
        <v/>
      </c>
      <c r="K60" s="21">
        <f>ROUND('Group Inputs'!CG9/1000,2)</f>
        <v/>
      </c>
      <c r="L60" s="3" t="inlineStr">
        <is>
          <t>₹310 m; 2,720.8 ₹ m (O-03)</t>
        </is>
      </c>
      <c r="M60" s="3" t="inlineStr">
        <is>
          <t>O-03, G-04</t>
        </is>
      </c>
      <c r="N60" s="3" t="inlineStr">
        <is>
          <t>floating_rate_debt_k</t>
        </is>
      </c>
    </row>
    <row r="61">
      <c r="A61" s="2" t="inlineStr">
        <is>
          <t>TRS-001</t>
        </is>
      </c>
      <c r="B61" s="3" t="inlineStr">
        <is>
          <t>FX exposure, unhedged</t>
        </is>
      </c>
      <c r="C61" s="3" t="inlineStr">
        <is>
          <t>₹ m</t>
        </is>
      </c>
      <c r="D61" s="3" t="inlineStr">
        <is>
          <t>Month end</t>
        </is>
      </c>
      <c r="E61" s="3" t="inlineStr">
        <is>
          <t>(Foreign-currency exposure − Amount hedged) ÷ 1000</t>
        </is>
      </c>
      <c r="F61" s="21">
        <f>ROUND(('Group Inputs'!CZ4-'Group Inputs'!DA4)/1000,2)</f>
        <v/>
      </c>
      <c r="G61" s="21">
        <f>ROUND(('Group Inputs'!CZ5-'Group Inputs'!DA5)/1000,2)</f>
        <v/>
      </c>
      <c r="H61" s="21">
        <f>ROUND(('Group Inputs'!CZ6-'Group Inputs'!DA6)/1000,2)</f>
        <v/>
      </c>
      <c r="I61" s="21">
        <f>ROUND(('Group Inputs'!CZ7-'Group Inputs'!DA7)/1000,2)</f>
        <v/>
      </c>
      <c r="J61" s="21">
        <f>ROUND(('Group Inputs'!CZ8-'Group Inputs'!DA8)/1000,2)</f>
        <v/>
      </c>
      <c r="K61" s="21">
        <f>ROUND(('Group Inputs'!CZ9-'Group Inputs'!DA9)/1000,2)</f>
        <v/>
      </c>
      <c r="L61" s="3" t="inlineStr">
        <is>
          <t>₹64 m</t>
        </is>
      </c>
      <c r="M61" s="3" t="inlineStr">
        <is>
          <t>E-05, G-04</t>
        </is>
      </c>
      <c r="N61" s="3" t="inlineStr">
        <is>
          <t>fx_exposure_k, fx_hedged_k</t>
        </is>
      </c>
    </row>
    <row r="62">
      <c r="A62" s="2" t="inlineStr">
        <is>
          <t>TRS-002</t>
        </is>
      </c>
      <c r="B62" s="3" t="inlineStr">
        <is>
          <t>Hedging effectiveness</t>
        </is>
      </c>
      <c r="C62" s="3" t="inlineStr">
        <is>
          <t>%</t>
        </is>
      </c>
      <c r="D62" s="3" t="inlineStr">
        <is>
          <t>Month</t>
        </is>
      </c>
      <c r="E62" s="3" t="inlineStr">
        <is>
          <t>Change in value of hedges ÷ Change in value of hedged items × 100</t>
        </is>
      </c>
      <c r="F62" s="21">
        <f>ROUND(IF('Group Inputs'!DE4=0,0,100*'Group Inputs'!DD4/'Group Inputs'!DE4),2)</f>
        <v/>
      </c>
      <c r="G62" s="21">
        <f>ROUND(IF('Group Inputs'!DE5=0,0,100*'Group Inputs'!DD5/'Group Inputs'!DE5),2)</f>
        <v/>
      </c>
      <c r="H62" s="21">
        <f>ROUND(IF('Group Inputs'!DE6=0,0,100*'Group Inputs'!DD6/'Group Inputs'!DE6),2)</f>
        <v/>
      </c>
      <c r="I62" s="21">
        <f>ROUND(IF('Group Inputs'!DE7=0,0,100*'Group Inputs'!DD7/'Group Inputs'!DE7),2)</f>
        <v/>
      </c>
      <c r="J62" s="21">
        <f>ROUND(IF('Group Inputs'!DE8=0,0,100*'Group Inputs'!DD8/'Group Inputs'!DE8),2)</f>
        <v/>
      </c>
      <c r="K62" s="21">
        <f>ROUND(IF('Group Inputs'!DE9=0,0,100*'Group Inputs'!DD9/'Group Inputs'!DE9),2)</f>
        <v/>
      </c>
      <c r="L62" s="3" t="inlineStr">
        <is>
          <t>91%</t>
        </is>
      </c>
      <c r="M62" s="3" t="inlineStr">
        <is>
          <t>E-05, G-04</t>
        </is>
      </c>
      <c r="N62" s="3" t="inlineStr">
        <is>
          <t>hedge_value_change_k, hedged_item_value_change_k</t>
        </is>
      </c>
    </row>
    <row r="63">
      <c r="A63" s="2" t="inlineStr">
        <is>
          <t>TRS-003</t>
        </is>
      </c>
      <c r="B63" s="3" t="inlineStr">
        <is>
          <t>USD share of unhedged FX exposure</t>
        </is>
      </c>
      <c r="C63" s="3" t="inlineStr">
        <is>
          <t>%</t>
        </is>
      </c>
      <c r="D63" s="3" t="inlineStr">
        <is>
          <t>Month end</t>
        </is>
      </c>
      <c r="E63" s="3" t="inlineStr">
        <is>
          <t>(USD exposure − USD hedged) ÷ (FX exposure − FX hedged) × 100</t>
        </is>
      </c>
      <c r="F63" s="21">
        <f>ROUND(IF(('Group Inputs'!CZ4-'Group Inputs'!DA4)=0,0,100*('Group Inputs'!DB4-'Group Inputs'!DC4)/('Group Inputs'!CZ4-'Group Inputs'!DA4)),2)</f>
        <v/>
      </c>
      <c r="G63" s="21">
        <f>ROUND(IF(('Group Inputs'!CZ5-'Group Inputs'!DA5)=0,0,100*('Group Inputs'!DB5-'Group Inputs'!DC5)/('Group Inputs'!CZ5-'Group Inputs'!DA5)),2)</f>
        <v/>
      </c>
      <c r="H63" s="21">
        <f>ROUND(IF(('Group Inputs'!CZ6-'Group Inputs'!DA6)=0,0,100*('Group Inputs'!DB6-'Group Inputs'!DC6)/('Group Inputs'!CZ6-'Group Inputs'!DA6)),2)</f>
        <v/>
      </c>
      <c r="I63" s="21">
        <f>ROUND(IF(('Group Inputs'!CZ7-'Group Inputs'!DA7)=0,0,100*('Group Inputs'!DB7-'Group Inputs'!DC7)/('Group Inputs'!CZ7-'Group Inputs'!DA7)),2)</f>
        <v/>
      </c>
      <c r="J63" s="21">
        <f>ROUND(IF(('Group Inputs'!CZ8-'Group Inputs'!DA8)=0,0,100*('Group Inputs'!DB8-'Group Inputs'!DC8)/('Group Inputs'!CZ8-'Group Inputs'!DA8)),2)</f>
        <v/>
      </c>
      <c r="K63" s="21">
        <f>ROUND(IF(('Group Inputs'!CZ9-'Group Inputs'!DA9)=0,0,100*('Group Inputs'!DB9-'Group Inputs'!DC9)/('Group Inputs'!CZ9-'Group Inputs'!DA9)),2)</f>
        <v/>
      </c>
      <c r="L63" s="3" t="inlineStr">
        <is>
          <t>72% of unhedged</t>
        </is>
      </c>
      <c r="M63" s="3" t="inlineStr">
        <is>
          <t>—</t>
        </is>
      </c>
      <c r="N63" s="3" t="inlineStr">
        <is>
          <t>fx_exposure_k, fx_hedged_k, usd_exposure_k, usd_hedged_k</t>
        </is>
      </c>
    </row>
    <row r="64">
      <c r="A64" s="2" t="inlineStr">
        <is>
          <t>TRS-004</t>
        </is>
      </c>
      <c r="B64" s="3" t="inlineStr">
        <is>
          <t>Hedge cover, next 6 months</t>
        </is>
      </c>
      <c r="C64" s="3" t="inlineStr">
        <is>
          <t>%</t>
        </is>
      </c>
      <c r="D64" s="3" t="inlineStr">
        <is>
          <t>Next 6 months</t>
        </is>
      </c>
      <c r="E64" s="3" t="inlineStr">
        <is>
          <t>Foreign-currency flows hedged ÷ Forecast foreign-currency flows, next 6 months × 100</t>
        </is>
      </c>
      <c r="F64" s="21">
        <f>ROUND(IF('Group Inputs'!DF4=0,0,100*'Group Inputs'!DG4/'Group Inputs'!DF4),2)</f>
        <v/>
      </c>
      <c r="G64" s="21">
        <f>ROUND(IF('Group Inputs'!DF5=0,0,100*'Group Inputs'!DG5/'Group Inputs'!DF5),2)</f>
        <v/>
      </c>
      <c r="H64" s="21">
        <f>ROUND(IF('Group Inputs'!DF6=0,0,100*'Group Inputs'!DG6/'Group Inputs'!DF6),2)</f>
        <v/>
      </c>
      <c r="I64" s="21">
        <f>ROUND(IF('Group Inputs'!DF7=0,0,100*'Group Inputs'!DG7/'Group Inputs'!DF7),2)</f>
        <v/>
      </c>
      <c r="J64" s="21">
        <f>ROUND(IF('Group Inputs'!DF8=0,0,100*'Group Inputs'!DG8/'Group Inputs'!DF8),2)</f>
        <v/>
      </c>
      <c r="K64" s="21">
        <f>ROUND(IF('Group Inputs'!DF9=0,0,100*'Group Inputs'!DG9/'Group Inputs'!DF9),2)</f>
        <v/>
      </c>
      <c r="L64" s="3" t="inlineStr">
        <is>
          <t>68%; 70.7 % (O-03)</t>
        </is>
      </c>
      <c r="M64" s="3" t="inlineStr">
        <is>
          <t>O-03, E-05, G-04</t>
        </is>
      </c>
      <c r="N64" s="3" t="inlineStr">
        <is>
          <t>fx_flows_6m_k, fx_hedged_6m_k</t>
        </is>
      </c>
    </row>
    <row r="65">
      <c r="A65" s="2" t="inlineStr">
        <is>
          <t>TRS-005</t>
        </is>
      </c>
      <c r="B65" s="3" t="inlineStr">
        <is>
          <t>FX sensitivity, 5% USD move</t>
        </is>
      </c>
      <c r="C65" s="3" t="inlineStr">
        <is>
          <t>₹ m</t>
        </is>
      </c>
      <c r="D65" s="3" t="inlineStr">
        <is>
          <t>Month end</t>
        </is>
      </c>
      <c r="E65" s="3" t="inlineStr">
        <is>
          <t>5% × (USD exposure − USD hedged) ÷ 1000</t>
        </is>
      </c>
      <c r="F65" s="21">
        <f>ROUND(0.05*('Group Inputs'!DB4-'Group Inputs'!DC4)/1000,2)</f>
        <v/>
      </c>
      <c r="G65" s="21">
        <f>ROUND(0.05*('Group Inputs'!DB5-'Group Inputs'!DC5)/1000,2)</f>
        <v/>
      </c>
      <c r="H65" s="21">
        <f>ROUND(0.05*('Group Inputs'!DB6-'Group Inputs'!DC6)/1000,2)</f>
        <v/>
      </c>
      <c r="I65" s="21">
        <f>ROUND(0.05*('Group Inputs'!DB7-'Group Inputs'!DC7)/1000,2)</f>
        <v/>
      </c>
      <c r="J65" s="21">
        <f>ROUND(0.05*('Group Inputs'!DB8-'Group Inputs'!DC8)/1000,2)</f>
        <v/>
      </c>
      <c r="K65" s="21">
        <f>ROUND(0.05*('Group Inputs'!DB9-'Group Inputs'!DC9)/1000,2)</f>
        <v/>
      </c>
      <c r="L65" s="3" t="inlineStr">
        <is>
          <t>₹3.2 m EBITDA</t>
        </is>
      </c>
      <c r="M65" s="3" t="inlineStr">
        <is>
          <t>—</t>
        </is>
      </c>
      <c r="N65" s="3" t="inlineStr">
        <is>
          <t>usd_exposure_k, usd_hedged_k</t>
        </is>
      </c>
    </row>
    <row r="66">
      <c r="A66" s="2" t="inlineStr">
        <is>
          <t>CPX-001</t>
        </is>
      </c>
      <c r="B66" s="3" t="inlineStr">
        <is>
          <t>Approved capex budget</t>
        </is>
      </c>
      <c r="C66" s="3" t="inlineStr">
        <is>
          <t>₹ m</t>
        </is>
      </c>
      <c r="D66" s="3" t="inlineStr">
        <is>
          <t>Full year</t>
        </is>
      </c>
      <c r="E66" s="3" t="inlineStr">
        <is>
          <t>Approved capex budget ÷ 1000</t>
        </is>
      </c>
      <c r="F66" s="21">
        <f>ROUND('Group Inputs'!DH4/1000,2)</f>
        <v/>
      </c>
      <c r="G66" s="21">
        <f>ROUND('Group Inputs'!DH5/1000,2)</f>
        <v/>
      </c>
      <c r="H66" s="21">
        <f>ROUND('Group Inputs'!DH6/1000,2)</f>
        <v/>
      </c>
      <c r="I66" s="21">
        <f>ROUND('Group Inputs'!DH7/1000,2)</f>
        <v/>
      </c>
      <c r="J66" s="21">
        <f>ROUND('Group Inputs'!DH8/1000,2)</f>
        <v/>
      </c>
      <c r="K66" s="21">
        <f>ROUND('Group Inputs'!DH9/1000,2)</f>
        <v/>
      </c>
      <c r="L66" s="3" t="inlineStr">
        <is>
          <t>850 ₹ m</t>
        </is>
      </c>
      <c r="M66" s="3" t="inlineStr">
        <is>
          <t>E-06,G-06,O-04</t>
        </is>
      </c>
      <c r="N66" s="3" t="inlineStr">
        <is>
          <t>capex_budget_k</t>
        </is>
      </c>
    </row>
    <row r="67">
      <c r="A67" s="2" t="inlineStr">
        <is>
          <t>CPX-002</t>
        </is>
      </c>
      <c r="B67" s="3" t="inlineStr">
        <is>
          <t>Committed capex</t>
        </is>
      </c>
      <c r="C67" s="3" t="inlineStr">
        <is>
          <t>₹ m</t>
        </is>
      </c>
      <c r="D67" s="3" t="inlineStr">
        <is>
          <t>To date</t>
        </is>
      </c>
      <c r="E67" s="3" t="inlineStr">
        <is>
          <t>Capex committed to date ÷ 1000</t>
        </is>
      </c>
      <c r="F67" s="21">
        <f>ROUND('Group Inputs'!DI4/1000,2)</f>
        <v/>
      </c>
      <c r="G67" s="21">
        <f>ROUND('Group Inputs'!DI5/1000,2)</f>
        <v/>
      </c>
      <c r="H67" s="21">
        <f>ROUND('Group Inputs'!DI6/1000,2)</f>
        <v/>
      </c>
      <c r="I67" s="21">
        <f>ROUND('Group Inputs'!DI7/1000,2)</f>
        <v/>
      </c>
      <c r="J67" s="21">
        <f>ROUND('Group Inputs'!DI8/1000,2)</f>
        <v/>
      </c>
      <c r="K67" s="21">
        <f>ROUND('Group Inputs'!DI9/1000,2)</f>
        <v/>
      </c>
      <c r="L67" s="3" t="inlineStr">
        <is>
          <t>610 ₹ m · 72%</t>
        </is>
      </c>
      <c r="M67" s="3" t="inlineStr">
        <is>
          <t>E-06,G-06,O-04</t>
        </is>
      </c>
      <c r="N67" s="3" t="inlineStr">
        <is>
          <t>capex_committed_k</t>
        </is>
      </c>
    </row>
    <row r="68">
      <c r="A68" s="2" t="inlineStr">
        <is>
          <t>CPX-003</t>
        </is>
      </c>
      <c r="B68" s="3" t="inlineStr">
        <is>
          <t>Capex actual spend YTD</t>
        </is>
      </c>
      <c r="C68" s="3" t="inlineStr">
        <is>
          <t>₹ m</t>
        </is>
      </c>
      <c r="D68" s="3" t="inlineStr">
        <is>
          <t>Year to date</t>
        </is>
      </c>
      <c r="E68" s="3" t="inlineStr">
        <is>
          <t>Sum of capex spent since April ÷ 1000</t>
        </is>
      </c>
      <c r="F68" s="21">
        <f>ROUND(SUM('Group Inputs'!DJ$4:DJ4)/1000,2)</f>
        <v/>
      </c>
      <c r="G68" s="21">
        <f>ROUND(SUM('Group Inputs'!DJ$4:DJ5)/1000,2)</f>
        <v/>
      </c>
      <c r="H68" s="21">
        <f>ROUND(SUM('Group Inputs'!DJ$4:DJ6)/1000,2)</f>
        <v/>
      </c>
      <c r="I68" s="21">
        <f>ROUND(SUM('Group Inputs'!DJ$4:DJ7)/1000,2)</f>
        <v/>
      </c>
      <c r="J68" s="21">
        <f>ROUND(SUM('Group Inputs'!DJ$4:DJ8)/1000,2)</f>
        <v/>
      </c>
      <c r="K68" s="21">
        <f>ROUND(SUM('Group Inputs'!DJ$4:DJ9)/1000,2)</f>
        <v/>
      </c>
      <c r="L68" s="3" t="inlineStr">
        <is>
          <t>402 ₹ m · 47%</t>
        </is>
      </c>
      <c r="M68" s="3" t="inlineStr">
        <is>
          <t>E-06,G-06,O-04</t>
        </is>
      </c>
      <c r="N68" s="3" t="inlineStr">
        <is>
          <t>capex_spend_k</t>
        </is>
      </c>
    </row>
    <row r="69">
      <c r="A69" s="2" t="inlineStr">
        <is>
          <t>CPX-004</t>
        </is>
      </c>
      <c r="B69" s="3" t="inlineStr">
        <is>
          <t>Capex physical progress, weighted</t>
        </is>
      </c>
      <c r="C69" s="3" t="inlineStr">
        <is>
          <t>%</t>
        </is>
      </c>
      <c r="D69" s="3" t="inlineStr">
        <is>
          <t>To date</t>
        </is>
      </c>
      <c r="E69" s="3" t="inlineStr">
        <is>
          <t>Work completed valued at budget ÷ Approved budget × 100 (weights each project by its budget)</t>
        </is>
      </c>
      <c r="F69" s="21">
        <f>ROUND(IF('Group Inputs'!DH4=0,0,100*'Group Inputs'!DK4/'Group Inputs'!DH4),2)</f>
        <v/>
      </c>
      <c r="G69" s="21">
        <f>ROUND(IF('Group Inputs'!DH5=0,0,100*'Group Inputs'!DK5/'Group Inputs'!DH5),2)</f>
        <v/>
      </c>
      <c r="H69" s="21">
        <f>ROUND(IF('Group Inputs'!DH6=0,0,100*'Group Inputs'!DK6/'Group Inputs'!DH6),2)</f>
        <v/>
      </c>
      <c r="I69" s="21">
        <f>ROUND(IF('Group Inputs'!DH7=0,0,100*'Group Inputs'!DK7/'Group Inputs'!DH7),2)</f>
        <v/>
      </c>
      <c r="J69" s="21">
        <f>ROUND(IF('Group Inputs'!DH8=0,0,100*'Group Inputs'!DK8/'Group Inputs'!DH8),2)</f>
        <v/>
      </c>
      <c r="K69" s="21">
        <f>ROUND(IF('Group Inputs'!DH9=0,0,100*'Group Inputs'!DK9/'Group Inputs'!DH9),2)</f>
        <v/>
      </c>
      <c r="L69" s="3" t="inlineStr">
        <is>
          <t>61 % weighted</t>
        </is>
      </c>
      <c r="M69" s="3" t="inlineStr">
        <is>
          <t>E-06,G-01,G-06,O-01,O-04,STATE GALLERY</t>
        </is>
      </c>
      <c r="N69" s="3" t="inlineStr">
        <is>
          <t>capex_budget_k, capex_earned_value_k</t>
        </is>
      </c>
    </row>
    <row r="70">
      <c r="A70" s="2" t="inlineStr">
        <is>
          <t>SIG-011</t>
        </is>
      </c>
      <c r="B70" s="3" t="inlineStr">
        <is>
          <t>Capex value at risk</t>
        </is>
      </c>
      <c r="C70" s="3" t="inlineStr">
        <is>
          <t>₹ m</t>
        </is>
      </c>
      <c r="D70" s="3" t="inlineStr">
        <is>
          <t>Month end</t>
        </is>
      </c>
      <c r="E70" s="3" t="inlineStr">
        <is>
          <t>Budget of projects at risk ÷ 1000</t>
        </is>
      </c>
      <c r="F70" s="21">
        <f>ROUND('Group Inputs'!DL4/1000,2)</f>
        <v/>
      </c>
      <c r="G70" s="21">
        <f>ROUND('Group Inputs'!DL5/1000,2)</f>
        <v/>
      </c>
      <c r="H70" s="21">
        <f>ROUND('Group Inputs'!DL6/1000,2)</f>
        <v/>
      </c>
      <c r="I70" s="21">
        <f>ROUND('Group Inputs'!DL7/1000,2)</f>
        <v/>
      </c>
      <c r="J70" s="21">
        <f>ROUND('Group Inputs'!DL8/1000,2)</f>
        <v/>
      </c>
      <c r="K70" s="21">
        <f>ROUND('Group Inputs'!DL9/1000,2)</f>
        <v/>
      </c>
      <c r="L70" s="3" t="inlineStr">
        <is>
          <t>₹34 m</t>
        </is>
      </c>
      <c r="M70" s="3" t="inlineStr">
        <is>
          <t>E-06,G-06,O-04</t>
        </is>
      </c>
      <c r="N70" s="3" t="inlineStr">
        <is>
          <t>capex_at_risk_k</t>
        </is>
      </c>
    </row>
    <row r="71">
      <c r="A71" s="2" t="inlineStr">
        <is>
          <t>PRG-001</t>
        </is>
      </c>
      <c r="B71" s="3" t="inlineStr">
        <is>
          <t>Capex project status</t>
        </is>
      </c>
      <c r="C71" s="3" t="inlineStr">
        <is>
          <t>text</t>
        </is>
      </c>
      <c r="D71" s="3" t="inlineStr">
        <is>
          <t>Month end</t>
        </is>
      </c>
      <c r="E71" s="3" t="inlineStr">
        <is>
          <t>Count of projects by status</t>
        </is>
      </c>
      <c r="F71" s="8">
        <f>'Group Inputs'!DM4&amp;" on track · "&amp;'Group Inputs'!DN4&amp;" at risk · "&amp;'Group Inputs'!DO4&amp;" off track"</f>
        <v/>
      </c>
      <c r="G71" s="8">
        <f>'Group Inputs'!DM5&amp;" on track · "&amp;'Group Inputs'!DN5&amp;" at risk · "&amp;'Group Inputs'!DO5&amp;" off track"</f>
        <v/>
      </c>
      <c r="H71" s="8">
        <f>'Group Inputs'!DM6&amp;" on track · "&amp;'Group Inputs'!DN6&amp;" at risk · "&amp;'Group Inputs'!DO6&amp;" off track"</f>
        <v/>
      </c>
      <c r="I71" s="8">
        <f>'Group Inputs'!DM7&amp;" on track · "&amp;'Group Inputs'!DN7&amp;" at risk · "&amp;'Group Inputs'!DO7&amp;" off track"</f>
        <v/>
      </c>
      <c r="J71" s="8">
        <f>'Group Inputs'!DM8&amp;" on track · "&amp;'Group Inputs'!DN8&amp;" at risk · "&amp;'Group Inputs'!DO8&amp;" off track"</f>
        <v/>
      </c>
      <c r="K71" s="8">
        <f>'Group Inputs'!DM9&amp;" on track · "&amp;'Group Inputs'!DN9&amp;" at risk · "&amp;'Group Inputs'!DO9&amp;" off track"</f>
        <v/>
      </c>
      <c r="L71" s="3" t="inlineStr">
        <is>
          <t>9 on track · 2 at risk · 0 off track</t>
        </is>
      </c>
      <c r="M71" s="3" t="inlineStr">
        <is>
          <t>G-06,O-04</t>
        </is>
      </c>
      <c r="N71" s="3" t="inlineStr">
        <is>
          <t>projects_on_track, projects_at_risk, projects_off_track</t>
        </is>
      </c>
    </row>
    <row r="72">
      <c r="A72" s="2" t="inlineStr">
        <is>
          <t>PRG-002</t>
        </is>
      </c>
      <c r="B72" s="3" t="inlineStr">
        <is>
          <t>Benefits realisation</t>
        </is>
      </c>
      <c r="C72" s="3" t="inlineStr">
        <is>
          <t>%</t>
        </is>
      </c>
      <c r="D72" s="3" t="inlineStr">
        <is>
          <t>Year to date</t>
        </is>
      </c>
      <c r="E72" s="3" t="inlineStr">
        <is>
          <t>Benefits delivered since April ÷ Benefits planned since April × 100</t>
        </is>
      </c>
      <c r="F72" s="21">
        <f>ROUND(IF(SUM('Group Inputs'!DX$4:DX4)=0,0,100*SUM('Group Inputs'!DY$4:DY4)/SUM('Group Inputs'!DX$4:DX4)),2)</f>
        <v/>
      </c>
      <c r="G72" s="21">
        <f>ROUND(IF(SUM('Group Inputs'!DX$4:DX5)=0,0,100*SUM('Group Inputs'!DY$4:DY5)/SUM('Group Inputs'!DX$4:DX5)),2)</f>
        <v/>
      </c>
      <c r="H72" s="21">
        <f>ROUND(IF(SUM('Group Inputs'!DX$4:DX6)=0,0,100*SUM('Group Inputs'!DY$4:DY6)/SUM('Group Inputs'!DX$4:DX6)),2)</f>
        <v/>
      </c>
      <c r="I72" s="21">
        <f>ROUND(IF(SUM('Group Inputs'!DX$4:DX7)=0,0,100*SUM('Group Inputs'!DY$4:DY7)/SUM('Group Inputs'!DX$4:DX7)),2)</f>
        <v/>
      </c>
      <c r="J72" s="21">
        <f>ROUND(IF(SUM('Group Inputs'!DX$4:DX8)=0,0,100*SUM('Group Inputs'!DY$4:DY8)/SUM('Group Inputs'!DX$4:DX8)),2)</f>
        <v/>
      </c>
      <c r="K72" s="21">
        <f>ROUND(IF(SUM('Group Inputs'!DX$4:DX9)=0,0,100*SUM('Group Inputs'!DY$4:DY9)/SUM('Group Inputs'!DX$4:DX9)),2)</f>
        <v/>
      </c>
      <c r="L72" s="3" t="inlineStr">
        <is>
          <t>48 % of plan</t>
        </is>
      </c>
      <c r="M72" s="3" t="inlineStr">
        <is>
          <t>E-06,G-06,O-04</t>
        </is>
      </c>
      <c r="N72" s="3" t="inlineStr">
        <is>
          <t>benefits_planned_k, benefits_delivered_k</t>
        </is>
      </c>
    </row>
    <row r="73">
      <c r="A73" s="2" t="inlineStr">
        <is>
          <t>PRG-003</t>
        </is>
      </c>
      <c r="B73" s="3" t="inlineStr">
        <is>
          <t>Delayed projects</t>
        </is>
      </c>
      <c r="C73" s="3" t="inlineStr">
        <is>
          <t>count</t>
        </is>
      </c>
      <c r="D73" s="3" t="inlineStr">
        <is>
          <t>Month end</t>
        </is>
      </c>
      <c r="E73" s="3" t="inlineStr">
        <is>
          <t>Capex projects delayed</t>
        </is>
      </c>
      <c r="F73" s="21">
        <f>ROUND('Group Inputs'!DP4,2)</f>
        <v/>
      </c>
      <c r="G73" s="21">
        <f>ROUND('Group Inputs'!DP5,2)</f>
        <v/>
      </c>
      <c r="H73" s="21">
        <f>ROUND('Group Inputs'!DP6,2)</f>
        <v/>
      </c>
      <c r="I73" s="21">
        <f>ROUND('Group Inputs'!DP7,2)</f>
        <v/>
      </c>
      <c r="J73" s="21">
        <f>ROUND('Group Inputs'!DP8,2)</f>
        <v/>
      </c>
      <c r="K73" s="21">
        <f>ROUND('Group Inputs'!DP9,2)</f>
        <v/>
      </c>
      <c r="L73" s="3" t="inlineStr">
        <is>
          <t>1</t>
        </is>
      </c>
      <c r="M73" s="3" t="inlineStr">
        <is>
          <t>E-06,G-06,O-04</t>
        </is>
      </c>
      <c r="N73" s="3" t="inlineStr">
        <is>
          <t>projects_delayed</t>
        </is>
      </c>
    </row>
    <row r="74">
      <c r="A74" s="2" t="inlineStr">
        <is>
          <t>PRG-004</t>
        </is>
      </c>
      <c r="B74" s="3" t="inlineStr">
        <is>
          <t>Capex / transformation progress (same measure as STR-002)</t>
        </is>
      </c>
      <c r="C74" s="3" t="inlineStr">
        <is>
          <t>%</t>
        </is>
      </c>
      <c r="D74" s="3" t="inlineStr">
        <is>
          <t>To date</t>
        </is>
      </c>
      <c r="E74" s="3" t="inlineStr">
        <is>
          <t>Transformation milestones completed ÷ Milestones in plan × 100</t>
        </is>
      </c>
      <c r="F74" s="21">
        <f>ROUND(IF('Group Inputs'!DV4=0,0,100*'Group Inputs'!DW4/'Group Inputs'!DV4),2)</f>
        <v/>
      </c>
      <c r="G74" s="21">
        <f>ROUND(IF('Group Inputs'!DV5=0,0,100*'Group Inputs'!DW5/'Group Inputs'!DV5),2)</f>
        <v/>
      </c>
      <c r="H74" s="21">
        <f>ROUND(IF('Group Inputs'!DV6=0,0,100*'Group Inputs'!DW6/'Group Inputs'!DV6),2)</f>
        <v/>
      </c>
      <c r="I74" s="21">
        <f>ROUND(IF('Group Inputs'!DV7=0,0,100*'Group Inputs'!DW7/'Group Inputs'!DV7),2)</f>
        <v/>
      </c>
      <c r="J74" s="21">
        <f>ROUND(IF('Group Inputs'!DV8=0,0,100*'Group Inputs'!DW8/'Group Inputs'!DV8),2)</f>
        <v/>
      </c>
      <c r="K74" s="21">
        <f>ROUND(IF('Group Inputs'!DV9=0,0,100*'Group Inputs'!DW9/'Group Inputs'!DV9),2)</f>
        <v/>
      </c>
      <c r="L74" s="3" t="inlineStr">
        <is>
          <t>54%</t>
        </is>
      </c>
      <c r="M74" s="3" t="inlineStr">
        <is>
          <t>E-01,G-01,O-01,O-04</t>
        </is>
      </c>
      <c r="N74" s="3" t="inlineStr">
        <is>
          <t>milestones_total, milestones_done</t>
        </is>
      </c>
    </row>
    <row r="75">
      <c r="A75" s="2" t="inlineStr">
        <is>
          <t>STR-002</t>
        </is>
      </c>
      <c r="B75" s="3" t="inlineStr">
        <is>
          <t>Transformation progress</t>
        </is>
      </c>
      <c r="C75" s="3" t="inlineStr">
        <is>
          <t>%</t>
        </is>
      </c>
      <c r="D75" s="3" t="inlineStr">
        <is>
          <t>To date</t>
        </is>
      </c>
      <c r="E75" s="3" t="inlineStr">
        <is>
          <t>Transformation milestones completed ÷ Milestones in plan × 100</t>
        </is>
      </c>
      <c r="F75" s="21">
        <f>ROUND(IF('Group Inputs'!DV4=0,0,100*'Group Inputs'!DW4/'Group Inputs'!DV4),2)</f>
        <v/>
      </c>
      <c r="G75" s="21">
        <f>ROUND(IF('Group Inputs'!DV5=0,0,100*'Group Inputs'!DW5/'Group Inputs'!DV5),2)</f>
        <v/>
      </c>
      <c r="H75" s="21">
        <f>ROUND(IF('Group Inputs'!DV6=0,0,100*'Group Inputs'!DW6/'Group Inputs'!DV6),2)</f>
        <v/>
      </c>
      <c r="I75" s="21">
        <f>ROUND(IF('Group Inputs'!DV7=0,0,100*'Group Inputs'!DW7/'Group Inputs'!DV7),2)</f>
        <v/>
      </c>
      <c r="J75" s="21">
        <f>ROUND(IF('Group Inputs'!DV8=0,0,100*'Group Inputs'!DW8/'Group Inputs'!DV8),2)</f>
        <v/>
      </c>
      <c r="K75" s="21">
        <f>ROUND(IF('Group Inputs'!DV9=0,0,100*'Group Inputs'!DW9/'Group Inputs'!DV9),2)</f>
        <v/>
      </c>
      <c r="L75" s="3" t="inlineStr">
        <is>
          <t>54%</t>
        </is>
      </c>
      <c r="M75" s="3" t="inlineStr">
        <is>
          <t>G-06,O-01,O-04,STATE GALLERY</t>
        </is>
      </c>
      <c r="N75" s="3" t="inlineStr">
        <is>
          <t>milestones_total, milestones_done</t>
        </is>
      </c>
    </row>
    <row r="76">
      <c r="A76" s="2" t="inlineStr">
        <is>
          <t>PRG-005</t>
        </is>
      </c>
      <c r="B76" s="3" t="inlineStr">
        <is>
          <t>Transformation initiative status</t>
        </is>
      </c>
      <c r="C76" s="3" t="inlineStr">
        <is>
          <t>text</t>
        </is>
      </c>
      <c r="D76" s="3" t="inlineStr">
        <is>
          <t>Month end</t>
        </is>
      </c>
      <c r="E76" s="3" t="inlineStr">
        <is>
          <t>Count of transformation initiatives by status</t>
        </is>
      </c>
      <c r="F76" s="8">
        <f>'Group Inputs'!DS4&amp;" on track · "&amp;'Group Inputs'!DT4&amp;" at risk · "&amp;'Group Inputs'!DU4&amp;" delayed"</f>
        <v/>
      </c>
      <c r="G76" s="8">
        <f>'Group Inputs'!DS5&amp;" on track · "&amp;'Group Inputs'!DT5&amp;" at risk · "&amp;'Group Inputs'!DU5&amp;" delayed"</f>
        <v/>
      </c>
      <c r="H76" s="8">
        <f>'Group Inputs'!DS6&amp;" on track · "&amp;'Group Inputs'!DT6&amp;" at risk · "&amp;'Group Inputs'!DU6&amp;" delayed"</f>
        <v/>
      </c>
      <c r="I76" s="8">
        <f>'Group Inputs'!DS7&amp;" on track · "&amp;'Group Inputs'!DT7&amp;" at risk · "&amp;'Group Inputs'!DU7&amp;" delayed"</f>
        <v/>
      </c>
      <c r="J76" s="8">
        <f>'Group Inputs'!DS8&amp;" on track · "&amp;'Group Inputs'!DT8&amp;" at risk · "&amp;'Group Inputs'!DU8&amp;" delayed"</f>
        <v/>
      </c>
      <c r="K76" s="8">
        <f>'Group Inputs'!DS9&amp;" on track · "&amp;'Group Inputs'!DT9&amp;" at risk · "&amp;'Group Inputs'!DU9&amp;" delayed"</f>
        <v/>
      </c>
      <c r="L76" s="3" t="inlineStr">
        <is>
          <t>15 on track · 6 at risk · 3 delayed</t>
        </is>
      </c>
      <c r="M76" s="3" t="inlineStr">
        <is>
          <t>E-06,O-04</t>
        </is>
      </c>
      <c r="N76" s="3" t="inlineStr">
        <is>
          <t>initiatives_on_track, initiatives_at_risk, initiatives_delayed</t>
        </is>
      </c>
    </row>
    <row r="77">
      <c r="A77" s="2" t="inlineStr">
        <is>
          <t>SUP-006</t>
        </is>
      </c>
      <c r="B77" s="3" t="inlineStr">
        <is>
          <t>Contractor slippage</t>
        </is>
      </c>
      <c r="C77" s="3" t="inlineStr">
        <is>
          <t>days</t>
        </is>
      </c>
      <c r="D77" s="3" t="inlineStr">
        <is>
          <t>Month</t>
        </is>
      </c>
      <c r="E77" s="3" t="inlineStr">
        <is>
          <t>Contractor days late ÷ Contractor milestones due (average days late per milestone)</t>
        </is>
      </c>
      <c r="F77" s="21">
        <f>ROUND(IF('Group Inputs'!DQ4=0,0,'Group Inputs'!DR4/'Group Inputs'!DQ4),2)</f>
        <v/>
      </c>
      <c r="G77" s="21">
        <f>ROUND(IF('Group Inputs'!DQ5=0,0,'Group Inputs'!DR5/'Group Inputs'!DQ5),2)</f>
        <v/>
      </c>
      <c r="H77" s="21">
        <f>ROUND(IF('Group Inputs'!DQ6=0,0,'Group Inputs'!DR6/'Group Inputs'!DQ6),2)</f>
        <v/>
      </c>
      <c r="I77" s="21">
        <f>ROUND(IF('Group Inputs'!DQ7=0,0,'Group Inputs'!DR7/'Group Inputs'!DQ7),2)</f>
        <v/>
      </c>
      <c r="J77" s="21">
        <f>ROUND(IF('Group Inputs'!DQ8=0,0,'Group Inputs'!DR8/'Group Inputs'!DQ8),2)</f>
        <v/>
      </c>
      <c r="K77" s="21">
        <f>ROUND(IF('Group Inputs'!DQ9=0,0,'Group Inputs'!DR9/'Group Inputs'!DQ9),2)</f>
        <v/>
      </c>
      <c r="L77" s="3" t="inlineStr">
        <is>
          <t>Not shown</t>
        </is>
      </c>
      <c r="M77" s="3" t="inlineStr">
        <is>
          <t>E-04,E-06,G-06</t>
        </is>
      </c>
      <c r="N77" s="3" t="inlineStr">
        <is>
          <t>contractor_milestones_due, contractor_days_late</t>
        </is>
      </c>
    </row>
    <row r="78">
      <c r="A78" s="2" t="inlineStr">
        <is>
          <t>VAL-001</t>
        </is>
      </c>
      <c r="B78" s="3" t="inlineStr">
        <is>
          <t>EBITDA benefit YTD</t>
        </is>
      </c>
      <c r="C78" s="3" t="inlineStr">
        <is>
          <t>₹ m</t>
        </is>
      </c>
      <c r="D78" s="3" t="inlineStr">
        <is>
          <t>Year to date</t>
        </is>
      </c>
      <c r="E78" s="3" t="inlineStr">
        <is>
          <t>Sum of EBITDA benefit since April ÷ 1000</t>
        </is>
      </c>
      <c r="F78" s="21">
        <f>ROUND(SUM('Group Inputs'!DZ$4:DZ4)/1000,2)</f>
        <v/>
      </c>
      <c r="G78" s="21">
        <f>ROUND(SUM('Group Inputs'!DZ$4:DZ5)/1000,2)</f>
        <v/>
      </c>
      <c r="H78" s="21">
        <f>ROUND(SUM('Group Inputs'!DZ$4:DZ6)/1000,2)</f>
        <v/>
      </c>
      <c r="I78" s="21">
        <f>ROUND(SUM('Group Inputs'!DZ$4:DZ7)/1000,2)</f>
        <v/>
      </c>
      <c r="J78" s="21">
        <f>ROUND(SUM('Group Inputs'!DZ$4:DZ8)/1000,2)</f>
        <v/>
      </c>
      <c r="K78" s="21">
        <f>ROUND(SUM('Group Inputs'!DZ$4:DZ9)/1000,2)</f>
        <v/>
      </c>
      <c r="L78" s="3" t="inlineStr">
        <is>
          <t>₹14 m</t>
        </is>
      </c>
      <c r="M78" s="3" t="inlineStr">
        <is>
          <t>E-06,G-06,O-04</t>
        </is>
      </c>
      <c r="N78" s="3" t="inlineStr">
        <is>
          <t>ebitda_benefit_k</t>
        </is>
      </c>
    </row>
    <row r="79">
      <c r="A79" s="2" t="inlineStr">
        <is>
          <t>VAL-002</t>
        </is>
      </c>
      <c r="B79" s="3" t="inlineStr">
        <is>
          <t>Cash benefit YTD</t>
        </is>
      </c>
      <c r="C79" s="3" t="inlineStr">
        <is>
          <t>₹ m</t>
        </is>
      </c>
      <c r="D79" s="3" t="inlineStr">
        <is>
          <t>Year to date</t>
        </is>
      </c>
      <c r="E79" s="3" t="inlineStr">
        <is>
          <t>Sum of cash benefit since April ÷ 1000</t>
        </is>
      </c>
      <c r="F79" s="21">
        <f>ROUND(SUM('Group Inputs'!EA$4:EA4)/1000,2)</f>
        <v/>
      </c>
      <c r="G79" s="21">
        <f>ROUND(SUM('Group Inputs'!EA$4:EA5)/1000,2)</f>
        <v/>
      </c>
      <c r="H79" s="21">
        <f>ROUND(SUM('Group Inputs'!EA$4:EA6)/1000,2)</f>
        <v/>
      </c>
      <c r="I79" s="21">
        <f>ROUND(SUM('Group Inputs'!EA$4:EA7)/1000,2)</f>
        <v/>
      </c>
      <c r="J79" s="21">
        <f>ROUND(SUM('Group Inputs'!EA$4:EA8)/1000,2)</f>
        <v/>
      </c>
      <c r="K79" s="21">
        <f>ROUND(SUM('Group Inputs'!EA$4:EA9)/1000,2)</f>
        <v/>
      </c>
      <c r="L79" s="3" t="inlineStr">
        <is>
          <t>₹9 m</t>
        </is>
      </c>
      <c r="M79" s="3" t="inlineStr">
        <is>
          <t>E-06,G-06,O-04</t>
        </is>
      </c>
      <c r="N79" s="3" t="inlineStr">
        <is>
          <t>cash_benefit_k</t>
        </is>
      </c>
    </row>
    <row r="80">
      <c r="A80" s="2" t="inlineStr">
        <is>
          <t>VAL-003</t>
        </is>
      </c>
      <c r="B80" s="3" t="inlineStr">
        <is>
          <t>Cost savings delivered YTD</t>
        </is>
      </c>
      <c r="C80" s="3" t="inlineStr">
        <is>
          <t>₹ m</t>
        </is>
      </c>
      <c r="D80" s="3" t="inlineStr">
        <is>
          <t>Year to date</t>
        </is>
      </c>
      <c r="E80" s="3" t="inlineStr">
        <is>
          <t>Sum of cost savings since April ÷ 1000</t>
        </is>
      </c>
      <c r="F80" s="21">
        <f>ROUND(SUM('Group Inputs'!EB$4:EB4)/1000,2)</f>
        <v/>
      </c>
      <c r="G80" s="21">
        <f>ROUND(SUM('Group Inputs'!EB$4:EB5)/1000,2)</f>
        <v/>
      </c>
      <c r="H80" s="21">
        <f>ROUND(SUM('Group Inputs'!EB$4:EB6)/1000,2)</f>
        <v/>
      </c>
      <c r="I80" s="21">
        <f>ROUND(SUM('Group Inputs'!EB$4:EB7)/1000,2)</f>
        <v/>
      </c>
      <c r="J80" s="21">
        <f>ROUND(SUM('Group Inputs'!EB$4:EB8)/1000,2)</f>
        <v/>
      </c>
      <c r="K80" s="21">
        <f>ROUND(SUM('Group Inputs'!EB$4:EB9)/1000,2)</f>
        <v/>
      </c>
      <c r="L80" s="3" t="inlineStr">
        <is>
          <t>₹11 m</t>
        </is>
      </c>
      <c r="M80" s="3" t="inlineStr">
        <is>
          <t>E-06,G-06,O-04</t>
        </is>
      </c>
      <c r="N80" s="3" t="inlineStr">
        <is>
          <t>cost_savings_k</t>
        </is>
      </c>
    </row>
    <row r="81">
      <c r="A81" s="2" t="inlineStr">
        <is>
          <t>SUP-001</t>
        </is>
      </c>
      <c r="B81" s="3" t="inlineStr">
        <is>
          <t>Supplier on-time delivery</t>
        </is>
      </c>
      <c r="C81" s="3" t="inlineStr">
        <is>
          <t>%</t>
        </is>
      </c>
      <c r="D81" s="3" t="inlineStr">
        <is>
          <t>Month</t>
        </is>
      </c>
      <c r="E81" s="3" t="inlineStr">
        <is>
          <t>Purchase-order lines on time ÷ Lines due × 100</t>
        </is>
      </c>
      <c r="F81" s="21">
        <f>ROUND(IF('Group Inputs'!AY4=0,0,100*'Group Inputs'!AZ4/'Group Inputs'!AY4),2)</f>
        <v/>
      </c>
      <c r="G81" s="21">
        <f>ROUND(IF('Group Inputs'!AY5=0,0,100*'Group Inputs'!AZ5/'Group Inputs'!AY5),2)</f>
        <v/>
      </c>
      <c r="H81" s="21">
        <f>ROUND(IF('Group Inputs'!AY6=0,0,100*'Group Inputs'!AZ6/'Group Inputs'!AY6),2)</f>
        <v/>
      </c>
      <c r="I81" s="21">
        <f>ROUND(IF('Group Inputs'!AY7=0,0,100*'Group Inputs'!AZ7/'Group Inputs'!AY7),2)</f>
        <v/>
      </c>
      <c r="J81" s="21">
        <f>ROUND(IF('Group Inputs'!AY8=0,0,100*'Group Inputs'!AZ8/'Group Inputs'!AY8),2)</f>
        <v/>
      </c>
      <c r="K81" s="21">
        <f>ROUND(IF('Group Inputs'!AY9=0,0,100*'Group Inputs'!AZ9/'Group Inputs'!AY9),2)</f>
        <v/>
      </c>
      <c r="L81" s="3" t="inlineStr">
        <is>
          <t>91%</t>
        </is>
      </c>
      <c r="M81" s="3" t="inlineStr">
        <is>
          <t>E-04,G-05,O-09</t>
        </is>
      </c>
      <c r="N81" s="3" t="inlineStr">
        <is>
          <t>po_lines_due, po_lines_on_time</t>
        </is>
      </c>
    </row>
    <row r="82">
      <c r="A82" s="2" t="inlineStr">
        <is>
          <t>SUP-002</t>
        </is>
      </c>
      <c r="B82" s="3" t="inlineStr">
        <is>
          <t>Supplier fill rate</t>
        </is>
      </c>
      <c r="C82" s="3" t="inlineStr">
        <is>
          <t>%</t>
        </is>
      </c>
      <c r="D82" s="3" t="inlineStr">
        <is>
          <t>Month</t>
        </is>
      </c>
      <c r="E82" s="3" t="inlineStr">
        <is>
          <t>Quantity received ÷ Quantity ordered × 100</t>
        </is>
      </c>
      <c r="F82" s="21">
        <f>ROUND(IF('Group Inputs'!BA4=0,0,100*'Group Inputs'!BB4/'Group Inputs'!BA4),2)</f>
        <v/>
      </c>
      <c r="G82" s="21">
        <f>ROUND(IF('Group Inputs'!BA5=0,0,100*'Group Inputs'!BB5/'Group Inputs'!BA5),2)</f>
        <v/>
      </c>
      <c r="H82" s="21">
        <f>ROUND(IF('Group Inputs'!BA6=0,0,100*'Group Inputs'!BB6/'Group Inputs'!BA6),2)</f>
        <v/>
      </c>
      <c r="I82" s="21">
        <f>ROUND(IF('Group Inputs'!BA7=0,0,100*'Group Inputs'!BB7/'Group Inputs'!BA7),2)</f>
        <v/>
      </c>
      <c r="J82" s="21">
        <f>ROUND(IF('Group Inputs'!BA8=0,0,100*'Group Inputs'!BB8/'Group Inputs'!BA8),2)</f>
        <v/>
      </c>
      <c r="K82" s="21">
        <f>ROUND(IF('Group Inputs'!BA9=0,0,100*'Group Inputs'!BB9/'Group Inputs'!BA9),2)</f>
        <v/>
      </c>
      <c r="L82" s="3" t="inlineStr">
        <is>
          <t>Not shown</t>
        </is>
      </c>
      <c r="M82" s="3" t="n"/>
      <c r="N82" s="3" t="inlineStr">
        <is>
          <t>qty_ordered_t, qty_received_t</t>
        </is>
      </c>
    </row>
    <row r="83">
      <c r="A83" s="2" t="inlineStr">
        <is>
          <t>SUP-003</t>
        </is>
      </c>
      <c r="B83" s="3" t="inlineStr">
        <is>
          <t>Supplier quality-rejection rate</t>
        </is>
      </c>
      <c r="C83" s="3" t="inlineStr">
        <is>
          <t>%</t>
        </is>
      </c>
      <c r="D83" s="3" t="inlineStr">
        <is>
          <t>Month</t>
        </is>
      </c>
      <c r="E83" s="3" t="inlineStr">
        <is>
          <t>Quantity rejected ÷ Quantity received × 100</t>
        </is>
      </c>
      <c r="F83" s="21">
        <f>ROUND(IF('Group Inputs'!BB4=0,0,100*'Group Inputs'!BC4/'Group Inputs'!BB4),2)</f>
        <v/>
      </c>
      <c r="G83" s="21">
        <f>ROUND(IF('Group Inputs'!BB5=0,0,100*'Group Inputs'!BC5/'Group Inputs'!BB5),2)</f>
        <v/>
      </c>
      <c r="H83" s="21">
        <f>ROUND(IF('Group Inputs'!BB6=0,0,100*'Group Inputs'!BC6/'Group Inputs'!BB6),2)</f>
        <v/>
      </c>
      <c r="I83" s="21">
        <f>ROUND(IF('Group Inputs'!BB7=0,0,100*'Group Inputs'!BC7/'Group Inputs'!BB7),2)</f>
        <v/>
      </c>
      <c r="J83" s="21">
        <f>ROUND(IF('Group Inputs'!BB8=0,0,100*'Group Inputs'!BC8/'Group Inputs'!BB8),2)</f>
        <v/>
      </c>
      <c r="K83" s="21">
        <f>ROUND(IF('Group Inputs'!BB9=0,0,100*'Group Inputs'!BC9/'Group Inputs'!BB9),2)</f>
        <v/>
      </c>
      <c r="L83" s="3" t="inlineStr">
        <is>
          <t>Not shown</t>
        </is>
      </c>
      <c r="M83" s="3" t="n"/>
      <c r="N83" s="3" t="inlineStr">
        <is>
          <t>qty_received_t, qty_rejected_t</t>
        </is>
      </c>
    </row>
    <row r="84">
      <c r="A84" s="2" t="inlineStr">
        <is>
          <t>SUP-004</t>
        </is>
      </c>
      <c r="B84" s="3" t="inlineStr">
        <is>
          <t>Supplier lead-time variance</t>
        </is>
      </c>
      <c r="C84" s="3" t="inlineStr">
        <is>
          <t>%</t>
        </is>
      </c>
      <c r="D84" s="3" t="inlineStr">
        <is>
          <t>Month</t>
        </is>
      </c>
      <c r="E84" s="3" t="inlineStr">
        <is>
          <t>(Actual lead time − Planned lead time) ÷ Planned lead time × 100</t>
        </is>
      </c>
      <c r="F84" s="21">
        <f>ROUND(IF('Group Inputs'!BD4=0,0,100*('Group Inputs'!BE4-'Group Inputs'!BD4)/'Group Inputs'!BD4),2)</f>
        <v/>
      </c>
      <c r="G84" s="21">
        <f>ROUND(IF('Group Inputs'!BD5=0,0,100*('Group Inputs'!BE5-'Group Inputs'!BD5)/'Group Inputs'!BD5),2)</f>
        <v/>
      </c>
      <c r="H84" s="21">
        <f>ROUND(IF('Group Inputs'!BD6=0,0,100*('Group Inputs'!BE6-'Group Inputs'!BD6)/'Group Inputs'!BD6),2)</f>
        <v/>
      </c>
      <c r="I84" s="21">
        <f>ROUND(IF('Group Inputs'!BD7=0,0,100*('Group Inputs'!BE7-'Group Inputs'!BD7)/'Group Inputs'!BD7),2)</f>
        <v/>
      </c>
      <c r="J84" s="21">
        <f>ROUND(IF('Group Inputs'!BD8=0,0,100*('Group Inputs'!BE8-'Group Inputs'!BD8)/'Group Inputs'!BD8),2)</f>
        <v/>
      </c>
      <c r="K84" s="21">
        <f>ROUND(IF('Group Inputs'!BD9=0,0,100*('Group Inputs'!BE9-'Group Inputs'!BD9)/'Group Inputs'!BD9),2)</f>
        <v/>
      </c>
      <c r="L84" s="3" t="inlineStr">
        <is>
          <t>38%</t>
        </is>
      </c>
      <c r="M84" s="3" t="inlineStr">
        <is>
          <t>E-04,G-05</t>
        </is>
      </c>
      <c r="N84" s="3" t="inlineStr">
        <is>
          <t>lead_time_planned_days, lead_time_actual_days</t>
        </is>
      </c>
    </row>
    <row r="85">
      <c r="A85" s="2" t="inlineStr">
        <is>
          <t>SUP-005</t>
        </is>
      </c>
      <c r="B85" s="3" t="inlineStr">
        <is>
          <t>Critical supplier exposure</t>
        </is>
      </c>
      <c r="C85" s="3" t="inlineStr">
        <is>
          <t>count</t>
        </is>
      </c>
      <c r="D85" s="3" t="inlineStr">
        <is>
          <t>Month end</t>
        </is>
      </c>
      <c r="E85" s="3" t="inlineStr">
        <is>
          <t>Critical single-source suppliers</t>
        </is>
      </c>
      <c r="F85" s="21">
        <f>ROUND('Group Inputs'!EG4,2)</f>
        <v/>
      </c>
      <c r="G85" s="21">
        <f>ROUND('Group Inputs'!EG5,2)</f>
        <v/>
      </c>
      <c r="H85" s="21">
        <f>ROUND('Group Inputs'!EG6,2)</f>
        <v/>
      </c>
      <c r="I85" s="21">
        <f>ROUND('Group Inputs'!EG7,2)</f>
        <v/>
      </c>
      <c r="J85" s="21">
        <f>ROUND('Group Inputs'!EG8,2)</f>
        <v/>
      </c>
      <c r="K85" s="21">
        <f>ROUND('Group Inputs'!EG9,2)</f>
        <v/>
      </c>
      <c r="L85" s="3" t="inlineStr">
        <is>
          <t>3 single-source (1 elevated: S-07)</t>
        </is>
      </c>
      <c r="M85" s="3" t="inlineStr">
        <is>
          <t>E-04,G-05</t>
        </is>
      </c>
      <c r="N85" s="3" t="inlineStr">
        <is>
          <t>single_source_suppliers</t>
        </is>
      </c>
    </row>
    <row r="86">
      <c r="A86" s="2" t="inlineStr">
        <is>
          <t>SUP-007</t>
        </is>
      </c>
      <c r="B86" s="3" t="inlineStr">
        <is>
          <t>Single-source spend share</t>
        </is>
      </c>
      <c r="C86" s="3" t="inlineStr">
        <is>
          <t>%</t>
        </is>
      </c>
      <c r="D86" s="3" t="inlineStr">
        <is>
          <t>Month</t>
        </is>
      </c>
      <c r="E86" s="3" t="inlineStr">
        <is>
          <t>Spend with single-source suppliers ÷ Supplier spend × 100</t>
        </is>
      </c>
      <c r="F86" s="21">
        <f>ROUND(IF('Group Inputs'!BF4=0,0,100*'Group Inputs'!BG4/'Group Inputs'!BF4),2)</f>
        <v/>
      </c>
      <c r="G86" s="21">
        <f>ROUND(IF('Group Inputs'!BF5=0,0,100*'Group Inputs'!BG5/'Group Inputs'!BF5),2)</f>
        <v/>
      </c>
      <c r="H86" s="21">
        <f>ROUND(IF('Group Inputs'!BF6=0,0,100*'Group Inputs'!BG6/'Group Inputs'!BF6),2)</f>
        <v/>
      </c>
      <c r="I86" s="21">
        <f>ROUND(IF('Group Inputs'!BF7=0,0,100*'Group Inputs'!BG7/'Group Inputs'!BF7),2)</f>
        <v/>
      </c>
      <c r="J86" s="21">
        <f>ROUND(IF('Group Inputs'!BF8=0,0,100*'Group Inputs'!BG8/'Group Inputs'!BF8),2)</f>
        <v/>
      </c>
      <c r="K86" s="21">
        <f>ROUND(IF('Group Inputs'!BF9=0,0,100*'Group Inputs'!BG9/'Group Inputs'!BF9),2)</f>
        <v/>
      </c>
      <c r="L86" s="3" t="inlineStr">
        <is>
          <t>38%</t>
        </is>
      </c>
      <c r="M86" s="3" t="inlineStr">
        <is>
          <t>O-09</t>
        </is>
      </c>
      <c r="N86" s="3" t="inlineStr">
        <is>
          <t>supplier_spend_k, single_source_spend_k</t>
        </is>
      </c>
    </row>
    <row r="87">
      <c r="A87" s="2" t="inlineStr">
        <is>
          <t>SUP-008</t>
        </is>
      </c>
      <c r="B87" s="3" t="inlineStr">
        <is>
          <t>Supplier EHS incidents YTD</t>
        </is>
      </c>
      <c r="C87" s="3" t="inlineStr">
        <is>
          <t>count</t>
        </is>
      </c>
      <c r="D87" s="3" t="inlineStr">
        <is>
          <t>Year to date</t>
        </is>
      </c>
      <c r="E87" s="3" t="inlineStr">
        <is>
          <t>Sum of supplier EHS incidents since April</t>
        </is>
      </c>
      <c r="F87" s="21">
        <f>ROUND(SUM('Group Inputs'!BH$4:BH4),2)</f>
        <v/>
      </c>
      <c r="G87" s="21">
        <f>ROUND(SUM('Group Inputs'!BH$4:BH5),2)</f>
        <v/>
      </c>
      <c r="H87" s="21">
        <f>ROUND(SUM('Group Inputs'!BH$4:BH6),2)</f>
        <v/>
      </c>
      <c r="I87" s="21">
        <f>ROUND(SUM('Group Inputs'!BH$4:BH7),2)</f>
        <v/>
      </c>
      <c r="J87" s="21">
        <f>ROUND(SUM('Group Inputs'!BH$4:BH8),2)</f>
        <v/>
      </c>
      <c r="K87" s="21">
        <f>ROUND(SUM('Group Inputs'!BH$4:BH9),2)</f>
        <v/>
      </c>
      <c r="L87" s="3" t="inlineStr">
        <is>
          <t>0</t>
        </is>
      </c>
      <c r="M87" s="3" t="inlineStr">
        <is>
          <t>O-09</t>
        </is>
      </c>
      <c r="N87" s="3" t="inlineStr">
        <is>
          <t>supplier_ehs_incidents</t>
        </is>
      </c>
    </row>
    <row r="88">
      <c r="A88" s="2" t="inlineStr">
        <is>
          <t>CON-001</t>
        </is>
      </c>
      <c r="B88" s="3" t="inlineStr">
        <is>
          <t>Contracts expiring, next 90 days</t>
        </is>
      </c>
      <c r="C88" s="3" t="inlineStr">
        <is>
          <t>count</t>
        </is>
      </c>
      <c r="D88" s="3" t="inlineStr">
        <is>
          <t>Month end</t>
        </is>
      </c>
      <c r="E88" s="3" t="inlineStr">
        <is>
          <t>Contracts expiring in next 90 days</t>
        </is>
      </c>
      <c r="F88" s="21">
        <f>ROUND('Group Inputs'!EE4,2)</f>
        <v/>
      </c>
      <c r="G88" s="21">
        <f>ROUND('Group Inputs'!EE5,2)</f>
        <v/>
      </c>
      <c r="H88" s="21">
        <f>ROUND('Group Inputs'!EE6,2)</f>
        <v/>
      </c>
      <c r="I88" s="21">
        <f>ROUND('Group Inputs'!EE7,2)</f>
        <v/>
      </c>
      <c r="J88" s="21">
        <f>ROUND('Group Inputs'!EE8,2)</f>
        <v/>
      </c>
      <c r="K88" s="21">
        <f>ROUND('Group Inputs'!EE9,2)</f>
        <v/>
      </c>
      <c r="L88" s="3" t="inlineStr">
        <is>
          <t>4</t>
        </is>
      </c>
      <c r="M88" s="3" t="inlineStr">
        <is>
          <t>E-04,E-07,G-07,O-05</t>
        </is>
      </c>
      <c r="N88" s="3" t="inlineStr">
        <is>
          <t>contracts_expiring_90d</t>
        </is>
      </c>
    </row>
    <row r="89">
      <c r="A89" s="2" t="inlineStr">
        <is>
          <t>CON-002</t>
        </is>
      </c>
      <c r="B89" s="3" t="inlineStr">
        <is>
          <t>Contract-compliance rate</t>
        </is>
      </c>
      <c r="C89" s="3" t="inlineStr">
        <is>
          <t>%</t>
        </is>
      </c>
      <c r="D89" s="3" t="inlineStr">
        <is>
          <t>Month end</t>
        </is>
      </c>
      <c r="E89" s="3" t="inlineStr">
        <is>
          <t>Contracts fully compliant ÷ Active contracts × 100</t>
        </is>
      </c>
      <c r="F89" s="21">
        <f>ROUND(IF('Group Inputs'!EC4=0,0,100*'Group Inputs'!ED4/'Group Inputs'!EC4),2)</f>
        <v/>
      </c>
      <c r="G89" s="21">
        <f>ROUND(IF('Group Inputs'!EC5=0,0,100*'Group Inputs'!ED5/'Group Inputs'!EC5),2)</f>
        <v/>
      </c>
      <c r="H89" s="21">
        <f>ROUND(IF('Group Inputs'!EC6=0,0,100*'Group Inputs'!ED6/'Group Inputs'!EC6),2)</f>
        <v/>
      </c>
      <c r="I89" s="21">
        <f>ROUND(IF('Group Inputs'!EC7=0,0,100*'Group Inputs'!ED7/'Group Inputs'!EC7),2)</f>
        <v/>
      </c>
      <c r="J89" s="21">
        <f>ROUND(IF('Group Inputs'!EC8=0,0,100*'Group Inputs'!ED8/'Group Inputs'!EC8),2)</f>
        <v/>
      </c>
      <c r="K89" s="21">
        <f>ROUND(IF('Group Inputs'!EC9=0,0,100*'Group Inputs'!ED9/'Group Inputs'!EC9),2)</f>
        <v/>
      </c>
      <c r="L89" s="3" t="inlineStr">
        <is>
          <t>96%</t>
        </is>
      </c>
      <c r="M89" s="3" t="inlineStr">
        <is>
          <t>E-04,E-07,G-07,O-05</t>
        </is>
      </c>
      <c r="N89" s="3" t="inlineStr">
        <is>
          <t>contracts_total, contracts_compliant</t>
        </is>
      </c>
    </row>
    <row r="90">
      <c r="A90" s="2" t="inlineStr">
        <is>
          <t>CON-003</t>
        </is>
      </c>
      <c r="B90" s="3" t="inlineStr">
        <is>
          <t>Supplier EHS non-compliance</t>
        </is>
      </c>
      <c r="C90" s="3" t="inlineStr">
        <is>
          <t>count</t>
        </is>
      </c>
      <c r="D90" s="3" t="inlineStr">
        <is>
          <t>Month end</t>
        </is>
      </c>
      <c r="E90" s="3" t="inlineStr">
        <is>
          <t>Suppliers not meeting EHS requirements</t>
        </is>
      </c>
      <c r="F90" s="21">
        <f>ROUND('Group Inputs'!EF4,2)</f>
        <v/>
      </c>
      <c r="G90" s="21">
        <f>ROUND('Group Inputs'!EF5,2)</f>
        <v/>
      </c>
      <c r="H90" s="21">
        <f>ROUND('Group Inputs'!EF6,2)</f>
        <v/>
      </c>
      <c r="I90" s="21">
        <f>ROUND('Group Inputs'!EF7,2)</f>
        <v/>
      </c>
      <c r="J90" s="21">
        <f>ROUND('Group Inputs'!EF8,2)</f>
        <v/>
      </c>
      <c r="K90" s="21">
        <f>ROUND('Group Inputs'!EF9,2)</f>
        <v/>
      </c>
      <c r="L90" s="3" t="inlineStr">
        <is>
          <t>1</t>
        </is>
      </c>
      <c r="M90" s="3" t="inlineStr">
        <is>
          <t>E-04,E-07,G-05,G-07,O-05</t>
        </is>
      </c>
      <c r="N90" s="3" t="inlineStr">
        <is>
          <t>supplier_ehs_noncompliance</t>
        </is>
      </c>
    </row>
    <row r="91">
      <c r="A91" s="2" t="inlineStr">
        <is>
          <t>REG-001</t>
        </is>
      </c>
      <c r="B91" s="3" t="inlineStr">
        <is>
          <t>Pending filings</t>
        </is>
      </c>
      <c r="C91" s="3" t="inlineStr">
        <is>
          <t>count</t>
        </is>
      </c>
      <c r="D91" s="3" t="inlineStr">
        <is>
          <t>Month end</t>
        </is>
      </c>
      <c r="E91" s="3" t="inlineStr">
        <is>
          <t>Regulatory filings pending</t>
        </is>
      </c>
      <c r="F91" s="21">
        <f>ROUND('Group Inputs'!BI4,2)</f>
        <v/>
      </c>
      <c r="G91" s="21">
        <f>ROUND('Group Inputs'!BI5,2)</f>
        <v/>
      </c>
      <c r="H91" s="21">
        <f>ROUND('Group Inputs'!BI6,2)</f>
        <v/>
      </c>
      <c r="I91" s="21">
        <f>ROUND('Group Inputs'!BI7,2)</f>
        <v/>
      </c>
      <c r="J91" s="21">
        <f>ROUND('Group Inputs'!BI8,2)</f>
        <v/>
      </c>
      <c r="K91" s="21">
        <f>ROUND('Group Inputs'!BI9,2)</f>
        <v/>
      </c>
      <c r="L91" s="3" t="inlineStr">
        <is>
          <t>3</t>
        </is>
      </c>
      <c r="M91" s="3" t="inlineStr">
        <is>
          <t>E-07,G-07</t>
        </is>
      </c>
      <c r="N91" s="3" t="inlineStr">
        <is>
          <t>pending_filings</t>
        </is>
      </c>
    </row>
    <row r="92">
      <c r="A92" s="2" t="inlineStr">
        <is>
          <t>REG-002</t>
        </is>
      </c>
      <c r="B92" s="3" t="inlineStr">
        <is>
          <t>Regulatory deadlines, next 30 days</t>
        </is>
      </c>
      <c r="C92" s="3" t="inlineStr">
        <is>
          <t>count</t>
        </is>
      </c>
      <c r="D92" s="3" t="inlineStr">
        <is>
          <t>Month end</t>
        </is>
      </c>
      <c r="E92" s="3" t="inlineStr">
        <is>
          <t>Regulatory deadlines in next 30 days</t>
        </is>
      </c>
      <c r="F92" s="21">
        <f>ROUND('Group Inputs'!BJ4,2)</f>
        <v/>
      </c>
      <c r="G92" s="21">
        <f>ROUND('Group Inputs'!BJ5,2)</f>
        <v/>
      </c>
      <c r="H92" s="21">
        <f>ROUND('Group Inputs'!BJ6,2)</f>
        <v/>
      </c>
      <c r="I92" s="21">
        <f>ROUND('Group Inputs'!BJ7,2)</f>
        <v/>
      </c>
      <c r="J92" s="21">
        <f>ROUND('Group Inputs'!BJ8,2)</f>
        <v/>
      </c>
      <c r="K92" s="21">
        <f>ROUND('Group Inputs'!BJ9,2)</f>
        <v/>
      </c>
      <c r="L92" s="3" t="inlineStr">
        <is>
          <t>3</t>
        </is>
      </c>
      <c r="M92" s="3" t="inlineStr">
        <is>
          <t>E-07,G-07</t>
        </is>
      </c>
      <c r="N92" s="3" t="inlineStr">
        <is>
          <t>reg_deadlines_30d</t>
        </is>
      </c>
    </row>
    <row r="93">
      <c r="A93" s="2" t="inlineStr">
        <is>
          <t>REG-003</t>
        </is>
      </c>
      <c r="B93" s="3" t="inlineStr">
        <is>
          <t>Licence expirations, next 12 months</t>
        </is>
      </c>
      <c r="C93" s="3" t="inlineStr">
        <is>
          <t>count</t>
        </is>
      </c>
      <c r="D93" s="3" t="inlineStr">
        <is>
          <t>Month end</t>
        </is>
      </c>
      <c r="E93" s="3" t="inlineStr">
        <is>
          <t>Licences expiring in next 12 months</t>
        </is>
      </c>
      <c r="F93" s="21">
        <f>ROUND('Group Inputs'!BK4,2)</f>
        <v/>
      </c>
      <c r="G93" s="21">
        <f>ROUND('Group Inputs'!BK5,2)</f>
        <v/>
      </c>
      <c r="H93" s="21">
        <f>ROUND('Group Inputs'!BK6,2)</f>
        <v/>
      </c>
      <c r="I93" s="21">
        <f>ROUND('Group Inputs'!BK7,2)</f>
        <v/>
      </c>
      <c r="J93" s="21">
        <f>ROUND('Group Inputs'!BK8,2)</f>
        <v/>
      </c>
      <c r="K93" s="21">
        <f>ROUND('Group Inputs'!BK9,2)</f>
        <v/>
      </c>
      <c r="L93" s="3" t="inlineStr">
        <is>
          <t>2</t>
        </is>
      </c>
      <c r="M93" s="3" t="inlineStr">
        <is>
          <t>E-07,G-07</t>
        </is>
      </c>
      <c r="N93" s="3" t="inlineStr">
        <is>
          <t>licences_expiring_12m</t>
        </is>
      </c>
    </row>
    <row r="94">
      <c r="A94" s="2" t="inlineStr">
        <is>
          <t>REG-004</t>
        </is>
      </c>
      <c r="B94" s="3" t="inlineStr">
        <is>
          <t>Regulatory obligations due, next 30 days</t>
        </is>
      </c>
      <c r="C94" s="3" t="inlineStr">
        <is>
          <t>count</t>
        </is>
      </c>
      <c r="D94" s="3" t="inlineStr">
        <is>
          <t>Month end</t>
        </is>
      </c>
      <c r="E94" s="3" t="inlineStr">
        <is>
          <t>Regulatory obligations due in next 30 days</t>
        </is>
      </c>
      <c r="F94" s="21">
        <f>ROUND('Group Inputs'!BL4,2)</f>
        <v/>
      </c>
      <c r="G94" s="21">
        <f>ROUND('Group Inputs'!BL5,2)</f>
        <v/>
      </c>
      <c r="H94" s="21">
        <f>ROUND('Group Inputs'!BL6,2)</f>
        <v/>
      </c>
      <c r="I94" s="21">
        <f>ROUND('Group Inputs'!BL7,2)</f>
        <v/>
      </c>
      <c r="J94" s="21">
        <f>ROUND('Group Inputs'!BL8,2)</f>
        <v/>
      </c>
      <c r="K94" s="21">
        <f>ROUND('Group Inputs'!BL9,2)</f>
        <v/>
      </c>
      <c r="L94" s="3" t="inlineStr">
        <is>
          <t>5</t>
        </is>
      </c>
      <c r="M94" s="3" t="inlineStr">
        <is>
          <t>E-07,G-07</t>
        </is>
      </c>
      <c r="N94" s="3" t="inlineStr">
        <is>
          <t>reg_obligations_due_30d</t>
        </is>
      </c>
    </row>
    <row r="95">
      <c r="A95" s="2" t="inlineStr">
        <is>
          <t>REG-005</t>
        </is>
      </c>
      <c r="B95" s="3" t="inlineStr">
        <is>
          <t>Overdue regulatory obligations</t>
        </is>
      </c>
      <c r="C95" s="3" t="inlineStr">
        <is>
          <t>count</t>
        </is>
      </c>
      <c r="D95" s="3" t="inlineStr">
        <is>
          <t>Month end</t>
        </is>
      </c>
      <c r="E95" s="3" t="inlineStr">
        <is>
          <t>Regulatory obligations overdue</t>
        </is>
      </c>
      <c r="F95" s="21">
        <f>ROUND('Group Inputs'!BM4,2)</f>
        <v/>
      </c>
      <c r="G95" s="21">
        <f>ROUND('Group Inputs'!BM5,2)</f>
        <v/>
      </c>
      <c r="H95" s="21">
        <f>ROUND('Group Inputs'!BM6,2)</f>
        <v/>
      </c>
      <c r="I95" s="21">
        <f>ROUND('Group Inputs'!BM7,2)</f>
        <v/>
      </c>
      <c r="J95" s="21">
        <f>ROUND('Group Inputs'!BM8,2)</f>
        <v/>
      </c>
      <c r="K95" s="21">
        <f>ROUND('Group Inputs'!BM9,2)</f>
        <v/>
      </c>
      <c r="L95" s="3" t="inlineStr">
        <is>
          <t>0</t>
        </is>
      </c>
      <c r="M95" s="3" t="inlineStr">
        <is>
          <t>E-07,G-07,O-05</t>
        </is>
      </c>
      <c r="N95" s="3" t="inlineStr">
        <is>
          <t>reg_obligations_overdue</t>
        </is>
      </c>
    </row>
    <row r="96">
      <c r="A96" s="2" t="inlineStr">
        <is>
          <t>REG-007</t>
        </is>
      </c>
      <c r="B96" s="3" t="inlineStr">
        <is>
          <t>Open regulatory actions</t>
        </is>
      </c>
      <c r="C96" s="3" t="inlineStr">
        <is>
          <t>count</t>
        </is>
      </c>
      <c r="D96" s="3" t="inlineStr">
        <is>
          <t>Month end</t>
        </is>
      </c>
      <c r="E96" s="3" t="inlineStr">
        <is>
          <t>Open regulatory actions</t>
        </is>
      </c>
      <c r="F96" s="21">
        <f>ROUND('Group Inputs'!BN4,2)</f>
        <v/>
      </c>
      <c r="G96" s="21">
        <f>ROUND('Group Inputs'!BN5,2)</f>
        <v/>
      </c>
      <c r="H96" s="21">
        <f>ROUND('Group Inputs'!BN6,2)</f>
        <v/>
      </c>
      <c r="I96" s="21">
        <f>ROUND('Group Inputs'!BN7,2)</f>
        <v/>
      </c>
      <c r="J96" s="21">
        <f>ROUND('Group Inputs'!BN8,2)</f>
        <v/>
      </c>
      <c r="K96" s="21">
        <f>ROUND('Group Inputs'!BN9,2)</f>
        <v/>
      </c>
      <c r="L96" s="3" t="inlineStr">
        <is>
          <t>2</t>
        </is>
      </c>
      <c r="M96" s="3" t="inlineStr">
        <is>
          <t>E-07,G-07</t>
        </is>
      </c>
      <c r="N96" s="3" t="inlineStr">
        <is>
          <t>reg_actions_open</t>
        </is>
      </c>
    </row>
    <row r="97">
      <c r="A97" s="2" t="inlineStr">
        <is>
          <t>REG-008</t>
        </is>
      </c>
      <c r="B97" s="3" t="inlineStr">
        <is>
          <t>Overdue compliance actions</t>
        </is>
      </c>
      <c r="C97" s="3" t="inlineStr">
        <is>
          <t>count</t>
        </is>
      </c>
      <c r="D97" s="3" t="inlineStr">
        <is>
          <t>Month end</t>
        </is>
      </c>
      <c r="E97" s="3" t="inlineStr">
        <is>
          <t>Overdue compliance actions</t>
        </is>
      </c>
      <c r="F97" s="21">
        <f>ROUND('Group Inputs'!BO4,2)</f>
        <v/>
      </c>
      <c r="G97" s="21">
        <f>ROUND('Group Inputs'!BO5,2)</f>
        <v/>
      </c>
      <c r="H97" s="21">
        <f>ROUND('Group Inputs'!BO6,2)</f>
        <v/>
      </c>
      <c r="I97" s="21">
        <f>ROUND('Group Inputs'!BO7,2)</f>
        <v/>
      </c>
      <c r="J97" s="21">
        <f>ROUND('Group Inputs'!BO8,2)</f>
        <v/>
      </c>
      <c r="K97" s="21">
        <f>ROUND('Group Inputs'!BO9,2)</f>
        <v/>
      </c>
      <c r="L97" s="3" t="inlineStr">
        <is>
          <t>0</t>
        </is>
      </c>
      <c r="M97" s="3" t="inlineStr">
        <is>
          <t>E-07,G-07</t>
        </is>
      </c>
      <c r="N97" s="3" t="inlineStr">
        <is>
          <t>compliance_actions_overdue</t>
        </is>
      </c>
    </row>
    <row r="98">
      <c r="A98" s="2" t="inlineStr">
        <is>
          <t>REG-009</t>
        </is>
      </c>
      <c r="B98" s="3" t="inlineStr">
        <is>
          <t>Disclosure-clock status</t>
        </is>
      </c>
      <c r="C98" s="3" t="inlineStr">
        <is>
          <t>text</t>
        </is>
      </c>
      <c r="D98" s="3" t="inlineStr">
        <is>
          <t>Month end</t>
        </is>
      </c>
      <c r="E98" s="3" t="inlineStr">
        <is>
          <t>Triggered if any event that needs disclosure is open, otherwise Not triggered</t>
        </is>
      </c>
      <c r="F98" s="8">
        <f>IF('Group Inputs'!BQ4&gt;0,"Triggered","Not triggered")</f>
        <v/>
      </c>
      <c r="G98" s="8">
        <f>IF('Group Inputs'!BQ5&gt;0,"Triggered","Not triggered")</f>
        <v/>
      </c>
      <c r="H98" s="8">
        <f>IF('Group Inputs'!BQ6&gt;0,"Triggered","Not triggered")</f>
        <v/>
      </c>
      <c r="I98" s="8">
        <f>IF('Group Inputs'!BQ7&gt;0,"Triggered","Not triggered")</f>
        <v/>
      </c>
      <c r="J98" s="8">
        <f>IF('Group Inputs'!BQ8&gt;0,"Triggered","Not triggered")</f>
        <v/>
      </c>
      <c r="K98" s="8">
        <f>IF('Group Inputs'!BQ9&gt;0,"Triggered","Not triggered")</f>
        <v/>
      </c>
      <c r="L98" s="3" t="inlineStr">
        <is>
          <t>Not triggered</t>
        </is>
      </c>
      <c r="M98" s="3" t="inlineStr">
        <is>
          <t>O-05</t>
        </is>
      </c>
      <c r="N98" s="3" t="inlineStr">
        <is>
          <t>disclosure_events_open</t>
        </is>
      </c>
    </row>
    <row r="99">
      <c r="A99" s="2" t="inlineStr">
        <is>
          <t>REG-010</t>
        </is>
      </c>
      <c r="B99" s="3" t="inlineStr">
        <is>
          <t>Regulatory breaches YTD</t>
        </is>
      </c>
      <c r="C99" s="3" t="inlineStr">
        <is>
          <t>count</t>
        </is>
      </c>
      <c r="D99" s="3" t="inlineStr">
        <is>
          <t>Year to date</t>
        </is>
      </c>
      <c r="E99" s="3" t="inlineStr">
        <is>
          <t>Sum of regulatory breaches since April</t>
        </is>
      </c>
      <c r="F99" s="21">
        <f>ROUND(SUM('Group Inputs'!BP$4:BP4),2)</f>
        <v/>
      </c>
      <c r="G99" s="21">
        <f>ROUND(SUM('Group Inputs'!BP$4:BP5),2)</f>
        <v/>
      </c>
      <c r="H99" s="21">
        <f>ROUND(SUM('Group Inputs'!BP$4:BP6),2)</f>
        <v/>
      </c>
      <c r="I99" s="21">
        <f>ROUND(SUM('Group Inputs'!BP$4:BP7),2)</f>
        <v/>
      </c>
      <c r="J99" s="21">
        <f>ROUND(SUM('Group Inputs'!BP$4:BP8),2)</f>
        <v/>
      </c>
      <c r="K99" s="21">
        <f>ROUND(SUM('Group Inputs'!BP$4:BP9),2)</f>
        <v/>
      </c>
      <c r="L99" s="3" t="inlineStr">
        <is>
          <t>0</t>
        </is>
      </c>
      <c r="M99" s="3" t="inlineStr">
        <is>
          <t>E-07,G-01,O-05</t>
        </is>
      </c>
      <c r="N99" s="3" t="inlineStr">
        <is>
          <t>reg_breaches</t>
        </is>
      </c>
    </row>
    <row r="100">
      <c r="A100" s="2" t="inlineStr">
        <is>
          <t>RSK-003</t>
        </is>
      </c>
      <c r="B100" s="3" t="inlineStr">
        <is>
          <t>Regulatory breaches YTD (same measure as REG-010)</t>
        </is>
      </c>
      <c r="C100" s="3" t="inlineStr">
        <is>
          <t>count</t>
        </is>
      </c>
      <c r="D100" s="3" t="inlineStr">
        <is>
          <t>Year to date</t>
        </is>
      </c>
      <c r="E100" s="3" t="inlineStr">
        <is>
          <t>Sum of regulatory breaches since April</t>
        </is>
      </c>
      <c r="F100" s="21">
        <f>ROUND(SUM('Group Inputs'!BP$4:BP4),2)</f>
        <v/>
      </c>
      <c r="G100" s="21">
        <f>ROUND(SUM('Group Inputs'!BP$4:BP5),2)</f>
        <v/>
      </c>
      <c r="H100" s="21">
        <f>ROUND(SUM('Group Inputs'!BP$4:BP6),2)</f>
        <v/>
      </c>
      <c r="I100" s="21">
        <f>ROUND(SUM('Group Inputs'!BP$4:BP7),2)</f>
        <v/>
      </c>
      <c r="J100" s="21">
        <f>ROUND(SUM('Group Inputs'!BP$4:BP8),2)</f>
        <v/>
      </c>
      <c r="K100" s="21">
        <f>ROUND(SUM('Group Inputs'!BP$4:BP9),2)</f>
        <v/>
      </c>
      <c r="L100" s="3" t="inlineStr">
        <is>
          <t>0</t>
        </is>
      </c>
      <c r="M100" s="3" t="inlineStr">
        <is>
          <t>O-01,STATE GALLERY</t>
        </is>
      </c>
      <c r="N100" s="3" t="inlineStr">
        <is>
          <t>reg_breaches</t>
        </is>
      </c>
    </row>
    <row r="101">
      <c r="A101" s="2" t="inlineStr">
        <is>
          <t>CMP-005</t>
        </is>
      </c>
      <c r="B101" s="3" t="inlineStr">
        <is>
          <t>Regulatory breaches YTD (same measure as REG-010)</t>
        </is>
      </c>
      <c r="C101" s="3" t="inlineStr">
        <is>
          <t>count</t>
        </is>
      </c>
      <c r="D101" s="3" t="inlineStr">
        <is>
          <t>Year to date</t>
        </is>
      </c>
      <c r="E101" s="3" t="inlineStr">
        <is>
          <t>Sum of regulatory breaches since April</t>
        </is>
      </c>
      <c r="F101" s="21">
        <f>ROUND(SUM('Group Inputs'!BP$4:BP4),2)</f>
        <v/>
      </c>
      <c r="G101" s="21">
        <f>ROUND(SUM('Group Inputs'!BP$4:BP5),2)</f>
        <v/>
      </c>
      <c r="H101" s="21">
        <f>ROUND(SUM('Group Inputs'!BP$4:BP6),2)</f>
        <v/>
      </c>
      <c r="I101" s="21">
        <f>ROUND(SUM('Group Inputs'!BP$4:BP7),2)</f>
        <v/>
      </c>
      <c r="J101" s="21">
        <f>ROUND(SUM('Group Inputs'!BP$4:BP8),2)</f>
        <v/>
      </c>
      <c r="K101" s="21">
        <f>ROUND(SUM('Group Inputs'!BP$4:BP9),2)</f>
        <v/>
      </c>
      <c r="L101" s="3" t="inlineStr">
        <is>
          <t>0</t>
        </is>
      </c>
      <c r="M101" s="3" t="inlineStr">
        <is>
          <t>E-01,O-01</t>
        </is>
      </c>
      <c r="N101" s="3" t="inlineStr">
        <is>
          <t>reg_breaches</t>
        </is>
      </c>
    </row>
    <row r="102">
      <c r="A102" s="2" t="inlineStr">
        <is>
          <t>EHS-008</t>
        </is>
      </c>
      <c r="B102" s="3" t="inlineStr">
        <is>
          <t>EHS escalation clocks running</t>
        </is>
      </c>
      <c r="C102" s="3" t="inlineStr">
        <is>
          <t>count</t>
        </is>
      </c>
      <c r="D102" s="3" t="inlineStr">
        <is>
          <t>Month end</t>
        </is>
      </c>
      <c r="E102" s="3" t="inlineStr">
        <is>
          <t>EHS escalation clocks running</t>
        </is>
      </c>
      <c r="F102" s="21">
        <f>ROUND('Group Inputs'!BR4,2)</f>
        <v/>
      </c>
      <c r="G102" s="21">
        <f>ROUND('Group Inputs'!BR5,2)</f>
        <v/>
      </c>
      <c r="H102" s="21">
        <f>ROUND('Group Inputs'!BR6,2)</f>
        <v/>
      </c>
      <c r="I102" s="21">
        <f>ROUND('Group Inputs'!BR7,2)</f>
        <v/>
      </c>
      <c r="J102" s="21">
        <f>ROUND('Group Inputs'!BR8,2)</f>
        <v/>
      </c>
      <c r="K102" s="21">
        <f>ROUND('Group Inputs'!BR9,2)</f>
        <v/>
      </c>
      <c r="L102" s="3" t="inlineStr">
        <is>
          <t>0 running</t>
        </is>
      </c>
      <c r="M102" s="3" t="inlineStr">
        <is>
          <t>E-07,G-07,O-05</t>
        </is>
      </c>
      <c r="N102" s="3" t="inlineStr">
        <is>
          <t>ehs_escalation_clocks</t>
        </is>
      </c>
    </row>
    <row r="103">
      <c r="A103" s="2" t="inlineStr">
        <is>
          <t>EHS-010</t>
        </is>
      </c>
      <c r="B103" s="3" t="inlineStr">
        <is>
          <t>EHS investigation completion rate YTD</t>
        </is>
      </c>
      <c r="C103" s="3" t="inlineStr">
        <is>
          <t>%</t>
        </is>
      </c>
      <c r="D103" s="3" t="inlineStr">
        <is>
          <t>Year to date</t>
        </is>
      </c>
      <c r="E103" s="3" t="inlineStr">
        <is>
          <t>EHS investigations completed since April ÷ Investigations due since April × 100 (100 if none due)</t>
        </is>
      </c>
      <c r="F103" s="21">
        <f>ROUND(IF(SUM('Group Inputs'!AM$4:AM4)=0,100,100*SUM('Group Inputs'!AN$4:AN4)/SUM('Group Inputs'!AM$4:AM4)),2)</f>
        <v/>
      </c>
      <c r="G103" s="21">
        <f>ROUND(IF(SUM('Group Inputs'!AM$4:AM5)=0,100,100*SUM('Group Inputs'!AN$4:AN5)/SUM('Group Inputs'!AM$4:AM5)),2)</f>
        <v/>
      </c>
      <c r="H103" s="21">
        <f>ROUND(IF(SUM('Group Inputs'!AM$4:AM6)=0,100,100*SUM('Group Inputs'!AN$4:AN6)/SUM('Group Inputs'!AM$4:AM6)),2)</f>
        <v/>
      </c>
      <c r="I103" s="21">
        <f>ROUND(IF(SUM('Group Inputs'!AM$4:AM7)=0,100,100*SUM('Group Inputs'!AN$4:AN7)/SUM('Group Inputs'!AM$4:AM7)),2)</f>
        <v/>
      </c>
      <c r="J103" s="21">
        <f>ROUND(IF(SUM('Group Inputs'!AM$4:AM8)=0,100,100*SUM('Group Inputs'!AN$4:AN8)/SUM('Group Inputs'!AM$4:AM8)),2)</f>
        <v/>
      </c>
      <c r="K103" s="21">
        <f>ROUND(IF(SUM('Group Inputs'!AM$4:AM9)=0,100,100*SUM('Group Inputs'!AN$4:AN9)/SUM('Group Inputs'!AM$4:AM9)),2)</f>
        <v/>
      </c>
      <c r="L103" s="3" t="inlineStr">
        <is>
          <t>83%</t>
        </is>
      </c>
      <c r="M103" s="3" t="inlineStr">
        <is>
          <t>G-07</t>
        </is>
      </c>
      <c r="N103" s="3" t="inlineStr">
        <is>
          <t>investigations_due, investigations_completed</t>
        </is>
      </c>
    </row>
    <row r="104">
      <c r="A104" s="2" t="inlineStr">
        <is>
          <t>CTL-002</t>
        </is>
      </c>
      <c r="B104" s="3" t="inlineStr">
        <is>
          <t>Control failures YTD</t>
        </is>
      </c>
      <c r="C104" s="3" t="inlineStr">
        <is>
          <t>count</t>
        </is>
      </c>
      <c r="D104" s="3" t="inlineStr">
        <is>
          <t>Year to date</t>
        </is>
      </c>
      <c r="E104" s="3" t="inlineStr">
        <is>
          <t>Sum of control failures since April</t>
        </is>
      </c>
      <c r="F104" s="21">
        <f>ROUND(SUM('Group Inputs'!EH$4:EH4),2)</f>
        <v/>
      </c>
      <c r="G104" s="21">
        <f>ROUND(SUM('Group Inputs'!EH$4:EH5),2)</f>
        <v/>
      </c>
      <c r="H104" s="21">
        <f>ROUND(SUM('Group Inputs'!EH$4:EH6),2)</f>
        <v/>
      </c>
      <c r="I104" s="21">
        <f>ROUND(SUM('Group Inputs'!EH$4:EH7),2)</f>
        <v/>
      </c>
      <c r="J104" s="21">
        <f>ROUND(SUM('Group Inputs'!EH$4:EH8),2)</f>
        <v/>
      </c>
      <c r="K104" s="21">
        <f>ROUND(SUM('Group Inputs'!EH$4:EH9),2)</f>
        <v/>
      </c>
      <c r="L104" s="3" t="inlineStr">
        <is>
          <t>4</t>
        </is>
      </c>
      <c r="M104" s="3" t="inlineStr">
        <is>
          <t>E-07,G-07,O-05</t>
        </is>
      </c>
      <c r="N104" s="3" t="inlineStr">
        <is>
          <t>control_failures</t>
        </is>
      </c>
    </row>
    <row r="105">
      <c r="A105" s="2" t="inlineStr">
        <is>
          <t>CTL-004</t>
        </is>
      </c>
      <c r="B105" s="3" t="inlineStr">
        <is>
          <t>High-severity control failures YTD</t>
        </is>
      </c>
      <c r="C105" s="3" t="inlineStr">
        <is>
          <t>count</t>
        </is>
      </c>
      <c r="D105" s="3" t="inlineStr">
        <is>
          <t>Year to date</t>
        </is>
      </c>
      <c r="E105" s="3" t="inlineStr">
        <is>
          <t>Sum of high-severity control failures since April</t>
        </is>
      </c>
      <c r="F105" s="21">
        <f>ROUND(SUM('Group Inputs'!EI$4:EI4),2)</f>
        <v/>
      </c>
      <c r="G105" s="21">
        <f>ROUND(SUM('Group Inputs'!EI$4:EI5),2)</f>
        <v/>
      </c>
      <c r="H105" s="21">
        <f>ROUND(SUM('Group Inputs'!EI$4:EI6),2)</f>
        <v/>
      </c>
      <c r="I105" s="21">
        <f>ROUND(SUM('Group Inputs'!EI$4:EI7),2)</f>
        <v/>
      </c>
      <c r="J105" s="21">
        <f>ROUND(SUM('Group Inputs'!EI$4:EI8),2)</f>
        <v/>
      </c>
      <c r="K105" s="21">
        <f>ROUND(SUM('Group Inputs'!EI$4:EI9),2)</f>
        <v/>
      </c>
      <c r="L105" s="3" t="inlineStr">
        <is>
          <t>0</t>
        </is>
      </c>
      <c r="M105" s="3" t="inlineStr">
        <is>
          <t>G-07,O-05</t>
        </is>
      </c>
      <c r="N105" s="3" t="inlineStr">
        <is>
          <t>control_failures_high</t>
        </is>
      </c>
    </row>
    <row r="106">
      <c r="A106" s="2" t="inlineStr">
        <is>
          <t>CTL-005</t>
        </is>
      </c>
      <c r="B106" s="3" t="inlineStr">
        <is>
          <t>Policy exceptions YTD</t>
        </is>
      </c>
      <c r="C106" s="3" t="inlineStr">
        <is>
          <t>count</t>
        </is>
      </c>
      <c r="D106" s="3" t="inlineStr">
        <is>
          <t>Year to date</t>
        </is>
      </c>
      <c r="E106" s="3" t="inlineStr">
        <is>
          <t>Sum of policy exceptions since April</t>
        </is>
      </c>
      <c r="F106" s="21">
        <f>ROUND(SUM('Group Inputs'!EL$4:EL4),2)</f>
        <v/>
      </c>
      <c r="G106" s="21">
        <f>ROUND(SUM('Group Inputs'!EL$4:EL5),2)</f>
        <v/>
      </c>
      <c r="H106" s="21">
        <f>ROUND(SUM('Group Inputs'!EL$4:EL6),2)</f>
        <v/>
      </c>
      <c r="I106" s="21">
        <f>ROUND(SUM('Group Inputs'!EL$4:EL7),2)</f>
        <v/>
      </c>
      <c r="J106" s="21">
        <f>ROUND(SUM('Group Inputs'!EL$4:EL8),2)</f>
        <v/>
      </c>
      <c r="K106" s="21">
        <f>ROUND(SUM('Group Inputs'!EL$4:EL9),2)</f>
        <v/>
      </c>
      <c r="L106" s="3" t="inlineStr">
        <is>
          <t>3</t>
        </is>
      </c>
      <c r="M106" s="3" t="inlineStr">
        <is>
          <t>E-07,G-07,O-05</t>
        </is>
      </c>
      <c r="N106" s="3" t="inlineStr">
        <is>
          <t>policy_exceptions</t>
        </is>
      </c>
    </row>
    <row r="107">
      <c r="A107" s="2" t="inlineStr">
        <is>
          <t>CTL-006</t>
        </is>
      </c>
      <c r="B107" s="3" t="inlineStr">
        <is>
          <t>Unauthorised-vendor usage YTD</t>
        </is>
      </c>
      <c r="C107" s="3" t="inlineStr">
        <is>
          <t>count</t>
        </is>
      </c>
      <c r="D107" s="3" t="inlineStr">
        <is>
          <t>Year to date</t>
        </is>
      </c>
      <c r="E107" s="3" t="inlineStr">
        <is>
          <t>Sum of unauthorised vendor uses since April</t>
        </is>
      </c>
      <c r="F107" s="21">
        <f>ROUND(SUM('Group Inputs'!EM$4:EM4),2)</f>
        <v/>
      </c>
      <c r="G107" s="21">
        <f>ROUND(SUM('Group Inputs'!EM$4:EM5),2)</f>
        <v/>
      </c>
      <c r="H107" s="21">
        <f>ROUND(SUM('Group Inputs'!EM$4:EM6),2)</f>
        <v/>
      </c>
      <c r="I107" s="21">
        <f>ROUND(SUM('Group Inputs'!EM$4:EM7),2)</f>
        <v/>
      </c>
      <c r="J107" s="21">
        <f>ROUND(SUM('Group Inputs'!EM$4:EM8),2)</f>
        <v/>
      </c>
      <c r="K107" s="21">
        <f>ROUND(SUM('Group Inputs'!EM$4:EM9),2)</f>
        <v/>
      </c>
      <c r="L107" s="3" t="inlineStr">
        <is>
          <t>0</t>
        </is>
      </c>
      <c r="M107" s="3" t="inlineStr">
        <is>
          <t>E-04,E-07,G-07,O-05</t>
        </is>
      </c>
      <c r="N107" s="3" t="inlineStr">
        <is>
          <t>unauthorized_vendor_uses</t>
        </is>
      </c>
    </row>
    <row r="108">
      <c r="A108" s="2" t="inlineStr">
        <is>
          <t>CTL-007</t>
        </is>
      </c>
      <c r="B108" s="3" t="inlineStr">
        <is>
          <t>Segregation-of-duties exceptions YTD</t>
        </is>
      </c>
      <c r="C108" s="3" t="inlineStr">
        <is>
          <t>count</t>
        </is>
      </c>
      <c r="D108" s="3" t="inlineStr">
        <is>
          <t>Year to date</t>
        </is>
      </c>
      <c r="E108" s="3" t="inlineStr">
        <is>
          <t>Sum of segregation-of-duties exceptions since April</t>
        </is>
      </c>
      <c r="F108" s="21">
        <f>ROUND(SUM('Group Inputs'!EN$4:EN4),2)</f>
        <v/>
      </c>
      <c r="G108" s="21">
        <f>ROUND(SUM('Group Inputs'!EN$4:EN5),2)</f>
        <v/>
      </c>
      <c r="H108" s="21">
        <f>ROUND(SUM('Group Inputs'!EN$4:EN6),2)</f>
        <v/>
      </c>
      <c r="I108" s="21">
        <f>ROUND(SUM('Group Inputs'!EN$4:EN7),2)</f>
        <v/>
      </c>
      <c r="J108" s="21">
        <f>ROUND(SUM('Group Inputs'!EN$4:EN8),2)</f>
        <v/>
      </c>
      <c r="K108" s="21">
        <f>ROUND(SUM('Group Inputs'!EN$4:EN9),2)</f>
        <v/>
      </c>
      <c r="L108" s="3" t="inlineStr">
        <is>
          <t>1</t>
        </is>
      </c>
      <c r="M108" s="3" t="inlineStr">
        <is>
          <t>E-07,G-07,O-05</t>
        </is>
      </c>
      <c r="N108" s="3" t="inlineStr">
        <is>
          <t>sod_exceptions</t>
        </is>
      </c>
    </row>
    <row r="109">
      <c r="A109" s="2" t="inlineStr">
        <is>
          <t>CTL-008</t>
        </is>
      </c>
      <c r="B109" s="3" t="inlineStr">
        <is>
          <t>Unauthorised-access events YTD</t>
        </is>
      </c>
      <c r="C109" s="3" t="inlineStr">
        <is>
          <t>count</t>
        </is>
      </c>
      <c r="D109" s="3" t="inlineStr">
        <is>
          <t>Year to date</t>
        </is>
      </c>
      <c r="E109" s="3" t="inlineStr">
        <is>
          <t>Sum of unauthorised access events since April</t>
        </is>
      </c>
      <c r="F109" s="21">
        <f>ROUND(SUM('Group Inputs'!EO$4:EO4),2)</f>
        <v/>
      </c>
      <c r="G109" s="21">
        <f>ROUND(SUM('Group Inputs'!EO$4:EO5),2)</f>
        <v/>
      </c>
      <c r="H109" s="21">
        <f>ROUND(SUM('Group Inputs'!EO$4:EO6),2)</f>
        <v/>
      </c>
      <c r="I109" s="21">
        <f>ROUND(SUM('Group Inputs'!EO$4:EO7),2)</f>
        <v/>
      </c>
      <c r="J109" s="21">
        <f>ROUND(SUM('Group Inputs'!EO$4:EO8),2)</f>
        <v/>
      </c>
      <c r="K109" s="21">
        <f>ROUND(SUM('Group Inputs'!EO$4:EO9),2)</f>
        <v/>
      </c>
      <c r="L109" s="3" t="inlineStr">
        <is>
          <t>0</t>
        </is>
      </c>
      <c r="M109" s="3" t="inlineStr">
        <is>
          <t>E-07,G-07,O-05</t>
        </is>
      </c>
      <c r="N109" s="3" t="inlineStr">
        <is>
          <t>unauthorized_access_events</t>
        </is>
      </c>
    </row>
    <row r="110">
      <c r="A110" s="2" t="inlineStr">
        <is>
          <t>CTL-009</t>
        </is>
      </c>
      <c r="B110" s="3" t="inlineStr">
        <is>
          <t>Data-sharing exceptions YTD</t>
        </is>
      </c>
      <c r="C110" s="3" t="inlineStr">
        <is>
          <t>count</t>
        </is>
      </c>
      <c r="D110" s="3" t="inlineStr">
        <is>
          <t>Year to date</t>
        </is>
      </c>
      <c r="E110" s="3" t="inlineStr">
        <is>
          <t>Sum of data-sharing exceptions since April</t>
        </is>
      </c>
      <c r="F110" s="21">
        <f>ROUND(SUM('Group Inputs'!EP$4:EP4),2)</f>
        <v/>
      </c>
      <c r="G110" s="21">
        <f>ROUND(SUM('Group Inputs'!EP$4:EP5),2)</f>
        <v/>
      </c>
      <c r="H110" s="21">
        <f>ROUND(SUM('Group Inputs'!EP$4:EP6),2)</f>
        <v/>
      </c>
      <c r="I110" s="21">
        <f>ROUND(SUM('Group Inputs'!EP$4:EP7),2)</f>
        <v/>
      </c>
      <c r="J110" s="21">
        <f>ROUND(SUM('Group Inputs'!EP$4:EP8),2)</f>
        <v/>
      </c>
      <c r="K110" s="21">
        <f>ROUND(SUM('Group Inputs'!EP$4:EP9),2)</f>
        <v/>
      </c>
      <c r="L110" s="3" t="inlineStr">
        <is>
          <t>0</t>
        </is>
      </c>
      <c r="M110" s="3" t="inlineStr">
        <is>
          <t>E-07,G-07,O-05</t>
        </is>
      </c>
      <c r="N110" s="3" t="inlineStr">
        <is>
          <t>data_sharing_exceptions</t>
        </is>
      </c>
    </row>
    <row r="111">
      <c r="A111" s="2" t="inlineStr">
        <is>
          <t>CTL-010</t>
        </is>
      </c>
      <c r="B111" s="3" t="inlineStr">
        <is>
          <t>Manual overrides YTD</t>
        </is>
      </c>
      <c r="C111" s="3" t="inlineStr">
        <is>
          <t>count</t>
        </is>
      </c>
      <c r="D111" s="3" t="inlineStr">
        <is>
          <t>Year to date</t>
        </is>
      </c>
      <c r="E111" s="3" t="inlineStr">
        <is>
          <t>Sum of manual operational or system overrides since April</t>
        </is>
      </c>
      <c r="F111" s="21">
        <f>ROUND(SUM('Group Inputs'!EQ$4:EQ4),2)</f>
        <v/>
      </c>
      <c r="G111" s="21">
        <f>ROUND(SUM('Group Inputs'!EQ$4:EQ5),2)</f>
        <v/>
      </c>
      <c r="H111" s="21">
        <f>ROUND(SUM('Group Inputs'!EQ$4:EQ6),2)</f>
        <v/>
      </c>
      <c r="I111" s="21">
        <f>ROUND(SUM('Group Inputs'!EQ$4:EQ7),2)</f>
        <v/>
      </c>
      <c r="J111" s="21">
        <f>ROUND(SUM('Group Inputs'!EQ$4:EQ8),2)</f>
        <v/>
      </c>
      <c r="K111" s="21">
        <f>ROUND(SUM('Group Inputs'!EQ$4:EQ9),2)</f>
        <v/>
      </c>
      <c r="L111" s="3" t="inlineStr">
        <is>
          <t>12</t>
        </is>
      </c>
      <c r="M111" s="3" t="inlineStr">
        <is>
          <t>E-07,G-07,O-05</t>
        </is>
      </c>
      <c r="N111" s="3" t="inlineStr">
        <is>
          <t>manual_overrides</t>
        </is>
      </c>
    </row>
    <row r="112">
      <c r="A112" s="2" t="inlineStr">
        <is>
          <t>CTL-003</t>
        </is>
      </c>
      <c r="B112" s="3" t="inlineStr">
        <is>
          <t>Assurance reviews completed</t>
        </is>
      </c>
      <c r="C112" s="3" t="inlineStr">
        <is>
          <t>text</t>
        </is>
      </c>
      <c r="D112" s="3" t="inlineStr">
        <is>
          <t>Year to date</t>
        </is>
      </c>
      <c r="E112" s="3" t="inlineStr">
        <is>
          <t>Assurance reviews completed since April, of those planned since April</t>
        </is>
      </c>
      <c r="F112" s="8">
        <f>SUM('Group Inputs'!EK$4:EK4)&amp;" of "&amp;SUM('Group Inputs'!EJ$4:EJ4)</f>
        <v/>
      </c>
      <c r="G112" s="8">
        <f>SUM('Group Inputs'!EK$4:EK5)&amp;" of "&amp;SUM('Group Inputs'!EJ$4:EJ5)</f>
        <v/>
      </c>
      <c r="H112" s="8">
        <f>SUM('Group Inputs'!EK$4:EK6)&amp;" of "&amp;SUM('Group Inputs'!EJ$4:EJ6)</f>
        <v/>
      </c>
      <c r="I112" s="8">
        <f>SUM('Group Inputs'!EK$4:EK7)&amp;" of "&amp;SUM('Group Inputs'!EJ$4:EJ7)</f>
        <v/>
      </c>
      <c r="J112" s="8">
        <f>SUM('Group Inputs'!EK$4:EK8)&amp;" of "&amp;SUM('Group Inputs'!EJ$4:EJ8)</f>
        <v/>
      </c>
      <c r="K112" s="8">
        <f>SUM('Group Inputs'!EK$4:EK9)&amp;" of "&amp;SUM('Group Inputs'!EJ$4:EJ9)</f>
        <v/>
      </c>
      <c r="L112" s="3" t="inlineStr">
        <is>
          <t>6 of 8</t>
        </is>
      </c>
      <c r="M112" s="3" t="inlineStr">
        <is>
          <t>G-07</t>
        </is>
      </c>
      <c r="N112" s="3" t="inlineStr">
        <is>
          <t>assurance_reviews_planned, assurance_reviews_done</t>
        </is>
      </c>
    </row>
    <row r="113">
      <c r="A113" s="2" t="inlineStr">
        <is>
          <t>GOV-001</t>
        </is>
      </c>
      <c r="B113" s="3" t="inlineStr">
        <is>
          <t>Ageing certification approvals</t>
        </is>
      </c>
      <c r="C113" s="3" t="inlineStr">
        <is>
          <t>count</t>
        </is>
      </c>
      <c r="D113" s="3" t="inlineStr">
        <is>
          <t>Month end</t>
        </is>
      </c>
      <c r="E113" s="3" t="inlineStr">
        <is>
          <t>Certification approvals past due date</t>
        </is>
      </c>
      <c r="F113" s="21">
        <f>ROUND('Group Inputs'!ER4,2)</f>
        <v/>
      </c>
      <c r="G113" s="21">
        <f>ROUND('Group Inputs'!ER5,2)</f>
        <v/>
      </c>
      <c r="H113" s="21">
        <f>ROUND('Group Inputs'!ER6,2)</f>
        <v/>
      </c>
      <c r="I113" s="21">
        <f>ROUND('Group Inputs'!ER7,2)</f>
        <v/>
      </c>
      <c r="J113" s="21">
        <f>ROUND('Group Inputs'!ER8,2)</f>
        <v/>
      </c>
      <c r="K113" s="21">
        <f>ROUND('Group Inputs'!ER9,2)</f>
        <v/>
      </c>
      <c r="L113" s="3" t="inlineStr">
        <is>
          <t>2 &gt; [PH] d</t>
        </is>
      </c>
      <c r="M113" s="3" t="inlineStr">
        <is>
          <t>E-08,G-08</t>
        </is>
      </c>
      <c r="N113" s="3" t="inlineStr">
        <is>
          <t>cert_approvals_ageing</t>
        </is>
      </c>
    </row>
    <row r="114">
      <c r="A114" s="2" t="inlineStr">
        <is>
          <t>GOV-002</t>
        </is>
      </c>
      <c r="B114" s="3" t="inlineStr">
        <is>
          <t>KPI overrides</t>
        </is>
      </c>
      <c r="C114" s="3" t="inlineStr">
        <is>
          <t>count</t>
        </is>
      </c>
      <c r="D114" s="3" t="inlineStr">
        <is>
          <t>Month end</t>
        </is>
      </c>
      <c r="E114" s="3" t="inlineStr">
        <is>
          <t>KPI values overridden</t>
        </is>
      </c>
      <c r="F114" s="21">
        <f>ROUND('Group Inputs'!ES4,2)</f>
        <v/>
      </c>
      <c r="G114" s="21">
        <f>ROUND('Group Inputs'!ES5,2)</f>
        <v/>
      </c>
      <c r="H114" s="21">
        <f>ROUND('Group Inputs'!ES6,2)</f>
        <v/>
      </c>
      <c r="I114" s="21">
        <f>ROUND('Group Inputs'!ES7,2)</f>
        <v/>
      </c>
      <c r="J114" s="21">
        <f>ROUND('Group Inputs'!ES8,2)</f>
        <v/>
      </c>
      <c r="K114" s="21">
        <f>ROUND('Group Inputs'!ES9,2)</f>
        <v/>
      </c>
      <c r="L114" s="3" t="inlineStr">
        <is>
          <t>0</t>
        </is>
      </c>
      <c r="M114" s="3" t="inlineStr">
        <is>
          <t>E-08,G-08</t>
        </is>
      </c>
      <c r="N114" s="3" t="inlineStr">
        <is>
          <t>kpi_overrides</t>
        </is>
      </c>
    </row>
    <row r="115">
      <c r="A115" s="2" t="inlineStr">
        <is>
          <t>GOV-003</t>
        </is>
      </c>
      <c r="B115" s="3" t="inlineStr">
        <is>
          <t>Recurring data-quality issues</t>
        </is>
      </c>
      <c r="C115" s="3" t="inlineStr">
        <is>
          <t>count</t>
        </is>
      </c>
      <c r="D115" s="3" t="inlineStr">
        <is>
          <t>Month end</t>
        </is>
      </c>
      <c r="E115" s="3" t="inlineStr">
        <is>
          <t>Recurring data-quality issues</t>
        </is>
      </c>
      <c r="F115" s="21">
        <f>ROUND('Group Inputs'!ET4,2)</f>
        <v/>
      </c>
      <c r="G115" s="21">
        <f>ROUND('Group Inputs'!ET5,2)</f>
        <v/>
      </c>
      <c r="H115" s="21">
        <f>ROUND('Group Inputs'!ET6,2)</f>
        <v/>
      </c>
      <c r="I115" s="21">
        <f>ROUND('Group Inputs'!ET7,2)</f>
        <v/>
      </c>
      <c r="J115" s="21">
        <f>ROUND('Group Inputs'!ET8,2)</f>
        <v/>
      </c>
      <c r="K115" s="21">
        <f>ROUND('Group Inputs'!ET9,2)</f>
        <v/>
      </c>
      <c r="L115" s="3" t="inlineStr">
        <is>
          <t>1</t>
        </is>
      </c>
      <c r="M115" s="3" t="inlineStr">
        <is>
          <t>E-08,G-08</t>
        </is>
      </c>
      <c r="N115" s="3" t="inlineStr">
        <is>
          <t>dq_issues_recurring</t>
        </is>
      </c>
    </row>
    <row r="116">
      <c r="A116" s="2" t="inlineStr">
        <is>
          <t>GOV-004</t>
        </is>
      </c>
      <c r="B116" s="3" t="inlineStr">
        <is>
          <t>Open audit findings</t>
        </is>
      </c>
      <c r="C116" s="3" t="inlineStr">
        <is>
          <t>count</t>
        </is>
      </c>
      <c r="D116" s="3" t="inlineStr">
        <is>
          <t>Month end</t>
        </is>
      </c>
      <c r="E116" s="3" t="inlineStr">
        <is>
          <t>Open audit findings</t>
        </is>
      </c>
      <c r="F116" s="21">
        <f>ROUND('Group Inputs'!EU4,2)</f>
        <v/>
      </c>
      <c r="G116" s="21">
        <f>ROUND('Group Inputs'!EU5,2)</f>
        <v/>
      </c>
      <c r="H116" s="21">
        <f>ROUND('Group Inputs'!EU6,2)</f>
        <v/>
      </c>
      <c r="I116" s="21">
        <f>ROUND('Group Inputs'!EU7,2)</f>
        <v/>
      </c>
      <c r="J116" s="21">
        <f>ROUND('Group Inputs'!EU8,2)</f>
        <v/>
      </c>
      <c r="K116" s="21">
        <f>ROUND('Group Inputs'!EU9,2)</f>
        <v/>
      </c>
      <c r="L116" s="3" t="inlineStr">
        <is>
          <t>7</t>
        </is>
      </c>
      <c r="M116" s="3" t="inlineStr">
        <is>
          <t>E-07,E-08,G-07,G-08,O-05</t>
        </is>
      </c>
      <c r="N116" s="3" t="inlineStr">
        <is>
          <t>audit_findings_open</t>
        </is>
      </c>
    </row>
    <row r="117">
      <c r="A117" s="2" t="inlineStr">
        <is>
          <t>GOV-005</t>
        </is>
      </c>
      <c r="B117" s="3" t="inlineStr">
        <is>
          <t>Overdue assurance actions</t>
        </is>
      </c>
      <c r="C117" s="3" t="inlineStr">
        <is>
          <t>count</t>
        </is>
      </c>
      <c r="D117" s="3" t="inlineStr">
        <is>
          <t>Month end</t>
        </is>
      </c>
      <c r="E117" s="3" t="inlineStr">
        <is>
          <t>Overdue assurance actions</t>
        </is>
      </c>
      <c r="F117" s="21">
        <f>ROUND('Group Inputs'!EV4,2)</f>
        <v/>
      </c>
      <c r="G117" s="21">
        <f>ROUND('Group Inputs'!EV5,2)</f>
        <v/>
      </c>
      <c r="H117" s="21">
        <f>ROUND('Group Inputs'!EV6,2)</f>
        <v/>
      </c>
      <c r="I117" s="21">
        <f>ROUND('Group Inputs'!EV7,2)</f>
        <v/>
      </c>
      <c r="J117" s="21">
        <f>ROUND('Group Inputs'!EV8,2)</f>
        <v/>
      </c>
      <c r="K117" s="21">
        <f>ROUND('Group Inputs'!EV9,2)</f>
        <v/>
      </c>
      <c r="L117" s="3" t="inlineStr">
        <is>
          <t>0</t>
        </is>
      </c>
      <c r="M117" s="3" t="inlineStr">
        <is>
          <t>E-08,G-08</t>
        </is>
      </c>
      <c r="N117" s="3" t="inlineStr">
        <is>
          <t>assurance_actions_overdue</t>
        </is>
      </c>
    </row>
    <row r="118">
      <c r="A118" s="2" t="inlineStr">
        <is>
          <t>GOV-006</t>
        </is>
      </c>
      <c r="B118" s="3" t="inlineStr">
        <is>
          <t>Repeat findings</t>
        </is>
      </c>
      <c r="C118" s="3" t="inlineStr">
        <is>
          <t>count</t>
        </is>
      </c>
      <c r="D118" s="3" t="inlineStr">
        <is>
          <t>Month end</t>
        </is>
      </c>
      <c r="E118" s="3" t="inlineStr">
        <is>
          <t>Repeat audit findings</t>
        </is>
      </c>
      <c r="F118" s="21">
        <f>ROUND('Group Inputs'!EW4,2)</f>
        <v/>
      </c>
      <c r="G118" s="21">
        <f>ROUND('Group Inputs'!EW5,2)</f>
        <v/>
      </c>
      <c r="H118" s="21">
        <f>ROUND('Group Inputs'!EW6,2)</f>
        <v/>
      </c>
      <c r="I118" s="21">
        <f>ROUND('Group Inputs'!EW7,2)</f>
        <v/>
      </c>
      <c r="J118" s="21">
        <f>ROUND('Group Inputs'!EW8,2)</f>
        <v/>
      </c>
      <c r="K118" s="21">
        <f>ROUND('Group Inputs'!EW9,2)</f>
        <v/>
      </c>
      <c r="L118" s="3" t="inlineStr">
        <is>
          <t>1</t>
        </is>
      </c>
      <c r="M118" s="3" t="inlineStr">
        <is>
          <t>E-08,G-08</t>
        </is>
      </c>
      <c r="N118" s="3" t="inlineStr">
        <is>
          <t>repeat_findings</t>
        </is>
      </c>
    </row>
    <row r="119">
      <c r="A119" s="2" t="inlineStr">
        <is>
          <t>GOV-007</t>
        </is>
      </c>
      <c r="B119" s="3" t="inlineStr">
        <is>
          <t>Leadership KPIs affected by findings</t>
        </is>
      </c>
      <c r="C119" s="3" t="inlineStr">
        <is>
          <t>count</t>
        </is>
      </c>
      <c r="D119" s="3" t="inlineStr">
        <is>
          <t>Month end</t>
        </is>
      </c>
      <c r="E119" s="3" t="inlineStr">
        <is>
          <t>Leadership KPIs affected by open findings</t>
        </is>
      </c>
      <c r="F119" s="21">
        <f>ROUND('Group Inputs'!EX4,2)</f>
        <v/>
      </c>
      <c r="G119" s="21">
        <f>ROUND('Group Inputs'!EX5,2)</f>
        <v/>
      </c>
      <c r="H119" s="21">
        <f>ROUND('Group Inputs'!EX6,2)</f>
        <v/>
      </c>
      <c r="I119" s="21">
        <f>ROUND('Group Inputs'!EX7,2)</f>
        <v/>
      </c>
      <c r="J119" s="21">
        <f>ROUND('Group Inputs'!EX8,2)</f>
        <v/>
      </c>
      <c r="K119" s="21">
        <f>ROUND('Group Inputs'!EX9,2)</f>
        <v/>
      </c>
      <c r="L119" s="3" t="inlineStr">
        <is>
          <t>1</t>
        </is>
      </c>
      <c r="M119" s="3" t="inlineStr">
        <is>
          <t>G-08</t>
        </is>
      </c>
      <c r="N119" s="3" t="inlineStr">
        <is>
          <t>leadership_kpis_affected</t>
        </is>
      </c>
    </row>
    <row r="120">
      <c r="A120" s="2" t="inlineStr">
        <is>
          <t>TRU-004</t>
        </is>
      </c>
      <c r="B120" s="3" t="inlineStr">
        <is>
          <t>Open reconciliation breaks</t>
        </is>
      </c>
      <c r="C120" s="3" t="inlineStr">
        <is>
          <t>count</t>
        </is>
      </c>
      <c r="D120" s="3" t="inlineStr">
        <is>
          <t>Month end</t>
        </is>
      </c>
      <c r="E120" s="3" t="inlineStr">
        <is>
          <t>Open reconciliation breaks</t>
        </is>
      </c>
      <c r="F120" s="21">
        <f>ROUND('Group Inputs'!FG4,2)</f>
        <v/>
      </c>
      <c r="G120" s="21">
        <f>ROUND('Group Inputs'!FG5,2)</f>
        <v/>
      </c>
      <c r="H120" s="21">
        <f>ROUND('Group Inputs'!FG6,2)</f>
        <v/>
      </c>
      <c r="I120" s="21">
        <f>ROUND('Group Inputs'!FG7,2)</f>
        <v/>
      </c>
      <c r="J120" s="21">
        <f>ROUND('Group Inputs'!FG8,2)</f>
        <v/>
      </c>
      <c r="K120" s="21">
        <f>ROUND('Group Inputs'!FG9,2)</f>
        <v/>
      </c>
      <c r="L120" s="3" t="inlineStr">
        <is>
          <t>1</t>
        </is>
      </c>
      <c r="M120" s="3" t="inlineStr">
        <is>
          <t>E-08,G-08</t>
        </is>
      </c>
      <c r="N120" s="3" t="inlineStr">
        <is>
          <t>recon_breaks_open</t>
        </is>
      </c>
    </row>
    <row r="121">
      <c r="A121" s="2" t="inlineStr">
        <is>
          <t>TRU-006</t>
        </is>
      </c>
      <c r="B121" s="3" t="inlineStr">
        <is>
          <t>Overdue certifications</t>
        </is>
      </c>
      <c r="C121" s="3" t="inlineStr">
        <is>
          <t>count</t>
        </is>
      </c>
      <c r="D121" s="3" t="inlineStr">
        <is>
          <t>Month end</t>
        </is>
      </c>
      <c r="E121" s="3" t="inlineStr">
        <is>
          <t>Certifications overdue</t>
        </is>
      </c>
      <c r="F121" s="21">
        <f>ROUND('Group Inputs'!FF4,2)</f>
        <v/>
      </c>
      <c r="G121" s="21">
        <f>ROUND('Group Inputs'!FF5,2)</f>
        <v/>
      </c>
      <c r="H121" s="21">
        <f>ROUND('Group Inputs'!FF6,2)</f>
        <v/>
      </c>
      <c r="I121" s="21">
        <f>ROUND('Group Inputs'!FF7,2)</f>
        <v/>
      </c>
      <c r="J121" s="21">
        <f>ROUND('Group Inputs'!FF8,2)</f>
        <v/>
      </c>
      <c r="K121" s="21">
        <f>ROUND('Group Inputs'!FF9,2)</f>
        <v/>
      </c>
      <c r="L121" s="3" t="inlineStr">
        <is>
          <t>2</t>
        </is>
      </c>
      <c r="M121" s="3" t="inlineStr">
        <is>
          <t>E-08,G-08</t>
        </is>
      </c>
      <c r="N121" s="3" t="inlineStr">
        <is>
          <t>certifications_overdue</t>
        </is>
      </c>
    </row>
    <row r="122">
      <c r="A122" s="2" t="inlineStr">
        <is>
          <t>TRU-007</t>
        </is>
      </c>
      <c r="B122" s="3" t="inlineStr">
        <is>
          <t>Material reconciliation breaks</t>
        </is>
      </c>
      <c r="C122" s="3" t="inlineStr">
        <is>
          <t>count</t>
        </is>
      </c>
      <c r="D122" s="3" t="inlineStr">
        <is>
          <t>Month end</t>
        </is>
      </c>
      <c r="E122" s="3" t="inlineStr">
        <is>
          <t>Material reconciliation breaks</t>
        </is>
      </c>
      <c r="F122" s="21">
        <f>ROUND('Group Inputs'!FH4,2)</f>
        <v/>
      </c>
      <c r="G122" s="21">
        <f>ROUND('Group Inputs'!FH5,2)</f>
        <v/>
      </c>
      <c r="H122" s="21">
        <f>ROUND('Group Inputs'!FH6,2)</f>
        <v/>
      </c>
      <c r="I122" s="21">
        <f>ROUND('Group Inputs'!FH7,2)</f>
        <v/>
      </c>
      <c r="J122" s="21">
        <f>ROUND('Group Inputs'!FH8,2)</f>
        <v/>
      </c>
      <c r="K122" s="21">
        <f>ROUND('Group Inputs'!FH9,2)</f>
        <v/>
      </c>
      <c r="L122" s="3" t="inlineStr">
        <is>
          <t>1</t>
        </is>
      </c>
      <c r="M122" s="3" t="inlineStr">
        <is>
          <t>G-08</t>
        </is>
      </c>
      <c r="N122" s="3" t="inlineStr">
        <is>
          <t>recon_breaks_material</t>
        </is>
      </c>
    </row>
    <row r="123">
      <c r="A123" s="2" t="inlineStr">
        <is>
          <t>GOV-008</t>
        </is>
      </c>
      <c r="B123" s="3" t="inlineStr">
        <is>
          <t>Evidence completeness rate</t>
        </is>
      </c>
      <c r="C123" s="3" t="inlineStr">
        <is>
          <t>%</t>
        </is>
      </c>
      <c r="D123" s="3" t="inlineStr">
        <is>
          <t>Month end</t>
        </is>
      </c>
      <c r="E123" s="3" t="inlineStr">
        <is>
          <t>Evidence items complete ÷ Evidence items required × 100</t>
        </is>
      </c>
      <c r="F123" s="21">
        <f>ROUND(IF('Group Inputs'!EY4=0,0,100*'Group Inputs'!EZ4/'Group Inputs'!EY4),2)</f>
        <v/>
      </c>
      <c r="G123" s="21">
        <f>ROUND(IF('Group Inputs'!EY5=0,0,100*'Group Inputs'!EZ5/'Group Inputs'!EY5),2)</f>
        <v/>
      </c>
      <c r="H123" s="21">
        <f>ROUND(IF('Group Inputs'!EY6=0,0,100*'Group Inputs'!EZ6/'Group Inputs'!EY6),2)</f>
        <v/>
      </c>
      <c r="I123" s="21">
        <f>ROUND(IF('Group Inputs'!EY7=0,0,100*'Group Inputs'!EZ7/'Group Inputs'!EY7),2)</f>
        <v/>
      </c>
      <c r="J123" s="21">
        <f>ROUND(IF('Group Inputs'!EY8=0,0,100*'Group Inputs'!EZ8/'Group Inputs'!EY8),2)</f>
        <v/>
      </c>
      <c r="K123" s="21">
        <f>ROUND(IF('Group Inputs'!EY9=0,0,100*'Group Inputs'!EZ9/'Group Inputs'!EY9),2)</f>
        <v/>
      </c>
      <c r="L123" s="3" t="inlineStr">
        <is>
          <t>88%</t>
        </is>
      </c>
      <c r="M123" s="3" t="inlineStr">
        <is>
          <t>E-08,G-08</t>
        </is>
      </c>
      <c r="N123" s="3" t="inlineStr">
        <is>
          <t>evidence_required, evidence_complete</t>
        </is>
      </c>
    </row>
    <row r="124">
      <c r="A124" s="2" t="inlineStr">
        <is>
          <t>GOV-009</t>
        </is>
      </c>
      <c r="B124" s="3" t="inlineStr">
        <is>
          <t>Average finding-closure time</t>
        </is>
      </c>
      <c r="C124" s="3" t="inlineStr">
        <is>
          <t>days</t>
        </is>
      </c>
      <c r="D124" s="3" t="inlineStr">
        <is>
          <t>Year to date</t>
        </is>
      </c>
      <c r="E124" s="3" t="inlineStr">
        <is>
          <t>Days taken to close findings since April ÷ Findings closed since April</t>
        </is>
      </c>
      <c r="F124" s="21">
        <f>ROUND(IF(SUM('Group Inputs'!FA$4:FA4)=0,0,SUM('Group Inputs'!FB$4:FB4)/SUM('Group Inputs'!FA$4:FA4)),2)</f>
        <v/>
      </c>
      <c r="G124" s="21">
        <f>ROUND(IF(SUM('Group Inputs'!FA$4:FA5)=0,0,SUM('Group Inputs'!FB$4:FB5)/SUM('Group Inputs'!FA$4:FA5)),2)</f>
        <v/>
      </c>
      <c r="H124" s="21">
        <f>ROUND(IF(SUM('Group Inputs'!FA$4:FA6)=0,0,SUM('Group Inputs'!FB$4:FB6)/SUM('Group Inputs'!FA$4:FA6)),2)</f>
        <v/>
      </c>
      <c r="I124" s="21">
        <f>ROUND(IF(SUM('Group Inputs'!FA$4:FA7)=0,0,SUM('Group Inputs'!FB$4:FB7)/SUM('Group Inputs'!FA$4:FA7)),2)</f>
        <v/>
      </c>
      <c r="J124" s="21">
        <f>ROUND(IF(SUM('Group Inputs'!FA$4:FA8)=0,0,SUM('Group Inputs'!FB$4:FB8)/SUM('Group Inputs'!FA$4:FA8)),2)</f>
        <v/>
      </c>
      <c r="K124" s="21">
        <f>ROUND(IF(SUM('Group Inputs'!FA$4:FA9)=0,0,SUM('Group Inputs'!FB$4:FB9)/SUM('Group Inputs'!FA$4:FA9)),2)</f>
        <v/>
      </c>
      <c r="L124" s="3" t="inlineStr">
        <is>
          <t>34 d</t>
        </is>
      </c>
      <c r="M124" s="3" t="inlineStr">
        <is>
          <t>E-08,G-08</t>
        </is>
      </c>
      <c r="N124" s="3" t="inlineStr">
        <is>
          <t>findings_closed, finding_closure_days</t>
        </is>
      </c>
    </row>
    <row r="125">
      <c r="A125" s="2" t="inlineStr">
        <is>
          <t>TRU-001</t>
        </is>
      </c>
      <c r="B125" s="3" t="inlineStr">
        <is>
          <t>Certified KPI percentage</t>
        </is>
      </c>
      <c r="C125" s="3" t="inlineStr">
        <is>
          <t>%</t>
        </is>
      </c>
      <c r="D125" s="3" t="inlineStr">
        <is>
          <t>Month end</t>
        </is>
      </c>
      <c r="E125" s="3" t="inlineStr">
        <is>
          <t>Leadership KPI values certified ÷ Leadership KPI values reported × 100</t>
        </is>
      </c>
      <c r="F125" s="21">
        <f>ROUND(IF('Group Inputs'!FC4=0,0,100*'Group Inputs'!FD4/'Group Inputs'!FC4),2)</f>
        <v/>
      </c>
      <c r="G125" s="21">
        <f>ROUND(IF('Group Inputs'!FC5=0,0,100*'Group Inputs'!FD5/'Group Inputs'!FC5),2)</f>
        <v/>
      </c>
      <c r="H125" s="21">
        <f>ROUND(IF('Group Inputs'!FC6=0,0,100*'Group Inputs'!FD6/'Group Inputs'!FC6),2)</f>
        <v/>
      </c>
      <c r="I125" s="21">
        <f>ROUND(IF('Group Inputs'!FC7=0,0,100*'Group Inputs'!FD7/'Group Inputs'!FC7),2)</f>
        <v/>
      </c>
      <c r="J125" s="21">
        <f>ROUND(IF('Group Inputs'!FC8=0,0,100*'Group Inputs'!FD8/'Group Inputs'!FC8),2)</f>
        <v/>
      </c>
      <c r="K125" s="21">
        <f>ROUND(IF('Group Inputs'!FC9=0,0,100*'Group Inputs'!FD9/'Group Inputs'!FC9),2)</f>
        <v/>
      </c>
      <c r="L125" s="3" t="inlineStr">
        <is>
          <t>84 % of leadership KPIs</t>
        </is>
      </c>
      <c r="M125" s="3" t="inlineStr">
        <is>
          <t>E-08,G-01,G-02,G-08</t>
        </is>
      </c>
      <c r="N125" s="3" t="inlineStr">
        <is>
          <t>kpis_leadership, kpis_certified</t>
        </is>
      </c>
    </row>
    <row r="126">
      <c r="A126" s="2" t="inlineStr">
        <is>
          <t>TRU-002</t>
        </is>
      </c>
      <c r="B126" s="3" t="inlineStr">
        <is>
          <t>Uncertified KPI count</t>
        </is>
      </c>
      <c r="C126" s="3" t="inlineStr">
        <is>
          <t>count</t>
        </is>
      </c>
      <c r="D126" s="3" t="inlineStr">
        <is>
          <t>Month end</t>
        </is>
      </c>
      <c r="E126" s="3" t="inlineStr">
        <is>
          <t>Leadership KPI values reported − Values certified</t>
        </is>
      </c>
      <c r="F126" s="21">
        <f>ROUND('Group Inputs'!FC4-'Group Inputs'!FD4,2)</f>
        <v/>
      </c>
      <c r="G126" s="21">
        <f>ROUND('Group Inputs'!FC5-'Group Inputs'!FD5,2)</f>
        <v/>
      </c>
      <c r="H126" s="21">
        <f>ROUND('Group Inputs'!FC6-'Group Inputs'!FD6,2)</f>
        <v/>
      </c>
      <c r="I126" s="21">
        <f>ROUND('Group Inputs'!FC7-'Group Inputs'!FD7,2)</f>
        <v/>
      </c>
      <c r="J126" s="21">
        <f>ROUND('Group Inputs'!FC8-'Group Inputs'!FD8,2)</f>
        <v/>
      </c>
      <c r="K126" s="21">
        <f>ROUND('Group Inputs'!FC9-'Group Inputs'!FD9,2)</f>
        <v/>
      </c>
      <c r="L126" s="3" t="inlineStr">
        <is>
          <t>9</t>
        </is>
      </c>
      <c r="M126" s="3" t="inlineStr">
        <is>
          <t>G-08</t>
        </is>
      </c>
      <c r="N126" s="3" t="inlineStr">
        <is>
          <t>kpis_leadership, kpis_certified</t>
        </is>
      </c>
    </row>
    <row r="127">
      <c r="A127" s="2" t="inlineStr">
        <is>
          <t>TRU-005</t>
        </is>
      </c>
      <c r="B127" s="3" t="inlineStr">
        <is>
          <t>KPI certification coverage</t>
        </is>
      </c>
      <c r="C127" s="3" t="inlineStr">
        <is>
          <t>%</t>
        </is>
      </c>
      <c r="D127" s="3" t="inlineStr">
        <is>
          <t>Month end</t>
        </is>
      </c>
      <c r="E127" s="3" t="inlineStr">
        <is>
          <t>Leadership KPI values inside the certification process ÷ Values reported × 100</t>
        </is>
      </c>
      <c r="F127" s="21">
        <f>ROUND(IF('Group Inputs'!FC4=0,0,100*'Group Inputs'!FE4/'Group Inputs'!FC4),2)</f>
        <v/>
      </c>
      <c r="G127" s="21">
        <f>ROUND(IF('Group Inputs'!FC5=0,0,100*'Group Inputs'!FE5/'Group Inputs'!FC5),2)</f>
        <v/>
      </c>
      <c r="H127" s="21">
        <f>ROUND(IF('Group Inputs'!FC6=0,0,100*'Group Inputs'!FE6/'Group Inputs'!FC6),2)</f>
        <v/>
      </c>
      <c r="I127" s="21">
        <f>ROUND(IF('Group Inputs'!FC7=0,0,100*'Group Inputs'!FE7/'Group Inputs'!FC7),2)</f>
        <v/>
      </c>
      <c r="J127" s="21">
        <f>ROUND(IF('Group Inputs'!FC8=0,0,100*'Group Inputs'!FE8/'Group Inputs'!FC8),2)</f>
        <v/>
      </c>
      <c r="K127" s="21">
        <f>ROUND(IF('Group Inputs'!FC9=0,0,100*'Group Inputs'!FE9/'Group Inputs'!FC9),2)</f>
        <v/>
      </c>
      <c r="L127" s="3" t="inlineStr">
        <is>
          <t>92%</t>
        </is>
      </c>
      <c r="M127" s="3" t="inlineStr">
        <is>
          <t>G-08</t>
        </is>
      </c>
      <c r="N127" s="3" t="inlineStr">
        <is>
          <t>kpis_leadership, kpis_in_scope</t>
        </is>
      </c>
    </row>
    <row r="128">
      <c r="A128" s="2" t="inlineStr">
        <is>
          <t>TRU-008</t>
        </is>
      </c>
      <c r="B128" s="3" t="inlineStr">
        <is>
          <t>Source-to-Lake reconciliation rate</t>
        </is>
      </c>
      <c r="C128" s="3" t="inlineStr">
        <is>
          <t>%</t>
        </is>
      </c>
      <c r="D128" s="3" t="inlineStr">
        <is>
          <t>Month</t>
        </is>
      </c>
      <c r="E128" s="3" t="inlineStr">
        <is>
          <t>Records reconciled to source ÷ Records loaded × 100</t>
        </is>
      </c>
      <c r="F128" s="21">
        <f>ROUND(IF('Group Inputs'!FI4=0,0,100*'Group Inputs'!FJ4/'Group Inputs'!FI4),2)</f>
        <v/>
      </c>
      <c r="G128" s="21">
        <f>ROUND(IF('Group Inputs'!FI5=0,0,100*'Group Inputs'!FJ5/'Group Inputs'!FI5),2)</f>
        <v/>
      </c>
      <c r="H128" s="21">
        <f>ROUND(IF('Group Inputs'!FI6=0,0,100*'Group Inputs'!FJ6/'Group Inputs'!FI6),2)</f>
        <v/>
      </c>
      <c r="I128" s="21">
        <f>ROUND(IF('Group Inputs'!FI7=0,0,100*'Group Inputs'!FJ7/'Group Inputs'!FI7),2)</f>
        <v/>
      </c>
      <c r="J128" s="21">
        <f>ROUND(IF('Group Inputs'!FI8=0,0,100*'Group Inputs'!FJ8/'Group Inputs'!FI8),2)</f>
        <v/>
      </c>
      <c r="K128" s="21">
        <f>ROUND(IF('Group Inputs'!FI9=0,0,100*'Group Inputs'!FJ9/'Group Inputs'!FI9),2)</f>
        <v/>
      </c>
      <c r="L128" s="3" t="inlineStr">
        <is>
          <t>99.2%</t>
        </is>
      </c>
      <c r="M128" s="3" t="inlineStr">
        <is>
          <t>E-08,G-08</t>
        </is>
      </c>
      <c r="N128" s="3" t="inlineStr">
        <is>
          <t>lake_records_loaded, lake_records_reconciled</t>
        </is>
      </c>
    </row>
    <row r="129">
      <c r="A129" s="2" t="inlineStr">
        <is>
          <t>TRU-009</t>
        </is>
      </c>
      <c r="B129" s="3" t="inlineStr">
        <is>
          <t>Flash-to-MIS reconciliation rate</t>
        </is>
      </c>
      <c r="C129" s="3" t="inlineStr">
        <is>
          <t>%</t>
        </is>
      </c>
      <c r="D129" s="3" t="inlineStr">
        <is>
          <t>Month</t>
        </is>
      </c>
      <c r="E129" s="3" t="inlineStr">
        <is>
          <t>Flash lines matching MIS ÷ Flash report lines × 100</t>
        </is>
      </c>
      <c r="F129" s="21">
        <f>ROUND(IF('Group Inputs'!FK4=0,0,100*'Group Inputs'!FL4/'Group Inputs'!FK4),2)</f>
        <v/>
      </c>
      <c r="G129" s="21">
        <f>ROUND(IF('Group Inputs'!FK5=0,0,100*'Group Inputs'!FL5/'Group Inputs'!FK5),2)</f>
        <v/>
      </c>
      <c r="H129" s="21">
        <f>ROUND(IF('Group Inputs'!FK6=0,0,100*'Group Inputs'!FL6/'Group Inputs'!FK6),2)</f>
        <v/>
      </c>
      <c r="I129" s="21">
        <f>ROUND(IF('Group Inputs'!FK7=0,0,100*'Group Inputs'!FL7/'Group Inputs'!FK7),2)</f>
        <v/>
      </c>
      <c r="J129" s="21">
        <f>ROUND(IF('Group Inputs'!FK8=0,0,100*'Group Inputs'!FL8/'Group Inputs'!FK8),2)</f>
        <v/>
      </c>
      <c r="K129" s="21">
        <f>ROUND(IF('Group Inputs'!FK9=0,0,100*'Group Inputs'!FL9/'Group Inputs'!FK9),2)</f>
        <v/>
      </c>
      <c r="L129" s="3" t="inlineStr">
        <is>
          <t>96.8%</t>
        </is>
      </c>
      <c r="M129" s="3" t="inlineStr">
        <is>
          <t>E-08,G-08</t>
        </is>
      </c>
      <c r="N129" s="3" t="inlineStr">
        <is>
          <t>mis_lines_total, mis_lines_matched</t>
        </is>
      </c>
    </row>
    <row r="130">
      <c r="A130" s="2" t="inlineStr">
        <is>
          <t>TRU-010</t>
        </is>
      </c>
      <c r="B130" s="3" t="inlineStr">
        <is>
          <t>Flash-to-close variance</t>
        </is>
      </c>
      <c r="C130" s="3" t="inlineStr">
        <is>
          <t>%</t>
        </is>
      </c>
      <c r="D130" s="3" t="inlineStr">
        <is>
          <t>Month</t>
        </is>
      </c>
      <c r="E130" s="3" t="inlineStr">
        <is>
          <t>|Flash revenue − Closed revenue| ÷ Closed revenue × 100</t>
        </is>
      </c>
      <c r="F130" s="21">
        <f>ROUND(IF('Group Inputs'!AU4=0,0,100*ABS('Group Inputs'!CI4-'Group Inputs'!AU4)/'Group Inputs'!AU4),2)</f>
        <v/>
      </c>
      <c r="G130" s="21">
        <f>ROUND(IF('Group Inputs'!AU5=0,0,100*ABS('Group Inputs'!CI5-'Group Inputs'!AU5)/'Group Inputs'!AU5),2)</f>
        <v/>
      </c>
      <c r="H130" s="21">
        <f>ROUND(IF('Group Inputs'!AU6=0,0,100*ABS('Group Inputs'!CI6-'Group Inputs'!AU6)/'Group Inputs'!AU6),2)</f>
        <v/>
      </c>
      <c r="I130" s="21">
        <f>ROUND(IF('Group Inputs'!AU7=0,0,100*ABS('Group Inputs'!CI7-'Group Inputs'!AU7)/'Group Inputs'!AU7),2)</f>
        <v/>
      </c>
      <c r="J130" s="21">
        <f>ROUND(IF('Group Inputs'!AU8=0,0,100*ABS('Group Inputs'!CI8-'Group Inputs'!AU8)/'Group Inputs'!AU8),2)</f>
        <v/>
      </c>
      <c r="K130" s="21">
        <f>ROUND(IF('Group Inputs'!AU9=0,0,100*ABS('Group Inputs'!CI9-'Group Inputs'!AU9)/'Group Inputs'!AU9),2)</f>
        <v/>
      </c>
      <c r="L130" s="3" t="inlineStr">
        <is>
          <t>0.6 %</t>
        </is>
      </c>
      <c r="M130" s="3" t="inlineStr">
        <is>
          <t>E-08,G-08</t>
        </is>
      </c>
      <c r="N130" s="3" t="inlineStr">
        <is>
          <t>revenue_k, flash_revenue_k</t>
        </is>
      </c>
    </row>
    <row r="131">
      <c r="A131" s="2" t="inlineStr">
        <is>
          <t>TRU-003</t>
        </is>
      </c>
      <c r="B131" s="3" t="inlineStr">
        <is>
          <t>Variance against Board number (EBITDA)</t>
        </is>
      </c>
      <c r="C131" s="3" t="inlineStr">
        <is>
          <t>%</t>
        </is>
      </c>
      <c r="D131" s="3" t="inlineStr">
        <is>
          <t>Month</t>
        </is>
      </c>
      <c r="E131" s="3" t="inlineStr">
        <is>
          <t>(Board-pack EBITDA − Certified EBITDA) ÷ Certified EBITDA × 100</t>
        </is>
      </c>
      <c r="F131" s="21">
        <f>ROUND(IF('Group Inputs'!FV4=0,0,100*('Group Inputs'!CH4-'Group Inputs'!FV4)/'Group Inputs'!FV4),2)</f>
        <v/>
      </c>
      <c r="G131" s="21">
        <f>ROUND(IF('Group Inputs'!FV5=0,0,100*('Group Inputs'!CH5-'Group Inputs'!FV5)/'Group Inputs'!FV5),2)</f>
        <v/>
      </c>
      <c r="H131" s="21">
        <f>ROUND(IF('Group Inputs'!FV6=0,0,100*('Group Inputs'!CH6-'Group Inputs'!FV6)/'Group Inputs'!FV6),2)</f>
        <v/>
      </c>
      <c r="I131" s="21">
        <f>ROUND(IF('Group Inputs'!FV7=0,0,100*('Group Inputs'!CH7-'Group Inputs'!FV7)/'Group Inputs'!FV7),2)</f>
        <v/>
      </c>
      <c r="J131" s="21">
        <f>ROUND(IF('Group Inputs'!FV8=0,0,100*('Group Inputs'!CH8-'Group Inputs'!FV8)/'Group Inputs'!FV8),2)</f>
        <v/>
      </c>
      <c r="K131" s="21">
        <f>ROUND(IF('Group Inputs'!FV9=0,0,100*('Group Inputs'!CH9-'Group Inputs'!FV9)/'Group Inputs'!FV9),2)</f>
        <v/>
      </c>
      <c r="L131" s="3" t="inlineStr">
        <is>
          <t>[BOARD FIGURE — PH]</t>
        </is>
      </c>
      <c r="M131" s="3" t="inlineStr">
        <is>
          <t>G-08</t>
        </is>
      </c>
      <c r="N131" s="3" t="inlineStr">
        <is>
          <t>board_ebitda_k, ebitda_k</t>
        </is>
      </c>
    </row>
    <row r="132">
      <c r="A132" s="2" t="inlineStr">
        <is>
          <t>TRU-011</t>
        </is>
      </c>
      <c r="B132" s="3" t="inlineStr">
        <is>
          <t>Largest entity variance against Board numbers</t>
        </is>
      </c>
      <c r="C132" s="3" t="inlineStr">
        <is>
          <t>%</t>
        </is>
      </c>
      <c r="D132" s="3" t="inlineStr">
        <is>
          <t>Month</t>
        </is>
      </c>
      <c r="E132" s="3" t="inlineStr">
        <is>
          <t>Highest of the entities' |Board-pack EBITDA − Certified EBITDA| ÷ Certified EBITDA × 100</t>
        </is>
      </c>
      <c r="F132"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s="3" t="inlineStr">
        <is>
          <t>0.3% max abs · Entity B2</t>
        </is>
      </c>
      <c r="M132" s="3" t="inlineStr">
        <is>
          <t>E-08,G-08</t>
        </is>
      </c>
      <c r="N132" s="3" t="inlineStr">
        <is>
          <t>variable_cost_k, fixed_cost_k, revenue_k, overhead_k, board_ebitda_k</t>
        </is>
      </c>
    </row>
    <row r="133">
      <c r="A133" s="2" t="inlineStr">
        <is>
          <t>EFF-002</t>
        </is>
      </c>
      <c r="B133" s="3" t="inlineStr">
        <is>
          <t>Open critical alerts</t>
        </is>
      </c>
      <c r="C133" s="3" t="inlineStr">
        <is>
          <t>count</t>
        </is>
      </c>
      <c r="D133" s="3" t="inlineStr">
        <is>
          <t>Month end</t>
        </is>
      </c>
      <c r="E133" s="3" t="inlineStr">
        <is>
          <t>Open critical alerts</t>
        </is>
      </c>
      <c r="F133" s="21">
        <f>ROUND('Group Inputs'!FM4,2)</f>
        <v/>
      </c>
      <c r="G133" s="21">
        <f>ROUND('Group Inputs'!FM5,2)</f>
        <v/>
      </c>
      <c r="H133" s="21">
        <f>ROUND('Group Inputs'!FM6,2)</f>
        <v/>
      </c>
      <c r="I133" s="21">
        <f>ROUND('Group Inputs'!FM7,2)</f>
        <v/>
      </c>
      <c r="J133" s="21">
        <f>ROUND('Group Inputs'!FM8,2)</f>
        <v/>
      </c>
      <c r="K133" s="21">
        <f>ROUND('Group Inputs'!FM9,2)</f>
        <v/>
      </c>
      <c r="L133" s="3" t="inlineStr">
        <is>
          <t>1</t>
        </is>
      </c>
      <c r="M133" s="3" t="inlineStr">
        <is>
          <t>E-01,E-09,G-01,G-02,G-07,G-09,O-01,STATE GALLERY</t>
        </is>
      </c>
      <c r="N133" s="3" t="inlineStr">
        <is>
          <t>critical_alerts_open</t>
        </is>
      </c>
    </row>
    <row r="134">
      <c r="A134" s="2" t="inlineStr">
        <is>
          <t>EFF-006</t>
        </is>
      </c>
      <c r="B134" s="3" t="inlineStr">
        <is>
          <t>Alerts without accepted owners</t>
        </is>
      </c>
      <c r="C134" s="3" t="inlineStr">
        <is>
          <t>count</t>
        </is>
      </c>
      <c r="D134" s="3" t="inlineStr">
        <is>
          <t>Month end</t>
        </is>
      </c>
      <c r="E134" s="3" t="inlineStr">
        <is>
          <t>Alerts with no accepted owner</t>
        </is>
      </c>
      <c r="F134" s="21">
        <f>ROUND('Group Inputs'!FN4,2)</f>
        <v/>
      </c>
      <c r="G134" s="21">
        <f>ROUND('Group Inputs'!FN5,2)</f>
        <v/>
      </c>
      <c r="H134" s="21">
        <f>ROUND('Group Inputs'!FN6,2)</f>
        <v/>
      </c>
      <c r="I134" s="21">
        <f>ROUND('Group Inputs'!FN7,2)</f>
        <v/>
      </c>
      <c r="J134" s="21">
        <f>ROUND('Group Inputs'!FN8,2)</f>
        <v/>
      </c>
      <c r="K134" s="21">
        <f>ROUND('Group Inputs'!FN9,2)</f>
        <v/>
      </c>
      <c r="L134" s="3" t="inlineStr">
        <is>
          <t>1</t>
        </is>
      </c>
      <c r="M134" s="3" t="inlineStr">
        <is>
          <t>G-09</t>
        </is>
      </c>
      <c r="N134" s="3" t="inlineStr">
        <is>
          <t>alerts_unowned</t>
        </is>
      </c>
    </row>
    <row r="135">
      <c r="A135" s="2" t="inlineStr">
        <is>
          <t>EFF-007</t>
        </is>
      </c>
      <c r="B135" s="3" t="inlineStr">
        <is>
          <t>Overdue actions</t>
        </is>
      </c>
      <c r="C135" s="3" t="inlineStr">
        <is>
          <t>count</t>
        </is>
      </c>
      <c r="D135" s="3" t="inlineStr">
        <is>
          <t>Month end</t>
        </is>
      </c>
      <c r="E135" s="3" t="inlineStr">
        <is>
          <t>Overdue actions</t>
        </is>
      </c>
      <c r="F135" s="21">
        <f>ROUND('Group Inputs'!FO4,2)</f>
        <v/>
      </c>
      <c r="G135" s="21">
        <f>ROUND('Group Inputs'!FO5,2)</f>
        <v/>
      </c>
      <c r="H135" s="21">
        <f>ROUND('Group Inputs'!FO6,2)</f>
        <v/>
      </c>
      <c r="I135" s="21">
        <f>ROUND('Group Inputs'!FO7,2)</f>
        <v/>
      </c>
      <c r="J135" s="21">
        <f>ROUND('Group Inputs'!FO8,2)</f>
        <v/>
      </c>
      <c r="K135" s="21">
        <f>ROUND('Group Inputs'!FO9,2)</f>
        <v/>
      </c>
      <c r="L135" s="3" t="inlineStr">
        <is>
          <t>0</t>
        </is>
      </c>
      <c r="M135" s="3" t="inlineStr">
        <is>
          <t>E-01,E-09,G-09</t>
        </is>
      </c>
      <c r="N135" s="3" t="inlineStr">
        <is>
          <t>actions_overdue</t>
        </is>
      </c>
    </row>
    <row r="136">
      <c r="A136" s="2" t="inlineStr">
        <is>
          <t>EFF-008</t>
        </is>
      </c>
      <c r="B136" s="3" t="inlineStr">
        <is>
          <t>Average resolution time</t>
        </is>
      </c>
      <c r="C136" s="3" t="inlineStr">
        <is>
          <t>days</t>
        </is>
      </c>
      <c r="D136" s="3" t="inlineStr">
        <is>
          <t>Month</t>
        </is>
      </c>
      <c r="E136" s="3" t="inlineStr">
        <is>
          <t>Days taken to resolve alerts ÷ Alerts resolved</t>
        </is>
      </c>
      <c r="F136" s="21">
        <f>ROUND(IF('Group Inputs'!FP4=0,0,'Group Inputs'!FQ4/'Group Inputs'!FP4),2)</f>
        <v/>
      </c>
      <c r="G136" s="21">
        <f>ROUND(IF('Group Inputs'!FP5=0,0,'Group Inputs'!FQ5/'Group Inputs'!FP5),2)</f>
        <v/>
      </c>
      <c r="H136" s="21">
        <f>ROUND(IF('Group Inputs'!FP6=0,0,'Group Inputs'!FQ6/'Group Inputs'!FP6),2)</f>
        <v/>
      </c>
      <c r="I136" s="21">
        <f>ROUND(IF('Group Inputs'!FP7=0,0,'Group Inputs'!FQ7/'Group Inputs'!FP7),2)</f>
        <v/>
      </c>
      <c r="J136" s="21">
        <f>ROUND(IF('Group Inputs'!FP8=0,0,'Group Inputs'!FQ8/'Group Inputs'!FP8),2)</f>
        <v/>
      </c>
      <c r="K136" s="21">
        <f>ROUND(IF('Group Inputs'!FP9=0,0,'Group Inputs'!FQ9/'Group Inputs'!FP9),2)</f>
        <v/>
      </c>
      <c r="L136" s="3" t="inlineStr">
        <is>
          <t>2.4 d</t>
        </is>
      </c>
      <c r="M136" s="3" t="inlineStr">
        <is>
          <t>E-09,G-09,O-06</t>
        </is>
      </c>
      <c r="N136" s="3" t="inlineStr">
        <is>
          <t>alerts_resolved, alert_resolution_days</t>
        </is>
      </c>
    </row>
    <row r="137">
      <c r="A137" s="2" t="inlineStr">
        <is>
          <t>EFF-009</t>
        </is>
      </c>
      <c r="B137" s="3" t="inlineStr">
        <is>
          <t>Closed escalations, last 30 days</t>
        </is>
      </c>
      <c r="C137" s="3" t="inlineStr">
        <is>
          <t>count</t>
        </is>
      </c>
      <c r="D137" s="3" t="inlineStr">
        <is>
          <t>Month</t>
        </is>
      </c>
      <c r="E137" s="3" t="inlineStr">
        <is>
          <t>Escalations closed in the month</t>
        </is>
      </c>
      <c r="F137" s="21">
        <f>ROUND('Group Inputs'!FR4,2)</f>
        <v/>
      </c>
      <c r="G137" s="21">
        <f>ROUND('Group Inputs'!FR5,2)</f>
        <v/>
      </c>
      <c r="H137" s="21">
        <f>ROUND('Group Inputs'!FR6,2)</f>
        <v/>
      </c>
      <c r="I137" s="21">
        <f>ROUND('Group Inputs'!FR7,2)</f>
        <v/>
      </c>
      <c r="J137" s="21">
        <f>ROUND('Group Inputs'!FR8,2)</f>
        <v/>
      </c>
      <c r="K137" s="21">
        <f>ROUND('Group Inputs'!FR9,2)</f>
        <v/>
      </c>
      <c r="L137" s="3" t="inlineStr">
        <is>
          <t>11</t>
        </is>
      </c>
      <c r="M137" s="3" t="inlineStr">
        <is>
          <t>E-09,G-09,O-06</t>
        </is>
      </c>
      <c r="N137" s="3" t="inlineStr">
        <is>
          <t>escalations_closed</t>
        </is>
      </c>
    </row>
    <row r="138">
      <c r="A138" s="2" t="inlineStr">
        <is>
          <t>EFF-010</t>
        </is>
      </c>
      <c r="B138" s="3" t="inlineStr">
        <is>
          <t>Repeat issues, last 90 days</t>
        </is>
      </c>
      <c r="C138" s="3" t="inlineStr">
        <is>
          <t>count</t>
        </is>
      </c>
      <c r="D138" s="3" t="inlineStr">
        <is>
          <t>Last 3 months</t>
        </is>
      </c>
      <c r="E138" s="3" t="inlineStr">
        <is>
          <t>Sum of repeat issues over the last 3 months</t>
        </is>
      </c>
      <c r="F138" s="21">
        <f>ROUND(SUM('Group Inputs'!FS4:FS4),2)</f>
        <v/>
      </c>
      <c r="G138" s="21">
        <f>ROUND(SUM('Group Inputs'!FS4:FS5),2)</f>
        <v/>
      </c>
      <c r="H138" s="21">
        <f>ROUND(SUM('Group Inputs'!FS4:FS6),2)</f>
        <v/>
      </c>
      <c r="I138" s="21">
        <f>ROUND(SUM('Group Inputs'!FS5:FS7),2)</f>
        <v/>
      </c>
      <c r="J138" s="21">
        <f>ROUND(SUM('Group Inputs'!FS6:FS8),2)</f>
        <v/>
      </c>
      <c r="K138" s="21">
        <f>ROUND(SUM('Group Inputs'!FS7:FS9),2)</f>
        <v/>
      </c>
      <c r="L138" s="3" t="inlineStr">
        <is>
          <t>2</t>
        </is>
      </c>
      <c r="M138" s="3" t="inlineStr">
        <is>
          <t>E-09,G-09,O-06</t>
        </is>
      </c>
      <c r="N138" s="3" t="inlineStr">
        <is>
          <t>repeat_issues</t>
        </is>
      </c>
    </row>
    <row r="139">
      <c r="A139" s="2" t="inlineStr">
        <is>
          <t>EFF-011</t>
        </is>
      </c>
      <c r="B139" s="3" t="inlineStr">
        <is>
          <t>Root causes eliminated YTD</t>
        </is>
      </c>
      <c r="C139" s="3" t="inlineStr">
        <is>
          <t>text</t>
        </is>
      </c>
      <c r="D139" s="3" t="inlineStr">
        <is>
          <t>Year to date</t>
        </is>
      </c>
      <c r="E139" s="3" t="inlineStr">
        <is>
          <t>Root causes eliminated since April, of those identified since April</t>
        </is>
      </c>
      <c r="F139" s="8">
        <f>SUM('Group Inputs'!FU$4:FU4)&amp;" of "&amp;SUM('Group Inputs'!FT$4:FT4)</f>
        <v/>
      </c>
      <c r="G139" s="8">
        <f>SUM('Group Inputs'!FU$4:FU5)&amp;" of "&amp;SUM('Group Inputs'!FT$4:FT5)</f>
        <v/>
      </c>
      <c r="H139" s="8">
        <f>SUM('Group Inputs'!FU$4:FU6)&amp;" of "&amp;SUM('Group Inputs'!FT$4:FT6)</f>
        <v/>
      </c>
      <c r="I139" s="8">
        <f>SUM('Group Inputs'!FU$4:FU7)&amp;" of "&amp;SUM('Group Inputs'!FT$4:FT7)</f>
        <v/>
      </c>
      <c r="J139" s="8">
        <f>SUM('Group Inputs'!FU$4:FU8)&amp;" of "&amp;SUM('Group Inputs'!FT$4:FT8)</f>
        <v/>
      </c>
      <c r="K139" s="8">
        <f>SUM('Group Inputs'!FU$4:FU9)&amp;" of "&amp;SUM('Group Inputs'!FT$4:FT9)</f>
        <v/>
      </c>
      <c r="L139" s="3" t="inlineStr">
        <is>
          <t>7 of 9</t>
        </is>
      </c>
      <c r="M139" s="3" t="inlineStr">
        <is>
          <t>E-09,G-09,O-06</t>
        </is>
      </c>
      <c r="N139" s="3" t="inlineStr">
        <is>
          <t>root_causes_identified, root_causes_eliminated</t>
        </is>
      </c>
    </row>
    <row r="140">
      <c r="A140" s="2" t="inlineStr">
        <is>
          <t>SIG-004</t>
        </is>
      </c>
      <c r="B140" s="3" t="inlineStr">
        <is>
          <t>Collections slippage</t>
        </is>
      </c>
      <c r="C140" s="3" t="inlineStr">
        <is>
          <t>days</t>
        </is>
      </c>
      <c r="D140" s="3" t="inlineStr">
        <is>
          <t>Month</t>
        </is>
      </c>
      <c r="E140" s="3" t="inlineStr">
        <is>
          <t>(Days taken to collect − Agreed payment terms) ÷ Invoices collected (average days late)</t>
        </is>
      </c>
      <c r="F140" s="21">
        <f>ROUND(IF('Group Inputs'!CQ4=0,0,('Group Inputs'!CR4-'Group Inputs'!CS4)/'Group Inputs'!CQ4),2)</f>
        <v/>
      </c>
      <c r="G140" s="21">
        <f>ROUND(IF('Group Inputs'!CQ5=0,0,('Group Inputs'!CR5-'Group Inputs'!CS5)/'Group Inputs'!CQ5),2)</f>
        <v/>
      </c>
      <c r="H140" s="21">
        <f>ROUND(IF('Group Inputs'!CQ6=0,0,('Group Inputs'!CR6-'Group Inputs'!CS6)/'Group Inputs'!CQ6),2)</f>
        <v/>
      </c>
      <c r="I140" s="21">
        <f>ROUND(IF('Group Inputs'!CQ7=0,0,('Group Inputs'!CR7-'Group Inputs'!CS7)/'Group Inputs'!CQ7),2)</f>
        <v/>
      </c>
      <c r="J140" s="21">
        <f>ROUND(IF('Group Inputs'!CQ8=0,0,('Group Inputs'!CR8-'Group Inputs'!CS8)/'Group Inputs'!CQ8),2)</f>
        <v/>
      </c>
      <c r="K140" s="21">
        <f>ROUND(IF('Group Inputs'!CQ9=0,0,('Group Inputs'!CR9-'Group Inputs'!CS9)/'Group Inputs'!CQ9),2)</f>
        <v/>
      </c>
      <c r="L140" s="3" t="inlineStr">
        <is>
          <t>+2 d (A1)</t>
        </is>
      </c>
      <c r="M140" s="3" t="inlineStr">
        <is>
          <t>E-05, G-04, S-12</t>
        </is>
      </c>
      <c r="N140" s="3" t="inlineStr">
        <is>
          <t>invoices_collected, collection_days, terms_days</t>
        </is>
      </c>
    </row>
    <row r="141">
      <c r="A141" s="2" t="inlineStr">
        <is>
          <t>SIG-005</t>
        </is>
      </c>
      <c r="B141" s="3" t="inlineStr">
        <is>
          <t>Payment delays</t>
        </is>
      </c>
      <c r="C141" s="3" t="inlineStr">
        <is>
          <t>customers</t>
        </is>
      </c>
      <c r="D141" s="3" t="inlineStr">
        <is>
          <t>Month end</t>
        </is>
      </c>
      <c r="E141" s="3" t="inlineStr">
        <is>
          <t>Customers more than 30 days overdue</t>
        </is>
      </c>
      <c r="F141" s="21">
        <f>ROUND('Group Inputs'!CT4,2)</f>
        <v/>
      </c>
      <c r="G141" s="21">
        <f>ROUND('Group Inputs'!CT5,2)</f>
        <v/>
      </c>
      <c r="H141" s="21">
        <f>ROUND('Group Inputs'!CT6,2)</f>
        <v/>
      </c>
      <c r="I141" s="21">
        <f>ROUND('Group Inputs'!CT7,2)</f>
        <v/>
      </c>
      <c r="J141" s="21">
        <f>ROUND('Group Inputs'!CT8,2)</f>
        <v/>
      </c>
      <c r="K141" s="21">
        <f>ROUND('Group Inputs'!CT9,2)</f>
        <v/>
      </c>
      <c r="L141" s="3" t="inlineStr">
        <is>
          <t>2 customers (A1)</t>
        </is>
      </c>
      <c r="M141" s="3" t="inlineStr">
        <is>
          <t>E-05,G-04</t>
        </is>
      </c>
      <c r="N141" s="3" t="inlineStr">
        <is>
          <t>customers_overdue</t>
        </is>
      </c>
    </row>
    <row r="142">
      <c r="A142" s="2" t="inlineStr">
        <is>
          <t>SIG-006</t>
        </is>
      </c>
      <c r="B142" s="3" t="inlineStr">
        <is>
          <t>Cash burn signal</t>
        </is>
      </c>
      <c r="C142" s="3" t="inlineStr">
        <is>
          <t>text</t>
        </is>
      </c>
      <c r="D142" s="3" t="inlineStr">
        <is>
          <t>Month</t>
        </is>
      </c>
      <c r="E142" s="3" t="inlineStr">
        <is>
          <t>Triggered if operating cash flow in the month is negative</t>
        </is>
      </c>
      <c r="F142" s="8">
        <f>IF('Group Inputs'!FZ4&lt;0,"Triggered","Not triggered")</f>
        <v/>
      </c>
      <c r="G142" s="8">
        <f>IF('Group Inputs'!FZ5&lt;0,"Triggered","Not triggered")</f>
        <v/>
      </c>
      <c r="H142" s="8">
        <f>IF('Group Inputs'!FZ6&lt;0,"Triggered","Not triggered")</f>
        <v/>
      </c>
      <c r="I142" s="8">
        <f>IF('Group Inputs'!FZ7&lt;0,"Triggered","Not triggered")</f>
        <v/>
      </c>
      <c r="J142" s="8">
        <f>IF('Group Inputs'!FZ8&lt;0,"Triggered","Not triggered")</f>
        <v/>
      </c>
      <c r="K142" s="8">
        <f>IF('Group Inputs'!FZ9&lt;0,"Triggered","Not triggered")</f>
        <v/>
      </c>
      <c r="L142" s="3" t="inlineStr">
        <is>
          <t>Not triggered</t>
        </is>
      </c>
      <c r="M142" s="3" t="inlineStr">
        <is>
          <t>—</t>
        </is>
      </c>
      <c r="N142" s="3" t="inlineStr">
        <is>
          <t>op_cash_flow_k</t>
        </is>
      </c>
    </row>
    <row r="143">
      <c r="A143" s="2" t="inlineStr">
        <is>
          <t>SIG-013</t>
        </is>
      </c>
      <c r="B143" s="3" t="inlineStr">
        <is>
          <t>Pricing pressure</t>
        </is>
      </c>
      <c r="C143" s="3" t="inlineStr">
        <is>
          <t>text</t>
        </is>
      </c>
      <c r="D143" s="3" t="inlineStr">
        <is>
          <t>Month</t>
        </is>
      </c>
      <c r="E143" s="3" t="inlineStr">
        <is>
          <t>Realised price vs plan: Low if above −1%, Medium down to −3%, High below −3%</t>
        </is>
      </c>
      <c r="F143" s="8">
        <f>IF('Group Inputs'!GG4&gt;=-1,"Low",IF('Group Inputs'!GG4&gt;=-3,"Medium","High"))&amp;" ("&amp;ROUND('Group Inputs'!GG4,1)&amp;"% vs plan price)"</f>
        <v/>
      </c>
      <c r="G143" s="8">
        <f>IF('Group Inputs'!GG5&gt;=-1,"Low",IF('Group Inputs'!GG5&gt;=-3,"Medium","High"))&amp;" ("&amp;ROUND('Group Inputs'!GG5,1)&amp;"% vs plan price)"</f>
        <v/>
      </c>
      <c r="H143" s="8">
        <f>IF('Group Inputs'!GG6&gt;=-1,"Low",IF('Group Inputs'!GG6&gt;=-3,"Medium","High"))&amp;" ("&amp;ROUND('Group Inputs'!GG6,1)&amp;"% vs plan price)"</f>
        <v/>
      </c>
      <c r="I143" s="8">
        <f>IF('Group Inputs'!GG7&gt;=-1,"Low",IF('Group Inputs'!GG7&gt;=-3,"Medium","High"))&amp;" ("&amp;ROUND('Group Inputs'!GG7,1)&amp;"% vs plan price)"</f>
        <v/>
      </c>
      <c r="J143" s="8">
        <f>IF('Group Inputs'!GG8&gt;=-1,"Low",IF('Group Inputs'!GG8&gt;=-3,"Medium","High"))&amp;" ("&amp;ROUND('Group Inputs'!GG8,1)&amp;"% vs plan price)"</f>
        <v/>
      </c>
      <c r="K143" s="8">
        <f>IF('Group Inputs'!GG9&gt;=-1,"Low",IF('Group Inputs'!GG9&gt;=-3,"Medium","High"))&amp;" ("&amp;ROUND('Group Inputs'!GG9,1)&amp;"% vs plan price)"</f>
        <v/>
      </c>
      <c r="L143" s="3" t="inlineStr">
        <is>
          <t>Low</t>
        </is>
      </c>
      <c r="M143" s="3" t="inlineStr">
        <is>
          <t>G-03</t>
        </is>
      </c>
      <c r="N143" s="3" t="inlineStr">
        <is>
          <t>price_vs_plan_pct</t>
        </is>
      </c>
    </row>
    <row r="144">
      <c r="A144" s="2" t="inlineStr">
        <is>
          <t>PRD-001</t>
        </is>
      </c>
      <c r="B144" s="3" t="inlineStr">
        <is>
          <t>Days to breach (earliest plant)</t>
        </is>
      </c>
      <c r="C144" s="3" t="inlineStr">
        <is>
          <t>days</t>
        </is>
      </c>
      <c r="D144" s="3" t="inlineStr">
        <is>
          <t>Forecast</t>
        </is>
      </c>
      <c r="E144" s="3" t="inlineStr">
        <is>
          <t>Lowest plant forecast of days until its production plan is breached (99 = not expected)</t>
        </is>
      </c>
      <c r="F144" s="21">
        <f>ROUND('Group Inputs'!BS4,2)</f>
        <v/>
      </c>
      <c r="G144" s="21">
        <f>ROUND('Group Inputs'!BS5,2)</f>
        <v/>
      </c>
      <c r="H144" s="21">
        <f>ROUND('Group Inputs'!BS6,2)</f>
        <v/>
      </c>
      <c r="I144" s="21">
        <f>ROUND('Group Inputs'!BS7,2)</f>
        <v/>
      </c>
      <c r="J144" s="21">
        <f>ROUND('Group Inputs'!BS8,2)</f>
        <v/>
      </c>
      <c r="K144" s="21">
        <f>ROUND('Group Inputs'!BS9,2)</f>
        <v/>
      </c>
      <c r="L144" s="3" t="inlineStr">
        <is>
          <t>Not shown</t>
        </is>
      </c>
      <c r="M144" s="3" t="inlineStr">
        <is>
          <t>E-01,E-04,O-01,O-02,O-09,S-10,S-12,STATE GALLERY</t>
        </is>
      </c>
      <c r="N144" s="3" t="inlineStr">
        <is>
          <t>days_to_breach</t>
        </is>
      </c>
    </row>
    <row r="145">
      <c r="A145" s="2" t="inlineStr">
        <is>
          <t>PRD-002</t>
        </is>
      </c>
      <c r="B145" s="3" t="inlineStr">
        <is>
          <t>Probability of production plan miss, next month</t>
        </is>
      </c>
      <c r="C145" s="3" t="inlineStr">
        <is>
          <t>%</t>
        </is>
      </c>
      <c r="D145" s="3" t="inlineStr">
        <is>
          <t>Next month</t>
        </is>
      </c>
      <c r="E145" s="3" t="inlineStr">
        <is>
          <t>Chance that output falls below plan: normal distribution with mean = Forecast good output, spread = √(sum of plant forecast variances)</t>
        </is>
      </c>
      <c r="F145" s="21">
        <f>ROUND(100*NORM.DIST('Group Inputs'!BT4,'Group Inputs'!BU4,SQRT('Group Inputs'!BV4),TRUE),2)</f>
        <v/>
      </c>
      <c r="G145" s="21">
        <f>ROUND(100*NORM.DIST('Group Inputs'!BT5,'Group Inputs'!BU5,SQRT('Group Inputs'!BV5),TRUE),2)</f>
        <v/>
      </c>
      <c r="H145" s="21">
        <f>ROUND(100*NORM.DIST('Group Inputs'!BT6,'Group Inputs'!BU6,SQRT('Group Inputs'!BV6),TRUE),2)</f>
        <v/>
      </c>
      <c r="I145" s="21">
        <f>ROUND(100*NORM.DIST('Group Inputs'!BT7,'Group Inputs'!BU7,SQRT('Group Inputs'!BV7),TRUE),2)</f>
        <v/>
      </c>
      <c r="J145" s="21">
        <f>ROUND(100*NORM.DIST('Group Inputs'!BT8,'Group Inputs'!BU8,SQRT('Group Inputs'!BV8),TRUE),2)</f>
        <v/>
      </c>
      <c r="K145" s="21">
        <f>ROUND(100*NORM.DIST('Group Inputs'!BT9,'Group Inputs'!BU9,SQRT('Group Inputs'!BV9),TRUE),2)</f>
        <v/>
      </c>
      <c r="L145" s="3" t="inlineStr">
        <is>
          <t>64%</t>
        </is>
      </c>
      <c r="M145" s="3" t="inlineStr">
        <is>
          <t>G-01,G-10,O-01,O-02,S-12,STATE GALLERY</t>
        </is>
      </c>
      <c r="N145" s="3" t="inlineStr">
        <is>
          <t>planned_production_next_t, forecast_good_next_t, forecast_good_var_next</t>
        </is>
      </c>
    </row>
    <row r="146">
      <c r="A146" s="2" t="inlineStr">
        <is>
          <t>PRD-003</t>
        </is>
      </c>
      <c r="B146" s="3" t="inlineStr">
        <is>
          <t>Projected EBITDA gap, rest of year</t>
        </is>
      </c>
      <c r="C146" s="3" t="inlineStr">
        <is>
          <t>₹ m</t>
        </is>
      </c>
      <c r="D146" s="3" t="inlineStr">
        <is>
          <t>Forecast</t>
        </is>
      </c>
      <c r="E146" s="3" t="inlineStr">
        <is>
          <t>(Forecast EBITDA − Planned EBITDA, rest of year) ÷ 1000</t>
        </is>
      </c>
      <c r="F146" s="21">
        <f>ROUND(('Group Inputs'!CU4-'Group Inputs'!CV4)/1000,2)</f>
        <v/>
      </c>
      <c r="G146" s="21">
        <f>ROUND(('Group Inputs'!CU5-'Group Inputs'!CV5)/1000,2)</f>
        <v/>
      </c>
      <c r="H146" s="21">
        <f>ROUND(('Group Inputs'!CU6-'Group Inputs'!CV6)/1000,2)</f>
        <v/>
      </c>
      <c r="I146" s="21">
        <f>ROUND(('Group Inputs'!CU7-'Group Inputs'!CV7)/1000,2)</f>
        <v/>
      </c>
      <c r="J146" s="21">
        <f>ROUND(('Group Inputs'!CU8-'Group Inputs'!CV8)/1000,2)</f>
        <v/>
      </c>
      <c r="K146" s="21">
        <f>ROUND(('Group Inputs'!CU9-'Group Inputs'!CV9)/1000,2)</f>
        <v/>
      </c>
      <c r="L146" s="3" t="inlineStr">
        <is>
          <t>−₹9.2 m</t>
        </is>
      </c>
      <c r="M146" s="3" t="inlineStr">
        <is>
          <t>G-01,G-03,G-10,O-01,O-02,S-09,S-12,STATE GALLERY</t>
        </is>
      </c>
      <c r="N146" s="3" t="inlineStr">
        <is>
          <t>forecast_ebitda_rest_k, planned_ebitda_rest_k</t>
        </is>
      </c>
    </row>
    <row r="147">
      <c r="A147" s="2" t="inlineStr">
        <is>
          <t>PRD-004</t>
        </is>
      </c>
      <c r="B147" s="3" t="inlineStr">
        <is>
          <t>Projected liquidity gap, next 90 days</t>
        </is>
      </c>
      <c r="C147" s="3" t="inlineStr">
        <is>
          <t>₹ m or text</t>
        </is>
      </c>
      <c r="D147" s="3" t="inlineStr">
        <is>
          <t>Next 90 days</t>
        </is>
      </c>
      <c r="E147" s="3" t="inlineStr">
        <is>
          <t>Cash + Undrawn facilities + Forecast net cash flow (90 days); 'None' if not negative</t>
        </is>
      </c>
      <c r="F147" s="8">
        <f>IF('Group Inputs'!CC4+'Group Inputs'!CD4+'Group Inputs'!CW4&gt;=0,"None within 90 d",ROUND(('Group Inputs'!CC4+'Group Inputs'!CD4+'Group Inputs'!CW4)/1000,1))</f>
        <v/>
      </c>
      <c r="G147" s="8">
        <f>IF('Group Inputs'!CC5+'Group Inputs'!CD5+'Group Inputs'!CW5&gt;=0,"None within 90 d",ROUND(('Group Inputs'!CC5+'Group Inputs'!CD5+'Group Inputs'!CW5)/1000,1))</f>
        <v/>
      </c>
      <c r="H147" s="8">
        <f>IF('Group Inputs'!CC6+'Group Inputs'!CD6+'Group Inputs'!CW6&gt;=0,"None within 90 d",ROUND(('Group Inputs'!CC6+'Group Inputs'!CD6+'Group Inputs'!CW6)/1000,1))</f>
        <v/>
      </c>
      <c r="I147" s="8">
        <f>IF('Group Inputs'!CC7+'Group Inputs'!CD7+'Group Inputs'!CW7&gt;=0,"None within 90 d",ROUND(('Group Inputs'!CC7+'Group Inputs'!CD7+'Group Inputs'!CW7)/1000,1))</f>
        <v/>
      </c>
      <c r="J147" s="8">
        <f>IF('Group Inputs'!CC8+'Group Inputs'!CD8+'Group Inputs'!CW8&gt;=0,"None within 90 d",ROUND(('Group Inputs'!CC8+'Group Inputs'!CD8+'Group Inputs'!CW8)/1000,1))</f>
        <v/>
      </c>
      <c r="K147" s="8">
        <f>IF('Group Inputs'!CC9+'Group Inputs'!CD9+'Group Inputs'!CW9&gt;=0,"None within 90 d",ROUND(('Group Inputs'!CC9+'Group Inputs'!CD9+'Group Inputs'!CW9)/1000,1))</f>
        <v/>
      </c>
      <c r="L147" s="3" t="inlineStr">
        <is>
          <t>None within 90 d</t>
        </is>
      </c>
      <c r="M147" s="3" t="inlineStr">
        <is>
          <t>O-02, G-01, G-04, S-12</t>
        </is>
      </c>
      <c r="N147" s="3" t="inlineStr">
        <is>
          <t>cash_k, undrawn_facilities_k, forecast_net_cash_flow_90d_k</t>
        </is>
      </c>
    </row>
    <row r="148">
      <c r="A148" s="2" t="inlineStr">
        <is>
          <t>PRD-005</t>
        </is>
      </c>
      <c r="B148" s="3" t="inlineStr">
        <is>
          <t>Forecast covenant breach</t>
        </is>
      </c>
      <c r="C148" s="3" t="inlineStr">
        <is>
          <t>text</t>
        </is>
      </c>
      <c r="D148" s="3" t="inlineStr">
        <is>
          <t>Quarter end</t>
        </is>
      </c>
      <c r="E148" s="3" t="inlineStr">
        <is>
          <t>Breach forecast if Forecast net debt ÷ Forecast 12-month EBITDA exceeds the covenant limit</t>
        </is>
      </c>
      <c r="F148" s="8">
        <f>IF('Group Inputs'!CY4=0,"No forecast",IF('Group Inputs'!CX4/'Group Inputs'!CY4&gt;Parameters!$B$4,"Breach forecast","Not forecast"))</f>
        <v/>
      </c>
      <c r="G148" s="8">
        <f>IF('Group Inputs'!CY5=0,"No forecast",IF('Group Inputs'!CX5/'Group Inputs'!CY5&gt;Parameters!$B$4,"Breach forecast","Not forecast"))</f>
        <v/>
      </c>
      <c r="H148" s="8">
        <f>IF('Group Inputs'!CY6=0,"No forecast",IF('Group Inputs'!CX6/'Group Inputs'!CY6&gt;Parameters!$B$4,"Breach forecast","Not forecast"))</f>
        <v/>
      </c>
      <c r="I148" s="8">
        <f>IF('Group Inputs'!CY7=0,"No forecast",IF('Group Inputs'!CX7/'Group Inputs'!CY7&gt;Parameters!$B$4,"Breach forecast","Not forecast"))</f>
        <v/>
      </c>
      <c r="J148" s="8">
        <f>IF('Group Inputs'!CY8=0,"No forecast",IF('Group Inputs'!CX8/'Group Inputs'!CY8&gt;Parameters!$B$4,"Breach forecast","Not forecast"))</f>
        <v/>
      </c>
      <c r="K148" s="8">
        <f>IF('Group Inputs'!CY9=0,"No forecast",IF('Group Inputs'!CX9/'Group Inputs'!CY9&gt;Parameters!$B$4,"Breach forecast","Not forecast"))</f>
        <v/>
      </c>
      <c r="L148" s="3" t="inlineStr">
        <is>
          <t>Not forecast</t>
        </is>
      </c>
      <c r="M148" s="3" t="inlineStr">
        <is>
          <t>O-02, G-04, G-10, S-12</t>
        </is>
      </c>
      <c r="N148" s="3" t="inlineStr">
        <is>
          <t>forecast_net_debt_k, forecast_ebitda_ltm_k</t>
        </is>
      </c>
    </row>
    <row r="149">
      <c r="A149" s="2" t="inlineStr">
        <is>
          <t>PRD-006</t>
        </is>
      </c>
      <c r="B149" s="3" t="inlineStr">
        <is>
          <t>Production loss from downtime, next month</t>
        </is>
      </c>
      <c r="C149" s="3" t="inlineStr">
        <is>
          <t>kt</t>
        </is>
      </c>
      <c r="D149" s="3" t="inlineStr">
        <is>
          <t>Next month</t>
        </is>
      </c>
      <c r="E149" s="3" t="inlineStr">
        <is>
          <t>Forecast production lost to downtime next month ÷ 1000</t>
        </is>
      </c>
      <c r="F149" s="21">
        <f>ROUND('Group Inputs'!BX4/1000,2)</f>
        <v/>
      </c>
      <c r="G149" s="21">
        <f>ROUND('Group Inputs'!BX5/1000,2)</f>
        <v/>
      </c>
      <c r="H149" s="21">
        <f>ROUND('Group Inputs'!BX6/1000,2)</f>
        <v/>
      </c>
      <c r="I149" s="21">
        <f>ROUND('Group Inputs'!BX7/1000,2)</f>
        <v/>
      </c>
      <c r="J149" s="21">
        <f>ROUND('Group Inputs'!BX8/1000,2)</f>
        <v/>
      </c>
      <c r="K149" s="21">
        <f>ROUND('Group Inputs'!BX9/1000,2)</f>
        <v/>
      </c>
      <c r="L149" s="3" t="inlineStr">
        <is>
          <t>11.2 kt</t>
        </is>
      </c>
      <c r="M149" s="3" t="inlineStr">
        <is>
          <t>G-05,G-10,O-09</t>
        </is>
      </c>
      <c r="N149" s="3" t="inlineStr">
        <is>
          <t>forecast_downtime_loss_next_t</t>
        </is>
      </c>
    </row>
    <row r="150">
      <c r="A150" s="2" t="inlineStr">
        <is>
          <t>PRD-007</t>
        </is>
      </c>
      <c r="B150" s="3" t="inlineStr">
        <is>
          <t>Probability OEE below 78%, next month</t>
        </is>
      </c>
      <c r="C150" s="3" t="inlineStr">
        <is>
          <t>%</t>
        </is>
      </c>
      <c r="D150" s="3" t="inlineStr">
        <is>
          <t>Next month</t>
        </is>
      </c>
      <c r="E150" s="3" t="inlineStr">
        <is>
          <t>Chance that Forecast good output &lt; 78% × Ideal output next month (same distribution as PRD-002)</t>
        </is>
      </c>
      <c r="F150" s="21">
        <f>ROUND(100*NORM.DIST(0.78*'Group Inputs'!BW4,'Group Inputs'!BU4,SQRT('Group Inputs'!BV4),TRUE),2)</f>
        <v/>
      </c>
      <c r="G150" s="21">
        <f>ROUND(100*NORM.DIST(0.78*'Group Inputs'!BW5,'Group Inputs'!BU5,SQRT('Group Inputs'!BV5),TRUE),2)</f>
        <v/>
      </c>
      <c r="H150" s="21">
        <f>ROUND(100*NORM.DIST(0.78*'Group Inputs'!BW6,'Group Inputs'!BU6,SQRT('Group Inputs'!BV6),TRUE),2)</f>
        <v/>
      </c>
      <c r="I150" s="21">
        <f>ROUND(100*NORM.DIST(0.78*'Group Inputs'!BW7,'Group Inputs'!BU7,SQRT('Group Inputs'!BV7),TRUE),2)</f>
        <v/>
      </c>
      <c r="J150" s="21">
        <f>ROUND(100*NORM.DIST(0.78*'Group Inputs'!BW8,'Group Inputs'!BU8,SQRT('Group Inputs'!BV8),TRUE),2)</f>
        <v/>
      </c>
      <c r="K150" s="21">
        <f>ROUND(100*NORM.DIST(0.78*'Group Inputs'!BW9,'Group Inputs'!BU9,SQRT('Group Inputs'!BV9),TRUE),2)</f>
        <v/>
      </c>
      <c r="L150" s="3" t="inlineStr">
        <is>
          <t>41%</t>
        </is>
      </c>
      <c r="M150" s="3" t="inlineStr">
        <is>
          <t>O-09</t>
        </is>
      </c>
      <c r="N150" s="3" t="inlineStr">
        <is>
          <t>forecast_good_next_t, forecast_good_var_next, ideal_output_next_t</t>
        </is>
      </c>
    </row>
  </sheetData>
  <autoFilter ref="A1:N15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G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2">
        <f>AU4-V4-X4-BY4</f>
        <v/>
      </c>
      <c r="FW4" s="22">
        <f>FV4-AX4</f>
        <v/>
      </c>
      <c r="FX4" s="22">
        <f>CJ4+CL4-CK4</f>
        <v/>
      </c>
      <c r="FY4" s="22">
        <f>FX4-Parameters!$B$7</f>
        <v/>
      </c>
      <c r="FZ4" s="22">
        <f>FV4-BZ4-FY4</f>
        <v/>
      </c>
      <c r="GA4" s="22">
        <f>FZ4-DJ4</f>
        <v/>
      </c>
      <c r="GB4" s="22">
        <f>CB4-CC4</f>
        <v/>
      </c>
      <c r="GC4" s="22">
        <f>SUM(FV$4:FV4)*12/D4</f>
        <v/>
      </c>
      <c r="GD4" s="22">
        <f>IF(AU4=0,0,CJ4/AU4*C4)</f>
        <v/>
      </c>
      <c r="GE4" s="22">
        <f>IF(V4=0,0,CK4/V4*C4)</f>
        <v/>
      </c>
      <c r="GF4" s="22">
        <f>IF(V4=0,0,CL4/V4*C4)</f>
        <v/>
      </c>
      <c r="GG4" s="22">
        <f>IF(OR(AS4=0,AT4=0,AV4=0),0,100*((AU4/AS4)/(AV4/AT4)-1))</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2">
        <f>AU5-V5-X5-BY5</f>
        <v/>
      </c>
      <c r="FW5" s="22">
        <f>FV5-AX5</f>
        <v/>
      </c>
      <c r="FX5" s="22">
        <f>CJ5+CL5-CK5</f>
        <v/>
      </c>
      <c r="FY5" s="22">
        <f>FX5-FX4</f>
        <v/>
      </c>
      <c r="FZ5" s="22">
        <f>FV5-BZ5-FY5</f>
        <v/>
      </c>
      <c r="GA5" s="22">
        <f>FZ5-DJ5</f>
        <v/>
      </c>
      <c r="GB5" s="22">
        <f>CB5-CC5</f>
        <v/>
      </c>
      <c r="GC5" s="22">
        <f>SUM(FV$4:FV5)*12/D5</f>
        <v/>
      </c>
      <c r="GD5" s="22">
        <f>IF(AU5=0,0,CJ5/AU5*C5)</f>
        <v/>
      </c>
      <c r="GE5" s="22">
        <f>IF(V5=0,0,CK5/V5*C5)</f>
        <v/>
      </c>
      <c r="GF5" s="22">
        <f>IF(V5=0,0,CL5/V5*C5)</f>
        <v/>
      </c>
      <c r="GG5" s="22">
        <f>IF(OR(AS5=0,AT5=0,AV5=0),0,100*((AU5/AS5)/(AV5/AT5)-1))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2">
        <f>AU6-V6-X6-BY6</f>
        <v/>
      </c>
      <c r="FW6" s="22">
        <f>FV6-AX6</f>
        <v/>
      </c>
      <c r="FX6" s="22">
        <f>CJ6+CL6-CK6</f>
        <v/>
      </c>
      <c r="FY6" s="22">
        <f>FX6-FX5</f>
        <v/>
      </c>
      <c r="FZ6" s="22">
        <f>FV6-BZ6-FY6</f>
        <v/>
      </c>
      <c r="GA6" s="22">
        <f>FZ6-DJ6</f>
        <v/>
      </c>
      <c r="GB6" s="22">
        <f>CB6-CC6</f>
        <v/>
      </c>
      <c r="GC6" s="22">
        <f>SUM(FV$4:FV6)*12/D6</f>
        <v/>
      </c>
      <c r="GD6" s="22">
        <f>IF(AU6=0,0,CJ6/AU6*C6)</f>
        <v/>
      </c>
      <c r="GE6" s="22">
        <f>IF(V6=0,0,CK6/V6*C6)</f>
        <v/>
      </c>
      <c r="GF6" s="22">
        <f>IF(V6=0,0,CL6/V6*C6)</f>
        <v/>
      </c>
      <c r="GG6" s="22">
        <f>IF(OR(AS6=0,AT6=0,AV6=0),0,100*((AU6/AS6)/(AV6/AT6)-1))</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2">
        <f>AU7-V7-X7-BY7</f>
        <v/>
      </c>
      <c r="FW7" s="22">
        <f>FV7-AX7</f>
        <v/>
      </c>
      <c r="FX7" s="22">
        <f>CJ7+CL7-CK7</f>
        <v/>
      </c>
      <c r="FY7" s="22">
        <f>FX7-FX6</f>
        <v/>
      </c>
      <c r="FZ7" s="22">
        <f>FV7-BZ7-FY7</f>
        <v/>
      </c>
      <c r="GA7" s="22">
        <f>FZ7-DJ7</f>
        <v/>
      </c>
      <c r="GB7" s="22">
        <f>CB7-CC7</f>
        <v/>
      </c>
      <c r="GC7" s="22">
        <f>SUM(FV$4:FV7)*12/D7</f>
        <v/>
      </c>
      <c r="GD7" s="22">
        <f>IF(AU7=0,0,CJ7/AU7*C7)</f>
        <v/>
      </c>
      <c r="GE7" s="22">
        <f>IF(V7=0,0,CK7/V7*C7)</f>
        <v/>
      </c>
      <c r="GF7" s="22">
        <f>IF(V7=0,0,CL7/V7*C7)</f>
        <v/>
      </c>
      <c r="GG7" s="22">
        <f>IF(OR(AS7=0,AT7=0,AV7=0),0,100*((AU7/AS7)/(AV7/AT7)-1))</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2">
        <f>AU8-V8-X8-BY8</f>
        <v/>
      </c>
      <c r="FW8" s="22">
        <f>FV8-AX8</f>
        <v/>
      </c>
      <c r="FX8" s="22">
        <f>CJ8+CL8-CK8</f>
        <v/>
      </c>
      <c r="FY8" s="22">
        <f>FX8-FX7</f>
        <v/>
      </c>
      <c r="FZ8" s="22">
        <f>FV8-BZ8-FY8</f>
        <v/>
      </c>
      <c r="GA8" s="22">
        <f>FZ8-DJ8</f>
        <v/>
      </c>
      <c r="GB8" s="22">
        <f>CB8-CC8</f>
        <v/>
      </c>
      <c r="GC8" s="22">
        <f>SUM(FV$4:FV8)*12/D8</f>
        <v/>
      </c>
      <c r="GD8" s="22">
        <f>IF(AU8=0,0,CJ8/AU8*C8)</f>
        <v/>
      </c>
      <c r="GE8" s="22">
        <f>IF(V8=0,0,CK8/V8*C8)</f>
        <v/>
      </c>
      <c r="GF8" s="22">
        <f>IF(V8=0,0,CL8/V8*C8)</f>
        <v/>
      </c>
      <c r="GG8" s="22">
        <f>IF(OR(AS8=0,AT8=0,AV8=0),0,100*((AU8/AS8)/(AV8/AT8)-1))</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2">
        <f>AU9-V9-X9-BY9</f>
        <v/>
      </c>
      <c r="FW9" s="22">
        <f>FV9-AX9</f>
        <v/>
      </c>
      <c r="FX9" s="22">
        <f>CJ9+CL9-CK9</f>
        <v/>
      </c>
      <c r="FY9" s="22">
        <f>FX9-FX8</f>
        <v/>
      </c>
      <c r="FZ9" s="22">
        <f>FV9-BZ9-FY9</f>
        <v/>
      </c>
      <c r="GA9" s="22">
        <f>FZ9-DJ9</f>
        <v/>
      </c>
      <c r="GB9" s="22">
        <f>CB9-CC9</f>
        <v/>
      </c>
      <c r="GC9" s="22">
        <f>SUM(FV$4:FV9)*12/D9</f>
        <v/>
      </c>
      <c r="GD9" s="22">
        <f>IF(AU9=0,0,CJ9/AU9*C9)</f>
        <v/>
      </c>
      <c r="GE9" s="22">
        <f>IF(V9=0,0,CK9/V9*C9)</f>
        <v/>
      </c>
      <c r="GF9" s="22">
        <f>IF(V9=0,0,CL9/V9*C9)</f>
        <v/>
      </c>
      <c r="GG9" s="22">
        <f>IF(OR(AS9=0,AT9=0,AV9=0),0,100*((AU9/AS9)/(AV9/AT9)-1))</f>
        <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U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row>
  </sheetData>
  <autoFilter ref="A3:FU15"/>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3" t="n">
        <v>0.25</v>
      </c>
      <c r="C2" s="3" t="inlineStr">
        <is>
          <t>Tax rate used for after-tax return</t>
        </is>
      </c>
    </row>
    <row r="3">
      <c r="A3" s="2" t="inlineStr">
        <is>
          <t>WACC</t>
        </is>
      </c>
      <c r="B3" s="23" t="n">
        <v>0.095</v>
      </c>
      <c r="C3" s="3" t="inlineStr">
        <is>
          <t>Cost of capital, per year</t>
        </is>
      </c>
    </row>
    <row r="4">
      <c r="A4" s="2" t="inlineStr">
        <is>
          <t>CovenantMax</t>
        </is>
      </c>
      <c r="B4" s="23" t="n">
        <v>2.5</v>
      </c>
      <c r="C4" s="3" t="inlineStr">
        <is>
          <t>Covenant limit: net debt ÷ EBITDA (times)</t>
        </is>
      </c>
    </row>
    <row r="5">
      <c r="A5" s="2" t="inlineStr">
        <is>
          <t>OpeningNWC_A1</t>
        </is>
      </c>
      <c r="B5" s="23" t="n">
        <v>2109562.8</v>
      </c>
      <c r="C5" s="3" t="inlineStr">
        <is>
          <t>Net working capital at 31 Mar 2026, Entity A1 (₹ thousand)</t>
        </is>
      </c>
    </row>
    <row r="6">
      <c r="A6" s="2" t="inlineStr">
        <is>
          <t>OpeningNWC_A2</t>
        </is>
      </c>
      <c r="B6" s="23" t="n">
        <v>759330.2</v>
      </c>
      <c r="C6" s="3" t="inlineStr">
        <is>
          <t>Net working capital at 31 Mar 2026, Entity A2 (₹ thousand)</t>
        </is>
      </c>
    </row>
    <row r="7">
      <c r="A7" s="2" t="inlineStr">
        <is>
          <t>OpeningNWC</t>
        </is>
      </c>
      <c r="B7" s="24">
        <f>B5+B6</f>
        <v/>
      </c>
      <c r="C7" s="3" t="inlineStr">
        <is>
          <t>Net working capital at 31 Mar 2026, Group (₹ thousand)</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0.7109375" customWidth="1" min="1" max="1"/>
  </cols>
  <sheetData>
    <row r="1">
      <c r="A1" s="1" t="inlineStr">
        <is>
          <t>Group KPI model: how every Group-level KPI on the mockups is calculated, bottom up</t>
        </is>
      </c>
    </row>
    <row r="2">
      <c r="A2" s="20" t="inlineStr">
        <is>
          <t>Group KPIs: one row per KPI, one column per month (Apr–Sep 2026 = P01–P06). Every value is a live formula; click a cell to see it.</t>
        </is>
      </c>
    </row>
    <row r="3">
      <c r="A3" s="20" t="inlineStr">
        <is>
          <t>Group Inputs: each input is the sum of Entity A1 and Entity A2 (or the lowest, for days to permit expiry and days to breach). Blue columns are building blocks calculated from those inputs, such as EBITDA and net working capital.</t>
        </is>
      </c>
    </row>
    <row r="4">
      <c r="A4" s="20" t="inlineStr">
        <is>
          <t>Entity Inputs: inputs that come from plants are the sum of the entity's 3 plants. Yellow inputs only exist at entity level (finance, cash, treasury, capex, programmes, contracts, controls, governance, data trust, workflow).</t>
        </is>
      </c>
    </row>
    <row r="5">
      <c r="A5" s="20" t="inlineStr">
        <is>
          <t>Plant Inputs: the plant data. The first 40 input columns are plant_base.csv unchanged; the rest are added for sales, supply, regulatory and forecast KPIs.</t>
        </is>
      </c>
    </row>
    <row r="6">
      <c r="A6" s="20" t="inlineStr">
        <is>
          <t>Parameters: tax rate, cost of capital, covenant limit and opening working capital used by some formulas.</t>
        </is>
      </c>
    </row>
    <row r="7">
      <c r="A7" s="20" t="inlineStr">
        <is>
          <t>Rule: KPIs are always recalculated from the Group totals. They are never averages of entity or plant KPIs.</t>
        </is>
      </c>
    </row>
    <row r="8">
      <c r="A8" s="20" t="inlineStr">
        <is>
          <t>All data is synthetic. Formulas are working assumptions until the KPI catalogue definitions are approved.</t>
        </is>
      </c>
    </row>
    <row r="9">
      <c r="A9" s="20" t="inlineStr">
        <is>
          <t>Some IDs on the mockups measure the same thing and so show the same value: OPS-005 = OPS-003, OPS-006 = PLT-002, OPS-004 = OPS-002, PRG-004 = STR-002, RSK-003 = CMP-005 = REG-010.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2026-10-05T18:41:15Z</dcterms:created>
  <dcterms:modified xmlns:dcterms="http://purl.org/dc/terms/" xmlns:xsi="http://www.w3.org/2001/XMLSchema-instance" xsi:type="dcterms:W3CDTF">2026-10-06T09:59:58Z</dcterms:modified>
</cp:coreProperties>
</file>